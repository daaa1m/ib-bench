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customProperty6.bin" ContentType="application/vnd.openxmlformats-officedocument.spreadsheetml.customProperty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ustomProperty7.bin" ContentType="application/vnd.openxmlformats-officedocument.spreadsheetml.customProperty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ustomProperty8.bin" ContentType="application/vnd.openxmlformats-officedocument.spreadsheetml.customProperty"/>
  <Override PartName="/xl/drawings/drawing5.xml" ContentType="application/vnd.openxmlformats-officedocument.drawing+xml"/>
  <Override PartName="/xl/customProperty9.bin" ContentType="application/vnd.openxmlformats-officedocument.spreadsheetml.customProperty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ustomProperty10.bin" ContentType="application/vnd.openxmlformats-officedocument.spreadsheetml.customProperty"/>
  <Override PartName="/xl/drawings/drawing7.xml" ContentType="application/vnd.openxmlformats-officedocument.drawing+xml"/>
  <Override PartName="/xl/customProperty11.bin" ContentType="application/vnd.openxmlformats-officedocument.spreadsheetml.customProperty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ustomProperty12.bin" ContentType="application/vnd.openxmlformats-officedocument.spreadsheetml.customProperty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M:\Models\Client Versions\"/>
    </mc:Choice>
  </mc:AlternateContent>
  <xr:revisionPtr revIDLastSave="0" documentId="13_ncr:1_{71033F74-9161-4EAF-8637-D37641E65F48}" xr6:coauthVersionLast="47" xr6:coauthVersionMax="47" xr10:uidLastSave="{00000000-0000-0000-0000-000000000000}"/>
  <bookViews>
    <workbookView xWindow="-120" yWindow="-120" windowWidth="57840" windowHeight="23640" tabRatio="841" xr2:uid="{00000000-000D-0000-FFFF-FFFF00000000}"/>
  </bookViews>
  <sheets>
    <sheet name="Cover" sheetId="14" r:id="rId1"/>
    <sheet name="P&amp;L Summary" sheetId="15" r:id="rId2"/>
    <sheet name="Revenue Summary" sheetId="16" r:id="rId3"/>
    <sheet name="NTM Valuation" sheetId="17" r:id="rId4"/>
    <sheet name="Valuation" sheetId="1" r:id="rId5"/>
    <sheet name="Income Statement" sheetId="2" r:id="rId6"/>
    <sheet name="Cash Flow Statement" sheetId="4" r:id="rId7"/>
    <sheet name="Balance Sheet" sheetId="3" r:id="rId8"/>
    <sheet name="Capex &amp; Depreciation" sheetId="5" r:id="rId9"/>
    <sheet name="Working Capital" sheetId="6" r:id="rId10"/>
    <sheet name="Debt &amp; Interest" sheetId="7" r:id="rId11"/>
    <sheet name="Shares Outstanding &amp; Corporate" sheetId="8" r:id="rId12"/>
  </sheets>
  <definedNames>
    <definedName name="A_ALL_GOOGL">#REF!</definedName>
    <definedName name="A_ALL_KEYWORDS_TYPE_ScalarContributed_EQTY_200007003">#REF!,#REF!,#REF!,#REF!,#REF!</definedName>
    <definedName name="A_ALL_KEYWORDS_TYPE_Vector_ISSR_208002492">#REF!,#REF!,#REF!,#REF!,#REF!,#REF!,#REF!,#REF!,#REF!,#REF!,#REF!,#REF!,#REF!</definedName>
    <definedName name="A_ALL_SECTION_KEYWORDS_EQTY_200007003_13A">#REF!</definedName>
    <definedName name="A_ALL_SECTION_KEYWORDS_ISSR_208002492_131O">#REF!,#REF!</definedName>
    <definedName name="E_ALL_GOOGL">#REF!</definedName>
    <definedName name="E_ALL_KEYWORDS_TYPE_ScalarContributed_EQTY_200007003">#REF!,#REF!,#REF!,#REF!,#REF!</definedName>
    <definedName name="E_ALL_KEYWORDS_TYPE_Vector_ISSR_208002492">#REF!,#REF!,#REF!,#REF!,#REF!,#REF!,#REF!,#REF!,#REF!,#REF!,#REF!,#REF!,#REF!</definedName>
    <definedName name="E_ALL_SECTION_KEYWORDS_EQTY_200007003_13A">#REF!</definedName>
    <definedName name="E_ALL_SECTION_KEYWORDS_ISSR_208002492_131O">#REF!,#REF!</definedName>
    <definedName name="L_ALL_GOOGL">#REF!</definedName>
    <definedName name="L_ALL_KEYWORDS_TYPE_ScalarContributed_EQTY_200007003">#REF!,#REF!,#REF!,#REF!,#REF!</definedName>
    <definedName name="L_ALL_KEYWORDS_TYPE_Vector_ISSR_208002492">#REF!,#REF!,#REF!,#REF!,#REF!,#REF!,#REF!,#REF!,#REF!,#REF!,#REF!,#REF!,#REF!</definedName>
    <definedName name="L_ALL_SECTION_KEYWORDS_EQTY_200007003_13A">#REF!</definedName>
    <definedName name="L_ALL_SECTION_KEYWORDS_ISSR_208002492_131O">#REF!,#REF!</definedName>
    <definedName name="V_ALL_GOOGL">#REF!</definedName>
    <definedName name="V_ALL_KEYWORDS_TYPE_ScalarContributed_EQTY_200007003">#REF!,#REF!,#REF!,#REF!,#REF!</definedName>
    <definedName name="V_ALL_KEYWORDS_TYPE_Vector_ISSR_208002492">#REF!,#REF!,#REF!,#REF!,#REF!,#REF!,#REF!,#REF!,#REF!,#REF!,#REF!,#REF!,#REF!</definedName>
    <definedName name="V_ALL_SECTION_KEYWORDS_EQTY_200007003_13A">#REF!</definedName>
    <definedName name="V_ALL_SECTION_KEYWORDS_ISSR_208002492_131O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4" i="8" l="1"/>
  <c r="BY49" i="2" l="1"/>
  <c r="CC49" i="2" s="1"/>
  <c r="CG49" i="2" s="1"/>
  <c r="BX49" i="2"/>
  <c r="CB49" i="2" s="1"/>
  <c r="CF49" i="2" s="1"/>
  <c r="BW49" i="2"/>
  <c r="CA49" i="2" s="1"/>
  <c r="CE49" i="2" s="1"/>
  <c r="BV49" i="2"/>
  <c r="BZ49" i="2" s="1"/>
  <c r="CD49" i="2" s="1"/>
  <c r="BR213" i="2" l="1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BU208" i="2"/>
  <c r="BY208" i="2" s="1"/>
  <c r="CC208" i="2" s="1"/>
  <c r="BT208" i="2"/>
  <c r="BX208" i="2" s="1"/>
  <c r="CB208" i="2" s="1"/>
  <c r="BS208" i="2"/>
  <c r="BW208" i="2" s="1"/>
  <c r="CA208" i="2" s="1"/>
  <c r="BR208" i="2"/>
  <c r="BV208" i="2" s="1"/>
  <c r="BZ208" i="2" s="1"/>
  <c r="BU22" i="2"/>
  <c r="BY22" i="2" s="1"/>
  <c r="CC22" i="2" s="1"/>
  <c r="CG22" i="2" s="1"/>
  <c r="BT22" i="2"/>
  <c r="BX22" i="2" s="1"/>
  <c r="CB22" i="2" s="1"/>
  <c r="CF22" i="2" s="1"/>
  <c r="BS22" i="2"/>
  <c r="BW22" i="2" s="1"/>
  <c r="CA22" i="2" s="1"/>
  <c r="CE22" i="2" s="1"/>
  <c r="BR22" i="2"/>
  <c r="BV22" i="2" s="1"/>
  <c r="BZ22" i="2" s="1"/>
  <c r="CD22" i="2" s="1"/>
  <c r="BL13" i="8" l="1"/>
  <c r="BL8" i="8"/>
  <c r="BL22" i="7"/>
  <c r="BL20" i="7" s="1"/>
  <c r="BL15" i="7"/>
  <c r="BL13" i="7"/>
  <c r="BL12" i="7"/>
  <c r="BL23" i="6"/>
  <c r="BL22" i="6"/>
  <c r="BL21" i="6"/>
  <c r="BL20" i="6"/>
  <c r="BL19" i="6"/>
  <c r="BL18" i="6"/>
  <c r="BL15" i="6"/>
  <c r="BL14" i="6"/>
  <c r="BL13" i="6"/>
  <c r="BL12" i="6"/>
  <c r="BL39" i="6" s="1"/>
  <c r="BL40" i="6" s="1"/>
  <c r="BL11" i="6"/>
  <c r="BL6" i="6"/>
  <c r="BL5" i="6"/>
  <c r="BL39" i="5"/>
  <c r="BL33" i="5"/>
  <c r="BL37" i="5" s="1"/>
  <c r="BL31" i="5"/>
  <c r="BL20" i="5"/>
  <c r="BL29" i="5" s="1"/>
  <c r="BL4" i="5"/>
  <c r="BL40" i="3"/>
  <c r="BL45" i="3" s="1"/>
  <c r="BL30" i="3"/>
  <c r="BL38" i="3" s="1"/>
  <c r="BL102" i="4"/>
  <c r="BL100" i="4"/>
  <c r="BL95" i="4"/>
  <c r="BL94" i="4"/>
  <c r="BL93" i="4"/>
  <c r="BL92" i="4"/>
  <c r="BL51" i="4"/>
  <c r="BL43" i="4"/>
  <c r="BL33" i="4"/>
  <c r="BL12" i="4"/>
  <c r="BL7" i="4"/>
  <c r="BL81" i="4" s="1"/>
  <c r="BL282" i="2"/>
  <c r="BL276" i="2" s="1"/>
  <c r="BL258" i="2"/>
  <c r="BL257" i="2"/>
  <c r="BL248" i="2"/>
  <c r="BL247" i="2"/>
  <c r="BL246" i="2"/>
  <c r="BL233" i="2"/>
  <c r="BL232" i="2"/>
  <c r="BL231" i="2"/>
  <c r="BL230" i="2"/>
  <c r="BL224" i="2"/>
  <c r="BL221" i="2"/>
  <c r="BL220" i="2"/>
  <c r="BL219" i="2"/>
  <c r="BL216" i="2"/>
  <c r="BL215" i="2"/>
  <c r="BL213" i="2"/>
  <c r="BL210" i="2"/>
  <c r="BL209" i="2"/>
  <c r="BL196" i="2"/>
  <c r="BL7" i="6" s="1"/>
  <c r="BL192" i="2"/>
  <c r="BL191" i="2"/>
  <c r="BL187" i="2"/>
  <c r="BL186" i="2"/>
  <c r="BL182" i="2"/>
  <c r="BL181" i="2"/>
  <c r="BL166" i="2"/>
  <c r="BL162" i="2"/>
  <c r="BL161" i="2"/>
  <c r="BL159" i="2"/>
  <c r="BL157" i="2"/>
  <c r="BL155" i="2"/>
  <c r="BL149" i="2"/>
  <c r="BL148" i="2"/>
  <c r="BL144" i="2"/>
  <c r="BL143" i="2"/>
  <c r="BL134" i="2"/>
  <c r="BL133" i="2"/>
  <c r="BL129" i="2"/>
  <c r="BL128" i="2"/>
  <c r="BL70" i="2"/>
  <c r="BL69" i="2"/>
  <c r="BL55" i="2"/>
  <c r="BL54" i="2"/>
  <c r="BL49" i="2"/>
  <c r="BL48" i="2"/>
  <c r="BL43" i="2"/>
  <c r="BL42" i="2"/>
  <c r="BL36" i="2"/>
  <c r="BL35" i="2"/>
  <c r="BL29" i="2"/>
  <c r="BL28" i="2"/>
  <c r="BL22" i="2"/>
  <c r="BL21" i="2"/>
  <c r="BL14" i="2"/>
  <c r="BL24" i="2" s="1"/>
  <c r="BL33" i="6" l="1"/>
  <c r="BL15" i="8"/>
  <c r="BL3" i="8"/>
  <c r="BL163" i="2"/>
  <c r="BL47" i="3"/>
  <c r="BL24" i="6"/>
  <c r="BL101" i="4"/>
  <c r="BL31" i="2"/>
  <c r="BL71" i="2"/>
  <c r="BL25" i="5"/>
  <c r="BL36" i="6"/>
  <c r="BL38" i="2"/>
  <c r="BL74" i="2"/>
  <c r="BL21" i="5"/>
  <c r="BL16" i="6"/>
  <c r="BL14" i="8"/>
  <c r="BL4" i="6"/>
  <c r="BL32" i="6" s="1"/>
  <c r="BL28" i="5"/>
  <c r="BL38" i="6"/>
  <c r="BL8" i="2"/>
  <c r="BL17" i="2" s="1"/>
  <c r="BL26" i="6" l="1"/>
  <c r="BL37" i="6"/>
  <c r="BL44" i="2"/>
  <c r="BL77" i="2"/>
  <c r="BL35" i="6"/>
  <c r="BL3" i="2"/>
  <c r="BL50" i="2" l="1"/>
  <c r="BL32" i="2"/>
  <c r="BL80" i="2"/>
  <c r="BL39" i="2"/>
  <c r="BL64" i="2"/>
  <c r="BL45" i="2"/>
  <c r="BL25" i="2"/>
  <c r="BL18" i="2"/>
  <c r="BL11" i="2"/>
  <c r="BL145" i="2" l="1"/>
  <c r="BL130" i="2"/>
  <c r="BL72" i="2"/>
  <c r="BL56" i="2"/>
  <c r="BL150" i="2"/>
  <c r="BL135" i="2"/>
  <c r="BL85" i="2"/>
  <c r="BL51" i="2"/>
  <c r="BL208" i="2"/>
  <c r="BL78" i="2"/>
  <c r="BU187" i="2"/>
  <c r="BY187" i="2" s="1"/>
  <c r="BT187" i="2"/>
  <c r="BX187" i="2" s="1"/>
  <c r="BS187" i="2"/>
  <c r="BW187" i="2" s="1"/>
  <c r="BR187" i="2"/>
  <c r="BV187" i="2" s="1"/>
  <c r="BL83" i="2" l="1"/>
  <c r="BL91" i="4"/>
  <c r="BL185" i="2"/>
  <c r="BL96" i="4"/>
  <c r="BL190" i="2"/>
  <c r="BL180" i="2"/>
  <c r="BL3" i="6"/>
  <c r="BL2" i="5"/>
  <c r="BL5" i="5" s="1"/>
  <c r="BL229" i="2"/>
  <c r="BL52" i="4"/>
  <c r="BL169" i="2"/>
  <c r="BL197" i="2"/>
  <c r="BL172" i="2"/>
  <c r="BK5" i="8"/>
  <c r="BL2" i="8" s="1"/>
  <c r="BL201" i="2" l="1"/>
  <c r="BL173" i="2"/>
  <c r="BL31" i="6"/>
  <c r="BL34" i="6"/>
  <c r="CD208" i="2"/>
  <c r="BP218" i="2"/>
  <c r="BO218" i="2"/>
  <c r="BN218" i="2"/>
  <c r="BM218" i="2"/>
  <c r="BQ218" i="2" s="1"/>
  <c r="BL226" i="2" l="1"/>
  <c r="BL57" i="4"/>
  <c r="BL61" i="4" s="1"/>
  <c r="BL250" i="2"/>
  <c r="BL202" i="2"/>
  <c r="CF208" i="2"/>
  <c r="CE208" i="2"/>
  <c r="CG208" i="2"/>
  <c r="BY192" i="2"/>
  <c r="CC192" i="2" s="1"/>
  <c r="CG192" i="2" s="1"/>
  <c r="BX192" i="2"/>
  <c r="CB192" i="2" s="1"/>
  <c r="CF192" i="2" s="1"/>
  <c r="BW192" i="2"/>
  <c r="CA192" i="2" s="1"/>
  <c r="CE192" i="2" s="1"/>
  <c r="BV192" i="2"/>
  <c r="BZ192" i="2" s="1"/>
  <c r="CD192" i="2" s="1"/>
  <c r="BL256" i="2" l="1"/>
  <c r="BL251" i="2"/>
  <c r="BL260" i="2"/>
  <c r="BL62" i="4"/>
  <c r="BK4" i="8"/>
  <c r="BK162" i="2"/>
  <c r="BK161" i="2"/>
  <c r="BK159" i="2"/>
  <c r="BK157" i="2"/>
  <c r="BK155" i="2"/>
  <c r="BL267" i="2" l="1"/>
  <c r="BL3" i="4"/>
  <c r="BL22" i="4" s="1"/>
  <c r="BL261" i="2"/>
  <c r="BL272" i="2"/>
  <c r="BK163" i="2"/>
  <c r="BK149" i="2"/>
  <c r="BK148" i="2"/>
  <c r="BK144" i="2"/>
  <c r="BK143" i="2"/>
  <c r="BK134" i="2"/>
  <c r="BK133" i="2"/>
  <c r="BK129" i="2"/>
  <c r="BK128" i="2"/>
  <c r="BJ144" i="2"/>
  <c r="BJ143" i="2"/>
  <c r="BJ149" i="2"/>
  <c r="BJ148" i="2"/>
  <c r="BJ134" i="2"/>
  <c r="BJ133" i="2"/>
  <c r="BJ129" i="2"/>
  <c r="BJ128" i="2"/>
  <c r="BK13" i="8"/>
  <c r="BK15" i="8" s="1"/>
  <c r="BK8" i="8"/>
  <c r="BK22" i="7"/>
  <c r="BK20" i="7" s="1"/>
  <c r="BK15" i="7"/>
  <c r="BL11" i="7" s="1"/>
  <c r="BK13" i="7"/>
  <c r="BK12" i="7"/>
  <c r="BK23" i="6"/>
  <c r="BK22" i="6"/>
  <c r="BK21" i="6"/>
  <c r="BK20" i="6"/>
  <c r="BK19" i="6"/>
  <c r="BK18" i="6"/>
  <c r="BK15" i="6"/>
  <c r="BK14" i="6"/>
  <c r="BK13" i="6"/>
  <c r="BK12" i="6"/>
  <c r="BK11" i="6"/>
  <c r="BK6" i="6"/>
  <c r="BK5" i="6"/>
  <c r="BK39" i="5"/>
  <c r="BL36" i="5" s="1"/>
  <c r="BK33" i="5"/>
  <c r="BK31" i="5"/>
  <c r="BL27" i="5" s="1"/>
  <c r="BK20" i="5"/>
  <c r="BK4" i="5"/>
  <c r="BK28" i="5" s="1"/>
  <c r="BK40" i="3"/>
  <c r="BK45" i="3" s="1"/>
  <c r="BK30" i="3"/>
  <c r="BK38" i="3" s="1"/>
  <c r="BK102" i="4"/>
  <c r="BK100" i="4"/>
  <c r="BK95" i="4"/>
  <c r="BK94" i="4"/>
  <c r="BK93" i="4"/>
  <c r="BK92" i="4"/>
  <c r="BK51" i="4"/>
  <c r="BK43" i="4"/>
  <c r="BK33" i="4"/>
  <c r="BK12" i="4"/>
  <c r="BK7" i="4"/>
  <c r="BK81" i="4" s="1"/>
  <c r="BK282" i="2"/>
  <c r="BK276" i="2" s="1"/>
  <c r="BK258" i="2"/>
  <c r="BK257" i="2"/>
  <c r="BK248" i="2"/>
  <c r="BK247" i="2"/>
  <c r="BK246" i="2"/>
  <c r="BK233" i="2"/>
  <c r="BK232" i="2"/>
  <c r="BK231" i="2"/>
  <c r="BK230" i="2"/>
  <c r="BK224" i="2"/>
  <c r="BK221" i="2"/>
  <c r="BK220" i="2"/>
  <c r="BK219" i="2"/>
  <c r="BK216" i="2"/>
  <c r="BK215" i="2"/>
  <c r="BK213" i="2"/>
  <c r="BK210" i="2"/>
  <c r="BK209" i="2"/>
  <c r="BK196" i="2"/>
  <c r="BL198" i="2" s="1"/>
  <c r="BK192" i="2"/>
  <c r="BK191" i="2"/>
  <c r="BK187" i="2"/>
  <c r="BK186" i="2"/>
  <c r="BK182" i="2"/>
  <c r="BK181" i="2"/>
  <c r="BK166" i="2"/>
  <c r="BK70" i="2"/>
  <c r="BK69" i="2"/>
  <c r="BK55" i="2"/>
  <c r="BK54" i="2"/>
  <c r="BK49" i="2"/>
  <c r="BK48" i="2"/>
  <c r="BK43" i="2"/>
  <c r="BK42" i="2"/>
  <c r="BK36" i="2"/>
  <c r="BK35" i="2"/>
  <c r="BK29" i="2"/>
  <c r="BK28" i="2"/>
  <c r="BK22" i="2"/>
  <c r="BK21" i="2"/>
  <c r="BK14" i="2"/>
  <c r="BJ5" i="8"/>
  <c r="BK2" i="8" s="1"/>
  <c r="BK3" i="8" s="1"/>
  <c r="BL167" i="2" l="1"/>
  <c r="BL22" i="5"/>
  <c r="BL30" i="5"/>
  <c r="BL17" i="7"/>
  <c r="BL25" i="7"/>
  <c r="BL26" i="7"/>
  <c r="BL16" i="7"/>
  <c r="BL14" i="7"/>
  <c r="BL47" i="4"/>
  <c r="BL76" i="4"/>
  <c r="BK31" i="2"/>
  <c r="BL15" i="2"/>
  <c r="BL278" i="2"/>
  <c r="BL268" i="2"/>
  <c r="BL34" i="5"/>
  <c r="BL38" i="5"/>
  <c r="BK25" i="5"/>
  <c r="BK47" i="3"/>
  <c r="BK16" i="6"/>
  <c r="BK101" i="4"/>
  <c r="BK8" i="2"/>
  <c r="BK74" i="2"/>
  <c r="BL75" i="2" s="1"/>
  <c r="BK24" i="6"/>
  <c r="BK24" i="2"/>
  <c r="BK39" i="6"/>
  <c r="BK40" i="6" s="1"/>
  <c r="BK33" i="6"/>
  <c r="BK38" i="6"/>
  <c r="BK38" i="2"/>
  <c r="BK7" i="6"/>
  <c r="BK36" i="6" s="1"/>
  <c r="BK71" i="2"/>
  <c r="BK4" i="6"/>
  <c r="BK14" i="8"/>
  <c r="BK21" i="5"/>
  <c r="BK29" i="5"/>
  <c r="BK37" i="5"/>
  <c r="BL9" i="2" l="1"/>
  <c r="BL83" i="4"/>
  <c r="BL84" i="4" s="1"/>
  <c r="BL77" i="4"/>
  <c r="BK3" i="2"/>
  <c r="BK80" i="2" s="1"/>
  <c r="BL81" i="2" s="1"/>
  <c r="BK44" i="2"/>
  <c r="BK77" i="2"/>
  <c r="BK17" i="2"/>
  <c r="BK26" i="6"/>
  <c r="BL27" i="6" s="1"/>
  <c r="BK37" i="6"/>
  <c r="BK35" i="6"/>
  <c r="BK32" i="6"/>
  <c r="BK32" i="2"/>
  <c r="BK45" i="2"/>
  <c r="BK25" i="2"/>
  <c r="BK11" i="2" l="1"/>
  <c r="BK64" i="2"/>
  <c r="BK72" i="2" s="1"/>
  <c r="BL4" i="2"/>
  <c r="BK39" i="2"/>
  <c r="BK50" i="2"/>
  <c r="BK18" i="2"/>
  <c r="BK150" i="2"/>
  <c r="BK135" i="2"/>
  <c r="BK85" i="2"/>
  <c r="BK130" i="2"/>
  <c r="BK51" i="2"/>
  <c r="BK208" i="2"/>
  <c r="BK78" i="2"/>
  <c r="BJ13" i="8"/>
  <c r="BJ15" i="8" s="1"/>
  <c r="BJ8" i="8"/>
  <c r="BJ4" i="8"/>
  <c r="BJ22" i="7"/>
  <c r="BJ20" i="7" s="1"/>
  <c r="BJ15" i="7"/>
  <c r="BK11" i="7" s="1"/>
  <c r="BJ13" i="7"/>
  <c r="BJ12" i="7"/>
  <c r="BJ23" i="6"/>
  <c r="BJ22" i="6"/>
  <c r="BJ21" i="6"/>
  <c r="BJ20" i="6"/>
  <c r="BJ19" i="6"/>
  <c r="BJ18" i="6"/>
  <c r="BJ15" i="6"/>
  <c r="BJ14" i="6"/>
  <c r="BJ13" i="6"/>
  <c r="BJ12" i="6"/>
  <c r="BJ11" i="6"/>
  <c r="BJ6" i="6"/>
  <c r="BJ5" i="6"/>
  <c r="BJ39" i="5"/>
  <c r="BK36" i="5" s="1"/>
  <c r="BJ33" i="5"/>
  <c r="BJ37" i="5" s="1"/>
  <c r="BJ31" i="5"/>
  <c r="BK27" i="5" s="1"/>
  <c r="BJ20" i="5"/>
  <c r="BJ4" i="5"/>
  <c r="BJ28" i="5" s="1"/>
  <c r="BJ61" i="3"/>
  <c r="BJ59" i="3"/>
  <c r="BJ60" i="3" s="1"/>
  <c r="BJ40" i="3"/>
  <c r="BJ45" i="3" s="1"/>
  <c r="BJ30" i="3"/>
  <c r="BJ38" i="3" s="1"/>
  <c r="BJ102" i="4"/>
  <c r="BJ100" i="4"/>
  <c r="BJ95" i="4"/>
  <c r="BJ94" i="4"/>
  <c r="BJ93" i="4"/>
  <c r="BJ92" i="4"/>
  <c r="BJ51" i="4"/>
  <c r="BJ56" i="3" s="1"/>
  <c r="BJ43" i="4"/>
  <c r="BJ33" i="4"/>
  <c r="BJ12" i="4"/>
  <c r="BJ7" i="4"/>
  <c r="BJ81" i="4" s="1"/>
  <c r="BJ282" i="2"/>
  <c r="BJ276" i="2" s="1"/>
  <c r="BJ258" i="2"/>
  <c r="BJ257" i="2"/>
  <c r="BJ248" i="2"/>
  <c r="BJ247" i="2"/>
  <c r="BJ246" i="2"/>
  <c r="BJ233" i="2"/>
  <c r="BJ232" i="2"/>
  <c r="BJ231" i="2"/>
  <c r="BJ230" i="2"/>
  <c r="BJ224" i="2"/>
  <c r="BJ221" i="2"/>
  <c r="BJ220" i="2"/>
  <c r="BJ219" i="2"/>
  <c r="BJ216" i="2"/>
  <c r="BJ215" i="2"/>
  <c r="BJ213" i="2"/>
  <c r="BJ210" i="2"/>
  <c r="BJ209" i="2"/>
  <c r="BJ196" i="2"/>
  <c r="BJ192" i="2"/>
  <c r="BJ191" i="2"/>
  <c r="BJ187" i="2"/>
  <c r="BJ186" i="2"/>
  <c r="BJ182" i="2"/>
  <c r="BJ181" i="2"/>
  <c r="BJ166" i="2"/>
  <c r="BJ162" i="2"/>
  <c r="BJ161" i="2"/>
  <c r="BJ159" i="2"/>
  <c r="BJ157" i="2"/>
  <c r="BJ155" i="2"/>
  <c r="BJ70" i="2"/>
  <c r="BJ69" i="2"/>
  <c r="BJ55" i="2"/>
  <c r="BJ54" i="2"/>
  <c r="BM52" i="2"/>
  <c r="BL52" i="2"/>
  <c r="BJ49" i="2"/>
  <c r="BJ48" i="2"/>
  <c r="BJ43" i="2"/>
  <c r="BJ42" i="2"/>
  <c r="BQ40" i="2"/>
  <c r="BP40" i="2"/>
  <c r="BO40" i="2"/>
  <c r="BN40" i="2"/>
  <c r="BJ36" i="2"/>
  <c r="BK40" i="2" s="1"/>
  <c r="BJ35" i="2"/>
  <c r="BQ33" i="2"/>
  <c r="BP33" i="2"/>
  <c r="BO33" i="2"/>
  <c r="BN33" i="2"/>
  <c r="BM33" i="2"/>
  <c r="BL33" i="2"/>
  <c r="BJ29" i="2"/>
  <c r="BJ28" i="2"/>
  <c r="BQ26" i="2"/>
  <c r="BP26" i="2"/>
  <c r="BO26" i="2"/>
  <c r="BN26" i="2"/>
  <c r="BM26" i="2"/>
  <c r="BL26" i="2"/>
  <c r="BJ22" i="2"/>
  <c r="BJ21" i="2"/>
  <c r="BJ14" i="2"/>
  <c r="BK56" i="2" l="1"/>
  <c r="BL65" i="2"/>
  <c r="BK145" i="2"/>
  <c r="BL86" i="2"/>
  <c r="BK26" i="2"/>
  <c r="BK33" i="2"/>
  <c r="BK22" i="5"/>
  <c r="BK30" i="5"/>
  <c r="BK34" i="5"/>
  <c r="BK38" i="5"/>
  <c r="BK17" i="7"/>
  <c r="BK26" i="7"/>
  <c r="BK25" i="7"/>
  <c r="BK14" i="7"/>
  <c r="BK16" i="7"/>
  <c r="BK52" i="2"/>
  <c r="BK167" i="2"/>
  <c r="BK83" i="2"/>
  <c r="BJ7" i="6"/>
  <c r="BJ36" i="6" s="1"/>
  <c r="BK198" i="2"/>
  <c r="BK91" i="4"/>
  <c r="BK3" i="6"/>
  <c r="BK96" i="4"/>
  <c r="BK190" i="2"/>
  <c r="BK180" i="2"/>
  <c r="BK229" i="2"/>
  <c r="BK185" i="2"/>
  <c r="BK172" i="2"/>
  <c r="BL175" i="2" s="1"/>
  <c r="BK2" i="5"/>
  <c r="BK5" i="5" s="1"/>
  <c r="BK169" i="2"/>
  <c r="BK52" i="4"/>
  <c r="BK197" i="2"/>
  <c r="BJ38" i="2"/>
  <c r="BK15" i="2"/>
  <c r="BJ33" i="6"/>
  <c r="BJ163" i="2"/>
  <c r="BJ39" i="6"/>
  <c r="BJ40" i="6" s="1"/>
  <c r="BJ4" i="6"/>
  <c r="BJ35" i="6" s="1"/>
  <c r="BJ38" i="6"/>
  <c r="BJ47" i="3"/>
  <c r="BJ24" i="6"/>
  <c r="BJ16" i="6"/>
  <c r="BJ55" i="3"/>
  <c r="BJ25" i="5"/>
  <c r="BJ101" i="4"/>
  <c r="BJ31" i="2"/>
  <c r="BJ74" i="2"/>
  <c r="BK75" i="2" s="1"/>
  <c r="BJ24" i="2"/>
  <c r="BJ71" i="2"/>
  <c r="BJ14" i="8"/>
  <c r="BJ29" i="5"/>
  <c r="BJ21" i="5"/>
  <c r="BJ8" i="2"/>
  <c r="BK9" i="2" l="1"/>
  <c r="BK173" i="2"/>
  <c r="BK201" i="2"/>
  <c r="BK31" i="6"/>
  <c r="BK34" i="6"/>
  <c r="BJ26" i="6"/>
  <c r="BK27" i="6" s="1"/>
  <c r="BJ37" i="6"/>
  <c r="BJ32" i="6"/>
  <c r="BJ44" i="2"/>
  <c r="BJ77" i="2"/>
  <c r="BJ17" i="2"/>
  <c r="BJ3" i="2"/>
  <c r="BL203" i="2" l="1"/>
  <c r="BK4" i="2"/>
  <c r="BK57" i="4"/>
  <c r="BK61" i="4" s="1"/>
  <c r="BK250" i="2"/>
  <c r="BL252" i="2" s="1"/>
  <c r="BK226" i="2"/>
  <c r="BK202" i="2"/>
  <c r="BJ39" i="2"/>
  <c r="BJ45" i="2"/>
  <c r="BJ25" i="2"/>
  <c r="BJ50" i="2"/>
  <c r="BJ80" i="2"/>
  <c r="BK81" i="2" s="1"/>
  <c r="BJ32" i="2"/>
  <c r="BJ64" i="2"/>
  <c r="BJ18" i="2"/>
  <c r="BJ11" i="2"/>
  <c r="BL63" i="4" l="1"/>
  <c r="BJ145" i="2"/>
  <c r="BJ135" i="2"/>
  <c r="BJ150" i="2"/>
  <c r="BJ130" i="2"/>
  <c r="BK65" i="2"/>
  <c r="BK251" i="2"/>
  <c r="BK260" i="2"/>
  <c r="BL262" i="2" s="1"/>
  <c r="BK256" i="2"/>
  <c r="BK62" i="4"/>
  <c r="BJ208" i="2"/>
  <c r="BJ78" i="2"/>
  <c r="BJ72" i="2"/>
  <c r="BJ51" i="2"/>
  <c r="BJ85" i="2"/>
  <c r="BJ56" i="2"/>
  <c r="J9" i="1"/>
  <c r="I9" i="1"/>
  <c r="H9" i="1"/>
  <c r="G9" i="1"/>
  <c r="F9" i="1"/>
  <c r="E9" i="1"/>
  <c r="D9" i="1"/>
  <c r="C9" i="1"/>
  <c r="B9" i="1"/>
  <c r="BK86" i="2" l="1"/>
  <c r="BK272" i="2"/>
  <c r="BL273" i="2" s="1"/>
  <c r="BK267" i="2"/>
  <c r="BL269" i="2" s="1"/>
  <c r="BK3" i="4"/>
  <c r="BK22" i="4" s="1"/>
  <c r="BK261" i="2"/>
  <c r="BJ58" i="3"/>
  <c r="BJ2" i="5"/>
  <c r="BJ5" i="5" s="1"/>
  <c r="BJ172" i="2"/>
  <c r="BK175" i="2" s="1"/>
  <c r="BJ57" i="3"/>
  <c r="BJ52" i="4"/>
  <c r="BJ3" i="6"/>
  <c r="BJ96" i="4"/>
  <c r="BJ190" i="2"/>
  <c r="BJ180" i="2"/>
  <c r="BJ91" i="4"/>
  <c r="BJ229" i="2"/>
  <c r="BJ185" i="2"/>
  <c r="BJ197" i="2"/>
  <c r="BJ169" i="2"/>
  <c r="BJ83" i="2"/>
  <c r="BK278" i="2" l="1"/>
  <c r="BK268" i="2"/>
  <c r="BK76" i="4"/>
  <c r="BL78" i="4" s="1"/>
  <c r="BK47" i="4"/>
  <c r="BJ34" i="6"/>
  <c r="BJ31" i="6"/>
  <c r="BJ201" i="2"/>
  <c r="BJ173" i="2"/>
  <c r="BL279" i="2" l="1"/>
  <c r="BK203" i="2"/>
  <c r="BK77" i="4"/>
  <c r="BK83" i="4"/>
  <c r="BJ226" i="2"/>
  <c r="BJ57" i="4"/>
  <c r="BJ61" i="4" s="1"/>
  <c r="BJ250" i="2"/>
  <c r="BK252" i="2" s="1"/>
  <c r="BJ202" i="2"/>
  <c r="BI5" i="8"/>
  <c r="BJ2" i="8" s="1"/>
  <c r="BJ3" i="8" s="1"/>
  <c r="BK84" i="4" l="1"/>
  <c r="BL85" i="4"/>
  <c r="BK63" i="4"/>
  <c r="BJ260" i="2"/>
  <c r="BK262" i="2" s="1"/>
  <c r="BJ256" i="2"/>
  <c r="BJ251" i="2"/>
  <c r="BJ62" i="4"/>
  <c r="BM189" i="2"/>
  <c r="BM184" i="2"/>
  <c r="BM179" i="2"/>
  <c r="BJ3" i="4" l="1"/>
  <c r="BJ22" i="4" s="1"/>
  <c r="BJ267" i="2"/>
  <c r="BK269" i="2" s="1"/>
  <c r="BJ272" i="2"/>
  <c r="BK273" i="2" s="1"/>
  <c r="BJ261" i="2"/>
  <c r="BN189" i="2"/>
  <c r="BQ189" i="2"/>
  <c r="BU189" i="2" s="1"/>
  <c r="BY189" i="2" s="1"/>
  <c r="CC189" i="2" s="1"/>
  <c r="CG189" i="2" s="1"/>
  <c r="BO189" i="2"/>
  <c r="BQ184" i="2"/>
  <c r="BU184" i="2" s="1"/>
  <c r="BY184" i="2" s="1"/>
  <c r="CC184" i="2" s="1"/>
  <c r="CG184" i="2" s="1"/>
  <c r="BP184" i="2"/>
  <c r="BT184" i="2" s="1"/>
  <c r="BO184" i="2"/>
  <c r="BS184" i="2" s="1"/>
  <c r="BW184" i="2" s="1"/>
  <c r="CA184" i="2" s="1"/>
  <c r="CE184" i="2" s="1"/>
  <c r="BN184" i="2"/>
  <c r="BR184" i="2" s="1"/>
  <c r="BV184" i="2" s="1"/>
  <c r="BZ184" i="2" s="1"/>
  <c r="CD184" i="2" s="1"/>
  <c r="BQ179" i="2"/>
  <c r="BU179" i="2" s="1"/>
  <c r="BP179" i="2"/>
  <c r="BT179" i="2" s="1"/>
  <c r="BO179" i="2"/>
  <c r="BS179" i="2" s="1"/>
  <c r="BW179" i="2" s="1"/>
  <c r="CA179" i="2" s="1"/>
  <c r="CE179" i="2" s="1"/>
  <c r="BN179" i="2"/>
  <c r="BR179" i="2" s="1"/>
  <c r="BP189" i="2"/>
  <c r="BS189" i="2" l="1"/>
  <c r="BW189" i="2" s="1"/>
  <c r="CA189" i="2" s="1"/>
  <c r="CE189" i="2" s="1"/>
  <c r="BR189" i="2"/>
  <c r="BV189" i="2" s="1"/>
  <c r="BZ189" i="2" s="1"/>
  <c r="CD189" i="2" s="1"/>
  <c r="BJ268" i="2"/>
  <c r="BJ278" i="2"/>
  <c r="BJ76" i="4"/>
  <c r="BK78" i="4" s="1"/>
  <c r="BJ47" i="4"/>
  <c r="BT189" i="2"/>
  <c r="BX184" i="2"/>
  <c r="BY179" i="2"/>
  <c r="BX179" i="2"/>
  <c r="BV179" i="2"/>
  <c r="BK279" i="2" l="1"/>
  <c r="BJ83" i="4"/>
  <c r="BK85" i="4" s="1"/>
  <c r="BJ77" i="4"/>
  <c r="BX189" i="2"/>
  <c r="CB184" i="2"/>
  <c r="CC179" i="2"/>
  <c r="CB179" i="2"/>
  <c r="BZ179" i="2"/>
  <c r="BJ84" i="4" l="1"/>
  <c r="CB189" i="2"/>
  <c r="CF184" i="2"/>
  <c r="CG179" i="2"/>
  <c r="CF179" i="2"/>
  <c r="CD179" i="2"/>
  <c r="CF189" i="2" l="1"/>
  <c r="CW127" i="2" l="1"/>
  <c r="BP52" i="2" l="1"/>
  <c r="BQ52" i="2"/>
  <c r="BN52" i="2"/>
  <c r="BO52" i="2"/>
  <c r="CW147" i="2" l="1"/>
  <c r="CW142" i="2"/>
  <c r="CW132" i="2"/>
  <c r="CV147" i="2"/>
  <c r="CV142" i="2"/>
  <c r="CV132" i="2"/>
  <c r="CV127" i="2"/>
  <c r="CW129" i="2" s="1"/>
  <c r="BI13" i="8"/>
  <c r="BI15" i="8" s="1"/>
  <c r="BI8" i="8"/>
  <c r="BI4" i="8"/>
  <c r="BI22" i="7"/>
  <c r="BI20" i="7" s="1"/>
  <c r="BI15" i="7"/>
  <c r="BJ11" i="7" s="1"/>
  <c r="BI13" i="7"/>
  <c r="BI12" i="7"/>
  <c r="BI23" i="6"/>
  <c r="BI22" i="6"/>
  <c r="BI21" i="6"/>
  <c r="BI20" i="6"/>
  <c r="BI19" i="6"/>
  <c r="BI18" i="6"/>
  <c r="BI15" i="6"/>
  <c r="BI14" i="6"/>
  <c r="BI13" i="6"/>
  <c r="BI12" i="6"/>
  <c r="BI11" i="6"/>
  <c r="BI6" i="6"/>
  <c r="BI5" i="6"/>
  <c r="BI39" i="5"/>
  <c r="BJ36" i="5" s="1"/>
  <c r="BI33" i="5"/>
  <c r="BI37" i="5" s="1"/>
  <c r="BI31" i="5"/>
  <c r="BJ27" i="5" s="1"/>
  <c r="BI20" i="5"/>
  <c r="BI4" i="5"/>
  <c r="BM4" i="5" s="1"/>
  <c r="BI61" i="3"/>
  <c r="BI59" i="3"/>
  <c r="BI60" i="3" s="1"/>
  <c r="BI40" i="3"/>
  <c r="BI45" i="3" s="1"/>
  <c r="BI30" i="3"/>
  <c r="BI38" i="3" s="1"/>
  <c r="BI102" i="4"/>
  <c r="BI100" i="4"/>
  <c r="BI95" i="4"/>
  <c r="BI94" i="4"/>
  <c r="BI93" i="4"/>
  <c r="BI92" i="4"/>
  <c r="BI51" i="4"/>
  <c r="BI56" i="3" s="1"/>
  <c r="BI43" i="4"/>
  <c r="BI33" i="4"/>
  <c r="BI12" i="4"/>
  <c r="BI7" i="4"/>
  <c r="BI81" i="4" s="1"/>
  <c r="BI282" i="2"/>
  <c r="BI276" i="2" s="1"/>
  <c r="BI258" i="2"/>
  <c r="BI257" i="2"/>
  <c r="BI248" i="2"/>
  <c r="BI247" i="2"/>
  <c r="BI246" i="2"/>
  <c r="BI231" i="2"/>
  <c r="BI230" i="2"/>
  <c r="BI224" i="2"/>
  <c r="BI221" i="2"/>
  <c r="BI220" i="2"/>
  <c r="BI219" i="2"/>
  <c r="BI216" i="2"/>
  <c r="BI215" i="2"/>
  <c r="BI213" i="2"/>
  <c r="BI210" i="2"/>
  <c r="BI209" i="2"/>
  <c r="BI196" i="2"/>
  <c r="BI192" i="2"/>
  <c r="BI191" i="2"/>
  <c r="BI187" i="2"/>
  <c r="BI186" i="2"/>
  <c r="BI182" i="2"/>
  <c r="BI181" i="2"/>
  <c r="BI166" i="2"/>
  <c r="BI162" i="2"/>
  <c r="BI161" i="2"/>
  <c r="BI159" i="2"/>
  <c r="BI157" i="2"/>
  <c r="BI155" i="2"/>
  <c r="BI149" i="2"/>
  <c r="BI148" i="2"/>
  <c r="BI144" i="2"/>
  <c r="BI143" i="2"/>
  <c r="BI134" i="2"/>
  <c r="BI133" i="2"/>
  <c r="BI129" i="2"/>
  <c r="BI128" i="2"/>
  <c r="BI70" i="2"/>
  <c r="BI69" i="2"/>
  <c r="BI55" i="2"/>
  <c r="BI54" i="2"/>
  <c r="BI49" i="2"/>
  <c r="BI48" i="2"/>
  <c r="BI43" i="2"/>
  <c r="BI42" i="2"/>
  <c r="BI36" i="2"/>
  <c r="BJ40" i="2" s="1"/>
  <c r="BI35" i="2"/>
  <c r="BI29" i="2"/>
  <c r="BI28" i="2"/>
  <c r="BI22" i="2"/>
  <c r="BI21" i="2"/>
  <c r="BI14" i="2"/>
  <c r="BQ4" i="5" l="1"/>
  <c r="BU4" i="5" s="1"/>
  <c r="BY4" i="5" s="1"/>
  <c r="CC4" i="5" s="1"/>
  <c r="CG4" i="5" s="1"/>
  <c r="BJ26" i="2"/>
  <c r="BJ17" i="7"/>
  <c r="BJ26" i="7"/>
  <c r="BJ25" i="7"/>
  <c r="BJ16" i="7"/>
  <c r="BJ14" i="7"/>
  <c r="BJ34" i="5"/>
  <c r="BJ38" i="5"/>
  <c r="BJ22" i="5"/>
  <c r="BJ30" i="5"/>
  <c r="BJ167" i="2"/>
  <c r="BI7" i="6"/>
  <c r="BI36" i="6" s="1"/>
  <c r="BJ198" i="2"/>
  <c r="BJ52" i="2"/>
  <c r="BJ33" i="2"/>
  <c r="BI71" i="2"/>
  <c r="BJ15" i="2"/>
  <c r="BI163" i="2"/>
  <c r="CW144" i="2"/>
  <c r="BI24" i="6"/>
  <c r="BI24" i="2"/>
  <c r="BI74" i="2"/>
  <c r="BJ75" i="2" s="1"/>
  <c r="BI33" i="6"/>
  <c r="BI38" i="2"/>
  <c r="BI101" i="4"/>
  <c r="BI47" i="3"/>
  <c r="BI28" i="5"/>
  <c r="BI31" i="2"/>
  <c r="BI25" i="5"/>
  <c r="BI39" i="6"/>
  <c r="BI40" i="6" s="1"/>
  <c r="CW134" i="2"/>
  <c r="CW149" i="2"/>
  <c r="BI55" i="3"/>
  <c r="BI4" i="6"/>
  <c r="BI32" i="6" s="1"/>
  <c r="BI38" i="6"/>
  <c r="BI14" i="8"/>
  <c r="BI16" i="6"/>
  <c r="BI29" i="5"/>
  <c r="BI21" i="5"/>
  <c r="BI8" i="2"/>
  <c r="BI26" i="6" l="1"/>
  <c r="BJ27" i="6" s="1"/>
  <c r="BJ9" i="2"/>
  <c r="BI35" i="6"/>
  <c r="BM35" i="6" s="1"/>
  <c r="BQ35" i="6" s="1"/>
  <c r="BU35" i="6" s="1"/>
  <c r="BY35" i="6" s="1"/>
  <c r="CC35" i="6" s="1"/>
  <c r="CG35" i="6" s="1"/>
  <c r="BI44" i="2"/>
  <c r="BI37" i="6"/>
  <c r="BI17" i="2"/>
  <c r="BI77" i="2"/>
  <c r="BI3" i="2"/>
  <c r="BJ4" i="2" l="1"/>
  <c r="BI32" i="2"/>
  <c r="BI50" i="2"/>
  <c r="BI25" i="2"/>
  <c r="BI80" i="2"/>
  <c r="BJ81" i="2" s="1"/>
  <c r="BI64" i="2"/>
  <c r="BI45" i="2"/>
  <c r="BI39" i="2"/>
  <c r="BI18" i="2"/>
  <c r="BI11" i="2"/>
  <c r="BJ65" i="2" l="1"/>
  <c r="BI150" i="2"/>
  <c r="BI135" i="2"/>
  <c r="BI85" i="2"/>
  <c r="BI72" i="2"/>
  <c r="BI145" i="2"/>
  <c r="BI130" i="2"/>
  <c r="BI56" i="2"/>
  <c r="BI51" i="2"/>
  <c r="BI208" i="2"/>
  <c r="BI78" i="2"/>
  <c r="W3" i="15"/>
  <c r="V3" i="15"/>
  <c r="U3" i="15"/>
  <c r="T3" i="15"/>
  <c r="S3" i="15"/>
  <c r="W3" i="16"/>
  <c r="V3" i="16"/>
  <c r="U3" i="16"/>
  <c r="T3" i="16"/>
  <c r="S3" i="16"/>
  <c r="Q50" i="15"/>
  <c r="P50" i="15"/>
  <c r="O50" i="15"/>
  <c r="N50" i="15"/>
  <c r="M50" i="15"/>
  <c r="L50" i="15"/>
  <c r="K50" i="15"/>
  <c r="J50" i="15"/>
  <c r="I50" i="15"/>
  <c r="I33" i="15"/>
  <c r="I15" i="15"/>
  <c r="H15" i="15"/>
  <c r="G15" i="15"/>
  <c r="F15" i="15"/>
  <c r="E15" i="15"/>
  <c r="D15" i="15"/>
  <c r="C15" i="15"/>
  <c r="H14" i="15"/>
  <c r="G14" i="15"/>
  <c r="F14" i="15"/>
  <c r="E14" i="15"/>
  <c r="D14" i="15"/>
  <c r="C14" i="15"/>
  <c r="H13" i="15"/>
  <c r="G13" i="15"/>
  <c r="F13" i="15"/>
  <c r="E13" i="15"/>
  <c r="D13" i="15"/>
  <c r="C13" i="15"/>
  <c r="H11" i="15"/>
  <c r="G11" i="15"/>
  <c r="F11" i="15"/>
  <c r="E11" i="15"/>
  <c r="D11" i="15"/>
  <c r="C11" i="15"/>
  <c r="H10" i="15"/>
  <c r="G10" i="15"/>
  <c r="F10" i="15"/>
  <c r="E10" i="15"/>
  <c r="D10" i="15"/>
  <c r="C10" i="15"/>
  <c r="H9" i="15"/>
  <c r="G9" i="15"/>
  <c r="F9" i="15"/>
  <c r="E9" i="15"/>
  <c r="D9" i="15"/>
  <c r="C9" i="15"/>
  <c r="H8" i="15"/>
  <c r="G8" i="15"/>
  <c r="F8" i="15"/>
  <c r="E8" i="15"/>
  <c r="D8" i="15"/>
  <c r="C8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15" i="15"/>
  <c r="B14" i="15"/>
  <c r="B13" i="15"/>
  <c r="B11" i="15"/>
  <c r="B10" i="15"/>
  <c r="B9" i="15"/>
  <c r="B8" i="15"/>
  <c r="B3" i="15"/>
  <c r="Q29" i="16"/>
  <c r="P29" i="16"/>
  <c r="O29" i="16"/>
  <c r="N29" i="16"/>
  <c r="M29" i="16"/>
  <c r="L29" i="16"/>
  <c r="K29" i="16"/>
  <c r="J29" i="16"/>
  <c r="I29" i="16"/>
  <c r="M28" i="16"/>
  <c r="L28" i="16"/>
  <c r="K28" i="16"/>
  <c r="J28" i="16"/>
  <c r="I28" i="16"/>
  <c r="Q27" i="16"/>
  <c r="P27" i="16"/>
  <c r="O27" i="16"/>
  <c r="N27" i="16"/>
  <c r="M27" i="16"/>
  <c r="L27" i="16"/>
  <c r="K27" i="16"/>
  <c r="J27" i="16"/>
  <c r="I27" i="16"/>
  <c r="M26" i="16"/>
  <c r="L26" i="16"/>
  <c r="K26" i="16"/>
  <c r="J26" i="16"/>
  <c r="I26" i="16"/>
  <c r="Q25" i="16"/>
  <c r="P25" i="16"/>
  <c r="O25" i="16"/>
  <c r="N25" i="16"/>
  <c r="M25" i="16"/>
  <c r="L25" i="16"/>
  <c r="K25" i="16"/>
  <c r="J25" i="16"/>
  <c r="I25" i="16"/>
  <c r="L24" i="16"/>
  <c r="K24" i="16"/>
  <c r="J24" i="16"/>
  <c r="I24" i="16"/>
  <c r="H15" i="16"/>
  <c r="G15" i="16"/>
  <c r="F15" i="16"/>
  <c r="E15" i="16"/>
  <c r="D15" i="16"/>
  <c r="C15" i="16"/>
  <c r="H14" i="16"/>
  <c r="G14" i="16"/>
  <c r="F14" i="16"/>
  <c r="E14" i="16"/>
  <c r="D14" i="16"/>
  <c r="C14" i="16"/>
  <c r="H13" i="16"/>
  <c r="G13" i="16"/>
  <c r="F13" i="16"/>
  <c r="E13" i="16"/>
  <c r="D13" i="16"/>
  <c r="C13" i="16"/>
  <c r="H12" i="16"/>
  <c r="G12" i="16"/>
  <c r="F12" i="16"/>
  <c r="E12" i="16"/>
  <c r="D12" i="16"/>
  <c r="C12" i="16"/>
  <c r="H11" i="16"/>
  <c r="G11" i="16"/>
  <c r="F11" i="16"/>
  <c r="E11" i="16"/>
  <c r="D11" i="16"/>
  <c r="C11" i="16"/>
  <c r="H10" i="16"/>
  <c r="G10" i="16"/>
  <c r="F10" i="16"/>
  <c r="E10" i="16"/>
  <c r="D10" i="16"/>
  <c r="C10" i="16"/>
  <c r="H9" i="16"/>
  <c r="G9" i="16"/>
  <c r="F9" i="16"/>
  <c r="E9" i="16"/>
  <c r="D9" i="16"/>
  <c r="C9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15" i="16"/>
  <c r="B14" i="16"/>
  <c r="B13" i="16"/>
  <c r="B12" i="16"/>
  <c r="B11" i="16"/>
  <c r="B10" i="16"/>
  <c r="B9" i="16"/>
  <c r="B3" i="16"/>
  <c r="BJ86" i="2" l="1"/>
  <c r="I32" i="15"/>
  <c r="BI2" i="5"/>
  <c r="BI5" i="5" s="1"/>
  <c r="I37" i="15" s="1"/>
  <c r="BI3" i="6"/>
  <c r="BI229" i="2"/>
  <c r="BI185" i="2"/>
  <c r="I28" i="15" s="1"/>
  <c r="BI58" i="3"/>
  <c r="BI57" i="3"/>
  <c r="BI91" i="4"/>
  <c r="BI190" i="2"/>
  <c r="I29" i="15" s="1"/>
  <c r="BI180" i="2"/>
  <c r="BI96" i="4"/>
  <c r="BI172" i="2"/>
  <c r="BJ175" i="2" s="1"/>
  <c r="BI197" i="2"/>
  <c r="BI169" i="2"/>
  <c r="BI52" i="4"/>
  <c r="BI83" i="2"/>
  <c r="I27" i="15" l="1"/>
  <c r="BI201" i="2"/>
  <c r="BI173" i="2"/>
  <c r="BI31" i="6"/>
  <c r="BI34" i="6"/>
  <c r="BJ203" i="2" l="1"/>
  <c r="BI250" i="2"/>
  <c r="BJ252" i="2" s="1"/>
  <c r="BI226" i="2"/>
  <c r="BI57" i="4"/>
  <c r="BI61" i="4" s="1"/>
  <c r="BI202" i="2"/>
  <c r="BJ63" i="4" l="1"/>
  <c r="BI260" i="2"/>
  <c r="BJ262" i="2" s="1"/>
  <c r="BI256" i="2"/>
  <c r="BI251" i="2"/>
  <c r="BI62" i="4"/>
  <c r="I11" i="15"/>
  <c r="BH5" i="8"/>
  <c r="BI2" i="8" s="1"/>
  <c r="BI3" i="8" s="1"/>
  <c r="DC20" i="7"/>
  <c r="DC14" i="7"/>
  <c r="DC30" i="5"/>
  <c r="DC101" i="4"/>
  <c r="DC45" i="4"/>
  <c r="DC41" i="4"/>
  <c r="DC37" i="4"/>
  <c r="DC36" i="4"/>
  <c r="DC31" i="4"/>
  <c r="DC30" i="4"/>
  <c r="DC10" i="4"/>
  <c r="DC9" i="4"/>
  <c r="DC265" i="2"/>
  <c r="DC194" i="2"/>
  <c r="DC59" i="2"/>
  <c r="DC1" i="8"/>
  <c r="CG1" i="8"/>
  <c r="CF1" i="8"/>
  <c r="CE1" i="8"/>
  <c r="CD1" i="8"/>
  <c r="DC1" i="7"/>
  <c r="CG25" i="7"/>
  <c r="CF25" i="7"/>
  <c r="CE25" i="7"/>
  <c r="CD25" i="7"/>
  <c r="CG1" i="7"/>
  <c r="CF1" i="7"/>
  <c r="CE1" i="7"/>
  <c r="CD1" i="7"/>
  <c r="DC1" i="6"/>
  <c r="CG1" i="6"/>
  <c r="CF1" i="6"/>
  <c r="CE1" i="6"/>
  <c r="CD1" i="6"/>
  <c r="DC1" i="5"/>
  <c r="CG1" i="5"/>
  <c r="CF1" i="5"/>
  <c r="CE1" i="5"/>
  <c r="CD1" i="5"/>
  <c r="DC1" i="3"/>
  <c r="CG1" i="3"/>
  <c r="CF1" i="3"/>
  <c r="CE1" i="3"/>
  <c r="CD1" i="3"/>
  <c r="DC1" i="4"/>
  <c r="CG1" i="4"/>
  <c r="CF1" i="4"/>
  <c r="CE1" i="4"/>
  <c r="CD1" i="4"/>
  <c r="CG30" i="2"/>
  <c r="CF30" i="2"/>
  <c r="CE30" i="2"/>
  <c r="CD30" i="2"/>
  <c r="BN228" i="2" l="1"/>
  <c r="J11" i="15"/>
  <c r="BO228" i="2"/>
  <c r="K11" i="15"/>
  <c r="BI267" i="2"/>
  <c r="BJ269" i="2" s="1"/>
  <c r="BI3" i="4"/>
  <c r="BI22" i="4" s="1"/>
  <c r="BI272" i="2"/>
  <c r="BJ273" i="2" s="1"/>
  <c r="BI261" i="2"/>
  <c r="BP228" i="2"/>
  <c r="L11" i="15"/>
  <c r="BM228" i="2"/>
  <c r="BT228" i="2" l="1"/>
  <c r="BX228" i="2" s="1"/>
  <c r="CB228" i="2" s="1"/>
  <c r="CF228" i="2" s="1"/>
  <c r="P11" i="15"/>
  <c r="BI76" i="4"/>
  <c r="BJ78" i="4" s="1"/>
  <c r="BI47" i="4"/>
  <c r="BS228" i="2"/>
  <c r="BW228" i="2" s="1"/>
  <c r="CA228" i="2" s="1"/>
  <c r="CE228" i="2" s="1"/>
  <c r="O11" i="15"/>
  <c r="BI278" i="2"/>
  <c r="BI268" i="2"/>
  <c r="BR228" i="2"/>
  <c r="BV228" i="2" s="1"/>
  <c r="BZ228" i="2" s="1"/>
  <c r="CD228" i="2" s="1"/>
  <c r="N11" i="15"/>
  <c r="BQ228" i="2"/>
  <c r="M11" i="15"/>
  <c r="BJ279" i="2" l="1"/>
  <c r="BI83" i="4"/>
  <c r="BI77" i="4"/>
  <c r="BU228" i="2"/>
  <c r="BY228" i="2" s="1"/>
  <c r="CC228" i="2" s="1"/>
  <c r="CG228" i="2" s="1"/>
  <c r="Q11" i="15"/>
  <c r="BQ7" i="7"/>
  <c r="BU7" i="7" s="1"/>
  <c r="BY7" i="7" s="1"/>
  <c r="CC7" i="7" s="1"/>
  <c r="CG7" i="7" s="1"/>
  <c r="BI84" i="4" l="1"/>
  <c r="BJ85" i="4"/>
  <c r="M33" i="15"/>
  <c r="BU213" i="2" l="1"/>
  <c r="BY213" i="2" s="1"/>
  <c r="CC213" i="2" s="1"/>
  <c r="CG213" i="2" s="1"/>
  <c r="Q33" i="15"/>
  <c r="BH13" i="8"/>
  <c r="BH15" i="8" s="1"/>
  <c r="BH8" i="8"/>
  <c r="BH4" i="8"/>
  <c r="BH22" i="7"/>
  <c r="BH20" i="7" s="1"/>
  <c r="BH15" i="7"/>
  <c r="BI11" i="7" s="1"/>
  <c r="BH13" i="7"/>
  <c r="BH12" i="7"/>
  <c r="BH23" i="6"/>
  <c r="BH22" i="6"/>
  <c r="BH21" i="6"/>
  <c r="BH20" i="6"/>
  <c r="BH19" i="6"/>
  <c r="BH18" i="6"/>
  <c r="BH15" i="6"/>
  <c r="BH14" i="6"/>
  <c r="BH13" i="6"/>
  <c r="BH12" i="6"/>
  <c r="BH11" i="6"/>
  <c r="BH6" i="6"/>
  <c r="BH5" i="6"/>
  <c r="BH39" i="5"/>
  <c r="BI36" i="5" s="1"/>
  <c r="BH33" i="5"/>
  <c r="BH31" i="5"/>
  <c r="BI27" i="5" s="1"/>
  <c r="BH20" i="5"/>
  <c r="BH4" i="5"/>
  <c r="BH61" i="3"/>
  <c r="BH59" i="3"/>
  <c r="BH60" i="3" s="1"/>
  <c r="BH40" i="3"/>
  <c r="BH45" i="3" s="1"/>
  <c r="BH30" i="3"/>
  <c r="BH38" i="3" s="1"/>
  <c r="BH102" i="4"/>
  <c r="BH100" i="4"/>
  <c r="BH95" i="4"/>
  <c r="BH94" i="4"/>
  <c r="BH93" i="4"/>
  <c r="BH92" i="4"/>
  <c r="BH51" i="4"/>
  <c r="BH56" i="3" s="1"/>
  <c r="BH43" i="4"/>
  <c r="BH33" i="4"/>
  <c r="BH12" i="4"/>
  <c r="BH7" i="4"/>
  <c r="BH81" i="4" s="1"/>
  <c r="BH282" i="2"/>
  <c r="BH276" i="2" s="1"/>
  <c r="BH258" i="2"/>
  <c r="BH257" i="2"/>
  <c r="BH248" i="2"/>
  <c r="BH247" i="2"/>
  <c r="BH246" i="2"/>
  <c r="BH231" i="2"/>
  <c r="H50" i="15" s="1"/>
  <c r="BH230" i="2"/>
  <c r="BH224" i="2"/>
  <c r="BH221" i="2"/>
  <c r="H54" i="15" s="1"/>
  <c r="BH220" i="2"/>
  <c r="BH219" i="2"/>
  <c r="H34" i="15" s="1"/>
  <c r="BH216" i="2"/>
  <c r="H53" i="15" s="1"/>
  <c r="BH215" i="2"/>
  <c r="BH213" i="2"/>
  <c r="BH210" i="2"/>
  <c r="H52" i="15" s="1"/>
  <c r="BH209" i="2"/>
  <c r="BH196" i="2"/>
  <c r="BL199" i="2" s="1"/>
  <c r="BH192" i="2"/>
  <c r="H49" i="15" s="1"/>
  <c r="BH191" i="2"/>
  <c r="BH187" i="2"/>
  <c r="H48" i="15" s="1"/>
  <c r="BH186" i="2"/>
  <c r="BH182" i="2"/>
  <c r="H47" i="15" s="1"/>
  <c r="BH181" i="2"/>
  <c r="BH166" i="2"/>
  <c r="BH162" i="2"/>
  <c r="BH161" i="2"/>
  <c r="BH159" i="2"/>
  <c r="BH157" i="2"/>
  <c r="BH155" i="2"/>
  <c r="BH149" i="2"/>
  <c r="BH148" i="2"/>
  <c r="BH144" i="2"/>
  <c r="BH143" i="2"/>
  <c r="BH134" i="2"/>
  <c r="BH133" i="2"/>
  <c r="BH129" i="2"/>
  <c r="BH128" i="2"/>
  <c r="BH70" i="2"/>
  <c r="H30" i="16" s="1"/>
  <c r="BH69" i="2"/>
  <c r="H45" i="16" s="1"/>
  <c r="BH55" i="2"/>
  <c r="H29" i="16" s="1"/>
  <c r="BH54" i="2"/>
  <c r="H44" i="16" s="1"/>
  <c r="BH49" i="2"/>
  <c r="BH48" i="2"/>
  <c r="H43" i="16" s="1"/>
  <c r="BH43" i="2"/>
  <c r="BH42" i="2"/>
  <c r="H42" i="16" s="1"/>
  <c r="BH36" i="2"/>
  <c r="BH35" i="2"/>
  <c r="H41" i="16" s="1"/>
  <c r="BH29" i="2"/>
  <c r="BH28" i="2"/>
  <c r="BH22" i="2"/>
  <c r="BH21" i="2"/>
  <c r="BH14" i="2"/>
  <c r="BL16" i="2" s="1"/>
  <c r="BL168" i="2" l="1"/>
  <c r="BL6" i="5"/>
  <c r="H39" i="16"/>
  <c r="H40" i="16"/>
  <c r="BP4" i="5"/>
  <c r="BT4" i="5" s="1"/>
  <c r="BX4" i="5" s="1"/>
  <c r="CB4" i="5" s="1"/>
  <c r="CF4" i="5" s="1"/>
  <c r="BH74" i="2"/>
  <c r="BI15" i="2"/>
  <c r="H8" i="16"/>
  <c r="BI40" i="2"/>
  <c r="H26" i="16"/>
  <c r="BI38" i="5"/>
  <c r="BI34" i="5"/>
  <c r="BH7" i="6"/>
  <c r="BH36" i="6" s="1"/>
  <c r="BI198" i="2"/>
  <c r="H7" i="15"/>
  <c r="BI26" i="2"/>
  <c r="H24" i="16"/>
  <c r="H27" i="16"/>
  <c r="H33" i="15"/>
  <c r="H19" i="15"/>
  <c r="BI33" i="2"/>
  <c r="H25" i="16"/>
  <c r="BI52" i="2"/>
  <c r="H28" i="16"/>
  <c r="BI167" i="2"/>
  <c r="BI22" i="5"/>
  <c r="BI30" i="5"/>
  <c r="BI17" i="7"/>
  <c r="BI16" i="7"/>
  <c r="BI25" i="7"/>
  <c r="BI14" i="7"/>
  <c r="BI26" i="7"/>
  <c r="BH4" i="6"/>
  <c r="BH32" i="6" s="1"/>
  <c r="BH163" i="2"/>
  <c r="BH55" i="3"/>
  <c r="BH25" i="5"/>
  <c r="BH33" i="6"/>
  <c r="BH38" i="6"/>
  <c r="BH37" i="5"/>
  <c r="BH24" i="6"/>
  <c r="BH47" i="3"/>
  <c r="BH16" i="6"/>
  <c r="BH101" i="4"/>
  <c r="BH28" i="5"/>
  <c r="BH31" i="2"/>
  <c r="BH71" i="2"/>
  <c r="BH24" i="2"/>
  <c r="BH38" i="2"/>
  <c r="BH14" i="8"/>
  <c r="BH39" i="6"/>
  <c r="BH40" i="6" s="1"/>
  <c r="BH29" i="5"/>
  <c r="BH21" i="5"/>
  <c r="BH8" i="2"/>
  <c r="BL10" i="2" l="1"/>
  <c r="BI75" i="2"/>
  <c r="BL76" i="2"/>
  <c r="L33" i="15"/>
  <c r="BI9" i="2"/>
  <c r="H7" i="16"/>
  <c r="BH37" i="6"/>
  <c r="BH35" i="6"/>
  <c r="BP35" i="6" s="1"/>
  <c r="BT35" i="6" s="1"/>
  <c r="BX35" i="6" s="1"/>
  <c r="CB35" i="6" s="1"/>
  <c r="CF35" i="6" s="1"/>
  <c r="BH26" i="6"/>
  <c r="BI27" i="6" s="1"/>
  <c r="BH17" i="2"/>
  <c r="BH77" i="2"/>
  <c r="BH44" i="2"/>
  <c r="BH3" i="2"/>
  <c r="BL5" i="2" l="1"/>
  <c r="BT213" i="2"/>
  <c r="BX213" i="2" s="1"/>
  <c r="CB213" i="2" s="1"/>
  <c r="CF213" i="2" s="1"/>
  <c r="P33" i="15"/>
  <c r="BI4" i="2"/>
  <c r="H6" i="16"/>
  <c r="BH39" i="2"/>
  <c r="BH64" i="2"/>
  <c r="BH25" i="2"/>
  <c r="BH32" i="2"/>
  <c r="BH80" i="2"/>
  <c r="BH50" i="2"/>
  <c r="BH45" i="2"/>
  <c r="BH18" i="2"/>
  <c r="BH11" i="2"/>
  <c r="BL66" i="2" l="1"/>
  <c r="BI81" i="2"/>
  <c r="BL82" i="2"/>
  <c r="BI65" i="2"/>
  <c r="H5" i="16"/>
  <c r="H5" i="15"/>
  <c r="BH208" i="2"/>
  <c r="BH78" i="2"/>
  <c r="BH130" i="2"/>
  <c r="BH145" i="2"/>
  <c r="BH150" i="2"/>
  <c r="BH135" i="2"/>
  <c r="BH72" i="2"/>
  <c r="BH56" i="2"/>
  <c r="BH85" i="2"/>
  <c r="BH51" i="2"/>
  <c r="BG5" i="8"/>
  <c r="BH2" i="8" s="1"/>
  <c r="BH3" i="8" s="1"/>
  <c r="M24" i="16"/>
  <c r="P24" i="16"/>
  <c r="BL87" i="2" l="1"/>
  <c r="H32" i="15"/>
  <c r="N28" i="16"/>
  <c r="L32" i="15"/>
  <c r="P28" i="16"/>
  <c r="O28" i="16"/>
  <c r="Q28" i="16"/>
  <c r="BI86" i="2"/>
  <c r="H16" i="16"/>
  <c r="M32" i="15"/>
  <c r="Q24" i="16"/>
  <c r="BH96" i="4"/>
  <c r="BH190" i="2"/>
  <c r="H29" i="15" s="1"/>
  <c r="BH180" i="2"/>
  <c r="BH57" i="3"/>
  <c r="BH91" i="4"/>
  <c r="BH2" i="5"/>
  <c r="BH5" i="5" s="1"/>
  <c r="H37" i="15" s="1"/>
  <c r="BH172" i="2"/>
  <c r="BL176" i="2" s="1"/>
  <c r="BH229" i="2"/>
  <c r="H30" i="15" s="1"/>
  <c r="BH185" i="2"/>
  <c r="BH58" i="3"/>
  <c r="BH3" i="6"/>
  <c r="BH197" i="2"/>
  <c r="H26" i="15" s="1"/>
  <c r="BH52" i="4"/>
  <c r="BH169" i="2"/>
  <c r="BL170" i="2" s="1"/>
  <c r="BH83" i="2"/>
  <c r="BM40" i="2"/>
  <c r="BL40" i="2"/>
  <c r="BG102" i="4"/>
  <c r="BG100" i="4"/>
  <c r="H27" i="15" l="1"/>
  <c r="H28" i="15"/>
  <c r="P32" i="15"/>
  <c r="BI175" i="2"/>
  <c r="H6" i="15"/>
  <c r="Q32" i="15"/>
  <c r="BH201" i="2"/>
  <c r="BH173" i="2"/>
  <c r="BH31" i="6"/>
  <c r="BH34" i="6"/>
  <c r="BG101" i="4"/>
  <c r="BL204" i="2" l="1"/>
  <c r="H25" i="15"/>
  <c r="BL174" i="2"/>
  <c r="BP31" i="6"/>
  <c r="BT31" i="6" s="1"/>
  <c r="BX31" i="6" s="1"/>
  <c r="CB31" i="6" s="1"/>
  <c r="CF31" i="6" s="1"/>
  <c r="BI203" i="2"/>
  <c r="H12" i="15"/>
  <c r="BH57" i="4"/>
  <c r="BH61" i="4" s="1"/>
  <c r="BH250" i="2"/>
  <c r="BH226" i="2"/>
  <c r="BH202" i="2"/>
  <c r="BG13" i="8"/>
  <c r="BG15" i="8" s="1"/>
  <c r="BG8" i="8"/>
  <c r="BG4" i="8"/>
  <c r="BG22" i="7"/>
  <c r="BG20" i="7" s="1"/>
  <c r="BG15" i="7"/>
  <c r="BH11" i="7" s="1"/>
  <c r="BG13" i="7"/>
  <c r="BG12" i="7"/>
  <c r="BG23" i="6"/>
  <c r="BG22" i="6"/>
  <c r="BG21" i="6"/>
  <c r="BG20" i="6"/>
  <c r="BG19" i="6"/>
  <c r="BG18" i="6"/>
  <c r="BG15" i="6"/>
  <c r="BG14" i="6"/>
  <c r="BG13" i="6"/>
  <c r="BG12" i="6"/>
  <c r="BG11" i="6"/>
  <c r="BG6" i="6"/>
  <c r="BG5" i="6"/>
  <c r="BG39" i="5"/>
  <c r="BH36" i="5" s="1"/>
  <c r="BG33" i="5"/>
  <c r="BG31" i="5"/>
  <c r="BH27" i="5" s="1"/>
  <c r="BG20" i="5"/>
  <c r="BK23" i="5" s="1"/>
  <c r="BG4" i="5"/>
  <c r="BG61" i="3"/>
  <c r="BG59" i="3"/>
  <c r="BG60" i="3" s="1"/>
  <c r="BG40" i="3"/>
  <c r="BG45" i="3" s="1"/>
  <c r="BG30" i="3"/>
  <c r="BG38" i="3" s="1"/>
  <c r="BG95" i="4"/>
  <c r="BG94" i="4"/>
  <c r="BG93" i="4"/>
  <c r="BG92" i="4"/>
  <c r="BG51" i="4"/>
  <c r="BG56" i="3" s="1"/>
  <c r="BG43" i="4"/>
  <c r="BG33" i="4"/>
  <c r="BG12" i="4"/>
  <c r="BG7" i="4"/>
  <c r="BG81" i="4" s="1"/>
  <c r="BG282" i="2"/>
  <c r="BG276" i="2" s="1"/>
  <c r="BG258" i="2"/>
  <c r="BG257" i="2"/>
  <c r="BG248" i="2"/>
  <c r="BG247" i="2"/>
  <c r="BG246" i="2"/>
  <c r="BG231" i="2"/>
  <c r="G50" i="15" s="1"/>
  <c r="BG230" i="2"/>
  <c r="BG224" i="2"/>
  <c r="BG221" i="2"/>
  <c r="G54" i="15" s="1"/>
  <c r="BG220" i="2"/>
  <c r="BG219" i="2"/>
  <c r="G34" i="15" s="1"/>
  <c r="BG216" i="2"/>
  <c r="G53" i="15" s="1"/>
  <c r="BG215" i="2"/>
  <c r="BG213" i="2"/>
  <c r="BG210" i="2"/>
  <c r="G52" i="15" s="1"/>
  <c r="BG209" i="2"/>
  <c r="BG196" i="2"/>
  <c r="BK199" i="2" s="1"/>
  <c r="BG192" i="2"/>
  <c r="G49" i="15" s="1"/>
  <c r="BG191" i="2"/>
  <c r="BG187" i="2"/>
  <c r="G48" i="15" s="1"/>
  <c r="BG186" i="2"/>
  <c r="BG182" i="2"/>
  <c r="G47" i="15" s="1"/>
  <c r="BG181" i="2"/>
  <c r="BG166" i="2"/>
  <c r="BG162" i="2"/>
  <c r="BG161" i="2"/>
  <c r="BG159" i="2"/>
  <c r="BG157" i="2"/>
  <c r="BG155" i="2"/>
  <c r="BG149" i="2"/>
  <c r="BG148" i="2"/>
  <c r="BG144" i="2"/>
  <c r="BG143" i="2"/>
  <c r="BG134" i="2"/>
  <c r="BG133" i="2"/>
  <c r="BG129" i="2"/>
  <c r="BG128" i="2"/>
  <c r="BG70" i="2"/>
  <c r="G30" i="16" s="1"/>
  <c r="BG69" i="2"/>
  <c r="G45" i="16" s="1"/>
  <c r="BG55" i="2"/>
  <c r="G29" i="16" s="1"/>
  <c r="BG54" i="2"/>
  <c r="G44" i="16" s="1"/>
  <c r="BG49" i="2"/>
  <c r="BG48" i="2"/>
  <c r="G43" i="16" s="1"/>
  <c r="BG43" i="2"/>
  <c r="BG42" i="2"/>
  <c r="G42" i="16" s="1"/>
  <c r="BG36" i="2"/>
  <c r="BG35" i="2"/>
  <c r="G41" i="16" s="1"/>
  <c r="BG29" i="2"/>
  <c r="BG28" i="2"/>
  <c r="BG22" i="2"/>
  <c r="BG21" i="2"/>
  <c r="BG14" i="2"/>
  <c r="BL64" i="4" l="1"/>
  <c r="BI252" i="2"/>
  <c r="BL253" i="2"/>
  <c r="BK6" i="5"/>
  <c r="BK168" i="2"/>
  <c r="G8" i="16"/>
  <c r="BK16" i="2"/>
  <c r="G26" i="16"/>
  <c r="G24" i="16"/>
  <c r="G40" i="16"/>
  <c r="G39" i="16"/>
  <c r="H31" i="15"/>
  <c r="BO4" i="5"/>
  <c r="BS4" i="5" s="1"/>
  <c r="BW4" i="5" s="1"/>
  <c r="CA4" i="5" s="1"/>
  <c r="CE4" i="5" s="1"/>
  <c r="G28" i="16"/>
  <c r="BI63" i="4"/>
  <c r="H18" i="15"/>
  <c r="BH198" i="2"/>
  <c r="G7" i="15"/>
  <c r="G19" i="15"/>
  <c r="G25" i="16"/>
  <c r="G27" i="16"/>
  <c r="G33" i="15"/>
  <c r="O24" i="16"/>
  <c r="BH38" i="5"/>
  <c r="BH34" i="5"/>
  <c r="BH167" i="2"/>
  <c r="BG74" i="2"/>
  <c r="BH15" i="2"/>
  <c r="H38" i="16" s="1"/>
  <c r="BH22" i="5"/>
  <c r="BH30" i="5"/>
  <c r="BH17" i="7"/>
  <c r="BH25" i="7"/>
  <c r="BH26" i="7"/>
  <c r="BH16" i="7"/>
  <c r="BH14" i="7"/>
  <c r="BH260" i="2"/>
  <c r="BH256" i="2"/>
  <c r="BH251" i="2"/>
  <c r="BH62" i="4"/>
  <c r="BG4" i="6"/>
  <c r="BG32" i="6" s="1"/>
  <c r="BG39" i="6"/>
  <c r="BG40" i="6" s="1"/>
  <c r="BH40" i="2"/>
  <c r="BG38" i="6"/>
  <c r="BG25" i="5"/>
  <c r="BG24" i="2"/>
  <c r="BG47" i="3"/>
  <c r="BG38" i="2"/>
  <c r="BG33" i="6"/>
  <c r="BG163" i="2"/>
  <c r="BG21" i="5"/>
  <c r="BG31" i="2"/>
  <c r="BG71" i="2"/>
  <c r="BG7" i="6"/>
  <c r="BG36" i="6" s="1"/>
  <c r="BG24" i="6"/>
  <c r="BG16" i="6"/>
  <c r="BG55" i="3"/>
  <c r="BG28" i="5"/>
  <c r="BG14" i="8"/>
  <c r="BG29" i="5"/>
  <c r="BG37" i="5"/>
  <c r="BG8" i="2"/>
  <c r="BI262" i="2" l="1"/>
  <c r="BL263" i="2"/>
  <c r="BK10" i="2"/>
  <c r="BH75" i="2"/>
  <c r="BK76" i="2"/>
  <c r="G7" i="16"/>
  <c r="H36" i="15"/>
  <c r="K33" i="15"/>
  <c r="BH9" i="2"/>
  <c r="H37" i="16" s="1"/>
  <c r="BG35" i="6"/>
  <c r="BO35" i="6" s="1"/>
  <c r="BS35" i="6" s="1"/>
  <c r="BW35" i="6" s="1"/>
  <c r="CA35" i="6" s="1"/>
  <c r="CE35" i="6" s="1"/>
  <c r="BG37" i="6"/>
  <c r="BH3" i="4"/>
  <c r="BH22" i="4" s="1"/>
  <c r="BH272" i="2"/>
  <c r="BH267" i="2"/>
  <c r="BL270" i="2" s="1"/>
  <c r="BH261" i="2"/>
  <c r="BG26" i="6"/>
  <c r="BH27" i="6" s="1"/>
  <c r="BG44" i="2"/>
  <c r="BG77" i="2"/>
  <c r="BG17" i="2"/>
  <c r="BG3" i="2"/>
  <c r="BI273" i="2" l="1"/>
  <c r="BL274" i="2"/>
  <c r="BK5" i="2"/>
  <c r="G6" i="16"/>
  <c r="H16" i="15"/>
  <c r="BI269" i="2"/>
  <c r="BS213" i="2"/>
  <c r="BW213" i="2" s="1"/>
  <c r="CA213" i="2" s="1"/>
  <c r="CE213" i="2" s="1"/>
  <c r="O33" i="15"/>
  <c r="BH4" i="2"/>
  <c r="H36" i="16" s="1"/>
  <c r="BH268" i="2"/>
  <c r="H35" i="15" s="1"/>
  <c r="BH278" i="2"/>
  <c r="BH76" i="4"/>
  <c r="BL79" i="4" s="1"/>
  <c r="BH47" i="4"/>
  <c r="BG32" i="2"/>
  <c r="BG45" i="2"/>
  <c r="BG50" i="2"/>
  <c r="BG39" i="2"/>
  <c r="BG80" i="2"/>
  <c r="BG64" i="2"/>
  <c r="BG25" i="2"/>
  <c r="BG18" i="2"/>
  <c r="BG11" i="2"/>
  <c r="BL280" i="2" l="1"/>
  <c r="BK66" i="2"/>
  <c r="BH81" i="2"/>
  <c r="BK82" i="2"/>
  <c r="BI78" i="4"/>
  <c r="H20" i="15"/>
  <c r="G5" i="16"/>
  <c r="G5" i="15"/>
  <c r="BI279" i="2"/>
  <c r="H17" i="15"/>
  <c r="BH65" i="2"/>
  <c r="H35" i="16" s="1"/>
  <c r="BH83" i="4"/>
  <c r="BL86" i="4" s="1"/>
  <c r="BH77" i="4"/>
  <c r="H38" i="15" s="1"/>
  <c r="BG150" i="2"/>
  <c r="BG135" i="2"/>
  <c r="BG85" i="2"/>
  <c r="BG72" i="2"/>
  <c r="BG145" i="2"/>
  <c r="BG130" i="2"/>
  <c r="BG56" i="2"/>
  <c r="BG51" i="2"/>
  <c r="BG208" i="2"/>
  <c r="BG78" i="2"/>
  <c r="BK87" i="2" l="1"/>
  <c r="BI85" i="4"/>
  <c r="H21" i="15"/>
  <c r="G32" i="15"/>
  <c r="G16" i="16"/>
  <c r="BH86" i="2"/>
  <c r="BH84" i="4"/>
  <c r="H39" i="15" s="1"/>
  <c r="BG83" i="2"/>
  <c r="BG3" i="6"/>
  <c r="BG2" i="5"/>
  <c r="BG5" i="5" s="1"/>
  <c r="G37" i="15" s="1"/>
  <c r="BG172" i="2"/>
  <c r="BK176" i="2" s="1"/>
  <c r="BG229" i="2"/>
  <c r="G30" i="15" s="1"/>
  <c r="BG185" i="2"/>
  <c r="BG58" i="3"/>
  <c r="BG91" i="4"/>
  <c r="BG57" i="3"/>
  <c r="BG96" i="4"/>
  <c r="BG190" i="2"/>
  <c r="G29" i="15" s="1"/>
  <c r="BG180" i="2"/>
  <c r="BG169" i="2"/>
  <c r="BK170" i="2" s="1"/>
  <c r="BG52" i="4"/>
  <c r="BG197" i="2"/>
  <c r="G26" i="15" s="1"/>
  <c r="H46" i="16" l="1"/>
  <c r="K32" i="15"/>
  <c r="G27" i="15"/>
  <c r="G28" i="15"/>
  <c r="BH175" i="2"/>
  <c r="G6" i="15"/>
  <c r="BG31" i="6"/>
  <c r="BG34" i="6"/>
  <c r="BG173" i="2"/>
  <c r="BG201" i="2"/>
  <c r="BK204" i="2" l="1"/>
  <c r="G25" i="15"/>
  <c r="BK174" i="2"/>
  <c r="BO31" i="6"/>
  <c r="BS31" i="6" s="1"/>
  <c r="BW31" i="6" s="1"/>
  <c r="CA31" i="6" s="1"/>
  <c r="CE31" i="6" s="1"/>
  <c r="BH203" i="2"/>
  <c r="G12" i="15"/>
  <c r="O32" i="15"/>
  <c r="BG57" i="4"/>
  <c r="BG61" i="4" s="1"/>
  <c r="BG250" i="2"/>
  <c r="BG226" i="2"/>
  <c r="BG202" i="2"/>
  <c r="BF5" i="8"/>
  <c r="BG2" i="8" s="1"/>
  <c r="BG3" i="8" s="1"/>
  <c r="BK64" i="4" l="1"/>
  <c r="BH252" i="2"/>
  <c r="BK253" i="2"/>
  <c r="G31" i="15"/>
  <c r="G18" i="15"/>
  <c r="BH63" i="4"/>
  <c r="BG256" i="2"/>
  <c r="BG260" i="2"/>
  <c r="BG251" i="2"/>
  <c r="BG62" i="4"/>
  <c r="BM37" i="3"/>
  <c r="BN37" i="3" s="1"/>
  <c r="BO37" i="3" s="1"/>
  <c r="BP37" i="3" s="1"/>
  <c r="BQ37" i="3" s="1"/>
  <c r="BR37" i="3" s="1"/>
  <c r="BS37" i="3" s="1"/>
  <c r="BT37" i="3" s="1"/>
  <c r="BU37" i="3" s="1"/>
  <c r="BV37" i="3" s="1"/>
  <c r="BW37" i="3" s="1"/>
  <c r="BX37" i="3" s="1"/>
  <c r="BY37" i="3" s="1"/>
  <c r="BZ37" i="3" s="1"/>
  <c r="CA37" i="3" s="1"/>
  <c r="CB37" i="3" s="1"/>
  <c r="CC37" i="3" s="1"/>
  <c r="CD37" i="3" s="1"/>
  <c r="CE37" i="3" s="1"/>
  <c r="CF37" i="3" s="1"/>
  <c r="CG37" i="3" s="1"/>
  <c r="DC37" i="3" s="1"/>
  <c r="BH262" i="2" l="1"/>
  <c r="BK263" i="2"/>
  <c r="G36" i="15"/>
  <c r="BG272" i="2"/>
  <c r="BG267" i="2"/>
  <c r="BK270" i="2" s="1"/>
  <c r="BG3" i="4"/>
  <c r="BG22" i="4" s="1"/>
  <c r="BG261" i="2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DB101" i="4"/>
  <c r="DA101" i="4"/>
  <c r="CZ101" i="4"/>
  <c r="CY101" i="4"/>
  <c r="CX101" i="4"/>
  <c r="CW101" i="4"/>
  <c r="BH273" i="2" l="1"/>
  <c r="BK274" i="2"/>
  <c r="BH269" i="2"/>
  <c r="G16" i="15"/>
  <c r="BG278" i="2"/>
  <c r="BG268" i="2"/>
  <c r="G35" i="15" s="1"/>
  <c r="BG76" i="4"/>
  <c r="BK79" i="4" s="1"/>
  <c r="BG47" i="4"/>
  <c r="C4" i="17"/>
  <c r="BK280" i="2" l="1"/>
  <c r="G17" i="15"/>
  <c r="BH78" i="4"/>
  <c r="G20" i="15"/>
  <c r="BH279" i="2"/>
  <c r="BG77" i="4"/>
  <c r="G38" i="15" s="1"/>
  <c r="BG83" i="4"/>
  <c r="BF13" i="8"/>
  <c r="BF15" i="8" s="1"/>
  <c r="BF8" i="8"/>
  <c r="BF4" i="8"/>
  <c r="BF22" i="7"/>
  <c r="BF20" i="7" s="1"/>
  <c r="BF15" i="7"/>
  <c r="BG11" i="7" s="1"/>
  <c r="BF13" i="7"/>
  <c r="BF12" i="7"/>
  <c r="BF23" i="6"/>
  <c r="BF22" i="6"/>
  <c r="BF21" i="6"/>
  <c r="BF20" i="6"/>
  <c r="BF19" i="6"/>
  <c r="BF18" i="6"/>
  <c r="BF15" i="6"/>
  <c r="BF14" i="6"/>
  <c r="BF13" i="6"/>
  <c r="BF12" i="6"/>
  <c r="BF11" i="6"/>
  <c r="BF39" i="5"/>
  <c r="BG36" i="5" s="1"/>
  <c r="BF33" i="5"/>
  <c r="BF37" i="5" s="1"/>
  <c r="BF31" i="5"/>
  <c r="BG27" i="5" s="1"/>
  <c r="BF20" i="5"/>
  <c r="BJ23" i="5" s="1"/>
  <c r="BF4" i="5"/>
  <c r="BF61" i="3"/>
  <c r="BF59" i="3"/>
  <c r="BF60" i="3" s="1"/>
  <c r="BF95" i="4"/>
  <c r="BF94" i="4"/>
  <c r="BF93" i="4"/>
  <c r="BF92" i="4"/>
  <c r="BF282" i="2"/>
  <c r="BF276" i="2" s="1"/>
  <c r="BF258" i="2"/>
  <c r="BF257" i="2"/>
  <c r="BF248" i="2"/>
  <c r="BF247" i="2"/>
  <c r="BF246" i="2"/>
  <c r="BF231" i="2"/>
  <c r="F50" i="15" s="1"/>
  <c r="BF230" i="2"/>
  <c r="BF224" i="2"/>
  <c r="BF221" i="2"/>
  <c r="F54" i="15" s="1"/>
  <c r="BF220" i="2"/>
  <c r="BF219" i="2"/>
  <c r="F34" i="15" s="1"/>
  <c r="BF216" i="2"/>
  <c r="F53" i="15" s="1"/>
  <c r="BF215" i="2"/>
  <c r="BF213" i="2"/>
  <c r="BF210" i="2"/>
  <c r="F52" i="15" s="1"/>
  <c r="BF209" i="2"/>
  <c r="BF196" i="2"/>
  <c r="BF192" i="2"/>
  <c r="F49" i="15" s="1"/>
  <c r="BF191" i="2"/>
  <c r="BF187" i="2"/>
  <c r="F48" i="15" s="1"/>
  <c r="BF186" i="2"/>
  <c r="BF182" i="2"/>
  <c r="F47" i="15" s="1"/>
  <c r="BF181" i="2"/>
  <c r="BF166" i="2"/>
  <c r="BF162" i="2"/>
  <c r="BF161" i="2"/>
  <c r="BF159" i="2"/>
  <c r="BF157" i="2"/>
  <c r="BF155" i="2"/>
  <c r="BF149" i="2"/>
  <c r="BF148" i="2"/>
  <c r="BF144" i="2"/>
  <c r="BF143" i="2"/>
  <c r="BF134" i="2"/>
  <c r="BF133" i="2"/>
  <c r="BF129" i="2"/>
  <c r="BF128" i="2"/>
  <c r="BF70" i="2"/>
  <c r="F30" i="16" s="1"/>
  <c r="BF69" i="2"/>
  <c r="F45" i="16" s="1"/>
  <c r="BF55" i="2"/>
  <c r="F29" i="16" s="1"/>
  <c r="BF54" i="2"/>
  <c r="F44" i="16" s="1"/>
  <c r="BF49" i="2"/>
  <c r="BF48" i="2"/>
  <c r="F43" i="16" s="1"/>
  <c r="BF43" i="2"/>
  <c r="BF42" i="2"/>
  <c r="F42" i="16" s="1"/>
  <c r="BF36" i="2"/>
  <c r="BF35" i="2"/>
  <c r="F41" i="16" s="1"/>
  <c r="BF29" i="2"/>
  <c r="BF28" i="2"/>
  <c r="BF22" i="2"/>
  <c r="BF21" i="2"/>
  <c r="G21" i="15" l="1"/>
  <c r="BK86" i="4"/>
  <c r="F39" i="16"/>
  <c r="F40" i="16"/>
  <c r="BJ6" i="5"/>
  <c r="BJ168" i="2"/>
  <c r="F7" i="15"/>
  <c r="BJ199" i="2"/>
  <c r="F26" i="16"/>
  <c r="F24" i="16"/>
  <c r="BN4" i="5"/>
  <c r="BR4" i="5" s="1"/>
  <c r="BV4" i="5" s="1"/>
  <c r="BZ4" i="5" s="1"/>
  <c r="CD4" i="5" s="1"/>
  <c r="F28" i="16"/>
  <c r="F25" i="16"/>
  <c r="F19" i="15"/>
  <c r="F27" i="16"/>
  <c r="F33" i="15"/>
  <c r="BG84" i="4"/>
  <c r="G39" i="15" s="1"/>
  <c r="BH85" i="4"/>
  <c r="N24" i="16"/>
  <c r="BG40" i="2"/>
  <c r="BG198" i="2"/>
  <c r="BG17" i="7"/>
  <c r="BG26" i="7"/>
  <c r="BG14" i="7"/>
  <c r="BG25" i="7"/>
  <c r="BG16" i="7"/>
  <c r="BG167" i="2"/>
  <c r="BG22" i="5"/>
  <c r="BG30" i="5"/>
  <c r="BG34" i="5"/>
  <c r="BG38" i="5"/>
  <c r="BF28" i="5"/>
  <c r="BF24" i="6"/>
  <c r="BF39" i="6"/>
  <c r="BF40" i="6" s="1"/>
  <c r="BF163" i="2"/>
  <c r="BF25" i="5"/>
  <c r="BF21" i="5"/>
  <c r="BF14" i="8"/>
  <c r="BF16" i="6"/>
  <c r="BF29" i="5"/>
  <c r="J33" i="15" l="1"/>
  <c r="BF26" i="6"/>
  <c r="BG27" i="6" s="1"/>
  <c r="BE5" i="8"/>
  <c r="BF2" i="8" s="1"/>
  <c r="BF3" i="8" s="1"/>
  <c r="BV213" i="2" l="1"/>
  <c r="BZ213" i="2" s="1"/>
  <c r="CD213" i="2" s="1"/>
  <c r="N33" i="15"/>
  <c r="BH52" i="2"/>
  <c r="BG52" i="2"/>
  <c r="BH26" i="2" l="1"/>
  <c r="BG26" i="2"/>
  <c r="BE4" i="5"/>
  <c r="J15" i="15" l="1"/>
  <c r="K15" i="15"/>
  <c r="L15" i="15"/>
  <c r="BI6" i="5"/>
  <c r="E19" i="15"/>
  <c r="M15" i="15"/>
  <c r="BE13" i="8"/>
  <c r="BE15" i="8" s="1"/>
  <c r="BE8" i="8"/>
  <c r="BE4" i="8"/>
  <c r="BE22" i="7"/>
  <c r="BE20" i="7" s="1"/>
  <c r="BE15" i="7"/>
  <c r="BF11" i="7" s="1"/>
  <c r="BE13" i="7"/>
  <c r="BE12" i="7"/>
  <c r="BE23" i="6"/>
  <c r="BE22" i="6"/>
  <c r="BE21" i="6"/>
  <c r="BE20" i="6"/>
  <c r="BE19" i="6"/>
  <c r="BE18" i="6"/>
  <c r="BE15" i="6"/>
  <c r="BE14" i="6"/>
  <c r="BE13" i="6"/>
  <c r="BE12" i="6"/>
  <c r="BE11" i="6"/>
  <c r="BE39" i="5"/>
  <c r="BF36" i="5" s="1"/>
  <c r="BE33" i="5"/>
  <c r="BE31" i="5"/>
  <c r="BF27" i="5" s="1"/>
  <c r="BE28" i="5"/>
  <c r="BE20" i="5"/>
  <c r="BI23" i="5" s="1"/>
  <c r="BE61" i="3"/>
  <c r="BE59" i="3"/>
  <c r="BE60" i="3" s="1"/>
  <c r="BE95" i="4"/>
  <c r="BE94" i="4"/>
  <c r="BE93" i="4"/>
  <c r="BE92" i="4"/>
  <c r="BE282" i="2"/>
  <c r="BE276" i="2" s="1"/>
  <c r="BE258" i="2"/>
  <c r="BE257" i="2"/>
  <c r="BE248" i="2"/>
  <c r="BE247" i="2"/>
  <c r="BE246" i="2"/>
  <c r="BE231" i="2"/>
  <c r="E50" i="15" s="1"/>
  <c r="BE230" i="2"/>
  <c r="BE224" i="2"/>
  <c r="BE221" i="2"/>
  <c r="E54" i="15" s="1"/>
  <c r="BE220" i="2"/>
  <c r="BE219" i="2"/>
  <c r="E34" i="15" s="1"/>
  <c r="BE216" i="2"/>
  <c r="E53" i="15" s="1"/>
  <c r="BE215" i="2"/>
  <c r="BE213" i="2"/>
  <c r="BE210" i="2"/>
  <c r="E52" i="15" s="1"/>
  <c r="BE209" i="2"/>
  <c r="BE192" i="2"/>
  <c r="E49" i="15" s="1"/>
  <c r="BE191" i="2"/>
  <c r="BE187" i="2"/>
  <c r="E48" i="15" s="1"/>
  <c r="BE186" i="2"/>
  <c r="BE182" i="2"/>
  <c r="E47" i="15" s="1"/>
  <c r="BE181" i="2"/>
  <c r="BE166" i="2"/>
  <c r="BE162" i="2"/>
  <c r="BE161" i="2"/>
  <c r="BE159" i="2"/>
  <c r="BE157" i="2"/>
  <c r="BE155" i="2"/>
  <c r="BE149" i="2"/>
  <c r="BE148" i="2"/>
  <c r="BE144" i="2"/>
  <c r="BE143" i="2"/>
  <c r="BE134" i="2"/>
  <c r="BE133" i="2"/>
  <c r="BE129" i="2"/>
  <c r="BE128" i="2"/>
  <c r="BE70" i="2"/>
  <c r="E30" i="16" s="1"/>
  <c r="BE69" i="2"/>
  <c r="E45" i="16" s="1"/>
  <c r="BE55" i="2"/>
  <c r="E29" i="16" s="1"/>
  <c r="BE54" i="2"/>
  <c r="E44" i="16" s="1"/>
  <c r="BE49" i="2"/>
  <c r="BE48" i="2"/>
  <c r="E43" i="16" s="1"/>
  <c r="BE43" i="2"/>
  <c r="BE42" i="2"/>
  <c r="E42" i="16" s="1"/>
  <c r="BE36" i="2"/>
  <c r="BE35" i="2"/>
  <c r="E41" i="16" s="1"/>
  <c r="BE29" i="2"/>
  <c r="BE28" i="2"/>
  <c r="BE22" i="2"/>
  <c r="BE21" i="2"/>
  <c r="E39" i="16" l="1"/>
  <c r="E40" i="16"/>
  <c r="E28" i="16"/>
  <c r="BS218" i="2"/>
  <c r="BW218" i="2" s="1"/>
  <c r="CA218" i="2" s="1"/>
  <c r="CE218" i="2" s="1"/>
  <c r="CE221" i="2" s="1"/>
  <c r="O15" i="15"/>
  <c r="E25" i="16"/>
  <c r="E26" i="16"/>
  <c r="E33" i="15"/>
  <c r="BT218" i="2"/>
  <c r="BX218" i="2" s="1"/>
  <c r="CB218" i="2" s="1"/>
  <c r="P15" i="15"/>
  <c r="E24" i="16"/>
  <c r="E27" i="16"/>
  <c r="BI168" i="2"/>
  <c r="BR218" i="2"/>
  <c r="BV218" i="2" s="1"/>
  <c r="BZ218" i="2" s="1"/>
  <c r="CD218" i="2" s="1"/>
  <c r="CD221" i="2" s="1"/>
  <c r="N15" i="15"/>
  <c r="BU218" i="2"/>
  <c r="BY218" i="2" s="1"/>
  <c r="CC218" i="2" s="1"/>
  <c r="CG218" i="2" s="1"/>
  <c r="Q15" i="15"/>
  <c r="BF40" i="2"/>
  <c r="BF167" i="2"/>
  <c r="BF17" i="7"/>
  <c r="BF25" i="7"/>
  <c r="BF16" i="7"/>
  <c r="BF26" i="7"/>
  <c r="BF14" i="7"/>
  <c r="BF22" i="5"/>
  <c r="BF30" i="5"/>
  <c r="BF34" i="5"/>
  <c r="BF38" i="5"/>
  <c r="BE16" i="6"/>
  <c r="BE39" i="6"/>
  <c r="BE40" i="6" s="1"/>
  <c r="BE24" i="6"/>
  <c r="BE163" i="2"/>
  <c r="BF26" i="2"/>
  <c r="BF52" i="2"/>
  <c r="BE37" i="5"/>
  <c r="BE29" i="5"/>
  <c r="BE14" i="8"/>
  <c r="BE21" i="5"/>
  <c r="CG221" i="2" l="1"/>
  <c r="CD220" i="2"/>
  <c r="CF218" i="2"/>
  <c r="DC218" i="2" s="1"/>
  <c r="CE220" i="2"/>
  <c r="BE26" i="6"/>
  <c r="BF27" i="6" s="1"/>
  <c r="BM29" i="3"/>
  <c r="BN29" i="3" s="1"/>
  <c r="BO29" i="3" s="1"/>
  <c r="BP29" i="3" s="1"/>
  <c r="BQ29" i="3" s="1"/>
  <c r="BR29" i="3" s="1"/>
  <c r="BS29" i="3" s="1"/>
  <c r="BT29" i="3" s="1"/>
  <c r="BU29" i="3" s="1"/>
  <c r="BV29" i="3" s="1"/>
  <c r="BW29" i="3" s="1"/>
  <c r="BX29" i="3" s="1"/>
  <c r="BY29" i="3" s="1"/>
  <c r="BZ29" i="3" s="1"/>
  <c r="CA29" i="3" s="1"/>
  <c r="CB29" i="3" s="1"/>
  <c r="CC29" i="3" s="1"/>
  <c r="CD29" i="3" s="1"/>
  <c r="BD39" i="5"/>
  <c r="BE36" i="5" s="1"/>
  <c r="BC39" i="5"/>
  <c r="BD36" i="5" s="1"/>
  <c r="BB39" i="5"/>
  <c r="BC36" i="5" s="1"/>
  <c r="BA39" i="5"/>
  <c r="BB36" i="5" s="1"/>
  <c r="AZ39" i="5"/>
  <c r="BA36" i="5" s="1"/>
  <c r="AY39" i="5"/>
  <c r="AZ36" i="5" s="1"/>
  <c r="AX39" i="5"/>
  <c r="AY36" i="5" s="1"/>
  <c r="AW39" i="5"/>
  <c r="AX36" i="5" s="1"/>
  <c r="AV39" i="5"/>
  <c r="AW36" i="5" s="1"/>
  <c r="AU39" i="5"/>
  <c r="AV36" i="5" s="1"/>
  <c r="AT39" i="5"/>
  <c r="AU36" i="5" s="1"/>
  <c r="AS39" i="5"/>
  <c r="AT36" i="5" s="1"/>
  <c r="AR39" i="5"/>
  <c r="AS36" i="5" s="1"/>
  <c r="AQ39" i="5"/>
  <c r="AR36" i="5" s="1"/>
  <c r="AP39" i="5"/>
  <c r="AQ36" i="5" s="1"/>
  <c r="AO39" i="5"/>
  <c r="AP36" i="5" s="1"/>
  <c r="AN39" i="5"/>
  <c r="AO36" i="5" s="1"/>
  <c r="AM39" i="5"/>
  <c r="AL39" i="5"/>
  <c r="AM36" i="5" s="1"/>
  <c r="AK39" i="5"/>
  <c r="AL36" i="5" s="1"/>
  <c r="AJ39" i="5"/>
  <c r="AK36" i="5" s="1"/>
  <c r="AI39" i="5"/>
  <c r="AJ36" i="5" s="1"/>
  <c r="AH39" i="5"/>
  <c r="AI36" i="5" s="1"/>
  <c r="AG39" i="5"/>
  <c r="AH36" i="5" s="1"/>
  <c r="AF39" i="5"/>
  <c r="AG36" i="5" s="1"/>
  <c r="AE39" i="5"/>
  <c r="AF36" i="5" s="1"/>
  <c r="AD39" i="5"/>
  <c r="AE36" i="5" s="1"/>
  <c r="AC39" i="5"/>
  <c r="AD36" i="5" s="1"/>
  <c r="AB39" i="5"/>
  <c r="AC36" i="5" s="1"/>
  <c r="AA39" i="5"/>
  <c r="Z39" i="5"/>
  <c r="AA36" i="5" s="1"/>
  <c r="Y39" i="5"/>
  <c r="Z36" i="5" s="1"/>
  <c r="X39" i="5"/>
  <c r="Y36" i="5" s="1"/>
  <c r="W39" i="5"/>
  <c r="X36" i="5" s="1"/>
  <c r="V39" i="5"/>
  <c r="W36" i="5" s="1"/>
  <c r="U39" i="5"/>
  <c r="V36" i="5" s="1"/>
  <c r="T39" i="5"/>
  <c r="U36" i="5" s="1"/>
  <c r="S39" i="5"/>
  <c r="T36" i="5" s="1"/>
  <c r="R39" i="5"/>
  <c r="S36" i="5" s="1"/>
  <c r="Q39" i="5"/>
  <c r="R36" i="5" s="1"/>
  <c r="P39" i="5"/>
  <c r="Q36" i="5" s="1"/>
  <c r="O39" i="5"/>
  <c r="P36" i="5" s="1"/>
  <c r="N39" i="5"/>
  <c r="O36" i="5" s="1"/>
  <c r="M39" i="5"/>
  <c r="N36" i="5" s="1"/>
  <c r="L39" i="5"/>
  <c r="M36" i="5" s="1"/>
  <c r="K39" i="5"/>
  <c r="L36" i="5" s="1"/>
  <c r="J39" i="5"/>
  <c r="K36" i="5" s="1"/>
  <c r="I39" i="5"/>
  <c r="H39" i="5"/>
  <c r="I36" i="5" s="1"/>
  <c r="G39" i="5"/>
  <c r="H36" i="5" s="1"/>
  <c r="F39" i="5"/>
  <c r="G36" i="5" s="1"/>
  <c r="E39" i="5"/>
  <c r="F36" i="5" s="1"/>
  <c r="D39" i="5"/>
  <c r="E36" i="5" s="1"/>
  <c r="BD33" i="5"/>
  <c r="BC33" i="5"/>
  <c r="BB33" i="5"/>
  <c r="BB37" i="5" s="1"/>
  <c r="BA33" i="5"/>
  <c r="BA37" i="5" s="1"/>
  <c r="AZ33" i="5"/>
  <c r="AZ37" i="5" s="1"/>
  <c r="AY33" i="5"/>
  <c r="AX33" i="5"/>
  <c r="AW33" i="5"/>
  <c r="AV33" i="5"/>
  <c r="AV37" i="5" s="1"/>
  <c r="AU33" i="5"/>
  <c r="AU37" i="5" s="1"/>
  <c r="AT33" i="5"/>
  <c r="AT37" i="5" s="1"/>
  <c r="AS33" i="5"/>
  <c r="BD20" i="5"/>
  <c r="BH23" i="5" s="1"/>
  <c r="BC20" i="5"/>
  <c r="BG23" i="5" s="1"/>
  <c r="BB20" i="5"/>
  <c r="BF23" i="5" s="1"/>
  <c r="BA20" i="5"/>
  <c r="BE23" i="5" s="1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R33" i="5"/>
  <c r="AQ33" i="5"/>
  <c r="AP33" i="5"/>
  <c r="AP37" i="5" s="1"/>
  <c r="AO33" i="5"/>
  <c r="AO37" i="5" s="1"/>
  <c r="AN33" i="5"/>
  <c r="AN37" i="5" s="1"/>
  <c r="AM33" i="5"/>
  <c r="AL33" i="5"/>
  <c r="AK33" i="5"/>
  <c r="AJ33" i="5"/>
  <c r="AJ37" i="5" s="1"/>
  <c r="AI33" i="5"/>
  <c r="AI37" i="5" s="1"/>
  <c r="AH33" i="5"/>
  <c r="AH37" i="5" s="1"/>
  <c r="AG33" i="5"/>
  <c r="AF33" i="5"/>
  <c r="AE33" i="5"/>
  <c r="AD33" i="5"/>
  <c r="AD37" i="5" s="1"/>
  <c r="AC33" i="5"/>
  <c r="AC37" i="5" s="1"/>
  <c r="AB33" i="5"/>
  <c r="AB37" i="5" s="1"/>
  <c r="AA33" i="5"/>
  <c r="Z33" i="5"/>
  <c r="Y33" i="5"/>
  <c r="X33" i="5"/>
  <c r="X37" i="5" s="1"/>
  <c r="W33" i="5"/>
  <c r="W37" i="5" s="1"/>
  <c r="V33" i="5"/>
  <c r="V37" i="5" s="1"/>
  <c r="U33" i="5"/>
  <c r="T33" i="5"/>
  <c r="S33" i="5"/>
  <c r="R33" i="5"/>
  <c r="R37" i="5" s="1"/>
  <c r="Q33" i="5"/>
  <c r="Q37" i="5" s="1"/>
  <c r="P33" i="5"/>
  <c r="P37" i="5" s="1"/>
  <c r="O33" i="5"/>
  <c r="N33" i="5"/>
  <c r="M33" i="5"/>
  <c r="L33" i="5"/>
  <c r="L37" i="5" s="1"/>
  <c r="K33" i="5"/>
  <c r="K37" i="5" s="1"/>
  <c r="J33" i="5"/>
  <c r="J37" i="5" s="1"/>
  <c r="I33" i="5"/>
  <c r="H33" i="5"/>
  <c r="G33" i="5"/>
  <c r="F33" i="5"/>
  <c r="F37" i="5" s="1"/>
  <c r="E33" i="5"/>
  <c r="E37" i="5" s="1"/>
  <c r="D33" i="5"/>
  <c r="D37" i="5" s="1"/>
  <c r="C33" i="5"/>
  <c r="C37" i="5" s="1"/>
  <c r="B33" i="5"/>
  <c r="C39" i="5"/>
  <c r="D36" i="5" s="1"/>
  <c r="B39" i="5"/>
  <c r="C36" i="5" s="1"/>
  <c r="BM8" i="3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DC8" i="3" s="1"/>
  <c r="G23" i="5" l="1"/>
  <c r="M23" i="5"/>
  <c r="S23" i="5"/>
  <c r="Y23" i="5"/>
  <c r="AE23" i="5"/>
  <c r="AK23" i="5"/>
  <c r="AQ23" i="5"/>
  <c r="AW23" i="5"/>
  <c r="BC23" i="5"/>
  <c r="L23" i="5"/>
  <c r="R23" i="5"/>
  <c r="X23" i="5"/>
  <c r="AD23" i="5"/>
  <c r="AJ23" i="5"/>
  <c r="AP23" i="5"/>
  <c r="BB23" i="5"/>
  <c r="AV23" i="5"/>
  <c r="I23" i="5"/>
  <c r="H23" i="5"/>
  <c r="T23" i="5"/>
  <c r="AF23" i="5"/>
  <c r="AR23" i="5"/>
  <c r="BD23" i="5"/>
  <c r="O23" i="5"/>
  <c r="AA23" i="5"/>
  <c r="AG23" i="5"/>
  <c r="AM23" i="5"/>
  <c r="AS23" i="5"/>
  <c r="AY23" i="5"/>
  <c r="J23" i="5"/>
  <c r="P23" i="5"/>
  <c r="V23" i="5"/>
  <c r="AB23" i="5"/>
  <c r="AH23" i="5"/>
  <c r="AN23" i="5"/>
  <c r="AT23" i="5"/>
  <c r="AZ23" i="5"/>
  <c r="N23" i="5"/>
  <c r="Z23" i="5"/>
  <c r="AL23" i="5"/>
  <c r="AX23" i="5"/>
  <c r="U23" i="5"/>
  <c r="K23" i="5"/>
  <c r="Q23" i="5"/>
  <c r="W23" i="5"/>
  <c r="AC23" i="5"/>
  <c r="AI23" i="5"/>
  <c r="AO23" i="5"/>
  <c r="AU23" i="5"/>
  <c r="BA23" i="5"/>
  <c r="CF221" i="2"/>
  <c r="CG220" i="2"/>
  <c r="CF220" i="2"/>
  <c r="CE29" i="3"/>
  <c r="CD23" i="6"/>
  <c r="BE34" i="5"/>
  <c r="BE38" i="5"/>
  <c r="AA34" i="5"/>
  <c r="AK34" i="5"/>
  <c r="Y34" i="5"/>
  <c r="I34" i="5"/>
  <c r="AM34" i="5"/>
  <c r="P34" i="5"/>
  <c r="AH34" i="5"/>
  <c r="AZ34" i="5"/>
  <c r="U34" i="5"/>
  <c r="G34" i="5"/>
  <c r="S34" i="5"/>
  <c r="BC34" i="5"/>
  <c r="AS34" i="5"/>
  <c r="M34" i="5"/>
  <c r="AE34" i="5"/>
  <c r="AQ34" i="5"/>
  <c r="AW34" i="5"/>
  <c r="R34" i="5"/>
  <c r="AJ34" i="5"/>
  <c r="BB34" i="5"/>
  <c r="T34" i="5"/>
  <c r="AL34" i="5"/>
  <c r="AX34" i="5"/>
  <c r="BD34" i="5"/>
  <c r="D34" i="5"/>
  <c r="V34" i="5"/>
  <c r="C38" i="5"/>
  <c r="AG34" i="5"/>
  <c r="AY34" i="5"/>
  <c r="F34" i="5"/>
  <c r="X34" i="5"/>
  <c r="AP34" i="5"/>
  <c r="H34" i="5"/>
  <c r="Z34" i="5"/>
  <c r="AR34" i="5"/>
  <c r="O34" i="5"/>
  <c r="AT34" i="5"/>
  <c r="N34" i="5"/>
  <c r="AF34" i="5"/>
  <c r="L34" i="5"/>
  <c r="AD34" i="5"/>
  <c r="AV34" i="5"/>
  <c r="R38" i="5"/>
  <c r="AJ38" i="5"/>
  <c r="BB38" i="5"/>
  <c r="G37" i="5"/>
  <c r="G38" i="5" s="1"/>
  <c r="M37" i="5"/>
  <c r="M38" i="5" s="1"/>
  <c r="S37" i="5"/>
  <c r="S38" i="5" s="1"/>
  <c r="Y37" i="5"/>
  <c r="Y38" i="5" s="1"/>
  <c r="AE37" i="5"/>
  <c r="AE38" i="5" s="1"/>
  <c r="AK37" i="5"/>
  <c r="AK38" i="5" s="1"/>
  <c r="AQ37" i="5"/>
  <c r="AQ38" i="5" s="1"/>
  <c r="AW37" i="5"/>
  <c r="AW38" i="5" s="1"/>
  <c r="BC37" i="5"/>
  <c r="BC38" i="5" s="1"/>
  <c r="H37" i="5"/>
  <c r="H38" i="5" s="1"/>
  <c r="N37" i="5"/>
  <c r="N38" i="5" s="1"/>
  <c r="T37" i="5"/>
  <c r="T38" i="5" s="1"/>
  <c r="Z37" i="5"/>
  <c r="Z38" i="5" s="1"/>
  <c r="AF37" i="5"/>
  <c r="AF38" i="5" s="1"/>
  <c r="AL37" i="5"/>
  <c r="AL38" i="5" s="1"/>
  <c r="AR37" i="5"/>
  <c r="AR38" i="5" s="1"/>
  <c r="AX37" i="5"/>
  <c r="AX38" i="5" s="1"/>
  <c r="BD37" i="5"/>
  <c r="BD38" i="5" s="1"/>
  <c r="E34" i="5"/>
  <c r="K34" i="5"/>
  <c r="Q34" i="5"/>
  <c r="W34" i="5"/>
  <c r="AC34" i="5"/>
  <c r="AI34" i="5"/>
  <c r="AO34" i="5"/>
  <c r="AU34" i="5"/>
  <c r="BA34" i="5"/>
  <c r="L38" i="5"/>
  <c r="O37" i="5"/>
  <c r="O38" i="5" s="1"/>
  <c r="AG37" i="5"/>
  <c r="AG38" i="5" s="1"/>
  <c r="AY37" i="5"/>
  <c r="AY38" i="5" s="1"/>
  <c r="AD38" i="5"/>
  <c r="I37" i="5"/>
  <c r="I38" i="5" s="1"/>
  <c r="AA37" i="5"/>
  <c r="AA38" i="5" s="1"/>
  <c r="AS37" i="5"/>
  <c r="AS38" i="5" s="1"/>
  <c r="F38" i="5"/>
  <c r="X38" i="5"/>
  <c r="AP38" i="5"/>
  <c r="AV38" i="5"/>
  <c r="U37" i="5"/>
  <c r="U38" i="5" s="1"/>
  <c r="AM37" i="5"/>
  <c r="AM38" i="5" s="1"/>
  <c r="C34" i="5"/>
  <c r="E38" i="5"/>
  <c r="K38" i="5"/>
  <c r="Q38" i="5"/>
  <c r="W38" i="5"/>
  <c r="AC38" i="5"/>
  <c r="AI38" i="5"/>
  <c r="AO38" i="5"/>
  <c r="AU38" i="5"/>
  <c r="BA38" i="5"/>
  <c r="D38" i="5"/>
  <c r="P38" i="5"/>
  <c r="V38" i="5"/>
  <c r="AH38" i="5"/>
  <c r="AT38" i="5"/>
  <c r="AZ38" i="5"/>
  <c r="J36" i="5"/>
  <c r="J38" i="5" s="1"/>
  <c r="AB36" i="5"/>
  <c r="AB38" i="5" s="1"/>
  <c r="AN36" i="5"/>
  <c r="AN38" i="5" s="1"/>
  <c r="CF29" i="3" l="1"/>
  <c r="CE23" i="6"/>
  <c r="AN34" i="5"/>
  <c r="AB34" i="5"/>
  <c r="J34" i="5"/>
  <c r="CG29" i="3" l="1"/>
  <c r="CF23" i="6"/>
  <c r="DC29" i="3" l="1"/>
  <c r="CG23" i="6"/>
  <c r="DC23" i="6" s="1"/>
  <c r="BM36" i="5" l="1"/>
  <c r="BM33" i="5" s="1"/>
  <c r="BM37" i="5" l="1"/>
  <c r="BM39" i="5" s="1"/>
  <c r="BM6" i="4"/>
  <c r="BN36" i="5" l="1"/>
  <c r="BN33" i="5" s="1"/>
  <c r="BM17" i="3"/>
  <c r="BN37" i="5" l="1"/>
  <c r="BN39" i="5" s="1"/>
  <c r="BN6" i="4"/>
  <c r="BO36" i="5" l="1"/>
  <c r="BO33" i="5" s="1"/>
  <c r="BN17" i="3"/>
  <c r="BO37" i="5" l="1"/>
  <c r="BO39" i="5" s="1"/>
  <c r="BO6" i="4"/>
  <c r="BP36" i="5" l="1"/>
  <c r="BP33" i="5" s="1"/>
  <c r="BO17" i="3"/>
  <c r="BP37" i="5" l="1"/>
  <c r="BP39" i="5" s="1"/>
  <c r="BP6" i="4"/>
  <c r="BQ36" i="5" l="1"/>
  <c r="BQ33" i="5" s="1"/>
  <c r="BP17" i="3"/>
  <c r="BQ37" i="5" l="1"/>
  <c r="BQ39" i="5" s="1"/>
  <c r="BQ6" i="4"/>
  <c r="BR36" i="5" l="1"/>
  <c r="BR33" i="5" s="1"/>
  <c r="BQ17" i="3"/>
  <c r="BR37" i="5" l="1"/>
  <c r="BR39" i="5" s="1"/>
  <c r="BR6" i="4"/>
  <c r="BS36" i="5" l="1"/>
  <c r="BS33" i="5" s="1"/>
  <c r="BR17" i="3"/>
  <c r="BS37" i="5" l="1"/>
  <c r="BS39" i="5" s="1"/>
  <c r="BS6" i="4"/>
  <c r="BT36" i="5" l="1"/>
  <c r="BT33" i="5" s="1"/>
  <c r="BS17" i="3"/>
  <c r="BT37" i="5" l="1"/>
  <c r="BT39" i="5" s="1"/>
  <c r="BT6" i="4"/>
  <c r="BU36" i="5" l="1"/>
  <c r="BU33" i="5" s="1"/>
  <c r="BT17" i="3"/>
  <c r="BU37" i="5" l="1"/>
  <c r="BU39" i="5" s="1"/>
  <c r="BU6" i="4"/>
  <c r="BV36" i="5" l="1"/>
  <c r="BV33" i="5" s="1"/>
  <c r="BU17" i="3"/>
  <c r="BV37" i="5" l="1"/>
  <c r="BV39" i="5" s="1"/>
  <c r="BV6" i="4"/>
  <c r="BW36" i="5" l="1"/>
  <c r="BW33" i="5" s="1"/>
  <c r="BV17" i="3"/>
  <c r="BW37" i="5" l="1"/>
  <c r="BW39" i="5" s="1"/>
  <c r="BW6" i="4"/>
  <c r="BX36" i="5" l="1"/>
  <c r="BX33" i="5" s="1"/>
  <c r="BW17" i="3"/>
  <c r="BX37" i="5" l="1"/>
  <c r="BX39" i="5" s="1"/>
  <c r="BX6" i="4"/>
  <c r="BY36" i="5" l="1"/>
  <c r="BY33" i="5" s="1"/>
  <c r="BX17" i="3"/>
  <c r="BY37" i="5" l="1"/>
  <c r="BY39" i="5" s="1"/>
  <c r="BY6" i="4"/>
  <c r="BZ36" i="5" l="1"/>
  <c r="BZ33" i="5" s="1"/>
  <c r="BY17" i="3"/>
  <c r="BZ37" i="5" l="1"/>
  <c r="BZ39" i="5" s="1"/>
  <c r="BZ6" i="4"/>
  <c r="CA36" i="5" l="1"/>
  <c r="CA33" i="5" s="1"/>
  <c r="BZ17" i="3"/>
  <c r="CA37" i="5" l="1"/>
  <c r="CA39" i="5" s="1"/>
  <c r="CA6" i="4"/>
  <c r="CB36" i="5" l="1"/>
  <c r="CB33" i="5" s="1"/>
  <c r="CA17" i="3"/>
  <c r="CB37" i="5" l="1"/>
  <c r="CB39" i="5" s="1"/>
  <c r="CB6" i="4"/>
  <c r="CC36" i="5" l="1"/>
  <c r="CC33" i="5" s="1"/>
  <c r="CB17" i="3"/>
  <c r="CC37" i="5" l="1"/>
  <c r="CC39" i="5" s="1"/>
  <c r="CC6" i="4"/>
  <c r="CC17" i="3" l="1"/>
  <c r="CD36" i="5"/>
  <c r="CD33" i="5" s="1"/>
  <c r="BM18" i="3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DC18" i="3" s="1"/>
  <c r="BM34" i="3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DC34" i="3" s="1"/>
  <c r="BM9" i="3"/>
  <c r="BN9" i="3" s="1"/>
  <c r="BO9" i="3" s="1"/>
  <c r="BP9" i="3" s="1"/>
  <c r="BQ9" i="3" s="1"/>
  <c r="BR9" i="3" s="1"/>
  <c r="BS9" i="3" s="1"/>
  <c r="BT9" i="3" s="1"/>
  <c r="BU9" i="3" s="1"/>
  <c r="BV9" i="3" s="1"/>
  <c r="BW9" i="3" s="1"/>
  <c r="BX9" i="3" s="1"/>
  <c r="BY9" i="3" s="1"/>
  <c r="BZ9" i="3" s="1"/>
  <c r="CA9" i="3" s="1"/>
  <c r="CB9" i="3" s="1"/>
  <c r="CC9" i="3" s="1"/>
  <c r="BM42" i="3"/>
  <c r="BN42" i="3" s="1"/>
  <c r="BO42" i="3" s="1"/>
  <c r="BP42" i="3" s="1"/>
  <c r="BQ42" i="3" s="1"/>
  <c r="BR42" i="3" s="1"/>
  <c r="BS42" i="3" s="1"/>
  <c r="BT42" i="3" s="1"/>
  <c r="BU42" i="3" s="1"/>
  <c r="BV42" i="3" s="1"/>
  <c r="BW42" i="3" s="1"/>
  <c r="BX42" i="3" s="1"/>
  <c r="BY42" i="3" s="1"/>
  <c r="BZ42" i="3" s="1"/>
  <c r="CA42" i="3" s="1"/>
  <c r="CB42" i="3" s="1"/>
  <c r="CC42" i="3" s="1"/>
  <c r="CD42" i="3" s="1"/>
  <c r="CE42" i="3" s="1"/>
  <c r="CF42" i="3" s="1"/>
  <c r="CG42" i="3" s="1"/>
  <c r="BM16" i="3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BM36" i="3"/>
  <c r="BN36" i="3" s="1"/>
  <c r="BO36" i="3" s="1"/>
  <c r="BP36" i="3" s="1"/>
  <c r="BQ36" i="3" s="1"/>
  <c r="BR36" i="3" s="1"/>
  <c r="BS36" i="3" s="1"/>
  <c r="BT36" i="3" s="1"/>
  <c r="BU36" i="3" s="1"/>
  <c r="BV36" i="3" s="1"/>
  <c r="BW36" i="3" s="1"/>
  <c r="BX36" i="3" s="1"/>
  <c r="BY36" i="3" s="1"/>
  <c r="BZ36" i="3" s="1"/>
  <c r="CA36" i="3" s="1"/>
  <c r="CB36" i="3" s="1"/>
  <c r="CC36" i="3" s="1"/>
  <c r="CD36" i="3" s="1"/>
  <c r="BM24" i="3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BD59" i="3"/>
  <c r="BD60" i="3" s="1"/>
  <c r="BC59" i="3"/>
  <c r="BC60" i="3" s="1"/>
  <c r="BB59" i="3"/>
  <c r="BB60" i="3" s="1"/>
  <c r="BA59" i="3"/>
  <c r="BA60" i="3" s="1"/>
  <c r="AZ59" i="3"/>
  <c r="AZ60" i="3" s="1"/>
  <c r="AY59" i="3"/>
  <c r="AY60" i="3" s="1"/>
  <c r="AX59" i="3"/>
  <c r="AX60" i="3" s="1"/>
  <c r="AW59" i="3"/>
  <c r="AW60" i="3" s="1"/>
  <c r="AV59" i="3"/>
  <c r="AV60" i="3" s="1"/>
  <c r="AU59" i="3"/>
  <c r="AU60" i="3" s="1"/>
  <c r="AT59" i="3"/>
  <c r="AT60" i="3" s="1"/>
  <c r="AS59" i="3"/>
  <c r="AS60" i="3" s="1"/>
  <c r="AR59" i="3"/>
  <c r="AR60" i="3" s="1"/>
  <c r="AQ59" i="3"/>
  <c r="AQ60" i="3" s="1"/>
  <c r="AP59" i="3"/>
  <c r="AP60" i="3" s="1"/>
  <c r="AO59" i="3"/>
  <c r="AO60" i="3" s="1"/>
  <c r="AN59" i="3"/>
  <c r="AN60" i="3" s="1"/>
  <c r="AM59" i="3"/>
  <c r="AM60" i="3" s="1"/>
  <c r="AL59" i="3"/>
  <c r="AL60" i="3" s="1"/>
  <c r="AK59" i="3"/>
  <c r="AK60" i="3" s="1"/>
  <c r="AJ59" i="3"/>
  <c r="AJ60" i="3" s="1"/>
  <c r="AI59" i="3"/>
  <c r="AI60" i="3" s="1"/>
  <c r="AH59" i="3"/>
  <c r="AH60" i="3" s="1"/>
  <c r="AG59" i="3"/>
  <c r="AG60" i="3" s="1"/>
  <c r="AF59" i="3"/>
  <c r="AF60" i="3" s="1"/>
  <c r="AE59" i="3"/>
  <c r="AE60" i="3" s="1"/>
  <c r="AD59" i="3"/>
  <c r="AD60" i="3" s="1"/>
  <c r="AC59" i="3"/>
  <c r="AC60" i="3" s="1"/>
  <c r="AB59" i="3"/>
  <c r="AB60" i="3" s="1"/>
  <c r="AA59" i="3"/>
  <c r="AA60" i="3" s="1"/>
  <c r="Z59" i="3"/>
  <c r="Z60" i="3" s="1"/>
  <c r="Y59" i="3"/>
  <c r="Y60" i="3" s="1"/>
  <c r="X59" i="3"/>
  <c r="X60" i="3" s="1"/>
  <c r="W59" i="3"/>
  <c r="W60" i="3" s="1"/>
  <c r="V59" i="3"/>
  <c r="V60" i="3" s="1"/>
  <c r="U59" i="3"/>
  <c r="U60" i="3" s="1"/>
  <c r="T59" i="3"/>
  <c r="T60" i="3" s="1"/>
  <c r="S59" i="3"/>
  <c r="S60" i="3" s="1"/>
  <c r="R59" i="3"/>
  <c r="R60" i="3" s="1"/>
  <c r="Q59" i="3"/>
  <c r="Q60" i="3" s="1"/>
  <c r="P59" i="3"/>
  <c r="P60" i="3" s="1"/>
  <c r="O59" i="3"/>
  <c r="O60" i="3" s="1"/>
  <c r="N59" i="3"/>
  <c r="N60" i="3" s="1"/>
  <c r="M59" i="3"/>
  <c r="M60" i="3" s="1"/>
  <c r="L59" i="3"/>
  <c r="L60" i="3" s="1"/>
  <c r="K59" i="3"/>
  <c r="K60" i="3" s="1"/>
  <c r="J59" i="3"/>
  <c r="J60" i="3" s="1"/>
  <c r="I59" i="3"/>
  <c r="I60" i="3" s="1"/>
  <c r="H59" i="3"/>
  <c r="H60" i="3" s="1"/>
  <c r="G59" i="3"/>
  <c r="G60" i="3" s="1"/>
  <c r="F59" i="3"/>
  <c r="F60" i="3" s="1"/>
  <c r="E59" i="3"/>
  <c r="E60" i="3" s="1"/>
  <c r="D59" i="3"/>
  <c r="D60" i="3" s="1"/>
  <c r="C59" i="3"/>
  <c r="C60" i="3" s="1"/>
  <c r="B59" i="3"/>
  <c r="B60" i="3" s="1"/>
  <c r="BM19" i="3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DC19" i="3" s="1"/>
  <c r="B14" i="6"/>
  <c r="C14" i="6"/>
  <c r="D14" i="6"/>
  <c r="E14" i="6"/>
  <c r="CI14" i="6" s="1"/>
  <c r="F14" i="6"/>
  <c r="G14" i="6"/>
  <c r="H14" i="6"/>
  <c r="I14" i="6"/>
  <c r="CJ14" i="6" s="1"/>
  <c r="J14" i="6"/>
  <c r="K14" i="6"/>
  <c r="L14" i="6"/>
  <c r="M14" i="6"/>
  <c r="CK14" i="6" s="1"/>
  <c r="N14" i="6"/>
  <c r="O14" i="6"/>
  <c r="P14" i="6"/>
  <c r="Q14" i="6"/>
  <c r="CL14" i="6" s="1"/>
  <c r="R14" i="6"/>
  <c r="S14" i="6"/>
  <c r="T14" i="6"/>
  <c r="U14" i="6"/>
  <c r="CM14" i="6" s="1"/>
  <c r="V14" i="6"/>
  <c r="W14" i="6"/>
  <c r="X14" i="6"/>
  <c r="Y14" i="6"/>
  <c r="CN14" i="6" s="1"/>
  <c r="Z14" i="6"/>
  <c r="AA14" i="6"/>
  <c r="AB14" i="6"/>
  <c r="AC14" i="6"/>
  <c r="CO14" i="6" s="1"/>
  <c r="AD14" i="6"/>
  <c r="AE14" i="6"/>
  <c r="AF14" i="6"/>
  <c r="AG14" i="6"/>
  <c r="CP14" i="6" s="1"/>
  <c r="AH14" i="6"/>
  <c r="AI14" i="6"/>
  <c r="AJ14" i="6"/>
  <c r="AK14" i="6"/>
  <c r="CQ14" i="6" s="1"/>
  <c r="AL14" i="6"/>
  <c r="AM14" i="6"/>
  <c r="AN14" i="6"/>
  <c r="AO14" i="6"/>
  <c r="CR14" i="6" s="1"/>
  <c r="AP14" i="6"/>
  <c r="AQ14" i="6"/>
  <c r="AR14" i="6"/>
  <c r="AS14" i="6"/>
  <c r="CS14" i="6" s="1"/>
  <c r="AT14" i="6"/>
  <c r="AU14" i="6"/>
  <c r="AV14" i="6"/>
  <c r="AW14" i="6"/>
  <c r="CT14" i="6" s="1"/>
  <c r="AX14" i="6"/>
  <c r="AY14" i="6"/>
  <c r="AZ14" i="6"/>
  <c r="BA14" i="6"/>
  <c r="CU14" i="6" s="1"/>
  <c r="BB14" i="6"/>
  <c r="BC14" i="6"/>
  <c r="BD14" i="6"/>
  <c r="CC14" i="6" l="1"/>
  <c r="CD9" i="3"/>
  <c r="CE24" i="3"/>
  <c r="CE36" i="3"/>
  <c r="CD37" i="5"/>
  <c r="CD39" i="5" s="1"/>
  <c r="CD6" i="4"/>
  <c r="CE16" i="3"/>
  <c r="BP14" i="6"/>
  <c r="BV14" i="6"/>
  <c r="CB14" i="6"/>
  <c r="BW14" i="6"/>
  <c r="BR14" i="6"/>
  <c r="BX14" i="6"/>
  <c r="BM14" i="6"/>
  <c r="BS14" i="6"/>
  <c r="BY14" i="6"/>
  <c r="BQ14" i="6"/>
  <c r="BN14" i="6"/>
  <c r="BT14" i="6"/>
  <c r="BZ14" i="6"/>
  <c r="BO14" i="6"/>
  <c r="BU14" i="6"/>
  <c r="CA14" i="6"/>
  <c r="CF36" i="3" l="1"/>
  <c r="CF16" i="3"/>
  <c r="CF24" i="3"/>
  <c r="CE9" i="3"/>
  <c r="CD14" i="6"/>
  <c r="CD17" i="3"/>
  <c r="CE36" i="5"/>
  <c r="CG16" i="3" l="1"/>
  <c r="CF9" i="3"/>
  <c r="CE14" i="6"/>
  <c r="CE33" i="5"/>
  <c r="CG24" i="3"/>
  <c r="CG36" i="3"/>
  <c r="J12" i="17"/>
  <c r="H12" i="17"/>
  <c r="F12" i="17"/>
  <c r="K8" i="17"/>
  <c r="K12" i="17" s="1"/>
  <c r="E8" i="17"/>
  <c r="E12" i="17" s="1"/>
  <c r="CG9" i="3" l="1"/>
  <c r="CF14" i="6"/>
  <c r="DC36" i="3"/>
  <c r="CE6" i="4"/>
  <c r="CE37" i="5"/>
  <c r="CE39" i="5" s="1"/>
  <c r="DC24" i="3"/>
  <c r="DC16" i="3"/>
  <c r="H11" i="17"/>
  <c r="J11" i="17"/>
  <c r="K11" i="17"/>
  <c r="E11" i="17"/>
  <c r="F11" i="17"/>
  <c r="D8" i="17"/>
  <c r="D12" i="17" s="1"/>
  <c r="L8" i="17"/>
  <c r="L12" i="17" s="1"/>
  <c r="CE17" i="3" l="1"/>
  <c r="CF36" i="5"/>
  <c r="CF33" i="5" s="1"/>
  <c r="DC9" i="3"/>
  <c r="CG14" i="6"/>
  <c r="DC14" i="6" s="1"/>
  <c r="L11" i="17"/>
  <c r="D11" i="17"/>
  <c r="M8" i="17"/>
  <c r="M12" i="17" s="1"/>
  <c r="C8" i="17"/>
  <c r="C12" i="17" s="1"/>
  <c r="CF6" i="4" l="1"/>
  <c r="CF37" i="5"/>
  <c r="CF39" i="5" s="1"/>
  <c r="M11" i="17"/>
  <c r="C11" i="17"/>
  <c r="O8" i="17"/>
  <c r="O12" i="17" s="1"/>
  <c r="CF17" i="3" l="1"/>
  <c r="CG36" i="5"/>
  <c r="CG33" i="5" s="1"/>
  <c r="O11" i="17"/>
  <c r="BM6" i="3"/>
  <c r="BM23" i="6"/>
  <c r="P8" i="17"/>
  <c r="P12" i="17" s="1"/>
  <c r="CG6" i="4" l="1"/>
  <c r="CG37" i="5"/>
  <c r="CG39" i="5" s="1"/>
  <c r="CG17" i="3" s="1"/>
  <c r="P11" i="17"/>
  <c r="BN6" i="3"/>
  <c r="BM12" i="6"/>
  <c r="BM14" i="4"/>
  <c r="BN23" i="6"/>
  <c r="Q8" i="17"/>
  <c r="Q12" i="17" s="1"/>
  <c r="DC17" i="3" l="1"/>
  <c r="DC6" i="4"/>
  <c r="Q11" i="17"/>
  <c r="BO6" i="3"/>
  <c r="BN12" i="6"/>
  <c r="BN14" i="4"/>
  <c r="BO23" i="6"/>
  <c r="R8" i="17"/>
  <c r="R12" i="17" s="1"/>
  <c r="R11" i="17" l="1"/>
  <c r="BP6" i="3"/>
  <c r="BO12" i="6"/>
  <c r="BO14" i="4"/>
  <c r="BP23" i="6"/>
  <c r="T8" i="17"/>
  <c r="T12" i="17" s="1"/>
  <c r="T11" i="17" l="1"/>
  <c r="BQ6" i="3"/>
  <c r="BP12" i="6"/>
  <c r="BP14" i="4"/>
  <c r="BQ23" i="6"/>
  <c r="U8" i="17"/>
  <c r="U12" i="17" s="1"/>
  <c r="U11" i="17" l="1"/>
  <c r="BR6" i="3"/>
  <c r="BQ12" i="6"/>
  <c r="BQ14" i="4"/>
  <c r="BR23" i="6"/>
  <c r="V8" i="17"/>
  <c r="V12" i="17" s="1"/>
  <c r="V11" i="17" l="1"/>
  <c r="BS6" i="3"/>
  <c r="BR12" i="6"/>
  <c r="BR14" i="4"/>
  <c r="BS23" i="6"/>
  <c r="W8" i="17"/>
  <c r="W12" i="17" s="1"/>
  <c r="W11" i="17" l="1"/>
  <c r="BT6" i="3"/>
  <c r="BS12" i="6"/>
  <c r="BS14" i="4"/>
  <c r="BT23" i="6"/>
  <c r="Y8" i="17"/>
  <c r="Y12" i="17" s="1"/>
  <c r="Y11" i="17" l="1"/>
  <c r="BU6" i="3"/>
  <c r="BT12" i="6"/>
  <c r="BT14" i="4"/>
  <c r="BU23" i="6"/>
  <c r="Z8" i="17"/>
  <c r="Z12" i="17" s="1"/>
  <c r="Z11" i="17" l="1"/>
  <c r="BV6" i="3"/>
  <c r="BU12" i="6"/>
  <c r="BU14" i="4"/>
  <c r="BV23" i="6"/>
  <c r="AA8" i="17"/>
  <c r="AA12" i="17" s="1"/>
  <c r="AA11" i="17" l="1"/>
  <c r="BW6" i="3"/>
  <c r="BV12" i="6"/>
  <c r="BV14" i="4"/>
  <c r="BW23" i="6"/>
  <c r="AB8" i="17"/>
  <c r="AB12" i="17" s="1"/>
  <c r="AB11" i="17" l="1"/>
  <c r="BX6" i="3"/>
  <c r="BW12" i="6"/>
  <c r="BW14" i="4"/>
  <c r="BX23" i="6"/>
  <c r="AD8" i="17"/>
  <c r="AD12" i="17" s="1"/>
  <c r="AD11" i="17" l="1"/>
  <c r="BY6" i="3"/>
  <c r="BX12" i="6"/>
  <c r="BX14" i="4"/>
  <c r="BY23" i="6"/>
  <c r="AE8" i="17"/>
  <c r="AE12" i="17" s="1"/>
  <c r="AE11" i="17" l="1"/>
  <c r="BZ6" i="3"/>
  <c r="BY12" i="6"/>
  <c r="BY14" i="4"/>
  <c r="BZ23" i="6"/>
  <c r="AF8" i="17"/>
  <c r="AF12" i="17" s="1"/>
  <c r="AF11" i="17" l="1"/>
  <c r="CA6" i="3"/>
  <c r="BZ12" i="6"/>
  <c r="BZ14" i="4"/>
  <c r="CA23" i="6"/>
  <c r="AG8" i="17"/>
  <c r="AG12" i="17" s="1"/>
  <c r="AG11" i="17" l="1"/>
  <c r="CB6" i="3"/>
  <c r="CA12" i="6"/>
  <c r="CA14" i="4"/>
  <c r="CB23" i="6"/>
  <c r="BD5" i="8"/>
  <c r="CC6" i="3" l="1"/>
  <c r="CB12" i="6"/>
  <c r="CB14" i="4"/>
  <c r="CC23" i="6"/>
  <c r="DB20" i="7"/>
  <c r="DA20" i="7"/>
  <c r="DB14" i="7"/>
  <c r="DA14" i="7"/>
  <c r="DB30" i="5"/>
  <c r="DA30" i="5"/>
  <c r="DB45" i="4"/>
  <c r="DA45" i="4"/>
  <c r="DB41" i="4"/>
  <c r="DA41" i="4"/>
  <c r="DB37" i="4"/>
  <c r="DA37" i="4"/>
  <c r="DB36" i="4"/>
  <c r="DA36" i="4"/>
  <c r="DB31" i="4"/>
  <c r="DA31" i="4"/>
  <c r="DB30" i="4"/>
  <c r="DA30" i="4"/>
  <c r="DB10" i="4"/>
  <c r="DA10" i="4"/>
  <c r="DB9" i="4"/>
  <c r="DA9" i="4"/>
  <c r="DB265" i="2"/>
  <c r="DA265" i="2"/>
  <c r="DB194" i="2"/>
  <c r="DA194" i="2"/>
  <c r="DB59" i="2"/>
  <c r="DC61" i="2" s="1"/>
  <c r="DA59" i="2"/>
  <c r="DB1" i="8"/>
  <c r="DA1" i="8"/>
  <c r="DB1" i="7"/>
  <c r="DA1" i="7"/>
  <c r="DB1" i="6"/>
  <c r="DA1" i="6"/>
  <c r="DB1" i="5"/>
  <c r="DA1" i="5"/>
  <c r="DB1" i="3"/>
  <c r="DA1" i="3"/>
  <c r="DB1" i="4"/>
  <c r="DA1" i="4"/>
  <c r="CC1" i="8"/>
  <c r="CB1" i="8"/>
  <c r="CA1" i="8"/>
  <c r="BZ1" i="8"/>
  <c r="BY1" i="8"/>
  <c r="BX1" i="8"/>
  <c r="BW1" i="8"/>
  <c r="BV1" i="8"/>
  <c r="CC25" i="7"/>
  <c r="CB25" i="7"/>
  <c r="CA25" i="7"/>
  <c r="BZ25" i="7"/>
  <c r="BY25" i="7"/>
  <c r="BX25" i="7"/>
  <c r="BW25" i="7"/>
  <c r="BV25" i="7"/>
  <c r="CC1" i="7"/>
  <c r="CB1" i="7"/>
  <c r="CA1" i="7"/>
  <c r="BZ1" i="7"/>
  <c r="BY1" i="7"/>
  <c r="BX1" i="7"/>
  <c r="BW1" i="7"/>
  <c r="BV1" i="7"/>
  <c r="CC1" i="6"/>
  <c r="CB1" i="6"/>
  <c r="CA1" i="6"/>
  <c r="BZ1" i="6"/>
  <c r="BY1" i="6"/>
  <c r="BX1" i="6"/>
  <c r="BW1" i="6"/>
  <c r="BV1" i="6"/>
  <c r="CC1" i="5"/>
  <c r="CB1" i="5"/>
  <c r="CA1" i="5"/>
  <c r="BZ1" i="5"/>
  <c r="BY1" i="5"/>
  <c r="BX1" i="5"/>
  <c r="BW1" i="5"/>
  <c r="BV1" i="5"/>
  <c r="CC1" i="3"/>
  <c r="CB1" i="3"/>
  <c r="CA1" i="3"/>
  <c r="BZ1" i="3"/>
  <c r="BY1" i="3"/>
  <c r="BX1" i="3"/>
  <c r="BW1" i="3"/>
  <c r="BV1" i="3"/>
  <c r="CC1" i="4"/>
  <c r="CB1" i="4"/>
  <c r="CA1" i="4"/>
  <c r="BZ1" i="4"/>
  <c r="BY1" i="4"/>
  <c r="BX1" i="4"/>
  <c r="BW1" i="4"/>
  <c r="BV1" i="4"/>
  <c r="CC30" i="2"/>
  <c r="CB30" i="2"/>
  <c r="CA30" i="2"/>
  <c r="BZ30" i="2"/>
  <c r="BY30" i="2"/>
  <c r="BX30" i="2"/>
  <c r="BW30" i="2"/>
  <c r="BV30" i="2"/>
  <c r="CC12" i="6" l="1"/>
  <c r="CD6" i="3"/>
  <c r="CD14" i="4" s="1"/>
  <c r="CC14" i="4"/>
  <c r="DB61" i="2"/>
  <c r="CD12" i="6" l="1"/>
  <c r="CE6" i="3"/>
  <c r="CE14" i="4" s="1"/>
  <c r="BD13" i="8"/>
  <c r="BD15" i="8" s="1"/>
  <c r="BD8" i="8"/>
  <c r="BD22" i="7"/>
  <c r="BD15" i="7"/>
  <c r="BE11" i="7" s="1"/>
  <c r="BD13" i="7"/>
  <c r="BD12" i="7"/>
  <c r="BD23" i="6"/>
  <c r="BD22" i="6"/>
  <c r="BD21" i="6"/>
  <c r="BD20" i="6"/>
  <c r="BD19" i="6"/>
  <c r="BD18" i="6"/>
  <c r="BD15" i="6"/>
  <c r="BD13" i="6"/>
  <c r="BD12" i="6"/>
  <c r="BD11" i="6"/>
  <c r="BD31" i="5"/>
  <c r="BE27" i="5" s="1"/>
  <c r="BD4" i="5"/>
  <c r="BD61" i="3"/>
  <c r="BD40" i="3"/>
  <c r="BD95" i="4"/>
  <c r="BD94" i="4"/>
  <c r="BD93" i="4"/>
  <c r="BD92" i="4"/>
  <c r="BD258" i="2"/>
  <c r="BD257" i="2"/>
  <c r="BD248" i="2"/>
  <c r="BD247" i="2"/>
  <c r="BD246" i="2"/>
  <c r="BD233" i="2"/>
  <c r="BD232" i="2"/>
  <c r="BD231" i="2"/>
  <c r="D50" i="15" s="1"/>
  <c r="BD230" i="2"/>
  <c r="BD221" i="2"/>
  <c r="D54" i="15" s="1"/>
  <c r="BD220" i="2"/>
  <c r="BD219" i="2"/>
  <c r="D34" i="15" s="1"/>
  <c r="BD216" i="2"/>
  <c r="D53" i="15" s="1"/>
  <c r="BD215" i="2"/>
  <c r="BD213" i="2"/>
  <c r="BD210" i="2"/>
  <c r="D52" i="15" s="1"/>
  <c r="BD209" i="2"/>
  <c r="BD192" i="2"/>
  <c r="D49" i="15" s="1"/>
  <c r="BD191" i="2"/>
  <c r="BD187" i="2"/>
  <c r="D48" i="15" s="1"/>
  <c r="BD186" i="2"/>
  <c r="BD182" i="2"/>
  <c r="D47" i="15" s="1"/>
  <c r="BD181" i="2"/>
  <c r="BD166" i="2"/>
  <c r="BD162" i="2"/>
  <c r="BD161" i="2"/>
  <c r="BD159" i="2"/>
  <c r="BD157" i="2"/>
  <c r="BD155" i="2"/>
  <c r="BD149" i="2"/>
  <c r="BD148" i="2"/>
  <c r="BD144" i="2"/>
  <c r="BD143" i="2"/>
  <c r="BD134" i="2"/>
  <c r="BD133" i="2"/>
  <c r="BD129" i="2"/>
  <c r="BD128" i="2"/>
  <c r="BD70" i="2"/>
  <c r="D30" i="16" s="1"/>
  <c r="BD69" i="2"/>
  <c r="D45" i="16" s="1"/>
  <c r="BD55" i="2"/>
  <c r="D29" i="16" s="1"/>
  <c r="BD54" i="2"/>
  <c r="D44" i="16" s="1"/>
  <c r="BD49" i="2"/>
  <c r="BD48" i="2"/>
  <c r="D43" i="16" s="1"/>
  <c r="BD43" i="2"/>
  <c r="BD42" i="2"/>
  <c r="D42" i="16" s="1"/>
  <c r="BD36" i="2"/>
  <c r="BD35" i="2"/>
  <c r="D41" i="16" s="1"/>
  <c r="BD29" i="2"/>
  <c r="BD28" i="2"/>
  <c r="BD22" i="2"/>
  <c r="BL23" i="2" s="1"/>
  <c r="BD21" i="2"/>
  <c r="BC5" i="8"/>
  <c r="BL30" i="2" l="1"/>
  <c r="D26" i="16"/>
  <c r="BL37" i="2"/>
  <c r="D24" i="16"/>
  <c r="D39" i="16"/>
  <c r="D40" i="16"/>
  <c r="D28" i="16"/>
  <c r="D33" i="15"/>
  <c r="D25" i="16"/>
  <c r="D19" i="15"/>
  <c r="D27" i="16"/>
  <c r="CE12" i="6"/>
  <c r="CF6" i="3"/>
  <c r="CF14" i="4" s="1"/>
  <c r="BH6" i="5"/>
  <c r="H58" i="15" s="1"/>
  <c r="BH168" i="2"/>
  <c r="BE40" i="2"/>
  <c r="BD39" i="6"/>
  <c r="BD40" i="6" s="1"/>
  <c r="BD28" i="5"/>
  <c r="BE22" i="5"/>
  <c r="BE30" i="5"/>
  <c r="BE17" i="7"/>
  <c r="BE26" i="7"/>
  <c r="BE25" i="7"/>
  <c r="BE14" i="7"/>
  <c r="BE16" i="7"/>
  <c r="BE52" i="2"/>
  <c r="BE167" i="2"/>
  <c r="BD16" i="6"/>
  <c r="BD29" i="5"/>
  <c r="BD163" i="2"/>
  <c r="BD24" i="6"/>
  <c r="BD14" i="8"/>
  <c r="BD21" i="5"/>
  <c r="CF12" i="6" l="1"/>
  <c r="CG6" i="3"/>
  <c r="CP91" i="2"/>
  <c r="CG14" i="4" l="1"/>
  <c r="DC6" i="3"/>
  <c r="CG12" i="6"/>
  <c r="DC12" i="6" s="1"/>
  <c r="BH33" i="2"/>
  <c r="BG33" i="2"/>
  <c r="DC14" i="4" l="1"/>
  <c r="AU232" i="2"/>
  <c r="AV232" i="2"/>
  <c r="AW232" i="2"/>
  <c r="AX232" i="2"/>
  <c r="AY232" i="2"/>
  <c r="AZ232" i="2"/>
  <c r="BA232" i="2"/>
  <c r="BB232" i="2"/>
  <c r="BC232" i="2"/>
  <c r="BE232" i="2"/>
  <c r="BF232" i="2"/>
  <c r="BG232" i="2"/>
  <c r="BH232" i="2"/>
  <c r="BI232" i="2"/>
  <c r="BM232" i="2"/>
  <c r="BN232" i="2"/>
  <c r="BO232" i="2"/>
  <c r="BP232" i="2"/>
  <c r="BQ232" i="2"/>
  <c r="BR232" i="2"/>
  <c r="BS232" i="2"/>
  <c r="BT232" i="2"/>
  <c r="BU232" i="2"/>
  <c r="AT232" i="2"/>
  <c r="BF33" i="2"/>
  <c r="BE33" i="2"/>
  <c r="BE26" i="2"/>
  <c r="BB5" i="8" l="1"/>
  <c r="BC13" i="8"/>
  <c r="BC8" i="8"/>
  <c r="BC22" i="7"/>
  <c r="BC15" i="7"/>
  <c r="BD11" i="7" s="1"/>
  <c r="BC13" i="7"/>
  <c r="BC12" i="7"/>
  <c r="BC23" i="6"/>
  <c r="BC22" i="6"/>
  <c r="BC21" i="6"/>
  <c r="BC20" i="6"/>
  <c r="BC19" i="6"/>
  <c r="BC18" i="6"/>
  <c r="BC15" i="6"/>
  <c r="BC13" i="6"/>
  <c r="BC12" i="6"/>
  <c r="BC11" i="6"/>
  <c r="BC31" i="5"/>
  <c r="BD27" i="5" s="1"/>
  <c r="BC4" i="5"/>
  <c r="BC61" i="3"/>
  <c r="BC40" i="3"/>
  <c r="BC95" i="4"/>
  <c r="BC94" i="4"/>
  <c r="BC93" i="4"/>
  <c r="BC92" i="4"/>
  <c r="BC258" i="2"/>
  <c r="BC257" i="2"/>
  <c r="BC248" i="2"/>
  <c r="BC247" i="2"/>
  <c r="BC246" i="2"/>
  <c r="BC231" i="2"/>
  <c r="C50" i="15" s="1"/>
  <c r="BC230" i="2"/>
  <c r="BC224" i="2"/>
  <c r="BC221" i="2"/>
  <c r="C54" i="15" s="1"/>
  <c r="BC220" i="2"/>
  <c r="BC219" i="2"/>
  <c r="C34" i="15" s="1"/>
  <c r="BC216" i="2"/>
  <c r="C53" i="15" s="1"/>
  <c r="BC215" i="2"/>
  <c r="BC213" i="2"/>
  <c r="BC210" i="2"/>
  <c r="C52" i="15" s="1"/>
  <c r="BC209" i="2"/>
  <c r="BC192" i="2"/>
  <c r="C49" i="15" s="1"/>
  <c r="BC191" i="2"/>
  <c r="BC187" i="2"/>
  <c r="C48" i="15" s="1"/>
  <c r="BC186" i="2"/>
  <c r="BC182" i="2"/>
  <c r="C47" i="15" s="1"/>
  <c r="BC181" i="2"/>
  <c r="BC166" i="2"/>
  <c r="BC162" i="2"/>
  <c r="BC161" i="2"/>
  <c r="BC159" i="2"/>
  <c r="BC157" i="2"/>
  <c r="BC155" i="2"/>
  <c r="BC149" i="2"/>
  <c r="BC148" i="2"/>
  <c r="BC144" i="2"/>
  <c r="BC143" i="2"/>
  <c r="BC134" i="2"/>
  <c r="BC133" i="2"/>
  <c r="BC129" i="2"/>
  <c r="BC128" i="2"/>
  <c r="BC70" i="2"/>
  <c r="C30" i="16" s="1"/>
  <c r="BC69" i="2"/>
  <c r="C45" i="16" s="1"/>
  <c r="BB61" i="2"/>
  <c r="BA61" i="2"/>
  <c r="AZ61" i="2"/>
  <c r="AY61" i="2"/>
  <c r="AX61" i="2"/>
  <c r="AW61" i="2"/>
  <c r="AV61" i="2"/>
  <c r="BB60" i="2"/>
  <c r="BA60" i="2"/>
  <c r="AZ60" i="2"/>
  <c r="AY60" i="2"/>
  <c r="BC55" i="2"/>
  <c r="C29" i="16" s="1"/>
  <c r="BC54" i="2"/>
  <c r="C44" i="16" s="1"/>
  <c r="BC49" i="2"/>
  <c r="BC48" i="2"/>
  <c r="C43" i="16" s="1"/>
  <c r="BC43" i="2"/>
  <c r="BC42" i="2"/>
  <c r="C42" i="16" s="1"/>
  <c r="BC36" i="2"/>
  <c r="BC35" i="2"/>
  <c r="C41" i="16" s="1"/>
  <c r="BC29" i="2"/>
  <c r="BC28" i="2"/>
  <c r="BC22" i="2"/>
  <c r="BC21" i="2"/>
  <c r="BK23" i="2" l="1"/>
  <c r="BK30" i="2"/>
  <c r="C26" i="16"/>
  <c r="BK37" i="2"/>
  <c r="C40" i="16"/>
  <c r="C39" i="16"/>
  <c r="C24" i="16"/>
  <c r="C28" i="16"/>
  <c r="C33" i="15"/>
  <c r="C25" i="16"/>
  <c r="C27" i="16"/>
  <c r="C19" i="15"/>
  <c r="BD40" i="2"/>
  <c r="BG168" i="2"/>
  <c r="BG6" i="5"/>
  <c r="G58" i="15" s="1"/>
  <c r="BD33" i="2"/>
  <c r="BD167" i="2"/>
  <c r="BD52" i="2"/>
  <c r="BC14" i="8"/>
  <c r="BC15" i="8"/>
  <c r="BD22" i="5"/>
  <c r="BD30" i="5"/>
  <c r="BD17" i="7"/>
  <c r="BD26" i="7"/>
  <c r="BD25" i="7"/>
  <c r="BD16" i="7"/>
  <c r="BD14" i="7"/>
  <c r="BC39" i="6"/>
  <c r="BC40" i="6" s="1"/>
  <c r="BC28" i="5"/>
  <c r="BD26" i="2"/>
  <c r="BC163" i="2"/>
  <c r="BC29" i="5"/>
  <c r="BC21" i="5"/>
  <c r="BX221" i="2" l="1"/>
  <c r="BY221" i="2"/>
  <c r="BZ221" i="2" l="1"/>
  <c r="BV220" i="2"/>
  <c r="BZ220" i="2"/>
  <c r="CC221" i="2"/>
  <c r="BW221" i="2"/>
  <c r="BV221" i="2"/>
  <c r="CB221" i="2"/>
  <c r="BY220" i="2"/>
  <c r="AY233" i="2"/>
  <c r="BX220" i="2" l="1"/>
  <c r="CA221" i="2"/>
  <c r="DA218" i="2"/>
  <c r="BW220" i="2"/>
  <c r="CC220" i="2"/>
  <c r="DB218" i="2"/>
  <c r="DC221" i="2" s="1"/>
  <c r="AX43" i="4"/>
  <c r="DB221" i="2" l="1"/>
  <c r="CB220" i="2"/>
  <c r="CA220" i="2"/>
  <c r="BB8" i="8"/>
  <c r="BB22" i="7"/>
  <c r="BB20" i="7" s="1"/>
  <c r="BB15" i="7"/>
  <c r="BC11" i="7" s="1"/>
  <c r="BB13" i="7"/>
  <c r="BB12" i="7"/>
  <c r="BB23" i="6"/>
  <c r="BB22" i="6"/>
  <c r="BB21" i="6"/>
  <c r="BB20" i="6"/>
  <c r="BB19" i="6"/>
  <c r="BB18" i="6"/>
  <c r="BB15" i="6"/>
  <c r="BB13" i="6"/>
  <c r="BB12" i="6"/>
  <c r="BB11" i="6"/>
  <c r="BB31" i="5"/>
  <c r="BC27" i="5" s="1"/>
  <c r="BB29" i="5"/>
  <c r="BB4" i="5"/>
  <c r="BB61" i="3"/>
  <c r="BB40" i="3"/>
  <c r="BB95" i="4"/>
  <c r="BB94" i="4"/>
  <c r="BB93" i="4"/>
  <c r="BB92" i="4"/>
  <c r="BB258" i="2"/>
  <c r="BB257" i="2"/>
  <c r="BB248" i="2"/>
  <c r="BB247" i="2"/>
  <c r="BB246" i="2"/>
  <c r="BB231" i="2"/>
  <c r="B50" i="15" s="1"/>
  <c r="BB230" i="2"/>
  <c r="BB221" i="2"/>
  <c r="B54" i="15" s="1"/>
  <c r="BB220" i="2"/>
  <c r="BB219" i="2"/>
  <c r="B34" i="15" s="1"/>
  <c r="BB216" i="2"/>
  <c r="B53" i="15" s="1"/>
  <c r="BB215" i="2"/>
  <c r="BB213" i="2"/>
  <c r="BB210" i="2"/>
  <c r="B52" i="15" s="1"/>
  <c r="BB209" i="2"/>
  <c r="BB192" i="2"/>
  <c r="B49" i="15" s="1"/>
  <c r="BB191" i="2"/>
  <c r="BB187" i="2"/>
  <c r="B48" i="15" s="1"/>
  <c r="BB186" i="2"/>
  <c r="BB166" i="2"/>
  <c r="BB162" i="2"/>
  <c r="BB161" i="2"/>
  <c r="BB159" i="2"/>
  <c r="BB157" i="2"/>
  <c r="BB155" i="2"/>
  <c r="BB149" i="2"/>
  <c r="BB148" i="2"/>
  <c r="BB144" i="2"/>
  <c r="BB143" i="2"/>
  <c r="BB134" i="2"/>
  <c r="BB133" i="2"/>
  <c r="BB129" i="2"/>
  <c r="BB128" i="2"/>
  <c r="BB55" i="2"/>
  <c r="B29" i="16" s="1"/>
  <c r="BB49" i="2"/>
  <c r="BB43" i="2"/>
  <c r="BB36" i="2"/>
  <c r="BB29" i="2"/>
  <c r="BB22" i="2"/>
  <c r="BA5" i="8"/>
  <c r="BA40" i="3"/>
  <c r="BJ30" i="2" l="1"/>
  <c r="B24" i="16"/>
  <c r="BJ23" i="2"/>
  <c r="B26" i="16"/>
  <c r="BJ37" i="2"/>
  <c r="B28" i="16"/>
  <c r="B27" i="16"/>
  <c r="B25" i="16"/>
  <c r="B33" i="15"/>
  <c r="B19" i="15"/>
  <c r="BC40" i="2"/>
  <c r="BF168" i="2"/>
  <c r="BB28" i="5"/>
  <c r="BF6" i="5"/>
  <c r="F58" i="15" s="1"/>
  <c r="BC167" i="2"/>
  <c r="BB39" i="6"/>
  <c r="BC52" i="2"/>
  <c r="BC17" i="7"/>
  <c r="BC26" i="7"/>
  <c r="BC14" i="7"/>
  <c r="BC25" i="7"/>
  <c r="BC16" i="7"/>
  <c r="BC22" i="5"/>
  <c r="BC30" i="5"/>
  <c r="BC26" i="2"/>
  <c r="BC33" i="2"/>
  <c r="BB163" i="2"/>
  <c r="BB21" i="5"/>
  <c r="CU147" i="2"/>
  <c r="CV149" i="2" s="1"/>
  <c r="CU142" i="2"/>
  <c r="CV144" i="2" s="1"/>
  <c r="CU132" i="2"/>
  <c r="CV134" i="2" s="1"/>
  <c r="CU127" i="2"/>
  <c r="CV129" i="2" s="1"/>
  <c r="CT127" i="2"/>
  <c r="CU129" i="2" l="1"/>
  <c r="BA8" i="8" l="1"/>
  <c r="BA22" i="7"/>
  <c r="BA15" i="7"/>
  <c r="BA13" i="7"/>
  <c r="BA12" i="7"/>
  <c r="BA23" i="6"/>
  <c r="BA21" i="6"/>
  <c r="BA20" i="6"/>
  <c r="BA19" i="6"/>
  <c r="BA18" i="6"/>
  <c r="BA13" i="6"/>
  <c r="BA12" i="6"/>
  <c r="BA11" i="6"/>
  <c r="BA31" i="5"/>
  <c r="BB27" i="5" s="1"/>
  <c r="BB30" i="5" s="1"/>
  <c r="BA4" i="5"/>
  <c r="BA61" i="3"/>
  <c r="AZ40" i="3"/>
  <c r="BA95" i="4"/>
  <c r="BA94" i="4"/>
  <c r="BA93" i="4"/>
  <c r="BA92" i="4"/>
  <c r="BA248" i="2"/>
  <c r="BA247" i="2"/>
  <c r="BA246" i="2"/>
  <c r="BA213" i="2"/>
  <c r="BA166" i="2"/>
  <c r="BA162" i="2"/>
  <c r="BA161" i="2"/>
  <c r="BA159" i="2"/>
  <c r="BA157" i="2"/>
  <c r="BA155" i="2"/>
  <c r="BA149" i="2"/>
  <c r="BA148" i="2"/>
  <c r="BA144" i="2"/>
  <c r="BA143" i="2"/>
  <c r="BA134" i="2"/>
  <c r="BA133" i="2"/>
  <c r="BA129" i="2"/>
  <c r="BA128" i="2"/>
  <c r="BA55" i="2"/>
  <c r="BA49" i="2"/>
  <c r="BA43" i="2"/>
  <c r="BA36" i="2"/>
  <c r="BI37" i="2" s="1"/>
  <c r="BA29" i="2"/>
  <c r="BA22" i="2"/>
  <c r="BI23" i="2" s="1"/>
  <c r="BI30" i="2" l="1"/>
  <c r="BB40" i="2"/>
  <c r="BE6" i="5"/>
  <c r="E58" i="15" s="1"/>
  <c r="BE168" i="2"/>
  <c r="BA163" i="2"/>
  <c r="BB33" i="2"/>
  <c r="BB26" i="2"/>
  <c r="BA39" i="6"/>
  <c r="BA40" i="6" s="1"/>
  <c r="BB52" i="2"/>
  <c r="BA21" i="5"/>
  <c r="BT23" i="2" l="1"/>
  <c r="AZ5" i="8"/>
  <c r="CZ20" i="7"/>
  <c r="CZ14" i="7"/>
  <c r="CZ30" i="5"/>
  <c r="CZ45" i="4"/>
  <c r="CZ41" i="4"/>
  <c r="CZ37" i="4"/>
  <c r="CZ36" i="4"/>
  <c r="CZ31" i="4"/>
  <c r="CZ30" i="4"/>
  <c r="CZ10" i="4"/>
  <c r="CZ9" i="4"/>
  <c r="CZ265" i="2"/>
  <c r="CY194" i="2"/>
  <c r="CZ194" i="2"/>
  <c r="CZ59" i="2"/>
  <c r="CZ1" i="8"/>
  <c r="CZ1" i="7"/>
  <c r="CZ1" i="6"/>
  <c r="CZ1" i="5"/>
  <c r="CZ1" i="3"/>
  <c r="CZ1" i="4"/>
  <c r="BU1" i="8"/>
  <c r="BT1" i="8"/>
  <c r="BS1" i="8"/>
  <c r="BR1" i="8"/>
  <c r="BU25" i="7"/>
  <c r="BT25" i="7"/>
  <c r="BS25" i="7"/>
  <c r="BR25" i="7"/>
  <c r="BU1" i="7"/>
  <c r="BT1" i="7"/>
  <c r="BS1" i="7"/>
  <c r="BR1" i="7"/>
  <c r="BU1" i="6"/>
  <c r="BT1" i="6"/>
  <c r="BS1" i="6"/>
  <c r="BR1" i="6"/>
  <c r="BU1" i="5"/>
  <c r="BT1" i="5"/>
  <c r="BS1" i="5"/>
  <c r="BR1" i="5"/>
  <c r="BU1" i="3"/>
  <c r="BT1" i="3"/>
  <c r="BS1" i="3"/>
  <c r="BR1" i="3"/>
  <c r="BU1" i="4"/>
  <c r="BT1" i="4"/>
  <c r="BS1" i="4"/>
  <c r="BR1" i="4"/>
  <c r="DA61" i="2" l="1"/>
  <c r="N26" i="16"/>
  <c r="BS37" i="2"/>
  <c r="O26" i="16"/>
  <c r="CF37" i="2"/>
  <c r="P26" i="16"/>
  <c r="BU37" i="2"/>
  <c r="Q26" i="16"/>
  <c r="BR23" i="2"/>
  <c r="BU23" i="2"/>
  <c r="BS23" i="2"/>
  <c r="BR37" i="2"/>
  <c r="CD37" i="2"/>
  <c r="AZ8" i="8"/>
  <c r="AZ22" i="7"/>
  <c r="AZ15" i="7"/>
  <c r="AZ13" i="7"/>
  <c r="AZ12" i="7"/>
  <c r="AZ23" i="6"/>
  <c r="AZ21" i="6"/>
  <c r="AZ20" i="6"/>
  <c r="AZ19" i="6"/>
  <c r="AZ18" i="6"/>
  <c r="AZ13" i="6"/>
  <c r="AZ12" i="6"/>
  <c r="AZ11" i="6"/>
  <c r="AZ31" i="5"/>
  <c r="AZ4" i="5"/>
  <c r="AZ61" i="3"/>
  <c r="AZ95" i="4"/>
  <c r="AZ94" i="4"/>
  <c r="AZ93" i="4"/>
  <c r="AZ92" i="4"/>
  <c r="AZ248" i="2"/>
  <c r="AZ247" i="2"/>
  <c r="AZ246" i="2"/>
  <c r="AZ213" i="2"/>
  <c r="AZ166" i="2"/>
  <c r="AZ162" i="2"/>
  <c r="AZ161" i="2"/>
  <c r="AZ159" i="2"/>
  <c r="AZ157" i="2"/>
  <c r="AZ155" i="2"/>
  <c r="AZ149" i="2"/>
  <c r="AZ148" i="2"/>
  <c r="AZ144" i="2"/>
  <c r="AZ143" i="2"/>
  <c r="AZ134" i="2"/>
  <c r="AZ133" i="2"/>
  <c r="AZ129" i="2"/>
  <c r="AZ128" i="2"/>
  <c r="AZ55" i="2"/>
  <c r="AZ49" i="2"/>
  <c r="AZ43" i="2"/>
  <c r="AZ36" i="2"/>
  <c r="AZ29" i="2"/>
  <c r="AZ22" i="2"/>
  <c r="BW23" i="2" l="1"/>
  <c r="BT37" i="2"/>
  <c r="CG37" i="2"/>
  <c r="BZ23" i="2"/>
  <c r="CD23" i="2"/>
  <c r="CB23" i="2"/>
  <c r="CC23" i="2"/>
  <c r="CG23" i="2"/>
  <c r="CE37" i="2"/>
  <c r="CA23" i="2"/>
  <c r="CE23" i="2"/>
  <c r="BH23" i="2"/>
  <c r="BH30" i="2"/>
  <c r="BH37" i="2"/>
  <c r="BV23" i="2"/>
  <c r="BY23" i="2"/>
  <c r="BX23" i="2"/>
  <c r="BA40" i="2"/>
  <c r="BD168" i="2"/>
  <c r="BW37" i="2"/>
  <c r="CA37" i="2"/>
  <c r="CC37" i="2"/>
  <c r="BY37" i="2"/>
  <c r="BV37" i="2"/>
  <c r="BZ37" i="2"/>
  <c r="BX37" i="2"/>
  <c r="CB37" i="2"/>
  <c r="BD6" i="5"/>
  <c r="D58" i="15" s="1"/>
  <c r="BA26" i="2"/>
  <c r="BA33" i="2"/>
  <c r="AZ39" i="6"/>
  <c r="AZ40" i="6" s="1"/>
  <c r="AZ163" i="2"/>
  <c r="AZ21" i="5"/>
  <c r="CF23" i="2" l="1"/>
  <c r="BN23" i="2"/>
  <c r="AY5" i="8"/>
  <c r="G246" i="2" l="1"/>
  <c r="G248" i="2"/>
  <c r="F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X248" i="2"/>
  <c r="X247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AR248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F246" i="2"/>
  <c r="E246" i="2"/>
  <c r="D246" i="2"/>
  <c r="C246" i="2"/>
  <c r="AY248" i="2"/>
  <c r="AX248" i="2"/>
  <c r="AW248" i="2"/>
  <c r="AV248" i="2"/>
  <c r="AU248" i="2"/>
  <c r="AT248" i="2"/>
  <c r="AS248" i="2"/>
  <c r="AY247" i="2"/>
  <c r="AX247" i="2"/>
  <c r="AW247" i="2"/>
  <c r="AV247" i="2"/>
  <c r="AU247" i="2"/>
  <c r="AT247" i="2"/>
  <c r="AS247" i="2"/>
  <c r="AR247" i="2"/>
  <c r="AY246" i="2"/>
  <c r="AX246" i="2"/>
  <c r="AW246" i="2"/>
  <c r="AV246" i="2"/>
  <c r="AU246" i="2"/>
  <c r="AT246" i="2"/>
  <c r="AS246" i="2"/>
  <c r="AR246" i="2"/>
  <c r="BQ37" i="2" l="1"/>
  <c r="BP37" i="2"/>
  <c r="BO37" i="2"/>
  <c r="BN37" i="2"/>
  <c r="BM37" i="2"/>
  <c r="BQ23" i="2"/>
  <c r="BP23" i="2"/>
  <c r="BO23" i="2"/>
  <c r="BM23" i="2"/>
  <c r="AY8" i="8" l="1"/>
  <c r="AY22" i="7"/>
  <c r="AY15" i="7"/>
  <c r="AY13" i="7"/>
  <c r="AY12" i="7"/>
  <c r="AY23" i="6"/>
  <c r="AY22" i="6"/>
  <c r="AY21" i="6"/>
  <c r="AY20" i="6"/>
  <c r="AY19" i="6"/>
  <c r="AY18" i="6"/>
  <c r="AY15" i="6"/>
  <c r="AY13" i="6"/>
  <c r="AY12" i="6"/>
  <c r="AY11" i="6"/>
  <c r="AY31" i="5"/>
  <c r="AY4" i="5"/>
  <c r="AY61" i="3"/>
  <c r="AY40" i="3"/>
  <c r="AY95" i="4"/>
  <c r="AY94" i="4"/>
  <c r="AY93" i="4"/>
  <c r="AY92" i="4"/>
  <c r="AY213" i="2"/>
  <c r="AY166" i="2"/>
  <c r="AY162" i="2"/>
  <c r="AY161" i="2"/>
  <c r="AY159" i="2"/>
  <c r="AY157" i="2"/>
  <c r="AY155" i="2"/>
  <c r="AY149" i="2"/>
  <c r="AY148" i="2"/>
  <c r="AY144" i="2"/>
  <c r="AY143" i="2"/>
  <c r="AY134" i="2"/>
  <c r="AY133" i="2"/>
  <c r="AY129" i="2"/>
  <c r="AY128" i="2"/>
  <c r="AY55" i="2"/>
  <c r="AY49" i="2"/>
  <c r="AY43" i="2"/>
  <c r="AY36" i="2"/>
  <c r="AY29" i="2"/>
  <c r="AY22" i="2"/>
  <c r="AZ40" i="2" l="1"/>
  <c r="BG37" i="2"/>
  <c r="BG23" i="2"/>
  <c r="BG30" i="2"/>
  <c r="BC168" i="2"/>
  <c r="BC6" i="5"/>
  <c r="C58" i="15" s="1"/>
  <c r="AZ26" i="2"/>
  <c r="AZ33" i="2"/>
  <c r="AY39" i="6"/>
  <c r="AY40" i="6" s="1"/>
  <c r="AY21" i="5"/>
  <c r="AY163" i="2"/>
  <c r="AX5" i="8"/>
  <c r="AW5" i="8"/>
  <c r="AV5" i="8"/>
  <c r="AT5" i="8"/>
  <c r="AS5" i="8"/>
  <c r="AX24" i="8"/>
  <c r="AW24" i="8"/>
  <c r="AV24" i="8"/>
  <c r="AT24" i="8"/>
  <c r="AS24" i="8"/>
  <c r="CT147" i="2" l="1"/>
  <c r="CU149" i="2" s="1"/>
  <c r="CT142" i="2"/>
  <c r="CU144" i="2" s="1"/>
  <c r="CT132" i="2"/>
  <c r="CU134" i="2" s="1"/>
  <c r="AX8" i="8" l="1"/>
  <c r="AX22" i="7"/>
  <c r="AX15" i="7"/>
  <c r="AX13" i="7"/>
  <c r="AX12" i="7"/>
  <c r="AX23" i="6"/>
  <c r="AX21" i="6"/>
  <c r="AX20" i="6"/>
  <c r="AX19" i="6"/>
  <c r="AX18" i="6"/>
  <c r="AX13" i="6"/>
  <c r="AX12" i="6"/>
  <c r="AX11" i="6"/>
  <c r="AX31" i="5"/>
  <c r="AX4" i="5"/>
  <c r="AX95" i="4"/>
  <c r="AX94" i="4"/>
  <c r="AX93" i="4"/>
  <c r="AX92" i="4"/>
  <c r="AX61" i="3"/>
  <c r="AX40" i="3"/>
  <c r="AX213" i="2"/>
  <c r="AX166" i="2"/>
  <c r="AX162" i="2"/>
  <c r="AX161" i="2"/>
  <c r="AX159" i="2"/>
  <c r="AX157" i="2"/>
  <c r="AX155" i="2"/>
  <c r="AX149" i="2"/>
  <c r="AX148" i="2"/>
  <c r="AX144" i="2"/>
  <c r="AX143" i="2"/>
  <c r="AX134" i="2"/>
  <c r="AX133" i="2"/>
  <c r="AX129" i="2"/>
  <c r="AX128" i="2"/>
  <c r="AX60" i="2"/>
  <c r="AX55" i="2"/>
  <c r="AX49" i="2"/>
  <c r="AX43" i="2"/>
  <c r="AX36" i="2"/>
  <c r="AX29" i="2"/>
  <c r="AX22" i="2"/>
  <c r="BF37" i="2" l="1"/>
  <c r="BF30" i="2"/>
  <c r="BF23" i="2"/>
  <c r="AX39" i="6"/>
  <c r="AX40" i="6" s="1"/>
  <c r="AX163" i="2"/>
  <c r="AX21" i="5"/>
  <c r="AW8" i="8" l="1"/>
  <c r="AW22" i="7"/>
  <c r="AW15" i="7"/>
  <c r="AW13" i="7"/>
  <c r="AW12" i="7"/>
  <c r="AW23" i="6"/>
  <c r="CT23" i="6" s="1"/>
  <c r="AW21" i="6"/>
  <c r="CT21" i="6" s="1"/>
  <c r="AW20" i="6"/>
  <c r="CT20" i="6" s="1"/>
  <c r="AW19" i="6"/>
  <c r="CT19" i="6" s="1"/>
  <c r="AW18" i="6"/>
  <c r="CT18" i="6" s="1"/>
  <c r="AW15" i="6"/>
  <c r="AW13" i="6"/>
  <c r="CT13" i="6" s="1"/>
  <c r="AW12" i="6"/>
  <c r="CT12" i="6" s="1"/>
  <c r="AW11" i="6"/>
  <c r="CT11" i="6" s="1"/>
  <c r="AW31" i="5"/>
  <c r="AW4" i="5"/>
  <c r="AW95" i="4"/>
  <c r="AW94" i="4"/>
  <c r="AW93" i="4"/>
  <c r="AW92" i="4"/>
  <c r="AW61" i="3"/>
  <c r="AW40" i="3"/>
  <c r="AW213" i="2"/>
  <c r="AW166" i="2"/>
  <c r="AW162" i="2"/>
  <c r="AW161" i="2"/>
  <c r="AW159" i="2"/>
  <c r="AW157" i="2"/>
  <c r="AW155" i="2"/>
  <c r="AW149" i="2"/>
  <c r="AW148" i="2"/>
  <c r="AW144" i="2"/>
  <c r="AW143" i="2"/>
  <c r="AW134" i="2"/>
  <c r="AW133" i="2"/>
  <c r="AW129" i="2"/>
  <c r="AW128" i="2"/>
  <c r="AW60" i="2"/>
  <c r="AW55" i="2"/>
  <c r="AW49" i="2"/>
  <c r="AW43" i="2"/>
  <c r="AW36" i="2"/>
  <c r="BE37" i="2" s="1"/>
  <c r="AW29" i="2"/>
  <c r="AW22" i="2"/>
  <c r="BE23" i="2" l="1"/>
  <c r="BE30" i="2"/>
  <c r="CT15" i="6"/>
  <c r="AW39" i="6"/>
  <c r="AW40" i="6" s="1"/>
  <c r="AW163" i="2"/>
  <c r="AW21" i="5"/>
  <c r="AT233" i="2" l="1"/>
  <c r="AS233" i="2"/>
  <c r="AR233" i="2"/>
  <c r="AQ233" i="2"/>
  <c r="AP233" i="2"/>
  <c r="AO233" i="2"/>
  <c r="AO183" i="2" l="1"/>
  <c r="AS183" i="2"/>
  <c r="AV233" i="2"/>
  <c r="AU233" i="2"/>
  <c r="BA58" i="2"/>
  <c r="AZ58" i="2"/>
  <c r="AY58" i="2"/>
  <c r="AX58" i="2"/>
  <c r="BA52" i="2"/>
  <c r="AZ52" i="2"/>
  <c r="AY52" i="2"/>
  <c r="AX52" i="2"/>
  <c r="AV8" i="8" l="1"/>
  <c r="AV22" i="7"/>
  <c r="AV15" i="7"/>
  <c r="AV13" i="7"/>
  <c r="AV12" i="7"/>
  <c r="AV23" i="6"/>
  <c r="AV21" i="6"/>
  <c r="AV20" i="6"/>
  <c r="AV19" i="6"/>
  <c r="AV18" i="6"/>
  <c r="AV13" i="6"/>
  <c r="AV12" i="6"/>
  <c r="AV11" i="6"/>
  <c r="AV31" i="5"/>
  <c r="AV4" i="5"/>
  <c r="AV95" i="4"/>
  <c r="AV94" i="4"/>
  <c r="AV93" i="4"/>
  <c r="AV92" i="4"/>
  <c r="AV61" i="3"/>
  <c r="AV40" i="3"/>
  <c r="AV213" i="2"/>
  <c r="AV166" i="2"/>
  <c r="AV162" i="2"/>
  <c r="AV161" i="2"/>
  <c r="AV159" i="2"/>
  <c r="AV157" i="2"/>
  <c r="AV155" i="2"/>
  <c r="AV149" i="2"/>
  <c r="AV148" i="2"/>
  <c r="AV144" i="2"/>
  <c r="AV143" i="2"/>
  <c r="AV134" i="2"/>
  <c r="AV133" i="2"/>
  <c r="AV129" i="2"/>
  <c r="AV128" i="2"/>
  <c r="AV60" i="2"/>
  <c r="AV55" i="2"/>
  <c r="AV49" i="2"/>
  <c r="AV43" i="2"/>
  <c r="AV36" i="2"/>
  <c r="BD37" i="2" s="1"/>
  <c r="AV29" i="2"/>
  <c r="AV22" i="2"/>
  <c r="BD23" i="2" l="1"/>
  <c r="BD30" i="2"/>
  <c r="AV163" i="2"/>
  <c r="AW52" i="2"/>
  <c r="AW58" i="2"/>
  <c r="AV39" i="6"/>
  <c r="AV40" i="6" s="1"/>
  <c r="AV21" i="5"/>
  <c r="B42" i="5" l="1"/>
  <c r="CS147" i="2"/>
  <c r="CT149" i="2" s="1"/>
  <c r="CR147" i="2"/>
  <c r="CQ147" i="2"/>
  <c r="CP147" i="2"/>
  <c r="CO147" i="2"/>
  <c r="CS142" i="2"/>
  <c r="CT144" i="2" s="1"/>
  <c r="CR142" i="2"/>
  <c r="CQ142" i="2"/>
  <c r="CP142" i="2"/>
  <c r="CO142" i="2"/>
  <c r="CP137" i="2"/>
  <c r="CO137" i="2"/>
  <c r="CN137" i="2"/>
  <c r="CM137" i="2"/>
  <c r="CL137" i="2"/>
  <c r="CK137" i="2"/>
  <c r="CJ137" i="2"/>
  <c r="CI137" i="2"/>
  <c r="CS132" i="2"/>
  <c r="CT134" i="2" s="1"/>
  <c r="CR132" i="2"/>
  <c r="CQ132" i="2"/>
  <c r="CP132" i="2"/>
  <c r="CO132" i="2"/>
  <c r="CS127" i="2"/>
  <c r="CT129" i="2" s="1"/>
  <c r="CR127" i="2"/>
  <c r="CQ127" i="2"/>
  <c r="CP127" i="2"/>
  <c r="CO127" i="2"/>
  <c r="CN127" i="2"/>
  <c r="CM127" i="2"/>
  <c r="CL127" i="2"/>
  <c r="CK127" i="2"/>
  <c r="CJ127" i="2"/>
  <c r="CI127" i="2"/>
  <c r="C42" i="5" l="1"/>
  <c r="CJ129" i="2"/>
  <c r="CL129" i="2"/>
  <c r="CN129" i="2"/>
  <c r="CP129" i="2"/>
  <c r="CR129" i="2"/>
  <c r="CK129" i="2"/>
  <c r="CM129" i="2"/>
  <c r="CO129" i="2"/>
  <c r="CQ129" i="2"/>
  <c r="CS129" i="2"/>
  <c r="CQ149" i="2"/>
  <c r="CS149" i="2"/>
  <c r="CP149" i="2"/>
  <c r="CR149" i="2"/>
  <c r="CQ144" i="2"/>
  <c r="CS144" i="2"/>
  <c r="CP144" i="2"/>
  <c r="CR144" i="2"/>
  <c r="CK139" i="2"/>
  <c r="CM139" i="2"/>
  <c r="CO139" i="2"/>
  <c r="CJ139" i="2"/>
  <c r="CL139" i="2"/>
  <c r="CN139" i="2"/>
  <c r="CP139" i="2"/>
  <c r="CQ134" i="2"/>
  <c r="CS134" i="2"/>
  <c r="CP134" i="2"/>
  <c r="CR134" i="2"/>
  <c r="D42" i="5" l="1"/>
  <c r="E42" i="5" l="1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F42" i="5" l="1"/>
  <c r="CR20" i="2"/>
  <c r="CS20" i="2"/>
  <c r="G42" i="5" l="1"/>
  <c r="AU13" i="8"/>
  <c r="AU15" i="8" s="1"/>
  <c r="AU8" i="8"/>
  <c r="AU4" i="8"/>
  <c r="AU2" i="8"/>
  <c r="AT31" i="5"/>
  <c r="CS7" i="3"/>
  <c r="CS6" i="3"/>
  <c r="CS5" i="3"/>
  <c r="CS4" i="3"/>
  <c r="CT45" i="4"/>
  <c r="CT41" i="4"/>
  <c r="CT37" i="4"/>
  <c r="CT36" i="4"/>
  <c r="CT31" i="4"/>
  <c r="CT30" i="4"/>
  <c r="CS13" i="4"/>
  <c r="CS243" i="2"/>
  <c r="CS228" i="2"/>
  <c r="CS223" i="2"/>
  <c r="CS207" i="2"/>
  <c r="CR207" i="2"/>
  <c r="CT194" i="2"/>
  <c r="CS194" i="2"/>
  <c r="CR194" i="2"/>
  <c r="CS189" i="2"/>
  <c r="CR189" i="2"/>
  <c r="CS184" i="2"/>
  <c r="CR184" i="2"/>
  <c r="CS179" i="2"/>
  <c r="CR179" i="2"/>
  <c r="CS165" i="2"/>
  <c r="CR165" i="2"/>
  <c r="CS68" i="2"/>
  <c r="CY59" i="2"/>
  <c r="CX59" i="2"/>
  <c r="CW59" i="2"/>
  <c r="CV59" i="2"/>
  <c r="CU59" i="2"/>
  <c r="CT59" i="2"/>
  <c r="CS59" i="2"/>
  <c r="CR59" i="2"/>
  <c r="CS53" i="2"/>
  <c r="CR53" i="2"/>
  <c r="CS47" i="2"/>
  <c r="CR47" i="2"/>
  <c r="CR214" i="2" s="1"/>
  <c r="CS41" i="2"/>
  <c r="CR41" i="2"/>
  <c r="CS34" i="2"/>
  <c r="CR34" i="2"/>
  <c r="CS27" i="2"/>
  <c r="CR27" i="2"/>
  <c r="AU12" i="4"/>
  <c r="AU22" i="7"/>
  <c r="CZ61" i="2" l="1"/>
  <c r="AU3" i="8"/>
  <c r="H42" i="5"/>
  <c r="AU14" i="8"/>
  <c r="I42" i="5" l="1"/>
  <c r="AV21" i="2"/>
  <c r="AV54" i="2"/>
  <c r="AV14" i="2"/>
  <c r="AU15" i="7"/>
  <c r="AU12" i="7"/>
  <c r="AU23" i="6"/>
  <c r="AU21" i="6"/>
  <c r="AU20" i="6"/>
  <c r="AU19" i="6"/>
  <c r="AU18" i="6"/>
  <c r="AU13" i="6"/>
  <c r="AU12" i="6"/>
  <c r="AU11" i="6"/>
  <c r="AU31" i="5"/>
  <c r="AU4" i="5"/>
  <c r="AU61" i="3"/>
  <c r="AU40" i="3"/>
  <c r="AU95" i="4"/>
  <c r="AU94" i="4"/>
  <c r="AU93" i="4"/>
  <c r="AU92" i="4"/>
  <c r="AU213" i="2"/>
  <c r="AU166" i="2"/>
  <c r="AU162" i="2"/>
  <c r="AU161" i="2"/>
  <c r="AU159" i="2"/>
  <c r="AU157" i="2"/>
  <c r="AU155" i="2"/>
  <c r="AU149" i="2"/>
  <c r="AU148" i="2"/>
  <c r="AU144" i="2"/>
  <c r="AU143" i="2"/>
  <c r="AU134" i="2"/>
  <c r="AU133" i="2"/>
  <c r="AU129" i="2"/>
  <c r="AU128" i="2"/>
  <c r="AU61" i="2"/>
  <c r="AU60" i="2"/>
  <c r="AU55" i="2"/>
  <c r="AU49" i="2"/>
  <c r="AU43" i="2"/>
  <c r="AU36" i="2"/>
  <c r="BC37" i="2" s="1"/>
  <c r="AU29" i="2"/>
  <c r="AU22" i="2"/>
  <c r="AU69" i="2"/>
  <c r="BC23" i="2" l="1"/>
  <c r="BC30" i="2"/>
  <c r="AU39" i="6"/>
  <c r="AU40" i="6" s="1"/>
  <c r="AV58" i="2"/>
  <c r="AV52" i="2"/>
  <c r="AV71" i="2"/>
  <c r="J42" i="5"/>
  <c r="AU163" i="2"/>
  <c r="AV8" i="2"/>
  <c r="AU21" i="5"/>
  <c r="AU25" i="5"/>
  <c r="K42" i="5" l="1"/>
  <c r="AV3" i="2"/>
  <c r="AV74" i="2"/>
  <c r="BU221" i="2" l="1"/>
  <c r="AV64" i="2"/>
  <c r="L42" i="5"/>
  <c r="AV80" i="2"/>
  <c r="AV208" i="2" s="1"/>
  <c r="BS221" i="2" l="1"/>
  <c r="BR221" i="2"/>
  <c r="BR220" i="2"/>
  <c r="BS220" i="2"/>
  <c r="AV85" i="2"/>
  <c r="AV150" i="2"/>
  <c r="AV130" i="2"/>
  <c r="AV62" i="2"/>
  <c r="AV135" i="2"/>
  <c r="AV145" i="2"/>
  <c r="M42" i="5"/>
  <c r="AV7" i="4"/>
  <c r="AV81" i="4" s="1"/>
  <c r="CL219" i="2"/>
  <c r="CQ213" i="2"/>
  <c r="AL159" i="2"/>
  <c r="AL157" i="2"/>
  <c r="AL155" i="2"/>
  <c r="AL161" i="2"/>
  <c r="AL163" i="2" s="1"/>
  <c r="AM161" i="2"/>
  <c r="AM163" i="2" s="1"/>
  <c r="AM155" i="2"/>
  <c r="AM157" i="2"/>
  <c r="AM159" i="2"/>
  <c r="AT162" i="2"/>
  <c r="AS162" i="2"/>
  <c r="AP161" i="2"/>
  <c r="AP163" i="2" s="1"/>
  <c r="AS161" i="2"/>
  <c r="AR161" i="2"/>
  <c r="AR163" i="2" s="1"/>
  <c r="AQ161" i="2"/>
  <c r="AQ163" i="2" s="1"/>
  <c r="AO161" i="2"/>
  <c r="AO163" i="2" s="1"/>
  <c r="AN161" i="2"/>
  <c r="AN163" i="2" s="1"/>
  <c r="AT161" i="2"/>
  <c r="AR155" i="2"/>
  <c r="AQ155" i="2"/>
  <c r="AP155" i="2"/>
  <c r="AO155" i="2"/>
  <c r="AN155" i="2"/>
  <c r="AS157" i="2"/>
  <c r="AR157" i="2"/>
  <c r="AQ157" i="2"/>
  <c r="AP157" i="2"/>
  <c r="AO157" i="2"/>
  <c r="AN157" i="2"/>
  <c r="AO159" i="2"/>
  <c r="AN159" i="2"/>
  <c r="AP159" i="2"/>
  <c r="AQ159" i="2"/>
  <c r="AR159" i="2"/>
  <c r="AS159" i="2"/>
  <c r="AT159" i="2"/>
  <c r="AT157" i="2"/>
  <c r="AS155" i="2"/>
  <c r="AT155" i="2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BT221" i="2" l="1"/>
  <c r="BU220" i="2"/>
  <c r="BT220" i="2"/>
  <c r="CZ218" i="2"/>
  <c r="DA221" i="2" s="1"/>
  <c r="CX218" i="2"/>
  <c r="V15" i="15" s="1"/>
  <c r="AT163" i="2"/>
  <c r="AV169" i="2"/>
  <c r="AV185" i="2"/>
  <c r="AV58" i="3"/>
  <c r="AV57" i="3"/>
  <c r="AV229" i="2"/>
  <c r="AV180" i="2"/>
  <c r="AS163" i="2"/>
  <c r="AV190" i="2"/>
  <c r="AV91" i="4"/>
  <c r="AV96" i="4"/>
  <c r="N42" i="5"/>
  <c r="AV196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AV197" i="2" l="1"/>
  <c r="O42" i="5"/>
  <c r="P42" i="5" l="1"/>
  <c r="D74" i="1"/>
  <c r="B74" i="1"/>
  <c r="D73" i="1"/>
  <c r="B73" i="1"/>
  <c r="Q42" i="5" l="1"/>
  <c r="CS9" i="8"/>
  <c r="CS282" i="2" s="1"/>
  <c r="CR9" i="8"/>
  <c r="CR282" i="2" s="1"/>
  <c r="CQ9" i="8"/>
  <c r="CP9" i="8"/>
  <c r="CP282" i="2" s="1"/>
  <c r="CO9" i="8"/>
  <c r="CO282" i="2" s="1"/>
  <c r="CN9" i="8"/>
  <c r="CN282" i="2" s="1"/>
  <c r="CM9" i="8"/>
  <c r="CM282" i="2" s="1"/>
  <c r="CL9" i="8"/>
  <c r="CL282" i="2" s="1"/>
  <c r="CK9" i="8"/>
  <c r="CK282" i="2" s="1"/>
  <c r="CJ9" i="8"/>
  <c r="CJ282" i="2" s="1"/>
  <c r="CI9" i="8"/>
  <c r="CI282" i="2" s="1"/>
  <c r="CI7" i="8"/>
  <c r="CS7" i="8"/>
  <c r="CR7" i="8"/>
  <c r="CQ7" i="8"/>
  <c r="CP7" i="8"/>
  <c r="CO7" i="8"/>
  <c r="CN7" i="8"/>
  <c r="CM7" i="8"/>
  <c r="CL7" i="8"/>
  <c r="CK7" i="8"/>
  <c r="CJ7" i="8"/>
  <c r="CS5" i="8"/>
  <c r="CR5" i="8"/>
  <c r="CQ5" i="8"/>
  <c r="CP5" i="8"/>
  <c r="CO5" i="8"/>
  <c r="CN5" i="8"/>
  <c r="CM5" i="8"/>
  <c r="CL5" i="8"/>
  <c r="CK5" i="8"/>
  <c r="CJ5" i="8"/>
  <c r="CI5" i="8"/>
  <c r="CN4" i="8"/>
  <c r="CM4" i="8"/>
  <c r="CL4" i="8"/>
  <c r="CK4" i="8"/>
  <c r="CJ4" i="8"/>
  <c r="CI4" i="8"/>
  <c r="CI2" i="8"/>
  <c r="CY20" i="7"/>
  <c r="CX20" i="7"/>
  <c r="CW20" i="7"/>
  <c r="CI20" i="7"/>
  <c r="CS18" i="7"/>
  <c r="CR18" i="7"/>
  <c r="CQ18" i="7"/>
  <c r="CP18" i="7"/>
  <c r="CO18" i="7"/>
  <c r="CN18" i="7"/>
  <c r="CM18" i="7"/>
  <c r="CL18" i="7"/>
  <c r="CI8" i="7"/>
  <c r="CI6" i="7"/>
  <c r="CI16" i="7"/>
  <c r="CY14" i="7"/>
  <c r="CX14" i="7"/>
  <c r="CW14" i="7"/>
  <c r="CI11" i="7"/>
  <c r="CI7" i="7"/>
  <c r="CS8" i="7"/>
  <c r="CR8" i="7"/>
  <c r="CQ8" i="7"/>
  <c r="CP8" i="7"/>
  <c r="CO8" i="7"/>
  <c r="CN8" i="7"/>
  <c r="CM8" i="7"/>
  <c r="CL8" i="7"/>
  <c r="CK8" i="7"/>
  <c r="CJ8" i="7"/>
  <c r="CI4" i="7"/>
  <c r="CQ282" i="2" l="1"/>
  <c r="CO8" i="8"/>
  <c r="CS8" i="8"/>
  <c r="CJ8" i="8"/>
  <c r="CN8" i="8"/>
  <c r="CR8" i="8"/>
  <c r="CI8" i="8"/>
  <c r="CQ8" i="8"/>
  <c r="CK8" i="8"/>
  <c r="CL8" i="8"/>
  <c r="CP8" i="8"/>
  <c r="CM8" i="8"/>
  <c r="R42" i="5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BM8" i="8"/>
  <c r="BN8" i="8" s="1"/>
  <c r="BO8" i="8" s="1"/>
  <c r="BP8" i="8" s="1"/>
  <c r="BQ8" i="8" s="1"/>
  <c r="BR8" i="8" s="1"/>
  <c r="BS8" i="8" s="1"/>
  <c r="BT8" i="8" s="1"/>
  <c r="BU8" i="8" s="1"/>
  <c r="BV8" i="8" s="1"/>
  <c r="BW8" i="8" s="1"/>
  <c r="BX8" i="8" s="1"/>
  <c r="BY8" i="8" s="1"/>
  <c r="BZ8" i="8" s="1"/>
  <c r="CA8" i="8" s="1"/>
  <c r="CB8" i="8" s="1"/>
  <c r="CC8" i="8" s="1"/>
  <c r="CD8" i="8" s="1"/>
  <c r="CE8" i="8" s="1"/>
  <c r="CF8" i="8" s="1"/>
  <c r="CG8" i="8" s="1"/>
  <c r="AT13" i="8"/>
  <c r="AS13" i="8"/>
  <c r="AS15" i="8" s="1"/>
  <c r="AR13" i="8"/>
  <c r="AQ13" i="8"/>
  <c r="AQ15" i="8" s="1"/>
  <c r="AP13" i="8"/>
  <c r="AO13" i="8"/>
  <c r="AO15" i="8" s="1"/>
  <c r="AN13" i="8"/>
  <c r="AM13" i="8"/>
  <c r="AM15" i="8" s="1"/>
  <c r="AL13" i="8"/>
  <c r="AK13" i="8"/>
  <c r="AK15" i="8" s="1"/>
  <c r="AJ13" i="8"/>
  <c r="AI13" i="8"/>
  <c r="AI15" i="8" s="1"/>
  <c r="AH13" i="8"/>
  <c r="AG13" i="8"/>
  <c r="AG15" i="8" s="1"/>
  <c r="AF13" i="8"/>
  <c r="AE13" i="8"/>
  <c r="AE15" i="8" s="1"/>
  <c r="AD13" i="8"/>
  <c r="BM12" i="8"/>
  <c r="BN12" i="8" s="1"/>
  <c r="BO12" i="8" s="1"/>
  <c r="BP12" i="8" s="1"/>
  <c r="BQ12" i="8" s="1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B3" i="8"/>
  <c r="AT2" i="8"/>
  <c r="CT2" i="8" s="1"/>
  <c r="AS2" i="8"/>
  <c r="AR2" i="8"/>
  <c r="AQ2" i="8"/>
  <c r="AP2" i="8"/>
  <c r="CS2" i="8" s="1"/>
  <c r="AO2" i="8"/>
  <c r="AN2" i="8"/>
  <c r="AM2" i="8"/>
  <c r="AL2" i="8"/>
  <c r="CR2" i="8" s="1"/>
  <c r="AK2" i="8"/>
  <c r="AJ2" i="8"/>
  <c r="AI2" i="8"/>
  <c r="AH2" i="8"/>
  <c r="CQ2" i="8" s="1"/>
  <c r="AG2" i="8"/>
  <c r="AF2" i="8"/>
  <c r="AE2" i="8"/>
  <c r="AD2" i="8"/>
  <c r="CP2" i="8" s="1"/>
  <c r="AC2" i="8"/>
  <c r="AB2" i="8"/>
  <c r="AA2" i="8"/>
  <c r="Z2" i="8"/>
  <c r="CO2" i="8" s="1"/>
  <c r="Y2" i="8"/>
  <c r="Y3" i="8" s="1"/>
  <c r="X2" i="8"/>
  <c r="X3" i="8" s="1"/>
  <c r="W2" i="8"/>
  <c r="W3" i="8" s="1"/>
  <c r="V2" i="8"/>
  <c r="CN2" i="8" s="1"/>
  <c r="U2" i="8"/>
  <c r="U3" i="8" s="1"/>
  <c r="T2" i="8"/>
  <c r="T3" i="8" s="1"/>
  <c r="S2" i="8"/>
  <c r="S3" i="8" s="1"/>
  <c r="R2" i="8"/>
  <c r="CM2" i="8" s="1"/>
  <c r="Q2" i="8"/>
  <c r="Q3" i="8" s="1"/>
  <c r="P2" i="8"/>
  <c r="P3" i="8" s="1"/>
  <c r="O2" i="8"/>
  <c r="O3" i="8" s="1"/>
  <c r="N2" i="8"/>
  <c r="CL2" i="8" s="1"/>
  <c r="M2" i="8"/>
  <c r="M3" i="8" s="1"/>
  <c r="L2" i="8"/>
  <c r="L3" i="8" s="1"/>
  <c r="K2" i="8"/>
  <c r="K3" i="8" s="1"/>
  <c r="J2" i="8"/>
  <c r="CK2" i="8" s="1"/>
  <c r="I2" i="8"/>
  <c r="I3" i="8" s="1"/>
  <c r="H2" i="8"/>
  <c r="H3" i="8" s="1"/>
  <c r="G2" i="8"/>
  <c r="G3" i="8" s="1"/>
  <c r="F2" i="8"/>
  <c r="CJ2" i="8" s="1"/>
  <c r="E2" i="8"/>
  <c r="E3" i="8" s="1"/>
  <c r="D2" i="8"/>
  <c r="D3" i="8" s="1"/>
  <c r="C2" i="8"/>
  <c r="C3" i="8" s="1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BQ4" i="8" l="1"/>
  <c r="BR12" i="8"/>
  <c r="AS3" i="8"/>
  <c r="AK3" i="8"/>
  <c r="AG3" i="8"/>
  <c r="AC3" i="8"/>
  <c r="AO3" i="8"/>
  <c r="AA3" i="8"/>
  <c r="AE3" i="8"/>
  <c r="AI3" i="8"/>
  <c r="AM3" i="8"/>
  <c r="AQ3" i="8"/>
  <c r="CI3" i="8"/>
  <c r="F3" i="8"/>
  <c r="CJ3" i="8" s="1"/>
  <c r="J3" i="8"/>
  <c r="CK3" i="8" s="1"/>
  <c r="N3" i="8"/>
  <c r="CL3" i="8" s="1"/>
  <c r="R3" i="8"/>
  <c r="CM3" i="8" s="1"/>
  <c r="V3" i="8"/>
  <c r="CN3" i="8" s="1"/>
  <c r="Z3" i="8"/>
  <c r="AB3" i="8"/>
  <c r="AF3" i="8"/>
  <c r="AJ3" i="8"/>
  <c r="AN3" i="8"/>
  <c r="AR3" i="8"/>
  <c r="S42" i="5"/>
  <c r="CO4" i="8"/>
  <c r="AV4" i="8"/>
  <c r="AX4" i="8"/>
  <c r="AZ4" i="8"/>
  <c r="BB4" i="8"/>
  <c r="BD4" i="8"/>
  <c r="BN4" i="8"/>
  <c r="BP4" i="8"/>
  <c r="AW4" i="8"/>
  <c r="AY4" i="8"/>
  <c r="BA4" i="8"/>
  <c r="BC4" i="8"/>
  <c r="BM4" i="8"/>
  <c r="BO4" i="8"/>
  <c r="AD3" i="8"/>
  <c r="CP4" i="8"/>
  <c r="AH3" i="8"/>
  <c r="CQ4" i="8"/>
  <c r="AL3" i="8"/>
  <c r="CR4" i="8"/>
  <c r="AP3" i="8"/>
  <c r="CS4" i="8"/>
  <c r="AD15" i="8"/>
  <c r="AD14" i="8"/>
  <c r="AF15" i="8"/>
  <c r="AF14" i="8"/>
  <c r="AH15" i="8"/>
  <c r="AH14" i="8"/>
  <c r="AJ15" i="8"/>
  <c r="AJ14" i="8"/>
  <c r="AL15" i="8"/>
  <c r="AL14" i="8"/>
  <c r="AN15" i="8"/>
  <c r="AN14" i="8"/>
  <c r="AP15" i="8"/>
  <c r="AP14" i="8"/>
  <c r="AR15" i="8"/>
  <c r="AR14" i="8"/>
  <c r="AT15" i="8"/>
  <c r="AT14" i="8"/>
  <c r="AE14" i="8"/>
  <c r="AG14" i="8"/>
  <c r="AI14" i="8"/>
  <c r="AK14" i="8"/>
  <c r="AM14" i="8"/>
  <c r="AO14" i="8"/>
  <c r="AQ14" i="8"/>
  <c r="AS14" i="8"/>
  <c r="AT3" i="8"/>
  <c r="BR4" i="8" l="1"/>
  <c r="BS12" i="8"/>
  <c r="CS3" i="8"/>
  <c r="CR3" i="8"/>
  <c r="CP3" i="8"/>
  <c r="CO3" i="8"/>
  <c r="CQ3" i="8"/>
  <c r="T42" i="5"/>
  <c r="CU4" i="8"/>
  <c r="CV4" i="8"/>
  <c r="CT4" i="8"/>
  <c r="CY4" i="8"/>
  <c r="CX4" i="8"/>
  <c r="CW4" i="8"/>
  <c r="BS4" i="8" l="1"/>
  <c r="BT12" i="8"/>
  <c r="U42" i="5"/>
  <c r="BU12" i="8" l="1"/>
  <c r="BT4" i="8"/>
  <c r="V42" i="5"/>
  <c r="BU4" i="8" l="1"/>
  <c r="CZ4" i="8" s="1"/>
  <c r="BV12" i="8"/>
  <c r="W42" i="5"/>
  <c r="BW12" i="8" l="1"/>
  <c r="BV4" i="8"/>
  <c r="X42" i="5"/>
  <c r="BX12" i="8" l="1"/>
  <c r="BW4" i="8"/>
  <c r="Y42" i="5"/>
  <c r="BY12" i="8" l="1"/>
  <c r="BX4" i="8"/>
  <c r="Z42" i="5"/>
  <c r="BY4" i="8" l="1"/>
  <c r="DA4" i="8" s="1"/>
  <c r="BZ12" i="8"/>
  <c r="AA42" i="5"/>
  <c r="BZ4" i="8" l="1"/>
  <c r="CA12" i="8"/>
  <c r="AB42" i="5"/>
  <c r="CA4" i="8" l="1"/>
  <c r="CB12" i="8"/>
  <c r="AC42" i="5"/>
  <c r="CC12" i="8" l="1"/>
  <c r="CB4" i="8"/>
  <c r="AD42" i="5"/>
  <c r="CC4" i="8" l="1"/>
  <c r="DB4" i="8" s="1"/>
  <c r="CD12" i="8"/>
  <c r="AE42" i="5"/>
  <c r="CE12" i="8" l="1"/>
  <c r="CD4" i="8"/>
  <c r="AF42" i="5"/>
  <c r="CF12" i="8" l="1"/>
  <c r="CE4" i="8"/>
  <c r="AG42" i="5"/>
  <c r="CG12" i="8" l="1"/>
  <c r="CG4" i="8" s="1"/>
  <c r="CF4" i="8"/>
  <c r="AH42" i="5"/>
  <c r="BM26" i="3"/>
  <c r="DC4" i="8" l="1"/>
  <c r="AI42" i="5"/>
  <c r="BN26" i="3"/>
  <c r="AJ42" i="5" l="1"/>
  <c r="BO26" i="3"/>
  <c r="AK42" i="5" l="1"/>
  <c r="BP26" i="3"/>
  <c r="AL42" i="5" l="1"/>
  <c r="BQ26" i="3"/>
  <c r="BR26" i="3" l="1"/>
  <c r="AM42" i="5"/>
  <c r="AT22" i="7"/>
  <c r="AT20" i="7" s="1"/>
  <c r="AS22" i="7"/>
  <c r="AS20" i="7" s="1"/>
  <c r="AR22" i="7"/>
  <c r="AR20" i="7" s="1"/>
  <c r="AQ22" i="7"/>
  <c r="AQ20" i="7" s="1"/>
  <c r="AP22" i="7"/>
  <c r="AP20" i="7" s="1"/>
  <c r="AO22" i="7"/>
  <c r="AO20" i="7" s="1"/>
  <c r="AN22" i="7"/>
  <c r="AN20" i="7" s="1"/>
  <c r="AM22" i="7"/>
  <c r="AM20" i="7" s="1"/>
  <c r="AL22" i="7"/>
  <c r="AL20" i="7" s="1"/>
  <c r="AK22" i="7"/>
  <c r="AK20" i="7" s="1"/>
  <c r="AJ22" i="7"/>
  <c r="AJ20" i="7" s="1"/>
  <c r="AI22" i="7"/>
  <c r="AI20" i="7" s="1"/>
  <c r="AH22" i="7"/>
  <c r="AH20" i="7" s="1"/>
  <c r="AG22" i="7"/>
  <c r="AG20" i="7" s="1"/>
  <c r="AF22" i="7"/>
  <c r="AF20" i="7" s="1"/>
  <c r="AE22" i="7"/>
  <c r="AE20" i="7" s="1"/>
  <c r="AD22" i="7"/>
  <c r="AD20" i="7" s="1"/>
  <c r="AC22" i="7"/>
  <c r="AC20" i="7" s="1"/>
  <c r="AB22" i="7"/>
  <c r="AB20" i="7" s="1"/>
  <c r="AA22" i="7"/>
  <c r="AA20" i="7" s="1"/>
  <c r="Z22" i="7"/>
  <c r="Z20" i="7" s="1"/>
  <c r="Y22" i="7"/>
  <c r="Y20" i="7" s="1"/>
  <c r="X22" i="7"/>
  <c r="X20" i="7" s="1"/>
  <c r="W22" i="7"/>
  <c r="W20" i="7" s="1"/>
  <c r="V22" i="7"/>
  <c r="V20" i="7" s="1"/>
  <c r="U22" i="7"/>
  <c r="U20" i="7" s="1"/>
  <c r="T22" i="7"/>
  <c r="T20" i="7" s="1"/>
  <c r="S22" i="7"/>
  <c r="S20" i="7" s="1"/>
  <c r="R22" i="7"/>
  <c r="R20" i="7" s="1"/>
  <c r="Q22" i="7"/>
  <c r="Q20" i="7" s="1"/>
  <c r="P22" i="7"/>
  <c r="P20" i="7" s="1"/>
  <c r="O22" i="7"/>
  <c r="O20" i="7" s="1"/>
  <c r="N22" i="7"/>
  <c r="N20" i="7" s="1"/>
  <c r="M22" i="7"/>
  <c r="L22" i="7"/>
  <c r="K22" i="7"/>
  <c r="J22" i="7"/>
  <c r="I22" i="7"/>
  <c r="H22" i="7"/>
  <c r="G22" i="7"/>
  <c r="F22" i="7"/>
  <c r="E22" i="7"/>
  <c r="D22" i="7"/>
  <c r="C22" i="7"/>
  <c r="B22" i="7"/>
  <c r="AT15" i="7"/>
  <c r="AU11" i="7" s="1"/>
  <c r="AS15" i="7"/>
  <c r="CS15" i="7" s="1"/>
  <c r="AR15" i="7"/>
  <c r="AS11" i="7" s="1"/>
  <c r="AQ15" i="7"/>
  <c r="AR11" i="7" s="1"/>
  <c r="AR17" i="7" s="1"/>
  <c r="AP15" i="7"/>
  <c r="AQ11" i="7" s="1"/>
  <c r="AO15" i="7"/>
  <c r="CR15" i="7" s="1"/>
  <c r="AN15" i="7"/>
  <c r="AO11" i="7" s="1"/>
  <c r="AM15" i="7"/>
  <c r="AN11" i="7" s="1"/>
  <c r="AN17" i="7" s="1"/>
  <c r="AL15" i="7"/>
  <c r="AM11" i="7" s="1"/>
  <c r="AK15" i="7"/>
  <c r="CQ15" i="7" s="1"/>
  <c r="AJ15" i="7"/>
  <c r="AK11" i="7" s="1"/>
  <c r="AI15" i="7"/>
  <c r="AJ11" i="7" s="1"/>
  <c r="AJ17" i="7" s="1"/>
  <c r="AH15" i="7"/>
  <c r="AI11" i="7" s="1"/>
  <c r="AG15" i="7"/>
  <c r="CP15" i="7" s="1"/>
  <c r="AF15" i="7"/>
  <c r="AG11" i="7" s="1"/>
  <c r="AE15" i="7"/>
  <c r="AF11" i="7" s="1"/>
  <c r="AF17" i="7" s="1"/>
  <c r="AD15" i="7"/>
  <c r="AE11" i="7" s="1"/>
  <c r="AC15" i="7"/>
  <c r="CO15" i="7" s="1"/>
  <c r="AB15" i="7"/>
  <c r="AC11" i="7" s="1"/>
  <c r="AA15" i="7"/>
  <c r="AB11" i="7" s="1"/>
  <c r="AB17" i="7" s="1"/>
  <c r="Z15" i="7"/>
  <c r="AA11" i="7" s="1"/>
  <c r="Y15" i="7"/>
  <c r="CN15" i="7" s="1"/>
  <c r="X15" i="7"/>
  <c r="Y11" i="7" s="1"/>
  <c r="W15" i="7"/>
  <c r="X11" i="7" s="1"/>
  <c r="X17" i="7" s="1"/>
  <c r="V15" i="7"/>
  <c r="W11" i="7" s="1"/>
  <c r="U15" i="7"/>
  <c r="CM15" i="7" s="1"/>
  <c r="T15" i="7"/>
  <c r="U11" i="7" s="1"/>
  <c r="S15" i="7"/>
  <c r="T11" i="7" s="1"/>
  <c r="T17" i="7" s="1"/>
  <c r="R15" i="7"/>
  <c r="S11" i="7" s="1"/>
  <c r="Q15" i="7"/>
  <c r="CL15" i="7" s="1"/>
  <c r="P15" i="7"/>
  <c r="Q11" i="7" s="1"/>
  <c r="O15" i="7"/>
  <c r="P11" i="7" s="1"/>
  <c r="P17" i="7" s="1"/>
  <c r="N15" i="7"/>
  <c r="O11" i="7" s="1"/>
  <c r="M15" i="7"/>
  <c r="CK15" i="7" s="1"/>
  <c r="L15" i="7"/>
  <c r="M11" i="7" s="1"/>
  <c r="K15" i="7"/>
  <c r="L11" i="7" s="1"/>
  <c r="L18" i="7" s="1"/>
  <c r="J15" i="7"/>
  <c r="K11" i="7" s="1"/>
  <c r="I15" i="7"/>
  <c r="CJ15" i="7" s="1"/>
  <c r="H15" i="7"/>
  <c r="I11" i="7" s="1"/>
  <c r="G15" i="7"/>
  <c r="H11" i="7" s="1"/>
  <c r="H18" i="7" s="1"/>
  <c r="F15" i="7"/>
  <c r="G11" i="7" s="1"/>
  <c r="E15" i="7"/>
  <c r="CI15" i="7" s="1"/>
  <c r="D15" i="7"/>
  <c r="E11" i="7" s="1"/>
  <c r="CS13" i="7"/>
  <c r="CR13" i="7"/>
  <c r="CQ13" i="7"/>
  <c r="CP13" i="7"/>
  <c r="CO13" i="7"/>
  <c r="CN13" i="7"/>
  <c r="CM13" i="7"/>
  <c r="CL13" i="7"/>
  <c r="CK13" i="7"/>
  <c r="CJ13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5" i="7"/>
  <c r="D11" i="7" s="1"/>
  <c r="D18" i="7" s="1"/>
  <c r="C12" i="7"/>
  <c r="B15" i="7"/>
  <c r="C11" i="7" s="1"/>
  <c r="E4" i="7"/>
  <c r="CY30" i="5"/>
  <c r="CX30" i="5"/>
  <c r="CW30" i="5"/>
  <c r="CV30" i="5"/>
  <c r="CI27" i="5"/>
  <c r="CR16" i="5"/>
  <c r="CQ16" i="5"/>
  <c r="CP16" i="5"/>
  <c r="CO16" i="5"/>
  <c r="CN16" i="5"/>
  <c r="CR12" i="5"/>
  <c r="CQ12" i="5"/>
  <c r="CP12" i="5"/>
  <c r="CO12" i="5"/>
  <c r="CN12" i="5"/>
  <c r="CR8" i="5"/>
  <c r="CQ8" i="5"/>
  <c r="CP8" i="5"/>
  <c r="CO8" i="5"/>
  <c r="CN8" i="5"/>
  <c r="CS43" i="3"/>
  <c r="CR43" i="3"/>
  <c r="CQ43" i="3"/>
  <c r="CP43" i="3"/>
  <c r="CO43" i="3"/>
  <c r="CN43" i="3"/>
  <c r="CM43" i="3"/>
  <c r="CL43" i="3"/>
  <c r="CK43" i="3"/>
  <c r="CJ43" i="3"/>
  <c r="CI43" i="3"/>
  <c r="CS42" i="3"/>
  <c r="CR42" i="3"/>
  <c r="CQ42" i="3"/>
  <c r="CP42" i="3"/>
  <c r="CO42" i="3"/>
  <c r="CN42" i="3"/>
  <c r="CM42" i="3"/>
  <c r="CL42" i="3"/>
  <c r="CK42" i="3"/>
  <c r="CJ42" i="3"/>
  <c r="CI42" i="3"/>
  <c r="CS41" i="3"/>
  <c r="CR41" i="3"/>
  <c r="CQ41" i="3"/>
  <c r="CP41" i="3"/>
  <c r="CO41" i="3"/>
  <c r="CN41" i="3"/>
  <c r="CM41" i="3"/>
  <c r="CL41" i="3"/>
  <c r="CK41" i="3"/>
  <c r="CJ41" i="3"/>
  <c r="CI41" i="3"/>
  <c r="CS37" i="3"/>
  <c r="CR37" i="3"/>
  <c r="CQ37" i="3"/>
  <c r="CP37" i="3"/>
  <c r="CO37" i="3"/>
  <c r="CN37" i="3"/>
  <c r="CM37" i="3"/>
  <c r="CL37" i="3"/>
  <c r="CK37" i="3"/>
  <c r="CJ37" i="3"/>
  <c r="CI37" i="3"/>
  <c r="CS36" i="3"/>
  <c r="CR36" i="3"/>
  <c r="CQ36" i="3"/>
  <c r="CP36" i="3"/>
  <c r="CO36" i="3"/>
  <c r="CN36" i="3"/>
  <c r="CM36" i="3"/>
  <c r="CL36" i="3"/>
  <c r="CK36" i="3"/>
  <c r="CJ36" i="3"/>
  <c r="CI36" i="3"/>
  <c r="CS35" i="3"/>
  <c r="CR35" i="3"/>
  <c r="CQ35" i="3"/>
  <c r="CP35" i="3"/>
  <c r="CO35" i="3"/>
  <c r="CN35" i="3"/>
  <c r="CM35" i="3"/>
  <c r="CL35" i="3"/>
  <c r="CK35" i="3"/>
  <c r="CJ35" i="3"/>
  <c r="CI35" i="3"/>
  <c r="CS34" i="3"/>
  <c r="CR34" i="3"/>
  <c r="CQ34" i="3"/>
  <c r="CP34" i="3"/>
  <c r="CO34" i="3"/>
  <c r="CN34" i="3"/>
  <c r="CM34" i="3"/>
  <c r="CL34" i="3"/>
  <c r="CK34" i="3"/>
  <c r="CJ34" i="3"/>
  <c r="CI34" i="3"/>
  <c r="CS33" i="3"/>
  <c r="CR33" i="3"/>
  <c r="CQ33" i="3"/>
  <c r="CP33" i="3"/>
  <c r="CO33" i="3"/>
  <c r="CN33" i="3"/>
  <c r="CM33" i="3"/>
  <c r="CL33" i="3"/>
  <c r="CK33" i="3"/>
  <c r="CJ33" i="3"/>
  <c r="CI33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S29" i="3"/>
  <c r="CR29" i="3"/>
  <c r="CQ29" i="3"/>
  <c r="CP29" i="3"/>
  <c r="CO29" i="3"/>
  <c r="CN29" i="3"/>
  <c r="CM29" i="3"/>
  <c r="CL29" i="3"/>
  <c r="CK29" i="3"/>
  <c r="CJ29" i="3"/>
  <c r="CI29" i="3"/>
  <c r="CS28" i="3"/>
  <c r="CR28" i="3"/>
  <c r="CQ28" i="3"/>
  <c r="CP28" i="3"/>
  <c r="CO28" i="3"/>
  <c r="CN28" i="3"/>
  <c r="CM28" i="3"/>
  <c r="CL28" i="3"/>
  <c r="CK28" i="3"/>
  <c r="CJ28" i="3"/>
  <c r="CI28" i="3"/>
  <c r="CS27" i="3"/>
  <c r="CR27" i="3"/>
  <c r="CQ27" i="3"/>
  <c r="CP27" i="3"/>
  <c r="CO27" i="3"/>
  <c r="CN27" i="3"/>
  <c r="CM27" i="3"/>
  <c r="CL27" i="3"/>
  <c r="CK27" i="3"/>
  <c r="CJ27" i="3"/>
  <c r="CI27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S25" i="3"/>
  <c r="CR25" i="3"/>
  <c r="CQ25" i="3"/>
  <c r="CP25" i="3"/>
  <c r="CO25" i="3"/>
  <c r="CN25" i="3"/>
  <c r="CM25" i="3"/>
  <c r="CL25" i="3"/>
  <c r="CK25" i="3"/>
  <c r="CJ25" i="3"/>
  <c r="CI25" i="3"/>
  <c r="CS24" i="3"/>
  <c r="CR24" i="3"/>
  <c r="CQ24" i="3"/>
  <c r="CP24" i="3"/>
  <c r="CO24" i="3"/>
  <c r="CN24" i="3"/>
  <c r="CM24" i="3"/>
  <c r="CL24" i="3"/>
  <c r="CK24" i="3"/>
  <c r="CJ24" i="3"/>
  <c r="CI24" i="3"/>
  <c r="CS23" i="3"/>
  <c r="CR23" i="3"/>
  <c r="CQ23" i="3"/>
  <c r="CP23" i="3"/>
  <c r="CO23" i="3"/>
  <c r="CN23" i="3"/>
  <c r="CM23" i="3"/>
  <c r="CL23" i="3"/>
  <c r="CK23" i="3"/>
  <c r="CJ23" i="3"/>
  <c r="CI23" i="3"/>
  <c r="CS22" i="3"/>
  <c r="CR22" i="3"/>
  <c r="CQ22" i="3"/>
  <c r="CP22" i="3"/>
  <c r="CO22" i="3"/>
  <c r="CN22" i="3"/>
  <c r="CM22" i="3"/>
  <c r="CL22" i="3"/>
  <c r="CK22" i="3"/>
  <c r="CJ22" i="3"/>
  <c r="CI22" i="3"/>
  <c r="CS19" i="3"/>
  <c r="CR19" i="3"/>
  <c r="CQ19" i="3"/>
  <c r="CP19" i="3"/>
  <c r="CO19" i="3"/>
  <c r="CN19" i="3"/>
  <c r="CM19" i="3"/>
  <c r="CL19" i="3"/>
  <c r="CK19" i="3"/>
  <c r="CJ19" i="3"/>
  <c r="CI19" i="3"/>
  <c r="CS18" i="3"/>
  <c r="CR18" i="3"/>
  <c r="CQ18" i="3"/>
  <c r="CP18" i="3"/>
  <c r="CO18" i="3"/>
  <c r="CN18" i="3"/>
  <c r="CM18" i="3"/>
  <c r="CL18" i="3"/>
  <c r="CK18" i="3"/>
  <c r="CJ18" i="3"/>
  <c r="CI18" i="3"/>
  <c r="CS17" i="3"/>
  <c r="CR17" i="3"/>
  <c r="CQ17" i="3"/>
  <c r="CP17" i="3"/>
  <c r="CO17" i="3"/>
  <c r="CN17" i="3"/>
  <c r="CM17" i="3"/>
  <c r="CL17" i="3"/>
  <c r="CK17" i="3"/>
  <c r="CJ17" i="3"/>
  <c r="CI17" i="3"/>
  <c r="CS16" i="3"/>
  <c r="CR16" i="3"/>
  <c r="CQ16" i="3"/>
  <c r="CP16" i="3"/>
  <c r="CO16" i="3"/>
  <c r="CN16" i="3"/>
  <c r="CM16" i="3"/>
  <c r="CL16" i="3"/>
  <c r="CK16" i="3"/>
  <c r="CJ16" i="3"/>
  <c r="CI16" i="3"/>
  <c r="CS15" i="3"/>
  <c r="CR15" i="3"/>
  <c r="CQ15" i="3"/>
  <c r="CP15" i="3"/>
  <c r="CO15" i="3"/>
  <c r="CN15" i="3"/>
  <c r="CM15" i="3"/>
  <c r="CL15" i="3"/>
  <c r="CK15" i="3"/>
  <c r="CJ15" i="3"/>
  <c r="CI15" i="3"/>
  <c r="CS14" i="3"/>
  <c r="CR14" i="3"/>
  <c r="CQ14" i="3"/>
  <c r="CP14" i="3"/>
  <c r="CO14" i="3"/>
  <c r="CN14" i="3"/>
  <c r="CM14" i="3"/>
  <c r="CL14" i="3"/>
  <c r="CK14" i="3"/>
  <c r="CJ14" i="3"/>
  <c r="CI14" i="3"/>
  <c r="CS13" i="3"/>
  <c r="CR13" i="3"/>
  <c r="CQ13" i="3"/>
  <c r="CP13" i="3"/>
  <c r="CO13" i="3"/>
  <c r="CN13" i="3"/>
  <c r="CM13" i="3"/>
  <c r="CL13" i="3"/>
  <c r="CK13" i="3"/>
  <c r="CJ13" i="3"/>
  <c r="CI13" i="3"/>
  <c r="CS10" i="3"/>
  <c r="CR10" i="3"/>
  <c r="CQ10" i="3"/>
  <c r="CP10" i="3"/>
  <c r="CO10" i="3"/>
  <c r="CN10" i="3"/>
  <c r="CM10" i="3"/>
  <c r="CL10" i="3"/>
  <c r="CK10" i="3"/>
  <c r="CJ10" i="3"/>
  <c r="CI10" i="3"/>
  <c r="CS9" i="3"/>
  <c r="CR9" i="3"/>
  <c r="CQ9" i="3"/>
  <c r="CP9" i="3"/>
  <c r="CO9" i="3"/>
  <c r="CN9" i="3"/>
  <c r="CM9" i="3"/>
  <c r="CL9" i="3"/>
  <c r="CK9" i="3"/>
  <c r="CJ9" i="3"/>
  <c r="CI9" i="3"/>
  <c r="CS8" i="3"/>
  <c r="CR8" i="3"/>
  <c r="CQ8" i="3"/>
  <c r="CP8" i="3"/>
  <c r="CO8" i="3"/>
  <c r="CN8" i="3"/>
  <c r="CM8" i="3"/>
  <c r="CL8" i="3"/>
  <c r="CK8" i="3"/>
  <c r="CJ8" i="3"/>
  <c r="CI8" i="3"/>
  <c r="CR7" i="3"/>
  <c r="CQ7" i="3"/>
  <c r="CP7" i="3"/>
  <c r="CO7" i="3"/>
  <c r="CN7" i="3"/>
  <c r="CM7" i="3"/>
  <c r="CL7" i="3"/>
  <c r="CK7" i="3"/>
  <c r="CJ7" i="3"/>
  <c r="CI7" i="3"/>
  <c r="CR6" i="3"/>
  <c r="CQ6" i="3"/>
  <c r="CP6" i="3"/>
  <c r="CO6" i="3"/>
  <c r="CN6" i="3"/>
  <c r="CM6" i="3"/>
  <c r="CL6" i="3"/>
  <c r="CK6" i="3"/>
  <c r="CJ6" i="3"/>
  <c r="CI6" i="3"/>
  <c r="CR5" i="3"/>
  <c r="CQ5" i="3"/>
  <c r="CP5" i="3"/>
  <c r="CO5" i="3"/>
  <c r="CN5" i="3"/>
  <c r="CM5" i="3"/>
  <c r="CL5" i="3"/>
  <c r="CK5" i="3"/>
  <c r="CJ5" i="3"/>
  <c r="CI5" i="3"/>
  <c r="CR4" i="3"/>
  <c r="CQ4" i="3"/>
  <c r="CP4" i="3"/>
  <c r="CO4" i="3"/>
  <c r="CN4" i="3"/>
  <c r="CM4" i="3"/>
  <c r="CL4" i="3"/>
  <c r="CK4" i="3"/>
  <c r="CJ4" i="3"/>
  <c r="CI4" i="3"/>
  <c r="BS26" i="3" l="1"/>
  <c r="C16" i="7"/>
  <c r="F11" i="7"/>
  <c r="F18" i="7" s="1"/>
  <c r="J11" i="7"/>
  <c r="J18" i="7" s="1"/>
  <c r="N11" i="7"/>
  <c r="N17" i="7" s="1"/>
  <c r="R11" i="7"/>
  <c r="R17" i="7" s="1"/>
  <c r="V11" i="7"/>
  <c r="V17" i="7" s="1"/>
  <c r="Z11" i="7"/>
  <c r="Z17" i="7" s="1"/>
  <c r="AD11" i="7"/>
  <c r="AD17" i="7" s="1"/>
  <c r="AH11" i="7"/>
  <c r="AH17" i="7" s="1"/>
  <c r="AL11" i="7"/>
  <c r="AL17" i="7" s="1"/>
  <c r="AP11" i="7"/>
  <c r="AP17" i="7" s="1"/>
  <c r="AT11" i="7"/>
  <c r="AT17" i="7" s="1"/>
  <c r="AN42" i="5"/>
  <c r="E16" i="7"/>
  <c r="E18" i="7"/>
  <c r="G16" i="7"/>
  <c r="G18" i="7"/>
  <c r="I16" i="7"/>
  <c r="I18" i="7"/>
  <c r="K16" i="7"/>
  <c r="K18" i="7"/>
  <c r="M16" i="7"/>
  <c r="M18" i="7"/>
  <c r="O16" i="7"/>
  <c r="O17" i="7"/>
  <c r="Q16" i="7"/>
  <c r="Q17" i="7"/>
  <c r="S16" i="7"/>
  <c r="S17" i="7"/>
  <c r="U16" i="7"/>
  <c r="U17" i="7"/>
  <c r="W16" i="7"/>
  <c r="W17" i="7"/>
  <c r="Y16" i="7"/>
  <c r="Y17" i="7"/>
  <c r="AA16" i="7"/>
  <c r="AA17" i="7"/>
  <c r="AC16" i="7"/>
  <c r="AC17" i="7"/>
  <c r="AE16" i="7"/>
  <c r="AE17" i="7"/>
  <c r="AG16" i="7"/>
  <c r="AG17" i="7"/>
  <c r="AI16" i="7"/>
  <c r="AI17" i="7"/>
  <c r="AK16" i="7"/>
  <c r="AK17" i="7"/>
  <c r="AM16" i="7"/>
  <c r="AM17" i="7"/>
  <c r="AO16" i="7"/>
  <c r="AO17" i="7"/>
  <c r="AQ16" i="7"/>
  <c r="AQ17" i="7"/>
  <c r="AS16" i="7"/>
  <c r="AS17" i="7"/>
  <c r="AU26" i="7"/>
  <c r="AU17" i="7"/>
  <c r="AU25" i="7"/>
  <c r="CI30" i="3"/>
  <c r="CK30" i="3"/>
  <c r="CM30" i="3"/>
  <c r="CO30" i="3"/>
  <c r="CQ30" i="3"/>
  <c r="CS30" i="3"/>
  <c r="CI13" i="7"/>
  <c r="CJ12" i="7"/>
  <c r="CK12" i="7"/>
  <c r="CL12" i="7"/>
  <c r="CM12" i="7"/>
  <c r="CN12" i="7"/>
  <c r="CP17" i="5"/>
  <c r="CO12" i="7"/>
  <c r="CP12" i="7"/>
  <c r="CQ12" i="7"/>
  <c r="CR12" i="7"/>
  <c r="CS12" i="7"/>
  <c r="CI12" i="7"/>
  <c r="CJ30" i="3"/>
  <c r="CL30" i="3"/>
  <c r="CN30" i="3"/>
  <c r="CP30" i="3"/>
  <c r="CR30" i="3"/>
  <c r="CJ40" i="3"/>
  <c r="CL40" i="3"/>
  <c r="CN40" i="3"/>
  <c r="CP40" i="3"/>
  <c r="CI40" i="3"/>
  <c r="CK40" i="3"/>
  <c r="CM40" i="3"/>
  <c r="CO40" i="3"/>
  <c r="CQ40" i="3"/>
  <c r="D16" i="7"/>
  <c r="H16" i="7"/>
  <c r="L16" i="7"/>
  <c r="L20" i="7" s="1"/>
  <c r="P16" i="7"/>
  <c r="T16" i="7"/>
  <c r="X16" i="7"/>
  <c r="AB16" i="7"/>
  <c r="AF16" i="7"/>
  <c r="AJ16" i="7"/>
  <c r="AN16" i="7"/>
  <c r="AR16" i="7"/>
  <c r="C14" i="7"/>
  <c r="H25" i="7"/>
  <c r="L25" i="7"/>
  <c r="E25" i="7"/>
  <c r="G25" i="7"/>
  <c r="I25" i="7"/>
  <c r="K25" i="7"/>
  <c r="M25" i="7"/>
  <c r="O25" i="7"/>
  <c r="Q25" i="7"/>
  <c r="S25" i="7"/>
  <c r="P25" i="7"/>
  <c r="T25" i="7"/>
  <c r="X25" i="7"/>
  <c r="AB25" i="7"/>
  <c r="AF25" i="7"/>
  <c r="AJ25" i="7"/>
  <c r="AN25" i="7"/>
  <c r="AR25" i="7"/>
  <c r="E26" i="7"/>
  <c r="G26" i="7"/>
  <c r="I26" i="7"/>
  <c r="K26" i="7"/>
  <c r="M26" i="7"/>
  <c r="O26" i="7"/>
  <c r="Q26" i="7"/>
  <c r="S26" i="7"/>
  <c r="U26" i="7"/>
  <c r="W26" i="7"/>
  <c r="Y26" i="7"/>
  <c r="AA26" i="7"/>
  <c r="AC26" i="7"/>
  <c r="AE26" i="7"/>
  <c r="AG26" i="7"/>
  <c r="AI26" i="7"/>
  <c r="AK26" i="7"/>
  <c r="AM26" i="7"/>
  <c r="AO26" i="7"/>
  <c r="AQ26" i="7"/>
  <c r="AS26" i="7"/>
  <c r="U25" i="7"/>
  <c r="W25" i="7"/>
  <c r="Y25" i="7"/>
  <c r="AA25" i="7"/>
  <c r="AC25" i="7"/>
  <c r="AE25" i="7"/>
  <c r="AG25" i="7"/>
  <c r="AI25" i="7"/>
  <c r="AK25" i="7"/>
  <c r="AM25" i="7"/>
  <c r="AO25" i="7"/>
  <c r="AQ25" i="7"/>
  <c r="AS25" i="7"/>
  <c r="H26" i="7"/>
  <c r="L26" i="7"/>
  <c r="P26" i="7"/>
  <c r="T26" i="7"/>
  <c r="X26" i="7"/>
  <c r="AB26" i="7"/>
  <c r="AF26" i="7"/>
  <c r="AJ26" i="7"/>
  <c r="AN26" i="7"/>
  <c r="AR26" i="7"/>
  <c r="H20" i="7"/>
  <c r="CR18" i="5"/>
  <c r="CQ18" i="5"/>
  <c r="CP18" i="5"/>
  <c r="CO18" i="5"/>
  <c r="CN17" i="5"/>
  <c r="CR14" i="5"/>
  <c r="CQ14" i="5"/>
  <c r="CP14" i="5"/>
  <c r="CO14" i="5"/>
  <c r="CR17" i="5"/>
  <c r="CR10" i="5"/>
  <c r="CQ17" i="5"/>
  <c r="CP10" i="5"/>
  <c r="CQ10" i="5"/>
  <c r="CO17" i="5"/>
  <c r="CO10" i="5"/>
  <c r="CL20" i="7"/>
  <c r="CM20" i="7"/>
  <c r="CN20" i="7"/>
  <c r="CO20" i="7"/>
  <c r="CP20" i="7"/>
  <c r="CQ20" i="7"/>
  <c r="CR20" i="7"/>
  <c r="CS20" i="7"/>
  <c r="H14" i="7"/>
  <c r="L14" i="7"/>
  <c r="P14" i="7"/>
  <c r="T14" i="7"/>
  <c r="X14" i="7"/>
  <c r="AB14" i="7"/>
  <c r="AF14" i="7"/>
  <c r="AJ14" i="7"/>
  <c r="AN14" i="7"/>
  <c r="AR14" i="7"/>
  <c r="D14" i="7"/>
  <c r="E14" i="7"/>
  <c r="G14" i="7"/>
  <c r="I14" i="7"/>
  <c r="K14" i="7"/>
  <c r="M14" i="7"/>
  <c r="O14" i="7"/>
  <c r="Q14" i="7"/>
  <c r="S14" i="7"/>
  <c r="U14" i="7"/>
  <c r="W14" i="7"/>
  <c r="Y14" i="7"/>
  <c r="AA14" i="7"/>
  <c r="AC14" i="7"/>
  <c r="AE14" i="7"/>
  <c r="AG14" i="7"/>
  <c r="AI14" i="7"/>
  <c r="AK14" i="7"/>
  <c r="AM14" i="7"/>
  <c r="AO14" i="7"/>
  <c r="AQ14" i="7"/>
  <c r="AS14" i="7"/>
  <c r="AH26" i="7" l="1"/>
  <c r="CI18" i="7"/>
  <c r="CI22" i="7" s="1"/>
  <c r="BT26" i="3"/>
  <c r="AH16" i="7"/>
  <c r="CR11" i="7"/>
  <c r="CR17" i="7" s="1"/>
  <c r="AT25" i="7"/>
  <c r="AL14" i="7"/>
  <c r="CR14" i="7" s="1"/>
  <c r="R16" i="7"/>
  <c r="N14" i="7"/>
  <c r="CL14" i="7" s="1"/>
  <c r="AL26" i="7"/>
  <c r="V26" i="7"/>
  <c r="K20" i="7"/>
  <c r="CM11" i="7"/>
  <c r="CM17" i="7" s="1"/>
  <c r="N16" i="7"/>
  <c r="V14" i="7"/>
  <c r="CN14" i="7" s="1"/>
  <c r="CL11" i="7"/>
  <c r="CL17" i="7" s="1"/>
  <c r="AH14" i="7"/>
  <c r="CQ14" i="7" s="1"/>
  <c r="CQ11" i="7"/>
  <c r="CQ16" i="7" s="1"/>
  <c r="N25" i="7"/>
  <c r="AT16" i="7"/>
  <c r="R26" i="7"/>
  <c r="R25" i="7"/>
  <c r="R14" i="7"/>
  <c r="CM14" i="7" s="1"/>
  <c r="N26" i="7"/>
  <c r="AH25" i="7"/>
  <c r="CN11" i="7"/>
  <c r="CN16" i="7" s="1"/>
  <c r="AT26" i="7"/>
  <c r="G20" i="7"/>
  <c r="CT11" i="7"/>
  <c r="AT14" i="7"/>
  <c r="CP11" i="7"/>
  <c r="CP17" i="7" s="1"/>
  <c r="CJ11" i="7"/>
  <c r="CJ16" i="7" s="1"/>
  <c r="F14" i="7"/>
  <c r="CJ14" i="7" s="1"/>
  <c r="F26" i="7"/>
  <c r="AD26" i="7"/>
  <c r="AD25" i="7"/>
  <c r="F25" i="7"/>
  <c r="AD14" i="7"/>
  <c r="CP14" i="7" s="1"/>
  <c r="I20" i="7"/>
  <c r="AD16" i="7"/>
  <c r="AP14" i="7"/>
  <c r="CS14" i="7" s="1"/>
  <c r="Z14" i="7"/>
  <c r="CO14" i="7" s="1"/>
  <c r="J14" i="7"/>
  <c r="CK14" i="7" s="1"/>
  <c r="AP26" i="7"/>
  <c r="Z26" i="7"/>
  <c r="J26" i="7"/>
  <c r="M20" i="7"/>
  <c r="CS11" i="7"/>
  <c r="CS17" i="7" s="1"/>
  <c r="CO11" i="7"/>
  <c r="CO16" i="7" s="1"/>
  <c r="CK11" i="7"/>
  <c r="CK16" i="7" s="1"/>
  <c r="J20" i="7"/>
  <c r="AP25" i="7"/>
  <c r="Z25" i="7"/>
  <c r="AP16" i="7"/>
  <c r="Z16" i="7"/>
  <c r="J16" i="7"/>
  <c r="CK18" i="7" s="1"/>
  <c r="F20" i="7"/>
  <c r="AL25" i="7"/>
  <c r="V25" i="7"/>
  <c r="AL16" i="7"/>
  <c r="V16" i="7"/>
  <c r="F16" i="7"/>
  <c r="CJ18" i="7" s="1"/>
  <c r="J25" i="7"/>
  <c r="AO42" i="5"/>
  <c r="CR22" i="7"/>
  <c r="CP22" i="7"/>
  <c r="CN22" i="7"/>
  <c r="CL22" i="7"/>
  <c r="CS22" i="7"/>
  <c r="CQ22" i="7"/>
  <c r="CO22" i="7"/>
  <c r="CM22" i="7"/>
  <c r="CQ45" i="3"/>
  <c r="CM45" i="3"/>
  <c r="CI45" i="3"/>
  <c r="CN45" i="3"/>
  <c r="CJ45" i="3"/>
  <c r="CP38" i="3"/>
  <c r="CL38" i="3"/>
  <c r="CO45" i="3"/>
  <c r="CK45" i="3"/>
  <c r="CP45" i="3"/>
  <c r="CL45" i="3"/>
  <c r="CR38" i="3"/>
  <c r="CN38" i="3"/>
  <c r="CJ38" i="3"/>
  <c r="CS38" i="3"/>
  <c r="CQ38" i="3"/>
  <c r="CO38" i="3"/>
  <c r="CM38" i="3"/>
  <c r="CK38" i="3"/>
  <c r="CI38" i="3"/>
  <c r="CI14" i="7"/>
  <c r="CQ17" i="7" l="1"/>
  <c r="CO17" i="7"/>
  <c r="BU26" i="3"/>
  <c r="BV26" i="3" s="1"/>
  <c r="CJ20" i="7"/>
  <c r="CJ22" i="7" s="1"/>
  <c r="CR16" i="7"/>
  <c r="CM16" i="7"/>
  <c r="CL16" i="7"/>
  <c r="CN17" i="7"/>
  <c r="CP16" i="7"/>
  <c r="CK20" i="7"/>
  <c r="CK22" i="7" s="1"/>
  <c r="CJ17" i="7"/>
  <c r="CP47" i="3"/>
  <c r="CK17" i="7"/>
  <c r="CL47" i="3"/>
  <c r="CS16" i="7"/>
  <c r="AP42" i="5"/>
  <c r="CJ47" i="3"/>
  <c r="CN47" i="3"/>
  <c r="CK47" i="3"/>
  <c r="CO47" i="3"/>
  <c r="CI47" i="3"/>
  <c r="CM47" i="3"/>
  <c r="CQ47" i="3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5" i="4"/>
  <c r="C94" i="4"/>
  <c r="C93" i="4"/>
  <c r="C92" i="4"/>
  <c r="BW26" i="3" l="1"/>
  <c r="CZ26" i="3"/>
  <c r="AQ42" i="5"/>
  <c r="CM49" i="4"/>
  <c r="CL49" i="4"/>
  <c r="CK49" i="4"/>
  <c r="CY45" i="4"/>
  <c r="CX45" i="4"/>
  <c r="CW45" i="4"/>
  <c r="CV45" i="4"/>
  <c r="CU45" i="4"/>
  <c r="CS45" i="4"/>
  <c r="CR45" i="4"/>
  <c r="CQ45" i="4"/>
  <c r="CP45" i="4"/>
  <c r="CO45" i="4"/>
  <c r="CN45" i="4"/>
  <c r="CM45" i="4"/>
  <c r="CL45" i="4"/>
  <c r="CK45" i="4"/>
  <c r="CJ45" i="4"/>
  <c r="CI45" i="4"/>
  <c r="CY41" i="4"/>
  <c r="CX41" i="4"/>
  <c r="CW41" i="4"/>
  <c r="CV41" i="4"/>
  <c r="CU41" i="4"/>
  <c r="CS41" i="4"/>
  <c r="CR41" i="4"/>
  <c r="CQ41" i="4"/>
  <c r="CP41" i="4"/>
  <c r="CO41" i="4"/>
  <c r="CN41" i="4"/>
  <c r="CM41" i="4"/>
  <c r="CL41" i="4"/>
  <c r="CK41" i="4"/>
  <c r="CJ41" i="4"/>
  <c r="CI41" i="4"/>
  <c r="CS40" i="4"/>
  <c r="CR40" i="4"/>
  <c r="CQ40" i="4"/>
  <c r="CP40" i="4"/>
  <c r="CO40" i="4"/>
  <c r="CN40" i="4"/>
  <c r="CM40" i="4"/>
  <c r="CL40" i="4"/>
  <c r="CK40" i="4"/>
  <c r="CJ40" i="4"/>
  <c r="CI40" i="4"/>
  <c r="CS39" i="4"/>
  <c r="CR39" i="4"/>
  <c r="CQ39" i="4"/>
  <c r="CP39" i="4"/>
  <c r="CO39" i="4"/>
  <c r="CN39" i="4"/>
  <c r="CM39" i="4"/>
  <c r="CL39" i="4"/>
  <c r="CK39" i="4"/>
  <c r="CJ39" i="4"/>
  <c r="CI39" i="4"/>
  <c r="CY37" i="4"/>
  <c r="CX37" i="4"/>
  <c r="CW37" i="4"/>
  <c r="CV37" i="4"/>
  <c r="CU37" i="4"/>
  <c r="CS37" i="4"/>
  <c r="CR37" i="4"/>
  <c r="CQ37" i="4"/>
  <c r="CP37" i="4"/>
  <c r="CO37" i="4"/>
  <c r="CN37" i="4"/>
  <c r="CM37" i="4"/>
  <c r="CL37" i="4"/>
  <c r="CK37" i="4"/>
  <c r="CJ37" i="4"/>
  <c r="CI37" i="4"/>
  <c r="CY36" i="4"/>
  <c r="CX36" i="4"/>
  <c r="CW36" i="4"/>
  <c r="CV36" i="4"/>
  <c r="CU36" i="4"/>
  <c r="CS36" i="4"/>
  <c r="CR36" i="4"/>
  <c r="CQ36" i="4"/>
  <c r="CP36" i="4"/>
  <c r="CO36" i="4"/>
  <c r="CN36" i="4"/>
  <c r="CM36" i="4"/>
  <c r="CL36" i="4"/>
  <c r="CK36" i="4"/>
  <c r="CJ36" i="4"/>
  <c r="CI36" i="4"/>
  <c r="CY31" i="4"/>
  <c r="CX31" i="4"/>
  <c r="CW31" i="4"/>
  <c r="CV31" i="4"/>
  <c r="CU31" i="4"/>
  <c r="CS31" i="4"/>
  <c r="CR31" i="4"/>
  <c r="CQ31" i="4"/>
  <c r="CP31" i="4"/>
  <c r="CO31" i="4"/>
  <c r="CN31" i="4"/>
  <c r="CM31" i="4"/>
  <c r="CL31" i="4"/>
  <c r="CK31" i="4"/>
  <c r="CJ31" i="4"/>
  <c r="CI31" i="4"/>
  <c r="CY30" i="4"/>
  <c r="CX30" i="4"/>
  <c r="CW30" i="4"/>
  <c r="CV30" i="4"/>
  <c r="CU30" i="4"/>
  <c r="CS30" i="4"/>
  <c r="CR30" i="4"/>
  <c r="CQ30" i="4"/>
  <c r="CP30" i="4"/>
  <c r="CO30" i="4"/>
  <c r="CN30" i="4"/>
  <c r="CM30" i="4"/>
  <c r="CL30" i="4"/>
  <c r="CK30" i="4"/>
  <c r="CJ30" i="4"/>
  <c r="CI30" i="4"/>
  <c r="CS29" i="4"/>
  <c r="CR29" i="4"/>
  <c r="CQ29" i="4"/>
  <c r="CP29" i="4"/>
  <c r="CO29" i="4"/>
  <c r="CN29" i="4"/>
  <c r="CM29" i="4"/>
  <c r="CL29" i="4"/>
  <c r="CK29" i="4"/>
  <c r="CJ29" i="4"/>
  <c r="CI29" i="4"/>
  <c r="CS28" i="4"/>
  <c r="CR28" i="4"/>
  <c r="CQ28" i="4"/>
  <c r="CP28" i="4"/>
  <c r="CO28" i="4"/>
  <c r="CN28" i="4"/>
  <c r="CM28" i="4"/>
  <c r="CL28" i="4"/>
  <c r="CK28" i="4"/>
  <c r="CJ28" i="4"/>
  <c r="CI28" i="4"/>
  <c r="CS27" i="4"/>
  <c r="CR27" i="4"/>
  <c r="CQ27" i="4"/>
  <c r="CP27" i="4"/>
  <c r="CO27" i="4"/>
  <c r="CN27" i="4"/>
  <c r="CM27" i="4"/>
  <c r="CL27" i="4"/>
  <c r="CK27" i="4"/>
  <c r="CJ27" i="4"/>
  <c r="CI27" i="4"/>
  <c r="CS26" i="4"/>
  <c r="CR26" i="4"/>
  <c r="CQ26" i="4"/>
  <c r="CP26" i="4"/>
  <c r="CO26" i="4"/>
  <c r="CN26" i="4"/>
  <c r="CM26" i="4"/>
  <c r="CL26" i="4"/>
  <c r="CK26" i="4"/>
  <c r="CJ26" i="4"/>
  <c r="CI26" i="4"/>
  <c r="CS25" i="4"/>
  <c r="CR25" i="4"/>
  <c r="CQ25" i="4"/>
  <c r="CP25" i="4"/>
  <c r="CO25" i="4"/>
  <c r="CN25" i="4"/>
  <c r="CM25" i="4"/>
  <c r="CL25" i="4"/>
  <c r="CK25" i="4"/>
  <c r="CJ25" i="4"/>
  <c r="CI25" i="4"/>
  <c r="CS20" i="4"/>
  <c r="CR20" i="4"/>
  <c r="CQ20" i="4"/>
  <c r="CP20" i="4"/>
  <c r="CO20" i="4"/>
  <c r="CN20" i="4"/>
  <c r="CM20" i="4"/>
  <c r="CL20" i="4"/>
  <c r="CK20" i="4"/>
  <c r="CJ20" i="4"/>
  <c r="CI20" i="4"/>
  <c r="CS19" i="4"/>
  <c r="CR19" i="4"/>
  <c r="CQ19" i="4"/>
  <c r="CP19" i="4"/>
  <c r="CO19" i="4"/>
  <c r="CN19" i="4"/>
  <c r="CM19" i="4"/>
  <c r="CL19" i="4"/>
  <c r="CK19" i="4"/>
  <c r="CJ19" i="4"/>
  <c r="CI19" i="4"/>
  <c r="CS18" i="4"/>
  <c r="CR18" i="4"/>
  <c r="CQ18" i="4"/>
  <c r="CP18" i="4"/>
  <c r="CO18" i="4"/>
  <c r="CN18" i="4"/>
  <c r="CM18" i="4"/>
  <c r="CL18" i="4"/>
  <c r="CK18" i="4"/>
  <c r="CJ18" i="4"/>
  <c r="CI18" i="4"/>
  <c r="CS17" i="4"/>
  <c r="CR17" i="4"/>
  <c r="CQ17" i="4"/>
  <c r="CP17" i="4"/>
  <c r="CO17" i="4"/>
  <c r="CN17" i="4"/>
  <c r="CM17" i="4"/>
  <c r="CL17" i="4"/>
  <c r="CK17" i="4"/>
  <c r="CJ17" i="4"/>
  <c r="CI17" i="4"/>
  <c r="CS16" i="4"/>
  <c r="CR16" i="4"/>
  <c r="CQ16" i="4"/>
  <c r="CP16" i="4"/>
  <c r="CO16" i="4"/>
  <c r="CN16" i="4"/>
  <c r="CM16" i="4"/>
  <c r="CL16" i="4"/>
  <c r="CK16" i="4"/>
  <c r="CJ16" i="4"/>
  <c r="CI16" i="4"/>
  <c r="CS15" i="4"/>
  <c r="CR15" i="4"/>
  <c r="CQ15" i="4"/>
  <c r="CP15" i="4"/>
  <c r="CO15" i="4"/>
  <c r="CN15" i="4"/>
  <c r="CM15" i="4"/>
  <c r="CL15" i="4"/>
  <c r="CK15" i="4"/>
  <c r="CJ15" i="4"/>
  <c r="CI15" i="4"/>
  <c r="CS14" i="4"/>
  <c r="CR14" i="4"/>
  <c r="CQ14" i="4"/>
  <c r="CP14" i="4"/>
  <c r="CO14" i="4"/>
  <c r="CN14" i="4"/>
  <c r="CM14" i="4"/>
  <c r="CL14" i="4"/>
  <c r="CK14" i="4"/>
  <c r="CJ14" i="4"/>
  <c r="CI14" i="4"/>
  <c r="CR13" i="4"/>
  <c r="CQ13" i="4"/>
  <c r="CP13" i="4"/>
  <c r="CO13" i="4"/>
  <c r="CN13" i="4"/>
  <c r="CM13" i="4"/>
  <c r="CL13" i="4"/>
  <c r="CK13" i="4"/>
  <c r="CJ13" i="4"/>
  <c r="CI13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S8" i="4"/>
  <c r="CR8" i="4"/>
  <c r="CQ8" i="4"/>
  <c r="CP8" i="4"/>
  <c r="CO8" i="4"/>
  <c r="CN8" i="4"/>
  <c r="CM8" i="4"/>
  <c r="CL8" i="4"/>
  <c r="CK8" i="4"/>
  <c r="CJ8" i="4"/>
  <c r="CI8" i="4"/>
  <c r="CS6" i="4"/>
  <c r="CR6" i="4"/>
  <c r="CQ6" i="4"/>
  <c r="CP6" i="4"/>
  <c r="CO6" i="4"/>
  <c r="CN6" i="4"/>
  <c r="CM6" i="4"/>
  <c r="CL6" i="4"/>
  <c r="CK6" i="4"/>
  <c r="CJ6" i="4"/>
  <c r="CI6" i="4"/>
  <c r="CS5" i="4"/>
  <c r="CR5" i="4"/>
  <c r="CQ5" i="4"/>
  <c r="CP5" i="4"/>
  <c r="CO5" i="4"/>
  <c r="CN5" i="4"/>
  <c r="CM5" i="4"/>
  <c r="CL5" i="4"/>
  <c r="CK5" i="4"/>
  <c r="CJ5" i="4"/>
  <c r="CI5" i="4"/>
  <c r="CY265" i="2"/>
  <c r="CX265" i="2"/>
  <c r="CW265" i="2"/>
  <c r="CV265" i="2"/>
  <c r="CU265" i="2"/>
  <c r="CT265" i="2"/>
  <c r="CS265" i="2"/>
  <c r="CR265" i="2"/>
  <c r="CQ265" i="2"/>
  <c r="CP265" i="2"/>
  <c r="CO265" i="2"/>
  <c r="CN265" i="2"/>
  <c r="CM265" i="2"/>
  <c r="CL265" i="2"/>
  <c r="CK265" i="2"/>
  <c r="CJ265" i="2"/>
  <c r="CI265" i="2"/>
  <c r="CS255" i="2"/>
  <c r="CR255" i="2"/>
  <c r="CQ255" i="2"/>
  <c r="CP255" i="2"/>
  <c r="CO255" i="2"/>
  <c r="CN255" i="2"/>
  <c r="CM255" i="2"/>
  <c r="CL255" i="2"/>
  <c r="CK255" i="2"/>
  <c r="CJ255" i="2"/>
  <c r="CI255" i="2"/>
  <c r="CR243" i="2"/>
  <c r="CQ243" i="2"/>
  <c r="CP243" i="2"/>
  <c r="CO243" i="2"/>
  <c r="CN243" i="2"/>
  <c r="CM243" i="2"/>
  <c r="CL243" i="2"/>
  <c r="CK243" i="2"/>
  <c r="CJ243" i="2"/>
  <c r="CI243" i="2"/>
  <c r="CO240" i="2"/>
  <c r="CN240" i="2"/>
  <c r="CM240" i="2"/>
  <c r="CL240" i="2"/>
  <c r="CK240" i="2"/>
  <c r="CJ240" i="2"/>
  <c r="CI240" i="2"/>
  <c r="CO238" i="2"/>
  <c r="CN238" i="2"/>
  <c r="CM238" i="2"/>
  <c r="CL238" i="2"/>
  <c r="CK238" i="2"/>
  <c r="CJ238" i="2"/>
  <c r="CI238" i="2"/>
  <c r="CO236" i="2"/>
  <c r="CN236" i="2"/>
  <c r="CM236" i="2"/>
  <c r="CL236" i="2"/>
  <c r="CK236" i="2"/>
  <c r="CJ236" i="2"/>
  <c r="CI236" i="2"/>
  <c r="CO234" i="2"/>
  <c r="CN234" i="2"/>
  <c r="CM234" i="2"/>
  <c r="CL234" i="2"/>
  <c r="CK234" i="2"/>
  <c r="CJ234" i="2"/>
  <c r="CI234" i="2"/>
  <c r="CR228" i="2"/>
  <c r="CQ228" i="2"/>
  <c r="CP228" i="2"/>
  <c r="CR223" i="2"/>
  <c r="CQ223" i="2"/>
  <c r="CP223" i="2"/>
  <c r="CO223" i="2"/>
  <c r="CN223" i="2"/>
  <c r="CM223" i="2"/>
  <c r="CS218" i="2"/>
  <c r="CR218" i="2"/>
  <c r="CQ218" i="2"/>
  <c r="CP218" i="2"/>
  <c r="CO218" i="2"/>
  <c r="CN218" i="2"/>
  <c r="CM221" i="2"/>
  <c r="CS212" i="2"/>
  <c r="CQ207" i="2"/>
  <c r="CP207" i="2"/>
  <c r="CO207" i="2"/>
  <c r="CN207" i="2"/>
  <c r="CM207" i="2"/>
  <c r="CL207" i="2"/>
  <c r="CK207" i="2"/>
  <c r="CJ207" i="2"/>
  <c r="CI207" i="2"/>
  <c r="CX194" i="2"/>
  <c r="CW194" i="2"/>
  <c r="CV194" i="2"/>
  <c r="CU194" i="2"/>
  <c r="CQ194" i="2"/>
  <c r="CP194" i="2"/>
  <c r="CO194" i="2"/>
  <c r="CN194" i="2"/>
  <c r="CM194" i="2"/>
  <c r="CL194" i="2"/>
  <c r="CK194" i="2"/>
  <c r="CJ194" i="2"/>
  <c r="CI194" i="2"/>
  <c r="CQ189" i="2"/>
  <c r="CP189" i="2"/>
  <c r="CO189" i="2"/>
  <c r="CN189" i="2"/>
  <c r="CM189" i="2"/>
  <c r="CL189" i="2"/>
  <c r="CK189" i="2"/>
  <c r="CJ189" i="2"/>
  <c r="CI189" i="2"/>
  <c r="CQ184" i="2"/>
  <c r="CP184" i="2"/>
  <c r="CO184" i="2"/>
  <c r="CN184" i="2"/>
  <c r="CM184" i="2"/>
  <c r="CL184" i="2"/>
  <c r="CK184" i="2"/>
  <c r="CJ184" i="2"/>
  <c r="CI184" i="2"/>
  <c r="CQ179" i="2"/>
  <c r="CP179" i="2"/>
  <c r="CO179" i="2"/>
  <c r="CN179" i="2"/>
  <c r="CM179" i="2"/>
  <c r="CL179" i="2"/>
  <c r="CK179" i="2"/>
  <c r="CJ179" i="2"/>
  <c r="CI179" i="2"/>
  <c r="CQ165" i="2"/>
  <c r="CP165" i="2"/>
  <c r="CO165" i="2"/>
  <c r="CN165" i="2"/>
  <c r="CM165" i="2"/>
  <c r="CL165" i="2"/>
  <c r="CK165" i="2"/>
  <c r="CJ165" i="2"/>
  <c r="CI165" i="2"/>
  <c r="CP121" i="2"/>
  <c r="CO121" i="2"/>
  <c r="CN121" i="2"/>
  <c r="CM121" i="2"/>
  <c r="CL121" i="2"/>
  <c r="CK121" i="2"/>
  <c r="CJ121" i="2"/>
  <c r="CI121" i="2"/>
  <c r="CP111" i="2"/>
  <c r="CO111" i="2"/>
  <c r="CN111" i="2"/>
  <c r="CM111" i="2"/>
  <c r="CL111" i="2"/>
  <c r="CK111" i="2"/>
  <c r="CJ111" i="2"/>
  <c r="CI111" i="2"/>
  <c r="CP96" i="2"/>
  <c r="CO96" i="2"/>
  <c r="CN96" i="2"/>
  <c r="CM96" i="2"/>
  <c r="CL96" i="2"/>
  <c r="CK96" i="2"/>
  <c r="CJ96" i="2"/>
  <c r="CI96" i="2"/>
  <c r="CP106" i="2"/>
  <c r="CO106" i="2"/>
  <c r="CN106" i="2"/>
  <c r="CM106" i="2"/>
  <c r="CL106" i="2"/>
  <c r="CK106" i="2"/>
  <c r="CJ106" i="2"/>
  <c r="CI106" i="2"/>
  <c r="CI91" i="2"/>
  <c r="CO91" i="2"/>
  <c r="CN91" i="2"/>
  <c r="CM91" i="2"/>
  <c r="CL91" i="2"/>
  <c r="CK91" i="2"/>
  <c r="CJ91" i="2"/>
  <c r="CQ61" i="2"/>
  <c r="CQ53" i="2"/>
  <c r="CP53" i="2"/>
  <c r="CO53" i="2"/>
  <c r="CN53" i="2"/>
  <c r="CQ49" i="2"/>
  <c r="CQ44" i="2"/>
  <c r="CQ43" i="2"/>
  <c r="CQ29" i="2"/>
  <c r="CQ22" i="2"/>
  <c r="AT23" i="6"/>
  <c r="AS23" i="6"/>
  <c r="CS23" i="6" s="1"/>
  <c r="AR23" i="6"/>
  <c r="AQ23" i="6"/>
  <c r="AP23" i="6"/>
  <c r="AO23" i="6"/>
  <c r="CR23" i="6" s="1"/>
  <c r="AN23" i="6"/>
  <c r="AM23" i="6"/>
  <c r="AL23" i="6"/>
  <c r="AK23" i="6"/>
  <c r="CQ23" i="6" s="1"/>
  <c r="AJ23" i="6"/>
  <c r="AI23" i="6"/>
  <c r="AH23" i="6"/>
  <c r="AG23" i="6"/>
  <c r="CP23" i="6" s="1"/>
  <c r="AF23" i="6"/>
  <c r="AE23" i="6"/>
  <c r="AD23" i="6"/>
  <c r="AC23" i="6"/>
  <c r="CO23" i="6" s="1"/>
  <c r="AB23" i="6"/>
  <c r="AA23" i="6"/>
  <c r="Z23" i="6"/>
  <c r="Y23" i="6"/>
  <c r="CN23" i="6" s="1"/>
  <c r="X23" i="6"/>
  <c r="W23" i="6"/>
  <c r="V23" i="6"/>
  <c r="U23" i="6"/>
  <c r="CM23" i="6" s="1"/>
  <c r="T23" i="6"/>
  <c r="S23" i="6"/>
  <c r="R23" i="6"/>
  <c r="Q23" i="6"/>
  <c r="CL23" i="6" s="1"/>
  <c r="P23" i="6"/>
  <c r="O23" i="6"/>
  <c r="N23" i="6"/>
  <c r="M23" i="6"/>
  <c r="CK23" i="6" s="1"/>
  <c r="L23" i="6"/>
  <c r="K23" i="6"/>
  <c r="J23" i="6"/>
  <c r="I23" i="6"/>
  <c r="CJ23" i="6" s="1"/>
  <c r="H23" i="6"/>
  <c r="G23" i="6"/>
  <c r="F23" i="6"/>
  <c r="E23" i="6"/>
  <c r="CI23" i="6" s="1"/>
  <c r="D23" i="6"/>
  <c r="C23" i="6"/>
  <c r="AT22" i="6"/>
  <c r="AS22" i="6"/>
  <c r="CS22" i="6" s="1"/>
  <c r="AR22" i="6"/>
  <c r="AQ22" i="6"/>
  <c r="AP22" i="6"/>
  <c r="AO22" i="6"/>
  <c r="CR22" i="6" s="1"/>
  <c r="AN22" i="6"/>
  <c r="AM22" i="6"/>
  <c r="AL22" i="6"/>
  <c r="AK22" i="6"/>
  <c r="CQ22" i="6" s="1"/>
  <c r="AJ22" i="6"/>
  <c r="AI22" i="6"/>
  <c r="AH22" i="6"/>
  <c r="AG22" i="6"/>
  <c r="CP22" i="6" s="1"/>
  <c r="AF22" i="6"/>
  <c r="AE22" i="6"/>
  <c r="AD22" i="6"/>
  <c r="AC22" i="6"/>
  <c r="CO22" i="6" s="1"/>
  <c r="AB22" i="6"/>
  <c r="AA22" i="6"/>
  <c r="Z22" i="6"/>
  <c r="Y22" i="6"/>
  <c r="CN22" i="6" s="1"/>
  <c r="X22" i="6"/>
  <c r="W22" i="6"/>
  <c r="V22" i="6"/>
  <c r="U22" i="6"/>
  <c r="CM22" i="6" s="1"/>
  <c r="T22" i="6"/>
  <c r="S22" i="6"/>
  <c r="R22" i="6"/>
  <c r="Q22" i="6"/>
  <c r="CL22" i="6" s="1"/>
  <c r="P22" i="6"/>
  <c r="O22" i="6"/>
  <c r="N22" i="6"/>
  <c r="M22" i="6"/>
  <c r="CK22" i="6" s="1"/>
  <c r="L22" i="6"/>
  <c r="K22" i="6"/>
  <c r="J22" i="6"/>
  <c r="I22" i="6"/>
  <c r="CJ22" i="6" s="1"/>
  <c r="H22" i="6"/>
  <c r="G22" i="6"/>
  <c r="F22" i="6"/>
  <c r="E22" i="6"/>
  <c r="CI22" i="6" s="1"/>
  <c r="D22" i="6"/>
  <c r="C22" i="6"/>
  <c r="AT21" i="6"/>
  <c r="AS21" i="6"/>
  <c r="CS21" i="6" s="1"/>
  <c r="AR21" i="6"/>
  <c r="AQ21" i="6"/>
  <c r="AP21" i="6"/>
  <c r="AO21" i="6"/>
  <c r="CR21" i="6" s="1"/>
  <c r="AN21" i="6"/>
  <c r="AM21" i="6"/>
  <c r="AL21" i="6"/>
  <c r="AK21" i="6"/>
  <c r="CQ21" i="6" s="1"/>
  <c r="AJ21" i="6"/>
  <c r="AI21" i="6"/>
  <c r="AH21" i="6"/>
  <c r="AG21" i="6"/>
  <c r="CP21" i="6" s="1"/>
  <c r="AF21" i="6"/>
  <c r="AE21" i="6"/>
  <c r="AD21" i="6"/>
  <c r="AC21" i="6"/>
  <c r="CO21" i="6" s="1"/>
  <c r="AB21" i="6"/>
  <c r="AA21" i="6"/>
  <c r="Z21" i="6"/>
  <c r="Y21" i="6"/>
  <c r="CN21" i="6" s="1"/>
  <c r="X21" i="6"/>
  <c r="W21" i="6"/>
  <c r="V21" i="6"/>
  <c r="U21" i="6"/>
  <c r="CM21" i="6" s="1"/>
  <c r="T21" i="6"/>
  <c r="S21" i="6"/>
  <c r="R21" i="6"/>
  <c r="Q21" i="6"/>
  <c r="CL21" i="6" s="1"/>
  <c r="P21" i="6"/>
  <c r="O21" i="6"/>
  <c r="N21" i="6"/>
  <c r="M21" i="6"/>
  <c r="CK21" i="6" s="1"/>
  <c r="L21" i="6"/>
  <c r="K21" i="6"/>
  <c r="J21" i="6"/>
  <c r="I21" i="6"/>
  <c r="CJ21" i="6" s="1"/>
  <c r="H21" i="6"/>
  <c r="G21" i="6"/>
  <c r="F21" i="6"/>
  <c r="E21" i="6"/>
  <c r="CI21" i="6" s="1"/>
  <c r="D21" i="6"/>
  <c r="C21" i="6"/>
  <c r="AT20" i="6"/>
  <c r="AS20" i="6"/>
  <c r="CS20" i="6" s="1"/>
  <c r="AR20" i="6"/>
  <c r="AQ20" i="6"/>
  <c r="AP20" i="6"/>
  <c r="AO20" i="6"/>
  <c r="CR20" i="6" s="1"/>
  <c r="AN20" i="6"/>
  <c r="AM20" i="6"/>
  <c r="AL20" i="6"/>
  <c r="AK20" i="6"/>
  <c r="CQ20" i="6" s="1"/>
  <c r="AJ20" i="6"/>
  <c r="AI20" i="6"/>
  <c r="AH20" i="6"/>
  <c r="AG20" i="6"/>
  <c r="CP20" i="6" s="1"/>
  <c r="AF20" i="6"/>
  <c r="AE20" i="6"/>
  <c r="AD20" i="6"/>
  <c r="AC20" i="6"/>
  <c r="CO20" i="6" s="1"/>
  <c r="AB20" i="6"/>
  <c r="AA20" i="6"/>
  <c r="Z20" i="6"/>
  <c r="Y20" i="6"/>
  <c r="CN20" i="6" s="1"/>
  <c r="X20" i="6"/>
  <c r="W20" i="6"/>
  <c r="V20" i="6"/>
  <c r="U20" i="6"/>
  <c r="CM20" i="6" s="1"/>
  <c r="T20" i="6"/>
  <c r="S20" i="6"/>
  <c r="R20" i="6"/>
  <c r="Q20" i="6"/>
  <c r="CL20" i="6" s="1"/>
  <c r="P20" i="6"/>
  <c r="O20" i="6"/>
  <c r="N20" i="6"/>
  <c r="M20" i="6"/>
  <c r="CK20" i="6" s="1"/>
  <c r="L20" i="6"/>
  <c r="K20" i="6"/>
  <c r="J20" i="6"/>
  <c r="I20" i="6"/>
  <c r="CJ20" i="6" s="1"/>
  <c r="H20" i="6"/>
  <c r="G20" i="6"/>
  <c r="F20" i="6"/>
  <c r="E20" i="6"/>
  <c r="CI20" i="6" s="1"/>
  <c r="D20" i="6"/>
  <c r="C20" i="6"/>
  <c r="AT19" i="6"/>
  <c r="AS19" i="6"/>
  <c r="CS19" i="6" s="1"/>
  <c r="AR19" i="6"/>
  <c r="AQ19" i="6"/>
  <c r="AP19" i="6"/>
  <c r="AO19" i="6"/>
  <c r="CR19" i="6" s="1"/>
  <c r="AN19" i="6"/>
  <c r="AM19" i="6"/>
  <c r="AL19" i="6"/>
  <c r="AK19" i="6"/>
  <c r="CQ19" i="6" s="1"/>
  <c r="AJ19" i="6"/>
  <c r="AI19" i="6"/>
  <c r="AH19" i="6"/>
  <c r="AG19" i="6"/>
  <c r="CP19" i="6" s="1"/>
  <c r="AF19" i="6"/>
  <c r="AE19" i="6"/>
  <c r="AD19" i="6"/>
  <c r="AC19" i="6"/>
  <c r="CO19" i="6" s="1"/>
  <c r="AB19" i="6"/>
  <c r="AA19" i="6"/>
  <c r="Z19" i="6"/>
  <c r="Y19" i="6"/>
  <c r="CN19" i="6" s="1"/>
  <c r="X19" i="6"/>
  <c r="W19" i="6"/>
  <c r="V19" i="6"/>
  <c r="U19" i="6"/>
  <c r="CM19" i="6" s="1"/>
  <c r="T19" i="6"/>
  <c r="S19" i="6"/>
  <c r="R19" i="6"/>
  <c r="Q19" i="6"/>
  <c r="CL19" i="6" s="1"/>
  <c r="P19" i="6"/>
  <c r="O19" i="6"/>
  <c r="N19" i="6"/>
  <c r="M19" i="6"/>
  <c r="CK19" i="6" s="1"/>
  <c r="L19" i="6"/>
  <c r="K19" i="6"/>
  <c r="J19" i="6"/>
  <c r="I19" i="6"/>
  <c r="CJ19" i="6" s="1"/>
  <c r="H19" i="6"/>
  <c r="G19" i="6"/>
  <c r="F19" i="6"/>
  <c r="E19" i="6"/>
  <c r="CI19" i="6" s="1"/>
  <c r="D19" i="6"/>
  <c r="C19" i="6"/>
  <c r="AT18" i="6"/>
  <c r="AS18" i="6"/>
  <c r="CS18" i="6" s="1"/>
  <c r="AR18" i="6"/>
  <c r="AQ18" i="6"/>
  <c r="AP18" i="6"/>
  <c r="AO18" i="6"/>
  <c r="CR18" i="6" s="1"/>
  <c r="AN18" i="6"/>
  <c r="AM18" i="6"/>
  <c r="AL18" i="6"/>
  <c r="AK18" i="6"/>
  <c r="CQ18" i="6" s="1"/>
  <c r="AJ18" i="6"/>
  <c r="AI18" i="6"/>
  <c r="AH18" i="6"/>
  <c r="AG18" i="6"/>
  <c r="CP18" i="6" s="1"/>
  <c r="AF18" i="6"/>
  <c r="AE18" i="6"/>
  <c r="AD18" i="6"/>
  <c r="AC18" i="6"/>
  <c r="CO18" i="6" s="1"/>
  <c r="AB18" i="6"/>
  <c r="AA18" i="6"/>
  <c r="Z18" i="6"/>
  <c r="Y18" i="6"/>
  <c r="CN18" i="6" s="1"/>
  <c r="X18" i="6"/>
  <c r="W18" i="6"/>
  <c r="V18" i="6"/>
  <c r="U18" i="6"/>
  <c r="CM18" i="6" s="1"/>
  <c r="T18" i="6"/>
  <c r="S18" i="6"/>
  <c r="R18" i="6"/>
  <c r="Q18" i="6"/>
  <c r="CL18" i="6" s="1"/>
  <c r="P18" i="6"/>
  <c r="O18" i="6"/>
  <c r="N18" i="6"/>
  <c r="M18" i="6"/>
  <c r="CK18" i="6" s="1"/>
  <c r="L18" i="6"/>
  <c r="K18" i="6"/>
  <c r="J18" i="6"/>
  <c r="I18" i="6"/>
  <c r="CJ18" i="6" s="1"/>
  <c r="H18" i="6"/>
  <c r="G18" i="6"/>
  <c r="F18" i="6"/>
  <c r="E18" i="6"/>
  <c r="CI18" i="6" s="1"/>
  <c r="D18" i="6"/>
  <c r="C18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T13" i="6"/>
  <c r="AS13" i="6"/>
  <c r="CS13" i="6" s="1"/>
  <c r="AR13" i="6"/>
  <c r="AQ13" i="6"/>
  <c r="AP13" i="6"/>
  <c r="AO13" i="6"/>
  <c r="CR13" i="6" s="1"/>
  <c r="AN13" i="6"/>
  <c r="AM13" i="6"/>
  <c r="AL13" i="6"/>
  <c r="AK13" i="6"/>
  <c r="CQ13" i="6" s="1"/>
  <c r="AJ13" i="6"/>
  <c r="AI13" i="6"/>
  <c r="AH13" i="6"/>
  <c r="AG13" i="6"/>
  <c r="CP13" i="6" s="1"/>
  <c r="AF13" i="6"/>
  <c r="AE13" i="6"/>
  <c r="AD13" i="6"/>
  <c r="AC13" i="6"/>
  <c r="CO13" i="6" s="1"/>
  <c r="AB13" i="6"/>
  <c r="AA13" i="6"/>
  <c r="Z13" i="6"/>
  <c r="Y13" i="6"/>
  <c r="CN13" i="6" s="1"/>
  <c r="X13" i="6"/>
  <c r="W13" i="6"/>
  <c r="V13" i="6"/>
  <c r="U13" i="6"/>
  <c r="CM13" i="6" s="1"/>
  <c r="T13" i="6"/>
  <c r="S13" i="6"/>
  <c r="R13" i="6"/>
  <c r="Q13" i="6"/>
  <c r="CL13" i="6" s="1"/>
  <c r="P13" i="6"/>
  <c r="O13" i="6"/>
  <c r="N13" i="6"/>
  <c r="M13" i="6"/>
  <c r="CK13" i="6" s="1"/>
  <c r="L13" i="6"/>
  <c r="K13" i="6"/>
  <c r="J13" i="6"/>
  <c r="I13" i="6"/>
  <c r="CJ13" i="6" s="1"/>
  <c r="H13" i="6"/>
  <c r="G13" i="6"/>
  <c r="F13" i="6"/>
  <c r="E13" i="6"/>
  <c r="CI13" i="6" s="1"/>
  <c r="D13" i="6"/>
  <c r="C13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T11" i="6"/>
  <c r="AS11" i="6"/>
  <c r="CS11" i="6" s="1"/>
  <c r="AR11" i="6"/>
  <c r="AQ11" i="6"/>
  <c r="AP11" i="6"/>
  <c r="AO11" i="6"/>
  <c r="CR11" i="6" s="1"/>
  <c r="AN11" i="6"/>
  <c r="AM11" i="6"/>
  <c r="AL11" i="6"/>
  <c r="AK11" i="6"/>
  <c r="CQ11" i="6" s="1"/>
  <c r="AJ11" i="6"/>
  <c r="AI11" i="6"/>
  <c r="AH11" i="6"/>
  <c r="AG11" i="6"/>
  <c r="CP11" i="6" s="1"/>
  <c r="AF11" i="6"/>
  <c r="AE11" i="6"/>
  <c r="AD11" i="6"/>
  <c r="AC11" i="6"/>
  <c r="CO11" i="6" s="1"/>
  <c r="AB11" i="6"/>
  <c r="AA11" i="6"/>
  <c r="Z11" i="6"/>
  <c r="Y11" i="6"/>
  <c r="CN11" i="6" s="1"/>
  <c r="X11" i="6"/>
  <c r="W11" i="6"/>
  <c r="V11" i="6"/>
  <c r="U11" i="6"/>
  <c r="CM11" i="6" s="1"/>
  <c r="T11" i="6"/>
  <c r="S11" i="6"/>
  <c r="R11" i="6"/>
  <c r="Q11" i="6"/>
  <c r="CL11" i="6" s="1"/>
  <c r="P11" i="6"/>
  <c r="O11" i="6"/>
  <c r="N11" i="6"/>
  <c r="M11" i="6"/>
  <c r="CK11" i="6" s="1"/>
  <c r="L11" i="6"/>
  <c r="K11" i="6"/>
  <c r="J11" i="6"/>
  <c r="I11" i="6"/>
  <c r="CJ11" i="6" s="1"/>
  <c r="H11" i="6"/>
  <c r="G11" i="6"/>
  <c r="F11" i="6"/>
  <c r="E11" i="6"/>
  <c r="CI11" i="6" s="1"/>
  <c r="D11" i="6"/>
  <c r="C11" i="6"/>
  <c r="B23" i="6"/>
  <c r="B22" i="6"/>
  <c r="B21" i="6"/>
  <c r="B20" i="6"/>
  <c r="B19" i="6"/>
  <c r="B18" i="6"/>
  <c r="B15" i="6"/>
  <c r="B13" i="6"/>
  <c r="B12" i="6"/>
  <c r="B11" i="6"/>
  <c r="AT6" i="6"/>
  <c r="AS6" i="6"/>
  <c r="AR6" i="6"/>
  <c r="AQ6" i="6"/>
  <c r="AP6" i="6"/>
  <c r="AO6" i="6"/>
  <c r="AT5" i="6"/>
  <c r="AS5" i="6"/>
  <c r="AR5" i="6"/>
  <c r="AQ5" i="6"/>
  <c r="AP5" i="6"/>
  <c r="AO5" i="6"/>
  <c r="AN5" i="6"/>
  <c r="AM5" i="6"/>
  <c r="AM33" i="6" s="1"/>
  <c r="AL5" i="6"/>
  <c r="AK5" i="6"/>
  <c r="AJ5" i="6"/>
  <c r="AI5" i="6"/>
  <c r="AI33" i="6" s="1"/>
  <c r="AH5" i="6"/>
  <c r="AG5" i="6"/>
  <c r="AF5" i="6"/>
  <c r="AE5" i="6"/>
  <c r="AD5" i="6"/>
  <c r="AC5" i="6"/>
  <c r="AB5" i="6"/>
  <c r="AA5" i="6"/>
  <c r="AA33" i="6" s="1"/>
  <c r="Z5" i="6"/>
  <c r="Y5" i="6"/>
  <c r="X5" i="6"/>
  <c r="W5" i="6"/>
  <c r="W33" i="6" s="1"/>
  <c r="V5" i="6"/>
  <c r="U5" i="6"/>
  <c r="T5" i="6"/>
  <c r="S5" i="6"/>
  <c r="R5" i="6"/>
  <c r="Q5" i="6"/>
  <c r="P5" i="6"/>
  <c r="O5" i="6"/>
  <c r="O33" i="6" s="1"/>
  <c r="N5" i="6"/>
  <c r="M5" i="6"/>
  <c r="L5" i="6"/>
  <c r="K5" i="6"/>
  <c r="K33" i="6" s="1"/>
  <c r="J5" i="6"/>
  <c r="I5" i="6"/>
  <c r="H5" i="6"/>
  <c r="G5" i="6"/>
  <c r="F5" i="6"/>
  <c r="E5" i="6"/>
  <c r="D5" i="6"/>
  <c r="C5" i="6"/>
  <c r="C33" i="6" s="1"/>
  <c r="B5" i="6"/>
  <c r="CS214" i="2" l="1"/>
  <c r="H39" i="6"/>
  <c r="H40" i="6" s="1"/>
  <c r="T39" i="6"/>
  <c r="T40" i="6" s="1"/>
  <c r="AF39" i="6"/>
  <c r="AF40" i="6" s="1"/>
  <c r="G39" i="6"/>
  <c r="G40" i="6" s="1"/>
  <c r="S39" i="6"/>
  <c r="S40" i="6" s="1"/>
  <c r="AE39" i="6"/>
  <c r="AE40" i="6" s="1"/>
  <c r="AQ39" i="6"/>
  <c r="AQ40" i="6" s="1"/>
  <c r="AR39" i="6"/>
  <c r="AR40" i="6" s="1"/>
  <c r="CP15" i="6"/>
  <c r="CR15" i="6"/>
  <c r="CJ15" i="6"/>
  <c r="CO15" i="6"/>
  <c r="CK15" i="6"/>
  <c r="CN15" i="6"/>
  <c r="CQ15" i="6"/>
  <c r="CM15" i="6"/>
  <c r="CS15" i="6"/>
  <c r="CI15" i="6"/>
  <c r="CL15" i="6"/>
  <c r="C39" i="6"/>
  <c r="C40" i="6" s="1"/>
  <c r="O39" i="6"/>
  <c r="O40" i="6" s="1"/>
  <c r="AA39" i="6"/>
  <c r="AA40" i="6" s="1"/>
  <c r="AM39" i="6"/>
  <c r="AM40" i="6" s="1"/>
  <c r="D39" i="6"/>
  <c r="D40" i="6" s="1"/>
  <c r="P39" i="6"/>
  <c r="P40" i="6" s="1"/>
  <c r="AB39" i="6"/>
  <c r="AB40" i="6" s="1"/>
  <c r="AN39" i="6"/>
  <c r="AN40" i="6" s="1"/>
  <c r="AT39" i="6"/>
  <c r="AT40" i="6" s="1"/>
  <c r="K39" i="6"/>
  <c r="K40" i="6" s="1"/>
  <c r="W39" i="6"/>
  <c r="W40" i="6" s="1"/>
  <c r="AI39" i="6"/>
  <c r="AI40" i="6" s="1"/>
  <c r="L39" i="6"/>
  <c r="L40" i="6" s="1"/>
  <c r="AJ39" i="6"/>
  <c r="AJ40" i="6" s="1"/>
  <c r="X39" i="6"/>
  <c r="X40" i="6" s="1"/>
  <c r="BX26" i="3"/>
  <c r="L16" i="6"/>
  <c r="X16" i="6"/>
  <c r="AJ16" i="6"/>
  <c r="F24" i="6"/>
  <c r="CO13" i="5"/>
  <c r="I39" i="6"/>
  <c r="I40" i="6" s="1"/>
  <c r="CJ12" i="6"/>
  <c r="AG39" i="6"/>
  <c r="AG40" i="6" s="1"/>
  <c r="CP12" i="6"/>
  <c r="AT24" i="6"/>
  <c r="U39" i="6"/>
  <c r="U40" i="6" s="1"/>
  <c r="CM12" i="6"/>
  <c r="AS39" i="6"/>
  <c r="AS40" i="6" s="1"/>
  <c r="CS12" i="6"/>
  <c r="E39" i="6"/>
  <c r="E40" i="6" s="1"/>
  <c r="CI12" i="6"/>
  <c r="Q39" i="6"/>
  <c r="Q40" i="6" s="1"/>
  <c r="CL12" i="6"/>
  <c r="AC39" i="6"/>
  <c r="AC40" i="6" s="1"/>
  <c r="CO12" i="6"/>
  <c r="AO39" i="6"/>
  <c r="AO40" i="6" s="1"/>
  <c r="CR12" i="6"/>
  <c r="M39" i="6"/>
  <c r="M40" i="6" s="1"/>
  <c r="CK12" i="6"/>
  <c r="Y39" i="6"/>
  <c r="Y40" i="6" s="1"/>
  <c r="CN12" i="6"/>
  <c r="AK39" i="6"/>
  <c r="AK40" i="6" s="1"/>
  <c r="CQ12" i="6"/>
  <c r="C16" i="6"/>
  <c r="I16" i="6"/>
  <c r="CJ16" i="6" s="1"/>
  <c r="O16" i="6"/>
  <c r="U16" i="6"/>
  <c r="CM16" i="6" s="1"/>
  <c r="AG16" i="6"/>
  <c r="CP16" i="6" s="1"/>
  <c r="AM16" i="6"/>
  <c r="AS16" i="6"/>
  <c r="CS16" i="6" s="1"/>
  <c r="AA16" i="6"/>
  <c r="K16" i="6"/>
  <c r="S33" i="6"/>
  <c r="AQ33" i="6"/>
  <c r="S16" i="6"/>
  <c r="G33" i="6"/>
  <c r="AE33" i="6"/>
  <c r="AQ16" i="6"/>
  <c r="G16" i="6"/>
  <c r="M16" i="6"/>
  <c r="CK16" i="6" s="1"/>
  <c r="Y16" i="6"/>
  <c r="CN16" i="6" s="1"/>
  <c r="AE16" i="6"/>
  <c r="AK16" i="6"/>
  <c r="CQ16" i="6" s="1"/>
  <c r="T16" i="6"/>
  <c r="AL24" i="6"/>
  <c r="AF16" i="6"/>
  <c r="D16" i="6"/>
  <c r="P16" i="6"/>
  <c r="AB16" i="6"/>
  <c r="AN16" i="6"/>
  <c r="V24" i="6"/>
  <c r="H16" i="6"/>
  <c r="AR16" i="6"/>
  <c r="E16" i="6"/>
  <c r="CI16" i="6" s="1"/>
  <c r="Q16" i="6"/>
  <c r="CL16" i="6" s="1"/>
  <c r="W16" i="6"/>
  <c r="AC16" i="6"/>
  <c r="CO16" i="6" s="1"/>
  <c r="AI16" i="6"/>
  <c r="AO16" i="6"/>
  <c r="CR16" i="6" s="1"/>
  <c r="D33" i="6"/>
  <c r="L33" i="6"/>
  <c r="X33" i="6"/>
  <c r="AF33" i="6"/>
  <c r="AN33" i="6"/>
  <c r="E33" i="6"/>
  <c r="M33" i="6"/>
  <c r="U33" i="6"/>
  <c r="AG33" i="6"/>
  <c r="AS33" i="6"/>
  <c r="H33" i="6"/>
  <c r="P33" i="6"/>
  <c r="T33" i="6"/>
  <c r="AB33" i="6"/>
  <c r="AJ33" i="6"/>
  <c r="AR33" i="6"/>
  <c r="I33" i="6"/>
  <c r="Q33" i="6"/>
  <c r="Y33" i="6"/>
  <c r="AC33" i="6"/>
  <c r="AK33" i="6"/>
  <c r="AO33" i="6"/>
  <c r="F33" i="6"/>
  <c r="J33" i="6"/>
  <c r="N33" i="6"/>
  <c r="R33" i="6"/>
  <c r="V33" i="6"/>
  <c r="Z33" i="6"/>
  <c r="AD33" i="6"/>
  <c r="AH33" i="6"/>
  <c r="AL33" i="6"/>
  <c r="AP33" i="6"/>
  <c r="AT33" i="6"/>
  <c r="N24" i="6"/>
  <c r="AD24" i="6"/>
  <c r="AR42" i="5"/>
  <c r="CI42" i="5"/>
  <c r="CQ13" i="5"/>
  <c r="CJ12" i="4"/>
  <c r="CL12" i="4"/>
  <c r="CN12" i="4"/>
  <c r="CP12" i="4"/>
  <c r="CR12" i="4"/>
  <c r="CI43" i="4"/>
  <c r="CK43" i="4"/>
  <c r="CM43" i="4"/>
  <c r="CO43" i="4"/>
  <c r="CQ43" i="4"/>
  <c r="CS43" i="4"/>
  <c r="CI33" i="4"/>
  <c r="CK33" i="4"/>
  <c r="CM33" i="4"/>
  <c r="CO33" i="4"/>
  <c r="CQ33" i="4"/>
  <c r="CS33" i="4"/>
  <c r="CJ258" i="2"/>
  <c r="CL258" i="2"/>
  <c r="CN258" i="2"/>
  <c r="CP258" i="2"/>
  <c r="CR258" i="2"/>
  <c r="CK235" i="2"/>
  <c r="CM235" i="2"/>
  <c r="CO235" i="2"/>
  <c r="CK239" i="2"/>
  <c r="CO239" i="2"/>
  <c r="J24" i="6"/>
  <c r="R24" i="6"/>
  <c r="Z24" i="6"/>
  <c r="AH24" i="6"/>
  <c r="AP24" i="6"/>
  <c r="CK187" i="2"/>
  <c r="CO187" i="2"/>
  <c r="CS187" i="2"/>
  <c r="CM55" i="2"/>
  <c r="CJ108" i="2"/>
  <c r="CN108" i="2"/>
  <c r="CJ98" i="2"/>
  <c r="CL98" i="2"/>
  <c r="CN98" i="2"/>
  <c r="CP98" i="2"/>
  <c r="CJ113" i="2"/>
  <c r="CL113" i="2"/>
  <c r="CN113" i="2"/>
  <c r="CP113" i="2"/>
  <c r="CJ123" i="2"/>
  <c r="CL123" i="2"/>
  <c r="CN123" i="2"/>
  <c r="CP123" i="2"/>
  <c r="CK182" i="2"/>
  <c r="CO182" i="2"/>
  <c r="CK258" i="2"/>
  <c r="CO258" i="2"/>
  <c r="CS258" i="2"/>
  <c r="CS216" i="2"/>
  <c r="CI237" i="2"/>
  <c r="CK237" i="2"/>
  <c r="CO237" i="2"/>
  <c r="CK241" i="2"/>
  <c r="CO241" i="2"/>
  <c r="CS182" i="2"/>
  <c r="CS219" i="2"/>
  <c r="CM239" i="2"/>
  <c r="CS61" i="2"/>
  <c r="CU61" i="2"/>
  <c r="CW61" i="2"/>
  <c r="CY61" i="2"/>
  <c r="CP114" i="2"/>
  <c r="CK192" i="2"/>
  <c r="CO192" i="2"/>
  <c r="CS192" i="2"/>
  <c r="CJ237" i="2"/>
  <c r="CL237" i="2"/>
  <c r="CN237" i="2"/>
  <c r="CI239" i="2"/>
  <c r="CO219" i="2"/>
  <c r="CM224" i="2"/>
  <c r="CO224" i="2"/>
  <c r="CQ224" i="2"/>
  <c r="CS224" i="2"/>
  <c r="CJ235" i="2"/>
  <c r="CL235" i="2"/>
  <c r="CN235" i="2"/>
  <c r="CM237" i="2"/>
  <c r="CI241" i="2"/>
  <c r="CM241" i="2"/>
  <c r="CS29" i="2"/>
  <c r="CS43" i="2"/>
  <c r="CR43" i="2"/>
  <c r="CS49" i="2"/>
  <c r="CO55" i="2"/>
  <c r="CN13" i="5"/>
  <c r="CQ55" i="2"/>
  <c r="CP13" i="5"/>
  <c r="CS55" i="2"/>
  <c r="CR13" i="5"/>
  <c r="CJ93" i="2"/>
  <c r="CL108" i="2"/>
  <c r="CP108" i="2"/>
  <c r="CI99" i="2"/>
  <c r="CM99" i="2"/>
  <c r="CI114" i="2"/>
  <c r="CM114" i="2"/>
  <c r="CM187" i="2"/>
  <c r="CQ187" i="2"/>
  <c r="CM192" i="2"/>
  <c r="CQ192" i="2"/>
  <c r="CM210" i="2"/>
  <c r="CQ210" i="2"/>
  <c r="CS213" i="2"/>
  <c r="CO221" i="2"/>
  <c r="CN219" i="2"/>
  <c r="CQ221" i="2"/>
  <c r="CP219" i="2"/>
  <c r="CS221" i="2"/>
  <c r="CR219" i="2"/>
  <c r="CP221" i="2"/>
  <c r="CI235" i="2"/>
  <c r="CJ241" i="2"/>
  <c r="CL241" i="2"/>
  <c r="CN241" i="2"/>
  <c r="CS22" i="2"/>
  <c r="CP99" i="2"/>
  <c r="CK99" i="2"/>
  <c r="CO99" i="2"/>
  <c r="CK114" i="2"/>
  <c r="CO114" i="2"/>
  <c r="CM182" i="2"/>
  <c r="CQ182" i="2"/>
  <c r="CJ210" i="2"/>
  <c r="CL210" i="2"/>
  <c r="CN210" i="2"/>
  <c r="CP210" i="2"/>
  <c r="CR210" i="2"/>
  <c r="CK210" i="2"/>
  <c r="CO210" i="2"/>
  <c r="CS210" i="2"/>
  <c r="CR213" i="2"/>
  <c r="CM219" i="2"/>
  <c r="CQ219" i="2"/>
  <c r="CN221" i="2"/>
  <c r="CR221" i="2"/>
  <c r="CQ231" i="2"/>
  <c r="CS231" i="2"/>
  <c r="CJ239" i="2"/>
  <c r="CL239" i="2"/>
  <c r="CN239" i="2"/>
  <c r="CM258" i="2"/>
  <c r="CQ258" i="2"/>
  <c r="CL93" i="2"/>
  <c r="CN93" i="2"/>
  <c r="CP93" i="2"/>
  <c r="CK98" i="2"/>
  <c r="CM98" i="2"/>
  <c r="CO98" i="2"/>
  <c r="CK113" i="2"/>
  <c r="CM113" i="2"/>
  <c r="CO113" i="2"/>
  <c r="CK123" i="2"/>
  <c r="CM123" i="2"/>
  <c r="CO123" i="2"/>
  <c r="CJ99" i="2"/>
  <c r="CL99" i="2"/>
  <c r="CN99" i="2"/>
  <c r="CJ114" i="2"/>
  <c r="CL114" i="2"/>
  <c r="CN114" i="2"/>
  <c r="CJ182" i="2"/>
  <c r="CL182" i="2"/>
  <c r="CN182" i="2"/>
  <c r="CP182" i="2"/>
  <c r="CR182" i="2"/>
  <c r="CR216" i="2"/>
  <c r="CN224" i="2"/>
  <c r="CP224" i="2"/>
  <c r="CR224" i="2"/>
  <c r="AR38" i="6"/>
  <c r="CI12" i="4"/>
  <c r="CK12" i="4"/>
  <c r="CM12" i="4"/>
  <c r="CO12" i="4"/>
  <c r="CQ12" i="4"/>
  <c r="CS12" i="4"/>
  <c r="CJ33" i="4"/>
  <c r="CL33" i="4"/>
  <c r="CN33" i="4"/>
  <c r="CP33" i="4"/>
  <c r="CR33" i="4"/>
  <c r="CJ43" i="4"/>
  <c r="CL43" i="4"/>
  <c r="CN43" i="4"/>
  <c r="CP43" i="4"/>
  <c r="CR43" i="4"/>
  <c r="CI5" i="6"/>
  <c r="B33" i="6"/>
  <c r="B16" i="6"/>
  <c r="F39" i="6"/>
  <c r="F40" i="6" s="1"/>
  <c r="J39" i="6"/>
  <c r="J40" i="6" s="1"/>
  <c r="N39" i="6"/>
  <c r="N40" i="6" s="1"/>
  <c r="R39" i="6"/>
  <c r="R40" i="6" s="1"/>
  <c r="V39" i="6"/>
  <c r="V40" i="6" s="1"/>
  <c r="Z39" i="6"/>
  <c r="Z40" i="6" s="1"/>
  <c r="AD39" i="6"/>
  <c r="AD40" i="6" s="1"/>
  <c r="AH39" i="6"/>
  <c r="AH40" i="6" s="1"/>
  <c r="AL39" i="6"/>
  <c r="AL40" i="6" s="1"/>
  <c r="AP39" i="6"/>
  <c r="AP40" i="6" s="1"/>
  <c r="AP38" i="6"/>
  <c r="AT38" i="6"/>
  <c r="CJ5" i="6"/>
  <c r="CK5" i="6"/>
  <c r="CL5" i="6"/>
  <c r="CM5" i="6"/>
  <c r="CN5" i="6"/>
  <c r="CO5" i="6"/>
  <c r="CP5" i="6"/>
  <c r="CQ5" i="6"/>
  <c r="CR5" i="6"/>
  <c r="CS5" i="6"/>
  <c r="CS6" i="6"/>
  <c r="B39" i="6"/>
  <c r="B40" i="6" s="1"/>
  <c r="B24" i="6"/>
  <c r="F16" i="6"/>
  <c r="J16" i="6"/>
  <c r="N16" i="6"/>
  <c r="R16" i="6"/>
  <c r="V16" i="6"/>
  <c r="Z16" i="6"/>
  <c r="AD16" i="6"/>
  <c r="AH16" i="6"/>
  <c r="AL16" i="6"/>
  <c r="AP16" i="6"/>
  <c r="AT16" i="6"/>
  <c r="D24" i="6"/>
  <c r="H24" i="6"/>
  <c r="L24" i="6"/>
  <c r="P24" i="6"/>
  <c r="T24" i="6"/>
  <c r="X24" i="6"/>
  <c r="AB24" i="6"/>
  <c r="AF24" i="6"/>
  <c r="AJ24" i="6"/>
  <c r="AN24" i="6"/>
  <c r="AR24" i="6"/>
  <c r="C24" i="6"/>
  <c r="E24" i="6"/>
  <c r="CI24" i="6" s="1"/>
  <c r="G24" i="6"/>
  <c r="I24" i="6"/>
  <c r="K24" i="6"/>
  <c r="M24" i="6"/>
  <c r="O24" i="6"/>
  <c r="Q24" i="6"/>
  <c r="S24" i="6"/>
  <c r="U24" i="6"/>
  <c r="CM24" i="6" s="1"/>
  <c r="W24" i="6"/>
  <c r="Y24" i="6"/>
  <c r="CN24" i="6" s="1"/>
  <c r="AA24" i="6"/>
  <c r="AC24" i="6"/>
  <c r="CO24" i="6" s="1"/>
  <c r="AE24" i="6"/>
  <c r="AG24" i="6"/>
  <c r="CP24" i="6" s="1"/>
  <c r="AI24" i="6"/>
  <c r="AK24" i="6"/>
  <c r="CQ24" i="6" s="1"/>
  <c r="AM24" i="6"/>
  <c r="AO24" i="6"/>
  <c r="CR24" i="6" s="1"/>
  <c r="AQ24" i="6"/>
  <c r="AS24" i="6"/>
  <c r="AO38" i="6"/>
  <c r="AQ38" i="6"/>
  <c r="AS38" i="6"/>
  <c r="CR231" i="2"/>
  <c r="CJ192" i="2"/>
  <c r="CL192" i="2"/>
  <c r="CN192" i="2"/>
  <c r="CP192" i="2"/>
  <c r="CR192" i="2"/>
  <c r="CJ187" i="2"/>
  <c r="CL187" i="2"/>
  <c r="CN187" i="2"/>
  <c r="CP187" i="2"/>
  <c r="CR187" i="2"/>
  <c r="CK108" i="2"/>
  <c r="CM108" i="2"/>
  <c r="CO108" i="2"/>
  <c r="CK93" i="2"/>
  <c r="CM93" i="2"/>
  <c r="CO93" i="2"/>
  <c r="CR61" i="2"/>
  <c r="CT61" i="2"/>
  <c r="CV61" i="2"/>
  <c r="CX61" i="2"/>
  <c r="CN55" i="2"/>
  <c r="CP55" i="2"/>
  <c r="CR55" i="2"/>
  <c r="CR49" i="2"/>
  <c r="CR36" i="2"/>
  <c r="CQ36" i="2"/>
  <c r="CS36" i="2"/>
  <c r="CR29" i="2"/>
  <c r="CR22" i="2"/>
  <c r="K26" i="6" l="1"/>
  <c r="BY26" i="3"/>
  <c r="AJ26" i="6"/>
  <c r="L26" i="6"/>
  <c r="J26" i="6"/>
  <c r="F26" i="6"/>
  <c r="X26" i="6"/>
  <c r="AA26" i="6"/>
  <c r="AT26" i="6"/>
  <c r="C26" i="6"/>
  <c r="V26" i="6"/>
  <c r="W26" i="6"/>
  <c r="AL26" i="6"/>
  <c r="O26" i="6"/>
  <c r="AS26" i="6"/>
  <c r="CS24" i="6"/>
  <c r="I26" i="6"/>
  <c r="CJ24" i="6"/>
  <c r="Q26" i="6"/>
  <c r="CL24" i="6"/>
  <c r="M26" i="6"/>
  <c r="CK24" i="6"/>
  <c r="AF26" i="6"/>
  <c r="AP26" i="6"/>
  <c r="P26" i="6"/>
  <c r="AG26" i="6"/>
  <c r="U26" i="6"/>
  <c r="T26" i="6"/>
  <c r="AN26" i="6"/>
  <c r="S26" i="6"/>
  <c r="G26" i="6"/>
  <c r="AD26" i="6"/>
  <c r="AO26" i="6"/>
  <c r="AC26" i="6"/>
  <c r="AM26" i="6"/>
  <c r="AK26" i="6"/>
  <c r="Y26" i="6"/>
  <c r="AR26" i="6"/>
  <c r="AQ26" i="6"/>
  <c r="AE26" i="6"/>
  <c r="H26" i="6"/>
  <c r="D26" i="6"/>
  <c r="AI26" i="6"/>
  <c r="E26" i="6"/>
  <c r="AB26" i="6"/>
  <c r="CS30" i="2"/>
  <c r="CS23" i="2"/>
  <c r="CS37" i="2"/>
  <c r="N26" i="6"/>
  <c r="Z26" i="6"/>
  <c r="AS42" i="5"/>
  <c r="CJ42" i="5"/>
  <c r="AH26" i="6"/>
  <c r="R26" i="6"/>
  <c r="B26" i="6"/>
  <c r="AU27" i="5"/>
  <c r="AU22" i="5" s="1"/>
  <c r="AS31" i="5"/>
  <c r="AR31" i="5"/>
  <c r="AS27" i="5" s="1"/>
  <c r="AQ31" i="5"/>
  <c r="AP31" i="5"/>
  <c r="AQ27" i="5" s="1"/>
  <c r="AO31" i="5"/>
  <c r="CR31" i="5" s="1"/>
  <c r="AN31" i="5"/>
  <c r="AO27" i="5" s="1"/>
  <c r="AM31" i="5"/>
  <c r="AL31" i="5"/>
  <c r="AM27" i="5" s="1"/>
  <c r="AK31" i="5"/>
  <c r="CQ31" i="5" s="1"/>
  <c r="AJ31" i="5"/>
  <c r="AK27" i="5" s="1"/>
  <c r="AI31" i="5"/>
  <c r="AH31" i="5"/>
  <c r="AI27" i="5" s="1"/>
  <c r="AG31" i="5"/>
  <c r="CP31" i="5" s="1"/>
  <c r="AF31" i="5"/>
  <c r="AG27" i="5" s="1"/>
  <c r="AE31" i="5"/>
  <c r="AD31" i="5"/>
  <c r="AE27" i="5" s="1"/>
  <c r="AC31" i="5"/>
  <c r="CO31" i="5" s="1"/>
  <c r="AB31" i="5"/>
  <c r="AC27" i="5" s="1"/>
  <c r="AA31" i="5"/>
  <c r="Z31" i="5"/>
  <c r="AA27" i="5" s="1"/>
  <c r="Y31" i="5"/>
  <c r="CN31" i="5" s="1"/>
  <c r="X31" i="5"/>
  <c r="Y27" i="5" s="1"/>
  <c r="W31" i="5"/>
  <c r="V31" i="5"/>
  <c r="W27" i="5" s="1"/>
  <c r="U31" i="5"/>
  <c r="CM31" i="5" s="1"/>
  <c r="T31" i="5"/>
  <c r="U27" i="5" s="1"/>
  <c r="S31" i="5"/>
  <c r="R31" i="5"/>
  <c r="S27" i="5" s="1"/>
  <c r="Q31" i="5"/>
  <c r="CL31" i="5" s="1"/>
  <c r="P31" i="5"/>
  <c r="Q27" i="5" s="1"/>
  <c r="O31" i="5"/>
  <c r="N31" i="5"/>
  <c r="O27" i="5" s="1"/>
  <c r="M31" i="5"/>
  <c r="CK31" i="5" s="1"/>
  <c r="L31" i="5"/>
  <c r="M27" i="5" s="1"/>
  <c r="K31" i="5"/>
  <c r="J31" i="5"/>
  <c r="K27" i="5" s="1"/>
  <c r="I31" i="5"/>
  <c r="CJ31" i="5" s="1"/>
  <c r="H31" i="5"/>
  <c r="I27" i="5" s="1"/>
  <c r="G31" i="5"/>
  <c r="F31" i="5"/>
  <c r="G27" i="5" s="1"/>
  <c r="E31" i="5"/>
  <c r="CI31" i="5" s="1"/>
  <c r="D31" i="5"/>
  <c r="E27" i="5" s="1"/>
  <c r="C31" i="5"/>
  <c r="D27" i="5" s="1"/>
  <c r="B31" i="5"/>
  <c r="C27" i="5" s="1"/>
  <c r="AT29" i="5"/>
  <c r="B20" i="5"/>
  <c r="F23" i="5" s="1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K27" i="6" l="1"/>
  <c r="L27" i="6"/>
  <c r="H28" i="5"/>
  <c r="T28" i="5"/>
  <c r="AF28" i="5"/>
  <c r="C28" i="5"/>
  <c r="P28" i="5"/>
  <c r="AB28" i="5"/>
  <c r="L28" i="5"/>
  <c r="X28" i="5"/>
  <c r="E28" i="5"/>
  <c r="B22" i="5"/>
  <c r="AF27" i="6"/>
  <c r="M27" i="6"/>
  <c r="AJ27" i="6"/>
  <c r="AK27" i="6"/>
  <c r="BZ26" i="3"/>
  <c r="DA26" i="3"/>
  <c r="X27" i="6"/>
  <c r="AS27" i="6"/>
  <c r="J27" i="6"/>
  <c r="C27" i="6"/>
  <c r="AT27" i="6"/>
  <c r="G27" i="6"/>
  <c r="F27" i="6"/>
  <c r="Y27" i="6"/>
  <c r="AM27" i="6"/>
  <c r="AB27" i="6"/>
  <c r="AR28" i="5"/>
  <c r="D27" i="6"/>
  <c r="AJ28" i="5"/>
  <c r="AN28" i="5"/>
  <c r="AX6" i="5"/>
  <c r="W27" i="6"/>
  <c r="O27" i="6"/>
  <c r="P27" i="6"/>
  <c r="AQ27" i="6"/>
  <c r="R27" i="6"/>
  <c r="AP27" i="6"/>
  <c r="AG27" i="6"/>
  <c r="Q27" i="6"/>
  <c r="CO26" i="6"/>
  <c r="AC27" i="6"/>
  <c r="T27" i="6"/>
  <c r="U27" i="6"/>
  <c r="AD27" i="6"/>
  <c r="V27" i="6"/>
  <c r="AR27" i="6"/>
  <c r="CP26" i="6"/>
  <c r="AI27" i="6"/>
  <c r="AO27" i="6"/>
  <c r="H27" i="6"/>
  <c r="N27" i="6"/>
  <c r="I27" i="6"/>
  <c r="AL27" i="6"/>
  <c r="AN27" i="6"/>
  <c r="AE27" i="6"/>
  <c r="Z27" i="6"/>
  <c r="CM26" i="6"/>
  <c r="CS26" i="6"/>
  <c r="CN26" i="6"/>
  <c r="CJ26" i="6"/>
  <c r="AA27" i="6"/>
  <c r="CK26" i="6"/>
  <c r="CL26" i="6"/>
  <c r="CR26" i="6"/>
  <c r="E27" i="6"/>
  <c r="CI26" i="6"/>
  <c r="AH27" i="6"/>
  <c r="CQ26" i="6"/>
  <c r="AT28" i="5"/>
  <c r="S22" i="5"/>
  <c r="AI22" i="5"/>
  <c r="C22" i="5"/>
  <c r="K22" i="5"/>
  <c r="AA22" i="5"/>
  <c r="AQ22" i="5"/>
  <c r="B41" i="5"/>
  <c r="D22" i="5"/>
  <c r="G22" i="5"/>
  <c r="O22" i="5"/>
  <c r="W22" i="5"/>
  <c r="AE22" i="5"/>
  <c r="AM22" i="5"/>
  <c r="E22" i="5"/>
  <c r="I22" i="5"/>
  <c r="M22" i="5"/>
  <c r="Q22" i="5"/>
  <c r="U22" i="5"/>
  <c r="Y22" i="5"/>
  <c r="AC22" i="5"/>
  <c r="AG22" i="5"/>
  <c r="AK22" i="5"/>
  <c r="AO22" i="5"/>
  <c r="AS22" i="5"/>
  <c r="AT42" i="5"/>
  <c r="CS31" i="5"/>
  <c r="AT27" i="5"/>
  <c r="CK42" i="5"/>
  <c r="S27" i="6"/>
  <c r="CJ4" i="5"/>
  <c r="R28" i="5"/>
  <c r="CM4" i="5"/>
  <c r="V28" i="5"/>
  <c r="CN4" i="5"/>
  <c r="Z28" i="5"/>
  <c r="CO4" i="5"/>
  <c r="AD28" i="5"/>
  <c r="CP4" i="5"/>
  <c r="AH28" i="5"/>
  <c r="CQ4" i="5"/>
  <c r="AL28" i="5"/>
  <c r="CR4" i="5"/>
  <c r="AP28" i="5"/>
  <c r="CS4" i="5"/>
  <c r="B29" i="5"/>
  <c r="B25" i="5"/>
  <c r="CI20" i="5"/>
  <c r="D29" i="5"/>
  <c r="D25" i="5"/>
  <c r="F29" i="5"/>
  <c r="F25" i="5"/>
  <c r="CJ20" i="5"/>
  <c r="H29" i="5"/>
  <c r="H25" i="5"/>
  <c r="J29" i="5"/>
  <c r="J25" i="5"/>
  <c r="CK20" i="5"/>
  <c r="L29" i="5"/>
  <c r="L25" i="5"/>
  <c r="N29" i="5"/>
  <c r="N25" i="5"/>
  <c r="CL20" i="5"/>
  <c r="P29" i="5"/>
  <c r="P25" i="5"/>
  <c r="R29" i="5"/>
  <c r="R25" i="5"/>
  <c r="CM20" i="5"/>
  <c r="T29" i="5"/>
  <c r="T25" i="5"/>
  <c r="V29" i="5"/>
  <c r="V25" i="5"/>
  <c r="CN20" i="5"/>
  <c r="X29" i="5"/>
  <c r="X25" i="5"/>
  <c r="Z29" i="5"/>
  <c r="Z25" i="5"/>
  <c r="CO20" i="5"/>
  <c r="AB29" i="5"/>
  <c r="AB25" i="5"/>
  <c r="AD29" i="5"/>
  <c r="AD25" i="5"/>
  <c r="CP20" i="5"/>
  <c r="AF29" i="5"/>
  <c r="AF25" i="5"/>
  <c r="AH29" i="5"/>
  <c r="AH25" i="5"/>
  <c r="CQ20" i="5"/>
  <c r="AJ29" i="5"/>
  <c r="AJ25" i="5"/>
  <c r="AL29" i="5"/>
  <c r="AL25" i="5"/>
  <c r="CR20" i="5"/>
  <c r="AN29" i="5"/>
  <c r="AN25" i="5"/>
  <c r="AP29" i="5"/>
  <c r="AP25" i="5"/>
  <c r="CS20" i="5"/>
  <c r="AR29" i="5"/>
  <c r="AR25" i="5"/>
  <c r="AT25" i="5"/>
  <c r="J28" i="5"/>
  <c r="CK4" i="5"/>
  <c r="N28" i="5"/>
  <c r="CL4" i="5"/>
  <c r="CI4" i="5"/>
  <c r="C21" i="5"/>
  <c r="C25" i="5"/>
  <c r="E29" i="5"/>
  <c r="E25" i="5"/>
  <c r="CI25" i="5" s="1"/>
  <c r="G29" i="5"/>
  <c r="G25" i="5"/>
  <c r="I29" i="5"/>
  <c r="I25" i="5"/>
  <c r="CJ25" i="5" s="1"/>
  <c r="K29" i="5"/>
  <c r="K25" i="5"/>
  <c r="M29" i="5"/>
  <c r="M25" i="5"/>
  <c r="CK25" i="5" s="1"/>
  <c r="O29" i="5"/>
  <c r="O25" i="5"/>
  <c r="Q29" i="5"/>
  <c r="Q25" i="5"/>
  <c r="CL25" i="5" s="1"/>
  <c r="S29" i="5"/>
  <c r="S25" i="5"/>
  <c r="U29" i="5"/>
  <c r="U25" i="5"/>
  <c r="CM25" i="5" s="1"/>
  <c r="W29" i="5"/>
  <c r="W25" i="5"/>
  <c r="Y29" i="5"/>
  <c r="Y25" i="5"/>
  <c r="CN25" i="5" s="1"/>
  <c r="AA29" i="5"/>
  <c r="AA25" i="5"/>
  <c r="AC29" i="5"/>
  <c r="AC25" i="5"/>
  <c r="CO25" i="5" s="1"/>
  <c r="AE29" i="5"/>
  <c r="AE25" i="5"/>
  <c r="AG29" i="5"/>
  <c r="AG25" i="5"/>
  <c r="CP25" i="5" s="1"/>
  <c r="AI29" i="5"/>
  <c r="AI25" i="5"/>
  <c r="AK29" i="5"/>
  <c r="AK25" i="5"/>
  <c r="CQ25" i="5" s="1"/>
  <c r="AM29" i="5"/>
  <c r="AM25" i="5"/>
  <c r="AO29" i="5"/>
  <c r="AO25" i="5"/>
  <c r="CR25" i="5" s="1"/>
  <c r="AQ29" i="5"/>
  <c r="AQ25" i="5"/>
  <c r="AS29" i="5"/>
  <c r="AS25" i="5"/>
  <c r="CS25" i="5" s="1"/>
  <c r="F6" i="5"/>
  <c r="K6" i="5"/>
  <c r="G28" i="5"/>
  <c r="M6" i="5"/>
  <c r="I28" i="5"/>
  <c r="O6" i="5"/>
  <c r="K28" i="5"/>
  <c r="Q6" i="5"/>
  <c r="M28" i="5"/>
  <c r="S6" i="5"/>
  <c r="O28" i="5"/>
  <c r="U6" i="5"/>
  <c r="Q28" i="5"/>
  <c r="W6" i="5"/>
  <c r="S28" i="5"/>
  <c r="Y6" i="5"/>
  <c r="U28" i="5"/>
  <c r="AA6" i="5"/>
  <c r="W28" i="5"/>
  <c r="AC6" i="5"/>
  <c r="Y28" i="5"/>
  <c r="AE6" i="5"/>
  <c r="AA28" i="5"/>
  <c r="AG6" i="5"/>
  <c r="AC28" i="5"/>
  <c r="AI6" i="5"/>
  <c r="AE28" i="5"/>
  <c r="AK6" i="5"/>
  <c r="AG28" i="5"/>
  <c r="AM6" i="5"/>
  <c r="AI28" i="5"/>
  <c r="AO6" i="5"/>
  <c r="AK28" i="5"/>
  <c r="AQ6" i="5"/>
  <c r="AM28" i="5"/>
  <c r="AS6" i="5"/>
  <c r="AO28" i="5"/>
  <c r="AQ28" i="5"/>
  <c r="AS28" i="5"/>
  <c r="V6" i="5"/>
  <c r="B21" i="5"/>
  <c r="D21" i="5"/>
  <c r="F21" i="5"/>
  <c r="H21" i="5"/>
  <c r="J21" i="5"/>
  <c r="L21" i="5"/>
  <c r="N21" i="5"/>
  <c r="P21" i="5"/>
  <c r="R21" i="5"/>
  <c r="T21" i="5"/>
  <c r="V21" i="5"/>
  <c r="X21" i="5"/>
  <c r="Z21" i="5"/>
  <c r="AB21" i="5"/>
  <c r="AD21" i="5"/>
  <c r="AF21" i="5"/>
  <c r="AH21" i="5"/>
  <c r="AJ21" i="5"/>
  <c r="AL21" i="5"/>
  <c r="AN21" i="5"/>
  <c r="AP21" i="5"/>
  <c r="AR21" i="5"/>
  <c r="AT21" i="5"/>
  <c r="B28" i="5"/>
  <c r="C29" i="5"/>
  <c r="D28" i="5"/>
  <c r="F28" i="5"/>
  <c r="N6" i="5"/>
  <c r="E21" i="5"/>
  <c r="G21" i="5"/>
  <c r="I21" i="5"/>
  <c r="K21" i="5"/>
  <c r="M21" i="5"/>
  <c r="O21" i="5"/>
  <c r="Q21" i="5"/>
  <c r="S21" i="5"/>
  <c r="U21" i="5"/>
  <c r="W21" i="5"/>
  <c r="Y21" i="5"/>
  <c r="AA21" i="5"/>
  <c r="AC21" i="5"/>
  <c r="AE21" i="5"/>
  <c r="AG21" i="5"/>
  <c r="AI21" i="5"/>
  <c r="AK21" i="5"/>
  <c r="AM21" i="5"/>
  <c r="AO21" i="5"/>
  <c r="AQ21" i="5"/>
  <c r="AS21" i="5"/>
  <c r="F27" i="5"/>
  <c r="H27" i="5"/>
  <c r="H22" i="5" s="1"/>
  <c r="J27" i="5"/>
  <c r="L27" i="5"/>
  <c r="L22" i="5" s="1"/>
  <c r="N27" i="5"/>
  <c r="P27" i="5"/>
  <c r="P22" i="5" s="1"/>
  <c r="R27" i="5"/>
  <c r="T27" i="5"/>
  <c r="T22" i="5" s="1"/>
  <c r="V27" i="5"/>
  <c r="X27" i="5"/>
  <c r="X22" i="5" s="1"/>
  <c r="Z27" i="5"/>
  <c r="AB27" i="5"/>
  <c r="AB22" i="5" s="1"/>
  <c r="AD27" i="5"/>
  <c r="AF27" i="5"/>
  <c r="AF22" i="5" s="1"/>
  <c r="AH27" i="5"/>
  <c r="AJ27" i="5"/>
  <c r="AJ22" i="5" s="1"/>
  <c r="AL27" i="5"/>
  <c r="AN27" i="5"/>
  <c r="AN22" i="5" s="1"/>
  <c r="AP27" i="5"/>
  <c r="AR27" i="5"/>
  <c r="AR22" i="5" s="1"/>
  <c r="J6" i="5"/>
  <c r="R6" i="5"/>
  <c r="Z6" i="5"/>
  <c r="AB6" i="5"/>
  <c r="AD6" i="5"/>
  <c r="AF6" i="5"/>
  <c r="AH6" i="5"/>
  <c r="AJ6" i="5"/>
  <c r="AL6" i="5"/>
  <c r="AN6" i="5"/>
  <c r="AP6" i="5"/>
  <c r="AR6" i="5"/>
  <c r="AT6" i="5"/>
  <c r="H6" i="5"/>
  <c r="L6" i="5"/>
  <c r="P6" i="5"/>
  <c r="T6" i="5"/>
  <c r="X6" i="5"/>
  <c r="G6" i="5"/>
  <c r="I6" i="5"/>
  <c r="CS23" i="5" l="1"/>
  <c r="CM23" i="5"/>
  <c r="CP23" i="5"/>
  <c r="CJ23" i="5"/>
  <c r="CR23" i="5"/>
  <c r="CL23" i="5"/>
  <c r="CQ23" i="5"/>
  <c r="CK23" i="5"/>
  <c r="CN23" i="5"/>
  <c r="CO23" i="5"/>
  <c r="C30" i="5"/>
  <c r="E30" i="5"/>
  <c r="CA26" i="3"/>
  <c r="CM27" i="6"/>
  <c r="CO27" i="6"/>
  <c r="CP27" i="6"/>
  <c r="CS27" i="6"/>
  <c r="CQ27" i="6"/>
  <c r="CK27" i="6"/>
  <c r="CL27" i="6"/>
  <c r="CN27" i="6"/>
  <c r="CJ27" i="6"/>
  <c r="AQ30" i="5"/>
  <c r="CR27" i="6"/>
  <c r="AK30" i="5"/>
  <c r="AT30" i="5"/>
  <c r="AC30" i="5"/>
  <c r="U30" i="5"/>
  <c r="M30" i="5"/>
  <c r="D30" i="5"/>
  <c r="AS30" i="5"/>
  <c r="C41" i="5"/>
  <c r="D41" i="5" s="1"/>
  <c r="CI41" i="5"/>
  <c r="CI22" i="5"/>
  <c r="AU42" i="5"/>
  <c r="CR27" i="5"/>
  <c r="CR22" i="5" s="1"/>
  <c r="AL22" i="5"/>
  <c r="CQ27" i="5"/>
  <c r="CQ22" i="5" s="1"/>
  <c r="AH22" i="5"/>
  <c r="CP27" i="5"/>
  <c r="CP22" i="5" s="1"/>
  <c r="AD22" i="5"/>
  <c r="CO27" i="5"/>
  <c r="CO22" i="5" s="1"/>
  <c r="Z22" i="5"/>
  <c r="CN27" i="5"/>
  <c r="CN22" i="5" s="1"/>
  <c r="V22" i="5"/>
  <c r="CL27" i="5"/>
  <c r="CL22" i="5" s="1"/>
  <c r="N22" i="5"/>
  <c r="CK27" i="5"/>
  <c r="CK22" i="5" s="1"/>
  <c r="J22" i="5"/>
  <c r="CJ27" i="5"/>
  <c r="CJ22" i="5" s="1"/>
  <c r="F22" i="5"/>
  <c r="AT22" i="5"/>
  <c r="CT27" i="5"/>
  <c r="CS27" i="5"/>
  <c r="CS22" i="5" s="1"/>
  <c r="AP22" i="5"/>
  <c r="CM27" i="5"/>
  <c r="CM22" i="5" s="1"/>
  <c r="R22" i="5"/>
  <c r="CL42" i="5"/>
  <c r="CK6" i="5"/>
  <c r="AO30" i="5"/>
  <c r="AG30" i="5"/>
  <c r="Y30" i="5"/>
  <c r="Q30" i="5"/>
  <c r="I30" i="5"/>
  <c r="CR21" i="5"/>
  <c r="CP21" i="5"/>
  <c r="CN21" i="5"/>
  <c r="CJ21" i="5"/>
  <c r="AM30" i="5"/>
  <c r="AI30" i="5"/>
  <c r="AE30" i="5"/>
  <c r="AA30" i="5"/>
  <c r="W30" i="5"/>
  <c r="S30" i="5"/>
  <c r="O30" i="5"/>
  <c r="K30" i="5"/>
  <c r="G30" i="5"/>
  <c r="CS21" i="5"/>
  <c r="CQ21" i="5"/>
  <c r="CO21" i="5"/>
  <c r="CM21" i="5"/>
  <c r="CJ28" i="5"/>
  <c r="B30" i="5"/>
  <c r="CI28" i="5"/>
  <c r="CM6" i="5"/>
  <c r="CL6" i="5"/>
  <c r="CR29" i="5"/>
  <c r="CP29" i="5"/>
  <c r="CN29" i="5"/>
  <c r="CL21" i="5"/>
  <c r="CL29" i="5"/>
  <c r="CJ29" i="5"/>
  <c r="CS6" i="5"/>
  <c r="CR6" i="5"/>
  <c r="CQ6" i="5"/>
  <c r="CP6" i="5"/>
  <c r="CO6" i="5"/>
  <c r="CN6" i="5"/>
  <c r="CJ6" i="5"/>
  <c r="CL28" i="5"/>
  <c r="CK28" i="5"/>
  <c r="CS29" i="5"/>
  <c r="CQ29" i="5"/>
  <c r="CO29" i="5"/>
  <c r="CM29" i="5"/>
  <c r="CK21" i="5"/>
  <c r="CK29" i="5"/>
  <c r="CI21" i="5"/>
  <c r="CI29" i="5"/>
  <c r="CS28" i="5"/>
  <c r="CR28" i="5"/>
  <c r="CQ28" i="5"/>
  <c r="CP28" i="5"/>
  <c r="CO28" i="5"/>
  <c r="CN28" i="5"/>
  <c r="CM28" i="5"/>
  <c r="AR30" i="5"/>
  <c r="AN30" i="5"/>
  <c r="AJ30" i="5"/>
  <c r="AF30" i="5"/>
  <c r="AB30" i="5"/>
  <c r="X30" i="5"/>
  <c r="T30" i="5"/>
  <c r="P30" i="5"/>
  <c r="L30" i="5"/>
  <c r="H30" i="5"/>
  <c r="AP30" i="5"/>
  <c r="AL30" i="5"/>
  <c r="AH30" i="5"/>
  <c r="AD30" i="5"/>
  <c r="Z30" i="5"/>
  <c r="V30" i="5"/>
  <c r="R30" i="5"/>
  <c r="N30" i="5"/>
  <c r="J30" i="5"/>
  <c r="F30" i="5"/>
  <c r="CB26" i="3" l="1"/>
  <c r="CI30" i="5"/>
  <c r="CJ41" i="5"/>
  <c r="CK41" i="5" s="1"/>
  <c r="AV42" i="5"/>
  <c r="E41" i="5"/>
  <c r="CM42" i="5"/>
  <c r="CK30" i="5"/>
  <c r="CM30" i="5"/>
  <c r="CO30" i="5"/>
  <c r="CQ30" i="5"/>
  <c r="CS30" i="5"/>
  <c r="CJ30" i="5"/>
  <c r="CL30" i="5"/>
  <c r="CN30" i="5"/>
  <c r="CP30" i="5"/>
  <c r="CR30" i="5"/>
  <c r="CC26" i="3" l="1"/>
  <c r="CD26" i="3" s="1"/>
  <c r="CE26" i="3" s="1"/>
  <c r="CF26" i="3" s="1"/>
  <c r="CG26" i="3" s="1"/>
  <c r="DC26" i="3" s="1"/>
  <c r="CN42" i="5"/>
  <c r="F41" i="5"/>
  <c r="CL41" i="5"/>
  <c r="DB26" i="3" l="1"/>
  <c r="G41" i="5"/>
  <c r="CO42" i="5"/>
  <c r="CM41" i="5"/>
  <c r="CV32" i="3" l="1"/>
  <c r="CP42" i="5"/>
  <c r="H41" i="5"/>
  <c r="CN41" i="5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K12" i="4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V3" i="3"/>
  <c r="U3" i="3"/>
  <c r="T3" i="3"/>
  <c r="S3" i="3"/>
  <c r="R3" i="3"/>
  <c r="Q3" i="3"/>
  <c r="P3" i="3"/>
  <c r="O3" i="3"/>
  <c r="N3" i="3"/>
  <c r="M3" i="3"/>
  <c r="L3" i="3"/>
  <c r="K3" i="3"/>
  <c r="B3" i="3"/>
  <c r="AR59" i="4"/>
  <c r="AR71" i="4" s="1"/>
  <c r="AR72" i="4" s="1"/>
  <c r="AQ59" i="4"/>
  <c r="AQ71" i="4" s="1"/>
  <c r="AP59" i="4"/>
  <c r="AP71" i="4" s="1"/>
  <c r="AO59" i="4"/>
  <c r="AO71" i="4" s="1"/>
  <c r="AN59" i="4"/>
  <c r="AN71" i="4" s="1"/>
  <c r="AM59" i="4"/>
  <c r="AM71" i="4" s="1"/>
  <c r="AL59" i="4"/>
  <c r="AL71" i="4" s="1"/>
  <c r="AK59" i="4"/>
  <c r="AK71" i="4" s="1"/>
  <c r="AJ59" i="4"/>
  <c r="AJ71" i="4" s="1"/>
  <c r="AI59" i="4"/>
  <c r="AI71" i="4" s="1"/>
  <c r="AH59" i="4"/>
  <c r="AH71" i="4" s="1"/>
  <c r="AG59" i="4"/>
  <c r="AG71" i="4" s="1"/>
  <c r="AF59" i="4"/>
  <c r="AF71" i="4" s="1"/>
  <c r="AE59" i="4"/>
  <c r="AE71" i="4" s="1"/>
  <c r="AD59" i="4"/>
  <c r="AD71" i="4" s="1"/>
  <c r="AC59" i="4"/>
  <c r="AC71" i="4" s="1"/>
  <c r="AB59" i="4"/>
  <c r="AB71" i="4" s="1"/>
  <c r="AA59" i="4"/>
  <c r="AA71" i="4" s="1"/>
  <c r="Z59" i="4"/>
  <c r="Z71" i="4" s="1"/>
  <c r="Y59" i="4"/>
  <c r="Y71" i="4" s="1"/>
  <c r="X59" i="4"/>
  <c r="X71" i="4" s="1"/>
  <c r="W59" i="4"/>
  <c r="W71" i="4" s="1"/>
  <c r="V59" i="4"/>
  <c r="V71" i="4" s="1"/>
  <c r="U59" i="4"/>
  <c r="U71" i="4" s="1"/>
  <c r="CM71" i="4" s="1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9" i="4"/>
  <c r="B58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J12" i="4"/>
  <c r="I12" i="4"/>
  <c r="H12" i="4"/>
  <c r="G12" i="4"/>
  <c r="F12" i="4"/>
  <c r="E12" i="4"/>
  <c r="D12" i="4"/>
  <c r="C12" i="4"/>
  <c r="B12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8" i="2"/>
  <c r="F257" i="2"/>
  <c r="E257" i="2"/>
  <c r="D257" i="2"/>
  <c r="C257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J228" i="2"/>
  <c r="I228" i="2"/>
  <c r="I13" i="8" s="1"/>
  <c r="H228" i="2"/>
  <c r="H13" i="8" s="1"/>
  <c r="G228" i="2"/>
  <c r="G13" i="8" s="1"/>
  <c r="F228" i="2"/>
  <c r="F7" i="4" s="1"/>
  <c r="E228" i="2"/>
  <c r="E13" i="8" s="1"/>
  <c r="D228" i="2"/>
  <c r="D13" i="8" s="1"/>
  <c r="C228" i="2"/>
  <c r="C13" i="8" s="1"/>
  <c r="B228" i="2"/>
  <c r="B7" i="4" s="1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Y221" i="2"/>
  <c r="Y220" i="2"/>
  <c r="X220" i="2"/>
  <c r="W220" i="2"/>
  <c r="V220" i="2"/>
  <c r="U219" i="2"/>
  <c r="AT216" i="2"/>
  <c r="AT215" i="2"/>
  <c r="AT213" i="2"/>
  <c r="AS215" i="2"/>
  <c r="AS216" i="2"/>
  <c r="AS213" i="2"/>
  <c r="AR213" i="2"/>
  <c r="AQ213" i="2"/>
  <c r="AP213" i="2"/>
  <c r="AR215" i="2"/>
  <c r="AQ215" i="2"/>
  <c r="AP215" i="2"/>
  <c r="AO213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10" i="2"/>
  <c r="F209" i="2"/>
  <c r="E209" i="2"/>
  <c r="D209" i="2"/>
  <c r="C209" i="2"/>
  <c r="AC228" i="2"/>
  <c r="AC13" i="8" s="1"/>
  <c r="AB228" i="2"/>
  <c r="AB13" i="8" s="1"/>
  <c r="AA228" i="2"/>
  <c r="AA13" i="8" s="1"/>
  <c r="Z228" i="2"/>
  <c r="Y228" i="2"/>
  <c r="Y13" i="8" s="1"/>
  <c r="X228" i="2"/>
  <c r="X13" i="8" s="1"/>
  <c r="W228" i="2"/>
  <c r="W13" i="8" s="1"/>
  <c r="V228" i="2"/>
  <c r="U228" i="2"/>
  <c r="U13" i="8" s="1"/>
  <c r="T228" i="2"/>
  <c r="T13" i="8" s="1"/>
  <c r="S228" i="2"/>
  <c r="S13" i="8" s="1"/>
  <c r="R228" i="2"/>
  <c r="Q228" i="2"/>
  <c r="Q13" i="8" s="1"/>
  <c r="P228" i="2"/>
  <c r="P13" i="8" s="1"/>
  <c r="O228" i="2"/>
  <c r="O13" i="8" s="1"/>
  <c r="N228" i="2"/>
  <c r="M228" i="2"/>
  <c r="M13" i="8" s="1"/>
  <c r="L228" i="2"/>
  <c r="L13" i="8" s="1"/>
  <c r="K228" i="2"/>
  <c r="K13" i="8" s="1"/>
  <c r="I41" i="5" l="1"/>
  <c r="CQ42" i="5"/>
  <c r="CO41" i="5"/>
  <c r="C45" i="3"/>
  <c r="E45" i="3"/>
  <c r="G45" i="3"/>
  <c r="I45" i="3"/>
  <c r="K45" i="3"/>
  <c r="M45" i="3"/>
  <c r="O45" i="3"/>
  <c r="Q45" i="3"/>
  <c r="S45" i="3"/>
  <c r="U45" i="3"/>
  <c r="W45" i="3"/>
  <c r="Y45" i="3"/>
  <c r="AA45" i="3"/>
  <c r="AC45" i="3"/>
  <c r="AE45" i="3"/>
  <c r="AG45" i="3"/>
  <c r="AI45" i="3"/>
  <c r="AK45" i="3"/>
  <c r="AM45" i="3"/>
  <c r="AQ45" i="3"/>
  <c r="B38" i="3"/>
  <c r="D38" i="3"/>
  <c r="F38" i="3"/>
  <c r="H38" i="3"/>
  <c r="J38" i="3"/>
  <c r="L38" i="3"/>
  <c r="N38" i="3"/>
  <c r="P38" i="3"/>
  <c r="R38" i="3"/>
  <c r="T38" i="3"/>
  <c r="V38" i="3"/>
  <c r="X38" i="3"/>
  <c r="Z38" i="3"/>
  <c r="AB38" i="3"/>
  <c r="AD38" i="3"/>
  <c r="AF38" i="3"/>
  <c r="AH38" i="3"/>
  <c r="AJ38" i="3"/>
  <c r="AL38" i="3"/>
  <c r="AN38" i="3"/>
  <c r="AP38" i="3"/>
  <c r="AR38" i="3"/>
  <c r="AT38" i="3"/>
  <c r="B45" i="3"/>
  <c r="D45" i="3"/>
  <c r="F45" i="3"/>
  <c r="H45" i="3"/>
  <c r="J45" i="3"/>
  <c r="L45" i="3"/>
  <c r="N45" i="3"/>
  <c r="P45" i="3"/>
  <c r="R45" i="3"/>
  <c r="T45" i="3"/>
  <c r="V45" i="3"/>
  <c r="X45" i="3"/>
  <c r="Z45" i="3"/>
  <c r="AB45" i="3"/>
  <c r="AD45" i="3"/>
  <c r="AF45" i="3"/>
  <c r="AH45" i="3"/>
  <c r="AJ45" i="3"/>
  <c r="AL45" i="3"/>
  <c r="AN45" i="3"/>
  <c r="AP45" i="3"/>
  <c r="AR45" i="3"/>
  <c r="AT45" i="3"/>
  <c r="C38" i="3"/>
  <c r="E38" i="3"/>
  <c r="G38" i="3"/>
  <c r="I38" i="3"/>
  <c r="K38" i="3"/>
  <c r="M38" i="3"/>
  <c r="O38" i="3"/>
  <c r="Q38" i="3"/>
  <c r="S38" i="3"/>
  <c r="U38" i="3"/>
  <c r="W38" i="3"/>
  <c r="Y38" i="3"/>
  <c r="AA38" i="3"/>
  <c r="AC38" i="3"/>
  <c r="AE38" i="3"/>
  <c r="AG38" i="3"/>
  <c r="AI38" i="3"/>
  <c r="AK38" i="3"/>
  <c r="AM38" i="3"/>
  <c r="AO38" i="3"/>
  <c r="AQ38" i="3"/>
  <c r="AS38" i="3"/>
  <c r="AE81" i="4"/>
  <c r="AG81" i="4"/>
  <c r="AI81" i="4"/>
  <c r="AK81" i="4"/>
  <c r="AM81" i="4"/>
  <c r="AO81" i="4"/>
  <c r="AQ81" i="4"/>
  <c r="AS81" i="4"/>
  <c r="AF81" i="4"/>
  <c r="AJ81" i="4"/>
  <c r="AN81" i="4"/>
  <c r="AR81" i="4"/>
  <c r="AO45" i="3"/>
  <c r="CR40" i="3"/>
  <c r="AS45" i="3"/>
  <c r="CS40" i="3"/>
  <c r="AW220" i="2"/>
  <c r="AW221" i="2"/>
  <c r="K230" i="2"/>
  <c r="O231" i="2"/>
  <c r="S231" i="2"/>
  <c r="W231" i="2"/>
  <c r="AA231" i="2"/>
  <c r="AE231" i="2"/>
  <c r="J7" i="4"/>
  <c r="Q231" i="2"/>
  <c r="U231" i="2"/>
  <c r="Y231" i="2"/>
  <c r="AC231" i="2"/>
  <c r="AG231" i="2"/>
  <c r="D7" i="4"/>
  <c r="H7" i="4"/>
  <c r="L15" i="8"/>
  <c r="L14" i="8"/>
  <c r="N13" i="8"/>
  <c r="CL228" i="2"/>
  <c r="P15" i="8"/>
  <c r="P14" i="8"/>
  <c r="R13" i="8"/>
  <c r="CM228" i="2"/>
  <c r="T15" i="8"/>
  <c r="T14" i="8"/>
  <c r="V13" i="8"/>
  <c r="CN228" i="2"/>
  <c r="X15" i="8"/>
  <c r="X14" i="8"/>
  <c r="Z13" i="8"/>
  <c r="CO228" i="2"/>
  <c r="AB15" i="8"/>
  <c r="AB14" i="8"/>
  <c r="C15" i="8"/>
  <c r="C14" i="8"/>
  <c r="E15" i="8"/>
  <c r="E14" i="8"/>
  <c r="G15" i="8"/>
  <c r="G14" i="8"/>
  <c r="I15" i="8"/>
  <c r="I14" i="8"/>
  <c r="D230" i="2"/>
  <c r="F230" i="2"/>
  <c r="G230" i="2"/>
  <c r="I230" i="2"/>
  <c r="M230" i="2"/>
  <c r="O230" i="2"/>
  <c r="Q230" i="2"/>
  <c r="S230" i="2"/>
  <c r="U230" i="2"/>
  <c r="W230" i="2"/>
  <c r="Y230" i="2"/>
  <c r="AA230" i="2"/>
  <c r="AC230" i="2"/>
  <c r="G231" i="2"/>
  <c r="I231" i="2"/>
  <c r="K231" i="2"/>
  <c r="M231" i="2"/>
  <c r="L7" i="4"/>
  <c r="L22" i="4" s="1"/>
  <c r="N7" i="4"/>
  <c r="P7" i="4"/>
  <c r="R7" i="4"/>
  <c r="T7" i="4"/>
  <c r="T22" i="4" s="1"/>
  <c r="V7" i="4"/>
  <c r="X7" i="4"/>
  <c r="Z7" i="4"/>
  <c r="AB7" i="4"/>
  <c r="K15" i="8"/>
  <c r="K14" i="8"/>
  <c r="M15" i="8"/>
  <c r="M14" i="8"/>
  <c r="O15" i="8"/>
  <c r="O14" i="8"/>
  <c r="Q15" i="8"/>
  <c r="Q14" i="8"/>
  <c r="S15" i="8"/>
  <c r="S14" i="8"/>
  <c r="U15" i="8"/>
  <c r="U14" i="8"/>
  <c r="W15" i="8"/>
  <c r="W14" i="8"/>
  <c r="Y15" i="8"/>
  <c r="Y14" i="8"/>
  <c r="AA15" i="8"/>
  <c r="AA14" i="8"/>
  <c r="AC15" i="8"/>
  <c r="AC14" i="8"/>
  <c r="AU220" i="2"/>
  <c r="AU221" i="2"/>
  <c r="AY221" i="2"/>
  <c r="B13" i="8"/>
  <c r="CI228" i="2"/>
  <c r="D15" i="8"/>
  <c r="D14" i="8"/>
  <c r="F13" i="8"/>
  <c r="CJ228" i="2"/>
  <c r="H15" i="8"/>
  <c r="H14" i="8"/>
  <c r="J13" i="8"/>
  <c r="CK228" i="2"/>
  <c r="C230" i="2"/>
  <c r="E230" i="2"/>
  <c r="F231" i="2"/>
  <c r="H230" i="2"/>
  <c r="J230" i="2"/>
  <c r="L230" i="2"/>
  <c r="N230" i="2"/>
  <c r="P230" i="2"/>
  <c r="R230" i="2"/>
  <c r="T230" i="2"/>
  <c r="V230" i="2"/>
  <c r="X230" i="2"/>
  <c r="Z230" i="2"/>
  <c r="AB230" i="2"/>
  <c r="AD230" i="2"/>
  <c r="H231" i="2"/>
  <c r="J231" i="2"/>
  <c r="L231" i="2"/>
  <c r="N231" i="2"/>
  <c r="P231" i="2"/>
  <c r="R231" i="2"/>
  <c r="T231" i="2"/>
  <c r="V231" i="2"/>
  <c r="X231" i="2"/>
  <c r="Z231" i="2"/>
  <c r="AB231" i="2"/>
  <c r="AD231" i="2"/>
  <c r="AF231" i="2"/>
  <c r="C7" i="4"/>
  <c r="E7" i="4"/>
  <c r="G7" i="4"/>
  <c r="I7" i="4"/>
  <c r="K7" i="4"/>
  <c r="M7" i="4"/>
  <c r="O7" i="4"/>
  <c r="O22" i="4" s="1"/>
  <c r="Q7" i="4"/>
  <c r="S7" i="4"/>
  <c r="S22" i="4" s="1"/>
  <c r="U7" i="4"/>
  <c r="W7" i="4"/>
  <c r="Y7" i="4"/>
  <c r="AA7" i="4"/>
  <c r="AC7" i="4"/>
  <c r="CI276" i="2"/>
  <c r="CJ276" i="2"/>
  <c r="CK276" i="2"/>
  <c r="CL276" i="2"/>
  <c r="CM276" i="2"/>
  <c r="CN276" i="2"/>
  <c r="CO276" i="2"/>
  <c r="CP276" i="2"/>
  <c r="CQ276" i="2"/>
  <c r="CR276" i="2"/>
  <c r="CS276" i="2"/>
  <c r="Y56" i="3"/>
  <c r="Y55" i="3"/>
  <c r="AA55" i="3"/>
  <c r="AA56" i="3"/>
  <c r="AC55" i="3"/>
  <c r="AC56" i="3"/>
  <c r="AE55" i="3"/>
  <c r="AE56" i="3"/>
  <c r="AG55" i="3"/>
  <c r="AG56" i="3"/>
  <c r="AI55" i="3"/>
  <c r="AI56" i="3"/>
  <c r="AK55" i="3"/>
  <c r="AK56" i="3"/>
  <c r="AM55" i="3"/>
  <c r="AM56" i="3"/>
  <c r="AO55" i="3"/>
  <c r="AO56" i="3"/>
  <c r="AQ55" i="3"/>
  <c r="AQ56" i="3"/>
  <c r="AS55" i="3"/>
  <c r="AS56" i="3"/>
  <c r="U66" i="4"/>
  <c r="CM66" i="4" s="1"/>
  <c r="W66" i="4"/>
  <c r="Y66" i="4"/>
  <c r="AA66" i="4"/>
  <c r="AC66" i="4"/>
  <c r="AE66" i="4"/>
  <c r="AG66" i="4"/>
  <c r="AI66" i="4"/>
  <c r="AK66" i="4"/>
  <c r="AM66" i="4"/>
  <c r="AO66" i="4"/>
  <c r="AQ66" i="4"/>
  <c r="CK3" i="4"/>
  <c r="CL3" i="4"/>
  <c r="CM3" i="4"/>
  <c r="Z56" i="3"/>
  <c r="Z55" i="3"/>
  <c r="AB56" i="3"/>
  <c r="AB55" i="3"/>
  <c r="AD56" i="3"/>
  <c r="AD55" i="3"/>
  <c r="AF56" i="3"/>
  <c r="AF55" i="3"/>
  <c r="AH56" i="3"/>
  <c r="AH55" i="3"/>
  <c r="AJ56" i="3"/>
  <c r="AJ55" i="3"/>
  <c r="AL56" i="3"/>
  <c r="AL55" i="3"/>
  <c r="AN56" i="3"/>
  <c r="AN55" i="3"/>
  <c r="AP56" i="3"/>
  <c r="AP55" i="3"/>
  <c r="AR56" i="3"/>
  <c r="AR55" i="3"/>
  <c r="AT56" i="3"/>
  <c r="AT55" i="3"/>
  <c r="V66" i="4"/>
  <c r="X66" i="4"/>
  <c r="Z66" i="4"/>
  <c r="AB66" i="4"/>
  <c r="AD66" i="4"/>
  <c r="AF66" i="4"/>
  <c r="AH66" i="4"/>
  <c r="AJ66" i="4"/>
  <c r="AL66" i="4"/>
  <c r="AN66" i="4"/>
  <c r="AP66" i="4"/>
  <c r="AR66" i="4"/>
  <c r="CN71" i="4"/>
  <c r="CN72" i="4" s="1"/>
  <c r="CO71" i="4"/>
  <c r="CO72" i="4" s="1"/>
  <c r="CP71" i="4"/>
  <c r="CP72" i="4" s="1"/>
  <c r="CR71" i="4"/>
  <c r="CR72" i="4" s="1"/>
  <c r="CQ71" i="4"/>
  <c r="B51" i="3"/>
  <c r="L5" i="7"/>
  <c r="N5" i="7"/>
  <c r="P5" i="7"/>
  <c r="R5" i="7"/>
  <c r="T5" i="7"/>
  <c r="V5" i="7"/>
  <c r="B81" i="4"/>
  <c r="F81" i="4"/>
  <c r="AD81" i="4"/>
  <c r="CP7" i="4"/>
  <c r="AH81" i="4"/>
  <c r="CQ7" i="4"/>
  <c r="AL81" i="4"/>
  <c r="CR7" i="4"/>
  <c r="AP81" i="4"/>
  <c r="CS7" i="4"/>
  <c r="AT81" i="4"/>
  <c r="CM72" i="4"/>
  <c r="K51" i="3"/>
  <c r="K5" i="7"/>
  <c r="M51" i="3"/>
  <c r="CK51" i="3" s="1"/>
  <c r="M5" i="7"/>
  <c r="CK3" i="3"/>
  <c r="O51" i="3"/>
  <c r="O5" i="7"/>
  <c r="Q51" i="3"/>
  <c r="CL51" i="3" s="1"/>
  <c r="Q5" i="7"/>
  <c r="CL3" i="3"/>
  <c r="S11" i="3"/>
  <c r="S5" i="7"/>
  <c r="U51" i="3"/>
  <c r="CM51" i="3" s="1"/>
  <c r="U5" i="7"/>
  <c r="CM3" i="3"/>
  <c r="CT18" i="3"/>
  <c r="AW42" i="5"/>
  <c r="M11" i="3"/>
  <c r="Q11" i="3"/>
  <c r="U11" i="3"/>
  <c r="S51" i="3"/>
  <c r="K11" i="3"/>
  <c r="O11" i="3"/>
  <c r="Z74" i="4"/>
  <c r="V72" i="4"/>
  <c r="W73" i="4"/>
  <c r="X72" i="4"/>
  <c r="Y73" i="4"/>
  <c r="AB74" i="4"/>
  <c r="AD74" i="4"/>
  <c r="AA73" i="4"/>
  <c r="Z72" i="4"/>
  <c r="AC73" i="4"/>
  <c r="AB72" i="4"/>
  <c r="AF74" i="4"/>
  <c r="AH74" i="4"/>
  <c r="AE73" i="4"/>
  <c r="AD72" i="4"/>
  <c r="AG73" i="4"/>
  <c r="AF72" i="4"/>
  <c r="AJ74" i="4"/>
  <c r="AL74" i="4"/>
  <c r="AI73" i="4"/>
  <c r="AH72" i="4"/>
  <c r="AK73" i="4"/>
  <c r="AJ72" i="4"/>
  <c r="AN74" i="4"/>
  <c r="AP74" i="4"/>
  <c r="AM73" i="4"/>
  <c r="AL72" i="4"/>
  <c r="AO73" i="4"/>
  <c r="AN72" i="4"/>
  <c r="AR74" i="4"/>
  <c r="AQ73" i="4"/>
  <c r="AP72" i="4"/>
  <c r="Y74" i="4"/>
  <c r="V73" i="4"/>
  <c r="U72" i="4"/>
  <c r="AA74" i="4"/>
  <c r="W72" i="4"/>
  <c r="X73" i="4"/>
  <c r="AC74" i="4"/>
  <c r="Z73" i="4"/>
  <c r="Y72" i="4"/>
  <c r="AE74" i="4"/>
  <c r="AB73" i="4"/>
  <c r="AA72" i="4"/>
  <c r="AG74" i="4"/>
  <c r="AD73" i="4"/>
  <c r="AC72" i="4"/>
  <c r="AI74" i="4"/>
  <c r="AF73" i="4"/>
  <c r="AE72" i="4"/>
  <c r="AK74" i="4"/>
  <c r="AH73" i="4"/>
  <c r="AG72" i="4"/>
  <c r="AO74" i="4"/>
  <c r="AL73" i="4"/>
  <c r="AK72" i="4"/>
  <c r="AP73" i="4"/>
  <c r="AO72" i="4"/>
  <c r="AM74" i="4"/>
  <c r="AJ73" i="4"/>
  <c r="AI72" i="4"/>
  <c r="AQ74" i="4"/>
  <c r="AN73" i="4"/>
  <c r="AM72" i="4"/>
  <c r="AR73" i="4"/>
  <c r="AQ72" i="4"/>
  <c r="B11" i="3"/>
  <c r="L51" i="3"/>
  <c r="L11" i="3"/>
  <c r="N51" i="3"/>
  <c r="N11" i="3"/>
  <c r="P51" i="3"/>
  <c r="P11" i="3"/>
  <c r="R51" i="3"/>
  <c r="R11" i="3"/>
  <c r="T51" i="3"/>
  <c r="T11" i="3"/>
  <c r="V51" i="3"/>
  <c r="V11" i="3"/>
  <c r="BA221" i="2"/>
  <c r="CU218" i="2"/>
  <c r="S15" i="15" s="1"/>
  <c r="AV220" i="2"/>
  <c r="AX220" i="2"/>
  <c r="AV221" i="2"/>
  <c r="AX221" i="2"/>
  <c r="AN47" i="3" l="1"/>
  <c r="AH47" i="3"/>
  <c r="V47" i="3"/>
  <c r="AQ47" i="3"/>
  <c r="R47" i="3"/>
  <c r="J47" i="3"/>
  <c r="J22" i="4"/>
  <c r="CQ81" i="4"/>
  <c r="AD47" i="3"/>
  <c r="O47" i="3"/>
  <c r="AT47" i="3"/>
  <c r="AB47" i="3"/>
  <c r="P47" i="3"/>
  <c r="AJ47" i="3"/>
  <c r="F47" i="3"/>
  <c r="AP47" i="3"/>
  <c r="X47" i="3"/>
  <c r="AS47" i="3"/>
  <c r="CS81" i="4"/>
  <c r="AL47" i="3"/>
  <c r="Z47" i="3"/>
  <c r="H47" i="3"/>
  <c r="AA47" i="3"/>
  <c r="AR47" i="3"/>
  <c r="AF47" i="3"/>
  <c r="AO47" i="3"/>
  <c r="T47" i="3"/>
  <c r="N47" i="3"/>
  <c r="G47" i="3"/>
  <c r="CT221" i="2"/>
  <c r="CR81" i="4"/>
  <c r="CP81" i="4"/>
  <c r="J81" i="4"/>
  <c r="AM47" i="3"/>
  <c r="AE47" i="3"/>
  <c r="K47" i="3"/>
  <c r="L47" i="3"/>
  <c r="D47" i="3"/>
  <c r="W47" i="3"/>
  <c r="C47" i="3"/>
  <c r="AI47" i="3"/>
  <c r="S47" i="3"/>
  <c r="B47" i="3"/>
  <c r="CR42" i="5"/>
  <c r="J41" i="5"/>
  <c r="CP41" i="5"/>
  <c r="CT28" i="4"/>
  <c r="AK47" i="3"/>
  <c r="AG47" i="3"/>
  <c r="AC47" i="3"/>
  <c r="Y47" i="3"/>
  <c r="U47" i="3"/>
  <c r="Q47" i="3"/>
  <c r="M47" i="3"/>
  <c r="I47" i="3"/>
  <c r="E47" i="3"/>
  <c r="CS45" i="3"/>
  <c r="CR45" i="3"/>
  <c r="T20" i="3"/>
  <c r="P20" i="3"/>
  <c r="B20" i="3"/>
  <c r="O20" i="3"/>
  <c r="Q20" i="3"/>
  <c r="CM11" i="3"/>
  <c r="S20" i="3"/>
  <c r="CK11" i="3"/>
  <c r="V20" i="3"/>
  <c r="R20" i="3"/>
  <c r="N20" i="3"/>
  <c r="L20" i="3"/>
  <c r="K20" i="3"/>
  <c r="U20" i="3"/>
  <c r="M20" i="3"/>
  <c r="CL11" i="3"/>
  <c r="AA81" i="4"/>
  <c r="W81" i="4"/>
  <c r="S81" i="4"/>
  <c r="O81" i="4"/>
  <c r="K81" i="4"/>
  <c r="G81" i="4"/>
  <c r="C81" i="4"/>
  <c r="AB81" i="4"/>
  <c r="X81" i="4"/>
  <c r="T81" i="4"/>
  <c r="P81" i="4"/>
  <c r="L81" i="4"/>
  <c r="D81" i="4"/>
  <c r="AC81" i="4"/>
  <c r="Y81" i="4"/>
  <c r="U81" i="4"/>
  <c r="Q81" i="4"/>
  <c r="M81" i="4"/>
  <c r="I81" i="4"/>
  <c r="E81" i="4"/>
  <c r="Z81" i="4"/>
  <c r="V81" i="4"/>
  <c r="R81" i="4"/>
  <c r="N81" i="4"/>
  <c r="H81" i="4"/>
  <c r="P22" i="4"/>
  <c r="V4" i="7"/>
  <c r="V6" i="7" s="1"/>
  <c r="CM5" i="7"/>
  <c r="L4" i="7"/>
  <c r="L7" i="7" s="1"/>
  <c r="W4" i="7"/>
  <c r="W7" i="7" s="1"/>
  <c r="U4" i="7"/>
  <c r="U7" i="7" s="1"/>
  <c r="S4" i="7"/>
  <c r="S7" i="7" s="1"/>
  <c r="Q4" i="7"/>
  <c r="Q7" i="7" s="1"/>
  <c r="O4" i="7"/>
  <c r="O7" i="7" s="1"/>
  <c r="M4" i="7"/>
  <c r="M7" i="7" s="1"/>
  <c r="T4" i="7"/>
  <c r="R4" i="7"/>
  <c r="R7" i="7" s="1"/>
  <c r="CL5" i="7"/>
  <c r="P4" i="7"/>
  <c r="N4" i="7"/>
  <c r="N7" i="7" s="1"/>
  <c r="CK5" i="7"/>
  <c r="AI69" i="4"/>
  <c r="K22" i="4"/>
  <c r="CN7" i="4"/>
  <c r="CL7" i="4"/>
  <c r="CO7" i="4"/>
  <c r="CM7" i="4"/>
  <c r="CK7" i="4"/>
  <c r="CJ7" i="4"/>
  <c r="CI7" i="4"/>
  <c r="CU221" i="2"/>
  <c r="S54" i="15" s="1"/>
  <c r="J15" i="8"/>
  <c r="J14" i="8"/>
  <c r="F15" i="8"/>
  <c r="F14" i="8"/>
  <c r="B14" i="8"/>
  <c r="B15" i="8"/>
  <c r="CP231" i="2"/>
  <c r="CO231" i="2"/>
  <c r="CN231" i="2"/>
  <c r="CM231" i="2"/>
  <c r="U22" i="4"/>
  <c r="Q22" i="4"/>
  <c r="M22" i="4"/>
  <c r="R22" i="4"/>
  <c r="N22" i="4"/>
  <c r="AM68" i="4"/>
  <c r="AI68" i="4"/>
  <c r="AE68" i="4"/>
  <c r="CL231" i="2"/>
  <c r="CK231" i="2"/>
  <c r="CJ231" i="2"/>
  <c r="AY220" i="2"/>
  <c r="Z15" i="8"/>
  <c r="Z14" i="8"/>
  <c r="V15" i="8"/>
  <c r="V14" i="8"/>
  <c r="R15" i="8"/>
  <c r="R14" i="8"/>
  <c r="N15" i="8"/>
  <c r="N14" i="8"/>
  <c r="CN74" i="4"/>
  <c r="AK68" i="4"/>
  <c r="AC68" i="4"/>
  <c r="Y68" i="4"/>
  <c r="AN69" i="4"/>
  <c r="AF69" i="4"/>
  <c r="CO66" i="4"/>
  <c r="AQ68" i="4"/>
  <c r="AL69" i="4"/>
  <c r="AD69" i="4"/>
  <c r="W68" i="4"/>
  <c r="AD68" i="4"/>
  <c r="AP69" i="4"/>
  <c r="AH69" i="4"/>
  <c r="Z69" i="4"/>
  <c r="CO74" i="4"/>
  <c r="AL68" i="4"/>
  <c r="V68" i="4"/>
  <c r="AA68" i="4"/>
  <c r="CP74" i="4"/>
  <c r="CR66" i="4"/>
  <c r="CP66" i="4"/>
  <c r="CN66" i="4"/>
  <c r="AP68" i="4"/>
  <c r="AH68" i="4"/>
  <c r="Z68" i="4"/>
  <c r="Y69" i="4"/>
  <c r="AR69" i="4"/>
  <c r="AJ69" i="4"/>
  <c r="AB69" i="4"/>
  <c r="CQ66" i="4"/>
  <c r="AO69" i="4"/>
  <c r="AK69" i="4"/>
  <c r="AG69" i="4"/>
  <c r="AC69" i="4"/>
  <c r="AN68" i="4"/>
  <c r="AJ68" i="4"/>
  <c r="AF68" i="4"/>
  <c r="AB68" i="4"/>
  <c r="X68" i="4"/>
  <c r="AR68" i="4"/>
  <c r="AO68" i="4"/>
  <c r="AG68" i="4"/>
  <c r="AQ69" i="4"/>
  <c r="AM69" i="4"/>
  <c r="AE69" i="4"/>
  <c r="AA69" i="4"/>
  <c r="CU18" i="3"/>
  <c r="CQ72" i="4"/>
  <c r="CR74" i="4"/>
  <c r="CQ74" i="4"/>
  <c r="CT6" i="4"/>
  <c r="S47" i="4"/>
  <c r="S76" i="4"/>
  <c r="O47" i="4"/>
  <c r="O76" i="4"/>
  <c r="T47" i="4"/>
  <c r="T76" i="4"/>
  <c r="L47" i="4"/>
  <c r="L76" i="4"/>
  <c r="AZ220" i="2"/>
  <c r="BA220" i="2"/>
  <c r="I54" i="15"/>
  <c r="AZ221" i="2"/>
  <c r="J76" i="4" l="1"/>
  <c r="J83" i="4" s="1"/>
  <c r="J47" i="4"/>
  <c r="CO81" i="4"/>
  <c r="CK81" i="4"/>
  <c r="CL81" i="4"/>
  <c r="L6" i="7"/>
  <c r="P47" i="4"/>
  <c r="Q6" i="7"/>
  <c r="M6" i="7"/>
  <c r="U6" i="7"/>
  <c r="CM81" i="4"/>
  <c r="CN81" i="4"/>
  <c r="CI81" i="4"/>
  <c r="K47" i="4"/>
  <c r="O6" i="7"/>
  <c r="S6" i="7"/>
  <c r="K41" i="5"/>
  <c r="CS42" i="5"/>
  <c r="CQ41" i="5"/>
  <c r="CJ81" i="4"/>
  <c r="P6" i="7"/>
  <c r="P7" i="7"/>
  <c r="P76" i="4"/>
  <c r="T79" i="4" s="1"/>
  <c r="K76" i="4"/>
  <c r="O79" i="4" s="1"/>
  <c r="T6" i="7"/>
  <c r="T7" i="7"/>
  <c r="CN4" i="7"/>
  <c r="CN7" i="7" s="1"/>
  <c r="V7" i="7"/>
  <c r="CT29" i="4"/>
  <c r="CT16" i="3"/>
  <c r="CR47" i="3"/>
  <c r="CS47" i="3"/>
  <c r="CT17" i="3"/>
  <c r="M49" i="3"/>
  <c r="U49" i="3"/>
  <c r="K49" i="3"/>
  <c r="L49" i="3"/>
  <c r="N49" i="3"/>
  <c r="R49" i="3"/>
  <c r="V49" i="3"/>
  <c r="CL20" i="3"/>
  <c r="CK20" i="3"/>
  <c r="S49" i="3"/>
  <c r="CM20" i="3"/>
  <c r="Q49" i="3"/>
  <c r="O49" i="3"/>
  <c r="B49" i="3"/>
  <c r="P49" i="3"/>
  <c r="T49" i="3"/>
  <c r="N76" i="4"/>
  <c r="O78" i="4" s="1"/>
  <c r="M47" i="4"/>
  <c r="U47" i="4"/>
  <c r="CK22" i="4"/>
  <c r="R47" i="4"/>
  <c r="Q47" i="4"/>
  <c r="CM22" i="4"/>
  <c r="CL22" i="4"/>
  <c r="M76" i="4"/>
  <c r="M83" i="4" s="1"/>
  <c r="N47" i="4"/>
  <c r="U76" i="4"/>
  <c r="U78" i="4" s="1"/>
  <c r="N6" i="7"/>
  <c r="CL4" i="7"/>
  <c r="R6" i="7"/>
  <c r="CM4" i="7"/>
  <c r="CM7" i="7" s="1"/>
  <c r="R76" i="4"/>
  <c r="Q76" i="4"/>
  <c r="CV218" i="2"/>
  <c r="T15" i="15" s="1"/>
  <c r="CO69" i="4"/>
  <c r="CN69" i="4"/>
  <c r="CR69" i="4"/>
  <c r="CQ69" i="4"/>
  <c r="CP69" i="4"/>
  <c r="CT34" i="3"/>
  <c r="CV18" i="3"/>
  <c r="CT26" i="4"/>
  <c r="CT27" i="4"/>
  <c r="L83" i="4"/>
  <c r="T83" i="4"/>
  <c r="O83" i="4"/>
  <c r="S79" i="4"/>
  <c r="S83" i="4"/>
  <c r="T78" i="4"/>
  <c r="BM221" i="2"/>
  <c r="M54" i="15" s="1"/>
  <c r="CW218" i="2"/>
  <c r="U15" i="15" s="1"/>
  <c r="P83" i="4" l="1"/>
  <c r="P86" i="4" s="1"/>
  <c r="P79" i="4"/>
  <c r="L78" i="4"/>
  <c r="M78" i="4"/>
  <c r="K78" i="4"/>
  <c r="K83" i="4"/>
  <c r="L85" i="4" s="1"/>
  <c r="N79" i="4"/>
  <c r="CK76" i="4"/>
  <c r="P78" i="4"/>
  <c r="AX42" i="5"/>
  <c r="CT42" i="5"/>
  <c r="L41" i="5"/>
  <c r="CR41" i="5"/>
  <c r="R78" i="4"/>
  <c r="N83" i="4"/>
  <c r="O85" i="4" s="1"/>
  <c r="N78" i="4"/>
  <c r="CT13" i="3"/>
  <c r="CT36" i="3"/>
  <c r="CM49" i="3"/>
  <c r="CK49" i="3"/>
  <c r="CL49" i="3"/>
  <c r="CL76" i="4"/>
  <c r="CL47" i="4"/>
  <c r="CM47" i="4"/>
  <c r="CK47" i="4"/>
  <c r="CM76" i="4"/>
  <c r="S78" i="4"/>
  <c r="U83" i="4"/>
  <c r="U85" i="4" s="1"/>
  <c r="R83" i="4"/>
  <c r="S85" i="4" s="1"/>
  <c r="R79" i="4"/>
  <c r="CM6" i="7"/>
  <c r="CL6" i="7"/>
  <c r="CL7" i="7"/>
  <c r="Q83" i="4"/>
  <c r="Q79" i="4"/>
  <c r="Q78" i="4"/>
  <c r="U79" i="4"/>
  <c r="K54" i="15"/>
  <c r="CW221" i="2"/>
  <c r="U54" i="15" s="1"/>
  <c r="CV221" i="2"/>
  <c r="T54" i="15" s="1"/>
  <c r="CW18" i="3"/>
  <c r="T85" i="4"/>
  <c r="S86" i="4"/>
  <c r="M85" i="4"/>
  <c r="J54" i="15"/>
  <c r="BN220" i="2"/>
  <c r="BQ221" i="2"/>
  <c r="Q54" i="15" s="1"/>
  <c r="T86" i="4" l="1"/>
  <c r="P85" i="4"/>
  <c r="CK83" i="4"/>
  <c r="O86" i="4"/>
  <c r="K85" i="4"/>
  <c r="CL79" i="4"/>
  <c r="R85" i="4"/>
  <c r="N85" i="4"/>
  <c r="N86" i="4"/>
  <c r="M41" i="5"/>
  <c r="AY42" i="5"/>
  <c r="CS41" i="5"/>
  <c r="Q86" i="4"/>
  <c r="CL83" i="4"/>
  <c r="CM79" i="4"/>
  <c r="U86" i="4"/>
  <c r="CM83" i="4"/>
  <c r="Q85" i="4"/>
  <c r="R86" i="4"/>
  <c r="BM25" i="7"/>
  <c r="CX221" i="2"/>
  <c r="V54" i="15" s="1"/>
  <c r="CX18" i="3"/>
  <c r="CT4" i="3"/>
  <c r="BM220" i="2"/>
  <c r="L54" i="15"/>
  <c r="BN221" i="2"/>
  <c r="N54" i="15" s="1"/>
  <c r="CL86" i="4" l="1"/>
  <c r="CY18" i="3"/>
  <c r="CM86" i="4"/>
  <c r="CU29" i="4"/>
  <c r="N41" i="5"/>
  <c r="BN25" i="7"/>
  <c r="CY218" i="2"/>
  <c r="W15" i="15" s="1"/>
  <c r="BO220" i="2"/>
  <c r="BO221" i="2"/>
  <c r="O54" i="15" s="1"/>
  <c r="CU16" i="3"/>
  <c r="BQ220" i="2"/>
  <c r="BP220" i="2"/>
  <c r="BP221" i="2"/>
  <c r="P54" i="15" s="1"/>
  <c r="CZ18" i="3" l="1"/>
  <c r="CY221" i="2"/>
  <c r="W54" i="15" s="1"/>
  <c r="CZ221" i="2"/>
  <c r="O41" i="5"/>
  <c r="AZ42" i="5"/>
  <c r="CU36" i="3"/>
  <c r="BO25" i="7"/>
  <c r="BP25" i="7"/>
  <c r="CU34" i="3"/>
  <c r="DB18" i="3" l="1"/>
  <c r="DA18" i="3"/>
  <c r="CU28" i="4"/>
  <c r="CU13" i="3"/>
  <c r="P41" i="5"/>
  <c r="BQ25" i="7"/>
  <c r="Q41" i="5" l="1"/>
  <c r="BA42" i="5"/>
  <c r="CU6" i="4"/>
  <c r="CV29" i="4" l="1"/>
  <c r="CU42" i="5"/>
  <c r="R41" i="5"/>
  <c r="CU17" i="3"/>
  <c r="CV16" i="3"/>
  <c r="S41" i="5" l="1"/>
  <c r="BB42" i="5"/>
  <c r="CV36" i="3"/>
  <c r="CV34" i="3"/>
  <c r="CU27" i="4"/>
  <c r="CV28" i="4" l="1"/>
  <c r="CV13" i="3"/>
  <c r="T41" i="5"/>
  <c r="CU26" i="4"/>
  <c r="U41" i="5" l="1"/>
  <c r="BC42" i="5"/>
  <c r="BD42" i="5" s="1"/>
  <c r="BE42" i="5" s="1"/>
  <c r="BF42" i="5" s="1"/>
  <c r="BG42" i="5" s="1"/>
  <c r="BH42" i="5" s="1"/>
  <c r="BI42" i="5" s="1"/>
  <c r="BJ42" i="5" s="1"/>
  <c r="BK42" i="5" s="1"/>
  <c r="BL42" i="5" s="1"/>
  <c r="CU4" i="3"/>
  <c r="V41" i="5" l="1"/>
  <c r="CW16" i="3"/>
  <c r="W41" i="5" l="1"/>
  <c r="CW36" i="3"/>
  <c r="CW34" i="3"/>
  <c r="CW29" i="4" l="1"/>
  <c r="X41" i="5"/>
  <c r="CV6" i="4"/>
  <c r="BK61" i="3"/>
  <c r="BL61" i="3" s="1"/>
  <c r="CW28" i="4" l="1"/>
  <c r="CV42" i="5"/>
  <c r="Y41" i="5"/>
  <c r="CV17" i="3"/>
  <c r="CW13" i="3" l="1"/>
  <c r="Z41" i="5"/>
  <c r="CX16" i="3"/>
  <c r="BM61" i="3"/>
  <c r="AA41" i="5" l="1"/>
  <c r="CX36" i="3"/>
  <c r="CX34" i="3"/>
  <c r="CV27" i="4"/>
  <c r="BN61" i="3"/>
  <c r="AB41" i="5" l="1"/>
  <c r="CV26" i="4"/>
  <c r="BO61" i="3"/>
  <c r="AC41" i="5" l="1"/>
  <c r="CV4" i="3"/>
  <c r="BP61" i="3"/>
  <c r="CW6" i="4" l="1"/>
  <c r="AD41" i="5"/>
  <c r="CY16" i="3"/>
  <c r="BQ61" i="3"/>
  <c r="BR61" i="3" s="1"/>
  <c r="BS61" i="3" s="1"/>
  <c r="BT61" i="3" s="1"/>
  <c r="BU61" i="3" s="1"/>
  <c r="BV61" i="3" s="1"/>
  <c r="BW61" i="3" s="1"/>
  <c r="BX61" i="3" s="1"/>
  <c r="BY61" i="3" s="1"/>
  <c r="BZ61" i="3" s="1"/>
  <c r="CA61" i="3" s="1"/>
  <c r="CB61" i="3" s="1"/>
  <c r="CC61" i="3" s="1"/>
  <c r="CD61" i="3" s="1"/>
  <c r="CE61" i="3" s="1"/>
  <c r="CF61" i="3" s="1"/>
  <c r="CG61" i="3" s="1"/>
  <c r="CW42" i="5" l="1"/>
  <c r="CW17" i="3"/>
  <c r="CZ34" i="3"/>
  <c r="CY36" i="3"/>
  <c r="AE41" i="5"/>
  <c r="CY34" i="3"/>
  <c r="BM28" i="4" l="1"/>
  <c r="BM29" i="4"/>
  <c r="CX29" i="4" s="1"/>
  <c r="DA34" i="3"/>
  <c r="DB34" i="3"/>
  <c r="AF41" i="5"/>
  <c r="CX28" i="4" l="1"/>
  <c r="BM13" i="3"/>
  <c r="AG41" i="5"/>
  <c r="CX13" i="3" l="1"/>
  <c r="BN28" i="4"/>
  <c r="BN29" i="4"/>
  <c r="CZ16" i="3"/>
  <c r="AH41" i="5"/>
  <c r="BN13" i="3" l="1"/>
  <c r="CZ36" i="3"/>
  <c r="AI41" i="5"/>
  <c r="CW27" i="4"/>
  <c r="BO28" i="4" l="1"/>
  <c r="BO29" i="4"/>
  <c r="BM42" i="5"/>
  <c r="AJ41" i="5"/>
  <c r="CX6" i="4"/>
  <c r="CW26" i="4"/>
  <c r="BO13" i="3" l="1"/>
  <c r="DA16" i="3"/>
  <c r="DA36" i="3"/>
  <c r="AK41" i="5"/>
  <c r="CX42" i="5"/>
  <c r="CX17" i="3"/>
  <c r="CW4" i="3"/>
  <c r="BP28" i="4" l="1"/>
  <c r="BP29" i="4"/>
  <c r="BN42" i="5"/>
  <c r="AL41" i="5"/>
  <c r="BP13" i="3" l="1"/>
  <c r="AM41" i="5"/>
  <c r="BQ28" i="4" l="1"/>
  <c r="CY28" i="4" s="1"/>
  <c r="BQ29" i="4"/>
  <c r="CY29" i="4" s="1"/>
  <c r="AN41" i="5"/>
  <c r="BO42" i="5"/>
  <c r="BQ13" i="3" l="1"/>
  <c r="DB36" i="3"/>
  <c r="DB16" i="3"/>
  <c r="AO41" i="5"/>
  <c r="BP42" i="5"/>
  <c r="BR28" i="4" l="1"/>
  <c r="CY13" i="3"/>
  <c r="BR29" i="4"/>
  <c r="AP41" i="5"/>
  <c r="BR13" i="3" l="1"/>
  <c r="CY6" i="4"/>
  <c r="BQ42" i="5"/>
  <c r="AQ41" i="5"/>
  <c r="BM27" i="4"/>
  <c r="CX27" i="4" s="1"/>
  <c r="BM26" i="4"/>
  <c r="BS28" i="4" l="1"/>
  <c r="BS29" i="4"/>
  <c r="CY17" i="3"/>
  <c r="AR41" i="5"/>
  <c r="CY42" i="5"/>
  <c r="BM4" i="3"/>
  <c r="CX26" i="4"/>
  <c r="BS13" i="3" l="1"/>
  <c r="BT28" i="4" s="1"/>
  <c r="BR42" i="5"/>
  <c r="AS41" i="5"/>
  <c r="BN27" i="4"/>
  <c r="BN26" i="4"/>
  <c r="CX4" i="3"/>
  <c r="BT29" i="4" l="1"/>
  <c r="BT13" i="3" s="1"/>
  <c r="BU28" i="4" s="1"/>
  <c r="CZ28" i="4" s="1"/>
  <c r="AT41" i="5"/>
  <c r="BN4" i="3"/>
  <c r="BU29" i="4" l="1"/>
  <c r="CZ29" i="4" s="1"/>
  <c r="BS42" i="5"/>
  <c r="AU41" i="5"/>
  <c r="BO27" i="4"/>
  <c r="BO26" i="4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2" i="2"/>
  <c r="F181" i="2"/>
  <c r="E181" i="2"/>
  <c r="D181" i="2"/>
  <c r="C181" i="2"/>
  <c r="AT166" i="2"/>
  <c r="AS166" i="2"/>
  <c r="AR166" i="2"/>
  <c r="AQ166" i="2"/>
  <c r="AP166" i="2"/>
  <c r="AO166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9" i="2"/>
  <c r="F128" i="2"/>
  <c r="E128" i="2"/>
  <c r="D128" i="2"/>
  <c r="C128" i="2"/>
  <c r="AJ14" i="2"/>
  <c r="AJ3" i="2" s="1"/>
  <c r="AI14" i="2"/>
  <c r="AH14" i="2"/>
  <c r="AG14" i="2"/>
  <c r="AF14" i="2"/>
  <c r="AF3" i="2" s="1"/>
  <c r="AE14" i="2"/>
  <c r="AD14" i="2"/>
  <c r="AC14" i="2"/>
  <c r="AB14" i="2"/>
  <c r="AB3" i="2" s="1"/>
  <c r="AA14" i="2"/>
  <c r="Z14" i="2"/>
  <c r="Y14" i="2"/>
  <c r="X14" i="2"/>
  <c r="X3" i="2" s="1"/>
  <c r="W14" i="2"/>
  <c r="V14" i="2"/>
  <c r="U14" i="2"/>
  <c r="T14" i="2"/>
  <c r="T3" i="2" s="1"/>
  <c r="S14" i="2"/>
  <c r="R14" i="2"/>
  <c r="Q14" i="2"/>
  <c r="P14" i="2"/>
  <c r="P3" i="2" s="1"/>
  <c r="O14" i="2"/>
  <c r="N14" i="2"/>
  <c r="M14" i="2"/>
  <c r="L14" i="2"/>
  <c r="L3" i="2" s="1"/>
  <c r="K14" i="2"/>
  <c r="J14" i="2"/>
  <c r="I14" i="2"/>
  <c r="H14" i="2"/>
  <c r="H3" i="2" s="1"/>
  <c r="G14" i="2"/>
  <c r="F14" i="2"/>
  <c r="E14" i="2"/>
  <c r="D14" i="2"/>
  <c r="D3" i="2" s="1"/>
  <c r="C14" i="2"/>
  <c r="B14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3" i="2"/>
  <c r="F92" i="2"/>
  <c r="E92" i="2"/>
  <c r="D92" i="2"/>
  <c r="C92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N68" i="2"/>
  <c r="AN6" i="6" s="1"/>
  <c r="AN38" i="6" s="1"/>
  <c r="AM68" i="2"/>
  <c r="AM6" i="6" s="1"/>
  <c r="AM38" i="6" s="1"/>
  <c r="AL68" i="2"/>
  <c r="AK68" i="2"/>
  <c r="AK6" i="6" s="1"/>
  <c r="AK38" i="6" s="1"/>
  <c r="AJ68" i="2"/>
  <c r="AJ6" i="6" s="1"/>
  <c r="AJ38" i="6" s="1"/>
  <c r="AI68" i="2"/>
  <c r="AI6" i="6" s="1"/>
  <c r="AI38" i="6" s="1"/>
  <c r="AH68" i="2"/>
  <c r="AG68" i="2"/>
  <c r="AF68" i="2"/>
  <c r="AF6" i="6" s="1"/>
  <c r="AF38" i="6" s="1"/>
  <c r="AE68" i="2"/>
  <c r="AE6" i="6" s="1"/>
  <c r="AE38" i="6" s="1"/>
  <c r="AD68" i="2"/>
  <c r="AC68" i="2"/>
  <c r="AB68" i="2"/>
  <c r="AB6" i="6" s="1"/>
  <c r="AB38" i="6" s="1"/>
  <c r="AA68" i="2"/>
  <c r="AA6" i="6" s="1"/>
  <c r="AA38" i="6" s="1"/>
  <c r="Z68" i="2"/>
  <c r="Y68" i="2"/>
  <c r="X68" i="2"/>
  <c r="X6" i="6" s="1"/>
  <c r="X38" i="6" s="1"/>
  <c r="W68" i="2"/>
  <c r="W6" i="6" s="1"/>
  <c r="W38" i="6" s="1"/>
  <c r="V68" i="2"/>
  <c r="U68" i="2"/>
  <c r="T68" i="2"/>
  <c r="T6" i="6" s="1"/>
  <c r="T38" i="6" s="1"/>
  <c r="S68" i="2"/>
  <c r="S6" i="6" s="1"/>
  <c r="S38" i="6" s="1"/>
  <c r="R68" i="2"/>
  <c r="Q68" i="2"/>
  <c r="P68" i="2"/>
  <c r="P6" i="6" s="1"/>
  <c r="P38" i="6" s="1"/>
  <c r="O68" i="2"/>
  <c r="O6" i="6" s="1"/>
  <c r="O38" i="6" s="1"/>
  <c r="N68" i="2"/>
  <c r="M68" i="2"/>
  <c r="L68" i="2"/>
  <c r="L6" i="6" s="1"/>
  <c r="L38" i="6" s="1"/>
  <c r="K68" i="2"/>
  <c r="J68" i="2"/>
  <c r="I68" i="2"/>
  <c r="H68" i="2"/>
  <c r="H6" i="6" s="1"/>
  <c r="H38" i="6" s="1"/>
  <c r="G68" i="2"/>
  <c r="G6" i="6" s="1"/>
  <c r="G38" i="6" s="1"/>
  <c r="F68" i="2"/>
  <c r="E68" i="2"/>
  <c r="D68" i="2"/>
  <c r="D6" i="6" s="1"/>
  <c r="D38" i="6" s="1"/>
  <c r="C68" i="2"/>
  <c r="C6" i="6" s="1"/>
  <c r="C38" i="6" s="1"/>
  <c r="B68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99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T70" i="2"/>
  <c r="AS70" i="2"/>
  <c r="AT69" i="2"/>
  <c r="AS69" i="2"/>
  <c r="AR69" i="2"/>
  <c r="AQ69" i="2"/>
  <c r="AP69" i="2"/>
  <c r="AT61" i="2"/>
  <c r="AS61" i="2"/>
  <c r="AR61" i="2"/>
  <c r="AQ61" i="2"/>
  <c r="AP61" i="2"/>
  <c r="AO61" i="2"/>
  <c r="AT60" i="2"/>
  <c r="AS60" i="2"/>
  <c r="AR60" i="2"/>
  <c r="AQ60" i="2"/>
  <c r="AP60" i="2"/>
  <c r="AO60" i="2"/>
  <c r="AN60" i="2"/>
  <c r="AM60" i="2"/>
  <c r="AL60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AT55" i="2"/>
  <c r="AS55" i="2"/>
  <c r="AR55" i="2"/>
  <c r="AQ55" i="2"/>
  <c r="AP55" i="2"/>
  <c r="AO55" i="2"/>
  <c r="AN55" i="2"/>
  <c r="AM55" i="2"/>
  <c r="AL55" i="2"/>
  <c r="AK55" i="2"/>
  <c r="AT54" i="2"/>
  <c r="AS54" i="2"/>
  <c r="AR54" i="2"/>
  <c r="AQ54" i="2"/>
  <c r="AP54" i="2"/>
  <c r="AO54" i="2"/>
  <c r="AN54" i="2"/>
  <c r="AM54" i="2"/>
  <c r="AL54" i="2"/>
  <c r="AK54" i="2"/>
  <c r="AT49" i="2"/>
  <c r="AS49" i="2"/>
  <c r="AR49" i="2"/>
  <c r="AQ49" i="2"/>
  <c r="AP49" i="2"/>
  <c r="AO49" i="2"/>
  <c r="AT48" i="2"/>
  <c r="AS48" i="2"/>
  <c r="AR48" i="2"/>
  <c r="AQ48" i="2"/>
  <c r="AP48" i="2"/>
  <c r="AO48" i="2"/>
  <c r="AN48" i="2"/>
  <c r="AM48" i="2"/>
  <c r="AL48" i="2"/>
  <c r="AT43" i="2"/>
  <c r="AS43" i="2"/>
  <c r="AR43" i="2"/>
  <c r="AQ43" i="2"/>
  <c r="AP43" i="2"/>
  <c r="AO43" i="2"/>
  <c r="AT42" i="2"/>
  <c r="AS42" i="2"/>
  <c r="AR42" i="2"/>
  <c r="AQ42" i="2"/>
  <c r="AP42" i="2"/>
  <c r="AO42" i="2"/>
  <c r="AN42" i="2"/>
  <c r="AM42" i="2"/>
  <c r="AL42" i="2"/>
  <c r="AT36" i="2"/>
  <c r="AS36" i="2"/>
  <c r="AR36" i="2"/>
  <c r="AZ37" i="2" s="1"/>
  <c r="AQ36" i="2"/>
  <c r="AY37" i="2" s="1"/>
  <c r="AP36" i="2"/>
  <c r="AO36" i="2"/>
  <c r="AT35" i="2"/>
  <c r="AS35" i="2"/>
  <c r="AR35" i="2"/>
  <c r="AQ35" i="2"/>
  <c r="AP35" i="2"/>
  <c r="AO35" i="2"/>
  <c r="AN35" i="2"/>
  <c r="AM35" i="2"/>
  <c r="AL35" i="2"/>
  <c r="AT29" i="2"/>
  <c r="AS29" i="2"/>
  <c r="AR29" i="2"/>
  <c r="AQ29" i="2"/>
  <c r="AP29" i="2"/>
  <c r="AO29" i="2"/>
  <c r="AT28" i="2"/>
  <c r="AS28" i="2"/>
  <c r="AR28" i="2"/>
  <c r="AQ28" i="2"/>
  <c r="AP28" i="2"/>
  <c r="AO28" i="2"/>
  <c r="AN28" i="2"/>
  <c r="AM28" i="2"/>
  <c r="AL28" i="2"/>
  <c r="AT22" i="2"/>
  <c r="AS22" i="2"/>
  <c r="AR22" i="2"/>
  <c r="AQ22" i="2"/>
  <c r="AP22" i="2"/>
  <c r="AO22" i="2"/>
  <c r="AT21" i="2"/>
  <c r="AS21" i="2"/>
  <c r="AR21" i="2"/>
  <c r="AQ21" i="2"/>
  <c r="AP21" i="2"/>
  <c r="AO21" i="2"/>
  <c r="AN21" i="2"/>
  <c r="AM21" i="2"/>
  <c r="AL21" i="2"/>
  <c r="AT14" i="2"/>
  <c r="AS14" i="2"/>
  <c r="AR14" i="2"/>
  <c r="AQ14" i="2"/>
  <c r="AP14" i="2"/>
  <c r="AO14" i="2"/>
  <c r="AN14" i="2"/>
  <c r="AM14" i="2"/>
  <c r="AL14" i="2"/>
  <c r="AK14" i="2"/>
  <c r="AW23" i="2" l="1"/>
  <c r="BU13" i="3"/>
  <c r="BV29" i="4" s="1"/>
  <c r="BT42" i="5"/>
  <c r="AZ23" i="2"/>
  <c r="AY30" i="2"/>
  <c r="AZ30" i="2"/>
  <c r="AY23" i="2"/>
  <c r="Z118" i="2"/>
  <c r="AF118" i="2"/>
  <c r="F118" i="2"/>
  <c r="L118" i="2"/>
  <c r="R118" i="2"/>
  <c r="X118" i="2"/>
  <c r="AD118" i="2"/>
  <c r="AJ118" i="2"/>
  <c r="Y118" i="2"/>
  <c r="H118" i="2"/>
  <c r="N118" i="2"/>
  <c r="T118" i="2"/>
  <c r="G118" i="2"/>
  <c r="S118" i="2"/>
  <c r="F70" i="2"/>
  <c r="I103" i="2"/>
  <c r="U103" i="2"/>
  <c r="AA103" i="2"/>
  <c r="AG103" i="2"/>
  <c r="AS8" i="2"/>
  <c r="AS44" i="2" s="1"/>
  <c r="W118" i="2"/>
  <c r="K118" i="2"/>
  <c r="Q118" i="2"/>
  <c r="AC118" i="2"/>
  <c r="AI118" i="2"/>
  <c r="I118" i="2"/>
  <c r="O118" i="2"/>
  <c r="U118" i="2"/>
  <c r="AA118" i="2"/>
  <c r="AG118" i="2"/>
  <c r="AH118" i="2"/>
  <c r="N70" i="2"/>
  <c r="K103" i="2"/>
  <c r="Q103" i="2"/>
  <c r="AC103" i="2"/>
  <c r="AI103" i="2"/>
  <c r="J118" i="2"/>
  <c r="AB118" i="2"/>
  <c r="P118" i="2"/>
  <c r="T103" i="2"/>
  <c r="AF103" i="2"/>
  <c r="M118" i="2"/>
  <c r="V118" i="2"/>
  <c r="AE118" i="2"/>
  <c r="P103" i="2"/>
  <c r="AB103" i="2"/>
  <c r="X103" i="2"/>
  <c r="AJ103" i="2"/>
  <c r="V70" i="2"/>
  <c r="M103" i="2"/>
  <c r="S103" i="2"/>
  <c r="Y103" i="2"/>
  <c r="BA23" i="2"/>
  <c r="BB30" i="2"/>
  <c r="AX30" i="2"/>
  <c r="AW37" i="2"/>
  <c r="BA37" i="2"/>
  <c r="AX23" i="2"/>
  <c r="BB23" i="2"/>
  <c r="BA30" i="2"/>
  <c r="AW30" i="2"/>
  <c r="AX37" i="2"/>
  <c r="BB37" i="2"/>
  <c r="BM30" i="2"/>
  <c r="L103" i="2"/>
  <c r="C7" i="6"/>
  <c r="C36" i="6" s="1"/>
  <c r="G7" i="6"/>
  <c r="G36" i="6" s="1"/>
  <c r="K7" i="6"/>
  <c r="K36" i="6" s="1"/>
  <c r="O7" i="6"/>
  <c r="O36" i="6" s="1"/>
  <c r="S7" i="6"/>
  <c r="S36" i="6" s="1"/>
  <c r="W7" i="6"/>
  <c r="W36" i="6" s="1"/>
  <c r="AA7" i="6"/>
  <c r="AA36" i="6" s="1"/>
  <c r="AE7" i="6"/>
  <c r="AE36" i="6" s="1"/>
  <c r="AI7" i="6"/>
  <c r="AI36" i="6" s="1"/>
  <c r="AM7" i="6"/>
  <c r="AM36" i="6" s="1"/>
  <c r="AQ7" i="6"/>
  <c r="AQ36" i="6" s="1"/>
  <c r="AS58" i="2"/>
  <c r="D7" i="6"/>
  <c r="D36" i="6" s="1"/>
  <c r="H7" i="6"/>
  <c r="H36" i="6" s="1"/>
  <c r="L7" i="6"/>
  <c r="L36" i="6" s="1"/>
  <c r="P7" i="6"/>
  <c r="P36" i="6" s="1"/>
  <c r="T7" i="6"/>
  <c r="T36" i="6" s="1"/>
  <c r="X7" i="6"/>
  <c r="X36" i="6" s="1"/>
  <c r="AB7" i="6"/>
  <c r="AB36" i="6" s="1"/>
  <c r="AF7" i="6"/>
  <c r="AF36" i="6" s="1"/>
  <c r="AJ7" i="6"/>
  <c r="AJ36" i="6" s="1"/>
  <c r="AN7" i="6"/>
  <c r="AN36" i="6" s="1"/>
  <c r="AR7" i="6"/>
  <c r="AR36" i="6" s="1"/>
  <c r="E7" i="6"/>
  <c r="E36" i="6" s="1"/>
  <c r="I7" i="6"/>
  <c r="I36" i="6" s="1"/>
  <c r="M7" i="6"/>
  <c r="M36" i="6" s="1"/>
  <c r="Q7" i="6"/>
  <c r="Q36" i="6" s="1"/>
  <c r="U7" i="6"/>
  <c r="U36" i="6" s="1"/>
  <c r="Y7" i="6"/>
  <c r="Y36" i="6" s="1"/>
  <c r="AC7" i="6"/>
  <c r="AC36" i="6" s="1"/>
  <c r="AG7" i="6"/>
  <c r="AG36" i="6" s="1"/>
  <c r="AO7" i="6"/>
  <c r="AO36" i="6" s="1"/>
  <c r="AS7" i="6"/>
  <c r="AS36" i="6" s="1"/>
  <c r="F199" i="2"/>
  <c r="J199" i="2"/>
  <c r="N199" i="2"/>
  <c r="R199" i="2"/>
  <c r="V199" i="2"/>
  <c r="Z199" i="2"/>
  <c r="AD199" i="2"/>
  <c r="AH199" i="2"/>
  <c r="AT7" i="6"/>
  <c r="AT36" i="6" s="1"/>
  <c r="H103" i="2"/>
  <c r="AT52" i="2"/>
  <c r="AU52" i="2"/>
  <c r="AT58" i="2"/>
  <c r="AU58" i="2"/>
  <c r="AR52" i="2"/>
  <c r="AR58" i="2"/>
  <c r="AS52" i="2"/>
  <c r="AD70" i="2"/>
  <c r="AL70" i="2"/>
  <c r="CT53" i="2"/>
  <c r="CR14" i="2"/>
  <c r="CS14" i="2"/>
  <c r="CR68" i="2"/>
  <c r="CS166" i="2"/>
  <c r="AP199" i="2"/>
  <c r="CR196" i="2"/>
  <c r="AT199" i="2"/>
  <c r="CS196" i="2"/>
  <c r="AX219" i="2"/>
  <c r="CT47" i="2"/>
  <c r="CT214" i="2" s="1"/>
  <c r="CT41" i="2"/>
  <c r="CT34" i="2"/>
  <c r="CT27" i="2"/>
  <c r="CT20" i="2"/>
  <c r="AN8" i="2"/>
  <c r="AN3" i="2" s="1"/>
  <c r="AN45" i="2" s="1"/>
  <c r="AT8" i="2"/>
  <c r="AO8" i="2"/>
  <c r="AO3" i="2" s="1"/>
  <c r="AO4" i="6"/>
  <c r="AO35" i="6" s="1"/>
  <c r="AQ4" i="6"/>
  <c r="AQ32" i="6" s="1"/>
  <c r="AS4" i="6"/>
  <c r="AS35" i="6" s="1"/>
  <c r="AR8" i="2"/>
  <c r="AV216" i="2"/>
  <c r="AV219" i="2"/>
  <c r="AR4" i="6"/>
  <c r="AR35" i="6" s="1"/>
  <c r="AT4" i="6"/>
  <c r="AT32" i="6" s="1"/>
  <c r="H199" i="2"/>
  <c r="L199" i="2"/>
  <c r="P199" i="2"/>
  <c r="T199" i="2"/>
  <c r="X199" i="2"/>
  <c r="AB199" i="2"/>
  <c r="AF199" i="2"/>
  <c r="CI116" i="2"/>
  <c r="CJ116" i="2"/>
  <c r="CK116" i="2"/>
  <c r="CL116" i="2"/>
  <c r="CM116" i="2"/>
  <c r="CN116" i="2"/>
  <c r="CO116" i="2"/>
  <c r="CP116" i="2"/>
  <c r="AR199" i="2"/>
  <c r="AL8" i="2"/>
  <c r="AL17" i="2" s="1"/>
  <c r="AP8" i="2"/>
  <c r="AP17" i="2" s="1"/>
  <c r="CI68" i="2"/>
  <c r="B6" i="6"/>
  <c r="CJ68" i="2"/>
  <c r="F6" i="6"/>
  <c r="CK68" i="2"/>
  <c r="J6" i="6"/>
  <c r="CL68" i="2"/>
  <c r="N6" i="6"/>
  <c r="CM68" i="2"/>
  <c r="R6" i="6"/>
  <c r="CN68" i="2"/>
  <c r="V6" i="6"/>
  <c r="CO68" i="2"/>
  <c r="Z6" i="6"/>
  <c r="CP68" i="2"/>
  <c r="AD6" i="6"/>
  <c r="CQ68" i="2"/>
  <c r="AH6" i="6"/>
  <c r="AL6" i="6"/>
  <c r="B74" i="2"/>
  <c r="CI14" i="2"/>
  <c r="F3" i="2"/>
  <c r="F64" i="2" s="1"/>
  <c r="CJ14" i="2"/>
  <c r="J74" i="2"/>
  <c r="CK14" i="2"/>
  <c r="N3" i="2"/>
  <c r="N64" i="2" s="1"/>
  <c r="CL14" i="2"/>
  <c r="R74" i="2"/>
  <c r="CM14" i="2"/>
  <c r="V3" i="2"/>
  <c r="V64" i="2" s="1"/>
  <c r="V56" i="2" s="1"/>
  <c r="CN14" i="2"/>
  <c r="Z74" i="2"/>
  <c r="CO14" i="2"/>
  <c r="AD3" i="2"/>
  <c r="AD64" i="2" s="1"/>
  <c r="CP14" i="2"/>
  <c r="AH74" i="2"/>
  <c r="CQ14" i="2"/>
  <c r="B166" i="2"/>
  <c r="D166" i="2"/>
  <c r="F166" i="2"/>
  <c r="H166" i="2"/>
  <c r="J166" i="2"/>
  <c r="L166" i="2"/>
  <c r="N166" i="2"/>
  <c r="P166" i="2"/>
  <c r="R166" i="2"/>
  <c r="T166" i="2"/>
  <c r="V166" i="2"/>
  <c r="X166" i="2"/>
  <c r="Z166" i="2"/>
  <c r="AB166" i="2"/>
  <c r="AD166" i="2"/>
  <c r="AF166" i="2"/>
  <c r="AH166" i="2"/>
  <c r="AJ166" i="2"/>
  <c r="AL166" i="2"/>
  <c r="AN166" i="2"/>
  <c r="AP4" i="6"/>
  <c r="AP167" i="2"/>
  <c r="AR167" i="2"/>
  <c r="AT167" i="2"/>
  <c r="AT168" i="2"/>
  <c r="AO199" i="2"/>
  <c r="AK7" i="6"/>
  <c r="AK36" i="6" s="1"/>
  <c r="C198" i="2"/>
  <c r="E198" i="2"/>
  <c r="H198" i="2"/>
  <c r="J198" i="2"/>
  <c r="L198" i="2"/>
  <c r="N198" i="2"/>
  <c r="P198" i="2"/>
  <c r="R198" i="2"/>
  <c r="T198" i="2"/>
  <c r="V198" i="2"/>
  <c r="X198" i="2"/>
  <c r="Z198" i="2"/>
  <c r="AB198" i="2"/>
  <c r="AD198" i="2"/>
  <c r="AF198" i="2"/>
  <c r="AH198" i="2"/>
  <c r="AN198" i="2"/>
  <c r="AP198" i="2"/>
  <c r="AR198" i="2"/>
  <c r="AT198" i="2"/>
  <c r="AR70" i="2"/>
  <c r="AU35" i="2"/>
  <c r="AA69" i="2"/>
  <c r="J70" i="2"/>
  <c r="R70" i="2"/>
  <c r="Z70" i="2"/>
  <c r="AH70" i="2"/>
  <c r="I70" i="2"/>
  <c r="E6" i="6"/>
  <c r="E38" i="6" s="1"/>
  <c r="M70" i="2"/>
  <c r="I6" i="6"/>
  <c r="I38" i="6" s="1"/>
  <c r="K69" i="2"/>
  <c r="K6" i="6"/>
  <c r="K38" i="6" s="1"/>
  <c r="Q70" i="2"/>
  <c r="M6" i="6"/>
  <c r="M38" i="6" s="1"/>
  <c r="U70" i="2"/>
  <c r="Q6" i="6"/>
  <c r="Q38" i="6" s="1"/>
  <c r="Y70" i="2"/>
  <c r="U6" i="6"/>
  <c r="U38" i="6" s="1"/>
  <c r="AC70" i="2"/>
  <c r="Y6" i="6"/>
  <c r="Y38" i="6" s="1"/>
  <c r="AG70" i="2"/>
  <c r="AC6" i="6"/>
  <c r="AC38" i="6" s="1"/>
  <c r="AK70" i="2"/>
  <c r="AG6" i="6"/>
  <c r="AG38" i="6" s="1"/>
  <c r="F103" i="2"/>
  <c r="CI101" i="2"/>
  <c r="J103" i="2"/>
  <c r="CJ101" i="2"/>
  <c r="N103" i="2"/>
  <c r="CK101" i="2"/>
  <c r="R103" i="2"/>
  <c r="CL101" i="2"/>
  <c r="V103" i="2"/>
  <c r="CM101" i="2"/>
  <c r="Z103" i="2"/>
  <c r="CN101" i="2"/>
  <c r="AD103" i="2"/>
  <c r="CO101" i="2"/>
  <c r="AH103" i="2"/>
  <c r="CP101" i="2"/>
  <c r="AD117" i="2"/>
  <c r="F117" i="2"/>
  <c r="V117" i="2"/>
  <c r="C166" i="2"/>
  <c r="E166" i="2"/>
  <c r="G166" i="2"/>
  <c r="I166" i="2"/>
  <c r="K166" i="2"/>
  <c r="M166" i="2"/>
  <c r="O166" i="2"/>
  <c r="Q166" i="2"/>
  <c r="S166" i="2"/>
  <c r="U166" i="2"/>
  <c r="W166" i="2"/>
  <c r="Y166" i="2"/>
  <c r="AA166" i="2"/>
  <c r="AC166" i="2"/>
  <c r="AE166" i="2"/>
  <c r="AG166" i="2"/>
  <c r="AI166" i="2"/>
  <c r="AK166" i="2"/>
  <c r="AM166" i="2"/>
  <c r="AQ167" i="2"/>
  <c r="AS167" i="2"/>
  <c r="AS168" i="2"/>
  <c r="CI196" i="2"/>
  <c r="B7" i="6"/>
  <c r="CJ196" i="2"/>
  <c r="F7" i="6"/>
  <c r="CK196" i="2"/>
  <c r="J7" i="6"/>
  <c r="CL196" i="2"/>
  <c r="N7" i="6"/>
  <c r="CM196" i="2"/>
  <c r="R7" i="6"/>
  <c r="CN196" i="2"/>
  <c r="V7" i="6"/>
  <c r="CO196" i="2"/>
  <c r="Z7" i="6"/>
  <c r="CP196" i="2"/>
  <c r="AD7" i="6"/>
  <c r="CQ196" i="2"/>
  <c r="AH7" i="6"/>
  <c r="AL7" i="6"/>
  <c r="AP7" i="6"/>
  <c r="D198" i="2"/>
  <c r="F198" i="2"/>
  <c r="G198" i="2"/>
  <c r="I198" i="2"/>
  <c r="K198" i="2"/>
  <c r="M198" i="2"/>
  <c r="O198" i="2"/>
  <c r="Q198" i="2"/>
  <c r="S198" i="2"/>
  <c r="U198" i="2"/>
  <c r="W198" i="2"/>
  <c r="Y198" i="2"/>
  <c r="AA198" i="2"/>
  <c r="AC198" i="2"/>
  <c r="AE198" i="2"/>
  <c r="AG198" i="2"/>
  <c r="AM198" i="2"/>
  <c r="AO198" i="2"/>
  <c r="AQ198" i="2"/>
  <c r="AS198" i="2"/>
  <c r="G199" i="2"/>
  <c r="I199" i="2"/>
  <c r="K199" i="2"/>
  <c r="M199" i="2"/>
  <c r="O199" i="2"/>
  <c r="Q199" i="2"/>
  <c r="S199" i="2"/>
  <c r="U199" i="2"/>
  <c r="W199" i="2"/>
  <c r="Y199" i="2"/>
  <c r="AA199" i="2"/>
  <c r="AC199" i="2"/>
  <c r="AE199" i="2"/>
  <c r="AG199" i="2"/>
  <c r="AL199" i="2"/>
  <c r="AQ199" i="2"/>
  <c r="AS199" i="2"/>
  <c r="AW219" i="2"/>
  <c r="AU219" i="2"/>
  <c r="BO4" i="3"/>
  <c r="AL198" i="2"/>
  <c r="AK199" i="2"/>
  <c r="AJ198" i="2"/>
  <c r="AM199" i="2"/>
  <c r="AI199" i="2"/>
  <c r="AK198" i="2"/>
  <c r="AJ199" i="2"/>
  <c r="AN199" i="2"/>
  <c r="AI198" i="2"/>
  <c r="AM70" i="2"/>
  <c r="AK71" i="2"/>
  <c r="D109" i="2"/>
  <c r="D94" i="2"/>
  <c r="H94" i="2"/>
  <c r="H109" i="2"/>
  <c r="L109" i="2"/>
  <c r="L94" i="2"/>
  <c r="P94" i="2"/>
  <c r="P109" i="2"/>
  <c r="T109" i="2"/>
  <c r="T94" i="2"/>
  <c r="X94" i="2"/>
  <c r="X109" i="2"/>
  <c r="AB109" i="2"/>
  <c r="AB94" i="2"/>
  <c r="AF94" i="2"/>
  <c r="AF109" i="2"/>
  <c r="AJ109" i="2"/>
  <c r="AJ94" i="2"/>
  <c r="H16" i="2"/>
  <c r="L16" i="2"/>
  <c r="P16" i="2"/>
  <c r="V16" i="2"/>
  <c r="AD16" i="2"/>
  <c r="AO70" i="2"/>
  <c r="B71" i="2"/>
  <c r="D71" i="2"/>
  <c r="F71" i="2"/>
  <c r="H71" i="2"/>
  <c r="J71" i="2"/>
  <c r="L71" i="2"/>
  <c r="N71" i="2"/>
  <c r="P71" i="2"/>
  <c r="R71" i="2"/>
  <c r="T71" i="2"/>
  <c r="V71" i="2"/>
  <c r="X71" i="2"/>
  <c r="Z71" i="2"/>
  <c r="AB71" i="2"/>
  <c r="AD71" i="2"/>
  <c r="AF71" i="2"/>
  <c r="AH71" i="2"/>
  <c r="AJ71" i="2"/>
  <c r="AN69" i="2"/>
  <c r="F16" i="2"/>
  <c r="J16" i="2"/>
  <c r="N16" i="2"/>
  <c r="R16" i="2"/>
  <c r="Z16" i="2"/>
  <c r="AH16" i="2"/>
  <c r="AC71" i="2"/>
  <c r="AU42" i="2"/>
  <c r="AU28" i="2"/>
  <c r="AW21" i="2"/>
  <c r="AK74" i="2"/>
  <c r="AM31" i="2"/>
  <c r="AM8" i="2"/>
  <c r="AM3" i="2" s="1"/>
  <c r="AM32" i="2" s="1"/>
  <c r="AQ24" i="2"/>
  <c r="AQ8" i="2"/>
  <c r="AW14" i="2"/>
  <c r="AU21" i="2"/>
  <c r="AU54" i="2"/>
  <c r="C74" i="2"/>
  <c r="C3" i="2"/>
  <c r="E74" i="2"/>
  <c r="E3" i="2"/>
  <c r="E109" i="2" s="1"/>
  <c r="G74" i="2"/>
  <c r="G3" i="2"/>
  <c r="I74" i="2"/>
  <c r="I3" i="2"/>
  <c r="I109" i="2" s="1"/>
  <c r="K74" i="2"/>
  <c r="K3" i="2"/>
  <c r="M74" i="2"/>
  <c r="M3" i="2"/>
  <c r="M109" i="2" s="1"/>
  <c r="O74" i="2"/>
  <c r="O3" i="2"/>
  <c r="S16" i="2"/>
  <c r="Q74" i="2"/>
  <c r="Q3" i="2"/>
  <c r="Q4" i="2" s="1"/>
  <c r="U16" i="2"/>
  <c r="S74" i="2"/>
  <c r="S3" i="2"/>
  <c r="W16" i="2"/>
  <c r="U74" i="2"/>
  <c r="U3" i="2"/>
  <c r="U4" i="2" s="1"/>
  <c r="Y16" i="2"/>
  <c r="W74" i="2"/>
  <c r="W3" i="2"/>
  <c r="AA16" i="2"/>
  <c r="Y74" i="2"/>
  <c r="Y3" i="2"/>
  <c r="Y4" i="2" s="1"/>
  <c r="AC16" i="2"/>
  <c r="AA74" i="2"/>
  <c r="AA3" i="2"/>
  <c r="AE16" i="2"/>
  <c r="AC74" i="2"/>
  <c r="AC3" i="2"/>
  <c r="AC4" i="2" s="1"/>
  <c r="AG16" i="2"/>
  <c r="AE74" i="2"/>
  <c r="AE3" i="2"/>
  <c r="AI16" i="2"/>
  <c r="AG74" i="2"/>
  <c r="AG3" i="2"/>
  <c r="AG4" i="2" s="1"/>
  <c r="AI74" i="2"/>
  <c r="AI3" i="2"/>
  <c r="AI109" i="2" s="1"/>
  <c r="C15" i="2"/>
  <c r="E15" i="2"/>
  <c r="G15" i="2"/>
  <c r="I15" i="2"/>
  <c r="K15" i="2"/>
  <c r="M15" i="2"/>
  <c r="O15" i="2"/>
  <c r="Q15" i="2"/>
  <c r="S15" i="2"/>
  <c r="U15" i="2"/>
  <c r="W15" i="2"/>
  <c r="Y15" i="2"/>
  <c r="AA15" i="2"/>
  <c r="AC15" i="2"/>
  <c r="AE15" i="2"/>
  <c r="AG15" i="2"/>
  <c r="AI15" i="2"/>
  <c r="D80" i="2"/>
  <c r="D124" i="2" s="1"/>
  <c r="D64" i="2"/>
  <c r="H5" i="2"/>
  <c r="H80" i="2"/>
  <c r="H208" i="2" s="1"/>
  <c r="H64" i="2"/>
  <c r="L5" i="2"/>
  <c r="L80" i="2"/>
  <c r="L64" i="2"/>
  <c r="P5" i="2"/>
  <c r="P80" i="2"/>
  <c r="P208" i="2" s="1"/>
  <c r="P64" i="2"/>
  <c r="T5" i="2"/>
  <c r="T80" i="2"/>
  <c r="T64" i="2"/>
  <c r="X5" i="2"/>
  <c r="X80" i="2"/>
  <c r="X64" i="2"/>
  <c r="AB5" i="2"/>
  <c r="AB80" i="2"/>
  <c r="AB64" i="2"/>
  <c r="AF5" i="2"/>
  <c r="AF80" i="2"/>
  <c r="AF119" i="2" s="1"/>
  <c r="AF64" i="2"/>
  <c r="AJ5" i="2"/>
  <c r="AJ80" i="2"/>
  <c r="F74" i="2"/>
  <c r="N74" i="2"/>
  <c r="V74" i="2"/>
  <c r="AD74" i="2"/>
  <c r="E71" i="2"/>
  <c r="M71" i="2"/>
  <c r="U71" i="2"/>
  <c r="AW48" i="2"/>
  <c r="AX48" i="2"/>
  <c r="AW28" i="2"/>
  <c r="AX28" i="2"/>
  <c r="AX54" i="2"/>
  <c r="C69" i="2"/>
  <c r="S69" i="2"/>
  <c r="AI69" i="2"/>
  <c r="H70" i="2"/>
  <c r="L70" i="2"/>
  <c r="P70" i="2"/>
  <c r="T70" i="2"/>
  <c r="X70" i="2"/>
  <c r="AB70" i="2"/>
  <c r="AF70" i="2"/>
  <c r="AJ70" i="2"/>
  <c r="G70" i="2"/>
  <c r="C71" i="2"/>
  <c r="K70" i="2"/>
  <c r="G71" i="2"/>
  <c r="O70" i="2"/>
  <c r="K71" i="2"/>
  <c r="S70" i="2"/>
  <c r="O71" i="2"/>
  <c r="W70" i="2"/>
  <c r="S71" i="2"/>
  <c r="AA70" i="2"/>
  <c r="W71" i="2"/>
  <c r="AE70" i="2"/>
  <c r="AA71" i="2"/>
  <c r="AI70" i="2"/>
  <c r="AE71" i="2"/>
  <c r="AH69" i="2"/>
  <c r="AJ69" i="2"/>
  <c r="AI71" i="2"/>
  <c r="N117" i="2"/>
  <c r="D74" i="2"/>
  <c r="D18" i="2"/>
  <c r="H74" i="2"/>
  <c r="H18" i="2"/>
  <c r="L74" i="2"/>
  <c r="L18" i="2"/>
  <c r="P74" i="2"/>
  <c r="P18" i="2"/>
  <c r="T74" i="2"/>
  <c r="T18" i="2"/>
  <c r="X74" i="2"/>
  <c r="X18" i="2"/>
  <c r="AB74" i="2"/>
  <c r="AB18" i="2"/>
  <c r="AF74" i="2"/>
  <c r="AF18" i="2"/>
  <c r="AJ74" i="2"/>
  <c r="AJ18" i="2"/>
  <c r="D15" i="2"/>
  <c r="F15" i="2"/>
  <c r="H15" i="2"/>
  <c r="J15" i="2"/>
  <c r="L15" i="2"/>
  <c r="N15" i="2"/>
  <c r="P15" i="2"/>
  <c r="R15" i="2"/>
  <c r="T15" i="2"/>
  <c r="V15" i="2"/>
  <c r="X15" i="2"/>
  <c r="Z15" i="2"/>
  <c r="AB15" i="2"/>
  <c r="AD15" i="2"/>
  <c r="AF15" i="2"/>
  <c r="AH15" i="2"/>
  <c r="AJ15" i="2"/>
  <c r="G16" i="2"/>
  <c r="I16" i="2"/>
  <c r="K16" i="2"/>
  <c r="M16" i="2"/>
  <c r="O16" i="2"/>
  <c r="Q16" i="2"/>
  <c r="T16" i="2"/>
  <c r="X16" i="2"/>
  <c r="AB16" i="2"/>
  <c r="AF16" i="2"/>
  <c r="AJ16" i="2"/>
  <c r="B3" i="2"/>
  <c r="J3" i="2"/>
  <c r="R3" i="2"/>
  <c r="Z3" i="2"/>
  <c r="AH3" i="2"/>
  <c r="AJ64" i="2"/>
  <c r="I71" i="2"/>
  <c r="Q71" i="2"/>
  <c r="Y71" i="2"/>
  <c r="AG71" i="2"/>
  <c r="G103" i="2"/>
  <c r="O103" i="2"/>
  <c r="W103" i="2"/>
  <c r="AE103" i="2"/>
  <c r="D117" i="2"/>
  <c r="H117" i="2"/>
  <c r="J117" i="2"/>
  <c r="L117" i="2"/>
  <c r="P117" i="2"/>
  <c r="R117" i="2"/>
  <c r="T117" i="2"/>
  <c r="X117" i="2"/>
  <c r="Z117" i="2"/>
  <c r="AB117" i="2"/>
  <c r="AF117" i="2"/>
  <c r="AH117" i="2"/>
  <c r="AJ117" i="2"/>
  <c r="C117" i="2"/>
  <c r="E117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D102" i="2"/>
  <c r="F102" i="2"/>
  <c r="H102" i="2"/>
  <c r="J102" i="2"/>
  <c r="L102" i="2"/>
  <c r="N102" i="2"/>
  <c r="P102" i="2"/>
  <c r="R102" i="2"/>
  <c r="T102" i="2"/>
  <c r="V102" i="2"/>
  <c r="X102" i="2"/>
  <c r="Z102" i="2"/>
  <c r="AB102" i="2"/>
  <c r="AD102" i="2"/>
  <c r="AF102" i="2"/>
  <c r="AH102" i="2"/>
  <c r="AJ102" i="2"/>
  <c r="C102" i="2"/>
  <c r="E102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G69" i="2"/>
  <c r="O69" i="2"/>
  <c r="W69" i="2"/>
  <c r="AE69" i="2"/>
  <c r="AW42" i="2"/>
  <c r="AY35" i="2"/>
  <c r="AU14" i="2"/>
  <c r="E69" i="2"/>
  <c r="I69" i="2"/>
  <c r="M69" i="2"/>
  <c r="Q69" i="2"/>
  <c r="U69" i="2"/>
  <c r="Y69" i="2"/>
  <c r="AC69" i="2"/>
  <c r="AG69" i="2"/>
  <c r="AQ70" i="2"/>
  <c r="D69" i="2"/>
  <c r="F69" i="2"/>
  <c r="H69" i="2"/>
  <c r="J69" i="2"/>
  <c r="L69" i="2"/>
  <c r="N69" i="2"/>
  <c r="P69" i="2"/>
  <c r="R69" i="2"/>
  <c r="T69" i="2"/>
  <c r="V69" i="2"/>
  <c r="X69" i="2"/>
  <c r="Z69" i="2"/>
  <c r="AB69" i="2"/>
  <c r="AD69" i="2"/>
  <c r="AF69" i="2"/>
  <c r="AW35" i="2"/>
  <c r="AX35" i="2"/>
  <c r="AV35" i="2"/>
  <c r="AV28" i="2"/>
  <c r="AX21" i="2"/>
  <c r="AW54" i="2"/>
  <c r="AO69" i="2"/>
  <c r="AN70" i="2"/>
  <c r="AX14" i="2"/>
  <c r="AV42" i="2"/>
  <c r="AX42" i="2"/>
  <c r="AV48" i="2"/>
  <c r="AU48" i="2"/>
  <c r="AK38" i="2"/>
  <c r="AK31" i="2"/>
  <c r="AK24" i="2"/>
  <c r="AO16" i="2"/>
  <c r="AK16" i="2"/>
  <c r="AK15" i="2"/>
  <c r="AN71" i="2"/>
  <c r="AN74" i="2"/>
  <c r="AN31" i="2"/>
  <c r="AN24" i="2"/>
  <c r="AN38" i="2"/>
  <c r="AT31" i="2"/>
  <c r="AT38" i="2"/>
  <c r="AT24" i="2"/>
  <c r="AT71" i="2"/>
  <c r="AT74" i="2"/>
  <c r="AO15" i="2"/>
  <c r="AS15" i="2"/>
  <c r="AN16" i="2"/>
  <c r="AR16" i="2"/>
  <c r="AL31" i="2"/>
  <c r="AL71" i="2"/>
  <c r="AL38" i="2"/>
  <c r="AL24" i="2"/>
  <c r="AP71" i="2"/>
  <c r="AP31" i="2"/>
  <c r="AP74" i="2"/>
  <c r="AP38" i="2"/>
  <c r="AP24" i="2"/>
  <c r="AR71" i="2"/>
  <c r="AR74" i="2"/>
  <c r="AR31" i="2"/>
  <c r="AR24" i="2"/>
  <c r="AR38" i="2"/>
  <c r="AK8" i="2"/>
  <c r="AM71" i="2"/>
  <c r="AM74" i="2"/>
  <c r="AM38" i="2"/>
  <c r="AQ16" i="2"/>
  <c r="AM16" i="2"/>
  <c r="AN15" i="2"/>
  <c r="AO71" i="2"/>
  <c r="AO74" i="2"/>
  <c r="AO38" i="2"/>
  <c r="AO31" i="2"/>
  <c r="AO24" i="2"/>
  <c r="AS16" i="2"/>
  <c r="AP15" i="2"/>
  <c r="AQ71" i="2"/>
  <c r="AQ74" i="2"/>
  <c r="AQ38" i="2"/>
  <c r="AQ31" i="2"/>
  <c r="AR15" i="2"/>
  <c r="AS71" i="2"/>
  <c r="AS74" i="2"/>
  <c r="AS38" i="2"/>
  <c r="AS31" i="2"/>
  <c r="AS24" i="2"/>
  <c r="AT15" i="2"/>
  <c r="AM15" i="2"/>
  <c r="AQ15" i="2"/>
  <c r="AL16" i="2"/>
  <c r="AP16" i="2"/>
  <c r="AT16" i="2"/>
  <c r="AL15" i="2"/>
  <c r="AM24" i="2"/>
  <c r="AP70" i="2"/>
  <c r="AL69" i="2"/>
  <c r="AL74" i="2"/>
  <c r="AK69" i="2"/>
  <c r="AM69" i="2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CY1" i="3"/>
  <c r="CX1" i="3"/>
  <c r="CW1" i="3"/>
  <c r="CV1" i="3"/>
  <c r="CU1" i="3"/>
  <c r="CT1" i="3"/>
  <c r="CS1" i="3"/>
  <c r="CR1" i="3"/>
  <c r="CQ1" i="3"/>
  <c r="CP1" i="3"/>
  <c r="CO1" i="3"/>
  <c r="CN1" i="3"/>
  <c r="CM1" i="3"/>
  <c r="CL1" i="3"/>
  <c r="CK1" i="3"/>
  <c r="CJ1" i="3"/>
  <c r="CI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CY1" i="4"/>
  <c r="CX1" i="4"/>
  <c r="CW1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E4" i="2" l="1"/>
  <c r="CZ13" i="3"/>
  <c r="BV28" i="4"/>
  <c r="BV13" i="3" s="1"/>
  <c r="E61" i="17"/>
  <c r="F61" i="17"/>
  <c r="D61" i="17"/>
  <c r="C61" i="17"/>
  <c r="M4" i="2"/>
  <c r="AS3" i="2"/>
  <c r="AS32" i="2" s="1"/>
  <c r="BU42" i="5"/>
  <c r="CZ6" i="4"/>
  <c r="BQ30" i="2"/>
  <c r="BU30" i="2"/>
  <c r="BO30" i="2"/>
  <c r="BS30" i="2"/>
  <c r="BP30" i="2"/>
  <c r="BT30" i="2"/>
  <c r="BN30" i="2"/>
  <c r="BR30" i="2"/>
  <c r="I4" i="2"/>
  <c r="AS77" i="2"/>
  <c r="AS17" i="2"/>
  <c r="K76" i="2"/>
  <c r="AR37" i="6"/>
  <c r="AX71" i="2"/>
  <c r="AQ37" i="6"/>
  <c r="AT17" i="2"/>
  <c r="AS37" i="6"/>
  <c r="AT44" i="2"/>
  <c r="AW71" i="2"/>
  <c r="AO32" i="6"/>
  <c r="AO9" i="2"/>
  <c r="AN32" i="2"/>
  <c r="AB78" i="2"/>
  <c r="CI3" i="2"/>
  <c r="CI94" i="2" s="1"/>
  <c r="AL44" i="2"/>
  <c r="AO32" i="2"/>
  <c r="AN17" i="2"/>
  <c r="AN11" i="2"/>
  <c r="AN80" i="2"/>
  <c r="AN67" i="4" s="1"/>
  <c r="AT35" i="6"/>
  <c r="AR32" i="6"/>
  <c r="AR17" i="2"/>
  <c r="AS32" i="6"/>
  <c r="AO37" i="6"/>
  <c r="AR3" i="2"/>
  <c r="AR39" i="2" s="1"/>
  <c r="CT43" i="2"/>
  <c r="AX216" i="2"/>
  <c r="AO39" i="2"/>
  <c r="AO64" i="2"/>
  <c r="AO11" i="2"/>
  <c r="AN50" i="2"/>
  <c r="AN39" i="2"/>
  <c r="CR74" i="2"/>
  <c r="AN5" i="2"/>
  <c r="AO18" i="2"/>
  <c r="AO44" i="2"/>
  <c r="AO25" i="2"/>
  <c r="AO45" i="2"/>
  <c r="AO50" i="2"/>
  <c r="AO80" i="2"/>
  <c r="AO9" i="5" s="1"/>
  <c r="AS10" i="2"/>
  <c r="AO4" i="2"/>
  <c r="AN18" i="2"/>
  <c r="AN44" i="2"/>
  <c r="AN64" i="2"/>
  <c r="AN25" i="2"/>
  <c r="AO17" i="2"/>
  <c r="J75" i="2"/>
  <c r="CR166" i="2"/>
  <c r="AT10" i="2"/>
  <c r="CS8" i="2"/>
  <c r="AT9" i="2"/>
  <c r="AP9" i="2"/>
  <c r="CS74" i="2"/>
  <c r="AR44" i="2"/>
  <c r="AR10" i="2"/>
  <c r="AQ35" i="6"/>
  <c r="CR8" i="2"/>
  <c r="AX8" i="2"/>
  <c r="AZ219" i="2"/>
  <c r="BA219" i="2"/>
  <c r="CU34" i="2"/>
  <c r="AY54" i="2"/>
  <c r="CU53" i="2"/>
  <c r="CU47" i="2"/>
  <c r="CU27" i="2"/>
  <c r="CT14" i="2"/>
  <c r="AU71" i="2"/>
  <c r="CU20" i="2"/>
  <c r="AV31" i="2"/>
  <c r="AU15" i="2"/>
  <c r="AQ3" i="2"/>
  <c r="AQ64" i="2" s="1"/>
  <c r="AQ10" i="2"/>
  <c r="AS9" i="2"/>
  <c r="AW38" i="2"/>
  <c r="AD94" i="2"/>
  <c r="AT37" i="6"/>
  <c r="CT36" i="2"/>
  <c r="AT3" i="2"/>
  <c r="AP44" i="2"/>
  <c r="AY48" i="2"/>
  <c r="K75" i="2"/>
  <c r="AP10" i="2"/>
  <c r="CM118" i="2"/>
  <c r="AQ17" i="2"/>
  <c r="AM9" i="2"/>
  <c r="AR9" i="2"/>
  <c r="CK3" i="2"/>
  <c r="CK94" i="2" s="1"/>
  <c r="AW31" i="2"/>
  <c r="AW16" i="2"/>
  <c r="AC109" i="2"/>
  <c r="P104" i="2"/>
  <c r="N94" i="2"/>
  <c r="X75" i="2"/>
  <c r="V76" i="2"/>
  <c r="CO118" i="2"/>
  <c r="CK118" i="2"/>
  <c r="P119" i="2"/>
  <c r="V18" i="2"/>
  <c r="V94" i="2"/>
  <c r="F94" i="2"/>
  <c r="P82" i="2"/>
  <c r="AA76" i="2"/>
  <c r="C75" i="2"/>
  <c r="CP118" i="2"/>
  <c r="CN118" i="2"/>
  <c r="CL118" i="2"/>
  <c r="CJ118" i="2"/>
  <c r="F76" i="2"/>
  <c r="AF104" i="2"/>
  <c r="CM3" i="2"/>
  <c r="F18" i="2"/>
  <c r="AF78" i="2"/>
  <c r="X78" i="2"/>
  <c r="P78" i="2"/>
  <c r="L78" i="2"/>
  <c r="I75" i="2"/>
  <c r="E75" i="2"/>
  <c r="CJ3" i="2"/>
  <c r="S76" i="2"/>
  <c r="F75" i="2"/>
  <c r="CN74" i="2"/>
  <c r="CJ74" i="2"/>
  <c r="AF9" i="5"/>
  <c r="AF208" i="2"/>
  <c r="AF67" i="4"/>
  <c r="X9" i="5"/>
  <c r="X208" i="2"/>
  <c r="X67" i="4"/>
  <c r="L119" i="2"/>
  <c r="L208" i="2"/>
  <c r="D119" i="2"/>
  <c r="D208" i="2"/>
  <c r="CS199" i="2"/>
  <c r="CR199" i="2"/>
  <c r="CQ199" i="2"/>
  <c r="CP199" i="2"/>
  <c r="CO199" i="2"/>
  <c r="CN199" i="2"/>
  <c r="CM199" i="2"/>
  <c r="CL199" i="2"/>
  <c r="CK199" i="2"/>
  <c r="CJ199" i="2"/>
  <c r="AK4" i="6"/>
  <c r="AO168" i="2"/>
  <c r="AL167" i="2"/>
  <c r="AG4" i="6"/>
  <c r="AK168" i="2"/>
  <c r="AH167" i="2"/>
  <c r="AC4" i="6"/>
  <c r="AG168" i="2"/>
  <c r="AD167" i="2"/>
  <c r="Y4" i="6"/>
  <c r="AC168" i="2"/>
  <c r="Z167" i="2"/>
  <c r="U4" i="6"/>
  <c r="Y168" i="2"/>
  <c r="V167" i="2"/>
  <c r="Q4" i="6"/>
  <c r="U168" i="2"/>
  <c r="R167" i="2"/>
  <c r="M4" i="6"/>
  <c r="Q168" i="2"/>
  <c r="N167" i="2"/>
  <c r="I4" i="6"/>
  <c r="M168" i="2"/>
  <c r="J167" i="2"/>
  <c r="E4" i="6"/>
  <c r="I168" i="2"/>
  <c r="F167" i="2"/>
  <c r="AU216" i="2"/>
  <c r="AU215" i="2"/>
  <c r="AV215" i="2"/>
  <c r="AL4" i="6"/>
  <c r="AM167" i="2"/>
  <c r="AP168" i="2"/>
  <c r="CQ166" i="2"/>
  <c r="AH4" i="6"/>
  <c r="AI167" i="2"/>
  <c r="AL168" i="2"/>
  <c r="CP166" i="2"/>
  <c r="AD4" i="6"/>
  <c r="AE167" i="2"/>
  <c r="AH168" i="2"/>
  <c r="CO166" i="2"/>
  <c r="Z4" i="6"/>
  <c r="AA167" i="2"/>
  <c r="AD168" i="2"/>
  <c r="CN166" i="2"/>
  <c r="V4" i="6"/>
  <c r="W167" i="2"/>
  <c r="Z168" i="2"/>
  <c r="CM166" i="2"/>
  <c r="R4" i="6"/>
  <c r="S167" i="2"/>
  <c r="V168" i="2"/>
  <c r="CL166" i="2"/>
  <c r="N4" i="6"/>
  <c r="O167" i="2"/>
  <c r="R168" i="2"/>
  <c r="CK166" i="2"/>
  <c r="J4" i="6"/>
  <c r="K167" i="2"/>
  <c r="N168" i="2"/>
  <c r="CJ166" i="2"/>
  <c r="F4" i="6"/>
  <c r="G167" i="2"/>
  <c r="J168" i="2"/>
  <c r="CI166" i="2"/>
  <c r="B4" i="6"/>
  <c r="C167" i="2"/>
  <c r="F168" i="2"/>
  <c r="CQ74" i="2"/>
  <c r="CP3" i="2"/>
  <c r="CO74" i="2"/>
  <c r="CN3" i="2"/>
  <c r="CM74" i="2"/>
  <c r="CL3" i="2"/>
  <c r="CL18" i="2" s="1"/>
  <c r="CK74" i="2"/>
  <c r="CI74" i="2"/>
  <c r="AL38" i="6"/>
  <c r="CR6" i="6"/>
  <c r="AH38" i="6"/>
  <c r="CQ6" i="6"/>
  <c r="AD38" i="6"/>
  <c r="CP6" i="6"/>
  <c r="Z38" i="6"/>
  <c r="CO6" i="6"/>
  <c r="V38" i="6"/>
  <c r="CN6" i="6"/>
  <c r="R38" i="6"/>
  <c r="CM6" i="6"/>
  <c r="N38" i="6"/>
  <c r="CL6" i="6"/>
  <c r="J38" i="6"/>
  <c r="CK6" i="6"/>
  <c r="F38" i="6"/>
  <c r="CJ6" i="6"/>
  <c r="B38" i="6"/>
  <c r="CI6" i="6"/>
  <c r="CS24" i="2"/>
  <c r="CS38" i="2"/>
  <c r="CS71" i="2"/>
  <c r="CS31" i="2"/>
  <c r="CS16" i="2"/>
  <c r="CR31" i="2"/>
  <c r="CR38" i="2"/>
  <c r="CR24" i="2"/>
  <c r="U109" i="2"/>
  <c r="Z76" i="2"/>
  <c r="J76" i="2"/>
  <c r="W75" i="2"/>
  <c r="G75" i="2"/>
  <c r="M76" i="2"/>
  <c r="X104" i="2"/>
  <c r="L124" i="2"/>
  <c r="H104" i="2"/>
  <c r="H82" i="2"/>
  <c r="X119" i="2"/>
  <c r="H119" i="2"/>
  <c r="CO3" i="2"/>
  <c r="AD18" i="2"/>
  <c r="N18" i="2"/>
  <c r="CP74" i="2"/>
  <c r="CL74" i="2"/>
  <c r="AJ119" i="2"/>
  <c r="AJ9" i="5"/>
  <c r="AJ208" i="2"/>
  <c r="AJ67" i="4"/>
  <c r="AB119" i="2"/>
  <c r="AB9" i="5"/>
  <c r="AB208" i="2"/>
  <c r="AB67" i="4"/>
  <c r="T119" i="2"/>
  <c r="T208" i="2"/>
  <c r="AI75" i="2"/>
  <c r="AH75" i="2"/>
  <c r="Z75" i="2"/>
  <c r="R75" i="2"/>
  <c r="AD109" i="2"/>
  <c r="AD80" i="2"/>
  <c r="AD78" i="2" s="1"/>
  <c r="V109" i="2"/>
  <c r="V80" i="2"/>
  <c r="V104" i="2" s="1"/>
  <c r="N109" i="2"/>
  <c r="N80" i="2"/>
  <c r="N78" i="2" s="1"/>
  <c r="F109" i="2"/>
  <c r="F80" i="2"/>
  <c r="F78" i="2" s="1"/>
  <c r="CS7" i="6"/>
  <c r="AP36" i="6"/>
  <c r="CR7" i="6"/>
  <c r="AL36" i="6"/>
  <c r="CQ7" i="6"/>
  <c r="AH36" i="6"/>
  <c r="CP7" i="6"/>
  <c r="AD36" i="6"/>
  <c r="CO7" i="6"/>
  <c r="Z36" i="6"/>
  <c r="CN7" i="6"/>
  <c r="V36" i="6"/>
  <c r="CM7" i="6"/>
  <c r="R36" i="6"/>
  <c r="CL7" i="6"/>
  <c r="N36" i="6"/>
  <c r="CK7" i="6"/>
  <c r="J36" i="6"/>
  <c r="CJ7" i="6"/>
  <c r="F36" i="6"/>
  <c r="B36" i="6"/>
  <c r="CI7" i="6"/>
  <c r="AM4" i="6"/>
  <c r="AQ168" i="2"/>
  <c r="AN167" i="2"/>
  <c r="AI4" i="6"/>
  <c r="AM168" i="2"/>
  <c r="AJ167" i="2"/>
  <c r="AE4" i="6"/>
  <c r="AI168" i="2"/>
  <c r="AF167" i="2"/>
  <c r="AA4" i="6"/>
  <c r="AE168" i="2"/>
  <c r="AB167" i="2"/>
  <c r="W4" i="6"/>
  <c r="AA168" i="2"/>
  <c r="X167" i="2"/>
  <c r="S4" i="6"/>
  <c r="W168" i="2"/>
  <c r="T167" i="2"/>
  <c r="O4" i="6"/>
  <c r="S168" i="2"/>
  <c r="P167" i="2"/>
  <c r="K4" i="6"/>
  <c r="O168" i="2"/>
  <c r="L167" i="2"/>
  <c r="G4" i="6"/>
  <c r="K168" i="2"/>
  <c r="H167" i="2"/>
  <c r="C4" i="6"/>
  <c r="G168" i="2"/>
  <c r="D167" i="2"/>
  <c r="CP103" i="2"/>
  <c r="CO103" i="2"/>
  <c r="CN103" i="2"/>
  <c r="CM103" i="2"/>
  <c r="CL103" i="2"/>
  <c r="CK103" i="2"/>
  <c r="CJ103" i="2"/>
  <c r="CS4" i="6"/>
  <c r="AP35" i="6"/>
  <c r="AP32" i="6"/>
  <c r="AP37" i="6"/>
  <c r="AN4" i="6"/>
  <c r="AO167" i="2"/>
  <c r="AR168" i="2"/>
  <c r="AJ4" i="6"/>
  <c r="AK167" i="2"/>
  <c r="AN168" i="2"/>
  <c r="AF4" i="6"/>
  <c r="AG167" i="2"/>
  <c r="AJ168" i="2"/>
  <c r="AB4" i="6"/>
  <c r="AC167" i="2"/>
  <c r="AF168" i="2"/>
  <c r="X4" i="6"/>
  <c r="Y167" i="2"/>
  <c r="AB168" i="2"/>
  <c r="T4" i="6"/>
  <c r="U167" i="2"/>
  <c r="X168" i="2"/>
  <c r="P4" i="6"/>
  <c r="Q167" i="2"/>
  <c r="T168" i="2"/>
  <c r="L4" i="6"/>
  <c r="M167" i="2"/>
  <c r="P168" i="2"/>
  <c r="H4" i="6"/>
  <c r="I167" i="2"/>
  <c r="L168" i="2"/>
  <c r="D4" i="6"/>
  <c r="E167" i="2"/>
  <c r="H168" i="2"/>
  <c r="CQ31" i="2"/>
  <c r="CQ17" i="2"/>
  <c r="CQ38" i="2"/>
  <c r="CQ24" i="2"/>
  <c r="CR16" i="2"/>
  <c r="CQ16" i="2"/>
  <c r="CP24" i="2"/>
  <c r="CP38" i="2"/>
  <c r="CP31" i="2"/>
  <c r="CP17" i="2"/>
  <c r="CO17" i="2"/>
  <c r="CP16" i="2"/>
  <c r="CO16" i="2"/>
  <c r="CN17" i="2"/>
  <c r="CM17" i="2"/>
  <c r="CN16" i="2"/>
  <c r="CM16" i="2"/>
  <c r="CL17" i="2"/>
  <c r="CK17" i="2"/>
  <c r="CL16" i="2"/>
  <c r="CK16" i="2"/>
  <c r="CJ17" i="2"/>
  <c r="CI17" i="2"/>
  <c r="CJ16" i="2"/>
  <c r="CS70" i="2"/>
  <c r="CR71" i="2"/>
  <c r="CQ71" i="2"/>
  <c r="CR70" i="2"/>
  <c r="CQ70" i="2"/>
  <c r="CP71" i="2"/>
  <c r="CO71" i="2"/>
  <c r="CP70" i="2"/>
  <c r="CO70" i="2"/>
  <c r="CN71" i="2"/>
  <c r="CM71" i="2"/>
  <c r="CN70" i="2"/>
  <c r="CM70" i="2"/>
  <c r="CL71" i="2"/>
  <c r="CK71" i="2"/>
  <c r="CL70" i="2"/>
  <c r="CK70" i="2"/>
  <c r="CJ71" i="2"/>
  <c r="CI71" i="2"/>
  <c r="CJ70" i="2"/>
  <c r="AP3" i="2"/>
  <c r="AL3" i="2"/>
  <c r="CR3" i="2" s="1"/>
  <c r="AU31" i="2"/>
  <c r="AY21" i="2"/>
  <c r="CT219" i="2"/>
  <c r="CT55" i="2"/>
  <c r="AY219" i="2"/>
  <c r="CT49" i="2"/>
  <c r="AW215" i="2"/>
  <c r="AW216" i="2"/>
  <c r="AX215" i="2"/>
  <c r="CT29" i="2"/>
  <c r="AW8" i="2"/>
  <c r="AU8" i="2"/>
  <c r="CT22" i="2"/>
  <c r="AU24" i="2"/>
  <c r="AU38" i="2"/>
  <c r="AU16" i="2"/>
  <c r="BP27" i="4"/>
  <c r="BP26" i="4"/>
  <c r="V75" i="2"/>
  <c r="AO76" i="2"/>
  <c r="AJ150" i="2"/>
  <c r="AJ145" i="2"/>
  <c r="AJ135" i="2"/>
  <c r="AJ130" i="2"/>
  <c r="AF150" i="2"/>
  <c r="AF145" i="2"/>
  <c r="AF135" i="2"/>
  <c r="AF130" i="2"/>
  <c r="X72" i="2"/>
  <c r="X140" i="2"/>
  <c r="X130" i="2"/>
  <c r="P72" i="2"/>
  <c r="P140" i="2"/>
  <c r="P130" i="2"/>
  <c r="L140" i="2"/>
  <c r="L130" i="2"/>
  <c r="H72" i="2"/>
  <c r="H140" i="2"/>
  <c r="H130" i="2"/>
  <c r="D140" i="2"/>
  <c r="D130" i="2"/>
  <c r="AD75" i="2"/>
  <c r="AF72" i="2"/>
  <c r="AE75" i="2"/>
  <c r="O75" i="2"/>
  <c r="AG76" i="2"/>
  <c r="AB124" i="2"/>
  <c r="N75" i="2"/>
  <c r="AK75" i="2"/>
  <c r="T78" i="2"/>
  <c r="AB150" i="2"/>
  <c r="AB145" i="2"/>
  <c r="AB135" i="2"/>
  <c r="AB140" i="2"/>
  <c r="AB130" i="2"/>
  <c r="T140" i="2"/>
  <c r="T130" i="2"/>
  <c r="AD56" i="2"/>
  <c r="AD130" i="2"/>
  <c r="AD150" i="2"/>
  <c r="AD145" i="2"/>
  <c r="AD135" i="2"/>
  <c r="AD140" i="2"/>
  <c r="V130" i="2"/>
  <c r="V140" i="2"/>
  <c r="N130" i="2"/>
  <c r="N140" i="2"/>
  <c r="F130" i="2"/>
  <c r="F140" i="2"/>
  <c r="AF76" i="2"/>
  <c r="AP76" i="2"/>
  <c r="AK77" i="2"/>
  <c r="AM5" i="2"/>
  <c r="AN76" i="2"/>
  <c r="AY28" i="2"/>
  <c r="P76" i="2"/>
  <c r="H75" i="2"/>
  <c r="AJ104" i="2"/>
  <c r="X82" i="2"/>
  <c r="AS75" i="2"/>
  <c r="T76" i="2"/>
  <c r="AQ77" i="2"/>
  <c r="AN9" i="2"/>
  <c r="AM39" i="2"/>
  <c r="AM64" i="2"/>
  <c r="BA14" i="2"/>
  <c r="AY14" i="2"/>
  <c r="AY42" i="2"/>
  <c r="Y76" i="2"/>
  <c r="AF75" i="2"/>
  <c r="P75" i="2"/>
  <c r="AJ78" i="2"/>
  <c r="H78" i="2"/>
  <c r="D78" i="2"/>
  <c r="AF82" i="2"/>
  <c r="T124" i="2"/>
  <c r="AJ82" i="2"/>
  <c r="AB82" i="2"/>
  <c r="T82" i="2"/>
  <c r="L82" i="2"/>
  <c r="AE76" i="2"/>
  <c r="W76" i="2"/>
  <c r="Q76" i="2"/>
  <c r="O76" i="2"/>
  <c r="I76" i="2"/>
  <c r="G76" i="2"/>
  <c r="AO77" i="2"/>
  <c r="AW24" i="2"/>
  <c r="AG109" i="2"/>
  <c r="Y109" i="2"/>
  <c r="Q109" i="2"/>
  <c r="AJ76" i="2"/>
  <c r="AB76" i="2"/>
  <c r="X76" i="2"/>
  <c r="L76" i="2"/>
  <c r="H76" i="2"/>
  <c r="AA75" i="2"/>
  <c r="S75" i="2"/>
  <c r="M75" i="2"/>
  <c r="AB75" i="2"/>
  <c r="T75" i="2"/>
  <c r="L75" i="2"/>
  <c r="D75" i="2"/>
  <c r="AJ124" i="2"/>
  <c r="AF124" i="2"/>
  <c r="AB104" i="2"/>
  <c r="X124" i="2"/>
  <c r="T104" i="2"/>
  <c r="P124" i="2"/>
  <c r="L104" i="2"/>
  <c r="H124" i="2"/>
  <c r="D104" i="2"/>
  <c r="AI76" i="2"/>
  <c r="AC75" i="2"/>
  <c r="U75" i="2"/>
  <c r="AJ85" i="2"/>
  <c r="AJ72" i="2"/>
  <c r="AJ56" i="2"/>
  <c r="Z80" i="2"/>
  <c r="Z64" i="2"/>
  <c r="AD5" i="2"/>
  <c r="AA4" i="2"/>
  <c r="Z109" i="2"/>
  <c r="Z18" i="2"/>
  <c r="Z94" i="2"/>
  <c r="J80" i="2"/>
  <c r="J64" i="2"/>
  <c r="N5" i="2"/>
  <c r="K4" i="2"/>
  <c r="J109" i="2"/>
  <c r="J18" i="2"/>
  <c r="J94" i="2"/>
  <c r="AJ6" i="2"/>
  <c r="AF6" i="2"/>
  <c r="AF85" i="2"/>
  <c r="AJ66" i="2"/>
  <c r="AB6" i="2"/>
  <c r="AB85" i="2"/>
  <c r="AF66" i="2"/>
  <c r="X6" i="2"/>
  <c r="X85" i="2"/>
  <c r="AB66" i="2"/>
  <c r="T6" i="2"/>
  <c r="T85" i="2"/>
  <c r="X66" i="2"/>
  <c r="P6" i="2"/>
  <c r="P85" i="2"/>
  <c r="T66" i="2"/>
  <c r="L6" i="2"/>
  <c r="L85" i="2"/>
  <c r="P66" i="2"/>
  <c r="H6" i="2"/>
  <c r="H85" i="2"/>
  <c r="L66" i="2"/>
  <c r="D6" i="2"/>
  <c r="D85" i="2"/>
  <c r="D197" i="2" s="1"/>
  <c r="H66" i="2"/>
  <c r="AE18" i="2"/>
  <c r="AE80" i="2"/>
  <c r="AF4" i="2"/>
  <c r="AE94" i="2"/>
  <c r="AE64" i="2"/>
  <c r="AI5" i="2"/>
  <c r="AA18" i="2"/>
  <c r="AB4" i="2"/>
  <c r="AA94" i="2"/>
  <c r="AA80" i="2"/>
  <c r="AA64" i="2"/>
  <c r="AE5" i="2"/>
  <c r="W18" i="2"/>
  <c r="W80" i="2"/>
  <c r="X4" i="2"/>
  <c r="W94" i="2"/>
  <c r="W64" i="2"/>
  <c r="AA5" i="2"/>
  <c r="S18" i="2"/>
  <c r="T4" i="2"/>
  <c r="S94" i="2"/>
  <c r="S80" i="2"/>
  <c r="S208" i="2" s="1"/>
  <c r="S64" i="2"/>
  <c r="W5" i="2"/>
  <c r="O18" i="2"/>
  <c r="O80" i="2"/>
  <c r="O208" i="2" s="1"/>
  <c r="P4" i="2"/>
  <c r="O94" i="2"/>
  <c r="O64" i="2"/>
  <c r="O65" i="2" s="1"/>
  <c r="S5" i="2"/>
  <c r="M18" i="2"/>
  <c r="M80" i="2"/>
  <c r="M208" i="2" s="1"/>
  <c r="M64" i="2"/>
  <c r="Q5" i="2"/>
  <c r="M94" i="2"/>
  <c r="N4" i="2"/>
  <c r="K18" i="2"/>
  <c r="L4" i="2"/>
  <c r="K94" i="2"/>
  <c r="K80" i="2"/>
  <c r="K208" i="2" s="1"/>
  <c r="K64" i="2"/>
  <c r="O5" i="2"/>
  <c r="I18" i="2"/>
  <c r="I80" i="2"/>
  <c r="I208" i="2" s="1"/>
  <c r="I64" i="2"/>
  <c r="M5" i="2"/>
  <c r="I94" i="2"/>
  <c r="J4" i="2"/>
  <c r="G18" i="2"/>
  <c r="G80" i="2"/>
  <c r="G208" i="2" s="1"/>
  <c r="H4" i="2"/>
  <c r="G94" i="2"/>
  <c r="G64" i="2"/>
  <c r="K5" i="2"/>
  <c r="E18" i="2"/>
  <c r="E80" i="2"/>
  <c r="E208" i="2" s="1"/>
  <c r="E64" i="2"/>
  <c r="I5" i="2"/>
  <c r="E94" i="2"/>
  <c r="F4" i="2"/>
  <c r="C18" i="2"/>
  <c r="D4" i="2"/>
  <c r="C94" i="2"/>
  <c r="C80" i="2"/>
  <c r="C208" i="2" s="1"/>
  <c r="C64" i="2"/>
  <c r="G5" i="2"/>
  <c r="AE4" i="2"/>
  <c r="AD6" i="2"/>
  <c r="AD85" i="2"/>
  <c r="AD72" i="2"/>
  <c r="W4" i="2"/>
  <c r="V6" i="2"/>
  <c r="V85" i="2"/>
  <c r="V72" i="2"/>
  <c r="O4" i="2"/>
  <c r="N6" i="2"/>
  <c r="N85" i="2"/>
  <c r="N72" i="2"/>
  <c r="G4" i="2"/>
  <c r="F6" i="2"/>
  <c r="F85" i="2"/>
  <c r="F72" i="2"/>
  <c r="AM76" i="2"/>
  <c r="AM17" i="2"/>
  <c r="AM11" i="2"/>
  <c r="AQ9" i="2"/>
  <c r="AN4" i="2"/>
  <c r="AM18" i="2"/>
  <c r="AQ44" i="2"/>
  <c r="AM44" i="2"/>
  <c r="AM25" i="2"/>
  <c r="AM45" i="2"/>
  <c r="AM50" i="2"/>
  <c r="AM80" i="2"/>
  <c r="AQ75" i="2"/>
  <c r="AE109" i="2"/>
  <c r="AA109" i="2"/>
  <c r="W109" i="2"/>
  <c r="S109" i="2"/>
  <c r="O109" i="2"/>
  <c r="K109" i="2"/>
  <c r="G109" i="2"/>
  <c r="C109" i="2"/>
  <c r="AB72" i="2"/>
  <c r="T72" i="2"/>
  <c r="L72" i="2"/>
  <c r="D72" i="2"/>
  <c r="AF56" i="2"/>
  <c r="AB56" i="2"/>
  <c r="X56" i="2"/>
  <c r="AH76" i="2"/>
  <c r="AD76" i="2"/>
  <c r="R76" i="2"/>
  <c r="N76" i="2"/>
  <c r="AG75" i="2"/>
  <c r="Y75" i="2"/>
  <c r="Q75" i="2"/>
  <c r="AC76" i="2"/>
  <c r="U76" i="2"/>
  <c r="AJ75" i="2"/>
  <c r="AH80" i="2"/>
  <c r="AH64" i="2"/>
  <c r="AI4" i="2"/>
  <c r="AH109" i="2"/>
  <c r="AH18" i="2"/>
  <c r="AH94" i="2"/>
  <c r="R80" i="2"/>
  <c r="R64" i="2"/>
  <c r="V5" i="2"/>
  <c r="S4" i="2"/>
  <c r="R109" i="2"/>
  <c r="R18" i="2"/>
  <c r="R94" i="2"/>
  <c r="B80" i="2"/>
  <c r="B64" i="2"/>
  <c r="F5" i="2"/>
  <c r="C4" i="2"/>
  <c r="B109" i="2"/>
  <c r="B18" i="2"/>
  <c r="B94" i="2"/>
  <c r="AI18" i="2"/>
  <c r="AJ4" i="2"/>
  <c r="AI94" i="2"/>
  <c r="AI80" i="2"/>
  <c r="AI64" i="2"/>
  <c r="AG18" i="2"/>
  <c r="AG80" i="2"/>
  <c r="AG64" i="2"/>
  <c r="AG94" i="2"/>
  <c r="AH4" i="2"/>
  <c r="AC18" i="2"/>
  <c r="AC80" i="2"/>
  <c r="AC64" i="2"/>
  <c r="AG5" i="2"/>
  <c r="AC94" i="2"/>
  <c r="AD4" i="2"/>
  <c r="Y18" i="2"/>
  <c r="Y80" i="2"/>
  <c r="Y64" i="2"/>
  <c r="AC5" i="2"/>
  <c r="Y94" i="2"/>
  <c r="Z4" i="2"/>
  <c r="U18" i="2"/>
  <c r="U80" i="2"/>
  <c r="U64" i="2"/>
  <c r="Y5" i="2"/>
  <c r="U94" i="2"/>
  <c r="V4" i="2"/>
  <c r="Q18" i="2"/>
  <c r="Q80" i="2"/>
  <c r="Q64" i="2"/>
  <c r="U5" i="2"/>
  <c r="Q94" i="2"/>
  <c r="R4" i="2"/>
  <c r="AH5" i="2"/>
  <c r="Z5" i="2"/>
  <c r="R5" i="2"/>
  <c r="J5" i="2"/>
  <c r="AP75" i="2"/>
  <c r="AK76" i="2"/>
  <c r="AX15" i="2"/>
  <c r="AX38" i="2"/>
  <c r="AR75" i="2"/>
  <c r="AM75" i="2"/>
  <c r="AN77" i="2"/>
  <c r="AX31" i="2"/>
  <c r="AV15" i="2"/>
  <c r="AV16" i="2"/>
  <c r="BB35" i="2"/>
  <c r="B41" i="16" s="1"/>
  <c r="AW15" i="2"/>
  <c r="AV38" i="2"/>
  <c r="BA35" i="2"/>
  <c r="AZ35" i="2"/>
  <c r="AT75" i="2"/>
  <c r="AS76" i="2"/>
  <c r="AM77" i="2"/>
  <c r="AO75" i="2"/>
  <c r="AN75" i="2"/>
  <c r="AQ76" i="2"/>
  <c r="BB54" i="2"/>
  <c r="B44" i="16" s="1"/>
  <c r="BA54" i="2"/>
  <c r="AZ54" i="2"/>
  <c r="BB21" i="2"/>
  <c r="AX16" i="2"/>
  <c r="AX24" i="2"/>
  <c r="AZ21" i="2"/>
  <c r="BA21" i="2"/>
  <c r="BB14" i="2"/>
  <c r="B8" i="16" s="1"/>
  <c r="BB28" i="2"/>
  <c r="AV24" i="2"/>
  <c r="AZ28" i="2"/>
  <c r="AZ14" i="2"/>
  <c r="BA28" i="2"/>
  <c r="AZ42" i="2"/>
  <c r="BB48" i="2"/>
  <c r="B43" i="16" s="1"/>
  <c r="AZ48" i="2"/>
  <c r="BA48" i="2"/>
  <c r="AT76" i="2"/>
  <c r="AP77" i="2"/>
  <c r="AT77" i="2"/>
  <c r="AR76" i="2"/>
  <c r="AK44" i="2"/>
  <c r="AL9" i="2"/>
  <c r="AK3" i="2"/>
  <c r="CQ3" i="2" s="1"/>
  <c r="AO10" i="2"/>
  <c r="AR77" i="2"/>
  <c r="AK17" i="2"/>
  <c r="AL76" i="2"/>
  <c r="AL75" i="2"/>
  <c r="AL77" i="2"/>
  <c r="B40" i="16" l="1"/>
  <c r="B39" i="16"/>
  <c r="S9" i="16"/>
  <c r="S11" i="16"/>
  <c r="S13" i="16"/>
  <c r="S14" i="16"/>
  <c r="S10" i="16"/>
  <c r="BW28" i="4"/>
  <c r="BW29" i="4"/>
  <c r="CZ17" i="3"/>
  <c r="AS18" i="2"/>
  <c r="BV42" i="5"/>
  <c r="AO12" i="2"/>
  <c r="AS80" i="2"/>
  <c r="AS208" i="2" s="1"/>
  <c r="AS25" i="2"/>
  <c r="BB71" i="2"/>
  <c r="N197" i="2"/>
  <c r="L197" i="2"/>
  <c r="T197" i="2"/>
  <c r="AB197" i="2"/>
  <c r="V197" i="2"/>
  <c r="AD197" i="2"/>
  <c r="AS11" i="2"/>
  <c r="AJ197" i="2"/>
  <c r="AO150" i="2"/>
  <c r="AS45" i="2"/>
  <c r="AS64" i="2"/>
  <c r="BA71" i="2"/>
  <c r="AN72" i="2"/>
  <c r="AS39" i="2"/>
  <c r="AS5" i="2"/>
  <c r="AM62" i="2"/>
  <c r="AS50" i="2"/>
  <c r="CM109" i="2"/>
  <c r="CN18" i="2"/>
  <c r="AZ71" i="2"/>
  <c r="AN12" i="2"/>
  <c r="CO18" i="2"/>
  <c r="CP18" i="2"/>
  <c r="CZ42" i="5"/>
  <c r="CJ5" i="2"/>
  <c r="CJ64" i="2"/>
  <c r="CJ130" i="2" s="1"/>
  <c r="AY71" i="2"/>
  <c r="CT37" i="2"/>
  <c r="CT30" i="2"/>
  <c r="CT23" i="2"/>
  <c r="AQ50" i="2"/>
  <c r="AQ32" i="2"/>
  <c r="AN135" i="2"/>
  <c r="CI109" i="2"/>
  <c r="AR18" i="2"/>
  <c r="AN62" i="2"/>
  <c r="AN150" i="2"/>
  <c r="AR64" i="2"/>
  <c r="AN6" i="2"/>
  <c r="AN208" i="2"/>
  <c r="AN78" i="2"/>
  <c r="AN9" i="5"/>
  <c r="AN82" i="2"/>
  <c r="AO78" i="2"/>
  <c r="H197" i="2"/>
  <c r="X197" i="2"/>
  <c r="P197" i="2"/>
  <c r="AF197" i="2"/>
  <c r="F197" i="2"/>
  <c r="AR4" i="2"/>
  <c r="N104" i="2"/>
  <c r="AO130" i="2"/>
  <c r="CI18" i="2"/>
  <c r="AR50" i="2"/>
  <c r="AR5" i="2"/>
  <c r="AO51" i="2"/>
  <c r="AO145" i="2"/>
  <c r="AR11" i="2"/>
  <c r="AR25" i="2"/>
  <c r="AO56" i="2"/>
  <c r="AO72" i="2"/>
  <c r="I13" i="16"/>
  <c r="AQ5" i="2"/>
  <c r="AQ25" i="2"/>
  <c r="AQ45" i="2"/>
  <c r="AQ18" i="2"/>
  <c r="AY216" i="2"/>
  <c r="AX44" i="2"/>
  <c r="AX10" i="2"/>
  <c r="CQ18" i="2"/>
  <c r="AX6" i="6"/>
  <c r="AX38" i="6" s="1"/>
  <c r="AO208" i="2"/>
  <c r="AX17" i="2"/>
  <c r="AR80" i="2"/>
  <c r="AR45" i="2"/>
  <c r="AR32" i="2"/>
  <c r="AS4" i="2"/>
  <c r="AO6" i="2"/>
  <c r="AO65" i="2"/>
  <c r="AO85" i="2"/>
  <c r="AO62" i="2"/>
  <c r="AO135" i="2"/>
  <c r="AN56" i="2"/>
  <c r="AN66" i="2"/>
  <c r="AN85" i="2"/>
  <c r="AN51" i="2"/>
  <c r="AQ39" i="2"/>
  <c r="AO81" i="2"/>
  <c r="AN130" i="2"/>
  <c r="AN145" i="2"/>
  <c r="AO67" i="4"/>
  <c r="AQ4" i="2"/>
  <c r="CS3" i="2"/>
  <c r="AZ215" i="2"/>
  <c r="AX3" i="2"/>
  <c r="AZ216" i="2"/>
  <c r="CV34" i="2"/>
  <c r="BA31" i="2"/>
  <c r="CT68" i="2"/>
  <c r="CV53" i="2"/>
  <c r="CV47" i="2"/>
  <c r="AY215" i="2"/>
  <c r="CU212" i="2"/>
  <c r="CU214" i="2" s="1"/>
  <c r="CV27" i="2"/>
  <c r="AY24" i="2"/>
  <c r="CU14" i="2"/>
  <c r="CT8" i="2"/>
  <c r="CV20" i="2"/>
  <c r="AQ12" i="2"/>
  <c r="AU10" i="2"/>
  <c r="AW3" i="2"/>
  <c r="AV6" i="6"/>
  <c r="AV38" i="6" s="1"/>
  <c r="N169" i="2"/>
  <c r="V169" i="2"/>
  <c r="AD169" i="2"/>
  <c r="D169" i="2"/>
  <c r="L169" i="2"/>
  <c r="T169" i="2"/>
  <c r="AB169" i="2"/>
  <c r="AJ169" i="2"/>
  <c r="F104" i="2"/>
  <c r="CL5" i="2"/>
  <c r="CU36" i="2"/>
  <c r="S26" i="16" s="1"/>
  <c r="AT18" i="2"/>
  <c r="AT45" i="2"/>
  <c r="AT25" i="2"/>
  <c r="AT80" i="2"/>
  <c r="AT64" i="2"/>
  <c r="AT39" i="2"/>
  <c r="AT50" i="2"/>
  <c r="AT11" i="2"/>
  <c r="AT4" i="2"/>
  <c r="AT32" i="2"/>
  <c r="AQ80" i="2"/>
  <c r="AQ82" i="2" s="1"/>
  <c r="AQ11" i="2"/>
  <c r="CK18" i="2"/>
  <c r="CK109" i="2"/>
  <c r="CM94" i="2"/>
  <c r="AQ62" i="2"/>
  <c r="AX9" i="2"/>
  <c r="V78" i="2"/>
  <c r="CM18" i="2"/>
  <c r="I10" i="16"/>
  <c r="I11" i="16"/>
  <c r="CI64" i="2"/>
  <c r="G65" i="2"/>
  <c r="CJ18" i="2"/>
  <c r="CJ94" i="2"/>
  <c r="AW44" i="2"/>
  <c r="AD104" i="2"/>
  <c r="V119" i="2"/>
  <c r="N124" i="2"/>
  <c r="AD124" i="2"/>
  <c r="CN76" i="2"/>
  <c r="I14" i="16"/>
  <c r="AW10" i="2"/>
  <c r="AW17" i="2"/>
  <c r="CJ109" i="2"/>
  <c r="CK5" i="2"/>
  <c r="CN64" i="2"/>
  <c r="CM64" i="2"/>
  <c r="CK64" i="2"/>
  <c r="CL64" i="2"/>
  <c r="CP64" i="2"/>
  <c r="CL76" i="2"/>
  <c r="CP76" i="2"/>
  <c r="CK168" i="2"/>
  <c r="Q78" i="2"/>
  <c r="Q208" i="2"/>
  <c r="U9" i="5"/>
  <c r="U208" i="2"/>
  <c r="U67" i="4"/>
  <c r="Y9" i="5"/>
  <c r="Y208" i="2"/>
  <c r="Y67" i="4"/>
  <c r="AC9" i="5"/>
  <c r="AC208" i="2"/>
  <c r="AC67" i="4"/>
  <c r="AI78" i="2"/>
  <c r="AI9" i="5"/>
  <c r="AI208" i="2"/>
  <c r="AI67" i="4"/>
  <c r="CI80" i="2"/>
  <c r="B208" i="2"/>
  <c r="F91" i="4"/>
  <c r="F96" i="4"/>
  <c r="F3" i="6"/>
  <c r="F34" i="6" s="1"/>
  <c r="F2" i="5"/>
  <c r="F58" i="3"/>
  <c r="F57" i="3"/>
  <c r="F52" i="4"/>
  <c r="F229" i="2"/>
  <c r="F190" i="2"/>
  <c r="F185" i="2"/>
  <c r="F180" i="2"/>
  <c r="F172" i="2"/>
  <c r="W9" i="5"/>
  <c r="W208" i="2"/>
  <c r="W67" i="4"/>
  <c r="AA9" i="5"/>
  <c r="AA208" i="2"/>
  <c r="AA67" i="4"/>
  <c r="AE9" i="5"/>
  <c r="AE208" i="2"/>
  <c r="AE67" i="4"/>
  <c r="H91" i="4"/>
  <c r="H96" i="4"/>
  <c r="H3" i="6"/>
  <c r="H2" i="5"/>
  <c r="H5" i="5" s="1"/>
  <c r="H58" i="3"/>
  <c r="H57" i="3"/>
  <c r="H52" i="4"/>
  <c r="H229" i="2"/>
  <c r="H190" i="2"/>
  <c r="H185" i="2"/>
  <c r="H180" i="2"/>
  <c r="H172" i="2"/>
  <c r="P91" i="4"/>
  <c r="P96" i="4"/>
  <c r="P3" i="6"/>
  <c r="P2" i="5"/>
  <c r="P5" i="5" s="1"/>
  <c r="P58" i="3"/>
  <c r="P57" i="3"/>
  <c r="P52" i="4"/>
  <c r="P229" i="2"/>
  <c r="P77" i="4"/>
  <c r="P84" i="4"/>
  <c r="P190" i="2"/>
  <c r="P185" i="2"/>
  <c r="P180" i="2"/>
  <c r="P172" i="2"/>
  <c r="X91" i="4"/>
  <c r="X96" i="4"/>
  <c r="X3" i="6"/>
  <c r="X2" i="5"/>
  <c r="X5" i="5" s="1"/>
  <c r="X58" i="3"/>
  <c r="X57" i="3"/>
  <c r="X52" i="4"/>
  <c r="X229" i="2"/>
  <c r="X190" i="2"/>
  <c r="X185" i="2"/>
  <c r="X180" i="2"/>
  <c r="X172" i="2"/>
  <c r="AF91" i="4"/>
  <c r="AF96" i="4"/>
  <c r="AF3" i="6"/>
  <c r="AF2" i="5"/>
  <c r="AF5" i="5" s="1"/>
  <c r="AF229" i="2"/>
  <c r="AF58" i="3"/>
  <c r="AF57" i="3"/>
  <c r="AF52" i="4"/>
  <c r="AF190" i="2"/>
  <c r="AF185" i="2"/>
  <c r="AF180" i="2"/>
  <c r="AF172" i="2"/>
  <c r="Z9" i="5"/>
  <c r="CO80" i="2"/>
  <c r="CO9" i="5" s="1"/>
  <c r="Z208" i="2"/>
  <c r="Z67" i="4"/>
  <c r="CS10" i="2"/>
  <c r="CR44" i="2"/>
  <c r="CR10" i="2"/>
  <c r="CS44" i="2"/>
  <c r="H169" i="2"/>
  <c r="P169" i="2"/>
  <c r="X169" i="2"/>
  <c r="AF169" i="2"/>
  <c r="C32" i="6"/>
  <c r="C37" i="6"/>
  <c r="C35" i="6"/>
  <c r="G32" i="6"/>
  <c r="G37" i="6"/>
  <c r="G35" i="6"/>
  <c r="K32" i="6"/>
  <c r="K37" i="6"/>
  <c r="K35" i="6"/>
  <c r="O32" i="6"/>
  <c r="O37" i="6"/>
  <c r="O35" i="6"/>
  <c r="S32" i="6"/>
  <c r="S37" i="6"/>
  <c r="S35" i="6"/>
  <c r="W32" i="6"/>
  <c r="W37" i="6"/>
  <c r="W35" i="6"/>
  <c r="AA32" i="6"/>
  <c r="AA37" i="6"/>
  <c r="AA35" i="6"/>
  <c r="AE32" i="6"/>
  <c r="AE37" i="6"/>
  <c r="AE35" i="6"/>
  <c r="AI32" i="6"/>
  <c r="AI37" i="6"/>
  <c r="AI35" i="6"/>
  <c r="AM32" i="6"/>
  <c r="AM37" i="6"/>
  <c r="AM35" i="6"/>
  <c r="CS17" i="2"/>
  <c r="CQ77" i="2"/>
  <c r="CR76" i="2"/>
  <c r="B32" i="6"/>
  <c r="B35" i="6"/>
  <c r="CI4" i="6"/>
  <c r="B37" i="6"/>
  <c r="F169" i="2"/>
  <c r="CK4" i="6"/>
  <c r="J35" i="6"/>
  <c r="J32" i="6"/>
  <c r="J37" i="6"/>
  <c r="CM168" i="2"/>
  <c r="CM4" i="6"/>
  <c r="R35" i="6"/>
  <c r="R32" i="6"/>
  <c r="R37" i="6"/>
  <c r="CO168" i="2"/>
  <c r="CO4" i="6"/>
  <c r="Z35" i="6"/>
  <c r="Z32" i="6"/>
  <c r="Z37" i="6"/>
  <c r="CQ168" i="2"/>
  <c r="CQ4" i="6"/>
  <c r="AH35" i="6"/>
  <c r="AH32" i="6"/>
  <c r="AH37" i="6"/>
  <c r="CS168" i="2"/>
  <c r="CK76" i="2"/>
  <c r="CQ50" i="2"/>
  <c r="CQ39" i="2"/>
  <c r="CQ32" i="2"/>
  <c r="CQ45" i="2"/>
  <c r="CQ25" i="2"/>
  <c r="CQ11" i="2"/>
  <c r="CS77" i="2"/>
  <c r="AG9" i="5"/>
  <c r="AG208" i="2"/>
  <c r="AG67" i="4"/>
  <c r="CM80" i="2"/>
  <c r="R208" i="2"/>
  <c r="AH9" i="5"/>
  <c r="AH208" i="2"/>
  <c r="AH67" i="4"/>
  <c r="AM9" i="5"/>
  <c r="AM208" i="2"/>
  <c r="AM67" i="4"/>
  <c r="J66" i="2"/>
  <c r="N91" i="4"/>
  <c r="N96" i="4"/>
  <c r="N3" i="6"/>
  <c r="N34" i="6" s="1"/>
  <c r="N2" i="5"/>
  <c r="N58" i="3"/>
  <c r="N57" i="3"/>
  <c r="N52" i="4"/>
  <c r="N229" i="2"/>
  <c r="N77" i="4"/>
  <c r="N84" i="4"/>
  <c r="N190" i="2"/>
  <c r="N185" i="2"/>
  <c r="N180" i="2"/>
  <c r="N172" i="2"/>
  <c r="V91" i="4"/>
  <c r="V96" i="4"/>
  <c r="V3" i="6"/>
  <c r="V34" i="6" s="1"/>
  <c r="V2" i="5"/>
  <c r="V58" i="3"/>
  <c r="V57" i="3"/>
  <c r="V52" i="4"/>
  <c r="V229" i="2"/>
  <c r="V190" i="2"/>
  <c r="V185" i="2"/>
  <c r="V180" i="2"/>
  <c r="V172" i="2"/>
  <c r="AD91" i="4"/>
  <c r="AD96" i="4"/>
  <c r="AD3" i="6"/>
  <c r="AD34" i="6" s="1"/>
  <c r="AD2" i="5"/>
  <c r="AD229" i="2"/>
  <c r="AD58" i="3"/>
  <c r="AD57" i="3"/>
  <c r="AD52" i="4"/>
  <c r="AD190" i="2"/>
  <c r="AD185" i="2"/>
  <c r="AD180" i="2"/>
  <c r="AD172" i="2"/>
  <c r="D91" i="4"/>
  <c r="D96" i="4"/>
  <c r="D3" i="6"/>
  <c r="D2" i="5"/>
  <c r="D5" i="5" s="1"/>
  <c r="D58" i="3"/>
  <c r="D57" i="3"/>
  <c r="D52" i="4"/>
  <c r="D229" i="2"/>
  <c r="D190" i="2"/>
  <c r="D185" i="2"/>
  <c r="D180" i="2"/>
  <c r="D172" i="2"/>
  <c r="L91" i="4"/>
  <c r="L96" i="4"/>
  <c r="L3" i="6"/>
  <c r="L2" i="5"/>
  <c r="L5" i="5" s="1"/>
  <c r="L58" i="3"/>
  <c r="L57" i="3"/>
  <c r="L52" i="4"/>
  <c r="L229" i="2"/>
  <c r="L77" i="4"/>
  <c r="L84" i="4"/>
  <c r="L190" i="2"/>
  <c r="L185" i="2"/>
  <c r="L180" i="2"/>
  <c r="L172" i="2"/>
  <c r="T91" i="4"/>
  <c r="T96" i="4"/>
  <c r="T3" i="6"/>
  <c r="T2" i="5"/>
  <c r="T5" i="5" s="1"/>
  <c r="T58" i="3"/>
  <c r="T57" i="3"/>
  <c r="T52" i="4"/>
  <c r="T229" i="2"/>
  <c r="T77" i="4"/>
  <c r="T84" i="4"/>
  <c r="T190" i="2"/>
  <c r="T185" i="2"/>
  <c r="T180" i="2"/>
  <c r="T172" i="2"/>
  <c r="AB91" i="4"/>
  <c r="AB96" i="4"/>
  <c r="AB3" i="6"/>
  <c r="AB2" i="5"/>
  <c r="AB5" i="5" s="1"/>
  <c r="AB58" i="3"/>
  <c r="AB57" i="3"/>
  <c r="AB229" i="2"/>
  <c r="AB52" i="4"/>
  <c r="AB190" i="2"/>
  <c r="AB185" i="2"/>
  <c r="AB180" i="2"/>
  <c r="AB172" i="2"/>
  <c r="CK80" i="2"/>
  <c r="J208" i="2"/>
  <c r="CO64" i="2"/>
  <c r="AJ91" i="4"/>
  <c r="AJ96" i="4"/>
  <c r="AJ3" i="6"/>
  <c r="AJ2" i="5"/>
  <c r="AJ5" i="5" s="1"/>
  <c r="AJ229" i="2"/>
  <c r="AJ58" i="3"/>
  <c r="AJ57" i="3"/>
  <c r="AJ52" i="4"/>
  <c r="AJ190" i="2"/>
  <c r="AJ185" i="2"/>
  <c r="AJ180" i="2"/>
  <c r="AJ172" i="2"/>
  <c r="AL32" i="2"/>
  <c r="AL64" i="2"/>
  <c r="AL39" i="2"/>
  <c r="AL50" i="2"/>
  <c r="AP5" i="2"/>
  <c r="AL18" i="2"/>
  <c r="AL45" i="2"/>
  <c r="AL25" i="2"/>
  <c r="AL11" i="2"/>
  <c r="AL80" i="2"/>
  <c r="CR80" i="2" s="1"/>
  <c r="AP45" i="2"/>
  <c r="AP25" i="2"/>
  <c r="AP50" i="2"/>
  <c r="AP11" i="2"/>
  <c r="AP4" i="2"/>
  <c r="AP64" i="2"/>
  <c r="AP39" i="2"/>
  <c r="AP80" i="2"/>
  <c r="AP32" i="2"/>
  <c r="AT5" i="2"/>
  <c r="AP18" i="2"/>
  <c r="D32" i="6"/>
  <c r="D35" i="6"/>
  <c r="D37" i="6"/>
  <c r="H32" i="6"/>
  <c r="H35" i="6"/>
  <c r="H37" i="6"/>
  <c r="L32" i="6"/>
  <c r="L35" i="6"/>
  <c r="L37" i="6"/>
  <c r="P32" i="6"/>
  <c r="P35" i="6"/>
  <c r="P37" i="6"/>
  <c r="T32" i="6"/>
  <c r="T35" i="6"/>
  <c r="T37" i="6"/>
  <c r="X32" i="6"/>
  <c r="X35" i="6"/>
  <c r="X37" i="6"/>
  <c r="AB32" i="6"/>
  <c r="AB35" i="6"/>
  <c r="AB37" i="6"/>
  <c r="AF32" i="6"/>
  <c r="AF35" i="6"/>
  <c r="AF37" i="6"/>
  <c r="AJ32" i="6"/>
  <c r="AJ35" i="6"/>
  <c r="AJ37" i="6"/>
  <c r="AN32" i="6"/>
  <c r="AN35" i="6"/>
  <c r="AN37" i="6"/>
  <c r="F124" i="2"/>
  <c r="CJ80" i="2"/>
  <c r="F208" i="2"/>
  <c r="F119" i="2"/>
  <c r="N119" i="2"/>
  <c r="CL80" i="2"/>
  <c r="N208" i="2"/>
  <c r="V124" i="2"/>
  <c r="V9" i="5"/>
  <c r="CN80" i="2"/>
  <c r="CN9" i="5" s="1"/>
  <c r="V208" i="2"/>
  <c r="V67" i="4"/>
  <c r="AD119" i="2"/>
  <c r="AD9" i="5"/>
  <c r="CP80" i="2"/>
  <c r="CP9" i="5" s="1"/>
  <c r="AD208" i="2"/>
  <c r="AD67" i="4"/>
  <c r="AM4" i="2"/>
  <c r="CM76" i="2"/>
  <c r="CQ76" i="2"/>
  <c r="CO94" i="2"/>
  <c r="CP5" i="2"/>
  <c r="CO109" i="2"/>
  <c r="CS76" i="2"/>
  <c r="CR77" i="2"/>
  <c r="CR17" i="2"/>
  <c r="CJ76" i="2"/>
  <c r="CM5" i="2"/>
  <c r="CL94" i="2"/>
  <c r="CL109" i="2"/>
  <c r="CO5" i="2"/>
  <c r="CN109" i="2"/>
  <c r="CN94" i="2"/>
  <c r="CP45" i="2"/>
  <c r="CP25" i="2"/>
  <c r="CQ5" i="2"/>
  <c r="CP50" i="2"/>
  <c r="CP32" i="2"/>
  <c r="CP94" i="2"/>
  <c r="CP39" i="2"/>
  <c r="CP109" i="2"/>
  <c r="CJ168" i="2"/>
  <c r="CJ4" i="6"/>
  <c r="F35" i="6"/>
  <c r="F37" i="6"/>
  <c r="F32" i="6"/>
  <c r="CL168" i="2"/>
  <c r="CL4" i="6"/>
  <c r="N35" i="6"/>
  <c r="N37" i="6"/>
  <c r="N32" i="6"/>
  <c r="CN168" i="2"/>
  <c r="CN4" i="6"/>
  <c r="V35" i="6"/>
  <c r="V37" i="6"/>
  <c r="V32" i="6"/>
  <c r="CP168" i="2"/>
  <c r="CP4" i="6"/>
  <c r="AD35" i="6"/>
  <c r="AD37" i="6"/>
  <c r="AD32" i="6"/>
  <c r="CR168" i="2"/>
  <c r="CR4" i="6"/>
  <c r="AL35" i="6"/>
  <c r="AL37" i="6"/>
  <c r="AL32" i="6"/>
  <c r="E32" i="6"/>
  <c r="E35" i="6"/>
  <c r="E37" i="6"/>
  <c r="I32" i="6"/>
  <c r="I35" i="6"/>
  <c r="I37" i="6"/>
  <c r="M32" i="6"/>
  <c r="M35" i="6"/>
  <c r="M37" i="6"/>
  <c r="Q32" i="6"/>
  <c r="Q35" i="6"/>
  <c r="Q37" i="6"/>
  <c r="U32" i="6"/>
  <c r="U35" i="6"/>
  <c r="U37" i="6"/>
  <c r="Y32" i="6"/>
  <c r="Y35" i="6"/>
  <c r="Y37" i="6"/>
  <c r="AC32" i="6"/>
  <c r="AC35" i="6"/>
  <c r="AC37" i="6"/>
  <c r="AG32" i="6"/>
  <c r="AG35" i="6"/>
  <c r="AG37" i="6"/>
  <c r="AK32" i="6"/>
  <c r="AK35" i="6"/>
  <c r="AK37" i="6"/>
  <c r="CO76" i="2"/>
  <c r="CN5" i="2"/>
  <c r="AL5" i="2"/>
  <c r="CU29" i="2"/>
  <c r="BC14" i="2"/>
  <c r="C8" i="16" s="1"/>
  <c r="BE14" i="2"/>
  <c r="I9" i="16"/>
  <c r="CU22" i="2"/>
  <c r="S24" i="16" s="1"/>
  <c r="CU219" i="2"/>
  <c r="S34" i="15" s="1"/>
  <c r="CU55" i="2"/>
  <c r="S29" i="16" s="1"/>
  <c r="BA215" i="2"/>
  <c r="BA216" i="2"/>
  <c r="CT213" i="2"/>
  <c r="CT216" i="2"/>
  <c r="CU49" i="2"/>
  <c r="BA38" i="2"/>
  <c r="AW6" i="6"/>
  <c r="AW38" i="6" s="1"/>
  <c r="CT31" i="2"/>
  <c r="CT38" i="2"/>
  <c r="CT16" i="2"/>
  <c r="AU70" i="2"/>
  <c r="AU6" i="6"/>
  <c r="AU38" i="6" s="1"/>
  <c r="CT24" i="2"/>
  <c r="AU3" i="2"/>
  <c r="AU44" i="2"/>
  <c r="AU9" i="2"/>
  <c r="AU17" i="2"/>
  <c r="BP4" i="3"/>
  <c r="AG6" i="2"/>
  <c r="AG150" i="2"/>
  <c r="AG145" i="2"/>
  <c r="AG135" i="2"/>
  <c r="AG130" i="2"/>
  <c r="R130" i="2"/>
  <c r="R140" i="2"/>
  <c r="AH130" i="2"/>
  <c r="AH150" i="2"/>
  <c r="AH145" i="2"/>
  <c r="AH135" i="2"/>
  <c r="C140" i="2"/>
  <c r="C130" i="2"/>
  <c r="E6" i="2"/>
  <c r="E140" i="2"/>
  <c r="E130" i="2"/>
  <c r="G140" i="2"/>
  <c r="G130" i="2"/>
  <c r="I6" i="2"/>
  <c r="I140" i="2"/>
  <c r="I130" i="2"/>
  <c r="K140" i="2"/>
  <c r="K130" i="2"/>
  <c r="M6" i="2"/>
  <c r="M140" i="2"/>
  <c r="M130" i="2"/>
  <c r="O140" i="2"/>
  <c r="O130" i="2"/>
  <c r="S140" i="2"/>
  <c r="S130" i="2"/>
  <c r="W65" i="2"/>
  <c r="W140" i="2"/>
  <c r="W130" i="2"/>
  <c r="AA150" i="2"/>
  <c r="AA145" i="2"/>
  <c r="AA135" i="2"/>
  <c r="AA140" i="2"/>
  <c r="AA130" i="2"/>
  <c r="AE65" i="2"/>
  <c r="AE150" i="2"/>
  <c r="AE145" i="2"/>
  <c r="AE135" i="2"/>
  <c r="AE130" i="2"/>
  <c r="Z130" i="2"/>
  <c r="Z150" i="2"/>
  <c r="Z145" i="2"/>
  <c r="Z135" i="2"/>
  <c r="Z140" i="2"/>
  <c r="AM72" i="2"/>
  <c r="AM150" i="2"/>
  <c r="AM145" i="2"/>
  <c r="AM135" i="2"/>
  <c r="AM130" i="2"/>
  <c r="AQ72" i="2"/>
  <c r="AQ150" i="2"/>
  <c r="AQ145" i="2"/>
  <c r="AQ135" i="2"/>
  <c r="AQ130" i="2"/>
  <c r="AM6" i="2"/>
  <c r="AM56" i="2"/>
  <c r="AM66" i="2"/>
  <c r="AQ56" i="2"/>
  <c r="AY16" i="2"/>
  <c r="BA24" i="2"/>
  <c r="Q140" i="2"/>
  <c r="Q130" i="2"/>
  <c r="U6" i="2"/>
  <c r="U140" i="2"/>
  <c r="U130" i="2"/>
  <c r="Y140" i="2"/>
  <c r="Y130" i="2"/>
  <c r="AC6" i="2"/>
  <c r="AC150" i="2"/>
  <c r="AC145" i="2"/>
  <c r="AC135" i="2"/>
  <c r="AC140" i="2"/>
  <c r="AC130" i="2"/>
  <c r="AI150" i="2"/>
  <c r="AI145" i="2"/>
  <c r="AI135" i="2"/>
  <c r="AI130" i="2"/>
  <c r="B130" i="2"/>
  <c r="B140" i="2"/>
  <c r="Z66" i="2"/>
  <c r="J130" i="2"/>
  <c r="J140" i="2"/>
  <c r="AY31" i="2"/>
  <c r="AY38" i="2"/>
  <c r="AQ6" i="2"/>
  <c r="AM51" i="2"/>
  <c r="AM85" i="2"/>
  <c r="AN65" i="2"/>
  <c r="AQ66" i="2"/>
  <c r="AQ51" i="2"/>
  <c r="AQ85" i="2"/>
  <c r="BA16" i="2"/>
  <c r="AY15" i="2"/>
  <c r="AW70" i="2"/>
  <c r="AY8" i="2"/>
  <c r="AM12" i="2"/>
  <c r="AM82" i="2"/>
  <c r="AG65" i="2"/>
  <c r="AU74" i="2"/>
  <c r="AK80" i="2"/>
  <c r="CQ80" i="2" s="1"/>
  <c r="CQ9" i="5" s="1"/>
  <c r="AK64" i="2"/>
  <c r="AK18" i="2"/>
  <c r="U66" i="2"/>
  <c r="Q85" i="2"/>
  <c r="R65" i="2"/>
  <c r="Q72" i="2"/>
  <c r="Y82" i="2"/>
  <c r="U124" i="2"/>
  <c r="U104" i="2"/>
  <c r="U81" i="2"/>
  <c r="U119" i="2"/>
  <c r="U78" i="2"/>
  <c r="V81" i="2"/>
  <c r="AC66" i="2"/>
  <c r="Y85" i="2"/>
  <c r="Z65" i="2"/>
  <c r="Y56" i="2"/>
  <c r="Y72" i="2"/>
  <c r="AC124" i="2"/>
  <c r="AG82" i="2"/>
  <c r="AC119" i="2"/>
  <c r="AC104" i="2"/>
  <c r="AC81" i="2"/>
  <c r="AC78" i="2"/>
  <c r="AD81" i="2"/>
  <c r="AG124" i="2"/>
  <c r="AG119" i="2"/>
  <c r="AH81" i="2"/>
  <c r="AG104" i="2"/>
  <c r="AG81" i="2"/>
  <c r="AI85" i="2"/>
  <c r="AJ65" i="2"/>
  <c r="AI56" i="2"/>
  <c r="AI72" i="2"/>
  <c r="AI6" i="2"/>
  <c r="B119" i="2"/>
  <c r="B104" i="2"/>
  <c r="B78" i="2"/>
  <c r="F82" i="2"/>
  <c r="B124" i="2"/>
  <c r="C81" i="2"/>
  <c r="R6" i="2"/>
  <c r="R85" i="2"/>
  <c r="V66" i="2"/>
  <c r="S65" i="2"/>
  <c r="R72" i="2"/>
  <c r="AH6" i="2"/>
  <c r="AH85" i="2"/>
  <c r="AI65" i="2"/>
  <c r="AH72" i="2"/>
  <c r="AH56" i="2"/>
  <c r="AG78" i="2"/>
  <c r="AM78" i="2"/>
  <c r="R66" i="2"/>
  <c r="AH66" i="2"/>
  <c r="C124" i="2"/>
  <c r="C78" i="2"/>
  <c r="D81" i="2"/>
  <c r="C104" i="2"/>
  <c r="C119" i="2"/>
  <c r="G82" i="2"/>
  <c r="I82" i="2"/>
  <c r="E124" i="2"/>
  <c r="E119" i="2"/>
  <c r="E104" i="2"/>
  <c r="E81" i="2"/>
  <c r="E78" i="2"/>
  <c r="F81" i="2"/>
  <c r="G124" i="2"/>
  <c r="G119" i="2"/>
  <c r="G104" i="2"/>
  <c r="G81" i="2"/>
  <c r="K82" i="2"/>
  <c r="H81" i="2"/>
  <c r="G78" i="2"/>
  <c r="M82" i="2"/>
  <c r="I124" i="2"/>
  <c r="I78" i="2"/>
  <c r="J81" i="2"/>
  <c r="I119" i="2"/>
  <c r="I104" i="2"/>
  <c r="I81" i="2"/>
  <c r="K124" i="2"/>
  <c r="K104" i="2"/>
  <c r="K119" i="2"/>
  <c r="L81" i="2"/>
  <c r="K78" i="2"/>
  <c r="O82" i="2"/>
  <c r="Q82" i="2"/>
  <c r="M124" i="2"/>
  <c r="M104" i="2"/>
  <c r="M81" i="2"/>
  <c r="M119" i="2"/>
  <c r="M78" i="2"/>
  <c r="N81" i="2"/>
  <c r="O124" i="2"/>
  <c r="O119" i="2"/>
  <c r="O81" i="2"/>
  <c r="S82" i="2"/>
  <c r="O104" i="2"/>
  <c r="P81" i="2"/>
  <c r="O78" i="2"/>
  <c r="S85" i="2"/>
  <c r="T65" i="2"/>
  <c r="W66" i="2"/>
  <c r="S72" i="2"/>
  <c r="S6" i="2"/>
  <c r="W124" i="2"/>
  <c r="W104" i="2"/>
  <c r="W81" i="2"/>
  <c r="AA82" i="2"/>
  <c r="W119" i="2"/>
  <c r="X81" i="2"/>
  <c r="W78" i="2"/>
  <c r="AA85" i="2"/>
  <c r="AB65" i="2"/>
  <c r="AA56" i="2"/>
  <c r="AE66" i="2"/>
  <c r="AA72" i="2"/>
  <c r="AA6" i="2"/>
  <c r="AE124" i="2"/>
  <c r="AE81" i="2"/>
  <c r="AI82" i="2"/>
  <c r="AE119" i="2"/>
  <c r="AE104" i="2"/>
  <c r="AF81" i="2"/>
  <c r="AE78" i="2"/>
  <c r="N82" i="2"/>
  <c r="J104" i="2"/>
  <c r="J78" i="2"/>
  <c r="J119" i="2"/>
  <c r="J82" i="2"/>
  <c r="K81" i="2"/>
  <c r="J124" i="2"/>
  <c r="Z6" i="2"/>
  <c r="Z85" i="2"/>
  <c r="AD66" i="2"/>
  <c r="AA65" i="2"/>
  <c r="Z72" i="2"/>
  <c r="Z56" i="2"/>
  <c r="AJ57" i="2"/>
  <c r="AJ83" i="2"/>
  <c r="AN81" i="2"/>
  <c r="Q6" i="2"/>
  <c r="U82" i="2"/>
  <c r="Q124" i="2"/>
  <c r="R81" i="2"/>
  <c r="Q119" i="2"/>
  <c r="Q104" i="2"/>
  <c r="Q81" i="2"/>
  <c r="U85" i="2"/>
  <c r="Y66" i="2"/>
  <c r="V65" i="2"/>
  <c r="U56" i="2"/>
  <c r="U72" i="2"/>
  <c r="Y6" i="2"/>
  <c r="AC82" i="2"/>
  <c r="Y124" i="2"/>
  <c r="Y119" i="2"/>
  <c r="Z81" i="2"/>
  <c r="Y104" i="2"/>
  <c r="Y81" i="2"/>
  <c r="AC85" i="2"/>
  <c r="AG66" i="2"/>
  <c r="AD65" i="2"/>
  <c r="AC56" i="2"/>
  <c r="AC72" i="2"/>
  <c r="AG85" i="2"/>
  <c r="AH65" i="2"/>
  <c r="AG56" i="2"/>
  <c r="AG72" i="2"/>
  <c r="AI124" i="2"/>
  <c r="AI104" i="2"/>
  <c r="AI119" i="2"/>
  <c r="AJ81" i="2"/>
  <c r="B6" i="2"/>
  <c r="B85" i="2"/>
  <c r="F66" i="2"/>
  <c r="C65" i="2"/>
  <c r="B72" i="2"/>
  <c r="R119" i="2"/>
  <c r="V82" i="2"/>
  <c r="R104" i="2"/>
  <c r="R78" i="2"/>
  <c r="R82" i="2"/>
  <c r="S81" i="2"/>
  <c r="R124" i="2"/>
  <c r="AH119" i="2"/>
  <c r="AI81" i="2"/>
  <c r="AH124" i="2"/>
  <c r="AH78" i="2"/>
  <c r="AH82" i="2"/>
  <c r="AH104" i="2"/>
  <c r="Y78" i="2"/>
  <c r="F83" i="2"/>
  <c r="N83" i="2"/>
  <c r="V57" i="2"/>
  <c r="V83" i="2"/>
  <c r="AD57" i="2"/>
  <c r="AD83" i="2"/>
  <c r="C85" i="2"/>
  <c r="D65" i="2"/>
  <c r="G66" i="2"/>
  <c r="C72" i="2"/>
  <c r="C6" i="2"/>
  <c r="E85" i="2"/>
  <c r="I66" i="2"/>
  <c r="F65" i="2"/>
  <c r="E72" i="2"/>
  <c r="G85" i="2"/>
  <c r="H65" i="2"/>
  <c r="K66" i="2"/>
  <c r="G72" i="2"/>
  <c r="G6" i="2"/>
  <c r="M66" i="2"/>
  <c r="I85" i="2"/>
  <c r="J65" i="2"/>
  <c r="I72" i="2"/>
  <c r="K85" i="2"/>
  <c r="L65" i="2"/>
  <c r="O66" i="2"/>
  <c r="K72" i="2"/>
  <c r="K6" i="2"/>
  <c r="M85" i="2"/>
  <c r="Q66" i="2"/>
  <c r="N65" i="2"/>
  <c r="M72" i="2"/>
  <c r="O85" i="2"/>
  <c r="P65" i="2"/>
  <c r="S66" i="2"/>
  <c r="O72" i="2"/>
  <c r="O6" i="2"/>
  <c r="S124" i="2"/>
  <c r="S119" i="2"/>
  <c r="T81" i="2"/>
  <c r="S78" i="2"/>
  <c r="S104" i="2"/>
  <c r="W82" i="2"/>
  <c r="W85" i="2"/>
  <c r="X65" i="2"/>
  <c r="W56" i="2"/>
  <c r="AA66" i="2"/>
  <c r="W72" i="2"/>
  <c r="W6" i="2"/>
  <c r="AA124" i="2"/>
  <c r="AA104" i="2"/>
  <c r="AB81" i="2"/>
  <c r="AA78" i="2"/>
  <c r="AA119" i="2"/>
  <c r="AE82" i="2"/>
  <c r="AI66" i="2"/>
  <c r="AE85" i="2"/>
  <c r="AF65" i="2"/>
  <c r="AE56" i="2"/>
  <c r="AE72" i="2"/>
  <c r="AE6" i="2"/>
  <c r="E65" i="2"/>
  <c r="H87" i="2"/>
  <c r="D83" i="2"/>
  <c r="I65" i="2"/>
  <c r="L87" i="2"/>
  <c r="H83" i="2"/>
  <c r="M65" i="2"/>
  <c r="P87" i="2"/>
  <c r="L83" i="2"/>
  <c r="Q65" i="2"/>
  <c r="T87" i="2"/>
  <c r="P83" i="2"/>
  <c r="U65" i="2"/>
  <c r="X87" i="2"/>
  <c r="T83" i="2"/>
  <c r="Y65" i="2"/>
  <c r="AB87" i="2"/>
  <c r="X57" i="2"/>
  <c r="X83" i="2"/>
  <c r="AC65" i="2"/>
  <c r="AF87" i="2"/>
  <c r="AB57" i="2"/>
  <c r="AB83" i="2"/>
  <c r="AJ87" i="2"/>
  <c r="AF57" i="2"/>
  <c r="AF83" i="2"/>
  <c r="J6" i="2"/>
  <c r="J85" i="2"/>
  <c r="N66" i="2"/>
  <c r="K65" i="2"/>
  <c r="J72" i="2"/>
  <c r="AD82" i="2"/>
  <c r="Z104" i="2"/>
  <c r="Z78" i="2"/>
  <c r="Z119" i="2"/>
  <c r="Z82" i="2"/>
  <c r="AA81" i="2"/>
  <c r="Z124" i="2"/>
  <c r="AV77" i="2"/>
  <c r="AW74" i="2"/>
  <c r="BB31" i="2"/>
  <c r="AX70" i="2"/>
  <c r="AX69" i="2"/>
  <c r="AZ8" i="2"/>
  <c r="BB8" i="2"/>
  <c r="B7" i="16" s="1"/>
  <c r="AX74" i="2"/>
  <c r="AW69" i="2"/>
  <c r="AV69" i="2"/>
  <c r="AV70" i="2"/>
  <c r="BD14" i="2"/>
  <c r="D8" i="16" s="1"/>
  <c r="BF14" i="2"/>
  <c r="AZ24" i="2"/>
  <c r="BA15" i="2"/>
  <c r="AZ15" i="2"/>
  <c r="AZ38" i="2"/>
  <c r="AZ31" i="2"/>
  <c r="AZ16" i="2"/>
  <c r="AV44" i="2"/>
  <c r="AV17" i="2"/>
  <c r="AW9" i="2"/>
  <c r="AV10" i="2"/>
  <c r="AV9" i="2"/>
  <c r="BB24" i="2"/>
  <c r="BB16" i="2"/>
  <c r="B23" i="16" s="1"/>
  <c r="BB38" i="2"/>
  <c r="BB15" i="2"/>
  <c r="B38" i="16" s="1"/>
  <c r="AK50" i="2"/>
  <c r="AK45" i="2"/>
  <c r="AK32" i="2"/>
  <c r="AK39" i="2"/>
  <c r="AK25" i="2"/>
  <c r="AL4" i="2"/>
  <c r="AK5" i="2"/>
  <c r="AO5" i="2"/>
  <c r="AK4" i="2"/>
  <c r="AK11" i="2"/>
  <c r="F8" i="16" l="1"/>
  <c r="BJ16" i="2"/>
  <c r="S28" i="16"/>
  <c r="T9" i="16"/>
  <c r="T13" i="16"/>
  <c r="J14" i="16"/>
  <c r="S8" i="16"/>
  <c r="T14" i="16"/>
  <c r="J12" i="16"/>
  <c r="J10" i="16"/>
  <c r="K11" i="16"/>
  <c r="BI16" i="2"/>
  <c r="E8" i="16"/>
  <c r="T10" i="16"/>
  <c r="S25" i="16"/>
  <c r="J9" i="16"/>
  <c r="J11" i="16"/>
  <c r="J13" i="16"/>
  <c r="S14" i="15"/>
  <c r="T11" i="16"/>
  <c r="BH16" i="2"/>
  <c r="H23" i="16" s="1"/>
  <c r="BG16" i="2"/>
  <c r="G23" i="16" s="1"/>
  <c r="BG15" i="2"/>
  <c r="G38" i="16" s="1"/>
  <c r="BW13" i="3"/>
  <c r="BX29" i="4" s="1"/>
  <c r="BF31" i="2"/>
  <c r="BF71" i="2"/>
  <c r="BF74" i="2"/>
  <c r="BF38" i="2"/>
  <c r="BF24" i="2"/>
  <c r="BE31" i="2"/>
  <c r="BE71" i="2"/>
  <c r="BE24" i="2"/>
  <c r="BE38" i="2"/>
  <c r="AJ31" i="6"/>
  <c r="AJ34" i="6"/>
  <c r="L31" i="6"/>
  <c r="L34" i="6"/>
  <c r="D31" i="6"/>
  <c r="D34" i="6"/>
  <c r="AF31" i="6"/>
  <c r="AF34" i="6"/>
  <c r="AB31" i="6"/>
  <c r="AB34" i="6"/>
  <c r="X31" i="6"/>
  <c r="X34" i="6"/>
  <c r="T31" i="6"/>
  <c r="T34" i="6"/>
  <c r="P31" i="6"/>
  <c r="P34" i="6"/>
  <c r="H31" i="6"/>
  <c r="H34" i="6"/>
  <c r="BW42" i="5"/>
  <c r="BD31" i="2"/>
  <c r="BD38" i="2"/>
  <c r="BD71" i="2"/>
  <c r="BD24" i="2"/>
  <c r="AS78" i="2"/>
  <c r="AS82" i="2"/>
  <c r="AR65" i="2"/>
  <c r="BC24" i="2"/>
  <c r="BC71" i="2"/>
  <c r="BC38" i="2"/>
  <c r="BC31" i="2"/>
  <c r="Z197" i="2"/>
  <c r="Y197" i="2"/>
  <c r="AS85" i="2"/>
  <c r="I197" i="2"/>
  <c r="CJ6" i="2"/>
  <c r="CK66" i="2"/>
  <c r="CJ72" i="2"/>
  <c r="CJ140" i="2"/>
  <c r="AS12" i="2"/>
  <c r="AS145" i="2"/>
  <c r="AS6" i="2"/>
  <c r="AS66" i="2"/>
  <c r="AS62" i="2"/>
  <c r="AS51" i="2"/>
  <c r="AS130" i="2"/>
  <c r="AS135" i="2"/>
  <c r="AS72" i="2"/>
  <c r="AN96" i="4"/>
  <c r="AM197" i="2"/>
  <c r="CR64" i="2"/>
  <c r="AS56" i="2"/>
  <c r="AS150" i="2"/>
  <c r="CL6" i="2"/>
  <c r="AH197" i="2"/>
  <c r="AQ197" i="2"/>
  <c r="AI197" i="2"/>
  <c r="CM72" i="2"/>
  <c r="AR135" i="2"/>
  <c r="BM53" i="2"/>
  <c r="I14" i="15"/>
  <c r="AN57" i="3"/>
  <c r="AR6" i="2"/>
  <c r="AN229" i="2"/>
  <c r="AN91" i="4"/>
  <c r="AR62" i="2"/>
  <c r="AR150" i="2"/>
  <c r="AR66" i="2"/>
  <c r="AR85" i="2"/>
  <c r="AR72" i="2"/>
  <c r="AN57" i="2"/>
  <c r="AN180" i="2"/>
  <c r="AR56" i="2"/>
  <c r="AR130" i="2"/>
  <c r="AR145" i="2"/>
  <c r="AS65" i="2"/>
  <c r="AR51" i="2"/>
  <c r="AR12" i="2"/>
  <c r="CU37" i="2"/>
  <c r="CU30" i="2"/>
  <c r="CU23" i="2"/>
  <c r="AN185" i="2"/>
  <c r="AN58" i="3"/>
  <c r="AN2" i="5"/>
  <c r="AN5" i="5" s="1"/>
  <c r="AN190" i="2"/>
  <c r="AN3" i="6"/>
  <c r="AN83" i="2"/>
  <c r="AN87" i="2"/>
  <c r="AN172" i="2"/>
  <c r="AN176" i="2" s="1"/>
  <c r="AN52" i="4"/>
  <c r="W197" i="2"/>
  <c r="AC197" i="2"/>
  <c r="S197" i="2"/>
  <c r="AZ6" i="6"/>
  <c r="AZ38" i="6" s="1"/>
  <c r="BB6" i="6"/>
  <c r="BB38" i="6" s="1"/>
  <c r="G197" i="2"/>
  <c r="E197" i="2"/>
  <c r="AN197" i="2"/>
  <c r="U197" i="2"/>
  <c r="AA197" i="2"/>
  <c r="AO197" i="2"/>
  <c r="C197" i="2"/>
  <c r="B197" i="2"/>
  <c r="K197" i="2"/>
  <c r="R197" i="2"/>
  <c r="J197" i="2"/>
  <c r="AE197" i="2"/>
  <c r="O197" i="2"/>
  <c r="M197" i="2"/>
  <c r="AG197" i="2"/>
  <c r="Q197" i="2"/>
  <c r="BA6" i="6"/>
  <c r="BA38" i="6" s="1"/>
  <c r="AQ87" i="2"/>
  <c r="AO57" i="2"/>
  <c r="BM47" i="2"/>
  <c r="AO52" i="4"/>
  <c r="AO91" i="4"/>
  <c r="CS80" i="2"/>
  <c r="AF170" i="2"/>
  <c r="P170" i="2"/>
  <c r="AL66" i="2"/>
  <c r="X170" i="2"/>
  <c r="AO57" i="3"/>
  <c r="AO83" i="2"/>
  <c r="AO180" i="2"/>
  <c r="CM66" i="2"/>
  <c r="AO86" i="2"/>
  <c r="H170" i="2"/>
  <c r="AO190" i="2"/>
  <c r="AO2" i="5"/>
  <c r="AO5" i="5" s="1"/>
  <c r="AN169" i="2"/>
  <c r="CS64" i="2"/>
  <c r="CO6" i="2"/>
  <c r="CO145" i="2"/>
  <c r="CO150" i="2"/>
  <c r="CO130" i="2"/>
  <c r="CO140" i="2"/>
  <c r="CO135" i="2"/>
  <c r="CP51" i="2"/>
  <c r="CP140" i="2"/>
  <c r="CP135" i="2"/>
  <c r="CP150" i="2"/>
  <c r="CP130" i="2"/>
  <c r="CP145" i="2"/>
  <c r="CK72" i="2"/>
  <c r="CK130" i="2"/>
  <c r="CK140" i="2"/>
  <c r="CN72" i="2"/>
  <c r="CN130" i="2"/>
  <c r="CN140" i="2"/>
  <c r="CI6" i="2"/>
  <c r="CI130" i="2"/>
  <c r="CI140" i="2"/>
  <c r="AX4" i="2"/>
  <c r="AX80" i="2"/>
  <c r="CL56" i="2"/>
  <c r="CL140" i="2"/>
  <c r="CL130" i="2"/>
  <c r="CM56" i="2"/>
  <c r="CM130" i="2"/>
  <c r="CM140" i="2"/>
  <c r="CV29" i="2"/>
  <c r="CV49" i="2"/>
  <c r="AR208" i="2"/>
  <c r="AS81" i="2"/>
  <c r="AR82" i="2"/>
  <c r="AR78" i="2"/>
  <c r="AR9" i="5"/>
  <c r="AR67" i="4"/>
  <c r="AO169" i="2"/>
  <c r="AO185" i="2"/>
  <c r="AO172" i="2"/>
  <c r="AO229" i="2"/>
  <c r="AO58" i="3"/>
  <c r="AO3" i="6"/>
  <c r="AO96" i="4"/>
  <c r="CI72" i="2"/>
  <c r="CJ66" i="2"/>
  <c r="AV172" i="2"/>
  <c r="AW45" i="2"/>
  <c r="BB70" i="2"/>
  <c r="B30" i="16" s="1"/>
  <c r="BB74" i="2"/>
  <c r="BB77" i="2" s="1"/>
  <c r="AX25" i="2"/>
  <c r="AX5" i="2"/>
  <c r="AX39" i="2"/>
  <c r="AX18" i="2"/>
  <c r="AX45" i="2"/>
  <c r="AX50" i="2"/>
  <c r="AX64" i="2"/>
  <c r="AX32" i="2"/>
  <c r="AX11" i="2"/>
  <c r="BB3" i="2"/>
  <c r="B6" i="16" s="1"/>
  <c r="I34" i="15"/>
  <c r="J34" i="15"/>
  <c r="BM34" i="2"/>
  <c r="CW34" i="2"/>
  <c r="BM27" i="2"/>
  <c r="AZ70" i="2"/>
  <c r="AW50" i="2"/>
  <c r="AW64" i="2"/>
  <c r="AW80" i="2"/>
  <c r="AW39" i="2"/>
  <c r="AW18" i="2"/>
  <c r="AW25" i="2"/>
  <c r="AW11" i="2"/>
  <c r="AW32" i="2"/>
  <c r="AZ74" i="2"/>
  <c r="AZ3" i="2"/>
  <c r="CW53" i="2"/>
  <c r="CV212" i="2"/>
  <c r="CV214" i="2" s="1"/>
  <c r="CW47" i="2"/>
  <c r="CW27" i="2"/>
  <c r="AU77" i="2"/>
  <c r="CT74" i="2"/>
  <c r="AY44" i="2"/>
  <c r="CT3" i="2"/>
  <c r="BC8" i="2"/>
  <c r="C7" i="16" s="1"/>
  <c r="CV14" i="2"/>
  <c r="CW20" i="2"/>
  <c r="AY74" i="2"/>
  <c r="AY76" i="2" s="1"/>
  <c r="CU68" i="2"/>
  <c r="CU216" i="2"/>
  <c r="S53" i="15" s="1"/>
  <c r="AI83" i="2"/>
  <c r="AQ208" i="2"/>
  <c r="AQ78" i="2"/>
  <c r="AR81" i="2"/>
  <c r="AQ9" i="5"/>
  <c r="AQ67" i="4"/>
  <c r="AT130" i="2"/>
  <c r="AT145" i="2"/>
  <c r="AT6" i="2"/>
  <c r="AT12" i="2"/>
  <c r="AT62" i="2"/>
  <c r="AT56" i="2"/>
  <c r="AT72" i="2"/>
  <c r="AT150" i="2"/>
  <c r="AT135" i="2"/>
  <c r="AT51" i="2"/>
  <c r="AT65" i="2"/>
  <c r="AT85" i="2"/>
  <c r="Y83" i="2"/>
  <c r="AV11" i="2"/>
  <c r="I86" i="2"/>
  <c r="Z87" i="2"/>
  <c r="AH83" i="2"/>
  <c r="AQ57" i="2"/>
  <c r="AM83" i="2"/>
  <c r="CN6" i="2"/>
  <c r="AT208" i="2"/>
  <c r="AT78" i="2"/>
  <c r="AT81" i="2"/>
  <c r="AW5" i="2"/>
  <c r="CM6" i="2"/>
  <c r="CL72" i="2"/>
  <c r="CL66" i="2"/>
  <c r="I8" i="16"/>
  <c r="BC16" i="2"/>
  <c r="C23" i="16" s="1"/>
  <c r="CL85" i="2"/>
  <c r="CN66" i="2"/>
  <c r="CP72" i="2"/>
  <c r="BE16" i="2"/>
  <c r="E23" i="16" s="1"/>
  <c r="CP6" i="2"/>
  <c r="CO66" i="2"/>
  <c r="CN56" i="2"/>
  <c r="CK6" i="2"/>
  <c r="CP56" i="2"/>
  <c r="CJ85" i="2"/>
  <c r="CP62" i="2"/>
  <c r="AJ170" i="2"/>
  <c r="AB170" i="2"/>
  <c r="T170" i="2"/>
  <c r="L170" i="2"/>
  <c r="J87" i="2"/>
  <c r="J91" i="4"/>
  <c r="J96" i="4"/>
  <c r="CK85" i="2"/>
  <c r="J3" i="6"/>
  <c r="J34" i="6" s="1"/>
  <c r="J2" i="5"/>
  <c r="J58" i="3"/>
  <c r="J57" i="3"/>
  <c r="J52" i="4"/>
  <c r="J229" i="2"/>
  <c r="J77" i="4"/>
  <c r="J84" i="4"/>
  <c r="J190" i="2"/>
  <c r="J185" i="2"/>
  <c r="J180" i="2"/>
  <c r="J172" i="2"/>
  <c r="J169" i="2"/>
  <c r="W96" i="4"/>
  <c r="W91" i="4"/>
  <c r="W3" i="6"/>
  <c r="W2" i="5"/>
  <c r="W5" i="5" s="1"/>
  <c r="W58" i="3"/>
  <c r="W57" i="3"/>
  <c r="W229" i="2"/>
  <c r="W52" i="4"/>
  <c r="W172" i="2"/>
  <c r="W190" i="2"/>
  <c r="W185" i="2"/>
  <c r="W180" i="2"/>
  <c r="W169" i="2"/>
  <c r="K96" i="4"/>
  <c r="K91" i="4"/>
  <c r="K3" i="6"/>
  <c r="K2" i="5"/>
  <c r="K5" i="5" s="1"/>
  <c r="K58" i="3"/>
  <c r="K57" i="3"/>
  <c r="K229" i="2"/>
  <c r="K52" i="4"/>
  <c r="K77" i="4"/>
  <c r="K84" i="4"/>
  <c r="K172" i="2"/>
  <c r="K190" i="2"/>
  <c r="K185" i="2"/>
  <c r="K180" i="2"/>
  <c r="K169" i="2"/>
  <c r="C96" i="4"/>
  <c r="C91" i="4"/>
  <c r="C3" i="6"/>
  <c r="C2" i="5"/>
  <c r="C5" i="5" s="1"/>
  <c r="C58" i="3"/>
  <c r="C57" i="3"/>
  <c r="C52" i="4"/>
  <c r="C229" i="2"/>
  <c r="C172" i="2"/>
  <c r="C201" i="2" s="1"/>
  <c r="C190" i="2"/>
  <c r="C185" i="2"/>
  <c r="C180" i="2"/>
  <c r="C169" i="2"/>
  <c r="B91" i="4"/>
  <c r="B96" i="4"/>
  <c r="B3" i="6"/>
  <c r="B34" i="6" s="1"/>
  <c r="CI85" i="2"/>
  <c r="B2" i="5"/>
  <c r="B57" i="3"/>
  <c r="B58" i="3"/>
  <c r="B229" i="2"/>
  <c r="B52" i="4"/>
  <c r="B190" i="2"/>
  <c r="B185" i="2"/>
  <c r="B180" i="2"/>
  <c r="B172" i="2"/>
  <c r="B169" i="2"/>
  <c r="F170" i="2" s="1"/>
  <c r="AG96" i="4"/>
  <c r="AG91" i="4"/>
  <c r="AG3" i="6"/>
  <c r="AG2" i="5"/>
  <c r="AG5" i="5" s="1"/>
  <c r="AG58" i="3"/>
  <c r="AG57" i="3"/>
  <c r="AG229" i="2"/>
  <c r="AG52" i="4"/>
  <c r="AG172" i="2"/>
  <c r="AG175" i="2" s="1"/>
  <c r="AG190" i="2"/>
  <c r="AG185" i="2"/>
  <c r="AG180" i="2"/>
  <c r="AG169" i="2"/>
  <c r="U86" i="2"/>
  <c r="U96" i="4"/>
  <c r="U91" i="4"/>
  <c r="U3" i="6"/>
  <c r="U2" i="5"/>
  <c r="U5" i="5" s="1"/>
  <c r="U58" i="3"/>
  <c r="U57" i="3"/>
  <c r="U229" i="2"/>
  <c r="U52" i="4"/>
  <c r="U77" i="4"/>
  <c r="U84" i="4"/>
  <c r="U172" i="2"/>
  <c r="U175" i="2" s="1"/>
  <c r="U190" i="2"/>
  <c r="U185" i="2"/>
  <c r="U180" i="2"/>
  <c r="U169" i="2"/>
  <c r="AA83" i="2"/>
  <c r="AA96" i="4"/>
  <c r="AA91" i="4"/>
  <c r="AA3" i="6"/>
  <c r="AA2" i="5"/>
  <c r="AA5" i="5" s="1"/>
  <c r="AA58" i="3"/>
  <c r="AA57" i="3"/>
  <c r="AA229" i="2"/>
  <c r="AA52" i="4"/>
  <c r="AA172" i="2"/>
  <c r="AA190" i="2"/>
  <c r="AA185" i="2"/>
  <c r="AA180" i="2"/>
  <c r="AA169" i="2"/>
  <c r="S83" i="2"/>
  <c r="S96" i="4"/>
  <c r="S91" i="4"/>
  <c r="S3" i="6"/>
  <c r="S2" i="5"/>
  <c r="S5" i="5" s="1"/>
  <c r="S58" i="3"/>
  <c r="S57" i="3"/>
  <c r="S229" i="2"/>
  <c r="S52" i="4"/>
  <c r="S77" i="4"/>
  <c r="S84" i="4"/>
  <c r="S172" i="2"/>
  <c r="S190" i="2"/>
  <c r="S185" i="2"/>
  <c r="S180" i="2"/>
  <c r="S169" i="2"/>
  <c r="R83" i="2"/>
  <c r="R91" i="4"/>
  <c r="R96" i="4"/>
  <c r="CM85" i="2"/>
  <c r="R3" i="6"/>
  <c r="R34" i="6" s="1"/>
  <c r="R2" i="5"/>
  <c r="R58" i="3"/>
  <c r="R57" i="3"/>
  <c r="R52" i="4"/>
  <c r="R229" i="2"/>
  <c r="R77" i="4"/>
  <c r="R84" i="4"/>
  <c r="R190" i="2"/>
  <c r="R185" i="2"/>
  <c r="R180" i="2"/>
  <c r="R172" i="2"/>
  <c r="R176" i="2" s="1"/>
  <c r="R169" i="2"/>
  <c r="AM87" i="2"/>
  <c r="AI96" i="4"/>
  <c r="AI91" i="4"/>
  <c r="AI3" i="6"/>
  <c r="AI2" i="5"/>
  <c r="AI5" i="5" s="1"/>
  <c r="AI58" i="3"/>
  <c r="AI57" i="3"/>
  <c r="AI229" i="2"/>
  <c r="AI52" i="4"/>
  <c r="AI172" i="2"/>
  <c r="AI190" i="2"/>
  <c r="AI185" i="2"/>
  <c r="AI180" i="2"/>
  <c r="AI169" i="2"/>
  <c r="Y86" i="2"/>
  <c r="Y96" i="4"/>
  <c r="Y91" i="4"/>
  <c r="Y3" i="6"/>
  <c r="Y2" i="5"/>
  <c r="Y5" i="5" s="1"/>
  <c r="Y58" i="3"/>
  <c r="Y57" i="3"/>
  <c r="Y229" i="2"/>
  <c r="Y52" i="4"/>
  <c r="Y172" i="2"/>
  <c r="Y190" i="2"/>
  <c r="Y185" i="2"/>
  <c r="Y180" i="2"/>
  <c r="Y169" i="2"/>
  <c r="AQ83" i="2"/>
  <c r="AQ96" i="4"/>
  <c r="AQ91" i="4"/>
  <c r="AQ3" i="6"/>
  <c r="AQ2" i="5"/>
  <c r="AQ5" i="5" s="1"/>
  <c r="AQ58" i="3"/>
  <c r="AQ57" i="3"/>
  <c r="AQ229" i="2"/>
  <c r="AQ52" i="4"/>
  <c r="AQ172" i="2"/>
  <c r="AQ190" i="2"/>
  <c r="AQ185" i="2"/>
  <c r="AQ180" i="2"/>
  <c r="AQ169" i="2"/>
  <c r="AM96" i="4"/>
  <c r="AM91" i="4"/>
  <c r="AM3" i="6"/>
  <c r="AM2" i="5"/>
  <c r="AM5" i="5" s="1"/>
  <c r="AM58" i="3"/>
  <c r="AM57" i="3"/>
  <c r="AM229" i="2"/>
  <c r="AM52" i="4"/>
  <c r="AM172" i="2"/>
  <c r="AM190" i="2"/>
  <c r="AM185" i="2"/>
  <c r="AM180" i="2"/>
  <c r="AM169" i="2"/>
  <c r="CO82" i="2"/>
  <c r="CN208" i="2"/>
  <c r="CN124" i="2"/>
  <c r="CN67" i="4"/>
  <c r="CN119" i="2"/>
  <c r="CN104" i="2"/>
  <c r="CM82" i="2"/>
  <c r="CL124" i="2"/>
  <c r="CL208" i="2"/>
  <c r="CL119" i="2"/>
  <c r="CL104" i="2"/>
  <c r="CK82" i="2"/>
  <c r="CJ208" i="2"/>
  <c r="CJ124" i="2"/>
  <c r="CJ119" i="2"/>
  <c r="CJ104" i="2"/>
  <c r="AL9" i="5"/>
  <c r="CR9" i="5"/>
  <c r="AL208" i="2"/>
  <c r="AL67" i="4"/>
  <c r="AP82" i="2"/>
  <c r="AL78" i="2"/>
  <c r="AL82" i="2"/>
  <c r="CS5" i="2"/>
  <c r="CR50" i="2"/>
  <c r="CR32" i="2"/>
  <c r="CR25" i="2"/>
  <c r="CR45" i="2"/>
  <c r="CR39" i="2"/>
  <c r="CR18" i="2"/>
  <c r="AB201" i="2"/>
  <c r="AF176" i="2"/>
  <c r="AB173" i="2"/>
  <c r="T201" i="2"/>
  <c r="X176" i="2"/>
  <c r="T173" i="2"/>
  <c r="L201" i="2"/>
  <c r="P176" i="2"/>
  <c r="L173" i="2"/>
  <c r="D201" i="2"/>
  <c r="H176" i="2"/>
  <c r="D173" i="2"/>
  <c r="AD173" i="2"/>
  <c r="AD201" i="2"/>
  <c r="AD5" i="5"/>
  <c r="CP85" i="2"/>
  <c r="V31" i="6"/>
  <c r="N173" i="2"/>
  <c r="N201" i="2"/>
  <c r="N5" i="5"/>
  <c r="CQ208" i="2"/>
  <c r="CQ67" i="4"/>
  <c r="CR5" i="2"/>
  <c r="CQ78" i="2"/>
  <c r="CR11" i="2"/>
  <c r="CO208" i="2"/>
  <c r="CP82" i="2"/>
  <c r="CO124" i="2"/>
  <c r="CO67" i="4"/>
  <c r="CO119" i="2"/>
  <c r="CO104" i="2"/>
  <c r="F173" i="2"/>
  <c r="F201" i="2"/>
  <c r="F5" i="5"/>
  <c r="AN86" i="2"/>
  <c r="AM57" i="2"/>
  <c r="BM20" i="2"/>
  <c r="J41" i="16"/>
  <c r="AE96" i="4"/>
  <c r="AE91" i="4"/>
  <c r="AE3" i="6"/>
  <c r="AE2" i="5"/>
  <c r="AE5" i="5" s="1"/>
  <c r="AE58" i="3"/>
  <c r="AE57" i="3"/>
  <c r="AE229" i="2"/>
  <c r="AE52" i="4"/>
  <c r="AE172" i="2"/>
  <c r="AE175" i="2" s="1"/>
  <c r="AE190" i="2"/>
  <c r="AE185" i="2"/>
  <c r="AE180" i="2"/>
  <c r="AE169" i="2"/>
  <c r="O83" i="2"/>
  <c r="O96" i="4"/>
  <c r="O91" i="4"/>
  <c r="O3" i="6"/>
  <c r="O2" i="5"/>
  <c r="O5" i="5" s="1"/>
  <c r="O58" i="3"/>
  <c r="O57" i="3"/>
  <c r="O229" i="2"/>
  <c r="O52" i="4"/>
  <c r="O77" i="4"/>
  <c r="O84" i="4"/>
  <c r="O172" i="2"/>
  <c r="O175" i="2" s="1"/>
  <c r="O190" i="2"/>
  <c r="O185" i="2"/>
  <c r="O180" i="2"/>
  <c r="O169" i="2"/>
  <c r="M86" i="2"/>
  <c r="M96" i="4"/>
  <c r="M91" i="4"/>
  <c r="M3" i="6"/>
  <c r="M2" i="5"/>
  <c r="M5" i="5" s="1"/>
  <c r="M58" i="3"/>
  <c r="M57" i="3"/>
  <c r="M229" i="2"/>
  <c r="M52" i="4"/>
  <c r="M77" i="4"/>
  <c r="M84" i="4"/>
  <c r="M172" i="2"/>
  <c r="M175" i="2" s="1"/>
  <c r="M190" i="2"/>
  <c r="M185" i="2"/>
  <c r="M180" i="2"/>
  <c r="M169" i="2"/>
  <c r="I96" i="4"/>
  <c r="I91" i="4"/>
  <c r="I3" i="6"/>
  <c r="I2" i="5"/>
  <c r="I5" i="5" s="1"/>
  <c r="I58" i="3"/>
  <c r="I57" i="3"/>
  <c r="I229" i="2"/>
  <c r="I52" i="4"/>
  <c r="I172" i="2"/>
  <c r="I190" i="2"/>
  <c r="I185" i="2"/>
  <c r="I180" i="2"/>
  <c r="I169" i="2"/>
  <c r="G86" i="2"/>
  <c r="G96" i="4"/>
  <c r="G91" i="4"/>
  <c r="G3" i="6"/>
  <c r="G2" i="5"/>
  <c r="G5" i="5" s="1"/>
  <c r="G58" i="3"/>
  <c r="G57" i="3"/>
  <c r="G52" i="4"/>
  <c r="G229" i="2"/>
  <c r="G172" i="2"/>
  <c r="G190" i="2"/>
  <c r="G185" i="2"/>
  <c r="G180" i="2"/>
  <c r="G169" i="2"/>
  <c r="E86" i="2"/>
  <c r="E96" i="4"/>
  <c r="E91" i="4"/>
  <c r="E3" i="6"/>
  <c r="E2" i="5"/>
  <c r="E5" i="5" s="1"/>
  <c r="E58" i="3"/>
  <c r="E57" i="3"/>
  <c r="E229" i="2"/>
  <c r="E52" i="4"/>
  <c r="E172" i="2"/>
  <c r="E190" i="2"/>
  <c r="E185" i="2"/>
  <c r="E180" i="2"/>
  <c r="E169" i="2"/>
  <c r="AC83" i="2"/>
  <c r="AC96" i="4"/>
  <c r="AC91" i="4"/>
  <c r="AC3" i="6"/>
  <c r="AC2" i="5"/>
  <c r="AC5" i="5" s="1"/>
  <c r="AC58" i="3"/>
  <c r="AC57" i="3"/>
  <c r="AC229" i="2"/>
  <c r="AC52" i="4"/>
  <c r="AC172" i="2"/>
  <c r="AC190" i="2"/>
  <c r="AC185" i="2"/>
  <c r="AC180" i="2"/>
  <c r="AC169" i="2"/>
  <c r="Z91" i="4"/>
  <c r="Z96" i="4"/>
  <c r="CO85" i="2"/>
  <c r="Z3" i="6"/>
  <c r="Z34" i="6" s="1"/>
  <c r="Z2" i="5"/>
  <c r="Z58" i="3"/>
  <c r="Z57" i="3"/>
  <c r="Z229" i="2"/>
  <c r="Z52" i="4"/>
  <c r="Z190" i="2"/>
  <c r="Z185" i="2"/>
  <c r="Z180" i="2"/>
  <c r="Z172" i="2"/>
  <c r="Z176" i="2" s="1"/>
  <c r="Z169" i="2"/>
  <c r="AH87" i="2"/>
  <c r="AH91" i="4"/>
  <c r="AH96" i="4"/>
  <c r="AH3" i="6"/>
  <c r="AH34" i="6" s="1"/>
  <c r="AH2" i="5"/>
  <c r="AH229" i="2"/>
  <c r="AH58" i="3"/>
  <c r="AH57" i="3"/>
  <c r="AH52" i="4"/>
  <c r="AH190" i="2"/>
  <c r="AH185" i="2"/>
  <c r="AH180" i="2"/>
  <c r="AH172" i="2"/>
  <c r="AH169" i="2"/>
  <c r="AH170" i="2" s="1"/>
  <c r="Q96" i="4"/>
  <c r="Q91" i="4"/>
  <c r="Q3" i="6"/>
  <c r="Q2" i="5"/>
  <c r="Q5" i="5" s="1"/>
  <c r="Q58" i="3"/>
  <c r="Q57" i="3"/>
  <c r="Q229" i="2"/>
  <c r="Q52" i="4"/>
  <c r="Q77" i="4"/>
  <c r="Q84" i="4"/>
  <c r="Q172" i="2"/>
  <c r="Q190" i="2"/>
  <c r="Q185" i="2"/>
  <c r="Q180" i="2"/>
  <c r="Q169" i="2"/>
  <c r="AK9" i="5"/>
  <c r="AK208" i="2"/>
  <c r="AK67" i="4"/>
  <c r="CV36" i="2"/>
  <c r="T26" i="16" s="1"/>
  <c r="CQ82" i="2"/>
  <c r="CP208" i="2"/>
  <c r="CP124" i="2"/>
  <c r="CP67" i="4"/>
  <c r="CP119" i="2"/>
  <c r="CP104" i="2"/>
  <c r="AP9" i="5"/>
  <c r="AP208" i="2"/>
  <c r="AP67" i="4"/>
  <c r="AP78" i="2"/>
  <c r="AQ81" i="2"/>
  <c r="AP81" i="2"/>
  <c r="AT82" i="2"/>
  <c r="AP12" i="2"/>
  <c r="AP150" i="2"/>
  <c r="AP135" i="2"/>
  <c r="AP72" i="2"/>
  <c r="AP65" i="2"/>
  <c r="AP85" i="2"/>
  <c r="AP56" i="2"/>
  <c r="AP130" i="2"/>
  <c r="AP145" i="2"/>
  <c r="AP51" i="2"/>
  <c r="AP6" i="2"/>
  <c r="AP62" i="2"/>
  <c r="AQ65" i="2"/>
  <c r="AT66" i="2"/>
  <c r="CS45" i="2"/>
  <c r="CS32" i="2"/>
  <c r="CS50" i="2"/>
  <c r="CS25" i="2"/>
  <c r="CS39" i="2"/>
  <c r="CS18" i="2"/>
  <c r="AL130" i="2"/>
  <c r="AL145" i="2"/>
  <c r="AL6" i="2"/>
  <c r="AL62" i="2"/>
  <c r="AP66" i="2"/>
  <c r="AM65" i="2"/>
  <c r="AL72" i="2"/>
  <c r="AL150" i="2"/>
  <c r="AL135" i="2"/>
  <c r="AL51" i="2"/>
  <c r="AL12" i="2"/>
  <c r="AL85" i="2"/>
  <c r="AL56" i="2"/>
  <c r="AJ173" i="2"/>
  <c r="AJ201" i="2"/>
  <c r="CO56" i="2"/>
  <c r="CP66" i="2"/>
  <c r="CO72" i="2"/>
  <c r="CK208" i="2"/>
  <c r="CK124" i="2"/>
  <c r="CL82" i="2"/>
  <c r="CK119" i="2"/>
  <c r="CK104" i="2"/>
  <c r="AD31" i="6"/>
  <c r="V173" i="2"/>
  <c r="V201" i="2"/>
  <c r="V5" i="5"/>
  <c r="CN85" i="2"/>
  <c r="N31" i="6"/>
  <c r="AM81" i="2"/>
  <c r="CM208" i="2"/>
  <c r="CM124" i="2"/>
  <c r="CN82" i="2"/>
  <c r="CM67" i="4"/>
  <c r="CM119" i="2"/>
  <c r="CM104" i="2"/>
  <c r="CS11" i="2"/>
  <c r="AF201" i="2"/>
  <c r="AJ176" i="2"/>
  <c r="AF173" i="2"/>
  <c r="X201" i="2"/>
  <c r="AB176" i="2"/>
  <c r="X173" i="2"/>
  <c r="P201" i="2"/>
  <c r="T176" i="2"/>
  <c r="P173" i="2"/>
  <c r="H201" i="2"/>
  <c r="L176" i="2"/>
  <c r="H173" i="2"/>
  <c r="F31" i="6"/>
  <c r="CQ64" i="2"/>
  <c r="CI208" i="2"/>
  <c r="CI124" i="2"/>
  <c r="CJ82" i="2"/>
  <c r="CI119" i="2"/>
  <c r="CI104" i="2"/>
  <c r="BC15" i="2"/>
  <c r="C38" i="16" s="1"/>
  <c r="CV22" i="2"/>
  <c r="T24" i="16" s="1"/>
  <c r="J39" i="16"/>
  <c r="AY70" i="2"/>
  <c r="BB69" i="2"/>
  <c r="B45" i="16" s="1"/>
  <c r="CV219" i="2"/>
  <c r="T34" i="15" s="1"/>
  <c r="CV55" i="2"/>
  <c r="T29" i="16" s="1"/>
  <c r="CU213" i="2"/>
  <c r="BA69" i="2"/>
  <c r="BA70" i="2"/>
  <c r="BA74" i="2"/>
  <c r="AZ69" i="2"/>
  <c r="AY69" i="2"/>
  <c r="CT27" i="3"/>
  <c r="AY17" i="2"/>
  <c r="CT44" i="2"/>
  <c r="CT10" i="2"/>
  <c r="CT6" i="6"/>
  <c r="CT17" i="2"/>
  <c r="CU38" i="2"/>
  <c r="CU31" i="2"/>
  <c r="CU24" i="2"/>
  <c r="AU76" i="2"/>
  <c r="AU25" i="2"/>
  <c r="AU50" i="2"/>
  <c r="AU45" i="2"/>
  <c r="AU18" i="2"/>
  <c r="AU32" i="2"/>
  <c r="AU5" i="2"/>
  <c r="AU80" i="2"/>
  <c r="AU208" i="2" s="1"/>
  <c r="AU4" i="2"/>
  <c r="AU11" i="2"/>
  <c r="AU39" i="2"/>
  <c r="AU64" i="2"/>
  <c r="CT71" i="2"/>
  <c r="CT70" i="2"/>
  <c r="CU16" i="2"/>
  <c r="S23" i="16" s="1"/>
  <c r="AY6" i="6"/>
  <c r="AY38" i="6" s="1"/>
  <c r="BQ27" i="4"/>
  <c r="CY27" i="4" s="1"/>
  <c r="BQ26" i="4"/>
  <c r="AY10" i="2"/>
  <c r="AC86" i="2"/>
  <c r="AK85" i="2"/>
  <c r="AK150" i="2"/>
  <c r="AK145" i="2"/>
  <c r="AK135" i="2"/>
  <c r="AK130" i="2"/>
  <c r="AY3" i="2"/>
  <c r="AU75" i="2"/>
  <c r="AV75" i="2"/>
  <c r="AY9" i="2"/>
  <c r="M83" i="2"/>
  <c r="AW75" i="2"/>
  <c r="R87" i="2"/>
  <c r="O87" i="2"/>
  <c r="L86" i="2"/>
  <c r="G87" i="2"/>
  <c r="D86" i="2"/>
  <c r="F87" i="2"/>
  <c r="C86" i="2"/>
  <c r="AH86" i="2"/>
  <c r="AG57" i="2"/>
  <c r="V86" i="2"/>
  <c r="Y87" i="2"/>
  <c r="U57" i="2"/>
  <c r="AD87" i="2"/>
  <c r="Z57" i="2"/>
  <c r="AA86" i="2"/>
  <c r="W87" i="2"/>
  <c r="T86" i="2"/>
  <c r="C83" i="2"/>
  <c r="AI86" i="2"/>
  <c r="AH57" i="2"/>
  <c r="AJ86" i="2"/>
  <c r="AI57" i="2"/>
  <c r="AG83" i="2"/>
  <c r="Z86" i="2"/>
  <c r="AC87" i="2"/>
  <c r="Y57" i="2"/>
  <c r="R86" i="2"/>
  <c r="U87" i="2"/>
  <c r="AK72" i="2"/>
  <c r="AV76" i="2"/>
  <c r="Z83" i="2"/>
  <c r="N87" i="2"/>
  <c r="K86" i="2"/>
  <c r="AG86" i="2"/>
  <c r="Q86" i="2"/>
  <c r="AI87" i="2"/>
  <c r="AF86" i="2"/>
  <c r="AE57" i="2"/>
  <c r="AA87" i="2"/>
  <c r="X86" i="2"/>
  <c r="W57" i="2"/>
  <c r="S87" i="2"/>
  <c r="P86" i="2"/>
  <c r="N86" i="2"/>
  <c r="Q87" i="2"/>
  <c r="J86" i="2"/>
  <c r="M87" i="2"/>
  <c r="K87" i="2"/>
  <c r="H86" i="2"/>
  <c r="F86" i="2"/>
  <c r="I87" i="2"/>
  <c r="AE86" i="2"/>
  <c r="W86" i="2"/>
  <c r="O86" i="2"/>
  <c r="AD86" i="2"/>
  <c r="AG87" i="2"/>
  <c r="AC57" i="2"/>
  <c r="Q83" i="2"/>
  <c r="J83" i="2"/>
  <c r="AE83" i="2"/>
  <c r="AE87" i="2"/>
  <c r="AB86" i="2"/>
  <c r="AA57" i="2"/>
  <c r="W83" i="2"/>
  <c r="K83" i="2"/>
  <c r="I83" i="2"/>
  <c r="G83" i="2"/>
  <c r="E83" i="2"/>
  <c r="V87" i="2"/>
  <c r="S86" i="2"/>
  <c r="B83" i="2"/>
  <c r="U83" i="2"/>
  <c r="AK6" i="2"/>
  <c r="AW76" i="2"/>
  <c r="AW77" i="2"/>
  <c r="AZ44" i="2"/>
  <c r="BB17" i="2"/>
  <c r="BB44" i="2"/>
  <c r="BB10" i="2"/>
  <c r="B22" i="16" s="1"/>
  <c r="AZ10" i="2"/>
  <c r="BF8" i="2"/>
  <c r="AX75" i="2"/>
  <c r="AX77" i="2"/>
  <c r="AX76" i="2"/>
  <c r="BO34" i="2"/>
  <c r="AZ17" i="2"/>
  <c r="AZ9" i="2"/>
  <c r="BN34" i="2"/>
  <c r="K41" i="16"/>
  <c r="I41" i="16"/>
  <c r="BN53" i="2"/>
  <c r="I44" i="16"/>
  <c r="J44" i="16"/>
  <c r="BN20" i="2"/>
  <c r="I39" i="16"/>
  <c r="AV45" i="2"/>
  <c r="AV25" i="2"/>
  <c r="AV32" i="2"/>
  <c r="AV50" i="2"/>
  <c r="AW4" i="2"/>
  <c r="AV4" i="2"/>
  <c r="AV5" i="2"/>
  <c r="AV39" i="2"/>
  <c r="AV18" i="2"/>
  <c r="BE15" i="2"/>
  <c r="E38" i="16" s="1"/>
  <c r="BD15" i="2"/>
  <c r="D38" i="16" s="1"/>
  <c r="BF15" i="2"/>
  <c r="F38" i="16" s="1"/>
  <c r="BD8" i="2"/>
  <c r="D7" i="16" s="1"/>
  <c r="BF16" i="2"/>
  <c r="F23" i="16" s="1"/>
  <c r="BD16" i="2"/>
  <c r="D23" i="16" s="1"/>
  <c r="BN27" i="2"/>
  <c r="I40" i="16"/>
  <c r="J40" i="16"/>
  <c r="BN41" i="2"/>
  <c r="BN47" i="2"/>
  <c r="I43" i="16"/>
  <c r="J43" i="16"/>
  <c r="AO66" i="2"/>
  <c r="AK66" i="2"/>
  <c r="AL65" i="2"/>
  <c r="AK65" i="2"/>
  <c r="AK56" i="2"/>
  <c r="AK62" i="2"/>
  <c r="AK51" i="2"/>
  <c r="AK12" i="2"/>
  <c r="AK82" i="2"/>
  <c r="AK78" i="2"/>
  <c r="AO82" i="2"/>
  <c r="AK81" i="2"/>
  <c r="AL81" i="2"/>
  <c r="M14" i="16" l="1"/>
  <c r="M11" i="16"/>
  <c r="CJ197" i="2"/>
  <c r="M9" i="16"/>
  <c r="CN197" i="2"/>
  <c r="CK197" i="2"/>
  <c r="CL197" i="2"/>
  <c r="CP197" i="2"/>
  <c r="CM197" i="2"/>
  <c r="CO197" i="2"/>
  <c r="CI197" i="2"/>
  <c r="BG75" i="2"/>
  <c r="BJ76" i="2"/>
  <c r="L14" i="16"/>
  <c r="BJ10" i="2"/>
  <c r="L11" i="16"/>
  <c r="F7" i="16"/>
  <c r="J8" i="16"/>
  <c r="L9" i="16"/>
  <c r="BM21" i="2"/>
  <c r="L13" i="16"/>
  <c r="T28" i="16"/>
  <c r="N13" i="16"/>
  <c r="M13" i="16"/>
  <c r="U9" i="16"/>
  <c r="L12" i="16"/>
  <c r="BR20" i="2"/>
  <c r="BV20" i="2" s="1"/>
  <c r="BZ20" i="2" s="1"/>
  <c r="CD20" i="2" s="1"/>
  <c r="N9" i="16"/>
  <c r="T8" i="16"/>
  <c r="U10" i="16"/>
  <c r="J14" i="15"/>
  <c r="N12" i="16"/>
  <c r="U13" i="16"/>
  <c r="BS34" i="2"/>
  <c r="BW34" i="2" s="1"/>
  <c r="CA34" i="2" s="1"/>
  <c r="CE34" i="2" s="1"/>
  <c r="O11" i="16"/>
  <c r="K10" i="16"/>
  <c r="K9" i="16"/>
  <c r="T14" i="15"/>
  <c r="K12" i="16"/>
  <c r="N10" i="16"/>
  <c r="BR34" i="2"/>
  <c r="BV34" i="2" s="1"/>
  <c r="N11" i="16"/>
  <c r="S33" i="15"/>
  <c r="S15" i="16"/>
  <c r="U14" i="16"/>
  <c r="T25" i="16"/>
  <c r="K14" i="16"/>
  <c r="L10" i="16"/>
  <c r="BR53" i="2"/>
  <c r="BV53" i="2" s="1"/>
  <c r="BV219" i="2" s="1"/>
  <c r="N14" i="16"/>
  <c r="U11" i="16"/>
  <c r="K13" i="16"/>
  <c r="M10" i="16"/>
  <c r="BR47" i="2"/>
  <c r="BV47" i="2" s="1"/>
  <c r="BZ47" i="2" s="1"/>
  <c r="CD47" i="2" s="1"/>
  <c r="BH10" i="2"/>
  <c r="H22" i="16" s="1"/>
  <c r="BG9" i="2"/>
  <c r="G37" i="16" s="1"/>
  <c r="BG10" i="2"/>
  <c r="G22" i="16" s="1"/>
  <c r="BR27" i="2"/>
  <c r="BV27" i="2" s="1"/>
  <c r="BX28" i="4"/>
  <c r="BX13" i="3" s="1"/>
  <c r="BM219" i="2"/>
  <c r="M34" i="15" s="1"/>
  <c r="BO20" i="2"/>
  <c r="K44" i="16"/>
  <c r="BR41" i="2"/>
  <c r="BV41" i="2" s="1"/>
  <c r="BZ41" i="2" s="1"/>
  <c r="CD41" i="2" s="1"/>
  <c r="BO41" i="2"/>
  <c r="K43" i="16"/>
  <c r="BM212" i="2"/>
  <c r="BF44" i="2"/>
  <c r="BF77" i="2"/>
  <c r="BF76" i="2"/>
  <c r="AN31" i="6"/>
  <c r="AN34" i="6"/>
  <c r="AC31" i="6"/>
  <c r="AC34" i="6"/>
  <c r="Q31" i="6"/>
  <c r="Q34" i="6"/>
  <c r="AQ31" i="6"/>
  <c r="AQ34" i="6"/>
  <c r="C31" i="6"/>
  <c r="C34" i="6"/>
  <c r="E31" i="6"/>
  <c r="E34" i="6"/>
  <c r="U31" i="6"/>
  <c r="U34" i="6"/>
  <c r="M31" i="6"/>
  <c r="M34" i="6"/>
  <c r="AE31" i="6"/>
  <c r="AE34" i="6"/>
  <c r="Y31" i="6"/>
  <c r="Y34" i="6"/>
  <c r="AI31" i="6"/>
  <c r="AI34" i="6"/>
  <c r="W31" i="6"/>
  <c r="W34" i="6"/>
  <c r="I31" i="6"/>
  <c r="I34" i="6"/>
  <c r="AM31" i="6"/>
  <c r="AM34" i="6"/>
  <c r="AO31" i="6"/>
  <c r="AO34" i="6"/>
  <c r="O31" i="6"/>
  <c r="O34" i="6"/>
  <c r="S31" i="6"/>
  <c r="S34" i="6"/>
  <c r="G31" i="6"/>
  <c r="G34" i="6"/>
  <c r="AA31" i="6"/>
  <c r="AA34" i="6"/>
  <c r="AG31" i="6"/>
  <c r="AG34" i="6"/>
  <c r="K31" i="6"/>
  <c r="K34" i="6"/>
  <c r="BZ53" i="2"/>
  <c r="CD53" i="2" s="1"/>
  <c r="AS87" i="2"/>
  <c r="CR135" i="2"/>
  <c r="BD44" i="2"/>
  <c r="CR150" i="2"/>
  <c r="AS185" i="2"/>
  <c r="CR145" i="2"/>
  <c r="AR58" i="3"/>
  <c r="CR130" i="2"/>
  <c r="BC44" i="2"/>
  <c r="AS169" i="2"/>
  <c r="AS170" i="2" s="1"/>
  <c r="AS190" i="2"/>
  <c r="AS57" i="3"/>
  <c r="AS83" i="2"/>
  <c r="AS229" i="2"/>
  <c r="AS2" i="5"/>
  <c r="AS5" i="5" s="1"/>
  <c r="AS58" i="3"/>
  <c r="AS52" i="4"/>
  <c r="AS180" i="2"/>
  <c r="AS91" i="4"/>
  <c r="AS96" i="4"/>
  <c r="AR185" i="2"/>
  <c r="AS172" i="2"/>
  <c r="AS201" i="2" s="1"/>
  <c r="AS57" i="2"/>
  <c r="AS197" i="2"/>
  <c r="AS3" i="6"/>
  <c r="AR190" i="2"/>
  <c r="AL197" i="2"/>
  <c r="AR197" i="2"/>
  <c r="AP197" i="2"/>
  <c r="CL190" i="2"/>
  <c r="AR172" i="2"/>
  <c r="AR201" i="2" s="1"/>
  <c r="BQ53" i="2"/>
  <c r="AR169" i="2"/>
  <c r="AV170" i="2" s="1"/>
  <c r="BO47" i="2"/>
  <c r="I53" i="15"/>
  <c r="CU27" i="3"/>
  <c r="CU21" i="6"/>
  <c r="AR57" i="3"/>
  <c r="CJ169" i="2"/>
  <c r="AR229" i="2"/>
  <c r="CL180" i="2"/>
  <c r="AS86" i="2"/>
  <c r="AR180" i="2"/>
  <c r="Q170" i="2"/>
  <c r="CJ180" i="2"/>
  <c r="AR87" i="2"/>
  <c r="AR96" i="4"/>
  <c r="AR83" i="2"/>
  <c r="AR3" i="6"/>
  <c r="CJ190" i="2"/>
  <c r="AR57" i="2"/>
  <c r="AR86" i="2"/>
  <c r="AR2" i="5"/>
  <c r="AR5" i="5" s="1"/>
  <c r="AR91" i="4"/>
  <c r="AR52" i="4"/>
  <c r="CV37" i="2"/>
  <c r="CV30" i="2"/>
  <c r="CV23" i="2"/>
  <c r="AO173" i="2"/>
  <c r="AO201" i="2"/>
  <c r="K42" i="16"/>
  <c r="AN201" i="2"/>
  <c r="X174" i="2"/>
  <c r="P174" i="2"/>
  <c r="CJ185" i="2"/>
  <c r="CL77" i="4"/>
  <c r="CJ229" i="2"/>
  <c r="CJ83" i="2"/>
  <c r="BQ47" i="2"/>
  <c r="AO175" i="2"/>
  <c r="AN173" i="2"/>
  <c r="CS130" i="2"/>
  <c r="AX130" i="2"/>
  <c r="AX62" i="2"/>
  <c r="AX135" i="2"/>
  <c r="AX145" i="2"/>
  <c r="AX150" i="2"/>
  <c r="AX78" i="2"/>
  <c r="AX208" i="2"/>
  <c r="CS150" i="2"/>
  <c r="AT197" i="2"/>
  <c r="CS6" i="2"/>
  <c r="BE6" i="6"/>
  <c r="BE38" i="6" s="1"/>
  <c r="BM38" i="6" s="1"/>
  <c r="BQ38" i="6" s="1"/>
  <c r="BU38" i="6" s="1"/>
  <c r="BY38" i="6" s="1"/>
  <c r="CC38" i="6" s="1"/>
  <c r="CG38" i="6" s="1"/>
  <c r="BB5" i="2"/>
  <c r="B21" i="16" s="1"/>
  <c r="CI83" i="2"/>
  <c r="AZ18" i="2"/>
  <c r="CS145" i="2"/>
  <c r="AL87" i="2"/>
  <c r="AK197" i="2"/>
  <c r="BC3" i="2"/>
  <c r="C6" i="16" s="1"/>
  <c r="BD6" i="6"/>
  <c r="BD38" i="6" s="1"/>
  <c r="BP38" i="6" s="1"/>
  <c r="BT38" i="6" s="1"/>
  <c r="BX38" i="6" s="1"/>
  <c r="CB38" i="6" s="1"/>
  <c r="CF38" i="6" s="1"/>
  <c r="CS135" i="2"/>
  <c r="AW82" i="2"/>
  <c r="AW208" i="2"/>
  <c r="AW150" i="2"/>
  <c r="AW62" i="2"/>
  <c r="AW130" i="2"/>
  <c r="AW135" i="2"/>
  <c r="AW145" i="2"/>
  <c r="AN170" i="2"/>
  <c r="BB76" i="2"/>
  <c r="BB80" i="2"/>
  <c r="BB208" i="2" s="1"/>
  <c r="B32" i="15" s="1"/>
  <c r="BB32" i="2"/>
  <c r="CN3" i="6"/>
  <c r="AV201" i="2"/>
  <c r="CV213" i="2"/>
  <c r="J53" i="15"/>
  <c r="AY77" i="2"/>
  <c r="AX82" i="2"/>
  <c r="CQ130" i="2"/>
  <c r="CQ135" i="2"/>
  <c r="CQ145" i="2"/>
  <c r="CQ150" i="2"/>
  <c r="AW85" i="2"/>
  <c r="CV216" i="2"/>
  <c r="T53" i="15" s="1"/>
  <c r="CN172" i="2"/>
  <c r="CS85" i="2"/>
  <c r="AY75" i="2"/>
  <c r="CW212" i="2"/>
  <c r="CW214" i="2" s="1"/>
  <c r="CK83" i="2"/>
  <c r="CR85" i="2"/>
  <c r="AC170" i="2"/>
  <c r="G170" i="2"/>
  <c r="CK87" i="2"/>
  <c r="AW72" i="2"/>
  <c r="AW51" i="2"/>
  <c r="BB39" i="2"/>
  <c r="BB50" i="2"/>
  <c r="BB11" i="2"/>
  <c r="BB18" i="2"/>
  <c r="BB25" i="2"/>
  <c r="BB45" i="2"/>
  <c r="BN212" i="2"/>
  <c r="BN214" i="2" s="1"/>
  <c r="BQ34" i="2"/>
  <c r="Q11" i="16" s="1"/>
  <c r="AX6" i="2"/>
  <c r="AX72" i="2"/>
  <c r="AX85" i="2"/>
  <c r="AX66" i="2"/>
  <c r="AX51" i="2"/>
  <c r="AX56" i="2"/>
  <c r="AX12" i="2"/>
  <c r="BQ27" i="2"/>
  <c r="BF3" i="2"/>
  <c r="BB64" i="2"/>
  <c r="AZ75" i="2"/>
  <c r="L34" i="15"/>
  <c r="BN219" i="2"/>
  <c r="N34" i="15" s="1"/>
  <c r="CX47" i="2"/>
  <c r="AX65" i="2"/>
  <c r="AW56" i="2"/>
  <c r="AZ76" i="2"/>
  <c r="AZ77" i="2"/>
  <c r="CX34" i="2"/>
  <c r="BE74" i="2"/>
  <c r="BI76" i="2" s="1"/>
  <c r="AW66" i="2"/>
  <c r="AW12" i="2"/>
  <c r="AW6" i="2"/>
  <c r="CU74" i="2"/>
  <c r="AW78" i="2"/>
  <c r="AX81" i="2"/>
  <c r="I15" i="16"/>
  <c r="AZ5" i="2"/>
  <c r="BD74" i="2"/>
  <c r="BH76" i="2" s="1"/>
  <c r="AZ11" i="2"/>
  <c r="AZ80" i="2"/>
  <c r="AZ208" i="2" s="1"/>
  <c r="AZ64" i="2"/>
  <c r="AZ25" i="2"/>
  <c r="AZ39" i="2"/>
  <c r="AZ32" i="2"/>
  <c r="AZ50" i="2"/>
  <c r="AZ45" i="2"/>
  <c r="CX53" i="2"/>
  <c r="BC9" i="2"/>
  <c r="C37" i="16" s="1"/>
  <c r="BC17" i="2"/>
  <c r="BC10" i="2"/>
  <c r="C22" i="16" s="1"/>
  <c r="CX27" i="2"/>
  <c r="CW14" i="2"/>
  <c r="AY64" i="2"/>
  <c r="CT64" i="2"/>
  <c r="AU150" i="2"/>
  <c r="AU135" i="2"/>
  <c r="AU145" i="2"/>
  <c r="AU130" i="2"/>
  <c r="AU62" i="2"/>
  <c r="AU78" i="2"/>
  <c r="CT80" i="2"/>
  <c r="CT78" i="2" s="1"/>
  <c r="CV68" i="2"/>
  <c r="CX20" i="2"/>
  <c r="CN83" i="2"/>
  <c r="CO83" i="2"/>
  <c r="CM87" i="2"/>
  <c r="CL57" i="2"/>
  <c r="CV16" i="2"/>
  <c r="T23" i="16" s="1"/>
  <c r="CW55" i="2"/>
  <c r="AT96" i="4"/>
  <c r="AT2" i="5"/>
  <c r="AT5" i="5" s="1"/>
  <c r="AT58" i="3"/>
  <c r="AT52" i="4"/>
  <c r="AT185" i="2"/>
  <c r="AT172" i="2"/>
  <c r="AT57" i="2"/>
  <c r="AT86" i="2"/>
  <c r="AT83" i="2"/>
  <c r="AT91" i="4"/>
  <c r="AT3" i="6"/>
  <c r="AT229" i="2"/>
  <c r="AT57" i="3"/>
  <c r="AT190" i="2"/>
  <c r="AT180" i="2"/>
  <c r="AT169" i="2"/>
  <c r="CL169" i="2"/>
  <c r="CM83" i="2"/>
  <c r="CP3" i="6"/>
  <c r="CL84" i="4"/>
  <c r="CL229" i="2"/>
  <c r="CL185" i="2"/>
  <c r="CL83" i="2"/>
  <c r="CU70" i="2"/>
  <c r="S30" i="16" s="1"/>
  <c r="BN21" i="2"/>
  <c r="I23" i="16"/>
  <c r="CW22" i="2"/>
  <c r="H174" i="2"/>
  <c r="AF174" i="2"/>
  <c r="O170" i="2"/>
  <c r="AE170" i="2"/>
  <c r="Y170" i="2"/>
  <c r="CN2" i="5"/>
  <c r="CN5" i="5" s="1"/>
  <c r="AI170" i="2"/>
  <c r="W170" i="2"/>
  <c r="CJ2" i="5"/>
  <c r="CJ5" i="5" s="1"/>
  <c r="AK83" i="2"/>
  <c r="AK96" i="4"/>
  <c r="AK91" i="4"/>
  <c r="AK3" i="6"/>
  <c r="AK2" i="5"/>
  <c r="AK5" i="5" s="1"/>
  <c r="AK58" i="3"/>
  <c r="AK57" i="3"/>
  <c r="AK229" i="2"/>
  <c r="AK52" i="4"/>
  <c r="AK172" i="2"/>
  <c r="CQ172" i="2" s="1"/>
  <c r="AK190" i="2"/>
  <c r="AK185" i="2"/>
  <c r="AK180" i="2"/>
  <c r="AK169" i="2"/>
  <c r="CT77" i="2"/>
  <c r="CW49" i="2"/>
  <c r="CQ51" i="2"/>
  <c r="CQ12" i="2"/>
  <c r="CQ62" i="2"/>
  <c r="CQ56" i="2"/>
  <c r="CR66" i="2"/>
  <c r="CQ72" i="2"/>
  <c r="CQ66" i="2"/>
  <c r="CQ6" i="2"/>
  <c r="H250" i="2"/>
  <c r="H57" i="4"/>
  <c r="H61" i="4" s="1"/>
  <c r="H226" i="2"/>
  <c r="H202" i="2"/>
  <c r="L204" i="2"/>
  <c r="P250" i="2"/>
  <c r="P57" i="4"/>
  <c r="P61" i="4" s="1"/>
  <c r="P226" i="2"/>
  <c r="P202" i="2"/>
  <c r="T204" i="2"/>
  <c r="X250" i="2"/>
  <c r="X57" i="4"/>
  <c r="X61" i="4" s="1"/>
  <c r="X226" i="2"/>
  <c r="X202" i="2"/>
  <c r="AB204" i="2"/>
  <c r="AF250" i="2"/>
  <c r="AF57" i="4"/>
  <c r="AF61" i="4" s="1"/>
  <c r="AF226" i="2"/>
  <c r="AF202" i="2"/>
  <c r="AJ204" i="2"/>
  <c r="AJ57" i="4"/>
  <c r="AJ61" i="4" s="1"/>
  <c r="AJ226" i="2"/>
  <c r="AJ202" i="2"/>
  <c r="AJ250" i="2"/>
  <c r="AJ174" i="2"/>
  <c r="CS66" i="2"/>
  <c r="CR51" i="2"/>
  <c r="CR56" i="2"/>
  <c r="CR62" i="2"/>
  <c r="CR72" i="2"/>
  <c r="CR12" i="2"/>
  <c r="CS208" i="2"/>
  <c r="CS78" i="2"/>
  <c r="Q201" i="2"/>
  <c r="Q173" i="2"/>
  <c r="R175" i="2"/>
  <c r="U176" i="2"/>
  <c r="AH173" i="2"/>
  <c r="AH174" i="2" s="1"/>
  <c r="AH201" i="2"/>
  <c r="AI175" i="2"/>
  <c r="AH5" i="5"/>
  <c r="CQ85" i="2"/>
  <c r="Z170" i="2"/>
  <c r="AD170" i="2"/>
  <c r="Z31" i="6"/>
  <c r="CO3" i="6"/>
  <c r="AC201" i="2"/>
  <c r="AC173" i="2"/>
  <c r="AD175" i="2"/>
  <c r="AG176" i="2"/>
  <c r="E201" i="2"/>
  <c r="E173" i="2"/>
  <c r="F175" i="2"/>
  <c r="I176" i="2"/>
  <c r="G201" i="2"/>
  <c r="G173" i="2"/>
  <c r="H175" i="2"/>
  <c r="K176" i="2"/>
  <c r="I170" i="2"/>
  <c r="I201" i="2"/>
  <c r="I173" i="2"/>
  <c r="J175" i="2"/>
  <c r="M176" i="2"/>
  <c r="G175" i="2"/>
  <c r="F57" i="4"/>
  <c r="F61" i="4" s="1"/>
  <c r="F226" i="2"/>
  <c r="F202" i="2"/>
  <c r="F250" i="2"/>
  <c r="CL2" i="5"/>
  <c r="CL5" i="5" s="1"/>
  <c r="N57" i="4"/>
  <c r="N61" i="4" s="1"/>
  <c r="N226" i="2"/>
  <c r="N202" i="2"/>
  <c r="N250" i="2"/>
  <c r="CP229" i="2"/>
  <c r="CP57" i="2"/>
  <c r="CP185" i="2"/>
  <c r="CP190" i="2"/>
  <c r="CP180" i="2"/>
  <c r="CP169" i="2"/>
  <c r="CP2" i="5"/>
  <c r="CP5" i="5" s="1"/>
  <c r="AD57" i="4"/>
  <c r="AD61" i="4" s="1"/>
  <c r="AD226" i="2"/>
  <c r="AD202" i="2"/>
  <c r="AD250" i="2"/>
  <c r="E175" i="2"/>
  <c r="AC175" i="2"/>
  <c r="CS82" i="2"/>
  <c r="CR208" i="2"/>
  <c r="CR67" i="4"/>
  <c r="CR78" i="2"/>
  <c r="AQ170" i="2"/>
  <c r="AQ201" i="2"/>
  <c r="AQ173" i="2"/>
  <c r="Y201" i="2"/>
  <c r="Y173" i="2"/>
  <c r="Z175" i="2"/>
  <c r="AC176" i="2"/>
  <c r="AM176" i="2"/>
  <c r="AI201" i="2"/>
  <c r="AI173" i="2"/>
  <c r="AJ175" i="2"/>
  <c r="R170" i="2"/>
  <c r="V170" i="2"/>
  <c r="R31" i="6"/>
  <c r="CM3" i="6"/>
  <c r="CI180" i="2"/>
  <c r="CI185" i="2"/>
  <c r="CI190" i="2"/>
  <c r="CJ87" i="2"/>
  <c r="CI229" i="2"/>
  <c r="CI169" i="2"/>
  <c r="CI172" i="2"/>
  <c r="C173" i="2"/>
  <c r="D175" i="2"/>
  <c r="G176" i="2"/>
  <c r="W201" i="2"/>
  <c r="W173" i="2"/>
  <c r="X175" i="2"/>
  <c r="AA176" i="2"/>
  <c r="J173" i="2"/>
  <c r="J174" i="2" s="1"/>
  <c r="J201" i="2"/>
  <c r="N176" i="2"/>
  <c r="CK172" i="2"/>
  <c r="K175" i="2"/>
  <c r="CK2" i="5"/>
  <c r="CK5" i="5" s="1"/>
  <c r="J5" i="5"/>
  <c r="CK185" i="2"/>
  <c r="CK190" i="2"/>
  <c r="CL87" i="2"/>
  <c r="CK180" i="2"/>
  <c r="CK229" i="2"/>
  <c r="CK77" i="4"/>
  <c r="CK84" i="4"/>
  <c r="CK169" i="2"/>
  <c r="BM14" i="2"/>
  <c r="BQ20" i="2"/>
  <c r="CJ3" i="6"/>
  <c r="I175" i="2"/>
  <c r="Q175" i="2"/>
  <c r="Y175" i="2"/>
  <c r="CL3" i="6"/>
  <c r="CO87" i="2"/>
  <c r="CN180" i="2"/>
  <c r="CN57" i="2"/>
  <c r="CN185" i="2"/>
  <c r="CN190" i="2"/>
  <c r="CN229" i="2"/>
  <c r="CN169" i="2"/>
  <c r="W175" i="2"/>
  <c r="V57" i="4"/>
  <c r="V61" i="4" s="1"/>
  <c r="V226" i="2"/>
  <c r="V202" i="2"/>
  <c r="V250" i="2"/>
  <c r="AL83" i="2"/>
  <c r="AL91" i="4"/>
  <c r="AL96" i="4"/>
  <c r="AL3" i="6"/>
  <c r="AL34" i="6" s="1"/>
  <c r="AL2" i="5"/>
  <c r="AL229" i="2"/>
  <c r="AL58" i="3"/>
  <c r="AL57" i="3"/>
  <c r="AL52" i="4"/>
  <c r="AL190" i="2"/>
  <c r="AL185" i="2"/>
  <c r="AL180" i="2"/>
  <c r="AL172" i="2"/>
  <c r="CR172" i="2" s="1"/>
  <c r="AL169" i="2"/>
  <c r="AL170" i="2" s="1"/>
  <c r="AP87" i="2"/>
  <c r="AM86" i="2"/>
  <c r="AL57" i="2"/>
  <c r="AP91" i="4"/>
  <c r="AP96" i="4"/>
  <c r="AP3" i="6"/>
  <c r="AP34" i="6" s="1"/>
  <c r="AP2" i="5"/>
  <c r="AP229" i="2"/>
  <c r="AP58" i="3"/>
  <c r="AP57" i="3"/>
  <c r="AP52" i="4"/>
  <c r="AP190" i="2"/>
  <c r="AP185" i="2"/>
  <c r="AP180" i="2"/>
  <c r="AP172" i="2"/>
  <c r="AP169" i="2"/>
  <c r="AP86" i="2"/>
  <c r="AP57" i="2"/>
  <c r="AQ86" i="2"/>
  <c r="AT87" i="2"/>
  <c r="AP83" i="2"/>
  <c r="CS72" i="2"/>
  <c r="CS62" i="2"/>
  <c r="CS51" i="2"/>
  <c r="CS56" i="2"/>
  <c r="CS12" i="2"/>
  <c r="CP83" i="2"/>
  <c r="AH31" i="6"/>
  <c r="Z173" i="2"/>
  <c r="Z174" i="2" s="1"/>
  <c r="Z201" i="2"/>
  <c r="AD176" i="2"/>
  <c r="CO172" i="2"/>
  <c r="AA175" i="2"/>
  <c r="CO2" i="5"/>
  <c r="CO5" i="5" s="1"/>
  <c r="Z5" i="5"/>
  <c r="CO57" i="2"/>
  <c r="CO185" i="2"/>
  <c r="CO190" i="2"/>
  <c r="CP87" i="2"/>
  <c r="CO180" i="2"/>
  <c r="CO229" i="2"/>
  <c r="CO169" i="2"/>
  <c r="M170" i="2"/>
  <c r="M201" i="2"/>
  <c r="M173" i="2"/>
  <c r="N175" i="2"/>
  <c r="Q176" i="2"/>
  <c r="O201" i="2"/>
  <c r="O173" i="2"/>
  <c r="P175" i="2"/>
  <c r="S176" i="2"/>
  <c r="AE201" i="2"/>
  <c r="AE173" i="2"/>
  <c r="AF175" i="2"/>
  <c r="AI176" i="2"/>
  <c r="CJ172" i="2"/>
  <c r="J176" i="2"/>
  <c r="CR82" i="2"/>
  <c r="CL172" i="2"/>
  <c r="CP172" i="2"/>
  <c r="AH176" i="2"/>
  <c r="D57" i="4"/>
  <c r="D61" i="4" s="1"/>
  <c r="D226" i="2"/>
  <c r="D250" i="2"/>
  <c r="D202" i="2"/>
  <c r="H204" i="2"/>
  <c r="L174" i="2"/>
  <c r="L57" i="4"/>
  <c r="L61" i="4" s="1"/>
  <c r="L226" i="2"/>
  <c r="L250" i="2"/>
  <c r="L202" i="2"/>
  <c r="P204" i="2"/>
  <c r="T174" i="2"/>
  <c r="T57" i="4"/>
  <c r="T61" i="4" s="1"/>
  <c r="T226" i="2"/>
  <c r="T250" i="2"/>
  <c r="T202" i="2"/>
  <c r="X204" i="2"/>
  <c r="AB174" i="2"/>
  <c r="AB57" i="4"/>
  <c r="AB61" i="4" s="1"/>
  <c r="AB226" i="2"/>
  <c r="AB250" i="2"/>
  <c r="AB202" i="2"/>
  <c r="AF204" i="2"/>
  <c r="CR6" i="2"/>
  <c r="AM170" i="2"/>
  <c r="AQ176" i="2"/>
  <c r="AM201" i="2"/>
  <c r="AM173" i="2"/>
  <c r="AN175" i="2"/>
  <c r="R173" i="2"/>
  <c r="R174" i="2" s="1"/>
  <c r="R201" i="2"/>
  <c r="V176" i="2"/>
  <c r="CM172" i="2"/>
  <c r="S175" i="2"/>
  <c r="CM2" i="5"/>
  <c r="CM5" i="5" s="1"/>
  <c r="R5" i="5"/>
  <c r="CM57" i="2"/>
  <c r="CM180" i="2"/>
  <c r="CM185" i="2"/>
  <c r="CM190" i="2"/>
  <c r="CN87" i="2"/>
  <c r="CM229" i="2"/>
  <c r="CM77" i="4"/>
  <c r="CM84" i="4"/>
  <c r="CM169" i="2"/>
  <c r="S170" i="2"/>
  <c r="S201" i="2"/>
  <c r="S173" i="2"/>
  <c r="T175" i="2"/>
  <c r="W176" i="2"/>
  <c r="AA170" i="2"/>
  <c r="AA201" i="2"/>
  <c r="AA173" i="2"/>
  <c r="AB175" i="2"/>
  <c r="AE176" i="2"/>
  <c r="U170" i="2"/>
  <c r="U201" i="2"/>
  <c r="U173" i="2"/>
  <c r="V175" i="2"/>
  <c r="Y176" i="2"/>
  <c r="AG170" i="2"/>
  <c r="AG201" i="2"/>
  <c r="AG173" i="2"/>
  <c r="AH175" i="2"/>
  <c r="B173" i="2"/>
  <c r="F174" i="2" s="1"/>
  <c r="B201" i="2"/>
  <c r="F176" i="2"/>
  <c r="C175" i="2"/>
  <c r="CI2" i="5"/>
  <c r="CI5" i="5" s="1"/>
  <c r="B5" i="5"/>
  <c r="B31" i="6"/>
  <c r="CI3" i="6"/>
  <c r="K170" i="2"/>
  <c r="K201" i="2"/>
  <c r="K173" i="2"/>
  <c r="L175" i="2"/>
  <c r="O176" i="2"/>
  <c r="J170" i="2"/>
  <c r="N170" i="2"/>
  <c r="J31" i="6"/>
  <c r="CK3" i="6"/>
  <c r="AY4" i="2"/>
  <c r="BC74" i="2"/>
  <c r="BG76" i="2" s="1"/>
  <c r="BC6" i="6"/>
  <c r="BC38" i="6" s="1"/>
  <c r="BO38" i="6" s="1"/>
  <c r="BS38" i="6" s="1"/>
  <c r="BW38" i="6" s="1"/>
  <c r="CA38" i="6" s="1"/>
  <c r="CE38" i="6" s="1"/>
  <c r="CW29" i="2"/>
  <c r="BO27" i="2"/>
  <c r="AY45" i="2"/>
  <c r="BA76" i="2"/>
  <c r="K34" i="15"/>
  <c r="BO53" i="2"/>
  <c r="CW219" i="2"/>
  <c r="U34" i="15" s="1"/>
  <c r="AY50" i="2"/>
  <c r="CW36" i="2"/>
  <c r="L41" i="16"/>
  <c r="BA75" i="2"/>
  <c r="BB75" i="2"/>
  <c r="BF6" i="6"/>
  <c r="BF38" i="6" s="1"/>
  <c r="BN38" i="6" s="1"/>
  <c r="BR38" i="6" s="1"/>
  <c r="BV38" i="6" s="1"/>
  <c r="BZ38" i="6" s="1"/>
  <c r="CD38" i="6" s="1"/>
  <c r="CV24" i="2"/>
  <c r="CV38" i="2"/>
  <c r="CV31" i="2"/>
  <c r="CU6" i="6"/>
  <c r="AU81" i="2"/>
  <c r="AU82" i="2"/>
  <c r="CT76" i="2"/>
  <c r="AY11" i="2"/>
  <c r="CU71" i="2"/>
  <c r="AU12" i="2"/>
  <c r="AU72" i="2"/>
  <c r="AU56" i="2"/>
  <c r="AU65" i="2"/>
  <c r="AU51" i="2"/>
  <c r="AU6" i="2"/>
  <c r="AU66" i="2"/>
  <c r="AU85" i="2"/>
  <c r="CT32" i="2"/>
  <c r="CT5" i="2"/>
  <c r="CT50" i="2"/>
  <c r="CT45" i="2"/>
  <c r="CT39" i="2"/>
  <c r="CT25" i="2"/>
  <c r="CT18" i="2"/>
  <c r="CT19" i="4"/>
  <c r="CT11" i="2"/>
  <c r="BQ4" i="3"/>
  <c r="CY26" i="4"/>
  <c r="AV72" i="2"/>
  <c r="AY5" i="2"/>
  <c r="AY18" i="2"/>
  <c r="AY39" i="2"/>
  <c r="AY80" i="2"/>
  <c r="AY208" i="2" s="1"/>
  <c r="AY32" i="2"/>
  <c r="AY25" i="2"/>
  <c r="AZ4" i="2"/>
  <c r="BO35" i="2"/>
  <c r="O41" i="16" s="1"/>
  <c r="BN35" i="2"/>
  <c r="N41" i="16" s="1"/>
  <c r="BF10" i="2"/>
  <c r="F22" i="16" s="1"/>
  <c r="BF17" i="2"/>
  <c r="BP34" i="2"/>
  <c r="BM35" i="2"/>
  <c r="M41" i="16" s="1"/>
  <c r="BM54" i="2"/>
  <c r="M44" i="16" s="1"/>
  <c r="BP53" i="2"/>
  <c r="L44" i="16"/>
  <c r="BN54" i="2"/>
  <c r="N44" i="16" s="1"/>
  <c r="BP20" i="2"/>
  <c r="BP27" i="2"/>
  <c r="BM28" i="2"/>
  <c r="BN14" i="2"/>
  <c r="BD3" i="2"/>
  <c r="D6" i="16" s="1"/>
  <c r="BD10" i="2"/>
  <c r="D22" i="16" s="1"/>
  <c r="BN28" i="2"/>
  <c r="AV51" i="2"/>
  <c r="AV56" i="2"/>
  <c r="AV66" i="2"/>
  <c r="AW65" i="2"/>
  <c r="AV12" i="2"/>
  <c r="AV65" i="2"/>
  <c r="AV82" i="2"/>
  <c r="AV81" i="2"/>
  <c r="AV78" i="2"/>
  <c r="AW81" i="2"/>
  <c r="AV6" i="2"/>
  <c r="BD9" i="2"/>
  <c r="D37" i="16" s="1"/>
  <c r="BD17" i="2"/>
  <c r="I38" i="16"/>
  <c r="J38" i="16"/>
  <c r="J23" i="16"/>
  <c r="BP41" i="2"/>
  <c r="L42" i="16"/>
  <c r="BP47" i="2"/>
  <c r="BM48" i="2"/>
  <c r="M43" i="16" s="1"/>
  <c r="L43" i="16"/>
  <c r="BN48" i="2"/>
  <c r="N43" i="16" s="1"/>
  <c r="AK57" i="2"/>
  <c r="AO87" i="2"/>
  <c r="AL86" i="2"/>
  <c r="AK87" i="2"/>
  <c r="AK86" i="2"/>
  <c r="BM214" i="2" l="1"/>
  <c r="M40" i="16"/>
  <c r="L40" i="16"/>
  <c r="CQ197" i="2"/>
  <c r="K40" i="16"/>
  <c r="Q9" i="16"/>
  <c r="M39" i="16"/>
  <c r="N14" i="15"/>
  <c r="M14" i="15"/>
  <c r="L39" i="16"/>
  <c r="CR197" i="2"/>
  <c r="K39" i="16"/>
  <c r="N40" i="16"/>
  <c r="N39" i="16"/>
  <c r="BJ5" i="2"/>
  <c r="L14" i="15"/>
  <c r="F6" i="16"/>
  <c r="BW35" i="2"/>
  <c r="N8" i="16"/>
  <c r="BZ34" i="2"/>
  <c r="CD34" i="2" s="1"/>
  <c r="CE35" i="2" s="1"/>
  <c r="M8" i="16"/>
  <c r="L8" i="16"/>
  <c r="K8" i="16"/>
  <c r="BR219" i="2"/>
  <c r="Q13" i="16"/>
  <c r="P13" i="16"/>
  <c r="O13" i="16"/>
  <c r="U14" i="15"/>
  <c r="O12" i="16"/>
  <c r="BT20" i="2"/>
  <c r="BX20" i="2" s="1"/>
  <c r="P9" i="16"/>
  <c r="BT34" i="2"/>
  <c r="BT35" i="2" s="1"/>
  <c r="P11" i="16"/>
  <c r="O10" i="16"/>
  <c r="BV14" i="2"/>
  <c r="BV31" i="2" s="1"/>
  <c r="T15" i="16"/>
  <c r="K14" i="15"/>
  <c r="U25" i="16"/>
  <c r="T33" i="15"/>
  <c r="P10" i="16"/>
  <c r="J7" i="16"/>
  <c r="BS53" i="2"/>
  <c r="BW53" i="2" s="1"/>
  <c r="O14" i="16"/>
  <c r="U8" i="16"/>
  <c r="V14" i="16"/>
  <c r="V13" i="16"/>
  <c r="BS20" i="2"/>
  <c r="BW20" i="2" s="1"/>
  <c r="CA20" i="2" s="1"/>
  <c r="CE20" i="2" s="1"/>
  <c r="CE21" i="2" s="1"/>
  <c r="O9" i="16"/>
  <c r="P12" i="16"/>
  <c r="B5" i="15"/>
  <c r="B5" i="16"/>
  <c r="BT53" i="2"/>
  <c r="BX53" i="2" s="1"/>
  <c r="CB53" i="2" s="1"/>
  <c r="CF53" i="2" s="1"/>
  <c r="P14" i="16"/>
  <c r="V9" i="16"/>
  <c r="V10" i="16"/>
  <c r="V11" i="16"/>
  <c r="J15" i="16"/>
  <c r="BS35" i="2"/>
  <c r="Q10" i="16"/>
  <c r="U24" i="16"/>
  <c r="U29" i="16"/>
  <c r="BU53" i="2"/>
  <c r="BU219" i="2" s="1"/>
  <c r="Q14" i="16"/>
  <c r="U28" i="16"/>
  <c r="U26" i="16"/>
  <c r="BR212" i="2"/>
  <c r="BV212" i="2"/>
  <c r="CD219" i="2"/>
  <c r="CD212" i="2"/>
  <c r="BR48" i="2"/>
  <c r="BT47" i="2"/>
  <c r="BX47" i="2" s="1"/>
  <c r="CB47" i="2" s="1"/>
  <c r="CF47" i="2" s="1"/>
  <c r="BS47" i="2"/>
  <c r="BH5" i="2"/>
  <c r="H21" i="16" s="1"/>
  <c r="BG5" i="2"/>
  <c r="G21" i="16" s="1"/>
  <c r="BG4" i="2"/>
  <c r="G36" i="16" s="1"/>
  <c r="BZ27" i="2"/>
  <c r="BR14" i="2"/>
  <c r="BR68" i="2" s="1"/>
  <c r="BT27" i="2"/>
  <c r="BX27" i="2" s="1"/>
  <c r="CB27" i="2" s="1"/>
  <c r="AS173" i="2"/>
  <c r="AS174" i="2" s="1"/>
  <c r="BM216" i="2"/>
  <c r="M53" i="15" s="1"/>
  <c r="BO21" i="2"/>
  <c r="BS41" i="2"/>
  <c r="BW41" i="2" s="1"/>
  <c r="CA41" i="2" s="1"/>
  <c r="BT41" i="2"/>
  <c r="BX41" i="2" s="1"/>
  <c r="BO42" i="2"/>
  <c r="O42" i="16" s="1"/>
  <c r="K23" i="16"/>
  <c r="BF75" i="2"/>
  <c r="BD77" i="2"/>
  <c r="BE75" i="2"/>
  <c r="BE76" i="2"/>
  <c r="BF32" i="2"/>
  <c r="BF50" i="2"/>
  <c r="BF80" i="2"/>
  <c r="BF39" i="2"/>
  <c r="BF45" i="2"/>
  <c r="BF25" i="2"/>
  <c r="AR31" i="6"/>
  <c r="AR34" i="6"/>
  <c r="AS31" i="6"/>
  <c r="AS34" i="6"/>
  <c r="AK31" i="6"/>
  <c r="AK34" i="6"/>
  <c r="AT31" i="6"/>
  <c r="AT34" i="6"/>
  <c r="BY28" i="4"/>
  <c r="DA28" i="4" s="1"/>
  <c r="BY29" i="4"/>
  <c r="DA29" i="4" s="1"/>
  <c r="BZ212" i="2"/>
  <c r="BZ219" i="2"/>
  <c r="BD39" i="2"/>
  <c r="BD32" i="2"/>
  <c r="BD50" i="2"/>
  <c r="BD45" i="2"/>
  <c r="BD25" i="2"/>
  <c r="AS202" i="2"/>
  <c r="AN250" i="2"/>
  <c r="AR57" i="4"/>
  <c r="AR61" i="4" s="1"/>
  <c r="AR62" i="4" s="1"/>
  <c r="BB62" i="2"/>
  <c r="AY62" i="2"/>
  <c r="AZ62" i="2"/>
  <c r="BQ219" i="2"/>
  <c r="Q34" i="15" s="1"/>
  <c r="AR170" i="2"/>
  <c r="AN202" i="2"/>
  <c r="AN204" i="2"/>
  <c r="BC50" i="2"/>
  <c r="BC32" i="2"/>
  <c r="BC39" i="2"/>
  <c r="BC45" i="2"/>
  <c r="BC25" i="2"/>
  <c r="AS226" i="2"/>
  <c r="AS57" i="4"/>
  <c r="AS61" i="4" s="1"/>
  <c r="CS172" i="2"/>
  <c r="AS250" i="2"/>
  <c r="BR54" i="2"/>
  <c r="AO226" i="2"/>
  <c r="AS176" i="2"/>
  <c r="BB145" i="2"/>
  <c r="BB150" i="2"/>
  <c r="BB135" i="2"/>
  <c r="BB130" i="2"/>
  <c r="CK170" i="2"/>
  <c r="CJ170" i="2"/>
  <c r="AR202" i="2"/>
  <c r="BB78" i="2"/>
  <c r="AS175" i="2"/>
  <c r="AR250" i="2"/>
  <c r="AR176" i="2"/>
  <c r="AR175" i="2"/>
  <c r="AS203" i="2"/>
  <c r="AR226" i="2"/>
  <c r="AR173" i="2"/>
  <c r="AR174" i="2" s="1"/>
  <c r="BO48" i="2"/>
  <c r="O43" i="16" s="1"/>
  <c r="K53" i="15"/>
  <c r="CN173" i="2"/>
  <c r="BO212" i="2"/>
  <c r="BO214" i="2" s="1"/>
  <c r="BO28" i="2"/>
  <c r="BS27" i="2"/>
  <c r="BW27" i="2" s="1"/>
  <c r="BQ212" i="2"/>
  <c r="BU47" i="2"/>
  <c r="BN216" i="2"/>
  <c r="N53" i="15" s="1"/>
  <c r="BU34" i="2"/>
  <c r="BR35" i="2"/>
  <c r="BR28" i="2"/>
  <c r="BU27" i="2"/>
  <c r="BN24" i="2"/>
  <c r="BR21" i="2"/>
  <c r="BU20" i="2"/>
  <c r="CV27" i="3"/>
  <c r="CV21" i="6"/>
  <c r="CY4" i="3"/>
  <c r="BR27" i="4"/>
  <c r="BR26" i="4"/>
  <c r="AR204" i="2"/>
  <c r="AN226" i="2"/>
  <c r="AN57" i="4"/>
  <c r="AN61" i="4" s="1"/>
  <c r="CM170" i="2"/>
  <c r="AZ150" i="2"/>
  <c r="AZ145" i="2"/>
  <c r="AZ130" i="2"/>
  <c r="AZ135" i="2"/>
  <c r="AO57" i="4"/>
  <c r="AO61" i="4" s="1"/>
  <c r="AO203" i="2"/>
  <c r="CQ87" i="2"/>
  <c r="AO202" i="2"/>
  <c r="AS204" i="2"/>
  <c r="AO250" i="2"/>
  <c r="CW37" i="2"/>
  <c r="CW30" i="2"/>
  <c r="CW23" i="2"/>
  <c r="AY150" i="2"/>
  <c r="AY130" i="2"/>
  <c r="AY145" i="2"/>
  <c r="AY135" i="2"/>
  <c r="CT150" i="2"/>
  <c r="CT130" i="2"/>
  <c r="CT135" i="2"/>
  <c r="CT145" i="2"/>
  <c r="CL170" i="2"/>
  <c r="AN174" i="2"/>
  <c r="BC80" i="2"/>
  <c r="BG82" i="2" s="1"/>
  <c r="AX91" i="4"/>
  <c r="AX190" i="2"/>
  <c r="AX169" i="2"/>
  <c r="AX170" i="2" s="1"/>
  <c r="AX58" i="3"/>
  <c r="AX229" i="2"/>
  <c r="AX185" i="2"/>
  <c r="AX96" i="4"/>
  <c r="AX57" i="3"/>
  <c r="AX180" i="2"/>
  <c r="BC11" i="2"/>
  <c r="BC4" i="2"/>
  <c r="C36" i="16" s="1"/>
  <c r="BC5" i="2"/>
  <c r="C21" i="16" s="1"/>
  <c r="BC18" i="2"/>
  <c r="BC64" i="2"/>
  <c r="CV6" i="6"/>
  <c r="BB82" i="2"/>
  <c r="AX210" i="2"/>
  <c r="CS197" i="2"/>
  <c r="BN215" i="2"/>
  <c r="AW57" i="3"/>
  <c r="AW229" i="2"/>
  <c r="AW96" i="4"/>
  <c r="AW169" i="2"/>
  <c r="AW91" i="4"/>
  <c r="AW190" i="2"/>
  <c r="AW58" i="3"/>
  <c r="AW180" i="2"/>
  <c r="CT20" i="4"/>
  <c r="K174" i="2"/>
  <c r="AY72" i="2"/>
  <c r="AW57" i="2"/>
  <c r="AY85" i="2"/>
  <c r="CT189" i="2"/>
  <c r="CT16" i="4"/>
  <c r="BF5" i="2"/>
  <c r="F21" i="16" s="1"/>
  <c r="BF18" i="2"/>
  <c r="AW83" i="2"/>
  <c r="AW87" i="2"/>
  <c r="AW2" i="5"/>
  <c r="AW3" i="6"/>
  <c r="AW34" i="6" s="1"/>
  <c r="AX86" i="2"/>
  <c r="CW216" i="2"/>
  <c r="U53" i="15" s="1"/>
  <c r="J30" i="16"/>
  <c r="CW213" i="2"/>
  <c r="U174" i="2"/>
  <c r="S174" i="2"/>
  <c r="AD174" i="2"/>
  <c r="CQ3" i="6"/>
  <c r="CX22" i="2"/>
  <c r="BF64" i="2"/>
  <c r="BF11" i="2"/>
  <c r="CX212" i="2"/>
  <c r="CX214" i="2" s="1"/>
  <c r="L53" i="15"/>
  <c r="CX49" i="2"/>
  <c r="AX3" i="6"/>
  <c r="AX31" i="6" s="1"/>
  <c r="AX57" i="2"/>
  <c r="AX83" i="2"/>
  <c r="AX87" i="2"/>
  <c r="AX2" i="5"/>
  <c r="BN31" i="2"/>
  <c r="BB85" i="2"/>
  <c r="BB6" i="2"/>
  <c r="BB72" i="2"/>
  <c r="BB12" i="2"/>
  <c r="BB66" i="2"/>
  <c r="BB51" i="2"/>
  <c r="BB56" i="2"/>
  <c r="BP219" i="2"/>
  <c r="P34" i="15" s="1"/>
  <c r="BM215" i="2"/>
  <c r="BP212" i="2"/>
  <c r="BP214" i="2" s="1"/>
  <c r="CY47" i="2"/>
  <c r="AZ66" i="2"/>
  <c r="CY34" i="2"/>
  <c r="AW210" i="2"/>
  <c r="J45" i="16"/>
  <c r="CU76" i="2"/>
  <c r="AX209" i="2"/>
  <c r="I30" i="16"/>
  <c r="AZ85" i="2"/>
  <c r="AZ72" i="2"/>
  <c r="AZ12" i="2"/>
  <c r="AZ56" i="2"/>
  <c r="AZ51" i="2"/>
  <c r="AZ6" i="2"/>
  <c r="BD76" i="2"/>
  <c r="BM68" i="2"/>
  <c r="CV74" i="2"/>
  <c r="CV76" i="2" s="1"/>
  <c r="AZ78" i="2"/>
  <c r="AZ82" i="2"/>
  <c r="CY20" i="2"/>
  <c r="BO54" i="2"/>
  <c r="O44" i="16" s="1"/>
  <c r="CY53" i="2"/>
  <c r="AY12" i="2"/>
  <c r="CY27" i="2"/>
  <c r="AY65" i="2"/>
  <c r="CT85" i="2"/>
  <c r="AU229" i="2"/>
  <c r="AU58" i="3"/>
  <c r="AU91" i="4"/>
  <c r="AU185" i="2"/>
  <c r="AU57" i="3"/>
  <c r="AU96" i="4"/>
  <c r="AU190" i="2"/>
  <c r="AU180" i="2"/>
  <c r="AU169" i="2"/>
  <c r="CX14" i="2"/>
  <c r="AV15" i="6"/>
  <c r="CW68" i="2"/>
  <c r="AZ65" i="2"/>
  <c r="AY66" i="2"/>
  <c r="AY51" i="2"/>
  <c r="AY56" i="2"/>
  <c r="AZ81" i="2"/>
  <c r="AY6" i="2"/>
  <c r="AW22" i="6"/>
  <c r="CT22" i="6" s="1"/>
  <c r="K38" i="16"/>
  <c r="CV70" i="2"/>
  <c r="T30" i="16" s="1"/>
  <c r="CV71" i="2"/>
  <c r="U203" i="2"/>
  <c r="R204" i="2"/>
  <c r="CS83" i="2"/>
  <c r="W203" i="2"/>
  <c r="CX55" i="2"/>
  <c r="CX29" i="2"/>
  <c r="G203" i="2"/>
  <c r="E203" i="2"/>
  <c r="AC203" i="2"/>
  <c r="AT173" i="2"/>
  <c r="AT201" i="2"/>
  <c r="AT175" i="2"/>
  <c r="AA174" i="2"/>
  <c r="CO170" i="2"/>
  <c r="BC77" i="2"/>
  <c r="BC75" i="2"/>
  <c r="BM38" i="2"/>
  <c r="BM16" i="2"/>
  <c r="M23" i="16" s="1"/>
  <c r="BQ14" i="2"/>
  <c r="BM24" i="2"/>
  <c r="BD75" i="2"/>
  <c r="BM31" i="2"/>
  <c r="BC76" i="2"/>
  <c r="AM174" i="2"/>
  <c r="M174" i="2"/>
  <c r="CQ2" i="5"/>
  <c r="CQ5" i="5" s="1"/>
  <c r="Q174" i="2"/>
  <c r="BO14" i="2"/>
  <c r="CN170" i="2"/>
  <c r="CX36" i="2"/>
  <c r="AG57" i="4"/>
  <c r="AG61" i="4" s="1"/>
  <c r="AG226" i="2"/>
  <c r="AH203" i="2"/>
  <c r="AG250" i="2"/>
  <c r="AG202" i="2"/>
  <c r="AA250" i="2"/>
  <c r="AE204" i="2"/>
  <c r="AB203" i="2"/>
  <c r="AA57" i="4"/>
  <c r="AA61" i="4" s="1"/>
  <c r="AA226" i="2"/>
  <c r="AA202" i="2"/>
  <c r="AB256" i="2"/>
  <c r="AB251" i="2"/>
  <c r="AF253" i="2"/>
  <c r="AB260" i="2"/>
  <c r="AF64" i="4"/>
  <c r="AB62" i="4"/>
  <c r="L256" i="2"/>
  <c r="L251" i="2"/>
  <c r="P253" i="2"/>
  <c r="L260" i="2"/>
  <c r="L62" i="4"/>
  <c r="P64" i="4"/>
  <c r="CQ176" i="2"/>
  <c r="CP173" i="2"/>
  <c r="CM176" i="2"/>
  <c r="CL173" i="2"/>
  <c r="CK176" i="2"/>
  <c r="CJ173" i="2"/>
  <c r="AE250" i="2"/>
  <c r="AE202" i="2"/>
  <c r="AE57" i="4"/>
  <c r="AE61" i="4" s="1"/>
  <c r="AE226" i="2"/>
  <c r="AF203" i="2"/>
  <c r="AI204" i="2"/>
  <c r="O250" i="2"/>
  <c r="S204" i="2"/>
  <c r="P203" i="2"/>
  <c r="O57" i="4"/>
  <c r="O61" i="4" s="1"/>
  <c r="O226" i="2"/>
  <c r="O202" i="2"/>
  <c r="M250" i="2"/>
  <c r="Q204" i="2"/>
  <c r="N203" i="2"/>
  <c r="M57" i="4"/>
  <c r="M61" i="4" s="1"/>
  <c r="M226" i="2"/>
  <c r="M202" i="2"/>
  <c r="CO173" i="2"/>
  <c r="CP176" i="2"/>
  <c r="CO201" i="2"/>
  <c r="Z250" i="2"/>
  <c r="Z202" i="2"/>
  <c r="AD204" i="2"/>
  <c r="AA203" i="2"/>
  <c r="Z57" i="4"/>
  <c r="Z61" i="4" s="1"/>
  <c r="Z226" i="2"/>
  <c r="AP170" i="2"/>
  <c r="AT170" i="2"/>
  <c r="AP31" i="6"/>
  <c r="CS3" i="6"/>
  <c r="AL173" i="2"/>
  <c r="AL174" i="2" s="1"/>
  <c r="AP176" i="2"/>
  <c r="AL201" i="2"/>
  <c r="AM175" i="2"/>
  <c r="CR2" i="5"/>
  <c r="CR5" i="5" s="1"/>
  <c r="AL5" i="5"/>
  <c r="CS87" i="2"/>
  <c r="CR57" i="2"/>
  <c r="CR180" i="2"/>
  <c r="CR185" i="2"/>
  <c r="CR190" i="2"/>
  <c r="CR229" i="2"/>
  <c r="CR169" i="2"/>
  <c r="V256" i="2"/>
  <c r="V260" i="2"/>
  <c r="V251" i="2"/>
  <c r="V62" i="4"/>
  <c r="W250" i="2"/>
  <c r="AA204" i="2"/>
  <c r="X203" i="2"/>
  <c r="W57" i="4"/>
  <c r="W61" i="4" s="1"/>
  <c r="W226" i="2"/>
  <c r="W202" i="2"/>
  <c r="AM204" i="2"/>
  <c r="AI202" i="2"/>
  <c r="AJ203" i="2"/>
  <c r="AI57" i="4"/>
  <c r="AI61" i="4" s="1"/>
  <c r="AI226" i="2"/>
  <c r="AI250" i="2"/>
  <c r="Y174" i="2"/>
  <c r="AQ174" i="2"/>
  <c r="AD256" i="2"/>
  <c r="AD260" i="2"/>
  <c r="AD251" i="2"/>
  <c r="AE203" i="2"/>
  <c r="AD62" i="4"/>
  <c r="CP170" i="2"/>
  <c r="CL201" i="2"/>
  <c r="F256" i="2"/>
  <c r="F251" i="2"/>
  <c r="F260" i="2"/>
  <c r="F62" i="4"/>
  <c r="I250" i="2"/>
  <c r="M204" i="2"/>
  <c r="J203" i="2"/>
  <c r="I57" i="4"/>
  <c r="I61" i="4" s="1"/>
  <c r="I226" i="2"/>
  <c r="I202" i="2"/>
  <c r="G174" i="2"/>
  <c r="AC174" i="2"/>
  <c r="CQ57" i="2"/>
  <c r="CQ180" i="2"/>
  <c r="CQ185" i="2"/>
  <c r="CQ190" i="2"/>
  <c r="CQ229" i="2"/>
  <c r="CR87" i="2"/>
  <c r="CQ169" i="2"/>
  <c r="CQ170" i="2" s="1"/>
  <c r="CQ83" i="2"/>
  <c r="CQ173" i="2"/>
  <c r="CR176" i="2"/>
  <c r="AH57" i="4"/>
  <c r="AH61" i="4" s="1"/>
  <c r="AH226" i="2"/>
  <c r="AH202" i="2"/>
  <c r="AH250" i="2"/>
  <c r="AI203" i="2"/>
  <c r="AJ256" i="2"/>
  <c r="AJ260" i="2"/>
  <c r="AJ251" i="2"/>
  <c r="AJ62" i="4"/>
  <c r="AG203" i="2"/>
  <c r="AF256" i="2"/>
  <c r="AF251" i="2"/>
  <c r="AJ253" i="2"/>
  <c r="AF260" i="2"/>
  <c r="X260" i="2"/>
  <c r="X256" i="2"/>
  <c r="X251" i="2"/>
  <c r="AB253" i="2"/>
  <c r="P256" i="2"/>
  <c r="P251" i="2"/>
  <c r="T253" i="2"/>
  <c r="P260" i="2"/>
  <c r="H260" i="2"/>
  <c r="H256" i="2"/>
  <c r="H251" i="2"/>
  <c r="L253" i="2"/>
  <c r="AK170" i="2"/>
  <c r="AO170" i="2"/>
  <c r="AO176" i="2"/>
  <c r="AK173" i="2"/>
  <c r="AL175" i="2"/>
  <c r="AK201" i="2"/>
  <c r="AK175" i="2"/>
  <c r="BP35" i="2"/>
  <c r="P41" i="16" s="1"/>
  <c r="K250" i="2"/>
  <c r="O204" i="2"/>
  <c r="L203" i="2"/>
  <c r="K57" i="4"/>
  <c r="K61" i="4" s="1"/>
  <c r="K226" i="2"/>
  <c r="K202" i="2"/>
  <c r="B57" i="4"/>
  <c r="B61" i="4" s="1"/>
  <c r="B250" i="2"/>
  <c r="B226" i="2"/>
  <c r="B202" i="2"/>
  <c r="F204" i="2"/>
  <c r="C203" i="2"/>
  <c r="CI201" i="2"/>
  <c r="AK176" i="2"/>
  <c r="AG174" i="2"/>
  <c r="U250" i="2"/>
  <c r="Y204" i="2"/>
  <c r="V203" i="2"/>
  <c r="U57" i="4"/>
  <c r="U61" i="4" s="1"/>
  <c r="U226" i="2"/>
  <c r="U202" i="2"/>
  <c r="S250" i="2"/>
  <c r="W204" i="2"/>
  <c r="T203" i="2"/>
  <c r="S57" i="4"/>
  <c r="S61" i="4" s="1"/>
  <c r="S226" i="2"/>
  <c r="S202" i="2"/>
  <c r="CM173" i="2"/>
  <c r="CN176" i="2"/>
  <c r="CM201" i="2"/>
  <c r="R250" i="2"/>
  <c r="R202" i="2"/>
  <c r="V204" i="2"/>
  <c r="S203" i="2"/>
  <c r="R57" i="4"/>
  <c r="R61" i="4" s="1"/>
  <c r="R226" i="2"/>
  <c r="AM57" i="4"/>
  <c r="AM61" i="4" s="1"/>
  <c r="AM226" i="2"/>
  <c r="AN203" i="2"/>
  <c r="AM250" i="2"/>
  <c r="AQ204" i="2"/>
  <c r="AM202" i="2"/>
  <c r="T260" i="2"/>
  <c r="T256" i="2"/>
  <c r="T251" i="2"/>
  <c r="X253" i="2"/>
  <c r="T62" i="4"/>
  <c r="X64" i="4"/>
  <c r="M203" i="2"/>
  <c r="D256" i="2"/>
  <c r="D260" i="2"/>
  <c r="D251" i="2"/>
  <c r="H253" i="2"/>
  <c r="D62" i="4"/>
  <c r="H64" i="4"/>
  <c r="N174" i="2"/>
  <c r="AE174" i="2"/>
  <c r="O174" i="2"/>
  <c r="AP173" i="2"/>
  <c r="AT176" i="2"/>
  <c r="AQ175" i="2"/>
  <c r="AP201" i="2"/>
  <c r="AP175" i="2"/>
  <c r="CS2" i="5"/>
  <c r="CS5" i="5" s="1"/>
  <c r="AP5" i="5"/>
  <c r="CS57" i="2"/>
  <c r="CS185" i="2"/>
  <c r="CS190" i="2"/>
  <c r="CS229" i="2"/>
  <c r="CS180" i="2"/>
  <c r="CS169" i="2"/>
  <c r="AL31" i="6"/>
  <c r="CR3" i="6"/>
  <c r="CN201" i="2"/>
  <c r="Z204" i="2"/>
  <c r="CK173" i="2"/>
  <c r="CL176" i="2"/>
  <c r="CK201" i="2"/>
  <c r="J250" i="2"/>
  <c r="J202" i="2"/>
  <c r="N204" i="2"/>
  <c r="K203" i="2"/>
  <c r="J57" i="4"/>
  <c r="J61" i="4" s="1"/>
  <c r="J226" i="2"/>
  <c r="W174" i="2"/>
  <c r="C57" i="4"/>
  <c r="C61" i="4" s="1"/>
  <c r="C226" i="2"/>
  <c r="D203" i="2"/>
  <c r="C250" i="2"/>
  <c r="G204" i="2"/>
  <c r="C202" i="2"/>
  <c r="CI173" i="2"/>
  <c r="CJ176" i="2"/>
  <c r="AI174" i="2"/>
  <c r="Y250" i="2"/>
  <c r="AC204" i="2"/>
  <c r="Z203" i="2"/>
  <c r="Y57" i="4"/>
  <c r="Y61" i="4" s="1"/>
  <c r="Y226" i="2"/>
  <c r="Y202" i="2"/>
  <c r="AQ250" i="2"/>
  <c r="AR203" i="2"/>
  <c r="AQ57" i="4"/>
  <c r="AQ61" i="4" s="1"/>
  <c r="AQ226" i="2"/>
  <c r="AQ202" i="2"/>
  <c r="CR83" i="2"/>
  <c r="CP201" i="2"/>
  <c r="AH204" i="2"/>
  <c r="N260" i="2"/>
  <c r="N251" i="2"/>
  <c r="N256" i="2"/>
  <c r="O203" i="2"/>
  <c r="N62" i="4"/>
  <c r="CJ201" i="2"/>
  <c r="J204" i="2"/>
  <c r="I174" i="2"/>
  <c r="G250" i="2"/>
  <c r="K204" i="2"/>
  <c r="H203" i="2"/>
  <c r="G57" i="4"/>
  <c r="G61" i="4" s="1"/>
  <c r="G226" i="2"/>
  <c r="G202" i="2"/>
  <c r="E250" i="2"/>
  <c r="I204" i="2"/>
  <c r="E202" i="2"/>
  <c r="E57" i="4"/>
  <c r="E61" i="4" s="1"/>
  <c r="E226" i="2"/>
  <c r="F203" i="2"/>
  <c r="AC250" i="2"/>
  <c r="AG204" i="2"/>
  <c r="AD203" i="2"/>
  <c r="AC57" i="4"/>
  <c r="AC61" i="4" s="1"/>
  <c r="AC226" i="2"/>
  <c r="AC202" i="2"/>
  <c r="AL176" i="2"/>
  <c r="Q250" i="2"/>
  <c r="U204" i="2"/>
  <c r="R203" i="2"/>
  <c r="Q57" i="4"/>
  <c r="Q61" i="4" s="1"/>
  <c r="Q226" i="2"/>
  <c r="Q202" i="2"/>
  <c r="V174" i="2"/>
  <c r="CO176" i="2"/>
  <c r="AJ64" i="4"/>
  <c r="AF62" i="4"/>
  <c r="Y203" i="2"/>
  <c r="AB64" i="4"/>
  <c r="X62" i="4"/>
  <c r="Q203" i="2"/>
  <c r="T64" i="4"/>
  <c r="P62" i="4"/>
  <c r="I203" i="2"/>
  <c r="H62" i="4"/>
  <c r="L64" i="4"/>
  <c r="CT6" i="2"/>
  <c r="BO219" i="2"/>
  <c r="O34" i="15" s="1"/>
  <c r="CX219" i="2"/>
  <c r="V34" i="15" s="1"/>
  <c r="AY82" i="2"/>
  <c r="BQ35" i="2"/>
  <c r="Q41" i="16" s="1"/>
  <c r="AY78" i="2"/>
  <c r="AV13" i="8"/>
  <c r="AV231" i="2"/>
  <c r="AV3" i="6"/>
  <c r="AV31" i="6" s="1"/>
  <c r="AV2" i="5"/>
  <c r="AV5" i="5" s="1"/>
  <c r="I45" i="16"/>
  <c r="AW209" i="2"/>
  <c r="AV210" i="2"/>
  <c r="CW38" i="2"/>
  <c r="CW24" i="2"/>
  <c r="CW31" i="2"/>
  <c r="CW16" i="2"/>
  <c r="AU83" i="2"/>
  <c r="AU3" i="6"/>
  <c r="AU31" i="6" s="1"/>
  <c r="AU2" i="5"/>
  <c r="AU22" i="6"/>
  <c r="AU15" i="6"/>
  <c r="AU86" i="2"/>
  <c r="AU57" i="2"/>
  <c r="AU87" i="2"/>
  <c r="AV209" i="2"/>
  <c r="AU210" i="2"/>
  <c r="AU209" i="2"/>
  <c r="AY81" i="2"/>
  <c r="CT51" i="2"/>
  <c r="CT66" i="2"/>
  <c r="CT56" i="2"/>
  <c r="CT62" i="2"/>
  <c r="CT72" i="2"/>
  <c r="CT12" i="2"/>
  <c r="AU7" i="4"/>
  <c r="AU231" i="2"/>
  <c r="AU230" i="2"/>
  <c r="AV230" i="2"/>
  <c r="CT82" i="2"/>
  <c r="J22" i="16"/>
  <c r="BN16" i="2"/>
  <c r="N23" i="16" s="1"/>
  <c r="BN68" i="2"/>
  <c r="BQ54" i="2"/>
  <c r="Q44" i="16" s="1"/>
  <c r="BP54" i="2"/>
  <c r="P44" i="16" s="1"/>
  <c r="BN8" i="2"/>
  <c r="BN15" i="2"/>
  <c r="N38" i="16" s="1"/>
  <c r="BQ21" i="2"/>
  <c r="BP21" i="2"/>
  <c r="BD5" i="2"/>
  <c r="D21" i="16" s="1"/>
  <c r="BD80" i="2"/>
  <c r="BH82" i="2" s="1"/>
  <c r="BD4" i="2"/>
  <c r="D36" i="16" s="1"/>
  <c r="BD18" i="2"/>
  <c r="BD64" i="2"/>
  <c r="BM15" i="2"/>
  <c r="M38" i="16" s="1"/>
  <c r="L38" i="16"/>
  <c r="L23" i="16"/>
  <c r="BD11" i="2"/>
  <c r="AV83" i="2"/>
  <c r="AV87" i="2"/>
  <c r="AV57" i="2"/>
  <c r="AW86" i="2"/>
  <c r="AV86" i="2"/>
  <c r="BN38" i="2"/>
  <c r="BP14" i="2"/>
  <c r="BQ28" i="2"/>
  <c r="BP28" i="2"/>
  <c r="BP42" i="2"/>
  <c r="P42" i="16" s="1"/>
  <c r="BQ48" i="2"/>
  <c r="Q43" i="16" s="1"/>
  <c r="BP48" i="2"/>
  <c r="P43" i="16" s="1"/>
  <c r="BS48" i="2" l="1"/>
  <c r="CD214" i="2"/>
  <c r="BV214" i="2"/>
  <c r="BR216" i="2"/>
  <c r="BR214" i="2"/>
  <c r="BZ214" i="2"/>
  <c r="Q14" i="15"/>
  <c r="BQ214" i="2"/>
  <c r="N15" i="16"/>
  <c r="N7" i="16"/>
  <c r="CA35" i="2"/>
  <c r="M15" i="16"/>
  <c r="O39" i="16"/>
  <c r="P39" i="16"/>
  <c r="P40" i="16"/>
  <c r="P14" i="15"/>
  <c r="Q39" i="16"/>
  <c r="Q40" i="16"/>
  <c r="O40" i="16"/>
  <c r="L15" i="16"/>
  <c r="BJ66" i="2"/>
  <c r="BG81" i="2"/>
  <c r="BJ82" i="2"/>
  <c r="L7" i="16"/>
  <c r="BS219" i="2"/>
  <c r="Q8" i="16"/>
  <c r="P8" i="16"/>
  <c r="O8" i="16"/>
  <c r="BW21" i="2"/>
  <c r="CA21" i="2"/>
  <c r="BS21" i="2"/>
  <c r="BX21" i="2"/>
  <c r="BV68" i="2"/>
  <c r="BV74" i="2" s="1"/>
  <c r="CB20" i="2"/>
  <c r="CF20" i="2" s="1"/>
  <c r="CF21" i="2" s="1"/>
  <c r="BS54" i="2"/>
  <c r="BX212" i="2"/>
  <c r="BT219" i="2"/>
  <c r="BT54" i="2"/>
  <c r="BX219" i="2"/>
  <c r="BT21" i="2"/>
  <c r="BX34" i="2"/>
  <c r="CB34" i="2" s="1"/>
  <c r="BV24" i="2"/>
  <c r="BV38" i="2"/>
  <c r="BV8" i="2"/>
  <c r="BV3" i="2" s="1"/>
  <c r="CZ53" i="2"/>
  <c r="BY53" i="2"/>
  <c r="CC53" i="2" s="1"/>
  <c r="BU54" i="2"/>
  <c r="BV54" i="2"/>
  <c r="K7" i="16"/>
  <c r="V8" i="16"/>
  <c r="BO216" i="2"/>
  <c r="O53" i="15" s="1"/>
  <c r="O14" i="15"/>
  <c r="V25" i="16"/>
  <c r="K15" i="16"/>
  <c r="V14" i="15"/>
  <c r="C5" i="16"/>
  <c r="C5" i="15"/>
  <c r="J6" i="16"/>
  <c r="W10" i="16"/>
  <c r="B43" i="15"/>
  <c r="B20" i="16"/>
  <c r="W14" i="16"/>
  <c r="D5" i="16"/>
  <c r="D5" i="15"/>
  <c r="U15" i="16"/>
  <c r="W13" i="16"/>
  <c r="W9" i="16"/>
  <c r="W11" i="16"/>
  <c r="B16" i="16"/>
  <c r="F5" i="15"/>
  <c r="F5" i="16"/>
  <c r="V26" i="16"/>
  <c r="U33" i="15"/>
  <c r="V29" i="16"/>
  <c r="V28" i="16"/>
  <c r="V24" i="16"/>
  <c r="U23" i="16"/>
  <c r="BV216" i="2"/>
  <c r="BR215" i="2"/>
  <c r="CF27" i="2"/>
  <c r="CF212" i="2"/>
  <c r="BT212" i="2"/>
  <c r="BT214" i="2" s="1"/>
  <c r="CF219" i="2"/>
  <c r="CA42" i="2"/>
  <c r="CE41" i="2"/>
  <c r="BZ216" i="2"/>
  <c r="CD216" i="2"/>
  <c r="BZ14" i="2"/>
  <c r="BZ8" i="2" s="1"/>
  <c r="CD27" i="2"/>
  <c r="BW47" i="2"/>
  <c r="BX48" i="2" s="1"/>
  <c r="BT48" i="2"/>
  <c r="BS212" i="2"/>
  <c r="BH66" i="2"/>
  <c r="BR38" i="2"/>
  <c r="BR31" i="2"/>
  <c r="BV16" i="2"/>
  <c r="BR16" i="2"/>
  <c r="BR8" i="2"/>
  <c r="BR17" i="2" s="1"/>
  <c r="BR24" i="2"/>
  <c r="BG66" i="2"/>
  <c r="BG65" i="2"/>
  <c r="G35" i="16" s="1"/>
  <c r="BT14" i="2"/>
  <c r="BT24" i="2" s="1"/>
  <c r="BX42" i="2"/>
  <c r="BW42" i="2"/>
  <c r="CB41" i="2"/>
  <c r="BS42" i="2"/>
  <c r="BT42" i="2"/>
  <c r="BD208" i="2"/>
  <c r="D32" i="15" s="1"/>
  <c r="BF51" i="2"/>
  <c r="BF145" i="2"/>
  <c r="BF130" i="2"/>
  <c r="BF56" i="2"/>
  <c r="BF150" i="2"/>
  <c r="BF135" i="2"/>
  <c r="BF85" i="2"/>
  <c r="BF72" i="2"/>
  <c r="BF82" i="2"/>
  <c r="BF208" i="2"/>
  <c r="BF78" i="2"/>
  <c r="AV34" i="6"/>
  <c r="AU34" i="6"/>
  <c r="BY13" i="3"/>
  <c r="BX42" i="5"/>
  <c r="BR74" i="2"/>
  <c r="BU212" i="2"/>
  <c r="BY47" i="2"/>
  <c r="BV48" i="2"/>
  <c r="CB219" i="2"/>
  <c r="CA53" i="2"/>
  <c r="CE53" i="2" s="1"/>
  <c r="BX54" i="2"/>
  <c r="BW219" i="2"/>
  <c r="BW54" i="2"/>
  <c r="BY34" i="2"/>
  <c r="BV35" i="2"/>
  <c r="BY20" i="2"/>
  <c r="BV21" i="2"/>
  <c r="CA27" i="2"/>
  <c r="CE27" i="2" s="1"/>
  <c r="BX28" i="2"/>
  <c r="BW14" i="2"/>
  <c r="BW28" i="2"/>
  <c r="CB212" i="2"/>
  <c r="BY27" i="2"/>
  <c r="BV28" i="2"/>
  <c r="AS256" i="2"/>
  <c r="AN253" i="2"/>
  <c r="AN251" i="2"/>
  <c r="AS260" i="2"/>
  <c r="AN256" i="2"/>
  <c r="AS251" i="2"/>
  <c r="BD145" i="2"/>
  <c r="BD56" i="2"/>
  <c r="BD130" i="2"/>
  <c r="BD150" i="2"/>
  <c r="BD135" i="2"/>
  <c r="BD72" i="2"/>
  <c r="BD51" i="2"/>
  <c r="AN260" i="2"/>
  <c r="AO252" i="2"/>
  <c r="AO251" i="2"/>
  <c r="AS253" i="2"/>
  <c r="AO260" i="2"/>
  <c r="AO256" i="2"/>
  <c r="AS63" i="4"/>
  <c r="AS62" i="4"/>
  <c r="BC135" i="2"/>
  <c r="BC51" i="2"/>
  <c r="BC56" i="2"/>
  <c r="BC145" i="2"/>
  <c r="BC130" i="2"/>
  <c r="BC150" i="2"/>
  <c r="BC72" i="2"/>
  <c r="BC81" i="2"/>
  <c r="BC208" i="2"/>
  <c r="C32" i="15" s="1"/>
  <c r="CS173" i="2"/>
  <c r="BB172" i="2"/>
  <c r="AS64" i="4"/>
  <c r="AO62" i="4"/>
  <c r="BB229" i="2"/>
  <c r="B30" i="15" s="1"/>
  <c r="BB190" i="2"/>
  <c r="B29" i="15" s="1"/>
  <c r="BB169" i="2"/>
  <c r="BB180" i="2"/>
  <c r="B27" i="15" s="1"/>
  <c r="BB91" i="4"/>
  <c r="BB58" i="3"/>
  <c r="BB96" i="4"/>
  <c r="BB57" i="3"/>
  <c r="BB185" i="2"/>
  <c r="B28" i="15" s="1"/>
  <c r="BO215" i="2"/>
  <c r="AR260" i="2"/>
  <c r="AR253" i="2"/>
  <c r="AS252" i="2"/>
  <c r="AR251" i="2"/>
  <c r="AR256" i="2"/>
  <c r="CO174" i="2"/>
  <c r="AG252" i="2"/>
  <c r="BT28" i="2"/>
  <c r="BS28" i="2"/>
  <c r="BS14" i="2"/>
  <c r="BU48" i="2"/>
  <c r="BQ216" i="2"/>
  <c r="Q53" i="15" s="1"/>
  <c r="CZ47" i="2"/>
  <c r="BP215" i="2"/>
  <c r="CZ34" i="2"/>
  <c r="BU35" i="2"/>
  <c r="BU28" i="2"/>
  <c r="CZ27" i="2"/>
  <c r="BO15" i="2"/>
  <c r="O38" i="16" s="1"/>
  <c r="BN6" i="6"/>
  <c r="BN21" i="6" s="1"/>
  <c r="BN27" i="3" s="1"/>
  <c r="BR70" i="2"/>
  <c r="BR6" i="6"/>
  <c r="BR21" i="6" s="1"/>
  <c r="BQ31" i="2"/>
  <c r="BR15" i="2"/>
  <c r="CZ20" i="2"/>
  <c r="BU21" i="2"/>
  <c r="BU14" i="2"/>
  <c r="CW27" i="3"/>
  <c r="CW21" i="6"/>
  <c r="AN64" i="4"/>
  <c r="AO63" i="4"/>
  <c r="AN62" i="4"/>
  <c r="BR4" i="3"/>
  <c r="AR64" i="4"/>
  <c r="AZ58" i="3"/>
  <c r="AZ190" i="2"/>
  <c r="AZ91" i="4"/>
  <c r="AZ96" i="4"/>
  <c r="AZ57" i="3"/>
  <c r="AZ185" i="2"/>
  <c r="AZ180" i="2"/>
  <c r="AZ229" i="2"/>
  <c r="AZ169" i="2"/>
  <c r="CX37" i="2"/>
  <c r="CX30" i="2"/>
  <c r="CX23" i="2"/>
  <c r="AY57" i="3"/>
  <c r="AY58" i="3"/>
  <c r="AY91" i="4"/>
  <c r="AY190" i="2"/>
  <c r="AY169" i="2"/>
  <c r="AY170" i="2" s="1"/>
  <c r="AY180" i="2"/>
  <c r="AY96" i="4"/>
  <c r="AY229" i="2"/>
  <c r="AY185" i="2"/>
  <c r="BC78" i="2"/>
  <c r="BC82" i="2"/>
  <c r="AZ210" i="2"/>
  <c r="AY3" i="6"/>
  <c r="AX5" i="5"/>
  <c r="BC85" i="2"/>
  <c r="BC66" i="2"/>
  <c r="BC6" i="2"/>
  <c r="BC65" i="2"/>
  <c r="C35" i="16" s="1"/>
  <c r="BC12" i="2"/>
  <c r="CX213" i="2"/>
  <c r="AY2" i="5"/>
  <c r="BQ215" i="2"/>
  <c r="AY87" i="2"/>
  <c r="AY86" i="2"/>
  <c r="AY83" i="2"/>
  <c r="AY57" i="2"/>
  <c r="CT5" i="3"/>
  <c r="AW31" i="6"/>
  <c r="AW6" i="5"/>
  <c r="AW5" i="5"/>
  <c r="AW170" i="2"/>
  <c r="O63" i="4"/>
  <c r="BF6" i="2"/>
  <c r="BF12" i="2"/>
  <c r="BF66" i="2"/>
  <c r="AW182" i="2"/>
  <c r="CT165" i="2"/>
  <c r="AW13" i="8"/>
  <c r="AW14" i="8" s="1"/>
  <c r="AW233" i="2"/>
  <c r="AW168" i="2"/>
  <c r="AX230" i="2"/>
  <c r="AX233" i="2"/>
  <c r="CT166" i="2"/>
  <c r="CT228" i="2"/>
  <c r="AW231" i="2"/>
  <c r="AW192" i="2"/>
  <c r="CT179" i="2"/>
  <c r="AW230" i="2"/>
  <c r="AW7" i="4"/>
  <c r="AW81" i="4" s="1"/>
  <c r="AX172" i="2"/>
  <c r="AX168" i="2"/>
  <c r="AW172" i="2"/>
  <c r="AW4" i="6"/>
  <c r="CM174" i="2"/>
  <c r="I252" i="2"/>
  <c r="R253" i="2"/>
  <c r="D267" i="2"/>
  <c r="CT4" i="5"/>
  <c r="AW28" i="5"/>
  <c r="CT25" i="4"/>
  <c r="CT33" i="4" s="1"/>
  <c r="AX181" i="2"/>
  <c r="CS170" i="2"/>
  <c r="CQ174" i="2"/>
  <c r="CY55" i="2"/>
  <c r="CX216" i="2"/>
  <c r="V53" i="15" s="1"/>
  <c r="CR201" i="2"/>
  <c r="CS201" i="2"/>
  <c r="AL204" i="2"/>
  <c r="Z64" i="4"/>
  <c r="Z253" i="2"/>
  <c r="AX4" i="6"/>
  <c r="AX167" i="2"/>
  <c r="CY212" i="2"/>
  <c r="CY214" i="2" s="1"/>
  <c r="BP216" i="2"/>
  <c r="P53" i="15" s="1"/>
  <c r="AX182" i="2"/>
  <c r="AX196" i="2"/>
  <c r="AX187" i="2"/>
  <c r="AX28" i="5"/>
  <c r="AX192" i="2"/>
  <c r="AX191" i="2"/>
  <c r="AX13" i="8"/>
  <c r="AX15" i="8" s="1"/>
  <c r="AX231" i="2"/>
  <c r="AX7" i="4"/>
  <c r="AX81" i="4" s="1"/>
  <c r="BQ16" i="2"/>
  <c r="Q23" i="16" s="1"/>
  <c r="BB2" i="5"/>
  <c r="BB57" i="2"/>
  <c r="BB83" i="2"/>
  <c r="BB3" i="6"/>
  <c r="BB34" i="6" s="1"/>
  <c r="BB87" i="2"/>
  <c r="K45" i="16"/>
  <c r="K30" i="16"/>
  <c r="AZ83" i="2"/>
  <c r="AZ172" i="2"/>
  <c r="AZ2" i="5"/>
  <c r="AZ5" i="5" s="1"/>
  <c r="BM69" i="2"/>
  <c r="M45" i="16" s="1"/>
  <c r="AZ87" i="2"/>
  <c r="AZ86" i="2"/>
  <c r="AZ57" i="2"/>
  <c r="AZ3" i="6"/>
  <c r="L45" i="16"/>
  <c r="L30" i="16"/>
  <c r="BM6" i="6"/>
  <c r="BM21" i="6" s="1"/>
  <c r="BM74" i="2"/>
  <c r="CY22" i="2"/>
  <c r="BM70" i="2"/>
  <c r="M30" i="16" s="1"/>
  <c r="BP31" i="2"/>
  <c r="AV22" i="6"/>
  <c r="K37" i="16"/>
  <c r="CT19" i="3"/>
  <c r="AU170" i="2"/>
  <c r="K22" i="16"/>
  <c r="AY210" i="2"/>
  <c r="CT2" i="5"/>
  <c r="AU5" i="5"/>
  <c r="BO16" i="2"/>
  <c r="O23" i="16" s="1"/>
  <c r="CY14" i="2"/>
  <c r="CW74" i="2"/>
  <c r="CW76" i="2" s="1"/>
  <c r="CX68" i="2"/>
  <c r="L37" i="16"/>
  <c r="CT28" i="3"/>
  <c r="CT208" i="2"/>
  <c r="AU172" i="2"/>
  <c r="Q252" i="2"/>
  <c r="AC63" i="4"/>
  <c r="Y63" i="4"/>
  <c r="O252" i="2"/>
  <c r="AE252" i="2"/>
  <c r="CY29" i="2"/>
  <c r="AT250" i="2"/>
  <c r="AT57" i="4"/>
  <c r="AT61" i="4" s="1"/>
  <c r="AT203" i="2"/>
  <c r="AT202" i="2"/>
  <c r="AT226" i="2"/>
  <c r="CT33" i="3"/>
  <c r="CX31" i="2"/>
  <c r="Q63" i="4"/>
  <c r="R64" i="4"/>
  <c r="U63" i="4"/>
  <c r="I63" i="4"/>
  <c r="M63" i="4"/>
  <c r="AG63" i="4"/>
  <c r="CT83" i="2"/>
  <c r="BO38" i="2"/>
  <c r="BQ38" i="2"/>
  <c r="BO31" i="2"/>
  <c r="BQ24" i="2"/>
  <c r="BQ68" i="2"/>
  <c r="Q15" i="16" s="1"/>
  <c r="BO8" i="2"/>
  <c r="O7" i="16" s="1"/>
  <c r="BO68" i="2"/>
  <c r="O15" i="16" s="1"/>
  <c r="BO24" i="2"/>
  <c r="CJ61" i="4"/>
  <c r="CJ174" i="2"/>
  <c r="CL174" i="2"/>
  <c r="CY36" i="2"/>
  <c r="W26" i="16" s="1"/>
  <c r="CY49" i="2"/>
  <c r="U64" i="4"/>
  <c r="Q62" i="4"/>
  <c r="R63" i="4"/>
  <c r="AC260" i="2"/>
  <c r="AG253" i="2"/>
  <c r="AC251" i="2"/>
  <c r="AC256" i="2"/>
  <c r="AD252" i="2"/>
  <c r="E260" i="2"/>
  <c r="I253" i="2"/>
  <c r="F252" i="2"/>
  <c r="E256" i="2"/>
  <c r="E251" i="2"/>
  <c r="G256" i="2"/>
  <c r="H252" i="2"/>
  <c r="G260" i="2"/>
  <c r="K253" i="2"/>
  <c r="G251" i="2"/>
  <c r="CL61" i="4"/>
  <c r="N267" i="2"/>
  <c r="N261" i="2"/>
  <c r="N272" i="2"/>
  <c r="CP202" i="2"/>
  <c r="CP226" i="2"/>
  <c r="AQ62" i="4"/>
  <c r="AR63" i="4"/>
  <c r="AQ251" i="2"/>
  <c r="AR252" i="2"/>
  <c r="AQ256" i="2"/>
  <c r="AQ260" i="2"/>
  <c r="Y260" i="2"/>
  <c r="AC253" i="2"/>
  <c r="Y251" i="2"/>
  <c r="Y256" i="2"/>
  <c r="Z252" i="2"/>
  <c r="C256" i="2"/>
  <c r="D252" i="2"/>
  <c r="C260" i="2"/>
  <c r="G253" i="2"/>
  <c r="C251" i="2"/>
  <c r="J62" i="4"/>
  <c r="CK61" i="4"/>
  <c r="N64" i="4"/>
  <c r="K63" i="4"/>
  <c r="CK250" i="2"/>
  <c r="K252" i="2"/>
  <c r="J256" i="2"/>
  <c r="J260" i="2"/>
  <c r="J251" i="2"/>
  <c r="N253" i="2"/>
  <c r="CO204" i="2"/>
  <c r="CN226" i="2"/>
  <c r="CN202" i="2"/>
  <c r="T272" i="2"/>
  <c r="X263" i="2"/>
  <c r="T267" i="2"/>
  <c r="T261" i="2"/>
  <c r="AQ253" i="2"/>
  <c r="AM260" i="2"/>
  <c r="AM256" i="2"/>
  <c r="AM251" i="2"/>
  <c r="AN252" i="2"/>
  <c r="CM226" i="2"/>
  <c r="CM202" i="2"/>
  <c r="CN204" i="2"/>
  <c r="S256" i="2"/>
  <c r="T252" i="2"/>
  <c r="S260" i="2"/>
  <c r="W253" i="2"/>
  <c r="S251" i="2"/>
  <c r="U260" i="2"/>
  <c r="Y253" i="2"/>
  <c r="U251" i="2"/>
  <c r="U256" i="2"/>
  <c r="V252" i="2"/>
  <c r="B260" i="2"/>
  <c r="B256" i="2"/>
  <c r="B251" i="2"/>
  <c r="F253" i="2"/>
  <c r="CI250" i="2"/>
  <c r="C252" i="2"/>
  <c r="L63" i="4"/>
  <c r="K62" i="4"/>
  <c r="O64" i="4"/>
  <c r="AK57" i="4"/>
  <c r="AK61" i="4" s="1"/>
  <c r="AO204" i="2"/>
  <c r="AL203" i="2"/>
  <c r="AK250" i="2"/>
  <c r="CQ250" i="2" s="1"/>
  <c r="AK226" i="2"/>
  <c r="AK202" i="2"/>
  <c r="AK203" i="2"/>
  <c r="AK174" i="2"/>
  <c r="AO174" i="2"/>
  <c r="Y252" i="2"/>
  <c r="AJ3" i="4"/>
  <c r="AJ261" i="2"/>
  <c r="AJ267" i="2"/>
  <c r="AJ272" i="2"/>
  <c r="CQ201" i="2"/>
  <c r="AH260" i="2"/>
  <c r="AH256" i="2"/>
  <c r="AI252" i="2"/>
  <c r="AH251" i="2"/>
  <c r="AH62" i="4"/>
  <c r="AI63" i="4"/>
  <c r="I260" i="2"/>
  <c r="M253" i="2"/>
  <c r="I251" i="2"/>
  <c r="I256" i="2"/>
  <c r="J252" i="2"/>
  <c r="J64" i="4"/>
  <c r="F3" i="4"/>
  <c r="F272" i="2"/>
  <c r="F267" i="2"/>
  <c r="F261" i="2"/>
  <c r="CJ250" i="2"/>
  <c r="AH64" i="4"/>
  <c r="AH253" i="2"/>
  <c r="AD3" i="4"/>
  <c r="AD272" i="2"/>
  <c r="AD267" i="2"/>
  <c r="AD261" i="2"/>
  <c r="AM253" i="2"/>
  <c r="AJ252" i="2"/>
  <c r="AI260" i="2"/>
  <c r="AI251" i="2"/>
  <c r="AI256" i="2"/>
  <c r="AJ63" i="4"/>
  <c r="AI62" i="4"/>
  <c r="AM64" i="4"/>
  <c r="X63" i="4"/>
  <c r="AA64" i="4"/>
  <c r="W62" i="4"/>
  <c r="CN250" i="2"/>
  <c r="CO202" i="2"/>
  <c r="CP204" i="2"/>
  <c r="CO226" i="2"/>
  <c r="M260" i="2"/>
  <c r="Q253" i="2"/>
  <c r="M251" i="2"/>
  <c r="M256" i="2"/>
  <c r="N252" i="2"/>
  <c r="O256" i="2"/>
  <c r="P252" i="2"/>
  <c r="O260" i="2"/>
  <c r="S253" i="2"/>
  <c r="O251" i="2"/>
  <c r="AE62" i="4"/>
  <c r="AF63" i="4"/>
  <c r="AI64" i="4"/>
  <c r="AE256" i="2"/>
  <c r="AF252" i="2"/>
  <c r="AE260" i="2"/>
  <c r="AI253" i="2"/>
  <c r="AE251" i="2"/>
  <c r="CP174" i="2"/>
  <c r="M252" i="2"/>
  <c r="AC252" i="2"/>
  <c r="AB63" i="4"/>
  <c r="AA62" i="4"/>
  <c r="AE64" i="4"/>
  <c r="AK204" i="2"/>
  <c r="AG260" i="2"/>
  <c r="AH252" i="2"/>
  <c r="AG256" i="2"/>
  <c r="AG251" i="2"/>
  <c r="Q260" i="2"/>
  <c r="U253" i="2"/>
  <c r="Q251" i="2"/>
  <c r="Q256" i="2"/>
  <c r="R252" i="2"/>
  <c r="AG64" i="4"/>
  <c r="AD63" i="4"/>
  <c r="AC62" i="4"/>
  <c r="I64" i="4"/>
  <c r="F63" i="4"/>
  <c r="E62" i="4"/>
  <c r="H63" i="4"/>
  <c r="K64" i="4"/>
  <c r="G62" i="4"/>
  <c r="CJ226" i="2"/>
  <c r="CK204" i="2"/>
  <c r="CJ202" i="2"/>
  <c r="CL250" i="2"/>
  <c r="Z63" i="4"/>
  <c r="Y62" i="4"/>
  <c r="AC64" i="4"/>
  <c r="G64" i="4"/>
  <c r="D63" i="4"/>
  <c r="C62" i="4"/>
  <c r="CK202" i="2"/>
  <c r="CL204" i="2"/>
  <c r="CK226" i="2"/>
  <c r="CK174" i="2"/>
  <c r="AP250" i="2"/>
  <c r="AQ203" i="2"/>
  <c r="AT204" i="2"/>
  <c r="AP57" i="4"/>
  <c r="AP61" i="4" s="1"/>
  <c r="AP226" i="2"/>
  <c r="AP202" i="2"/>
  <c r="AP203" i="2"/>
  <c r="AP174" i="2"/>
  <c r="AT174" i="2"/>
  <c r="E63" i="4"/>
  <c r="E252" i="2"/>
  <c r="D272" i="2"/>
  <c r="D3" i="4"/>
  <c r="D261" i="2"/>
  <c r="H263" i="2"/>
  <c r="U252" i="2"/>
  <c r="AN63" i="4"/>
  <c r="AQ64" i="4"/>
  <c r="AM62" i="4"/>
  <c r="V64" i="4"/>
  <c r="S63" i="4"/>
  <c r="R62" i="4"/>
  <c r="CM61" i="4"/>
  <c r="R260" i="2"/>
  <c r="R251" i="2"/>
  <c r="V253" i="2"/>
  <c r="CM250" i="2"/>
  <c r="S252" i="2"/>
  <c r="R256" i="2"/>
  <c r="W64" i="4"/>
  <c r="T63" i="4"/>
  <c r="S62" i="4"/>
  <c r="Y64" i="4"/>
  <c r="V63" i="4"/>
  <c r="U62" i="4"/>
  <c r="CI226" i="2"/>
  <c r="CI202" i="2"/>
  <c r="CJ204" i="2"/>
  <c r="B62" i="4"/>
  <c r="F64" i="4"/>
  <c r="CI61" i="4"/>
  <c r="C63" i="4"/>
  <c r="K256" i="2"/>
  <c r="L252" i="2"/>
  <c r="K260" i="2"/>
  <c r="O253" i="2"/>
  <c r="K251" i="2"/>
  <c r="H3" i="4"/>
  <c r="H267" i="2"/>
  <c r="H261" i="2"/>
  <c r="L263" i="2"/>
  <c r="H272" i="2"/>
  <c r="P272" i="2"/>
  <c r="T263" i="2"/>
  <c r="P267" i="2"/>
  <c r="P261" i="2"/>
  <c r="AB263" i="2"/>
  <c r="X272" i="2"/>
  <c r="X3" i="4"/>
  <c r="X267" i="2"/>
  <c r="X261" i="2"/>
  <c r="AF272" i="2"/>
  <c r="AF261" i="2"/>
  <c r="AF3" i="4"/>
  <c r="AF267" i="2"/>
  <c r="AJ263" i="2"/>
  <c r="CN174" i="2"/>
  <c r="J63" i="4"/>
  <c r="I62" i="4"/>
  <c r="M64" i="4"/>
  <c r="G63" i="4"/>
  <c r="J253" i="2"/>
  <c r="G252" i="2"/>
  <c r="CL226" i="2"/>
  <c r="CL202" i="2"/>
  <c r="CM204" i="2"/>
  <c r="AE63" i="4"/>
  <c r="CP61" i="4"/>
  <c r="CP250" i="2"/>
  <c r="W256" i="2"/>
  <c r="X252" i="2"/>
  <c r="W260" i="2"/>
  <c r="AA253" i="2"/>
  <c r="W251" i="2"/>
  <c r="CN61" i="4"/>
  <c r="W63" i="4"/>
  <c r="V267" i="2"/>
  <c r="V261" i="2"/>
  <c r="V3" i="4"/>
  <c r="V272" i="2"/>
  <c r="W252" i="2"/>
  <c r="CR170" i="2"/>
  <c r="CS176" i="2"/>
  <c r="CR173" i="2"/>
  <c r="AL250" i="2"/>
  <c r="AM203" i="2"/>
  <c r="AP204" i="2"/>
  <c r="AL57" i="4"/>
  <c r="AL61" i="4" s="1"/>
  <c r="AL226" i="2"/>
  <c r="AL202" i="2"/>
  <c r="AD64" i="4"/>
  <c r="CO61" i="4"/>
  <c r="Z62" i="4"/>
  <c r="AA63" i="4"/>
  <c r="CO250" i="2"/>
  <c r="AA252" i="2"/>
  <c r="Z256" i="2"/>
  <c r="Z260" i="2"/>
  <c r="Z251" i="2"/>
  <c r="AD253" i="2"/>
  <c r="Q64" i="4"/>
  <c r="N63" i="4"/>
  <c r="M62" i="4"/>
  <c r="P63" i="4"/>
  <c r="S64" i="4"/>
  <c r="O62" i="4"/>
  <c r="P263" i="2"/>
  <c r="L267" i="2"/>
  <c r="L261" i="2"/>
  <c r="L272" i="2"/>
  <c r="AB3" i="4"/>
  <c r="AB267" i="2"/>
  <c r="AB261" i="2"/>
  <c r="AF263" i="2"/>
  <c r="AB272" i="2"/>
  <c r="AA256" i="2"/>
  <c r="AB252" i="2"/>
  <c r="AA260" i="2"/>
  <c r="AE253" i="2"/>
  <c r="AA251" i="2"/>
  <c r="AG62" i="4"/>
  <c r="AH63" i="4"/>
  <c r="CV19" i="4"/>
  <c r="CY219" i="2"/>
  <c r="W34" i="15" s="1"/>
  <c r="CX16" i="2"/>
  <c r="CX38" i="2"/>
  <c r="BP68" i="2"/>
  <c r="P15" i="16" s="1"/>
  <c r="AW191" i="2"/>
  <c r="AV192" i="2"/>
  <c r="AV176" i="2"/>
  <c r="AV173" i="2"/>
  <c r="AV6" i="5"/>
  <c r="AV28" i="5"/>
  <c r="CW71" i="2"/>
  <c r="CW70" i="2"/>
  <c r="U30" i="16" s="1"/>
  <c r="AV15" i="8"/>
  <c r="AV14" i="8"/>
  <c r="CX24" i="2"/>
  <c r="AW181" i="2"/>
  <c r="AV182" i="2"/>
  <c r="AV4" i="6"/>
  <c r="AV168" i="2"/>
  <c r="AW167" i="2"/>
  <c r="AV187" i="2"/>
  <c r="CW6" i="6"/>
  <c r="AU81" i="4"/>
  <c r="CT210" i="2"/>
  <c r="AU4" i="6"/>
  <c r="AU168" i="2"/>
  <c r="AU167" i="2"/>
  <c r="AV167" i="2"/>
  <c r="AV186" i="2"/>
  <c r="AU187" i="2"/>
  <c r="AU186" i="2"/>
  <c r="CT3" i="6"/>
  <c r="AU192" i="2"/>
  <c r="AU191" i="2"/>
  <c r="AV191" i="2"/>
  <c r="CU19" i="4"/>
  <c r="AZ209" i="2"/>
  <c r="AY209" i="2"/>
  <c r="AU196" i="2"/>
  <c r="AU182" i="2"/>
  <c r="AU181" i="2"/>
  <c r="AV181" i="2"/>
  <c r="CT57" i="2"/>
  <c r="CT87" i="2"/>
  <c r="BN74" i="2"/>
  <c r="BN17" i="2"/>
  <c r="J21" i="16"/>
  <c r="BN69" i="2"/>
  <c r="N45" i="16" s="1"/>
  <c r="BN70" i="2"/>
  <c r="N30" i="16" s="1"/>
  <c r="BP8" i="2"/>
  <c r="P7" i="16" s="1"/>
  <c r="BN10" i="2"/>
  <c r="N22" i="16" s="1"/>
  <c r="BN44" i="2"/>
  <c r="BN3" i="2"/>
  <c r="L22" i="16"/>
  <c r="BD66" i="2"/>
  <c r="BD12" i="2"/>
  <c r="BD85" i="2"/>
  <c r="BD65" i="2"/>
  <c r="D35" i="16" s="1"/>
  <c r="BP24" i="2"/>
  <c r="BQ15" i="2"/>
  <c r="Q38" i="16" s="1"/>
  <c r="BP38" i="2"/>
  <c r="BP15" i="2"/>
  <c r="P38" i="16" s="1"/>
  <c r="BP16" i="2"/>
  <c r="P23" i="16" s="1"/>
  <c r="BD6" i="2"/>
  <c r="BD82" i="2"/>
  <c r="BD78" i="2"/>
  <c r="BD81" i="2"/>
  <c r="CB214" i="2" l="1"/>
  <c r="BX214" i="2"/>
  <c r="CF214" i="2"/>
  <c r="BS215" i="2"/>
  <c r="BS214" i="2"/>
  <c r="BV215" i="2"/>
  <c r="BU214" i="2"/>
  <c r="N6" i="16"/>
  <c r="W24" i="16"/>
  <c r="BJ87" i="2"/>
  <c r="L6" i="16"/>
  <c r="BJ12" i="2"/>
  <c r="BJ6" i="2"/>
  <c r="BX14" i="2"/>
  <c r="BX8" i="2" s="1"/>
  <c r="BX3" i="2" s="1"/>
  <c r="BX11" i="2" s="1"/>
  <c r="BX35" i="2"/>
  <c r="BV76" i="2"/>
  <c r="BV6" i="6"/>
  <c r="BV21" i="6" s="1"/>
  <c r="BV70" i="2"/>
  <c r="CB21" i="2"/>
  <c r="BV17" i="2"/>
  <c r="BV77" i="2"/>
  <c r="BX216" i="2"/>
  <c r="BV44" i="2"/>
  <c r="BY54" i="2"/>
  <c r="BY219" i="2"/>
  <c r="DA53" i="2"/>
  <c r="BT216" i="2"/>
  <c r="BZ54" i="2"/>
  <c r="W28" i="16"/>
  <c r="CZ219" i="2"/>
  <c r="CZ55" i="2"/>
  <c r="F32" i="15"/>
  <c r="V33" i="15"/>
  <c r="F16" i="16"/>
  <c r="G43" i="15"/>
  <c r="G20" i="16"/>
  <c r="W8" i="16"/>
  <c r="C16" i="16"/>
  <c r="D16" i="16"/>
  <c r="B31" i="16"/>
  <c r="H43" i="15"/>
  <c r="H20" i="16"/>
  <c r="C43" i="15"/>
  <c r="C20" i="16"/>
  <c r="D43" i="15"/>
  <c r="D20" i="16"/>
  <c r="J5" i="16"/>
  <c r="J5" i="15"/>
  <c r="W25" i="16"/>
  <c r="V15" i="16"/>
  <c r="K6" i="16"/>
  <c r="W14" i="15"/>
  <c r="F43" i="15"/>
  <c r="F20" i="16"/>
  <c r="B6" i="15"/>
  <c r="W29" i="16"/>
  <c r="V23" i="16"/>
  <c r="CF216" i="2"/>
  <c r="BW48" i="2"/>
  <c r="BW212" i="2"/>
  <c r="CA47" i="2"/>
  <c r="CE47" i="2" s="1"/>
  <c r="CE212" i="2" s="1"/>
  <c r="DA47" i="2"/>
  <c r="BZ17" i="2"/>
  <c r="CE42" i="2"/>
  <c r="CF54" i="2"/>
  <c r="CE219" i="2"/>
  <c r="CE54" i="2"/>
  <c r="CB14" i="2"/>
  <c r="CB8" i="2" s="1"/>
  <c r="CF34" i="2"/>
  <c r="CC54" i="2"/>
  <c r="CD54" i="2"/>
  <c r="CG53" i="2"/>
  <c r="BZ24" i="2"/>
  <c r="BZ31" i="2"/>
  <c r="BZ68" i="2"/>
  <c r="BZ6" i="6" s="1"/>
  <c r="BZ38" i="2"/>
  <c r="CB42" i="2"/>
  <c r="CF41" i="2"/>
  <c r="CF42" i="2" s="1"/>
  <c r="CE28" i="2"/>
  <c r="CD14" i="2"/>
  <c r="CD16" i="2" s="1"/>
  <c r="CF28" i="2"/>
  <c r="CE14" i="2"/>
  <c r="BZ16" i="2"/>
  <c r="BT215" i="2"/>
  <c r="BS216" i="2"/>
  <c r="BH87" i="2"/>
  <c r="H31" i="16" s="1"/>
  <c r="BH12" i="2"/>
  <c r="BH6" i="2"/>
  <c r="BV10" i="2"/>
  <c r="BR44" i="2"/>
  <c r="BR3" i="2"/>
  <c r="BR39" i="2" s="1"/>
  <c r="BR10" i="2"/>
  <c r="BT31" i="2"/>
  <c r="BG87" i="2"/>
  <c r="G31" i="16" s="1"/>
  <c r="BG86" i="2"/>
  <c r="BG12" i="2"/>
  <c r="BG6" i="2"/>
  <c r="BT38" i="2"/>
  <c r="BT8" i="2"/>
  <c r="BT44" i="2" s="1"/>
  <c r="BT16" i="2"/>
  <c r="BT68" i="2"/>
  <c r="BT6" i="6" s="1"/>
  <c r="BT21" i="6" s="1"/>
  <c r="BT27" i="3" s="1"/>
  <c r="BF169" i="2"/>
  <c r="BF83" i="2"/>
  <c r="BF87" i="2"/>
  <c r="F31" i="16" s="1"/>
  <c r="BF91" i="4"/>
  <c r="BN91" i="4" s="1"/>
  <c r="BR91" i="4" s="1"/>
  <c r="BV91" i="4" s="1"/>
  <c r="BZ91" i="4" s="1"/>
  <c r="CD91" i="4" s="1"/>
  <c r="BF185" i="2"/>
  <c r="BF96" i="4"/>
  <c r="BN96" i="4" s="1"/>
  <c r="BR96" i="4" s="1"/>
  <c r="BV96" i="4" s="1"/>
  <c r="BZ96" i="4" s="1"/>
  <c r="CD96" i="4" s="1"/>
  <c r="BF229" i="2"/>
  <c r="F30" i="15" s="1"/>
  <c r="BF190" i="2"/>
  <c r="F29" i="15" s="1"/>
  <c r="BF180" i="2"/>
  <c r="BF57" i="2"/>
  <c r="BF58" i="3"/>
  <c r="BF172" i="2"/>
  <c r="BF57" i="3"/>
  <c r="BF197" i="2"/>
  <c r="F26" i="15" s="1"/>
  <c r="AN272" i="2"/>
  <c r="AN274" i="2" s="1"/>
  <c r="AS267" i="2"/>
  <c r="AS3" i="4"/>
  <c r="AS22" i="4" s="1"/>
  <c r="AY31" i="6"/>
  <c r="AY34" i="6"/>
  <c r="BZ29" i="4"/>
  <c r="DA13" i="3"/>
  <c r="BZ28" i="4"/>
  <c r="BR77" i="2"/>
  <c r="BR76" i="2"/>
  <c r="AS272" i="2"/>
  <c r="AN263" i="2"/>
  <c r="AS261" i="2"/>
  <c r="BU215" i="2"/>
  <c r="AN3" i="4"/>
  <c r="AN267" i="2"/>
  <c r="AN261" i="2"/>
  <c r="CC34" i="2"/>
  <c r="BZ35" i="2"/>
  <c r="CZ212" i="2"/>
  <c r="CZ214" i="2" s="1"/>
  <c r="CC27" i="2"/>
  <c r="BZ28" i="2"/>
  <c r="BY28" i="2"/>
  <c r="BW68" i="2"/>
  <c r="BW74" i="2" s="1"/>
  <c r="BW8" i="2"/>
  <c r="BW17" i="2" s="1"/>
  <c r="BW24" i="2"/>
  <c r="BW38" i="2"/>
  <c r="BW15" i="2"/>
  <c r="BZ10" i="2"/>
  <c r="CB35" i="2"/>
  <c r="CC219" i="2"/>
  <c r="BU216" i="2"/>
  <c r="DA27" i="2"/>
  <c r="BV80" i="2"/>
  <c r="BV64" i="2"/>
  <c r="BV45" i="2"/>
  <c r="BV39" i="2"/>
  <c r="BV25" i="2"/>
  <c r="BV32" i="2"/>
  <c r="BV50" i="2"/>
  <c r="BV18" i="2"/>
  <c r="BY35" i="2"/>
  <c r="BU16" i="2"/>
  <c r="BV15" i="2"/>
  <c r="DA34" i="2"/>
  <c r="BZ3" i="2"/>
  <c r="BZ44" i="2"/>
  <c r="CB28" i="2"/>
  <c r="CA28" i="2"/>
  <c r="CA14" i="2"/>
  <c r="BT15" i="2"/>
  <c r="BW16" i="2"/>
  <c r="BW31" i="2"/>
  <c r="BY14" i="2"/>
  <c r="CC20" i="2"/>
  <c r="BZ21" i="2"/>
  <c r="DA20" i="2"/>
  <c r="BY21" i="2"/>
  <c r="BV11" i="2"/>
  <c r="CB54" i="2"/>
  <c r="CA219" i="2"/>
  <c r="CA54" i="2"/>
  <c r="DB53" i="2"/>
  <c r="CB216" i="2"/>
  <c r="BY212" i="2"/>
  <c r="BY214" i="2" s="1"/>
  <c r="CC47" i="2"/>
  <c r="BZ48" i="2"/>
  <c r="BY48" i="2"/>
  <c r="AO272" i="2"/>
  <c r="AO261" i="2"/>
  <c r="AS263" i="2"/>
  <c r="BD58" i="3"/>
  <c r="BD96" i="4"/>
  <c r="BP96" i="4" s="1"/>
  <c r="BT96" i="4" s="1"/>
  <c r="BX96" i="4" s="1"/>
  <c r="BD229" i="2"/>
  <c r="D30" i="15" s="1"/>
  <c r="BD190" i="2"/>
  <c r="D29" i="15" s="1"/>
  <c r="BD180" i="2"/>
  <c r="D27" i="15" s="1"/>
  <c r="BD57" i="2"/>
  <c r="BD57" i="3"/>
  <c r="BD172" i="2"/>
  <c r="BD185" i="2"/>
  <c r="D28" i="15" s="1"/>
  <c r="BD91" i="4"/>
  <c r="BP91" i="4" s="1"/>
  <c r="BT91" i="4" s="1"/>
  <c r="BX91" i="4" s="1"/>
  <c r="BD169" i="2"/>
  <c r="AO267" i="2"/>
  <c r="AO3" i="4"/>
  <c r="AO22" i="4" s="1"/>
  <c r="AO262" i="2"/>
  <c r="AR263" i="2"/>
  <c r="BC229" i="2"/>
  <c r="C30" i="15" s="1"/>
  <c r="BC91" i="4"/>
  <c r="BO91" i="4" s="1"/>
  <c r="BS91" i="4" s="1"/>
  <c r="BW91" i="4" s="1"/>
  <c r="BC190" i="2"/>
  <c r="C29" i="15" s="1"/>
  <c r="BC180" i="2"/>
  <c r="C27" i="15" s="1"/>
  <c r="BC58" i="3"/>
  <c r="BC96" i="4"/>
  <c r="BO96" i="4" s="1"/>
  <c r="BS96" i="4" s="1"/>
  <c r="BW96" i="4" s="1"/>
  <c r="BC57" i="3"/>
  <c r="BC57" i="2"/>
  <c r="BC185" i="2"/>
  <c r="C28" i="15" s="1"/>
  <c r="BC169" i="2"/>
  <c r="BG170" i="2" s="1"/>
  <c r="BB170" i="2"/>
  <c r="BB5" i="5"/>
  <c r="B37" i="15" s="1"/>
  <c r="BB31" i="6"/>
  <c r="AS262" i="2"/>
  <c r="AR261" i="2"/>
  <c r="AR267" i="2"/>
  <c r="AR272" i="2"/>
  <c r="AR3" i="4"/>
  <c r="AR22" i="4" s="1"/>
  <c r="CT231" i="2"/>
  <c r="CZ36" i="2"/>
  <c r="BS24" i="2"/>
  <c r="BS31" i="2"/>
  <c r="BS15" i="2"/>
  <c r="BS68" i="2"/>
  <c r="BS8" i="2"/>
  <c r="BS38" i="2"/>
  <c r="BS16" i="2"/>
  <c r="CZ29" i="2"/>
  <c r="CZ49" i="2"/>
  <c r="BU24" i="2"/>
  <c r="BN25" i="2"/>
  <c r="BR27" i="3"/>
  <c r="CZ22" i="2"/>
  <c r="BQ6" i="6"/>
  <c r="BQ21" i="6" s="1"/>
  <c r="BR69" i="2"/>
  <c r="BM27" i="3"/>
  <c r="CX27" i="3" s="1"/>
  <c r="CX21" i="6"/>
  <c r="CZ14" i="2"/>
  <c r="BU38" i="2"/>
  <c r="BU31" i="2"/>
  <c r="BU68" i="2"/>
  <c r="BU15" i="2"/>
  <c r="BS26" i="4"/>
  <c r="BS27" i="4"/>
  <c r="AZ31" i="6"/>
  <c r="AZ170" i="2"/>
  <c r="CY37" i="2"/>
  <c r="CY30" i="2"/>
  <c r="CY23" i="2"/>
  <c r="AY5" i="5"/>
  <c r="CJ260" i="2"/>
  <c r="BC87" i="2"/>
  <c r="BC3" i="6"/>
  <c r="BC83" i="2"/>
  <c r="BC2" i="5"/>
  <c r="BC86" i="2"/>
  <c r="C46" i="16" s="1"/>
  <c r="AX37" i="6"/>
  <c r="AX32" i="6"/>
  <c r="AX35" i="6"/>
  <c r="AY181" i="2"/>
  <c r="AY182" i="2"/>
  <c r="AY196" i="2"/>
  <c r="AV174" i="2"/>
  <c r="AZ187" i="2"/>
  <c r="BB233" i="2"/>
  <c r="AX197" i="2"/>
  <c r="AZ176" i="2"/>
  <c r="AY187" i="2"/>
  <c r="AX173" i="2"/>
  <c r="AU197" i="2"/>
  <c r="AZ192" i="2"/>
  <c r="AY191" i="2"/>
  <c r="AZ6" i="5"/>
  <c r="AY186" i="2"/>
  <c r="AY192" i="2"/>
  <c r="AY13" i="8"/>
  <c r="AY15" i="8" s="1"/>
  <c r="AW35" i="6"/>
  <c r="AW37" i="6"/>
  <c r="AW32" i="6"/>
  <c r="Q262" i="2"/>
  <c r="G262" i="2"/>
  <c r="AW15" i="8"/>
  <c r="AW176" i="2"/>
  <c r="AY230" i="2"/>
  <c r="AY231" i="2"/>
  <c r="AY7" i="4"/>
  <c r="AY81" i="4" s="1"/>
  <c r="AZ231" i="2"/>
  <c r="AZ233" i="2"/>
  <c r="CT229" i="2"/>
  <c r="AW175" i="2"/>
  <c r="AX176" i="2"/>
  <c r="AX201" i="2"/>
  <c r="AX175" i="2"/>
  <c r="CT7" i="4"/>
  <c r="CT172" i="2"/>
  <c r="AW173" i="2"/>
  <c r="CT81" i="4"/>
  <c r="BF3" i="6"/>
  <c r="AV35" i="6"/>
  <c r="AV37" i="6"/>
  <c r="AV32" i="6"/>
  <c r="AW51" i="4"/>
  <c r="Z263" i="2"/>
  <c r="W262" i="2"/>
  <c r="M262" i="2"/>
  <c r="I262" i="2"/>
  <c r="AC262" i="2"/>
  <c r="AG262" i="2"/>
  <c r="AH263" i="2"/>
  <c r="Y262" i="2"/>
  <c r="E262" i="2"/>
  <c r="AW29" i="5"/>
  <c r="AW33" i="4"/>
  <c r="BF2" i="5"/>
  <c r="BF5" i="5" s="1"/>
  <c r="F37" i="15" s="1"/>
  <c r="CT20" i="5"/>
  <c r="AV41" i="5"/>
  <c r="CR174" i="2"/>
  <c r="CX71" i="2"/>
  <c r="CS226" i="2"/>
  <c r="CY216" i="2"/>
  <c r="W53" i="15" s="1"/>
  <c r="AK64" i="4"/>
  <c r="CJ62" i="4"/>
  <c r="CY213" i="2"/>
  <c r="AZ4" i="6"/>
  <c r="AX14" i="8"/>
  <c r="AX29" i="5"/>
  <c r="AX33" i="4"/>
  <c r="AX199" i="2"/>
  <c r="AX7" i="6"/>
  <c r="AX36" i="6" s="1"/>
  <c r="BB13" i="8"/>
  <c r="BB7" i="4"/>
  <c r="BB81" i="4" s="1"/>
  <c r="BB6" i="5"/>
  <c r="B58" i="15" s="1"/>
  <c r="AZ28" i="5"/>
  <c r="AZ191" i="2"/>
  <c r="AZ182" i="2"/>
  <c r="AZ7" i="4"/>
  <c r="AZ81" i="4" s="1"/>
  <c r="AZ168" i="2"/>
  <c r="AZ33" i="4"/>
  <c r="AZ186" i="2"/>
  <c r="AZ181" i="2"/>
  <c r="AZ230" i="2"/>
  <c r="AZ13" i="8"/>
  <c r="AZ196" i="2"/>
  <c r="BM75" i="2"/>
  <c r="CX6" i="6"/>
  <c r="CX70" i="2"/>
  <c r="V30" i="16" s="1"/>
  <c r="BQ69" i="2"/>
  <c r="Q45" i="16" s="1"/>
  <c r="BN19" i="4"/>
  <c r="BM19" i="4"/>
  <c r="BM76" i="2"/>
  <c r="AZ173" i="2"/>
  <c r="AU37" i="6"/>
  <c r="AU35" i="6"/>
  <c r="AU32" i="6"/>
  <c r="AX22" i="6"/>
  <c r="K21" i="16"/>
  <c r="K36" i="16"/>
  <c r="CX74" i="2"/>
  <c r="BO74" i="2"/>
  <c r="CY68" i="2"/>
  <c r="BG57" i="2"/>
  <c r="BO69" i="2"/>
  <c r="O45" i="16" s="1"/>
  <c r="AU201" i="2"/>
  <c r="AV33" i="4"/>
  <c r="AL64" i="4"/>
  <c r="AF22" i="4"/>
  <c r="D22" i="4"/>
  <c r="AJ22" i="4"/>
  <c r="AK253" i="2"/>
  <c r="AT256" i="2"/>
  <c r="AT251" i="2"/>
  <c r="AT252" i="2"/>
  <c r="AT260" i="2"/>
  <c r="AB22" i="4"/>
  <c r="X22" i="4"/>
  <c r="H22" i="4"/>
  <c r="CQ204" i="2"/>
  <c r="AT62" i="4"/>
  <c r="AT63" i="4"/>
  <c r="BQ74" i="2"/>
  <c r="BQ70" i="2"/>
  <c r="Q30" i="16" s="1"/>
  <c r="BO10" i="2"/>
  <c r="O22" i="16" s="1"/>
  <c r="BO3" i="2"/>
  <c r="O6" i="16" s="1"/>
  <c r="BO17" i="2"/>
  <c r="BO44" i="2"/>
  <c r="BO9" i="2"/>
  <c r="O37" i="16" s="1"/>
  <c r="BO6" i="6"/>
  <c r="BO21" i="6" s="1"/>
  <c r="BO19" i="4" s="1"/>
  <c r="BO70" i="2"/>
  <c r="O30" i="16" s="1"/>
  <c r="CN260" i="2"/>
  <c r="CP260" i="2"/>
  <c r="CL260" i="2"/>
  <c r="AF270" i="2"/>
  <c r="AB278" i="2"/>
  <c r="AB268" i="2"/>
  <c r="CO251" i="2"/>
  <c r="CP253" i="2"/>
  <c r="CO256" i="2"/>
  <c r="CR250" i="2"/>
  <c r="AL256" i="2"/>
  <c r="AP253" i="2"/>
  <c r="AL260" i="2"/>
  <c r="AM252" i="2"/>
  <c r="AL251" i="2"/>
  <c r="V22" i="4"/>
  <c r="V278" i="2"/>
  <c r="V268" i="2"/>
  <c r="CO64" i="4"/>
  <c r="CN62" i="4"/>
  <c r="CQ253" i="2"/>
  <c r="CP251" i="2"/>
  <c r="CP256" i="2"/>
  <c r="AJ274" i="2"/>
  <c r="X278" i="2"/>
  <c r="AB270" i="2"/>
  <c r="X268" i="2"/>
  <c r="P268" i="2"/>
  <c r="T270" i="2"/>
  <c r="P278" i="2"/>
  <c r="H278" i="2"/>
  <c r="H268" i="2"/>
  <c r="L270" i="2"/>
  <c r="K272" i="2"/>
  <c r="O263" i="2"/>
  <c r="K267" i="2"/>
  <c r="K261" i="2"/>
  <c r="L262" i="2"/>
  <c r="CI62" i="4"/>
  <c r="CJ64" i="4"/>
  <c r="CM251" i="2"/>
  <c r="CN253" i="2"/>
  <c r="CM256" i="2"/>
  <c r="CM62" i="4"/>
  <c r="CN64" i="4"/>
  <c r="D268" i="2"/>
  <c r="H270" i="2"/>
  <c r="D278" i="2"/>
  <c r="CS250" i="2"/>
  <c r="AP256" i="2"/>
  <c r="AT253" i="2"/>
  <c r="AP260" i="2"/>
  <c r="AQ252" i="2"/>
  <c r="AP251" i="2"/>
  <c r="AP252" i="2"/>
  <c r="CL256" i="2"/>
  <c r="CM253" i="2"/>
  <c r="CL251" i="2"/>
  <c r="M267" i="2"/>
  <c r="M272" i="2"/>
  <c r="M273" i="2" s="1"/>
  <c r="N262" i="2"/>
  <c r="M261" i="2"/>
  <c r="Q263" i="2"/>
  <c r="CO253" i="2"/>
  <c r="CN251" i="2"/>
  <c r="CN256" i="2"/>
  <c r="AD22" i="4"/>
  <c r="F278" i="2"/>
  <c r="F268" i="2"/>
  <c r="F22" i="4"/>
  <c r="I3" i="4"/>
  <c r="I261" i="2"/>
  <c r="M263" i="2"/>
  <c r="I267" i="2"/>
  <c r="I272" i="2"/>
  <c r="I273" i="2" s="1"/>
  <c r="J262" i="2"/>
  <c r="AL253" i="2"/>
  <c r="AH3" i="4"/>
  <c r="AH267" i="2"/>
  <c r="AI262" i="2"/>
  <c r="AH272" i="2"/>
  <c r="AH274" i="2" s="1"/>
  <c r="AH261" i="2"/>
  <c r="AO64" i="4"/>
  <c r="AL63" i="4"/>
  <c r="AK62" i="4"/>
  <c r="AK63" i="4"/>
  <c r="U267" i="2"/>
  <c r="U272" i="2"/>
  <c r="U273" i="2" s="1"/>
  <c r="V262" i="2"/>
  <c r="U261" i="2"/>
  <c r="Y263" i="2"/>
  <c r="AM3" i="4"/>
  <c r="AM267" i="2"/>
  <c r="AQ263" i="2"/>
  <c r="AM272" i="2"/>
  <c r="AN262" i="2"/>
  <c r="AM261" i="2"/>
  <c r="X274" i="2"/>
  <c r="CK260" i="2"/>
  <c r="J267" i="2"/>
  <c r="N263" i="2"/>
  <c r="K262" i="2"/>
  <c r="J272" i="2"/>
  <c r="J274" i="2" s="1"/>
  <c r="J261" i="2"/>
  <c r="CK62" i="4"/>
  <c r="CL64" i="4"/>
  <c r="C272" i="2"/>
  <c r="C261" i="2"/>
  <c r="C3" i="4"/>
  <c r="C267" i="2"/>
  <c r="D262" i="2"/>
  <c r="G263" i="2"/>
  <c r="AQ3" i="4"/>
  <c r="AQ267" i="2"/>
  <c r="AR262" i="2"/>
  <c r="AQ272" i="2"/>
  <c r="AQ261" i="2"/>
  <c r="G267" i="2"/>
  <c r="G261" i="2"/>
  <c r="H262" i="2"/>
  <c r="G3" i="4"/>
  <c r="G272" i="2"/>
  <c r="K263" i="2"/>
  <c r="AC267" i="2"/>
  <c r="AD262" i="2"/>
  <c r="AG263" i="2"/>
  <c r="AC3" i="4"/>
  <c r="AC272" i="2"/>
  <c r="AC273" i="2" s="1"/>
  <c r="AC261" i="2"/>
  <c r="AA3" i="4"/>
  <c r="AA272" i="2"/>
  <c r="AA261" i="2"/>
  <c r="AA267" i="2"/>
  <c r="AE263" i="2"/>
  <c r="AB262" i="2"/>
  <c r="AF274" i="2"/>
  <c r="P274" i="2"/>
  <c r="L278" i="2"/>
  <c r="L268" i="2"/>
  <c r="P270" i="2"/>
  <c r="AA262" i="2"/>
  <c r="CO260" i="2"/>
  <c r="Z267" i="2"/>
  <c r="AD263" i="2"/>
  <c r="Z3" i="4"/>
  <c r="Z272" i="2"/>
  <c r="Z261" i="2"/>
  <c r="CO62" i="4"/>
  <c r="CP64" i="4"/>
  <c r="AP64" i="4"/>
  <c r="CR61" i="4"/>
  <c r="AL62" i="4"/>
  <c r="AM63" i="4"/>
  <c r="CS204" i="2"/>
  <c r="CR202" i="2"/>
  <c r="CR226" i="2"/>
  <c r="W3" i="4"/>
  <c r="W272" i="2"/>
  <c r="W273" i="2" s="1"/>
  <c r="AA263" i="2"/>
  <c r="W267" i="2"/>
  <c r="W261" i="2"/>
  <c r="X262" i="2"/>
  <c r="CP62" i="4"/>
  <c r="AF268" i="2"/>
  <c r="AF278" i="2"/>
  <c r="AJ270" i="2"/>
  <c r="AB274" i="2"/>
  <c r="T274" i="2"/>
  <c r="L274" i="2"/>
  <c r="S262" i="2"/>
  <c r="R272" i="2"/>
  <c r="R274" i="2" s="1"/>
  <c r="R261" i="2"/>
  <c r="CM260" i="2"/>
  <c r="R267" i="2"/>
  <c r="V263" i="2"/>
  <c r="H274" i="2"/>
  <c r="CS174" i="2"/>
  <c r="AP62" i="4"/>
  <c r="AQ63" i="4"/>
  <c r="AT64" i="4"/>
  <c r="CS61" i="4"/>
  <c r="AP63" i="4"/>
  <c r="CS202" i="2"/>
  <c r="Q261" i="2"/>
  <c r="U263" i="2"/>
  <c r="Q267" i="2"/>
  <c r="Q272" i="2"/>
  <c r="R262" i="2"/>
  <c r="AG3" i="4"/>
  <c r="AG272" i="2"/>
  <c r="AG267" i="2"/>
  <c r="AH262" i="2"/>
  <c r="AG261" i="2"/>
  <c r="AE3" i="4"/>
  <c r="AE272" i="2"/>
  <c r="AE273" i="2" s="1"/>
  <c r="AF262" i="2"/>
  <c r="AE267" i="2"/>
  <c r="AE261" i="2"/>
  <c r="AI263" i="2"/>
  <c r="O267" i="2"/>
  <c r="O261" i="2"/>
  <c r="P262" i="2"/>
  <c r="O272" i="2"/>
  <c r="O273" i="2" s="1"/>
  <c r="S263" i="2"/>
  <c r="AI272" i="2"/>
  <c r="AI267" i="2"/>
  <c r="AJ262" i="2"/>
  <c r="AI3" i="4"/>
  <c r="AM263" i="2"/>
  <c r="AI261" i="2"/>
  <c r="AD268" i="2"/>
  <c r="AD278" i="2"/>
  <c r="AE262" i="2"/>
  <c r="CK253" i="2"/>
  <c r="CJ251" i="2"/>
  <c r="CJ256" i="2"/>
  <c r="J263" i="2"/>
  <c r="CK64" i="4"/>
  <c r="CQ61" i="4"/>
  <c r="CQ256" i="2"/>
  <c r="CQ251" i="2"/>
  <c r="CQ202" i="2"/>
  <c r="CR204" i="2"/>
  <c r="CQ226" i="2"/>
  <c r="AJ268" i="2"/>
  <c r="AJ278" i="2"/>
  <c r="AK251" i="2"/>
  <c r="AK256" i="2"/>
  <c r="AK260" i="2"/>
  <c r="AO253" i="2"/>
  <c r="AL252" i="2"/>
  <c r="AK252" i="2"/>
  <c r="CI256" i="2"/>
  <c r="CI251" i="2"/>
  <c r="CJ253" i="2"/>
  <c r="B3" i="4"/>
  <c r="B272" i="2"/>
  <c r="B267" i="2"/>
  <c r="B261" i="2"/>
  <c r="F263" i="2"/>
  <c r="C262" i="2"/>
  <c r="CI260" i="2"/>
  <c r="S272" i="2"/>
  <c r="W263" i="2"/>
  <c r="S267" i="2"/>
  <c r="S261" i="2"/>
  <c r="T262" i="2"/>
  <c r="T268" i="2"/>
  <c r="X270" i="2"/>
  <c r="T278" i="2"/>
  <c r="U262" i="2"/>
  <c r="CK256" i="2"/>
  <c r="CK251" i="2"/>
  <c r="CL253" i="2"/>
  <c r="Y267" i="2"/>
  <c r="Y272" i="2"/>
  <c r="Z262" i="2"/>
  <c r="Y3" i="4"/>
  <c r="Y261" i="2"/>
  <c r="AC263" i="2"/>
  <c r="R263" i="2"/>
  <c r="O262" i="2"/>
  <c r="N278" i="2"/>
  <c r="N268" i="2"/>
  <c r="CL62" i="4"/>
  <c r="CM64" i="4"/>
  <c r="E3" i="4"/>
  <c r="F262" i="2"/>
  <c r="I263" i="2"/>
  <c r="E267" i="2"/>
  <c r="E272" i="2"/>
  <c r="E261" i="2"/>
  <c r="CT22" i="3"/>
  <c r="BN75" i="2"/>
  <c r="BP3" i="2"/>
  <c r="P6" i="16" s="1"/>
  <c r="BD3" i="6"/>
  <c r="BD2" i="5"/>
  <c r="BD5" i="5" s="1"/>
  <c r="D37" i="15" s="1"/>
  <c r="AV57" i="4"/>
  <c r="AV202" i="2"/>
  <c r="AV204" i="2"/>
  <c r="BP6" i="6"/>
  <c r="BP74" i="2"/>
  <c r="BP70" i="2"/>
  <c r="P30" i="16" s="1"/>
  <c r="BP69" i="2"/>
  <c r="P45" i="16" s="1"/>
  <c r="AV7" i="6"/>
  <c r="AV36" i="6" s="1"/>
  <c r="AV199" i="2"/>
  <c r="AV51" i="4"/>
  <c r="AV29" i="5"/>
  <c r="CY38" i="2"/>
  <c r="CY31" i="2"/>
  <c r="CY24" i="2"/>
  <c r="CY16" i="2"/>
  <c r="CT5" i="5"/>
  <c r="CT6" i="5"/>
  <c r="CT180" i="2"/>
  <c r="CT182" i="2"/>
  <c r="AY28" i="5"/>
  <c r="CT168" i="2"/>
  <c r="CT169" i="2"/>
  <c r="CT170" i="2" s="1"/>
  <c r="AU176" i="2"/>
  <c r="AU175" i="2"/>
  <c r="AV175" i="2"/>
  <c r="AU173" i="2"/>
  <c r="AU7" i="6"/>
  <c r="AU36" i="6" s="1"/>
  <c r="AU199" i="2"/>
  <c r="AV198" i="2"/>
  <c r="CT190" i="2"/>
  <c r="CT192" i="2"/>
  <c r="CT13" i="4"/>
  <c r="AU198" i="2"/>
  <c r="CT4" i="6"/>
  <c r="BN76" i="2"/>
  <c r="BN77" i="2"/>
  <c r="BP44" i="2"/>
  <c r="BP9" i="2"/>
  <c r="P37" i="16" s="1"/>
  <c r="BJ57" i="2"/>
  <c r="BH57" i="2"/>
  <c r="BP10" i="2"/>
  <c r="P22" i="16" s="1"/>
  <c r="BP17" i="2"/>
  <c r="BN50" i="2"/>
  <c r="BN64" i="2"/>
  <c r="BN80" i="2"/>
  <c r="BN11" i="2"/>
  <c r="BN39" i="2"/>
  <c r="BN32" i="2"/>
  <c r="BN45" i="2"/>
  <c r="BN18" i="2"/>
  <c r="BN5" i="2"/>
  <c r="N21" i="16" s="1"/>
  <c r="BD87" i="2"/>
  <c r="BD86" i="2"/>
  <c r="D46" i="16" s="1"/>
  <c r="BD83" i="2"/>
  <c r="L21" i="16"/>
  <c r="L36" i="16"/>
  <c r="BW216" i="2" l="1"/>
  <c r="BW214" i="2"/>
  <c r="BL12" i="2"/>
  <c r="BL6" i="2"/>
  <c r="BK12" i="2"/>
  <c r="BK6" i="2"/>
  <c r="G46" i="16"/>
  <c r="CT23" i="5"/>
  <c r="BX68" i="2"/>
  <c r="BX74" i="2" s="1"/>
  <c r="BX77" i="2" s="1"/>
  <c r="BX38" i="2"/>
  <c r="BX44" i="2"/>
  <c r="BX15" i="2"/>
  <c r="BX16" i="2"/>
  <c r="BX24" i="2"/>
  <c r="BX17" i="2"/>
  <c r="BJ176" i="2"/>
  <c r="BX31" i="2"/>
  <c r="BF170" i="2"/>
  <c r="BJ170" i="2"/>
  <c r="DA55" i="2"/>
  <c r="J27" i="15"/>
  <c r="DA219" i="2"/>
  <c r="W33" i="15"/>
  <c r="J32" i="15"/>
  <c r="C31" i="16"/>
  <c r="L5" i="15"/>
  <c r="L5" i="16"/>
  <c r="F6" i="15"/>
  <c r="N5" i="15"/>
  <c r="N5" i="16"/>
  <c r="W15" i="16"/>
  <c r="K5" i="16"/>
  <c r="K5" i="15"/>
  <c r="F28" i="15"/>
  <c r="F27" i="15"/>
  <c r="D31" i="16"/>
  <c r="J16" i="16"/>
  <c r="J43" i="15"/>
  <c r="J20" i="16"/>
  <c r="D6" i="15"/>
  <c r="CA212" i="2"/>
  <c r="W23" i="16"/>
  <c r="CB48" i="2"/>
  <c r="CA48" i="2"/>
  <c r="CF48" i="2"/>
  <c r="CE48" i="2"/>
  <c r="BW215" i="2"/>
  <c r="BX215" i="2"/>
  <c r="DA49" i="2"/>
  <c r="CZ23" i="2"/>
  <c r="CZ37" i="2"/>
  <c r="BR45" i="2"/>
  <c r="CB68" i="2"/>
  <c r="CB74" i="2" s="1"/>
  <c r="CB16" i="2"/>
  <c r="CB38" i="2"/>
  <c r="CB24" i="2"/>
  <c r="J30" i="15"/>
  <c r="CD31" i="2"/>
  <c r="CA16" i="2"/>
  <c r="CE16" i="2"/>
  <c r="DB27" i="2"/>
  <c r="CD28" i="2"/>
  <c r="CG27" i="2"/>
  <c r="CE8" i="2"/>
  <c r="CE17" i="2" s="1"/>
  <c r="CE68" i="2"/>
  <c r="CE74" i="2" s="1"/>
  <c r="CE38" i="2"/>
  <c r="CE24" i="2"/>
  <c r="BZ70" i="2"/>
  <c r="BZ74" i="2"/>
  <c r="BZ76" i="2" s="1"/>
  <c r="BZ11" i="2"/>
  <c r="CB17" i="2"/>
  <c r="CB31" i="2"/>
  <c r="DB47" i="2"/>
  <c r="CD48" i="2"/>
  <c r="CG47" i="2"/>
  <c r="CG20" i="2"/>
  <c r="CD21" i="2"/>
  <c r="DB34" i="2"/>
  <c r="CG34" i="2"/>
  <c r="CD35" i="2"/>
  <c r="CF215" i="2"/>
  <c r="CE215" i="2"/>
  <c r="CE31" i="2"/>
  <c r="CF35" i="2"/>
  <c r="CF14" i="2"/>
  <c r="CF16" i="2" s="1"/>
  <c r="CE15" i="2"/>
  <c r="CD68" i="2"/>
  <c r="CD8" i="2"/>
  <c r="CD17" i="2" s="1"/>
  <c r="CD38" i="2"/>
  <c r="CD24" i="2"/>
  <c r="CG219" i="2"/>
  <c r="CG54" i="2"/>
  <c r="DC53" i="2"/>
  <c r="BD170" i="2"/>
  <c r="BH170" i="2"/>
  <c r="BH176" i="2"/>
  <c r="H44" i="15" s="1"/>
  <c r="BR25" i="2"/>
  <c r="BR5" i="2"/>
  <c r="BR32" i="2"/>
  <c r="BR50" i="2"/>
  <c r="BR64" i="2"/>
  <c r="BR51" i="2" s="1"/>
  <c r="BV5" i="2"/>
  <c r="AS278" i="2"/>
  <c r="BR11" i="2"/>
  <c r="BT70" i="2"/>
  <c r="BR80" i="2"/>
  <c r="BV82" i="2" s="1"/>
  <c r="BR18" i="2"/>
  <c r="BT3" i="2"/>
  <c r="BT64" i="2" s="1"/>
  <c r="BX10" i="2"/>
  <c r="BT10" i="2"/>
  <c r="BT17" i="2"/>
  <c r="BT74" i="2"/>
  <c r="BG175" i="2"/>
  <c r="BC170" i="2"/>
  <c r="CT22" i="5"/>
  <c r="BN169" i="2"/>
  <c r="BR169" i="2" s="1"/>
  <c r="BV169" i="2" s="1"/>
  <c r="BZ169" i="2" s="1"/>
  <c r="CD169" i="2" s="1"/>
  <c r="BF176" i="2"/>
  <c r="F44" i="15" s="1"/>
  <c r="BF201" i="2"/>
  <c r="BF173" i="2"/>
  <c r="BF31" i="6"/>
  <c r="BF34" i="6"/>
  <c r="AS268" i="2"/>
  <c r="AO273" i="2"/>
  <c r="CZ216" i="2"/>
  <c r="DA36" i="2"/>
  <c r="DA29" i="2"/>
  <c r="AS273" i="2"/>
  <c r="BC31" i="6"/>
  <c r="BC34" i="6"/>
  <c r="BD31" i="6"/>
  <c r="BD34" i="6"/>
  <c r="BZ13" i="3"/>
  <c r="AN268" i="2"/>
  <c r="AN22" i="4"/>
  <c r="DA6" i="4"/>
  <c r="BY42" i="5"/>
  <c r="AN278" i="2"/>
  <c r="AN270" i="2"/>
  <c r="CZ213" i="2"/>
  <c r="CA31" i="2"/>
  <c r="BW77" i="2"/>
  <c r="BW75" i="2"/>
  <c r="BY68" i="2"/>
  <c r="BY74" i="2" s="1"/>
  <c r="BZ15" i="2"/>
  <c r="BY15" i="2"/>
  <c r="BV27" i="3"/>
  <c r="BV85" i="2"/>
  <c r="BV51" i="2"/>
  <c r="BV56" i="2"/>
  <c r="BV12" i="2"/>
  <c r="BV72" i="2"/>
  <c r="BY216" i="2"/>
  <c r="BZ215" i="2"/>
  <c r="BY215" i="2"/>
  <c r="DA22" i="2"/>
  <c r="AS270" i="2"/>
  <c r="BW70" i="2"/>
  <c r="BZ64" i="2"/>
  <c r="BZ80" i="2"/>
  <c r="BZ45" i="2"/>
  <c r="BZ32" i="2"/>
  <c r="BZ25" i="2"/>
  <c r="BZ50" i="2"/>
  <c r="BZ39" i="2"/>
  <c r="BZ18" i="2"/>
  <c r="BY16" i="2"/>
  <c r="BX64" i="2"/>
  <c r="BX6" i="2" s="1"/>
  <c r="BX32" i="2"/>
  <c r="BX45" i="2"/>
  <c r="BX25" i="2"/>
  <c r="BX50" i="2"/>
  <c r="BX39" i="2"/>
  <c r="BX18" i="2"/>
  <c r="DA14" i="2"/>
  <c r="BY38" i="2"/>
  <c r="BV78" i="2"/>
  <c r="AO278" i="2"/>
  <c r="CB96" i="4"/>
  <c r="CF96" i="4" s="1"/>
  <c r="BY24" i="2"/>
  <c r="DA212" i="2"/>
  <c r="DA214" i="2" s="1"/>
  <c r="BZ5" i="2"/>
  <c r="BY31" i="2"/>
  <c r="CA96" i="4"/>
  <c r="CE96" i="4" s="1"/>
  <c r="BT9" i="2"/>
  <c r="BW10" i="2"/>
  <c r="AS274" i="2"/>
  <c r="BV69" i="2"/>
  <c r="CA91" i="4"/>
  <c r="CE91" i="4" s="1"/>
  <c r="CB3" i="2"/>
  <c r="CB44" i="2"/>
  <c r="BV6" i="2"/>
  <c r="CC212" i="2"/>
  <c r="CC214" i="2" s="1"/>
  <c r="CC48" i="2"/>
  <c r="BW6" i="6"/>
  <c r="BW69" i="2"/>
  <c r="CB91" i="4"/>
  <c r="CF91" i="4" s="1"/>
  <c r="DB219" i="2"/>
  <c r="CC14" i="2"/>
  <c r="CC21" i="2"/>
  <c r="DB20" i="2"/>
  <c r="BZ21" i="6"/>
  <c r="CB15" i="2"/>
  <c r="CA8" i="2"/>
  <c r="CA68" i="2"/>
  <c r="CA24" i="2"/>
  <c r="CA38" i="2"/>
  <c r="CA15" i="2"/>
  <c r="CB10" i="2"/>
  <c r="DB55" i="2"/>
  <c r="CC35" i="2"/>
  <c r="BX9" i="2"/>
  <c r="BW3" i="2"/>
  <c r="BW11" i="2" s="1"/>
  <c r="BW44" i="2"/>
  <c r="BW9" i="2"/>
  <c r="CC28" i="2"/>
  <c r="AS269" i="2"/>
  <c r="AR278" i="2"/>
  <c r="AO268" i="2"/>
  <c r="AR268" i="2"/>
  <c r="AR270" i="2"/>
  <c r="AO269" i="2"/>
  <c r="BP169" i="2"/>
  <c r="BT169" i="2" s="1"/>
  <c r="BX169" i="2" s="1"/>
  <c r="BD176" i="2"/>
  <c r="D44" i="15" s="1"/>
  <c r="BD173" i="2"/>
  <c r="BC5" i="5"/>
  <c r="C37" i="15" s="1"/>
  <c r="AR274" i="2"/>
  <c r="AR273" i="2"/>
  <c r="AX57" i="4"/>
  <c r="CZ30" i="2"/>
  <c r="BS4" i="3"/>
  <c r="BT26" i="4" s="1"/>
  <c r="BS9" i="2"/>
  <c r="BS3" i="2"/>
  <c r="BS44" i="2"/>
  <c r="BS6" i="6"/>
  <c r="BS21" i="6" s="1"/>
  <c r="BS74" i="2"/>
  <c r="BW76" i="2" s="1"/>
  <c r="BS69" i="2"/>
  <c r="BT69" i="2"/>
  <c r="BS17" i="2"/>
  <c r="BS10" i="2"/>
  <c r="BS70" i="2"/>
  <c r="BC233" i="2"/>
  <c r="BB168" i="2"/>
  <c r="BB4" i="6"/>
  <c r="BQ27" i="3"/>
  <c r="CY27" i="3" s="1"/>
  <c r="CY21" i="6"/>
  <c r="BR19" i="4"/>
  <c r="BQ76" i="2"/>
  <c r="BR75" i="2"/>
  <c r="CZ31" i="2"/>
  <c r="CZ38" i="2"/>
  <c r="CZ24" i="2"/>
  <c r="BU74" i="2"/>
  <c r="BU6" i="6"/>
  <c r="CZ68" i="2"/>
  <c r="BU69" i="2"/>
  <c r="BU70" i="2"/>
  <c r="CZ16" i="2"/>
  <c r="AZ37" i="6"/>
  <c r="AZ35" i="6"/>
  <c r="AZ32" i="6"/>
  <c r="AE269" i="2"/>
  <c r="CL261" i="2"/>
  <c r="AY7" i="6"/>
  <c r="AY36" i="6" s="1"/>
  <c r="AR47" i="4"/>
  <c r="CJ261" i="2"/>
  <c r="X76" i="4"/>
  <c r="X77" i="4" s="1"/>
  <c r="AX202" i="2"/>
  <c r="AO76" i="4"/>
  <c r="AO77" i="4" s="1"/>
  <c r="CJ272" i="2"/>
  <c r="BC7" i="4"/>
  <c r="BC81" i="4" s="1"/>
  <c r="AY199" i="2"/>
  <c r="BB196" i="2"/>
  <c r="B7" i="15" s="1"/>
  <c r="BB182" i="2"/>
  <c r="B47" i="15" s="1"/>
  <c r="AJ76" i="4"/>
  <c r="AF76" i="4"/>
  <c r="AF83" i="4" s="1"/>
  <c r="AY197" i="2"/>
  <c r="AY198" i="2"/>
  <c r="AZ174" i="2"/>
  <c r="AU174" i="2"/>
  <c r="AX174" i="2"/>
  <c r="AZ7" i="6"/>
  <c r="AZ36" i="6" s="1"/>
  <c r="AZ197" i="2"/>
  <c r="AW174" i="2"/>
  <c r="AY14" i="8"/>
  <c r="AX204" i="2"/>
  <c r="AX224" i="2"/>
  <c r="AW52" i="4"/>
  <c r="AW55" i="3"/>
  <c r="AW56" i="3"/>
  <c r="H76" i="4"/>
  <c r="L79" i="4" s="1"/>
  <c r="D76" i="4"/>
  <c r="D83" i="4" s="1"/>
  <c r="R270" i="2"/>
  <c r="BD7" i="4"/>
  <c r="BD81" i="4" s="1"/>
  <c r="CT173" i="2"/>
  <c r="BF33" i="4"/>
  <c r="AV56" i="3"/>
  <c r="AV55" i="3"/>
  <c r="AZ29" i="5"/>
  <c r="AW5" i="6"/>
  <c r="AW33" i="6" s="1"/>
  <c r="AL263" i="2"/>
  <c r="CP261" i="2"/>
  <c r="CN261" i="2"/>
  <c r="AS76" i="4"/>
  <c r="AS83" i="4" s="1"/>
  <c r="CT21" i="5"/>
  <c r="CT41" i="5"/>
  <c r="AJ47" i="4"/>
  <c r="H47" i="4"/>
  <c r="X47" i="4"/>
  <c r="AO47" i="4"/>
  <c r="AR76" i="4"/>
  <c r="AR83" i="4" s="1"/>
  <c r="D47" i="4"/>
  <c r="AW41" i="5"/>
  <c r="AB76" i="4"/>
  <c r="AB83" i="4" s="1"/>
  <c r="G273" i="2"/>
  <c r="AB47" i="4"/>
  <c r="AS47" i="4"/>
  <c r="AF47" i="4"/>
  <c r="AW224" i="2"/>
  <c r="CX76" i="2"/>
  <c r="AX226" i="2"/>
  <c r="AX5" i="6"/>
  <c r="AX33" i="6" s="1"/>
  <c r="AX51" i="4"/>
  <c r="BB15" i="8"/>
  <c r="BB14" i="8"/>
  <c r="BB33" i="4"/>
  <c r="BK57" i="2"/>
  <c r="AZ14" i="8"/>
  <c r="BQ75" i="2"/>
  <c r="AZ15" i="8"/>
  <c r="AZ198" i="2"/>
  <c r="AZ201" i="2"/>
  <c r="AZ199" i="2"/>
  <c r="CX19" i="4"/>
  <c r="CY74" i="2"/>
  <c r="AV61" i="4"/>
  <c r="AV52" i="4"/>
  <c r="CT25" i="3"/>
  <c r="K35" i="16"/>
  <c r="BO75" i="2"/>
  <c r="AX15" i="6"/>
  <c r="AX34" i="6" s="1"/>
  <c r="BO77" i="2"/>
  <c r="CT10" i="3"/>
  <c r="AY172" i="2"/>
  <c r="AY168" i="2"/>
  <c r="AZ167" i="2"/>
  <c r="AY4" i="6"/>
  <c r="AY167" i="2"/>
  <c r="BO4" i="2"/>
  <c r="O36" i="16" s="1"/>
  <c r="BO76" i="2"/>
  <c r="BO27" i="3"/>
  <c r="Y269" i="2"/>
  <c r="AI22" i="4"/>
  <c r="AE22" i="4"/>
  <c r="Q269" i="2"/>
  <c r="W22" i="4"/>
  <c r="G269" i="2"/>
  <c r="AQ22" i="4"/>
  <c r="C22" i="4"/>
  <c r="AM22" i="4"/>
  <c r="AH270" i="2"/>
  <c r="I22" i="4"/>
  <c r="AT261" i="2"/>
  <c r="AT272" i="2"/>
  <c r="AT273" i="2" s="1"/>
  <c r="AT262" i="2"/>
  <c r="AT267" i="2"/>
  <c r="AT3" i="4"/>
  <c r="AZ22" i="6"/>
  <c r="E22" i="4"/>
  <c r="Y22" i="4"/>
  <c r="CP267" i="2"/>
  <c r="CP268" i="2" s="1"/>
  <c r="AG22" i="4"/>
  <c r="Z270" i="2"/>
  <c r="AA22" i="4"/>
  <c r="AC22" i="4"/>
  <c r="G22" i="4"/>
  <c r="BO50" i="2"/>
  <c r="BO32" i="2"/>
  <c r="BO18" i="2"/>
  <c r="BO45" i="2"/>
  <c r="BO5" i="2"/>
  <c r="O21" i="16" s="1"/>
  <c r="BO25" i="2"/>
  <c r="BO80" i="2"/>
  <c r="BO11" i="2"/>
  <c r="BO64" i="2"/>
  <c r="BO39" i="2"/>
  <c r="CP272" i="2"/>
  <c r="CN267" i="2"/>
  <c r="CN268" i="2" s="1"/>
  <c r="W269" i="2"/>
  <c r="F273" i="2"/>
  <c r="I274" i="2"/>
  <c r="Z273" i="2"/>
  <c r="AC274" i="2"/>
  <c r="X280" i="2"/>
  <c r="W270" i="2"/>
  <c r="S268" i="2"/>
  <c r="S278" i="2"/>
  <c r="T269" i="2"/>
  <c r="T273" i="2"/>
  <c r="W274" i="2"/>
  <c r="F274" i="2"/>
  <c r="CI272" i="2"/>
  <c r="C273" i="2"/>
  <c r="AK267" i="2"/>
  <c r="AK261" i="2"/>
  <c r="AL262" i="2"/>
  <c r="AK3" i="4"/>
  <c r="CQ3" i="4" s="1"/>
  <c r="AO263" i="2"/>
  <c r="AK272" i="2"/>
  <c r="AK274" i="2" s="1"/>
  <c r="AK262" i="2"/>
  <c r="CQ62" i="4"/>
  <c r="CR64" i="4"/>
  <c r="AI268" i="2"/>
  <c r="AM270" i="2"/>
  <c r="AI278" i="2"/>
  <c r="AJ269" i="2"/>
  <c r="O268" i="2"/>
  <c r="S270" i="2"/>
  <c r="O278" i="2"/>
  <c r="P269" i="2"/>
  <c r="AK263" i="2"/>
  <c r="U274" i="2"/>
  <c r="R273" i="2"/>
  <c r="E273" i="2"/>
  <c r="R278" i="2"/>
  <c r="V270" i="2"/>
  <c r="CM267" i="2"/>
  <c r="R268" i="2"/>
  <c r="S269" i="2"/>
  <c r="AJ280" i="2"/>
  <c r="CO272" i="2"/>
  <c r="AD274" i="2"/>
  <c r="AA273" i="2"/>
  <c r="CO261" i="2"/>
  <c r="CP263" i="2"/>
  <c r="AE270" i="2"/>
  <c r="AB269" i="2"/>
  <c r="AA278" i="2"/>
  <c r="AA268" i="2"/>
  <c r="AB273" i="2"/>
  <c r="AE274" i="2"/>
  <c r="AQ278" i="2"/>
  <c r="AQ268" i="2"/>
  <c r="AR269" i="2"/>
  <c r="C278" i="2"/>
  <c r="D269" i="2"/>
  <c r="C268" i="2"/>
  <c r="G270" i="2"/>
  <c r="CK267" i="2"/>
  <c r="J278" i="2"/>
  <c r="J268" i="2"/>
  <c r="K269" i="2"/>
  <c r="N270" i="2"/>
  <c r="AN273" i="2"/>
  <c r="AQ274" i="2"/>
  <c r="AQ270" i="2"/>
  <c r="AN269" i="2"/>
  <c r="AM278" i="2"/>
  <c r="AM268" i="2"/>
  <c r="Y270" i="2"/>
  <c r="U268" i="2"/>
  <c r="U278" i="2"/>
  <c r="V269" i="2"/>
  <c r="AH22" i="4"/>
  <c r="I278" i="2"/>
  <c r="I268" i="2"/>
  <c r="M270" i="2"/>
  <c r="J269" i="2"/>
  <c r="CJ3" i="4"/>
  <c r="J270" i="2"/>
  <c r="CJ267" i="2"/>
  <c r="AD76" i="4"/>
  <c r="AD47" i="4"/>
  <c r="Q270" i="2"/>
  <c r="N269" i="2"/>
  <c r="M278" i="2"/>
  <c r="M268" i="2"/>
  <c r="CS251" i="2"/>
  <c r="CS256" i="2"/>
  <c r="H280" i="2"/>
  <c r="O270" i="2"/>
  <c r="L269" i="2"/>
  <c r="K278" i="2"/>
  <c r="K268" i="2"/>
  <c r="L273" i="2"/>
  <c r="O274" i="2"/>
  <c r="I269" i="2"/>
  <c r="L280" i="2"/>
  <c r="V47" i="4"/>
  <c r="V76" i="4"/>
  <c r="CR256" i="2"/>
  <c r="CS253" i="2"/>
  <c r="CR251" i="2"/>
  <c r="AF280" i="2"/>
  <c r="E278" i="2"/>
  <c r="F269" i="2"/>
  <c r="I270" i="2"/>
  <c r="E268" i="2"/>
  <c r="CL267" i="2"/>
  <c r="O269" i="2"/>
  <c r="Z269" i="2"/>
  <c r="Y268" i="2"/>
  <c r="Y278" i="2"/>
  <c r="AC270" i="2"/>
  <c r="U269" i="2"/>
  <c r="CI261" i="2"/>
  <c r="CJ263" i="2"/>
  <c r="B278" i="2"/>
  <c r="B268" i="2"/>
  <c r="F270" i="2"/>
  <c r="CI267" i="2"/>
  <c r="C269" i="2"/>
  <c r="B22" i="4"/>
  <c r="CI3" i="4"/>
  <c r="CR253" i="2"/>
  <c r="AI273" i="2"/>
  <c r="AJ273" i="2"/>
  <c r="AM274" i="2"/>
  <c r="P273" i="2"/>
  <c r="S274" i="2"/>
  <c r="AE278" i="2"/>
  <c r="AE268" i="2"/>
  <c r="AF269" i="2"/>
  <c r="AI270" i="2"/>
  <c r="AF273" i="2"/>
  <c r="AI274" i="2"/>
  <c r="AG278" i="2"/>
  <c r="AG268" i="2"/>
  <c r="AH269" i="2"/>
  <c r="AH273" i="2"/>
  <c r="Q278" i="2"/>
  <c r="R269" i="2"/>
  <c r="Q268" i="2"/>
  <c r="U270" i="2"/>
  <c r="CS62" i="4"/>
  <c r="CM261" i="2"/>
  <c r="CN263" i="2"/>
  <c r="CM272" i="2"/>
  <c r="S273" i="2"/>
  <c r="V274" i="2"/>
  <c r="Q273" i="2"/>
  <c r="Y273" i="2"/>
  <c r="AG269" i="2"/>
  <c r="CQ64" i="4"/>
  <c r="AA270" i="2"/>
  <c r="X269" i="2"/>
  <c r="W278" i="2"/>
  <c r="W268" i="2"/>
  <c r="X273" i="2"/>
  <c r="AA274" i="2"/>
  <c r="CO263" i="2"/>
  <c r="Z274" i="2"/>
  <c r="CN272" i="2"/>
  <c r="CR62" i="4"/>
  <c r="CS64" i="4"/>
  <c r="CO3" i="4"/>
  <c r="Z22" i="4"/>
  <c r="Z268" i="2"/>
  <c r="AD270" i="2"/>
  <c r="CO267" i="2"/>
  <c r="Z278" i="2"/>
  <c r="AA269" i="2"/>
  <c r="M269" i="2"/>
  <c r="P280" i="2"/>
  <c r="AG274" i="2"/>
  <c r="AD273" i="2"/>
  <c r="AD269" i="2"/>
  <c r="AG270" i="2"/>
  <c r="AC278" i="2"/>
  <c r="AC268" i="2"/>
  <c r="H273" i="2"/>
  <c r="K274" i="2"/>
  <c r="K270" i="2"/>
  <c r="H269" i="2"/>
  <c r="G278" i="2"/>
  <c r="G268" i="2"/>
  <c r="CM263" i="2"/>
  <c r="CL272" i="2"/>
  <c r="D273" i="2"/>
  <c r="G274" i="2"/>
  <c r="K273" i="2"/>
  <c r="CK272" i="2"/>
  <c r="N274" i="2"/>
  <c r="CL263" i="2"/>
  <c r="CK261" i="2"/>
  <c r="V273" i="2"/>
  <c r="Y274" i="2"/>
  <c r="CQ260" i="2"/>
  <c r="AH268" i="2"/>
  <c r="AH278" i="2"/>
  <c r="AI269" i="2"/>
  <c r="M274" i="2"/>
  <c r="J273" i="2"/>
  <c r="F47" i="4"/>
  <c r="F76" i="4"/>
  <c r="CK263" i="2"/>
  <c r="CP3" i="4"/>
  <c r="N273" i="2"/>
  <c r="Q274" i="2"/>
  <c r="AP3" i="4"/>
  <c r="AP267" i="2"/>
  <c r="AP261" i="2"/>
  <c r="AQ262" i="2"/>
  <c r="CS260" i="2"/>
  <c r="AP272" i="2"/>
  <c r="AT263" i="2"/>
  <c r="AP262" i="2"/>
  <c r="E269" i="2"/>
  <c r="T280" i="2"/>
  <c r="AB280" i="2"/>
  <c r="AG273" i="2"/>
  <c r="CN3" i="4"/>
  <c r="AL3" i="4"/>
  <c r="AL267" i="2"/>
  <c r="AP263" i="2"/>
  <c r="AM262" i="2"/>
  <c r="CR260" i="2"/>
  <c r="AL272" i="2"/>
  <c r="AL261" i="2"/>
  <c r="AC269" i="2"/>
  <c r="AV226" i="2"/>
  <c r="AV224" i="2"/>
  <c r="BP39" i="2"/>
  <c r="BP80" i="2"/>
  <c r="BP76" i="2"/>
  <c r="BP25" i="2"/>
  <c r="BP45" i="2"/>
  <c r="BP5" i="2"/>
  <c r="P21" i="16" s="1"/>
  <c r="BP64" i="2"/>
  <c r="BP32" i="2"/>
  <c r="BP4" i="2"/>
  <c r="P36" i="16" s="1"/>
  <c r="BP11" i="2"/>
  <c r="BP18" i="2"/>
  <c r="CW19" i="4"/>
  <c r="J31" i="16"/>
  <c r="BN207" i="2"/>
  <c r="BP77" i="2"/>
  <c r="BP21" i="6"/>
  <c r="CY6" i="6"/>
  <c r="BP75" i="2"/>
  <c r="AV5" i="6"/>
  <c r="AV33" i="6" s="1"/>
  <c r="CY70" i="2"/>
  <c r="W30" i="16" s="1"/>
  <c r="CY71" i="2"/>
  <c r="BD196" i="2"/>
  <c r="D7" i="15" s="1"/>
  <c r="BD4" i="6"/>
  <c r="BP50" i="2"/>
  <c r="CT176" i="2"/>
  <c r="AY29" i="5"/>
  <c r="AV2" i="8"/>
  <c r="AV3" i="8" s="1"/>
  <c r="AU57" i="4"/>
  <c r="AU203" i="2"/>
  <c r="AU224" i="2"/>
  <c r="AU204" i="2"/>
  <c r="AU202" i="2"/>
  <c r="AV203" i="2"/>
  <c r="AY33" i="4"/>
  <c r="BN72" i="2"/>
  <c r="BN82" i="2"/>
  <c r="BN78" i="2"/>
  <c r="BN6" i="2"/>
  <c r="BN12" i="2"/>
  <c r="BN56" i="2"/>
  <c r="BN66" i="2"/>
  <c r="BN85" i="2"/>
  <c r="BN51" i="2"/>
  <c r="L35" i="16"/>
  <c r="BL57" i="2"/>
  <c r="CA216" i="2" l="1"/>
  <c r="CA214" i="2"/>
  <c r="CE214" i="2"/>
  <c r="N13" i="15"/>
  <c r="BX80" i="2"/>
  <c r="BX78" i="2" s="1"/>
  <c r="DA74" i="2"/>
  <c r="BX76" i="2"/>
  <c r="BX75" i="2"/>
  <c r="CB76" i="2"/>
  <c r="BX69" i="2"/>
  <c r="BX70" i="2"/>
  <c r="BX6" i="6"/>
  <c r="BX21" i="6" s="1"/>
  <c r="BX27" i="3" s="1"/>
  <c r="L13" i="15"/>
  <c r="BJ174" i="2"/>
  <c r="F12" i="15"/>
  <c r="BJ204" i="2"/>
  <c r="BN31" i="6"/>
  <c r="BR31" i="6" s="1"/>
  <c r="BV31" i="6" s="1"/>
  <c r="BZ31" i="6" s="1"/>
  <c r="CD31" i="6" s="1"/>
  <c r="L28" i="15"/>
  <c r="L27" i="15"/>
  <c r="L29" i="15"/>
  <c r="K29" i="15"/>
  <c r="K27" i="15"/>
  <c r="K28" i="15"/>
  <c r="BV229" i="2"/>
  <c r="BV190" i="2"/>
  <c r="BV185" i="2"/>
  <c r="BV180" i="2"/>
  <c r="BN190" i="2"/>
  <c r="BN185" i="2"/>
  <c r="BN180" i="2"/>
  <c r="N27" i="15" s="1"/>
  <c r="J52" i="15"/>
  <c r="DB36" i="2"/>
  <c r="DB37" i="2" s="1"/>
  <c r="J19" i="15"/>
  <c r="J37" i="15"/>
  <c r="L43" i="15"/>
  <c r="L20" i="16"/>
  <c r="J9" i="15"/>
  <c r="D25" i="15"/>
  <c r="J13" i="15"/>
  <c r="N32" i="15"/>
  <c r="J8" i="15"/>
  <c r="L16" i="16"/>
  <c r="BN229" i="2"/>
  <c r="N30" i="15" s="1"/>
  <c r="N16" i="16"/>
  <c r="O5" i="16"/>
  <c r="O5" i="15"/>
  <c r="CA215" i="2"/>
  <c r="F25" i="15"/>
  <c r="CE216" i="2"/>
  <c r="N9" i="15"/>
  <c r="J28" i="15"/>
  <c r="N43" i="15"/>
  <c r="N20" i="16"/>
  <c r="CB215" i="2"/>
  <c r="J29" i="15"/>
  <c r="P5" i="16"/>
  <c r="P5" i="15"/>
  <c r="K43" i="15"/>
  <c r="K20" i="16"/>
  <c r="K13" i="15"/>
  <c r="K16" i="16"/>
  <c r="CD70" i="2"/>
  <c r="CG35" i="2"/>
  <c r="DB49" i="2"/>
  <c r="CB70" i="2"/>
  <c r="DC34" i="2"/>
  <c r="CB6" i="6"/>
  <c r="CB21" i="6" s="1"/>
  <c r="CB27" i="3" s="1"/>
  <c r="DA23" i="2"/>
  <c r="DA37" i="2"/>
  <c r="CB77" i="2"/>
  <c r="L30" i="15"/>
  <c r="K30" i="15"/>
  <c r="DA24" i="2"/>
  <c r="CF15" i="2"/>
  <c r="CF38" i="2"/>
  <c r="CE77" i="2"/>
  <c r="DC219" i="2"/>
  <c r="DB212" i="2"/>
  <c r="DB214" i="2" s="1"/>
  <c r="CD215" i="2"/>
  <c r="CE70" i="2"/>
  <c r="CD3" i="2"/>
  <c r="CD11" i="2" s="1"/>
  <c r="CE9" i="2"/>
  <c r="CD44" i="2"/>
  <c r="CD10" i="2"/>
  <c r="CG14" i="2"/>
  <c r="CG38" i="2" s="1"/>
  <c r="CG21" i="2"/>
  <c r="DC20" i="2"/>
  <c r="DC55" i="2"/>
  <c r="BZ82" i="2"/>
  <c r="CA17" i="2"/>
  <c r="CE10" i="2"/>
  <c r="CB11" i="2"/>
  <c r="BZ77" i="2"/>
  <c r="CG212" i="2"/>
  <c r="CG214" i="2" s="1"/>
  <c r="CG48" i="2"/>
  <c r="DC47" i="2"/>
  <c r="CE6" i="6"/>
  <c r="CE21" i="6" s="1"/>
  <c r="DB14" i="2"/>
  <c r="CD15" i="2"/>
  <c r="DB29" i="2"/>
  <c r="CD6" i="6"/>
  <c r="CE69" i="2"/>
  <c r="CE3" i="2"/>
  <c r="CE11" i="2" s="1"/>
  <c r="CE44" i="2"/>
  <c r="CD74" i="2"/>
  <c r="CD76" i="2" s="1"/>
  <c r="CF8" i="2"/>
  <c r="CF9" i="2" s="1"/>
  <c r="CF68" i="2"/>
  <c r="CF74" i="2" s="1"/>
  <c r="CF76" i="2" s="1"/>
  <c r="CF31" i="2"/>
  <c r="CF24" i="2"/>
  <c r="CG28" i="2"/>
  <c r="DC27" i="2"/>
  <c r="BR56" i="2"/>
  <c r="BR85" i="2"/>
  <c r="BR66" i="2"/>
  <c r="BH199" i="2"/>
  <c r="H46" i="15" s="1"/>
  <c r="BH174" i="2"/>
  <c r="H45" i="15" s="1"/>
  <c r="BR78" i="2"/>
  <c r="BR82" i="2"/>
  <c r="DA30" i="2"/>
  <c r="BR12" i="2"/>
  <c r="BT18" i="2"/>
  <c r="BV66" i="2"/>
  <c r="BR72" i="2"/>
  <c r="BT32" i="2"/>
  <c r="BR6" i="2"/>
  <c r="BT39" i="2"/>
  <c r="BT80" i="2"/>
  <c r="BT207" i="2" s="1"/>
  <c r="BX5" i="2"/>
  <c r="BT45" i="2"/>
  <c r="BT50" i="2"/>
  <c r="BT5" i="2"/>
  <c r="BT11" i="2"/>
  <c r="BT25" i="2"/>
  <c r="BT77" i="2"/>
  <c r="BT76" i="2"/>
  <c r="BG203" i="2"/>
  <c r="BF199" i="2"/>
  <c r="F46" i="15" s="1"/>
  <c r="BF250" i="2"/>
  <c r="BF226" i="2"/>
  <c r="BF202" i="2"/>
  <c r="K52" i="15"/>
  <c r="BY70" i="2"/>
  <c r="BD174" i="2"/>
  <c r="D45" i="15" s="1"/>
  <c r="BX66" i="2"/>
  <c r="AN47" i="4"/>
  <c r="AN76" i="4"/>
  <c r="AN77" i="4" s="1"/>
  <c r="DA216" i="2"/>
  <c r="DB22" i="2"/>
  <c r="AS280" i="2"/>
  <c r="DA68" i="2"/>
  <c r="CA29" i="4"/>
  <c r="CA28" i="4"/>
  <c r="CA10" i="2"/>
  <c r="AR280" i="2"/>
  <c r="DA42" i="5"/>
  <c r="DA17" i="3"/>
  <c r="AS279" i="2"/>
  <c r="AN280" i="2"/>
  <c r="DA31" i="2"/>
  <c r="DA16" i="2"/>
  <c r="CB5" i="2"/>
  <c r="CC24" i="2"/>
  <c r="BW5" i="2"/>
  <c r="DA38" i="2"/>
  <c r="BV166" i="2"/>
  <c r="AO279" i="2"/>
  <c r="CA74" i="2"/>
  <c r="CE76" i="2" s="1"/>
  <c r="CA6" i="6"/>
  <c r="CB69" i="2"/>
  <c r="CA69" i="2"/>
  <c r="BZ27" i="3"/>
  <c r="CC68" i="2"/>
  <c r="CC15" i="2"/>
  <c r="CC16" i="2"/>
  <c r="CB169" i="2"/>
  <c r="CF169" i="2" s="1"/>
  <c r="CA3" i="2"/>
  <c r="CB9" i="2"/>
  <c r="CA44" i="2"/>
  <c r="CA9" i="2"/>
  <c r="BX85" i="2"/>
  <c r="BX51" i="2"/>
  <c r="BX56" i="2"/>
  <c r="BX12" i="2"/>
  <c r="BX72" i="2"/>
  <c r="BZ78" i="2"/>
  <c r="BV83" i="2"/>
  <c r="BV3" i="6"/>
  <c r="BV2" i="5"/>
  <c r="BV5" i="5" s="1"/>
  <c r="BV57" i="2"/>
  <c r="BV20" i="4"/>
  <c r="BW21" i="6"/>
  <c r="CC31" i="2"/>
  <c r="CC216" i="2"/>
  <c r="CC215" i="2"/>
  <c r="CB80" i="2"/>
  <c r="CB64" i="2"/>
  <c r="CB50" i="2"/>
  <c r="CB32" i="2"/>
  <c r="CB25" i="2"/>
  <c r="CB45" i="2"/>
  <c r="CB18" i="2"/>
  <c r="CB39" i="2"/>
  <c r="BZ6" i="2"/>
  <c r="BZ85" i="2"/>
  <c r="BZ51" i="2"/>
  <c r="BZ56" i="2"/>
  <c r="BZ12" i="2"/>
  <c r="BZ72" i="2"/>
  <c r="BZ66" i="2"/>
  <c r="BY6" i="6"/>
  <c r="BY21" i="6" s="1"/>
  <c r="BZ19" i="4" s="1"/>
  <c r="BZ69" i="2"/>
  <c r="BY69" i="2"/>
  <c r="BZ75" i="2"/>
  <c r="BY75" i="2"/>
  <c r="BV75" i="2"/>
  <c r="BY76" i="2"/>
  <c r="BW80" i="2"/>
  <c r="BW64" i="2"/>
  <c r="BX4" i="2"/>
  <c r="BW39" i="2"/>
  <c r="BW45" i="2"/>
  <c r="BW25" i="2"/>
  <c r="BW32" i="2"/>
  <c r="BW50" i="2"/>
  <c r="BW4" i="2"/>
  <c r="BW18" i="2"/>
  <c r="CA70" i="2"/>
  <c r="CC38" i="2"/>
  <c r="DA213" i="2"/>
  <c r="BD35" i="6"/>
  <c r="BD32" i="6"/>
  <c r="BD37" i="6"/>
  <c r="BP37" i="6" s="1"/>
  <c r="BT37" i="6" s="1"/>
  <c r="BX37" i="6" s="1"/>
  <c r="CB37" i="6" s="1"/>
  <c r="CF37" i="6" s="1"/>
  <c r="BF4" i="6"/>
  <c r="X83" i="4"/>
  <c r="X84" i="4" s="1"/>
  <c r="X79" i="4"/>
  <c r="BB197" i="2"/>
  <c r="B26" i="15" s="1"/>
  <c r="BB37" i="6"/>
  <c r="BB35" i="6"/>
  <c r="BB32" i="6"/>
  <c r="BT27" i="4"/>
  <c r="BT4" i="3" s="1"/>
  <c r="BS75" i="2"/>
  <c r="BS77" i="2"/>
  <c r="BT75" i="2"/>
  <c r="BS19" i="4"/>
  <c r="BS27" i="3"/>
  <c r="BS11" i="2"/>
  <c r="BS80" i="2"/>
  <c r="BS25" i="2"/>
  <c r="BS45" i="2"/>
  <c r="BS18" i="2"/>
  <c r="BS39" i="2"/>
  <c r="BS32" i="2"/>
  <c r="BS50" i="2"/>
  <c r="BS4" i="2"/>
  <c r="BS64" i="2"/>
  <c r="BT4" i="2"/>
  <c r="BS5" i="2"/>
  <c r="BT19" i="4"/>
  <c r="BS76" i="2"/>
  <c r="CZ70" i="2"/>
  <c r="BB176" i="2"/>
  <c r="B44" i="15" s="1"/>
  <c r="BB173" i="2"/>
  <c r="BT66" i="2"/>
  <c r="BT85" i="2"/>
  <c r="BT56" i="2"/>
  <c r="BT51" i="2"/>
  <c r="BT12" i="2"/>
  <c r="BT72" i="2"/>
  <c r="BP78" i="2"/>
  <c r="BT6" i="2"/>
  <c r="BG233" i="2"/>
  <c r="BF233" i="2"/>
  <c r="CZ74" i="2"/>
  <c r="BU75" i="2"/>
  <c r="BU76" i="2"/>
  <c r="CZ71" i="2"/>
  <c r="BU21" i="6"/>
  <c r="BV19" i="4" s="1"/>
  <c r="CZ6" i="6"/>
  <c r="BF7" i="4"/>
  <c r="BF81" i="4" s="1"/>
  <c r="AO83" i="4"/>
  <c r="AS86" i="4" s="1"/>
  <c r="AZ226" i="2"/>
  <c r="AC47" i="4"/>
  <c r="AF77" i="4"/>
  <c r="AJ77" i="4"/>
  <c r="H77" i="4"/>
  <c r="CJ274" i="2"/>
  <c r="AY35" i="6"/>
  <c r="AY37" i="6"/>
  <c r="AY32" i="6"/>
  <c r="BC196" i="2"/>
  <c r="AJ79" i="4"/>
  <c r="AR77" i="4"/>
  <c r="AF79" i="4"/>
  <c r="H79" i="4"/>
  <c r="AS77" i="4"/>
  <c r="AS78" i="4"/>
  <c r="H83" i="4"/>
  <c r="H84" i="4" s="1"/>
  <c r="D77" i="4"/>
  <c r="AI47" i="4"/>
  <c r="AJ83" i="4"/>
  <c r="AJ86" i="4" s="1"/>
  <c r="AS79" i="4"/>
  <c r="BC33" i="4"/>
  <c r="BB7" i="6"/>
  <c r="BB36" i="6" s="1"/>
  <c r="BB201" i="2"/>
  <c r="B12" i="15" s="1"/>
  <c r="BB199" i="2"/>
  <c r="B46" i="15" s="1"/>
  <c r="AX56" i="3"/>
  <c r="AX55" i="3"/>
  <c r="BD197" i="2"/>
  <c r="D26" i="15" s="1"/>
  <c r="AZ204" i="2"/>
  <c r="AK270" i="2"/>
  <c r="CT174" i="2"/>
  <c r="AA76" i="4"/>
  <c r="AA77" i="4" s="1"/>
  <c r="AB79" i="4"/>
  <c r="AB77" i="4"/>
  <c r="G76" i="4"/>
  <c r="G78" i="4" s="1"/>
  <c r="CO278" i="2"/>
  <c r="CI278" i="2"/>
  <c r="CL278" i="2"/>
  <c r="CP278" i="2"/>
  <c r="CS261" i="2"/>
  <c r="CJ278" i="2"/>
  <c r="CK278" i="2"/>
  <c r="CM278" i="2"/>
  <c r="CN278" i="2"/>
  <c r="W279" i="2"/>
  <c r="AA47" i="4"/>
  <c r="G47" i="4"/>
  <c r="AC76" i="4"/>
  <c r="AC83" i="4" s="1"/>
  <c r="AC85" i="4" s="1"/>
  <c r="I76" i="4"/>
  <c r="I78" i="4" s="1"/>
  <c r="AM76" i="4"/>
  <c r="AM77" i="4" s="1"/>
  <c r="CL274" i="2"/>
  <c r="C76" i="4"/>
  <c r="C83" i="4" s="1"/>
  <c r="CP274" i="2"/>
  <c r="AX41" i="5"/>
  <c r="Y47" i="4"/>
  <c r="AQ47" i="4"/>
  <c r="W47" i="4"/>
  <c r="W49" i="4" s="1"/>
  <c r="AG76" i="4"/>
  <c r="AG78" i="4" s="1"/>
  <c r="AE47" i="4"/>
  <c r="E76" i="4"/>
  <c r="CS3" i="4"/>
  <c r="I47" i="4"/>
  <c r="AM47" i="4"/>
  <c r="C47" i="4"/>
  <c r="AQ76" i="4"/>
  <c r="AQ83" i="4" s="1"/>
  <c r="W76" i="4"/>
  <c r="W77" i="4" s="1"/>
  <c r="AG47" i="4"/>
  <c r="AE76" i="4"/>
  <c r="AE77" i="4" s="1"/>
  <c r="AI76" i="4"/>
  <c r="AI77" i="4" s="1"/>
  <c r="Y76" i="4"/>
  <c r="Y79" i="4" s="1"/>
  <c r="E47" i="4"/>
  <c r="AX61" i="4"/>
  <c r="AX52" i="4"/>
  <c r="BB51" i="4"/>
  <c r="BB5" i="6"/>
  <c r="BB33" i="6" s="1"/>
  <c r="K31" i="16"/>
  <c r="K46" i="16"/>
  <c r="AZ51" i="4"/>
  <c r="AZ5" i="6"/>
  <c r="AZ33" i="6" s="1"/>
  <c r="AZ202" i="2"/>
  <c r="AZ57" i="4"/>
  <c r="CT15" i="4"/>
  <c r="CT17" i="4"/>
  <c r="AV62" i="4"/>
  <c r="BO6" i="2"/>
  <c r="BO81" i="2"/>
  <c r="BC4" i="6"/>
  <c r="BC172" i="2"/>
  <c r="C6" i="15" s="1"/>
  <c r="AY175" i="2"/>
  <c r="AZ175" i="2"/>
  <c r="AY201" i="2"/>
  <c r="AY173" i="2"/>
  <c r="AY176" i="2"/>
  <c r="CP22" i="4"/>
  <c r="Z280" i="2"/>
  <c r="CI22" i="4"/>
  <c r="CJ22" i="4"/>
  <c r="J280" i="2"/>
  <c r="AR279" i="2"/>
  <c r="AT22" i="4"/>
  <c r="CN22" i="4"/>
  <c r="CO22" i="4"/>
  <c r="Q279" i="2"/>
  <c r="Y279" i="2"/>
  <c r="E279" i="2"/>
  <c r="M279" i="2"/>
  <c r="CQ22" i="4"/>
  <c r="AK22" i="4"/>
  <c r="AT278" i="2"/>
  <c r="AT269" i="2"/>
  <c r="AT268" i="2"/>
  <c r="BO65" i="2"/>
  <c r="O35" i="16" s="1"/>
  <c r="CQ272" i="2"/>
  <c r="CQ274" i="2" s="1"/>
  <c r="CO274" i="2"/>
  <c r="BO12" i="2"/>
  <c r="BO51" i="2"/>
  <c r="BO56" i="2"/>
  <c r="BO66" i="2"/>
  <c r="BO72" i="2"/>
  <c r="BO85" i="2"/>
  <c r="BO207" i="2"/>
  <c r="O13" i="15" s="1"/>
  <c r="BO78" i="2"/>
  <c r="BO82" i="2"/>
  <c r="CK274" i="2"/>
  <c r="CY76" i="2"/>
  <c r="CR261" i="2"/>
  <c r="CS263" i="2"/>
  <c r="CR3" i="4"/>
  <c r="AL22" i="4"/>
  <c r="AT274" i="2"/>
  <c r="CS272" i="2"/>
  <c r="AQ273" i="2"/>
  <c r="AP273" i="2"/>
  <c r="AP278" i="2"/>
  <c r="AP268" i="2"/>
  <c r="CS267" i="2"/>
  <c r="AT270" i="2"/>
  <c r="AQ269" i="2"/>
  <c r="AP269" i="2"/>
  <c r="CR263" i="2"/>
  <c r="CQ261" i="2"/>
  <c r="CQ263" i="2"/>
  <c r="AR84" i="4"/>
  <c r="AS85" i="4"/>
  <c r="K280" i="2"/>
  <c r="H279" i="2"/>
  <c r="AG280" i="2"/>
  <c r="AD279" i="2"/>
  <c r="CO268" i="2"/>
  <c r="CP270" i="2"/>
  <c r="AA280" i="2"/>
  <c r="X279" i="2"/>
  <c r="CN274" i="2"/>
  <c r="R279" i="2"/>
  <c r="U280" i="2"/>
  <c r="AH279" i="2"/>
  <c r="AF279" i="2"/>
  <c r="AI280" i="2"/>
  <c r="F280" i="2"/>
  <c r="C279" i="2"/>
  <c r="AC279" i="2"/>
  <c r="CO270" i="2"/>
  <c r="AF84" i="4"/>
  <c r="D84" i="4"/>
  <c r="CK270" i="2"/>
  <c r="CJ268" i="2"/>
  <c r="J279" i="2"/>
  <c r="M280" i="2"/>
  <c r="AH47" i="4"/>
  <c r="AH76" i="4"/>
  <c r="N280" i="2"/>
  <c r="K279" i="2"/>
  <c r="AE280" i="2"/>
  <c r="AB279" i="2"/>
  <c r="CM268" i="2"/>
  <c r="CN270" i="2"/>
  <c r="V280" i="2"/>
  <c r="S279" i="2"/>
  <c r="S280" i="2"/>
  <c r="P279" i="2"/>
  <c r="AI279" i="2"/>
  <c r="AM280" i="2"/>
  <c r="AJ279" i="2"/>
  <c r="AL269" i="2"/>
  <c r="AO270" i="2"/>
  <c r="AK268" i="2"/>
  <c r="AK278" i="2"/>
  <c r="AK269" i="2"/>
  <c r="O279" i="2"/>
  <c r="AP274" i="2"/>
  <c r="AM273" i="2"/>
  <c r="CR272" i="2"/>
  <c r="AL278" i="2"/>
  <c r="AL268" i="2"/>
  <c r="CR267" i="2"/>
  <c r="AP270" i="2"/>
  <c r="AM269" i="2"/>
  <c r="AS84" i="4"/>
  <c r="AP22" i="4"/>
  <c r="G279" i="2"/>
  <c r="F83" i="4"/>
  <c r="J79" i="4"/>
  <c r="F77" i="4"/>
  <c r="CQ267" i="2"/>
  <c r="AL270" i="2"/>
  <c r="AL274" i="2"/>
  <c r="CM274" i="2"/>
  <c r="AF86" i="4"/>
  <c r="AB84" i="4"/>
  <c r="AD280" i="2"/>
  <c r="AA279" i="2"/>
  <c r="Z76" i="4"/>
  <c r="Z79" i="4" s="1"/>
  <c r="Z47" i="4"/>
  <c r="B47" i="4"/>
  <c r="B76" i="4"/>
  <c r="CI268" i="2"/>
  <c r="CJ270" i="2"/>
  <c r="AC280" i="2"/>
  <c r="Z279" i="2"/>
  <c r="CM270" i="2"/>
  <c r="CL268" i="2"/>
  <c r="I280" i="2"/>
  <c r="F279" i="2"/>
  <c r="V78" i="4"/>
  <c r="V79" i="4"/>
  <c r="V83" i="4"/>
  <c r="V77" i="4"/>
  <c r="I279" i="2"/>
  <c r="O280" i="2"/>
  <c r="L279" i="2"/>
  <c r="Q280" i="2"/>
  <c r="N279" i="2"/>
  <c r="AD83" i="4"/>
  <c r="AD77" i="4"/>
  <c r="Y280" i="2"/>
  <c r="V279" i="2"/>
  <c r="AQ280" i="2"/>
  <c r="AN279" i="2"/>
  <c r="CK268" i="2"/>
  <c r="CL270" i="2"/>
  <c r="G280" i="2"/>
  <c r="D279" i="2"/>
  <c r="AG279" i="2"/>
  <c r="AE279" i="2"/>
  <c r="AH280" i="2"/>
  <c r="AO274" i="2"/>
  <c r="AL273" i="2"/>
  <c r="AK273" i="2"/>
  <c r="W280" i="2"/>
  <c r="T279" i="2"/>
  <c r="U279" i="2"/>
  <c r="R280" i="2"/>
  <c r="L52" i="15"/>
  <c r="BP66" i="2"/>
  <c r="BP6" i="2"/>
  <c r="BP72" i="2"/>
  <c r="BP56" i="2"/>
  <c r="BP65" i="2"/>
  <c r="P35" i="16" s="1"/>
  <c r="BP51" i="2"/>
  <c r="BP85" i="2"/>
  <c r="BP12" i="2"/>
  <c r="BP207" i="2"/>
  <c r="P13" i="15" s="1"/>
  <c r="BP81" i="2"/>
  <c r="BP82" i="2"/>
  <c r="BN3" i="6"/>
  <c r="BN2" i="5"/>
  <c r="BN20" i="4"/>
  <c r="N10" i="15"/>
  <c r="N8" i="15"/>
  <c r="BN166" i="2"/>
  <c r="J47" i="15"/>
  <c r="J48" i="15"/>
  <c r="BN210" i="2"/>
  <c r="N52" i="15" s="1"/>
  <c r="J58" i="15"/>
  <c r="BP27" i="3"/>
  <c r="BQ19" i="4"/>
  <c r="BP19" i="4"/>
  <c r="BD7" i="6"/>
  <c r="BD36" i="6" s="1"/>
  <c r="BP36" i="6" s="1"/>
  <c r="BT36" i="6" s="1"/>
  <c r="BX36" i="6" s="1"/>
  <c r="CB36" i="6" s="1"/>
  <c r="CF36" i="6" s="1"/>
  <c r="BD199" i="2"/>
  <c r="D46" i="15" s="1"/>
  <c r="BD201" i="2"/>
  <c r="D12" i="15" s="1"/>
  <c r="AU226" i="2"/>
  <c r="AY5" i="6"/>
  <c r="AY33" i="6" s="1"/>
  <c r="AY51" i="4"/>
  <c r="BN83" i="2"/>
  <c r="BN87" i="2"/>
  <c r="N31" i="16" s="1"/>
  <c r="BN57" i="2"/>
  <c r="L31" i="16"/>
  <c r="L46" i="16"/>
  <c r="BX207" i="2" l="1"/>
  <c r="BX210" i="2" s="1"/>
  <c r="F31" i="15"/>
  <c r="BG252" i="2"/>
  <c r="BJ253" i="2"/>
  <c r="BX229" i="2"/>
  <c r="BX180" i="2"/>
  <c r="BX185" i="2"/>
  <c r="BX190" i="2"/>
  <c r="BP180" i="2"/>
  <c r="P27" i="15" s="1"/>
  <c r="BP185" i="2"/>
  <c r="P28" i="15" s="1"/>
  <c r="BP190" i="2"/>
  <c r="P29" i="15" s="1"/>
  <c r="BT229" i="2"/>
  <c r="BT180" i="2"/>
  <c r="BT185" i="2"/>
  <c r="BT190" i="2"/>
  <c r="BO190" i="2"/>
  <c r="O29" i="15" s="1"/>
  <c r="BO185" i="2"/>
  <c r="O28" i="15" s="1"/>
  <c r="BO180" i="2"/>
  <c r="O27" i="15" s="1"/>
  <c r="BZ229" i="2"/>
  <c r="BZ190" i="2"/>
  <c r="BZ185" i="2"/>
  <c r="BZ180" i="2"/>
  <c r="BR185" i="2"/>
  <c r="BR190" i="2"/>
  <c r="BR180" i="2"/>
  <c r="DC36" i="2"/>
  <c r="DC37" i="2" s="1"/>
  <c r="L19" i="15"/>
  <c r="L37" i="15"/>
  <c r="K19" i="15"/>
  <c r="K37" i="15"/>
  <c r="N19" i="15"/>
  <c r="BN5" i="5"/>
  <c r="N37" i="15" s="1"/>
  <c r="BV207" i="2"/>
  <c r="L8" i="15"/>
  <c r="J10" i="15"/>
  <c r="N29" i="15"/>
  <c r="L9" i="15"/>
  <c r="B25" i="15"/>
  <c r="BR207" i="2"/>
  <c r="BR210" i="2" s="1"/>
  <c r="N28" i="15"/>
  <c r="BG199" i="2"/>
  <c r="G46" i="15" s="1"/>
  <c r="C7" i="15"/>
  <c r="BP229" i="2"/>
  <c r="P30" i="15" s="1"/>
  <c r="P16" i="16"/>
  <c r="P43" i="15"/>
  <c r="P20" i="16"/>
  <c r="K8" i="15"/>
  <c r="K9" i="15"/>
  <c r="O43" i="15"/>
  <c r="O20" i="16"/>
  <c r="BO229" i="2"/>
  <c r="O30" i="15" s="1"/>
  <c r="O16" i="16"/>
  <c r="DB213" i="2"/>
  <c r="DB216" i="2"/>
  <c r="DB23" i="2"/>
  <c r="DC49" i="2"/>
  <c r="CG31" i="2"/>
  <c r="DB31" i="2"/>
  <c r="BR229" i="2"/>
  <c r="DC29" i="2"/>
  <c r="CG16" i="2"/>
  <c r="CG15" i="2"/>
  <c r="CG24" i="2"/>
  <c r="CF17" i="2"/>
  <c r="DC22" i="2"/>
  <c r="DC23" i="2" s="1"/>
  <c r="CF6" i="6"/>
  <c r="CF21" i="6" s="1"/>
  <c r="CF70" i="2"/>
  <c r="CA5" i="2"/>
  <c r="CE5" i="2"/>
  <c r="CF77" i="2"/>
  <c r="CF69" i="2"/>
  <c r="CG216" i="2"/>
  <c r="CG215" i="2"/>
  <c r="DC212" i="2"/>
  <c r="DC214" i="2" s="1"/>
  <c r="CB82" i="2"/>
  <c r="DB16" i="2"/>
  <c r="DB24" i="2"/>
  <c r="CC74" i="2"/>
  <c r="CD69" i="2"/>
  <c r="DB38" i="2"/>
  <c r="CF3" i="2"/>
  <c r="CF11" i="2" s="1"/>
  <c r="CF10" i="2"/>
  <c r="CF44" i="2"/>
  <c r="CD21" i="6"/>
  <c r="CE27" i="3"/>
  <c r="BR20" i="4"/>
  <c r="DB30" i="2"/>
  <c r="CE75" i="2"/>
  <c r="CD77" i="2"/>
  <c r="CE80" i="2"/>
  <c r="CE64" i="2"/>
  <c r="CE39" i="2"/>
  <c r="CE25" i="2"/>
  <c r="CE50" i="2"/>
  <c r="CE32" i="2"/>
  <c r="CE45" i="2"/>
  <c r="CE18" i="2"/>
  <c r="CG68" i="2"/>
  <c r="DC14" i="2"/>
  <c r="CE4" i="2"/>
  <c r="CD80" i="2"/>
  <c r="CD78" i="2" s="1"/>
  <c r="CD64" i="2"/>
  <c r="CD6" i="2" s="1"/>
  <c r="CD45" i="2"/>
  <c r="CD50" i="2"/>
  <c r="CD39" i="2"/>
  <c r="CD25" i="2"/>
  <c r="CD32" i="2"/>
  <c r="CD5" i="2"/>
  <c r="CD18" i="2"/>
  <c r="CF75" i="2"/>
  <c r="BR3" i="6"/>
  <c r="BR11" i="6" s="1"/>
  <c r="BR5" i="3" s="1"/>
  <c r="BR2" i="5"/>
  <c r="BR57" i="2"/>
  <c r="BR87" i="2"/>
  <c r="BR166" i="2"/>
  <c r="BR172" i="2" s="1"/>
  <c r="BV87" i="2"/>
  <c r="BR83" i="2"/>
  <c r="BH204" i="2"/>
  <c r="H51" i="15" s="1"/>
  <c r="BT78" i="2"/>
  <c r="BT82" i="2"/>
  <c r="BX82" i="2"/>
  <c r="J49" i="15"/>
  <c r="BG176" i="2"/>
  <c r="G44" i="15" s="1"/>
  <c r="BR13" i="8"/>
  <c r="BH233" i="2"/>
  <c r="BN233" i="2"/>
  <c r="BV13" i="8"/>
  <c r="BC199" i="2"/>
  <c r="C46" i="15" s="1"/>
  <c r="K58" i="15"/>
  <c r="BF174" i="2"/>
  <c r="F45" i="15" s="1"/>
  <c r="BF204" i="2"/>
  <c r="F51" i="15" s="1"/>
  <c r="BF35" i="6"/>
  <c r="BN35" i="6" s="1"/>
  <c r="BR35" i="6" s="1"/>
  <c r="BV35" i="6" s="1"/>
  <c r="BZ35" i="6" s="1"/>
  <c r="CD35" i="6" s="1"/>
  <c r="BF37" i="6"/>
  <c r="BN37" i="6" s="1"/>
  <c r="BR37" i="6" s="1"/>
  <c r="BV37" i="6" s="1"/>
  <c r="BZ37" i="6" s="1"/>
  <c r="CD37" i="6" s="1"/>
  <c r="BF32" i="6"/>
  <c r="BF256" i="2"/>
  <c r="BF260" i="2"/>
  <c r="BF251" i="2"/>
  <c r="BB174" i="2"/>
  <c r="B45" i="15" s="1"/>
  <c r="AN83" i="4"/>
  <c r="AN84" i="4" s="1"/>
  <c r="AR79" i="4"/>
  <c r="AO78" i="4"/>
  <c r="AN79" i="4"/>
  <c r="DA71" i="2"/>
  <c r="DA70" i="2"/>
  <c r="BN11" i="6"/>
  <c r="BN5" i="3" s="1"/>
  <c r="CA13" i="3"/>
  <c r="BZ42" i="5"/>
  <c r="BD175" i="2"/>
  <c r="BZ87" i="2"/>
  <c r="BV172" i="2"/>
  <c r="BV173" i="2" s="1"/>
  <c r="CC70" i="2"/>
  <c r="BV4" i="6"/>
  <c r="BV165" i="2"/>
  <c r="BW66" i="2"/>
  <c r="BX83" i="2"/>
  <c r="DB68" i="2"/>
  <c r="BZ166" i="2"/>
  <c r="CZ76" i="2"/>
  <c r="DA76" i="2"/>
  <c r="BW6" i="2"/>
  <c r="BX65" i="2"/>
  <c r="BW85" i="2"/>
  <c r="BW51" i="2"/>
  <c r="BW56" i="2"/>
  <c r="BW72" i="2"/>
  <c r="BW12" i="2"/>
  <c r="BW65" i="2"/>
  <c r="CB78" i="2"/>
  <c r="CB207" i="2"/>
  <c r="BX166" i="2"/>
  <c r="CC6" i="6"/>
  <c r="CC21" i="6" s="1"/>
  <c r="CC69" i="2"/>
  <c r="BS82" i="2"/>
  <c r="BW82" i="2"/>
  <c r="BX81" i="2"/>
  <c r="BW207" i="2"/>
  <c r="BW78" i="2"/>
  <c r="BW81" i="2"/>
  <c r="CA21" i="6"/>
  <c r="BX2" i="5"/>
  <c r="BX5" i="5" s="1"/>
  <c r="BX3" i="6"/>
  <c r="BX57" i="2"/>
  <c r="BX20" i="4"/>
  <c r="BZ83" i="2"/>
  <c r="BZ3" i="6"/>
  <c r="BZ2" i="5"/>
  <c r="BZ5" i="5" s="1"/>
  <c r="BZ57" i="2"/>
  <c r="BZ20" i="4"/>
  <c r="CA80" i="2"/>
  <c r="CA64" i="2"/>
  <c r="CB4" i="2"/>
  <c r="CA25" i="2"/>
  <c r="CA39" i="2"/>
  <c r="CA45" i="2"/>
  <c r="CA50" i="2"/>
  <c r="CA32" i="2"/>
  <c r="CA18" i="2"/>
  <c r="CA4" i="2"/>
  <c r="BX87" i="2"/>
  <c r="BY27" i="3"/>
  <c r="DA27" i="3" s="1"/>
  <c r="DA21" i="6"/>
  <c r="BY19" i="4"/>
  <c r="DA6" i="6"/>
  <c r="CA77" i="2"/>
  <c r="CB75" i="2"/>
  <c r="CA76" i="2"/>
  <c r="CA75" i="2"/>
  <c r="CB66" i="2"/>
  <c r="CB85" i="2"/>
  <c r="CB56" i="2"/>
  <c r="CB51" i="2"/>
  <c r="CB72" i="2"/>
  <c r="CB12" i="2"/>
  <c r="BV11" i="6"/>
  <c r="CB6" i="2"/>
  <c r="BW27" i="3"/>
  <c r="BW19" i="4"/>
  <c r="BX19" i="4"/>
  <c r="CA11" i="2"/>
  <c r="BD250" i="2"/>
  <c r="BH253" i="2" s="1"/>
  <c r="AB86" i="4"/>
  <c r="X86" i="4"/>
  <c r="BC32" i="6"/>
  <c r="BC35" i="6"/>
  <c r="BC37" i="6"/>
  <c r="BO37" i="6" s="1"/>
  <c r="BS37" i="6" s="1"/>
  <c r="BW37" i="6" s="1"/>
  <c r="CA37" i="6" s="1"/>
  <c r="CE37" i="6" s="1"/>
  <c r="BB56" i="3"/>
  <c r="BB55" i="3"/>
  <c r="AO84" i="4"/>
  <c r="BT210" i="2"/>
  <c r="BS78" i="2"/>
  <c r="BS6" i="2"/>
  <c r="BS12" i="2"/>
  <c r="BS56" i="2"/>
  <c r="BS65" i="2"/>
  <c r="BS51" i="2"/>
  <c r="BS85" i="2"/>
  <c r="BS72" i="2"/>
  <c r="BT65" i="2"/>
  <c r="BS207" i="2"/>
  <c r="BS81" i="2"/>
  <c r="BT81" i="2"/>
  <c r="BS66" i="2"/>
  <c r="BT87" i="2"/>
  <c r="BT83" i="2"/>
  <c r="BT2" i="5"/>
  <c r="BT5" i="5" s="1"/>
  <c r="BT3" i="6"/>
  <c r="BT57" i="2"/>
  <c r="BT166" i="2"/>
  <c r="BT20" i="4"/>
  <c r="BO210" i="2"/>
  <c r="O52" i="15" s="1"/>
  <c r="BF7" i="6"/>
  <c r="BF36" i="6" s="1"/>
  <c r="BN36" i="6" s="1"/>
  <c r="BR36" i="6" s="1"/>
  <c r="BV36" i="6" s="1"/>
  <c r="BZ36" i="6" s="1"/>
  <c r="CD36" i="6" s="1"/>
  <c r="N58" i="15"/>
  <c r="CZ21" i="6"/>
  <c r="BU27" i="3"/>
  <c r="CZ27" i="3" s="1"/>
  <c r="BU19" i="4"/>
  <c r="CZ19" i="4" s="1"/>
  <c r="BU27" i="4"/>
  <c r="CZ27" i="4" s="1"/>
  <c r="BU26" i="4"/>
  <c r="K48" i="15"/>
  <c r="AZ52" i="4"/>
  <c r="AZ56" i="3"/>
  <c r="AZ55" i="3"/>
  <c r="D78" i="4"/>
  <c r="AN78" i="4"/>
  <c r="H78" i="4"/>
  <c r="AA83" i="4"/>
  <c r="AB85" i="4" s="1"/>
  <c r="G83" i="4"/>
  <c r="H85" i="4" s="1"/>
  <c r="AE83" i="4"/>
  <c r="AE84" i="4" s="1"/>
  <c r="BB57" i="4"/>
  <c r="BB61" i="4" s="1"/>
  <c r="BB204" i="2"/>
  <c r="B51" i="15" s="1"/>
  <c r="AE79" i="4"/>
  <c r="AY55" i="3"/>
  <c r="AY56" i="3"/>
  <c r="W83" i="4"/>
  <c r="W85" i="4" s="1"/>
  <c r="CN76" i="4"/>
  <c r="W78" i="4"/>
  <c r="X78" i="4"/>
  <c r="L86" i="4"/>
  <c r="AM83" i="4"/>
  <c r="Y77" i="4"/>
  <c r="W79" i="4"/>
  <c r="BC5" i="6"/>
  <c r="BC33" i="6" s="1"/>
  <c r="BD198" i="2"/>
  <c r="BC198" i="2"/>
  <c r="BC7" i="6"/>
  <c r="BC36" i="6" s="1"/>
  <c r="BO36" i="6" s="1"/>
  <c r="BS36" i="6" s="1"/>
  <c r="BW36" i="6" s="1"/>
  <c r="CA36" i="6" s="1"/>
  <c r="CE36" i="6" s="1"/>
  <c r="BC197" i="2"/>
  <c r="C26" i="15" s="1"/>
  <c r="BC51" i="4"/>
  <c r="AR78" i="4"/>
  <c r="H86" i="4"/>
  <c r="AJ84" i="4"/>
  <c r="BB224" i="2"/>
  <c r="BB202" i="2"/>
  <c r="BF51" i="4"/>
  <c r="BF5" i="6"/>
  <c r="BF33" i="6" s="1"/>
  <c r="AK76" i="4"/>
  <c r="AK83" i="4" s="1"/>
  <c r="AY174" i="2"/>
  <c r="AE78" i="4"/>
  <c r="AB78" i="4"/>
  <c r="C49" i="4"/>
  <c r="G77" i="4"/>
  <c r="I77" i="4"/>
  <c r="I79" i="4"/>
  <c r="AC77" i="4"/>
  <c r="K79" i="4"/>
  <c r="G79" i="4"/>
  <c r="E78" i="4"/>
  <c r="AC78" i="4"/>
  <c r="M79" i="4"/>
  <c r="CJ76" i="4"/>
  <c r="CJ77" i="4" s="1"/>
  <c r="F78" i="4"/>
  <c r="E77" i="4"/>
  <c r="AG77" i="4"/>
  <c r="AG79" i="4"/>
  <c r="CS278" i="2"/>
  <c r="CQ278" i="2"/>
  <c r="CR278" i="2"/>
  <c r="BN172" i="2"/>
  <c r="N6" i="15" s="1"/>
  <c r="AM79" i="4"/>
  <c r="J78" i="4"/>
  <c r="I83" i="4"/>
  <c r="M86" i="4" s="1"/>
  <c r="E83" i="4"/>
  <c r="E85" i="4" s="1"/>
  <c r="AC79" i="4"/>
  <c r="AD78" i="4"/>
  <c r="AY41" i="5"/>
  <c r="C77" i="4"/>
  <c r="AQ79" i="4"/>
  <c r="AG83" i="4"/>
  <c r="AH78" i="4"/>
  <c r="CP76" i="4"/>
  <c r="W3" i="3"/>
  <c r="X49" i="4"/>
  <c r="X3" i="3" s="1"/>
  <c r="AK47" i="4"/>
  <c r="AF78" i="4"/>
  <c r="Y78" i="4"/>
  <c r="Y83" i="4"/>
  <c r="Y85" i="4" s="1"/>
  <c r="AA79" i="4"/>
  <c r="AI79" i="4"/>
  <c r="AJ78" i="4"/>
  <c r="AI83" i="4"/>
  <c r="AI84" i="4" s="1"/>
  <c r="AQ77" i="4"/>
  <c r="BN168" i="2"/>
  <c r="AZ224" i="2"/>
  <c r="AX64" i="4"/>
  <c r="AX62" i="4"/>
  <c r="BB52" i="4"/>
  <c r="K47" i="15"/>
  <c r="AZ61" i="4"/>
  <c r="CT18" i="4"/>
  <c r="BP83" i="2"/>
  <c r="CT7" i="3"/>
  <c r="AZ15" i="6"/>
  <c r="AZ34" i="6" s="1"/>
  <c r="AY57" i="4"/>
  <c r="AY61" i="4" s="1"/>
  <c r="AY203" i="2"/>
  <c r="AY202" i="2"/>
  <c r="AY224" i="2"/>
  <c r="AZ203" i="2"/>
  <c r="AY204" i="2"/>
  <c r="BC175" i="2"/>
  <c r="BC176" i="2"/>
  <c r="C44" i="15" s="1"/>
  <c r="BC173" i="2"/>
  <c r="C25" i="15" s="1"/>
  <c r="BC201" i="2"/>
  <c r="C12" i="15" s="1"/>
  <c r="BO169" i="2"/>
  <c r="L48" i="15"/>
  <c r="CS22" i="4"/>
  <c r="CQ47" i="4"/>
  <c r="CO47" i="4"/>
  <c r="AT76" i="4"/>
  <c r="AT47" i="4"/>
  <c r="CJ47" i="4"/>
  <c r="CM280" i="2"/>
  <c r="AL280" i="2"/>
  <c r="CJ280" i="2"/>
  <c r="CR22" i="4"/>
  <c r="AT279" i="2"/>
  <c r="CN47" i="4"/>
  <c r="CI47" i="4"/>
  <c r="CP47" i="4"/>
  <c r="AH79" i="4"/>
  <c r="CS274" i="2"/>
  <c r="BO209" i="2"/>
  <c r="BO83" i="2"/>
  <c r="BO2" i="5"/>
  <c r="BO20" i="4"/>
  <c r="O9" i="15"/>
  <c r="O8" i="15"/>
  <c r="BO57" i="2"/>
  <c r="BO3" i="6"/>
  <c r="O10" i="15"/>
  <c r="BO87" i="2"/>
  <c r="O31" i="16" s="1"/>
  <c r="BO86" i="2"/>
  <c r="O46" i="16" s="1"/>
  <c r="CO280" i="2"/>
  <c r="CN280" i="2"/>
  <c r="AD84" i="4"/>
  <c r="B83" i="4"/>
  <c r="B77" i="4"/>
  <c r="F79" i="4"/>
  <c r="CI76" i="4"/>
  <c r="C78" i="4"/>
  <c r="AA78" i="4"/>
  <c r="Z77" i="4"/>
  <c r="CO76" i="4"/>
  <c r="Z83" i="4"/>
  <c r="Z86" i="4" s="1"/>
  <c r="AD79" i="4"/>
  <c r="C84" i="4"/>
  <c r="D85" i="4"/>
  <c r="J86" i="4"/>
  <c r="F84" i="4"/>
  <c r="AC84" i="4"/>
  <c r="AD85" i="4"/>
  <c r="AH77" i="4"/>
  <c r="AI78" i="4"/>
  <c r="AH83" i="4"/>
  <c r="V85" i="4"/>
  <c r="V84" i="4"/>
  <c r="V86" i="4"/>
  <c r="CP280" i="2"/>
  <c r="CQ268" i="2"/>
  <c r="CR270" i="2"/>
  <c r="CQ270" i="2"/>
  <c r="AP47" i="4"/>
  <c r="AP76" i="4"/>
  <c r="CS270" i="2"/>
  <c r="CR268" i="2"/>
  <c r="AM279" i="2"/>
  <c r="AP280" i="2"/>
  <c r="Z78" i="4"/>
  <c r="AO280" i="2"/>
  <c r="AL279" i="2"/>
  <c r="AK279" i="2"/>
  <c r="CL280" i="2"/>
  <c r="AK280" i="2"/>
  <c r="AQ84" i="4"/>
  <c r="AR85" i="4"/>
  <c r="CR274" i="2"/>
  <c r="CK280" i="2"/>
  <c r="CS268" i="2"/>
  <c r="AQ279" i="2"/>
  <c r="AT280" i="2"/>
  <c r="AP279" i="2"/>
  <c r="AL76" i="4"/>
  <c r="AL47" i="4"/>
  <c r="AW2" i="8"/>
  <c r="CT224" i="2"/>
  <c r="P10" i="15"/>
  <c r="BP3" i="6"/>
  <c r="P9" i="15"/>
  <c r="BP87" i="2"/>
  <c r="P31" i="16" s="1"/>
  <c r="BP86" i="2"/>
  <c r="P46" i="16" s="1"/>
  <c r="BP210" i="2"/>
  <c r="P52" i="15" s="1"/>
  <c r="BP166" i="2"/>
  <c r="P8" i="15"/>
  <c r="BP20" i="4"/>
  <c r="BP2" i="5"/>
  <c r="BP57" i="2"/>
  <c r="N48" i="15"/>
  <c r="N49" i="15"/>
  <c r="N47" i="15"/>
  <c r="BP209" i="2"/>
  <c r="BN4" i="6"/>
  <c r="BN165" i="2"/>
  <c r="BN196" i="2"/>
  <c r="BN28" i="5"/>
  <c r="BN25" i="4"/>
  <c r="BN20" i="5"/>
  <c r="BD57" i="4"/>
  <c r="BD202" i="2"/>
  <c r="BD224" i="2"/>
  <c r="BD204" i="2"/>
  <c r="D51" i="15" s="1"/>
  <c r="L47" i="15"/>
  <c r="AV64" i="4"/>
  <c r="BD33" i="4"/>
  <c r="CY19" i="4"/>
  <c r="L58" i="15"/>
  <c r="AY52" i="4"/>
  <c r="AU282" i="2"/>
  <c r="AU6" i="5"/>
  <c r="AY6" i="5"/>
  <c r="AU28" i="5"/>
  <c r="CT28" i="5" s="1"/>
  <c r="L6" i="15" l="1"/>
  <c r="D31" i="15"/>
  <c r="B31" i="15"/>
  <c r="B18" i="15"/>
  <c r="BN5" i="4"/>
  <c r="BN23" i="5"/>
  <c r="BL23" i="5"/>
  <c r="BG262" i="2"/>
  <c r="BJ263" i="2"/>
  <c r="J6" i="15"/>
  <c r="CB229" i="2"/>
  <c r="CB185" i="2"/>
  <c r="CB180" i="2"/>
  <c r="CB190" i="2"/>
  <c r="BW229" i="2"/>
  <c r="BW180" i="2"/>
  <c r="BW185" i="2"/>
  <c r="BW190" i="2"/>
  <c r="BS229" i="2"/>
  <c r="BS190" i="2"/>
  <c r="BS185" i="2"/>
  <c r="BS180" i="2"/>
  <c r="DC30" i="2"/>
  <c r="P19" i="15"/>
  <c r="BP5" i="5"/>
  <c r="P37" i="15" s="1"/>
  <c r="O19" i="15"/>
  <c r="BO5" i="5"/>
  <c r="O37" i="15" s="1"/>
  <c r="BR28" i="5"/>
  <c r="BR5" i="5"/>
  <c r="BV210" i="2"/>
  <c r="BN197" i="2"/>
  <c r="N26" i="15" s="1"/>
  <c r="N7" i="15"/>
  <c r="J26" i="15"/>
  <c r="J7" i="15"/>
  <c r="K10" i="15"/>
  <c r="DC24" i="2"/>
  <c r="L10" i="15"/>
  <c r="CD207" i="2"/>
  <c r="BZ207" i="2"/>
  <c r="BZ210" i="2" s="1"/>
  <c r="DC213" i="2"/>
  <c r="CG69" i="2"/>
  <c r="CG6" i="6"/>
  <c r="CE85" i="2"/>
  <c r="CE51" i="2"/>
  <c r="CE56" i="2"/>
  <c r="CE72" i="2"/>
  <c r="CE12" i="2"/>
  <c r="CC76" i="2"/>
  <c r="CD75" i="2"/>
  <c r="CC75" i="2"/>
  <c r="CG74" i="2"/>
  <c r="CG76" i="2" s="1"/>
  <c r="CF4" i="2"/>
  <c r="CE207" i="2"/>
  <c r="CE78" i="2"/>
  <c r="CD19" i="4"/>
  <c r="CD27" i="3"/>
  <c r="CF80" i="2"/>
  <c r="CF81" i="2" s="1"/>
  <c r="CF64" i="2"/>
  <c r="CF50" i="2"/>
  <c r="CF25" i="2"/>
  <c r="CF32" i="2"/>
  <c r="CF45" i="2"/>
  <c r="CF39" i="2"/>
  <c r="CF5" i="2"/>
  <c r="CF18" i="2"/>
  <c r="DB74" i="2"/>
  <c r="DB76" i="2" s="1"/>
  <c r="CA6" i="2"/>
  <c r="CE66" i="2"/>
  <c r="CB210" i="2"/>
  <c r="DC38" i="2"/>
  <c r="DC216" i="2"/>
  <c r="CF19" i="4"/>
  <c r="CF27" i="3"/>
  <c r="CA78" i="2"/>
  <c r="CE82" i="2"/>
  <c r="CE65" i="2"/>
  <c r="CD85" i="2"/>
  <c r="CD51" i="2"/>
  <c r="CD56" i="2"/>
  <c r="CD66" i="2"/>
  <c r="CD12" i="2"/>
  <c r="CD72" i="2"/>
  <c r="CG70" i="2"/>
  <c r="DC16" i="2"/>
  <c r="DC31" i="2"/>
  <c r="CE81" i="2"/>
  <c r="CD82" i="2"/>
  <c r="CE6" i="2"/>
  <c r="CE19" i="4"/>
  <c r="DC68" i="2"/>
  <c r="BR20" i="5"/>
  <c r="BR25" i="4"/>
  <c r="BR33" i="4" s="1"/>
  <c r="BR168" i="2"/>
  <c r="BV168" i="2"/>
  <c r="BR165" i="2"/>
  <c r="BR4" i="6"/>
  <c r="J46" i="15"/>
  <c r="J44" i="15"/>
  <c r="J25" i="15"/>
  <c r="BO233" i="2"/>
  <c r="BR233" i="2"/>
  <c r="BG204" i="2"/>
  <c r="G51" i="15" s="1"/>
  <c r="BG174" i="2"/>
  <c r="G45" i="15" s="1"/>
  <c r="BN7" i="4"/>
  <c r="BN81" i="4" s="1"/>
  <c r="BN13" i="8"/>
  <c r="BN15" i="8" s="1"/>
  <c r="BR7" i="4"/>
  <c r="BR81" i="4" s="1"/>
  <c r="BV7" i="4"/>
  <c r="BV81" i="4" s="1"/>
  <c r="BT233" i="2"/>
  <c r="BX13" i="8"/>
  <c r="AN85" i="4"/>
  <c r="AN86" i="4"/>
  <c r="AR86" i="4"/>
  <c r="AO85" i="4"/>
  <c r="BF52" i="4"/>
  <c r="BF55" i="3"/>
  <c r="BF56" i="3"/>
  <c r="BF272" i="2"/>
  <c r="BF267" i="2"/>
  <c r="BF261" i="2"/>
  <c r="L49" i="15"/>
  <c r="BZ172" i="2"/>
  <c r="C56" i="17"/>
  <c r="DB71" i="2"/>
  <c r="BW13" i="8"/>
  <c r="BZ165" i="2"/>
  <c r="DB70" i="2"/>
  <c r="BO11" i="6"/>
  <c r="BO5" i="3" s="1"/>
  <c r="BP11" i="6"/>
  <c r="BT11" i="6"/>
  <c r="BT5" i="3" s="1"/>
  <c r="BX11" i="6"/>
  <c r="BX5" i="3" s="1"/>
  <c r="CB29" i="4"/>
  <c r="CB28" i="4"/>
  <c r="CA42" i="5"/>
  <c r="BZ168" i="2"/>
  <c r="BV176" i="2"/>
  <c r="BZ4" i="6"/>
  <c r="BW83" i="2"/>
  <c r="DA19" i="4"/>
  <c r="BX196" i="2"/>
  <c r="BS209" i="2"/>
  <c r="BW210" i="2"/>
  <c r="BT172" i="2"/>
  <c r="BT173" i="2" s="1"/>
  <c r="BX168" i="2"/>
  <c r="BV5" i="3"/>
  <c r="CB3" i="6"/>
  <c r="CB2" i="5"/>
  <c r="CB5" i="5" s="1"/>
  <c r="CB57" i="2"/>
  <c r="CB20" i="4"/>
  <c r="CA82" i="2"/>
  <c r="CB81" i="2"/>
  <c r="CA81" i="2"/>
  <c r="CA207" i="2"/>
  <c r="BZ11" i="6"/>
  <c r="CB87" i="2"/>
  <c r="DB21" i="6"/>
  <c r="CC27" i="3"/>
  <c r="DB27" i="3" s="1"/>
  <c r="CC19" i="4"/>
  <c r="CB65" i="2"/>
  <c r="CA85" i="2"/>
  <c r="CA56" i="2"/>
  <c r="CA51" i="2"/>
  <c r="CA65" i="2"/>
  <c r="CA72" i="2"/>
  <c r="CA12" i="2"/>
  <c r="BX209" i="2"/>
  <c r="BW209" i="2"/>
  <c r="DB6" i="6"/>
  <c r="CB166" i="2"/>
  <c r="BZ7" i="4"/>
  <c r="BZ13" i="8"/>
  <c r="BS87" i="2"/>
  <c r="BW87" i="2"/>
  <c r="BV15" i="8"/>
  <c r="BV3" i="8"/>
  <c r="BV14" i="8"/>
  <c r="CA27" i="3"/>
  <c r="CA19" i="4"/>
  <c r="CB19" i="4"/>
  <c r="BX172" i="2"/>
  <c r="BX165" i="2"/>
  <c r="BX4" i="6"/>
  <c r="CA66" i="2"/>
  <c r="BX25" i="4"/>
  <c r="BX20" i="5"/>
  <c r="BX28" i="5"/>
  <c r="BV20" i="5"/>
  <c r="BV28" i="5"/>
  <c r="BV25" i="4"/>
  <c r="CB83" i="2"/>
  <c r="BW2" i="5"/>
  <c r="BW5" i="5" s="1"/>
  <c r="BW3" i="6"/>
  <c r="BX86" i="2"/>
  <c r="BW57" i="2"/>
  <c r="BW20" i="4"/>
  <c r="BW86" i="2"/>
  <c r="BD256" i="2"/>
  <c r="BD251" i="2"/>
  <c r="BC52" i="4"/>
  <c r="BC55" i="3"/>
  <c r="BC56" i="3"/>
  <c r="BC250" i="2"/>
  <c r="L7" i="15"/>
  <c r="AA84" i="4"/>
  <c r="K7" i="15"/>
  <c r="K49" i="15"/>
  <c r="G85" i="4"/>
  <c r="CN77" i="4"/>
  <c r="CZ26" i="4"/>
  <c r="BS210" i="2"/>
  <c r="BS3" i="6"/>
  <c r="BS20" i="4"/>
  <c r="BS57" i="2"/>
  <c r="BS86" i="2"/>
  <c r="BS83" i="2"/>
  <c r="BS2" i="5"/>
  <c r="BS5" i="5" s="1"/>
  <c r="BT86" i="2"/>
  <c r="BT209" i="2"/>
  <c r="BT168" i="2"/>
  <c r="BO166" i="2"/>
  <c r="BS169" i="2"/>
  <c r="BP25" i="4"/>
  <c r="BT28" i="5"/>
  <c r="BT25" i="4"/>
  <c r="BT20" i="5"/>
  <c r="BT196" i="2"/>
  <c r="BT4" i="6"/>
  <c r="BT165" i="2"/>
  <c r="BO28" i="5"/>
  <c r="BR173" i="2"/>
  <c r="BV174" i="2" s="1"/>
  <c r="BN173" i="2"/>
  <c r="N25" i="15" s="1"/>
  <c r="BR176" i="2"/>
  <c r="BR15" i="8"/>
  <c r="BR3" i="8"/>
  <c r="BR14" i="8"/>
  <c r="G86" i="4"/>
  <c r="BU4" i="3"/>
  <c r="G84" i="4"/>
  <c r="I84" i="4"/>
  <c r="W84" i="4"/>
  <c r="W86" i="4"/>
  <c r="AA86" i="4"/>
  <c r="AF85" i="4"/>
  <c r="AK78" i="4"/>
  <c r="AE85" i="4"/>
  <c r="AE86" i="4"/>
  <c r="K86" i="4"/>
  <c r="AK77" i="4"/>
  <c r="CP83" i="4"/>
  <c r="CP84" i="4" s="1"/>
  <c r="CK79" i="4"/>
  <c r="CJ83" i="4"/>
  <c r="CJ84" i="4" s="1"/>
  <c r="AM84" i="4"/>
  <c r="CN79" i="4"/>
  <c r="X85" i="4"/>
  <c r="BB226" i="2"/>
  <c r="AQ86" i="4"/>
  <c r="BF57" i="4"/>
  <c r="BF61" i="4" s="1"/>
  <c r="AW3" i="8"/>
  <c r="CT3" i="8" s="1"/>
  <c r="AK79" i="4"/>
  <c r="AO79" i="4"/>
  <c r="CQ76" i="4"/>
  <c r="AG84" i="4"/>
  <c r="W51" i="3"/>
  <c r="W5" i="7"/>
  <c r="W6" i="7" s="1"/>
  <c r="CP77" i="4"/>
  <c r="BC174" i="2"/>
  <c r="C45" i="15" s="1"/>
  <c r="J85" i="4"/>
  <c r="I85" i="4"/>
  <c r="I86" i="4"/>
  <c r="CN83" i="4"/>
  <c r="CN84" i="4" s="1"/>
  <c r="AJ85" i="4"/>
  <c r="D49" i="4"/>
  <c r="C3" i="3"/>
  <c r="AY226" i="2"/>
  <c r="BN176" i="2"/>
  <c r="N44" i="15" s="1"/>
  <c r="BN33" i="4"/>
  <c r="BP172" i="2"/>
  <c r="P6" i="15" s="1"/>
  <c r="P47" i="15"/>
  <c r="BO181" i="2"/>
  <c r="F85" i="4"/>
  <c r="E84" i="4"/>
  <c r="AG85" i="4"/>
  <c r="W11" i="3"/>
  <c r="W20" i="3" s="1"/>
  <c r="AK86" i="4"/>
  <c r="AZ41" i="5"/>
  <c r="AC86" i="4"/>
  <c r="Y49" i="4"/>
  <c r="CN49" i="4" s="1"/>
  <c r="AG86" i="4"/>
  <c r="Y86" i="4"/>
  <c r="Y84" i="4"/>
  <c r="AM86" i="4"/>
  <c r="AI86" i="4"/>
  <c r="BB62" i="4"/>
  <c r="BB64" i="4"/>
  <c r="B57" i="15" s="1"/>
  <c r="AZ64" i="4"/>
  <c r="AZ62" i="4"/>
  <c r="O48" i="15"/>
  <c r="BC202" i="2"/>
  <c r="BC57" i="4"/>
  <c r="BC61" i="4" s="1"/>
  <c r="BC203" i="2"/>
  <c r="BD203" i="2"/>
  <c r="O49" i="15"/>
  <c r="BC204" i="2"/>
  <c r="C51" i="15" s="1"/>
  <c r="BO20" i="5"/>
  <c r="BO23" i="5" s="1"/>
  <c r="O58" i="15"/>
  <c r="BO25" i="4"/>
  <c r="BO186" i="2"/>
  <c r="AU276" i="2"/>
  <c r="CQ280" i="2"/>
  <c r="AV282" i="2"/>
  <c r="AV276" i="2" s="1"/>
  <c r="CR47" i="4"/>
  <c r="AT83" i="4"/>
  <c r="AT78" i="4"/>
  <c r="AT77" i="4"/>
  <c r="CS47" i="4"/>
  <c r="BP191" i="2"/>
  <c r="BO191" i="2"/>
  <c r="BP186" i="2"/>
  <c r="BO196" i="2"/>
  <c r="O47" i="15"/>
  <c r="CS280" i="2"/>
  <c r="AP78" i="4"/>
  <c r="AQ78" i="4"/>
  <c r="CS76" i="4"/>
  <c r="AT79" i="4"/>
  <c r="AP83" i="4"/>
  <c r="AP77" i="4"/>
  <c r="AI85" i="4"/>
  <c r="AH84" i="4"/>
  <c r="CQ83" i="4"/>
  <c r="CO77" i="4"/>
  <c r="CP79" i="4"/>
  <c r="CI77" i="4"/>
  <c r="CJ79" i="4"/>
  <c r="CO79" i="4"/>
  <c r="AH86" i="4"/>
  <c r="CR76" i="4"/>
  <c r="AL83" i="4"/>
  <c r="AP79" i="4"/>
  <c r="AM78" i="4"/>
  <c r="AL77" i="4"/>
  <c r="CR280" i="2"/>
  <c r="X51" i="3"/>
  <c r="X11" i="3"/>
  <c r="X5" i="7"/>
  <c r="AL79" i="4"/>
  <c r="AH85" i="4"/>
  <c r="Z85" i="4"/>
  <c r="AA85" i="4"/>
  <c r="AD86" i="4"/>
  <c r="CO83" i="4"/>
  <c r="Z84" i="4"/>
  <c r="B84" i="4"/>
  <c r="F86" i="4"/>
  <c r="C85" i="4"/>
  <c r="CI83" i="4"/>
  <c r="AL78" i="4"/>
  <c r="AK84" i="4"/>
  <c r="AO86" i="4"/>
  <c r="AK85" i="4"/>
  <c r="BP181" i="2"/>
  <c r="P58" i="15"/>
  <c r="P49" i="15"/>
  <c r="BP28" i="5"/>
  <c r="BP20" i="5"/>
  <c r="BP23" i="5" s="1"/>
  <c r="BP196" i="2"/>
  <c r="P48" i="15"/>
  <c r="BP165" i="2"/>
  <c r="BP4" i="6"/>
  <c r="BP168" i="2"/>
  <c r="BN29" i="5"/>
  <c r="BN7" i="6"/>
  <c r="BN19" i="6" s="1"/>
  <c r="BN23" i="3" s="1"/>
  <c r="BN199" i="2"/>
  <c r="N46" i="15" s="1"/>
  <c r="BN201" i="2"/>
  <c r="BD5" i="6"/>
  <c r="BD33" i="6" s="1"/>
  <c r="BD51" i="4"/>
  <c r="BD226" i="2"/>
  <c r="L25" i="15"/>
  <c r="L44" i="15"/>
  <c r="CT5" i="8"/>
  <c r="AX2" i="8"/>
  <c r="AY63" i="4"/>
  <c r="AY62" i="4"/>
  <c r="AZ63" i="4"/>
  <c r="AU29" i="5"/>
  <c r="AU33" i="4"/>
  <c r="N12" i="15" l="1"/>
  <c r="K6" i="15"/>
  <c r="C31" i="15"/>
  <c r="C18" i="15"/>
  <c r="B36" i="15"/>
  <c r="BV5" i="4"/>
  <c r="BR5" i="4"/>
  <c r="BR5" i="6" s="1"/>
  <c r="BV23" i="5"/>
  <c r="BR23" i="5"/>
  <c r="BT5" i="4"/>
  <c r="BX23" i="5"/>
  <c r="BP5" i="4"/>
  <c r="BT23" i="5"/>
  <c r="BX5" i="4"/>
  <c r="BO5" i="4"/>
  <c r="BG273" i="2"/>
  <c r="BJ274" i="2"/>
  <c r="BJ64" i="4"/>
  <c r="F16" i="15"/>
  <c r="BJ270" i="2"/>
  <c r="F18" i="15"/>
  <c r="J12" i="15"/>
  <c r="CE229" i="2"/>
  <c r="CE190" i="2"/>
  <c r="CE185" i="2"/>
  <c r="CE180" i="2"/>
  <c r="CA229" i="2"/>
  <c r="CA185" i="2"/>
  <c r="CA180" i="2"/>
  <c r="CA190" i="2"/>
  <c r="CD190" i="2"/>
  <c r="CD185" i="2"/>
  <c r="CD180" i="2"/>
  <c r="BV196" i="2"/>
  <c r="BV197" i="2" s="1"/>
  <c r="BR196" i="2"/>
  <c r="BR197" i="2" s="1"/>
  <c r="BP197" i="2"/>
  <c r="P26" i="15" s="1"/>
  <c r="P7" i="15"/>
  <c r="BO197" i="2"/>
  <c r="O26" i="15" s="1"/>
  <c r="O7" i="15"/>
  <c r="CD83" i="2"/>
  <c r="CD229" i="2"/>
  <c r="CE87" i="2"/>
  <c r="BR29" i="5"/>
  <c r="CE210" i="2"/>
  <c r="DC71" i="2"/>
  <c r="E56" i="17"/>
  <c r="BZ173" i="2"/>
  <c r="BZ174" i="2" s="1"/>
  <c r="CD3" i="6"/>
  <c r="CD2" i="5"/>
  <c r="CD5" i="5" s="1"/>
  <c r="CE86" i="2"/>
  <c r="CD57" i="2"/>
  <c r="CD20" i="4"/>
  <c r="CD166" i="2"/>
  <c r="CD87" i="2"/>
  <c r="CG75" i="2"/>
  <c r="DC74" i="2"/>
  <c r="CG21" i="6"/>
  <c r="DC6" i="6"/>
  <c r="CF207" i="2"/>
  <c r="CF209" i="2" s="1"/>
  <c r="CF82" i="2"/>
  <c r="CF78" i="2"/>
  <c r="CE83" i="2"/>
  <c r="CE2" i="5"/>
  <c r="CE5" i="5" s="1"/>
  <c r="CE3" i="6"/>
  <c r="CE57" i="2"/>
  <c r="CE20" i="4"/>
  <c r="DC70" i="2"/>
  <c r="CE209" i="2"/>
  <c r="CD210" i="2"/>
  <c r="CF6" i="2"/>
  <c r="CF85" i="2"/>
  <c r="CF56" i="2"/>
  <c r="CF51" i="2"/>
  <c r="CF12" i="2"/>
  <c r="CF72" i="2"/>
  <c r="CF66" i="2"/>
  <c r="CF65" i="2"/>
  <c r="J51" i="15"/>
  <c r="BN174" i="2"/>
  <c r="N45" i="15" s="1"/>
  <c r="BO13" i="8"/>
  <c r="BO14" i="8" s="1"/>
  <c r="J45" i="15"/>
  <c r="BO7" i="4"/>
  <c r="BO81" i="4" s="1"/>
  <c r="BO230" i="2"/>
  <c r="BP230" i="2"/>
  <c r="J31" i="15"/>
  <c r="BN14" i="8"/>
  <c r="BN3" i="8"/>
  <c r="BG64" i="4"/>
  <c r="G57" i="15" s="1"/>
  <c r="BG63" i="4"/>
  <c r="BD252" i="2"/>
  <c r="BG253" i="2"/>
  <c r="BG269" i="2"/>
  <c r="BP7" i="4"/>
  <c r="BP81" i="4" s="1"/>
  <c r="BT7" i="4"/>
  <c r="BT81" i="4" s="1"/>
  <c r="BP13" i="8"/>
  <c r="BP14" i="8" s="1"/>
  <c r="BT13" i="8"/>
  <c r="BT14" i="8" s="1"/>
  <c r="BP233" i="2"/>
  <c r="BX7" i="4"/>
  <c r="BX81" i="4" s="1"/>
  <c r="BZ18" i="6"/>
  <c r="BZ22" i="3" s="1"/>
  <c r="BR18" i="6"/>
  <c r="BR22" i="3" s="1"/>
  <c r="BN18" i="6"/>
  <c r="BN22" i="3" s="1"/>
  <c r="BV18" i="6"/>
  <c r="BV22" i="3" s="1"/>
  <c r="BF64" i="4"/>
  <c r="F57" i="15" s="1"/>
  <c r="BF62" i="4"/>
  <c r="BF278" i="2"/>
  <c r="BF268" i="2"/>
  <c r="F35" i="15" s="1"/>
  <c r="BX230" i="2"/>
  <c r="BW7" i="4"/>
  <c r="BW81" i="4" s="1"/>
  <c r="BO13" i="4"/>
  <c r="BZ176" i="2"/>
  <c r="BW230" i="2"/>
  <c r="BP13" i="4"/>
  <c r="L45" i="15"/>
  <c r="CB11" i="6"/>
  <c r="CB5" i="3" s="1"/>
  <c r="BP5" i="3"/>
  <c r="BS11" i="6"/>
  <c r="BT13" i="4" s="1"/>
  <c r="CB13" i="3"/>
  <c r="BX199" i="2"/>
  <c r="BT176" i="2"/>
  <c r="CZ4" i="3"/>
  <c r="BV27" i="4"/>
  <c r="BV26" i="4"/>
  <c r="BX29" i="5"/>
  <c r="BX186" i="2"/>
  <c r="BW186" i="2"/>
  <c r="BX18" i="6"/>
  <c r="BX14" i="8"/>
  <c r="BX15" i="8"/>
  <c r="BX3" i="8"/>
  <c r="CA210" i="2"/>
  <c r="CB209" i="2"/>
  <c r="CA209" i="2"/>
  <c r="CB20" i="5"/>
  <c r="CB23" i="5" s="1"/>
  <c r="CB28" i="5"/>
  <c r="CB25" i="4"/>
  <c r="BX176" i="2"/>
  <c r="DB19" i="4"/>
  <c r="CB168" i="2"/>
  <c r="CB165" i="2"/>
  <c r="CB4" i="6"/>
  <c r="BW196" i="2"/>
  <c r="BX181" i="2"/>
  <c r="BW181" i="2"/>
  <c r="BV29" i="5"/>
  <c r="CB172" i="2"/>
  <c r="BZ81" i="4"/>
  <c r="CA87" i="2"/>
  <c r="CA2" i="5"/>
  <c r="CA5" i="5" s="1"/>
  <c r="CA3" i="6"/>
  <c r="CB86" i="2"/>
  <c r="CA57" i="2"/>
  <c r="CA20" i="4"/>
  <c r="CA86" i="2"/>
  <c r="BW11" i="6"/>
  <c r="BW15" i="8"/>
  <c r="BW3" i="8"/>
  <c r="BW14" i="8"/>
  <c r="BX173" i="2"/>
  <c r="BX174" i="2" s="1"/>
  <c r="BX201" i="2"/>
  <c r="CA83" i="2"/>
  <c r="CB196" i="2"/>
  <c r="BZ28" i="5"/>
  <c r="BZ25" i="4"/>
  <c r="BZ20" i="5"/>
  <c r="BX197" i="2"/>
  <c r="BX7" i="6"/>
  <c r="BX19" i="6" s="1"/>
  <c r="BX23" i="3" s="1"/>
  <c r="BS166" i="2"/>
  <c r="BW169" i="2"/>
  <c r="BX191" i="2"/>
  <c r="BW191" i="2"/>
  <c r="CB7" i="4"/>
  <c r="CB13" i="8"/>
  <c r="BZ15" i="8"/>
  <c r="BZ14" i="8"/>
  <c r="BZ3" i="8"/>
  <c r="BZ5" i="3"/>
  <c r="BS191" i="2"/>
  <c r="BT181" i="2"/>
  <c r="BD56" i="3"/>
  <c r="BD55" i="3"/>
  <c r="BC256" i="2"/>
  <c r="BC251" i="2"/>
  <c r="L46" i="15"/>
  <c r="L26" i="15"/>
  <c r="K26" i="15"/>
  <c r="BT7" i="6"/>
  <c r="BT19" i="6" s="1"/>
  <c r="BT23" i="3" s="1"/>
  <c r="BT197" i="2"/>
  <c r="K46" i="15"/>
  <c r="BP167" i="2"/>
  <c r="BO4" i="6"/>
  <c r="BO18" i="6" s="1"/>
  <c r="BO22" i="3" s="1"/>
  <c r="BO165" i="2"/>
  <c r="BO168" i="2"/>
  <c r="BO167" i="2"/>
  <c r="BO172" i="2"/>
  <c r="O6" i="15" s="1"/>
  <c r="BT186" i="2"/>
  <c r="BS7" i="4"/>
  <c r="BS81" i="4" s="1"/>
  <c r="BS230" i="2"/>
  <c r="BS13" i="8"/>
  <c r="BS233" i="2"/>
  <c r="BS186" i="2"/>
  <c r="BT230" i="2"/>
  <c r="BS28" i="5"/>
  <c r="BS25" i="4"/>
  <c r="BS20" i="5"/>
  <c r="BS23" i="5" s="1"/>
  <c r="BT191" i="2"/>
  <c r="BS181" i="2"/>
  <c r="BS196" i="2"/>
  <c r="BT199" i="2"/>
  <c r="BP33" i="4"/>
  <c r="BT29" i="5"/>
  <c r="BT33" i="4"/>
  <c r="BT18" i="6"/>
  <c r="BT22" i="3" s="1"/>
  <c r="BT201" i="2"/>
  <c r="BR174" i="2"/>
  <c r="CK86" i="4"/>
  <c r="CQ86" i="4"/>
  <c r="X4" i="7"/>
  <c r="X7" i="7" s="1"/>
  <c r="CQ77" i="4"/>
  <c r="CQ79" i="4"/>
  <c r="Y3" i="3"/>
  <c r="CN86" i="4"/>
  <c r="C51" i="3"/>
  <c r="C11" i="3"/>
  <c r="D3" i="3"/>
  <c r="E49" i="4"/>
  <c r="BP176" i="2"/>
  <c r="P44" i="15" s="1"/>
  <c r="BP173" i="2"/>
  <c r="BO29" i="5"/>
  <c r="BO33" i="4"/>
  <c r="Z49" i="4"/>
  <c r="AA49" i="4" s="1"/>
  <c r="BC63" i="4"/>
  <c r="CT29" i="5"/>
  <c r="AU30" i="5"/>
  <c r="BC226" i="2"/>
  <c r="BC64" i="4"/>
  <c r="C57" i="15" s="1"/>
  <c r="BC62" i="4"/>
  <c r="BO198" i="2"/>
  <c r="K44" i="15"/>
  <c r="K25" i="15"/>
  <c r="AU51" i="4"/>
  <c r="X20" i="3"/>
  <c r="AT84" i="4"/>
  <c r="AT85" i="4"/>
  <c r="W49" i="3"/>
  <c r="BP198" i="2"/>
  <c r="BO199" i="2"/>
  <c r="O46" i="15" s="1"/>
  <c r="BO7" i="6"/>
  <c r="BO19" i="6" s="1"/>
  <c r="BO23" i="3" s="1"/>
  <c r="CO84" i="4"/>
  <c r="CP86" i="4"/>
  <c r="Y4" i="7"/>
  <c r="Y7" i="7" s="1"/>
  <c r="AL85" i="4"/>
  <c r="AL84" i="4"/>
  <c r="AP86" i="4"/>
  <c r="AM85" i="4"/>
  <c r="CR83" i="4"/>
  <c r="CR86" i="4" s="1"/>
  <c r="AL86" i="4"/>
  <c r="CJ86" i="4"/>
  <c r="CI84" i="4"/>
  <c r="CO86" i="4"/>
  <c r="CS79" i="4"/>
  <c r="CR77" i="4"/>
  <c r="CR79" i="4"/>
  <c r="CQ84" i="4"/>
  <c r="CS83" i="4"/>
  <c r="AP84" i="4"/>
  <c r="AQ85" i="4"/>
  <c r="AT86" i="4"/>
  <c r="AP85" i="4"/>
  <c r="CS77" i="4"/>
  <c r="BP201" i="2"/>
  <c r="P12" i="15" s="1"/>
  <c r="CT7" i="8"/>
  <c r="BP29" i="5"/>
  <c r="BP18" i="6"/>
  <c r="BP7" i="6"/>
  <c r="BP19" i="6" s="1"/>
  <c r="BP23" i="3" s="1"/>
  <c r="BP199" i="2"/>
  <c r="P46" i="15" s="1"/>
  <c r="BN57" i="4"/>
  <c r="BN223" i="2"/>
  <c r="BN202" i="2"/>
  <c r="N31" i="15" s="1"/>
  <c r="BN204" i="2"/>
  <c r="N51" i="15" s="1"/>
  <c r="BN5" i="6"/>
  <c r="BN51" i="4"/>
  <c r="BD52" i="4"/>
  <c r="BD61" i="4"/>
  <c r="CU2" i="8"/>
  <c r="AU5" i="6"/>
  <c r="AU33" i="6" s="1"/>
  <c r="CT5" i="4"/>
  <c r="BR51" i="4" l="1"/>
  <c r="BR52" i="4" s="1"/>
  <c r="D18" i="15"/>
  <c r="F36" i="15"/>
  <c r="C36" i="15"/>
  <c r="BZ5" i="4"/>
  <c r="BZ23" i="5"/>
  <c r="CB5" i="4"/>
  <c r="BS5" i="4"/>
  <c r="L12" i="15"/>
  <c r="K12" i="15"/>
  <c r="BJ280" i="2"/>
  <c r="F17" i="15"/>
  <c r="CF229" i="2"/>
  <c r="CF185" i="2"/>
  <c r="CF180" i="2"/>
  <c r="CF190" i="2"/>
  <c r="BV7" i="6"/>
  <c r="BV19" i="6" s="1"/>
  <c r="BV23" i="3" s="1"/>
  <c r="BV201" i="2"/>
  <c r="BV199" i="2"/>
  <c r="BR7" i="6"/>
  <c r="BR19" i="6" s="1"/>
  <c r="BR23" i="3" s="1"/>
  <c r="BR201" i="2"/>
  <c r="BR202" i="2" s="1"/>
  <c r="BR199" i="2"/>
  <c r="BZ196" i="2"/>
  <c r="BP174" i="2"/>
  <c r="P45" i="15" s="1"/>
  <c r="P25" i="15"/>
  <c r="J18" i="15"/>
  <c r="CE7" i="4"/>
  <c r="CE13" i="8"/>
  <c r="CD13" i="8"/>
  <c r="CD7" i="4"/>
  <c r="CE230" i="2"/>
  <c r="DC21" i="6"/>
  <c r="CG27" i="3"/>
  <c r="DC27" i="3" s="1"/>
  <c r="CG19" i="4"/>
  <c r="DC19" i="4" s="1"/>
  <c r="CE191" i="2"/>
  <c r="CD11" i="6"/>
  <c r="CF83" i="2"/>
  <c r="CF2" i="5"/>
  <c r="CF5" i="5" s="1"/>
  <c r="CF3" i="6"/>
  <c r="CF230" i="2"/>
  <c r="CF181" i="2"/>
  <c r="CF57" i="2"/>
  <c r="CF20" i="4"/>
  <c r="CF191" i="2"/>
  <c r="CF166" i="2"/>
  <c r="CF87" i="2"/>
  <c r="CF86" i="2"/>
  <c r="CF210" i="2"/>
  <c r="CD4" i="6"/>
  <c r="CD165" i="2"/>
  <c r="CD168" i="2"/>
  <c r="CD172" i="2"/>
  <c r="CE11" i="6"/>
  <c r="DC76" i="2"/>
  <c r="CD196" i="2"/>
  <c r="CE181" i="2"/>
  <c r="CE196" i="2"/>
  <c r="CE20" i="5"/>
  <c r="CE25" i="4"/>
  <c r="CE28" i="5"/>
  <c r="CE186" i="2"/>
  <c r="BO3" i="8"/>
  <c r="BH64" i="4"/>
  <c r="H57" i="15" s="1"/>
  <c r="BO15" i="8"/>
  <c r="BP3" i="8"/>
  <c r="BP15" i="8"/>
  <c r="BG279" i="2"/>
  <c r="BT15" i="8"/>
  <c r="BT3" i="8"/>
  <c r="K45" i="15"/>
  <c r="BS172" i="2"/>
  <c r="BS165" i="2"/>
  <c r="CB176" i="2"/>
  <c r="CA7" i="4"/>
  <c r="CA81" i="4" s="1"/>
  <c r="D56" i="17"/>
  <c r="BS13" i="4"/>
  <c r="BS5" i="3"/>
  <c r="CC29" i="4"/>
  <c r="DB29" i="4" s="1"/>
  <c r="CC28" i="4"/>
  <c r="DB28" i="4" s="1"/>
  <c r="CA230" i="2"/>
  <c r="BS167" i="2"/>
  <c r="CB42" i="5"/>
  <c r="BS168" i="2"/>
  <c r="CB230" i="2"/>
  <c r="BP175" i="2"/>
  <c r="K51" i="15"/>
  <c r="BS4" i="6"/>
  <c r="BS18" i="6" s="1"/>
  <c r="BT17" i="4" s="1"/>
  <c r="CA13" i="8"/>
  <c r="CA3" i="8" s="1"/>
  <c r="CB81" i="4"/>
  <c r="BX204" i="2"/>
  <c r="BV4" i="3"/>
  <c r="BV33" i="4"/>
  <c r="CB191" i="2"/>
  <c r="CA191" i="2"/>
  <c r="BV51" i="4"/>
  <c r="BV5" i="6"/>
  <c r="BX57" i="4"/>
  <c r="BX202" i="2"/>
  <c r="BX223" i="2"/>
  <c r="BX224" i="2" s="1"/>
  <c r="CA169" i="2"/>
  <c r="BW166" i="2"/>
  <c r="CB181" i="2"/>
  <c r="CA196" i="2"/>
  <c r="CA181" i="2"/>
  <c r="BW7" i="6"/>
  <c r="BX198" i="2"/>
  <c r="BW197" i="2"/>
  <c r="BW198" i="2"/>
  <c r="BT167" i="2"/>
  <c r="BZ29" i="5"/>
  <c r="CB199" i="2"/>
  <c r="CB7" i="6"/>
  <c r="CB19" i="6" s="1"/>
  <c r="CB23" i="3" s="1"/>
  <c r="CB197" i="2"/>
  <c r="BW5" i="3"/>
  <c r="BX13" i="4"/>
  <c r="BW13" i="4"/>
  <c r="CA11" i="6"/>
  <c r="CB29" i="5"/>
  <c r="BX22" i="3"/>
  <c r="BX5" i="6"/>
  <c r="BX51" i="4"/>
  <c r="CB15" i="8"/>
  <c r="CB3" i="8"/>
  <c r="CB14" i="8"/>
  <c r="BW20" i="5"/>
  <c r="BW25" i="4"/>
  <c r="BW28" i="5"/>
  <c r="CA186" i="2"/>
  <c r="CB186" i="2"/>
  <c r="CB173" i="2"/>
  <c r="CB174" i="2" s="1"/>
  <c r="CB201" i="2"/>
  <c r="CB18" i="6"/>
  <c r="BW199" i="2"/>
  <c r="L31" i="15"/>
  <c r="L51" i="15"/>
  <c r="BS199" i="2"/>
  <c r="BS197" i="2"/>
  <c r="BO176" i="2"/>
  <c r="O44" i="15" s="1"/>
  <c r="BO175" i="2"/>
  <c r="BO201" i="2"/>
  <c r="O12" i="15" s="1"/>
  <c r="BO173" i="2"/>
  <c r="BT198" i="2"/>
  <c r="X6" i="7"/>
  <c r="BT204" i="2"/>
  <c r="BS3" i="8"/>
  <c r="BS14" i="8"/>
  <c r="BS15" i="8"/>
  <c r="BS29" i="5"/>
  <c r="BS7" i="6"/>
  <c r="BS19" i="6" s="1"/>
  <c r="BS23" i="3" s="1"/>
  <c r="BS198" i="2"/>
  <c r="BS33" i="4"/>
  <c r="BT174" i="2"/>
  <c r="BT57" i="4"/>
  <c r="BT223" i="2"/>
  <c r="BT224" i="2" s="1"/>
  <c r="BT202" i="2"/>
  <c r="BT5" i="6"/>
  <c r="BT51" i="4"/>
  <c r="Y11" i="3"/>
  <c r="Y20" i="3" s="1"/>
  <c r="Y5" i="7"/>
  <c r="CN5" i="7" s="1"/>
  <c r="CN6" i="7" s="1"/>
  <c r="Y51" i="3"/>
  <c r="CN51" i="3" s="1"/>
  <c r="CN3" i="3"/>
  <c r="Z3" i="3"/>
  <c r="BP5" i="6"/>
  <c r="C20" i="3"/>
  <c r="E3" i="3"/>
  <c r="CI49" i="4"/>
  <c r="F49" i="4"/>
  <c r="D51" i="3"/>
  <c r="D11" i="3"/>
  <c r="BP51" i="4"/>
  <c r="BP52" i="4" s="1"/>
  <c r="AW282" i="2"/>
  <c r="BO5" i="6"/>
  <c r="AU55" i="3"/>
  <c r="AU56" i="3"/>
  <c r="BO51" i="4"/>
  <c r="K31" i="15"/>
  <c r="CT9" i="8"/>
  <c r="CT282" i="2" s="1"/>
  <c r="X49" i="3"/>
  <c r="BP57" i="4"/>
  <c r="BO17" i="4"/>
  <c r="AA3" i="3"/>
  <c r="AB49" i="4"/>
  <c r="BP223" i="2"/>
  <c r="BP224" i="2" s="1"/>
  <c r="CS84" i="4"/>
  <c r="CR84" i="4"/>
  <c r="CS86" i="4"/>
  <c r="BN226" i="2"/>
  <c r="BN224" i="2"/>
  <c r="BP22" i="3"/>
  <c r="BP204" i="2"/>
  <c r="P51" i="15" s="1"/>
  <c r="BP202" i="2"/>
  <c r="P31" i="15" s="1"/>
  <c r="BP17" i="4"/>
  <c r="J36" i="15"/>
  <c r="J57" i="15"/>
  <c r="BN52" i="4"/>
  <c r="BN61" i="4"/>
  <c r="BD62" i="4"/>
  <c r="BD64" i="4"/>
  <c r="D57" i="15" s="1"/>
  <c r="BD63" i="4"/>
  <c r="AV27" i="5"/>
  <c r="CT5" i="6"/>
  <c r="AU61" i="4"/>
  <c r="AU52" i="4"/>
  <c r="N18" i="15" l="1"/>
  <c r="D36" i="15"/>
  <c r="BW5" i="4"/>
  <c r="BW23" i="5"/>
  <c r="L18" i="15"/>
  <c r="BR57" i="4"/>
  <c r="BR61" i="4" s="1"/>
  <c r="BR62" i="4" s="1"/>
  <c r="BV57" i="4"/>
  <c r="BV61" i="4" s="1"/>
  <c r="BV202" i="2"/>
  <c r="BV223" i="2"/>
  <c r="BV226" i="2" s="1"/>
  <c r="BV204" i="2"/>
  <c r="BR223" i="2"/>
  <c r="BR224" i="2" s="1"/>
  <c r="BR204" i="2"/>
  <c r="BZ199" i="2"/>
  <c r="BZ197" i="2"/>
  <c r="BZ201" i="2"/>
  <c r="BZ7" i="6"/>
  <c r="BZ19" i="6" s="1"/>
  <c r="BZ23" i="3" s="1"/>
  <c r="BO174" i="2"/>
  <c r="O45" i="15" s="1"/>
  <c r="O25" i="15"/>
  <c r="K18" i="15"/>
  <c r="CE199" i="2"/>
  <c r="CE5" i="4"/>
  <c r="CE29" i="5"/>
  <c r="CD7" i="6"/>
  <c r="CD197" i="2"/>
  <c r="CE198" i="2"/>
  <c r="CD199" i="2"/>
  <c r="CD20" i="6"/>
  <c r="CD18" i="6"/>
  <c r="CF11" i="6"/>
  <c r="CF13" i="4" s="1"/>
  <c r="CE7" i="6"/>
  <c r="CE19" i="6" s="1"/>
  <c r="CE23" i="3" s="1"/>
  <c r="CE197" i="2"/>
  <c r="CF25" i="4"/>
  <c r="CF28" i="5"/>
  <c r="CF20" i="5"/>
  <c r="CF23" i="5" s="1"/>
  <c r="CD81" i="4"/>
  <c r="CA166" i="2"/>
  <c r="CA167" i="2" s="1"/>
  <c r="CE169" i="2"/>
  <c r="CE166" i="2" s="1"/>
  <c r="CD201" i="2"/>
  <c r="CD173" i="2"/>
  <c r="CD174" i="2" s="1"/>
  <c r="CD176" i="2"/>
  <c r="CF196" i="2"/>
  <c r="CD14" i="8"/>
  <c r="CD15" i="8"/>
  <c r="CD3" i="8"/>
  <c r="CD28" i="5"/>
  <c r="CD25" i="4"/>
  <c r="CD20" i="5"/>
  <c r="CD23" i="5" s="1"/>
  <c r="CF7" i="4"/>
  <c r="CF13" i="8"/>
  <c r="CE13" i="4"/>
  <c r="CD5" i="3"/>
  <c r="CE14" i="8"/>
  <c r="CE3" i="8"/>
  <c r="CE15" i="8"/>
  <c r="CE5" i="3"/>
  <c r="CF172" i="2"/>
  <c r="CF4" i="6"/>
  <c r="CF165" i="2"/>
  <c r="CF168" i="2"/>
  <c r="CF186" i="2"/>
  <c r="CE81" i="4"/>
  <c r="BS201" i="2"/>
  <c r="BS176" i="2"/>
  <c r="BS175" i="2"/>
  <c r="BT175" i="2"/>
  <c r="BS173" i="2"/>
  <c r="BS174" i="2" s="1"/>
  <c r="CA15" i="8"/>
  <c r="CA14" i="8"/>
  <c r="CC13" i="3"/>
  <c r="BO57" i="4"/>
  <c r="BO61" i="4" s="1"/>
  <c r="O18" i="15" s="1"/>
  <c r="BW168" i="2"/>
  <c r="BW26" i="4"/>
  <c r="BW27" i="4"/>
  <c r="CB22" i="3"/>
  <c r="CA28" i="5"/>
  <c r="CA20" i="5"/>
  <c r="CA23" i="5" s="1"/>
  <c r="CA25" i="4"/>
  <c r="CB204" i="2"/>
  <c r="CB57" i="4"/>
  <c r="CB223" i="2"/>
  <c r="CB224" i="2" s="1"/>
  <c r="CB202" i="2"/>
  <c r="CB5" i="6"/>
  <c r="CB51" i="4"/>
  <c r="CA198" i="2"/>
  <c r="CB198" i="2"/>
  <c r="CA197" i="2"/>
  <c r="CA7" i="6"/>
  <c r="BW19" i="6"/>
  <c r="BW23" i="3" s="1"/>
  <c r="BW29" i="5"/>
  <c r="BX52" i="4"/>
  <c r="BX61" i="4"/>
  <c r="CA199" i="2"/>
  <c r="CA5" i="3"/>
  <c r="CB13" i="4"/>
  <c r="CA13" i="4"/>
  <c r="BV52" i="4"/>
  <c r="BZ51" i="4"/>
  <c r="BZ5" i="6"/>
  <c r="BW172" i="2"/>
  <c r="BW165" i="2"/>
  <c r="BW4" i="6"/>
  <c r="BX167" i="2"/>
  <c r="BW167" i="2"/>
  <c r="BX226" i="2"/>
  <c r="BO203" i="2"/>
  <c r="BO223" i="2"/>
  <c r="BO224" i="2" s="1"/>
  <c r="BP203" i="2"/>
  <c r="BO204" i="2"/>
  <c r="O51" i="15" s="1"/>
  <c r="BO202" i="2"/>
  <c r="O31" i="15" s="1"/>
  <c r="BS5" i="6"/>
  <c r="BS51" i="4"/>
  <c r="BS52" i="4" s="1"/>
  <c r="BS22" i="3"/>
  <c r="BS17" i="4"/>
  <c r="BT226" i="2"/>
  <c r="BT52" i="4"/>
  <c r="BT61" i="4"/>
  <c r="Z4" i="7"/>
  <c r="Z7" i="7" s="1"/>
  <c r="Y6" i="7"/>
  <c r="Z5" i="7"/>
  <c r="AA4" i="7" s="1"/>
  <c r="AA7" i="7" s="1"/>
  <c r="CN11" i="3"/>
  <c r="AW276" i="2"/>
  <c r="CT276" i="2" s="1"/>
  <c r="Z51" i="3"/>
  <c r="Z11" i="3"/>
  <c r="BP61" i="4"/>
  <c r="P18" i="15" s="1"/>
  <c r="AV22" i="5"/>
  <c r="AV30" i="5"/>
  <c r="E5" i="7"/>
  <c r="E11" i="3"/>
  <c r="E51" i="3"/>
  <c r="CI51" i="3" s="1"/>
  <c r="CI3" i="3"/>
  <c r="C49" i="3"/>
  <c r="D20" i="3"/>
  <c r="G49" i="4"/>
  <c r="F3" i="3"/>
  <c r="BO52" i="4"/>
  <c r="CT8" i="8"/>
  <c r="Y49" i="3"/>
  <c r="BP226" i="2"/>
  <c r="AC49" i="4"/>
  <c r="AB3" i="3"/>
  <c r="AA11" i="3"/>
  <c r="AA51" i="3"/>
  <c r="AA5" i="7"/>
  <c r="BN62" i="4"/>
  <c r="N36" i="15" s="1"/>
  <c r="BN64" i="4"/>
  <c r="N57" i="15" s="1"/>
  <c r="L36" i="15"/>
  <c r="L57" i="15"/>
  <c r="K36" i="15"/>
  <c r="K57" i="15"/>
  <c r="AV63" i="4"/>
  <c r="AY64" i="4"/>
  <c r="AU62" i="4"/>
  <c r="AU63" i="4"/>
  <c r="AU64" i="4"/>
  <c r="CA5" i="4" l="1"/>
  <c r="CE23" i="5"/>
  <c r="BR64" i="4"/>
  <c r="BV224" i="2"/>
  <c r="BR226" i="2"/>
  <c r="BZ57" i="4"/>
  <c r="BZ61" i="4" s="1"/>
  <c r="BZ202" i="2"/>
  <c r="BZ223" i="2"/>
  <c r="BZ204" i="2"/>
  <c r="CA172" i="2"/>
  <c r="CA173" i="2" s="1"/>
  <c r="CA165" i="2"/>
  <c r="CA168" i="2"/>
  <c r="CB167" i="2"/>
  <c r="CA4" i="6"/>
  <c r="CA18" i="6" s="1"/>
  <c r="CD25" i="3"/>
  <c r="CD29" i="4"/>
  <c r="CD28" i="4"/>
  <c r="CD5" i="4"/>
  <c r="CD29" i="5"/>
  <c r="CE4" i="6"/>
  <c r="CE165" i="2"/>
  <c r="CF167" i="2"/>
  <c r="CE172" i="2"/>
  <c r="CE167" i="2"/>
  <c r="CF5" i="4"/>
  <c r="CF29" i="5"/>
  <c r="CD19" i="6"/>
  <c r="CD23" i="3" s="1"/>
  <c r="CE168" i="2"/>
  <c r="CF18" i="6"/>
  <c r="CF20" i="6"/>
  <c r="CF173" i="2"/>
  <c r="CF174" i="2" s="1"/>
  <c r="CF201" i="2"/>
  <c r="CF176" i="2"/>
  <c r="CF15" i="8"/>
  <c r="CF14" i="8"/>
  <c r="CF3" i="8"/>
  <c r="CF5" i="3"/>
  <c r="CE5" i="6"/>
  <c r="CE51" i="4"/>
  <c r="CF81" i="4"/>
  <c r="CF7" i="6"/>
  <c r="CF19" i="6" s="1"/>
  <c r="CF23" i="3" s="1"/>
  <c r="CF197" i="2"/>
  <c r="CF199" i="2"/>
  <c r="CD57" i="4"/>
  <c r="CD223" i="2"/>
  <c r="CD226" i="2" s="1"/>
  <c r="CD202" i="2"/>
  <c r="CD204" i="2"/>
  <c r="CF198" i="2"/>
  <c r="CD22" i="3"/>
  <c r="BS203" i="2"/>
  <c r="BS57" i="4"/>
  <c r="BS61" i="4" s="1"/>
  <c r="BT203" i="2"/>
  <c r="BS202" i="2"/>
  <c r="BS223" i="2"/>
  <c r="BS226" i="2" s="1"/>
  <c r="BS204" i="2"/>
  <c r="DB13" i="3"/>
  <c r="BW33" i="4"/>
  <c r="CC42" i="5"/>
  <c r="DB6" i="4"/>
  <c r="BV64" i="4"/>
  <c r="BW4" i="3"/>
  <c r="CA19" i="6"/>
  <c r="CA23" i="3" s="1"/>
  <c r="BW5" i="6"/>
  <c r="BW51" i="4"/>
  <c r="BW18" i="6"/>
  <c r="CB61" i="4"/>
  <c r="CB52" i="4"/>
  <c r="BX64" i="4"/>
  <c r="BX175" i="2"/>
  <c r="BW173" i="2"/>
  <c r="BW174" i="2" s="1"/>
  <c r="BW201" i="2"/>
  <c r="BW175" i="2"/>
  <c r="BW176" i="2"/>
  <c r="BX62" i="4"/>
  <c r="CA29" i="5"/>
  <c r="BV62" i="4"/>
  <c r="CB226" i="2"/>
  <c r="BZ52" i="4"/>
  <c r="BO226" i="2"/>
  <c r="CN20" i="3"/>
  <c r="CN49" i="3" s="1"/>
  <c r="CO4" i="7"/>
  <c r="CO7" i="7" s="1"/>
  <c r="Z6" i="7"/>
  <c r="BT62" i="4"/>
  <c r="BO64" i="4"/>
  <c r="O57" i="15" s="1"/>
  <c r="BT64" i="4"/>
  <c r="Z20" i="3"/>
  <c r="Z49" i="3" s="1"/>
  <c r="BP62" i="4"/>
  <c r="P36" i="15" s="1"/>
  <c r="BP64" i="4"/>
  <c r="P57" i="15" s="1"/>
  <c r="E20" i="3"/>
  <c r="F51" i="3"/>
  <c r="F5" i="7"/>
  <c r="G4" i="7" s="1"/>
  <c r="G7" i="7" s="1"/>
  <c r="F11" i="3"/>
  <c r="H49" i="4"/>
  <c r="G3" i="3"/>
  <c r="CI11" i="3"/>
  <c r="F4" i="7"/>
  <c r="CI5" i="7"/>
  <c r="D49" i="3"/>
  <c r="BO62" i="4"/>
  <c r="O36" i="15" s="1"/>
  <c r="BO63" i="4"/>
  <c r="CT9" i="3"/>
  <c r="BP63" i="4"/>
  <c r="AA20" i="3"/>
  <c r="AB4" i="7"/>
  <c r="AB7" i="7" s="1"/>
  <c r="AA6" i="7"/>
  <c r="AB51" i="3"/>
  <c r="AB11" i="3"/>
  <c r="AB5" i="7"/>
  <c r="AD49" i="4"/>
  <c r="CO49" i="4"/>
  <c r="AC3" i="3"/>
  <c r="AX282" i="2"/>
  <c r="AV25" i="5"/>
  <c r="AW27" i="5"/>
  <c r="BZ226" i="2" l="1"/>
  <c r="BZ224" i="2"/>
  <c r="CA175" i="2"/>
  <c r="CA176" i="2"/>
  <c r="CA201" i="2"/>
  <c r="CA57" i="4" s="1"/>
  <c r="CB175" i="2"/>
  <c r="CF57" i="4"/>
  <c r="CF223" i="2"/>
  <c r="CF224" i="2" s="1"/>
  <c r="CF202" i="2"/>
  <c r="CF204" i="2"/>
  <c r="CF175" i="2"/>
  <c r="CE201" i="2"/>
  <c r="CE173" i="2"/>
  <c r="CE174" i="2" s="1"/>
  <c r="CE175" i="2"/>
  <c r="CF22" i="3"/>
  <c r="CE176" i="2"/>
  <c r="CD13" i="3"/>
  <c r="CF25" i="3"/>
  <c r="CD42" i="5"/>
  <c r="CD224" i="2"/>
  <c r="CE52" i="4"/>
  <c r="CF5" i="6"/>
  <c r="CF51" i="4"/>
  <c r="CE18" i="6"/>
  <c r="CF17" i="4" s="1"/>
  <c r="CE20" i="6"/>
  <c r="CF18" i="4" s="1"/>
  <c r="CD5" i="6"/>
  <c r="CD51" i="4"/>
  <c r="BS224" i="2"/>
  <c r="DB42" i="5"/>
  <c r="DB17" i="3"/>
  <c r="CA174" i="2"/>
  <c r="BX27" i="4"/>
  <c r="BX26" i="4"/>
  <c r="BW22" i="3"/>
  <c r="BW17" i="4"/>
  <c r="BX17" i="4"/>
  <c r="BW52" i="4"/>
  <c r="BW202" i="2"/>
  <c r="BX203" i="2"/>
  <c r="BW223" i="2"/>
  <c r="BW226" i="2" s="1"/>
  <c r="BW57" i="4"/>
  <c r="BW61" i="4" s="1"/>
  <c r="BW203" i="2"/>
  <c r="BW204" i="2"/>
  <c r="BZ62" i="4"/>
  <c r="BZ64" i="4"/>
  <c r="CA22" i="3"/>
  <c r="CA17" i="4"/>
  <c r="CB17" i="4"/>
  <c r="CB64" i="4"/>
  <c r="CB62" i="4"/>
  <c r="CA51" i="4"/>
  <c r="CA5" i="6"/>
  <c r="BS64" i="4"/>
  <c r="BT63" i="4"/>
  <c r="BS62" i="4"/>
  <c r="BS63" i="4"/>
  <c r="AW22" i="5"/>
  <c r="AW30" i="5"/>
  <c r="CT30" i="5" s="1"/>
  <c r="F7" i="7"/>
  <c r="CJ4" i="7"/>
  <c r="CJ7" i="7" s="1"/>
  <c r="F6" i="7"/>
  <c r="I49" i="4"/>
  <c r="H3" i="3"/>
  <c r="CI20" i="3"/>
  <c r="F20" i="3"/>
  <c r="G5" i="7"/>
  <c r="G11" i="3"/>
  <c r="G51" i="3"/>
  <c r="E49" i="3"/>
  <c r="CT8" i="4"/>
  <c r="CT35" i="3"/>
  <c r="CT37" i="3"/>
  <c r="CT14" i="3"/>
  <c r="AX276" i="2"/>
  <c r="AB20" i="3"/>
  <c r="AA49" i="3"/>
  <c r="AC5" i="7"/>
  <c r="AC51" i="3"/>
  <c r="CO51" i="3" s="1"/>
  <c r="AC11" i="3"/>
  <c r="CO3" i="3"/>
  <c r="AE49" i="4"/>
  <c r="AD3" i="3"/>
  <c r="AC4" i="7"/>
  <c r="AB6" i="7"/>
  <c r="CT31" i="5"/>
  <c r="CA202" i="2" l="1"/>
  <c r="CA203" i="2"/>
  <c r="CB203" i="2"/>
  <c r="CA223" i="2"/>
  <c r="CA226" i="2" s="1"/>
  <c r="CA204" i="2"/>
  <c r="CE42" i="5"/>
  <c r="CF52" i="4"/>
  <c r="CF61" i="4"/>
  <c r="CE57" i="4"/>
  <c r="CE61" i="4" s="1"/>
  <c r="CE223" i="2"/>
  <c r="CE226" i="2" s="1"/>
  <c r="CE202" i="2"/>
  <c r="CF203" i="2"/>
  <c r="CE203" i="2"/>
  <c r="CF226" i="2"/>
  <c r="DC42" i="5"/>
  <c r="CD52" i="4"/>
  <c r="CD61" i="4"/>
  <c r="CE25" i="3"/>
  <c r="CE18" i="4"/>
  <c r="CE22" i="3"/>
  <c r="CE17" i="4"/>
  <c r="CE204" i="2"/>
  <c r="CE29" i="4"/>
  <c r="CE28" i="4"/>
  <c r="BX4" i="3"/>
  <c r="BX33" i="4"/>
  <c r="BX63" i="4"/>
  <c r="BW62" i="4"/>
  <c r="BW63" i="4"/>
  <c r="BW64" i="4"/>
  <c r="CA61" i="4"/>
  <c r="CA52" i="4"/>
  <c r="BW224" i="2"/>
  <c r="H4" i="7"/>
  <c r="G6" i="7"/>
  <c r="J49" i="4"/>
  <c r="J3" i="3" s="1"/>
  <c r="CJ49" i="4"/>
  <c r="I3" i="3"/>
  <c r="CI49" i="3"/>
  <c r="G20" i="3"/>
  <c r="F49" i="3"/>
  <c r="H11" i="3"/>
  <c r="H51" i="3"/>
  <c r="H5" i="7"/>
  <c r="I4" i="7" s="1"/>
  <c r="I7" i="7" s="1"/>
  <c r="AC6" i="7"/>
  <c r="AC7" i="7"/>
  <c r="AC20" i="3"/>
  <c r="CO11" i="3"/>
  <c r="AB49" i="3"/>
  <c r="AE3" i="3"/>
  <c r="AF49" i="4"/>
  <c r="AD5" i="7"/>
  <c r="AD51" i="3"/>
  <c r="AD11" i="3"/>
  <c r="CO5" i="7"/>
  <c r="CO6" i="7" s="1"/>
  <c r="AD4" i="7"/>
  <c r="AD7" i="7" s="1"/>
  <c r="AW25" i="5"/>
  <c r="CT25" i="5" s="1"/>
  <c r="AX27" i="5"/>
  <c r="CE13" i="3" l="1"/>
  <c r="CF29" i="4" s="1"/>
  <c r="CA224" i="2"/>
  <c r="CE63" i="4"/>
  <c r="CD62" i="4"/>
  <c r="CD64" i="4"/>
  <c r="CE62" i="4"/>
  <c r="CF63" i="4"/>
  <c r="CE64" i="4"/>
  <c r="CF62" i="4"/>
  <c r="CF64" i="4"/>
  <c r="CF42" i="5"/>
  <c r="CE224" i="2"/>
  <c r="CA64" i="4"/>
  <c r="BY27" i="4"/>
  <c r="DA27" i="4" s="1"/>
  <c r="BY26" i="4"/>
  <c r="CA62" i="4"/>
  <c r="CB63" i="4"/>
  <c r="CA63" i="4"/>
  <c r="AX22" i="5"/>
  <c r="AX30" i="5"/>
  <c r="G49" i="3"/>
  <c r="J51" i="3"/>
  <c r="J11" i="3"/>
  <c r="J5" i="7"/>
  <c r="K4" i="7" s="1"/>
  <c r="K6" i="7" s="1"/>
  <c r="H20" i="3"/>
  <c r="CJ3" i="3"/>
  <c r="I5" i="7"/>
  <c r="I51" i="3"/>
  <c r="CJ51" i="3" s="1"/>
  <c r="I11" i="3"/>
  <c r="H7" i="7"/>
  <c r="H6" i="7"/>
  <c r="CO20" i="3"/>
  <c r="AC49" i="3"/>
  <c r="CT15" i="3"/>
  <c r="AD20" i="3"/>
  <c r="AE51" i="3"/>
  <c r="AE11" i="3"/>
  <c r="AE5" i="7"/>
  <c r="AD6" i="7"/>
  <c r="CP4" i="7"/>
  <c r="CP7" i="7" s="1"/>
  <c r="AE4" i="7"/>
  <c r="AE7" i="7" s="1"/>
  <c r="AF3" i="3"/>
  <c r="AG49" i="4"/>
  <c r="CU27" i="5"/>
  <c r="CF28" i="4" l="1"/>
  <c r="CF13" i="3" s="1"/>
  <c r="CG29" i="4" s="1"/>
  <c r="DC29" i="4" s="1"/>
  <c r="CG42" i="5"/>
  <c r="BY4" i="3"/>
  <c r="DA26" i="4"/>
  <c r="K7" i="7"/>
  <c r="H49" i="3"/>
  <c r="J20" i="3"/>
  <c r="J4" i="7"/>
  <c r="CJ5" i="7"/>
  <c r="CJ6" i="7" s="1"/>
  <c r="I6" i="7"/>
  <c r="CJ11" i="3"/>
  <c r="I20" i="3"/>
  <c r="AD49" i="3"/>
  <c r="AE20" i="3"/>
  <c r="CO49" i="3"/>
  <c r="AE6" i="7"/>
  <c r="CP49" i="4"/>
  <c r="AH49" i="4"/>
  <c r="AG3" i="3"/>
  <c r="AF11" i="3"/>
  <c r="AF51" i="3"/>
  <c r="AF5" i="7"/>
  <c r="AF4" i="7"/>
  <c r="AF7" i="7" s="1"/>
  <c r="AX25" i="5"/>
  <c r="AY27" i="5"/>
  <c r="CG28" i="4" l="1"/>
  <c r="DC28" i="4" s="1"/>
  <c r="DA4" i="3"/>
  <c r="BZ27" i="4"/>
  <c r="BZ26" i="4"/>
  <c r="AY22" i="5"/>
  <c r="AY30" i="5"/>
  <c r="CJ20" i="3"/>
  <c r="J49" i="3"/>
  <c r="I49" i="3"/>
  <c r="J7" i="7"/>
  <c r="J6" i="7"/>
  <c r="CK4" i="7"/>
  <c r="AE49" i="3"/>
  <c r="AF20" i="3"/>
  <c r="AG4" i="7"/>
  <c r="AG7" i="7" s="1"/>
  <c r="AI49" i="4"/>
  <c r="AH3" i="3"/>
  <c r="AF6" i="7"/>
  <c r="CP3" i="3"/>
  <c r="AG5" i="7"/>
  <c r="AG11" i="3"/>
  <c r="AG51" i="3"/>
  <c r="CP51" i="3" s="1"/>
  <c r="CG13" i="3" l="1"/>
  <c r="DC13" i="3" s="1"/>
  <c r="BZ4" i="3"/>
  <c r="BZ33" i="4"/>
  <c r="CJ49" i="3"/>
  <c r="CK6" i="7"/>
  <c r="CK7" i="7"/>
  <c r="AG20" i="3"/>
  <c r="AF49" i="3"/>
  <c r="CP11" i="3"/>
  <c r="CP5" i="7"/>
  <c r="CP6" i="7" s="1"/>
  <c r="AH4" i="7"/>
  <c r="AH7" i="7" s="1"/>
  <c r="AH5" i="7"/>
  <c r="AH51" i="3"/>
  <c r="AH11" i="3"/>
  <c r="AG6" i="7"/>
  <c r="AJ49" i="4"/>
  <c r="AI3" i="3"/>
  <c r="AY25" i="5"/>
  <c r="AZ27" i="5"/>
  <c r="CA27" i="4" l="1"/>
  <c r="CA26" i="4"/>
  <c r="AZ22" i="5"/>
  <c r="AZ30" i="5"/>
  <c r="AH20" i="3"/>
  <c r="CP20" i="3"/>
  <c r="AG49" i="3"/>
  <c r="AI51" i="3"/>
  <c r="AI11" i="3"/>
  <c r="AI5" i="7"/>
  <c r="AJ3" i="3"/>
  <c r="AK49" i="4"/>
  <c r="AI4" i="7"/>
  <c r="AI7" i="7" s="1"/>
  <c r="AH6" i="7"/>
  <c r="CQ4" i="7"/>
  <c r="CQ7" i="7" s="1"/>
  <c r="CA4" i="3" l="1"/>
  <c r="CA33" i="4"/>
  <c r="AI20" i="3"/>
  <c r="AH49" i="3"/>
  <c r="CP49" i="3"/>
  <c r="AI6" i="7"/>
  <c r="CQ49" i="4"/>
  <c r="AK3" i="3"/>
  <c r="AL49" i="4"/>
  <c r="AJ4" i="7"/>
  <c r="AJ7" i="7" s="1"/>
  <c r="AJ5" i="7"/>
  <c r="AJ51" i="3"/>
  <c r="AJ11" i="3"/>
  <c r="AZ25" i="5"/>
  <c r="BA27" i="5"/>
  <c r="CB26" i="4" l="1"/>
  <c r="CB27" i="4"/>
  <c r="AJ20" i="3"/>
  <c r="AI49" i="3"/>
  <c r="AJ6" i="7"/>
  <c r="AK51" i="3"/>
  <c r="CQ51" i="3" s="1"/>
  <c r="CQ3" i="3"/>
  <c r="AK5" i="7"/>
  <c r="AK11" i="3"/>
  <c r="AK4" i="7"/>
  <c r="AL3" i="3"/>
  <c r="AM49" i="4"/>
  <c r="CB4" i="3" l="1"/>
  <c r="CB33" i="4"/>
  <c r="AK6" i="7"/>
  <c r="AK7" i="7"/>
  <c r="AK20" i="3"/>
  <c r="CQ11" i="3"/>
  <c r="AJ49" i="3"/>
  <c r="AN49" i="4"/>
  <c r="AM3" i="3"/>
  <c r="AL4" i="7"/>
  <c r="AL7" i="7" s="1"/>
  <c r="CQ5" i="7"/>
  <c r="CQ6" i="7" s="1"/>
  <c r="AL11" i="3"/>
  <c r="AL51" i="3"/>
  <c r="AL5" i="7"/>
  <c r="CC27" i="4" l="1"/>
  <c r="DB27" i="4" s="1"/>
  <c r="CC26" i="4"/>
  <c r="CQ20" i="3"/>
  <c r="AL20" i="3"/>
  <c r="AK49" i="3"/>
  <c r="AM4" i="7"/>
  <c r="AM7" i="7" s="1"/>
  <c r="AM5" i="7"/>
  <c r="AM11" i="3"/>
  <c r="AM51" i="3"/>
  <c r="CR4" i="7"/>
  <c r="CR7" i="7" s="1"/>
  <c r="AL6" i="7"/>
  <c r="AO49" i="4"/>
  <c r="AN3" i="3"/>
  <c r="CC4" i="3" l="1"/>
  <c r="DB26" i="4"/>
  <c r="AM20" i="3"/>
  <c r="AL49" i="3"/>
  <c r="CQ49" i="3"/>
  <c r="AN5" i="7"/>
  <c r="AN51" i="3"/>
  <c r="AN11" i="3"/>
  <c r="AN4" i="7"/>
  <c r="AP49" i="4"/>
  <c r="CR49" i="4"/>
  <c r="AO3" i="3"/>
  <c r="AM6" i="7"/>
  <c r="DB4" i="3" l="1"/>
  <c r="CD27" i="4"/>
  <c r="CD26" i="4"/>
  <c r="AN6" i="7"/>
  <c r="AN7" i="7"/>
  <c r="AN20" i="3"/>
  <c r="AM49" i="3"/>
  <c r="CR3" i="3"/>
  <c r="AO5" i="7"/>
  <c r="AO51" i="3"/>
  <c r="CR51" i="3" s="1"/>
  <c r="AO11" i="3"/>
  <c r="AP3" i="3"/>
  <c r="AQ49" i="4"/>
  <c r="AO4" i="7"/>
  <c r="AO7" i="7" s="1"/>
  <c r="CD4" i="3" l="1"/>
  <c r="CD33" i="4"/>
  <c r="AO20" i="3"/>
  <c r="CR11" i="3"/>
  <c r="AN49" i="3"/>
  <c r="AO6" i="7"/>
  <c r="AP5" i="7"/>
  <c r="AP51" i="3"/>
  <c r="AP11" i="3"/>
  <c r="AR49" i="4"/>
  <c r="AQ3" i="3"/>
  <c r="CR5" i="7"/>
  <c r="CR6" i="7" s="1"/>
  <c r="AP4" i="7"/>
  <c r="AP7" i="7" s="1"/>
  <c r="CE26" i="4" l="1"/>
  <c r="CE27" i="4"/>
  <c r="AP20" i="3"/>
  <c r="CR20" i="3"/>
  <c r="AO49" i="3"/>
  <c r="AQ51" i="3"/>
  <c r="AQ11" i="3"/>
  <c r="AQ5" i="7"/>
  <c r="AP6" i="7"/>
  <c r="CS4" i="7"/>
  <c r="CS7" i="7" s="1"/>
  <c r="AS49" i="4"/>
  <c r="AR3" i="3"/>
  <c r="AQ4" i="7"/>
  <c r="AQ7" i="7" s="1"/>
  <c r="CE4" i="3" l="1"/>
  <c r="CE33" i="4"/>
  <c r="CR49" i="3"/>
  <c r="AQ20" i="3"/>
  <c r="AP49" i="3"/>
  <c r="AQ6" i="7"/>
  <c r="AR51" i="3"/>
  <c r="AR11" i="3"/>
  <c r="AR5" i="7"/>
  <c r="AR4" i="7"/>
  <c r="AR7" i="7" s="1"/>
  <c r="CS49" i="4"/>
  <c r="AS3" i="3"/>
  <c r="AT49" i="4"/>
  <c r="AT3" i="3" s="1"/>
  <c r="CF27" i="4" l="1"/>
  <c r="CF26" i="4"/>
  <c r="CS3" i="3"/>
  <c r="AR20" i="3"/>
  <c r="AQ49" i="3"/>
  <c r="AR6" i="7"/>
  <c r="AT11" i="3"/>
  <c r="AT5" i="7"/>
  <c r="AU4" i="7" s="1"/>
  <c r="AU7" i="7" s="1"/>
  <c r="AT51" i="3"/>
  <c r="AS5" i="7"/>
  <c r="AS11" i="3"/>
  <c r="AS51" i="3"/>
  <c r="CS51" i="3" s="1"/>
  <c r="AS4" i="7"/>
  <c r="AS7" i="7" s="1"/>
  <c r="CF4" i="3" l="1"/>
  <c r="CF33" i="4"/>
  <c r="AS20" i="3"/>
  <c r="AT20" i="3"/>
  <c r="AR49" i="3"/>
  <c r="CS11" i="3"/>
  <c r="AS6" i="7"/>
  <c r="CS5" i="7"/>
  <c r="CS6" i="7" s="1"/>
  <c r="AT4" i="7"/>
  <c r="AT7" i="7" s="1"/>
  <c r="CG26" i="4" l="1"/>
  <c r="CG27" i="4"/>
  <c r="DC27" i="4" s="1"/>
  <c r="AT49" i="3"/>
  <c r="AS49" i="3"/>
  <c r="CS20" i="3"/>
  <c r="AT6" i="7"/>
  <c r="CT4" i="7"/>
  <c r="CG4" i="3" l="1"/>
  <c r="DC26" i="4"/>
  <c r="CS49" i="3"/>
  <c r="DC4" i="3" l="1"/>
  <c r="AU250" i="2"/>
  <c r="AU252" i="2" s="1"/>
  <c r="AU256" i="2" l="1"/>
  <c r="AU251" i="2"/>
  <c r="AU253" i="2"/>
  <c r="AU258" i="2"/>
  <c r="AU260" i="2"/>
  <c r="AU263" i="2" s="1"/>
  <c r="AU257" i="2"/>
  <c r="AU262" i="2" l="1"/>
  <c r="AU267" i="2"/>
  <c r="AU261" i="2"/>
  <c r="AU3" i="4"/>
  <c r="AU272" i="2"/>
  <c r="AU274" i="2" s="1"/>
  <c r="AU16" i="6"/>
  <c r="AU24" i="6"/>
  <c r="AU269" i="2" l="1"/>
  <c r="AU268" i="2"/>
  <c r="AU22" i="4"/>
  <c r="AU270" i="2"/>
  <c r="AU273" i="2"/>
  <c r="AU278" i="2"/>
  <c r="AU30" i="3"/>
  <c r="AU26" i="6"/>
  <c r="AU27" i="6" s="1"/>
  <c r="AU279" i="2" l="1"/>
  <c r="AU38" i="3"/>
  <c r="AU280" i="2"/>
  <c r="AU76" i="4" l="1"/>
  <c r="AU47" i="4"/>
  <c r="AU49" i="4" s="1"/>
  <c r="AU79" i="4" l="1"/>
  <c r="AU3" i="3"/>
  <c r="AU77" i="4"/>
  <c r="AU78" i="4"/>
  <c r="AU83" i="4"/>
  <c r="AU51" i="3" l="1"/>
  <c r="AU5" i="7"/>
  <c r="AV4" i="7" s="1"/>
  <c r="AU11" i="3"/>
  <c r="AU84" i="4"/>
  <c r="AU85" i="4"/>
  <c r="AU86" i="4"/>
  <c r="AU20" i="3" l="1"/>
  <c r="AV7" i="7"/>
  <c r="AU6" i="7"/>
  <c r="AU45" i="3"/>
  <c r="AU47" i="3" l="1"/>
  <c r="AU49" i="3" l="1"/>
  <c r="AU16" i="7"/>
  <c r="AU14" i="7"/>
  <c r="AV11" i="7"/>
  <c r="AV17" i="7" l="1"/>
  <c r="AV25" i="7"/>
  <c r="AV14" i="7"/>
  <c r="AV26" i="7"/>
  <c r="AV16" i="7"/>
  <c r="AV43" i="4"/>
  <c r="AW11" i="7" l="1"/>
  <c r="AV250" i="2"/>
  <c r="AV256" i="2" s="1"/>
  <c r="AW17" i="7" l="1"/>
  <c r="AW26" i="7"/>
  <c r="AW14" i="7"/>
  <c r="CT14" i="7" s="1"/>
  <c r="AW25" i="7"/>
  <c r="AV260" i="2"/>
  <c r="CT40" i="4"/>
  <c r="CT13" i="7"/>
  <c r="CT12" i="7"/>
  <c r="CT39" i="4" l="1"/>
  <c r="CT43" i="4" s="1"/>
  <c r="AV267" i="2"/>
  <c r="AV272" i="2"/>
  <c r="CT15" i="7"/>
  <c r="CT16" i="7" s="1"/>
  <c r="AX11" i="7"/>
  <c r="AW16" i="7"/>
  <c r="CT18" i="7" s="1"/>
  <c r="AV252" i="2"/>
  <c r="AV253" i="2"/>
  <c r="AV251" i="2"/>
  <c r="AW43" i="4"/>
  <c r="AX17" i="7" l="1"/>
  <c r="AX25" i="7"/>
  <c r="AX26" i="7"/>
  <c r="CT17" i="7"/>
  <c r="AV278" i="2"/>
  <c r="AV261" i="2"/>
  <c r="AV263" i="2"/>
  <c r="AV262" i="2"/>
  <c r="AV3" i="4"/>
  <c r="CU11" i="7"/>
  <c r="AV257" i="2"/>
  <c r="AV258" i="2"/>
  <c r="CT24" i="3"/>
  <c r="AV274" i="2" l="1"/>
  <c r="AV273" i="2"/>
  <c r="AV269" i="2"/>
  <c r="AV268" i="2"/>
  <c r="AV270" i="2"/>
  <c r="AV16" i="6" l="1"/>
  <c r="AV279" i="2"/>
  <c r="AV280" i="2"/>
  <c r="AV24" i="6"/>
  <c r="AV30" i="3" l="1"/>
  <c r="AV26" i="6"/>
  <c r="AV27" i="6" s="1"/>
  <c r="AV12" i="4" l="1"/>
  <c r="AV22" i="4" s="1"/>
  <c r="AV76" i="4" s="1"/>
  <c r="AV38" i="3"/>
  <c r="AV83" i="4" l="1"/>
  <c r="AV47" i="4" l="1"/>
  <c r="AV49" i="4" s="1"/>
  <c r="AV78" i="4" l="1"/>
  <c r="AV77" i="4"/>
  <c r="AV79" i="4"/>
  <c r="AV84" i="4" l="1"/>
  <c r="AV85" i="4"/>
  <c r="AV86" i="4"/>
  <c r="AV3" i="3"/>
  <c r="AV51" i="3" l="1"/>
  <c r="AV11" i="3"/>
  <c r="AV5" i="7"/>
  <c r="AV6" i="7" l="1"/>
  <c r="AW4" i="7"/>
  <c r="CT8" i="3"/>
  <c r="AV20" i="3"/>
  <c r="AW7" i="7" l="1"/>
  <c r="CT8" i="7"/>
  <c r="CT7" i="7" l="1"/>
  <c r="CT243" i="2"/>
  <c r="AV45" i="3"/>
  <c r="AV47" i="3" l="1"/>
  <c r="AW258" i="2" l="1"/>
  <c r="CT255" i="2"/>
  <c r="AW257" i="2"/>
  <c r="AV49" i="3"/>
  <c r="CT258" i="2" l="1"/>
  <c r="CT43" i="3" l="1"/>
  <c r="AW16" i="6"/>
  <c r="CT16" i="6" s="1"/>
  <c r="CT6" i="3" l="1"/>
  <c r="CT29" i="3"/>
  <c r="CT14" i="4"/>
  <c r="CT12" i="4" s="1"/>
  <c r="AW30" i="3"/>
  <c r="AW38" i="3" l="1"/>
  <c r="AW12" i="4"/>
  <c r="AU20" i="7" l="1"/>
  <c r="AV20" i="7" l="1"/>
  <c r="CT23" i="3" l="1"/>
  <c r="AX186" i="2"/>
  <c r="AW187" i="2"/>
  <c r="AW186" i="2"/>
  <c r="CT184" i="2"/>
  <c r="AW185" i="2"/>
  <c r="AW196" i="2"/>
  <c r="AW201" i="2" l="1"/>
  <c r="AW226" i="2" s="1"/>
  <c r="AW197" i="2"/>
  <c r="CT30" i="3"/>
  <c r="AW204" i="2"/>
  <c r="CT196" i="2"/>
  <c r="AW199" i="2"/>
  <c r="AW198" i="2"/>
  <c r="AX198" i="2"/>
  <c r="AW7" i="6"/>
  <c r="AW36" i="6" s="1"/>
  <c r="CT185" i="2"/>
  <c r="CT187" i="2"/>
  <c r="AX203" i="2" l="1"/>
  <c r="CT201" i="2"/>
  <c r="AW203" i="2"/>
  <c r="AW202" i="2"/>
  <c r="AW250" i="2"/>
  <c r="AW256" i="2" s="1"/>
  <c r="AW57" i="4"/>
  <c r="AW61" i="4" s="1"/>
  <c r="CT197" i="2"/>
  <c r="CT38" i="3"/>
  <c r="CT199" i="2"/>
  <c r="CT7" i="6"/>
  <c r="CT204" i="2" l="1"/>
  <c r="CT202" i="2"/>
  <c r="CT226" i="2"/>
  <c r="AW62" i="4"/>
  <c r="AW260" i="2"/>
  <c r="AW267" i="2" s="1"/>
  <c r="AW251" i="2"/>
  <c r="AW252" i="2"/>
  <c r="CT250" i="2"/>
  <c r="CT251" i="2" s="1"/>
  <c r="AX63" i="4"/>
  <c r="AW63" i="4"/>
  <c r="AW64" i="4"/>
  <c r="AW253" i="2"/>
  <c r="CT61" i="4"/>
  <c r="AW24" i="6"/>
  <c r="AW272" i="2" l="1"/>
  <c r="CT272" i="2" s="1"/>
  <c r="AW263" i="2"/>
  <c r="AW3" i="4"/>
  <c r="AW262" i="2"/>
  <c r="CT260" i="2"/>
  <c r="CT263" i="2" s="1"/>
  <c r="AW261" i="2"/>
  <c r="CT253" i="2"/>
  <c r="CT62" i="4"/>
  <c r="CT256" i="2"/>
  <c r="CT64" i="4"/>
  <c r="AW26" i="6"/>
  <c r="AW27" i="6" s="1"/>
  <c r="CT24" i="6"/>
  <c r="CT26" i="6" s="1"/>
  <c r="CT27" i="6" s="1"/>
  <c r="AW270" i="2"/>
  <c r="AW269" i="2"/>
  <c r="AW268" i="2"/>
  <c r="AW278" i="2"/>
  <c r="CT267" i="2"/>
  <c r="AW273" i="2" l="1"/>
  <c r="AW274" i="2"/>
  <c r="AW22" i="4"/>
  <c r="AW76" i="4" s="1"/>
  <c r="CT3" i="4"/>
  <c r="CT261" i="2"/>
  <c r="CT270" i="2"/>
  <c r="CT268" i="2"/>
  <c r="CT278" i="2"/>
  <c r="AW280" i="2"/>
  <c r="AW279" i="2"/>
  <c r="CT274" i="2"/>
  <c r="CT22" i="4" l="1"/>
  <c r="CT47" i="4" s="1"/>
  <c r="AW47" i="4"/>
  <c r="AW77" i="4"/>
  <c r="AW83" i="4"/>
  <c r="AW79" i="4"/>
  <c r="AW78" i="4"/>
  <c r="CT76" i="4"/>
  <c r="CT280" i="2"/>
  <c r="AW49" i="4" l="1"/>
  <c r="CT49" i="4" s="1"/>
  <c r="CT77" i="4"/>
  <c r="CT79" i="4"/>
  <c r="AW84" i="4"/>
  <c r="AW86" i="4"/>
  <c r="CT83" i="4"/>
  <c r="AW85" i="4"/>
  <c r="AW3" i="3" l="1"/>
  <c r="AW51" i="3" s="1"/>
  <c r="CT86" i="4"/>
  <c r="CT84" i="4"/>
  <c r="AW5" i="7" l="1"/>
  <c r="CT5" i="7" s="1"/>
  <c r="CT6" i="7" s="1"/>
  <c r="CT3" i="3"/>
  <c r="CT11" i="3" s="1"/>
  <c r="AW11" i="3"/>
  <c r="CT51" i="3"/>
  <c r="AX4" i="7" l="1"/>
  <c r="AX7" i="7" s="1"/>
  <c r="AW6" i="7"/>
  <c r="AW20" i="3"/>
  <c r="CT20" i="3"/>
  <c r="CU4" i="7" l="1"/>
  <c r="AW45" i="3"/>
  <c r="CT40" i="3"/>
  <c r="CT45" i="3" l="1"/>
  <c r="AX250" i="2"/>
  <c r="AX256" i="2" s="1"/>
  <c r="AW47" i="3"/>
  <c r="AX251" i="2" l="1"/>
  <c r="AX253" i="2"/>
  <c r="AX260" i="2"/>
  <c r="AX252" i="2"/>
  <c r="AW49" i="3"/>
  <c r="CT47" i="3"/>
  <c r="AX263" i="2" l="1"/>
  <c r="AX261" i="2"/>
  <c r="AX272" i="2"/>
  <c r="AX3" i="4"/>
  <c r="AX267" i="2"/>
  <c r="AX262" i="2"/>
  <c r="CT49" i="3"/>
  <c r="AX257" i="2"/>
  <c r="AX258" i="2"/>
  <c r="AX268" i="2" l="1"/>
  <c r="AX270" i="2"/>
  <c r="AX278" i="2"/>
  <c r="AX269" i="2"/>
  <c r="AX274" i="2"/>
  <c r="AX273" i="2"/>
  <c r="AX280" i="2" l="1"/>
  <c r="AX279" i="2"/>
  <c r="AX24" i="6"/>
  <c r="AX16" i="6"/>
  <c r="AX30" i="3" l="1"/>
  <c r="AX26" i="6"/>
  <c r="AX27" i="6" s="1"/>
  <c r="AX38" i="3" l="1"/>
  <c r="AX12" i="4"/>
  <c r="AX22" i="4" l="1"/>
  <c r="AX47" i="4" l="1"/>
  <c r="AX76" i="4"/>
  <c r="AX49" i="4" l="1"/>
  <c r="AX77" i="4"/>
  <c r="AX79" i="4"/>
  <c r="AX83" i="4"/>
  <c r="AX78" i="4"/>
  <c r="AX84" i="4" l="1"/>
  <c r="AX86" i="4"/>
  <c r="AX85" i="4"/>
  <c r="AX3" i="3"/>
  <c r="AX51" i="3" l="1"/>
  <c r="AX11" i="3"/>
  <c r="AX5" i="7"/>
  <c r="AX20" i="3" l="1"/>
  <c r="AY4" i="7"/>
  <c r="AY7" i="7" s="1"/>
  <c r="AX6" i="7"/>
  <c r="AX45" i="3" l="1"/>
  <c r="AX47" i="3" l="1"/>
  <c r="AX49" i="3" l="1"/>
  <c r="AW20" i="7" l="1"/>
  <c r="CT20" i="7" l="1"/>
  <c r="CT22" i="7" l="1"/>
  <c r="AX16" i="7"/>
  <c r="AX14" i="7"/>
  <c r="AY11" i="7"/>
  <c r="AY17" i="7" l="1"/>
  <c r="AY25" i="7"/>
  <c r="AY26" i="7"/>
  <c r="AY14" i="7"/>
  <c r="AY250" i="2" l="1"/>
  <c r="AY43" i="4"/>
  <c r="AZ11" i="7"/>
  <c r="AY16" i="7"/>
  <c r="AY256" i="2" l="1"/>
  <c r="BC253" i="2"/>
  <c r="AZ25" i="7"/>
  <c r="AZ17" i="7"/>
  <c r="AZ26" i="7"/>
  <c r="AY251" i="2"/>
  <c r="AY252" i="2"/>
  <c r="AY253" i="2"/>
  <c r="AY260" i="2"/>
  <c r="AY263" i="2" l="1"/>
  <c r="AY262" i="2"/>
  <c r="AY261" i="2"/>
  <c r="AY3" i="4"/>
  <c r="AY267" i="2"/>
  <c r="AY257" i="2"/>
  <c r="AY258" i="2"/>
  <c r="AY269" i="2" l="1"/>
  <c r="AY268" i="2"/>
  <c r="AY270" i="2"/>
  <c r="AZ43" i="4"/>
  <c r="AY16" i="6" l="1"/>
  <c r="AY24" i="6"/>
  <c r="AY30" i="3" l="1"/>
  <c r="AY26" i="6"/>
  <c r="AY27" i="6" s="1"/>
  <c r="AY38" i="3" l="1"/>
  <c r="AY12" i="4"/>
  <c r="AY22" i="4" s="1"/>
  <c r="AY76" i="4" l="1"/>
  <c r="AY47" i="4"/>
  <c r="AY49" i="4" l="1"/>
  <c r="AY78" i="4"/>
  <c r="AY79" i="4"/>
  <c r="AY77" i="4"/>
  <c r="AY83" i="4"/>
  <c r="AY85" i="4" l="1"/>
  <c r="AY84" i="4"/>
  <c r="AY86" i="4"/>
  <c r="AY3" i="3"/>
  <c r="AY11" i="3" l="1"/>
  <c r="AY5" i="7"/>
  <c r="AY51" i="3"/>
  <c r="AY20" i="3" l="1"/>
  <c r="AY6" i="7"/>
  <c r="AZ4" i="7"/>
  <c r="AZ7" i="7" s="1"/>
  <c r="AY45" i="3" l="1"/>
  <c r="AY47" i="3" l="1"/>
  <c r="AZ250" i="2"/>
  <c r="AZ256" i="2" l="1"/>
  <c r="BD253" i="2"/>
  <c r="AY49" i="3"/>
  <c r="AZ251" i="2"/>
  <c r="AZ253" i="2"/>
  <c r="AZ252" i="2"/>
  <c r="AZ258" i="2" l="1"/>
  <c r="AZ257" i="2"/>
  <c r="AZ260" i="2"/>
  <c r="AZ263" i="2" l="1"/>
  <c r="AZ261" i="2"/>
  <c r="AZ3" i="4"/>
  <c r="AZ267" i="2"/>
  <c r="AZ262" i="2"/>
  <c r="AZ268" i="2" l="1"/>
  <c r="AZ270" i="2"/>
  <c r="AZ269" i="2"/>
  <c r="AX20" i="7" l="1"/>
  <c r="AX3" i="8" l="1"/>
  <c r="AY2" i="8"/>
  <c r="AY3" i="8" l="1"/>
  <c r="AZ2" i="8"/>
  <c r="BA2" i="8" l="1"/>
  <c r="BA3" i="8" s="1"/>
  <c r="AZ3" i="8"/>
  <c r="AY282" i="2" l="1"/>
  <c r="AZ282" i="2" l="1"/>
  <c r="AZ278" i="2" s="1"/>
  <c r="AY272" i="2"/>
  <c r="AY276" i="2"/>
  <c r="AY278" i="2"/>
  <c r="AZ280" i="2" l="1"/>
  <c r="AZ276" i="2"/>
  <c r="AZ272" i="2"/>
  <c r="AZ274" i="2" s="1"/>
  <c r="AY280" i="2"/>
  <c r="AY279" i="2"/>
  <c r="AZ279" i="2"/>
  <c r="AY273" i="2"/>
  <c r="AY274" i="2"/>
  <c r="AZ273" i="2" l="1"/>
  <c r="AZ24" i="6" l="1"/>
  <c r="AZ16" i="6"/>
  <c r="AZ26" i="6" l="1"/>
  <c r="AZ27" i="6" s="1"/>
  <c r="AZ30" i="3"/>
  <c r="AZ38" i="3" l="1"/>
  <c r="AZ12" i="4"/>
  <c r="AZ22" i="4" l="1"/>
  <c r="AZ76" i="4" l="1"/>
  <c r="AZ47" i="4"/>
  <c r="AZ49" i="4" l="1"/>
  <c r="AZ79" i="4"/>
  <c r="AZ78" i="4"/>
  <c r="AZ77" i="4"/>
  <c r="AZ83" i="4"/>
  <c r="AZ84" i="4" l="1"/>
  <c r="AZ86" i="4"/>
  <c r="AZ85" i="4"/>
  <c r="AZ3" i="3"/>
  <c r="AZ51" i="3" l="1"/>
  <c r="AZ11" i="3"/>
  <c r="AZ5" i="7"/>
  <c r="CU8" i="3" l="1"/>
  <c r="AZ6" i="7"/>
  <c r="BA4" i="7"/>
  <c r="BA7" i="7" s="1"/>
  <c r="AZ20" i="3"/>
  <c r="BM40" i="6" l="1"/>
  <c r="BN40" i="6" l="1"/>
  <c r="CU8" i="7"/>
  <c r="AZ45" i="3"/>
  <c r="AZ47" i="3" l="1"/>
  <c r="CU7" i="7"/>
  <c r="BO40" i="6"/>
  <c r="AZ49" i="3" l="1"/>
  <c r="BP40" i="6"/>
  <c r="BQ40" i="6" l="1"/>
  <c r="BR40" i="6" s="1"/>
  <c r="BS40" i="6" l="1"/>
  <c r="AY20" i="7"/>
  <c r="BT40" i="6" l="1"/>
  <c r="BU40" i="6" l="1"/>
  <c r="BV40" i="6" s="1"/>
  <c r="BW40" i="6" s="1"/>
  <c r="BX40" i="6" s="1"/>
  <c r="BY40" i="6" s="1"/>
  <c r="BZ40" i="6" s="1"/>
  <c r="CA40" i="6" s="1"/>
  <c r="CB40" i="6" s="1"/>
  <c r="CC40" i="6" s="1"/>
  <c r="CD40" i="6" s="1"/>
  <c r="CE40" i="6" s="1"/>
  <c r="CF40" i="6" s="1"/>
  <c r="CG40" i="6" s="1"/>
  <c r="BB42" i="2"/>
  <c r="B42" i="16" s="1"/>
  <c r="CU41" i="2"/>
  <c r="BA42" i="2"/>
  <c r="BA8" i="2"/>
  <c r="S12" i="16" l="1"/>
  <c r="BA3" i="2"/>
  <c r="BA44" i="2"/>
  <c r="CU43" i="2"/>
  <c r="BB9" i="2"/>
  <c r="B37" i="16" s="1"/>
  <c r="BA77" i="2"/>
  <c r="BA17" i="2"/>
  <c r="BA10" i="2"/>
  <c r="BA9" i="2"/>
  <c r="CU8" i="2"/>
  <c r="S7" i="16" s="1"/>
  <c r="CV41" i="2"/>
  <c r="BE8" i="2"/>
  <c r="I12" i="16"/>
  <c r="S27" i="16" l="1"/>
  <c r="BI10" i="2"/>
  <c r="E7" i="16"/>
  <c r="T12" i="16"/>
  <c r="BE77" i="2"/>
  <c r="BE44" i="2"/>
  <c r="CU44" i="2"/>
  <c r="BA11" i="2"/>
  <c r="CV43" i="2"/>
  <c r="J42" i="16"/>
  <c r="CW41" i="2"/>
  <c r="I42" i="16"/>
  <c r="I7" i="16"/>
  <c r="BM41" i="2"/>
  <c r="BF9" i="2"/>
  <c r="F37" i="16" s="1"/>
  <c r="CV8" i="2"/>
  <c r="T7" i="16" s="1"/>
  <c r="BE17" i="2"/>
  <c r="BE9" i="2"/>
  <c r="E37" i="16" s="1"/>
  <c r="BE3" i="2"/>
  <c r="BA32" i="2"/>
  <c r="BA39" i="2"/>
  <c r="CU3" i="2"/>
  <c r="S6" i="16" s="1"/>
  <c r="BA50" i="2"/>
  <c r="BA4" i="2"/>
  <c r="BA5" i="2"/>
  <c r="BA80" i="2"/>
  <c r="BA25" i="2"/>
  <c r="BB4" i="2"/>
  <c r="B36" i="16" s="1"/>
  <c r="BA18" i="2"/>
  <c r="BA64" i="2"/>
  <c r="BA45" i="2"/>
  <c r="BE10" i="2"/>
  <c r="E22" i="16" s="1"/>
  <c r="CU77" i="2"/>
  <c r="CU10" i="2"/>
  <c r="S22" i="16" s="1"/>
  <c r="CU17" i="2"/>
  <c r="U12" i="16" l="1"/>
  <c r="T27" i="16"/>
  <c r="BI5" i="2"/>
  <c r="E6" i="16"/>
  <c r="M12" i="16"/>
  <c r="BE80" i="2"/>
  <c r="BA208" i="2"/>
  <c r="BE45" i="2"/>
  <c r="BE25" i="2"/>
  <c r="BE50" i="2"/>
  <c r="BE32" i="2"/>
  <c r="BE39" i="2"/>
  <c r="BA62" i="2"/>
  <c r="BE11" i="2"/>
  <c r="BA150" i="2"/>
  <c r="BA135" i="2"/>
  <c r="BA145" i="2"/>
  <c r="BA130" i="2"/>
  <c r="CU11" i="2"/>
  <c r="CV44" i="2"/>
  <c r="CW43" i="2"/>
  <c r="BE5" i="2"/>
  <c r="E21" i="16" s="1"/>
  <c r="I22" i="16"/>
  <c r="BA66" i="2"/>
  <c r="BB65" i="2"/>
  <c r="B35" i="16" s="1"/>
  <c r="BA72" i="2"/>
  <c r="BA51" i="2"/>
  <c r="BA65" i="2"/>
  <c r="BA56" i="2"/>
  <c r="CU64" i="2"/>
  <c r="BA85" i="2"/>
  <c r="BA12" i="2"/>
  <c r="BN42" i="2"/>
  <c r="N42" i="16" s="1"/>
  <c r="BM42" i="2"/>
  <c r="M42" i="16" s="1"/>
  <c r="CX41" i="2"/>
  <c r="BQ41" i="2"/>
  <c r="BM8" i="2"/>
  <c r="CV17" i="2"/>
  <c r="CV77" i="2"/>
  <c r="CV10" i="2"/>
  <c r="T22" i="16" s="1"/>
  <c r="BA82" i="2"/>
  <c r="BA78" i="2"/>
  <c r="BA81" i="2"/>
  <c r="BB81" i="2"/>
  <c r="CU80" i="2"/>
  <c r="J37" i="16"/>
  <c r="CW8" i="2"/>
  <c r="I37" i="16"/>
  <c r="I6" i="16"/>
  <c r="BA6" i="2"/>
  <c r="CU50" i="2"/>
  <c r="CU5" i="2"/>
  <c r="S21" i="16" s="1"/>
  <c r="CU39" i="2"/>
  <c r="CU25" i="2"/>
  <c r="CU18" i="2"/>
  <c r="CU32" i="2"/>
  <c r="CU45" i="2"/>
  <c r="BE18" i="2"/>
  <c r="BF4" i="2"/>
  <c r="F36" i="16" s="1"/>
  <c r="BE4" i="2"/>
  <c r="E36" i="16" s="1"/>
  <c r="CV3" i="2"/>
  <c r="T6" i="16" s="1"/>
  <c r="BE64" i="2"/>
  <c r="M7" i="16" l="1"/>
  <c r="S5" i="16"/>
  <c r="S5" i="15"/>
  <c r="BE82" i="2"/>
  <c r="BI82" i="2"/>
  <c r="U7" i="16"/>
  <c r="V12" i="16"/>
  <c r="U27" i="16"/>
  <c r="BI66" i="2"/>
  <c r="E5" i="15"/>
  <c r="E5" i="16"/>
  <c r="Q12" i="16"/>
  <c r="BF81" i="2"/>
  <c r="BM10" i="2"/>
  <c r="M22" i="16" s="1"/>
  <c r="BE81" i="2"/>
  <c r="BE78" i="2"/>
  <c r="BE85" i="2"/>
  <c r="BE72" i="2"/>
  <c r="BE150" i="2"/>
  <c r="BE135" i="2"/>
  <c r="BE51" i="2"/>
  <c r="BE56" i="2"/>
  <c r="BE145" i="2"/>
  <c r="BE130" i="2"/>
  <c r="BE208" i="2"/>
  <c r="E32" i="15" s="1"/>
  <c r="CU145" i="2"/>
  <c r="CU130" i="2"/>
  <c r="CU135" i="2"/>
  <c r="CU150" i="2"/>
  <c r="BA190" i="2"/>
  <c r="BA229" i="2"/>
  <c r="BA58" i="3"/>
  <c r="BA96" i="4"/>
  <c r="BA169" i="2"/>
  <c r="BA185" i="2"/>
  <c r="BA57" i="3"/>
  <c r="BA91" i="4"/>
  <c r="BA180" i="2"/>
  <c r="CX43" i="2"/>
  <c r="BA83" i="2"/>
  <c r="CV5" i="2"/>
  <c r="T21" i="16" s="1"/>
  <c r="BU41" i="2"/>
  <c r="BR42" i="2"/>
  <c r="CW44" i="2"/>
  <c r="CW10" i="2"/>
  <c r="BA210" i="2"/>
  <c r="BA209" i="2"/>
  <c r="CU207" i="2"/>
  <c r="BM77" i="2"/>
  <c r="CX8" i="2"/>
  <c r="BM17" i="2"/>
  <c r="BN9" i="2"/>
  <c r="N37" i="16" s="1"/>
  <c r="BM9" i="2"/>
  <c r="M37" i="16" s="1"/>
  <c r="BM3" i="2"/>
  <c r="CY41" i="2"/>
  <c r="BQ42" i="2"/>
  <c r="Q42" i="16" s="1"/>
  <c r="BQ8" i="2"/>
  <c r="Q7" i="16" s="1"/>
  <c r="CU62" i="2"/>
  <c r="CU51" i="2"/>
  <c r="CU72" i="2"/>
  <c r="CU56" i="2"/>
  <c r="CU66" i="2"/>
  <c r="CU12" i="2"/>
  <c r="BF65" i="2"/>
  <c r="F35" i="16" s="1"/>
  <c r="BE65" i="2"/>
  <c r="E35" i="16" s="1"/>
  <c r="CV64" i="2"/>
  <c r="BE12" i="2"/>
  <c r="BE66" i="2"/>
  <c r="I36" i="16"/>
  <c r="J36" i="16"/>
  <c r="CW3" i="2"/>
  <c r="CV18" i="2"/>
  <c r="CV32" i="2"/>
  <c r="CV25" i="2"/>
  <c r="CV39" i="2"/>
  <c r="CV50" i="2"/>
  <c r="CV45" i="2"/>
  <c r="I21" i="16"/>
  <c r="CV80" i="2"/>
  <c r="CV82" i="2" s="1"/>
  <c r="BE6" i="2"/>
  <c r="CU6" i="2"/>
  <c r="CW17" i="2"/>
  <c r="CW77" i="2"/>
  <c r="CU82" i="2"/>
  <c r="CU78" i="2"/>
  <c r="CV11" i="2"/>
  <c r="BM44" i="2"/>
  <c r="CU20" i="4"/>
  <c r="BB86" i="2"/>
  <c r="BA87" i="2"/>
  <c r="CU19" i="3"/>
  <c r="CU16" i="4"/>
  <c r="BA57" i="2"/>
  <c r="BA86" i="2"/>
  <c r="CU85" i="2"/>
  <c r="BA2" i="5"/>
  <c r="BA5" i="5" s="1"/>
  <c r="BA172" i="2"/>
  <c r="BA3" i="6"/>
  <c r="BA31" i="6" s="1"/>
  <c r="M6" i="16" l="1"/>
  <c r="B46" i="16"/>
  <c r="B10" i="1"/>
  <c r="C14" i="17"/>
  <c r="S16" i="16"/>
  <c r="CV145" i="2"/>
  <c r="CV130" i="2"/>
  <c r="CV135" i="2"/>
  <c r="CV150" i="2"/>
  <c r="T5" i="15"/>
  <c r="T5" i="16"/>
  <c r="S13" i="15"/>
  <c r="E16" i="16"/>
  <c r="BI87" i="2"/>
  <c r="V27" i="16"/>
  <c r="W12" i="16"/>
  <c r="U6" i="16"/>
  <c r="E43" i="15"/>
  <c r="E20" i="16"/>
  <c r="S43" i="15"/>
  <c r="S20" i="16"/>
  <c r="V7" i="16"/>
  <c r="BI12" i="2"/>
  <c r="BI6" i="2"/>
  <c r="U22" i="16"/>
  <c r="I5" i="15"/>
  <c r="I5" i="16"/>
  <c r="D14" i="17"/>
  <c r="E14" i="17"/>
  <c r="BE86" i="2"/>
  <c r="E46" i="16" s="1"/>
  <c r="BE87" i="2"/>
  <c r="BF86" i="2"/>
  <c r="BM5" i="2"/>
  <c r="M21" i="16" s="1"/>
  <c r="BE83" i="2"/>
  <c r="BE180" i="2"/>
  <c r="E27" i="15" s="1"/>
  <c r="BE57" i="3"/>
  <c r="BE57" i="2"/>
  <c r="BE190" i="2"/>
  <c r="E29" i="15" s="1"/>
  <c r="BE91" i="4"/>
  <c r="BM91" i="4" s="1"/>
  <c r="BQ91" i="4" s="1"/>
  <c r="BU91" i="4" s="1"/>
  <c r="BY91" i="4" s="1"/>
  <c r="CC91" i="4" s="1"/>
  <c r="CG91" i="4" s="1"/>
  <c r="BE96" i="4"/>
  <c r="BM96" i="4" s="1"/>
  <c r="BQ96" i="4" s="1"/>
  <c r="BU96" i="4" s="1"/>
  <c r="BY96" i="4" s="1"/>
  <c r="CC96" i="4" s="1"/>
  <c r="CG96" i="4" s="1"/>
  <c r="BE185" i="2"/>
  <c r="E28" i="15" s="1"/>
  <c r="BE58" i="3"/>
  <c r="BE229" i="2"/>
  <c r="E30" i="15" s="1"/>
  <c r="BE169" i="2"/>
  <c r="BY41" i="2"/>
  <c r="BV42" i="2"/>
  <c r="BA170" i="2"/>
  <c r="CX44" i="2"/>
  <c r="CV6" i="2"/>
  <c r="BU42" i="2"/>
  <c r="CZ41" i="2"/>
  <c r="BU8" i="2"/>
  <c r="CY43" i="2"/>
  <c r="CW11" i="2"/>
  <c r="BQ44" i="2"/>
  <c r="BR9" i="2"/>
  <c r="CU83" i="2"/>
  <c r="CX10" i="2"/>
  <c r="CW5" i="2"/>
  <c r="I35" i="16"/>
  <c r="CW64" i="2"/>
  <c r="J35" i="16"/>
  <c r="CV85" i="2"/>
  <c r="BE3" i="6"/>
  <c r="BE2" i="5"/>
  <c r="BE5" i="5" s="1"/>
  <c r="E37" i="15" s="1"/>
  <c r="BM50" i="2"/>
  <c r="BM4" i="2"/>
  <c r="M36" i="16" s="1"/>
  <c r="BM25" i="2"/>
  <c r="BN4" i="2"/>
  <c r="N36" i="16" s="1"/>
  <c r="BM39" i="2"/>
  <c r="BM32" i="2"/>
  <c r="BM18" i="2"/>
  <c r="CX3" i="2"/>
  <c r="BM80" i="2"/>
  <c r="BM64" i="2"/>
  <c r="BM45" i="2"/>
  <c r="BA187" i="2"/>
  <c r="BA186" i="2"/>
  <c r="CU184" i="2"/>
  <c r="CW80" i="2"/>
  <c r="CW82" i="2" s="1"/>
  <c r="I13" i="15"/>
  <c r="CV56" i="2"/>
  <c r="CV62" i="2"/>
  <c r="CV72" i="2"/>
  <c r="CV51" i="2"/>
  <c r="CV12" i="2"/>
  <c r="CV66" i="2"/>
  <c r="BQ9" i="2"/>
  <c r="Q37" i="16" s="1"/>
  <c r="BQ17" i="2"/>
  <c r="CY8" i="2"/>
  <c r="BQ77" i="2"/>
  <c r="BQ3" i="2"/>
  <c r="Q6" i="16" s="1"/>
  <c r="CX17" i="2"/>
  <c r="CX77" i="2"/>
  <c r="CU2" i="5"/>
  <c r="CU10" i="3"/>
  <c r="BA15" i="6"/>
  <c r="BA22" i="6"/>
  <c r="CU22" i="6" s="1"/>
  <c r="CU28" i="3"/>
  <c r="CW50" i="2"/>
  <c r="CW39" i="2"/>
  <c r="CW25" i="2"/>
  <c r="CW32" i="2"/>
  <c r="CW18" i="2"/>
  <c r="CW45" i="2"/>
  <c r="BM11" i="2"/>
  <c r="CV207" i="2"/>
  <c r="BB167" i="2"/>
  <c r="BA168" i="2"/>
  <c r="BA167" i="2"/>
  <c r="CU165" i="2"/>
  <c r="CU166" i="2"/>
  <c r="BA4" i="6"/>
  <c r="BA175" i="2"/>
  <c r="BB175" i="2"/>
  <c r="BA176" i="2"/>
  <c r="BA173" i="2"/>
  <c r="CU172" i="2"/>
  <c r="BA233" i="2"/>
  <c r="BA230" i="2"/>
  <c r="BA231" i="2"/>
  <c r="CU228" i="2"/>
  <c r="BA7" i="4"/>
  <c r="BA13" i="8"/>
  <c r="CU3" i="6"/>
  <c r="CU11" i="6"/>
  <c r="CU57" i="2"/>
  <c r="CU87" i="2"/>
  <c r="BA181" i="2"/>
  <c r="BB181" i="2"/>
  <c r="BA182" i="2"/>
  <c r="CU179" i="2"/>
  <c r="BA196" i="2"/>
  <c r="CU33" i="3"/>
  <c r="BA191" i="2"/>
  <c r="BA192" i="2"/>
  <c r="CU189" i="2"/>
  <c r="CV78" i="2"/>
  <c r="BQ10" i="2"/>
  <c r="Q22" i="16" s="1"/>
  <c r="CU210" i="2"/>
  <c r="S52" i="15" s="1"/>
  <c r="CU208" i="2"/>
  <c r="S32" i="15" s="1"/>
  <c r="F46" i="16" l="1"/>
  <c r="B11" i="1"/>
  <c r="B40" i="1"/>
  <c r="C10" i="1"/>
  <c r="S6" i="15"/>
  <c r="S31" i="16"/>
  <c r="CW145" i="2"/>
  <c r="CW130" i="2"/>
  <c r="CW135" i="2"/>
  <c r="CW150" i="2"/>
  <c r="BE170" i="2"/>
  <c r="BI170" i="2"/>
  <c r="T13" i="15"/>
  <c r="V6" i="16"/>
  <c r="S11" i="15"/>
  <c r="E31" i="16"/>
  <c r="T43" i="15"/>
  <c r="T20" i="16"/>
  <c r="S10" i="15"/>
  <c r="W27" i="16"/>
  <c r="S8" i="15"/>
  <c r="T16" i="16"/>
  <c r="W7" i="16"/>
  <c r="S9" i="15"/>
  <c r="I16" i="16"/>
  <c r="BI57" i="2"/>
  <c r="U5" i="15"/>
  <c r="U5" i="16"/>
  <c r="V22" i="16"/>
  <c r="U21" i="16"/>
  <c r="M5" i="15"/>
  <c r="M5" i="16"/>
  <c r="I43" i="15"/>
  <c r="I20" i="16"/>
  <c r="H14" i="17"/>
  <c r="I30" i="15"/>
  <c r="BE31" i="6"/>
  <c r="BM31" i="6" s="1"/>
  <c r="BQ31" i="6" s="1"/>
  <c r="BE34" i="6"/>
  <c r="BM169" i="2"/>
  <c r="BQ169" i="2" s="1"/>
  <c r="BU169" i="2" s="1"/>
  <c r="BY169" i="2" s="1"/>
  <c r="CC169" i="2" s="1"/>
  <c r="CG169" i="2" s="1"/>
  <c r="BE40" i="3"/>
  <c r="H56" i="17"/>
  <c r="CU15" i="6"/>
  <c r="BA34" i="6"/>
  <c r="CV20" i="4"/>
  <c r="BU44" i="2"/>
  <c r="BV9" i="2"/>
  <c r="CC41" i="2"/>
  <c r="BZ42" i="2"/>
  <c r="DA41" i="2"/>
  <c r="BY42" i="2"/>
  <c r="BY8" i="2"/>
  <c r="BY44" i="2" s="1"/>
  <c r="BA37" i="6"/>
  <c r="BA32" i="6"/>
  <c r="BA35" i="6"/>
  <c r="CX11" i="2"/>
  <c r="CV210" i="2"/>
  <c r="T52" i="15" s="1"/>
  <c r="BU10" i="2"/>
  <c r="BU17" i="2"/>
  <c r="CZ8" i="2"/>
  <c r="BU3" i="2"/>
  <c r="BU9" i="2"/>
  <c r="BU77" i="2"/>
  <c r="CZ43" i="2"/>
  <c r="I52" i="15"/>
  <c r="BQ11" i="2"/>
  <c r="BR4" i="2"/>
  <c r="CV87" i="2"/>
  <c r="CY44" i="2"/>
  <c r="I31" i="16"/>
  <c r="BQ5" i="2"/>
  <c r="Q21" i="16" s="1"/>
  <c r="CY10" i="2"/>
  <c r="CV83" i="2"/>
  <c r="CU192" i="2"/>
  <c r="S49" i="15" s="1"/>
  <c r="CU190" i="2"/>
  <c r="S29" i="15" s="1"/>
  <c r="CW72" i="2"/>
  <c r="CW62" i="2"/>
  <c r="CW56" i="2"/>
  <c r="CW51" i="2"/>
  <c r="CW12" i="2"/>
  <c r="CV208" i="2"/>
  <c r="T32" i="15" s="1"/>
  <c r="BN81" i="2"/>
  <c r="BM78" i="2"/>
  <c r="BM81" i="2"/>
  <c r="CX80" i="2"/>
  <c r="CX82" i="2" s="1"/>
  <c r="CV2" i="5"/>
  <c r="BM56" i="2"/>
  <c r="BM51" i="2"/>
  <c r="BM72" i="2"/>
  <c r="BN65" i="2"/>
  <c r="N35" i="16" s="1"/>
  <c r="BM65" i="2"/>
  <c r="M35" i="16" s="1"/>
  <c r="CX64" i="2"/>
  <c r="BM85" i="2"/>
  <c r="BM12" i="2"/>
  <c r="BB198" i="2"/>
  <c r="BA198" i="2"/>
  <c r="BA197" i="2"/>
  <c r="BA199" i="2"/>
  <c r="CU196" i="2"/>
  <c r="S7" i="15" s="1"/>
  <c r="BA7" i="6"/>
  <c r="BA36" i="6" s="1"/>
  <c r="BQ39" i="2"/>
  <c r="BQ25" i="2"/>
  <c r="BQ4" i="2"/>
  <c r="Q36" i="16" s="1"/>
  <c r="BQ50" i="2"/>
  <c r="BQ18" i="2"/>
  <c r="BQ32" i="2"/>
  <c r="CY3" i="2"/>
  <c r="BQ80" i="2"/>
  <c r="BQ64" i="2"/>
  <c r="BQ45" i="2"/>
  <c r="CX39" i="2"/>
  <c r="CX25" i="2"/>
  <c r="CX18" i="2"/>
  <c r="CX50" i="2"/>
  <c r="CX32" i="2"/>
  <c r="CX45" i="2"/>
  <c r="CV57" i="2"/>
  <c r="BM66" i="2"/>
  <c r="CV189" i="2"/>
  <c r="BA201" i="2"/>
  <c r="CW66" i="2"/>
  <c r="CW207" i="2"/>
  <c r="BM82" i="2"/>
  <c r="CV3" i="6"/>
  <c r="CV11" i="6"/>
  <c r="BE233" i="2"/>
  <c r="CV228" i="2"/>
  <c r="BE7" i="4"/>
  <c r="BA81" i="4"/>
  <c r="CU81" i="4" s="1"/>
  <c r="CU7" i="4"/>
  <c r="CU4" i="6"/>
  <c r="CU20" i="6"/>
  <c r="CU13" i="6"/>
  <c r="CU18" i="6"/>
  <c r="CY77" i="2"/>
  <c r="CY17" i="2"/>
  <c r="CW78" i="2"/>
  <c r="CU187" i="2"/>
  <c r="S48" i="15" s="1"/>
  <c r="CU185" i="2"/>
  <c r="S28" i="15" s="1"/>
  <c r="BM6" i="2"/>
  <c r="CV179" i="2"/>
  <c r="J46" i="16"/>
  <c r="I46" i="16"/>
  <c r="CW20" i="4"/>
  <c r="CW85" i="2"/>
  <c r="CU182" i="2"/>
  <c r="S47" i="15" s="1"/>
  <c r="CU180" i="2"/>
  <c r="S27" i="15" s="1"/>
  <c r="BA15" i="8"/>
  <c r="BA14" i="8"/>
  <c r="CU176" i="2"/>
  <c r="S44" i="15" s="1"/>
  <c r="CU173" i="2"/>
  <c r="S25" i="15" s="1"/>
  <c r="CU229" i="2"/>
  <c r="S30" i="15" s="1"/>
  <c r="CU231" i="2"/>
  <c r="BA174" i="2"/>
  <c r="CU168" i="2"/>
  <c r="CU169" i="2"/>
  <c r="CU170" i="2" s="1"/>
  <c r="CW6" i="2"/>
  <c r="CX5" i="2"/>
  <c r="BA6" i="5"/>
  <c r="CU4" i="5"/>
  <c r="BA28" i="5"/>
  <c r="J14" i="17" l="1"/>
  <c r="K14" i="17"/>
  <c r="L14" i="17"/>
  <c r="C11" i="1"/>
  <c r="D10" i="1"/>
  <c r="S50" i="15"/>
  <c r="B41" i="1"/>
  <c r="C40" i="1"/>
  <c r="BM185" i="2"/>
  <c r="M28" i="15" s="1"/>
  <c r="BM190" i="2"/>
  <c r="M29" i="15" s="1"/>
  <c r="BM180" i="2"/>
  <c r="M27" i="15" s="1"/>
  <c r="W6" i="16"/>
  <c r="U13" i="15"/>
  <c r="S19" i="15"/>
  <c r="T11" i="15"/>
  <c r="T8" i="15"/>
  <c r="T31" i="16"/>
  <c r="U16" i="16"/>
  <c r="T10" i="15"/>
  <c r="V5" i="15"/>
  <c r="V5" i="16"/>
  <c r="Q5" i="15"/>
  <c r="Q5" i="16"/>
  <c r="M43" i="15"/>
  <c r="M20" i="16"/>
  <c r="I10" i="15"/>
  <c r="U20" i="16"/>
  <c r="U43" i="15"/>
  <c r="I8" i="15"/>
  <c r="V21" i="16"/>
  <c r="W22" i="16"/>
  <c r="M16" i="16"/>
  <c r="M14" i="17"/>
  <c r="BU31" i="6"/>
  <c r="BY31" i="6" s="1"/>
  <c r="CC31" i="6" s="1"/>
  <c r="CG31" i="6" s="1"/>
  <c r="BM229" i="2"/>
  <c r="M30" i="15" s="1"/>
  <c r="CG41" i="2"/>
  <c r="CD42" i="2"/>
  <c r="J56" i="17"/>
  <c r="M56" i="17"/>
  <c r="CV182" i="2"/>
  <c r="T47" i="15" s="1"/>
  <c r="BM207" i="2"/>
  <c r="DA43" i="2"/>
  <c r="CV13" i="4"/>
  <c r="BU11" i="2"/>
  <c r="BV4" i="2"/>
  <c r="BY17" i="2"/>
  <c r="BZ9" i="2"/>
  <c r="BY3" i="2"/>
  <c r="BY11" i="2" s="1"/>
  <c r="BY9" i="2"/>
  <c r="DA8" i="2"/>
  <c r="BY77" i="2"/>
  <c r="DB41" i="2"/>
  <c r="CC42" i="2"/>
  <c r="CC8" i="2"/>
  <c r="BY10" i="2"/>
  <c r="BE172" i="2"/>
  <c r="CV166" i="2"/>
  <c r="CV165" i="2"/>
  <c r="BE4" i="6"/>
  <c r="CV184" i="2"/>
  <c r="BE196" i="2"/>
  <c r="CX66" i="2"/>
  <c r="CZ44" i="2"/>
  <c r="CZ10" i="2"/>
  <c r="BU5" i="2"/>
  <c r="BU32" i="2"/>
  <c r="BU25" i="2"/>
  <c r="BU18" i="2"/>
  <c r="BU39" i="2"/>
  <c r="BU50" i="2"/>
  <c r="CZ3" i="2"/>
  <c r="BU64" i="2"/>
  <c r="BU4" i="2"/>
  <c r="BU80" i="2"/>
  <c r="BU45" i="2"/>
  <c r="CZ17" i="2"/>
  <c r="CZ77" i="2"/>
  <c r="BR65" i="2"/>
  <c r="CV231" i="2"/>
  <c r="BR81" i="2"/>
  <c r="CW83" i="2"/>
  <c r="CW210" i="2"/>
  <c r="U52" i="15" s="1"/>
  <c r="CY5" i="2"/>
  <c r="I49" i="15"/>
  <c r="I47" i="15"/>
  <c r="CX6" i="2"/>
  <c r="CY11" i="2"/>
  <c r="CU25" i="3"/>
  <c r="BQ51" i="2"/>
  <c r="BQ72" i="2"/>
  <c r="BQ65" i="2"/>
  <c r="Q35" i="16" s="1"/>
  <c r="BQ56" i="2"/>
  <c r="CY64" i="2"/>
  <c r="BQ85" i="2"/>
  <c r="Q14" i="17" s="1"/>
  <c r="BQ12" i="2"/>
  <c r="CU5" i="3"/>
  <c r="CV180" i="2"/>
  <c r="T27" i="15" s="1"/>
  <c r="BA202" i="2"/>
  <c r="BB203" i="2"/>
  <c r="BA57" i="4"/>
  <c r="BA203" i="2"/>
  <c r="BA204" i="2"/>
  <c r="CU201" i="2"/>
  <c r="BQ81" i="2"/>
  <c r="BQ207" i="2"/>
  <c r="Q13" i="15" s="1"/>
  <c r="CY80" i="2"/>
  <c r="BQ78" i="2"/>
  <c r="BN86" i="2"/>
  <c r="N46" i="16" s="1"/>
  <c r="BM86" i="2"/>
  <c r="M46" i="16" s="1"/>
  <c r="BM57" i="2"/>
  <c r="BM20" i="4"/>
  <c r="CX20" i="4" s="1"/>
  <c r="CX85" i="2"/>
  <c r="BM2" i="5"/>
  <c r="BM5" i="5" s="1"/>
  <c r="M37" i="15" s="1"/>
  <c r="BM166" i="2"/>
  <c r="BM3" i="6"/>
  <c r="BQ82" i="2"/>
  <c r="BA22" i="5"/>
  <c r="BA29" i="5"/>
  <c r="CU20" i="5"/>
  <c r="BA41" i="5"/>
  <c r="CU3" i="8"/>
  <c r="CW2" i="5"/>
  <c r="I19" i="15"/>
  <c r="CV229" i="2"/>
  <c r="T30" i="15" s="1"/>
  <c r="CY50" i="2"/>
  <c r="CY32" i="2"/>
  <c r="CY39" i="2"/>
  <c r="CY18" i="2"/>
  <c r="CY25" i="2"/>
  <c r="CY45" i="2"/>
  <c r="CX56" i="2"/>
  <c r="CX62" i="2"/>
  <c r="CX51" i="2"/>
  <c r="CX72" i="2"/>
  <c r="CX12" i="2"/>
  <c r="CV4" i="5"/>
  <c r="BQ6" i="2"/>
  <c r="CU13" i="4"/>
  <c r="CU28" i="5"/>
  <c r="CU174" i="2"/>
  <c r="S45" i="15" s="1"/>
  <c r="CW57" i="2"/>
  <c r="CW189" i="2"/>
  <c r="CV190" i="2"/>
  <c r="T29" i="15" s="1"/>
  <c r="CW3" i="6"/>
  <c r="CW11" i="6"/>
  <c r="CV192" i="2"/>
  <c r="T49" i="15" s="1"/>
  <c r="BA33" i="4"/>
  <c r="CU25" i="4"/>
  <c r="CU17" i="4"/>
  <c r="CW208" i="2"/>
  <c r="U32" i="15" s="1"/>
  <c r="CU7" i="6"/>
  <c r="BQ66" i="2"/>
  <c r="CX78" i="2"/>
  <c r="BM83" i="2"/>
  <c r="CU5" i="5"/>
  <c r="CU6" i="5"/>
  <c r="S58" i="15" s="1"/>
  <c r="CW179" i="2"/>
  <c r="BM87" i="2"/>
  <c r="M31" i="16" s="1"/>
  <c r="CU15" i="4"/>
  <c r="BE81" i="4"/>
  <c r="CV81" i="4" s="1"/>
  <c r="CV7" i="4"/>
  <c r="CW87" i="2"/>
  <c r="CU199" i="2"/>
  <c r="S46" i="15" s="1"/>
  <c r="CU197" i="2"/>
  <c r="S26" i="15" s="1"/>
  <c r="S37" i="15" l="1"/>
  <c r="O14" i="17"/>
  <c r="M13" i="15"/>
  <c r="P14" i="17"/>
  <c r="CU23" i="5"/>
  <c r="C48" i="1"/>
  <c r="D48" i="1" s="1"/>
  <c r="D55" i="1" s="1"/>
  <c r="T50" i="15"/>
  <c r="C41" i="1"/>
  <c r="D11" i="1"/>
  <c r="E10" i="1"/>
  <c r="Q16" i="16"/>
  <c r="BQ190" i="2"/>
  <c r="Q29" i="15" s="1"/>
  <c r="BQ180" i="2"/>
  <c r="Q27" i="15" s="1"/>
  <c r="BQ185" i="2"/>
  <c r="Q28" i="15" s="1"/>
  <c r="U8" i="15"/>
  <c r="U31" i="16"/>
  <c r="U10" i="15"/>
  <c r="BI199" i="2"/>
  <c r="E7" i="15"/>
  <c r="T19" i="15"/>
  <c r="V16" i="16"/>
  <c r="S12" i="15"/>
  <c r="T9" i="15"/>
  <c r="E6" i="15"/>
  <c r="BI176" i="2"/>
  <c r="W21" i="16"/>
  <c r="M9" i="15"/>
  <c r="V20" i="16"/>
  <c r="V43" i="15"/>
  <c r="W5" i="16"/>
  <c r="W5" i="15"/>
  <c r="R14" i="17"/>
  <c r="M10" i="15"/>
  <c r="Q43" i="15"/>
  <c r="Q20" i="16"/>
  <c r="I9" i="15"/>
  <c r="C19" i="17"/>
  <c r="BQ229" i="2"/>
  <c r="Q30" i="15" s="1"/>
  <c r="CC44" i="2"/>
  <c r="CD9" i="2"/>
  <c r="DC41" i="2"/>
  <c r="CG42" i="2"/>
  <c r="CG8" i="2"/>
  <c r="D19" i="17"/>
  <c r="K56" i="17"/>
  <c r="E19" i="17"/>
  <c r="BI233" i="2"/>
  <c r="CW7" i="4"/>
  <c r="L56" i="17"/>
  <c r="CW228" i="2"/>
  <c r="BN209" i="2"/>
  <c r="O56" i="17"/>
  <c r="BF175" i="2"/>
  <c r="BE198" i="2"/>
  <c r="BF198" i="2"/>
  <c r="BM209" i="2"/>
  <c r="R56" i="17"/>
  <c r="BM210" i="2"/>
  <c r="M52" i="15" s="1"/>
  <c r="CW4" i="6"/>
  <c r="CW165" i="2"/>
  <c r="CW166" i="2"/>
  <c r="CX207" i="2"/>
  <c r="CV168" i="2"/>
  <c r="M49" i="15"/>
  <c r="BM168" i="2"/>
  <c r="BE37" i="6"/>
  <c r="BM37" i="6" s="1"/>
  <c r="BQ37" i="6" s="1"/>
  <c r="BU37" i="6" s="1"/>
  <c r="BY37" i="6" s="1"/>
  <c r="CC37" i="6" s="1"/>
  <c r="CG37" i="6" s="1"/>
  <c r="BE35" i="6"/>
  <c r="BE32" i="6"/>
  <c r="BF40" i="3"/>
  <c r="DA10" i="2"/>
  <c r="CV18" i="6"/>
  <c r="CV28" i="5"/>
  <c r="CV16" i="4"/>
  <c r="CV172" i="2"/>
  <c r="BQ83" i="2"/>
  <c r="BE175" i="2"/>
  <c r="CV4" i="6"/>
  <c r="BY80" i="2"/>
  <c r="BY82" i="2" s="1"/>
  <c r="BZ4" i="2"/>
  <c r="BY64" i="2"/>
  <c r="BY66" i="2" s="1"/>
  <c r="BY50" i="2"/>
  <c r="BY39" i="2"/>
  <c r="BY32" i="2"/>
  <c r="BY25" i="2"/>
  <c r="BY18" i="2"/>
  <c r="BY4" i="2"/>
  <c r="DA3" i="2"/>
  <c r="BY45" i="2"/>
  <c r="CC17" i="2"/>
  <c r="CC3" i="2"/>
  <c r="CC9" i="2"/>
  <c r="DB8" i="2"/>
  <c r="CC77" i="2"/>
  <c r="DA17" i="2"/>
  <c r="DA77" i="2"/>
  <c r="BU82" i="2"/>
  <c r="BV81" i="2"/>
  <c r="DA44" i="2"/>
  <c r="DB43" i="2"/>
  <c r="BU66" i="2"/>
  <c r="BV65" i="2"/>
  <c r="CC10" i="2"/>
  <c r="BY5" i="2"/>
  <c r="CV169" i="2"/>
  <c r="CV170" i="2" s="1"/>
  <c r="BE173" i="2"/>
  <c r="BE176" i="2"/>
  <c r="E44" i="15" s="1"/>
  <c r="CV6" i="5"/>
  <c r="T58" i="15" s="1"/>
  <c r="BE197" i="2"/>
  <c r="E26" i="15" s="1"/>
  <c r="CV187" i="2"/>
  <c r="T48" i="15" s="1"/>
  <c r="CV185" i="2"/>
  <c r="T28" i="15" s="1"/>
  <c r="CV196" i="2"/>
  <c r="T7" i="15" s="1"/>
  <c r="BE199" i="2"/>
  <c r="E46" i="15" s="1"/>
  <c r="BE201" i="2"/>
  <c r="BE7" i="6"/>
  <c r="BE36" i="6" s="1"/>
  <c r="BM36" i="6" s="1"/>
  <c r="BQ36" i="6" s="1"/>
  <c r="BU36" i="6" s="1"/>
  <c r="BY36" i="6" s="1"/>
  <c r="CC36" i="6" s="1"/>
  <c r="CG36" i="6" s="1"/>
  <c r="I48" i="15"/>
  <c r="I7" i="15"/>
  <c r="CW184" i="2"/>
  <c r="M48" i="15"/>
  <c r="CU29" i="5"/>
  <c r="BA30" i="5"/>
  <c r="CU30" i="5" s="1"/>
  <c r="CV33" i="3"/>
  <c r="CV19" i="3"/>
  <c r="BU6" i="2"/>
  <c r="BQ87" i="2"/>
  <c r="Q31" i="16" s="1"/>
  <c r="CZ50" i="2"/>
  <c r="CZ32" i="2"/>
  <c r="CZ39" i="2"/>
  <c r="CZ25" i="2"/>
  <c r="CZ18" i="2"/>
  <c r="CZ45" i="2"/>
  <c r="CZ5" i="2"/>
  <c r="BU78" i="2"/>
  <c r="CZ80" i="2"/>
  <c r="BU81" i="2"/>
  <c r="BU207" i="2"/>
  <c r="CZ11" i="2"/>
  <c r="BU85" i="2"/>
  <c r="V14" i="17" s="1"/>
  <c r="BU51" i="2"/>
  <c r="BU65" i="2"/>
  <c r="BU56" i="2"/>
  <c r="BU72" i="2"/>
  <c r="CZ64" i="2"/>
  <c r="BU12" i="2"/>
  <c r="CU19" i="6"/>
  <c r="CW182" i="2"/>
  <c r="U47" i="15" s="1"/>
  <c r="CY82" i="2"/>
  <c r="BR209" i="2"/>
  <c r="BR86" i="2"/>
  <c r="CX83" i="2"/>
  <c r="CY66" i="2"/>
  <c r="CY6" i="2"/>
  <c r="CU18" i="4"/>
  <c r="CX87" i="2"/>
  <c r="CX2" i="5"/>
  <c r="M19" i="15"/>
  <c r="BQ209" i="2"/>
  <c r="CY207" i="2"/>
  <c r="BN186" i="2"/>
  <c r="CX184" i="2"/>
  <c r="BM186" i="2"/>
  <c r="CU22" i="3"/>
  <c r="CW190" i="2"/>
  <c r="U29" i="15" s="1"/>
  <c r="BE33" i="4"/>
  <c r="CV25" i="4"/>
  <c r="BB41" i="5"/>
  <c r="BQ57" i="2"/>
  <c r="BQ20" i="4"/>
  <c r="CY20" i="4" s="1"/>
  <c r="BQ86" i="2"/>
  <c r="Q46" i="16" s="1"/>
  <c r="Q10" i="15"/>
  <c r="Q9" i="15"/>
  <c r="BQ2" i="5"/>
  <c r="BQ5" i="5" s="1"/>
  <c r="Q37" i="15" s="1"/>
  <c r="CY85" i="2"/>
  <c r="Q8" i="15"/>
  <c r="BQ166" i="2"/>
  <c r="BQ3" i="6"/>
  <c r="CV17" i="4"/>
  <c r="CU7" i="3"/>
  <c r="CV5" i="5"/>
  <c r="CU5" i="8"/>
  <c r="BB2" i="8"/>
  <c r="BB3" i="8" s="1"/>
  <c r="CU21" i="5"/>
  <c r="CU22" i="5"/>
  <c r="CU41" i="5"/>
  <c r="BM167" i="2"/>
  <c r="BN167" i="2"/>
  <c r="BM165" i="2"/>
  <c r="CX165" i="2" s="1"/>
  <c r="CX166" i="2"/>
  <c r="BM4" i="6"/>
  <c r="CY62" i="2"/>
  <c r="CY56" i="2"/>
  <c r="CY51" i="2"/>
  <c r="CY72" i="2"/>
  <c r="CY12" i="2"/>
  <c r="CW13" i="4"/>
  <c r="CV29" i="5"/>
  <c r="CV20" i="5"/>
  <c r="CU5" i="4"/>
  <c r="BA51" i="4"/>
  <c r="BA5" i="6"/>
  <c r="BA33" i="6" s="1"/>
  <c r="BM172" i="2"/>
  <c r="CU33" i="4"/>
  <c r="CW28" i="5"/>
  <c r="CW4" i="5"/>
  <c r="CX57" i="2"/>
  <c r="CX3" i="6"/>
  <c r="BM11" i="6"/>
  <c r="CX11" i="6" s="1"/>
  <c r="BN191" i="2"/>
  <c r="CX189" i="2"/>
  <c r="BM191" i="2"/>
  <c r="CU202" i="2"/>
  <c r="S31" i="15" s="1"/>
  <c r="CU204" i="2"/>
  <c r="S51" i="15" s="1"/>
  <c r="CW180" i="2"/>
  <c r="U27" i="15" s="1"/>
  <c r="CW192" i="2"/>
  <c r="U49" i="15" s="1"/>
  <c r="I58" i="15"/>
  <c r="CY78" i="2"/>
  <c r="BA224" i="2"/>
  <c r="CU223" i="2"/>
  <c r="BA226" i="2"/>
  <c r="CV5" i="3"/>
  <c r="BQ210" i="2"/>
  <c r="Q52" i="15" s="1"/>
  <c r="T37" i="15" l="1"/>
  <c r="T14" i="17"/>
  <c r="C50" i="1"/>
  <c r="B50" i="1" s="1"/>
  <c r="B57" i="1" s="1"/>
  <c r="U14" i="17"/>
  <c r="CV23" i="5"/>
  <c r="B48" i="1"/>
  <c r="B55" i="1" s="1"/>
  <c r="F10" i="1"/>
  <c r="E11" i="1"/>
  <c r="D40" i="1"/>
  <c r="W14" i="17"/>
  <c r="BU190" i="2"/>
  <c r="BU185" i="2"/>
  <c r="BU180" i="2"/>
  <c r="V31" i="16"/>
  <c r="BI204" i="2"/>
  <c r="E12" i="15"/>
  <c r="V9" i="15"/>
  <c r="E25" i="15"/>
  <c r="BI174" i="2"/>
  <c r="W13" i="15"/>
  <c r="U9" i="15"/>
  <c r="T6" i="15"/>
  <c r="W16" i="16"/>
  <c r="V10" i="15"/>
  <c r="U19" i="15"/>
  <c r="I6" i="15"/>
  <c r="U11" i="15"/>
  <c r="H19" i="17"/>
  <c r="W20" i="16"/>
  <c r="W43" i="15"/>
  <c r="R15" i="17"/>
  <c r="M6" i="15"/>
  <c r="M8" i="15"/>
  <c r="V13" i="15"/>
  <c r="C31" i="17"/>
  <c r="CG10" i="2"/>
  <c r="J19" i="17"/>
  <c r="CG44" i="2"/>
  <c r="BU229" i="2"/>
  <c r="DC43" i="2"/>
  <c r="CG3" i="2"/>
  <c r="DC8" i="2"/>
  <c r="CG17" i="2"/>
  <c r="CG9" i="2"/>
  <c r="CG77" i="2"/>
  <c r="CC5" i="2"/>
  <c r="CD4" i="2"/>
  <c r="D31" i="17"/>
  <c r="E31" i="17"/>
  <c r="K19" i="17"/>
  <c r="P56" i="17"/>
  <c r="CW3" i="8"/>
  <c r="CW81" i="4"/>
  <c r="CW229" i="2"/>
  <c r="U30" i="15" s="1"/>
  <c r="CW231" i="2"/>
  <c r="D41" i="1" s="1"/>
  <c r="T56" i="17"/>
  <c r="CW169" i="2"/>
  <c r="CW170" i="2" s="1"/>
  <c r="CV199" i="2"/>
  <c r="T46" i="15" s="1"/>
  <c r="BM7" i="4"/>
  <c r="BM81" i="4" s="1"/>
  <c r="CX81" i="4" s="1"/>
  <c r="CX228" i="2"/>
  <c r="BN230" i="2"/>
  <c r="Q56" i="17"/>
  <c r="BM13" i="8"/>
  <c r="BM14" i="8" s="1"/>
  <c r="BM230" i="2"/>
  <c r="BM233" i="2"/>
  <c r="M58" i="15"/>
  <c r="BF203" i="2"/>
  <c r="W56" i="17"/>
  <c r="I44" i="15"/>
  <c r="L19" i="17"/>
  <c r="CW168" i="2"/>
  <c r="CW18" i="6"/>
  <c r="CX208" i="2"/>
  <c r="CX210" i="2"/>
  <c r="V52" i="15" s="1"/>
  <c r="CX192" i="2"/>
  <c r="V49" i="15" s="1"/>
  <c r="CX168" i="2"/>
  <c r="M47" i="15"/>
  <c r="M19" i="17"/>
  <c r="I25" i="15"/>
  <c r="CW172" i="2"/>
  <c r="CW187" i="2"/>
  <c r="U48" i="15" s="1"/>
  <c r="BE226" i="2"/>
  <c r="BE174" i="2"/>
  <c r="E45" i="15" s="1"/>
  <c r="DA11" i="2"/>
  <c r="CV173" i="2"/>
  <c r="T25" i="15" s="1"/>
  <c r="CV176" i="2"/>
  <c r="T44" i="15" s="1"/>
  <c r="DA5" i="2"/>
  <c r="BU87" i="2"/>
  <c r="BV86" i="2"/>
  <c r="DA50" i="2"/>
  <c r="DA25" i="2"/>
  <c r="DA32" i="2"/>
  <c r="DA39" i="2"/>
  <c r="DA18" i="2"/>
  <c r="DA45" i="2"/>
  <c r="DB10" i="2"/>
  <c r="DB17" i="2"/>
  <c r="DB77" i="2"/>
  <c r="BV209" i="2"/>
  <c r="CC11" i="2"/>
  <c r="CC80" i="2"/>
  <c r="CC64" i="2"/>
  <c r="CC39" i="2"/>
  <c r="CC50" i="2"/>
  <c r="CC32" i="2"/>
  <c r="CC25" i="2"/>
  <c r="CC18" i="2"/>
  <c r="CC4" i="2"/>
  <c r="DB3" i="2"/>
  <c r="CC45" i="2"/>
  <c r="BY6" i="2"/>
  <c r="BY85" i="2"/>
  <c r="AA14" i="17" s="1"/>
  <c r="BZ65" i="2"/>
  <c r="BY56" i="2"/>
  <c r="BY51" i="2"/>
  <c r="BY65" i="2"/>
  <c r="BY72" i="2"/>
  <c r="DA64" i="2"/>
  <c r="BY12" i="2"/>
  <c r="DB44" i="2"/>
  <c r="CZ78" i="2"/>
  <c r="BZ81" i="2"/>
  <c r="BY207" i="2"/>
  <c r="BY210" i="2" s="1"/>
  <c r="BY81" i="2"/>
  <c r="BY78" i="2"/>
  <c r="DA80" i="2"/>
  <c r="DA82" i="2" s="1"/>
  <c r="BE57" i="4"/>
  <c r="CV201" i="2"/>
  <c r="CW196" i="2"/>
  <c r="U7" i="15" s="1"/>
  <c r="I46" i="15"/>
  <c r="H31" i="17"/>
  <c r="I26" i="15"/>
  <c r="CV7" i="6"/>
  <c r="BE204" i="2"/>
  <c r="E51" i="15" s="1"/>
  <c r="CW7" i="6"/>
  <c r="CV197" i="2"/>
  <c r="T26" i="15" s="1"/>
  <c r="BE202" i="2"/>
  <c r="BE203" i="2"/>
  <c r="CW185" i="2"/>
  <c r="U28" i="15" s="1"/>
  <c r="CX187" i="2"/>
  <c r="V48" i="15" s="1"/>
  <c r="CX179" i="2"/>
  <c r="BM196" i="2"/>
  <c r="M7" i="15" s="1"/>
  <c r="BN181" i="2"/>
  <c r="BM181" i="2"/>
  <c r="BA56" i="3"/>
  <c r="BA55" i="3"/>
  <c r="CV28" i="3"/>
  <c r="CV22" i="6"/>
  <c r="CV10" i="3"/>
  <c r="CV15" i="6"/>
  <c r="CZ66" i="2"/>
  <c r="CZ6" i="2"/>
  <c r="CZ82" i="2"/>
  <c r="CZ207" i="2"/>
  <c r="BU209" i="2"/>
  <c r="BU210" i="2"/>
  <c r="BU83" i="2"/>
  <c r="BU2" i="5"/>
  <c r="BU5" i="5" s="1"/>
  <c r="BU86" i="2"/>
  <c r="BU3" i="6"/>
  <c r="BU57" i="2"/>
  <c r="BU20" i="4"/>
  <c r="CZ20" i="4" s="1"/>
  <c r="Z56" i="17"/>
  <c r="CZ85" i="2"/>
  <c r="BU166" i="2"/>
  <c r="CZ62" i="2"/>
  <c r="CZ51" i="2"/>
  <c r="CZ56" i="2"/>
  <c r="CZ72" i="2"/>
  <c r="CZ12" i="2"/>
  <c r="Q49" i="15"/>
  <c r="BR191" i="2"/>
  <c r="CY83" i="2"/>
  <c r="BR167" i="2"/>
  <c r="Q48" i="15"/>
  <c r="BR186" i="2"/>
  <c r="BR181" i="2"/>
  <c r="CV19" i="6"/>
  <c r="BA25" i="5"/>
  <c r="CU25" i="5" s="1"/>
  <c r="CU15" i="3"/>
  <c r="CU31" i="5"/>
  <c r="CY87" i="2"/>
  <c r="CU224" i="2"/>
  <c r="CU226" i="2"/>
  <c r="CW5" i="5"/>
  <c r="CV5" i="4"/>
  <c r="BE5" i="6"/>
  <c r="BE33" i="6" s="1"/>
  <c r="BE51" i="4"/>
  <c r="CW6" i="5"/>
  <c r="U58" i="15" s="1"/>
  <c r="BQ167" i="2"/>
  <c r="BQ165" i="2"/>
  <c r="CY165" i="2" s="1"/>
  <c r="CY166" i="2"/>
  <c r="BQ4" i="6"/>
  <c r="BQ181" i="2"/>
  <c r="CY179" i="2"/>
  <c r="BQ196" i="2"/>
  <c r="BM175" i="2"/>
  <c r="BN175" i="2"/>
  <c r="BM173" i="2"/>
  <c r="M25" i="15" s="1"/>
  <c r="CX172" i="2"/>
  <c r="BM176" i="2"/>
  <c r="M44" i="15" s="1"/>
  <c r="CV21" i="5"/>
  <c r="BQ186" i="2"/>
  <c r="CY184" i="2"/>
  <c r="BQ168" i="2"/>
  <c r="CV2" i="8"/>
  <c r="CY2" i="5"/>
  <c r="Q19" i="15"/>
  <c r="BQ191" i="2"/>
  <c r="CY189" i="2"/>
  <c r="BM28" i="5"/>
  <c r="CX28" i="5" s="1"/>
  <c r="CX4" i="5"/>
  <c r="BM25" i="4"/>
  <c r="BM20" i="5"/>
  <c r="CV22" i="3"/>
  <c r="BC41" i="5"/>
  <c r="BD41" i="5" s="1"/>
  <c r="BE41" i="5" s="1"/>
  <c r="BF41" i="5" s="1"/>
  <c r="BG41" i="5" s="1"/>
  <c r="BH41" i="5" s="1"/>
  <c r="BI41" i="5" s="1"/>
  <c r="BJ41" i="5" s="1"/>
  <c r="BK41" i="5" s="1"/>
  <c r="BL41" i="5" s="1"/>
  <c r="CU5" i="6"/>
  <c r="CU23" i="3"/>
  <c r="Q47" i="15"/>
  <c r="BA52" i="4"/>
  <c r="BA61" i="4"/>
  <c r="BM5" i="3"/>
  <c r="BM13" i="4"/>
  <c r="BN13" i="4"/>
  <c r="CW29" i="5"/>
  <c r="CW20" i="5"/>
  <c r="CX4" i="6"/>
  <c r="BM18" i="6"/>
  <c r="CX18" i="6" s="1"/>
  <c r="BQ172" i="2"/>
  <c r="Q19" i="17" s="1"/>
  <c r="CY208" i="2"/>
  <c r="CX190" i="2"/>
  <c r="V29" i="15" s="1"/>
  <c r="CY210" i="2"/>
  <c r="W52" i="15" s="1"/>
  <c r="CU7" i="8"/>
  <c r="BB22" i="5"/>
  <c r="CV27" i="5"/>
  <c r="CV22" i="5" s="1"/>
  <c r="CY57" i="2"/>
  <c r="CV33" i="4"/>
  <c r="CW25" i="4"/>
  <c r="CW5" i="3"/>
  <c r="CX169" i="2"/>
  <c r="CV41" i="5"/>
  <c r="CY3" i="6"/>
  <c r="BQ11" i="6"/>
  <c r="CX185" i="2"/>
  <c r="V28" i="15" s="1"/>
  <c r="U37" i="15" l="1"/>
  <c r="Y14" i="17"/>
  <c r="O19" i="17"/>
  <c r="D50" i="1"/>
  <c r="D57" i="1" s="1"/>
  <c r="W15" i="17"/>
  <c r="P19" i="17"/>
  <c r="Z14" i="17"/>
  <c r="E31" i="15"/>
  <c r="CW23" i="5"/>
  <c r="BM5" i="4"/>
  <c r="BM23" i="5"/>
  <c r="E40" i="1"/>
  <c r="F11" i="1"/>
  <c r="G10" i="1"/>
  <c r="AB14" i="17"/>
  <c r="BY190" i="2"/>
  <c r="BY185" i="2"/>
  <c r="BY180" i="2"/>
  <c r="V19" i="15"/>
  <c r="V8" i="15"/>
  <c r="U6" i="15"/>
  <c r="W31" i="16"/>
  <c r="V6" i="15"/>
  <c r="T12" i="15"/>
  <c r="W32" i="15"/>
  <c r="W9" i="15"/>
  <c r="U50" i="15"/>
  <c r="BQ197" i="2"/>
  <c r="Q26" i="15" s="1"/>
  <c r="Q7" i="15"/>
  <c r="V11" i="15"/>
  <c r="Q6" i="15"/>
  <c r="W10" i="15"/>
  <c r="W8" i="15"/>
  <c r="I12" i="15"/>
  <c r="V32" i="15"/>
  <c r="R19" i="17"/>
  <c r="CG5" i="2"/>
  <c r="BY229" i="2"/>
  <c r="DC10" i="2"/>
  <c r="CD65" i="2"/>
  <c r="CC82" i="2"/>
  <c r="CD81" i="2"/>
  <c r="DC17" i="2"/>
  <c r="DC77" i="2"/>
  <c r="DC44" i="2"/>
  <c r="CG64" i="2"/>
  <c r="CG80" i="2"/>
  <c r="CG82" i="2" s="1"/>
  <c r="CG32" i="2"/>
  <c r="CG25" i="2"/>
  <c r="CG50" i="2"/>
  <c r="CG39" i="2"/>
  <c r="CG18" i="2"/>
  <c r="DC3" i="2"/>
  <c r="CG4" i="2"/>
  <c r="CG45" i="2"/>
  <c r="CG11" i="2"/>
  <c r="Y56" i="17"/>
  <c r="R57" i="17"/>
  <c r="V56" i="17"/>
  <c r="U56" i="17"/>
  <c r="CX7" i="4"/>
  <c r="BQ13" i="8"/>
  <c r="BQ14" i="8" s="1"/>
  <c r="BQ230" i="2"/>
  <c r="BQ233" i="2"/>
  <c r="BR230" i="2"/>
  <c r="BQ7" i="4"/>
  <c r="BQ81" i="4" s="1"/>
  <c r="CY81" i="4" s="1"/>
  <c r="CY228" i="2"/>
  <c r="CX231" i="2"/>
  <c r="E41" i="1" s="1"/>
  <c r="BM3" i="8"/>
  <c r="CX3" i="8" s="1"/>
  <c r="BM15" i="8"/>
  <c r="CX229" i="2"/>
  <c r="V30" i="15" s="1"/>
  <c r="CW17" i="4"/>
  <c r="CX170" i="2"/>
  <c r="AB56" i="17"/>
  <c r="AA56" i="17"/>
  <c r="I45" i="15"/>
  <c r="BM174" i="2"/>
  <c r="M45" i="15" s="1"/>
  <c r="CW176" i="2"/>
  <c r="U44" i="15" s="1"/>
  <c r="CW173" i="2"/>
  <c r="BE56" i="3"/>
  <c r="BE55" i="3"/>
  <c r="CV174" i="2"/>
  <c r="T45" i="15" s="1"/>
  <c r="DA66" i="2"/>
  <c r="BU11" i="6"/>
  <c r="BV13" i="4" s="1"/>
  <c r="BY87" i="2"/>
  <c r="BY83" i="2"/>
  <c r="DA78" i="2"/>
  <c r="BU172" i="2"/>
  <c r="BV167" i="2"/>
  <c r="DB25" i="2"/>
  <c r="DB39" i="2"/>
  <c r="DB50" i="2"/>
  <c r="DB32" i="2"/>
  <c r="DB18" i="2"/>
  <c r="DB45" i="2"/>
  <c r="CC6" i="2"/>
  <c r="CC85" i="2"/>
  <c r="AF14" i="17" s="1"/>
  <c r="CC56" i="2"/>
  <c r="CC51" i="2"/>
  <c r="CC72" i="2"/>
  <c r="CC65" i="2"/>
  <c r="DB64" i="2"/>
  <c r="CC12" i="2"/>
  <c r="BV230" i="2"/>
  <c r="CZ228" i="2"/>
  <c r="BZ209" i="2"/>
  <c r="BY209" i="2"/>
  <c r="DA207" i="2"/>
  <c r="DA62" i="2"/>
  <c r="DA56" i="2"/>
  <c r="DA51" i="2"/>
  <c r="DA72" i="2"/>
  <c r="DA12" i="2"/>
  <c r="CC66" i="2"/>
  <c r="CC78" i="2"/>
  <c r="CC207" i="2"/>
  <c r="CD209" i="2" s="1"/>
  <c r="CC81" i="2"/>
  <c r="DB80" i="2"/>
  <c r="DB5" i="2"/>
  <c r="BY2" i="5"/>
  <c r="BY5" i="5" s="1"/>
  <c r="BZ86" i="2"/>
  <c r="BY3" i="6"/>
  <c r="AE56" i="17"/>
  <c r="BY57" i="2"/>
  <c r="BY86" i="2"/>
  <c r="DA85" i="2"/>
  <c r="BY20" i="4"/>
  <c r="DA20" i="4" s="1"/>
  <c r="BY166" i="2"/>
  <c r="BY172" i="2" s="1"/>
  <c r="DB11" i="2"/>
  <c r="DA6" i="2"/>
  <c r="BV191" i="2"/>
  <c r="BV186" i="2"/>
  <c r="BV181" i="2"/>
  <c r="CV204" i="2"/>
  <c r="T51" i="15" s="1"/>
  <c r="CX6" i="5"/>
  <c r="V58" i="15" s="1"/>
  <c r="CV202" i="2"/>
  <c r="T31" i="15" s="1"/>
  <c r="CW223" i="2"/>
  <c r="I31" i="15"/>
  <c r="I51" i="15"/>
  <c r="CW197" i="2"/>
  <c r="U26" i="15" s="1"/>
  <c r="CW199" i="2"/>
  <c r="U46" i="15" s="1"/>
  <c r="CW201" i="2"/>
  <c r="BM201" i="2"/>
  <c r="BM197" i="2"/>
  <c r="M26" i="15" s="1"/>
  <c r="CV223" i="2"/>
  <c r="CV224" i="2" s="1"/>
  <c r="CW19" i="6"/>
  <c r="CX196" i="2"/>
  <c r="V7" i="15" s="1"/>
  <c r="CX182" i="2"/>
  <c r="V47" i="15" s="1"/>
  <c r="CX180" i="2"/>
  <c r="V27" i="15" s="1"/>
  <c r="BM198" i="2"/>
  <c r="BN198" i="2"/>
  <c r="BM199" i="2"/>
  <c r="M46" i="15" s="1"/>
  <c r="BM7" i="6"/>
  <c r="CX7" i="6" s="1"/>
  <c r="CZ87" i="2"/>
  <c r="CZ210" i="2"/>
  <c r="BU168" i="2"/>
  <c r="CZ3" i="6"/>
  <c r="CZ83" i="2"/>
  <c r="CZ57" i="2"/>
  <c r="CZ189" i="2"/>
  <c r="BU191" i="2"/>
  <c r="BU230" i="2"/>
  <c r="BU233" i="2"/>
  <c r="BU7" i="4"/>
  <c r="BU13" i="8"/>
  <c r="CZ2" i="5"/>
  <c r="CZ208" i="2"/>
  <c r="CZ166" i="2"/>
  <c r="BU4" i="6"/>
  <c r="BU165" i="2"/>
  <c r="CZ165" i="2" s="1"/>
  <c r="BU167" i="2"/>
  <c r="BU181" i="2"/>
  <c r="BU196" i="2"/>
  <c r="CZ179" i="2"/>
  <c r="BU186" i="2"/>
  <c r="CZ184" i="2"/>
  <c r="CY11" i="6"/>
  <c r="BR13" i="4"/>
  <c r="BQ176" i="2"/>
  <c r="Q44" i="15" s="1"/>
  <c r="BR175" i="2"/>
  <c r="Q58" i="15"/>
  <c r="CY187" i="2"/>
  <c r="W48" i="15" s="1"/>
  <c r="CY190" i="2"/>
  <c r="W29" i="15" s="1"/>
  <c r="BQ199" i="2"/>
  <c r="Q46" i="15" s="1"/>
  <c r="BR198" i="2"/>
  <c r="CY192" i="2"/>
  <c r="W49" i="15" s="1"/>
  <c r="BM29" i="5"/>
  <c r="CX29" i="5" s="1"/>
  <c r="CX20" i="5"/>
  <c r="CY180" i="2"/>
  <c r="W27" i="15" s="1"/>
  <c r="CY4" i="6"/>
  <c r="BQ18" i="6"/>
  <c r="BM33" i="4"/>
  <c r="CX25" i="4"/>
  <c r="CW41" i="5"/>
  <c r="CY182" i="2"/>
  <c r="W47" i="15" s="1"/>
  <c r="BM17" i="4"/>
  <c r="BN17" i="4"/>
  <c r="BM22" i="3"/>
  <c r="CU35" i="3"/>
  <c r="CU37" i="3"/>
  <c r="CY185" i="2"/>
  <c r="W28" i="15" s="1"/>
  <c r="CX173" i="2"/>
  <c r="CX176" i="2"/>
  <c r="V44" i="15" s="1"/>
  <c r="CW33" i="4"/>
  <c r="CW5" i="4"/>
  <c r="BA64" i="4"/>
  <c r="BA63" i="4"/>
  <c r="BA62" i="4"/>
  <c r="BB63" i="4"/>
  <c r="CU61" i="4"/>
  <c r="CX5" i="5"/>
  <c r="CV23" i="3"/>
  <c r="BE52" i="4"/>
  <c r="BE61" i="4"/>
  <c r="BQ25" i="4"/>
  <c r="CY4" i="5"/>
  <c r="BQ28" i="5"/>
  <c r="CY28" i="5" s="1"/>
  <c r="BQ20" i="5"/>
  <c r="BA282" i="2"/>
  <c r="CU9" i="8"/>
  <c r="CY169" i="2"/>
  <c r="CY168" i="2"/>
  <c r="BB25" i="5"/>
  <c r="CU14" i="3"/>
  <c r="CV5" i="6"/>
  <c r="BQ5" i="3"/>
  <c r="BQ13" i="4"/>
  <c r="B62" i="1"/>
  <c r="BQ173" i="2"/>
  <c r="Q25" i="15" s="1"/>
  <c r="BQ175" i="2"/>
  <c r="CY172" i="2"/>
  <c r="BQ201" i="2"/>
  <c r="CW21" i="5"/>
  <c r="CX5" i="3"/>
  <c r="CU9" i="3"/>
  <c r="CX13" i="4"/>
  <c r="CY196" i="2"/>
  <c r="W7" i="15" s="1"/>
  <c r="BQ198" i="2"/>
  <c r="BQ7" i="6"/>
  <c r="J31" i="17" l="1"/>
  <c r="Y19" i="17"/>
  <c r="V37" i="15"/>
  <c r="AD14" i="17"/>
  <c r="T19" i="17"/>
  <c r="R20" i="17"/>
  <c r="L31" i="17"/>
  <c r="AB15" i="17"/>
  <c r="AE14" i="17"/>
  <c r="U19" i="17"/>
  <c r="K31" i="17"/>
  <c r="BQ5" i="4"/>
  <c r="BQ23" i="5"/>
  <c r="CX23" i="5"/>
  <c r="V19" i="17"/>
  <c r="G11" i="1"/>
  <c r="G40" i="1"/>
  <c r="F40" i="1"/>
  <c r="H10" i="1"/>
  <c r="S18" i="15"/>
  <c r="B15" i="1"/>
  <c r="CC229" i="2"/>
  <c r="CC185" i="2"/>
  <c r="CC190" i="2"/>
  <c r="CC180" i="2"/>
  <c r="W19" i="15"/>
  <c r="W6" i="15"/>
  <c r="U12" i="15"/>
  <c r="BI64" i="4"/>
  <c r="E18" i="15"/>
  <c r="V50" i="15"/>
  <c r="W11" i="15"/>
  <c r="V25" i="15"/>
  <c r="O31" i="17"/>
  <c r="M12" i="15"/>
  <c r="Q12" i="15"/>
  <c r="U25" i="15"/>
  <c r="AG14" i="17"/>
  <c r="M31" i="17"/>
  <c r="CG66" i="2"/>
  <c r="W19" i="17"/>
  <c r="C25" i="17"/>
  <c r="E25" i="17"/>
  <c r="CG6" i="2"/>
  <c r="DB78" i="2"/>
  <c r="CD86" i="2"/>
  <c r="DC39" i="2"/>
  <c r="DC32" i="2"/>
  <c r="DC50" i="2"/>
  <c r="DC25" i="2"/>
  <c r="DC18" i="2"/>
  <c r="DC45" i="2"/>
  <c r="CG81" i="2"/>
  <c r="CG207" i="2"/>
  <c r="DC80" i="2"/>
  <c r="DC78" i="2" s="1"/>
  <c r="CG78" i="2"/>
  <c r="DC11" i="2"/>
  <c r="CG85" i="2"/>
  <c r="CG56" i="2"/>
  <c r="CG51" i="2"/>
  <c r="DC64" i="2"/>
  <c r="CG72" i="2"/>
  <c r="CG65" i="2"/>
  <c r="CG12" i="2"/>
  <c r="DC5" i="2"/>
  <c r="AD56" i="17"/>
  <c r="D25" i="17"/>
  <c r="CY231" i="2"/>
  <c r="F41" i="1" s="1"/>
  <c r="CW224" i="2"/>
  <c r="CY229" i="2"/>
  <c r="W30" i="15" s="1"/>
  <c r="W57" i="17"/>
  <c r="AA19" i="17"/>
  <c r="Z19" i="17"/>
  <c r="P31" i="17"/>
  <c r="CY7" i="4"/>
  <c r="BQ15" i="8"/>
  <c r="BQ3" i="8"/>
  <c r="CY3" i="8" s="1"/>
  <c r="CW22" i="3"/>
  <c r="CZ231" i="2"/>
  <c r="G41" i="1" s="1"/>
  <c r="CC210" i="2"/>
  <c r="CX199" i="2"/>
  <c r="V46" i="15" s="1"/>
  <c r="BF63" i="4"/>
  <c r="CX17" i="4"/>
  <c r="AB57" i="17"/>
  <c r="AG56" i="17"/>
  <c r="AF56" i="17"/>
  <c r="R31" i="17"/>
  <c r="Q31" i="17"/>
  <c r="CW174" i="2"/>
  <c r="U45" i="15" s="1"/>
  <c r="F14" i="17"/>
  <c r="DA210" i="2"/>
  <c r="BU173" i="2"/>
  <c r="BU174" i="2" s="1"/>
  <c r="AB19" i="17"/>
  <c r="DB66" i="2"/>
  <c r="BU175" i="2"/>
  <c r="BU176" i="2"/>
  <c r="CC87" i="2"/>
  <c r="BM203" i="2"/>
  <c r="DB82" i="2"/>
  <c r="CZ172" i="2"/>
  <c r="BY168" i="2"/>
  <c r="CC83" i="2"/>
  <c r="D62" i="1"/>
  <c r="BY7" i="4"/>
  <c r="BZ230" i="2"/>
  <c r="BY13" i="8"/>
  <c r="DA228" i="2"/>
  <c r="BY230" i="2"/>
  <c r="DA57" i="2"/>
  <c r="DA172" i="2"/>
  <c r="BZ175" i="2"/>
  <c r="BY173" i="2"/>
  <c r="BY175" i="2"/>
  <c r="CC3" i="6"/>
  <c r="CC2" i="5"/>
  <c r="CC5" i="5" s="1"/>
  <c r="CD191" i="2"/>
  <c r="CC57" i="2"/>
  <c r="CC86" i="2"/>
  <c r="DB85" i="2"/>
  <c r="CC20" i="4"/>
  <c r="DB20" i="4" s="1"/>
  <c r="CC166" i="2"/>
  <c r="CD186" i="2"/>
  <c r="DB207" i="2"/>
  <c r="CC209" i="2"/>
  <c r="DB6" i="2"/>
  <c r="DB62" i="2"/>
  <c r="DB56" i="2"/>
  <c r="DB51" i="2"/>
  <c r="DB72" i="2"/>
  <c r="DB12" i="2"/>
  <c r="BZ186" i="2"/>
  <c r="BY186" i="2"/>
  <c r="DA184" i="2"/>
  <c r="BY11" i="6"/>
  <c r="DA3" i="6"/>
  <c r="DA87" i="2"/>
  <c r="H11" i="1" s="1"/>
  <c r="BV175" i="2"/>
  <c r="BY176" i="2"/>
  <c r="BZ167" i="2"/>
  <c r="BY4" i="6"/>
  <c r="BY165" i="2"/>
  <c r="DA165" i="2" s="1"/>
  <c r="BY167" i="2"/>
  <c r="DA166" i="2"/>
  <c r="BZ191" i="2"/>
  <c r="BY191" i="2"/>
  <c r="DA189" i="2"/>
  <c r="BZ181" i="2"/>
  <c r="BY196" i="2"/>
  <c r="BY201" i="2" s="1"/>
  <c r="BY181" i="2"/>
  <c r="DA179" i="2"/>
  <c r="DA2" i="5"/>
  <c r="DA208" i="2"/>
  <c r="DA83" i="2"/>
  <c r="CZ190" i="2"/>
  <c r="CZ187" i="2"/>
  <c r="BV198" i="2"/>
  <c r="CZ196" i="2"/>
  <c r="CZ182" i="2"/>
  <c r="BN203" i="2"/>
  <c r="BM57" i="4"/>
  <c r="BM223" i="2"/>
  <c r="BM226" i="2" s="1"/>
  <c r="CX201" i="2"/>
  <c r="BM202" i="2"/>
  <c r="M31" i="15" s="1"/>
  <c r="BM204" i="2"/>
  <c r="M51" i="15" s="1"/>
  <c r="CW202" i="2"/>
  <c r="U31" i="15" s="1"/>
  <c r="CW226" i="2"/>
  <c r="CW204" i="2"/>
  <c r="U51" i="15" s="1"/>
  <c r="CV226" i="2"/>
  <c r="BU201" i="2"/>
  <c r="T31" i="17" s="1"/>
  <c r="BU197" i="2"/>
  <c r="CW23" i="3"/>
  <c r="CX197" i="2"/>
  <c r="V26" i="15" s="1"/>
  <c r="BM19" i="6"/>
  <c r="CX19" i="6" s="1"/>
  <c r="CV14" i="6"/>
  <c r="CV13" i="6"/>
  <c r="CV15" i="4"/>
  <c r="CV20" i="6"/>
  <c r="CV25" i="3"/>
  <c r="CV18" i="4"/>
  <c r="CZ192" i="2"/>
  <c r="BU199" i="2"/>
  <c r="BU3" i="8"/>
  <c r="CZ3" i="8" s="1"/>
  <c r="BU14" i="8"/>
  <c r="BU15" i="8"/>
  <c r="CZ180" i="2"/>
  <c r="CZ4" i="6"/>
  <c r="BU18" i="6"/>
  <c r="BV17" i="4" s="1"/>
  <c r="BU25" i="4"/>
  <c r="CZ4" i="5"/>
  <c r="BU28" i="5"/>
  <c r="CZ28" i="5" s="1"/>
  <c r="BU20" i="5"/>
  <c r="BU23" i="5" s="1"/>
  <c r="CZ229" i="2"/>
  <c r="BU5" i="3"/>
  <c r="BU13" i="4"/>
  <c r="CZ13" i="4" s="1"/>
  <c r="CZ11" i="6"/>
  <c r="CZ169" i="2"/>
  <c r="CZ170" i="2" s="1"/>
  <c r="CZ7" i="4"/>
  <c r="BU81" i="4"/>
  <c r="CZ81" i="4" s="1"/>
  <c r="BU198" i="2"/>
  <c r="BU7" i="6"/>
  <c r="CZ185" i="2"/>
  <c r="CZ168" i="2"/>
  <c r="CY197" i="2"/>
  <c r="W26" i="15" s="1"/>
  <c r="CY176" i="2"/>
  <c r="W44" i="15" s="1"/>
  <c r="CY170" i="2"/>
  <c r="CY5" i="5"/>
  <c r="CY18" i="6"/>
  <c r="BR17" i="4"/>
  <c r="BQ174" i="2"/>
  <c r="Q45" i="15" s="1"/>
  <c r="BR203" i="2"/>
  <c r="CY6" i="5"/>
  <c r="W58" i="15" s="1"/>
  <c r="CY7" i="6"/>
  <c r="BQ19" i="6"/>
  <c r="CY19" i="6" s="1"/>
  <c r="BQ29" i="5"/>
  <c r="CY29" i="5" s="1"/>
  <c r="CY20" i="5"/>
  <c r="BE62" i="4"/>
  <c r="BE63" i="4"/>
  <c r="CV61" i="4"/>
  <c r="CW5" i="6"/>
  <c r="CX41" i="5"/>
  <c r="CY5" i="3"/>
  <c r="BQ17" i="4"/>
  <c r="CY17" i="4" s="1"/>
  <c r="BQ22" i="3"/>
  <c r="BQ33" i="4"/>
  <c r="CY25" i="4"/>
  <c r="BE64" i="4"/>
  <c r="E57" i="15" s="1"/>
  <c r="CX22" i="3"/>
  <c r="CX21" i="5"/>
  <c r="CU8" i="4"/>
  <c r="BQ203" i="2"/>
  <c r="BQ223" i="2"/>
  <c r="BQ202" i="2"/>
  <c r="Q31" i="15" s="1"/>
  <c r="CY201" i="2"/>
  <c r="BQ57" i="4"/>
  <c r="BB282" i="2"/>
  <c r="CY173" i="2"/>
  <c r="CY199" i="2"/>
  <c r="W46" i="15" s="1"/>
  <c r="CX33" i="4"/>
  <c r="CX5" i="4"/>
  <c r="BM5" i="6"/>
  <c r="BM51" i="4"/>
  <c r="BQ204" i="2"/>
  <c r="Q51" i="15" s="1"/>
  <c r="CU282" i="2"/>
  <c r="CU8" i="8"/>
  <c r="CY13" i="4"/>
  <c r="CU62" i="4"/>
  <c r="CU64" i="4"/>
  <c r="BA276" i="2"/>
  <c r="CU276" i="2" s="1"/>
  <c r="CX174" i="2"/>
  <c r="V45" i="15" s="1"/>
  <c r="W37" i="15" l="1"/>
  <c r="Z31" i="17"/>
  <c r="AG15" i="17"/>
  <c r="U31" i="17"/>
  <c r="E36" i="15"/>
  <c r="W20" i="17"/>
  <c r="BU5" i="4"/>
  <c r="CY23" i="5"/>
  <c r="V31" i="17"/>
  <c r="S57" i="15"/>
  <c r="B17" i="1"/>
  <c r="S36" i="15"/>
  <c r="B16" i="1"/>
  <c r="T18" i="15"/>
  <c r="C15" i="1"/>
  <c r="I10" i="1"/>
  <c r="H40" i="1"/>
  <c r="CG190" i="2"/>
  <c r="CG185" i="2"/>
  <c r="CG180" i="2"/>
  <c r="V12" i="15"/>
  <c r="W12" i="15"/>
  <c r="D63" i="1"/>
  <c r="D70" i="1" s="1"/>
  <c r="D71" i="1" s="1"/>
  <c r="D75" i="1" s="1"/>
  <c r="W50" i="15"/>
  <c r="H25" i="17"/>
  <c r="I18" i="15"/>
  <c r="W25" i="15"/>
  <c r="B63" i="1"/>
  <c r="B70" i="1" s="1"/>
  <c r="B71" i="1" s="1"/>
  <c r="B75" i="1" s="1"/>
  <c r="W31" i="17"/>
  <c r="CG83" i="2"/>
  <c r="CG229" i="2"/>
  <c r="CZ176" i="2"/>
  <c r="DC6" i="2"/>
  <c r="CG87" i="2"/>
  <c r="CD181" i="2"/>
  <c r="CD167" i="2"/>
  <c r="F56" i="17"/>
  <c r="M57" i="17" s="1"/>
  <c r="CD230" i="2"/>
  <c r="DC62" i="2"/>
  <c r="DC56" i="2"/>
  <c r="DC51" i="2"/>
  <c r="DC72" i="2"/>
  <c r="DC12" i="2"/>
  <c r="CG210" i="2"/>
  <c r="DC207" i="2"/>
  <c r="CG209" i="2"/>
  <c r="DC82" i="2"/>
  <c r="CG2" i="5"/>
  <c r="CG5" i="5" s="1"/>
  <c r="CG3" i="6"/>
  <c r="CG57" i="2"/>
  <c r="DC85" i="2"/>
  <c r="CG86" i="2"/>
  <c r="CG20" i="4"/>
  <c r="DC20" i="4" s="1"/>
  <c r="CG166" i="2"/>
  <c r="DC66" i="2"/>
  <c r="Y31" i="17"/>
  <c r="AB20" i="17"/>
  <c r="DA192" i="2"/>
  <c r="DA231" i="2"/>
  <c r="H41" i="1" s="1"/>
  <c r="R32" i="17"/>
  <c r="AG57" i="17"/>
  <c r="AB31" i="17"/>
  <c r="AA31" i="17"/>
  <c r="M15" i="17"/>
  <c r="C53" i="1"/>
  <c r="B53" i="1"/>
  <c r="D53" i="1"/>
  <c r="DB210" i="2"/>
  <c r="CX202" i="2"/>
  <c r="BY174" i="2"/>
  <c r="CC168" i="2"/>
  <c r="CZ173" i="2"/>
  <c r="DA187" i="2"/>
  <c r="BY199" i="2"/>
  <c r="DA168" i="2"/>
  <c r="DB87" i="2"/>
  <c r="I11" i="1" s="1"/>
  <c r="BY57" i="4"/>
  <c r="BZ203" i="2"/>
  <c r="BY223" i="2"/>
  <c r="BY226" i="2" s="1"/>
  <c r="BY202" i="2"/>
  <c r="BY203" i="2"/>
  <c r="DA201" i="2"/>
  <c r="BY28" i="5"/>
  <c r="DA28" i="5" s="1"/>
  <c r="BY20" i="5"/>
  <c r="BY23" i="5" s="1"/>
  <c r="BY25" i="4"/>
  <c r="DA4" i="5"/>
  <c r="DA190" i="2"/>
  <c r="DA185" i="2"/>
  <c r="CC4" i="6"/>
  <c r="CC165" i="2"/>
  <c r="DB165" i="2" s="1"/>
  <c r="CC167" i="2"/>
  <c r="DB166" i="2"/>
  <c r="DB179" i="2"/>
  <c r="CC196" i="2"/>
  <c r="CC181" i="2"/>
  <c r="DA180" i="2"/>
  <c r="BY18" i="6"/>
  <c r="DA4" i="6"/>
  <c r="CC191" i="2"/>
  <c r="DB189" i="2"/>
  <c r="DA229" i="2"/>
  <c r="CC186" i="2"/>
  <c r="DB184" i="2"/>
  <c r="DA173" i="2"/>
  <c r="DB208" i="2"/>
  <c r="CC7" i="4"/>
  <c r="CC13" i="8"/>
  <c r="CC230" i="2"/>
  <c r="DB228" i="2"/>
  <c r="BY14" i="8"/>
  <c r="BY15" i="8"/>
  <c r="BY3" i="8"/>
  <c r="DA3" i="8" s="1"/>
  <c r="BY5" i="3"/>
  <c r="DA11" i="6"/>
  <c r="BZ13" i="4"/>
  <c r="BY13" i="4"/>
  <c r="DA13" i="4" s="1"/>
  <c r="CC11" i="6"/>
  <c r="CD13" i="4" s="1"/>
  <c r="DB3" i="6"/>
  <c r="DA182" i="2"/>
  <c r="DA169" i="2"/>
  <c r="DA170" i="2" s="1"/>
  <c r="DB83" i="2"/>
  <c r="DB57" i="2"/>
  <c r="CC172" i="2"/>
  <c r="BY197" i="2"/>
  <c r="BY7" i="6"/>
  <c r="BZ198" i="2"/>
  <c r="BY198" i="2"/>
  <c r="DA196" i="2"/>
  <c r="DB2" i="5"/>
  <c r="DA176" i="2"/>
  <c r="BY81" i="4"/>
  <c r="DA81" i="4" s="1"/>
  <c r="DA7" i="4"/>
  <c r="CZ201" i="2"/>
  <c r="BY204" i="2"/>
  <c r="BV203" i="2"/>
  <c r="CZ197" i="2"/>
  <c r="CX223" i="2"/>
  <c r="CX226" i="2" s="1"/>
  <c r="BM224" i="2"/>
  <c r="CZ5" i="5"/>
  <c r="CX204" i="2"/>
  <c r="V51" i="15" s="1"/>
  <c r="BU223" i="2"/>
  <c r="BU203" i="2"/>
  <c r="BU57" i="4"/>
  <c r="BU204" i="2"/>
  <c r="BU202" i="2"/>
  <c r="BM23" i="3"/>
  <c r="CX23" i="3" s="1"/>
  <c r="CV7" i="3"/>
  <c r="CW33" i="3"/>
  <c r="CW19" i="3"/>
  <c r="CZ199" i="2"/>
  <c r="CZ6" i="5"/>
  <c r="CZ5" i="3"/>
  <c r="BU33" i="4"/>
  <c r="CZ25" i="4"/>
  <c r="BU17" i="4"/>
  <c r="CZ17" i="4" s="1"/>
  <c r="CZ18" i="6"/>
  <c r="BU22" i="3"/>
  <c r="BU19" i="6"/>
  <c r="CZ7" i="6"/>
  <c r="BU29" i="5"/>
  <c r="CZ29" i="5" s="1"/>
  <c r="CZ20" i="5"/>
  <c r="CV64" i="4"/>
  <c r="CY204" i="2"/>
  <c r="W51" i="15" s="1"/>
  <c r="CY22" i="3"/>
  <c r="CY202" i="2"/>
  <c r="CY33" i="4"/>
  <c r="CV62" i="4"/>
  <c r="BQ23" i="3"/>
  <c r="I36" i="15"/>
  <c r="CW61" i="4"/>
  <c r="BM52" i="4"/>
  <c r="BM61" i="4"/>
  <c r="CY174" i="2"/>
  <c r="W45" i="15" s="1"/>
  <c r="BB276" i="2"/>
  <c r="BQ224" i="2"/>
  <c r="CY223" i="2"/>
  <c r="BQ226" i="2"/>
  <c r="CY5" i="4"/>
  <c r="BQ5" i="6"/>
  <c r="BQ51" i="4"/>
  <c r="BC25" i="5"/>
  <c r="I57" i="15"/>
  <c r="CX5" i="6"/>
  <c r="CY41" i="5"/>
  <c r="CY21" i="5"/>
  <c r="AE19" i="17" l="1"/>
  <c r="AD19" i="17"/>
  <c r="J25" i="17"/>
  <c r="L25" i="17"/>
  <c r="K25" i="17"/>
  <c r="W32" i="17"/>
  <c r="BY5" i="4"/>
  <c r="CZ23" i="5"/>
  <c r="AG19" i="17"/>
  <c r="AF19" i="17"/>
  <c r="T36" i="15"/>
  <c r="C16" i="1"/>
  <c r="T57" i="15"/>
  <c r="C17" i="1"/>
  <c r="J10" i="1"/>
  <c r="D15" i="1"/>
  <c r="I40" i="1"/>
  <c r="U18" i="15"/>
  <c r="W31" i="15"/>
  <c r="V31" i="15"/>
  <c r="M18" i="15"/>
  <c r="M25" i="17"/>
  <c r="CZ174" i="2"/>
  <c r="DC208" i="2"/>
  <c r="CG4" i="6"/>
  <c r="CG165" i="2"/>
  <c r="DC165" i="2" s="1"/>
  <c r="CG167" i="2"/>
  <c r="DC166" i="2"/>
  <c r="CG172" i="2"/>
  <c r="CG176" i="2" s="1"/>
  <c r="CG168" i="2"/>
  <c r="DC184" i="2"/>
  <c r="DC187" i="2" s="1"/>
  <c r="CG186" i="2"/>
  <c r="CC199" i="2"/>
  <c r="CD198" i="2"/>
  <c r="CG11" i="6"/>
  <c r="DC3" i="6"/>
  <c r="F19" i="17"/>
  <c r="M20" i="17" s="1"/>
  <c r="CD175" i="2"/>
  <c r="DC83" i="2"/>
  <c r="DC57" i="2"/>
  <c r="DC2" i="5"/>
  <c r="DC87" i="2"/>
  <c r="J11" i="1" s="1"/>
  <c r="DC189" i="2"/>
  <c r="DC190" i="2" s="1"/>
  <c r="CG191" i="2"/>
  <c r="CG7" i="4"/>
  <c r="CG13" i="8"/>
  <c r="DC228" i="2"/>
  <c r="CG230" i="2"/>
  <c r="CG196" i="2"/>
  <c r="CG199" i="2" s="1"/>
  <c r="DC179" i="2"/>
  <c r="CG181" i="2"/>
  <c r="DC210" i="2"/>
  <c r="DB190" i="2"/>
  <c r="CZ21" i="5"/>
  <c r="DB168" i="2"/>
  <c r="DA6" i="5"/>
  <c r="D52" i="1"/>
  <c r="D54" i="1" s="1"/>
  <c r="AB32" i="17"/>
  <c r="DA174" i="2"/>
  <c r="BM34" i="6"/>
  <c r="DA204" i="2"/>
  <c r="BM41" i="3"/>
  <c r="CW16" i="4"/>
  <c r="DA5" i="3"/>
  <c r="DB180" i="2"/>
  <c r="DB169" i="2"/>
  <c r="DB170" i="2" s="1"/>
  <c r="DB185" i="2"/>
  <c r="B52" i="1"/>
  <c r="B54" i="1" s="1"/>
  <c r="CZ202" i="2"/>
  <c r="DB187" i="2"/>
  <c r="CZ204" i="2"/>
  <c r="DB192" i="2"/>
  <c r="BY19" i="6"/>
  <c r="DA7" i="6"/>
  <c r="DB231" i="2"/>
  <c r="I41" i="1" s="1"/>
  <c r="DB229" i="2"/>
  <c r="CC7" i="6"/>
  <c r="CC197" i="2"/>
  <c r="CC198" i="2"/>
  <c r="DB196" i="2"/>
  <c r="BY29" i="5"/>
  <c r="DA29" i="5" s="1"/>
  <c r="DA20" i="5"/>
  <c r="CC18" i="6"/>
  <c r="CD17" i="4" s="1"/>
  <c r="DB4" i="6"/>
  <c r="BY33" i="4"/>
  <c r="DA25" i="4"/>
  <c r="DA197" i="2"/>
  <c r="CC176" i="2"/>
  <c r="CC173" i="2"/>
  <c r="CC174" i="2" s="1"/>
  <c r="CC201" i="2"/>
  <c r="CC175" i="2"/>
  <c r="DB172" i="2"/>
  <c r="CC15" i="8"/>
  <c r="CC14" i="8"/>
  <c r="CC3" i="8"/>
  <c r="DB3" i="8" s="1"/>
  <c r="DA18" i="6"/>
  <c r="BY22" i="3"/>
  <c r="BY17" i="4"/>
  <c r="DA17" i="4" s="1"/>
  <c r="BZ17" i="4"/>
  <c r="BY224" i="2"/>
  <c r="DA223" i="2"/>
  <c r="CC25" i="4"/>
  <c r="CC20" i="5"/>
  <c r="CC23" i="5" s="1"/>
  <c r="CC28" i="5"/>
  <c r="DB28" i="5" s="1"/>
  <c r="DB4" i="5"/>
  <c r="CC81" i="4"/>
  <c r="DB81" i="4" s="1"/>
  <c r="DB7" i="4"/>
  <c r="DA199" i="2"/>
  <c r="CC5" i="3"/>
  <c r="DB11" i="6"/>
  <c r="CC13" i="4"/>
  <c r="DB13" i="4" s="1"/>
  <c r="DB182" i="2"/>
  <c r="DA5" i="5"/>
  <c r="DA202" i="2"/>
  <c r="BU226" i="2"/>
  <c r="CZ223" i="2"/>
  <c r="CZ224" i="2" s="1"/>
  <c r="CX224" i="2"/>
  <c r="BU224" i="2"/>
  <c r="CV9" i="3"/>
  <c r="CW10" i="3"/>
  <c r="CW15" i="6"/>
  <c r="BK57" i="3"/>
  <c r="BL57" i="3" s="1"/>
  <c r="CW28" i="3"/>
  <c r="CW22" i="6"/>
  <c r="BK59" i="3"/>
  <c r="BL59" i="3" s="1"/>
  <c r="BK58" i="3"/>
  <c r="BL58" i="3" s="1"/>
  <c r="BK60" i="3"/>
  <c r="BL60" i="3" s="1"/>
  <c r="BU23" i="3"/>
  <c r="CZ23" i="3" s="1"/>
  <c r="CZ19" i="6"/>
  <c r="CZ33" i="4"/>
  <c r="CZ22" i="3"/>
  <c r="BU51" i="4"/>
  <c r="BU5" i="6"/>
  <c r="CZ5" i="4"/>
  <c r="CZ41" i="5"/>
  <c r="CW64" i="4"/>
  <c r="CY5" i="6"/>
  <c r="CW62" i="4"/>
  <c r="D16" i="1" s="1"/>
  <c r="CY23" i="3"/>
  <c r="BM62" i="4"/>
  <c r="M36" i="15" s="1"/>
  <c r="BN63" i="4"/>
  <c r="BM63" i="4"/>
  <c r="CX61" i="4"/>
  <c r="BM64" i="4"/>
  <c r="M57" i="15" s="1"/>
  <c r="CY224" i="2"/>
  <c r="CY226" i="2"/>
  <c r="BQ52" i="4"/>
  <c r="BQ61" i="4"/>
  <c r="Q25" i="17" s="1"/>
  <c r="AE31" i="17" l="1"/>
  <c r="AD31" i="17"/>
  <c r="O25" i="17"/>
  <c r="C55" i="1"/>
  <c r="C56" i="1" s="1"/>
  <c r="P25" i="17"/>
  <c r="CC5" i="4"/>
  <c r="DA23" i="5"/>
  <c r="AG20" i="17"/>
  <c r="AG31" i="17"/>
  <c r="AF31" i="17"/>
  <c r="U57" i="15"/>
  <c r="D17" i="1"/>
  <c r="E15" i="1"/>
  <c r="J40" i="1"/>
  <c r="V18" i="15"/>
  <c r="Q18" i="15"/>
  <c r="U36" i="15"/>
  <c r="R25" i="17"/>
  <c r="DC229" i="2"/>
  <c r="DA224" i="2"/>
  <c r="DC169" i="2"/>
  <c r="DC170" i="2" s="1"/>
  <c r="CG25" i="4"/>
  <c r="CG20" i="5"/>
  <c r="CG23" i="5" s="1"/>
  <c r="CG28" i="5"/>
  <c r="DC28" i="5" s="1"/>
  <c r="DC4" i="5"/>
  <c r="CG15" i="8"/>
  <c r="CG14" i="8"/>
  <c r="CG3" i="8"/>
  <c r="DC3" i="8" s="1"/>
  <c r="DC180" i="2"/>
  <c r="CG81" i="4"/>
  <c r="DC81" i="4" s="1"/>
  <c r="DC7" i="4"/>
  <c r="CG18" i="6"/>
  <c r="DC4" i="6"/>
  <c r="CG20" i="6"/>
  <c r="DC185" i="2"/>
  <c r="CC223" i="2"/>
  <c r="CC226" i="2" s="1"/>
  <c r="CD203" i="2"/>
  <c r="CG7" i="6"/>
  <c r="CG197" i="2"/>
  <c r="DC196" i="2"/>
  <c r="DC197" i="2" s="1"/>
  <c r="CG198" i="2"/>
  <c r="DC168" i="2"/>
  <c r="DC192" i="2"/>
  <c r="DC182" i="2"/>
  <c r="DC11" i="6"/>
  <c r="CG5" i="3"/>
  <c r="CG13" i="4"/>
  <c r="DC231" i="2"/>
  <c r="J41" i="1" s="1"/>
  <c r="CG201" i="2"/>
  <c r="CG173" i="2"/>
  <c r="CG174" i="2" s="1"/>
  <c r="CG175" i="2"/>
  <c r="DC172" i="2"/>
  <c r="DC173" i="2" s="1"/>
  <c r="DB197" i="2"/>
  <c r="DB5" i="5"/>
  <c r="BN34" i="6"/>
  <c r="BM15" i="6"/>
  <c r="BM10" i="3" s="1"/>
  <c r="F31" i="17"/>
  <c r="M32" i="17" s="1"/>
  <c r="DB6" i="5"/>
  <c r="BN41" i="3"/>
  <c r="BM40" i="3"/>
  <c r="DA22" i="3"/>
  <c r="DA226" i="2"/>
  <c r="DB5" i="3"/>
  <c r="DA33" i="4"/>
  <c r="CC29" i="5"/>
  <c r="DB29" i="5" s="1"/>
  <c r="DB20" i="5"/>
  <c r="DB18" i="6"/>
  <c r="CC17" i="4"/>
  <c r="DB17" i="4" s="1"/>
  <c r="CC22" i="3"/>
  <c r="CC33" i="4"/>
  <c r="DB25" i="4"/>
  <c r="DA21" i="5"/>
  <c r="DB173" i="2"/>
  <c r="DB174" i="2" s="1"/>
  <c r="DB176" i="2"/>
  <c r="CC19" i="6"/>
  <c r="DB7" i="6"/>
  <c r="BY23" i="3"/>
  <c r="DA19" i="6"/>
  <c r="DB199" i="2"/>
  <c r="DA41" i="5"/>
  <c r="CC204" i="2"/>
  <c r="CC57" i="4"/>
  <c r="CC202" i="2"/>
  <c r="CC203" i="2"/>
  <c r="DB201" i="2"/>
  <c r="BY5" i="6"/>
  <c r="BY51" i="4"/>
  <c r="DA5" i="4"/>
  <c r="CZ226" i="2"/>
  <c r="CV14" i="3"/>
  <c r="CV37" i="3"/>
  <c r="CV35" i="3"/>
  <c r="CW15" i="4"/>
  <c r="CZ5" i="6"/>
  <c r="BU52" i="4"/>
  <c r="BU61" i="4"/>
  <c r="U25" i="17" s="1"/>
  <c r="BQ64" i="4"/>
  <c r="Q57" i="15" s="1"/>
  <c r="BR63" i="4"/>
  <c r="CX62" i="4"/>
  <c r="E16" i="1" s="1"/>
  <c r="BD25" i="5"/>
  <c r="BQ63" i="4"/>
  <c r="BQ62" i="4"/>
  <c r="Q36" i="15" s="1"/>
  <c r="CY61" i="4"/>
  <c r="CX64" i="4"/>
  <c r="T25" i="17" l="1"/>
  <c r="R26" i="17"/>
  <c r="DB23" i="5"/>
  <c r="AG32" i="17"/>
  <c r="V25" i="17"/>
  <c r="V57" i="15"/>
  <c r="E17" i="1"/>
  <c r="F15" i="1"/>
  <c r="W18" i="15"/>
  <c r="V36" i="15"/>
  <c r="C57" i="1"/>
  <c r="C62" i="1" s="1"/>
  <c r="W25" i="17"/>
  <c r="DC5" i="5"/>
  <c r="DC199" i="2"/>
  <c r="DC13" i="4"/>
  <c r="CG29" i="5"/>
  <c r="DC29" i="5" s="1"/>
  <c r="CG5" i="4"/>
  <c r="DC20" i="5"/>
  <c r="DC18" i="6"/>
  <c r="CG22" i="3"/>
  <c r="CG17" i="4"/>
  <c r="DC17" i="4" s="1"/>
  <c r="DC174" i="2"/>
  <c r="DC7" i="6"/>
  <c r="CG19" i="6"/>
  <c r="CG18" i="4" s="1"/>
  <c r="DC6" i="5"/>
  <c r="DC25" i="4"/>
  <c r="CG33" i="4"/>
  <c r="CG57" i="4"/>
  <c r="CG202" i="2"/>
  <c r="CG223" i="2"/>
  <c r="CG203" i="2"/>
  <c r="DC201" i="2"/>
  <c r="DC5" i="3"/>
  <c r="CG204" i="2"/>
  <c r="DC20" i="6"/>
  <c r="CG25" i="3"/>
  <c r="DC25" i="3" s="1"/>
  <c r="DC176" i="2"/>
  <c r="DB21" i="5"/>
  <c r="BO34" i="6"/>
  <c r="BN15" i="6"/>
  <c r="BN10" i="3" s="1"/>
  <c r="BO41" i="3"/>
  <c r="BN40" i="3"/>
  <c r="DB22" i="3"/>
  <c r="DA23" i="3"/>
  <c r="DB33" i="4"/>
  <c r="DB202" i="2"/>
  <c r="DB204" i="2"/>
  <c r="DB41" i="5"/>
  <c r="DB19" i="6"/>
  <c r="CC23" i="3"/>
  <c r="CC5" i="6"/>
  <c r="CC51" i="4"/>
  <c r="DB5" i="4"/>
  <c r="BY52" i="4"/>
  <c r="BY61" i="4"/>
  <c r="Y25" i="17" s="1"/>
  <c r="DA5" i="6"/>
  <c r="CC224" i="2"/>
  <c r="DB223" i="2"/>
  <c r="DB224" i="2" s="1"/>
  <c r="BV63" i="4"/>
  <c r="CV8" i="4"/>
  <c r="CW14" i="6"/>
  <c r="CW20" i="6"/>
  <c r="CW25" i="3"/>
  <c r="CW18" i="4"/>
  <c r="CW13" i="6"/>
  <c r="BM57" i="3"/>
  <c r="BM58" i="3"/>
  <c r="BM59" i="3"/>
  <c r="BM28" i="3" s="1"/>
  <c r="BM60" i="3"/>
  <c r="BM33" i="3" s="1"/>
  <c r="BU63" i="4"/>
  <c r="CZ61" i="4"/>
  <c r="BU62" i="4"/>
  <c r="BU64" i="4"/>
  <c r="CY62" i="4"/>
  <c r="F16" i="1" s="1"/>
  <c r="CY64" i="4"/>
  <c r="F17" i="1" s="1"/>
  <c r="Z25" i="17" l="1"/>
  <c r="W26" i="17"/>
  <c r="DC23" i="5"/>
  <c r="AA25" i="17"/>
  <c r="G15" i="1"/>
  <c r="W36" i="15"/>
  <c r="W57" i="15"/>
  <c r="C58" i="1"/>
  <c r="AB25" i="17"/>
  <c r="CG224" i="2"/>
  <c r="DC223" i="2"/>
  <c r="DC224" i="2" s="1"/>
  <c r="CG23" i="3"/>
  <c r="DC19" i="6"/>
  <c r="DC22" i="3"/>
  <c r="DC41" i="5"/>
  <c r="DC202" i="2"/>
  <c r="DC204" i="2"/>
  <c r="CG5" i="6"/>
  <c r="DC5" i="6" s="1"/>
  <c r="CG51" i="4"/>
  <c r="DC5" i="4"/>
  <c r="DC21" i="5"/>
  <c r="CG226" i="2"/>
  <c r="DC33" i="4"/>
  <c r="BP34" i="6"/>
  <c r="BO15" i="6"/>
  <c r="BO10" i="3" s="1"/>
  <c r="BP41" i="3"/>
  <c r="BO40" i="3"/>
  <c r="DB23" i="3"/>
  <c r="BY62" i="4"/>
  <c r="BZ63" i="4"/>
  <c r="BY63" i="4"/>
  <c r="DA61" i="4"/>
  <c r="BY64" i="4"/>
  <c r="CC52" i="4"/>
  <c r="CC61" i="4"/>
  <c r="AG25" i="17" s="1"/>
  <c r="DB226" i="2"/>
  <c r="DB5" i="6"/>
  <c r="BN20" i="6"/>
  <c r="CW7" i="3"/>
  <c r="BN59" i="3"/>
  <c r="BN28" i="3" s="1"/>
  <c r="BN58" i="3"/>
  <c r="BN57" i="3"/>
  <c r="BM16" i="4"/>
  <c r="CX16" i="4" s="1"/>
  <c r="BN60" i="3"/>
  <c r="BN33" i="3" s="1"/>
  <c r="CZ62" i="4"/>
  <c r="G16" i="1" s="1"/>
  <c r="CZ64" i="4"/>
  <c r="G17" i="1" s="1"/>
  <c r="CV31" i="5"/>
  <c r="BE25" i="5"/>
  <c r="CV25" i="5" s="1"/>
  <c r="AD25" i="17" l="1"/>
  <c r="AE25" i="17"/>
  <c r="AF25" i="17"/>
  <c r="AB26" i="17"/>
  <c r="H15" i="1"/>
  <c r="DC226" i="2"/>
  <c r="DC23" i="3"/>
  <c r="CD63" i="4"/>
  <c r="CG61" i="4"/>
  <c r="CG52" i="4"/>
  <c r="BQ34" i="6"/>
  <c r="BP15" i="6"/>
  <c r="BP10" i="3" s="1"/>
  <c r="F25" i="17"/>
  <c r="D60" i="1" s="1"/>
  <c r="BQ41" i="3"/>
  <c r="BP40" i="3"/>
  <c r="DA64" i="4"/>
  <c r="H17" i="1" s="1"/>
  <c r="BR20" i="6"/>
  <c r="DA62" i="4"/>
  <c r="H16" i="1" s="1"/>
  <c r="CC62" i="4"/>
  <c r="CC63" i="4"/>
  <c r="DB61" i="4"/>
  <c r="CC64" i="4"/>
  <c r="CW9" i="3"/>
  <c r="BM32" i="6"/>
  <c r="BN25" i="3"/>
  <c r="BO20" i="6"/>
  <c r="BO18" i="4" s="1"/>
  <c r="CX10" i="3"/>
  <c r="CX15" i="6"/>
  <c r="BO58" i="3"/>
  <c r="CX33" i="3"/>
  <c r="CX28" i="3"/>
  <c r="BM22" i="6"/>
  <c r="CX22" i="6" s="1"/>
  <c r="BO57" i="3"/>
  <c r="CX19" i="3"/>
  <c r="BO60" i="3"/>
  <c r="BO33" i="3" s="1"/>
  <c r="BO59" i="3"/>
  <c r="BO28" i="3" s="1"/>
  <c r="BN22" i="6"/>
  <c r="CW27" i="5"/>
  <c r="CW22" i="5" s="1"/>
  <c r="CV15" i="3"/>
  <c r="AG26" i="17" l="1"/>
  <c r="I15" i="1"/>
  <c r="CG64" i="4"/>
  <c r="CG62" i="4"/>
  <c r="CG63" i="4"/>
  <c r="DC61" i="4"/>
  <c r="BR34" i="6"/>
  <c r="BQ15" i="6"/>
  <c r="BQ10" i="3" s="1"/>
  <c r="B60" i="1"/>
  <c r="B61" i="1" s="1"/>
  <c r="D61" i="1"/>
  <c r="M26" i="17"/>
  <c r="C60" i="1"/>
  <c r="C61" i="1" s="1"/>
  <c r="BR25" i="3"/>
  <c r="BR41" i="3"/>
  <c r="BQ40" i="3"/>
  <c r="BN16" i="4"/>
  <c r="DB64" i="4"/>
  <c r="I17" i="1" s="1"/>
  <c r="BZ20" i="6"/>
  <c r="BV20" i="6"/>
  <c r="BS20" i="6"/>
  <c r="DB62" i="4"/>
  <c r="I16" i="1" s="1"/>
  <c r="CW14" i="3"/>
  <c r="BK55" i="3"/>
  <c r="BL55" i="3" s="1"/>
  <c r="CW35" i="3"/>
  <c r="BK56" i="3"/>
  <c r="BL56" i="3" s="1"/>
  <c r="BN32" i="6"/>
  <c r="BM13" i="6"/>
  <c r="BM15" i="4" s="1"/>
  <c r="BO25" i="3"/>
  <c r="BP20" i="6"/>
  <c r="BP18" i="4" s="1"/>
  <c r="BM20" i="6"/>
  <c r="BP59" i="3"/>
  <c r="BP28" i="3" s="1"/>
  <c r="BO22" i="6"/>
  <c r="BP60" i="3"/>
  <c r="BP33" i="3" s="1"/>
  <c r="BP57" i="3"/>
  <c r="BP58" i="3"/>
  <c r="J15" i="1" l="1"/>
  <c r="DC62" i="4"/>
  <c r="J16" i="1" s="1"/>
  <c r="DC64" i="4"/>
  <c r="J17" i="1" s="1"/>
  <c r="BS34" i="6"/>
  <c r="BR15" i="6"/>
  <c r="BR10" i="3" s="1"/>
  <c r="BS25" i="3"/>
  <c r="BS18" i="4"/>
  <c r="BM18" i="4"/>
  <c r="CX18" i="4" s="1"/>
  <c r="BN18" i="4"/>
  <c r="CW8" i="4"/>
  <c r="BS41" i="3"/>
  <c r="BR40" i="3"/>
  <c r="BO16" i="4"/>
  <c r="CA20" i="6"/>
  <c r="CA18" i="4" s="1"/>
  <c r="BW20" i="6"/>
  <c r="BW18" i="4" s="1"/>
  <c r="BV25" i="3"/>
  <c r="BT20" i="6"/>
  <c r="BT18" i="4" s="1"/>
  <c r="BZ25" i="3"/>
  <c r="CX15" i="4"/>
  <c r="BM33" i="6"/>
  <c r="CX14" i="6" s="1"/>
  <c r="CX20" i="6"/>
  <c r="BM25" i="3"/>
  <c r="CX25" i="3" s="1"/>
  <c r="BQ20" i="6"/>
  <c r="BP25" i="3"/>
  <c r="CX13" i="6"/>
  <c r="BM7" i="3"/>
  <c r="BO32" i="6"/>
  <c r="BN13" i="6"/>
  <c r="BN15" i="4" s="1"/>
  <c r="BQ57" i="3"/>
  <c r="BQ60" i="3"/>
  <c r="BQ33" i="3" s="1"/>
  <c r="BQ58" i="3"/>
  <c r="BQ59" i="3"/>
  <c r="BQ28" i="3" s="1"/>
  <c r="BP22" i="6"/>
  <c r="BM41" i="5"/>
  <c r="BT34" i="6" l="1"/>
  <c r="BS15" i="6"/>
  <c r="BS10" i="3" s="1"/>
  <c r="BQ18" i="4"/>
  <c r="CY18" i="4" s="1"/>
  <c r="BR18" i="4"/>
  <c r="BT41" i="3"/>
  <c r="BS40" i="3"/>
  <c r="BP16" i="4"/>
  <c r="BT25" i="3"/>
  <c r="BW25" i="3"/>
  <c r="BU20" i="6"/>
  <c r="CB20" i="6"/>
  <c r="CB18" i="4" s="1"/>
  <c r="BX20" i="6"/>
  <c r="BX18" i="4" s="1"/>
  <c r="CA25" i="3"/>
  <c r="BM56" i="3"/>
  <c r="BM55" i="3"/>
  <c r="BN33" i="6"/>
  <c r="BQ25" i="3"/>
  <c r="CY25" i="3" s="1"/>
  <c r="CY20" i="6"/>
  <c r="BP32" i="6"/>
  <c r="BO13" i="6"/>
  <c r="BO7" i="3" s="1"/>
  <c r="CX7" i="3"/>
  <c r="BN7" i="3"/>
  <c r="BR58" i="3"/>
  <c r="BR60" i="3"/>
  <c r="BR33" i="3" s="1"/>
  <c r="BR59" i="3"/>
  <c r="BR28" i="3" s="1"/>
  <c r="BR57" i="3"/>
  <c r="BN41" i="5"/>
  <c r="BU34" i="6" l="1"/>
  <c r="BT15" i="6"/>
  <c r="BT10" i="3" s="1"/>
  <c r="BU18" i="4"/>
  <c r="CZ18" i="4" s="1"/>
  <c r="BV18" i="4"/>
  <c r="BU41" i="3"/>
  <c r="BT40" i="3"/>
  <c r="BQ16" i="4"/>
  <c r="CY16" i="4" s="1"/>
  <c r="CZ20" i="6"/>
  <c r="CB25" i="3"/>
  <c r="CC20" i="6"/>
  <c r="BY20" i="6"/>
  <c r="BU25" i="3"/>
  <c r="CZ25" i="3" s="1"/>
  <c r="BX25" i="3"/>
  <c r="CX9" i="3"/>
  <c r="BN55" i="3"/>
  <c r="BM14" i="3"/>
  <c r="BO33" i="6"/>
  <c r="BN56" i="3"/>
  <c r="BM35" i="3"/>
  <c r="BQ32" i="6"/>
  <c r="BP13" i="6"/>
  <c r="BO15" i="4"/>
  <c r="CY28" i="3"/>
  <c r="BQ22" i="6"/>
  <c r="CY22" i="6" s="1"/>
  <c r="CY33" i="3"/>
  <c r="BS60" i="3"/>
  <c r="BS33" i="3" s="1"/>
  <c r="CY19" i="3"/>
  <c r="BR22" i="6"/>
  <c r="BS59" i="3"/>
  <c r="BS28" i="3" s="1"/>
  <c r="CY10" i="3"/>
  <c r="CY15" i="6"/>
  <c r="BS57" i="3"/>
  <c r="BS58" i="3"/>
  <c r="BO41" i="5"/>
  <c r="CC18" i="4" l="1"/>
  <c r="CD18" i="4"/>
  <c r="DC18" i="4" s="1"/>
  <c r="BV34" i="6"/>
  <c r="BU15" i="6"/>
  <c r="BU10" i="3" s="1"/>
  <c r="BM8" i="4"/>
  <c r="BY18" i="4"/>
  <c r="DA18" i="4" s="1"/>
  <c r="BZ18" i="4"/>
  <c r="BV41" i="3"/>
  <c r="BU40" i="3"/>
  <c r="BR16" i="4"/>
  <c r="DB20" i="6"/>
  <c r="CC25" i="3"/>
  <c r="DA20" i="6"/>
  <c r="BY25" i="3"/>
  <c r="CX35" i="3"/>
  <c r="BO56" i="3"/>
  <c r="BN35" i="3"/>
  <c r="BP33" i="6"/>
  <c r="CX14" i="3"/>
  <c r="BO55" i="3"/>
  <c r="BN14" i="3"/>
  <c r="BP15" i="4"/>
  <c r="BP7" i="3"/>
  <c r="BR32" i="6"/>
  <c r="BQ13" i="6"/>
  <c r="BT58" i="3"/>
  <c r="BT59" i="3"/>
  <c r="BT28" i="3" s="1"/>
  <c r="BS22" i="6"/>
  <c r="BT57" i="3"/>
  <c r="BS16" i="4"/>
  <c r="BT60" i="3"/>
  <c r="BT33" i="3" s="1"/>
  <c r="BP41" i="5"/>
  <c r="BW34" i="6" l="1"/>
  <c r="BV15" i="6"/>
  <c r="BV10" i="3" s="1"/>
  <c r="BN8" i="4"/>
  <c r="BW41" i="3"/>
  <c r="BV40" i="3"/>
  <c r="DB25" i="3"/>
  <c r="DA25" i="3"/>
  <c r="DB18" i="4"/>
  <c r="BO14" i="3"/>
  <c r="BP55" i="3"/>
  <c r="BP56" i="3"/>
  <c r="BO35" i="3"/>
  <c r="BQ33" i="6"/>
  <c r="CY14" i="6" s="1"/>
  <c r="CX8" i="4"/>
  <c r="BQ7" i="3"/>
  <c r="CY13" i="6"/>
  <c r="BS32" i="6"/>
  <c r="BR13" i="6"/>
  <c r="BQ15" i="4"/>
  <c r="CY15" i="4" s="1"/>
  <c r="BU59" i="3"/>
  <c r="BU28" i="3" s="1"/>
  <c r="BT22" i="6"/>
  <c r="BU60" i="3"/>
  <c r="BU33" i="3" s="1"/>
  <c r="BU57" i="3"/>
  <c r="BT16" i="4"/>
  <c r="BU58" i="3"/>
  <c r="BQ41" i="5"/>
  <c r="BX34" i="6" l="1"/>
  <c r="BW15" i="6"/>
  <c r="BW10" i="3" s="1"/>
  <c r="BO8" i="4"/>
  <c r="BX41" i="3"/>
  <c r="BW40" i="3"/>
  <c r="BU22" i="6"/>
  <c r="CZ22" i="6" s="1"/>
  <c r="BV59" i="3"/>
  <c r="BV28" i="3" s="1"/>
  <c r="BU16" i="4"/>
  <c r="CZ16" i="4" s="1"/>
  <c r="BV57" i="3"/>
  <c r="BV58" i="3"/>
  <c r="CZ33" i="3"/>
  <c r="BV60" i="3"/>
  <c r="BV33" i="3" s="1"/>
  <c r="BP35" i="3"/>
  <c r="BQ56" i="3"/>
  <c r="BR33" i="6"/>
  <c r="BP14" i="3"/>
  <c r="BQ55" i="3"/>
  <c r="BT32" i="6"/>
  <c r="BS13" i="6"/>
  <c r="BS15" i="4" s="1"/>
  <c r="BR7" i="3"/>
  <c r="BR15" i="4"/>
  <c r="CY7" i="3"/>
  <c r="CZ19" i="3"/>
  <c r="BR41" i="5"/>
  <c r="CW25" i="5"/>
  <c r="CW31" i="5"/>
  <c r="BY34" i="6" l="1"/>
  <c r="BX15" i="6"/>
  <c r="BX10" i="3" s="1"/>
  <c r="BP8" i="4"/>
  <c r="BY41" i="3"/>
  <c r="BX40" i="3"/>
  <c r="CZ10" i="3"/>
  <c r="CZ15" i="6"/>
  <c r="CZ28" i="3"/>
  <c r="BW58" i="3"/>
  <c r="BW60" i="3"/>
  <c r="BW33" i="3" s="1"/>
  <c r="BW59" i="3"/>
  <c r="BW28" i="3" s="1"/>
  <c r="BW57" i="3"/>
  <c r="BR55" i="3"/>
  <c r="BQ14" i="3"/>
  <c r="BS33" i="6"/>
  <c r="BR56" i="3"/>
  <c r="BQ35" i="3"/>
  <c r="CY9" i="3"/>
  <c r="BS7" i="3"/>
  <c r="BU32" i="6"/>
  <c r="BT13" i="6"/>
  <c r="BT15" i="4" s="1"/>
  <c r="BS41" i="5"/>
  <c r="CX27" i="5"/>
  <c r="CX22" i="5" s="1"/>
  <c r="CW15" i="3"/>
  <c r="BZ34" i="6" l="1"/>
  <c r="BY15" i="6"/>
  <c r="BY10" i="3" s="1"/>
  <c r="BQ8" i="4"/>
  <c r="BZ41" i="3"/>
  <c r="BY40" i="3"/>
  <c r="BV16" i="4"/>
  <c r="BV22" i="6"/>
  <c r="BX59" i="3"/>
  <c r="BX28" i="3" s="1"/>
  <c r="BU13" i="6"/>
  <c r="BV32" i="6"/>
  <c r="BX60" i="3"/>
  <c r="BX33" i="3" s="1"/>
  <c r="BX57" i="3"/>
  <c r="BX58" i="3"/>
  <c r="CY14" i="3"/>
  <c r="CY35" i="3"/>
  <c r="BS56" i="3"/>
  <c r="BR35" i="3"/>
  <c r="BT33" i="6"/>
  <c r="BS55" i="3"/>
  <c r="BR14" i="3"/>
  <c r="BT7" i="3"/>
  <c r="BT41" i="5"/>
  <c r="CA34" i="6" l="1"/>
  <c r="BZ15" i="6"/>
  <c r="BZ10" i="3" s="1"/>
  <c r="BR8" i="4"/>
  <c r="CA41" i="3"/>
  <c r="BZ40" i="3"/>
  <c r="CY8" i="4"/>
  <c r="BW16" i="4"/>
  <c r="BW22" i="6"/>
  <c r="BY60" i="3"/>
  <c r="BY33" i="3" s="1"/>
  <c r="BW32" i="6"/>
  <c r="BV13" i="6"/>
  <c r="BU7" i="3"/>
  <c r="CZ7" i="3" s="1"/>
  <c r="BY58" i="3"/>
  <c r="CZ13" i="6"/>
  <c r="BU15" i="4"/>
  <c r="CZ15" i="4" s="1"/>
  <c r="BY57" i="3"/>
  <c r="BY59" i="3"/>
  <c r="BY28" i="3" s="1"/>
  <c r="BU33" i="6"/>
  <c r="CZ14" i="6" s="1"/>
  <c r="BS14" i="3"/>
  <c r="BT55" i="3"/>
  <c r="BT56" i="3"/>
  <c r="BS35" i="3"/>
  <c r="BU41" i="5"/>
  <c r="CB34" i="6" l="1"/>
  <c r="CA15" i="6"/>
  <c r="CA10" i="3" s="1"/>
  <c r="BS8" i="4"/>
  <c r="CB41" i="3"/>
  <c r="CA40" i="3"/>
  <c r="BX16" i="4"/>
  <c r="BX22" i="6"/>
  <c r="BV7" i="3"/>
  <c r="BV33" i="6"/>
  <c r="BZ57" i="3"/>
  <c r="BX32" i="6"/>
  <c r="BW13" i="6"/>
  <c r="BW15" i="4" s="1"/>
  <c r="BV15" i="4"/>
  <c r="BV41" i="5"/>
  <c r="BZ59" i="3"/>
  <c r="BZ28" i="3" s="1"/>
  <c r="BZ58" i="3"/>
  <c r="DA19" i="3"/>
  <c r="BZ60" i="3"/>
  <c r="BZ33" i="3" s="1"/>
  <c r="BU56" i="3"/>
  <c r="BT35" i="3"/>
  <c r="BU55" i="3"/>
  <c r="BT14" i="3"/>
  <c r="CC34" i="6" l="1"/>
  <c r="CB15" i="6"/>
  <c r="CB10" i="3" s="1"/>
  <c r="BT8" i="4"/>
  <c r="CC41" i="3"/>
  <c r="CB40" i="3"/>
  <c r="BY16" i="4"/>
  <c r="DA16" i="4" s="1"/>
  <c r="CZ9" i="3"/>
  <c r="BW41" i="5"/>
  <c r="BU14" i="3"/>
  <c r="BV55" i="3"/>
  <c r="BU35" i="3"/>
  <c r="CZ35" i="3" s="1"/>
  <c r="BV56" i="3"/>
  <c r="CA57" i="3"/>
  <c r="CA59" i="3"/>
  <c r="CA28" i="3" s="1"/>
  <c r="DA33" i="3"/>
  <c r="DA15" i="6"/>
  <c r="DA10" i="3"/>
  <c r="CA58" i="3"/>
  <c r="CA60" i="3"/>
  <c r="CA33" i="3" s="1"/>
  <c r="BW33" i="6"/>
  <c r="BW7" i="3"/>
  <c r="DA28" i="3"/>
  <c r="BY22" i="6"/>
  <c r="DA22" i="6" s="1"/>
  <c r="BY32" i="6"/>
  <c r="BX13" i="6"/>
  <c r="BX15" i="4" s="1"/>
  <c r="CC40" i="3" l="1"/>
  <c r="CD41" i="3"/>
  <c r="CC15" i="6"/>
  <c r="CC10" i="3" s="1"/>
  <c r="CD34" i="6"/>
  <c r="BU8" i="4"/>
  <c r="CZ14" i="3"/>
  <c r="BZ16" i="4"/>
  <c r="BX41" i="5"/>
  <c r="BZ22" i="6"/>
  <c r="BW56" i="3"/>
  <c r="BV35" i="3"/>
  <c r="BW55" i="3"/>
  <c r="BV14" i="3"/>
  <c r="CB60" i="3"/>
  <c r="CB33" i="3" s="1"/>
  <c r="BX7" i="3"/>
  <c r="CB58" i="3"/>
  <c r="CB59" i="3"/>
  <c r="CB28" i="3" s="1"/>
  <c r="BZ32" i="6"/>
  <c r="BY13" i="6"/>
  <c r="BX33" i="6"/>
  <c r="CB57" i="3"/>
  <c r="BM27" i="5"/>
  <c r="CE34" i="6" l="1"/>
  <c r="CD15" i="6"/>
  <c r="CD10" i="3" s="1"/>
  <c r="CD16" i="4" s="1"/>
  <c r="CE41" i="3"/>
  <c r="CD40" i="3"/>
  <c r="BV8" i="4"/>
  <c r="CA16" i="4"/>
  <c r="CA22" i="6"/>
  <c r="BY41" i="5"/>
  <c r="CZ8" i="4"/>
  <c r="BX55" i="3"/>
  <c r="BW14" i="3"/>
  <c r="BX56" i="3"/>
  <c r="BW35" i="3"/>
  <c r="BY7" i="3"/>
  <c r="DA13" i="6"/>
  <c r="CC58" i="3"/>
  <c r="BY15" i="4"/>
  <c r="DA15" i="4" s="1"/>
  <c r="BY33" i="6"/>
  <c r="DA14" i="6" s="1"/>
  <c r="CC59" i="3"/>
  <c r="CC60" i="3"/>
  <c r="CC57" i="3"/>
  <c r="CD57" i="3" s="1"/>
  <c r="CE57" i="3" s="1"/>
  <c r="CF57" i="3" s="1"/>
  <c r="CG57" i="3" s="1"/>
  <c r="CB16" i="4"/>
  <c r="CA32" i="6"/>
  <c r="BZ13" i="6"/>
  <c r="BM31" i="5"/>
  <c r="BM22" i="5"/>
  <c r="DB19" i="3" l="1"/>
  <c r="CD58" i="3"/>
  <c r="CE58" i="3" s="1"/>
  <c r="CF58" i="3" s="1"/>
  <c r="CG58" i="3" s="1"/>
  <c r="CC28" i="3"/>
  <c r="CC22" i="6" s="1"/>
  <c r="DB22" i="6" s="1"/>
  <c r="CD59" i="3"/>
  <c r="CF41" i="3"/>
  <c r="CE40" i="3"/>
  <c r="CC33" i="3"/>
  <c r="CD60" i="3"/>
  <c r="CE60" i="3" s="1"/>
  <c r="CF60" i="3" s="1"/>
  <c r="CG60" i="3" s="1"/>
  <c r="CF34" i="6"/>
  <c r="CE15" i="6"/>
  <c r="CE10" i="3" s="1"/>
  <c r="CE16" i="4" s="1"/>
  <c r="BW8" i="4"/>
  <c r="CC16" i="4"/>
  <c r="DB16" i="4" s="1"/>
  <c r="DA7" i="3"/>
  <c r="CB22" i="6"/>
  <c r="BZ41" i="5"/>
  <c r="BY56" i="3"/>
  <c r="BX35" i="3"/>
  <c r="BY55" i="3"/>
  <c r="BX14" i="3"/>
  <c r="DB15" i="6"/>
  <c r="DB10" i="3"/>
  <c r="BZ33" i="6"/>
  <c r="BZ7" i="3"/>
  <c r="CB32" i="6"/>
  <c r="CA13" i="6"/>
  <c r="CA15" i="4" s="1"/>
  <c r="BZ15" i="4"/>
  <c r="BM25" i="5"/>
  <c r="CX25" i="5" s="1"/>
  <c r="BM15" i="3"/>
  <c r="CX31" i="5"/>
  <c r="BN27" i="5"/>
  <c r="DB28" i="3" l="1"/>
  <c r="CD28" i="3"/>
  <c r="CE59" i="3"/>
  <c r="CF59" i="3" s="1"/>
  <c r="CG59" i="3" s="1"/>
  <c r="CD33" i="3"/>
  <c r="DB33" i="3"/>
  <c r="CG41" i="3"/>
  <c r="CG40" i="3" s="1"/>
  <c r="CF40" i="3"/>
  <c r="CG34" i="6"/>
  <c r="CG15" i="6" s="1"/>
  <c r="CF15" i="6"/>
  <c r="CF10" i="3" s="1"/>
  <c r="CF16" i="4" s="1"/>
  <c r="BX8" i="4"/>
  <c r="CA41" i="5"/>
  <c r="BZ55" i="3"/>
  <c r="BY14" i="3"/>
  <c r="BZ56" i="3"/>
  <c r="BY35" i="3"/>
  <c r="DA9" i="3"/>
  <c r="CA33" i="6"/>
  <c r="CA7" i="3"/>
  <c r="CC32" i="6"/>
  <c r="CB13" i="6"/>
  <c r="BN22" i="5"/>
  <c r="CY27" i="5"/>
  <c r="CY22" i="5" s="1"/>
  <c r="BN31" i="5"/>
  <c r="CX15" i="3"/>
  <c r="CG10" i="3" l="1"/>
  <c r="CG16" i="4" s="1"/>
  <c r="DC16" i="4" s="1"/>
  <c r="DC15" i="6"/>
  <c r="CE33" i="3"/>
  <c r="CD22" i="6"/>
  <c r="CD24" i="6" s="1"/>
  <c r="CE28" i="3"/>
  <c r="CD30" i="3"/>
  <c r="CC13" i="6"/>
  <c r="CC7" i="3" s="1"/>
  <c r="CD32" i="6"/>
  <c r="DC40" i="3"/>
  <c r="BY8" i="4"/>
  <c r="DA14" i="3"/>
  <c r="CB41" i="5"/>
  <c r="DA35" i="3"/>
  <c r="CA56" i="3"/>
  <c r="BZ35" i="3"/>
  <c r="CA55" i="3"/>
  <c r="BZ14" i="3"/>
  <c r="CB7" i="3"/>
  <c r="CB33" i="6"/>
  <c r="CB15" i="4"/>
  <c r="BN15" i="3"/>
  <c r="BN25" i="5"/>
  <c r="BO27" i="5"/>
  <c r="CC15" i="4" l="1"/>
  <c r="DB15" i="4" s="1"/>
  <c r="DB13" i="6"/>
  <c r="CF28" i="3"/>
  <c r="CE22" i="6"/>
  <c r="CE24" i="6" s="1"/>
  <c r="CE30" i="3"/>
  <c r="CF33" i="3"/>
  <c r="CE32" i="6"/>
  <c r="CD13" i="6"/>
  <c r="CD15" i="4" s="1"/>
  <c r="DC10" i="3"/>
  <c r="BZ8" i="4"/>
  <c r="CC41" i="5"/>
  <c r="DA8" i="4"/>
  <c r="DB7" i="3"/>
  <c r="CB55" i="3"/>
  <c r="CA14" i="3"/>
  <c r="CB56" i="3"/>
  <c r="CA35" i="3"/>
  <c r="CC33" i="6"/>
  <c r="BO31" i="5"/>
  <c r="BO22" i="5"/>
  <c r="CG33" i="3" l="1"/>
  <c r="CD7" i="3"/>
  <c r="CD16" i="6"/>
  <c r="CD26" i="6" s="1"/>
  <c r="CG28" i="3"/>
  <c r="CF22" i="6"/>
  <c r="CF24" i="6" s="1"/>
  <c r="CF30" i="3"/>
  <c r="CD41" i="5"/>
  <c r="CD12" i="4"/>
  <c r="CF32" i="6"/>
  <c r="CE13" i="6"/>
  <c r="CE15" i="4" s="1"/>
  <c r="CE12" i="4" s="1"/>
  <c r="DB14" i="6"/>
  <c r="CD33" i="6"/>
  <c r="CE33" i="6" s="1"/>
  <c r="CF33" i="6" s="1"/>
  <c r="CG33" i="6" s="1"/>
  <c r="CA8" i="4"/>
  <c r="CC56" i="3"/>
  <c r="CB35" i="3"/>
  <c r="CC55" i="3"/>
  <c r="CB14" i="3"/>
  <c r="DB9" i="3"/>
  <c r="BO15" i="3"/>
  <c r="BP27" i="5"/>
  <c r="BO25" i="5"/>
  <c r="CC35" i="3" l="1"/>
  <c r="DB35" i="3" s="1"/>
  <c r="CD56" i="3"/>
  <c r="CE7" i="3"/>
  <c r="CE16" i="6"/>
  <c r="CE26" i="6" s="1"/>
  <c r="CE27" i="6" s="1"/>
  <c r="DC28" i="3"/>
  <c r="CG22" i="6"/>
  <c r="CG30" i="3"/>
  <c r="CC14" i="3"/>
  <c r="CD55" i="3"/>
  <c r="CE41" i="5"/>
  <c r="CG32" i="6"/>
  <c r="CG13" i="6" s="1"/>
  <c r="CF13" i="6"/>
  <c r="CF15" i="4" s="1"/>
  <c r="DC33" i="3"/>
  <c r="CB8" i="4"/>
  <c r="BP22" i="5"/>
  <c r="BP31" i="5"/>
  <c r="CC8" i="4" l="1"/>
  <c r="DB14" i="3"/>
  <c r="CF12" i="4"/>
  <c r="DC22" i="6"/>
  <c r="CG24" i="6"/>
  <c r="DC24" i="6" s="1"/>
  <c r="CF41" i="5"/>
  <c r="DC30" i="3"/>
  <c r="CE56" i="3"/>
  <c r="CD35" i="3"/>
  <c r="CG7" i="3"/>
  <c r="DC13" i="6"/>
  <c r="CG16" i="6"/>
  <c r="CE55" i="3"/>
  <c r="CD14" i="3"/>
  <c r="CG15" i="4"/>
  <c r="CG12" i="4" s="1"/>
  <c r="CF7" i="3"/>
  <c r="CF16" i="6"/>
  <c r="CF26" i="6" s="1"/>
  <c r="CF27" i="6" s="1"/>
  <c r="BP25" i="5"/>
  <c r="BP15" i="3"/>
  <c r="BQ27" i="5"/>
  <c r="DB8" i="4" l="1"/>
  <c r="CG41" i="5"/>
  <c r="CF56" i="3"/>
  <c r="CE35" i="3"/>
  <c r="CD8" i="4"/>
  <c r="CF55" i="3"/>
  <c r="CE14" i="3"/>
  <c r="CG26" i="6"/>
  <c r="CG27" i="6" s="1"/>
  <c r="DC16" i="6"/>
  <c r="DC26" i="6" s="1"/>
  <c r="DC15" i="4"/>
  <c r="DC12" i="4" s="1"/>
  <c r="DC7" i="3"/>
  <c r="BQ31" i="5"/>
  <c r="BR27" i="5" s="1"/>
  <c r="CZ27" i="5" s="1"/>
  <c r="CZ22" i="5" s="1"/>
  <c r="BQ22" i="5"/>
  <c r="CG56" i="3" l="1"/>
  <c r="CG35" i="3" s="1"/>
  <c r="CF35" i="3"/>
  <c r="CE8" i="4"/>
  <c r="CG55" i="3"/>
  <c r="CG14" i="3" s="1"/>
  <c r="CF14" i="3"/>
  <c r="BR31" i="5"/>
  <c r="BR22" i="5"/>
  <c r="CY31" i="5"/>
  <c r="BQ25" i="5"/>
  <c r="CY25" i="5" s="1"/>
  <c r="BQ15" i="3"/>
  <c r="CF8" i="4" l="1"/>
  <c r="DC14" i="3"/>
  <c r="DC35" i="3"/>
  <c r="CG8" i="4"/>
  <c r="BR25" i="5"/>
  <c r="BR15" i="3"/>
  <c r="BS27" i="5"/>
  <c r="CY15" i="3"/>
  <c r="DC8" i="4" l="1"/>
  <c r="BS31" i="5"/>
  <c r="BS22" i="5"/>
  <c r="BS15" i="3" l="1"/>
  <c r="BS25" i="5"/>
  <c r="BT27" i="5"/>
  <c r="BA11" i="7"/>
  <c r="AZ14" i="7"/>
  <c r="AZ16" i="7"/>
  <c r="BA17" i="7" l="1"/>
  <c r="BA26" i="7"/>
  <c r="BA25" i="7"/>
  <c r="BT31" i="5"/>
  <c r="BT22" i="5"/>
  <c r="BU27" i="5" l="1"/>
  <c r="BT25" i="5"/>
  <c r="BT15" i="3"/>
  <c r="CU12" i="7"/>
  <c r="CU18" i="7"/>
  <c r="CU13" i="7"/>
  <c r="CU40" i="4"/>
  <c r="BU31" i="5" l="1"/>
  <c r="BU22" i="5"/>
  <c r="CU17" i="7"/>
  <c r="CU39" i="4"/>
  <c r="BA43" i="4"/>
  <c r="BA250" i="2"/>
  <c r="BA256" i="2" s="1"/>
  <c r="CU243" i="2"/>
  <c r="CZ31" i="5" l="1"/>
  <c r="BV27" i="5"/>
  <c r="BU25" i="5"/>
  <c r="CZ25" i="5" s="1"/>
  <c r="BU15" i="3"/>
  <c r="BA253" i="2"/>
  <c r="CU250" i="2"/>
  <c r="BA260" i="2"/>
  <c r="BA251" i="2"/>
  <c r="BA252" i="2"/>
  <c r="CU24" i="3"/>
  <c r="CU43" i="4"/>
  <c r="DA27" i="5" l="1"/>
  <c r="DA22" i="5" s="1"/>
  <c r="BV31" i="5"/>
  <c r="BV22" i="5"/>
  <c r="CZ15" i="3"/>
  <c r="CU253" i="2"/>
  <c r="CU251" i="2"/>
  <c r="BA267" i="2"/>
  <c r="BA262" i="2"/>
  <c r="BA3" i="4"/>
  <c r="CU260" i="2"/>
  <c r="BA261" i="2"/>
  <c r="BA272" i="2"/>
  <c r="BA263" i="2"/>
  <c r="CU255" i="2"/>
  <c r="BA257" i="2"/>
  <c r="BA258" i="2"/>
  <c r="BV25" i="5" l="1"/>
  <c r="BW27" i="5"/>
  <c r="BV15" i="3"/>
  <c r="CU258" i="2"/>
  <c r="CU256" i="2"/>
  <c r="CU261" i="2"/>
  <c r="CU263" i="2"/>
  <c r="CU3" i="4"/>
  <c r="CU12" i="6"/>
  <c r="CU23" i="6"/>
  <c r="CU272" i="2"/>
  <c r="BA274" i="2"/>
  <c r="BA273" i="2"/>
  <c r="BA278" i="2"/>
  <c r="BA268" i="2"/>
  <c r="CU267" i="2"/>
  <c r="BA270" i="2"/>
  <c r="BA269" i="2"/>
  <c r="S16" i="15" l="1"/>
  <c r="B21" i="1"/>
  <c r="BW31" i="5"/>
  <c r="BW22" i="5"/>
  <c r="BA16" i="6"/>
  <c r="CU16" i="6" s="1"/>
  <c r="BA280" i="2"/>
  <c r="BA279" i="2"/>
  <c r="CU274" i="2"/>
  <c r="CU43" i="3"/>
  <c r="CU270" i="2"/>
  <c r="S55" i="15" s="1"/>
  <c r="CU268" i="2"/>
  <c r="CU278" i="2"/>
  <c r="BA24" i="6"/>
  <c r="CU24" i="6" s="1"/>
  <c r="S35" i="15" l="1"/>
  <c r="B22" i="1"/>
  <c r="S17" i="15"/>
  <c r="B23" i="1"/>
  <c r="B25" i="1" s="1"/>
  <c r="BX27" i="5"/>
  <c r="BW25" i="5"/>
  <c r="BW15" i="3"/>
  <c r="CU26" i="6"/>
  <c r="CU27" i="6" s="1"/>
  <c r="CU29" i="3"/>
  <c r="BA30" i="3"/>
  <c r="BA26" i="6"/>
  <c r="BA27" i="6" s="1"/>
  <c r="CU6" i="3"/>
  <c r="CU280" i="2"/>
  <c r="S56" i="15" l="1"/>
  <c r="B24" i="1"/>
  <c r="B26" i="1" s="1"/>
  <c r="BX31" i="5"/>
  <c r="BX22" i="5"/>
  <c r="BA12" i="4"/>
  <c r="CU14" i="4"/>
  <c r="CU12" i="4" s="1"/>
  <c r="BA38" i="3"/>
  <c r="CU30" i="3"/>
  <c r="BX25" i="5" l="1"/>
  <c r="BY27" i="5"/>
  <c r="BX15" i="3"/>
  <c r="CU22" i="4"/>
  <c r="CU38" i="3"/>
  <c r="BA22" i="4"/>
  <c r="BY31" i="5" l="1"/>
  <c r="BY22" i="5"/>
  <c r="CU47" i="4"/>
  <c r="BA47" i="4"/>
  <c r="BA76" i="4"/>
  <c r="DA31" i="5" l="1"/>
  <c r="BY25" i="5"/>
  <c r="DA25" i="5" s="1"/>
  <c r="BY15" i="3"/>
  <c r="BZ27" i="5"/>
  <c r="CU76" i="4"/>
  <c r="BA77" i="4"/>
  <c r="BA83" i="4"/>
  <c r="BA78" i="4"/>
  <c r="BA79" i="4"/>
  <c r="BA49" i="4"/>
  <c r="B34" i="1" l="1"/>
  <c r="S20" i="15"/>
  <c r="DA15" i="3"/>
  <c r="DB27" i="5"/>
  <c r="DB22" i="5" s="1"/>
  <c r="BZ31" i="5"/>
  <c r="BZ22" i="5"/>
  <c r="CU79" i="4"/>
  <c r="CU77" i="4"/>
  <c r="BA84" i="4"/>
  <c r="BA86" i="4"/>
  <c r="CU83" i="4"/>
  <c r="BA85" i="4"/>
  <c r="BA3" i="3"/>
  <c r="CU49" i="4"/>
  <c r="S38" i="15" l="1"/>
  <c r="B35" i="1"/>
  <c r="S59" i="15"/>
  <c r="B36" i="1"/>
  <c r="S21" i="15"/>
  <c r="B28" i="1"/>
  <c r="BZ25" i="5"/>
  <c r="BZ15" i="3"/>
  <c r="CA27" i="5"/>
  <c r="BA11" i="3"/>
  <c r="BA5" i="7"/>
  <c r="CU3" i="3"/>
  <c r="BA51" i="3"/>
  <c r="CU84" i="4"/>
  <c r="CU86" i="4"/>
  <c r="S39" i="15" l="1"/>
  <c r="B29" i="1"/>
  <c r="S60" i="15"/>
  <c r="B30" i="1"/>
  <c r="CA31" i="5"/>
  <c r="CA22" i="5"/>
  <c r="CU51" i="3"/>
  <c r="BA20" i="3"/>
  <c r="CU11" i="3"/>
  <c r="BB4" i="7"/>
  <c r="BB7" i="7" s="1"/>
  <c r="CU5" i="7"/>
  <c r="CU6" i="7" s="1"/>
  <c r="BA6" i="7"/>
  <c r="CA15" i="3" l="1"/>
  <c r="CA25" i="5"/>
  <c r="CB27" i="5"/>
  <c r="CU20" i="3"/>
  <c r="CV4" i="7"/>
  <c r="CB31" i="5" l="1"/>
  <c r="CB22" i="5"/>
  <c r="BA45" i="3"/>
  <c r="CU40" i="3"/>
  <c r="CC27" i="5" l="1"/>
  <c r="CB15" i="3"/>
  <c r="CB25" i="5"/>
  <c r="CU45" i="3"/>
  <c r="BA47" i="3"/>
  <c r="CC31" i="5" l="1"/>
  <c r="CD27" i="5" s="1"/>
  <c r="CC22" i="5"/>
  <c r="CU47" i="3"/>
  <c r="BA49" i="3"/>
  <c r="DC27" i="5" l="1"/>
  <c r="DC22" i="5" s="1"/>
  <c r="CD22" i="5"/>
  <c r="CD31" i="5"/>
  <c r="DB31" i="5"/>
  <c r="CC25" i="5"/>
  <c r="DB25" i="5" s="1"/>
  <c r="CC15" i="3"/>
  <c r="CU49" i="3"/>
  <c r="CE27" i="5" l="1"/>
  <c r="CD15" i="3"/>
  <c r="CD25" i="5"/>
  <c r="DB15" i="3"/>
  <c r="AZ20" i="7"/>
  <c r="CE31" i="5" l="1"/>
  <c r="CE22" i="5"/>
  <c r="BB11" i="7"/>
  <c r="BA16" i="7"/>
  <c r="BA14" i="7"/>
  <c r="CU14" i="7" s="1"/>
  <c r="CU15" i="7"/>
  <c r="CU16" i="7" s="1"/>
  <c r="CE25" i="5" l="1"/>
  <c r="CF27" i="5"/>
  <c r="CE15" i="3"/>
  <c r="BB17" i="7"/>
  <c r="BB25" i="7"/>
  <c r="BB26" i="7"/>
  <c r="BB16" i="7"/>
  <c r="CV11" i="7"/>
  <c r="CF31" i="5" l="1"/>
  <c r="CF22" i="5"/>
  <c r="CG27" i="5" l="1"/>
  <c r="CF15" i="3"/>
  <c r="CF25" i="5"/>
  <c r="BB250" i="2"/>
  <c r="BF253" i="2" s="1"/>
  <c r="BB43" i="4"/>
  <c r="CG31" i="5" l="1"/>
  <c r="CG22" i="5"/>
  <c r="BB256" i="2"/>
  <c r="BC252" i="2"/>
  <c r="BB260" i="2"/>
  <c r="BF263" i="2" s="1"/>
  <c r="BB251" i="2"/>
  <c r="BB252" i="2"/>
  <c r="BB253" i="2"/>
  <c r="DC31" i="5" l="1"/>
  <c r="CG15" i="3"/>
  <c r="CG25" i="5"/>
  <c r="DC25" i="5" s="1"/>
  <c r="BB267" i="2"/>
  <c r="B16" i="15" s="1"/>
  <c r="BB262" i="2"/>
  <c r="BB261" i="2"/>
  <c r="BB272" i="2"/>
  <c r="BF274" i="2" s="1"/>
  <c r="BB3" i="4"/>
  <c r="BB263" i="2"/>
  <c r="DC15" i="3" l="1"/>
  <c r="BF270" i="2"/>
  <c r="F55" i="15" s="1"/>
  <c r="BQ17" i="7"/>
  <c r="BR17" i="7" s="1"/>
  <c r="BB269" i="2"/>
  <c r="BB270" i="2"/>
  <c r="B55" i="15" s="1"/>
  <c r="BB278" i="2"/>
  <c r="B17" i="15" s="1"/>
  <c r="BB268" i="2"/>
  <c r="B35" i="15" s="1"/>
  <c r="BB273" i="2"/>
  <c r="BB274" i="2"/>
  <c r="BF280" i="2" l="1"/>
  <c r="F56" i="15" s="1"/>
  <c r="BS17" i="7"/>
  <c r="BT17" i="7" s="1"/>
  <c r="BB16" i="6"/>
  <c r="BB24" i="6"/>
  <c r="BB279" i="2"/>
  <c r="BB280" i="2"/>
  <c r="B56" i="15" s="1"/>
  <c r="BU17" i="7" l="1"/>
  <c r="BB30" i="3"/>
  <c r="BB26" i="6"/>
  <c r="BB27" i="6" s="1"/>
  <c r="BV17" i="7" l="1"/>
  <c r="BB38" i="3"/>
  <c r="BB12" i="4"/>
  <c r="BW17" i="7" l="1"/>
  <c r="BX17" i="7" s="1"/>
  <c r="BY17" i="7" s="1"/>
  <c r="BB22" i="4"/>
  <c r="BZ17" i="7" l="1"/>
  <c r="BB76" i="4"/>
  <c r="B20" i="15" s="1"/>
  <c r="BB47" i="4"/>
  <c r="CA17" i="7" l="1"/>
  <c r="BB49" i="4"/>
  <c r="BB77" i="4"/>
  <c r="B38" i="15" s="1"/>
  <c r="BB78" i="4"/>
  <c r="BB79" i="4"/>
  <c r="B59" i="15" s="1"/>
  <c r="BB83" i="4"/>
  <c r="B21" i="15" s="1"/>
  <c r="CB17" i="7" l="1"/>
  <c r="BB85" i="4"/>
  <c r="BB86" i="4"/>
  <c r="B60" i="15" s="1"/>
  <c r="BB84" i="4"/>
  <c r="B39" i="15" s="1"/>
  <c r="BB3" i="3"/>
  <c r="CC17" i="7" l="1"/>
  <c r="BB11" i="3"/>
  <c r="BB5" i="7"/>
  <c r="BB51" i="3"/>
  <c r="CD17" i="7" l="1"/>
  <c r="CE17" i="7" s="1"/>
  <c r="BB6" i="7"/>
  <c r="BC4" i="7"/>
  <c r="BC7" i="7" s="1"/>
  <c r="BB20" i="3"/>
  <c r="CF17" i="7" l="1"/>
  <c r="CG17" i="7" s="1"/>
  <c r="BB45" i="3" l="1"/>
  <c r="BB47" i="3" l="1"/>
  <c r="BB49" i="3" l="1"/>
  <c r="BA20" i="7" l="1"/>
  <c r="CU20" i="7" l="1"/>
  <c r="CU22" i="7" l="1"/>
  <c r="BB40" i="6"/>
  <c r="BB14" i="7"/>
  <c r="CV14" i="7" s="1"/>
  <c r="BC43" i="4" l="1"/>
  <c r="BC260" i="2"/>
  <c r="BG263" i="2" s="1"/>
  <c r="BC267" i="2" l="1"/>
  <c r="C16" i="15" s="1"/>
  <c r="BC262" i="2"/>
  <c r="BC263" i="2"/>
  <c r="BC3" i="4"/>
  <c r="BC261" i="2"/>
  <c r="BG270" i="2" l="1"/>
  <c r="G55" i="15" s="1"/>
  <c r="BC269" i="2"/>
  <c r="BC268" i="2"/>
  <c r="C35" i="15" s="1"/>
  <c r="BC270" i="2"/>
  <c r="C55" i="15" s="1"/>
  <c r="BD43" i="4" l="1"/>
  <c r="BC16" i="6"/>
  <c r="BC30" i="3"/>
  <c r="BC24" i="6"/>
  <c r="BC12" i="4" l="1"/>
  <c r="BC38" i="3"/>
  <c r="BC26" i="6"/>
  <c r="BC27" i="6" s="1"/>
  <c r="CV40" i="4" l="1"/>
  <c r="CV13" i="7"/>
  <c r="CV12" i="7"/>
  <c r="BC22" i="4"/>
  <c r="CV18" i="7"/>
  <c r="CV17" i="7" l="1"/>
  <c r="BC76" i="4"/>
  <c r="C20" i="15" s="1"/>
  <c r="BC47" i="4"/>
  <c r="BE43" i="4"/>
  <c r="CV39" i="4"/>
  <c r="CV15" i="7"/>
  <c r="CV16" i="7" s="1"/>
  <c r="BG79" i="4" l="1"/>
  <c r="G59" i="15" s="1"/>
  <c r="BC83" i="4"/>
  <c r="C21" i="15" s="1"/>
  <c r="BC49" i="4"/>
  <c r="BC79" i="4"/>
  <c r="C59" i="15" s="1"/>
  <c r="BC78" i="4"/>
  <c r="BC77" i="4"/>
  <c r="C38" i="15" s="1"/>
  <c r="CW11" i="7"/>
  <c r="CV24" i="3"/>
  <c r="CV43" i="4"/>
  <c r="BG86" i="4" l="1"/>
  <c r="G60" i="15" s="1"/>
  <c r="BC85" i="4"/>
  <c r="BC86" i="4"/>
  <c r="C60" i="15" s="1"/>
  <c r="BC84" i="4"/>
  <c r="C39" i="15" s="1"/>
  <c r="BC3" i="3"/>
  <c r="BF43" i="4" l="1"/>
  <c r="BC11" i="3"/>
  <c r="BC5" i="7"/>
  <c r="BC51" i="3"/>
  <c r="BC6" i="7" l="1"/>
  <c r="BD4" i="7"/>
  <c r="BD7" i="7" s="1"/>
  <c r="BC20" i="3"/>
  <c r="BC45" i="3" l="1"/>
  <c r="BC47" i="3" l="1"/>
  <c r="BC49" i="3" l="1"/>
  <c r="CW18" i="7" l="1"/>
  <c r="BD260" i="2"/>
  <c r="BH263" i="2" s="1"/>
  <c r="CW40" i="4"/>
  <c r="CW13" i="7"/>
  <c r="CW12" i="7" l="1"/>
  <c r="CW39" i="4"/>
  <c r="CW15" i="7"/>
  <c r="CW16" i="7" s="1"/>
  <c r="CW17" i="7"/>
  <c r="CW24" i="3"/>
  <c r="BD261" i="2"/>
  <c r="BD267" i="2"/>
  <c r="D16" i="15" s="1"/>
  <c r="BD263" i="2"/>
  <c r="BD3" i="4"/>
  <c r="BD262" i="2"/>
  <c r="BH270" i="2" l="1"/>
  <c r="H55" i="15" s="1"/>
  <c r="CX11" i="7"/>
  <c r="CW32" i="3"/>
  <c r="BD270" i="2"/>
  <c r="D55" i="15" s="1"/>
  <c r="BD268" i="2"/>
  <c r="D35" i="15" s="1"/>
  <c r="BD269" i="2"/>
  <c r="BD30" i="3" l="1"/>
  <c r="BD26" i="6"/>
  <c r="BD27" i="6" l="1"/>
  <c r="BE27" i="6"/>
  <c r="BD38" i="3"/>
  <c r="BD12" i="4"/>
  <c r="BD22" i="4" l="1"/>
  <c r="BD47" i="4" l="1"/>
  <c r="BD76" i="4"/>
  <c r="D20" i="15" s="1"/>
  <c r="BH79" i="4" l="1"/>
  <c r="H59" i="15" s="1"/>
  <c r="BD49" i="4"/>
  <c r="BD79" i="4"/>
  <c r="D59" i="15" s="1"/>
  <c r="BD83" i="4"/>
  <c r="D21" i="15" s="1"/>
  <c r="BD77" i="4"/>
  <c r="D38" i="15" s="1"/>
  <c r="BD78" i="4"/>
  <c r="BH86" i="4" l="1"/>
  <c r="H60" i="15" s="1"/>
  <c r="BD84" i="4"/>
  <c r="D39" i="15" s="1"/>
  <c r="BD86" i="4"/>
  <c r="D60" i="15" s="1"/>
  <c r="BD85" i="4"/>
  <c r="BD3" i="3"/>
  <c r="BD5" i="7" l="1"/>
  <c r="BE4" i="7" s="1"/>
  <c r="BE7" i="7" s="1"/>
  <c r="BD11" i="3"/>
  <c r="BD51" i="3"/>
  <c r="BM11" i="7" l="1"/>
  <c r="BM13" i="7" s="1"/>
  <c r="BM40" i="4" s="1"/>
  <c r="CX40" i="4" s="1"/>
  <c r="BD20" i="3"/>
  <c r="CV8" i="3"/>
  <c r="BD6" i="7"/>
  <c r="CX13" i="7" l="1"/>
  <c r="BM12" i="7"/>
  <c r="BM15" i="7" s="1"/>
  <c r="BM32" i="3" s="1"/>
  <c r="BM18" i="7"/>
  <c r="CX18" i="7"/>
  <c r="BM39" i="4"/>
  <c r="CX39" i="4" s="1"/>
  <c r="CX32" i="3"/>
  <c r="BN11" i="7"/>
  <c r="BM16" i="7"/>
  <c r="CX15" i="7" l="1"/>
  <c r="CX16" i="7" s="1"/>
  <c r="CX12" i="7"/>
  <c r="CX17" i="7"/>
  <c r="BD45" i="3"/>
  <c r="BN13" i="7"/>
  <c r="BN18" i="7"/>
  <c r="CY11" i="7"/>
  <c r="BN12" i="7"/>
  <c r="CX24" i="3"/>
  <c r="CV8" i="7"/>
  <c r="BN15" i="7" l="1"/>
  <c r="BN32" i="3" s="1"/>
  <c r="BE250" i="2"/>
  <c r="CV243" i="2"/>
  <c r="BN40" i="4"/>
  <c r="BN39" i="4"/>
  <c r="BD47" i="3"/>
  <c r="CV7" i="7"/>
  <c r="BN16" i="7"/>
  <c r="BO11" i="7" l="1"/>
  <c r="BO13" i="7" s="1"/>
  <c r="BF252" i="2"/>
  <c r="BI253" i="2"/>
  <c r="BE260" i="2"/>
  <c r="BE256" i="2"/>
  <c r="BO12" i="7"/>
  <c r="BO18" i="7"/>
  <c r="BD49" i="3"/>
  <c r="BE253" i="2"/>
  <c r="BE251" i="2"/>
  <c r="BE252" i="2"/>
  <c r="CV250" i="2"/>
  <c r="BF262" i="2" l="1"/>
  <c r="BI263" i="2"/>
  <c r="BE263" i="2"/>
  <c r="BE272" i="2"/>
  <c r="BE267" i="2"/>
  <c r="BE261" i="2"/>
  <c r="BE262" i="2"/>
  <c r="CV253" i="2"/>
  <c r="CV251" i="2"/>
  <c r="BO39" i="4"/>
  <c r="CV255" i="2"/>
  <c r="BO15" i="7"/>
  <c r="BO32" i="3" s="1"/>
  <c r="BE3" i="4"/>
  <c r="CV260" i="2"/>
  <c r="BO40" i="4"/>
  <c r="BI270" i="2" l="1"/>
  <c r="E16" i="15"/>
  <c r="BF273" i="2"/>
  <c r="BI274" i="2"/>
  <c r="BF269" i="2"/>
  <c r="BE270" i="2"/>
  <c r="E55" i="15" s="1"/>
  <c r="BE278" i="2"/>
  <c r="BE268" i="2"/>
  <c r="E35" i="15" s="1"/>
  <c r="BE269" i="2"/>
  <c r="BE274" i="2"/>
  <c r="BE45" i="3"/>
  <c r="BP11" i="7"/>
  <c r="BO16" i="7"/>
  <c r="CV267" i="2"/>
  <c r="CV261" i="2"/>
  <c r="CV263" i="2"/>
  <c r="CV258" i="2"/>
  <c r="CV256" i="2"/>
  <c r="CV3" i="4"/>
  <c r="T16" i="15" l="1"/>
  <c r="C21" i="1"/>
  <c r="BI280" i="2"/>
  <c r="E17" i="15"/>
  <c r="BF279" i="2"/>
  <c r="BE280" i="2"/>
  <c r="E56" i="15" s="1"/>
  <c r="CV268" i="2"/>
  <c r="CV270" i="2"/>
  <c r="T55" i="15" s="1"/>
  <c r="CV12" i="6"/>
  <c r="CV23" i="6"/>
  <c r="CV24" i="6"/>
  <c r="CV43" i="3"/>
  <c r="BP12" i="7"/>
  <c r="BP13" i="7"/>
  <c r="BP18" i="7"/>
  <c r="T35" i="15" l="1"/>
  <c r="C22" i="1"/>
  <c r="CV16" i="6"/>
  <c r="CV26" i="6" s="1"/>
  <c r="CV27" i="6" s="1"/>
  <c r="CV6" i="3"/>
  <c r="BP40" i="4"/>
  <c r="BP39" i="4"/>
  <c r="BP15" i="7"/>
  <c r="BP32" i="3" s="1"/>
  <c r="CV29" i="3"/>
  <c r="BE30" i="3"/>
  <c r="BE38" i="3" s="1"/>
  <c r="BE47" i="3" s="1"/>
  <c r="BE12" i="4" l="1"/>
  <c r="CV14" i="4"/>
  <c r="CV12" i="4" s="1"/>
  <c r="BQ11" i="7"/>
  <c r="BP16" i="7"/>
  <c r="CV30" i="3"/>
  <c r="BQ18" i="7" l="1"/>
  <c r="BQ13" i="7"/>
  <c r="BQ12" i="7"/>
  <c r="CV38" i="3"/>
  <c r="CV22" i="4"/>
  <c r="BE22" i="4"/>
  <c r="BQ15" i="7" l="1"/>
  <c r="BQ32" i="3" s="1"/>
  <c r="CV47" i="4"/>
  <c r="BQ40" i="4"/>
  <c r="CY40" i="4" s="1"/>
  <c r="CY13" i="7"/>
  <c r="BE47" i="4"/>
  <c r="BE76" i="4"/>
  <c r="BQ39" i="4"/>
  <c r="CY12" i="7"/>
  <c r="CY18" i="7"/>
  <c r="BI79" i="4" l="1"/>
  <c r="E20" i="15"/>
  <c r="BR11" i="7"/>
  <c r="CZ11" i="7" s="1"/>
  <c r="CY32" i="3"/>
  <c r="CY15" i="7"/>
  <c r="CY16" i="7" s="1"/>
  <c r="BQ16" i="7"/>
  <c r="BE49" i="4"/>
  <c r="CY39" i="4"/>
  <c r="CY17" i="7"/>
  <c r="BE79" i="4"/>
  <c r="E59" i="15" s="1"/>
  <c r="BE77" i="4"/>
  <c r="E38" i="15" s="1"/>
  <c r="BE83" i="4"/>
  <c r="BE78" i="4"/>
  <c r="CV76" i="4"/>
  <c r="CY24" i="3"/>
  <c r="C34" i="1" l="1"/>
  <c r="BI86" i="4"/>
  <c r="E21" i="15"/>
  <c r="T20" i="15"/>
  <c r="BR13" i="7"/>
  <c r="BR40" i="4" s="1"/>
  <c r="BR12" i="7"/>
  <c r="BR18" i="7"/>
  <c r="BE84" i="4"/>
  <c r="E39" i="15" s="1"/>
  <c r="BE86" i="4"/>
  <c r="E60" i="15" s="1"/>
  <c r="CV83" i="4"/>
  <c r="BE85" i="4"/>
  <c r="CV77" i="4"/>
  <c r="CV79" i="4"/>
  <c r="BE3" i="3"/>
  <c r="CV49" i="4"/>
  <c r="T59" i="15" l="1"/>
  <c r="C36" i="1"/>
  <c r="T38" i="15"/>
  <c r="C35" i="1"/>
  <c r="T21" i="15"/>
  <c r="C28" i="1"/>
  <c r="BR15" i="7"/>
  <c r="BR32" i="3" s="1"/>
  <c r="BR39" i="4"/>
  <c r="BE11" i="3"/>
  <c r="BE20" i="3" s="1"/>
  <c r="BE5" i="7"/>
  <c r="CV84" i="4"/>
  <c r="CV86" i="4"/>
  <c r="CV3" i="3"/>
  <c r="BE51" i="3"/>
  <c r="BR16" i="7" l="1"/>
  <c r="T39" i="15"/>
  <c r="C29" i="1"/>
  <c r="T60" i="15"/>
  <c r="C30" i="1"/>
  <c r="BS11" i="7"/>
  <c r="BS13" i="7" s="1"/>
  <c r="BS40" i="4" s="1"/>
  <c r="BE6" i="7"/>
  <c r="BF4" i="7"/>
  <c r="BF7" i="7" s="1"/>
  <c r="CV51" i="3"/>
  <c r="CV5" i="7"/>
  <c r="CV6" i="7" s="1"/>
  <c r="CV11" i="3"/>
  <c r="BE49" i="3"/>
  <c r="BS12" i="7" l="1"/>
  <c r="BS39" i="4" s="1"/>
  <c r="BS18" i="7"/>
  <c r="CV20" i="3"/>
  <c r="CW4" i="7"/>
  <c r="BS15" i="7" l="1"/>
  <c r="BS32" i="3" s="1"/>
  <c r="CV40" i="3"/>
  <c r="BT11" i="7" l="1"/>
  <c r="BT13" i="7" s="1"/>
  <c r="BS16" i="7"/>
  <c r="BT18" i="7"/>
  <c r="BT40" i="4"/>
  <c r="CV45" i="3"/>
  <c r="BT12" i="7" l="1"/>
  <c r="BT15" i="7" s="1"/>
  <c r="CV47" i="3"/>
  <c r="BT39" i="4" l="1"/>
  <c r="BT32" i="3"/>
  <c r="BT16" i="7"/>
  <c r="BU11" i="7"/>
  <c r="BU13" i="7" s="1"/>
  <c r="BU40" i="4" s="1"/>
  <c r="CZ40" i="4" s="1"/>
  <c r="BF3" i="4"/>
  <c r="CV49" i="3"/>
  <c r="BU12" i="7" l="1"/>
  <c r="BU39" i="4" s="1"/>
  <c r="BU18" i="7"/>
  <c r="CZ18" i="7" s="1"/>
  <c r="CZ17" i="7" s="1"/>
  <c r="CZ13" i="7"/>
  <c r="BU15" i="7"/>
  <c r="BV11" i="7" s="1"/>
  <c r="BV18" i="7" s="1"/>
  <c r="CZ12" i="7"/>
  <c r="CZ39" i="4"/>
  <c r="BU16" i="7" l="1"/>
  <c r="BU32" i="3"/>
  <c r="CZ15" i="7"/>
  <c r="CZ16" i="7" s="1"/>
  <c r="BV13" i="7"/>
  <c r="BV40" i="4" s="1"/>
  <c r="DA11" i="7"/>
  <c r="BV12" i="7"/>
  <c r="CZ24" i="3"/>
  <c r="CZ32" i="3" l="1"/>
  <c r="BV15" i="7"/>
  <c r="BV16" i="7" s="1"/>
  <c r="BV39" i="4"/>
  <c r="BF30" i="3"/>
  <c r="BW11" i="7" l="1"/>
  <c r="BV32" i="3"/>
  <c r="BF12" i="4"/>
  <c r="BF38" i="3"/>
  <c r="BW18" i="7" l="1"/>
  <c r="BW13" i="7"/>
  <c r="BW40" i="4" s="1"/>
  <c r="BW12" i="7"/>
  <c r="BF22" i="4"/>
  <c r="BF76" i="4" s="1"/>
  <c r="F20" i="15" l="1"/>
  <c r="BJ79" i="4"/>
  <c r="BG78" i="4"/>
  <c r="BW39" i="4"/>
  <c r="BW15" i="7"/>
  <c r="BF78" i="4"/>
  <c r="BF79" i="4"/>
  <c r="F59" i="15" s="1"/>
  <c r="BF83" i="4"/>
  <c r="BF77" i="4"/>
  <c r="F38" i="15" s="1"/>
  <c r="BF47" i="4"/>
  <c r="F21" i="15" l="1"/>
  <c r="BJ86" i="4"/>
  <c r="BG85" i="4"/>
  <c r="BW16" i="7"/>
  <c r="BW32" i="3"/>
  <c r="BX11" i="7"/>
  <c r="BF85" i="4"/>
  <c r="BF86" i="4"/>
  <c r="F60" i="15" s="1"/>
  <c r="BF84" i="4"/>
  <c r="F39" i="15" s="1"/>
  <c r="BF49" i="4"/>
  <c r="BG49" i="4" s="1"/>
  <c r="BG3" i="3" l="1"/>
  <c r="BG11" i="3" s="1"/>
  <c r="BG20" i="3" s="1"/>
  <c r="BG49" i="3" s="1"/>
  <c r="BH49" i="4"/>
  <c r="BX13" i="7"/>
  <c r="BX40" i="4" s="1"/>
  <c r="BX18" i="7"/>
  <c r="BX12" i="7"/>
  <c r="BF3" i="3"/>
  <c r="BG5" i="7" l="1"/>
  <c r="BH4" i="7" s="1"/>
  <c r="BH7" i="7" s="1"/>
  <c r="BH3" i="3"/>
  <c r="BH5" i="7" s="1"/>
  <c r="BI49" i="4"/>
  <c r="BG51" i="3"/>
  <c r="BX15" i="7"/>
  <c r="BX39" i="4"/>
  <c r="BF5" i="7"/>
  <c r="BF51" i="3"/>
  <c r="DA24" i="3"/>
  <c r="BF11" i="3"/>
  <c r="BI3" i="3" l="1"/>
  <c r="BI51" i="3" s="1"/>
  <c r="BJ49" i="4"/>
  <c r="BH51" i="3"/>
  <c r="BH11" i="3"/>
  <c r="BH20" i="3" s="1"/>
  <c r="BH49" i="3" s="1"/>
  <c r="BH6" i="7"/>
  <c r="BI4" i="7"/>
  <c r="BF6" i="7"/>
  <c r="BG4" i="7"/>
  <c r="BY11" i="7"/>
  <c r="BX32" i="3"/>
  <c r="BX16" i="7"/>
  <c r="BF20" i="3"/>
  <c r="BJ3" i="3" l="1"/>
  <c r="BK49" i="4"/>
  <c r="BI5" i="7"/>
  <c r="BJ4" i="7" s="1"/>
  <c r="BJ7" i="7" s="1"/>
  <c r="BR7" i="7" s="1"/>
  <c r="BV7" i="7" s="1"/>
  <c r="BZ7" i="7" s="1"/>
  <c r="CD7" i="7" s="1"/>
  <c r="BI11" i="3"/>
  <c r="BI20" i="3" s="1"/>
  <c r="BI49" i="3" s="1"/>
  <c r="BJ5" i="7"/>
  <c r="BK4" i="7" s="1"/>
  <c r="BK7" i="7" s="1"/>
  <c r="BS7" i="7" s="1"/>
  <c r="BW7" i="7" s="1"/>
  <c r="CA7" i="7" s="1"/>
  <c r="CE7" i="7" s="1"/>
  <c r="BJ51" i="3"/>
  <c r="BJ11" i="3"/>
  <c r="BJ20" i="3" s="1"/>
  <c r="BJ49" i="3" s="1"/>
  <c r="BI7" i="7"/>
  <c r="BG7" i="7"/>
  <c r="BG6" i="7"/>
  <c r="BY12" i="7"/>
  <c r="BY18" i="7"/>
  <c r="BY13" i="7"/>
  <c r="BK3" i="3" l="1"/>
  <c r="BL49" i="4"/>
  <c r="BL3" i="3" s="1"/>
  <c r="BI6" i="7"/>
  <c r="BK5" i="7"/>
  <c r="BK51" i="3"/>
  <c r="BK11" i="3"/>
  <c r="BK20" i="3" s="1"/>
  <c r="BK49" i="3" s="1"/>
  <c r="BJ6" i="7"/>
  <c r="DA13" i="7"/>
  <c r="BY40" i="4"/>
  <c r="DA40" i="4" s="1"/>
  <c r="DA18" i="7"/>
  <c r="BY15" i="7"/>
  <c r="BY39" i="4"/>
  <c r="DA12" i="7"/>
  <c r="BF45" i="3"/>
  <c r="BK6" i="7" l="1"/>
  <c r="BL4" i="7"/>
  <c r="BL51" i="3"/>
  <c r="BL11" i="3"/>
  <c r="BL20" i="3" s="1"/>
  <c r="BL49" i="3" s="1"/>
  <c r="BL5" i="7"/>
  <c r="DA39" i="4"/>
  <c r="BZ11" i="7"/>
  <c r="BY32" i="3"/>
  <c r="DA15" i="7"/>
  <c r="DA16" i="7" s="1"/>
  <c r="BY16" i="7"/>
  <c r="DA17" i="7"/>
  <c r="BF47" i="3"/>
  <c r="BL7" i="7" l="1"/>
  <c r="BT7" i="7" s="1"/>
  <c r="BX7" i="7" s="1"/>
  <c r="CB7" i="7" s="1"/>
  <c r="CF7" i="7" s="1"/>
  <c r="BL6" i="7"/>
  <c r="DA32" i="3"/>
  <c r="DB11" i="7"/>
  <c r="BZ18" i="7"/>
  <c r="BZ13" i="7"/>
  <c r="BZ40" i="4" s="1"/>
  <c r="BZ12" i="7"/>
  <c r="BZ39" i="4" s="1"/>
  <c r="BF49" i="3"/>
  <c r="BZ15" i="7" l="1"/>
  <c r="BZ32" i="3" l="1"/>
  <c r="CA11" i="7"/>
  <c r="BZ16" i="7"/>
  <c r="CA18" i="7" l="1"/>
  <c r="CA13" i="7"/>
  <c r="CA40" i="4" s="1"/>
  <c r="CA12" i="7"/>
  <c r="CA39" i="4" s="1"/>
  <c r="CA15" i="7" l="1"/>
  <c r="CA16" i="7" s="1"/>
  <c r="CA32" i="3" l="1"/>
  <c r="CB11" i="7"/>
  <c r="CB18" i="7" s="1"/>
  <c r="DB24" i="3"/>
  <c r="CB13" i="7" l="1"/>
  <c r="CB40" i="4" s="1"/>
  <c r="CB12" i="7"/>
  <c r="CB39" i="4" s="1"/>
  <c r="CB15" i="7" l="1"/>
  <c r="CB32" i="3" s="1"/>
  <c r="CB16" i="7" l="1"/>
  <c r="CC11" i="7"/>
  <c r="CC13" i="7" s="1"/>
  <c r="CC18" i="7" l="1"/>
  <c r="CC12" i="7"/>
  <c r="CC39" i="4" s="1"/>
  <c r="CC40" i="4"/>
  <c r="DB40" i="4" s="1"/>
  <c r="DB13" i="7"/>
  <c r="DB18" i="7" l="1"/>
  <c r="DB17" i="7" s="1"/>
  <c r="CC15" i="7"/>
  <c r="CC32" i="3" s="1"/>
  <c r="DB32" i="3" s="1"/>
  <c r="DB12" i="7"/>
  <c r="DB39" i="4"/>
  <c r="DB15" i="7" l="1"/>
  <c r="DB16" i="7" s="1"/>
  <c r="CC16" i="7"/>
  <c r="CD11" i="7"/>
  <c r="DC11" i="7" l="1"/>
  <c r="CD12" i="7"/>
  <c r="CD18" i="7"/>
  <c r="CD13" i="7"/>
  <c r="CD40" i="4" l="1"/>
  <c r="CD15" i="7"/>
  <c r="CD39" i="4"/>
  <c r="CE11" i="7" l="1"/>
  <c r="CD32" i="3"/>
  <c r="CD16" i="7"/>
  <c r="CW8" i="3"/>
  <c r="CD38" i="3" l="1"/>
  <c r="CE13" i="7"/>
  <c r="CE18" i="7"/>
  <c r="CE12" i="7"/>
  <c r="CW12" i="6"/>
  <c r="CW23" i="6"/>
  <c r="CW24" i="6"/>
  <c r="CE39" i="4" l="1"/>
  <c r="CE15" i="7"/>
  <c r="CE40" i="4"/>
  <c r="CW16" i="6"/>
  <c r="CW26" i="6" s="1"/>
  <c r="CW27" i="6" s="1"/>
  <c r="CW6" i="3"/>
  <c r="CW29" i="3"/>
  <c r="CE32" i="3" l="1"/>
  <c r="CF11" i="7"/>
  <c r="CE16" i="7"/>
  <c r="CW30" i="3"/>
  <c r="CW14" i="4"/>
  <c r="CW12" i="4" s="1"/>
  <c r="CF13" i="7" l="1"/>
  <c r="CF18" i="7"/>
  <c r="CF12" i="7"/>
  <c r="CF15" i="7"/>
  <c r="CF16" i="7" s="1"/>
  <c r="CE38" i="3"/>
  <c r="CG11" i="7" l="1"/>
  <c r="CF32" i="3"/>
  <c r="CF39" i="4"/>
  <c r="CF40" i="4"/>
  <c r="CW40" i="3"/>
  <c r="CF38" i="3" l="1"/>
  <c r="CG13" i="7"/>
  <c r="CG18" i="7"/>
  <c r="CG12" i="7"/>
  <c r="CG15" i="7" l="1"/>
  <c r="CG16" i="7" s="1"/>
  <c r="CG40" i="4"/>
  <c r="DC40" i="4" s="1"/>
  <c r="DC13" i="7"/>
  <c r="CG39" i="4"/>
  <c r="DC12" i="7"/>
  <c r="DC18" i="7"/>
  <c r="DC15" i="7" l="1"/>
  <c r="DC16" i="7" s="1"/>
  <c r="CG32" i="3"/>
  <c r="DC17" i="7"/>
  <c r="DC39" i="4"/>
  <c r="DC32" i="3" l="1"/>
  <c r="CG38" i="3"/>
  <c r="DC38" i="3"/>
  <c r="CX8" i="3" l="1"/>
  <c r="BM16" i="6" l="1"/>
  <c r="CX12" i="6"/>
  <c r="CX23" i="6"/>
  <c r="BM24" i="6"/>
  <c r="CX24" i="6" s="1"/>
  <c r="BM26" i="6" l="1"/>
  <c r="BM27" i="6" s="1"/>
  <c r="CX16" i="6"/>
  <c r="CX26" i="6" s="1"/>
  <c r="CX27" i="6" s="1"/>
  <c r="CX6" i="3"/>
  <c r="CX29" i="3"/>
  <c r="BM30" i="3"/>
  <c r="CX30" i="3" l="1"/>
  <c r="BM12" i="4"/>
  <c r="CX14" i="4"/>
  <c r="CX12" i="4" s="1"/>
  <c r="CX40" i="3" l="1"/>
  <c r="BN16" i="6" l="1"/>
  <c r="BN24" i="6"/>
  <c r="BN26" i="6" l="1"/>
  <c r="BN27" i="6" s="1"/>
  <c r="BN30" i="3"/>
  <c r="BN12" i="4" l="1"/>
  <c r="BO16" i="6" l="1"/>
  <c r="BO24" i="6"/>
  <c r="BO26" i="6" l="1"/>
  <c r="BO27" i="6" s="1"/>
  <c r="BO30" i="3"/>
  <c r="BO12" i="4" l="1"/>
  <c r="BP24" i="6" l="1"/>
  <c r="BP16" i="6"/>
  <c r="BP26" i="6" l="1"/>
  <c r="BP27" i="6" s="1"/>
  <c r="BP30" i="3"/>
  <c r="BP12" i="4" l="1"/>
  <c r="CY8" i="3" l="1"/>
  <c r="CY23" i="6" l="1"/>
  <c r="BQ24" i="6"/>
  <c r="CY24" i="6" s="1"/>
  <c r="BQ16" i="6"/>
  <c r="CY12" i="6"/>
  <c r="BQ26" i="6" l="1"/>
  <c r="BQ27" i="6" s="1"/>
  <c r="CY16" i="6"/>
  <c r="CY26" i="6" s="1"/>
  <c r="CY27" i="6" s="1"/>
  <c r="CY6" i="3"/>
  <c r="CY29" i="3"/>
  <c r="BQ30" i="3"/>
  <c r="CY30" i="3" l="1"/>
  <c r="BQ12" i="4"/>
  <c r="CY14" i="4"/>
  <c r="CY12" i="4" s="1"/>
  <c r="CY40" i="3" l="1"/>
  <c r="BR16" i="6" l="1"/>
  <c r="BR24" i="6"/>
  <c r="BR30" i="3" l="1"/>
  <c r="BR26" i="6"/>
  <c r="BR27" i="6" s="1"/>
  <c r="BR12" i="4" l="1"/>
  <c r="BS16" i="6" l="1"/>
  <c r="BS24" i="6"/>
  <c r="BS26" i="6" l="1"/>
  <c r="BS27" i="6" s="1"/>
  <c r="BS30" i="3"/>
  <c r="BS12" i="4" l="1"/>
  <c r="BT24" i="6" l="1"/>
  <c r="BT16" i="6"/>
  <c r="BT26" i="6" l="1"/>
  <c r="BT27" i="6" s="1"/>
  <c r="BT30" i="3"/>
  <c r="BT12" i="4" l="1"/>
  <c r="CZ8" i="3" l="1"/>
  <c r="BU16" i="6" l="1"/>
  <c r="CZ12" i="6"/>
  <c r="CZ23" i="6"/>
  <c r="BU24" i="6"/>
  <c r="CZ24" i="6" s="1"/>
  <c r="CZ29" i="3" l="1"/>
  <c r="BU30" i="3"/>
  <c r="CZ6" i="3"/>
  <c r="BU26" i="6"/>
  <c r="BU27" i="6" s="1"/>
  <c r="CZ16" i="6"/>
  <c r="CZ26" i="6" s="1"/>
  <c r="CZ27" i="6" s="1"/>
  <c r="BU12" i="4" l="1"/>
  <c r="CZ14" i="4"/>
  <c r="CZ12" i="4" s="1"/>
  <c r="CZ30" i="3"/>
  <c r="CZ40" i="3" l="1"/>
  <c r="BV24" i="6" l="1"/>
  <c r="BV16" i="6"/>
  <c r="BV26" i="6" l="1"/>
  <c r="BV27" i="6" s="1"/>
  <c r="BV30" i="3"/>
  <c r="BC2" i="8"/>
  <c r="BV12" i="4" l="1"/>
  <c r="BC282" i="2" l="1"/>
  <c r="BC278" i="2" l="1"/>
  <c r="C17" i="15" s="1"/>
  <c r="BC276" i="2"/>
  <c r="BC272" i="2"/>
  <c r="BG274" i="2" s="1"/>
  <c r="BG280" i="2" l="1"/>
  <c r="G56" i="15" s="1"/>
  <c r="BC280" i="2"/>
  <c r="C56" i="15" s="1"/>
  <c r="BC279" i="2"/>
  <c r="BC273" i="2"/>
  <c r="BC274" i="2"/>
  <c r="BC20" i="7" l="1"/>
  <c r="BD2" i="8" l="1"/>
  <c r="BD3" i="8" s="1"/>
  <c r="BE2" i="8"/>
  <c r="BE3" i="8" s="1"/>
  <c r="BC3" i="8"/>
  <c r="CV3" i="8" l="1"/>
  <c r="CV7" i="8" l="1"/>
  <c r="CV5" i="8"/>
  <c r="CV9" i="8" l="1"/>
  <c r="CV8" i="8" s="1"/>
  <c r="BD282" i="2"/>
  <c r="CW2" i="8"/>
  <c r="CV282" i="2" l="1"/>
  <c r="BD276" i="2"/>
  <c r="CV276" i="2" s="1"/>
  <c r="BD278" i="2"/>
  <c r="D17" i="15" s="1"/>
  <c r="BD272" i="2"/>
  <c r="BH274" i="2" s="1"/>
  <c r="BH280" i="2" l="1"/>
  <c r="H56" i="15" s="1"/>
  <c r="CV278" i="2"/>
  <c r="BD273" i="2"/>
  <c r="BE273" i="2"/>
  <c r="BE279" i="2"/>
  <c r="BD280" i="2"/>
  <c r="D56" i="15" s="1"/>
  <c r="BD279" i="2"/>
  <c r="BD274" i="2"/>
  <c r="BW24" i="6"/>
  <c r="BW16" i="6"/>
  <c r="CV272" i="2"/>
  <c r="C23" i="1" l="1"/>
  <c r="C25" i="1" s="1"/>
  <c r="T17" i="15"/>
  <c r="CV280" i="2"/>
  <c r="C24" i="1" s="1"/>
  <c r="BW26" i="6"/>
  <c r="BW27" i="6" s="1"/>
  <c r="BW30" i="3"/>
  <c r="CV274" i="2"/>
  <c r="C26" i="1" l="1"/>
  <c r="T56" i="15"/>
  <c r="BW12" i="4"/>
  <c r="CW102" i="4" l="1"/>
  <c r="CW5" i="8"/>
  <c r="CW7" i="8"/>
  <c r="CW38" i="4" l="1"/>
  <c r="CW37" i="3"/>
  <c r="CW100" i="4"/>
  <c r="CW9" i="8"/>
  <c r="CW282" i="2" s="1"/>
  <c r="CX2" i="8"/>
  <c r="CW43" i="4" l="1"/>
  <c r="CW38" i="3"/>
  <c r="CW8" i="8"/>
  <c r="CW276" i="2"/>
  <c r="H61" i="17" l="1"/>
  <c r="B4" i="1"/>
  <c r="BM2" i="8"/>
  <c r="B5" i="1" l="1"/>
  <c r="BX24" i="6"/>
  <c r="BX16" i="6"/>
  <c r="BM5" i="8"/>
  <c r="BX26" i="6" l="1"/>
  <c r="BX27" i="6" s="1"/>
  <c r="BX30" i="3"/>
  <c r="BN2" i="8"/>
  <c r="CX5" i="8"/>
  <c r="BM7" i="8"/>
  <c r="BM100" i="4" s="1"/>
  <c r="BM102" i="4" s="1"/>
  <c r="J61" i="17" s="1"/>
  <c r="CX102" i="4" l="1"/>
  <c r="BM38" i="4"/>
  <c r="BX12" i="4"/>
  <c r="BM9" i="8"/>
  <c r="CX7" i="8"/>
  <c r="BN5" i="8"/>
  <c r="CY2" i="8"/>
  <c r="BM43" i="4" l="1"/>
  <c r="CX38" i="4"/>
  <c r="CX37" i="3"/>
  <c r="BM38" i="3"/>
  <c r="CX100" i="4"/>
  <c r="BO2" i="8"/>
  <c r="BN7" i="8"/>
  <c r="BN100" i="4" s="1"/>
  <c r="BN102" i="4" s="1"/>
  <c r="BM282" i="2"/>
  <c r="CX9" i="8"/>
  <c r="K61" i="17" l="1"/>
  <c r="BN38" i="3"/>
  <c r="BN38" i="4"/>
  <c r="CX38" i="3"/>
  <c r="CX43" i="4"/>
  <c r="BO5" i="8"/>
  <c r="BO7" i="8" s="1"/>
  <c r="BO100" i="4" s="1"/>
  <c r="BO102" i="4" s="1"/>
  <c r="CX8" i="8"/>
  <c r="CX282" i="2"/>
  <c r="BM276" i="2"/>
  <c r="CX276" i="2" s="1"/>
  <c r="BN9" i="8"/>
  <c r="L61" i="17" l="1"/>
  <c r="BO38" i="4"/>
  <c r="BN43" i="4"/>
  <c r="DA8" i="3"/>
  <c r="BN282" i="2"/>
  <c r="BO9" i="8"/>
  <c r="BO282" i="2" s="1"/>
  <c r="BP2" i="8"/>
  <c r="BO38" i="3" l="1"/>
  <c r="BO43" i="4"/>
  <c r="BO276" i="2"/>
  <c r="BN276" i="2"/>
  <c r="BP5" i="8"/>
  <c r="BQ2" i="8" l="1"/>
  <c r="BP7" i="8"/>
  <c r="BP100" i="4" s="1"/>
  <c r="BP102" i="4" s="1"/>
  <c r="M61" i="17" l="1"/>
  <c r="C78" i="1" s="1"/>
  <c r="BP38" i="4"/>
  <c r="BP9" i="8"/>
  <c r="C5" i="17" s="1"/>
  <c r="C79" i="1" s="1"/>
  <c r="BQ5" i="8"/>
  <c r="BQ7" i="8" s="1"/>
  <c r="BQ100" i="4" s="1"/>
  <c r="BQ102" i="4" s="1"/>
  <c r="D79" i="1" l="1"/>
  <c r="B79" i="1"/>
  <c r="D78" i="1"/>
  <c r="B78" i="1"/>
  <c r="O61" i="17"/>
  <c r="BP43" i="4"/>
  <c r="CY102" i="4"/>
  <c r="BQ38" i="4"/>
  <c r="CW8" i="7"/>
  <c r="BP38" i="3"/>
  <c r="BQ9" i="8"/>
  <c r="BQ282" i="2" s="1"/>
  <c r="BR2" i="8"/>
  <c r="CY5" i="8"/>
  <c r="CY7" i="8"/>
  <c r="BP282" i="2"/>
  <c r="CY38" i="4" l="1"/>
  <c r="CW7" i="7"/>
  <c r="CW22" i="7"/>
  <c r="BQ43" i="4"/>
  <c r="CY37" i="3"/>
  <c r="BQ38" i="3"/>
  <c r="CW243" i="2"/>
  <c r="CY100" i="4"/>
  <c r="CY9" i="8"/>
  <c r="CY8" i="8" s="1"/>
  <c r="BP276" i="2"/>
  <c r="BR5" i="8"/>
  <c r="BR7" i="8" s="1"/>
  <c r="BR100" i="4" s="1"/>
  <c r="BR102" i="4" s="1"/>
  <c r="CZ2" i="8"/>
  <c r="BQ276" i="2"/>
  <c r="P61" i="17" l="1"/>
  <c r="CY43" i="4"/>
  <c r="CY38" i="3"/>
  <c r="BR38" i="4"/>
  <c r="CW250" i="2"/>
  <c r="CY282" i="2"/>
  <c r="BR9" i="8"/>
  <c r="BS2" i="8"/>
  <c r="CY276" i="2"/>
  <c r="CW255" i="2" l="1"/>
  <c r="BR38" i="3"/>
  <c r="BR43" i="4"/>
  <c r="CW253" i="2"/>
  <c r="CW251" i="2"/>
  <c r="DA23" i="6"/>
  <c r="BY24" i="6"/>
  <c r="DA24" i="6" s="1"/>
  <c r="DA12" i="6"/>
  <c r="BY16" i="6"/>
  <c r="BR282" i="2"/>
  <c r="BS5" i="8"/>
  <c r="CW256" i="2" l="1"/>
  <c r="CW258" i="2"/>
  <c r="CW260" i="2"/>
  <c r="DA6" i="3"/>
  <c r="DA29" i="3"/>
  <c r="BY30" i="3"/>
  <c r="BY26" i="6"/>
  <c r="BY27" i="6" s="1"/>
  <c r="DA16" i="6"/>
  <c r="DA26" i="6" s="1"/>
  <c r="DA27" i="6" s="1"/>
  <c r="BT2" i="8"/>
  <c r="BR276" i="2"/>
  <c r="BS7" i="8"/>
  <c r="BS100" i="4" s="1"/>
  <c r="BS102" i="4" s="1"/>
  <c r="Q61" i="17" l="1"/>
  <c r="I16" i="15"/>
  <c r="BS38" i="4"/>
  <c r="CW263" i="2"/>
  <c r="CW261" i="2"/>
  <c r="I35" i="15"/>
  <c r="I55" i="15"/>
  <c r="I17" i="15"/>
  <c r="CW267" i="2"/>
  <c r="CW272" i="2"/>
  <c r="CW3" i="4"/>
  <c r="DA30" i="3"/>
  <c r="BY12" i="4"/>
  <c r="DA14" i="4"/>
  <c r="DA12" i="4" s="1"/>
  <c r="BT5" i="8"/>
  <c r="BS9" i="8"/>
  <c r="U16" i="15" l="1"/>
  <c r="D21" i="1"/>
  <c r="BS38" i="3"/>
  <c r="CW22" i="4"/>
  <c r="CW270" i="2"/>
  <c r="U55" i="15" s="1"/>
  <c r="CW268" i="2"/>
  <c r="CW278" i="2"/>
  <c r="CW274" i="2"/>
  <c r="CW43" i="3"/>
  <c r="I20" i="15"/>
  <c r="I56" i="15"/>
  <c r="BS43" i="4"/>
  <c r="BU2" i="8"/>
  <c r="BS282" i="2"/>
  <c r="BT7" i="8"/>
  <c r="BT100" i="4" s="1"/>
  <c r="BT102" i="4" s="1"/>
  <c r="R61" i="17" l="1"/>
  <c r="R62" i="17" s="1"/>
  <c r="U35" i="15"/>
  <c r="D22" i="1"/>
  <c r="D23" i="1"/>
  <c r="D25" i="1" s="1"/>
  <c r="U17" i="15"/>
  <c r="BT38" i="3"/>
  <c r="CW47" i="4"/>
  <c r="CW280" i="2"/>
  <c r="BT38" i="4"/>
  <c r="CW45" i="3"/>
  <c r="I59" i="15"/>
  <c r="I38" i="15"/>
  <c r="I21" i="15"/>
  <c r="CW76" i="4"/>
  <c r="BS276" i="2"/>
  <c r="BT9" i="8"/>
  <c r="BU5" i="8"/>
  <c r="D34" i="1" l="1"/>
  <c r="U56" i="15"/>
  <c r="D24" i="1"/>
  <c r="D26" i="1" s="1"/>
  <c r="U20" i="15"/>
  <c r="CW77" i="4"/>
  <c r="CW79" i="4"/>
  <c r="CW47" i="3"/>
  <c r="BT43" i="4"/>
  <c r="CW83" i="4"/>
  <c r="I39" i="15"/>
  <c r="I60" i="15"/>
  <c r="CW49" i="4"/>
  <c r="BU7" i="8"/>
  <c r="BV2" i="8"/>
  <c r="BT282" i="2"/>
  <c r="CZ5" i="8"/>
  <c r="U38" i="15" l="1"/>
  <c r="D35" i="1"/>
  <c r="U21" i="15"/>
  <c r="D28" i="1"/>
  <c r="U59" i="15"/>
  <c r="D36" i="1"/>
  <c r="CW84" i="4"/>
  <c r="CW86" i="4"/>
  <c r="CW3" i="3"/>
  <c r="BU9" i="8"/>
  <c r="BU282" i="2" s="1"/>
  <c r="BU276" i="2" s="1"/>
  <c r="BU100" i="4"/>
  <c r="BU102" i="4" s="1"/>
  <c r="CZ7" i="8"/>
  <c r="DA2" i="8"/>
  <c r="BV5" i="8"/>
  <c r="BV7" i="8" s="1"/>
  <c r="BT276" i="2"/>
  <c r="T61" i="17" l="1"/>
  <c r="U60" i="15"/>
  <c r="D30" i="1"/>
  <c r="U39" i="15"/>
  <c r="D29" i="1"/>
  <c r="CW51" i="3"/>
  <c r="CW5" i="7"/>
  <c r="CW6" i="7" s="1"/>
  <c r="CZ9" i="8"/>
  <c r="CZ282" i="2" s="1"/>
  <c r="CW11" i="3"/>
  <c r="CZ102" i="4"/>
  <c r="BU38" i="4"/>
  <c r="CZ100" i="4"/>
  <c r="BV100" i="4"/>
  <c r="BV102" i="4" s="1"/>
  <c r="BW2" i="8"/>
  <c r="BW5" i="8" s="1"/>
  <c r="BV9" i="8"/>
  <c r="CZ276" i="2"/>
  <c r="U61" i="17" l="1"/>
  <c r="CZ8" i="8"/>
  <c r="BV38" i="4"/>
  <c r="CX4" i="7"/>
  <c r="BU43" i="4"/>
  <c r="CZ38" i="4"/>
  <c r="CZ37" i="3"/>
  <c r="BU38" i="3"/>
  <c r="CW20" i="3"/>
  <c r="BX2" i="8"/>
  <c r="BX5" i="8" s="1"/>
  <c r="BW7" i="8"/>
  <c r="BW100" i="4" s="1"/>
  <c r="BW102" i="4" s="1"/>
  <c r="BV282" i="2"/>
  <c r="V61" i="17" l="1"/>
  <c r="BW38" i="4"/>
  <c r="CZ38" i="3"/>
  <c r="BV43" i="4"/>
  <c r="CW49" i="3"/>
  <c r="CZ43" i="4"/>
  <c r="BV38" i="3"/>
  <c r="BY2" i="8"/>
  <c r="BY5" i="8" s="1"/>
  <c r="BX7" i="8"/>
  <c r="BX100" i="4" s="1"/>
  <c r="BX102" i="4" s="1"/>
  <c r="BW9" i="8"/>
  <c r="BW282" i="2" s="1"/>
  <c r="BV276" i="2"/>
  <c r="W61" i="17" l="1"/>
  <c r="W62" i="17" s="1"/>
  <c r="BX38" i="4"/>
  <c r="BW38" i="3"/>
  <c r="BW43" i="4"/>
  <c r="BZ2" i="8"/>
  <c r="DB2" i="8" s="1"/>
  <c r="DA5" i="8"/>
  <c r="BY7" i="8"/>
  <c r="DA40" i="3"/>
  <c r="BW276" i="2"/>
  <c r="BX9" i="8"/>
  <c r="BX282" i="2" s="1"/>
  <c r="BD20" i="7"/>
  <c r="BZ5" i="8" l="1"/>
  <c r="BZ7" i="8" s="1"/>
  <c r="BX38" i="3"/>
  <c r="BX43" i="4"/>
  <c r="BY100" i="4"/>
  <c r="BY102" i="4" s="1"/>
  <c r="DA7" i="8"/>
  <c r="BY9" i="8"/>
  <c r="BY282" i="2" s="1"/>
  <c r="BX276" i="2"/>
  <c r="Y61" i="17" l="1"/>
  <c r="CA2" i="8"/>
  <c r="CA5" i="8" s="1"/>
  <c r="CA7" i="8" s="1"/>
  <c r="CA100" i="4" s="1"/>
  <c r="CA102" i="4" s="1"/>
  <c r="CA38" i="4" s="1"/>
  <c r="DA102" i="4"/>
  <c r="BY38" i="4"/>
  <c r="DA100" i="4"/>
  <c r="BZ100" i="4"/>
  <c r="BZ102" i="4" s="1"/>
  <c r="DA9" i="8"/>
  <c r="DA282" i="2" s="1"/>
  <c r="BZ9" i="8"/>
  <c r="BZ282" i="2" s="1"/>
  <c r="BY276" i="2"/>
  <c r="DA276" i="2" s="1"/>
  <c r="AA61" i="17" l="1"/>
  <c r="Z61" i="17"/>
  <c r="J16" i="15"/>
  <c r="CA9" i="8"/>
  <c r="CA282" i="2" s="1"/>
  <c r="CA276" i="2" s="1"/>
  <c r="CB2" i="8"/>
  <c r="CB5" i="8" s="1"/>
  <c r="CA43" i="4"/>
  <c r="DA37" i="3"/>
  <c r="BY38" i="3"/>
  <c r="J35" i="15"/>
  <c r="J55" i="15"/>
  <c r="BZ38" i="4"/>
  <c r="BY43" i="4"/>
  <c r="DA38" i="4"/>
  <c r="DA8" i="8"/>
  <c r="C37" i="17"/>
  <c r="BZ276" i="2"/>
  <c r="BZ16" i="6"/>
  <c r="BZ24" i="6"/>
  <c r="J17" i="15" l="1"/>
  <c r="CC2" i="8"/>
  <c r="CC5" i="8" s="1"/>
  <c r="CB7" i="8"/>
  <c r="CB100" i="4" s="1"/>
  <c r="CB102" i="4" s="1"/>
  <c r="DA43" i="4"/>
  <c r="DA38" i="3"/>
  <c r="BZ43" i="4"/>
  <c r="J56" i="15"/>
  <c r="J20" i="15"/>
  <c r="BZ30" i="3"/>
  <c r="BZ26" i="6"/>
  <c r="BZ27" i="6" s="1"/>
  <c r="AB61" i="17" l="1"/>
  <c r="AB62" i="17" s="1"/>
  <c r="CC7" i="8"/>
  <c r="CC100" i="4" s="1"/>
  <c r="CC102" i="4" s="1"/>
  <c r="CD2" i="8"/>
  <c r="DB5" i="8"/>
  <c r="CB38" i="4"/>
  <c r="CB9" i="8"/>
  <c r="CB282" i="2" s="1"/>
  <c r="CB276" i="2" s="1"/>
  <c r="J38" i="15"/>
  <c r="J21" i="15"/>
  <c r="J59" i="15"/>
  <c r="BZ38" i="3"/>
  <c r="BZ12" i="4"/>
  <c r="AD61" i="17" l="1"/>
  <c r="CC9" i="8"/>
  <c r="CC282" i="2" s="1"/>
  <c r="CC276" i="2" s="1"/>
  <c r="DB276" i="2" s="1"/>
  <c r="DB102" i="4"/>
  <c r="DB7" i="8"/>
  <c r="CC38" i="4"/>
  <c r="DC2" i="8"/>
  <c r="CD5" i="8"/>
  <c r="CB43" i="4"/>
  <c r="J39" i="15"/>
  <c r="J60" i="15"/>
  <c r="DB9" i="8" l="1"/>
  <c r="DB282" i="2" s="1"/>
  <c r="DB100" i="4"/>
  <c r="DB38" i="4"/>
  <c r="CC43" i="4"/>
  <c r="CE2" i="8"/>
  <c r="CE5" i="8" s="1"/>
  <c r="CD7" i="8"/>
  <c r="DB37" i="3"/>
  <c r="DB8" i="8" l="1"/>
  <c r="DB43" i="4"/>
  <c r="CF2" i="8"/>
  <c r="CF5" i="8" s="1"/>
  <c r="CD100" i="4"/>
  <c r="CD102" i="4" s="1"/>
  <c r="CD9" i="8"/>
  <c r="CD282" i="2" s="1"/>
  <c r="CE7" i="8"/>
  <c r="C50" i="17"/>
  <c r="AE61" i="17" l="1"/>
  <c r="CD38" i="4"/>
  <c r="CD43" i="4" s="1"/>
  <c r="CD276" i="2"/>
  <c r="CG2" i="8"/>
  <c r="CG5" i="8" s="1"/>
  <c r="CF7" i="8"/>
  <c r="CE9" i="8"/>
  <c r="CE100" i="4"/>
  <c r="CE102" i="4" s="1"/>
  <c r="C44" i="17"/>
  <c r="AF61" i="17" l="1"/>
  <c r="DC5" i="8"/>
  <c r="CG7" i="8"/>
  <c r="CF9" i="8"/>
  <c r="CF282" i="2" s="1"/>
  <c r="CF100" i="4"/>
  <c r="CF102" i="4" s="1"/>
  <c r="CF38" i="4" s="1"/>
  <c r="CE38" i="4"/>
  <c r="CE282" i="2"/>
  <c r="AG61" i="17" l="1"/>
  <c r="AG62" i="17" s="1"/>
  <c r="CG9" i="8"/>
  <c r="CG282" i="2" s="1"/>
  <c r="CG276" i="2" s="1"/>
  <c r="CF43" i="4"/>
  <c r="CE276" i="2"/>
  <c r="CF276" i="2"/>
  <c r="CG100" i="4"/>
  <c r="CG102" i="4" s="1"/>
  <c r="CG38" i="4" s="1"/>
  <c r="DC7" i="8"/>
  <c r="CE43" i="4"/>
  <c r="DC9" i="8" l="1"/>
  <c r="DC282" i="2" s="1"/>
  <c r="DC276" i="2"/>
  <c r="CG43" i="4"/>
  <c r="DC102" i="4"/>
  <c r="DC100" i="4"/>
  <c r="DC38" i="4"/>
  <c r="DC8" i="8" l="1"/>
  <c r="DC43" i="4"/>
  <c r="K16" i="15" l="1"/>
  <c r="K35" i="15"/>
  <c r="K55" i="15"/>
  <c r="K17" i="15" l="1"/>
  <c r="K56" i="15"/>
  <c r="D37" i="17"/>
  <c r="CA16" i="6"/>
  <c r="CA24" i="6"/>
  <c r="K20" i="15" l="1"/>
  <c r="K38" i="15"/>
  <c r="K59" i="15"/>
  <c r="CA26" i="6"/>
  <c r="CA27" i="6" s="1"/>
  <c r="CA30" i="3"/>
  <c r="K21" i="15" l="1"/>
  <c r="K39" i="15"/>
  <c r="K60" i="15"/>
  <c r="CA38" i="3"/>
  <c r="CA12" i="4"/>
  <c r="D50" i="17" l="1"/>
  <c r="D44" i="17" l="1"/>
  <c r="H37" i="17" l="1"/>
  <c r="L16" i="15" l="1"/>
  <c r="L35" i="15"/>
  <c r="L55" i="15"/>
  <c r="L17" i="15" l="1"/>
  <c r="L56" i="15"/>
  <c r="E37" i="17"/>
  <c r="CB24" i="6"/>
  <c r="CB16" i="6"/>
  <c r="H50" i="17" l="1"/>
  <c r="L20" i="15"/>
  <c r="L38" i="15"/>
  <c r="L59" i="15"/>
  <c r="CB26" i="6"/>
  <c r="CB27" i="6" s="1"/>
  <c r="CB30" i="3"/>
  <c r="H44" i="17" l="1"/>
  <c r="L21" i="15"/>
  <c r="L39" i="15"/>
  <c r="L60" i="15"/>
  <c r="CB38" i="3"/>
  <c r="CB12" i="4"/>
  <c r="B6" i="1" l="1"/>
  <c r="B7" i="1" l="1"/>
  <c r="BM4" i="7"/>
  <c r="E12" i="1" l="1"/>
  <c r="E13" i="1" s="1"/>
  <c r="C37" i="1"/>
  <c r="C38" i="1" s="1"/>
  <c r="D37" i="1"/>
  <c r="D38" i="1" s="1"/>
  <c r="C18" i="1"/>
  <c r="C19" i="1" s="1"/>
  <c r="I12" i="1"/>
  <c r="I13" i="1" s="1"/>
  <c r="B31" i="1"/>
  <c r="B32" i="1" s="1"/>
  <c r="D18" i="1"/>
  <c r="D19" i="1" s="1"/>
  <c r="D12" i="1"/>
  <c r="D13" i="1" s="1"/>
  <c r="G12" i="1"/>
  <c r="G13" i="1" s="1"/>
  <c r="J12" i="1"/>
  <c r="J13" i="1" s="1"/>
  <c r="B37" i="1"/>
  <c r="B38" i="1" s="1"/>
  <c r="B12" i="1"/>
  <c r="B13" i="1" s="1"/>
  <c r="B18" i="1"/>
  <c r="B19" i="1" s="1"/>
  <c r="H18" i="1"/>
  <c r="H19" i="1" s="1"/>
  <c r="I18" i="1"/>
  <c r="I19" i="1" s="1"/>
  <c r="D31" i="1"/>
  <c r="D32" i="1" s="1"/>
  <c r="C12" i="1"/>
  <c r="C13" i="1" s="1"/>
  <c r="C31" i="1"/>
  <c r="C32" i="1" s="1"/>
  <c r="G18" i="1"/>
  <c r="G19" i="1" s="1"/>
  <c r="J18" i="1"/>
  <c r="J19" i="1" s="1"/>
  <c r="E18" i="1"/>
  <c r="E19" i="1" s="1"/>
  <c r="F18" i="1"/>
  <c r="F19" i="1" s="1"/>
  <c r="H12" i="1"/>
  <c r="H13" i="1" s="1"/>
  <c r="F12" i="1"/>
  <c r="F13" i="1" s="1"/>
  <c r="BM8" i="7"/>
  <c r="E50" i="17"/>
  <c r="BM22" i="7" l="1"/>
  <c r="BM243" i="2" s="1"/>
  <c r="CX8" i="7"/>
  <c r="E44" i="17"/>
  <c r="CX22" i="7" l="1"/>
  <c r="CX7" i="7"/>
  <c r="BM250" i="2"/>
  <c r="CX243" i="2"/>
  <c r="DB8" i="3"/>
  <c r="BM255" i="2" l="1"/>
  <c r="BM251" i="2"/>
  <c r="BM253" i="2"/>
  <c r="CX250" i="2"/>
  <c r="BM252" i="2"/>
  <c r="BM260" i="2" l="1"/>
  <c r="BM39" i="6"/>
  <c r="BM258" i="2"/>
  <c r="CX255" i="2"/>
  <c r="BM257" i="2"/>
  <c r="CX251" i="2"/>
  <c r="CX253" i="2"/>
  <c r="CX256" i="2" l="1"/>
  <c r="CX258" i="2"/>
  <c r="BM267" i="2"/>
  <c r="J37" i="17" s="1"/>
  <c r="BM261" i="2"/>
  <c r="BM3" i="4"/>
  <c r="BM272" i="2"/>
  <c r="BM263" i="2"/>
  <c r="CX260" i="2"/>
  <c r="BM262" i="2"/>
  <c r="M16" i="15" l="1"/>
  <c r="BM43" i="3"/>
  <c r="BM268" i="2"/>
  <c r="M35" i="15" s="1"/>
  <c r="BM278" i="2"/>
  <c r="BM270" i="2"/>
  <c r="M55" i="15" s="1"/>
  <c r="CX267" i="2"/>
  <c r="BM269" i="2"/>
  <c r="BM22" i="4"/>
  <c r="CX3" i="4"/>
  <c r="BM274" i="2"/>
  <c r="BM273" i="2"/>
  <c r="CX272" i="2"/>
  <c r="CX261" i="2"/>
  <c r="CX263" i="2"/>
  <c r="M17" i="15" l="1"/>
  <c r="V16" i="15"/>
  <c r="E21" i="1"/>
  <c r="CX274" i="2"/>
  <c r="CX43" i="3"/>
  <c r="BM45" i="3"/>
  <c r="BM280" i="2"/>
  <c r="M56" i="15" s="1"/>
  <c r="BM279" i="2"/>
  <c r="CX268" i="2"/>
  <c r="CX278" i="2"/>
  <c r="CX270" i="2"/>
  <c r="V55" i="15" s="1"/>
  <c r="BM76" i="4"/>
  <c r="BM47" i="4"/>
  <c r="CX22" i="4"/>
  <c r="DB12" i="6"/>
  <c r="CC16" i="6"/>
  <c r="CC24" i="6"/>
  <c r="DB24" i="6" s="1"/>
  <c r="DB23" i="6"/>
  <c r="J50" i="17" l="1"/>
  <c r="M20" i="15"/>
  <c r="V35" i="15"/>
  <c r="E22" i="1"/>
  <c r="E23" i="1"/>
  <c r="V17" i="15"/>
  <c r="CX280" i="2"/>
  <c r="BM47" i="3"/>
  <c r="CX45" i="3"/>
  <c r="BM77" i="4"/>
  <c r="M38" i="15" s="1"/>
  <c r="BM83" i="4"/>
  <c r="BM79" i="4"/>
  <c r="M59" i="15" s="1"/>
  <c r="BM78" i="4"/>
  <c r="CX76" i="4"/>
  <c r="CX47" i="4"/>
  <c r="BM49" i="4"/>
  <c r="F37" i="17"/>
  <c r="DB6" i="3"/>
  <c r="CC30" i="3"/>
  <c r="DB29" i="3"/>
  <c r="CC26" i="6"/>
  <c r="DB16" i="6"/>
  <c r="DB26" i="6" s="1"/>
  <c r="J44" i="17" l="1"/>
  <c r="M21" i="15"/>
  <c r="V56" i="15"/>
  <c r="E24" i="1"/>
  <c r="E25" i="1"/>
  <c r="E34" i="1"/>
  <c r="V20" i="15"/>
  <c r="DB27" i="6"/>
  <c r="DC27" i="6"/>
  <c r="CC27" i="6"/>
  <c r="CD27" i="6"/>
  <c r="CX77" i="4"/>
  <c r="CX79" i="4"/>
  <c r="CX49" i="4"/>
  <c r="BM3" i="3"/>
  <c r="CX47" i="3"/>
  <c r="BM84" i="4"/>
  <c r="M39" i="15" s="1"/>
  <c r="BM86" i="4"/>
  <c r="M60" i="15" s="1"/>
  <c r="CX83" i="4"/>
  <c r="BM85" i="4"/>
  <c r="DB30" i="3"/>
  <c r="CC38" i="3"/>
  <c r="CC12" i="4"/>
  <c r="DB14" i="4"/>
  <c r="DB12" i="4" s="1"/>
  <c r="E26" i="1" l="1"/>
  <c r="V21" i="15"/>
  <c r="E28" i="1"/>
  <c r="E37" i="1"/>
  <c r="V59" i="15"/>
  <c r="E36" i="1"/>
  <c r="V38" i="15"/>
  <c r="E35" i="1"/>
  <c r="BM51" i="3"/>
  <c r="BM5" i="7"/>
  <c r="CX3" i="3"/>
  <c r="BM11" i="3"/>
  <c r="CX84" i="4"/>
  <c r="CX86" i="4"/>
  <c r="DB38" i="3"/>
  <c r="E38" i="1" l="1"/>
  <c r="V60" i="15"/>
  <c r="E30" i="1"/>
  <c r="V39" i="15"/>
  <c r="E29" i="1"/>
  <c r="E31" i="1"/>
  <c r="CX51" i="3"/>
  <c r="BM20" i="3"/>
  <c r="CX5" i="7"/>
  <c r="CX6" i="7" s="1"/>
  <c r="BN4" i="7"/>
  <c r="BM6" i="7"/>
  <c r="CX11" i="3"/>
  <c r="E32" i="1" l="1"/>
  <c r="BM49" i="3"/>
  <c r="CX20" i="3"/>
  <c r="BN8" i="7"/>
  <c r="CY4" i="7"/>
  <c r="F50" i="17"/>
  <c r="CX49" i="3" l="1"/>
  <c r="BN22" i="7"/>
  <c r="BN243" i="2" s="1"/>
  <c r="BN250" i="2" l="1"/>
  <c r="BN255" i="2" l="1"/>
  <c r="BN260" i="2" s="1"/>
  <c r="BN251" i="2"/>
  <c r="BN253" i="2"/>
  <c r="BN252" i="2"/>
  <c r="DB40" i="3"/>
  <c r="BN267" i="2" l="1"/>
  <c r="BN3" i="4"/>
  <c r="BN261" i="2"/>
  <c r="BN272" i="2"/>
  <c r="BN263" i="2"/>
  <c r="BN262" i="2"/>
  <c r="BN39" i="6"/>
  <c r="BN258" i="2"/>
  <c r="BN257" i="2"/>
  <c r="K37" i="17" l="1"/>
  <c r="N16" i="15"/>
  <c r="BN43" i="3"/>
  <c r="BN274" i="2"/>
  <c r="BN273" i="2"/>
  <c r="BN268" i="2"/>
  <c r="N35" i="15" s="1"/>
  <c r="BN278" i="2"/>
  <c r="BN270" i="2"/>
  <c r="N55" i="15" s="1"/>
  <c r="BN269" i="2"/>
  <c r="BN22" i="4"/>
  <c r="N17" i="15" l="1"/>
  <c r="BN45" i="3"/>
  <c r="BN280" i="2"/>
  <c r="N56" i="15" s="1"/>
  <c r="BN279" i="2"/>
  <c r="BN76" i="4"/>
  <c r="K50" i="17" s="1"/>
  <c r="BN47" i="4"/>
  <c r="N20" i="15" l="1"/>
  <c r="BN83" i="4"/>
  <c r="K44" i="17" s="1"/>
  <c r="BN77" i="4"/>
  <c r="N38" i="15" s="1"/>
  <c r="BN79" i="4"/>
  <c r="N59" i="15" s="1"/>
  <c r="BN78" i="4"/>
  <c r="BN47" i="3"/>
  <c r="BN49" i="4"/>
  <c r="CV20" i="7"/>
  <c r="CV22" i="7" s="1"/>
  <c r="N21" i="15" l="1"/>
  <c r="BN3" i="3"/>
  <c r="BN84" i="4"/>
  <c r="N39" i="15" s="1"/>
  <c r="BN86" i="4"/>
  <c r="N60" i="15" s="1"/>
  <c r="BN85" i="4"/>
  <c r="BN51" i="3" l="1"/>
  <c r="BN5" i="7"/>
  <c r="BN11" i="3"/>
  <c r="BO4" i="7" l="1"/>
  <c r="BN6" i="7"/>
  <c r="BN20" i="3"/>
  <c r="BN49" i="3" l="1"/>
  <c r="BO8" i="7"/>
  <c r="BO22" i="7" l="1"/>
  <c r="BO243" i="2" s="1"/>
  <c r="BO250" i="2" l="1"/>
  <c r="BO255" i="2" l="1"/>
  <c r="BO260" i="2" s="1"/>
  <c r="BO251" i="2"/>
  <c r="BO253" i="2"/>
  <c r="BO252" i="2"/>
  <c r="BO3" i="4" l="1"/>
  <c r="BO261" i="2"/>
  <c r="BO267" i="2"/>
  <c r="BO272" i="2"/>
  <c r="BO263" i="2"/>
  <c r="BO262" i="2"/>
  <c r="BO39" i="6"/>
  <c r="BO258" i="2"/>
  <c r="BO257" i="2"/>
  <c r="L37" i="17" l="1"/>
  <c r="O16" i="15"/>
  <c r="BO43" i="3"/>
  <c r="BO22" i="4"/>
  <c r="BO268" i="2"/>
  <c r="O35" i="15" s="1"/>
  <c r="BO278" i="2"/>
  <c r="O17" i="15" s="1"/>
  <c r="BO270" i="2"/>
  <c r="O55" i="15" s="1"/>
  <c r="BO269" i="2"/>
  <c r="BO274" i="2"/>
  <c r="BO273" i="2"/>
  <c r="BO280" i="2" l="1"/>
  <c r="O56" i="15" s="1"/>
  <c r="BO279" i="2"/>
  <c r="BO76" i="4"/>
  <c r="L50" i="17" s="1"/>
  <c r="BO47" i="4"/>
  <c r="BO45" i="3"/>
  <c r="O20" i="15" l="1"/>
  <c r="BO49" i="4"/>
  <c r="BO77" i="4"/>
  <c r="O38" i="15" s="1"/>
  <c r="BO83" i="4"/>
  <c r="L44" i="17" s="1"/>
  <c r="BO79" i="4"/>
  <c r="O59" i="15" s="1"/>
  <c r="BO78" i="4"/>
  <c r="BO47" i="3"/>
  <c r="O21" i="15" l="1"/>
  <c r="BO84" i="4"/>
  <c r="O39" i="15" s="1"/>
  <c r="BO86" i="4"/>
  <c r="O60" i="15" s="1"/>
  <c r="BO85" i="4"/>
  <c r="BO3" i="3"/>
  <c r="BO11" i="3" l="1"/>
  <c r="BO5" i="7"/>
  <c r="BO51" i="3"/>
  <c r="BP4" i="7" l="1"/>
  <c r="BO6" i="7"/>
  <c r="BO20" i="3"/>
  <c r="BO49" i="3" l="1"/>
  <c r="BP8" i="7"/>
  <c r="BP22" i="7" l="1"/>
  <c r="BP243" i="2" s="1"/>
  <c r="BP250" i="2" l="1"/>
  <c r="BP251" i="2" l="1"/>
  <c r="BP255" i="2"/>
  <c r="BP260" i="2" s="1"/>
  <c r="BP253" i="2"/>
  <c r="BP252" i="2"/>
  <c r="BP3" i="4" l="1"/>
  <c r="BP267" i="2"/>
  <c r="BP261" i="2"/>
  <c r="BP272" i="2"/>
  <c r="BP263" i="2"/>
  <c r="BP262" i="2"/>
  <c r="BP39" i="6"/>
  <c r="BP258" i="2"/>
  <c r="BP257" i="2"/>
  <c r="M37" i="17" l="1"/>
  <c r="M38" i="17" s="1"/>
  <c r="P16" i="15"/>
  <c r="BP43" i="3"/>
  <c r="BP268" i="2"/>
  <c r="P35" i="15" s="1"/>
  <c r="BP278" i="2"/>
  <c r="P17" i="15" s="1"/>
  <c r="BP270" i="2"/>
  <c r="P55" i="15" s="1"/>
  <c r="BP269" i="2"/>
  <c r="BP274" i="2"/>
  <c r="BP273" i="2"/>
  <c r="BP22" i="4"/>
  <c r="BP280" i="2" l="1"/>
  <c r="P56" i="15" s="1"/>
  <c r="BP279" i="2"/>
  <c r="BP45" i="3"/>
  <c r="BP76" i="4"/>
  <c r="M50" i="17" s="1"/>
  <c r="M51" i="17" s="1"/>
  <c r="BP47" i="4"/>
  <c r="P20" i="15" l="1"/>
  <c r="BP77" i="4"/>
  <c r="P38" i="15" s="1"/>
  <c r="BP83" i="4"/>
  <c r="M44" i="17" s="1"/>
  <c r="BP79" i="4"/>
  <c r="P59" i="15" s="1"/>
  <c r="BP78" i="4"/>
  <c r="BP47" i="3"/>
  <c r="BP49" i="4"/>
  <c r="P21" i="15" l="1"/>
  <c r="BP84" i="4"/>
  <c r="P39" i="15" s="1"/>
  <c r="BP86" i="4"/>
  <c r="P60" i="15" s="1"/>
  <c r="BP85" i="4"/>
  <c r="BP3" i="3"/>
  <c r="BP5" i="7" l="1"/>
  <c r="BP11" i="3"/>
  <c r="BP51" i="3"/>
  <c r="C6" i="17" s="1"/>
  <c r="C77" i="1" s="1"/>
  <c r="D77" i="1" l="1"/>
  <c r="D46" i="1" s="1"/>
  <c r="B77" i="1"/>
  <c r="B46" i="1" s="1"/>
  <c r="BP20" i="3"/>
  <c r="BQ4" i="7"/>
  <c r="BP6" i="7"/>
  <c r="B47" i="1" l="1"/>
  <c r="D47" i="1"/>
  <c r="BQ8" i="7"/>
  <c r="BP49" i="3"/>
  <c r="BQ22" i="7" l="1"/>
  <c r="BQ243" i="2" s="1"/>
  <c r="CY8" i="7"/>
  <c r="CY22" i="7" l="1"/>
  <c r="CY7" i="7"/>
  <c r="BQ250" i="2"/>
  <c r="CY243" i="2"/>
  <c r="BQ251" i="2" l="1"/>
  <c r="BQ255" i="2"/>
  <c r="BQ253" i="2"/>
  <c r="CY250" i="2"/>
  <c r="BQ252" i="2"/>
  <c r="BQ260" i="2" l="1"/>
  <c r="BQ39" i="6"/>
  <c r="BQ258" i="2"/>
  <c r="BQ257" i="2"/>
  <c r="CY255" i="2"/>
  <c r="CY251" i="2"/>
  <c r="CY253" i="2"/>
  <c r="CY256" i="2" l="1"/>
  <c r="CY258" i="2"/>
  <c r="BQ3" i="4"/>
  <c r="BQ261" i="2"/>
  <c r="BQ267" i="2"/>
  <c r="BQ272" i="2"/>
  <c r="BQ263" i="2"/>
  <c r="CY260" i="2"/>
  <c r="BQ262" i="2"/>
  <c r="O37" i="17" l="1"/>
  <c r="Q16" i="15"/>
  <c r="BQ43" i="3"/>
  <c r="BQ22" i="4"/>
  <c r="CY3" i="4"/>
  <c r="BQ274" i="2"/>
  <c r="BQ273" i="2"/>
  <c r="CY272" i="2"/>
  <c r="BQ268" i="2"/>
  <c r="Q35" i="15" s="1"/>
  <c r="BQ278" i="2"/>
  <c r="Q17" i="15" s="1"/>
  <c r="BQ270" i="2"/>
  <c r="Q55" i="15" s="1"/>
  <c r="CY267" i="2"/>
  <c r="CY278" i="2" s="1"/>
  <c r="BQ269" i="2"/>
  <c r="CY261" i="2"/>
  <c r="CY263" i="2"/>
  <c r="W16" i="15" l="1"/>
  <c r="F21" i="1"/>
  <c r="CY22" i="4"/>
  <c r="CY268" i="2"/>
  <c r="F22" i="1" s="1"/>
  <c r="CY270" i="2"/>
  <c r="W55" i="15" s="1"/>
  <c r="BQ280" i="2"/>
  <c r="Q56" i="15" s="1"/>
  <c r="BQ279" i="2"/>
  <c r="CY274" i="2"/>
  <c r="BQ76" i="4"/>
  <c r="O50" i="17" s="1"/>
  <c r="BQ47" i="4"/>
  <c r="CY43" i="3"/>
  <c r="BQ45" i="3"/>
  <c r="F23" i="1" l="1"/>
  <c r="W17" i="15"/>
  <c r="W35" i="15"/>
  <c r="Q20" i="15"/>
  <c r="CY45" i="3"/>
  <c r="BQ49" i="4"/>
  <c r="CY47" i="4"/>
  <c r="BQ47" i="3"/>
  <c r="BQ83" i="4"/>
  <c r="O44" i="17" s="1"/>
  <c r="BQ77" i="4"/>
  <c r="Q38" i="15" s="1"/>
  <c r="BQ79" i="4"/>
  <c r="Q59" i="15" s="1"/>
  <c r="CY76" i="4"/>
  <c r="BQ78" i="4"/>
  <c r="CY280" i="2"/>
  <c r="F24" i="1" s="1"/>
  <c r="F34" i="1" l="1"/>
  <c r="F25" i="1"/>
  <c r="F26" i="1" s="1"/>
  <c r="W20" i="15"/>
  <c r="W56" i="15"/>
  <c r="Q21" i="15"/>
  <c r="BQ84" i="4"/>
  <c r="Q39" i="15" s="1"/>
  <c r="BQ86" i="4"/>
  <c r="Q60" i="15" s="1"/>
  <c r="BQ85" i="4"/>
  <c r="CY83" i="4"/>
  <c r="CY49" i="4"/>
  <c r="BQ3" i="3"/>
  <c r="CY77" i="4"/>
  <c r="F35" i="1" s="1"/>
  <c r="CY79" i="4"/>
  <c r="F36" i="1" s="1"/>
  <c r="CY47" i="3"/>
  <c r="W21" i="15" l="1"/>
  <c r="F28" i="1"/>
  <c r="F37" i="1"/>
  <c r="F38" i="1" s="1"/>
  <c r="W38" i="15"/>
  <c r="W59" i="15"/>
  <c r="BQ51" i="3"/>
  <c r="CY51" i="3" s="1"/>
  <c r="BQ5" i="7"/>
  <c r="BQ11" i="3"/>
  <c r="CY3" i="3"/>
  <c r="CY84" i="4"/>
  <c r="F29" i="1" s="1"/>
  <c r="CY86" i="4"/>
  <c r="F30" i="1" s="1"/>
  <c r="F31" i="1" l="1"/>
  <c r="F32" i="1" s="1"/>
  <c r="W60" i="15"/>
  <c r="W39" i="15"/>
  <c r="BQ20" i="3"/>
  <c r="CY5" i="7"/>
  <c r="CY6" i="7" s="1"/>
  <c r="BR4" i="7"/>
  <c r="BQ6" i="7"/>
  <c r="CY11" i="3"/>
  <c r="CY20" i="3" l="1"/>
  <c r="CZ4" i="7"/>
  <c r="BR8" i="7"/>
  <c r="BQ49" i="3"/>
  <c r="CY49" i="3" l="1"/>
  <c r="BR22" i="7"/>
  <c r="BR243" i="2" s="1"/>
  <c r="BR250" i="2" l="1"/>
  <c r="BR255" i="2" l="1"/>
  <c r="BR260" i="2" s="1"/>
  <c r="BR251" i="2"/>
  <c r="BR253" i="2"/>
  <c r="BR252" i="2"/>
  <c r="BR3" i="4" l="1"/>
  <c r="BR267" i="2"/>
  <c r="P37" i="17" s="1"/>
  <c r="BR261" i="2"/>
  <c r="BR272" i="2"/>
  <c r="BR263" i="2"/>
  <c r="BR262" i="2"/>
  <c r="BR39" i="6"/>
  <c r="BR258" i="2"/>
  <c r="BR257" i="2"/>
  <c r="BR43" i="3" l="1"/>
  <c r="BR22" i="4"/>
  <c r="BR268" i="2"/>
  <c r="BR278" i="2"/>
  <c r="BR270" i="2"/>
  <c r="BR269" i="2"/>
  <c r="BR274" i="2"/>
  <c r="BR273" i="2"/>
  <c r="BR280" i="2" l="1"/>
  <c r="BR279" i="2"/>
  <c r="BR76" i="4"/>
  <c r="BR47" i="4"/>
  <c r="BR45" i="3"/>
  <c r="P50" i="17" l="1"/>
  <c r="BR47" i="3"/>
  <c r="BR49" i="4"/>
  <c r="BR77" i="4"/>
  <c r="BR83" i="4"/>
  <c r="BR79" i="4"/>
  <c r="BR78" i="4"/>
  <c r="P44" i="17" l="1"/>
  <c r="BR3" i="3"/>
  <c r="BR84" i="4"/>
  <c r="BR86" i="4"/>
  <c r="BR85" i="4"/>
  <c r="BR5" i="7" l="1"/>
  <c r="BR11" i="3"/>
  <c r="BR51" i="3"/>
  <c r="BR20" i="3" l="1"/>
  <c r="BS4" i="7"/>
  <c r="BR6" i="7"/>
  <c r="BS8" i="7" l="1"/>
  <c r="BR49" i="3"/>
  <c r="BS22" i="7" l="1"/>
  <c r="BS243" i="2" s="1"/>
  <c r="BS250" i="2" l="1"/>
  <c r="BS255" i="2" l="1"/>
  <c r="BS260" i="2" s="1"/>
  <c r="BS251" i="2"/>
  <c r="BS253" i="2"/>
  <c r="BS252" i="2"/>
  <c r="BS39" i="6" l="1"/>
  <c r="BS258" i="2"/>
  <c r="BS257" i="2"/>
  <c r="BS261" i="2"/>
  <c r="BS3" i="4"/>
  <c r="BS267" i="2"/>
  <c r="Q37" i="17" s="1"/>
  <c r="BS272" i="2"/>
  <c r="BS263" i="2"/>
  <c r="BS262" i="2"/>
  <c r="BS43" i="3" l="1"/>
  <c r="BS22" i="4"/>
  <c r="BS268" i="2"/>
  <c r="BS278" i="2"/>
  <c r="BS270" i="2"/>
  <c r="BS269" i="2"/>
  <c r="BS274" i="2"/>
  <c r="BS273" i="2"/>
  <c r="BS280" i="2" l="1"/>
  <c r="BS279" i="2"/>
  <c r="BS47" i="4"/>
  <c r="BS76" i="4"/>
  <c r="BS45" i="3"/>
  <c r="Q50" i="17" l="1"/>
  <c r="BS47" i="3"/>
  <c r="BS49" i="4"/>
  <c r="BS83" i="4"/>
  <c r="BS77" i="4"/>
  <c r="BS79" i="4"/>
  <c r="BS78" i="4"/>
  <c r="Q44" i="17" l="1"/>
  <c r="BS84" i="4"/>
  <c r="BS86" i="4"/>
  <c r="BS85" i="4"/>
  <c r="BS3" i="3"/>
  <c r="BS5" i="7" l="1"/>
  <c r="BS51" i="3"/>
  <c r="BS11" i="3"/>
  <c r="BS20" i="3" l="1"/>
  <c r="BT4" i="7"/>
  <c r="BS6" i="7"/>
  <c r="BT8" i="7" l="1"/>
  <c r="BS49" i="3"/>
  <c r="BT22" i="7" l="1"/>
  <c r="BT243" i="2" s="1"/>
  <c r="BT250" i="2" l="1"/>
  <c r="BT251" i="2" l="1"/>
  <c r="BT255" i="2"/>
  <c r="BT260" i="2" s="1"/>
  <c r="BT253" i="2"/>
  <c r="BT252" i="2"/>
  <c r="BT267" i="2" l="1"/>
  <c r="R37" i="17" s="1"/>
  <c r="R38" i="17" s="1"/>
  <c r="BT3" i="4"/>
  <c r="BT261" i="2"/>
  <c r="BT272" i="2"/>
  <c r="BT263" i="2"/>
  <c r="BT262" i="2"/>
  <c r="BT39" i="6"/>
  <c r="BT258" i="2"/>
  <c r="BT257" i="2"/>
  <c r="BT43" i="3" l="1"/>
  <c r="BT22" i="4"/>
  <c r="BT274" i="2"/>
  <c r="BT273" i="2"/>
  <c r="BT268" i="2"/>
  <c r="BT278" i="2"/>
  <c r="BT270" i="2"/>
  <c r="BT269" i="2"/>
  <c r="BT76" i="4" l="1"/>
  <c r="BT47" i="4"/>
  <c r="BT280" i="2"/>
  <c r="BT279" i="2"/>
  <c r="BT45" i="3"/>
  <c r="R50" i="17" l="1"/>
  <c r="R51" i="17" s="1"/>
  <c r="BT47" i="3"/>
  <c r="BT77" i="4"/>
  <c r="BT83" i="4"/>
  <c r="BT79" i="4"/>
  <c r="BT78" i="4"/>
  <c r="BT49" i="4"/>
  <c r="R44" i="17" l="1"/>
  <c r="BT3" i="3"/>
  <c r="BT84" i="4"/>
  <c r="BT86" i="4"/>
  <c r="BT85" i="4"/>
  <c r="B66" i="1" l="1"/>
  <c r="B67" i="1" s="1"/>
  <c r="D66" i="1"/>
  <c r="D67" i="1" s="1"/>
  <c r="R45" i="17"/>
  <c r="BT11" i="3"/>
  <c r="BT51" i="3"/>
  <c r="BT5" i="7"/>
  <c r="BU4" i="7" l="1"/>
  <c r="BT6" i="7"/>
  <c r="BT20" i="3"/>
  <c r="BT49" i="3" l="1"/>
  <c r="BU8" i="7"/>
  <c r="BU22" i="7" l="1"/>
  <c r="BU243" i="2" s="1"/>
  <c r="CZ8" i="7"/>
  <c r="CZ7" i="7" l="1"/>
  <c r="CZ22" i="7"/>
  <c r="BU250" i="2"/>
  <c r="CZ243" i="2"/>
  <c r="BU251" i="2" l="1"/>
  <c r="BU255" i="2"/>
  <c r="BU260" i="2" s="1"/>
  <c r="BU253" i="2"/>
  <c r="CZ250" i="2"/>
  <c r="BU252" i="2"/>
  <c r="BU267" i="2" l="1"/>
  <c r="T37" i="17" s="1"/>
  <c r="BU261" i="2"/>
  <c r="BU3" i="4"/>
  <c r="BU272" i="2"/>
  <c r="BU263" i="2"/>
  <c r="CZ260" i="2"/>
  <c r="BU262" i="2"/>
  <c r="CZ251" i="2"/>
  <c r="CZ253" i="2"/>
  <c r="BU39" i="6"/>
  <c r="BU258" i="2"/>
  <c r="BU257" i="2"/>
  <c r="CZ255" i="2"/>
  <c r="BU43" i="3" l="1"/>
  <c r="BU268" i="2"/>
  <c r="BU278" i="2"/>
  <c r="BU270" i="2"/>
  <c r="CZ267" i="2"/>
  <c r="G21" i="1" s="1"/>
  <c r="BU269" i="2"/>
  <c r="BU22" i="4"/>
  <c r="CZ3" i="4"/>
  <c r="CZ256" i="2"/>
  <c r="CZ258" i="2"/>
  <c r="CZ261" i="2"/>
  <c r="CZ263" i="2"/>
  <c r="BU274" i="2"/>
  <c r="CZ272" i="2"/>
  <c r="CZ274" i="2" s="1"/>
  <c r="BU273" i="2"/>
  <c r="BU280" i="2" l="1"/>
  <c r="BU279" i="2"/>
  <c r="CZ268" i="2"/>
  <c r="G22" i="1" s="1"/>
  <c r="CZ278" i="2"/>
  <c r="CZ270" i="2"/>
  <c r="BU47" i="4"/>
  <c r="BU76" i="4"/>
  <c r="CZ43" i="3"/>
  <c r="BU45" i="3"/>
  <c r="CZ22" i="4"/>
  <c r="T50" i="17" l="1"/>
  <c r="G23" i="1"/>
  <c r="CZ45" i="3"/>
  <c r="BU49" i="4"/>
  <c r="CZ280" i="2"/>
  <c r="G24" i="1" s="1"/>
  <c r="BU47" i="3"/>
  <c r="CZ47" i="4"/>
  <c r="BU83" i="4"/>
  <c r="BU77" i="4"/>
  <c r="BU79" i="4"/>
  <c r="CZ76" i="4"/>
  <c r="G34" i="1" s="1"/>
  <c r="BU78" i="4"/>
  <c r="T44" i="17" l="1"/>
  <c r="G25" i="1"/>
  <c r="G26" i="1" s="1"/>
  <c r="G37" i="1"/>
  <c r="BU84" i="4"/>
  <c r="BU86" i="4"/>
  <c r="BU85" i="4"/>
  <c r="CZ83" i="4"/>
  <c r="G28" i="1" s="1"/>
  <c r="CZ49" i="4"/>
  <c r="BU3" i="3"/>
  <c r="CZ77" i="4"/>
  <c r="G35" i="1" s="1"/>
  <c r="CZ79" i="4"/>
  <c r="G36" i="1" s="1"/>
  <c r="CZ47" i="3"/>
  <c r="G38" i="1" l="1"/>
  <c r="G31" i="1"/>
  <c r="BU11" i="3"/>
  <c r="BU51" i="3"/>
  <c r="CZ51" i="3" s="1"/>
  <c r="BU5" i="7"/>
  <c r="CZ3" i="3"/>
  <c r="CZ84" i="4"/>
  <c r="G29" i="1" s="1"/>
  <c r="CZ86" i="4"/>
  <c r="G30" i="1" s="1"/>
  <c r="G32" i="1" l="1"/>
  <c r="CZ11" i="3"/>
  <c r="BV4" i="7"/>
  <c r="CZ5" i="7"/>
  <c r="CZ6" i="7" s="1"/>
  <c r="BU6" i="7"/>
  <c r="BU20" i="3"/>
  <c r="CZ20" i="3" l="1"/>
  <c r="BU49" i="3"/>
  <c r="BV8" i="7"/>
  <c r="DA4" i="7"/>
  <c r="BV22" i="7" l="1"/>
  <c r="BV243" i="2" s="1"/>
  <c r="CZ49" i="3"/>
  <c r="BV250" i="2" l="1"/>
  <c r="BV251" i="2" l="1"/>
  <c r="BV255" i="2"/>
  <c r="BV260" i="2" s="1"/>
  <c r="BV253" i="2"/>
  <c r="BV252" i="2"/>
  <c r="BV267" i="2" l="1"/>
  <c r="U37" i="17" s="1"/>
  <c r="BV3" i="4"/>
  <c r="BV261" i="2"/>
  <c r="BV272" i="2"/>
  <c r="BV263" i="2"/>
  <c r="BV262" i="2"/>
  <c r="BV39" i="6"/>
  <c r="BV258" i="2"/>
  <c r="BV257" i="2"/>
  <c r="BV43" i="3" l="1"/>
  <c r="BV268" i="2"/>
  <c r="BV278" i="2"/>
  <c r="BV270" i="2"/>
  <c r="BV269" i="2"/>
  <c r="BV22" i="4"/>
  <c r="BV274" i="2"/>
  <c r="BV273" i="2"/>
  <c r="BV280" i="2" l="1"/>
  <c r="BV279" i="2"/>
  <c r="BV45" i="3"/>
  <c r="BV47" i="4"/>
  <c r="BV76" i="4"/>
  <c r="U50" i="17" l="1"/>
  <c r="BV77" i="4"/>
  <c r="BV83" i="4"/>
  <c r="BV79" i="4"/>
  <c r="BV78" i="4"/>
  <c r="BV47" i="3"/>
  <c r="BV49" i="4"/>
  <c r="BV3" i="3" s="1"/>
  <c r="U44" i="17" l="1"/>
  <c r="BV84" i="4"/>
  <c r="BV86" i="4"/>
  <c r="BV85" i="4"/>
  <c r="BV11" i="3"/>
  <c r="BV51" i="3"/>
  <c r="BV5" i="7"/>
  <c r="BV6" i="7" l="1"/>
  <c r="BW4" i="7"/>
  <c r="BV20" i="3"/>
  <c r="BW8" i="7" l="1"/>
  <c r="BV49" i="3"/>
  <c r="BW22" i="7" l="1"/>
  <c r="BW243" i="2" s="1"/>
  <c r="BW250" i="2" l="1"/>
  <c r="BW255" i="2" l="1"/>
  <c r="BW260" i="2" s="1"/>
  <c r="BW251" i="2"/>
  <c r="BW253" i="2"/>
  <c r="BW252" i="2"/>
  <c r="BW39" i="6" l="1"/>
  <c r="BW258" i="2"/>
  <c r="BW257" i="2"/>
  <c r="BW267" i="2"/>
  <c r="V37" i="17" s="1"/>
  <c r="BW3" i="4"/>
  <c r="BW261" i="2"/>
  <c r="BW272" i="2"/>
  <c r="BW263" i="2"/>
  <c r="BW262" i="2"/>
  <c r="BW43" i="3" l="1"/>
  <c r="BW22" i="4"/>
  <c r="BW268" i="2"/>
  <c r="BW278" i="2"/>
  <c r="BW270" i="2"/>
  <c r="BW269" i="2"/>
  <c r="BW274" i="2"/>
  <c r="BW273" i="2"/>
  <c r="BW45" i="3" l="1"/>
  <c r="BW47" i="4"/>
  <c r="BW76" i="4"/>
  <c r="BW279" i="2"/>
  <c r="BW280" i="2"/>
  <c r="V50" i="17" l="1"/>
  <c r="BW83" i="4"/>
  <c r="BW77" i="4"/>
  <c r="BW79" i="4"/>
  <c r="BW78" i="4"/>
  <c r="BW49" i="4"/>
  <c r="BW3" i="3" s="1"/>
  <c r="BW47" i="3"/>
  <c r="V44" i="17" l="1"/>
  <c r="BW5" i="7"/>
  <c r="BW11" i="3"/>
  <c r="BW51" i="3"/>
  <c r="BW84" i="4"/>
  <c r="BW86" i="4"/>
  <c r="BW85" i="4"/>
  <c r="BX4" i="7" l="1"/>
  <c r="BW6" i="7"/>
  <c r="BW20" i="3"/>
  <c r="BX8" i="7" l="1"/>
  <c r="BW49" i="3"/>
  <c r="BX22" i="7" l="1"/>
  <c r="BX243" i="2" s="1"/>
  <c r="BX250" i="2" l="1"/>
  <c r="BX251" i="2" l="1"/>
  <c r="BX255" i="2"/>
  <c r="BX260" i="2" s="1"/>
  <c r="BX253" i="2"/>
  <c r="BX252" i="2"/>
  <c r="BX261" i="2" l="1"/>
  <c r="BX267" i="2"/>
  <c r="W37" i="17" s="1"/>
  <c r="W38" i="17" s="1"/>
  <c r="BX3" i="4"/>
  <c r="BX272" i="2"/>
  <c r="BX263" i="2"/>
  <c r="BX262" i="2"/>
  <c r="BX39" i="6"/>
  <c r="BX258" i="2"/>
  <c r="BX257" i="2"/>
  <c r="BX43" i="3" l="1"/>
  <c r="BX22" i="4"/>
  <c r="BX274" i="2"/>
  <c r="BX273" i="2"/>
  <c r="BX268" i="2"/>
  <c r="BX278" i="2"/>
  <c r="BX270" i="2"/>
  <c r="BX269" i="2"/>
  <c r="BX280" i="2" l="1"/>
  <c r="BX279" i="2"/>
  <c r="BX45" i="3"/>
  <c r="BX47" i="4"/>
  <c r="BX76" i="4"/>
  <c r="W50" i="17" l="1"/>
  <c r="W51" i="17" s="1"/>
  <c r="BX83" i="4"/>
  <c r="BX77" i="4"/>
  <c r="BX79" i="4"/>
  <c r="BX78" i="4"/>
  <c r="BX49" i="4"/>
  <c r="BX47" i="3"/>
  <c r="W44" i="17" l="1"/>
  <c r="W45" i="17" s="1"/>
  <c r="BX3" i="3"/>
  <c r="BX84" i="4"/>
  <c r="BX86" i="4"/>
  <c r="BX85" i="4"/>
  <c r="BX51" i="3" l="1"/>
  <c r="BX11" i="3"/>
  <c r="BX5" i="7"/>
  <c r="BX20" i="3" l="1"/>
  <c r="BY4" i="7"/>
  <c r="BX6" i="7"/>
  <c r="BY8" i="7" l="1"/>
  <c r="BX49" i="3"/>
  <c r="BY22" i="7" l="1"/>
  <c r="BY243" i="2" s="1"/>
  <c r="DA8" i="7"/>
  <c r="DA22" i="7" l="1"/>
  <c r="DA7" i="7"/>
  <c r="BY250" i="2"/>
  <c r="DA243" i="2"/>
  <c r="BY251" i="2" l="1"/>
  <c r="BY255" i="2"/>
  <c r="BY260" i="2" s="1"/>
  <c r="BY253" i="2"/>
  <c r="DA250" i="2"/>
  <c r="BY252" i="2"/>
  <c r="BY267" i="2" l="1"/>
  <c r="Y37" i="17" s="1"/>
  <c r="BY261" i="2"/>
  <c r="BY3" i="4"/>
  <c r="BY272" i="2"/>
  <c r="BY263" i="2"/>
  <c r="DA260" i="2"/>
  <c r="BY262" i="2"/>
  <c r="BY39" i="6"/>
  <c r="BY258" i="2"/>
  <c r="BY257" i="2"/>
  <c r="DA255" i="2"/>
  <c r="DA251" i="2"/>
  <c r="DA253" i="2"/>
  <c r="BY43" i="3" l="1"/>
  <c r="BY274" i="2"/>
  <c r="BY273" i="2"/>
  <c r="DA272" i="2"/>
  <c r="DA274" i="2" s="1"/>
  <c r="BY268" i="2"/>
  <c r="BY278" i="2"/>
  <c r="BY270" i="2"/>
  <c r="DA267" i="2"/>
  <c r="H21" i="1" s="1"/>
  <c r="BY269" i="2"/>
  <c r="DA256" i="2"/>
  <c r="DA258" i="2"/>
  <c r="DA3" i="4"/>
  <c r="BY22" i="4"/>
  <c r="DA261" i="2"/>
  <c r="DA263" i="2"/>
  <c r="BY76" i="4" l="1"/>
  <c r="BY47" i="4"/>
  <c r="DA43" i="3"/>
  <c r="BY45" i="3"/>
  <c r="BY280" i="2"/>
  <c r="DA278" i="2"/>
  <c r="BY279" i="2"/>
  <c r="DA22" i="4"/>
  <c r="DA268" i="2"/>
  <c r="H22" i="1" s="1"/>
  <c r="DA270" i="2"/>
  <c r="Y50" i="17" l="1"/>
  <c r="H23" i="1"/>
  <c r="DA280" i="2"/>
  <c r="H24" i="1" s="1"/>
  <c r="DA45" i="3"/>
  <c r="BY47" i="3"/>
  <c r="BY49" i="4"/>
  <c r="DA47" i="4"/>
  <c r="BY77" i="4"/>
  <c r="BY83" i="4"/>
  <c r="BY79" i="4"/>
  <c r="DA76" i="4"/>
  <c r="H34" i="1" s="1"/>
  <c r="BY78" i="4"/>
  <c r="Y44" i="17" l="1"/>
  <c r="H25" i="1"/>
  <c r="H26" i="1" s="1"/>
  <c r="H37" i="1"/>
  <c r="DA47" i="3"/>
  <c r="BY84" i="4"/>
  <c r="BY86" i="4"/>
  <c r="BY85" i="4"/>
  <c r="DA83" i="4"/>
  <c r="H28" i="1" s="1"/>
  <c r="BY3" i="3"/>
  <c r="DA49" i="4"/>
  <c r="DA77" i="4"/>
  <c r="H35" i="1" s="1"/>
  <c r="DA79" i="4"/>
  <c r="H36" i="1" s="1"/>
  <c r="H31" i="1" l="1"/>
  <c r="H38" i="1"/>
  <c r="BY51" i="3"/>
  <c r="DA51" i="3" s="1"/>
  <c r="BY5" i="7"/>
  <c r="BY11" i="3"/>
  <c r="DA3" i="3"/>
  <c r="DA84" i="4"/>
  <c r="H29" i="1" s="1"/>
  <c r="DA86" i="4"/>
  <c r="H30" i="1" s="1"/>
  <c r="H32" i="1" l="1"/>
  <c r="DA11" i="3"/>
  <c r="BZ4" i="7"/>
  <c r="DA5" i="7"/>
  <c r="DA6" i="7" s="1"/>
  <c r="BY6" i="7"/>
  <c r="BY20" i="3"/>
  <c r="DB4" i="7" l="1"/>
  <c r="BZ8" i="7"/>
  <c r="BY49" i="3"/>
  <c r="DA20" i="3"/>
  <c r="BZ22" i="7" l="1"/>
  <c r="BZ243" i="2" s="1"/>
  <c r="BZ250" i="2" s="1"/>
  <c r="DA49" i="3"/>
  <c r="BZ251" i="2" l="1"/>
  <c r="BZ255" i="2"/>
  <c r="BZ253" i="2"/>
  <c r="BZ252" i="2"/>
  <c r="BZ260" i="2" l="1"/>
  <c r="BZ39" i="6"/>
  <c r="BZ258" i="2"/>
  <c r="BZ257" i="2"/>
  <c r="BZ262" i="2" l="1"/>
  <c r="BZ263" i="2"/>
  <c r="BZ261" i="2"/>
  <c r="BZ3" i="4"/>
  <c r="BZ22" i="4" s="1"/>
  <c r="BZ267" i="2"/>
  <c r="Z37" i="17" s="1"/>
  <c r="BZ272" i="2"/>
  <c r="BZ273" i="2" s="1"/>
  <c r="BZ274" i="2" l="1"/>
  <c r="BZ268" i="2"/>
  <c r="BZ270" i="2"/>
  <c r="BZ269" i="2"/>
  <c r="BZ43" i="3"/>
  <c r="BZ45" i="3" s="1"/>
  <c r="BZ278" i="2"/>
  <c r="BZ47" i="4"/>
  <c r="BZ76" i="4"/>
  <c r="Z50" i="17" l="1"/>
  <c r="BZ279" i="2"/>
  <c r="BZ280" i="2"/>
  <c r="BZ47" i="3"/>
  <c r="BZ83" i="4"/>
  <c r="BZ77" i="4"/>
  <c r="BZ79" i="4"/>
  <c r="BZ78" i="4"/>
  <c r="BZ49" i="4"/>
  <c r="BZ3" i="3" s="1"/>
  <c r="Z44" i="17" l="1"/>
  <c r="BZ5" i="7"/>
  <c r="BZ11" i="3"/>
  <c r="BZ51" i="3"/>
  <c r="BZ84" i="4"/>
  <c r="BZ86" i="4"/>
  <c r="BZ85" i="4"/>
  <c r="BZ20" i="3" l="1"/>
  <c r="CA4" i="7"/>
  <c r="BZ6" i="7"/>
  <c r="CA8" i="7" l="1"/>
  <c r="BZ49" i="3"/>
  <c r="CA22" i="7" l="1"/>
  <c r="CA243" i="2" s="1"/>
  <c r="CA250" i="2" s="1"/>
  <c r="CA251" i="2" l="1"/>
  <c r="CA255" i="2"/>
  <c r="CA253" i="2"/>
  <c r="CA252" i="2"/>
  <c r="CA260" i="2" l="1"/>
  <c r="CA267" i="2" s="1"/>
  <c r="CA39" i="6"/>
  <c r="CA258" i="2"/>
  <c r="CA257" i="2"/>
  <c r="AA37" i="17" l="1"/>
  <c r="CA262" i="2"/>
  <c r="CA263" i="2"/>
  <c r="CA261" i="2"/>
  <c r="CA3" i="4"/>
  <c r="CA272" i="2"/>
  <c r="CA274" i="2" s="1"/>
  <c r="CA43" i="3"/>
  <c r="CA278" i="2"/>
  <c r="CA268" i="2"/>
  <c r="CA270" i="2"/>
  <c r="CA269" i="2"/>
  <c r="CA22" i="4" l="1"/>
  <c r="CA76" i="4" s="1"/>
  <c r="CA273" i="2"/>
  <c r="CA45" i="3"/>
  <c r="CA280" i="2"/>
  <c r="CA279" i="2"/>
  <c r="AA50" i="17" l="1"/>
  <c r="CA47" i="4"/>
  <c r="CA49" i="4" s="1"/>
  <c r="CA83" i="4"/>
  <c r="CA77" i="4"/>
  <c r="CA79" i="4"/>
  <c r="CA78" i="4"/>
  <c r="CA47" i="3"/>
  <c r="AA44" i="17" l="1"/>
  <c r="CA3" i="3"/>
  <c r="CA84" i="4"/>
  <c r="CA86" i="4"/>
  <c r="CA85" i="4"/>
  <c r="CA51" i="3" l="1"/>
  <c r="CA5" i="7"/>
  <c r="CA11" i="3"/>
  <c r="CA20" i="3" l="1"/>
  <c r="CB4" i="7"/>
  <c r="CA6" i="7"/>
  <c r="CB8" i="7" l="1"/>
  <c r="CA49" i="3"/>
  <c r="CB22" i="7" l="1"/>
  <c r="CB243" i="2" s="1"/>
  <c r="CB250" i="2" s="1"/>
  <c r="CB251" i="2" l="1"/>
  <c r="CB255" i="2"/>
  <c r="CB253" i="2"/>
  <c r="CB252" i="2"/>
  <c r="CB260" i="2" l="1"/>
  <c r="CB267" i="2" s="1"/>
  <c r="CB39" i="6"/>
  <c r="CB258" i="2"/>
  <c r="CB257" i="2"/>
  <c r="AB37" i="17" l="1"/>
  <c r="AB38" i="17" s="1"/>
  <c r="CB272" i="2"/>
  <c r="CB273" i="2" s="1"/>
  <c r="CB262" i="2"/>
  <c r="CB263" i="2"/>
  <c r="CB261" i="2"/>
  <c r="CB3" i="4"/>
  <c r="CB22" i="4" s="1"/>
  <c r="CB43" i="3"/>
  <c r="CB278" i="2"/>
  <c r="CB268" i="2"/>
  <c r="CB270" i="2"/>
  <c r="CB269" i="2"/>
  <c r="CB274" i="2" l="1"/>
  <c r="CB45" i="3"/>
  <c r="CB47" i="4"/>
  <c r="CB76" i="4"/>
  <c r="CB280" i="2"/>
  <c r="CB279" i="2"/>
  <c r="AB50" i="17" l="1"/>
  <c r="AB51" i="17" s="1"/>
  <c r="CB83" i="4"/>
  <c r="CB77" i="4"/>
  <c r="CB79" i="4"/>
  <c r="CB78" i="4"/>
  <c r="CB49" i="4"/>
  <c r="CB3" i="3" s="1"/>
  <c r="CB47" i="3"/>
  <c r="AB44" i="17" l="1"/>
  <c r="AB45" i="17" s="1"/>
  <c r="CB51" i="3"/>
  <c r="CB11" i="3"/>
  <c r="CB5" i="7"/>
  <c r="CB84" i="4"/>
  <c r="CB86" i="4"/>
  <c r="CB85" i="4"/>
  <c r="CC4" i="7" l="1"/>
  <c r="CB6" i="7"/>
  <c r="CB20" i="3"/>
  <c r="CB49" i="3" l="1"/>
  <c r="CC8" i="7"/>
  <c r="CC22" i="7" l="1"/>
  <c r="CC243" i="2" s="1"/>
  <c r="DB8" i="7"/>
  <c r="DB7" i="7" l="1"/>
  <c r="DB22" i="7"/>
  <c r="DB243" i="2"/>
  <c r="CC250" i="2"/>
  <c r="CC251" i="2" l="1"/>
  <c r="CC255" i="2"/>
  <c r="CC253" i="2"/>
  <c r="DB250" i="2"/>
  <c r="CC252" i="2"/>
  <c r="CC260" i="2" l="1"/>
  <c r="CC272" i="2" s="1"/>
  <c r="DB251" i="2"/>
  <c r="DB253" i="2"/>
  <c r="DB255" i="2"/>
  <c r="CC39" i="6"/>
  <c r="CC258" i="2"/>
  <c r="CC257" i="2"/>
  <c r="CC267" i="2" l="1"/>
  <c r="AD37" i="17" s="1"/>
  <c r="CC261" i="2"/>
  <c r="DB260" i="2"/>
  <c r="CC263" i="2"/>
  <c r="CC3" i="4"/>
  <c r="CC22" i="4" s="1"/>
  <c r="CC262" i="2"/>
  <c r="DB256" i="2"/>
  <c r="DB258" i="2"/>
  <c r="CC273" i="2"/>
  <c r="CC274" i="2"/>
  <c r="DB272" i="2"/>
  <c r="DB267" i="2" l="1"/>
  <c r="I21" i="1" s="1"/>
  <c r="CC43" i="3"/>
  <c r="CC269" i="2"/>
  <c r="CC270" i="2"/>
  <c r="CC268" i="2"/>
  <c r="CC278" i="2"/>
  <c r="CC280" i="2" s="1"/>
  <c r="DB263" i="2"/>
  <c r="DB261" i="2"/>
  <c r="DB3" i="4"/>
  <c r="DB274" i="2"/>
  <c r="CC47" i="4"/>
  <c r="CC76" i="4"/>
  <c r="AD50" i="17" l="1"/>
  <c r="CC45" i="3"/>
  <c r="DB270" i="2"/>
  <c r="DB268" i="2"/>
  <c r="I22" i="1" s="1"/>
  <c r="DB43" i="3"/>
  <c r="CC279" i="2"/>
  <c r="DB278" i="2"/>
  <c r="DB22" i="4"/>
  <c r="DB47" i="4" s="1"/>
  <c r="CC49" i="4"/>
  <c r="CC77" i="4"/>
  <c r="CC83" i="4"/>
  <c r="CC79" i="4"/>
  <c r="DB76" i="4"/>
  <c r="I34" i="1" s="1"/>
  <c r="CC78" i="4"/>
  <c r="AD44" i="17" l="1"/>
  <c r="I37" i="1"/>
  <c r="I23" i="1"/>
  <c r="CC47" i="3"/>
  <c r="DB45" i="3"/>
  <c r="DB47" i="3" s="1"/>
  <c r="DB280" i="2"/>
  <c r="I24" i="1" s="1"/>
  <c r="DB79" i="4"/>
  <c r="I36" i="1" s="1"/>
  <c r="DB77" i="4"/>
  <c r="I35" i="1" s="1"/>
  <c r="DB49" i="4"/>
  <c r="CC3" i="3"/>
  <c r="F44" i="17"/>
  <c r="M45" i="17" s="1"/>
  <c r="CC84" i="4"/>
  <c r="CC86" i="4"/>
  <c r="DB83" i="4"/>
  <c r="I28" i="1" s="1"/>
  <c r="CC85" i="4"/>
  <c r="I38" i="1" l="1"/>
  <c r="I25" i="1"/>
  <c r="I26" i="1" s="1"/>
  <c r="I31" i="1"/>
  <c r="DB84" i="4"/>
  <c r="I29" i="1" s="1"/>
  <c r="DB86" i="4"/>
  <c r="I30" i="1" s="1"/>
  <c r="CC11" i="3"/>
  <c r="CC5" i="7"/>
  <c r="CD4" i="7" s="1"/>
  <c r="DB3" i="3"/>
  <c r="CC51" i="3"/>
  <c r="DB51" i="3" s="1"/>
  <c r="I32" i="1" l="1"/>
  <c r="CD8" i="7"/>
  <c r="DC4" i="7"/>
  <c r="DB5" i="7"/>
  <c r="DB6" i="7" s="1"/>
  <c r="CC6" i="7"/>
  <c r="CC20" i="3"/>
  <c r="DB11" i="3"/>
  <c r="CD22" i="7" l="1"/>
  <c r="CD243" i="2" s="1"/>
  <c r="DB20" i="3"/>
  <c r="CC49" i="3"/>
  <c r="CD250" i="2" l="1"/>
  <c r="DB49" i="3"/>
  <c r="CD255" i="2" l="1"/>
  <c r="CD251" i="2"/>
  <c r="CD253" i="2"/>
  <c r="CD252" i="2"/>
  <c r="CD260" i="2" l="1"/>
  <c r="CD39" i="6"/>
  <c r="CD258" i="2"/>
  <c r="CD257" i="2"/>
  <c r="CD272" i="2" l="1"/>
  <c r="CD273" i="2" s="1"/>
  <c r="CD261" i="2"/>
  <c r="CD3" i="4"/>
  <c r="CD262" i="2"/>
  <c r="CD263" i="2"/>
  <c r="CD267" i="2"/>
  <c r="AE37" i="17" l="1"/>
  <c r="CD274" i="2"/>
  <c r="CD22" i="4"/>
  <c r="CD43" i="3"/>
  <c r="CD269" i="2"/>
  <c r="CD270" i="2"/>
  <c r="CD278" i="2"/>
  <c r="CD268" i="2"/>
  <c r="CD76" i="4" l="1"/>
  <c r="CD47" i="4"/>
  <c r="CD45" i="3"/>
  <c r="CD279" i="2"/>
  <c r="CD280" i="2"/>
  <c r="AE50" i="17" l="1"/>
  <c r="CD83" i="4"/>
  <c r="AE44" i="17" s="1"/>
  <c r="CD78" i="4"/>
  <c r="CD79" i="4"/>
  <c r="CD77" i="4"/>
  <c r="CD47" i="3"/>
  <c r="CD49" i="4"/>
  <c r="CD3" i="3" s="1"/>
  <c r="CD85" i="4" l="1"/>
  <c r="CD86" i="4"/>
  <c r="CD84" i="4"/>
  <c r="CD11" i="3"/>
  <c r="CD20" i="3" s="1"/>
  <c r="CD49" i="3" s="1"/>
  <c r="CD5" i="7"/>
  <c r="CD6" i="7" s="1"/>
  <c r="CD51" i="3"/>
  <c r="CE4" i="7" l="1"/>
  <c r="CE8" i="7" s="1"/>
  <c r="CE22" i="7" l="1"/>
  <c r="CE243" i="2" s="1"/>
  <c r="CE250" i="2" s="1"/>
  <c r="CE251" i="2" l="1"/>
  <c r="CE255" i="2"/>
  <c r="CE253" i="2"/>
  <c r="CE252" i="2"/>
  <c r="CE260" i="2" l="1"/>
  <c r="CE39" i="6"/>
  <c r="CE258" i="2"/>
  <c r="CE257" i="2"/>
  <c r="CE267" i="2" l="1"/>
  <c r="AF37" i="17" s="1"/>
  <c r="CE272" i="2"/>
  <c r="CE273" i="2" s="1"/>
  <c r="CE261" i="2"/>
  <c r="CE3" i="4"/>
  <c r="CE262" i="2"/>
  <c r="CE263" i="2"/>
  <c r="CE274" i="2" l="1"/>
  <c r="CE22" i="4"/>
  <c r="CE270" i="2"/>
  <c r="CE268" i="2"/>
  <c r="CE43" i="3"/>
  <c r="CE278" i="2"/>
  <c r="CE269" i="2"/>
  <c r="CE47" i="4" l="1"/>
  <c r="CE76" i="4"/>
  <c r="AF50" i="17" s="1"/>
  <c r="CE45" i="3"/>
  <c r="CE279" i="2"/>
  <c r="CE280" i="2"/>
  <c r="CE78" i="4" l="1"/>
  <c r="CE49" i="4"/>
  <c r="CE3" i="3" s="1"/>
  <c r="CE83" i="4"/>
  <c r="AF44" i="17" s="1"/>
  <c r="CE77" i="4"/>
  <c r="CE47" i="3"/>
  <c r="CE79" i="4"/>
  <c r="CE84" i="4" l="1"/>
  <c r="CE11" i="3"/>
  <c r="CE51" i="3"/>
  <c r="CE86" i="4"/>
  <c r="CE85" i="4"/>
  <c r="CE5" i="7"/>
  <c r="CF4" i="7" s="1"/>
  <c r="CF8" i="7" s="1"/>
  <c r="CE20" i="3" l="1"/>
  <c r="CE6" i="7"/>
  <c r="CF22" i="7"/>
  <c r="CF243" i="2" s="1"/>
  <c r="CE49" i="3" l="1"/>
  <c r="CF250" i="2"/>
  <c r="CF255" i="2" l="1"/>
  <c r="CF251" i="2"/>
  <c r="CF253" i="2"/>
  <c r="CF252" i="2"/>
  <c r="CF260" i="2" l="1"/>
  <c r="CF39" i="6"/>
  <c r="CF258" i="2"/>
  <c r="CF257" i="2"/>
  <c r="CF262" i="2" l="1"/>
  <c r="CF263" i="2"/>
  <c r="CF272" i="2"/>
  <c r="CF274" i="2" s="1"/>
  <c r="CF261" i="2"/>
  <c r="CF267" i="2"/>
  <c r="CF3" i="4"/>
  <c r="AG37" i="17" l="1"/>
  <c r="AG38" i="17" s="1"/>
  <c r="CF269" i="2"/>
  <c r="CF270" i="2"/>
  <c r="CF268" i="2"/>
  <c r="CF278" i="2"/>
  <c r="CF22" i="4"/>
  <c r="CF43" i="3"/>
  <c r="CF273" i="2"/>
  <c r="CF279" i="2" l="1"/>
  <c r="CF280" i="2"/>
  <c r="CF47" i="4"/>
  <c r="CF76" i="4"/>
  <c r="CF45" i="3"/>
  <c r="CF47" i="3" s="1"/>
  <c r="CF83" i="4" l="1"/>
  <c r="AG44" i="17" s="1"/>
  <c r="AG50" i="17"/>
  <c r="AG51" i="17" s="1"/>
  <c r="CF49" i="4"/>
  <c r="CF3" i="3" s="1"/>
  <c r="CF78" i="4"/>
  <c r="CF77" i="4"/>
  <c r="CF79" i="4"/>
  <c r="CF85" i="4" l="1"/>
  <c r="CF84" i="4"/>
  <c r="CF86" i="4"/>
  <c r="AG45" i="17"/>
  <c r="C63" i="1"/>
  <c r="CF11" i="3"/>
  <c r="CF20" i="3" s="1"/>
  <c r="CF49" i="3" s="1"/>
  <c r="CF51" i="3"/>
  <c r="CF5" i="7"/>
  <c r="CG4" i="7" s="1"/>
  <c r="CG8" i="7" s="1"/>
  <c r="C66" i="1" l="1"/>
  <c r="C67" i="1" s="1"/>
  <c r="C70" i="1"/>
  <c r="C71" i="1" s="1"/>
  <c r="C75" i="1" s="1"/>
  <c r="C46" i="1" s="1"/>
  <c r="C64" i="1"/>
  <c r="CF6" i="7"/>
  <c r="DC8" i="7"/>
  <c r="CG22" i="7"/>
  <c r="CG243" i="2" s="1"/>
  <c r="DC243" i="2" s="1"/>
  <c r="C52" i="1" l="1"/>
  <c r="C54" i="1" s="1"/>
  <c r="DC22" i="7"/>
  <c r="DC7" i="7"/>
  <c r="CG250" i="2"/>
  <c r="C47" i="1" l="1"/>
  <c r="DC250" i="2"/>
  <c r="CG253" i="2"/>
  <c r="CG251" i="2"/>
  <c r="CG255" i="2"/>
  <c r="CG252" i="2"/>
  <c r="DC251" i="2" l="1"/>
  <c r="CG257" i="2"/>
  <c r="DC253" i="2"/>
  <c r="DC255" i="2"/>
  <c r="CG258" i="2"/>
  <c r="CG39" i="6"/>
  <c r="CG260" i="2"/>
  <c r="CG3" i="4" l="1"/>
  <c r="DC258" i="2"/>
  <c r="DC256" i="2"/>
  <c r="DC260" i="2"/>
  <c r="CG272" i="2"/>
  <c r="DC272" i="2" s="1"/>
  <c r="DC274" i="2" s="1"/>
  <c r="CG262" i="2"/>
  <c r="CG261" i="2"/>
  <c r="CG263" i="2"/>
  <c r="CG267" i="2"/>
  <c r="DC3" i="4" l="1"/>
  <c r="DC22" i="4" s="1"/>
  <c r="DC47" i="4" s="1"/>
  <c r="CG22" i="4"/>
  <c r="DC263" i="2"/>
  <c r="DC261" i="2"/>
  <c r="CG268" i="2"/>
  <c r="CG273" i="2"/>
  <c r="CG274" i="2"/>
  <c r="DC267" i="2"/>
  <c r="CG43" i="3"/>
  <c r="CG278" i="2"/>
  <c r="CG270" i="2"/>
  <c r="CG269" i="2"/>
  <c r="J21" i="1" l="1"/>
  <c r="CG47" i="4"/>
  <c r="CG49" i="4" s="1"/>
  <c r="CG3" i="3" s="1"/>
  <c r="CG76" i="4"/>
  <c r="CG83" i="4" s="1"/>
  <c r="CG84" i="4" s="1"/>
  <c r="DC270" i="2"/>
  <c r="DC268" i="2"/>
  <c r="J22" i="1" s="1"/>
  <c r="CG280" i="2"/>
  <c r="CG45" i="3"/>
  <c r="CG279" i="2"/>
  <c r="DC278" i="2"/>
  <c r="DC43" i="3"/>
  <c r="J23" i="1" l="1"/>
  <c r="DC83" i="4"/>
  <c r="CG85" i="4"/>
  <c r="CG86" i="4"/>
  <c r="CG78" i="4"/>
  <c r="CG51" i="3"/>
  <c r="DC51" i="3" s="1"/>
  <c r="CG11" i="3"/>
  <c r="CG5" i="7"/>
  <c r="CG6" i="7" s="1"/>
  <c r="DC49" i="4"/>
  <c r="CG79" i="4"/>
  <c r="DC76" i="4"/>
  <c r="DC3" i="3"/>
  <c r="DC11" i="3" s="1"/>
  <c r="CG77" i="4"/>
  <c r="CG47" i="3"/>
  <c r="DC280" i="2"/>
  <c r="J24" i="1" s="1"/>
  <c r="DC45" i="3"/>
  <c r="DC47" i="3" s="1"/>
  <c r="DC84" i="4" l="1"/>
  <c r="J29" i="1" s="1"/>
  <c r="J28" i="1"/>
  <c r="DC77" i="4"/>
  <c r="J35" i="1" s="1"/>
  <c r="J34" i="1"/>
  <c r="J25" i="1"/>
  <c r="J26" i="1" s="1"/>
  <c r="DC86" i="4"/>
  <c r="J30" i="1" s="1"/>
  <c r="DC5" i="7"/>
  <c r="DC6" i="7" s="1"/>
  <c r="CG20" i="3"/>
  <c r="DC79" i="4"/>
  <c r="J36" i="1" s="1"/>
  <c r="DC20" i="3"/>
  <c r="J31" i="1" l="1"/>
  <c r="J32" i="1" s="1"/>
  <c r="J37" i="1"/>
  <c r="J38" i="1" s="1"/>
  <c r="CG49" i="3"/>
  <c r="DC4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Vegliante, Alex [GIR]</author>
    <author>ACS</author>
  </authors>
  <commentList>
    <comment ref="AJ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New definition starting 4Q18</t>
        </r>
      </text>
    </comment>
    <comment ref="AJ1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New definition starting 4Q18</t>
        </r>
      </text>
    </comment>
    <comment ref="AY22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tough comp + impact from Russia</t>
        </r>
      </text>
    </comment>
    <comment ref="BB27" authorId="1" shapeId="0" xr:uid="{E8416D75-542F-4F25-97F7-32C78D383407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Shorts monetization start</t>
        </r>
      </text>
    </comment>
    <comment ref="AX43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Impact from Google Play fee change
</t>
        </r>
      </text>
    </comment>
    <comment ref="AY43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Impact from Google Play fee change
</t>
        </r>
      </text>
    </comment>
    <comment ref="AZ43" authorId="1" shapeId="0" xr:uid="{1AD481A7-231D-4219-8507-794C23AAEA2A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Impact from Google Play fee change
</t>
        </r>
      </text>
    </comment>
    <comment ref="BA43" authorId="1" shapeId="0" xr:uid="{60230115-2C70-4632-A96A-97B27958E5A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Impact from Google Play fee change
</t>
        </r>
      </text>
    </comment>
    <comment ref="BC43" authorId="1" shapeId="0" xr:uid="{901221B0-1565-4276-9E0F-3E20079D5BE8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Benefit from strong sub growth at YT + pricing increase</t>
        </r>
      </text>
    </comment>
    <comment ref="BG43" authorId="1" shapeId="0" xr:uid="{411FD88E-B92D-47E5-B863-315DB92511BB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tough comp
</t>
        </r>
      </text>
    </comment>
    <comment ref="BH43" authorId="0" shapeId="0" xr:uid="{300BC4A9-E8C3-4F2E-8EA1-9272EAE534C2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Hardware launch (pull fwd vs. Q4 launch last year)</t>
        </r>
      </text>
    </comment>
    <comment ref="AY49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tough comp</t>
        </r>
      </text>
    </comment>
    <comment ref="AX53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Waymo and Wing called out</t>
        </r>
      </text>
    </comment>
    <comment ref="BB55" authorId="1" shapeId="0" xr:uid="{808CF24D-80A7-4C0E-9C59-2050100B5351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tough comps</t>
        </r>
      </text>
    </comment>
    <comment ref="CV165" authorId="0" shapeId="0" xr:uid="{185A14BA-A79B-4855-B9E7-9BCADAE390C7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$960m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$479m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$481m</t>
        </r>
      </text>
    </comment>
    <comment ref="BB166" authorId="0" shapeId="0" xr:uid="{78B66221-B882-4E8E-9B3B-DFFAEC3334FD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$681m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$461m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$220m</t>
        </r>
      </text>
    </comment>
    <comment ref="BE166" authorId="0" shapeId="0" xr:uid="{D771494C-251E-4C0C-9F83-4F7A85CE917B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$237m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$2m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$235m</t>
        </r>
      </text>
    </comment>
    <comment ref="BA170" authorId="1" shapeId="0" xr:uid="{B1F5BB92-AD89-4DF2-92C0-7AC9E6F39961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hardware costs (due primarily to $1.2bn of inventory related charges &amp; secondarily to strong unit sales)</t>
        </r>
      </text>
    </comment>
    <comment ref="BB170" authorId="1" shapeId="0" xr:uid="{F6A7193F-E4E4-4D50-BBD7-7F259C04149A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Change in useful lives of servers --&gt; $3.4bn benefit to D&amp;A in 2023</t>
        </r>
      </text>
    </comment>
    <comment ref="BC170" authorId="1" shapeId="0" xr:uid="{9A5FFAEE-52FD-4879-83D5-40664FA3E995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$966m benefit in D&amp;A from change in useful life of serverr; higher YT content costs + hardware costs </t>
        </r>
      </text>
    </comment>
    <comment ref="BE170" authorId="1" shapeId="0" xr:uid="{2AB04889-E029-46E8-B0BB-48FDBA4661DD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Higher hardware costs + Higher CAC at YT (full qtr of NFL) </t>
        </r>
      </text>
    </comment>
    <comment ref="BF170" authorId="0" shapeId="0" xr:uid="{DD112F41-3B17-4218-A8ED-6DB84A49D2E2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Lapping one-time costs</t>
        </r>
      </text>
    </comment>
    <comment ref="BG170" authorId="0" shapeId="0" xr:uid="{64778225-A586-44F3-A37D-6EA2929C75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Lapping one-time costs</t>
        </r>
      </text>
    </comment>
    <comment ref="BH170" authorId="0" shapeId="0" xr:uid="{7DCF56FA-D2ED-41EC-A89E-E979084A1974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Hardware launch (pull fwd vs. Q4 launch last year)</t>
        </r>
      </text>
    </comment>
    <comment ref="BB179" authorId="0" shapeId="0" xr:uid="{D9D72E15-5151-40CF-B144-62F874D30FCC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$1,082m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$835m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$247m</t>
        </r>
      </text>
    </comment>
    <comment ref="BE179" authorId="0" shapeId="0" xr:uid="{05A291D1-A0C1-41EB-A087-45DA1E26F468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$603m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$1m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$602m</t>
        </r>
      </text>
    </comment>
    <comment ref="CV179" authorId="0" shapeId="0" xr:uid="{41698F9B-15F5-4916-9310-D0424E98ADA3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$1,718m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$848m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$870m</t>
        </r>
      </text>
    </comment>
    <comment ref="BB184" authorId="0" shapeId="0" xr:uid="{5C56043E-B6B4-495D-913A-BE907BA3B89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$480m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$445m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$35m</t>
        </r>
      </text>
    </comment>
    <comment ref="BE184" authorId="0" shapeId="0" xr:uid="{1D8089AD-C468-4EED-9F8D-6A15C1C6E276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$201m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$3m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$198m</t>
        </r>
      </text>
    </comment>
    <comment ref="CV184" authorId="0" shapeId="0" xr:uid="{7E51671F-893C-4D91-991A-94BDE939149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$754m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$497m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$257m</t>
        </r>
      </text>
    </comment>
    <comment ref="AW185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Investments in holiday season (hardware)</t>
        </r>
      </text>
    </comment>
    <comment ref="BE186" authorId="1" shapeId="0" xr:uid="{23F84C20-706E-4E21-870E-58EA4069AFDC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increased investment to support product launches</t>
        </r>
      </text>
    </comment>
    <comment ref="BB189" authorId="0" shapeId="0" xr:uid="{CF80BB5C-2975-4DF9-97BC-5A77BE83CB82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$315m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$253m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$62m</t>
        </r>
      </text>
    </comment>
    <comment ref="BD189" authorId="1" shapeId="0" xr:uid="{DC68FD85-1D1E-4D23-AB4D-2E06695D7B02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~$500m in one-timers</t>
        </r>
      </text>
    </comment>
    <comment ref="BE189" authorId="0" shapeId="0" xr:uid="{4108E61C-4CB7-4FD5-82CF-B694A53B79B8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$162m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$1m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$161m</t>
        </r>
      </text>
    </comment>
    <comment ref="BJ189" authorId="0" shapeId="0" xr:uid="{48AF32A0-084D-4364-83E5-4C51E23ACE9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YoY increase in charges related to legal and other matters of $292 million</t>
        </r>
      </text>
    </comment>
    <comment ref="BK189" authorId="0" shapeId="0" xr:uid="{0179F513-B21A-4F87-8617-97302352607D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a legal-related accrual of $1.4bn</t>
        </r>
      </text>
    </comment>
    <comment ref="BL189" authorId="0" shapeId="0" xr:uid="{DDFC7BB1-AA95-4264-B425-559DFA820F76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EC fine accrual of $3,457mm</t>
        </r>
      </text>
    </comment>
    <comment ref="CV189" authorId="0" shapeId="0" xr:uid="{231734C4-7BC6-454E-BE37-3842A92B445F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one-time costs of </t>
        </r>
        <r>
          <rPr>
            <b/>
            <sz val="9"/>
            <color indexed="81"/>
            <rFont val="Tahoma"/>
            <family val="2"/>
          </rPr>
          <t>$501m</t>
        </r>
        <r>
          <rPr>
            <sz val="9"/>
            <color indexed="81"/>
            <rFont val="Tahoma"/>
            <family val="2"/>
          </rPr>
          <t>, broken down as follows:
-</t>
        </r>
        <r>
          <rPr>
            <b/>
            <sz val="9"/>
            <color indexed="81"/>
            <rFont val="Tahoma"/>
            <family val="2"/>
          </rPr>
          <t>Severance &amp; Related</t>
        </r>
        <r>
          <rPr>
            <sz val="9"/>
            <color indexed="81"/>
            <rFont val="Tahoma"/>
            <family val="2"/>
          </rPr>
          <t xml:space="preserve"> $264m
-</t>
        </r>
        <r>
          <rPr>
            <b/>
            <sz val="9"/>
            <color indexed="81"/>
            <rFont val="Tahoma"/>
            <family val="2"/>
          </rPr>
          <t xml:space="preserve">Office Space </t>
        </r>
        <r>
          <rPr>
            <sz val="9"/>
            <color indexed="81"/>
            <rFont val="Tahoma"/>
            <family val="2"/>
          </rPr>
          <t>$237m</t>
        </r>
      </text>
    </comment>
    <comment ref="AI19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EU fine</t>
        </r>
      </text>
    </comment>
    <comment ref="CW202" authorId="1" shapeId="0" xr:uid="{10460BE8-A832-452A-BA9E-740EAC2D1DDE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Guide (as of Q4'22): expect cost reduction measures to reflected in 2024 </t>
        </r>
      </text>
    </comment>
    <comment ref="T207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Includes Other Bets prior to Q4'14</t>
        </r>
      </text>
    </comment>
    <comment ref="AN207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Core Google prior to Q4'19; "Google Services" disclosure starts Q4'19</t>
        </r>
      </text>
    </comment>
    <comment ref="AX207" authorId="0" shapeId="0" xr:uid="{8991BF83-8F32-44E7-BAB5-E67F8DBA617E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Y207" authorId="0" shapeId="0" xr:uid="{4DF7AB55-63D0-4C6A-BB98-544DE80518EE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Z207" authorId="0" shapeId="0" xr:uid="{CCAF1CD7-EFC3-40C8-B720-C0086C5E92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BA207" authorId="0" shapeId="0" xr:uid="{6A9388A4-A077-43BC-9137-30BFEFB75EDA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CT207" authorId="0" shapeId="0" xr:uid="{C2A6E2BF-39F2-498C-853A-C427DFBA0D4D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Annuals don't match quarterlies due to recast financials (4.20.23 8-K)</t>
        </r>
      </text>
    </comment>
    <comment ref="AX212" authorId="0" shapeId="0" xr:uid="{E60572B2-E158-45E5-B87D-F80E40571ABA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Y212" authorId="0" shapeId="0" xr:uid="{039EC667-B6EC-41AC-BD64-C6B7D9C24A9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Z212" authorId="0" shapeId="0" xr:uid="{8180E869-986F-47F1-9FCA-3C02F21163A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BA212" authorId="0" shapeId="0" xr:uid="{83EEB1AB-D862-44F1-9813-03F97967BE79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CT212" authorId="0" shapeId="0" xr:uid="{18050800-6FA3-4D88-85F1-08F6EEFA5495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Annuals don't match quarterlies due to recast financials (4.20.23 8-K)</t>
        </r>
      </text>
    </comment>
    <comment ref="AX218" authorId="0" shapeId="0" xr:uid="{412CEA56-76B4-49DC-A0D6-D26F11C0AFB3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Y218" authorId="0" shapeId="0" xr:uid="{243D8F9A-9390-49EF-95B0-AE96563E8233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Z218" authorId="0" shapeId="0" xr:uid="{D1E0EBD9-FF87-44F7-BF22-9D61A1104F0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BA218" authorId="0" shapeId="0" xr:uid="{73141A75-2530-49C8-850C-E9FC1047CDCF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CT218" authorId="0" shapeId="0" xr:uid="{685FEE34-F46C-4081-A9B3-A0FB1F7B4148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Annuals don't match quarterlies due to recast financials (4.20.23 8-K)</t>
        </r>
      </text>
    </comment>
    <comment ref="AX223" authorId="0" shapeId="0" xr:uid="{47799EEE-CCD2-4769-958E-E0264E02D1A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Y223" authorId="0" shapeId="0" xr:uid="{3EACF882-E98B-4847-846C-78CFF87339D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AZ223" authorId="0" shapeId="0" xr:uid="{6716D609-C7EB-431C-A27C-8DB0D8E8C2AF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BA223" authorId="0" shapeId="0" xr:uid="{29AE5C1E-72F9-4F5B-AE70-FCCAA2D91FC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Recast Historical Financials (as of 4.20.23 8-K)</t>
        </r>
      </text>
    </comment>
    <comment ref="BB223" authorId="1" shapeId="0" xr:uid="{560ADD05-15F6-462D-AFA8-A3799D2460F7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Q1'23: includes "substantial majority" of one-time costs of $1,994m of severance &amp; related costs and $564m of office space reduction
OLD Guide (as of Q4): expect employee severence charges of $1.9-2.3bn in Q1 + exit costs relating to office space reductions of $0.5bn
No including DeepMind losses</t>
        </r>
      </text>
    </comment>
    <comment ref="CT223" authorId="0" shapeId="0" xr:uid="{3D7B2C0B-7722-475C-9145-BBDF8C964BC7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Annuals don't match quarterlies due to recast financials (4.20.23 8-K)</t>
        </r>
      </text>
    </comment>
    <comment ref="BF228" authorId="1" shapeId="0" xr:uid="{7542E6EF-E138-4233-B0A0-D35030A6BE22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Bi-annual equity refresh (Q1/Q2)</t>
        </r>
      </text>
    </comment>
    <comment ref="BG228" authorId="1" shapeId="0" xr:uid="{345D62FB-3A82-4B8B-A516-EF48BE14D12F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Bi-annual equity refresh (Gse in Q2)</t>
        </r>
      </text>
    </comment>
    <comment ref="BJ243" authorId="0" shapeId="0" xr:uid="{3BBC86DD-3F7C-43AA-915E-F58387730EBC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Q4'24 10-K: </t>
        </r>
        <r>
          <rPr>
            <sz val="9"/>
            <color indexed="81"/>
            <rFont val="Tahoma"/>
            <family val="2"/>
          </rPr>
          <t xml:space="preserve">
"In January 2025, we recognized an $8.0 billion unrealized gain on our non-marketable equity securities related to our investment in a private company. The unrealized gain reflects an increase in the fair value measurement of our investment following an observable transaction in January 2025."
Likely related to SpaceX investment
https://www.bloomberg.com/news/articles/2025-04-24/alphabet-s-profit-gets-8-billion-boost-from-spacex-investment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Vegliante, Alex [GIR]</author>
    <author>ACS</author>
  </authors>
  <commentList>
    <comment ref="J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Hardcoded due to restatement in 2015</t>
        </r>
      </text>
    </comment>
    <comment ref="BE14" authorId="1" shapeId="0" xr:uid="{1C7DB93C-3DDB-4962-9AC3-E112539EF5DE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Guide: $10.5bn cash tax payment </t>
        </r>
      </text>
    </comment>
    <comment ref="AT37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$56.3bn authorization remaining post-Q1 ($6.3bn remaining as of March 31, 2021 + addt'l $50bn authorized in April 2021)</t>
        </r>
      </text>
    </comment>
    <comment ref="AU37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~$43.5bn remaining (est until 10-Q)</t>
        </r>
      </text>
    </comment>
    <comment ref="AW37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As of December 31, 2021, $17.4 billion remains available for Class A and Class C share repurchases under the amended authorization.</t>
        </r>
      </text>
    </comment>
    <comment ref="AX37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New $70bn repurchase agreement announced </t>
        </r>
      </text>
    </comment>
    <comment ref="BA37" authorId="0" shapeId="0" xr:uid="{791D797D-12E9-4730-B823-7187AAC078C7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As of December 31, 2022, $28.1 billion remains available for Class A and Class C share
repurchases</t>
        </r>
      </text>
    </comment>
    <comment ref="BB37" authorId="1" shapeId="0" xr:uid="{D039A374-2D13-49D3-A340-C202C9781D59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New $70bn repurchase authorization announced </t>
        </r>
      </text>
    </comment>
    <comment ref="BF37" authorId="1" shapeId="0" xr:uid="{E4A78C15-D39D-415C-8FF7-044D6292B31E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Announced addtl $70bn share repurchase program ($90.4bn total remaining post-Q1)</t>
        </r>
      </text>
    </comment>
    <comment ref="BH37" authorId="0" shapeId="0" xr:uid="{40F3365F-274C-4F43-A8F3-DB9AE77C1BBC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As of Sept 30, $59.7bn remained on existing authorizations</t>
        </r>
      </text>
    </comment>
    <comment ref="BJ37" authorId="0" shapeId="0" xr:uid="{2E1C4F4B-63BA-4A4D-956B-3FB2046D87AE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New authorization of $70bn
$13.790bn remaining on existing authorization
$83.790bn total remaining authorization</t>
        </r>
      </text>
    </comment>
    <comment ref="BK37" authorId="0" shapeId="0" xr:uid="{2E6C34DE-0D68-478E-89DC-7B67C81207FD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As of 6/30/25, $86.3bn remaining on existing authorizations</t>
        </r>
      </text>
    </comment>
    <comment ref="K4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Hardcoded due to restatement of Net Income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ACS</author>
    <author>Vegliante, Alex [GIR]</author>
  </authors>
  <commentList>
    <comment ref="AX4" authorId="0" shapeId="0" xr:uid="{00000000-0006-0000-0A00-000001000000}">
      <text>
        <r>
          <rPr>
            <sz val="9"/>
            <color indexed="81"/>
            <rFont val="Tahoma"/>
            <family val="2"/>
          </rPr>
          <t xml:space="preserve">$1bn purchase of London HQ
Completed $2.1bn purchase of NY office building in Q1’22 (that was previously announced) </t>
        </r>
      </text>
    </comment>
    <comment ref="BG4" authorId="0" shapeId="0" xr:uid="{76989626-C072-4EF5-907E-84507ECFA7EF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As per Q1'24: "Going forward, expect quarterly capex to be roughly at or above Q1 level"
</t>
        </r>
      </text>
    </comment>
    <comment ref="BI4" authorId="1" shapeId="0" xr:uid="{6DA4F9B9-C775-472D-AB79-3416A16E14BC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Guide (Q3'24 EPS): ~similar level as Q3'24</t>
        </r>
      </text>
    </comment>
    <comment ref="BJ4" authorId="1" shapeId="0" xr:uid="{BBD5C20B-BB60-4640-8991-CBFDC1916DD4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Guide: $16-18bn</t>
        </r>
      </text>
    </comment>
    <comment ref="CU4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 2022: expect meaningful increase in capex: 
· Servers will be largest driver of spend
· Office facilities – reaccelerating investments
- $1bn purchase of London HQ
- Completed $2.1bn purchase of NY office building in Q1’22 (that was previously announced) </t>
        </r>
      </text>
    </comment>
    <comment ref="CV4" authorId="0" shapeId="0" xr:uid="{CAAE3E56-B248-4767-9DE5-998F374FA0D2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Guide (as of Q1'23): </t>
        </r>
        <r>
          <rPr>
            <sz val="9"/>
            <color indexed="81"/>
            <rFont val="Tahoma"/>
            <family val="2"/>
          </rPr>
          <t xml:space="preserve">Total capex to be "modestly higher" vs. 2022 (higher tech infrastructure; decline in office facilities YoY)
OLD Guide (as of Q4'22): inline with 2022 (although bigger focus on tech infrastructue) </t>
        </r>
      </text>
    </comment>
    <comment ref="CW4" authorId="1" shapeId="0" xr:uid="{B5A91A1B-238D-4D9B-9E94-CDD23F6EBA4B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Expect to be "notably larger" vs. 2023</t>
        </r>
      </text>
    </comment>
    <comment ref="CX4" authorId="1" shapeId="0" xr:uid="{B403C96B-B02C-4B19-ABA3-1A6A3E3B2BBD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Guide (Q3'25 EPS):</t>
        </r>
        <r>
          <rPr>
            <sz val="9"/>
            <color indexed="81"/>
            <rFont val="Tahoma"/>
            <family val="2"/>
          </rPr>
          <t xml:space="preserve"> ~$91-93bn
OLD Guide (Q2'25 EPS): ~$85bn
OLD Guide (Q1'25 EPS):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$75bn
OLD Guide (April '25 - Cloud Next): $75bn
OLD Guide (Q4'24 EPS): $75bn</t>
        </r>
      </text>
    </comment>
    <comment ref="CX6" authorId="1" shapeId="0" xr:uid="{F5CCD2DF-BD8C-4A01-9489-622F3CF266B4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Guide (Q3'24 EPS):</t>
        </r>
        <r>
          <rPr>
            <sz val="9"/>
            <color indexed="81"/>
            <rFont val="Tahoma"/>
            <family val="2"/>
          </rPr>
          <t xml:space="preserve"> Will be up YoY, but likely not at the same level of growth as 2024 levels</t>
        </r>
      </text>
    </comment>
    <comment ref="BK23" authorId="1" shapeId="0" xr:uid="{B44FB9B2-872E-4129-885D-2F6757D60261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Guide (Q1'25 EPS): % y/y growth in depreciation to accelerate throughout the year</t>
        </r>
      </text>
    </comment>
    <comment ref="BL23" authorId="1" shapeId="0" xr:uid="{9FF2A8B3-BF89-4C13-A93F-1A3CD0BCEC53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Guide (Q1'25 EPS): % y/y growth in depreciation to accelerate throughout the year</t>
        </r>
      </text>
    </comment>
    <comment ref="BM23" authorId="1" shapeId="0" xr:uid="{AD436E2F-D33D-45CF-B0A6-296C733A0EB7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Guide (Q1'25 EPS): % y/y growth in depreciation to accelerate throughout the year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ACS</author>
  </authors>
  <commentList>
    <comment ref="BA20" authorId="0" shapeId="0" xr:uid="{1D7B4CA5-913C-472E-AA08-E4D843035678}">
      <text>
        <r>
          <rPr>
            <b/>
            <sz val="9"/>
            <color indexed="81"/>
            <rFont val="Tahoma"/>
            <family val="2"/>
          </rPr>
          <t>ACS:</t>
        </r>
        <r>
          <rPr>
            <sz val="9"/>
            <color indexed="81"/>
            <rFont val="Tahoma"/>
            <family val="2"/>
          </rPr>
          <t xml:space="preserve">
Implied loss from equity securities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Vegliante, Alex [GIR]</author>
  </authors>
  <commentList>
    <comment ref="BL5" authorId="0" shapeId="0" xr:uid="{1FD27FDA-EEBE-42C7-A3AD-69656E7BCA1F}">
      <text>
        <r>
          <rPr>
            <b/>
            <sz val="9"/>
            <color indexed="81"/>
            <rFont val="Tahoma"/>
            <family val="2"/>
          </rPr>
          <t>Vegliante, Alex [GIR]:</t>
        </r>
        <r>
          <rPr>
            <sz val="9"/>
            <color indexed="81"/>
            <rFont val="Tahoma"/>
            <family val="2"/>
          </rPr>
          <t xml:space="preserve">
Est. until Q</t>
        </r>
      </text>
    </comment>
  </commentList>
</comments>
</file>

<file path=xl/sharedStrings.xml><?xml version="1.0" encoding="utf-8"?>
<sst xmlns="http://schemas.openxmlformats.org/spreadsheetml/2006/main" count="2220" uniqueCount="469">
  <si>
    <r>
      <rPr>
        <b/>
        <u/>
        <sz val="9"/>
        <color theme="1"/>
        <rFont val="Arial"/>
        <family val="2"/>
      </rPr>
      <t>Income Statement</t>
    </r>
    <r>
      <rPr>
        <sz val="9"/>
        <color theme="1"/>
        <rFont val="Arial"/>
        <family val="2"/>
      </rPr>
      <t xml:space="preserve"> </t>
    </r>
    <r>
      <rPr>
        <i/>
        <sz val="9"/>
        <color theme="1"/>
        <rFont val="Arial"/>
        <family val="2"/>
      </rPr>
      <t>(USD Millions)</t>
    </r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</si>
  <si>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</si>
  <si>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</si>
  <si>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</si>
  <si>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</si>
  <si>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</si>
  <si>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</si>
  <si>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</si>
  <si>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</si>
  <si>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</si>
  <si>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</si>
  <si>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</si>
  <si>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</si>
  <si>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</si>
  <si>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</si>
  <si>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</si>
  <si>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</si>
  <si>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</si>
  <si>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</si>
  <si>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</si>
  <si>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</si>
  <si>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</si>
  <si>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</si>
  <si>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</si>
  <si>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</si>
  <si>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</si>
  <si>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</si>
  <si>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</si>
  <si>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</si>
  <si>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</si>
  <si>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</si>
  <si>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</si>
  <si>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</si>
  <si>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</si>
  <si>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</si>
  <si>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</si>
  <si>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</si>
  <si>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</si>
  <si>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</si>
  <si>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</si>
  <si>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</si>
  <si>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</si>
  <si>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</si>
  <si>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</si>
  <si>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</si>
  <si>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</si>
  <si>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4Q25E</t>
  </si>
  <si>
    <t>1Q26E</t>
  </si>
  <si>
    <t>2Q26E</t>
  </si>
  <si>
    <t>3Q26E</t>
  </si>
  <si>
    <t>4Q26E</t>
  </si>
  <si>
    <t>2025E</t>
  </si>
  <si>
    <t>2026E</t>
  </si>
  <si>
    <t>Free Cash Flow</t>
  </si>
  <si>
    <t>Balance Sheet</t>
  </si>
  <si>
    <t>Depreciation Schedule</t>
  </si>
  <si>
    <t>Working Capital Schedule</t>
  </si>
  <si>
    <t>Debt &amp; Interest Expense/Income Schedule</t>
  </si>
  <si>
    <t>Google Services</t>
  </si>
  <si>
    <t>% of Google Segment Revs (Gross)</t>
  </si>
  <si>
    <t>Google Segment Revenues (Gross)</t>
  </si>
  <si>
    <t>% of Consolidated Gross Revenues</t>
  </si>
  <si>
    <t>QoQ Growth</t>
  </si>
  <si>
    <t>YoY Growth</t>
  </si>
  <si>
    <t>% of Google Services</t>
  </si>
  <si>
    <t>Google Search &amp; Other</t>
  </si>
  <si>
    <t>% of Google Advertising</t>
  </si>
  <si>
    <t>Google Advertising (Gross)</t>
  </si>
  <si>
    <t>YouTube Ads</t>
  </si>
  <si>
    <t>Google Network Members' Properties</t>
  </si>
  <si>
    <t>Google Other</t>
  </si>
  <si>
    <t>TAC (Total)</t>
  </si>
  <si>
    <t>% of Google Advertising (Gross)</t>
  </si>
  <si>
    <t>Google Advertising (Net)</t>
  </si>
  <si>
    <t>Google Cloud</t>
  </si>
  <si>
    <t>Other Bets</t>
  </si>
  <si>
    <t>Google Segment Revenues (Net)</t>
  </si>
  <si>
    <t>% of Consolidated Net Revenues</t>
  </si>
  <si>
    <t>Consolidated Revenues (Gross)</t>
  </si>
  <si>
    <t>Consolidated Revenues (Net)</t>
  </si>
  <si>
    <t>Hedging Gains (Losses)</t>
  </si>
  <si>
    <t>% of Google Segment Revs (Net)</t>
  </si>
  <si>
    <t>n/a</t>
  </si>
  <si>
    <t>Google Websites (Gross) - OLD</t>
  </si>
  <si>
    <t>Google Network (Gross) - OLD</t>
  </si>
  <si>
    <t>HISTORICAL NET REVENUE BUILD (OLD):</t>
  </si>
  <si>
    <t>Distribution TAC - OLD</t>
  </si>
  <si>
    <t>% of Google Websites Revs (Gross)</t>
  </si>
  <si>
    <t>Google Websites (Net) - OLD</t>
  </si>
  <si>
    <t>Network TAC - OLD</t>
  </si>
  <si>
    <t>% of Google Network Revs (Gross)</t>
  </si>
  <si>
    <t>Google Network (Net) - OLD</t>
  </si>
  <si>
    <t>Google Other - OLD</t>
  </si>
  <si>
    <t>United States</t>
  </si>
  <si>
    <t>YoY Growth (ex-FX)</t>
  </si>
  <si>
    <t>EMEA</t>
  </si>
  <si>
    <t>United Kingdom</t>
  </si>
  <si>
    <t>APAC</t>
  </si>
  <si>
    <t>Other Americas</t>
  </si>
  <si>
    <t>F/X IMPACT:</t>
  </si>
  <si>
    <t>FXN Revenue by Geography (Non-GAAP):</t>
  </si>
  <si>
    <t>Cost of Revenues (GAAP)</t>
  </si>
  <si>
    <t>Cost of Revenues (ex-TAC)</t>
  </si>
  <si>
    <t>YoY Change (in basis points)</t>
  </si>
  <si>
    <t>Gross Profit (GAAP)</t>
  </si>
  <si>
    <t>Gross Margin %</t>
  </si>
  <si>
    <t>YoY change (in basis points)</t>
  </si>
  <si>
    <t>Operating Expenses (GAAP)</t>
  </si>
  <si>
    <t>Research &amp; Development</t>
  </si>
  <si>
    <t>% of Total Sales</t>
  </si>
  <si>
    <t>Sales &amp; Marketing</t>
  </si>
  <si>
    <t>G&amp;A</t>
  </si>
  <si>
    <t>Other Operating Expenses</t>
  </si>
  <si>
    <t>Total Operating Expenses (GAAP)</t>
  </si>
  <si>
    <t>GAAP Operating Income</t>
  </si>
  <si>
    <t>Operating Income Margin %</t>
  </si>
  <si>
    <t>Google Services (prior Google Core)</t>
  </si>
  <si>
    <t>Operating Income By Segment:</t>
  </si>
  <si>
    <t>% of Google Operating Income</t>
  </si>
  <si>
    <t>CHECK</t>
  </si>
  <si>
    <t>Stock-Based Comp</t>
  </si>
  <si>
    <t>Includes stock-based comp as follows:</t>
  </si>
  <si>
    <t>Cost of Revenues</t>
  </si>
  <si>
    <t>% of Cost of Revenues</t>
  </si>
  <si>
    <t>% of Research &amp; Development</t>
  </si>
  <si>
    <t>% of Sales &amp; Marketing</t>
  </si>
  <si>
    <t>% of G&amp;A</t>
  </si>
  <si>
    <t>Operating Income Margin (% of Google Segment)</t>
  </si>
  <si>
    <t>Operating Income Margin (% of Google Cloud)</t>
  </si>
  <si>
    <t>Operating Income Margin (% of Other Bets)</t>
  </si>
  <si>
    <t>Other income (expense), net</t>
  </si>
  <si>
    <t>Pre-Tax Income</t>
  </si>
  <si>
    <t>Pre-Tax Income Margin %</t>
  </si>
  <si>
    <t>Provision for Income Taxes</t>
  </si>
  <si>
    <t>Effective Tax Rate</t>
  </si>
  <si>
    <t>Net Income</t>
  </si>
  <si>
    <t>GAAP Net Income from Continuing Operations</t>
  </si>
  <si>
    <t>Net Income Margin %</t>
  </si>
  <si>
    <t>Net Income from Discontinued Operations</t>
  </si>
  <si>
    <t>GAAP Net Income</t>
  </si>
  <si>
    <t>GAAP EPS from Continuing Operations (Diluted)</t>
  </si>
  <si>
    <t>EPS from Discontinued Operations (Diluted)</t>
  </si>
  <si>
    <t>GAAP EPS (Diluted)</t>
  </si>
  <si>
    <t>Diluted Shares Outstanding</t>
  </si>
  <si>
    <t>Stock-based comp</t>
  </si>
  <si>
    <t>Deferred income taxes</t>
  </si>
  <si>
    <t>Changes in assets and liabilities, net of acquisition effects</t>
  </si>
  <si>
    <t>Other assets</t>
  </si>
  <si>
    <t>Accounts payable</t>
  </si>
  <si>
    <t>Net cash provided by (used in) operating activities</t>
  </si>
  <si>
    <t>Depreciation of property and equipment</t>
  </si>
  <si>
    <t>Amortization and impairment of intangible assets</t>
  </si>
  <si>
    <t>(Gain) loss on debt and equity securities, net</t>
  </si>
  <si>
    <t>Other</t>
  </si>
  <si>
    <t>Accounts Receivable</t>
  </si>
  <si>
    <t>Income taxes, net</t>
  </si>
  <si>
    <t xml:space="preserve">Accrued expenses and other current liabilities </t>
  </si>
  <si>
    <t xml:space="preserve">Accrued revenue share </t>
  </si>
  <si>
    <t>Deferred Revenue</t>
  </si>
  <si>
    <t>Investing Activities:</t>
  </si>
  <si>
    <t>Net cash (used in) provided by investing activities</t>
  </si>
  <si>
    <t>Financing Activities:</t>
  </si>
  <si>
    <t>Net cash provided by (used in) financing activities</t>
  </si>
  <si>
    <t>F/X impact on cash</t>
  </si>
  <si>
    <t>Net change in Cash</t>
  </si>
  <si>
    <t>Cash &amp; Cash Equivalents @ End of Period</t>
  </si>
  <si>
    <t>Purchases of property and equipment</t>
  </si>
  <si>
    <t>Purchases of marketable securities</t>
  </si>
  <si>
    <t>Maturities and sales of marketable securities</t>
  </si>
  <si>
    <t>Purchases of non-marketable investments</t>
  </si>
  <si>
    <t>Maturities and sales of non-marketable securities</t>
  </si>
  <si>
    <t>Acquisitions, net of cash acquired, and purchases of intangible assets</t>
  </si>
  <si>
    <t>Other investing activities</t>
  </si>
  <si>
    <t>Net payments related to stock-based award activities</t>
  </si>
  <si>
    <t>Repurchase of common stock</t>
  </si>
  <si>
    <t>Proceeds from issuance of debt, net of costs</t>
  </si>
  <si>
    <t>Repayments of debt</t>
  </si>
  <si>
    <t>Deferred Income Taxes</t>
  </si>
  <si>
    <t>Depreciation</t>
  </si>
  <si>
    <t>% of Sales</t>
  </si>
  <si>
    <t>Depreciation &amp; Amortization</t>
  </si>
  <si>
    <t>GAAP EBITDA</t>
  </si>
  <si>
    <t>GAAP EBITDA Margin</t>
  </si>
  <si>
    <t>FCF Margin</t>
  </si>
  <si>
    <t>SBC</t>
  </si>
  <si>
    <t>FCF minus SBC</t>
  </si>
  <si>
    <t>(FCF-SBC) Margin</t>
  </si>
  <si>
    <t>Google Segment EBITDA</t>
  </si>
  <si>
    <t>Other Bets EBITDA</t>
  </si>
  <si>
    <t>D&amp;A - Google Segment</t>
  </si>
  <si>
    <t>D&amp;A - Other Bets</t>
  </si>
  <si>
    <t>GAAP Operating Income - Other Bets</t>
  </si>
  <si>
    <t>GAAP Operating Income - Google Segment</t>
  </si>
  <si>
    <t>D&amp;A - Reconciling Items</t>
  </si>
  <si>
    <t>Ratios &amp; Assumptions</t>
  </si>
  <si>
    <t>Additions to deferred revenue, % of sales</t>
  </si>
  <si>
    <t>Purchases of marketable securities, % prior period balance</t>
  </si>
  <si>
    <t>Sales &amp; maturities of marketable securities, % prior period balance</t>
  </si>
  <si>
    <t>Purchases of non-marketable securities, % prior period balance</t>
  </si>
  <si>
    <t>Other assets, % of sales</t>
  </si>
  <si>
    <t>Cash and cash equivalents</t>
  </si>
  <si>
    <t>Marketable securities</t>
  </si>
  <si>
    <t>Accounts receivable, net</t>
  </si>
  <si>
    <t>Income taxes receivable, net</t>
  </si>
  <si>
    <t>Inventory</t>
  </si>
  <si>
    <t>Receivable under repurchase agreements</t>
  </si>
  <si>
    <t>Deferred income taxes, current</t>
  </si>
  <si>
    <t>Other current assets</t>
  </si>
  <si>
    <t>Total Current Assets</t>
  </si>
  <si>
    <t>Non-marketable investments</t>
  </si>
  <si>
    <t>Property and equipment, net</t>
  </si>
  <si>
    <t>Operating lease assets</t>
  </si>
  <si>
    <t>Intangible assets, net</t>
  </si>
  <si>
    <t>Goodwill</t>
  </si>
  <si>
    <t>Total Assets</t>
  </si>
  <si>
    <t>Accrued compensaton and benefits</t>
  </si>
  <si>
    <t>Short term debt</t>
  </si>
  <si>
    <t>Accrued expenses and other current liabilites</t>
  </si>
  <si>
    <t>Securities Lending Payable</t>
  </si>
  <si>
    <t>Accrued revenue share</t>
  </si>
  <si>
    <t>Deferred revenue</t>
  </si>
  <si>
    <t>Income taxes payable, net</t>
  </si>
  <si>
    <t>Total Current Liabilities</t>
  </si>
  <si>
    <t>Long-term debt</t>
  </si>
  <si>
    <t>Deferred revenue, non-current</t>
  </si>
  <si>
    <t>Income taxes payable, non-current</t>
  </si>
  <si>
    <t>Operating lease liabilities</t>
  </si>
  <si>
    <t>Total Liabilities</t>
  </si>
  <si>
    <t>Common Stock &amp; Additional Paid-In Capital</t>
  </si>
  <si>
    <t>Accumulated other comprehensive income</t>
  </si>
  <si>
    <t>Other Stockholders' Equity</t>
  </si>
  <si>
    <t>Retained Earnings</t>
  </si>
  <si>
    <t>Total Shareholders' Equity</t>
  </si>
  <si>
    <t>Total Liabilities &amp; Shareholders' Equity</t>
  </si>
  <si>
    <t>Check</t>
  </si>
  <si>
    <t>Net Debt (Cash) to Firm</t>
  </si>
  <si>
    <t>Other assets (non-current), % of sales</t>
  </si>
  <si>
    <t>Other assets (current), % of sales</t>
  </si>
  <si>
    <t>Inventories</t>
  </si>
  <si>
    <t>Other long-term liabilities, % of total LT liabilities</t>
  </si>
  <si>
    <t>Sales</t>
  </si>
  <si>
    <t>Capex</t>
  </si>
  <si>
    <t>Capex - Google Segment</t>
  </si>
  <si>
    <t>% of Google Sales</t>
  </si>
  <si>
    <t>Capex - Other Bets</t>
  </si>
  <si>
    <t>% of Other Bets Sales</t>
  </si>
  <si>
    <t>Capex - Reconciling Items</t>
  </si>
  <si>
    <t>% of Google Capex</t>
  </si>
  <si>
    <t>% of PPE, net</t>
  </si>
  <si>
    <t>% of Capex</t>
  </si>
  <si>
    <t>Remaining Useful Life of PP&amp;E, net</t>
  </si>
  <si>
    <t>Beginning PP&amp;E, net</t>
  </si>
  <si>
    <t>(Depreciation exp)</t>
  </si>
  <si>
    <t>(Asset sales, writeoffs, etc.)</t>
  </si>
  <si>
    <t>Ending PP&amp;E, net</t>
  </si>
  <si>
    <t>COGS</t>
  </si>
  <si>
    <t>TAC</t>
  </si>
  <si>
    <t>GAAP Operating Expense</t>
  </si>
  <si>
    <t>Working Capital:</t>
  </si>
  <si>
    <t>Non-Cash Current Assets</t>
  </si>
  <si>
    <t>Current Liabilities</t>
  </si>
  <si>
    <t>Net working capital</t>
  </si>
  <si>
    <t>Change in working capital</t>
  </si>
  <si>
    <t>Accounts receivable, net (collection period)</t>
  </si>
  <si>
    <t>Inventories (days outstanding)</t>
  </si>
  <si>
    <t>Deferred tax asset, % of depreciation</t>
  </si>
  <si>
    <t>Accouns payable (days outstanding)</t>
  </si>
  <si>
    <t>Accrued compensation &amp; benefits, % of GAAP operating expenses</t>
  </si>
  <si>
    <t>Accrued expenses, % of COGS</t>
  </si>
  <si>
    <t>Accrued revenue share, % of TAC</t>
  </si>
  <si>
    <t>Income tax payable/receivable, net</t>
  </si>
  <si>
    <t>Income tax payable/receivable, % of income tax expense</t>
  </si>
  <si>
    <t>Ticker</t>
  </si>
  <si>
    <t>Stock Price</t>
  </si>
  <si>
    <t>Diluted Shares (mm)</t>
  </si>
  <si>
    <t>Market Cap (mm)</t>
  </si>
  <si>
    <t>Net Debt (Cash)</t>
  </si>
  <si>
    <t>Enterprise Value (mm)</t>
  </si>
  <si>
    <t>EV/Sales</t>
  </si>
  <si>
    <t>EV/Sales to Growth</t>
  </si>
  <si>
    <t>EV/GAAP EBITDA</t>
  </si>
  <si>
    <t>EV/GAAP EBITDA to Growth</t>
  </si>
  <si>
    <t>GAAP Net Income Margin</t>
  </si>
  <si>
    <t>GAAP EPS</t>
  </si>
  <si>
    <t>P/E (GAAP)</t>
  </si>
  <si>
    <t>PEG (GAAP)</t>
  </si>
  <si>
    <t>(FCF-SBC) Margin %</t>
  </si>
  <si>
    <t>EV/(FCF-SBC)</t>
  </si>
  <si>
    <t>EV/(FCF-SBC) to Growth</t>
  </si>
  <si>
    <t>FCF</t>
  </si>
  <si>
    <t>FCF Margin %</t>
  </si>
  <si>
    <t>EV/FCF</t>
  </si>
  <si>
    <t>EV/FCF to Growth</t>
  </si>
  <si>
    <t>Scenario Analysis</t>
  </si>
  <si>
    <t>Downside</t>
  </si>
  <si>
    <t>Base</t>
  </si>
  <si>
    <t>Upside</t>
  </si>
  <si>
    <t>Valuation</t>
  </si>
  <si>
    <t>% upside/downside</t>
  </si>
  <si>
    <t>Downside/Upside Adjustment</t>
  </si>
  <si>
    <t>Enterprise Value</t>
  </si>
  <si>
    <t>EBITDA Margin %</t>
  </si>
  <si>
    <t>FCF % of Sales</t>
  </si>
  <si>
    <t>Weightings</t>
  </si>
  <si>
    <t>EV derived from GAAP EBITDA</t>
  </si>
  <si>
    <t>EV derived from (FCF-SBC)</t>
  </si>
  <si>
    <t>Capital Structure Adjustments</t>
  </si>
  <si>
    <t>Sales &amp; maturities of non-marketable securities, % prior period balance</t>
  </si>
  <si>
    <t>Cash and Investments:</t>
  </si>
  <si>
    <t>Beginning balance</t>
  </si>
  <si>
    <t>Ending balance</t>
  </si>
  <si>
    <t>Avg balance</t>
  </si>
  <si>
    <t>Int rate % earned</t>
  </si>
  <si>
    <t>Implied Interest Income</t>
  </si>
  <si>
    <t>Debt &amp; Capital Leases:</t>
  </si>
  <si>
    <t>Other Adjustments to debt</t>
  </si>
  <si>
    <t>Int Rate % paid</t>
  </si>
  <si>
    <t>Interest Expense</t>
  </si>
  <si>
    <t>Interest and Other Income, Net</t>
  </si>
  <si>
    <t>Ratios &amp; Assumptions:</t>
  </si>
  <si>
    <t>Proceeds from issuance of debt, % of beginning balance</t>
  </si>
  <si>
    <t>Repayments of debt, % of beginning balance</t>
  </si>
  <si>
    <t>Beginning balance - basic (actual)</t>
  </si>
  <si>
    <t>Shares issued</t>
  </si>
  <si>
    <t>Shares repurchased</t>
  </si>
  <si>
    <t>Ending balance - basic (actual)</t>
  </si>
  <si>
    <t>Average basic shares</t>
  </si>
  <si>
    <t>Effects of dilutive securities</t>
  </si>
  <si>
    <t>Average diluted shares (GAAP)</t>
  </si>
  <si>
    <t>Average/Expected Stock Price</t>
  </si>
  <si>
    <t>Stock-Based Compensation ($mil)</t>
  </si>
  <si>
    <t>Impact of SBC tax benefits</t>
  </si>
  <si>
    <t>Tax witholding related to vesting of RSUs</t>
  </si>
  <si>
    <t>Impact of SBC tax benefits, % of SBC</t>
  </si>
  <si>
    <t>Tax witholding related to vesting of RSUs, % of SBC</t>
  </si>
  <si>
    <t>Deferred income tax asset (non-current), % of depreciation</t>
  </si>
  <si>
    <t>Deferred income tax liability (non-current), % of depreciation</t>
  </si>
  <si>
    <t>-</t>
  </si>
  <si>
    <t>Discount Rate</t>
  </si>
  <si>
    <t>Discount Period (Years)</t>
  </si>
  <si>
    <t>EV / Sales to Growth (Implied)</t>
  </si>
  <si>
    <t>Total Revenues (ex-FX)</t>
  </si>
  <si>
    <t>Prior Period Revenues</t>
  </si>
  <si>
    <t>REVENUE BY GEOGRAPHY (GAAP):</t>
  </si>
  <si>
    <t>Amortization</t>
  </si>
  <si>
    <t>GOOGL</t>
  </si>
  <si>
    <t>2Q21</t>
  </si>
  <si>
    <t>EV / FCF-SBC-to-Growth</t>
  </si>
  <si>
    <t>Accumulated Depreciation</t>
  </si>
  <si>
    <t>Accumulated Amortization</t>
  </si>
  <si>
    <t xml:space="preserve"> US Internet</t>
  </si>
  <si>
    <t>Eric Sheridan</t>
  </si>
  <si>
    <t>eric.sheridan@gs.com</t>
  </si>
  <si>
    <t>212-357-1849  (New York)</t>
  </si>
  <si>
    <t>alex.vegliante@gs.com</t>
  </si>
  <si>
    <t>212-934-1878  (New York)</t>
  </si>
  <si>
    <t>Alphabet, Inc. (GOOGL)</t>
  </si>
  <si>
    <t>3Q21</t>
  </si>
  <si>
    <t>Alex Vegliante, CFA</t>
  </si>
  <si>
    <t>4Q21</t>
  </si>
  <si>
    <t>P&amp;L Summary</t>
  </si>
  <si>
    <t>As % of Revenue</t>
  </si>
  <si>
    <t>Year-on-Year Growth</t>
  </si>
  <si>
    <t>Revenue &amp; Key Metrics Summary</t>
  </si>
  <si>
    <t>Quarter-on-Quarter Growth</t>
  </si>
  <si>
    <t>(USD millions)</t>
  </si>
  <si>
    <t>Gross Consolidated Revenue</t>
  </si>
  <si>
    <t>Google Segment Revenues</t>
  </si>
  <si>
    <t>Google Services Revenue</t>
  </si>
  <si>
    <t>Google Advertising Revenue</t>
  </si>
  <si>
    <t>Youtube Ads</t>
  </si>
  <si>
    <t>(USD Millions)</t>
  </si>
  <si>
    <t>GAAP Gross Profit</t>
  </si>
  <si>
    <t>Total GAAP Operating Expenses</t>
  </si>
  <si>
    <t>R&amp;D</t>
  </si>
  <si>
    <t>FCF Minus SBC</t>
  </si>
  <si>
    <t>Consolidated Total Revenue</t>
  </si>
  <si>
    <t>GAAP Gross Profit Margin (bps)</t>
  </si>
  <si>
    <t>Total TAC</t>
  </si>
  <si>
    <t>Net Consolidated Revenue</t>
  </si>
  <si>
    <t>1Q22</t>
  </si>
  <si>
    <t>Google Services OI</t>
  </si>
  <si>
    <t>Google Cloud OI</t>
  </si>
  <si>
    <t>Other Bets OI</t>
  </si>
  <si>
    <t xml:space="preserve">Pre Stock Split: </t>
  </si>
  <si>
    <t>2Q22</t>
  </si>
  <si>
    <t>3yr stack</t>
  </si>
  <si>
    <t>Headcount</t>
  </si>
  <si>
    <t>QoQ Net Adds</t>
  </si>
  <si>
    <t>3Q22</t>
  </si>
  <si>
    <t>1Q27E</t>
  </si>
  <si>
    <t>2Q27E</t>
  </si>
  <si>
    <t>3Q27E</t>
  </si>
  <si>
    <t>4Q27E</t>
  </si>
  <si>
    <t>2027E</t>
  </si>
  <si>
    <t>4Q22</t>
  </si>
  <si>
    <t>1Q23</t>
  </si>
  <si>
    <t>2Q23</t>
  </si>
  <si>
    <t>3Q23</t>
  </si>
  <si>
    <t>2Q28E</t>
  </si>
  <si>
    <t>3Q28E</t>
  </si>
  <si>
    <t>4Q28E</t>
  </si>
  <si>
    <t>1Q28E</t>
  </si>
  <si>
    <t>2Q29E</t>
  </si>
  <si>
    <t>3Q29E</t>
  </si>
  <si>
    <t>4Q29E</t>
  </si>
  <si>
    <t>1Q29E</t>
  </si>
  <si>
    <t>2028E</t>
  </si>
  <si>
    <t>2029E</t>
  </si>
  <si>
    <t>Last Reported Quarter</t>
  </si>
  <si>
    <t>NTM</t>
  </si>
  <si>
    <t>NTM Diluted Shares (mm)</t>
  </si>
  <si>
    <t>NTM Net Debt (Cash)</t>
  </si>
  <si>
    <t>LTM</t>
  </si>
  <si>
    <t>Current</t>
  </si>
  <si>
    <t>NTM +1</t>
  </si>
  <si>
    <t>NTM +2</t>
  </si>
  <si>
    <t>NTM + 3</t>
  </si>
  <si>
    <t>NTM +4</t>
  </si>
  <si>
    <t>Gross Profit</t>
  </si>
  <si>
    <t>GAAP EBIT</t>
  </si>
  <si>
    <t>Sales (NTM)</t>
  </si>
  <si>
    <t>Sales (NTM + 1 year)</t>
  </si>
  <si>
    <t>EV / Sales (Implied)</t>
  </si>
  <si>
    <t>Sales CAGR</t>
  </si>
  <si>
    <t>GAAP EBITDA (NTM)</t>
  </si>
  <si>
    <t>GAAP EBITDA (NTM + 1 year)</t>
  </si>
  <si>
    <t>EV / GAAP EBITDA</t>
  </si>
  <si>
    <t>EBITDA CAGR</t>
  </si>
  <si>
    <t>EV / GAAP EBITDA to Growth</t>
  </si>
  <si>
    <t>FCF-SBC (NTM + 4 years)</t>
  </si>
  <si>
    <t>EV / FCF-SBC</t>
  </si>
  <si>
    <t>FCF-SBC CAGR</t>
  </si>
  <si>
    <t>Enterprise Value (NTM + 3 years)</t>
  </si>
  <si>
    <t>Discounted Enterprise Value</t>
  </si>
  <si>
    <t>Adjusted Net Debt - NTM Ending</t>
  </si>
  <si>
    <t>Adjusted Shares Outstanding - NTM Ending</t>
  </si>
  <si>
    <t>Deferred revenue (current), % of total</t>
  </si>
  <si>
    <t>Deferred revenue (non-current), % of total</t>
  </si>
  <si>
    <t>% of intangibles, net</t>
  </si>
  <si>
    <t>Beginning Intangibles, net</t>
  </si>
  <si>
    <t>(Amortization exp)</t>
  </si>
  <si>
    <t>Changes to intangibles (additions, etc.)</t>
  </si>
  <si>
    <t>Ending Intangibles, net</t>
  </si>
  <si>
    <t>4Q23</t>
  </si>
  <si>
    <t>Google Subscriptions, Platforms &amp; Devices</t>
  </si>
  <si>
    <t>Alphabet-level activities</t>
  </si>
  <si>
    <t>1Q24</t>
  </si>
  <si>
    <t>Dividend:</t>
  </si>
  <si>
    <t>Dividend per share</t>
  </si>
  <si>
    <t>Total Dividends Paid</t>
  </si>
  <si>
    <t xml:space="preserve">Dividends paid </t>
  </si>
  <si>
    <t>Other long-term liabilities &amp; Other</t>
  </si>
  <si>
    <t xml:space="preserve">Dividends </t>
  </si>
  <si>
    <t>2Q24</t>
  </si>
  <si>
    <t>3Q24</t>
  </si>
  <si>
    <t>Aarshiya Sachdeva</t>
  </si>
  <si>
    <t>aarshiya.sachdeva@gs.com</t>
  </si>
  <si>
    <t>212-855-6184  (New York)</t>
  </si>
  <si>
    <t>1Q30E</t>
  </si>
  <si>
    <t>2Q30E</t>
  </si>
  <si>
    <t>3Q30E</t>
  </si>
  <si>
    <t>4Q30E</t>
  </si>
  <si>
    <t>2030E</t>
  </si>
  <si>
    <t>4Q24</t>
  </si>
  <si>
    <t>1Q25</t>
  </si>
  <si>
    <t>2Q25</t>
  </si>
  <si>
    <t>3Q25</t>
  </si>
  <si>
    <t>% incremental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</si>
</sst>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&quot;$&quot;* #,##0_);_(&quot;$&quot;* \(#,##0\);_(&quot;$&quot;* &quot;-&quot;?_);_(@_)"/>
    <numFmt numFmtId="167" formatCode="0&quot; bps&quot;"/>
    <numFmt numFmtId="168" formatCode="0.0\x"/>
    <numFmt numFmtId="169" formatCode="0.00\x"/>
    <numFmt numFmtId="170" formatCode="0.0"/>
    <numFmt numFmtId="171" formatCode="_(* #,##0_);_(* \(#,##0\);_(* &quot;-&quot;??_);_(@_)"/>
    <numFmt numFmtId="175" formatCode="0\ &quot;bps&quot;"/>
    <numFmt numFmtId="176" formatCode="_-* #,##0.000_-;\-* #,##0.000_-;_-* &quot;-&quot;??_-;_-@_-"/>
    <numFmt numFmtId="177" formatCode="&quot;&quot;0\ &quot;qtrs&quot;"/>
    <numFmt numFmtId="178" formatCode="&quot;+&quot;0\ &quot;qtrs&quot;"/>
    <numFmt numFmtId="179" formatCode="&quot;$&quot;#,##0_);\(&quot;$&quot;#,##0\);&quot;$&quot;#,##0_);@_)"/>
    <numFmt numFmtId="180" formatCode="0.0%_);\(0.0%\);0.0%_);@_)"/>
  </numFmts>
  <fonts count="4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i/>
      <sz val="9"/>
      <color rgb="FF0000FF"/>
      <name val="Arial"/>
      <family val="2"/>
    </font>
    <font>
      <sz val="9"/>
      <color rgb="FF0000FF"/>
      <name val="Arial"/>
      <family val="2"/>
    </font>
    <font>
      <b/>
      <u val="singleAccounting"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rgb="FFFF0000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20"/>
      <color theme="1"/>
      <name val="Arial"/>
      <family val="2"/>
    </font>
    <font>
      <sz val="8"/>
      <name val="Helv"/>
    </font>
    <font>
      <sz val="9"/>
      <name val="Arial"/>
      <family val="2"/>
    </font>
    <font>
      <u/>
      <sz val="10"/>
      <color indexed="12"/>
      <name val="Arial"/>
      <family val="2"/>
    </font>
    <font>
      <b/>
      <sz val="9"/>
      <color theme="3"/>
      <name val="Arial"/>
      <family val="2"/>
    </font>
    <font>
      <sz val="9"/>
      <color theme="0" tint="-0.14999847407452621"/>
      <name val="Arial"/>
      <family val="2"/>
    </font>
    <font>
      <sz val="9"/>
      <color theme="0" tint="-0.499984740745262"/>
      <name val="Arial"/>
      <family val="2"/>
    </font>
    <font>
      <b/>
      <u/>
      <sz val="9"/>
      <color theme="0"/>
      <name val="Arial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Arial"/>
      <family val="2"/>
    </font>
    <font>
      <i/>
      <sz val="9"/>
      <color theme="2" tint="-0.249977111117893"/>
      <name val="Arial"/>
      <family val="2"/>
    </font>
    <font>
      <b/>
      <sz val="9"/>
      <color theme="0"/>
      <name val="Arial"/>
      <family val="2"/>
    </font>
    <font>
      <i/>
      <sz val="9"/>
      <color theme="0" tint="-0.249977111117893"/>
      <name val="Arial"/>
      <family val="2"/>
    </font>
    <font>
      <sz val="9"/>
      <color theme="0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CD4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355F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6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2" fillId="0" borderId="0"/>
    <xf numFmtId="0" fontId="34" fillId="0" borderId="0" applyNumberFormat="0" applyFill="0" applyBorder="0" applyAlignment="0" applyProtection="0">
      <alignment vertical="top"/>
      <protection locked="0"/>
    </xf>
  </cellStyleXfs>
  <cellXfs count="379">
    <xf numFmtId="0" fontId="0" fillId="0" borderId="0" xfId="0"/>
    <xf numFmtId="0" fontId="15" fillId="0" borderId="0" xfId="0" applyFont="1"/>
    <xf numFmtId="0" fontId="15" fillId="2" borderId="0" xfId="0" applyFont="1" applyFill="1"/>
    <xf numFmtId="0" fontId="16" fillId="2" borderId="0" xfId="0" applyFont="1" applyFill="1" applyAlignment="1">
      <alignment horizontal="center"/>
    </xf>
    <xf numFmtId="0" fontId="18" fillId="0" borderId="0" xfId="0" applyFont="1"/>
    <xf numFmtId="0" fontId="16" fillId="0" borderId="0" xfId="0" applyFont="1"/>
    <xf numFmtId="0" fontId="16" fillId="2" borderId="0" xfId="0" applyFont="1" applyFill="1"/>
    <xf numFmtId="0" fontId="17" fillId="0" borderId="0" xfId="0" applyFont="1"/>
    <xf numFmtId="0" fontId="17" fillId="0" borderId="0" xfId="0" applyFont="1" applyAlignment="1">
      <alignment horizontal="left" indent="1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 indent="2"/>
    </xf>
    <xf numFmtId="0" fontId="17" fillId="0" borderId="0" xfId="0" applyFont="1" applyAlignment="1">
      <alignment horizontal="left" indent="2"/>
    </xf>
    <xf numFmtId="0" fontId="17" fillId="0" borderId="0" xfId="0" applyFont="1" applyAlignment="1">
      <alignment horizontal="left" indent="3"/>
    </xf>
    <xf numFmtId="0" fontId="18" fillId="0" borderId="0" xfId="0" applyFont="1" applyAlignment="1">
      <alignment horizontal="left" indent="3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4" fontId="15" fillId="0" borderId="0" xfId="1" applyNumberFormat="1" applyFont="1"/>
    <xf numFmtId="164" fontId="20" fillId="0" borderId="0" xfId="1" applyNumberFormat="1" applyFont="1"/>
    <xf numFmtId="164" fontId="20" fillId="0" borderId="0" xfId="1" applyNumberFormat="1" applyFont="1" applyFill="1"/>
    <xf numFmtId="0" fontId="15" fillId="3" borderId="0" xfId="0" applyFont="1" applyFill="1"/>
    <xf numFmtId="164" fontId="15" fillId="0" borderId="0" xfId="0" applyNumberFormat="1" applyFont="1"/>
    <xf numFmtId="164" fontId="18" fillId="0" borderId="0" xfId="0" applyNumberFormat="1" applyFont="1"/>
    <xf numFmtId="165" fontId="17" fillId="0" borderId="0" xfId="2" applyNumberFormat="1" applyFont="1"/>
    <xf numFmtId="164" fontId="22" fillId="0" borderId="0" xfId="1" applyNumberFormat="1" applyFont="1"/>
    <xf numFmtId="164" fontId="23" fillId="0" borderId="0" xfId="0" applyNumberFormat="1" applyFont="1"/>
    <xf numFmtId="165" fontId="17" fillId="0" borderId="0" xfId="2" applyNumberFormat="1" applyFont="1" applyAlignment="1">
      <alignment horizontal="right"/>
    </xf>
    <xf numFmtId="165" fontId="21" fillId="0" borderId="0" xfId="2" applyNumberFormat="1" applyFont="1" applyFill="1"/>
    <xf numFmtId="166" fontId="15" fillId="0" borderId="0" xfId="0" applyNumberFormat="1" applyFont="1"/>
    <xf numFmtId="165" fontId="17" fillId="0" borderId="0" xfId="2" applyNumberFormat="1" applyFont="1" applyFill="1"/>
    <xf numFmtId="0" fontId="15" fillId="0" borderId="0" xfId="0" applyFont="1" applyAlignment="1">
      <alignment horizontal="left" indent="1"/>
    </xf>
    <xf numFmtId="165" fontId="17" fillId="3" borderId="0" xfId="2" applyNumberFormat="1" applyFont="1" applyFill="1"/>
    <xf numFmtId="164" fontId="20" fillId="3" borderId="0" xfId="1" applyNumberFormat="1" applyFont="1" applyFill="1"/>
    <xf numFmtId="164" fontId="15" fillId="3" borderId="0" xfId="0" applyNumberFormat="1" applyFont="1" applyFill="1"/>
    <xf numFmtId="167" fontId="17" fillId="0" borderId="0" xfId="0" applyNumberFormat="1" applyFont="1"/>
    <xf numFmtId="165" fontId="21" fillId="0" borderId="0" xfId="2" applyNumberFormat="1" applyFont="1"/>
    <xf numFmtId="164" fontId="22" fillId="0" borderId="0" xfId="0" applyNumberFormat="1" applyFont="1"/>
    <xf numFmtId="44" fontId="18" fillId="0" borderId="0" xfId="1" applyFont="1"/>
    <xf numFmtId="44" fontId="15" fillId="0" borderId="0" xfId="1" applyFont="1"/>
    <xf numFmtId="0" fontId="27" fillId="0" borderId="0" xfId="0" applyFont="1"/>
    <xf numFmtId="0" fontId="28" fillId="0" borderId="0" xfId="0" applyFont="1"/>
    <xf numFmtId="164" fontId="20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left" indent="1"/>
    </xf>
    <xf numFmtId="164" fontId="20" fillId="3" borderId="0" xfId="0" applyNumberFormat="1" applyFont="1" applyFill="1"/>
    <xf numFmtId="165" fontId="29" fillId="0" borderId="0" xfId="2" applyNumberFormat="1" applyFont="1"/>
    <xf numFmtId="164" fontId="18" fillId="3" borderId="0" xfId="0" applyNumberFormat="1" applyFont="1" applyFill="1"/>
    <xf numFmtId="164" fontId="30" fillId="0" borderId="0" xfId="1" applyNumberFormat="1" applyFont="1"/>
    <xf numFmtId="164" fontId="30" fillId="0" borderId="0" xfId="1" applyNumberFormat="1" applyFont="1" applyFill="1"/>
    <xf numFmtId="0" fontId="17" fillId="0" borderId="0" xfId="0" applyFont="1" applyAlignment="1">
      <alignment horizontal="right"/>
    </xf>
    <xf numFmtId="165" fontId="21" fillId="0" borderId="0" xfId="0" applyNumberFormat="1" applyFont="1"/>
    <xf numFmtId="0" fontId="22" fillId="0" borderId="0" xfId="0" applyFont="1"/>
    <xf numFmtId="164" fontId="18" fillId="0" borderId="0" xfId="1" applyNumberFormat="1" applyFont="1"/>
    <xf numFmtId="164" fontId="15" fillId="0" borderId="0" xfId="0" applyNumberFormat="1" applyFont="1" applyAlignment="1">
      <alignment horizontal="right"/>
    </xf>
    <xf numFmtId="2" fontId="15" fillId="0" borderId="0" xfId="0" applyNumberFormat="1" applyFont="1"/>
    <xf numFmtId="0" fontId="18" fillId="0" borderId="0" xfId="0" applyFont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15" fillId="0" borderId="1" xfId="0" applyFont="1" applyBorder="1"/>
    <xf numFmtId="0" fontId="17" fillId="0" borderId="0" xfId="2" applyNumberFormat="1" applyFont="1"/>
    <xf numFmtId="0" fontId="17" fillId="3" borderId="0" xfId="0" applyFont="1" applyFill="1" applyAlignment="1">
      <alignment horizontal="right"/>
    </xf>
    <xf numFmtId="165" fontId="15" fillId="0" borderId="0" xfId="2" applyNumberFormat="1" applyFont="1"/>
    <xf numFmtId="165" fontId="22" fillId="0" borderId="0" xfId="0" applyNumberFormat="1" applyFont="1"/>
    <xf numFmtId="43" fontId="15" fillId="0" borderId="0" xfId="3" applyFont="1" applyFill="1"/>
    <xf numFmtId="170" fontId="15" fillId="0" borderId="0" xfId="0" applyNumberFormat="1" applyFont="1"/>
    <xf numFmtId="9" fontId="15" fillId="0" borderId="0" xfId="2" applyFont="1"/>
    <xf numFmtId="44" fontId="15" fillId="0" borderId="0" xfId="0" applyNumberFormat="1" applyFont="1"/>
    <xf numFmtId="9" fontId="22" fillId="0" borderId="0" xfId="0" applyNumberFormat="1" applyFont="1"/>
    <xf numFmtId="2" fontId="22" fillId="0" borderId="0" xfId="0" applyNumberFormat="1" applyFont="1"/>
    <xf numFmtId="165" fontId="22" fillId="0" borderId="0" xfId="2" applyNumberFormat="1" applyFont="1" applyFill="1"/>
    <xf numFmtId="0" fontId="15" fillId="0" borderId="0" xfId="0" applyFont="1" applyAlignment="1">
      <alignment horizontal="left" indent="2"/>
    </xf>
    <xf numFmtId="165" fontId="15" fillId="0" borderId="0" xfId="0" applyNumberFormat="1" applyFont="1"/>
    <xf numFmtId="165" fontId="20" fillId="0" borderId="0" xfId="0" applyNumberFormat="1" applyFont="1"/>
    <xf numFmtId="164" fontId="15" fillId="0" borderId="0" xfId="1" applyNumberFormat="1" applyFont="1" applyFill="1"/>
    <xf numFmtId="44" fontId="22" fillId="0" borderId="0" xfId="0" applyNumberFormat="1" applyFont="1"/>
    <xf numFmtId="43" fontId="15" fillId="0" borderId="0" xfId="0" applyNumberFormat="1" applyFont="1"/>
    <xf numFmtId="171" fontId="15" fillId="0" borderId="0" xfId="0" applyNumberFormat="1" applyFont="1"/>
    <xf numFmtId="164" fontId="22" fillId="0" borderId="0" xfId="1" applyNumberFormat="1" applyFont="1" applyFill="1"/>
    <xf numFmtId="165" fontId="15" fillId="0" borderId="0" xfId="2" applyNumberFormat="1" applyFont="1" applyFill="1"/>
    <xf numFmtId="164" fontId="30" fillId="0" borderId="0" xfId="0" applyNumberFormat="1" applyFont="1"/>
    <xf numFmtId="0" fontId="15" fillId="0" borderId="0" xfId="0" applyFont="1" applyAlignment="1">
      <alignment horizontal="left"/>
    </xf>
    <xf numFmtId="164" fontId="17" fillId="0" borderId="0" xfId="1" applyNumberFormat="1" applyFont="1"/>
    <xf numFmtId="0" fontId="17" fillId="5" borderId="0" xfId="0" applyFont="1" applyFill="1" applyAlignment="1">
      <alignment horizontal="left" indent="1"/>
    </xf>
    <xf numFmtId="0" fontId="15" fillId="5" borderId="0" xfId="0" applyFont="1" applyFill="1"/>
    <xf numFmtId="165" fontId="17" fillId="5" borderId="0" xfId="2" applyNumberFormat="1" applyFont="1" applyFill="1"/>
    <xf numFmtId="164" fontId="26" fillId="0" borderId="0" xfId="1" applyNumberFormat="1" applyFont="1"/>
    <xf numFmtId="165" fontId="29" fillId="0" borderId="0" xfId="2" applyNumberFormat="1" applyFont="1" applyFill="1"/>
    <xf numFmtId="165" fontId="15" fillId="0" borderId="0" xfId="2" applyNumberFormat="1" applyFont="1" applyFill="1" applyBorder="1"/>
    <xf numFmtId="44" fontId="18" fillId="0" borderId="0" xfId="0" applyNumberFormat="1" applyFont="1"/>
    <xf numFmtId="0" fontId="16" fillId="2" borderId="12" xfId="0" applyFont="1" applyFill="1" applyBorder="1" applyAlignment="1">
      <alignment horizontal="center"/>
    </xf>
    <xf numFmtId="164" fontId="15" fillId="0" borderId="12" xfId="0" applyNumberFormat="1" applyFont="1" applyBorder="1"/>
    <xf numFmtId="164" fontId="18" fillId="0" borderId="12" xfId="0" applyNumberFormat="1" applyFont="1" applyBorder="1"/>
    <xf numFmtId="164" fontId="23" fillId="0" borderId="12" xfId="0" applyNumberFormat="1" applyFont="1" applyBorder="1"/>
    <xf numFmtId="0" fontId="15" fillId="0" borderId="12" xfId="0" applyFont="1" applyBorder="1"/>
    <xf numFmtId="0" fontId="16" fillId="2" borderId="1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64" fontId="15" fillId="0" borderId="1" xfId="0" applyNumberFormat="1" applyFont="1" applyBorder="1"/>
    <xf numFmtId="164" fontId="15" fillId="0" borderId="5" xfId="0" applyNumberFormat="1" applyFont="1" applyBorder="1"/>
    <xf numFmtId="164" fontId="18" fillId="0" borderId="1" xfId="0" applyNumberFormat="1" applyFont="1" applyBorder="1"/>
    <xf numFmtId="164" fontId="18" fillId="0" borderId="5" xfId="0" applyNumberFormat="1" applyFont="1" applyBorder="1"/>
    <xf numFmtId="164" fontId="23" fillId="0" borderId="1" xfId="0" applyNumberFormat="1" applyFont="1" applyBorder="1"/>
    <xf numFmtId="164" fontId="23" fillId="0" borderId="5" xfId="0" applyNumberFormat="1" applyFont="1" applyBorder="1"/>
    <xf numFmtId="0" fontId="15" fillId="0" borderId="5" xfId="0" applyFont="1" applyBorder="1"/>
    <xf numFmtId="0" fontId="15" fillId="0" borderId="2" xfId="0" applyFont="1" applyBorder="1"/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9" xfId="0" applyFont="1" applyBorder="1"/>
    <xf numFmtId="0" fontId="17" fillId="0" borderId="12" xfId="0" applyFont="1" applyBorder="1" applyAlignment="1">
      <alignment horizontal="right"/>
    </xf>
    <xf numFmtId="165" fontId="17" fillId="0" borderId="12" xfId="2" applyNumberFormat="1" applyFont="1" applyBorder="1"/>
    <xf numFmtId="164" fontId="18" fillId="3" borderId="12" xfId="0" applyNumberFormat="1" applyFont="1" applyFill="1" applyBorder="1"/>
    <xf numFmtId="0" fontId="17" fillId="3" borderId="12" xfId="0" applyFont="1" applyFill="1" applyBorder="1" applyAlignment="1">
      <alignment horizontal="right"/>
    </xf>
    <xf numFmtId="165" fontId="17" fillId="3" borderId="12" xfId="2" applyNumberFormat="1" applyFont="1" applyFill="1" applyBorder="1"/>
    <xf numFmtId="165" fontId="17" fillId="0" borderId="12" xfId="2" applyNumberFormat="1" applyFont="1" applyFill="1" applyBorder="1"/>
    <xf numFmtId="0" fontId="15" fillId="3" borderId="12" xfId="0" applyFont="1" applyFill="1" applyBorder="1"/>
    <xf numFmtId="0" fontId="15" fillId="5" borderId="12" xfId="0" applyFont="1" applyFill="1" applyBorder="1"/>
    <xf numFmtId="164" fontId="15" fillId="3" borderId="12" xfId="0" applyNumberFormat="1" applyFont="1" applyFill="1" applyBorder="1"/>
    <xf numFmtId="167" fontId="17" fillId="0" borderId="12" xfId="0" applyNumberFormat="1" applyFont="1" applyBorder="1"/>
    <xf numFmtId="164" fontId="20" fillId="0" borderId="12" xfId="0" applyNumberFormat="1" applyFont="1" applyBorder="1"/>
    <xf numFmtId="164" fontId="30" fillId="0" borderId="12" xfId="0" applyNumberFormat="1" applyFont="1" applyBorder="1"/>
    <xf numFmtId="165" fontId="15" fillId="0" borderId="12" xfId="2" applyNumberFormat="1" applyFont="1" applyFill="1" applyBorder="1"/>
    <xf numFmtId="44" fontId="18" fillId="0" borderId="12" xfId="0" applyNumberFormat="1" applyFont="1" applyBorder="1"/>
    <xf numFmtId="165" fontId="29" fillId="0" borderId="12" xfId="2" applyNumberFormat="1" applyFont="1" applyBorder="1"/>
    <xf numFmtId="165" fontId="29" fillId="0" borderId="12" xfId="2" applyNumberFormat="1" applyFont="1" applyFill="1" applyBorder="1"/>
    <xf numFmtId="170" fontId="15" fillId="0" borderId="12" xfId="0" applyNumberFormat="1" applyFont="1" applyBorder="1"/>
    <xf numFmtId="165" fontId="18" fillId="0" borderId="0" xfId="2" applyNumberFormat="1" applyFont="1" applyFill="1" applyBorder="1"/>
    <xf numFmtId="165" fontId="17" fillId="0" borderId="12" xfId="2" applyNumberFormat="1" applyFont="1" applyBorder="1" applyAlignment="1">
      <alignment horizontal="right"/>
    </xf>
    <xf numFmtId="165" fontId="15" fillId="0" borderId="12" xfId="2" applyNumberFormat="1" applyFont="1" applyBorder="1"/>
    <xf numFmtId="171" fontId="15" fillId="0" borderId="12" xfId="3" applyNumberFormat="1" applyFont="1" applyBorder="1"/>
    <xf numFmtId="171" fontId="15" fillId="0" borderId="12" xfId="0" applyNumberFormat="1" applyFont="1" applyBorder="1"/>
    <xf numFmtId="0" fontId="14" fillId="0" borderId="0" xfId="0" applyFont="1"/>
    <xf numFmtId="165" fontId="15" fillId="0" borderId="12" xfId="0" applyNumberFormat="1" applyFont="1" applyBorder="1"/>
    <xf numFmtId="164" fontId="15" fillId="0" borderId="13" xfId="0" applyNumberFormat="1" applyFont="1" applyBorder="1"/>
    <xf numFmtId="164" fontId="15" fillId="0" borderId="9" xfId="0" applyNumberFormat="1" applyFont="1" applyBorder="1"/>
    <xf numFmtId="164" fontId="15" fillId="0" borderId="10" xfId="0" applyNumberFormat="1" applyFont="1" applyBorder="1"/>
    <xf numFmtId="164" fontId="15" fillId="0" borderId="11" xfId="0" applyNumberFormat="1" applyFont="1" applyBorder="1"/>
    <xf numFmtId="164" fontId="17" fillId="0" borderId="13" xfId="0" applyNumberFormat="1" applyFont="1" applyBorder="1" applyAlignment="1">
      <alignment horizontal="right"/>
    </xf>
    <xf numFmtId="164" fontId="15" fillId="0" borderId="10" xfId="0" applyNumberFormat="1" applyFont="1" applyBorder="1" applyAlignment="1">
      <alignment horizontal="right"/>
    </xf>
    <xf numFmtId="164" fontId="15" fillId="0" borderId="13" xfId="0" applyNumberFormat="1" applyFont="1" applyBorder="1" applyAlignment="1">
      <alignment horizontal="right"/>
    </xf>
    <xf numFmtId="164" fontId="18" fillId="0" borderId="13" xfId="0" applyNumberFormat="1" applyFont="1" applyBorder="1"/>
    <xf numFmtId="164" fontId="18" fillId="0" borderId="10" xfId="0" applyNumberFormat="1" applyFont="1" applyBorder="1"/>
    <xf numFmtId="0" fontId="15" fillId="0" borderId="13" xfId="0" applyFont="1" applyBorder="1"/>
    <xf numFmtId="0" fontId="0" fillId="4" borderId="0" xfId="0" applyFill="1"/>
    <xf numFmtId="0" fontId="0" fillId="6" borderId="0" xfId="0" applyFill="1"/>
    <xf numFmtId="0" fontId="18" fillId="6" borderId="0" xfId="0" applyFont="1" applyFill="1"/>
    <xf numFmtId="0" fontId="31" fillId="6" borderId="0" xfId="0" applyFont="1" applyFill="1"/>
    <xf numFmtId="0" fontId="18" fillId="6" borderId="0" xfId="0" applyFont="1" applyFill="1" applyAlignment="1">
      <alignment horizontal="left"/>
    </xf>
    <xf numFmtId="0" fontId="0" fillId="2" borderId="0" xfId="0" applyFill="1"/>
    <xf numFmtId="0" fontId="28" fillId="4" borderId="0" xfId="4" applyFont="1" applyFill="1"/>
    <xf numFmtId="0" fontId="33" fillId="4" borderId="0" xfId="4" applyFont="1" applyFill="1"/>
    <xf numFmtId="0" fontId="33" fillId="4" borderId="0" xfId="5" applyFont="1" applyFill="1" applyAlignment="1" applyProtection="1"/>
    <xf numFmtId="0" fontId="35" fillId="4" borderId="0" xfId="0" applyFont="1" applyFill="1" applyAlignment="1">
      <alignment horizontal="left" vertical="center" wrapText="1"/>
    </xf>
    <xf numFmtId="0" fontId="33" fillId="4" borderId="0" xfId="0" applyFont="1" applyFill="1"/>
    <xf numFmtId="9" fontId="37" fillId="0" borderId="0" xfId="2" applyFont="1" applyFill="1"/>
    <xf numFmtId="0" fontId="38" fillId="0" borderId="0" xfId="0" applyFont="1" applyAlignment="1">
      <alignment horizontal="center"/>
    </xf>
    <xf numFmtId="164" fontId="39" fillId="0" borderId="0" xfId="0" applyNumberFormat="1" applyFont="1"/>
    <xf numFmtId="164" fontId="36" fillId="0" borderId="0" xfId="0" applyNumberFormat="1" applyFont="1"/>
    <xf numFmtId="0" fontId="36" fillId="0" borderId="0" xfId="0" applyFont="1"/>
    <xf numFmtId="0" fontId="18" fillId="7" borderId="10" xfId="0" applyFont="1" applyFill="1" applyBorder="1"/>
    <xf numFmtId="0" fontId="12" fillId="4" borderId="10" xfId="0" applyFont="1" applyFill="1" applyBorder="1"/>
    <xf numFmtId="0" fontId="12" fillId="4" borderId="0" xfId="0" applyFont="1" applyFill="1"/>
    <xf numFmtId="0" fontId="17" fillId="4" borderId="0" xfId="0" applyFont="1" applyFill="1"/>
    <xf numFmtId="0" fontId="16" fillId="4" borderId="0" xfId="0" applyFont="1" applyFill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8" fillId="4" borderId="0" xfId="0" applyFont="1" applyFill="1"/>
    <xf numFmtId="164" fontId="18" fillId="4" borderId="0" xfId="1" applyNumberFormat="1" applyFont="1" applyFill="1"/>
    <xf numFmtId="164" fontId="18" fillId="4" borderId="12" xfId="1" applyNumberFormat="1" applyFont="1" applyFill="1" applyBorder="1"/>
    <xf numFmtId="0" fontId="12" fillId="4" borderId="0" xfId="0" applyFont="1" applyFill="1" applyAlignment="1">
      <alignment horizontal="left" indent="1"/>
    </xf>
    <xf numFmtId="164" fontId="12" fillId="4" borderId="0" xfId="1" applyNumberFormat="1" applyFont="1" applyFill="1"/>
    <xf numFmtId="164" fontId="12" fillId="4" borderId="12" xfId="1" applyNumberFormat="1" applyFont="1" applyFill="1" applyBorder="1"/>
    <xf numFmtId="0" fontId="12" fillId="4" borderId="12" xfId="0" applyFont="1" applyFill="1" applyBorder="1"/>
    <xf numFmtId="9" fontId="18" fillId="4" borderId="0" xfId="2" applyFont="1" applyFill="1"/>
    <xf numFmtId="9" fontId="18" fillId="4" borderId="12" xfId="2" applyFont="1" applyFill="1" applyBorder="1"/>
    <xf numFmtId="9" fontId="12" fillId="4" borderId="0" xfId="2" applyFont="1" applyFill="1"/>
    <xf numFmtId="9" fontId="12" fillId="4" borderId="12" xfId="2" applyFont="1" applyFill="1" applyBorder="1"/>
    <xf numFmtId="9" fontId="18" fillId="0" borderId="0" xfId="2" applyFont="1"/>
    <xf numFmtId="9" fontId="18" fillId="4" borderId="13" xfId="2" applyFont="1" applyFill="1" applyBorder="1"/>
    <xf numFmtId="0" fontId="12" fillId="7" borderId="10" xfId="0" applyFont="1" applyFill="1" applyBorder="1"/>
    <xf numFmtId="0" fontId="16" fillId="7" borderId="0" xfId="0" applyFont="1" applyFill="1" applyAlignment="1">
      <alignment horizontal="center"/>
    </xf>
    <xf numFmtId="164" fontId="18" fillId="7" borderId="0" xfId="1" applyNumberFormat="1" applyFont="1" applyFill="1"/>
    <xf numFmtId="0" fontId="18" fillId="4" borderId="0" xfId="0" applyFont="1" applyFill="1" applyAlignment="1">
      <alignment horizontal="left" indent="1"/>
    </xf>
    <xf numFmtId="0" fontId="18" fillId="4" borderId="0" xfId="0" applyFont="1" applyFill="1" applyAlignment="1">
      <alignment horizontal="left" indent="2"/>
    </xf>
    <xf numFmtId="1" fontId="12" fillId="4" borderId="0" xfId="0" applyNumberFormat="1" applyFont="1" applyFill="1"/>
    <xf numFmtId="44" fontId="12" fillId="4" borderId="0" xfId="0" applyNumberFormat="1" applyFont="1" applyFill="1"/>
    <xf numFmtId="0" fontId="12" fillId="7" borderId="0" xfId="0" applyFont="1" applyFill="1"/>
    <xf numFmtId="0" fontId="18" fillId="4" borderId="0" xfId="0" applyFont="1" applyFill="1" applyAlignment="1">
      <alignment horizontal="left"/>
    </xf>
    <xf numFmtId="9" fontId="12" fillId="7" borderId="0" xfId="2" applyFont="1" applyFill="1"/>
    <xf numFmtId="9" fontId="12" fillId="4" borderId="12" xfId="0" applyNumberFormat="1" applyFont="1" applyFill="1" applyBorder="1"/>
    <xf numFmtId="9" fontId="18" fillId="4" borderId="0" xfId="2" applyFont="1" applyFill="1" applyAlignment="1">
      <alignment horizontal="right"/>
    </xf>
    <xf numFmtId="9" fontId="18" fillId="7" borderId="0" xfId="2" applyFont="1" applyFill="1" applyAlignment="1">
      <alignment horizontal="right"/>
    </xf>
    <xf numFmtId="9" fontId="18" fillId="4" borderId="12" xfId="0" applyNumberFormat="1" applyFont="1" applyFill="1" applyBorder="1"/>
    <xf numFmtId="9" fontId="12" fillId="4" borderId="0" xfId="2" applyFont="1" applyFill="1" applyAlignment="1">
      <alignment horizontal="right"/>
    </xf>
    <xf numFmtId="9" fontId="12" fillId="7" borderId="0" xfId="2" applyFont="1" applyFill="1" applyAlignment="1">
      <alignment horizontal="right"/>
    </xf>
    <xf numFmtId="9" fontId="18" fillId="7" borderId="0" xfId="2" applyFont="1" applyFill="1"/>
    <xf numFmtId="0" fontId="17" fillId="4" borderId="12" xfId="0" applyFont="1" applyFill="1" applyBorder="1" applyAlignment="1">
      <alignment horizontal="right"/>
    </xf>
    <xf numFmtId="0" fontId="18" fillId="4" borderId="0" xfId="0" applyFont="1" applyFill="1" applyAlignment="1">
      <alignment horizontal="left" indent="3"/>
    </xf>
    <xf numFmtId="1" fontId="18" fillId="4" borderId="0" xfId="0" applyNumberFormat="1" applyFont="1" applyFill="1"/>
    <xf numFmtId="0" fontId="40" fillId="0" borderId="0" xfId="0" applyFont="1"/>
    <xf numFmtId="44" fontId="18" fillId="4" borderId="0" xfId="0" applyNumberFormat="1" applyFont="1" applyFill="1"/>
    <xf numFmtId="44" fontId="18" fillId="7" borderId="0" xfId="1" applyFont="1" applyFill="1"/>
    <xf numFmtId="0" fontId="12" fillId="4" borderId="0" xfId="0" applyFont="1" applyFill="1" applyAlignment="1">
      <alignment horizontal="left" indent="2"/>
    </xf>
    <xf numFmtId="164" fontId="12" fillId="4" borderId="0" xfId="0" applyNumberFormat="1" applyFont="1" applyFill="1"/>
    <xf numFmtId="164" fontId="18" fillId="4" borderId="0" xfId="0" applyNumberFormat="1" applyFont="1" applyFill="1"/>
    <xf numFmtId="164" fontId="12" fillId="7" borderId="0" xfId="0" applyNumberFormat="1" applyFont="1" applyFill="1"/>
    <xf numFmtId="164" fontId="18" fillId="7" borderId="0" xfId="0" applyNumberFormat="1" applyFont="1" applyFill="1"/>
    <xf numFmtId="0" fontId="0" fillId="7" borderId="0" xfId="0" applyFill="1"/>
    <xf numFmtId="164" fontId="12" fillId="4" borderId="12" xfId="0" applyNumberFormat="1" applyFont="1" applyFill="1" applyBorder="1"/>
    <xf numFmtId="0" fontId="17" fillId="4" borderId="13" xfId="0" applyFont="1" applyFill="1" applyBorder="1" applyAlignment="1">
      <alignment horizontal="right"/>
    </xf>
    <xf numFmtId="0" fontId="12" fillId="4" borderId="0" xfId="0" applyFont="1" applyFill="1" applyAlignment="1">
      <alignment horizontal="left"/>
    </xf>
    <xf numFmtId="164" fontId="12" fillId="7" borderId="0" xfId="1" applyNumberFormat="1" applyFont="1" applyFill="1"/>
    <xf numFmtId="44" fontId="18" fillId="4" borderId="0" xfId="1" applyFont="1" applyFill="1"/>
    <xf numFmtId="164" fontId="40" fillId="0" borderId="0" xfId="0" applyNumberFormat="1" applyFont="1"/>
    <xf numFmtId="44" fontId="18" fillId="4" borderId="12" xfId="1" applyFont="1" applyFill="1" applyBorder="1"/>
    <xf numFmtId="44" fontId="0" fillId="0" borderId="0" xfId="0" applyNumberFormat="1"/>
    <xf numFmtId="175" fontId="18" fillId="0" borderId="0" xfId="2" applyNumberFormat="1" applyFont="1"/>
    <xf numFmtId="175" fontId="18" fillId="4" borderId="12" xfId="2" applyNumberFormat="1" applyFont="1" applyFill="1" applyBorder="1"/>
    <xf numFmtId="175" fontId="18" fillId="7" borderId="0" xfId="2" applyNumberFormat="1" applyFont="1" applyFill="1"/>
    <xf numFmtId="164" fontId="18" fillId="4" borderId="12" xfId="0" applyNumberFormat="1" applyFont="1" applyFill="1" applyBorder="1"/>
    <xf numFmtId="0" fontId="12" fillId="4" borderId="0" xfId="0" applyFont="1" applyFill="1" applyAlignment="1">
      <alignment horizontal="left" indent="4"/>
    </xf>
    <xf numFmtId="0" fontId="42" fillId="8" borderId="0" xfId="0" applyFont="1" applyFill="1"/>
    <xf numFmtId="0" fontId="41" fillId="8" borderId="0" xfId="0" applyFont="1" applyFill="1"/>
    <xf numFmtId="0" fontId="11" fillId="4" borderId="0" xfId="0" applyFont="1" applyFill="1" applyAlignment="1">
      <alignment horizontal="left" indent="1"/>
    </xf>
    <xf numFmtId="164" fontId="11" fillId="4" borderId="0" xfId="1" applyNumberFormat="1" applyFont="1" applyFill="1"/>
    <xf numFmtId="164" fontId="11" fillId="7" borderId="0" xfId="1" applyNumberFormat="1" applyFont="1" applyFill="1"/>
    <xf numFmtId="164" fontId="11" fillId="4" borderId="12" xfId="1" applyNumberFormat="1" applyFont="1" applyFill="1" applyBorder="1"/>
    <xf numFmtId="9" fontId="11" fillId="4" borderId="0" xfId="2" applyFont="1" applyFill="1"/>
    <xf numFmtId="9" fontId="11" fillId="4" borderId="12" xfId="2" applyFont="1" applyFill="1" applyBorder="1"/>
    <xf numFmtId="0" fontId="16" fillId="6" borderId="0" xfId="0" applyFont="1" applyFill="1"/>
    <xf numFmtId="0" fontId="15" fillId="6" borderId="0" xfId="0" applyFont="1" applyFill="1"/>
    <xf numFmtId="43" fontId="20" fillId="6" borderId="0" xfId="3" applyFont="1" applyFill="1"/>
    <xf numFmtId="43" fontId="15" fillId="6" borderId="0" xfId="0" applyNumberFormat="1" applyFont="1" applyFill="1"/>
    <xf numFmtId="171" fontId="15" fillId="6" borderId="0" xfId="3" applyNumberFormat="1" applyFont="1" applyFill="1" applyBorder="1"/>
    <xf numFmtId="171" fontId="20" fillId="0" borderId="0" xfId="3" applyNumberFormat="1" applyFont="1"/>
    <xf numFmtId="171" fontId="22" fillId="0" borderId="0" xfId="0" applyNumberFormat="1" applyFont="1"/>
    <xf numFmtId="165" fontId="17" fillId="0" borderId="0" xfId="2" applyNumberFormat="1" applyFont="1" applyFill="1" applyAlignment="1">
      <alignment horizontal="right"/>
    </xf>
    <xf numFmtId="9" fontId="15" fillId="0" borderId="0" xfId="2" applyFont="1" applyFill="1"/>
    <xf numFmtId="171" fontId="15" fillId="3" borderId="0" xfId="3" applyNumberFormat="1" applyFont="1" applyFill="1" applyAlignment="1">
      <alignment horizontal="left"/>
    </xf>
    <xf numFmtId="171" fontId="15" fillId="3" borderId="0" xfId="0" applyNumberFormat="1" applyFont="1" applyFill="1"/>
    <xf numFmtId="9" fontId="15" fillId="3" borderId="0" xfId="2" applyFont="1" applyFill="1"/>
    <xf numFmtId="0" fontId="10" fillId="0" borderId="0" xfId="0" applyFont="1"/>
    <xf numFmtId="171" fontId="17" fillId="0" borderId="0" xfId="0" applyNumberFormat="1" applyFont="1"/>
    <xf numFmtId="171" fontId="20" fillId="0" borderId="0" xfId="3" applyNumberFormat="1" applyFont="1" applyFill="1"/>
    <xf numFmtId="164" fontId="17" fillId="0" borderId="0" xfId="0" applyNumberFormat="1" applyFont="1"/>
    <xf numFmtId="164" fontId="18" fillId="0" borderId="0" xfId="1" applyNumberFormat="1" applyFont="1" applyFill="1"/>
    <xf numFmtId="44" fontId="18" fillId="0" borderId="0" xfId="1" applyFont="1" applyFill="1"/>
    <xf numFmtId="44" fontId="15" fillId="0" borderId="0" xfId="1" applyFont="1" applyFill="1"/>
    <xf numFmtId="164" fontId="15" fillId="0" borderId="0" xfId="1" applyNumberFormat="1" applyFont="1" applyFill="1" applyBorder="1"/>
    <xf numFmtId="165" fontId="17" fillId="0" borderId="0" xfId="2" applyNumberFormat="1" applyFont="1" applyFill="1" applyBorder="1"/>
    <xf numFmtId="44" fontId="15" fillId="0" borderId="0" xfId="1" applyFont="1" applyFill="1" applyBorder="1"/>
    <xf numFmtId="164" fontId="15" fillId="0" borderId="5" xfId="1" applyNumberFormat="1" applyFont="1" applyFill="1" applyBorder="1"/>
    <xf numFmtId="165" fontId="17" fillId="0" borderId="5" xfId="2" applyNumberFormat="1" applyFont="1" applyFill="1" applyBorder="1"/>
    <xf numFmtId="168" fontId="18" fillId="0" borderId="5" xfId="0" applyNumberFormat="1" applyFont="1" applyBorder="1"/>
    <xf numFmtId="169" fontId="18" fillId="0" borderId="5" xfId="0" applyNumberFormat="1" applyFont="1" applyBorder="1"/>
    <xf numFmtId="44" fontId="15" fillId="0" borderId="5" xfId="1" applyFont="1" applyFill="1" applyBorder="1"/>
    <xf numFmtId="165" fontId="17" fillId="0" borderId="10" xfId="2" applyNumberFormat="1" applyFont="1" applyFill="1" applyBorder="1"/>
    <xf numFmtId="165" fontId="17" fillId="0" borderId="11" xfId="2" applyNumberFormat="1" applyFont="1" applyFill="1" applyBorder="1"/>
    <xf numFmtId="176" fontId="15" fillId="0" borderId="0" xfId="0" applyNumberFormat="1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9" fontId="17" fillId="0" borderId="0" xfId="2" applyFont="1" applyFill="1"/>
    <xf numFmtId="164" fontId="17" fillId="0" borderId="0" xfId="1" applyNumberFormat="1" applyFont="1" applyFill="1"/>
    <xf numFmtId="9" fontId="43" fillId="0" borderId="0" xfId="2" applyFont="1" applyFill="1"/>
    <xf numFmtId="165" fontId="29" fillId="3" borderId="12" xfId="2" applyNumberFormat="1" applyFont="1" applyFill="1" applyBorder="1"/>
    <xf numFmtId="44" fontId="22" fillId="9" borderId="15" xfId="0" applyNumberFormat="1" applyFont="1" applyFill="1" applyBorder="1" applyAlignment="1">
      <alignment horizontal="center"/>
    </xf>
    <xf numFmtId="0" fontId="18" fillId="6" borderId="16" xfId="0" applyFont="1" applyFill="1" applyBorder="1" applyAlignment="1">
      <alignment horizontal="centerContinuous"/>
    </xf>
    <xf numFmtId="0" fontId="9" fillId="6" borderId="17" xfId="0" applyFont="1" applyFill="1" applyBorder="1" applyAlignment="1">
      <alignment horizontal="centerContinuous"/>
    </xf>
    <xf numFmtId="0" fontId="9" fillId="6" borderId="18" xfId="0" applyFont="1" applyFill="1" applyBorder="1" applyAlignment="1">
      <alignment horizontal="centerContinuous"/>
    </xf>
    <xf numFmtId="0" fontId="18" fillId="6" borderId="19" xfId="0" applyFont="1" applyFill="1" applyBorder="1" applyAlignment="1">
      <alignment horizontal="centerContinuous"/>
    </xf>
    <xf numFmtId="0" fontId="9" fillId="4" borderId="0" xfId="0" applyFont="1" applyFill="1"/>
    <xf numFmtId="164" fontId="33" fillId="4" borderId="0" xfId="0" applyNumberFormat="1" applyFont="1" applyFill="1" applyAlignment="1">
      <alignment horizontal="center"/>
    </xf>
    <xf numFmtId="164" fontId="33" fillId="4" borderId="0" xfId="0" applyNumberFormat="1" applyFont="1" applyFill="1"/>
    <xf numFmtId="177" fontId="45" fillId="4" borderId="0" xfId="0" applyNumberFormat="1" applyFont="1" applyFill="1" applyAlignment="1">
      <alignment horizontal="center"/>
    </xf>
    <xf numFmtId="178" fontId="45" fillId="4" borderId="0" xfId="0" applyNumberFormat="1" applyFont="1" applyFill="1"/>
    <xf numFmtId="178" fontId="45" fillId="4" borderId="0" xfId="0" applyNumberFormat="1" applyFont="1" applyFill="1" applyAlignment="1">
      <alignment horizontal="center"/>
    </xf>
    <xf numFmtId="0" fontId="45" fillId="4" borderId="0" xfId="0" applyFont="1" applyFill="1"/>
    <xf numFmtId="14" fontId="46" fillId="4" borderId="0" xfId="0" applyNumberFormat="1" applyFont="1" applyFill="1" applyAlignment="1">
      <alignment horizontal="center"/>
    </xf>
    <xf numFmtId="44" fontId="9" fillId="4" borderId="0" xfId="0" applyNumberFormat="1" applyFont="1" applyFill="1" applyAlignment="1">
      <alignment horizontal="right"/>
    </xf>
    <xf numFmtId="179" fontId="9" fillId="4" borderId="0" xfId="0" applyNumberFormat="1" applyFont="1" applyFill="1"/>
    <xf numFmtId="180" fontId="17" fillId="4" borderId="0" xfId="0" applyNumberFormat="1" applyFont="1" applyFill="1"/>
    <xf numFmtId="179" fontId="17" fillId="4" borderId="0" xfId="0" applyNumberFormat="1" applyFont="1" applyFill="1"/>
    <xf numFmtId="168" fontId="18" fillId="4" borderId="0" xfId="0" applyNumberFormat="1" applyFont="1" applyFill="1"/>
    <xf numFmtId="179" fontId="18" fillId="4" borderId="0" xfId="0" applyNumberFormat="1" applyFont="1" applyFill="1"/>
    <xf numFmtId="0" fontId="9" fillId="2" borderId="0" xfId="0" applyFont="1" applyFill="1"/>
    <xf numFmtId="44" fontId="44" fillId="8" borderId="0" xfId="0" applyNumberFormat="1" applyFont="1" applyFill="1" applyAlignment="1">
      <alignment horizontal="center"/>
    </xf>
    <xf numFmtId="0" fontId="8" fillId="4" borderId="0" xfId="0" applyFont="1" applyFill="1"/>
    <xf numFmtId="44" fontId="44" fillId="8" borderId="14" xfId="0" applyNumberFormat="1" applyFont="1" applyFill="1" applyBorder="1" applyAlignment="1">
      <alignment horizontal="center"/>
    </xf>
    <xf numFmtId="0" fontId="9" fillId="7" borderId="12" xfId="0" applyFont="1" applyFill="1" applyBorder="1"/>
    <xf numFmtId="179" fontId="9" fillId="7" borderId="12" xfId="0" applyNumberFormat="1" applyFont="1" applyFill="1" applyBorder="1"/>
    <xf numFmtId="179" fontId="18" fillId="7" borderId="12" xfId="0" applyNumberFormat="1" applyFont="1" applyFill="1" applyBorder="1"/>
    <xf numFmtId="171" fontId="33" fillId="4" borderId="0" xfId="3" applyNumberFormat="1" applyFont="1" applyFill="1"/>
    <xf numFmtId="0" fontId="13" fillId="4" borderId="1" xfId="0" applyFont="1" applyFill="1" applyBorder="1"/>
    <xf numFmtId="0" fontId="18" fillId="4" borderId="1" xfId="0" applyFont="1" applyFill="1" applyBorder="1"/>
    <xf numFmtId="164" fontId="13" fillId="4" borderId="0" xfId="0" applyNumberFormat="1" applyFont="1" applyFill="1"/>
    <xf numFmtId="164" fontId="13" fillId="4" borderId="5" xfId="0" applyNumberFormat="1" applyFont="1" applyFill="1" applyBorder="1"/>
    <xf numFmtId="0" fontId="17" fillId="4" borderId="1" xfId="0" applyFont="1" applyFill="1" applyBorder="1" applyAlignment="1">
      <alignment horizontal="left" indent="1"/>
    </xf>
    <xf numFmtId="9" fontId="21" fillId="4" borderId="0" xfId="0" applyNumberFormat="1" applyFont="1" applyFill="1"/>
    <xf numFmtId="0" fontId="17" fillId="4" borderId="0" xfId="0" quotePrefix="1" applyFont="1" applyFill="1" applyAlignment="1">
      <alignment horizontal="center"/>
    </xf>
    <xf numFmtId="9" fontId="21" fillId="4" borderId="5" xfId="0" applyNumberFormat="1" applyFont="1" applyFill="1" applyBorder="1"/>
    <xf numFmtId="0" fontId="8" fillId="4" borderId="1" xfId="0" applyFont="1" applyFill="1" applyBorder="1"/>
    <xf numFmtId="168" fontId="13" fillId="4" borderId="0" xfId="0" applyNumberFormat="1" applyFont="1" applyFill="1"/>
    <xf numFmtId="168" fontId="13" fillId="4" borderId="5" xfId="0" applyNumberFormat="1" applyFont="1" applyFill="1" applyBorder="1"/>
    <xf numFmtId="165" fontId="13" fillId="4" borderId="0" xfId="2" applyNumberFormat="1" applyFont="1" applyFill="1" applyBorder="1"/>
    <xf numFmtId="165" fontId="13" fillId="4" borderId="5" xfId="2" applyNumberFormat="1" applyFont="1" applyFill="1" applyBorder="1"/>
    <xf numFmtId="0" fontId="13" fillId="4" borderId="6" xfId="0" applyFont="1" applyFill="1" applyBorder="1"/>
    <xf numFmtId="169" fontId="13" fillId="4" borderId="7" xfId="0" applyNumberFormat="1" applyFont="1" applyFill="1" applyBorder="1"/>
    <xf numFmtId="169" fontId="13" fillId="4" borderId="8" xfId="0" applyNumberFormat="1" applyFont="1" applyFill="1" applyBorder="1"/>
    <xf numFmtId="165" fontId="22" fillId="4" borderId="0" xfId="0" applyNumberFormat="1" applyFont="1" applyFill="1"/>
    <xf numFmtId="165" fontId="22" fillId="4" borderId="5" xfId="0" applyNumberFormat="1" applyFont="1" applyFill="1" applyBorder="1"/>
    <xf numFmtId="168" fontId="22" fillId="4" borderId="0" xfId="0" applyNumberFormat="1" applyFont="1" applyFill="1"/>
    <xf numFmtId="168" fontId="22" fillId="4" borderId="5" xfId="0" applyNumberFormat="1" applyFont="1" applyFill="1" applyBorder="1"/>
    <xf numFmtId="169" fontId="13" fillId="4" borderId="0" xfId="0" applyNumberFormat="1" applyFont="1" applyFill="1"/>
    <xf numFmtId="169" fontId="13" fillId="4" borderId="5" xfId="0" applyNumberFormat="1" applyFont="1" applyFill="1" applyBorder="1"/>
    <xf numFmtId="164" fontId="13" fillId="4" borderId="7" xfId="0" applyNumberFormat="1" applyFont="1" applyFill="1" applyBorder="1"/>
    <xf numFmtId="164" fontId="13" fillId="4" borderId="8" xfId="0" applyNumberFormat="1" applyFont="1" applyFill="1" applyBorder="1"/>
    <xf numFmtId="0" fontId="22" fillId="4" borderId="0" xfId="0" applyFont="1" applyFill="1"/>
    <xf numFmtId="0" fontId="22" fillId="4" borderId="5" xfId="0" applyFont="1" applyFill="1" applyBorder="1"/>
    <xf numFmtId="0" fontId="8" fillId="4" borderId="6" xfId="0" applyFont="1" applyFill="1" applyBorder="1"/>
    <xf numFmtId="0" fontId="13" fillId="4" borderId="0" xfId="0" applyFont="1" applyFill="1"/>
    <xf numFmtId="0" fontId="13" fillId="4" borderId="5" xfId="0" applyFont="1" applyFill="1" applyBorder="1"/>
    <xf numFmtId="0" fontId="13" fillId="4" borderId="1" xfId="0" applyFont="1" applyFill="1" applyBorder="1" applyAlignment="1">
      <alignment horizontal="left" indent="1"/>
    </xf>
    <xf numFmtId="9" fontId="13" fillId="4" borderId="0" xfId="0" applyNumberFormat="1" applyFont="1" applyFill="1"/>
    <xf numFmtId="9" fontId="22" fillId="4" borderId="0" xfId="0" applyNumberFormat="1" applyFont="1" applyFill="1"/>
    <xf numFmtId="9" fontId="13" fillId="4" borderId="5" xfId="0" applyNumberFormat="1" applyFont="1" applyFill="1" applyBorder="1"/>
    <xf numFmtId="9" fontId="17" fillId="0" borderId="0" xfId="2" applyFont="1"/>
    <xf numFmtId="0" fontId="7" fillId="0" borderId="0" xfId="0" applyFont="1"/>
    <xf numFmtId="165" fontId="17" fillId="0" borderId="1" xfId="2" applyNumberFormat="1" applyFont="1" applyFill="1" applyBorder="1"/>
    <xf numFmtId="164" fontId="6" fillId="0" borderId="0" xfId="1" applyNumberFormat="1" applyFont="1" applyFill="1"/>
    <xf numFmtId="10" fontId="22" fillId="0" borderId="0" xfId="2" applyNumberFormat="1" applyFont="1" applyFill="1"/>
    <xf numFmtId="164" fontId="17" fillId="0" borderId="12" xfId="0" applyNumberFormat="1" applyFont="1" applyBorder="1"/>
    <xf numFmtId="164" fontId="17" fillId="0" borderId="1" xfId="0" applyNumberFormat="1" applyFont="1" applyBorder="1"/>
    <xf numFmtId="164" fontId="17" fillId="0" borderId="5" xfId="0" applyNumberFormat="1" applyFont="1" applyBorder="1"/>
    <xf numFmtId="0" fontId="18" fillId="4" borderId="2" xfId="0" applyFont="1" applyFill="1" applyBorder="1"/>
    <xf numFmtId="0" fontId="13" fillId="4" borderId="3" xfId="0" applyFont="1" applyFill="1" applyBorder="1"/>
    <xf numFmtId="0" fontId="13" fillId="4" borderId="4" xfId="0" applyFont="1" applyFill="1" applyBorder="1"/>
    <xf numFmtId="0" fontId="16" fillId="4" borderId="5" xfId="0" applyFont="1" applyFill="1" applyBorder="1" applyAlignment="1">
      <alignment horizontal="center"/>
    </xf>
    <xf numFmtId="164" fontId="13" fillId="4" borderId="0" xfId="1" applyNumberFormat="1" applyFont="1" applyFill="1" applyBorder="1"/>
    <xf numFmtId="164" fontId="13" fillId="4" borderId="5" xfId="1" applyNumberFormat="1" applyFont="1" applyFill="1" applyBorder="1"/>
    <xf numFmtId="0" fontId="17" fillId="4" borderId="6" xfId="0" applyFont="1" applyFill="1" applyBorder="1" applyAlignment="1">
      <alignment horizontal="left" indent="1"/>
    </xf>
    <xf numFmtId="9" fontId="17" fillId="4" borderId="7" xfId="0" applyNumberFormat="1" applyFont="1" applyFill="1" applyBorder="1"/>
    <xf numFmtId="9" fontId="17" fillId="4" borderId="8" xfId="0" applyNumberFormat="1" applyFont="1" applyFill="1" applyBorder="1"/>
    <xf numFmtId="0" fontId="8" fillId="4" borderId="9" xfId="0" applyFont="1" applyFill="1" applyBorder="1"/>
    <xf numFmtId="171" fontId="13" fillId="4" borderId="10" xfId="3" applyNumberFormat="1" applyFont="1" applyFill="1" applyBorder="1"/>
    <xf numFmtId="171" fontId="13" fillId="4" borderId="11" xfId="3" applyNumberFormat="1" applyFont="1" applyFill="1" applyBorder="1"/>
    <xf numFmtId="164" fontId="5" fillId="0" borderId="0" xfId="1" applyNumberFormat="1" applyFont="1" applyFill="1"/>
    <xf numFmtId="0" fontId="5" fillId="0" borderId="0" xfId="0" applyFont="1" applyAlignment="1">
      <alignment horizontal="left" indent="1"/>
    </xf>
    <xf numFmtId="44" fontId="22" fillId="0" borderId="0" xfId="1" applyFont="1" applyFill="1"/>
    <xf numFmtId="165" fontId="17" fillId="0" borderId="0" xfId="2" applyNumberFormat="1" applyFont="1" applyBorder="1"/>
    <xf numFmtId="171" fontId="4" fillId="0" borderId="12" xfId="3" applyNumberFormat="1" applyFont="1" applyFill="1" applyBorder="1"/>
    <xf numFmtId="171" fontId="4" fillId="0" borderId="0" xfId="3" applyNumberFormat="1" applyFont="1" applyFill="1"/>
    <xf numFmtId="44" fontId="4" fillId="0" borderId="12" xfId="1" applyFont="1" applyFill="1" applyBorder="1"/>
    <xf numFmtId="44" fontId="4" fillId="0" borderId="0" xfId="1" applyFont="1" applyFill="1"/>
    <xf numFmtId="167" fontId="17" fillId="3" borderId="12" xfId="0" applyNumberFormat="1" applyFont="1" applyFill="1" applyBorder="1"/>
    <xf numFmtId="0" fontId="15" fillId="3" borderId="13" xfId="0" applyFont="1" applyFill="1" applyBorder="1"/>
    <xf numFmtId="0" fontId="15" fillId="3" borderId="10" xfId="0" applyFont="1" applyFill="1" applyBorder="1"/>
    <xf numFmtId="167" fontId="17" fillId="3" borderId="13" xfId="0" applyNumberFormat="1" applyFont="1" applyFill="1" applyBorder="1"/>
    <xf numFmtId="9" fontId="11" fillId="7" borderId="0" xfId="2" applyFont="1" applyFill="1"/>
    <xf numFmtId="171" fontId="15" fillId="0" borderId="0" xfId="3" applyNumberFormat="1" applyFont="1" applyFill="1"/>
    <xf numFmtId="10" fontId="17" fillId="0" borderId="0" xfId="2" applyNumberFormat="1" applyFont="1"/>
    <xf numFmtId="10" fontId="17" fillId="0" borderId="12" xfId="2" applyNumberFormat="1" applyFont="1" applyBorder="1"/>
    <xf numFmtId="43" fontId="15" fillId="0" borderId="12" xfId="3" applyFont="1" applyFill="1" applyBorder="1"/>
    <xf numFmtId="44" fontId="3" fillId="0" borderId="0" xfId="1" applyFont="1" applyFill="1"/>
    <xf numFmtId="0" fontId="3" fillId="0" borderId="0" xfId="0" applyFont="1"/>
    <xf numFmtId="0" fontId="2" fillId="0" borderId="0" xfId="0" applyFont="1"/>
    <xf numFmtId="43" fontId="15" fillId="0" borderId="0" xfId="3" applyFont="1"/>
    <xf numFmtId="167" fontId="21" fillId="0" borderId="0" xfId="0" applyNumberFormat="1" applyFont="1"/>
    <xf numFmtId="1" fontId="15" fillId="0" borderId="0" xfId="0" applyNumberFormat="1" applyFont="1"/>
    <xf numFmtId="10" fontId="21" fillId="0" borderId="0" xfId="2" applyNumberFormat="1" applyFont="1" applyFill="1"/>
    <xf numFmtId="171" fontId="15" fillId="0" borderId="13" xfId="0" applyNumberFormat="1" applyFont="1" applyBorder="1"/>
    <xf numFmtId="171" fontId="15" fillId="0" borderId="10" xfId="0" applyNumberFormat="1" applyFont="1" applyBorder="1"/>
    <xf numFmtId="171" fontId="20" fillId="6" borderId="0" xfId="3" applyNumberFormat="1" applyFont="1" applyFill="1"/>
    <xf numFmtId="1" fontId="20" fillId="0" borderId="0" xfId="3" applyNumberFormat="1" applyFont="1"/>
    <xf numFmtId="10" fontId="17" fillId="0" borderId="0" xfId="2" applyNumberFormat="1" applyFont="1" applyFill="1"/>
    <xf numFmtId="165" fontId="17" fillId="5" borderId="0" xfId="2" applyNumberFormat="1" applyFont="1" applyFill="1" applyAlignment="1">
      <alignment horizontal="right"/>
    </xf>
    <xf numFmtId="165" fontId="17" fillId="5" borderId="12" xfId="2" applyNumberFormat="1" applyFont="1" applyFill="1" applyBorder="1"/>
    <xf numFmtId="0" fontId="17" fillId="5" borderId="0" xfId="0" applyFont="1" applyFill="1" applyAlignment="1">
      <alignment horizontal="right"/>
    </xf>
    <xf numFmtId="167" fontId="17" fillId="5" borderId="0" xfId="0" applyNumberFormat="1" applyFont="1" applyFill="1"/>
    <xf numFmtId="168" fontId="18" fillId="0" borderId="0" xfId="0" applyNumberFormat="1" applyFont="1"/>
    <xf numFmtId="169" fontId="18" fillId="0" borderId="0" xfId="0" applyNumberFormat="1" applyFont="1"/>
    <xf numFmtId="165" fontId="15" fillId="0" borderId="5" xfId="2" applyNumberFormat="1" applyFont="1" applyFill="1" applyBorder="1"/>
    <xf numFmtId="0" fontId="18" fillId="7" borderId="10" xfId="0" applyFont="1" applyFill="1" applyBorder="1" applyAlignment="1">
      <alignment horizontal="left"/>
    </xf>
  </cellXfs>
  <cellStyles count="6">
    <cellStyle name="Comma" xfId="3" builtinId="3"/>
    <cellStyle name="Currency" xfId="1" builtinId="4"/>
    <cellStyle name="Hyperlink" xfId="5" builtinId="8"/>
    <cellStyle name="Normal" xfId="0" builtinId="0"/>
    <cellStyle name="Normal_JCP (cleared)" xfId="4" xr:uid="{00000000-0005-0000-0000-000004000000}"/>
    <cellStyle name="Percent" xfId="2" builtinId="5"/>
  </cellStyles>
  <dxfs count="0"/>
  <tableStyles count="0" defaultTableStyle="TableStyleMedium2" defaultPivotStyle="PivotStyleLight16"/>
  <colors>
    <mruColors>
      <color rgb="FF00355F"/>
      <color rgb="FFACD4F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38100</xdr:rowOff>
    </xdr:from>
    <xdr:to>
      <xdr:col>1</xdr:col>
      <xdr:colOff>590550</xdr:colOff>
      <xdr:row>4</xdr:row>
      <xdr:rowOff>122582</xdr:rowOff>
    </xdr:to>
    <xdr:pic>
      <xdr:nvPicPr>
        <xdr:cNvPr id="2" name="Picture 190" descr="Logo_solid_6i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419100"/>
          <a:ext cx="571500" cy="60835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2" name="Picture 190" descr="Logo_solid_6i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3" name="Picture 190" descr="Logo_solid_6in">
          <a:extLst>
            <a:ext uri="{FF2B5EF4-FFF2-40B4-BE49-F238E27FC236}">
              <a16:creationId xmlns:a16="http://schemas.microsoft.com/office/drawing/2014/main" id="{5B451BD9-260F-4439-A5F7-ADDDB2F0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3" name="Picture 190" descr="Logo_solid_6in">
          <a:extLst>
            <a:ext uri="{FF2B5EF4-FFF2-40B4-BE49-F238E27FC236}">
              <a16:creationId xmlns:a16="http://schemas.microsoft.com/office/drawing/2014/main" id="{86996612-AFBC-409F-861C-6404D394F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4" name="Picture 190" descr="Logo_solid_6in">
          <a:extLst>
            <a:ext uri="{FF2B5EF4-FFF2-40B4-BE49-F238E27FC236}">
              <a16:creationId xmlns:a16="http://schemas.microsoft.com/office/drawing/2014/main" id="{BCE4994B-3E99-4C3A-B9AF-9D8BA28A8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3" name="Picture 190" descr="Logo_solid_6in">
          <a:extLst>
            <a:ext uri="{FF2B5EF4-FFF2-40B4-BE49-F238E27FC236}">
              <a16:creationId xmlns:a16="http://schemas.microsoft.com/office/drawing/2014/main" id="{B322ED10-3243-4AD3-B399-B84EAE1C8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3" name="Picture 190" descr="Logo_solid_6in">
          <a:extLst>
            <a:ext uri="{FF2B5EF4-FFF2-40B4-BE49-F238E27FC236}">
              <a16:creationId xmlns:a16="http://schemas.microsoft.com/office/drawing/2014/main" id="{D437F6AB-E842-4130-97B5-171CC9A4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3" name="Picture 190" descr="Logo_solid_6in">
          <a:extLst>
            <a:ext uri="{FF2B5EF4-FFF2-40B4-BE49-F238E27FC236}">
              <a16:creationId xmlns:a16="http://schemas.microsoft.com/office/drawing/2014/main" id="{2C9A8C78-AAE9-4214-BC5E-A843541B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359833</xdr:colOff>
      <xdr:row>0</xdr:row>
      <xdr:rowOff>350192</xdr:rowOff>
    </xdr:to>
    <xdr:pic>
      <xdr:nvPicPr>
        <xdr:cNvPr id="3" name="Picture 190" descr="Logo_solid_6in">
          <a:extLst>
            <a:ext uri="{FF2B5EF4-FFF2-40B4-BE49-F238E27FC236}">
              <a16:creationId xmlns:a16="http://schemas.microsoft.com/office/drawing/2014/main" id="{07E578CD-DB4C-4BC8-B454-28548B08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59833" cy="35019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4284D3-29A2-46B5-9EF4-28D171E3B5CF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ath.terry@gs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2"/>
  <sheetViews>
    <sheetView tabSelected="1" workbookViewId="0">
      <selection activeCell="I50" sqref="I50"/>
    </sheetView>
  </sheetViews>
  <sheetFormatPr defaultRowHeight="15" x14ac:dyDescent="0.25"/>
  <cols>
    <col min="1" max="1" width="1.7109375" style="140" customWidth="1"/>
    <col min="2" max="2" width="10" style="140" customWidth="1"/>
    <col min="3" max="3" width="3.85546875" style="140" customWidth="1"/>
    <col min="4" max="4" width="15.42578125" style="140" bestFit="1" customWidth="1"/>
    <col min="5" max="8" width="9.140625" style="140"/>
    <col min="9" max="9" width="112" style="140" customWidth="1"/>
    <col min="10" max="16384" width="9.140625" style="140"/>
  </cols>
  <sheetData>
    <row r="2" spans="3:9" s="141" customFormat="1" x14ac:dyDescent="0.25"/>
    <row r="3" spans="3:9" s="141" customFormat="1" x14ac:dyDescent="0.25">
      <c r="C3" s="142"/>
      <c r="D3" s="142"/>
    </row>
    <row r="4" spans="3:9" s="141" customFormat="1" ht="26.25" x14ac:dyDescent="0.4">
      <c r="D4" s="143" t="s">
        <v>356</v>
      </c>
    </row>
    <row r="5" spans="3:9" s="141" customFormat="1" x14ac:dyDescent="0.25">
      <c r="D5" s="144" t="s">
        <v>350</v>
      </c>
    </row>
    <row r="6" spans="3:9" s="141" customFormat="1" x14ac:dyDescent="0.25"/>
    <row r="7" spans="3:9" s="145" customFormat="1" x14ac:dyDescent="0.25"/>
    <row r="10" spans="3:9" x14ac:dyDescent="0.25">
      <c r="D10" s="146" t="s">
        <v>351</v>
      </c>
    </row>
    <row r="11" spans="3:9" x14ac:dyDescent="0.25">
      <c r="D11" s="147" t="s">
        <v>352</v>
      </c>
    </row>
    <row r="12" spans="3:9" x14ac:dyDescent="0.25">
      <c r="D12" s="148" t="s">
        <v>353</v>
      </c>
    </row>
    <row r="13" spans="3:9" x14ac:dyDescent="0.25">
      <c r="D13" s="147"/>
    </row>
    <row r="14" spans="3:9" x14ac:dyDescent="0.25">
      <c r="D14" s="147" t="s">
        <v>358</v>
      </c>
      <c r="I14" s="149"/>
    </row>
    <row r="15" spans="3:9" x14ac:dyDescent="0.25">
      <c r="D15" s="150" t="s">
        <v>354</v>
      </c>
    </row>
    <row r="16" spans="3:9" x14ac:dyDescent="0.25">
      <c r="D16" s="147" t="s">
        <v>355</v>
      </c>
    </row>
    <row r="17" spans="4:4" x14ac:dyDescent="0.25">
      <c r="D17" s="147"/>
    </row>
    <row r="18" spans="4:4" x14ac:dyDescent="0.25">
      <c r="D18" s="147" t="s">
        <v>456</v>
      </c>
    </row>
    <row r="19" spans="4:4" x14ac:dyDescent="0.25">
      <c r="D19" s="361" t="s">
        <v>457</v>
      </c>
    </row>
    <row r="20" spans="4:4" x14ac:dyDescent="0.25">
      <c r="D20" s="147" t="s">
        <v>458</v>
      </c>
    </row>
    <row r="25" spans="4:4" x14ac:dyDescent="0.25">
      <c r="D25" s="147"/>
    </row>
    <row r="26" spans="4:4" x14ac:dyDescent="0.25">
      <c r="D26" s="147"/>
    </row>
    <row r="27" spans="4:4" x14ac:dyDescent="0.25">
      <c r="D27" s="150"/>
    </row>
    <row r="28" spans="4:4" x14ac:dyDescent="0.25">
      <c r="D28" s="147"/>
    </row>
    <row r="29" spans="4:4" x14ac:dyDescent="0.25">
      <c r="D29" s="150"/>
    </row>
    <row r="30" spans="4:4" x14ac:dyDescent="0.25">
      <c r="D30" s="147"/>
    </row>
    <row r="31" spans="4:4" x14ac:dyDescent="0.25">
      <c r="D31" s="150"/>
    </row>
    <row r="32" spans="4:4" x14ac:dyDescent="0.25">
      <c r="D32" s="147"/>
    </row>
  </sheetData>
  <hyperlinks>
    <hyperlink ref="D12" r:id="rId1" display="heath.terry@gs.com" xr:uid="{00000000-0004-0000-0000-000000000000}"/>
  </hyperlinks>
  <pageMargins left="0.7" right="0.7" top="0.75" bottom="0.75" header="0.3" footer="0.3"/>
  <pageSetup orientation="portrait" r:id="rId2"/>
  <customProperties>
    <customPr name="Qube.Worksheet.Visibility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60"/>
  <sheetViews>
    <sheetView showGridLines="0" zoomScaleNormal="100" workbookViewId="0">
      <selection activeCell="AG24" sqref="AG24"/>
    </sheetView>
  </sheetViews>
  <sheetFormatPr defaultRowHeight="15" outlineLevelCol="1" x14ac:dyDescent="0.25"/>
  <cols>
    <col min="1" max="1" width="28.28515625" customWidth="1"/>
    <col min="2" max="5" width="9.5703125" hidden="1" customWidth="1" outlineLevel="1"/>
    <col min="6" max="6" width="9.5703125" customWidth="1" collapsed="1"/>
    <col min="7" max="12" width="9.5703125" customWidth="1"/>
    <col min="13" max="13" width="9.5703125" style="204" customWidth="1"/>
    <col min="14" max="17" width="9.5703125" customWidth="1"/>
    <col min="18" max="18" width="4.42578125" customWidth="1"/>
    <col min="19" max="19" width="10.140625" hidden="1" customWidth="1" outlineLevel="1"/>
    <col min="20" max="20" width="10.140625" customWidth="1" collapsed="1"/>
    <col min="21" max="23" width="10.140625" customWidth="1"/>
    <col min="24" max="24" width="9.7109375" bestFit="1" customWidth="1"/>
  </cols>
  <sheetData>
    <row r="1" spans="1:24" ht="20.25" x14ac:dyDescent="0.3">
      <c r="A1" s="218" t="s">
        <v>345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</row>
    <row r="2" spans="1:24" ht="15.75" thickBot="1" x14ac:dyDescent="0.3">
      <c r="A2" s="156" t="s">
        <v>360</v>
      </c>
      <c r="B2" s="176"/>
      <c r="C2" s="176"/>
      <c r="D2" s="157"/>
      <c r="E2" s="157"/>
      <c r="F2" s="157"/>
      <c r="G2" s="157"/>
      <c r="H2" s="157"/>
      <c r="I2" s="157"/>
      <c r="J2" s="157"/>
      <c r="K2" s="157"/>
      <c r="L2" s="157"/>
      <c r="M2" s="176"/>
      <c r="N2" s="157"/>
      <c r="O2" s="157"/>
      <c r="P2" s="157"/>
      <c r="Q2" s="157"/>
      <c r="R2" s="158"/>
      <c r="S2" s="158"/>
      <c r="T2" s="158"/>
      <c r="U2" s="158"/>
      <c r="V2" s="158"/>
      <c r="W2" s="158"/>
    </row>
    <row r="3" spans="1:24" x14ac:dyDescent="0.25">
      <c r="A3" s="159" t="s">
        <v>371</v>
      </c>
      <c r="B3" s="160" t="str">
        <f>'Income Statement'!BB1</f>
        <v>1Q23</v>
      </c>
      <c r="C3" s="160" t="str">
        <f>'Income Statement'!BC1</f>
        <v>2Q23</v>
      </c>
      <c r="D3" s="160" t="str">
        <f>'Income Statement'!BD1</f>
        <v>3Q23</v>
      </c>
      <c r="E3" s="160" t="str">
        <f>'Income Statement'!BE1</f>
        <v>4Q23</v>
      </c>
      <c r="F3" s="160" t="str">
        <f>'Income Statement'!BF1</f>
        <v>1Q24</v>
      </c>
      <c r="G3" s="160" t="str">
        <f>'Income Statement'!BG1</f>
        <v>2Q24</v>
      </c>
      <c r="H3" s="160" t="str">
        <f>'Income Statement'!BH1</f>
        <v>3Q24</v>
      </c>
      <c r="I3" s="160" t="str">
        <f>'Income Statement'!BI1</f>
        <v>4Q24</v>
      </c>
      <c r="J3" s="160" t="str">
        <f>'Income Statement'!BJ1</f>
        <v>1Q25</v>
      </c>
      <c r="K3" s="160" t="str">
        <f>'Income Statement'!BK1</f>
        <v>2Q25</v>
      </c>
      <c r="L3" s="160" t="str">
        <f>'Income Statement'!BL1</f>
        <v>3Q25</v>
      </c>
      <c r="M3" s="177" t="str">
        <f>'Income Statement'!BM1</f>
        <v>4Q25E</v>
      </c>
      <c r="N3" s="160" t="str">
        <f>'Income Statement'!BN1</f>
        <v>1Q26E</v>
      </c>
      <c r="O3" s="160" t="str">
        <f>'Income Statement'!BO1</f>
        <v>2Q26E</v>
      </c>
      <c r="P3" s="160" t="str">
        <f>'Income Statement'!BP1</f>
        <v>3Q26E</v>
      </c>
      <c r="Q3" s="160" t="str">
        <f>'Income Statement'!BQ1</f>
        <v>4Q26E</v>
      </c>
      <c r="R3" s="158"/>
      <c r="S3" s="161">
        <f>'Income Statement'!CU1</f>
        <v>2022</v>
      </c>
      <c r="T3" s="161">
        <f>'Income Statement'!CV1</f>
        <v>2023</v>
      </c>
      <c r="U3" s="161">
        <f>'Income Statement'!CW1</f>
        <v>2024</v>
      </c>
      <c r="V3" s="161" t="str">
        <f>'Income Statement'!CX1</f>
        <v>2025E</v>
      </c>
      <c r="W3" s="161" t="str">
        <f>'Income Statement'!CY1</f>
        <v>2026E</v>
      </c>
    </row>
    <row r="4" spans="1:24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77"/>
      <c r="N4" s="160"/>
      <c r="O4" s="160"/>
      <c r="P4" s="160"/>
      <c r="Q4" s="160"/>
      <c r="R4" s="158"/>
      <c r="S4" s="162"/>
      <c r="T4" s="162"/>
      <c r="U4" s="162"/>
      <c r="V4" s="162"/>
      <c r="W4" s="162"/>
    </row>
    <row r="5" spans="1:24" x14ac:dyDescent="0.25">
      <c r="A5" s="163" t="s">
        <v>376</v>
      </c>
      <c r="B5" s="164">
        <f>'Income Statement'!BB64</f>
        <v>69787</v>
      </c>
      <c r="C5" s="164">
        <f>'Income Statement'!BC64</f>
        <v>74604</v>
      </c>
      <c r="D5" s="164">
        <f>'Income Statement'!BD64</f>
        <v>76693</v>
      </c>
      <c r="E5" s="164">
        <f>'Income Statement'!BE64</f>
        <v>86310</v>
      </c>
      <c r="F5" s="164">
        <f>'Income Statement'!BF64</f>
        <v>80539</v>
      </c>
      <c r="G5" s="164">
        <f>'Income Statement'!BG64</f>
        <v>84742</v>
      </c>
      <c r="H5" s="164">
        <f>'Income Statement'!BH64</f>
        <v>88268</v>
      </c>
      <c r="I5" s="164">
        <f>'Income Statement'!BI64</f>
        <v>96469</v>
      </c>
      <c r="J5" s="164">
        <f>'Income Statement'!BJ64</f>
        <v>90234</v>
      </c>
      <c r="K5" s="164">
        <f>'Income Statement'!BK64</f>
        <v>96428</v>
      </c>
      <c r="L5" s="164">
        <f>'Income Statement'!BL64</f>
        <v>102346</v>
      </c>
      <c r="M5" s="178">
        <f>'Income Statement'!BM64</f>
        <v>112158.91777777779</v>
      </c>
      <c r="N5" s="164">
        <f>'Income Statement'!BN64</f>
        <v>103750.84836111112</v>
      </c>
      <c r="O5" s="164">
        <f>'Income Statement'!BO64</f>
        <v>109885.10974999999</v>
      </c>
      <c r="P5" s="164">
        <f>'Income Statement'!BP64</f>
        <v>116476.09738888888</v>
      </c>
      <c r="Q5" s="164">
        <f>'Income Statement'!BQ64</f>
        <v>125967.82608888891</v>
      </c>
      <c r="R5" s="158"/>
      <c r="S5" s="165">
        <f>'Income Statement'!CU64</f>
        <v>282836</v>
      </c>
      <c r="T5" s="165">
        <f>'Income Statement'!CV64</f>
        <v>307394</v>
      </c>
      <c r="U5" s="165">
        <f>'Income Statement'!CW64</f>
        <v>350018</v>
      </c>
      <c r="V5" s="165">
        <f>'Income Statement'!CX64</f>
        <v>401166.91777777777</v>
      </c>
      <c r="W5" s="165">
        <f>'Income Statement'!CY64</f>
        <v>456079.88158888894</v>
      </c>
    </row>
    <row r="6" spans="1:24" x14ac:dyDescent="0.25">
      <c r="A6" s="163" t="s">
        <v>372</v>
      </c>
      <c r="B6" s="164">
        <f>'Income Statement'!BB172</f>
        <v>39175</v>
      </c>
      <c r="C6" s="164">
        <f>'Income Statement'!BC172</f>
        <v>42688</v>
      </c>
      <c r="D6" s="164">
        <f>'Income Statement'!BD172</f>
        <v>43464</v>
      </c>
      <c r="E6" s="164">
        <f>'Income Statement'!BE172</f>
        <v>48735</v>
      </c>
      <c r="F6" s="164">
        <f>'Income Statement'!BF172</f>
        <v>46827</v>
      </c>
      <c r="G6" s="164">
        <f>'Income Statement'!BG172</f>
        <v>49235</v>
      </c>
      <c r="H6" s="164">
        <f>'Income Statement'!BH172</f>
        <v>51794</v>
      </c>
      <c r="I6" s="164">
        <f>'Income Statement'!BI172</f>
        <v>55856</v>
      </c>
      <c r="J6" s="164">
        <f>'Income Statement'!BJ172</f>
        <v>53873</v>
      </c>
      <c r="K6" s="164">
        <f>'Income Statement'!BK172</f>
        <v>57389</v>
      </c>
      <c r="L6" s="164">
        <f>'Income Statement'!BL172</f>
        <v>60977</v>
      </c>
      <c r="M6" s="178">
        <f>'Income Statement'!BM172</f>
        <v>64409.181722801441</v>
      </c>
      <c r="N6" s="164">
        <f>'Income Statement'!BN172</f>
        <v>61603.879355512996</v>
      </c>
      <c r="O6" s="164">
        <f>'Income Statement'!BO172</f>
        <v>65070.890400243297</v>
      </c>
      <c r="P6" s="164">
        <f>'Income Statement'!BP172</f>
        <v>68657.201410223453</v>
      </c>
      <c r="Q6" s="164">
        <f>'Income Statement'!BQ172</f>
        <v>71645.601686387061</v>
      </c>
      <c r="R6" s="158"/>
      <c r="S6" s="165">
        <f>'Income Statement'!CU172</f>
        <v>156633</v>
      </c>
      <c r="T6" s="165">
        <f>'Income Statement'!CV172</f>
        <v>174062</v>
      </c>
      <c r="U6" s="165">
        <f>'Income Statement'!CW172</f>
        <v>203712</v>
      </c>
      <c r="V6" s="165">
        <f>'Income Statement'!CX172</f>
        <v>236648.18172280144</v>
      </c>
      <c r="W6" s="165">
        <f>'Income Statement'!CY172</f>
        <v>266977.57285236684</v>
      </c>
    </row>
    <row r="7" spans="1:24" s="196" customFormat="1" x14ac:dyDescent="0.25">
      <c r="A7" s="184" t="s">
        <v>373</v>
      </c>
      <c r="B7" s="164">
        <f>'Income Statement'!BB196</f>
        <v>-21760</v>
      </c>
      <c r="C7" s="164">
        <f>'Income Statement'!BC196</f>
        <v>-20850</v>
      </c>
      <c r="D7" s="164">
        <f>'Income Statement'!BD196</f>
        <v>-22121</v>
      </c>
      <c r="E7" s="164">
        <f>'Income Statement'!BE196</f>
        <v>-25038</v>
      </c>
      <c r="F7" s="164">
        <f>'Income Statement'!BF196</f>
        <v>-21355</v>
      </c>
      <c r="G7" s="164">
        <f>'Income Statement'!BG196</f>
        <v>-21810</v>
      </c>
      <c r="H7" s="164">
        <f>'Income Statement'!BH196</f>
        <v>-23273</v>
      </c>
      <c r="I7" s="164">
        <f>'Income Statement'!BI196</f>
        <v>-24884</v>
      </c>
      <c r="J7" s="164">
        <f>'Income Statement'!BJ196</f>
        <v>-23267</v>
      </c>
      <c r="K7" s="164">
        <f>'Income Statement'!BK196</f>
        <v>-26118</v>
      </c>
      <c r="L7" s="164">
        <f>'Income Statement'!BL196</f>
        <v>-29749</v>
      </c>
      <c r="M7" s="178">
        <f>'Income Statement'!BM196</f>
        <v>-27709.18</v>
      </c>
      <c r="N7" s="164">
        <f>'Income Statement'!BN196</f>
        <v>-25401.19</v>
      </c>
      <c r="O7" s="164">
        <f>'Income Statement'!BO196</f>
        <v>-27086.605</v>
      </c>
      <c r="P7" s="164">
        <f>'Income Statement'!BP196</f>
        <v>-29165.059999999998</v>
      </c>
      <c r="Q7" s="164">
        <f>'Income Statement'!BQ196</f>
        <v>-30587.0851</v>
      </c>
      <c r="R7" s="163"/>
      <c r="S7" s="165">
        <f>'Income Statement'!CU196</f>
        <v>-81791</v>
      </c>
      <c r="T7" s="165">
        <f>'Income Statement'!CV196</f>
        <v>-89769</v>
      </c>
      <c r="U7" s="165">
        <f>'Income Statement'!CW196</f>
        <v>-91322</v>
      </c>
      <c r="V7" s="165">
        <f>'Income Statement'!CX196</f>
        <v>-106843.18</v>
      </c>
      <c r="W7" s="165">
        <f>'Income Statement'!CY196</f>
        <v>-112239.94009999999</v>
      </c>
      <c r="X7" s="210"/>
    </row>
    <row r="8" spans="1:24" x14ac:dyDescent="0.25">
      <c r="A8" s="166" t="s">
        <v>374</v>
      </c>
      <c r="B8" s="167">
        <f>'Income Statement'!BB179</f>
        <v>-11468</v>
      </c>
      <c r="C8" s="167">
        <f>'Income Statement'!BC179</f>
        <v>-10588</v>
      </c>
      <c r="D8" s="167">
        <f>'Income Statement'!BD179</f>
        <v>-11258</v>
      </c>
      <c r="E8" s="167">
        <f>'Income Statement'!BE179</f>
        <v>-12113</v>
      </c>
      <c r="F8" s="167">
        <f>'Income Statement'!BF179</f>
        <v>-11903</v>
      </c>
      <c r="G8" s="167">
        <f>'Income Statement'!BG179</f>
        <v>-11860</v>
      </c>
      <c r="H8" s="167">
        <f>'Income Statement'!BH179</f>
        <v>-12447</v>
      </c>
      <c r="I8" s="167">
        <f>'Income Statement'!BI179</f>
        <v>-13116</v>
      </c>
      <c r="J8" s="167">
        <f>'Income Statement'!BJ179</f>
        <v>-13556</v>
      </c>
      <c r="K8" s="167">
        <f>'Income Statement'!BK179</f>
        <v>-13808</v>
      </c>
      <c r="L8" s="167">
        <f>'Income Statement'!BL179</f>
        <v>-15151</v>
      </c>
      <c r="M8" s="208">
        <f>'Income Statement'!BM179</f>
        <v>-15411.300000000001</v>
      </c>
      <c r="N8" s="167">
        <f>'Income Statement'!BN179</f>
        <v>-15589.4</v>
      </c>
      <c r="O8" s="167">
        <f>'Income Statement'!BO179</f>
        <v>-15603.039999999999</v>
      </c>
      <c r="P8" s="167">
        <f>'Income Statement'!BP179</f>
        <v>-17347.895</v>
      </c>
      <c r="Q8" s="167">
        <f>'Income Statement'!BQ179</f>
        <v>-17645.9385</v>
      </c>
      <c r="R8" s="158"/>
      <c r="S8" s="168">
        <f>'Income Statement'!CU179</f>
        <v>-39500</v>
      </c>
      <c r="T8" s="168">
        <f>'Income Statement'!CV179</f>
        <v>-45427</v>
      </c>
      <c r="U8" s="168">
        <f>'Income Statement'!CW179</f>
        <v>-49326</v>
      </c>
      <c r="V8" s="168">
        <f>'Income Statement'!CX179</f>
        <v>-57926.3</v>
      </c>
      <c r="W8" s="168">
        <f>'Income Statement'!CY179</f>
        <v>-66186.273499999996</v>
      </c>
    </row>
    <row r="9" spans="1:24" x14ac:dyDescent="0.25">
      <c r="A9" s="166" t="s">
        <v>110</v>
      </c>
      <c r="B9" s="167">
        <f>'Income Statement'!BB184</f>
        <v>-6533</v>
      </c>
      <c r="C9" s="167">
        <f>'Income Statement'!BC184</f>
        <v>-6781</v>
      </c>
      <c r="D9" s="167">
        <f>'Income Statement'!BD184</f>
        <v>-6884</v>
      </c>
      <c r="E9" s="167">
        <f>'Income Statement'!BE184</f>
        <v>-7719</v>
      </c>
      <c r="F9" s="167">
        <f>'Income Statement'!BF184</f>
        <v>-6426</v>
      </c>
      <c r="G9" s="167">
        <f>'Income Statement'!BG184</f>
        <v>-6792</v>
      </c>
      <c r="H9" s="167">
        <f>'Income Statement'!BH184</f>
        <v>-7227</v>
      </c>
      <c r="I9" s="167">
        <f>'Income Statement'!BI184</f>
        <v>-7363</v>
      </c>
      <c r="J9" s="167">
        <f>'Income Statement'!BJ184</f>
        <v>-6172</v>
      </c>
      <c r="K9" s="167">
        <f>'Income Statement'!BK184</f>
        <v>-7101</v>
      </c>
      <c r="L9" s="167">
        <f>'Income Statement'!BL184</f>
        <v>-7205</v>
      </c>
      <c r="M9" s="208">
        <f>'Income Statement'!BM184</f>
        <v>-7804.7800000000007</v>
      </c>
      <c r="N9" s="167">
        <f>'Income Statement'!BN184</f>
        <v>-6449.74</v>
      </c>
      <c r="O9" s="167">
        <f>'Income Statement'!BO184</f>
        <v>-7420.5449999999992</v>
      </c>
      <c r="P9" s="167">
        <f>'Income Statement'!BP184</f>
        <v>-7529.2249999999995</v>
      </c>
      <c r="Q9" s="167">
        <f>'Income Statement'!BQ184</f>
        <v>-8155.9951000000001</v>
      </c>
      <c r="R9" s="158"/>
      <c r="S9" s="168">
        <f>'Income Statement'!CU184</f>
        <v>-26567</v>
      </c>
      <c r="T9" s="168">
        <f>'Income Statement'!CV184</f>
        <v>-27917</v>
      </c>
      <c r="U9" s="168">
        <f>'Income Statement'!CW184</f>
        <v>-27808</v>
      </c>
      <c r="V9" s="168">
        <f>'Income Statement'!CX184</f>
        <v>-28282.78</v>
      </c>
      <c r="W9" s="168">
        <f>'Income Statement'!CY184</f>
        <v>-29555.505099999998</v>
      </c>
    </row>
    <row r="10" spans="1:24" x14ac:dyDescent="0.25">
      <c r="A10" s="166" t="s">
        <v>111</v>
      </c>
      <c r="B10" s="167">
        <f>'Income Statement'!BB189</f>
        <v>-3759</v>
      </c>
      <c r="C10" s="167">
        <f>'Income Statement'!BC189</f>
        <v>-3481</v>
      </c>
      <c r="D10" s="167">
        <f>'Income Statement'!BD189</f>
        <v>-3979</v>
      </c>
      <c r="E10" s="167">
        <f>'Income Statement'!BE189</f>
        <v>-5206</v>
      </c>
      <c r="F10" s="167">
        <f>'Income Statement'!BF189</f>
        <v>-3026</v>
      </c>
      <c r="G10" s="167">
        <f>'Income Statement'!BG189</f>
        <v>-3158</v>
      </c>
      <c r="H10" s="167">
        <f>'Income Statement'!BH189</f>
        <v>-3599</v>
      </c>
      <c r="I10" s="167">
        <f>'Income Statement'!BI189</f>
        <v>-4405</v>
      </c>
      <c r="J10" s="167">
        <f>'Income Statement'!BJ189</f>
        <v>-3539</v>
      </c>
      <c r="K10" s="167">
        <f>'Income Statement'!BK189</f>
        <v>-5209</v>
      </c>
      <c r="L10" s="167">
        <f>'Income Statement'!BL189</f>
        <v>-7393</v>
      </c>
      <c r="M10" s="208">
        <f>'Income Statement'!BM189</f>
        <v>-4493.1000000000004</v>
      </c>
      <c r="N10" s="167">
        <f>'Income Statement'!BN189</f>
        <v>-3362.0499999999997</v>
      </c>
      <c r="O10" s="167">
        <f>'Income Statement'!BO189</f>
        <v>-4063.02</v>
      </c>
      <c r="P10" s="167">
        <f>'Income Statement'!BP189</f>
        <v>-4287.9400000000005</v>
      </c>
      <c r="Q10" s="167">
        <f>'Income Statement'!BQ189</f>
        <v>-4785.1514999999999</v>
      </c>
      <c r="R10" s="158"/>
      <c r="S10" s="168">
        <f>'Income Statement'!CU189</f>
        <v>-15724</v>
      </c>
      <c r="T10" s="168">
        <f>'Income Statement'!CV189</f>
        <v>-16425</v>
      </c>
      <c r="U10" s="168">
        <f>'Income Statement'!CW189</f>
        <v>-14188</v>
      </c>
      <c r="V10" s="168">
        <f>'Income Statement'!CX189</f>
        <v>-20634.099999999999</v>
      </c>
      <c r="W10" s="168">
        <f>'Income Statement'!CY189</f>
        <v>-16498.161500000002</v>
      </c>
    </row>
    <row r="11" spans="1:24" x14ac:dyDescent="0.25">
      <c r="A11" s="207" t="s">
        <v>120</v>
      </c>
      <c r="B11" s="167">
        <f>'Income Statement'!BB228</f>
        <v>-5284</v>
      </c>
      <c r="C11" s="167">
        <f>'Income Statement'!BC228</f>
        <v>-5774</v>
      </c>
      <c r="D11" s="167">
        <f>'Income Statement'!BD228</f>
        <v>-5743</v>
      </c>
      <c r="E11" s="167">
        <f>'Income Statement'!BE228</f>
        <v>-5659</v>
      </c>
      <c r="F11" s="167">
        <f>'Income Statement'!BF228</f>
        <v>-5264</v>
      </c>
      <c r="G11" s="167">
        <f>'Income Statement'!BG228</f>
        <v>-5865</v>
      </c>
      <c r="H11" s="167">
        <f>'Income Statement'!BH228</f>
        <v>-5846</v>
      </c>
      <c r="I11" s="167">
        <f>'Income Statement'!BI228</f>
        <v>-5810</v>
      </c>
      <c r="J11" s="167">
        <f>'Income Statement'!BJ228</f>
        <v>-5516</v>
      </c>
      <c r="K11" s="167">
        <f>'Income Statement'!BK228</f>
        <v>-5998</v>
      </c>
      <c r="L11" s="167">
        <f>'Income Statement'!BL228</f>
        <v>-6368</v>
      </c>
      <c r="M11" s="208">
        <f>'Income Statement'!BM228</f>
        <v>-6391.0000000000009</v>
      </c>
      <c r="N11" s="167">
        <f>'Income Statement'!BN228</f>
        <v>-6012.4400000000005</v>
      </c>
      <c r="O11" s="167">
        <f>'Income Statement'!BO228</f>
        <v>-6537.8200000000006</v>
      </c>
      <c r="P11" s="167">
        <f>'Income Statement'!BP228</f>
        <v>-6941.1200000000008</v>
      </c>
      <c r="Q11" s="167">
        <f>'Income Statement'!BQ228</f>
        <v>-6966.1900000000014</v>
      </c>
      <c r="R11" s="158"/>
      <c r="S11" s="168">
        <f>'Income Statement'!CU228</f>
        <v>-19362</v>
      </c>
      <c r="T11" s="168">
        <f>'Income Statement'!CV228</f>
        <v>-22460</v>
      </c>
      <c r="U11" s="168">
        <f>'Income Statement'!CW228</f>
        <v>-22785</v>
      </c>
      <c r="V11" s="168">
        <f>'Income Statement'!CX228</f>
        <v>-24273</v>
      </c>
      <c r="W11" s="168">
        <f>'Income Statement'!CY228</f>
        <v>-26457.570000000007</v>
      </c>
    </row>
    <row r="12" spans="1:24" x14ac:dyDescent="0.25">
      <c r="A12" s="184" t="s">
        <v>114</v>
      </c>
      <c r="B12" s="164">
        <f>'Income Statement'!BB201</f>
        <v>17415</v>
      </c>
      <c r="C12" s="164">
        <f>'Income Statement'!BC201</f>
        <v>21838</v>
      </c>
      <c r="D12" s="164">
        <f>'Income Statement'!BD201</f>
        <v>21343</v>
      </c>
      <c r="E12" s="164">
        <f>'Income Statement'!BE201</f>
        <v>23697</v>
      </c>
      <c r="F12" s="164">
        <f>'Income Statement'!BF201</f>
        <v>25472</v>
      </c>
      <c r="G12" s="164">
        <f>'Income Statement'!BG201</f>
        <v>27425</v>
      </c>
      <c r="H12" s="164">
        <f>'Income Statement'!BH201</f>
        <v>28521</v>
      </c>
      <c r="I12" s="164">
        <f>'Income Statement'!BI201</f>
        <v>30972</v>
      </c>
      <c r="J12" s="164">
        <f>'Income Statement'!BJ201</f>
        <v>30606</v>
      </c>
      <c r="K12" s="164">
        <f>'Income Statement'!BK201</f>
        <v>31271</v>
      </c>
      <c r="L12" s="164">
        <f>'Income Statement'!BL201</f>
        <v>31228</v>
      </c>
      <c r="M12" s="178">
        <f>'Income Statement'!BM201</f>
        <v>36700.00172280144</v>
      </c>
      <c r="N12" s="164">
        <f>'Income Statement'!BN201</f>
        <v>36202.689355512994</v>
      </c>
      <c r="O12" s="164">
        <f>'Income Statement'!BO201</f>
        <v>37984.285400243301</v>
      </c>
      <c r="P12" s="164">
        <f>'Income Statement'!BP201</f>
        <v>39492.141410223456</v>
      </c>
      <c r="Q12" s="164">
        <f>'Income Statement'!BQ201</f>
        <v>41058.516586387064</v>
      </c>
      <c r="R12" s="158"/>
      <c r="S12" s="165">
        <f>'Income Statement'!CU201</f>
        <v>74842</v>
      </c>
      <c r="T12" s="165">
        <f>'Income Statement'!CV201</f>
        <v>84293</v>
      </c>
      <c r="U12" s="165">
        <f>'Income Statement'!CW201</f>
        <v>112390</v>
      </c>
      <c r="V12" s="165">
        <f>'Income Statement'!CX201</f>
        <v>129805.00172280145</v>
      </c>
      <c r="W12" s="165">
        <f>'Income Statement'!CY201</f>
        <v>154737.63275236683</v>
      </c>
    </row>
    <row r="13" spans="1:24" x14ac:dyDescent="0.25">
      <c r="A13" s="220" t="s">
        <v>381</v>
      </c>
      <c r="B13" s="221">
        <f>'Income Statement'!BB207</f>
        <v>21737</v>
      </c>
      <c r="C13" s="221">
        <f>'Income Statement'!BC207</f>
        <v>23454</v>
      </c>
      <c r="D13" s="221">
        <f>'Income Statement'!BD207</f>
        <v>23937</v>
      </c>
      <c r="E13" s="221">
        <f>'Income Statement'!BE207</f>
        <v>26730</v>
      </c>
      <c r="F13" s="221">
        <f>'Income Statement'!BF207</f>
        <v>27897</v>
      </c>
      <c r="G13" s="221">
        <f>'Income Statement'!BG207</f>
        <v>29674</v>
      </c>
      <c r="H13" s="221">
        <f>'Income Statement'!BH207</f>
        <v>30856</v>
      </c>
      <c r="I13" s="221">
        <f>'Income Statement'!BI207</f>
        <v>32836</v>
      </c>
      <c r="J13" s="221">
        <f>'Income Statement'!BJ207</f>
        <v>32682</v>
      </c>
      <c r="K13" s="221">
        <f>'Income Statement'!BK207</f>
        <v>33063</v>
      </c>
      <c r="L13" s="221">
        <f>'Income Statement'!BL207</f>
        <v>33527</v>
      </c>
      <c r="M13" s="222">
        <f>'Income Statement'!BM207</f>
        <v>37087.165353333337</v>
      </c>
      <c r="N13" s="221">
        <f>'Income Statement'!BN207</f>
        <v>36977.809489921492</v>
      </c>
      <c r="O13" s="221">
        <f>'Income Statement'!BO207</f>
        <v>37110.172619513054</v>
      </c>
      <c r="P13" s="221">
        <f>'Income Statement'!BP207</f>
        <v>39470.007027645494</v>
      </c>
      <c r="Q13" s="221">
        <f>'Income Statement'!BQ207</f>
        <v>40968.628549638786</v>
      </c>
      <c r="R13" s="158"/>
      <c r="S13" s="223">
        <f>'Income Statement'!CU207</f>
        <v>82699</v>
      </c>
      <c r="T13" s="223">
        <f>'Income Statement'!CV207</f>
        <v>95858</v>
      </c>
      <c r="U13" s="223">
        <f>'Income Statement'!CW207</f>
        <v>121263</v>
      </c>
      <c r="V13" s="223">
        <f>'Income Statement'!CX207</f>
        <v>136359.16535333334</v>
      </c>
      <c r="W13" s="223">
        <f>'Income Statement'!CY207</f>
        <v>154526.61768671882</v>
      </c>
    </row>
    <row r="14" spans="1:24" x14ac:dyDescent="0.25">
      <c r="A14" s="220" t="s">
        <v>382</v>
      </c>
      <c r="B14" s="221">
        <f>'Income Statement'!BB212</f>
        <v>191</v>
      </c>
      <c r="C14" s="221">
        <f>'Income Statement'!BC212</f>
        <v>395</v>
      </c>
      <c r="D14" s="221">
        <f>'Income Statement'!BD212</f>
        <v>266</v>
      </c>
      <c r="E14" s="221">
        <f>'Income Statement'!BE212</f>
        <v>864</v>
      </c>
      <c r="F14" s="221">
        <f>'Income Statement'!BF212</f>
        <v>900</v>
      </c>
      <c r="G14" s="221">
        <f>'Income Statement'!BG212</f>
        <v>1172</v>
      </c>
      <c r="H14" s="221">
        <f>'Income Statement'!BH212</f>
        <v>1947</v>
      </c>
      <c r="I14" s="221">
        <f>'Income Statement'!BI212</f>
        <v>2093</v>
      </c>
      <c r="J14" s="221">
        <f>'Income Statement'!BJ212</f>
        <v>2177</v>
      </c>
      <c r="K14" s="221">
        <f>'Income Statement'!BK212</f>
        <v>2826</v>
      </c>
      <c r="L14" s="221">
        <f>'Income Statement'!BL212</f>
        <v>3594</v>
      </c>
      <c r="M14" s="222">
        <f>'Income Statement'!BM212</f>
        <v>3849.51</v>
      </c>
      <c r="N14" s="221">
        <f>'Income Statement'!BN212</f>
        <v>3830.0240000000003</v>
      </c>
      <c r="O14" s="221">
        <f>'Income Statement'!BO212</f>
        <v>4632.16</v>
      </c>
      <c r="P14" s="221">
        <f>'Income Statement'!BP212</f>
        <v>5442.8787000000011</v>
      </c>
      <c r="Q14" s="221">
        <f>'Income Statement'!BQ212</f>
        <v>5648.7375000000002</v>
      </c>
      <c r="R14" s="158"/>
      <c r="S14" s="223">
        <f>'Income Statement'!CU212</f>
        <v>-1922</v>
      </c>
      <c r="T14" s="223">
        <f>'Income Statement'!CV212</f>
        <v>1716</v>
      </c>
      <c r="U14" s="223">
        <f>'Income Statement'!CW212</f>
        <v>6112</v>
      </c>
      <c r="V14" s="223">
        <f>'Income Statement'!CX212</f>
        <v>12446.51</v>
      </c>
      <c r="W14" s="223">
        <f>'Income Statement'!CY212</f>
        <v>19553.800200000001</v>
      </c>
    </row>
    <row r="15" spans="1:24" x14ac:dyDescent="0.25">
      <c r="A15" s="220" t="s">
        <v>383</v>
      </c>
      <c r="B15" s="221">
        <f>'Income Statement'!BB218</f>
        <v>-1225</v>
      </c>
      <c r="C15" s="221">
        <f>'Income Statement'!BC218</f>
        <v>-813</v>
      </c>
      <c r="D15" s="221">
        <f>'Income Statement'!BD218</f>
        <v>-1194</v>
      </c>
      <c r="E15" s="221">
        <f>'Income Statement'!BE218</f>
        <v>-863</v>
      </c>
      <c r="F15" s="221">
        <f>'Income Statement'!BF218</f>
        <v>-1020</v>
      </c>
      <c r="G15" s="221">
        <f>'Income Statement'!BG218</f>
        <v>-1134</v>
      </c>
      <c r="H15" s="221">
        <f>'Income Statement'!BH218</f>
        <v>-1116</v>
      </c>
      <c r="I15" s="221">
        <f>'Income Statement'!BI218</f>
        <v>-1174</v>
      </c>
      <c r="J15" s="221">
        <f>'Income Statement'!BJ218</f>
        <v>-1226</v>
      </c>
      <c r="K15" s="221">
        <f>'Income Statement'!BK218</f>
        <v>-1246</v>
      </c>
      <c r="L15" s="221">
        <f>'Income Statement'!BL218</f>
        <v>-1426</v>
      </c>
      <c r="M15" s="222">
        <f>'Income Statement'!BM218</f>
        <v>-1374</v>
      </c>
      <c r="N15" s="221">
        <f>'Income Statement'!BN218</f>
        <v>-1426</v>
      </c>
      <c r="O15" s="221">
        <f>'Income Statement'!BO218</f>
        <v>-1446</v>
      </c>
      <c r="P15" s="221">
        <f>'Income Statement'!BP218</f>
        <v>-1626</v>
      </c>
      <c r="Q15" s="221">
        <f>'Income Statement'!BQ218</f>
        <v>-1574</v>
      </c>
      <c r="R15" s="158"/>
      <c r="S15" s="223">
        <f>'Income Statement'!CU218</f>
        <v>-4636</v>
      </c>
      <c r="T15" s="223">
        <f>'Income Statement'!CV218</f>
        <v>-4095</v>
      </c>
      <c r="U15" s="223">
        <f>'Income Statement'!CW218</f>
        <v>-4444</v>
      </c>
      <c r="V15" s="223">
        <f>'Income Statement'!CX218</f>
        <v>-5272</v>
      </c>
      <c r="W15" s="223">
        <f>'Income Statement'!CY218</f>
        <v>-6072</v>
      </c>
    </row>
    <row r="16" spans="1:24" x14ac:dyDescent="0.25">
      <c r="A16" s="163" t="s">
        <v>135</v>
      </c>
      <c r="B16" s="164">
        <f>'Income Statement'!BB267</f>
        <v>15051</v>
      </c>
      <c r="C16" s="164">
        <f>'Income Statement'!BC267</f>
        <v>18368</v>
      </c>
      <c r="D16" s="164">
        <f>'Income Statement'!BD267</f>
        <v>19689</v>
      </c>
      <c r="E16" s="164">
        <f>'Income Statement'!BE267</f>
        <v>20687</v>
      </c>
      <c r="F16" s="164">
        <f>'Income Statement'!BF267</f>
        <v>23662</v>
      </c>
      <c r="G16" s="164">
        <f>'Income Statement'!BG267</f>
        <v>23619</v>
      </c>
      <c r="H16" s="164">
        <f>'Income Statement'!BH267</f>
        <v>26301</v>
      </c>
      <c r="I16" s="164">
        <f>'Income Statement'!BI267</f>
        <v>26536</v>
      </c>
      <c r="J16" s="164">
        <f>'Income Statement'!BJ267</f>
        <v>34540</v>
      </c>
      <c r="K16" s="164">
        <f>'Income Statement'!BK267</f>
        <v>28196</v>
      </c>
      <c r="L16" s="164">
        <f>'Income Statement'!BL267</f>
        <v>34979</v>
      </c>
      <c r="M16" s="178">
        <f>'Income Statement'!BM267</f>
        <v>30455.630398420122</v>
      </c>
      <c r="N16" s="164">
        <f>'Income Statement'!BN267</f>
        <v>30344.399526919296</v>
      </c>
      <c r="O16" s="164">
        <f>'Income Statement'!BO267</f>
        <v>31973.719617294722</v>
      </c>
      <c r="P16" s="164">
        <f>'Income Statement'!BP267</f>
        <v>32972.664440251443</v>
      </c>
      <c r="Q16" s="164">
        <f>'Income Statement'!BQ267</f>
        <v>34324.048077839936</v>
      </c>
      <c r="R16" s="158"/>
      <c r="S16" s="165">
        <f>'Income Statement'!CU267</f>
        <v>59972</v>
      </c>
      <c r="T16" s="165">
        <f>'Income Statement'!CV267</f>
        <v>73795</v>
      </c>
      <c r="U16" s="165">
        <f>'Income Statement'!CW267</f>
        <v>100118</v>
      </c>
      <c r="V16" s="165">
        <f>'Income Statement'!CX267</f>
        <v>128170.63039842012</v>
      </c>
      <c r="W16" s="165">
        <f>'Income Statement'!CY267</f>
        <v>129614.8316623054</v>
      </c>
    </row>
    <row r="17" spans="1:25" x14ac:dyDescent="0.25">
      <c r="A17" s="163" t="s">
        <v>283</v>
      </c>
      <c r="B17" s="209">
        <f>'Income Statement'!BB278</f>
        <v>1.1737502924432659</v>
      </c>
      <c r="C17" s="209">
        <f>'Income Statement'!BC278</f>
        <v>1.439047320589157</v>
      </c>
      <c r="D17" s="209">
        <f>'Income Statement'!BD278</f>
        <v>1.5508034026465027</v>
      </c>
      <c r="E17" s="209">
        <f>'Income Statement'!BE278</f>
        <v>1.6415648309792097</v>
      </c>
      <c r="F17" s="209">
        <f>'Income Statement'!BF278</f>
        <v>1.8888800191586175</v>
      </c>
      <c r="G17" s="209">
        <f>'Income Statement'!BG278</f>
        <v>1.8902761104441776</v>
      </c>
      <c r="H17" s="209">
        <f>'Income Statement'!BH278</f>
        <v>2.1178033658104516</v>
      </c>
      <c r="I17" s="209">
        <f>'Income Statement'!BI278</f>
        <v>2.1490119857466796</v>
      </c>
      <c r="J17" s="209">
        <f>'Income Statement'!BJ278</f>
        <v>2.8101863151899762</v>
      </c>
      <c r="K17" s="209">
        <f>'Income Statement'!BK278</f>
        <v>2.3115264797507789</v>
      </c>
      <c r="L17" s="209">
        <f>'Income Statement'!BL278</f>
        <v>2.8664262886175531</v>
      </c>
      <c r="M17" s="198">
        <f>'Income Statement'!BM278</f>
        <v>2.5021751581045799</v>
      </c>
      <c r="N17" s="209">
        <f>'Income Statement'!BN278</f>
        <v>2.4990542986710818</v>
      </c>
      <c r="O17" s="209">
        <f>'Income Statement'!BO278</f>
        <v>2.6394341089706748</v>
      </c>
      <c r="P17" s="209">
        <f>'Income Statement'!BP278</f>
        <v>2.72773571542715</v>
      </c>
      <c r="Q17" s="209">
        <f>'Income Statement'!BQ278</f>
        <v>2.8453081111794183</v>
      </c>
      <c r="R17" s="158"/>
      <c r="S17" s="211">
        <f>'Income Statement'!CU278</f>
        <v>4.5576606157006436</v>
      </c>
      <c r="T17" s="211">
        <f>'Income Statement'!CV278</f>
        <v>5.8009236513707378</v>
      </c>
      <c r="U17" s="211">
        <f>'Income Statement'!CW278</f>
        <v>8.0433830765831811</v>
      </c>
      <c r="V17" s="211">
        <f>'Income Statement'!CX278</f>
        <v>10.492101904599174</v>
      </c>
      <c r="W17" s="211">
        <f>'Income Statement'!CY278</f>
        <v>10.710306077086669</v>
      </c>
      <c r="Y17" s="212"/>
    </row>
    <row r="18" spans="1:25" x14ac:dyDescent="0.25">
      <c r="A18" s="163" t="s">
        <v>181</v>
      </c>
      <c r="B18" s="164">
        <f>'Cash Flow Statement'!BB61</f>
        <v>20601</v>
      </c>
      <c r="C18" s="164">
        <f>'Cash Flow Statement'!BC61</f>
        <v>25235</v>
      </c>
      <c r="D18" s="164">
        <f>'Cash Flow Statement'!BD61</f>
        <v>25143</v>
      </c>
      <c r="E18" s="164">
        <f>'Cash Flow Statement'!BE61</f>
        <v>27013</v>
      </c>
      <c r="F18" s="164">
        <f>'Cash Flow Statement'!BF61</f>
        <v>28885</v>
      </c>
      <c r="G18" s="164">
        <f>'Cash Flow Statement'!BG61</f>
        <v>31133</v>
      </c>
      <c r="H18" s="164">
        <f>'Cash Flow Statement'!BH61</f>
        <v>32506</v>
      </c>
      <c r="I18" s="164">
        <f>'Cash Flow Statement'!BI61</f>
        <v>35177</v>
      </c>
      <c r="J18" s="164">
        <f>'Cash Flow Statement'!BJ61</f>
        <v>35093</v>
      </c>
      <c r="K18" s="164">
        <f>'Cash Flow Statement'!BK61</f>
        <v>36269</v>
      </c>
      <c r="L18" s="164">
        <f>'Cash Flow Statement'!BL61</f>
        <v>36839</v>
      </c>
      <c r="M18" s="178">
        <f>'Cash Flow Statement'!BM61</f>
        <v>45028.024783205365</v>
      </c>
      <c r="N18" s="164">
        <f>'Cash Flow Statement'!BN61</f>
        <v>42984.715579447147</v>
      </c>
      <c r="O18" s="164">
        <f>'Cash Flow Statement'!BO61</f>
        <v>46836.37359134791</v>
      </c>
      <c r="P18" s="164">
        <f>'Cash Flow Statement'!BP61</f>
        <v>48938.549164011602</v>
      </c>
      <c r="Q18" s="164">
        <f>'Cash Flow Statement'!BQ61</f>
        <v>52318.644093845796</v>
      </c>
      <c r="R18" s="158"/>
      <c r="S18" s="165">
        <f>'Cash Flow Statement'!CU61</f>
        <v>90770</v>
      </c>
      <c r="T18" s="165">
        <f>'Cash Flow Statement'!CV61</f>
        <v>97992</v>
      </c>
      <c r="U18" s="165">
        <f>'Cash Flow Statement'!CW61</f>
        <v>127701</v>
      </c>
      <c r="V18" s="165">
        <f>'Cash Flow Statement'!CX61</f>
        <v>153229.02478320536</v>
      </c>
      <c r="W18" s="165">
        <f>'Cash Flow Statement'!CY61</f>
        <v>191078.28242865246</v>
      </c>
    </row>
    <row r="19" spans="1:25" x14ac:dyDescent="0.25">
      <c r="A19" s="158" t="s">
        <v>241</v>
      </c>
      <c r="B19" s="167">
        <f>'Capex &amp; Depreciation'!BB4</f>
        <v>-6289</v>
      </c>
      <c r="C19" s="167">
        <f>'Capex &amp; Depreciation'!BC4</f>
        <v>-6888</v>
      </c>
      <c r="D19" s="167">
        <f>'Capex &amp; Depreciation'!BD4</f>
        <v>-8055</v>
      </c>
      <c r="E19" s="167">
        <f>'Capex &amp; Depreciation'!BE4</f>
        <v>-11019</v>
      </c>
      <c r="F19" s="167">
        <f>'Capex &amp; Depreciation'!BF4</f>
        <v>-12012</v>
      </c>
      <c r="G19" s="167">
        <f>'Capex &amp; Depreciation'!BG4</f>
        <v>-13186</v>
      </c>
      <c r="H19" s="167">
        <f>'Capex &amp; Depreciation'!BH4</f>
        <v>-13061</v>
      </c>
      <c r="I19" s="167">
        <f>'Capex &amp; Depreciation'!BI4</f>
        <v>-14276</v>
      </c>
      <c r="J19" s="167">
        <f>'Capex &amp; Depreciation'!BJ4</f>
        <v>-17197</v>
      </c>
      <c r="K19" s="167">
        <f>'Capex &amp; Depreciation'!BK4</f>
        <v>-22446</v>
      </c>
      <c r="L19" s="167">
        <f>'Capex &amp; Depreciation'!BL4</f>
        <v>-23953</v>
      </c>
      <c r="M19" s="208">
        <f>'Capex &amp; Depreciation'!BM4</f>
        <v>-28552</v>
      </c>
      <c r="N19" s="167">
        <f>'Capex &amp; Depreciation'!BN4</f>
        <v>-22700.04</v>
      </c>
      <c r="O19" s="167">
        <f>'Capex &amp; Depreciation'!BO4</f>
        <v>-29628.720000000001</v>
      </c>
      <c r="P19" s="167">
        <f>'Capex &amp; Depreciation'!BP4</f>
        <v>-31617.960000000003</v>
      </c>
      <c r="Q19" s="167">
        <f>'Capex &amp; Depreciation'!BQ4</f>
        <v>-37688.639999999999</v>
      </c>
      <c r="R19" s="158"/>
      <c r="S19" s="168">
        <f>'Capex &amp; Depreciation'!CU4</f>
        <v>-31485</v>
      </c>
      <c r="T19" s="168">
        <f>'Capex &amp; Depreciation'!CV4</f>
        <v>-32251</v>
      </c>
      <c r="U19" s="168">
        <f>'Capex &amp; Depreciation'!CW4</f>
        <v>-52535</v>
      </c>
      <c r="V19" s="168">
        <f>'Capex &amp; Depreciation'!CX4</f>
        <v>-92148</v>
      </c>
      <c r="W19" s="168">
        <f>'Capex &amp; Depreciation'!CY4</f>
        <v>-121635.36</v>
      </c>
    </row>
    <row r="20" spans="1:25" x14ac:dyDescent="0.25">
      <c r="A20" s="163" t="s">
        <v>289</v>
      </c>
      <c r="B20" s="164">
        <f>'Cash Flow Statement'!BB76</f>
        <v>17220</v>
      </c>
      <c r="C20" s="164">
        <f>'Cash Flow Statement'!BC76</f>
        <v>21778</v>
      </c>
      <c r="D20" s="164">
        <f>'Cash Flow Statement'!BD76</f>
        <v>22601</v>
      </c>
      <c r="E20" s="164">
        <f>'Cash Flow Statement'!BE76</f>
        <v>7896</v>
      </c>
      <c r="F20" s="164">
        <f>'Cash Flow Statement'!BF76</f>
        <v>16836</v>
      </c>
      <c r="G20" s="164">
        <f>'Cash Flow Statement'!BG76</f>
        <v>13454</v>
      </c>
      <c r="H20" s="164">
        <f>'Cash Flow Statement'!BH76</f>
        <v>17637</v>
      </c>
      <c r="I20" s="164">
        <f>'Cash Flow Statement'!BI76</f>
        <v>24837</v>
      </c>
      <c r="J20" s="164">
        <f>'Cash Flow Statement'!BJ76</f>
        <v>18953</v>
      </c>
      <c r="K20" s="164">
        <f>'Cash Flow Statement'!BK76</f>
        <v>5301</v>
      </c>
      <c r="L20" s="164">
        <f>'Cash Flow Statement'!BL76</f>
        <v>24461</v>
      </c>
      <c r="M20" s="178">
        <f>'Cash Flow Statement'!BM76</f>
        <v>-458.41165330797958</v>
      </c>
      <c r="N20" s="164">
        <f>'Cash Flow Statement'!BN76</f>
        <v>33378.389705247246</v>
      </c>
      <c r="O20" s="164">
        <f>'Cash Flow Statement'!BO76</f>
        <v>-2489.2636786550356</v>
      </c>
      <c r="P20" s="164">
        <f>'Cash Flow Statement'!BP76</f>
        <v>24806.973836135472</v>
      </c>
      <c r="Q20" s="164">
        <f>'Cash Flow Statement'!BQ76</f>
        <v>16947.866752325819</v>
      </c>
      <c r="R20" s="158"/>
      <c r="S20" s="165">
        <f>'Cash Flow Statement'!CU76</f>
        <v>60010</v>
      </c>
      <c r="T20" s="165">
        <f>'Cash Flow Statement'!CV76</f>
        <v>69495</v>
      </c>
      <c r="U20" s="165">
        <f>'Cash Flow Statement'!CW76</f>
        <v>72764</v>
      </c>
      <c r="V20" s="165">
        <f>'Cash Flow Statement'!CX76</f>
        <v>48256.58834669202</v>
      </c>
      <c r="W20" s="165">
        <f>'Cash Flow Statement'!CY76</f>
        <v>72643.966615053505</v>
      </c>
    </row>
    <row r="21" spans="1:25" x14ac:dyDescent="0.25">
      <c r="A21" s="163" t="s">
        <v>375</v>
      </c>
      <c r="B21" s="164">
        <f>'Cash Flow Statement'!BB83</f>
        <v>11936</v>
      </c>
      <c r="C21" s="164">
        <f>'Cash Flow Statement'!BC83</f>
        <v>16004</v>
      </c>
      <c r="D21" s="164">
        <f>'Cash Flow Statement'!BD83</f>
        <v>16858</v>
      </c>
      <c r="E21" s="164">
        <f>'Cash Flow Statement'!BE83</f>
        <v>2237</v>
      </c>
      <c r="F21" s="164">
        <f>'Cash Flow Statement'!BF83</f>
        <v>11572</v>
      </c>
      <c r="G21" s="164">
        <f>'Cash Flow Statement'!BG83</f>
        <v>7589</v>
      </c>
      <c r="H21" s="164">
        <f>'Cash Flow Statement'!BH83</f>
        <v>11791</v>
      </c>
      <c r="I21" s="164">
        <f>'Cash Flow Statement'!BI83</f>
        <v>19027</v>
      </c>
      <c r="J21" s="164">
        <f>'Cash Flow Statement'!BJ83</f>
        <v>13437</v>
      </c>
      <c r="K21" s="164">
        <f>'Cash Flow Statement'!BK83</f>
        <v>-697</v>
      </c>
      <c r="L21" s="164">
        <f>'Cash Flow Statement'!BL83</f>
        <v>18093</v>
      </c>
      <c r="M21" s="178">
        <f>'Cash Flow Statement'!BM83</f>
        <v>-6849.4116533079805</v>
      </c>
      <c r="N21" s="164">
        <f>'Cash Flow Statement'!BN83</f>
        <v>27365.949705247243</v>
      </c>
      <c r="O21" s="164">
        <f>'Cash Flow Statement'!BO83</f>
        <v>-9027.0836786550353</v>
      </c>
      <c r="P21" s="164">
        <f>'Cash Flow Statement'!BP83</f>
        <v>17865.853836135473</v>
      </c>
      <c r="Q21" s="164">
        <f>'Cash Flow Statement'!BQ83</f>
        <v>9981.6767523258168</v>
      </c>
      <c r="R21" s="158"/>
      <c r="S21" s="165">
        <f>'Cash Flow Statement'!CU83</f>
        <v>40648</v>
      </c>
      <c r="T21" s="165">
        <f>'Cash Flow Statement'!CV83</f>
        <v>47035</v>
      </c>
      <c r="U21" s="165">
        <f>'Cash Flow Statement'!CW83</f>
        <v>49979</v>
      </c>
      <c r="V21" s="165">
        <f>'Cash Flow Statement'!CX83</f>
        <v>23983.58834669202</v>
      </c>
      <c r="W21" s="165">
        <f>'Cash Flow Statement'!CY83</f>
        <v>46186.396615053498</v>
      </c>
    </row>
    <row r="22" spans="1:25" x14ac:dyDescent="0.25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83"/>
      <c r="N22" s="158"/>
      <c r="O22" s="158"/>
      <c r="P22" s="158"/>
      <c r="Q22" s="158"/>
      <c r="R22" s="158"/>
      <c r="S22" s="169"/>
      <c r="T22" s="169"/>
      <c r="U22" s="169"/>
      <c r="V22" s="169"/>
      <c r="W22" s="169"/>
    </row>
    <row r="23" spans="1:25" ht="15.75" thickBot="1" x14ac:dyDescent="0.3">
      <c r="A23" s="156" t="s">
        <v>361</v>
      </c>
      <c r="B23" s="176"/>
      <c r="C23" s="176"/>
      <c r="D23" s="157"/>
      <c r="E23" s="157"/>
      <c r="F23" s="157"/>
      <c r="G23" s="157"/>
      <c r="H23" s="157"/>
      <c r="I23" s="157"/>
      <c r="J23" s="157"/>
      <c r="K23" s="157"/>
      <c r="L23" s="157"/>
      <c r="M23" s="176"/>
      <c r="N23" s="157"/>
      <c r="O23" s="157"/>
      <c r="P23" s="157"/>
      <c r="Q23" s="157"/>
      <c r="R23" s="158"/>
      <c r="S23" s="169"/>
      <c r="T23" s="169"/>
      <c r="U23" s="169"/>
      <c r="V23" s="169"/>
      <c r="W23" s="169"/>
    </row>
    <row r="24" spans="1:25" x14ac:dyDescent="0.25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83"/>
      <c r="N24" s="158"/>
      <c r="O24" s="158"/>
      <c r="P24" s="158"/>
      <c r="Q24" s="158"/>
      <c r="R24" s="158"/>
      <c r="S24" s="169"/>
      <c r="T24" s="169"/>
      <c r="U24" s="169"/>
      <c r="V24" s="169"/>
      <c r="W24" s="169"/>
    </row>
    <row r="25" spans="1:25" x14ac:dyDescent="0.25">
      <c r="A25" s="163" t="s">
        <v>372</v>
      </c>
      <c r="B25" s="170">
        <f>'Income Statement'!BB173</f>
        <v>0.67466331415974923</v>
      </c>
      <c r="C25" s="170">
        <f>'Income Statement'!BC173</f>
        <v>0.68777289058597968</v>
      </c>
      <c r="D25" s="170">
        <f>'Income Statement'!BD173</f>
        <v>0.67858425317325255</v>
      </c>
      <c r="E25" s="170">
        <f>'Income Statement'!BE173</f>
        <v>0.67384270781483324</v>
      </c>
      <c r="F25" s="170">
        <f>'Income Statement'!BF173</f>
        <v>0.69277883804535978</v>
      </c>
      <c r="G25" s="170">
        <f>'Income Statement'!BG173</f>
        <v>0.69000070072174335</v>
      </c>
      <c r="H25" s="170">
        <f>'Income Statement'!BH173</f>
        <v>0.69476451729734801</v>
      </c>
      <c r="I25" s="170">
        <f>'Income Statement'!BI173</f>
        <v>0.68433368863405253</v>
      </c>
      <c r="J25" s="170">
        <f>'Income Statement'!BJ173</f>
        <v>0.70435112308134817</v>
      </c>
      <c r="K25" s="170">
        <f>'Income Statement'!BK173</f>
        <v>0.70223804804033141</v>
      </c>
      <c r="L25" s="170">
        <f>'Income Statement'!BL173</f>
        <v>0.69711901223276551</v>
      </c>
      <c r="M25" s="192">
        <f>'Income Statement'!BM173</f>
        <v>0.67433368863405252</v>
      </c>
      <c r="N25" s="170">
        <f>'Income Statement'!BN173</f>
        <v>0.69185112308134822</v>
      </c>
      <c r="O25" s="170">
        <f>'Income Statement'!BO173</f>
        <v>0.68973804804033134</v>
      </c>
      <c r="P25" s="170">
        <f>'Income Statement'!BP173</f>
        <v>0.68461901223276544</v>
      </c>
      <c r="Q25" s="170">
        <f>'Income Statement'!BQ173</f>
        <v>0.66183368863405245</v>
      </c>
      <c r="R25" s="158"/>
      <c r="S25" s="171">
        <f>'Income Statement'!CU173</f>
        <v>0.6697123750967372</v>
      </c>
      <c r="T25" s="171">
        <f>'Income Statement'!CV173</f>
        <v>0.67858312411308808</v>
      </c>
      <c r="U25" s="171">
        <f>'Income Statement'!CW173</f>
        <v>0.69027304332504291</v>
      </c>
      <c r="V25" s="171">
        <f>'Income Statement'!CX173</f>
        <v>0.69358774355633435</v>
      </c>
      <c r="W25" s="171">
        <f>'Income Statement'!CY173</f>
        <v>0.68120077064690687</v>
      </c>
    </row>
    <row r="26" spans="1:25" x14ac:dyDescent="0.25">
      <c r="A26" s="184" t="s">
        <v>373</v>
      </c>
      <c r="B26" s="170">
        <f>'Income Statement'!BB197</f>
        <v>-0.37474597871387733</v>
      </c>
      <c r="C26" s="170">
        <f>'Income Statement'!BC197</f>
        <v>-0.33592730436463819</v>
      </c>
      <c r="D26" s="170">
        <f>'Income Statement'!BD197</f>
        <v>-0.34536541193736242</v>
      </c>
      <c r="E26" s="170">
        <f>'Income Statement'!BE197</f>
        <v>-0.34619213539074167</v>
      </c>
      <c r="F26" s="170">
        <f>'Income Statement'!BF197</f>
        <v>-0.31593508203512199</v>
      </c>
      <c r="G26" s="170">
        <f>'Income Statement'!BG197</f>
        <v>-0.30565482446920328</v>
      </c>
      <c r="H26" s="170">
        <f>'Income Statement'!BH197</f>
        <v>-0.31218393271539524</v>
      </c>
      <c r="I26" s="170">
        <f>'Income Statement'!BI197</f>
        <v>-0.30487252055230885</v>
      </c>
      <c r="J26" s="170">
        <f>'Income Statement'!BJ197</f>
        <v>-0.30419946133933007</v>
      </c>
      <c r="K26" s="170">
        <f>'Income Statement'!BK197</f>
        <v>-0.31959179178444258</v>
      </c>
      <c r="L26" s="170">
        <f>'Income Statement'!BL197</f>
        <v>-0.34010517891848635</v>
      </c>
      <c r="M26" s="192">
        <f>'Income Statement'!BM197</f>
        <v>-0.29010201742417374</v>
      </c>
      <c r="N26" s="170">
        <f>'Income Statement'!BN197</f>
        <v>-0.28527167465680081</v>
      </c>
      <c r="O26" s="170">
        <f>'Income Statement'!BO197</f>
        <v>-0.28711243915404644</v>
      </c>
      <c r="P26" s="170">
        <f>'Income Statement'!BP197</f>
        <v>-0.29082097957369035</v>
      </c>
      <c r="Q26" s="170">
        <f>'Income Statement'!BQ197</f>
        <v>-0.28255137621578547</v>
      </c>
      <c r="R26" s="158"/>
      <c r="S26" s="171">
        <f>'Income Statement'!CU197</f>
        <v>-0.34971203304244464</v>
      </c>
      <c r="T26" s="171">
        <f>'Income Statement'!CV197</f>
        <v>-0.34996569307779873</v>
      </c>
      <c r="U26" s="171">
        <f>'Income Statement'!CW197</f>
        <v>-0.30944232476500927</v>
      </c>
      <c r="V26" s="171">
        <f>'Income Statement'!CX197</f>
        <v>-0.31314468419362934</v>
      </c>
      <c r="W26" s="171">
        <f>'Income Statement'!CY197</f>
        <v>-0.28638335751056643</v>
      </c>
    </row>
    <row r="27" spans="1:25" x14ac:dyDescent="0.25">
      <c r="A27" s="166" t="s">
        <v>374</v>
      </c>
      <c r="B27" s="172">
        <f>'Income Statement'!BB180</f>
        <v>-0.19749939723762616</v>
      </c>
      <c r="C27" s="172">
        <f>'Income Statement'!BC180</f>
        <v>-0.17058984645624889</v>
      </c>
      <c r="D27" s="172">
        <f>'Income Statement'!BD180</f>
        <v>-0.17576618632027602</v>
      </c>
      <c r="E27" s="172">
        <f>'Income Statement'!BE180</f>
        <v>-0.16748244013052374</v>
      </c>
      <c r="F27" s="172">
        <f>'Income Statement'!BF180</f>
        <v>-0.17609811666888583</v>
      </c>
      <c r="G27" s="172">
        <f>'Income Statement'!BG180</f>
        <v>-0.16621119753345948</v>
      </c>
      <c r="H27" s="172">
        <f>'Income Statement'!BH180</f>
        <v>-0.16696401024829308</v>
      </c>
      <c r="I27" s="172">
        <f>'Income Statement'!BI180</f>
        <v>-0.16069393905980078</v>
      </c>
      <c r="J27" s="172">
        <f>'Income Statement'!BJ180</f>
        <v>-0.17723504955155192</v>
      </c>
      <c r="K27" s="172">
        <f>'Income Statement'!BK180</f>
        <v>-0.1689610024105821</v>
      </c>
      <c r="L27" s="172">
        <f>'Income Statement'!BL180</f>
        <v>-0.17321367325940323</v>
      </c>
      <c r="M27" s="185">
        <f>'Income Statement'!BM180</f>
        <v>-0.16134902660884115</v>
      </c>
      <c r="N27" s="172">
        <f>'Income Statement'!BN180</f>
        <v>-0.17507897247706625</v>
      </c>
      <c r="O27" s="172">
        <f>'Income Statement'!BO180</f>
        <v>-0.16538901322694935</v>
      </c>
      <c r="P27" s="172">
        <f>'Income Statement'!BP180</f>
        <v>-0.1729854770551312</v>
      </c>
      <c r="Q27" s="172">
        <f>'Income Statement'!BQ180</f>
        <v>-0.16300619007968539</v>
      </c>
      <c r="R27" s="158"/>
      <c r="S27" s="173">
        <f>'Income Statement'!CU180</f>
        <v>-0.16888930695524648</v>
      </c>
      <c r="T27" s="173">
        <f>'Income Statement'!CV180</f>
        <v>-0.17709779032232914</v>
      </c>
      <c r="U27" s="173">
        <f>'Income Statement'!CW180</f>
        <v>-0.16713992369154032</v>
      </c>
      <c r="V27" s="173">
        <f>'Income Statement'!CX180</f>
        <v>-0.16977511264645467</v>
      </c>
      <c r="W27" s="173">
        <f>'Income Statement'!CY180</f>
        <v>-0.16887613454849509</v>
      </c>
    </row>
    <row r="28" spans="1:25" x14ac:dyDescent="0.25">
      <c r="A28" s="166" t="s">
        <v>110</v>
      </c>
      <c r="B28" s="172">
        <f>'Income Statement'!BB185</f>
        <v>-0.11250990252471325</v>
      </c>
      <c r="C28" s="172">
        <f>'Income Statement'!BC185</f>
        <v>-0.10925290411974158</v>
      </c>
      <c r="D28" s="172">
        <f>'Income Statement'!BD185</f>
        <v>-0.10747685438166461</v>
      </c>
      <c r="E28" s="172">
        <f>'Income Statement'!BE185</f>
        <v>-0.10672805707648914</v>
      </c>
      <c r="F28" s="172">
        <f>'Income Statement'!BF185</f>
        <v>-9.5069016022369182E-2</v>
      </c>
      <c r="G28" s="172">
        <f>'Income Statement'!BG185</f>
        <v>-9.5186041622871559E-2</v>
      </c>
      <c r="H28" s="172">
        <f>'Income Statement'!BH185</f>
        <v>-9.6942950274316222E-2</v>
      </c>
      <c r="I28" s="172">
        <f>'Income Statement'!BI185</f>
        <v>-9.020962742431482E-2</v>
      </c>
      <c r="J28" s="172">
        <f>'Income Statement'!BJ185</f>
        <v>-8.0694506184138273E-2</v>
      </c>
      <c r="K28" s="172">
        <f>'Income Statement'!BK185</f>
        <v>-8.6891083293564847E-2</v>
      </c>
      <c r="L28" s="172">
        <f>'Income Statement'!BL185</f>
        <v>-8.2371098662398543E-2</v>
      </c>
      <c r="M28" s="185">
        <f>'Income Statement'!BM185</f>
        <v>-8.1712357549080947E-2</v>
      </c>
      <c r="N28" s="172">
        <f>'Income Statement'!BN185</f>
        <v>-7.2434721794567669E-2</v>
      </c>
      <c r="O28" s="172">
        <f>'Income Statement'!BO185</f>
        <v>-7.8656250010009129E-2</v>
      </c>
      <c r="P28" s="172">
        <f>'Income Statement'!BP185</f>
        <v>-7.5078075955637286E-2</v>
      </c>
      <c r="Q28" s="172">
        <f>'Income Statement'!BQ185</f>
        <v>-7.5341852039186391E-2</v>
      </c>
      <c r="R28" s="158"/>
      <c r="S28" s="173">
        <f>'Income Statement'!CU185</f>
        <v>-0.1135919548830388</v>
      </c>
      <c r="T28" s="173">
        <f>'Income Statement'!CV185</f>
        <v>-0.10883481216960095</v>
      </c>
      <c r="U28" s="173">
        <f>'Income Statement'!CW185</f>
        <v>-9.4226716093223722E-2</v>
      </c>
      <c r="V28" s="173">
        <f>'Income Statement'!CX185</f>
        <v>-8.2893472575581301E-2</v>
      </c>
      <c r="W28" s="173">
        <f>'Income Statement'!CY185</f>
        <v>-7.5411700825191982E-2</v>
      </c>
    </row>
    <row r="29" spans="1:25" x14ac:dyDescent="0.25">
      <c r="A29" s="166" t="s">
        <v>111</v>
      </c>
      <c r="B29" s="172">
        <f>'Income Statement'!BB190</f>
        <v>-6.473667895153791E-2</v>
      </c>
      <c r="C29" s="172">
        <f>'Income Statement'!BC190</f>
        <v>-5.6084553788647754E-2</v>
      </c>
      <c r="D29" s="172">
        <f>'Income Statement'!BD190</f>
        <v>-6.2122371235421775E-2</v>
      </c>
      <c r="E29" s="172">
        <f>'Income Statement'!BE190</f>
        <v>-7.1981638183728783E-2</v>
      </c>
      <c r="F29" s="172">
        <f>'Income Statement'!BF190</f>
        <v>-4.4767949343866971E-2</v>
      </c>
      <c r="G29" s="172">
        <f>'Income Statement'!BG190</f>
        <v>-4.4257585312872258E-2</v>
      </c>
      <c r="H29" s="172">
        <f>'Income Statement'!BH190</f>
        <v>-4.8276972192785955E-2</v>
      </c>
      <c r="I29" s="172">
        <f>'Income Statement'!BI190</f>
        <v>-5.3968954068193235E-2</v>
      </c>
      <c r="J29" s="172">
        <f>'Income Statement'!BJ190</f>
        <v>-4.6269905603639881E-2</v>
      </c>
      <c r="K29" s="172">
        <f>'Income Statement'!BK190</f>
        <v>-6.3739706080295638E-2</v>
      </c>
      <c r="L29" s="172">
        <f>'Income Statement'!BL190</f>
        <v>-8.4520406996684574E-2</v>
      </c>
      <c r="M29" s="185">
        <f>'Income Statement'!BM190</f>
        <v>-4.7040633266251658E-2</v>
      </c>
      <c r="N29" s="172">
        <f>'Income Statement'!BN190</f>
        <v>-3.7757980385166881E-2</v>
      </c>
      <c r="O29" s="172">
        <f>'Income Statement'!BO190</f>
        <v>-4.306717591708794E-2</v>
      </c>
      <c r="P29" s="172">
        <f>'Income Statement'!BP190</f>
        <v>-4.2757426562921863E-2</v>
      </c>
      <c r="Q29" s="172">
        <f>'Income Statement'!BQ190</f>
        <v>-4.4203334096913675E-2</v>
      </c>
      <c r="R29" s="158"/>
      <c r="S29" s="173">
        <f>'Income Statement'!CU190</f>
        <v>-6.7230771204159379E-2</v>
      </c>
      <c r="T29" s="173">
        <f>'Income Statement'!CV190</f>
        <v>-6.403309058586866E-2</v>
      </c>
      <c r="U29" s="173">
        <f>'Income Statement'!CW190</f>
        <v>-4.8075684980245191E-2</v>
      </c>
      <c r="V29" s="173">
        <f>'Income Statement'!CX190</f>
        <v>-6.0476098971593388E-2</v>
      </c>
      <c r="W29" s="173">
        <f>'Income Statement'!CY190</f>
        <v>-4.2095522136879365E-2</v>
      </c>
    </row>
    <row r="30" spans="1:25" x14ac:dyDescent="0.25">
      <c r="A30" s="207" t="s">
        <v>120</v>
      </c>
      <c r="B30" s="172">
        <f>'Income Statement'!BB229</f>
        <v>-9.0999896669307342E-2</v>
      </c>
      <c r="C30" s="172">
        <f>'Income Statement'!BC229</f>
        <v>-9.3028501458101723E-2</v>
      </c>
      <c r="D30" s="172">
        <f>'Income Statement'!BD229</f>
        <v>-8.9662924856754769E-2</v>
      </c>
      <c r="E30" s="172">
        <f>'Income Statement'!BE229</f>
        <v>-7.8245119185885739E-2</v>
      </c>
      <c r="F30" s="172">
        <f>'Income Statement'!BF229</f>
        <v>-7.7877886763422249E-2</v>
      </c>
      <c r="G30" s="172">
        <f>'Income Statement'!BG229</f>
        <v>-8.219466050031532E-2</v>
      </c>
      <c r="H30" s="172">
        <f>'Income Statement'!BH229</f>
        <v>-7.8418221572388633E-2</v>
      </c>
      <c r="I30" s="172">
        <f>'Income Statement'!BI229</f>
        <v>-7.1182661324904126E-2</v>
      </c>
      <c r="J30" s="172">
        <f>'Income Statement'!BJ229</f>
        <v>-7.2117773187249948E-2</v>
      </c>
      <c r="K30" s="172">
        <f>'Income Statement'!BK229</f>
        <v>-7.3394270890691726E-2</v>
      </c>
      <c r="L30" s="172">
        <f>'Income Statement'!BL229</f>
        <v>-7.280210357836972E-2</v>
      </c>
      <c r="M30" s="185">
        <f>'Income Statement'!BM229</f>
        <v>-6.6910749194234342E-2</v>
      </c>
      <c r="N30" s="172">
        <f>'Income Statement'!BN229</f>
        <v>-6.7523561989557793E-2</v>
      </c>
      <c r="O30" s="172">
        <f>'Income Statement'!BO229</f>
        <v>-6.9299546655998717E-2</v>
      </c>
      <c r="P30" s="172">
        <f>'Income Statement'!BP229</f>
        <v>-6.9213755011597225E-2</v>
      </c>
      <c r="Q30" s="172">
        <f>'Income Statement'!BQ229</f>
        <v>-6.4350903822497391E-2</v>
      </c>
      <c r="R30" s="158"/>
      <c r="S30" s="173">
        <f>'Income Statement'!CU229</f>
        <v>-8.2785690158670433E-2</v>
      </c>
      <c r="T30" s="173">
        <f>'Income Statement'!CV229</f>
        <v>-8.7560621890935178E-2</v>
      </c>
      <c r="U30" s="173">
        <f>'Income Statement'!CW229</f>
        <v>-7.7206405573363876E-2</v>
      </c>
      <c r="V30" s="173">
        <f>'Income Statement'!CX229</f>
        <v>-7.1141283135076713E-2</v>
      </c>
      <c r="W30" s="173">
        <f>'Income Statement'!CY229</f>
        <v>-6.7507232464843761E-2</v>
      </c>
    </row>
    <row r="31" spans="1:25" x14ac:dyDescent="0.25">
      <c r="A31" s="184" t="s">
        <v>114</v>
      </c>
      <c r="B31" s="170">
        <f>'Income Statement'!BB202</f>
        <v>0.29991733544587196</v>
      </c>
      <c r="C31" s="170">
        <f>'Income Statement'!BC202</f>
        <v>0.35184558622134143</v>
      </c>
      <c r="D31" s="170">
        <f>'Income Statement'!BD202</f>
        <v>0.33321884123589013</v>
      </c>
      <c r="E31" s="170">
        <f>'Income Statement'!BE202</f>
        <v>0.32765057242409157</v>
      </c>
      <c r="F31" s="170">
        <f>'Income Statement'!BF202</f>
        <v>0.37684375601023773</v>
      </c>
      <c r="G31" s="170">
        <f>'Income Statement'!BG202</f>
        <v>0.38434587625254013</v>
      </c>
      <c r="H31" s="170">
        <f>'Income Statement'!BH202</f>
        <v>0.38258058458195282</v>
      </c>
      <c r="I31" s="170">
        <f>'Income Statement'!BI202</f>
        <v>0.37946116808174368</v>
      </c>
      <c r="J31" s="170">
        <f>'Income Statement'!BJ202</f>
        <v>0.40015166174201816</v>
      </c>
      <c r="K31" s="170">
        <f>'Income Statement'!BK202</f>
        <v>0.38264625625588877</v>
      </c>
      <c r="L31" s="170">
        <f>'Income Statement'!BL202</f>
        <v>0.35701383331427916</v>
      </c>
      <c r="M31" s="192">
        <f>'Income Statement'!BM202</f>
        <v>0.38423167120987878</v>
      </c>
      <c r="N31" s="170">
        <f>'Income Statement'!BN202</f>
        <v>0.40657944842454735</v>
      </c>
      <c r="O31" s="170">
        <f>'Income Statement'!BO202</f>
        <v>0.4026256088862849</v>
      </c>
      <c r="P31" s="170">
        <f>'Income Statement'!BP202</f>
        <v>0.39379803265907515</v>
      </c>
      <c r="Q31" s="170">
        <f>'Income Statement'!BQ202</f>
        <v>0.37928231241826699</v>
      </c>
      <c r="R31" s="158"/>
      <c r="S31" s="171">
        <f>'Income Statement'!CU202</f>
        <v>0.32000034205429256</v>
      </c>
      <c r="T31" s="171">
        <f>'Income Statement'!CV202</f>
        <v>0.32861743103528934</v>
      </c>
      <c r="U31" s="171">
        <f>'Income Statement'!CW202</f>
        <v>0.38083071856003359</v>
      </c>
      <c r="V31" s="171">
        <f>'Income Statement'!CX202</f>
        <v>0.38044305936270501</v>
      </c>
      <c r="W31" s="171">
        <f>'Income Statement'!CY202</f>
        <v>0.39481741313634044</v>
      </c>
    </row>
    <row r="32" spans="1:25" x14ac:dyDescent="0.25">
      <c r="A32" s="220" t="s">
        <v>381</v>
      </c>
      <c r="B32" s="224">
        <f>'Income Statement'!BB208</f>
        <v>0.37676361493396193</v>
      </c>
      <c r="C32" s="224">
        <f>'Income Statement'!BC208</f>
        <v>0.37964356820278733</v>
      </c>
      <c r="D32" s="224">
        <f>'Income Statement'!BD208</f>
        <v>0.37545290565445849</v>
      </c>
      <c r="E32" s="224">
        <f>'Income Statement'!BE208</f>
        <v>0.37375728847686562</v>
      </c>
      <c r="F32" s="224">
        <f>'Income Statement'!BF208</f>
        <v>0.41621161937158713</v>
      </c>
      <c r="G32" s="224">
        <f>'Income Statement'!BG208</f>
        <v>0.41860399503442047</v>
      </c>
      <c r="H32" s="224">
        <f>'Income Statement'!BH208</f>
        <v>0.41616314199395771</v>
      </c>
      <c r="I32" s="224">
        <f>'Income Statement'!BI208</f>
        <v>0.40437925641309835</v>
      </c>
      <c r="J32" s="224">
        <f>'Income Statement'!BJ208</f>
        <v>0.43129750844594594</v>
      </c>
      <c r="K32" s="224">
        <f>'Income Statement'!BK208</f>
        <v>0.40587022169846065</v>
      </c>
      <c r="L32" s="224">
        <f>'Income Statement'!BL208</f>
        <v>0.38389841182599932</v>
      </c>
      <c r="M32" s="354">
        <f>'Income Statement'!BM208</f>
        <v>0.39</v>
      </c>
      <c r="N32" s="224">
        <f>'Income Statement'!BN208</f>
        <v>0.41749999999999998</v>
      </c>
      <c r="O32" s="224">
        <f>'Income Statement'!BO208</f>
        <v>0.39500000000000002</v>
      </c>
      <c r="P32" s="224">
        <f>'Income Statement'!BP208</f>
        <v>0.39500000000000002</v>
      </c>
      <c r="Q32" s="224">
        <f>'Income Statement'!BQ208</f>
        <v>0.38</v>
      </c>
      <c r="R32" s="158"/>
      <c r="S32" s="225">
        <f>'Income Statement'!CU208</f>
        <v>0.35823229501024462</v>
      </c>
      <c r="T32" s="225">
        <f>'Income Statement'!CV208</f>
        <v>0.37629001550570179</v>
      </c>
      <c r="U32" s="225">
        <f>'Income Statement'!CW208</f>
        <v>0.41350137591685165</v>
      </c>
      <c r="V32" s="225">
        <f>'Income Statement'!CX208</f>
        <v>0.40145038541752914</v>
      </c>
      <c r="W32" s="225">
        <f>'Income Statement'!CY208</f>
        <v>0.39596253153066335</v>
      </c>
    </row>
    <row r="33" spans="1:23" x14ac:dyDescent="0.25">
      <c r="A33" s="220" t="s">
        <v>382</v>
      </c>
      <c r="B33" s="224">
        <f>'Income Statement'!BB213</f>
        <v>2.5623826133619534E-2</v>
      </c>
      <c r="C33" s="224">
        <f>'Income Statement'!BC213</f>
        <v>4.9184410409662559E-2</v>
      </c>
      <c r="D33" s="224">
        <f>'Income Statement'!BD213</f>
        <v>3.1625252645345381E-2</v>
      </c>
      <c r="E33" s="224">
        <f>'Income Statement'!BE213</f>
        <v>9.3994778067885115E-2</v>
      </c>
      <c r="F33" s="224">
        <f>'Income Statement'!BF213</f>
        <v>9.4004595780238148E-2</v>
      </c>
      <c r="G33" s="224">
        <f>'Income Statement'!BG213</f>
        <v>0.11326954672852034</v>
      </c>
      <c r="H33" s="224">
        <f>'Income Statement'!BH213</f>
        <v>0.17149652074341584</v>
      </c>
      <c r="I33" s="224">
        <f>'Income Statement'!BI213</f>
        <v>0.17507319113341699</v>
      </c>
      <c r="J33" s="224">
        <f>'Income Statement'!BJ213</f>
        <v>0.17756933115823817</v>
      </c>
      <c r="K33" s="224">
        <f>'Income Statement'!BK213</f>
        <v>0.20742806811509101</v>
      </c>
      <c r="L33" s="224">
        <f>'Income Statement'!BL213</f>
        <v>0.23711816322491258</v>
      </c>
      <c r="M33" s="354">
        <f>'Income Statement'!BM213</f>
        <v>0.23</v>
      </c>
      <c r="N33" s="224">
        <f>'Income Statement'!BN213</f>
        <v>0.22</v>
      </c>
      <c r="O33" s="224">
        <f>'Income Statement'!BO213</f>
        <v>0.25</v>
      </c>
      <c r="P33" s="224">
        <f>'Income Statement'!BP213</f>
        <v>0.27</v>
      </c>
      <c r="Q33" s="224">
        <f>'Income Statement'!BQ213</f>
        <v>0.27</v>
      </c>
      <c r="R33" s="158"/>
      <c r="S33" s="225">
        <f>'Income Statement'!CU213</f>
        <v>-7.3135464231354641E-2</v>
      </c>
      <c r="T33" s="225">
        <f>'Income Statement'!CV213</f>
        <v>5.1861702127659573E-2</v>
      </c>
      <c r="U33" s="225">
        <f>'Income Statement'!CW213</f>
        <v>0.14138656920123066</v>
      </c>
      <c r="V33" s="225">
        <f>'Income Statement'!CX213</f>
        <v>0.21541953684793522</v>
      </c>
      <c r="W33" s="225">
        <f>'Income Statement'!CY213</f>
        <v>0.25388643678936978</v>
      </c>
    </row>
    <row r="34" spans="1:23" x14ac:dyDescent="0.25">
      <c r="A34" s="220" t="s">
        <v>383</v>
      </c>
      <c r="B34" s="224">
        <f>'Income Statement'!BB219</f>
        <v>-4.2534722222222223</v>
      </c>
      <c r="C34" s="224">
        <f>'Income Statement'!BC219</f>
        <v>-2.8526315789473684</v>
      </c>
      <c r="D34" s="224">
        <f>'Income Statement'!BD219</f>
        <v>-4.0202020202020199</v>
      </c>
      <c r="E34" s="224">
        <f>'Income Statement'!BE219</f>
        <v>-1.3135464231354643</v>
      </c>
      <c r="F34" s="224">
        <f>'Income Statement'!BF219</f>
        <v>-2.0606060606060606</v>
      </c>
      <c r="G34" s="224">
        <f>'Income Statement'!BG219</f>
        <v>-3.106849315068493</v>
      </c>
      <c r="H34" s="224">
        <f>'Income Statement'!BH219</f>
        <v>-2.8762886597938144</v>
      </c>
      <c r="I34" s="224">
        <f>'Income Statement'!BI219</f>
        <v>-2.9350000000000001</v>
      </c>
      <c r="J34" s="224">
        <f>'Income Statement'!BJ219</f>
        <v>-2.7244444444444444</v>
      </c>
      <c r="K34" s="224">
        <f>'Income Statement'!BK219</f>
        <v>-3.3404825737265416</v>
      </c>
      <c r="L34" s="224">
        <f>'Income Statement'!BL219</f>
        <v>-4.1453488372093021</v>
      </c>
      <c r="M34" s="354">
        <f>'Income Statement'!BM219</f>
        <v>-3.2714285714285714</v>
      </c>
      <c r="N34" s="224">
        <f>'Income Statement'!BN219</f>
        <v>-3.0179894179894178</v>
      </c>
      <c r="O34" s="224">
        <f>'Income Statement'!BO219</f>
        <v>-3.6920720030639598</v>
      </c>
      <c r="P34" s="224">
        <f>'Income Statement'!BP219</f>
        <v>-4.5016611295681068</v>
      </c>
      <c r="Q34" s="224">
        <f>'Income Statement'!BQ219</f>
        <v>-3.5691609977324261</v>
      </c>
      <c r="R34" s="158"/>
      <c r="S34" s="225">
        <f>'Income Statement'!CU219</f>
        <v>-4.3408239700374533</v>
      </c>
      <c r="T34" s="225">
        <f>'Income Statement'!CV219</f>
        <v>-2.6817288801571708</v>
      </c>
      <c r="U34" s="225">
        <f>'Income Statement'!CW219</f>
        <v>-2.6966019417475726</v>
      </c>
      <c r="V34" s="225">
        <f>'Income Statement'!CX219</f>
        <v>-3.3219911783238816</v>
      </c>
      <c r="W34" s="225">
        <f>'Income Statement'!CY219</f>
        <v>-3.6438923395445131</v>
      </c>
    </row>
    <row r="35" spans="1:23" x14ac:dyDescent="0.25">
      <c r="A35" s="163" t="s">
        <v>135</v>
      </c>
      <c r="B35" s="170">
        <f>'Income Statement'!BB268</f>
        <v>0.2592050425378018</v>
      </c>
      <c r="C35" s="170">
        <f>'Income Statement'!BC268</f>
        <v>0.29593826026713066</v>
      </c>
      <c r="D35" s="170">
        <f>'Income Statement'!BD268</f>
        <v>0.30739566907620491</v>
      </c>
      <c r="E35" s="170">
        <f>'Income Statement'!BE268</f>
        <v>0.2860322990985012</v>
      </c>
      <c r="F35" s="170">
        <f>'Income Statement'!BF268</f>
        <v>0.35006583521962331</v>
      </c>
      <c r="G35" s="170">
        <f>'Income Statement'!BG268</f>
        <v>0.33100693714525964</v>
      </c>
      <c r="H35" s="170">
        <f>'Income Statement'!BH268</f>
        <v>0.35280151309876723</v>
      </c>
      <c r="I35" s="170">
        <f>'Income Statement'!BI268</f>
        <v>0.32511240979649847</v>
      </c>
      <c r="J35" s="170">
        <f>'Income Statement'!BJ268</f>
        <v>0.45158591114713803</v>
      </c>
      <c r="K35" s="170">
        <f>'Income Statement'!BK268</f>
        <v>0.3450191500556759</v>
      </c>
      <c r="L35" s="170">
        <f>'Income Statement'!BL268</f>
        <v>0.39989710757974162</v>
      </c>
      <c r="M35" s="192">
        <f>'Income Statement'!BM268</f>
        <v>0.31885605494304303</v>
      </c>
      <c r="N35" s="170">
        <f>'Income Statement'!BN268</f>
        <v>0.34078709184488215</v>
      </c>
      <c r="O35" s="170">
        <f>'Income Statement'!BO268</f>
        <v>0.3389148484333519</v>
      </c>
      <c r="P35" s="170">
        <f>'Income Statement'!BP268</f>
        <v>0.3287887140183669</v>
      </c>
      <c r="Q35" s="170">
        <f>'Income Statement'!BQ268</f>
        <v>0.31707195994594661</v>
      </c>
      <c r="R35" s="158"/>
      <c r="S35" s="171">
        <f>'Income Statement'!CU268</f>
        <v>0.25642100042329219</v>
      </c>
      <c r="T35" s="171">
        <f>'Income Statement'!CV268</f>
        <v>0.28769083225474451</v>
      </c>
      <c r="U35" s="171">
        <f>'Income Statement'!CW268</f>
        <v>0.33924735190669497</v>
      </c>
      <c r="V35" s="171">
        <f>'Income Statement'!CX268</f>
        <v>0.37565291092058156</v>
      </c>
      <c r="W35" s="171">
        <f>'Income Statement'!CY268</f>
        <v>0.33071588100943661</v>
      </c>
    </row>
    <row r="36" spans="1:23" x14ac:dyDescent="0.25">
      <c r="A36" s="163" t="s">
        <v>181</v>
      </c>
      <c r="B36" s="170">
        <f>'Cash Flow Statement'!BB62</f>
        <v>0.35478593324837254</v>
      </c>
      <c r="C36" s="170">
        <f>'Cash Flow Statement'!BC62</f>
        <v>0.40657676381974317</v>
      </c>
      <c r="D36" s="170">
        <f>'Cash Flow Statement'!BD62</f>
        <v>0.39254656445644875</v>
      </c>
      <c r="E36" s="170">
        <f>'Cash Flow Statement'!BE62</f>
        <v>0.37349980642663572</v>
      </c>
      <c r="F36" s="170">
        <f>'Cash Flow Statement'!BF62</f>
        <v>0.42733715029662833</v>
      </c>
      <c r="G36" s="170">
        <f>'Cash Flow Statement'!BG62</f>
        <v>0.43631140074276503</v>
      </c>
      <c r="H36" s="170">
        <f>'Cash Flow Statement'!BH62</f>
        <v>0.43603535929388726</v>
      </c>
      <c r="I36" s="170">
        <f>'Cash Flow Statement'!BI62</f>
        <v>0.43097977236250473</v>
      </c>
      <c r="J36" s="170">
        <f>'Cash Flow Statement'!BJ62</f>
        <v>0.45881599246921007</v>
      </c>
      <c r="K36" s="170">
        <f>'Cash Flow Statement'!BK62</f>
        <v>0.44380406984569826</v>
      </c>
      <c r="L36" s="170">
        <f>'Cash Flow Statement'!BL62</f>
        <v>0.42116154109980564</v>
      </c>
      <c r="M36" s="192">
        <f>'Cash Flow Statement'!BM62</f>
        <v>0.47142213628240059</v>
      </c>
      <c r="N36" s="170">
        <f>'Cash Flow Statement'!BN62</f>
        <v>0.48274595788603464</v>
      </c>
      <c r="O36" s="170">
        <f>'Cash Flow Statement'!BO62</f>
        <v>0.49645592214092776</v>
      </c>
      <c r="P36" s="170">
        <f>'Cash Flow Statement'!BP62</f>
        <v>0.48799340055508406</v>
      </c>
      <c r="Q36" s="170">
        <f>'Cash Flow Statement'!BQ62</f>
        <v>0.48329891005076536</v>
      </c>
      <c r="R36" s="158"/>
      <c r="S36" s="171">
        <f>'Cash Flow Statement'!CU62</f>
        <v>0.38810335170449928</v>
      </c>
      <c r="T36" s="171">
        <f>'Cash Flow Statement'!CV62</f>
        <v>0.38202317276654141</v>
      </c>
      <c r="U36" s="171">
        <f>'Cash Flow Statement'!CW62</f>
        <v>0.43271166109827258</v>
      </c>
      <c r="V36" s="171">
        <f>'Cash Flow Statement'!CX62</f>
        <v>0.44909609181451404</v>
      </c>
      <c r="W36" s="171">
        <f>'Cash Flow Statement'!CY62</f>
        <v>0.48754160079304748</v>
      </c>
    </row>
    <row r="37" spans="1:23" x14ac:dyDescent="0.25">
      <c r="A37" s="158" t="s">
        <v>241</v>
      </c>
      <c r="B37" s="172">
        <f>'Capex &amp; Depreciation'!BB5</f>
        <v>-0.10830778768987015</v>
      </c>
      <c r="C37" s="172">
        <f>'Capex &amp; Depreciation'!BC5</f>
        <v>-0.11097684760017401</v>
      </c>
      <c r="D37" s="172">
        <f>'Capex &amp; Depreciation'!BD5</f>
        <v>-0.12575916066884202</v>
      </c>
      <c r="E37" s="172">
        <f>'Capex &amp; Depreciation'!BE5</f>
        <v>-0.1523560643769703</v>
      </c>
      <c r="F37" s="172">
        <f>'Capex &amp; Depreciation'!BF5</f>
        <v>-0.17771070968887312</v>
      </c>
      <c r="G37" s="172">
        <f>'Capex &amp; Depreciation'!BG5</f>
        <v>-0.18479433816831337</v>
      </c>
      <c r="H37" s="172">
        <f>'Capex &amp; Depreciation'!BH5</f>
        <v>-0.17520020389274168</v>
      </c>
      <c r="I37" s="172">
        <f>'Capex &amp; Depreciation'!BI5</f>
        <v>-0.17490596782690729</v>
      </c>
      <c r="J37" s="172">
        <f>'Capex &amp; Depreciation'!BJ5</f>
        <v>-0.22483853254190309</v>
      </c>
      <c r="K37" s="172">
        <f>'Capex &amp; Depreciation'!BK5</f>
        <v>-0.27465952057560294</v>
      </c>
      <c r="L37" s="172">
        <f>'Capex &amp; Depreciation'!BL5</f>
        <v>-0.2738424602720933</v>
      </c>
      <c r="M37" s="185">
        <f>'Capex &amp; Depreciation'!BM5</f>
        <v>-0.29892594445216381</v>
      </c>
      <c r="N37" s="172">
        <f>'Capex &amp; Depreciation'!BN5</f>
        <v>-0.25493602565770995</v>
      </c>
      <c r="O37" s="172">
        <f>'Capex &amp; Depreciation'!BO5</f>
        <v>-0.31405833504096503</v>
      </c>
      <c r="P37" s="172">
        <f>'Capex &amp; Depreciation'!BP5</f>
        <v>-0.31528020512633126</v>
      </c>
      <c r="Q37" s="172">
        <f>'Capex &amp; Depreciation'!BQ5</f>
        <v>-0.34815272736470404</v>
      </c>
      <c r="R37" s="158"/>
      <c r="S37" s="173">
        <f>'Capex &amp; Depreciation'!CU5</f>
        <v>-0.13461974251863126</v>
      </c>
      <c r="T37" s="173">
        <f>'Capex &amp; Depreciation'!CV5</f>
        <v>-0.12573097135371997</v>
      </c>
      <c r="U37" s="173">
        <f>'Capex &amp; Depreciation'!CW5</f>
        <v>-0.17801354034657324</v>
      </c>
      <c r="V37" s="173">
        <f>'Capex &amp; Depreciation'!CX5</f>
        <v>-0.27007485512013552</v>
      </c>
      <c r="W37" s="173">
        <f>'Capex &amp; Depreciation'!CY5</f>
        <v>-0.31035603509562504</v>
      </c>
    </row>
    <row r="38" spans="1:23" x14ac:dyDescent="0.25">
      <c r="A38" s="163" t="s">
        <v>289</v>
      </c>
      <c r="B38" s="170">
        <f>'Cash Flow Statement'!BB77</f>
        <v>0.29655908793441943</v>
      </c>
      <c r="C38" s="170">
        <f>'Cash Flow Statement'!BC77</f>
        <v>0.35087888894259428</v>
      </c>
      <c r="D38" s="170">
        <f>'Cash Flow Statement'!BD77</f>
        <v>0.35285944013364351</v>
      </c>
      <c r="E38" s="170">
        <f>'Cash Flow Statement'!BE77</f>
        <v>0.1091753774680604</v>
      </c>
      <c r="F38" s="170">
        <f>'Cash Flow Statement'!BF77</f>
        <v>0.24907904664684213</v>
      </c>
      <c r="G38" s="170">
        <f>'Cash Flow Statement'!BG77</f>
        <v>0.18855020671291431</v>
      </c>
      <c r="H38" s="170">
        <f>'Cash Flow Statement'!BH77</f>
        <v>0.236582650337362</v>
      </c>
      <c r="I38" s="170">
        <f>'Cash Flow Statement'!BI77</f>
        <v>0.30429668835226231</v>
      </c>
      <c r="J38" s="170">
        <f>'Cash Flow Statement'!BJ77</f>
        <v>0.24779698245430537</v>
      </c>
      <c r="K38" s="170">
        <f>'Cash Flow Statement'!BK77</f>
        <v>6.4865460151976806E-2</v>
      </c>
      <c r="L38" s="170">
        <f>'Cash Flow Statement'!BL77</f>
        <v>0.27965016577112151</v>
      </c>
      <c r="M38" s="192">
        <f>'Cash Flow Statement'!BM77</f>
        <v>-4.7993533347214096E-3</v>
      </c>
      <c r="N38" s="170">
        <f>'Cash Flow Statement'!BN77</f>
        <v>0.37486074977444767</v>
      </c>
      <c r="O38" s="170">
        <f>'Cash Flow Statement'!BO77</f>
        <v>-2.6385682756337375E-2</v>
      </c>
      <c r="P38" s="170">
        <f>'Cash Flow Statement'!BP77</f>
        <v>0.2473640867285658</v>
      </c>
      <c r="Q38" s="170">
        <f>'Cash Flow Statement'!BQ77</f>
        <v>0.15655767978987362</v>
      </c>
      <c r="R38" s="158"/>
      <c r="S38" s="171">
        <f>'Cash Flow Statement'!CU77</f>
        <v>0.2565834762122618</v>
      </c>
      <c r="T38" s="171">
        <f>'Cash Flow Statement'!CV77</f>
        <v>0.27092722254276669</v>
      </c>
      <c r="U38" s="171">
        <f>'Cash Flow Statement'!CW77</f>
        <v>0.24655900351723717</v>
      </c>
      <c r="V38" s="171">
        <f>'Cash Flow Statement'!CX77</f>
        <v>0.14143433505149181</v>
      </c>
      <c r="W38" s="171">
        <f>'Cash Flow Statement'!CY77</f>
        <v>0.185353119785784</v>
      </c>
    </row>
    <row r="39" spans="1:23" x14ac:dyDescent="0.25">
      <c r="A39" s="163" t="s">
        <v>375</v>
      </c>
      <c r="B39" s="170">
        <f>'Cash Flow Statement'!BB84</f>
        <v>0.2055591912651121</v>
      </c>
      <c r="C39" s="170">
        <f>'Cash Flow Statement'!BC84</f>
        <v>0.25785038748449257</v>
      </c>
      <c r="D39" s="170">
        <f>'Cash Flow Statement'!BD84</f>
        <v>0.26319651527688875</v>
      </c>
      <c r="E39" s="170">
        <f>'Cash Flow Statement'!BE84</f>
        <v>3.0930258282174657E-2</v>
      </c>
      <c r="F39" s="170">
        <f>'Cash Flow Statement'!BF84</f>
        <v>0.17120115988341988</v>
      </c>
      <c r="G39" s="170">
        <f>'Cash Flow Statement'!BG84</f>
        <v>0.10635554621259898</v>
      </c>
      <c r="H39" s="170">
        <f>'Cash Flow Statement'!BH84</f>
        <v>0.15816442876497339</v>
      </c>
      <c r="I39" s="170">
        <f>'Cash Flow Statement'!BI84</f>
        <v>0.23311402702735814</v>
      </c>
      <c r="J39" s="170">
        <f>'Cash Flow Statement'!BJ84</f>
        <v>0.17567920926705541</v>
      </c>
      <c r="K39" s="170">
        <f>'Cash Flow Statement'!BK84</f>
        <v>-8.5288107387149273E-3</v>
      </c>
      <c r="L39" s="170">
        <f>'Cash Flow Statement'!BL84</f>
        <v>0.20684806219275181</v>
      </c>
      <c r="M39" s="192">
        <f>'Cash Flow Statement'!BM84</f>
        <v>-7.1710102528955752E-2</v>
      </c>
      <c r="N39" s="170">
        <f>'Cash Flow Statement'!BN84</f>
        <v>0.30733718778488983</v>
      </c>
      <c r="O39" s="170">
        <f>'Cash Flow Statement'!BO84</f>
        <v>-9.5685229412336079E-2</v>
      </c>
      <c r="P39" s="170">
        <f>'Cash Flow Statement'!BP84</f>
        <v>0.17815033171696859</v>
      </c>
      <c r="Q39" s="170">
        <f>'Cash Flow Statement'!BQ84</f>
        <v>9.2206775967376226E-2</v>
      </c>
      <c r="R39" s="158"/>
      <c r="S39" s="171">
        <f>'Cash Flow Statement'!CU84</f>
        <v>0.17379778605359136</v>
      </c>
      <c r="T39" s="171">
        <f>'Cash Flow Statement'!CV84</f>
        <v>0.18336660065183152</v>
      </c>
      <c r="U39" s="171">
        <f>'Cash Flow Statement'!CW84</f>
        <v>0.16935259794387331</v>
      </c>
      <c r="V39" s="171">
        <f>'Cash Flow Statement'!CX84</f>
        <v>7.0293051916415092E-2</v>
      </c>
      <c r="W39" s="171">
        <f>'Cash Flow Statement'!CY84</f>
        <v>0.11784588732094024</v>
      </c>
    </row>
    <row r="40" spans="1:23" x14ac:dyDescent="0.25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83"/>
      <c r="N40" s="158"/>
      <c r="O40" s="158"/>
      <c r="P40" s="158"/>
      <c r="Q40" s="158"/>
      <c r="R40" s="158"/>
      <c r="S40" s="169"/>
      <c r="T40" s="169"/>
      <c r="U40" s="169"/>
      <c r="V40" s="169"/>
      <c r="W40" s="169"/>
    </row>
    <row r="41" spans="1:23" ht="15.75" thickBot="1" x14ac:dyDescent="0.3">
      <c r="A41" s="156" t="s">
        <v>362</v>
      </c>
      <c r="B41" s="176"/>
      <c r="C41" s="176"/>
      <c r="D41" s="157"/>
      <c r="E41" s="157"/>
      <c r="F41" s="157"/>
      <c r="G41" s="157"/>
      <c r="H41" s="157"/>
      <c r="I41" s="157"/>
      <c r="J41" s="157"/>
      <c r="K41" s="157"/>
      <c r="L41" s="157"/>
      <c r="M41" s="176"/>
      <c r="N41" s="157"/>
      <c r="O41" s="157"/>
      <c r="P41" s="157"/>
      <c r="Q41" s="157"/>
      <c r="R41" s="158"/>
      <c r="S41" s="169"/>
      <c r="T41" s="169"/>
      <c r="U41" s="169"/>
      <c r="V41" s="169"/>
      <c r="W41" s="169"/>
    </row>
    <row r="42" spans="1:23" x14ac:dyDescent="0.25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83"/>
      <c r="N42" s="158"/>
      <c r="O42" s="158"/>
      <c r="P42" s="158"/>
      <c r="Q42" s="158"/>
      <c r="R42" s="158"/>
      <c r="S42" s="169"/>
      <c r="T42" s="169"/>
      <c r="U42" s="169"/>
      <c r="V42" s="169"/>
      <c r="W42" s="169"/>
    </row>
    <row r="43" spans="1:23" x14ac:dyDescent="0.25">
      <c r="A43" s="163" t="s">
        <v>376</v>
      </c>
      <c r="B43" s="170">
        <f>'Income Statement'!BB66</f>
        <v>2.6113422828660138E-2</v>
      </c>
      <c r="C43" s="170">
        <f>'Income Statement'!BC66</f>
        <v>7.0589079428858392E-2</v>
      </c>
      <c r="D43" s="170">
        <f>'Income Statement'!BD66</f>
        <v>0.11001273664100042</v>
      </c>
      <c r="E43" s="170">
        <f>'Income Statement'!BE66</f>
        <v>0.13494108983799702</v>
      </c>
      <c r="F43" s="170">
        <f>'Income Statement'!BF66</f>
        <v>0.15406880937710454</v>
      </c>
      <c r="G43" s="170">
        <f>'Income Statement'!BG66</f>
        <v>0.13589083695244231</v>
      </c>
      <c r="H43" s="170">
        <f>'Income Statement'!BH66</f>
        <v>0.15092642092498654</v>
      </c>
      <c r="I43" s="170">
        <f>'Income Statement'!BI66</f>
        <v>0.11770362646275045</v>
      </c>
      <c r="J43" s="170">
        <f>'Income Statement'!BJ66</f>
        <v>0.12037646357665222</v>
      </c>
      <c r="K43" s="170">
        <f>'Income Statement'!BK66</f>
        <v>0.13790092280097244</v>
      </c>
      <c r="L43" s="170">
        <f>'Income Statement'!BL66</f>
        <v>0.1594915484660353</v>
      </c>
      <c r="M43" s="192">
        <f>'Income Statement'!BM66</f>
        <v>0.16264206924273905</v>
      </c>
      <c r="N43" s="170">
        <f>'Income Statement'!BN66</f>
        <v>0.14979772991456786</v>
      </c>
      <c r="O43" s="170">
        <f>'Income Statement'!BO66</f>
        <v>0.13955603922097315</v>
      </c>
      <c r="P43" s="170">
        <f>'Income Statement'!BP66</f>
        <v>0.13806203846646548</v>
      </c>
      <c r="Q43" s="170">
        <f>'Income Statement'!BQ66</f>
        <v>0.12311912939879566</v>
      </c>
      <c r="R43" s="158"/>
      <c r="S43" s="171">
        <f>'Income Statement'!CU66</f>
        <v>9.7808156437157789E-2</v>
      </c>
      <c r="T43" s="171">
        <f>'Income Statement'!CV66</f>
        <v>8.6827702272695095E-2</v>
      </c>
      <c r="U43" s="171">
        <f>'Income Statement'!CW66</f>
        <v>0.13866243322901561</v>
      </c>
      <c r="V43" s="171">
        <f>'Income Statement'!CX66</f>
        <v>0.14613224970652294</v>
      </c>
      <c r="W43" s="171">
        <f>'Income Statement'!CY66</f>
        <v>0.1368830812752353</v>
      </c>
    </row>
    <row r="44" spans="1:23" x14ac:dyDescent="0.25">
      <c r="A44" s="163" t="s">
        <v>372</v>
      </c>
      <c r="B44" s="174">
        <f>'Income Statement'!BB176</f>
        <v>1.9863584296573977E-2</v>
      </c>
      <c r="C44" s="174">
        <f>'Income Statement'!BC176</f>
        <v>7.8497258785781066E-2</v>
      </c>
      <c r="D44" s="174">
        <f>'Income Statement'!BD176</f>
        <v>0.14577951178362425</v>
      </c>
      <c r="E44" s="174">
        <f>'Income Statement'!BE176</f>
        <v>0.19724364958482776</v>
      </c>
      <c r="F44" s="174">
        <f>'Income Statement'!BF176</f>
        <v>0.19532865347798345</v>
      </c>
      <c r="G44" s="174">
        <f>'Income Statement'!BG176</f>
        <v>0.15336862818590702</v>
      </c>
      <c r="H44" s="174">
        <f>'Income Statement'!BH176</f>
        <v>0.19165286213878141</v>
      </c>
      <c r="I44" s="174">
        <f>'Income Statement'!BI176</f>
        <v>0.14611675387298662</v>
      </c>
      <c r="J44" s="174">
        <f>'Income Statement'!BJ176</f>
        <v>0.15046874666324994</v>
      </c>
      <c r="K44" s="174">
        <f>'Income Statement'!BK176</f>
        <v>0.16561389255610837</v>
      </c>
      <c r="L44" s="174">
        <f>'Income Statement'!BL176</f>
        <v>0.17729852878711827</v>
      </c>
      <c r="M44" s="192">
        <f>'Income Statement'!BM176</f>
        <v>0.15312914857493265</v>
      </c>
      <c r="N44" s="174">
        <f>'Income Statement'!BN176</f>
        <v>0.1435019277841032</v>
      </c>
      <c r="O44" s="174">
        <f>'Income Statement'!BO176</f>
        <v>0.13385649515139297</v>
      </c>
      <c r="P44" s="174">
        <f>'Income Statement'!BP176</f>
        <v>0.12595243141222845</v>
      </c>
      <c r="Q44" s="174">
        <f>'Income Statement'!BQ176</f>
        <v>0.1123507513995301</v>
      </c>
      <c r="R44" s="158"/>
      <c r="S44" s="171">
        <f>'Income Statement'!CU176</f>
        <v>6.7724168018650666E-2</v>
      </c>
      <c r="T44" s="171">
        <f>'Income Statement'!CV176</f>
        <v>0.11127284799499471</v>
      </c>
      <c r="U44" s="171">
        <f>'Income Statement'!CW176</f>
        <v>0.17034160241752949</v>
      </c>
      <c r="V44" s="171">
        <f>'Income Statement'!CX176</f>
        <v>0.16168012548500554</v>
      </c>
      <c r="W44" s="171">
        <f>'Income Statement'!CY176</f>
        <v>0.12816236705799766</v>
      </c>
    </row>
    <row r="45" spans="1:23" x14ac:dyDescent="0.25">
      <c r="A45" s="163" t="s">
        <v>377</v>
      </c>
      <c r="B45" s="213">
        <f>'Income Statement'!BB174</f>
        <v>-110.08130477083378</v>
      </c>
      <c r="C45" s="213">
        <f>'Income Statement'!BC174</f>
        <v>-9.3967749183343496</v>
      </c>
      <c r="D45" s="213">
        <f>'Income Statement'!BD174</f>
        <v>161.66762864867067</v>
      </c>
      <c r="E45" s="213">
        <f>'Income Statement'!BE174</f>
        <v>289.74751602359186</v>
      </c>
      <c r="F45" s="213">
        <f>'Income Statement'!BF174</f>
        <v>181.15523885610551</v>
      </c>
      <c r="G45" s="213">
        <f>'Income Statement'!BG174</f>
        <v>22.27810135763675</v>
      </c>
      <c r="H45" s="213">
        <f>'Income Statement'!BH174</f>
        <v>161.80264124095456</v>
      </c>
      <c r="I45" s="213">
        <f>'Income Statement'!BI174</f>
        <v>104.90980819219287</v>
      </c>
      <c r="J45" s="213">
        <f>'Income Statement'!BJ174</f>
        <v>115.72285035988395</v>
      </c>
      <c r="K45" s="213">
        <f>'Income Statement'!BK174</f>
        <v>122.37347318588054</v>
      </c>
      <c r="L45" s="213">
        <f>'Income Statement'!BL174</f>
        <v>23.54494935417506</v>
      </c>
      <c r="M45" s="215">
        <f>'Income Statement'!BM174</f>
        <v>-100.00000000000009</v>
      </c>
      <c r="N45" s="213">
        <f>'Income Statement'!BN174</f>
        <v>-124.99999999999956</v>
      </c>
      <c r="O45" s="213">
        <f>'Income Statement'!BO174</f>
        <v>-125.00000000000067</v>
      </c>
      <c r="P45" s="213">
        <f>'Income Statement'!BP174</f>
        <v>-125.00000000000067</v>
      </c>
      <c r="Q45" s="213">
        <f>'Income Statement'!BQ174</f>
        <v>-125.00000000000067</v>
      </c>
      <c r="R45" s="158"/>
      <c r="S45" s="214">
        <f>'Income Statement'!CU174</f>
        <v>-220.27655364759147</v>
      </c>
      <c r="T45" s="214">
        <f>'Income Statement'!CV174</f>
        <v>88.707490163508766</v>
      </c>
      <c r="U45" s="214">
        <f>'Income Statement'!CW174</f>
        <v>116.89919211954836</v>
      </c>
      <c r="V45" s="214">
        <f>'Income Statement'!CX174</f>
        <v>33.147002312914339</v>
      </c>
      <c r="W45" s="214">
        <f>'Income Statement'!CY174</f>
        <v>-123.86972909427473</v>
      </c>
    </row>
    <row r="46" spans="1:23" x14ac:dyDescent="0.25">
      <c r="A46" s="184" t="s">
        <v>373</v>
      </c>
      <c r="B46" s="170">
        <f>'Income Statement'!BB199</f>
        <v>0.18790260945518078</v>
      </c>
      <c r="C46" s="170">
        <f>'Income Statement'!BC199</f>
        <v>3.5870429252782277E-2</v>
      </c>
      <c r="D46" s="170">
        <f>'Income Statement'!BD199</f>
        <v>6.3560748112890142E-2</v>
      </c>
      <c r="E46" s="170">
        <f>'Income Statement'!BE199</f>
        <v>0.11052958396167845</v>
      </c>
      <c r="F46" s="170">
        <f>'Income Statement'!BF199</f>
        <v>-1.8612132352941124E-2</v>
      </c>
      <c r="G46" s="170">
        <f>'Income Statement'!BG199</f>
        <v>4.6043165467625879E-2</v>
      </c>
      <c r="H46" s="170">
        <f>'Income Statement'!BH199</f>
        <v>5.2077211699290249E-2</v>
      </c>
      <c r="I46" s="170">
        <f>'Income Statement'!BI199</f>
        <v>-6.150651010464081E-3</v>
      </c>
      <c r="J46" s="170">
        <f>'Income Statement'!BJ199</f>
        <v>8.9534066963240511E-2</v>
      </c>
      <c r="K46" s="170">
        <f>'Income Statement'!BK199</f>
        <v>0.1975240715268225</v>
      </c>
      <c r="L46" s="170">
        <f>'Income Statement'!BL199</f>
        <v>0.27826236411292049</v>
      </c>
      <c r="M46" s="192">
        <f>'Income Statement'!BM199</f>
        <v>0.11353399774955797</v>
      </c>
      <c r="N46" s="170">
        <f>'Income Statement'!BN199</f>
        <v>9.1726049770060492E-2</v>
      </c>
      <c r="O46" s="170">
        <f>'Income Statement'!BO199</f>
        <v>3.7085726319013634E-2</v>
      </c>
      <c r="P46" s="170">
        <f>'Income Statement'!BP199</f>
        <v>-1.9628895088910636E-2</v>
      </c>
      <c r="Q46" s="170">
        <f>'Income Statement'!BQ199</f>
        <v>0.1038610705910461</v>
      </c>
      <c r="R46" s="158"/>
      <c r="S46" s="171">
        <f>'Income Statement'!CU199</f>
        <v>0.2030919039774064</v>
      </c>
      <c r="T46" s="171">
        <f>'Income Statement'!CV199</f>
        <v>9.7541294274431145E-2</v>
      </c>
      <c r="U46" s="171">
        <f>'Income Statement'!CW199</f>
        <v>1.7299958783098868E-2</v>
      </c>
      <c r="V46" s="171">
        <f>'Income Statement'!CX199</f>
        <v>0.16996101706051103</v>
      </c>
      <c r="W46" s="171">
        <f>'Income Statement'!CY199</f>
        <v>5.0511039637719524E-2</v>
      </c>
    </row>
    <row r="47" spans="1:23" x14ac:dyDescent="0.25">
      <c r="A47" s="166" t="s">
        <v>374</v>
      </c>
      <c r="B47" s="172">
        <f>'Income Statement'!BB182</f>
        <v>0.25759403443360007</v>
      </c>
      <c r="C47" s="172">
        <f>'Income Statement'!BC182</f>
        <v>7.590692002845234E-2</v>
      </c>
      <c r="D47" s="172">
        <f>'Income Statement'!BD182</f>
        <v>9.5882410201499013E-2</v>
      </c>
      <c r="E47" s="172">
        <f>'Income Statement'!BE182</f>
        <v>0.17979935716372841</v>
      </c>
      <c r="F47" s="172">
        <f>'Income Statement'!BF182</f>
        <v>3.7931635856295776E-2</v>
      </c>
      <c r="G47" s="172">
        <f>'Income Statement'!BG182</f>
        <v>0.12013600302228933</v>
      </c>
      <c r="H47" s="172">
        <f>'Income Statement'!BH182</f>
        <v>0.10561378575235381</v>
      </c>
      <c r="I47" s="172">
        <f>'Income Statement'!BI182</f>
        <v>8.2803599438619591E-2</v>
      </c>
      <c r="J47" s="172">
        <f>'Income Statement'!BJ182</f>
        <v>0.13887255313786451</v>
      </c>
      <c r="K47" s="172">
        <f>'Income Statement'!BK182</f>
        <v>0.16424957841483989</v>
      </c>
      <c r="L47" s="172">
        <f>'Income Statement'!BL182</f>
        <v>0.21724110227364024</v>
      </c>
      <c r="M47" s="185">
        <f>'Income Statement'!BM182</f>
        <v>0.17499999999999999</v>
      </c>
      <c r="N47" s="172">
        <f>'Income Statement'!BN182</f>
        <v>0.15</v>
      </c>
      <c r="O47" s="172">
        <f>'Income Statement'!BO182</f>
        <v>0.13</v>
      </c>
      <c r="P47" s="172">
        <f>'Income Statement'!BP182</f>
        <v>0.14499999999999999</v>
      </c>
      <c r="Q47" s="172">
        <f>'Income Statement'!BQ182</f>
        <v>0.14499999999999999</v>
      </c>
      <c r="R47" s="158"/>
      <c r="S47" s="173">
        <f>'Income Statement'!CU182</f>
        <v>0.25150497433622721</v>
      </c>
      <c r="T47" s="173">
        <f>'Income Statement'!CV182</f>
        <v>0.15005063291139242</v>
      </c>
      <c r="U47" s="173">
        <f>'Income Statement'!CW182</f>
        <v>8.583001298787063E-2</v>
      </c>
      <c r="V47" s="173">
        <f>'Income Statement'!CX182</f>
        <v>0.17435632323723804</v>
      </c>
      <c r="W47" s="173">
        <f>'Income Statement'!CY182</f>
        <v>0.14259452960054397</v>
      </c>
    </row>
    <row r="48" spans="1:23" x14ac:dyDescent="0.25">
      <c r="A48" s="166" t="s">
        <v>110</v>
      </c>
      <c r="B48" s="172">
        <f>'Income Statement'!BB187</f>
        <v>0.12154506437768231</v>
      </c>
      <c r="C48" s="172">
        <f>'Income Statement'!BC187</f>
        <v>2.2775263951734459E-2</v>
      </c>
      <c r="D48" s="172">
        <f>'Income Statement'!BD187</f>
        <v>-6.4944436426612739E-3</v>
      </c>
      <c r="E48" s="172">
        <f>'Income Statement'!BE187</f>
        <v>7.4620632047890822E-2</v>
      </c>
      <c r="F48" s="172">
        <f>'Income Statement'!BF187</f>
        <v>-1.6378386652380228E-2</v>
      </c>
      <c r="G48" s="172">
        <f>'Income Statement'!BG187</f>
        <v>1.6221796195250437E-3</v>
      </c>
      <c r="H48" s="172">
        <f>'Income Statement'!BH187</f>
        <v>4.9825682742591582E-2</v>
      </c>
      <c r="I48" s="172">
        <f>'Income Statement'!BI187</f>
        <v>-4.6119963725871238E-2</v>
      </c>
      <c r="J48" s="172">
        <f>'Income Statement'!BJ187</f>
        <v>-3.9526921879863064E-2</v>
      </c>
      <c r="K48" s="172">
        <f>'Income Statement'!BK187</f>
        <v>4.5494699646643211E-2</v>
      </c>
      <c r="L48" s="172">
        <f>'Income Statement'!BL187</f>
        <v>-3.0441400304414001E-3</v>
      </c>
      <c r="M48" s="185">
        <f>'Income Statement'!BM187</f>
        <v>0.06</v>
      </c>
      <c r="N48" s="172">
        <f>'Income Statement'!BN187</f>
        <v>4.4999999999999998E-2</v>
      </c>
      <c r="O48" s="172">
        <f>'Income Statement'!BO187</f>
        <v>4.4999999999999998E-2</v>
      </c>
      <c r="P48" s="172">
        <f>'Income Statement'!BP187</f>
        <v>4.4999999999999998E-2</v>
      </c>
      <c r="Q48" s="172">
        <f>'Income Statement'!BQ187</f>
        <v>4.4999999999999998E-2</v>
      </c>
      <c r="R48" s="158"/>
      <c r="S48" s="173">
        <f>'Income Statement'!CU187</f>
        <v>0.15952339385474867</v>
      </c>
      <c r="T48" s="173">
        <f>'Income Statement'!CV187</f>
        <v>5.081492076636418E-2</v>
      </c>
      <c r="U48" s="173">
        <f>'Income Statement'!CW187</f>
        <v>-3.9044309918687681E-3</v>
      </c>
      <c r="V48" s="173">
        <f>'Income Statement'!CX187</f>
        <v>1.7073504027617981E-2</v>
      </c>
      <c r="W48" s="173">
        <f>'Income Statement'!CY187</f>
        <v>4.4999999999999929E-2</v>
      </c>
    </row>
    <row r="49" spans="1:23" x14ac:dyDescent="0.25">
      <c r="A49" s="166" t="s">
        <v>111</v>
      </c>
      <c r="B49" s="172">
        <f>'Income Statement'!BB192</f>
        <v>0.11410788381742742</v>
      </c>
      <c r="C49" s="172">
        <f>'Income Statement'!BC192</f>
        <v>-4.8126879956248314E-2</v>
      </c>
      <c r="D49" s="172">
        <f>'Income Statement'!BD192</f>
        <v>0.10619961078676665</v>
      </c>
      <c r="E49" s="172">
        <f>'Income Statement'!BE192</f>
        <v>2.1585557299842906E-2</v>
      </c>
      <c r="F49" s="172">
        <f>'Income Statement'!BF192</f>
        <v>-0.19499866985900505</v>
      </c>
      <c r="G49" s="172">
        <f>'Income Statement'!BG192</f>
        <v>-9.2789428325193879E-2</v>
      </c>
      <c r="H49" s="172">
        <f>'Income Statement'!BH192</f>
        <v>-9.5501382256848455E-2</v>
      </c>
      <c r="I49" s="172">
        <f>'Income Statement'!BI192</f>
        <v>-0.153860929696504</v>
      </c>
      <c r="J49" s="172">
        <f>'Income Statement'!BJ192</f>
        <v>0.16953073364177129</v>
      </c>
      <c r="K49" s="172">
        <f>'Income Statement'!BK192</f>
        <v>0.64946168461051301</v>
      </c>
      <c r="L49" s="172">
        <f>'Income Statement'!BL192</f>
        <v>1.0541817171436509</v>
      </c>
      <c r="M49" s="185">
        <f>'Income Statement'!BM192</f>
        <v>0.02</v>
      </c>
      <c r="N49" s="172">
        <f>'Income Statement'!BN192</f>
        <v>-0.05</v>
      </c>
      <c r="O49" s="172">
        <f>'Income Statement'!BO192</f>
        <v>-0.22</v>
      </c>
      <c r="P49" s="172">
        <f>'Income Statement'!BP192</f>
        <v>-0.42</v>
      </c>
      <c r="Q49" s="172">
        <f>'Income Statement'!BQ192</f>
        <v>6.5000000000000002E-2</v>
      </c>
      <c r="R49" s="158"/>
      <c r="S49" s="173">
        <f>'Income Statement'!CU192</f>
        <v>0.16387860843819402</v>
      </c>
      <c r="T49" s="173">
        <f>'Income Statement'!CV192</f>
        <v>4.4581531416942211E-2</v>
      </c>
      <c r="U49" s="173">
        <f>'Income Statement'!CW192</f>
        <v>-0.13619482496194824</v>
      </c>
      <c r="V49" s="173">
        <f>'Income Statement'!CX192</f>
        <v>0.45433464899915421</v>
      </c>
      <c r="W49" s="173">
        <f>'Income Statement'!CY192</f>
        <v>-0.20044191411304568</v>
      </c>
    </row>
    <row r="50" spans="1:23" x14ac:dyDescent="0.25">
      <c r="A50" s="207" t="s">
        <v>120</v>
      </c>
      <c r="B50" s="172">
        <f>'Income Statement'!BB231</f>
        <v>0.17317939609236244</v>
      </c>
      <c r="C50" s="172">
        <f>'Income Statement'!BC231</f>
        <v>0.20744458385612718</v>
      </c>
      <c r="D50" s="172">
        <f>'Income Statement'!BD231</f>
        <v>0.15413987138263674</v>
      </c>
      <c r="E50" s="172">
        <f>'Income Statement'!BE231</f>
        <v>0.10960784313725491</v>
      </c>
      <c r="F50" s="172">
        <f>'Income Statement'!BF231</f>
        <v>-3.7850113550340625E-3</v>
      </c>
      <c r="G50" s="172">
        <f>'Income Statement'!BG231</f>
        <v>1.5760304814686599E-2</v>
      </c>
      <c r="H50" s="172">
        <f>'Income Statement'!BH231</f>
        <v>1.7934877241859715E-2</v>
      </c>
      <c r="I50" s="172">
        <f>'Income Statement'!BI231</f>
        <v>2.6683159568828385E-2</v>
      </c>
      <c r="J50" s="172">
        <f>'Income Statement'!BJ231</f>
        <v>4.7872340425531901E-2</v>
      </c>
      <c r="K50" s="172">
        <f>'Income Statement'!BK231</f>
        <v>2.2676896845694738E-2</v>
      </c>
      <c r="L50" s="172">
        <f>'Income Statement'!BL231</f>
        <v>8.9291823469038745E-2</v>
      </c>
      <c r="M50" s="185">
        <f>'Income Statement'!BM231</f>
        <v>0.1</v>
      </c>
      <c r="N50" s="172">
        <f>'Income Statement'!BN231</f>
        <v>0.09</v>
      </c>
      <c r="O50" s="172">
        <f>'Income Statement'!BO231</f>
        <v>0.09</v>
      </c>
      <c r="P50" s="172">
        <f>'Income Statement'!BP231</f>
        <v>0.09</v>
      </c>
      <c r="Q50" s="172">
        <f>'Income Statement'!BQ231</f>
        <v>0.09</v>
      </c>
      <c r="R50" s="158"/>
      <c r="S50" s="173">
        <f>'Income Statement'!CU231</f>
        <v>0.25923517169614985</v>
      </c>
      <c r="T50" s="173">
        <f>'Income Statement'!CV231</f>
        <v>0.16000413180456574</v>
      </c>
      <c r="U50" s="173">
        <f>'Income Statement'!CW231</f>
        <v>1.4470169189670479E-2</v>
      </c>
      <c r="V50" s="173">
        <f>'Income Statement'!CX231</f>
        <v>6.5306122448979487E-2</v>
      </c>
      <c r="W50" s="173">
        <f>'Income Statement'!CY231</f>
        <v>9.0000000000000302E-2</v>
      </c>
    </row>
    <row r="51" spans="1:23" x14ac:dyDescent="0.25">
      <c r="A51" s="184" t="s">
        <v>114</v>
      </c>
      <c r="B51" s="170">
        <f>'Income Statement'!BB204</f>
        <v>-0.13332338011346667</v>
      </c>
      <c r="C51" s="170">
        <f>'Income Statement'!BC204</f>
        <v>0.12260319745026482</v>
      </c>
      <c r="D51" s="170">
        <f>'Income Statement'!BD204</f>
        <v>0.24557922381091335</v>
      </c>
      <c r="E51" s="170">
        <f>'Income Statement'!BE204</f>
        <v>0.30490088105726865</v>
      </c>
      <c r="F51" s="170">
        <f>'Income Statement'!BF204</f>
        <v>0.46264714326729828</v>
      </c>
      <c r="G51" s="170">
        <f>'Income Statement'!BG204</f>
        <v>0.25583844674420742</v>
      </c>
      <c r="H51" s="170">
        <f>'Income Statement'!BH204</f>
        <v>0.33631635665089266</v>
      </c>
      <c r="I51" s="170">
        <f>'Income Statement'!BI204</f>
        <v>0.30700088618812504</v>
      </c>
      <c r="J51" s="170">
        <f>'Income Statement'!BJ204</f>
        <v>0.20155464824120606</v>
      </c>
      <c r="K51" s="170">
        <f>'Income Statement'!BK204</f>
        <v>0.14023701002734734</v>
      </c>
      <c r="L51" s="170">
        <f>'Income Statement'!BL204</f>
        <v>9.491252059885702E-2</v>
      </c>
      <c r="M51" s="192">
        <f>'Income Statement'!BM204</f>
        <v>0.18494129287102679</v>
      </c>
      <c r="N51" s="170">
        <f>'Income Statement'!BN204</f>
        <v>0.18286248956129492</v>
      </c>
      <c r="O51" s="170">
        <f>'Income Statement'!BO204</f>
        <v>0.21468086726498359</v>
      </c>
      <c r="P51" s="170">
        <f>'Income Statement'!BP204</f>
        <v>0.2646388308640788</v>
      </c>
      <c r="Q51" s="170">
        <f>'Income Statement'!BQ204</f>
        <v>0.11876061741102628</v>
      </c>
      <c r="R51" s="158"/>
      <c r="S51" s="171">
        <f>'Income Statement'!CU204</f>
        <v>-4.9190741164214735E-2</v>
      </c>
      <c r="T51" s="171">
        <f>'Income Statement'!CV204</f>
        <v>0.12627936185564259</v>
      </c>
      <c r="U51" s="171">
        <f>'Income Statement'!CW204</f>
        <v>0.33332542441246593</v>
      </c>
      <c r="V51" s="171">
        <f>'Income Statement'!CX204</f>
        <v>0.15495152347007246</v>
      </c>
      <c r="W51" s="171">
        <f>'Income Statement'!CY204</f>
        <v>0.19207758328765334</v>
      </c>
    </row>
    <row r="52" spans="1:23" x14ac:dyDescent="0.25">
      <c r="A52" s="220" t="s">
        <v>381</v>
      </c>
      <c r="B52" s="224">
        <f>'Income Statement'!BB210</f>
        <v>-1.0740454193783333E-2</v>
      </c>
      <c r="C52" s="224">
        <f>'Income Statement'!BC210</f>
        <v>8.4778687387262464E-2</v>
      </c>
      <c r="D52" s="224">
        <f>'Income Statement'!BD210</f>
        <v>0.26764814912884605</v>
      </c>
      <c r="E52" s="224">
        <f>'Income Statement'!BE210</f>
        <v>0.32182771239244379</v>
      </c>
      <c r="F52" s="224">
        <f>'Income Statement'!BF210</f>
        <v>0.28338777200165621</v>
      </c>
      <c r="G52" s="224">
        <f>'Income Statement'!BG210</f>
        <v>0.26519996589067962</v>
      </c>
      <c r="H52" s="224">
        <f>'Income Statement'!BH210</f>
        <v>0.28905042402974468</v>
      </c>
      <c r="I52" s="224">
        <f>'Income Statement'!BI210</f>
        <v>0.22843247287691737</v>
      </c>
      <c r="J52" s="224">
        <f>'Income Statement'!BJ210</f>
        <v>0.17152381976556619</v>
      </c>
      <c r="K52" s="224">
        <f>'Income Statement'!BK210</f>
        <v>0.11420772393340961</v>
      </c>
      <c r="L52" s="224">
        <f>'Income Statement'!BL210</f>
        <v>8.6563391236712528E-2</v>
      </c>
      <c r="M52" s="354">
        <f>'Income Statement'!BM210</f>
        <v>0.12946660230641172</v>
      </c>
      <c r="N52" s="224">
        <f>'Income Statement'!BN210</f>
        <v>0.13144267455851821</v>
      </c>
      <c r="O52" s="224">
        <f>'Income Statement'!BO210</f>
        <v>0.12240790670879997</v>
      </c>
      <c r="P52" s="224">
        <f>'Income Statement'!BP210</f>
        <v>0.17726032832181504</v>
      </c>
      <c r="Q52" s="224">
        <f>'Income Statement'!BQ210</f>
        <v>0.10465785560385488</v>
      </c>
      <c r="R52" s="158"/>
      <c r="S52" s="225">
        <f>'Income Statement'!CU210</f>
        <v>-6.1646167112966888E-2</v>
      </c>
      <c r="T52" s="225">
        <f>'Income Statement'!CV210</f>
        <v>0.15911921546814356</v>
      </c>
      <c r="U52" s="225">
        <f>'Income Statement'!CW210</f>
        <v>0.26502743641636584</v>
      </c>
      <c r="V52" s="225">
        <f>'Income Statement'!CX210</f>
        <v>0.12449110902198801</v>
      </c>
      <c r="W52" s="225">
        <f>'Income Statement'!CY210</f>
        <v>0.13323235212176643</v>
      </c>
    </row>
    <row r="53" spans="1:23" x14ac:dyDescent="0.25">
      <c r="A53" s="220" t="s">
        <v>382</v>
      </c>
      <c r="B53" s="224" t="str">
        <f>'Income Statement'!BB216</f>
        <v>n/a</v>
      </c>
      <c r="C53" s="224" t="str">
        <f>'Income Statement'!BC216</f>
        <v>n/a</v>
      </c>
      <c r="D53" s="224" t="str">
        <f>'Income Statement'!BD216</f>
        <v>n/a</v>
      </c>
      <c r="E53" s="224" t="str">
        <f>'Income Statement'!BE216</f>
        <v>n/a</v>
      </c>
      <c r="F53" s="224">
        <f>'Income Statement'!BF216</f>
        <v>3.7120418848167542</v>
      </c>
      <c r="G53" s="224">
        <f>'Income Statement'!BG216</f>
        <v>1.9670886075949365</v>
      </c>
      <c r="H53" s="224">
        <f>'Income Statement'!BH216</f>
        <v>6.3195488721804507</v>
      </c>
      <c r="I53" s="224">
        <f>'Income Statement'!BI216</f>
        <v>1.4224537037037037</v>
      </c>
      <c r="J53" s="224">
        <f>'Income Statement'!BJ216</f>
        <v>1.4188888888888891</v>
      </c>
      <c r="K53" s="224">
        <f>'Income Statement'!BK216</f>
        <v>1.4112627986348123</v>
      </c>
      <c r="L53" s="224">
        <f>'Income Statement'!BL216</f>
        <v>0.84591679506933737</v>
      </c>
      <c r="M53" s="354">
        <f>'Income Statement'!BM216</f>
        <v>0.83923076923076922</v>
      </c>
      <c r="N53" s="224">
        <f>'Income Statement'!BN216</f>
        <v>0.75931281580156185</v>
      </c>
      <c r="O53" s="224">
        <f>'Income Statement'!BO216</f>
        <v>0.63912243453644724</v>
      </c>
      <c r="P53" s="224">
        <f>'Income Statement'!BP216</f>
        <v>0.51443480801335584</v>
      </c>
      <c r="Q53" s="224">
        <f>'Income Statement'!BQ216</f>
        <v>0.46739130434782594</v>
      </c>
      <c r="R53" s="158"/>
      <c r="S53" s="225">
        <f>'Income Statement'!CU216</f>
        <v>-0.15775635407537247</v>
      </c>
      <c r="T53" s="225" t="str">
        <f>'Income Statement'!CV216</f>
        <v>n/a</v>
      </c>
      <c r="U53" s="225">
        <f>'Income Statement'!CW216</f>
        <v>2.561771561771562</v>
      </c>
      <c r="V53" s="225">
        <f>'Income Statement'!CX216</f>
        <v>1.0364054319371729</v>
      </c>
      <c r="W53" s="225">
        <f>'Income Statement'!CY216</f>
        <v>0.57102675368436628</v>
      </c>
    </row>
    <row r="54" spans="1:23" x14ac:dyDescent="0.25">
      <c r="A54" s="220" t="s">
        <v>383</v>
      </c>
      <c r="B54" s="224">
        <f>'Income Statement'!BB221</f>
        <v>0.46706586826347296</v>
      </c>
      <c r="C54" s="224">
        <f>'Income Statement'!BC221</f>
        <v>-0.39283047050037345</v>
      </c>
      <c r="D54" s="224">
        <f>'Income Statement'!BD221</f>
        <v>-2.5306122448979562E-2</v>
      </c>
      <c r="E54" s="224">
        <f>'Income Statement'!BE221</f>
        <v>-0.30234438156831045</v>
      </c>
      <c r="F54" s="224">
        <f>'Income Statement'!BF221</f>
        <v>-0.16734693877551021</v>
      </c>
      <c r="G54" s="224">
        <f>'Income Statement'!BG221</f>
        <v>0.39483394833948338</v>
      </c>
      <c r="H54" s="224">
        <f>'Income Statement'!BH221</f>
        <v>-6.5326633165829096E-2</v>
      </c>
      <c r="I54" s="224">
        <f>'Income Statement'!BI221</f>
        <v>0.36037079953650064</v>
      </c>
      <c r="J54" s="224">
        <f>'Income Statement'!BJ221</f>
        <v>0.20196078431372544</v>
      </c>
      <c r="K54" s="224">
        <f>'Income Statement'!BK221</f>
        <v>9.8765432098765427E-2</v>
      </c>
      <c r="L54" s="224">
        <f>'Income Statement'!BL221</f>
        <v>0.27777777777777768</v>
      </c>
      <c r="M54" s="354">
        <f>'Income Statement'!BM221</f>
        <v>0.17035775127768304</v>
      </c>
      <c r="N54" s="224">
        <f>'Income Statement'!BN221</f>
        <v>0.16313213703099505</v>
      </c>
      <c r="O54" s="224">
        <f>'Income Statement'!BO221</f>
        <v>0.16051364365971099</v>
      </c>
      <c r="P54" s="224">
        <f>'Income Statement'!BP221</f>
        <v>0.14025245441795242</v>
      </c>
      <c r="Q54" s="224">
        <f>'Income Statement'!BQ221</f>
        <v>0.14556040756914124</v>
      </c>
      <c r="R54" s="158"/>
      <c r="S54" s="225">
        <f>'Income Statement'!CU221</f>
        <v>0.1444087879535918</v>
      </c>
      <c r="T54" s="225">
        <f>'Income Statement'!CV221</f>
        <v>-0.11669542709232095</v>
      </c>
      <c r="U54" s="225">
        <f>'Income Statement'!CW221</f>
        <v>8.5225885225885145E-2</v>
      </c>
      <c r="V54" s="225">
        <f>'Income Statement'!CX221</f>
        <v>0.18631863186318642</v>
      </c>
      <c r="W54" s="225">
        <f>'Income Statement'!CY221</f>
        <v>0.15174506828528078</v>
      </c>
    </row>
    <row r="55" spans="1:23" x14ac:dyDescent="0.25">
      <c r="A55" s="163" t="s">
        <v>135</v>
      </c>
      <c r="B55" s="170">
        <f>'Income Statement'!BB270</f>
        <v>-8.4266244828425374E-2</v>
      </c>
      <c r="C55" s="170">
        <f>'Income Statement'!BC270</f>
        <v>0.147856517935258</v>
      </c>
      <c r="D55" s="170">
        <f>'Income Statement'!BD270</f>
        <v>0.41545650611071161</v>
      </c>
      <c r="E55" s="170">
        <f>'Income Statement'!BE270</f>
        <v>0.51842337052260712</v>
      </c>
      <c r="F55" s="170">
        <f>'Income Statement'!BF270</f>
        <v>0.57212145372400514</v>
      </c>
      <c r="G55" s="170">
        <f>'Income Statement'!BG270</f>
        <v>0.28587761324041816</v>
      </c>
      <c r="H55" s="170">
        <f>'Income Statement'!BH270</f>
        <v>0.33582203260703936</v>
      </c>
      <c r="I55" s="170">
        <f>'Income Statement'!BI270</f>
        <v>0.28273795137042579</v>
      </c>
      <c r="J55" s="170">
        <f>'Income Statement'!BJ270</f>
        <v>0.45972445270898477</v>
      </c>
      <c r="K55" s="170">
        <f>'Income Statement'!BK270</f>
        <v>0.19378466488843737</v>
      </c>
      <c r="L55" s="170">
        <f>'Income Statement'!BL270</f>
        <v>0.32994943158054824</v>
      </c>
      <c r="M55" s="192">
        <f>'Income Statement'!BM270</f>
        <v>0.14770991854160842</v>
      </c>
      <c r="N55" s="170">
        <f>'Income Statement'!BN270</f>
        <v>-0.12147077223742631</v>
      </c>
      <c r="O55" s="170">
        <f>'Income Statement'!BO270</f>
        <v>0.1339806929101548</v>
      </c>
      <c r="P55" s="170">
        <f>'Income Statement'!BP270</f>
        <v>-5.7358288108538158E-2</v>
      </c>
      <c r="Q55" s="170">
        <f>'Income Statement'!BQ270</f>
        <v>0.12701814504619446</v>
      </c>
      <c r="R55" s="158"/>
      <c r="S55" s="171">
        <f>'Income Statement'!CU270</f>
        <v>-0.21123722594136751</v>
      </c>
      <c r="T55" s="171">
        <f>'Income Statement'!CV270</f>
        <v>0.23049089575135073</v>
      </c>
      <c r="U55" s="171">
        <f>'Income Statement'!CW270</f>
        <v>0.35670438376583768</v>
      </c>
      <c r="V55" s="171">
        <f>'Income Statement'!CX270</f>
        <v>0.28019567308995508</v>
      </c>
      <c r="W55" s="171">
        <f>'Income Statement'!CY270</f>
        <v>1.1267801831011948E-2</v>
      </c>
    </row>
    <row r="56" spans="1:23" x14ac:dyDescent="0.25">
      <c r="A56" s="163" t="s">
        <v>283</v>
      </c>
      <c r="B56" s="170">
        <f>'Income Statement'!BB280</f>
        <v>-4.6558552603073067E-2</v>
      </c>
      <c r="C56" s="170">
        <f>'Income Statement'!BC280</f>
        <v>0.19057289571802594</v>
      </c>
      <c r="D56" s="170">
        <f>'Income Statement'!BD280</f>
        <v>0.4601633475529292</v>
      </c>
      <c r="E56" s="170">
        <f>'Income Statement'!BE280</f>
        <v>0.55999265022664613</v>
      </c>
      <c r="F56" s="170">
        <f>'Income Statement'!BF280</f>
        <v>0.60926905093820705</v>
      </c>
      <c r="G56" s="170">
        <f>'Income Statement'!BG280</f>
        <v>0.31356077274115224</v>
      </c>
      <c r="H56" s="170">
        <f>'Income Statement'!BH280</f>
        <v>0.36561691971809096</v>
      </c>
      <c r="I56" s="170">
        <f>'Income Statement'!BI280</f>
        <v>0.30912404139699601</v>
      </c>
      <c r="J56" s="170">
        <f>'Income Statement'!BJ280</f>
        <v>0.48775268237616554</v>
      </c>
      <c r="K56" s="170">
        <f>'Income Statement'!BK280</f>
        <v>0.22285123690613418</v>
      </c>
      <c r="L56" s="170">
        <f>'Income Statement'!BL280</f>
        <v>0.35349028851912068</v>
      </c>
      <c r="M56" s="192">
        <f>'Income Statement'!BM280</f>
        <v>0.16433746051685838</v>
      </c>
      <c r="N56" s="170">
        <f>'Income Statement'!BN280</f>
        <v>-0.11071579661359965</v>
      </c>
      <c r="O56" s="170">
        <f>'Income Statement'!BO280</f>
        <v>0.14185761318003576</v>
      </c>
      <c r="P56" s="170">
        <f>'Income Statement'!BP280</f>
        <v>-4.8384489683595544E-2</v>
      </c>
      <c r="Q56" s="170">
        <f>'Income Statement'!BQ280</f>
        <v>0.13713386609383682</v>
      </c>
      <c r="R56" s="158"/>
      <c r="S56" s="171">
        <f>'Income Statement'!CU280</f>
        <v>-0.18756146392509465</v>
      </c>
      <c r="T56" s="171">
        <f>'Income Statement'!CV280</f>
        <v>0.2727853476819202</v>
      </c>
      <c r="U56" s="171">
        <f>'Income Statement'!CW280</f>
        <v>0.38656937411726799</v>
      </c>
      <c r="V56" s="171">
        <f>'Income Statement'!CX280</f>
        <v>0.30443891639887011</v>
      </c>
      <c r="W56" s="171">
        <f>'Income Statement'!CY280</f>
        <v>2.0796993249927009E-2</v>
      </c>
    </row>
    <row r="57" spans="1:23" x14ac:dyDescent="0.25">
      <c r="A57" s="163" t="s">
        <v>181</v>
      </c>
      <c r="B57" s="170">
        <f>'Cash Flow Statement'!BB64</f>
        <v>-0.13716702965320826</v>
      </c>
      <c r="C57" s="170">
        <f>'Cash Flow Statement'!BC64</f>
        <v>8.0635491606714682E-2</v>
      </c>
      <c r="D57" s="170">
        <f>'Cash Flow Statement'!BD64</f>
        <v>0.18705443557905665</v>
      </c>
      <c r="E57" s="170">
        <f>'Cash Flow Statement'!BE64</f>
        <v>0.20804078529582748</v>
      </c>
      <c r="F57" s="170">
        <f>'Cash Flow Statement'!BF64</f>
        <v>0.40211640211640209</v>
      </c>
      <c r="G57" s="170">
        <f>'Cash Flow Statement'!BG64</f>
        <v>0.23372300376461275</v>
      </c>
      <c r="H57" s="170">
        <f>'Cash Flow Statement'!BH64</f>
        <v>0.29284492701746023</v>
      </c>
      <c r="I57" s="170">
        <f>'Cash Flow Statement'!BI64</f>
        <v>0.30222485469958915</v>
      </c>
      <c r="J57" s="170">
        <f>'Cash Flow Statement'!BJ64</f>
        <v>0.21492123939761121</v>
      </c>
      <c r="K57" s="170">
        <f>'Cash Flow Statement'!BK64</f>
        <v>0.16496964635595668</v>
      </c>
      <c r="L57" s="170">
        <f>'Cash Flow Statement'!BL64</f>
        <v>0.133298467975143</v>
      </c>
      <c r="M57" s="192">
        <f>'Cash Flow Statement'!BM64</f>
        <v>0.28004164036743795</v>
      </c>
      <c r="N57" s="170">
        <f>'Cash Flow Statement'!BN64</f>
        <v>0.22488004956678398</v>
      </c>
      <c r="O57" s="170">
        <f>'Cash Flow Statement'!BO64</f>
        <v>0.29136104087093417</v>
      </c>
      <c r="P57" s="170">
        <f>'Cash Flow Statement'!BP64</f>
        <v>0.3284440175903689</v>
      </c>
      <c r="Q57" s="170">
        <f>'Cash Flow Statement'!BQ64</f>
        <v>0.16191292746555708</v>
      </c>
      <c r="R57" s="158"/>
      <c r="S57" s="171">
        <f>'Cash Flow Statement'!CU64</f>
        <v>-4.2235752290055162E-3</v>
      </c>
      <c r="T57" s="171">
        <f>'Cash Flow Statement'!CV64</f>
        <v>7.9563732510741447E-2</v>
      </c>
      <c r="U57" s="171">
        <f>'Cash Flow Statement'!CW64</f>
        <v>0.30317781043350478</v>
      </c>
      <c r="V57" s="171">
        <f>'Cash Flow Statement'!CX64</f>
        <v>0.19990465840678895</v>
      </c>
      <c r="W57" s="171">
        <f>'Cash Flow Statement'!CY64</f>
        <v>0.24701101960935778</v>
      </c>
    </row>
    <row r="58" spans="1:23" x14ac:dyDescent="0.25">
      <c r="A58" s="158" t="s">
        <v>241</v>
      </c>
      <c r="B58" s="172">
        <f>'Capex &amp; Depreciation'!BB6</f>
        <v>-0.35734723073778862</v>
      </c>
      <c r="C58" s="172">
        <f>'Capex &amp; Depreciation'!BC6</f>
        <v>8.7873462214411724E-3</v>
      </c>
      <c r="D58" s="172">
        <f>'Capex &amp; Depreciation'!BD6</f>
        <v>0.1070643210555251</v>
      </c>
      <c r="E58" s="172">
        <f>'Capex &amp; Depreciation'!BE6</f>
        <v>0.45082290980908502</v>
      </c>
      <c r="F58" s="172">
        <f>'Capex &amp; Depreciation'!BF6</f>
        <v>0.91000159007791392</v>
      </c>
      <c r="G58" s="172">
        <f>'Capex &amp; Depreciation'!BG6</f>
        <v>0.9143437862950059</v>
      </c>
      <c r="H58" s="172">
        <f>'Capex &amp; Depreciation'!BH6</f>
        <v>0.62147734326505266</v>
      </c>
      <c r="I58" s="172">
        <f>'Capex &amp; Depreciation'!BI6</f>
        <v>0.29558036119430064</v>
      </c>
      <c r="J58" s="172">
        <f>'Capex &amp; Depreciation'!BJ6</f>
        <v>0.43165168165168155</v>
      </c>
      <c r="K58" s="172">
        <f>'Capex &amp; Depreciation'!BK6</f>
        <v>0.7022599726983163</v>
      </c>
      <c r="L58" s="172">
        <f>'Capex &amp; Depreciation'!BL6</f>
        <v>0.83393308322486792</v>
      </c>
      <c r="M58" s="185">
        <f>'Capex &amp; Depreciation'!BM6</f>
        <v>1</v>
      </c>
      <c r="N58" s="172">
        <f>'Capex &amp; Depreciation'!BN6</f>
        <v>0.32</v>
      </c>
      <c r="O58" s="172">
        <f>'Capex &amp; Depreciation'!BO6</f>
        <v>0.32</v>
      </c>
      <c r="P58" s="172">
        <f>'Capex &amp; Depreciation'!BP6</f>
        <v>0.32</v>
      </c>
      <c r="Q58" s="172">
        <f>'Capex &amp; Depreciation'!BQ6</f>
        <v>0.32</v>
      </c>
      <c r="R58" s="158"/>
      <c r="S58" s="173">
        <f>'Capex &amp; Depreciation'!CU6</f>
        <v>0.27780032467532467</v>
      </c>
      <c r="T58" s="173">
        <f>'Capex &amp; Depreciation'!CV6</f>
        <v>2.4329045577259123E-2</v>
      </c>
      <c r="U58" s="173">
        <f>'Capex &amp; Depreciation'!CW6</f>
        <v>0.62894173824067479</v>
      </c>
      <c r="V58" s="173">
        <f>'Capex &amp; Depreciation'!CX6</f>
        <v>0.75403064623584282</v>
      </c>
      <c r="W58" s="173">
        <f>'Capex &amp; Depreciation'!CY6</f>
        <v>0.32000000000000006</v>
      </c>
    </row>
    <row r="59" spans="1:23" x14ac:dyDescent="0.25">
      <c r="A59" s="163" t="s">
        <v>289</v>
      </c>
      <c r="B59" s="170">
        <f>'Cash Flow Statement'!BB79</f>
        <v>0.12402088772845943</v>
      </c>
      <c r="C59" s="170">
        <f>'Cash Flow Statement'!BC79</f>
        <v>0.72923614419564875</v>
      </c>
      <c r="D59" s="170">
        <f>'Cash Flow Statement'!BD79</f>
        <v>0.40579710144927539</v>
      </c>
      <c r="E59" s="170">
        <f>'Cash Flow Statement'!BE79</f>
        <v>-0.50708533616330609</v>
      </c>
      <c r="F59" s="170">
        <f>'Cash Flow Statement'!BF79</f>
        <v>-2.2299651567944223E-2</v>
      </c>
      <c r="G59" s="170">
        <f>'Cash Flow Statement'!BG79</f>
        <v>-0.3822205895858205</v>
      </c>
      <c r="H59" s="170">
        <f>'Cash Flow Statement'!BH79</f>
        <v>-0.21963629927879302</v>
      </c>
      <c r="I59" s="170">
        <f>'Cash Flow Statement'!BI79</f>
        <v>2.1455167173252279</v>
      </c>
      <c r="J59" s="170">
        <f>'Cash Flow Statement'!BJ79</f>
        <v>0.1257424566405323</v>
      </c>
      <c r="K59" s="170">
        <f>'Cash Flow Statement'!BK79</f>
        <v>-0.60599078341013823</v>
      </c>
      <c r="L59" s="170">
        <f>'Cash Flow Statement'!BL79</f>
        <v>0.38691387424165113</v>
      </c>
      <c r="M59" s="192">
        <f>'Cash Flow Statement'!BM79</f>
        <v>-1.0184568044976439</v>
      </c>
      <c r="N59" s="170">
        <f>'Cash Flow Statement'!BN79</f>
        <v>0.76111379228867437</v>
      </c>
      <c r="O59" s="170">
        <f>'Cash Flow Statement'!BO79</f>
        <v>-1.4695837914836891</v>
      </c>
      <c r="P59" s="170">
        <f>'Cash Flow Statement'!BP79</f>
        <v>1.4143895839723308E-2</v>
      </c>
      <c r="Q59" s="170" t="str">
        <f>'Cash Flow Statement'!BQ79</f>
        <v>n/a</v>
      </c>
      <c r="R59" s="158"/>
      <c r="S59" s="171">
        <f>'Cash Flow Statement'!CU79</f>
        <v>-0.10448874828388943</v>
      </c>
      <c r="T59" s="171">
        <f>'Cash Flow Statement'!CV79</f>
        <v>0.15805699050158317</v>
      </c>
      <c r="U59" s="171">
        <f>'Cash Flow Statement'!CW79</f>
        <v>4.7039355349305811E-2</v>
      </c>
      <c r="V59" s="171">
        <f>'Cash Flow Statement'!CX79</f>
        <v>-0.33680682278747709</v>
      </c>
      <c r="W59" s="171">
        <f>'Cash Flow Statement'!CY79</f>
        <v>0.50536888544946712</v>
      </c>
    </row>
    <row r="60" spans="1:23" ht="15.75" thickBot="1" x14ac:dyDescent="0.3">
      <c r="A60" s="163" t="s">
        <v>375</v>
      </c>
      <c r="B60" s="170">
        <f>'Cash Flow Statement'!BB86</f>
        <v>0.10355029585798814</v>
      </c>
      <c r="C60" s="170">
        <f>'Cash Flow Statement'!BC86</f>
        <v>1.0486431131592422</v>
      </c>
      <c r="D60" s="170">
        <f>'Cash Flow Statement'!BD86</f>
        <v>0.5186019277542564</v>
      </c>
      <c r="E60" s="170">
        <f>'Cash Flow Statement'!BE86</f>
        <v>-0.79512775895228505</v>
      </c>
      <c r="F60" s="170">
        <f>'Cash Flow Statement'!BF86</f>
        <v>-3.0495978552278813E-2</v>
      </c>
      <c r="G60" s="170">
        <f>'Cash Flow Statement'!BG86</f>
        <v>-0.52580604848787804</v>
      </c>
      <c r="H60" s="170">
        <f>'Cash Flow Statement'!BH86</f>
        <v>-0.30056946256969985</v>
      </c>
      <c r="I60" s="170">
        <f>'Cash Flow Statement'!BI86</f>
        <v>7.5055878408582917</v>
      </c>
      <c r="J60" s="170">
        <f>'Cash Flow Statement'!BJ86</f>
        <v>0.16116488074662971</v>
      </c>
      <c r="K60" s="170">
        <f>'Cash Flow Statement'!BK86</f>
        <v>-1.0918434576360523</v>
      </c>
      <c r="L60" s="170">
        <f>'Cash Flow Statement'!BL86</f>
        <v>0.53447544737511654</v>
      </c>
      <c r="M60" s="192">
        <f>'Cash Flow Statement'!BM86</f>
        <v>-1.359983794255951</v>
      </c>
      <c r="N60" s="170">
        <f>'Cash Flow Statement'!BN86</f>
        <v>1.0366115729141359</v>
      </c>
      <c r="O60" s="170">
        <f>'Cash Flow Statement'!BO86</f>
        <v>11.951339567654284</v>
      </c>
      <c r="P60" s="170">
        <f>'Cash Flow Statement'!BP86</f>
        <v>-1.2554367095812036E-2</v>
      </c>
      <c r="Q60" s="170" t="str">
        <f>'Cash Flow Statement'!BQ86</f>
        <v>n/a</v>
      </c>
      <c r="S60" s="175">
        <f>'Cash Flow Statement'!CU86</f>
        <v>-0.2127972732202339</v>
      </c>
      <c r="T60" s="175">
        <f>'Cash Flow Statement'!CV86</f>
        <v>0.15712950206652243</v>
      </c>
      <c r="U60" s="175">
        <f>'Cash Flow Statement'!CW86</f>
        <v>6.2591687041564814E-2</v>
      </c>
      <c r="V60" s="175">
        <f>'Cash Flow Statement'!CX86</f>
        <v>-0.52012668627439484</v>
      </c>
      <c r="W60" s="175">
        <f>'Cash Flow Statement'!CY86</f>
        <v>0.92575005655581299</v>
      </c>
    </row>
  </sheetData>
  <pageMargins left="0.7" right="0.7" top="0.75" bottom="0.75" header="0.3" footer="0.3"/>
  <pageSetup scale="22" orientation="landscape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6"/>
  <sheetViews>
    <sheetView showGridLines="0" zoomScaleNormal="100" workbookViewId="0">
      <selection activeCell="AH29" sqref="AH29"/>
    </sheetView>
  </sheetViews>
  <sheetFormatPr defaultRowHeight="15" outlineLevelCol="1" x14ac:dyDescent="0.25"/>
  <cols>
    <col min="1" max="1" width="36.140625" customWidth="1"/>
    <col min="2" max="5" width="9.5703125" hidden="1" customWidth="1" outlineLevel="1"/>
    <col min="6" max="6" width="9.5703125" customWidth="1" collapsed="1"/>
    <col min="7" max="12" width="9.5703125" customWidth="1"/>
    <col min="13" max="13" width="9.5703125" style="204" customWidth="1"/>
    <col min="14" max="17" width="9.5703125" customWidth="1"/>
    <col min="18" max="18" width="4.42578125" customWidth="1"/>
    <col min="19" max="19" width="10.140625" hidden="1" customWidth="1" outlineLevel="1"/>
    <col min="20" max="20" width="10.140625" customWidth="1" collapsed="1"/>
    <col min="21" max="23" width="10.140625" customWidth="1"/>
  </cols>
  <sheetData>
    <row r="1" spans="1:23" ht="20.25" x14ac:dyDescent="0.3">
      <c r="A1" s="218" t="s">
        <v>345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</row>
    <row r="2" spans="1:23" ht="15.75" thickBot="1" x14ac:dyDescent="0.3">
      <c r="A2" s="378" t="s">
        <v>363</v>
      </c>
      <c r="B2" s="378"/>
      <c r="C2" s="378"/>
      <c r="D2" s="157"/>
      <c r="E2" s="157"/>
      <c r="F2" s="157"/>
      <c r="G2" s="157"/>
      <c r="H2" s="157"/>
      <c r="I2" s="157"/>
      <c r="J2" s="157"/>
      <c r="K2" s="157"/>
      <c r="L2" s="157"/>
      <c r="M2" s="176"/>
      <c r="N2" s="157"/>
      <c r="O2" s="157"/>
      <c r="P2" s="157"/>
      <c r="Q2" s="157"/>
      <c r="R2" s="158"/>
      <c r="S2" s="158"/>
      <c r="T2" s="158"/>
      <c r="U2" s="158"/>
      <c r="V2" s="158"/>
      <c r="W2" s="158"/>
    </row>
    <row r="3" spans="1:23" x14ac:dyDescent="0.25">
      <c r="A3" s="159" t="s">
        <v>365</v>
      </c>
      <c r="B3" s="160" t="str">
        <f>'Income Statement'!BB1</f>
        <v>1Q23</v>
      </c>
      <c r="C3" s="160" t="str">
        <f>'Income Statement'!BC1</f>
        <v>2Q23</v>
      </c>
      <c r="D3" s="160" t="str">
        <f>'Income Statement'!BD1</f>
        <v>3Q23</v>
      </c>
      <c r="E3" s="160" t="str">
        <f>'Income Statement'!BE1</f>
        <v>4Q23</v>
      </c>
      <c r="F3" s="160" t="str">
        <f>'Income Statement'!BF1</f>
        <v>1Q24</v>
      </c>
      <c r="G3" s="160" t="str">
        <f>'Income Statement'!BG1</f>
        <v>2Q24</v>
      </c>
      <c r="H3" s="160" t="str">
        <f>'Income Statement'!BH1</f>
        <v>3Q24</v>
      </c>
      <c r="I3" s="160" t="str">
        <f>'Income Statement'!BI1</f>
        <v>4Q24</v>
      </c>
      <c r="J3" s="160" t="str">
        <f>'Income Statement'!BJ1</f>
        <v>1Q25</v>
      </c>
      <c r="K3" s="160" t="str">
        <f>'Income Statement'!BK1</f>
        <v>2Q25</v>
      </c>
      <c r="L3" s="160" t="str">
        <f>'Income Statement'!BL1</f>
        <v>3Q25</v>
      </c>
      <c r="M3" s="177" t="str">
        <f>'Income Statement'!BM1</f>
        <v>4Q25E</v>
      </c>
      <c r="N3" s="160" t="str">
        <f>'Income Statement'!BN1</f>
        <v>1Q26E</v>
      </c>
      <c r="O3" s="160" t="str">
        <f>'Income Statement'!BO1</f>
        <v>2Q26E</v>
      </c>
      <c r="P3" s="160" t="str">
        <f>'Income Statement'!BP1</f>
        <v>3Q26E</v>
      </c>
      <c r="Q3" s="160" t="str">
        <f>'Income Statement'!BQ1</f>
        <v>4Q26E</v>
      </c>
      <c r="R3" s="158"/>
      <c r="S3" s="161">
        <f>'Income Statement'!CU1</f>
        <v>2022</v>
      </c>
      <c r="T3" s="161">
        <f>'Income Statement'!CV1</f>
        <v>2023</v>
      </c>
      <c r="U3" s="161">
        <f>'Income Statement'!CW1</f>
        <v>2024</v>
      </c>
      <c r="V3" s="161" t="str">
        <f>'Income Statement'!CX1</f>
        <v>2025E</v>
      </c>
      <c r="W3" s="161" t="str">
        <f>'Income Statement'!CY1</f>
        <v>2026E</v>
      </c>
    </row>
    <row r="4" spans="1:23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77"/>
      <c r="N4" s="160"/>
      <c r="O4" s="160"/>
      <c r="P4" s="160"/>
      <c r="Q4" s="160"/>
      <c r="R4" s="158"/>
      <c r="S4" s="169"/>
      <c r="T4" s="169"/>
      <c r="U4" s="169"/>
      <c r="V4" s="169"/>
      <c r="W4" s="169"/>
    </row>
    <row r="5" spans="1:23" x14ac:dyDescent="0.25">
      <c r="A5" s="163" t="s">
        <v>366</v>
      </c>
      <c r="B5" s="164">
        <f>'Income Statement'!BB64</f>
        <v>69787</v>
      </c>
      <c r="C5" s="164">
        <f>'Income Statement'!BC64</f>
        <v>74604</v>
      </c>
      <c r="D5" s="164">
        <f>'Income Statement'!BD64</f>
        <v>76693</v>
      </c>
      <c r="E5" s="164">
        <f>'Income Statement'!BE64</f>
        <v>86310</v>
      </c>
      <c r="F5" s="164">
        <f>'Income Statement'!BF64</f>
        <v>80539</v>
      </c>
      <c r="G5" s="164">
        <f>'Income Statement'!BG64</f>
        <v>84742</v>
      </c>
      <c r="H5" s="164">
        <f>'Income Statement'!BH64</f>
        <v>88268</v>
      </c>
      <c r="I5" s="164">
        <f>'Income Statement'!BI64</f>
        <v>96469</v>
      </c>
      <c r="J5" s="164">
        <f>'Income Statement'!BJ64</f>
        <v>90234</v>
      </c>
      <c r="K5" s="164">
        <f>'Income Statement'!BK64</f>
        <v>96428</v>
      </c>
      <c r="L5" s="164">
        <f>'Income Statement'!BL64</f>
        <v>102346</v>
      </c>
      <c r="M5" s="178">
        <f>'Income Statement'!BM64</f>
        <v>112158.91777777779</v>
      </c>
      <c r="N5" s="164">
        <f>'Income Statement'!BN64</f>
        <v>103750.84836111112</v>
      </c>
      <c r="O5" s="164">
        <f>'Income Statement'!BO64</f>
        <v>109885.10974999999</v>
      </c>
      <c r="P5" s="164">
        <f>'Income Statement'!BP64</f>
        <v>116476.09738888888</v>
      </c>
      <c r="Q5" s="164">
        <f>'Income Statement'!BQ64</f>
        <v>125967.82608888891</v>
      </c>
      <c r="R5" s="158"/>
      <c r="S5" s="165">
        <f>'Income Statement'!CU64</f>
        <v>282836</v>
      </c>
      <c r="T5" s="165">
        <f>'Income Statement'!CV64</f>
        <v>307394</v>
      </c>
      <c r="U5" s="165">
        <f>'Income Statement'!CW64</f>
        <v>350018</v>
      </c>
      <c r="V5" s="165">
        <f>'Income Statement'!CX64</f>
        <v>401166.91777777777</v>
      </c>
      <c r="W5" s="165">
        <f>'Income Statement'!CY64</f>
        <v>456079.88158888894</v>
      </c>
    </row>
    <row r="6" spans="1:23" x14ac:dyDescent="0.25">
      <c r="A6" s="179" t="s">
        <v>367</v>
      </c>
      <c r="B6" s="164">
        <f>'Income Statement'!BB3</f>
        <v>69415</v>
      </c>
      <c r="C6" s="164">
        <f>'Income Statement'!BC3</f>
        <v>74316</v>
      </c>
      <c r="D6" s="164">
        <f>'Income Statement'!BD3</f>
        <v>76397</v>
      </c>
      <c r="E6" s="164">
        <f>'Income Statement'!BE3</f>
        <v>85503</v>
      </c>
      <c r="F6" s="164">
        <f>'Income Statement'!BF3</f>
        <v>79972</v>
      </c>
      <c r="G6" s="164">
        <f>'Income Statement'!BG3</f>
        <v>84275</v>
      </c>
      <c r="H6" s="164">
        <f>'Income Statement'!BH3</f>
        <v>87863</v>
      </c>
      <c r="I6" s="164">
        <f>'Income Statement'!BI3</f>
        <v>96049</v>
      </c>
      <c r="J6" s="164">
        <f>'Income Statement'!BJ3</f>
        <v>89524</v>
      </c>
      <c r="K6" s="164">
        <f>'Income Statement'!BK3</f>
        <v>96167</v>
      </c>
      <c r="L6" s="164">
        <f>'Income Statement'!BL3</f>
        <v>102209</v>
      </c>
      <c r="M6" s="178">
        <f>'Income Statement'!BM3</f>
        <v>111738.91777777779</v>
      </c>
      <c r="N6" s="164">
        <f>'Income Statement'!BN3</f>
        <v>103278.34836111112</v>
      </c>
      <c r="O6" s="164">
        <f>'Income Statement'!BO3</f>
        <v>109493.45974999999</v>
      </c>
      <c r="P6" s="164">
        <f>'Income Statement'!BP3</f>
        <v>116114.89738888889</v>
      </c>
      <c r="Q6" s="164">
        <f>'Income Statement'!BQ3</f>
        <v>125526.82608888891</v>
      </c>
      <c r="R6" s="158"/>
      <c r="S6" s="165">
        <f>'Income Statement'!CU3</f>
        <v>279808</v>
      </c>
      <c r="T6" s="165">
        <f>'Income Statement'!CV3</f>
        <v>305631</v>
      </c>
      <c r="U6" s="165">
        <f>'Income Statement'!CW3</f>
        <v>348159</v>
      </c>
      <c r="V6" s="165">
        <f>'Income Statement'!CX3</f>
        <v>399638.91777777777</v>
      </c>
      <c r="W6" s="165">
        <f>'Income Statement'!CY3</f>
        <v>454413.5315888889</v>
      </c>
    </row>
    <row r="7" spans="1:23" x14ac:dyDescent="0.25">
      <c r="A7" s="180" t="s">
        <v>368</v>
      </c>
      <c r="B7" s="164">
        <f>'Income Statement'!BB8</f>
        <v>61961</v>
      </c>
      <c r="C7" s="164">
        <f>'Income Statement'!BC8</f>
        <v>66285</v>
      </c>
      <c r="D7" s="164">
        <f>'Income Statement'!BD8</f>
        <v>67986</v>
      </c>
      <c r="E7" s="164">
        <f>'Income Statement'!BE8</f>
        <v>76311</v>
      </c>
      <c r="F7" s="164">
        <f>'Income Statement'!BF8</f>
        <v>70398</v>
      </c>
      <c r="G7" s="164">
        <f>'Income Statement'!BG8</f>
        <v>73928</v>
      </c>
      <c r="H7" s="164">
        <f>'Income Statement'!BH8</f>
        <v>76510</v>
      </c>
      <c r="I7" s="164">
        <f>'Income Statement'!BI8</f>
        <v>84094</v>
      </c>
      <c r="J7" s="164">
        <f>'Income Statement'!BJ8</f>
        <v>77264</v>
      </c>
      <c r="K7" s="164">
        <f>'Income Statement'!BK8</f>
        <v>82543</v>
      </c>
      <c r="L7" s="164">
        <f>'Income Statement'!BL8</f>
        <v>87052</v>
      </c>
      <c r="M7" s="178">
        <f>'Income Statement'!BM8</f>
        <v>95001.917777777795</v>
      </c>
      <c r="N7" s="164">
        <f>'Income Statement'!BN8</f>
        <v>85869.148361111118</v>
      </c>
      <c r="O7" s="164">
        <f>'Income Statement'!BO8</f>
        <v>90964.819749999995</v>
      </c>
      <c r="P7" s="164">
        <f>'Income Statement'!BP8</f>
        <v>95956.087388888889</v>
      </c>
      <c r="Q7" s="164">
        <f>'Income Statement'!BQ8</f>
        <v>104605.57608888891</v>
      </c>
      <c r="R7" s="158"/>
      <c r="S7" s="165">
        <f>'Income Statement'!CU8</f>
        <v>253528</v>
      </c>
      <c r="T7" s="165">
        <f>'Income Statement'!CV8</f>
        <v>272543</v>
      </c>
      <c r="U7" s="165">
        <f>'Income Statement'!CW8</f>
        <v>304930</v>
      </c>
      <c r="V7" s="165">
        <f>'Income Statement'!CX8</f>
        <v>341860.91777777777</v>
      </c>
      <c r="W7" s="165">
        <f>'Income Statement'!CY8</f>
        <v>377395.63158888894</v>
      </c>
    </row>
    <row r="8" spans="1:23" s="196" customFormat="1" x14ac:dyDescent="0.25">
      <c r="A8" s="194" t="s">
        <v>369</v>
      </c>
      <c r="B8" s="164">
        <f>'Income Statement'!BB14</f>
        <v>54548</v>
      </c>
      <c r="C8" s="164">
        <f>'Income Statement'!BC14</f>
        <v>58143</v>
      </c>
      <c r="D8" s="164">
        <f>'Income Statement'!BD14</f>
        <v>59647</v>
      </c>
      <c r="E8" s="164">
        <f>'Income Statement'!BE14</f>
        <v>65517</v>
      </c>
      <c r="F8" s="164">
        <f>'Income Statement'!BF14</f>
        <v>61659</v>
      </c>
      <c r="G8" s="164">
        <f>'Income Statement'!BG14</f>
        <v>64616</v>
      </c>
      <c r="H8" s="164">
        <f>'Income Statement'!BH14</f>
        <v>65854</v>
      </c>
      <c r="I8" s="164">
        <f>'Income Statement'!BI14</f>
        <v>72461</v>
      </c>
      <c r="J8" s="164">
        <f>'Income Statement'!BJ14</f>
        <v>66885</v>
      </c>
      <c r="K8" s="164">
        <f>'Income Statement'!BK14</f>
        <v>71340</v>
      </c>
      <c r="L8" s="164">
        <f>'Income Statement'!BL14</f>
        <v>74182</v>
      </c>
      <c r="M8" s="178">
        <f>'Income Statement'!BM14</f>
        <v>81188.400000000009</v>
      </c>
      <c r="N8" s="164">
        <f>'Income Statement'!BN14</f>
        <v>74029.265000000014</v>
      </c>
      <c r="O8" s="164">
        <f>'Income Statement'!BO14</f>
        <v>78231.38</v>
      </c>
      <c r="P8" s="164">
        <f>'Income Statement'!BP14</f>
        <v>81488.61</v>
      </c>
      <c r="Q8" s="164">
        <f>'Income Statement'!BQ14</f>
        <v>89157.995400000014</v>
      </c>
      <c r="R8" s="195"/>
      <c r="S8" s="165">
        <f>'Income Statement'!CU14</f>
        <v>224473</v>
      </c>
      <c r="T8" s="165">
        <f>'Income Statement'!CV14</f>
        <v>237855</v>
      </c>
      <c r="U8" s="165">
        <f>'Income Statement'!CW14</f>
        <v>264590</v>
      </c>
      <c r="V8" s="165">
        <f>'Income Statement'!CX14</f>
        <v>293595.40000000002</v>
      </c>
      <c r="W8" s="165">
        <f>'Income Statement'!CY14</f>
        <v>322907.25040000002</v>
      </c>
    </row>
    <row r="9" spans="1:23" x14ac:dyDescent="0.25">
      <c r="A9" s="217" t="s">
        <v>65</v>
      </c>
      <c r="B9" s="200">
        <f>'Income Statement'!BB20</f>
        <v>40359</v>
      </c>
      <c r="C9" s="200">
        <f>'Income Statement'!BC20</f>
        <v>42628</v>
      </c>
      <c r="D9" s="200">
        <f>'Income Statement'!BD20</f>
        <v>44026</v>
      </c>
      <c r="E9" s="200">
        <f>'Income Statement'!BE20</f>
        <v>48020</v>
      </c>
      <c r="F9" s="200">
        <f>'Income Statement'!BF20</f>
        <v>46156</v>
      </c>
      <c r="G9" s="200">
        <f>'Income Statement'!BG20</f>
        <v>48509</v>
      </c>
      <c r="H9" s="200">
        <f>'Income Statement'!BH20</f>
        <v>49385</v>
      </c>
      <c r="I9" s="200">
        <f>'Income Statement'!BI20</f>
        <v>54034</v>
      </c>
      <c r="J9" s="200">
        <f>'Income Statement'!BJ20</f>
        <v>50702</v>
      </c>
      <c r="K9" s="200">
        <f>'Income Statement'!BK20</f>
        <v>54190</v>
      </c>
      <c r="L9" s="200">
        <f>'Income Statement'!BL20</f>
        <v>56567</v>
      </c>
      <c r="M9" s="202">
        <f>'Income Statement'!BM20</f>
        <v>61598.760000000009</v>
      </c>
      <c r="N9" s="200">
        <f>'Income Statement'!BN20</f>
        <v>56786.240000000005</v>
      </c>
      <c r="O9" s="200">
        <f>'Income Statement'!BO20</f>
        <v>60150.900000000009</v>
      </c>
      <c r="P9" s="200">
        <f>'Income Statement'!BP20</f>
        <v>62789.37</v>
      </c>
      <c r="Q9" s="200">
        <f>'Income Statement'!BQ20</f>
        <v>68066.62980000001</v>
      </c>
      <c r="R9" s="182"/>
      <c r="S9" s="205">
        <f>'Income Statement'!CU20</f>
        <v>162450</v>
      </c>
      <c r="T9" s="205">
        <f>'Income Statement'!CV20</f>
        <v>175033</v>
      </c>
      <c r="U9" s="205">
        <f>'Income Statement'!CW20</f>
        <v>198084</v>
      </c>
      <c r="V9" s="205">
        <f>'Income Statement'!CX20</f>
        <v>223057.76</v>
      </c>
      <c r="W9" s="205">
        <f>'Income Statement'!CY20</f>
        <v>247793.1398</v>
      </c>
    </row>
    <row r="10" spans="1:23" x14ac:dyDescent="0.25">
      <c r="A10" s="217" t="s">
        <v>370</v>
      </c>
      <c r="B10" s="200">
        <f>'Income Statement'!BB27</f>
        <v>6693</v>
      </c>
      <c r="C10" s="200">
        <f>'Income Statement'!BC27</f>
        <v>7665</v>
      </c>
      <c r="D10" s="200">
        <f>'Income Statement'!BD27</f>
        <v>7952</v>
      </c>
      <c r="E10" s="200">
        <f>'Income Statement'!BE27</f>
        <v>9200</v>
      </c>
      <c r="F10" s="200">
        <f>'Income Statement'!BF27</f>
        <v>8090</v>
      </c>
      <c r="G10" s="200">
        <f>'Income Statement'!BG27</f>
        <v>8663</v>
      </c>
      <c r="H10" s="200">
        <f>'Income Statement'!BH27</f>
        <v>8921</v>
      </c>
      <c r="I10" s="200">
        <f>'Income Statement'!BI27</f>
        <v>10473</v>
      </c>
      <c r="J10" s="200">
        <f>'Income Statement'!BJ27</f>
        <v>8927</v>
      </c>
      <c r="K10" s="200">
        <f>'Income Statement'!BK27</f>
        <v>9796</v>
      </c>
      <c r="L10" s="200">
        <f>'Income Statement'!BL27</f>
        <v>10261</v>
      </c>
      <c r="M10" s="202">
        <f>'Income Statement'!BM27</f>
        <v>11834.49</v>
      </c>
      <c r="N10" s="200">
        <f>'Income Statement'!BN27</f>
        <v>10132.145</v>
      </c>
      <c r="O10" s="200">
        <f>'Income Statement'!BO27</f>
        <v>10873.560000000001</v>
      </c>
      <c r="P10" s="200">
        <f>'Income Statement'!BP27</f>
        <v>11492.320000000002</v>
      </c>
      <c r="Q10" s="200">
        <f>'Income Statement'!BQ27</f>
        <v>13491.318600000001</v>
      </c>
      <c r="R10" s="158"/>
      <c r="S10" s="205">
        <f>'Income Statement'!CU27</f>
        <v>29243</v>
      </c>
      <c r="T10" s="205">
        <f>'Income Statement'!CV27</f>
        <v>31510</v>
      </c>
      <c r="U10" s="205">
        <f>'Income Statement'!CW27</f>
        <v>36147</v>
      </c>
      <c r="V10" s="205">
        <f>'Income Statement'!CX27</f>
        <v>40818.49</v>
      </c>
      <c r="W10" s="205">
        <f>'Income Statement'!CY27</f>
        <v>45989.3436</v>
      </c>
    </row>
    <row r="11" spans="1:23" x14ac:dyDescent="0.25">
      <c r="A11" s="217" t="s">
        <v>69</v>
      </c>
      <c r="B11" s="200">
        <f>'Income Statement'!BB34</f>
        <v>7496</v>
      </c>
      <c r="C11" s="200">
        <f>'Income Statement'!BC34</f>
        <v>7850</v>
      </c>
      <c r="D11" s="200">
        <f>'Income Statement'!BD34</f>
        <v>7669</v>
      </c>
      <c r="E11" s="200">
        <f>'Income Statement'!BE34</f>
        <v>8297</v>
      </c>
      <c r="F11" s="200">
        <f>'Income Statement'!BF34</f>
        <v>7413</v>
      </c>
      <c r="G11" s="200">
        <f>'Income Statement'!BG34</f>
        <v>7444</v>
      </c>
      <c r="H11" s="200">
        <f>'Income Statement'!BH34</f>
        <v>7548</v>
      </c>
      <c r="I11" s="200">
        <f>'Income Statement'!BI34</f>
        <v>7954</v>
      </c>
      <c r="J11" s="200">
        <f>'Income Statement'!BJ34</f>
        <v>7256</v>
      </c>
      <c r="K11" s="200">
        <f>'Income Statement'!BK34</f>
        <v>7354</v>
      </c>
      <c r="L11" s="200">
        <f>'Income Statement'!BL34</f>
        <v>7354</v>
      </c>
      <c r="M11" s="202">
        <f>'Income Statement'!BM34</f>
        <v>7755.15</v>
      </c>
      <c r="N11" s="200">
        <f>'Income Statement'!BN34</f>
        <v>7110.88</v>
      </c>
      <c r="O11" s="200">
        <f>'Income Statement'!BO34</f>
        <v>7206.92</v>
      </c>
      <c r="P11" s="200">
        <f>'Income Statement'!BP34</f>
        <v>7206.92</v>
      </c>
      <c r="Q11" s="200">
        <f>'Income Statement'!BQ34</f>
        <v>7600.0469999999996</v>
      </c>
      <c r="R11" s="181"/>
      <c r="S11" s="205">
        <f>'Income Statement'!CU34</f>
        <v>32780</v>
      </c>
      <c r="T11" s="205">
        <f>'Income Statement'!CV34</f>
        <v>31312</v>
      </c>
      <c r="U11" s="205">
        <f>'Income Statement'!CW34</f>
        <v>30359</v>
      </c>
      <c r="V11" s="205">
        <f>'Income Statement'!CX34</f>
        <v>29719.15</v>
      </c>
      <c r="W11" s="205">
        <f>'Income Statement'!CY34</f>
        <v>29124.767</v>
      </c>
    </row>
    <row r="12" spans="1:23" s="196" customFormat="1" x14ac:dyDescent="0.25">
      <c r="A12" s="194" t="s">
        <v>70</v>
      </c>
      <c r="B12" s="201">
        <f>'Income Statement'!BB41</f>
        <v>7413</v>
      </c>
      <c r="C12" s="201">
        <f>'Income Statement'!BC41</f>
        <v>8142</v>
      </c>
      <c r="D12" s="201">
        <f>'Income Statement'!BD41</f>
        <v>8339</v>
      </c>
      <c r="E12" s="201">
        <f>'Income Statement'!BE41</f>
        <v>10794</v>
      </c>
      <c r="F12" s="201">
        <f>'Income Statement'!BF41</f>
        <v>8739</v>
      </c>
      <c r="G12" s="201">
        <f>'Income Statement'!BG41</f>
        <v>9312</v>
      </c>
      <c r="H12" s="201">
        <f>'Income Statement'!BH41</f>
        <v>10656</v>
      </c>
      <c r="I12" s="201">
        <f>'Income Statement'!BI41</f>
        <v>11633</v>
      </c>
      <c r="J12" s="201">
        <f>'Income Statement'!BJ41</f>
        <v>10379</v>
      </c>
      <c r="K12" s="201">
        <f>'Income Statement'!BK41</f>
        <v>11203</v>
      </c>
      <c r="L12" s="201">
        <f>'Income Statement'!BL41</f>
        <v>12870</v>
      </c>
      <c r="M12" s="203">
        <f>'Income Statement'!BM41</f>
        <v>13813.517777777779</v>
      </c>
      <c r="N12" s="201">
        <f>'Income Statement'!BN41</f>
        <v>11839.883361111111</v>
      </c>
      <c r="O12" s="201">
        <f>'Income Statement'!BO41</f>
        <v>12733.439749999998</v>
      </c>
      <c r="P12" s="201">
        <f>'Income Statement'!BP41</f>
        <v>14467.477388888889</v>
      </c>
      <c r="Q12" s="201">
        <f>'Income Statement'!BQ41</f>
        <v>15447.580688888887</v>
      </c>
      <c r="R12" s="197"/>
      <c r="S12" s="165">
        <f>'Income Statement'!CU41</f>
        <v>29055</v>
      </c>
      <c r="T12" s="165">
        <f>'Income Statement'!CV41</f>
        <v>34688</v>
      </c>
      <c r="U12" s="165">
        <f>'Income Statement'!CW41</f>
        <v>40340</v>
      </c>
      <c r="V12" s="165">
        <f>'Income Statement'!CX41</f>
        <v>48265.517777777779</v>
      </c>
      <c r="W12" s="165">
        <f>'Income Statement'!CY41</f>
        <v>54488.381188888889</v>
      </c>
    </row>
    <row r="13" spans="1:23" x14ac:dyDescent="0.25">
      <c r="A13" s="180" t="s">
        <v>74</v>
      </c>
      <c r="B13" s="164">
        <f>'Income Statement'!BB47</f>
        <v>7454</v>
      </c>
      <c r="C13" s="164">
        <f>'Income Statement'!BC47</f>
        <v>8031</v>
      </c>
      <c r="D13" s="164">
        <f>'Income Statement'!BD47</f>
        <v>8411</v>
      </c>
      <c r="E13" s="164">
        <f>'Income Statement'!BE47</f>
        <v>9192</v>
      </c>
      <c r="F13" s="164">
        <f>'Income Statement'!BF47</f>
        <v>9574</v>
      </c>
      <c r="G13" s="164">
        <f>'Income Statement'!BG47</f>
        <v>10347</v>
      </c>
      <c r="H13" s="164">
        <f>'Income Statement'!BH47</f>
        <v>11353</v>
      </c>
      <c r="I13" s="164">
        <f>'Income Statement'!BI47</f>
        <v>11955</v>
      </c>
      <c r="J13" s="164">
        <f>'Income Statement'!BJ47</f>
        <v>12260</v>
      </c>
      <c r="K13" s="164">
        <f>'Income Statement'!BK47</f>
        <v>13624</v>
      </c>
      <c r="L13" s="164">
        <f>'Income Statement'!BL47</f>
        <v>15157</v>
      </c>
      <c r="M13" s="178">
        <f>'Income Statement'!BM47</f>
        <v>16737</v>
      </c>
      <c r="N13" s="164">
        <f>'Income Statement'!BN47</f>
        <v>17409.2</v>
      </c>
      <c r="O13" s="164">
        <f>'Income Statement'!BO47</f>
        <v>18528.64</v>
      </c>
      <c r="P13" s="164">
        <f>'Income Statement'!BP47</f>
        <v>20158.810000000001</v>
      </c>
      <c r="Q13" s="164">
        <f>'Income Statement'!BQ47</f>
        <v>20921.25</v>
      </c>
      <c r="R13" s="158"/>
      <c r="S13" s="165">
        <f>'Income Statement'!CU47</f>
        <v>26280</v>
      </c>
      <c r="T13" s="165">
        <f>'Income Statement'!CV47</f>
        <v>33088</v>
      </c>
      <c r="U13" s="165">
        <f>'Income Statement'!CW47</f>
        <v>43229</v>
      </c>
      <c r="V13" s="165">
        <f>'Income Statement'!CX47</f>
        <v>57778</v>
      </c>
      <c r="W13" s="165">
        <f>'Income Statement'!CY47</f>
        <v>77017.899999999994</v>
      </c>
    </row>
    <row r="14" spans="1:23" x14ac:dyDescent="0.25">
      <c r="A14" s="199" t="s">
        <v>75</v>
      </c>
      <c r="B14" s="200">
        <f>'Income Statement'!BB53</f>
        <v>288</v>
      </c>
      <c r="C14" s="200">
        <f>'Income Statement'!BC53</f>
        <v>285</v>
      </c>
      <c r="D14" s="200">
        <f>'Income Statement'!BD53</f>
        <v>297</v>
      </c>
      <c r="E14" s="200">
        <f>'Income Statement'!BE53</f>
        <v>657</v>
      </c>
      <c r="F14" s="200">
        <f>'Income Statement'!BF53</f>
        <v>495</v>
      </c>
      <c r="G14" s="200">
        <f>'Income Statement'!BG53</f>
        <v>365</v>
      </c>
      <c r="H14" s="200">
        <f>'Income Statement'!BH53</f>
        <v>388</v>
      </c>
      <c r="I14" s="200">
        <f>'Income Statement'!BI53</f>
        <v>400</v>
      </c>
      <c r="J14" s="200">
        <f>'Income Statement'!BJ53</f>
        <v>450</v>
      </c>
      <c r="K14" s="200">
        <f>'Income Statement'!BK53</f>
        <v>373</v>
      </c>
      <c r="L14" s="200">
        <f>'Income Statement'!BL53</f>
        <v>344</v>
      </c>
      <c r="M14" s="202">
        <f>'Income Statement'!BM53</f>
        <v>420</v>
      </c>
      <c r="N14" s="200">
        <f>'Income Statement'!BN53</f>
        <v>472.5</v>
      </c>
      <c r="O14" s="200">
        <f>'Income Statement'!BO53</f>
        <v>391.65000000000003</v>
      </c>
      <c r="P14" s="200">
        <f>'Income Statement'!BP53</f>
        <v>361.2</v>
      </c>
      <c r="Q14" s="200">
        <f>'Income Statement'!BQ53</f>
        <v>441</v>
      </c>
      <c r="R14" s="181"/>
      <c r="S14" s="205">
        <f>'Income Statement'!CU53</f>
        <v>1068</v>
      </c>
      <c r="T14" s="205">
        <f>'Income Statement'!CV53</f>
        <v>1527</v>
      </c>
      <c r="U14" s="205">
        <f>'Income Statement'!CW53</f>
        <v>1648</v>
      </c>
      <c r="V14" s="205">
        <f>'Income Statement'!CX53</f>
        <v>1587</v>
      </c>
      <c r="W14" s="205">
        <f>'Income Statement'!CY53</f>
        <v>1666.3500000000001</v>
      </c>
    </row>
    <row r="15" spans="1:23" x14ac:dyDescent="0.25">
      <c r="A15" s="184" t="s">
        <v>378</v>
      </c>
      <c r="B15" s="201">
        <f>'Income Statement'!BB68</f>
        <v>-11721</v>
      </c>
      <c r="C15" s="201">
        <f>'Income Statement'!BC68</f>
        <v>-12537</v>
      </c>
      <c r="D15" s="201">
        <f>'Income Statement'!BD68</f>
        <v>-12642</v>
      </c>
      <c r="E15" s="201">
        <f>'Income Statement'!BE68</f>
        <v>-13986</v>
      </c>
      <c r="F15" s="201">
        <f>'Income Statement'!BF68</f>
        <v>-12946</v>
      </c>
      <c r="G15" s="201">
        <f>'Income Statement'!BG68</f>
        <v>-13387</v>
      </c>
      <c r="H15" s="201">
        <f>'Income Statement'!BH68</f>
        <v>-13719</v>
      </c>
      <c r="I15" s="201">
        <f>'Income Statement'!BI68</f>
        <v>-14848</v>
      </c>
      <c r="J15" s="201">
        <f>'Income Statement'!BJ68</f>
        <v>-13748</v>
      </c>
      <c r="K15" s="201">
        <f>'Income Statement'!BK68</f>
        <v>-14705</v>
      </c>
      <c r="L15" s="201">
        <f>'Income Statement'!BL68</f>
        <v>-14876</v>
      </c>
      <c r="M15" s="203">
        <f>'Income Statement'!BM68</f>
        <v>-16643.621999999999</v>
      </c>
      <c r="N15" s="201">
        <f>'Income Statement'!BN68</f>
        <v>-14708.744792436877</v>
      </c>
      <c r="O15" s="201">
        <f>'Income Statement'!BO68</f>
        <v>-15543.655649966946</v>
      </c>
      <c r="P15" s="201">
        <f>'Income Statement'!BP68</f>
        <v>-16190.828964469922</v>
      </c>
      <c r="Q15" s="201">
        <f>'Income Statement'!BQ68</f>
        <v>-17714.645695102623</v>
      </c>
      <c r="R15" s="181"/>
      <c r="S15" s="216">
        <f>'Income Statement'!CU68</f>
        <v>-48955</v>
      </c>
      <c r="T15" s="216">
        <f>'Income Statement'!CV68</f>
        <v>-50886</v>
      </c>
      <c r="U15" s="216">
        <f>'Income Statement'!CW68</f>
        <v>-54900</v>
      </c>
      <c r="V15" s="216">
        <f>'Income Statement'!CX68</f>
        <v>-59972.622000000003</v>
      </c>
      <c r="W15" s="216">
        <f>'Income Statement'!CY68</f>
        <v>-64157.875101976359</v>
      </c>
    </row>
    <row r="16" spans="1:23" x14ac:dyDescent="0.25">
      <c r="A16" s="184" t="s">
        <v>379</v>
      </c>
      <c r="B16" s="201">
        <f>'Income Statement'!BB85</f>
        <v>58066</v>
      </c>
      <c r="C16" s="201">
        <f>'Income Statement'!BC85</f>
        <v>62067</v>
      </c>
      <c r="D16" s="201">
        <f>'Income Statement'!BD85</f>
        <v>64051</v>
      </c>
      <c r="E16" s="201">
        <f>'Income Statement'!BE85</f>
        <v>72324</v>
      </c>
      <c r="F16" s="201">
        <f>'Income Statement'!BF85</f>
        <v>67593</v>
      </c>
      <c r="G16" s="201">
        <f>'Income Statement'!BG85</f>
        <v>71355</v>
      </c>
      <c r="H16" s="201">
        <f>'Income Statement'!BH85</f>
        <v>74549</v>
      </c>
      <c r="I16" s="201">
        <f>'Income Statement'!BI85</f>
        <v>81621</v>
      </c>
      <c r="J16" s="201">
        <f>'Income Statement'!BJ85</f>
        <v>76486</v>
      </c>
      <c r="K16" s="201">
        <f>'Income Statement'!BK85</f>
        <v>81723</v>
      </c>
      <c r="L16" s="201">
        <f>'Income Statement'!BL85</f>
        <v>87470</v>
      </c>
      <c r="M16" s="203">
        <f>'Income Statement'!BM85</f>
        <v>95515.295777777792</v>
      </c>
      <c r="N16" s="201">
        <f>'Income Statement'!BN85</f>
        <v>89042.10356867424</v>
      </c>
      <c r="O16" s="201">
        <f>'Income Statement'!BO85</f>
        <v>94341.454100033036</v>
      </c>
      <c r="P16" s="201">
        <f>'Income Statement'!BP85</f>
        <v>100285.26842441896</v>
      </c>
      <c r="Q16" s="201">
        <f>'Income Statement'!BQ85</f>
        <v>108253.18039378629</v>
      </c>
      <c r="R16" s="181"/>
      <c r="S16" s="216">
        <f>'Income Statement'!CU85</f>
        <v>233881</v>
      </c>
      <c r="T16" s="216">
        <f>'Income Statement'!CV85</f>
        <v>256508</v>
      </c>
      <c r="U16" s="216">
        <f>'Income Statement'!CW85</f>
        <v>295118</v>
      </c>
      <c r="V16" s="216">
        <f>'Income Statement'!CX85</f>
        <v>341194.29577777779</v>
      </c>
      <c r="W16" s="216">
        <f>'Income Statement'!CY85</f>
        <v>391922.00648691249</v>
      </c>
    </row>
    <row r="17" spans="1:23" x14ac:dyDescent="0.25">
      <c r="A17" s="158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83"/>
      <c r="N17" s="158"/>
      <c r="O17" s="158"/>
      <c r="P17" s="158"/>
      <c r="Q17" s="158"/>
      <c r="R17" s="158"/>
      <c r="S17" s="169"/>
      <c r="T17" s="169"/>
      <c r="U17" s="169"/>
      <c r="V17" s="169"/>
      <c r="W17" s="169"/>
    </row>
    <row r="18" spans="1:23" ht="15.75" thickBot="1" x14ac:dyDescent="0.3">
      <c r="A18" s="378" t="s">
        <v>362</v>
      </c>
      <c r="B18" s="378"/>
      <c r="C18" s="378"/>
      <c r="D18" s="157"/>
      <c r="E18" s="157"/>
      <c r="F18" s="157"/>
      <c r="G18" s="157"/>
      <c r="H18" s="157"/>
      <c r="I18" s="157"/>
      <c r="J18" s="157"/>
      <c r="K18" s="157"/>
      <c r="L18" s="157"/>
      <c r="M18" s="176"/>
      <c r="N18" s="157"/>
      <c r="O18" s="157"/>
      <c r="P18" s="157"/>
      <c r="Q18" s="157"/>
      <c r="R18" s="158"/>
      <c r="S18" s="169"/>
      <c r="T18" s="169"/>
      <c r="U18" s="169"/>
      <c r="V18" s="169"/>
      <c r="W18" s="169"/>
    </row>
    <row r="19" spans="1:23" x14ac:dyDescent="0.25">
      <c r="A19" s="158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83"/>
      <c r="N19" s="158"/>
      <c r="O19" s="158"/>
      <c r="P19" s="158"/>
      <c r="Q19" s="158"/>
      <c r="R19" s="158"/>
      <c r="S19" s="169"/>
      <c r="T19" s="169"/>
      <c r="U19" s="169"/>
      <c r="V19" s="169"/>
      <c r="W19" s="169"/>
    </row>
    <row r="20" spans="1:23" x14ac:dyDescent="0.25">
      <c r="A20" s="163" t="s">
        <v>366</v>
      </c>
      <c r="B20" s="187">
        <f>'Income Statement'!BB66</f>
        <v>2.6113422828660138E-2</v>
      </c>
      <c r="C20" s="187">
        <f>'Income Statement'!BC66</f>
        <v>7.0589079428858392E-2</v>
      </c>
      <c r="D20" s="187">
        <f>'Income Statement'!BD66</f>
        <v>0.11001273664100042</v>
      </c>
      <c r="E20" s="187">
        <f>'Income Statement'!BE66</f>
        <v>0.13494108983799702</v>
      </c>
      <c r="F20" s="187">
        <f>'Income Statement'!BF66</f>
        <v>0.15406880937710454</v>
      </c>
      <c r="G20" s="187">
        <f>'Income Statement'!BG66</f>
        <v>0.13589083695244231</v>
      </c>
      <c r="H20" s="187">
        <f>'Income Statement'!BH66</f>
        <v>0.15092642092498654</v>
      </c>
      <c r="I20" s="187">
        <f>'Income Statement'!BI66</f>
        <v>0.11770362646275045</v>
      </c>
      <c r="J20" s="187">
        <f>'Income Statement'!BJ66</f>
        <v>0.12037646357665222</v>
      </c>
      <c r="K20" s="187">
        <f>'Income Statement'!BK66</f>
        <v>0.13790092280097244</v>
      </c>
      <c r="L20" s="187">
        <f>'Income Statement'!BL66</f>
        <v>0.1594915484660353</v>
      </c>
      <c r="M20" s="188">
        <f>'Income Statement'!BM66</f>
        <v>0.16264206924273905</v>
      </c>
      <c r="N20" s="187">
        <f>'Income Statement'!BN66</f>
        <v>0.14979772991456786</v>
      </c>
      <c r="O20" s="187">
        <f>'Income Statement'!BO66</f>
        <v>0.13955603922097315</v>
      </c>
      <c r="P20" s="187">
        <f>'Income Statement'!BP66</f>
        <v>0.13806203846646548</v>
      </c>
      <c r="Q20" s="187">
        <f>'Income Statement'!BQ66</f>
        <v>0.12311912939879566</v>
      </c>
      <c r="R20" s="158"/>
      <c r="S20" s="189">
        <f>'Income Statement'!CU66</f>
        <v>9.7808156437157789E-2</v>
      </c>
      <c r="T20" s="189">
        <f>'Income Statement'!CV66</f>
        <v>8.6827702272695095E-2</v>
      </c>
      <c r="U20" s="189">
        <f>'Income Statement'!CW66</f>
        <v>0.13866243322901561</v>
      </c>
      <c r="V20" s="189">
        <f>'Income Statement'!CX66</f>
        <v>0.14613224970652294</v>
      </c>
      <c r="W20" s="189">
        <f>'Income Statement'!CY66</f>
        <v>0.1368830812752353</v>
      </c>
    </row>
    <row r="21" spans="1:23" x14ac:dyDescent="0.25">
      <c r="A21" s="179" t="s">
        <v>367</v>
      </c>
      <c r="B21" s="187">
        <f>'Income Statement'!BB5</f>
        <v>3.1533740507928121E-2</v>
      </c>
      <c r="C21" s="187">
        <f>'Income Statement'!BC5</f>
        <v>7.5220278657927908E-2</v>
      </c>
      <c r="D21" s="187">
        <f>'Income Statement'!BD5</f>
        <v>0.11945197450362666</v>
      </c>
      <c r="E21" s="187">
        <f>'Income Statement'!BE5</f>
        <v>0.13771905313161148</v>
      </c>
      <c r="F21" s="187">
        <f>'Income Statement'!BF5</f>
        <v>0.15208528416048406</v>
      </c>
      <c r="G21" s="187">
        <f>'Income Statement'!BG5</f>
        <v>0.13400882717046136</v>
      </c>
      <c r="H21" s="187">
        <f>'Income Statement'!BH5</f>
        <v>0.15008442739898165</v>
      </c>
      <c r="I21" s="187">
        <f>'Income Statement'!BI5</f>
        <v>0.12334070149585386</v>
      </c>
      <c r="J21" s="187">
        <f>'Income Statement'!BJ5</f>
        <v>0.11944180463162102</v>
      </c>
      <c r="K21" s="187">
        <f>'Income Statement'!BK5</f>
        <v>0.14110946306733907</v>
      </c>
      <c r="L21" s="187">
        <f>'Income Statement'!BL5</f>
        <v>0.16327691975006542</v>
      </c>
      <c r="M21" s="188">
        <f>'Income Statement'!BM5</f>
        <v>0.16335326528936056</v>
      </c>
      <c r="N21" s="187">
        <f>'Income Statement'!BN5</f>
        <v>0.15363867075992044</v>
      </c>
      <c r="O21" s="187">
        <f>'Income Statement'!BO5</f>
        <v>0.13857622417253324</v>
      </c>
      <c r="P21" s="187">
        <f>'Income Statement'!BP5</f>
        <v>0.13605355094843796</v>
      </c>
      <c r="Q21" s="187">
        <f>'Income Statement'!BQ5</f>
        <v>0.1233939668051196</v>
      </c>
      <c r="R21" s="158"/>
      <c r="S21" s="189">
        <f>'Income Statement'!CU5</f>
        <v>8.9870878532338772E-2</v>
      </c>
      <c r="T21" s="189">
        <f>'Income Statement'!CV5</f>
        <v>9.2288283394327486E-2</v>
      </c>
      <c r="U21" s="189">
        <f>'Income Statement'!CW5</f>
        <v>0.13914818850182087</v>
      </c>
      <c r="V21" s="189">
        <f>'Income Statement'!CX5</f>
        <v>0.14786324000751883</v>
      </c>
      <c r="W21" s="189">
        <f>'Income Statement'!CY5</f>
        <v>0.13706025958555168</v>
      </c>
    </row>
    <row r="22" spans="1:23" x14ac:dyDescent="0.25">
      <c r="A22" s="180" t="s">
        <v>368</v>
      </c>
      <c r="B22" s="187">
        <f>'Income Statement'!BB10</f>
        <v>7.9548412285268544E-3</v>
      </c>
      <c r="C22" s="187">
        <f>'Income Statement'!BC10</f>
        <v>5.4804984007256419E-2</v>
      </c>
      <c r="D22" s="187">
        <f>'Income Statement'!BD10</f>
        <v>0.1076787721785033</v>
      </c>
      <c r="E22" s="187">
        <f>'Income Statement'!BE10</f>
        <v>0.12490049824582083</v>
      </c>
      <c r="F22" s="187">
        <f>'Income Statement'!BF10</f>
        <v>0.13616629815529113</v>
      </c>
      <c r="G22" s="187">
        <f>'Income Statement'!BG10</f>
        <v>0.11530512182243347</v>
      </c>
      <c r="H22" s="187">
        <f>'Income Statement'!BH10</f>
        <v>0.12537875444944557</v>
      </c>
      <c r="I22" s="187">
        <f>'Income Statement'!BI10</f>
        <v>0.10199053871656782</v>
      </c>
      <c r="J22" s="187">
        <f>'Income Statement'!BJ10</f>
        <v>9.7531179863064255E-2</v>
      </c>
      <c r="K22" s="187">
        <f>'Income Statement'!BK10</f>
        <v>0.11653230169895035</v>
      </c>
      <c r="L22" s="187">
        <f>'Income Statement'!BL10</f>
        <v>0.13778591033851795</v>
      </c>
      <c r="M22" s="188">
        <f>'Income Statement'!BM10</f>
        <v>0.12971101122289097</v>
      </c>
      <c r="N22" s="187">
        <f>'Income Statement'!BN10</f>
        <v>0.1113733221307609</v>
      </c>
      <c r="O22" s="187">
        <f>'Income Statement'!BO10</f>
        <v>0.10202948463225225</v>
      </c>
      <c r="P22" s="187">
        <f>'Income Statement'!BP10</f>
        <v>0.10228469637560189</v>
      </c>
      <c r="Q22" s="187">
        <f>'Income Statement'!BQ10</f>
        <v>0.10108909941771227</v>
      </c>
      <c r="R22" s="158"/>
      <c r="S22" s="189">
        <f>'Income Statement'!CU10</f>
        <v>6.7355986005919188E-2</v>
      </c>
      <c r="T22" s="189">
        <f>'Income Statement'!CV10</f>
        <v>7.5001577735003711E-2</v>
      </c>
      <c r="U22" s="189">
        <f>'Income Statement'!CW10</f>
        <v>0.11883262457667221</v>
      </c>
      <c r="V22" s="189">
        <f>'Income Statement'!CX10</f>
        <v>0.12111277269464393</v>
      </c>
      <c r="W22" s="189">
        <f>'Income Statement'!CY10</f>
        <v>0.10394494358144213</v>
      </c>
    </row>
    <row r="23" spans="1:23" x14ac:dyDescent="0.25">
      <c r="A23" s="194" t="s">
        <v>369</v>
      </c>
      <c r="B23" s="170">
        <f>'Income Statement'!BB16</f>
        <v>-2.0672874627247761E-3</v>
      </c>
      <c r="C23" s="170">
        <f>'Income Statement'!BC16</f>
        <v>3.2955514496873173E-2</v>
      </c>
      <c r="D23" s="170">
        <f>'Income Statement'!BD16</f>
        <v>9.4801952938585288E-2</v>
      </c>
      <c r="E23" s="170">
        <f>'Income Statement'!BE16</f>
        <v>0.10966769418380129</v>
      </c>
      <c r="F23" s="170">
        <f>'Income Statement'!BF16</f>
        <v>0.13036224976167787</v>
      </c>
      <c r="G23" s="170">
        <f>'Income Statement'!BG16</f>
        <v>0.11132896479369836</v>
      </c>
      <c r="H23" s="170">
        <f>'Income Statement'!BH16</f>
        <v>0.10406223280299098</v>
      </c>
      <c r="I23" s="170">
        <f>'Income Statement'!BI16</f>
        <v>0.10598775890226975</v>
      </c>
      <c r="J23" s="170">
        <f>'Income Statement'!BJ16</f>
        <v>8.4756483238456637E-2</v>
      </c>
      <c r="K23" s="170">
        <f>'Income Statement'!BK16</f>
        <v>0.10406091370558368</v>
      </c>
      <c r="L23" s="170">
        <f>'Income Statement'!BL16</f>
        <v>0.12646156649558105</v>
      </c>
      <c r="M23" s="192">
        <f>'Income Statement'!BM16</f>
        <v>0.12044272091193897</v>
      </c>
      <c r="N23" s="170">
        <f>'Income Statement'!BN16</f>
        <v>0.10681415863048538</v>
      </c>
      <c r="O23" s="170">
        <f>'Income Statement'!BO16</f>
        <v>9.6599102887580557E-2</v>
      </c>
      <c r="P23" s="170">
        <f>'Income Statement'!BP16</f>
        <v>9.8495726726159916E-2</v>
      </c>
      <c r="Q23" s="170">
        <f>'Income Statement'!BQ16</f>
        <v>9.8161749708086443E-2</v>
      </c>
      <c r="R23" s="158"/>
      <c r="S23" s="189">
        <f>'Income Statement'!CU16</f>
        <v>7.14855105323704E-2</v>
      </c>
      <c r="T23" s="189">
        <f>'Income Statement'!CV16</f>
        <v>5.9615187572670258E-2</v>
      </c>
      <c r="U23" s="189">
        <f>'Income Statement'!CW16</f>
        <v>0.11240041201572382</v>
      </c>
      <c r="V23" s="189">
        <f>'Income Statement'!CX16</f>
        <v>0.10962394648323825</v>
      </c>
      <c r="W23" s="189">
        <f>'Income Statement'!CY16</f>
        <v>9.983756693735657E-2</v>
      </c>
    </row>
    <row r="24" spans="1:23" x14ac:dyDescent="0.25">
      <c r="A24" s="217" t="s">
        <v>65</v>
      </c>
      <c r="B24" s="172">
        <f>'Income Statement'!BB22</f>
        <v>1.8703619566863505E-2</v>
      </c>
      <c r="C24" s="172">
        <f>'Income Statement'!BC22</f>
        <v>4.7654157143208309E-2</v>
      </c>
      <c r="D24" s="172">
        <f>'Income Statement'!BD22</f>
        <v>0.11348289031083225</v>
      </c>
      <c r="E24" s="172">
        <f>'Income Statement'!BE22</f>
        <v>0.12712421368885551</v>
      </c>
      <c r="F24" s="172">
        <f>'Income Statement'!BF22</f>
        <v>0.14363586808394668</v>
      </c>
      <c r="G24" s="172">
        <f>'Income Statement'!BG22</f>
        <v>0.13796096462419061</v>
      </c>
      <c r="H24" s="172">
        <f>'Income Statement'!BH22</f>
        <v>0.12172352700676869</v>
      </c>
      <c r="I24" s="172">
        <f>'Income Statement'!BI22</f>
        <v>0.12523948354852155</v>
      </c>
      <c r="J24" s="172">
        <f>'Income Statement'!BJ22</f>
        <v>9.8492070370049367E-2</v>
      </c>
      <c r="K24" s="172">
        <f>'Income Statement'!BK22</f>
        <v>0.11711228844132027</v>
      </c>
      <c r="L24" s="172">
        <f>'Income Statement'!BL22</f>
        <v>0.14542877391920617</v>
      </c>
      <c r="M24" s="185">
        <f>'Income Statement'!BM22</f>
        <v>0.14000000000000001</v>
      </c>
      <c r="N24" s="172">
        <f>'Income Statement'!BN22</f>
        <v>0.12</v>
      </c>
      <c r="O24" s="172">
        <f>'Income Statement'!BO22</f>
        <v>0.11</v>
      </c>
      <c r="P24" s="172">
        <f>'Income Statement'!BP22</f>
        <v>0.11</v>
      </c>
      <c r="Q24" s="172">
        <f>'Income Statement'!BQ22</f>
        <v>0.105</v>
      </c>
      <c r="R24" s="158"/>
      <c r="S24" s="186">
        <f>'Income Statement'!CU22</f>
        <v>9.0627118985438182E-2</v>
      </c>
      <c r="T24" s="186">
        <f>'Income Statement'!CV22</f>
        <v>7.7457679285934056E-2</v>
      </c>
      <c r="U24" s="186">
        <f>'Income Statement'!CW22</f>
        <v>0.13169516605440124</v>
      </c>
      <c r="V24" s="186">
        <f>'Income Statement'!CX22</f>
        <v>0.12607661396175374</v>
      </c>
      <c r="W24" s="186">
        <f>'Income Statement'!CY22</f>
        <v>0.11089226306226685</v>
      </c>
    </row>
    <row r="25" spans="1:23" x14ac:dyDescent="0.25">
      <c r="A25" s="217" t="s">
        <v>370</v>
      </c>
      <c r="B25" s="190">
        <f>'Income Statement'!BB29</f>
        <v>-2.5622361333527466E-2</v>
      </c>
      <c r="C25" s="190">
        <f>'Income Statement'!BC29</f>
        <v>4.4277929155313256E-2</v>
      </c>
      <c r="D25" s="190">
        <f>'Income Statement'!BD29</f>
        <v>0.12459340970159816</v>
      </c>
      <c r="E25" s="190">
        <f>'Income Statement'!BE29</f>
        <v>0.15534346351877426</v>
      </c>
      <c r="F25" s="190">
        <f>'Income Statement'!BF29</f>
        <v>0.20872553414014638</v>
      </c>
      <c r="G25" s="190">
        <f>'Income Statement'!BG29</f>
        <v>0.13020221787345077</v>
      </c>
      <c r="H25" s="190">
        <f>'Income Statement'!BH29</f>
        <v>0.12185613682092544</v>
      </c>
      <c r="I25" s="190">
        <f>'Income Statement'!BI29</f>
        <v>0.1383695652173913</v>
      </c>
      <c r="J25" s="190">
        <f>'Income Statement'!BJ29</f>
        <v>0.10346106304079106</v>
      </c>
      <c r="K25" s="190">
        <f>'Income Statement'!BK29</f>
        <v>0.1307861018123051</v>
      </c>
      <c r="L25" s="190">
        <f>'Income Statement'!BL29</f>
        <v>0.15020737585472488</v>
      </c>
      <c r="M25" s="191">
        <f>'Income Statement'!BM29</f>
        <v>0.13</v>
      </c>
      <c r="N25" s="190">
        <f>'Income Statement'!BN29</f>
        <v>0.13500000000000001</v>
      </c>
      <c r="O25" s="190">
        <f>'Income Statement'!BO29</f>
        <v>0.11</v>
      </c>
      <c r="P25" s="190">
        <f>'Income Statement'!BP29</f>
        <v>0.12</v>
      </c>
      <c r="Q25" s="190">
        <f>'Income Statement'!BQ29</f>
        <v>0.14000000000000001</v>
      </c>
      <c r="R25" s="158"/>
      <c r="S25" s="173">
        <f>'Income Statement'!CU29</f>
        <v>1.3797885248743258E-2</v>
      </c>
      <c r="T25" s="173">
        <f>'Income Statement'!CV29</f>
        <v>7.7522825975447018E-2</v>
      </c>
      <c r="U25" s="173">
        <f>'Income Statement'!CW29</f>
        <v>0.14715963186290071</v>
      </c>
      <c r="V25" s="173">
        <f>'Income Statement'!CX29</f>
        <v>0.1292358978615098</v>
      </c>
      <c r="W25" s="173">
        <f>'Income Statement'!CY29</f>
        <v>0.12667919856907983</v>
      </c>
    </row>
    <row r="26" spans="1:23" x14ac:dyDescent="0.25">
      <c r="A26" s="217" t="s">
        <v>69</v>
      </c>
      <c r="B26" s="190">
        <f>'Income Statement'!BB36</f>
        <v>-8.294592610716911E-2</v>
      </c>
      <c r="C26" s="190">
        <f>'Income Statement'!BC36</f>
        <v>-4.9521733866085493E-2</v>
      </c>
      <c r="D26" s="190">
        <f>'Income Statement'!BD36</f>
        <v>-2.5787601626016232E-2</v>
      </c>
      <c r="E26" s="190">
        <f>'Income Statement'!BE36</f>
        <v>-2.1002949852507391E-2</v>
      </c>
      <c r="F26" s="190">
        <f>'Income Statement'!BF36</f>
        <v>-1.1072572038420492E-2</v>
      </c>
      <c r="G26" s="190">
        <f>'Income Statement'!BG36</f>
        <v>-5.1719745222929991E-2</v>
      </c>
      <c r="H26" s="190">
        <f>'Income Statement'!BH36</f>
        <v>-1.5777806754466051E-2</v>
      </c>
      <c r="I26" s="190">
        <f>'Income Statement'!BI36</f>
        <v>-4.1340243461492121E-2</v>
      </c>
      <c r="J26" s="190">
        <f>'Income Statement'!BJ36</f>
        <v>-2.1179009847565045E-2</v>
      </c>
      <c r="K26" s="190">
        <f>'Income Statement'!BK36</f>
        <v>-1.2090274046211769E-2</v>
      </c>
      <c r="L26" s="190">
        <f>'Income Statement'!BL36</f>
        <v>-2.5702172760996289E-2</v>
      </c>
      <c r="M26" s="191">
        <f>'Income Statement'!BM36</f>
        <v>-2.5000000000000001E-2</v>
      </c>
      <c r="N26" s="190">
        <f>'Income Statement'!BN36</f>
        <v>-0.02</v>
      </c>
      <c r="O26" s="190">
        <f>'Income Statement'!BO36</f>
        <v>-0.02</v>
      </c>
      <c r="P26" s="190">
        <f>'Income Statement'!BP36</f>
        <v>-0.02</v>
      </c>
      <c r="Q26" s="190">
        <f>'Income Statement'!BQ36</f>
        <v>-0.02</v>
      </c>
      <c r="R26" s="158"/>
      <c r="S26" s="186">
        <f>'Income Statement'!CU36</f>
        <v>3.4036781174095365E-2</v>
      </c>
      <c r="T26" s="186">
        <f>'Income Statement'!CV36</f>
        <v>-4.4783404514948111E-2</v>
      </c>
      <c r="U26" s="186">
        <f>'Income Statement'!CW36</f>
        <v>-3.0435615738375055E-2</v>
      </c>
      <c r="V26" s="186">
        <f>'Income Statement'!CX36</f>
        <v>-2.107612240192358E-2</v>
      </c>
      <c r="W26" s="186">
        <f>'Income Statement'!CY36</f>
        <v>-2.0000000000000018E-2</v>
      </c>
    </row>
    <row r="27" spans="1:23" x14ac:dyDescent="0.25">
      <c r="A27" s="194" t="s">
        <v>70</v>
      </c>
      <c r="B27" s="187">
        <f>'Income Statement'!BB43</f>
        <v>8.8386433710174739E-2</v>
      </c>
      <c r="C27" s="187">
        <f>'Income Statement'!BC43</f>
        <v>0.24248435830917137</v>
      </c>
      <c r="D27" s="187">
        <f>'Income Statement'!BD43</f>
        <v>0.20942712110224804</v>
      </c>
      <c r="E27" s="187">
        <f>'Income Statement'!BE43</f>
        <v>0.22714870395634379</v>
      </c>
      <c r="F27" s="187">
        <f>'Income Statement'!BF43</f>
        <v>0.17887494941319293</v>
      </c>
      <c r="G27" s="187">
        <f>'Income Statement'!BG43</f>
        <v>0.14369933677229185</v>
      </c>
      <c r="H27" s="187">
        <f>'Income Statement'!BH43</f>
        <v>0.2778510612783307</v>
      </c>
      <c r="I27" s="187">
        <f>'Income Statement'!BI43</f>
        <v>7.772836761163604E-2</v>
      </c>
      <c r="J27" s="187">
        <f>'Income Statement'!BJ43</f>
        <v>0.18766449250486317</v>
      </c>
      <c r="K27" s="187">
        <f>'Income Statement'!BK43</f>
        <v>0.20307130584192445</v>
      </c>
      <c r="L27" s="187">
        <f>'Income Statement'!BL43</f>
        <v>0.20777027027027017</v>
      </c>
      <c r="M27" s="188">
        <f>'Income Statement'!BM43</f>
        <v>0.18744242910494102</v>
      </c>
      <c r="N27" s="187">
        <f>'Income Statement'!BN43</f>
        <v>0.1407537682928135</v>
      </c>
      <c r="O27" s="187">
        <f>'Income Statement'!BO43</f>
        <v>0.13660981433544572</v>
      </c>
      <c r="P27" s="187">
        <f>'Income Statement'!BP43</f>
        <v>0.12412411724078387</v>
      </c>
      <c r="Q27" s="187">
        <f>'Income Statement'!BQ43</f>
        <v>0.11829448062389103</v>
      </c>
      <c r="R27" s="158"/>
      <c r="S27" s="189">
        <f>'Income Statement'!CU43</f>
        <v>3.6494006849315141E-2</v>
      </c>
      <c r="T27" s="189">
        <f>'Income Statement'!CV43</f>
        <v>0.19387368783341929</v>
      </c>
      <c r="U27" s="189">
        <f>'Income Statement'!CW43</f>
        <v>0.16293819188191883</v>
      </c>
      <c r="V27" s="189">
        <f>'Income Statement'!CX43</f>
        <v>0.19646796672726263</v>
      </c>
      <c r="W27" s="189">
        <f>'Income Statement'!CY43</f>
        <v>0.12892979703982821</v>
      </c>
    </row>
    <row r="28" spans="1:23" x14ac:dyDescent="0.25">
      <c r="A28" s="180" t="s">
        <v>74</v>
      </c>
      <c r="B28" s="187">
        <f>'Income Statement'!BB49</f>
        <v>0.28053599037965982</v>
      </c>
      <c r="C28" s="187">
        <f>'Income Statement'!BC49</f>
        <v>0.2796367112810707</v>
      </c>
      <c r="D28" s="187">
        <f>'Income Statement'!BD49</f>
        <v>0.22466511357018049</v>
      </c>
      <c r="E28" s="187">
        <f>'Income Statement'!BE49</f>
        <v>0.25659603554340404</v>
      </c>
      <c r="F28" s="187">
        <f>'Income Statement'!BF49</f>
        <v>0.28441105446740012</v>
      </c>
      <c r="G28" s="187">
        <f>'Income Statement'!BG49</f>
        <v>0.28838251774374291</v>
      </c>
      <c r="H28" s="187">
        <f>'Income Statement'!BH49</f>
        <v>0.34978004993460954</v>
      </c>
      <c r="I28" s="187">
        <f>'Income Statement'!BI49</f>
        <v>0.3005874673629243</v>
      </c>
      <c r="J28" s="187">
        <f>'Income Statement'!BJ49</f>
        <v>0.28055149362857734</v>
      </c>
      <c r="K28" s="187">
        <f>'Income Statement'!BK49</f>
        <v>0.31671015753358467</v>
      </c>
      <c r="L28" s="187">
        <f>'Income Statement'!BL49</f>
        <v>0.33506562142165075</v>
      </c>
      <c r="M28" s="188">
        <f>'Income Statement'!BM49</f>
        <v>0.4</v>
      </c>
      <c r="N28" s="187">
        <f>'Income Statement'!BN49</f>
        <v>0.42</v>
      </c>
      <c r="O28" s="187">
        <f>'Income Statement'!BO49</f>
        <v>0.36</v>
      </c>
      <c r="P28" s="187">
        <f>'Income Statement'!BP49</f>
        <v>0.33</v>
      </c>
      <c r="Q28" s="187">
        <f>'Income Statement'!BQ49</f>
        <v>0.25</v>
      </c>
      <c r="R28" s="158"/>
      <c r="S28" s="171">
        <f>'Income Statement'!CU49</f>
        <v>0.36832239925023424</v>
      </c>
      <c r="T28" s="171">
        <f>'Income Statement'!CV49</f>
        <v>0.25905631659056327</v>
      </c>
      <c r="U28" s="171">
        <f>'Income Statement'!CW49</f>
        <v>0.30648573500967125</v>
      </c>
      <c r="V28" s="171">
        <f>'Income Statement'!CX49</f>
        <v>0.33655647829003676</v>
      </c>
      <c r="W28" s="171">
        <f>'Income Statement'!CY49</f>
        <v>0.3329969884731212</v>
      </c>
    </row>
    <row r="29" spans="1:23" x14ac:dyDescent="0.25">
      <c r="A29" s="199" t="s">
        <v>75</v>
      </c>
      <c r="B29" s="190">
        <f>'Income Statement'!BB55</f>
        <v>-0.34545454545454546</v>
      </c>
      <c r="C29" s="190">
        <f>'Income Statement'!BC55</f>
        <v>0.47668393782383411</v>
      </c>
      <c r="D29" s="190">
        <f>'Income Statement'!BD55</f>
        <v>0.42105263157894735</v>
      </c>
      <c r="E29" s="190">
        <f>'Income Statement'!BE55</f>
        <v>1.9070796460176993</v>
      </c>
      <c r="F29" s="190">
        <f>'Income Statement'!BF55</f>
        <v>0.71875</v>
      </c>
      <c r="G29" s="190">
        <f>'Income Statement'!BG55</f>
        <v>0.2807017543859649</v>
      </c>
      <c r="H29" s="190">
        <f>'Income Statement'!BH55</f>
        <v>0.30639730639730645</v>
      </c>
      <c r="I29" s="190">
        <f>'Income Statement'!BI55</f>
        <v>-0.39117199391171997</v>
      </c>
      <c r="J29" s="190">
        <f>'Income Statement'!BJ55</f>
        <v>-9.0909090909090939E-2</v>
      </c>
      <c r="K29" s="190">
        <f>'Income Statement'!BK55</f>
        <v>2.1917808219177992E-2</v>
      </c>
      <c r="L29" s="190">
        <f>'Income Statement'!BL55</f>
        <v>-0.11340206185567014</v>
      </c>
      <c r="M29" s="191">
        <f>'Income Statement'!BM55</f>
        <v>0.05</v>
      </c>
      <c r="N29" s="190">
        <f>'Income Statement'!BN55</f>
        <v>0.05</v>
      </c>
      <c r="O29" s="190">
        <f>'Income Statement'!BO55</f>
        <v>0.05</v>
      </c>
      <c r="P29" s="190">
        <f>'Income Statement'!BP55</f>
        <v>0.05</v>
      </c>
      <c r="Q29" s="190">
        <f>'Income Statement'!BQ55</f>
        <v>0.05</v>
      </c>
      <c r="R29" s="158"/>
      <c r="S29" s="186">
        <f>'Income Statement'!CU55</f>
        <v>0.41832669322709171</v>
      </c>
      <c r="T29" s="186">
        <f>'Income Statement'!CV55</f>
        <v>0.4297752808988764</v>
      </c>
      <c r="U29" s="186">
        <f>'Income Statement'!CW55</f>
        <v>7.9240340537000575E-2</v>
      </c>
      <c r="V29" s="186">
        <f>'Income Statement'!CX55</f>
        <v>-3.7014563106796072E-2</v>
      </c>
      <c r="W29" s="186">
        <f>'Income Statement'!CY55</f>
        <v>5.0000000000000044E-2</v>
      </c>
    </row>
    <row r="30" spans="1:23" x14ac:dyDescent="0.25">
      <c r="A30" s="184" t="s">
        <v>378</v>
      </c>
      <c r="B30" s="187">
        <f>'Income Statement'!BB70</f>
        <v>-2.2435362802335268E-2</v>
      </c>
      <c r="C30" s="187">
        <f>'Income Statement'!BC70</f>
        <v>2.6445063042410455E-2</v>
      </c>
      <c r="D30" s="187">
        <f>'Income Statement'!BD70</f>
        <v>6.9000507356671736E-2</v>
      </c>
      <c r="E30" s="187">
        <f>'Income Statement'!BE70</f>
        <v>8.2088974854932273E-2</v>
      </c>
      <c r="F30" s="187">
        <f>'Income Statement'!BF70</f>
        <v>0.10451326678611039</v>
      </c>
      <c r="G30" s="187">
        <f>'Income Statement'!BG70</f>
        <v>6.7799314030469793E-2</v>
      </c>
      <c r="H30" s="187">
        <f>'Income Statement'!BH70</f>
        <v>8.5192216421452249E-2</v>
      </c>
      <c r="I30" s="187">
        <f>'Income Statement'!BI70</f>
        <v>6.1633061633061592E-2</v>
      </c>
      <c r="J30" s="187">
        <f>'Income Statement'!BJ70</f>
        <v>6.1949636953499088E-2</v>
      </c>
      <c r="K30" s="187">
        <f>'Income Statement'!BK70</f>
        <v>9.8453723761858569E-2</v>
      </c>
      <c r="L30" s="187">
        <f>'Income Statement'!BL70</f>
        <v>8.4335592973248774E-2</v>
      </c>
      <c r="M30" s="188">
        <f>'Income Statement'!BM70</f>
        <v>0.12093359375000001</v>
      </c>
      <c r="N30" s="187">
        <f>'Income Statement'!BN70</f>
        <v>6.9882513270066671E-2</v>
      </c>
      <c r="O30" s="187">
        <f>'Income Statement'!BO70</f>
        <v>5.7032006118119316E-2</v>
      </c>
      <c r="P30" s="187">
        <f>'Income Statement'!BP70</f>
        <v>8.8385921246969756E-2</v>
      </c>
      <c r="Q30" s="187">
        <f>'Income Statement'!BQ70</f>
        <v>6.4350397714068697E-2</v>
      </c>
      <c r="R30" s="158"/>
      <c r="S30" s="189">
        <f>'Income Statement'!CU70</f>
        <v>7.437563095290356E-2</v>
      </c>
      <c r="T30" s="189">
        <f>'Income Statement'!CV70</f>
        <v>3.9444387702992634E-2</v>
      </c>
      <c r="U30" s="189">
        <f>'Income Statement'!CW70</f>
        <v>7.8882207286876449E-2</v>
      </c>
      <c r="V30" s="189">
        <f>'Income Statement'!CX70</f>
        <v>9.2397486338797963E-2</v>
      </c>
      <c r="W30" s="189">
        <f>'Income Statement'!CY70</f>
        <v>6.9786061746247352E-2</v>
      </c>
    </row>
    <row r="31" spans="1:23" x14ac:dyDescent="0.25">
      <c r="A31" s="184" t="s">
        <v>379</v>
      </c>
      <c r="B31" s="187">
        <f>'Income Statement'!BB87</f>
        <v>3.6504168079827259E-2</v>
      </c>
      <c r="C31" s="187">
        <f>'Income Statement'!BC87</f>
        <v>7.9970767865532144E-2</v>
      </c>
      <c r="D31" s="187">
        <f>'Income Statement'!BD87</f>
        <v>0.11848217092166391</v>
      </c>
      <c r="E31" s="187">
        <f>'Income Statement'!BE87</f>
        <v>0.14576303407632718</v>
      </c>
      <c r="F31" s="187">
        <f>'Income Statement'!BF87</f>
        <v>0.16407191816209132</v>
      </c>
      <c r="G31" s="187">
        <f>'Income Statement'!BG87</f>
        <v>0.14964473875006035</v>
      </c>
      <c r="H31" s="187">
        <f>'Income Statement'!BH87</f>
        <v>0.16390064167616436</v>
      </c>
      <c r="I31" s="187">
        <f>'Income Statement'!BI87</f>
        <v>0.12854654056744641</v>
      </c>
      <c r="J31" s="187">
        <f>'Income Statement'!BJ87</f>
        <v>0.13156687822703539</v>
      </c>
      <c r="K31" s="187">
        <f>'Income Statement'!BK87</f>
        <v>0.14530166071053174</v>
      </c>
      <c r="L31" s="187">
        <f>'Income Statement'!BL87</f>
        <v>0.17332224442983812</v>
      </c>
      <c r="M31" s="188">
        <f>'Income Statement'!BM87</f>
        <v>0.17022942352798665</v>
      </c>
      <c r="N31" s="187">
        <f>'Income Statement'!BN87</f>
        <v>0.16416211553322491</v>
      </c>
      <c r="O31" s="187">
        <f>'Income Statement'!BO87</f>
        <v>0.15440517479819671</v>
      </c>
      <c r="P31" s="187">
        <f>'Income Statement'!BP87</f>
        <v>0.14651044271657665</v>
      </c>
      <c r="Q31" s="187">
        <f>'Income Statement'!BQ87</f>
        <v>0.13335963116990146</v>
      </c>
      <c r="R31" s="158"/>
      <c r="S31" s="189">
        <f>'Income Statement'!CU87</f>
        <v>0.10284291581592964</v>
      </c>
      <c r="T31" s="189">
        <f>'Income Statement'!CV87</f>
        <v>9.6745780974085038E-2</v>
      </c>
      <c r="U31" s="189">
        <f>'Income Statement'!CW87</f>
        <v>0.15052162115801448</v>
      </c>
      <c r="V31" s="189">
        <f>'Income Statement'!CX87</f>
        <v>0.15612838179229249</v>
      </c>
      <c r="W31" s="189">
        <f>'Income Statement'!CY87</f>
        <v>0.148676901510024</v>
      </c>
    </row>
    <row r="32" spans="1:23" x14ac:dyDescent="0.2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83"/>
      <c r="N32" s="158"/>
      <c r="O32" s="158"/>
      <c r="P32" s="158"/>
      <c r="Q32" s="158"/>
      <c r="R32" s="158"/>
      <c r="S32" s="169"/>
      <c r="T32" s="169"/>
      <c r="U32" s="169"/>
      <c r="V32" s="169"/>
      <c r="W32" s="169"/>
    </row>
    <row r="33" spans="1:23" ht="15.75" thickBot="1" x14ac:dyDescent="0.3">
      <c r="A33" s="378" t="s">
        <v>364</v>
      </c>
      <c r="B33" s="378"/>
      <c r="C33" s="378"/>
      <c r="D33" s="157"/>
      <c r="E33" s="157"/>
      <c r="F33" s="157"/>
      <c r="G33" s="157"/>
      <c r="H33" s="157"/>
      <c r="I33" s="157"/>
      <c r="J33" s="157"/>
      <c r="K33" s="157"/>
      <c r="L33" s="157"/>
      <c r="M33" s="176"/>
      <c r="N33" s="157"/>
      <c r="O33" s="157"/>
      <c r="P33" s="157"/>
      <c r="Q33" s="157"/>
      <c r="R33" s="158"/>
      <c r="S33" s="169"/>
      <c r="T33" s="169"/>
      <c r="U33" s="169"/>
      <c r="V33" s="169"/>
      <c r="W33" s="169"/>
    </row>
    <row r="34" spans="1:23" x14ac:dyDescent="0.25">
      <c r="A34" s="184"/>
      <c r="B34" s="184"/>
      <c r="C34" s="184"/>
      <c r="D34" s="158"/>
      <c r="E34" s="158"/>
      <c r="F34" s="158"/>
      <c r="G34" s="158"/>
      <c r="H34" s="158"/>
      <c r="I34" s="158"/>
      <c r="J34" s="158"/>
      <c r="K34" s="158"/>
      <c r="L34" s="158"/>
      <c r="M34" s="183"/>
      <c r="N34" s="158"/>
      <c r="O34" s="158"/>
      <c r="P34" s="158"/>
      <c r="Q34" s="158"/>
      <c r="R34" s="158"/>
      <c r="S34" s="169"/>
      <c r="T34" s="169"/>
      <c r="U34" s="169"/>
      <c r="V34" s="169"/>
      <c r="W34" s="169"/>
    </row>
    <row r="35" spans="1:23" x14ac:dyDescent="0.25">
      <c r="A35" s="163" t="s">
        <v>366</v>
      </c>
      <c r="B35" s="170">
        <f>'Income Statement'!BB65</f>
        <v>-8.2329581317062916E-2</v>
      </c>
      <c r="C35" s="170">
        <f>'Income Statement'!BC65</f>
        <v>6.9024316849843004E-2</v>
      </c>
      <c r="D35" s="170">
        <f>'Income Statement'!BD65</f>
        <v>2.8001179561417677E-2</v>
      </c>
      <c r="E35" s="170">
        <f>'Income Statement'!BE65</f>
        <v>0.12539605961430644</v>
      </c>
      <c r="F35" s="170">
        <f>'Income Statement'!BF65</f>
        <v>-6.6863631097207721E-2</v>
      </c>
      <c r="G35" s="170">
        <f>'Income Statement'!BG65</f>
        <v>5.218589751548941E-2</v>
      </c>
      <c r="H35" s="170">
        <f>'Income Statement'!BH65</f>
        <v>4.1608647423945655E-2</v>
      </c>
      <c r="I35" s="170">
        <f>'Income Statement'!BI65</f>
        <v>9.2910227942176071E-2</v>
      </c>
      <c r="J35" s="170">
        <f>'Income Statement'!BJ65</f>
        <v>-6.463216162705121E-2</v>
      </c>
      <c r="K35" s="170">
        <f>'Income Statement'!BK65</f>
        <v>6.8643748476184152E-2</v>
      </c>
      <c r="L35" s="170">
        <f>'Income Statement'!BL65</f>
        <v>6.1372215539055031E-2</v>
      </c>
      <c r="M35" s="192">
        <f>'Income Statement'!BM65</f>
        <v>9.5879836806302077E-2</v>
      </c>
      <c r="N35" s="170">
        <f>'Income Statement'!BN65</f>
        <v>-7.4965678906832145E-2</v>
      </c>
      <c r="O35" s="170">
        <f>'Income Statement'!BO65</f>
        <v>5.912492751421361E-2</v>
      </c>
      <c r="P35" s="170">
        <f>'Income Statement'!BP65</f>
        <v>5.9980716712974891E-2</v>
      </c>
      <c r="Q35" s="170">
        <f>'Income Statement'!BQ65</f>
        <v>8.1490785773060015E-2</v>
      </c>
      <c r="R35" s="158"/>
      <c r="S35" s="193"/>
      <c r="T35" s="193"/>
      <c r="U35" s="193"/>
      <c r="V35" s="193"/>
      <c r="W35" s="193"/>
    </row>
    <row r="36" spans="1:23" x14ac:dyDescent="0.25">
      <c r="A36" s="179" t="s">
        <v>367</v>
      </c>
      <c r="B36" s="170">
        <f>'Income Statement'!BB4</f>
        <v>-7.6350910808617112E-2</v>
      </c>
      <c r="C36" s="170">
        <f>'Income Statement'!BC4</f>
        <v>7.0604336238565102E-2</v>
      </c>
      <c r="D36" s="170">
        <f>'Income Statement'!BD4</f>
        <v>2.8002045319984958E-2</v>
      </c>
      <c r="E36" s="170">
        <f>'Income Statement'!BE4</f>
        <v>0.11919316203515851</v>
      </c>
      <c r="F36" s="170">
        <f>'Income Statement'!BF4</f>
        <v>-6.4687788732559093E-2</v>
      </c>
      <c r="G36" s="170">
        <f>'Income Statement'!BG4</f>
        <v>5.3806332216275621E-2</v>
      </c>
      <c r="H36" s="170">
        <f>'Income Statement'!BH4</f>
        <v>4.2574903589439383E-2</v>
      </c>
      <c r="I36" s="170">
        <f>'Income Statement'!BI4</f>
        <v>9.3167772555000417E-2</v>
      </c>
      <c r="J36" s="170">
        <f>'Income Statement'!BJ4</f>
        <v>-6.7934075315724263E-2</v>
      </c>
      <c r="K36" s="170">
        <f>'Income Statement'!BK4</f>
        <v>7.4203565524328718E-2</v>
      </c>
      <c r="L36" s="170">
        <f>'Income Statement'!BL4</f>
        <v>6.2828205101542078E-2</v>
      </c>
      <c r="M36" s="192">
        <f>'Income Statement'!BM4</f>
        <v>9.323951685054932E-2</v>
      </c>
      <c r="N36" s="170">
        <f>'Income Statement'!BN4</f>
        <v>-7.5717302305475576E-2</v>
      </c>
      <c r="O36" s="170">
        <f>'Income Statement'!BO4</f>
        <v>6.0178260860232147E-2</v>
      </c>
      <c r="P36" s="170">
        <f>'Income Statement'!BP4</f>
        <v>6.047336209858778E-2</v>
      </c>
      <c r="Q36" s="170">
        <f>'Income Statement'!BQ4</f>
        <v>8.1057029818299986E-2</v>
      </c>
      <c r="R36" s="158"/>
      <c r="S36" s="193"/>
      <c r="T36" s="193"/>
      <c r="U36" s="193"/>
      <c r="V36" s="193"/>
      <c r="W36" s="193"/>
    </row>
    <row r="37" spans="1:23" x14ac:dyDescent="0.25">
      <c r="A37" s="180" t="s">
        <v>368</v>
      </c>
      <c r="B37" s="170">
        <f>'Income Statement'!BB9</f>
        <v>-8.6632860638580111E-2</v>
      </c>
      <c r="C37" s="170">
        <f>'Income Statement'!BC9</f>
        <v>6.9785833023998878E-2</v>
      </c>
      <c r="D37" s="170">
        <f>'Income Statement'!BD9</f>
        <v>2.5661914460285207E-2</v>
      </c>
      <c r="E37" s="170">
        <f>'Income Statement'!BE9</f>
        <v>0.12245168122848815</v>
      </c>
      <c r="F37" s="170">
        <f>'Income Statement'!BF9</f>
        <v>-7.7485552541573299E-2</v>
      </c>
      <c r="G37" s="170">
        <f>'Income Statement'!BG9</f>
        <v>5.014346998494279E-2</v>
      </c>
      <c r="H37" s="170">
        <f>'Income Statement'!BH9</f>
        <v>3.4925873823179243E-2</v>
      </c>
      <c r="I37" s="170">
        <f>'Income Statement'!BI9</f>
        <v>9.9124297477453993E-2</v>
      </c>
      <c r="J37" s="170">
        <f>'Income Statement'!BJ9</f>
        <v>-8.1218636287963442E-2</v>
      </c>
      <c r="K37" s="170">
        <f>'Income Statement'!BK9</f>
        <v>6.8324187202319253E-2</v>
      </c>
      <c r="L37" s="170">
        <f>'Income Statement'!BL9</f>
        <v>5.4626073682807696E-2</v>
      </c>
      <c r="M37" s="192">
        <f>'Income Statement'!BM9</f>
        <v>9.1323780932980325E-2</v>
      </c>
      <c r="N37" s="170">
        <f>'Income Statement'!BN9</f>
        <v>-9.6132474273092572E-2</v>
      </c>
      <c r="O37" s="170">
        <f>'Income Statement'!BO9</f>
        <v>5.9342284000066137E-2</v>
      </c>
      <c r="P37" s="170">
        <f>'Income Statement'!BP9</f>
        <v>5.4870307582716826E-2</v>
      </c>
      <c r="Q37" s="170">
        <f>'Income Statement'!BQ9</f>
        <v>9.0140072770428237E-2</v>
      </c>
      <c r="R37" s="158"/>
      <c r="S37" s="193"/>
      <c r="T37" s="193"/>
      <c r="U37" s="193"/>
      <c r="V37" s="193"/>
      <c r="W37" s="193"/>
    </row>
    <row r="38" spans="1:23" x14ac:dyDescent="0.25">
      <c r="A38" s="194" t="s">
        <v>369</v>
      </c>
      <c r="B38" s="170">
        <f>'Income Statement'!BB15</f>
        <v>-7.6115307747027572E-2</v>
      </c>
      <c r="C38" s="170">
        <f>'Income Statement'!BC15</f>
        <v>6.590525775463818E-2</v>
      </c>
      <c r="D38" s="170">
        <f>'Income Statement'!BD15</f>
        <v>2.5867258311404573E-2</v>
      </c>
      <c r="E38" s="170">
        <f>'Income Statement'!BE15</f>
        <v>9.8412325850419924E-2</v>
      </c>
      <c r="F38" s="170">
        <f>'Income Statement'!BF15</f>
        <v>-5.8885480104400423E-2</v>
      </c>
      <c r="G38" s="170">
        <f>'Income Statement'!BG15</f>
        <v>4.7957313611962649E-2</v>
      </c>
      <c r="H38" s="170">
        <f>'Income Statement'!BH15</f>
        <v>1.9159341339606284E-2</v>
      </c>
      <c r="I38" s="170">
        <f>'Income Statement'!BI15</f>
        <v>0.10032799829926797</v>
      </c>
      <c r="J38" s="170">
        <f>'Income Statement'!BJ15</f>
        <v>-7.6951739556451071E-2</v>
      </c>
      <c r="K38" s="170">
        <f>'Income Statement'!BK15</f>
        <v>6.6606862525229849E-2</v>
      </c>
      <c r="L38" s="170">
        <f>'Income Statement'!BL15</f>
        <v>3.9837398373983701E-2</v>
      </c>
      <c r="M38" s="192">
        <f>'Income Statement'!BM15</f>
        <v>9.4448788115715443E-2</v>
      </c>
      <c r="N38" s="170">
        <f>'Income Statement'!BN15</f>
        <v>-8.817928423272281E-2</v>
      </c>
      <c r="O38" s="170">
        <f>'Income Statement'!BO15</f>
        <v>5.676288964911369E-2</v>
      </c>
      <c r="P38" s="170">
        <f>'Income Statement'!BP15</f>
        <v>4.1635849961997318E-2</v>
      </c>
      <c r="Q38" s="170">
        <f>'Income Statement'!BQ15</f>
        <v>9.4116041493406355E-2</v>
      </c>
      <c r="R38" s="158"/>
      <c r="S38" s="193"/>
      <c r="T38" s="193"/>
      <c r="U38" s="193"/>
      <c r="V38" s="193"/>
      <c r="W38" s="193"/>
    </row>
    <row r="39" spans="1:23" x14ac:dyDescent="0.25">
      <c r="A39" s="217" t="s">
        <v>65</v>
      </c>
      <c r="B39" s="172">
        <f>'Income Statement'!BB21</f>
        <v>-5.2694582668294077E-2</v>
      </c>
      <c r="C39" s="172">
        <f>'Income Statement'!BC21</f>
        <v>5.6220421715106994E-2</v>
      </c>
      <c r="D39" s="172">
        <f>'Income Statement'!BD21</f>
        <v>3.2795345782115071E-2</v>
      </c>
      <c r="E39" s="172">
        <f>'Income Statement'!BE21</f>
        <v>9.0719120519692886E-2</v>
      </c>
      <c r="F39" s="172">
        <f>'Income Statement'!BF21</f>
        <v>-3.8817159516867927E-2</v>
      </c>
      <c r="G39" s="172">
        <f>'Income Statement'!BG21</f>
        <v>5.0979287633243775E-2</v>
      </c>
      <c r="H39" s="172">
        <f>'Income Statement'!BH21</f>
        <v>1.8058504607392445E-2</v>
      </c>
      <c r="I39" s="172">
        <f>'Income Statement'!BI21</f>
        <v>9.4137896122304277E-2</v>
      </c>
      <c r="J39" s="172">
        <f>'Income Statement'!BJ21</f>
        <v>-6.1664877669615481E-2</v>
      </c>
      <c r="K39" s="172">
        <f>'Income Statement'!BK21</f>
        <v>6.8794130409056908E-2</v>
      </c>
      <c r="L39" s="172">
        <f>'Income Statement'!BL21</f>
        <v>4.3864181583318063E-2</v>
      </c>
      <c r="M39" s="185">
        <f>'Income Statement'!BM21</f>
        <v>8.8952215956299874E-2</v>
      </c>
      <c r="N39" s="172">
        <f>'Income Statement'!BN21</f>
        <v>-7.8126897359622194E-2</v>
      </c>
      <c r="O39" s="172">
        <f>'Income Statement'!BO21</f>
        <v>5.9251325673261857E-2</v>
      </c>
      <c r="P39" s="172">
        <f>'Income Statement'!BP21</f>
        <v>4.3864181583317841E-2</v>
      </c>
      <c r="Q39" s="172">
        <f>'Income Statement'!BQ21</f>
        <v>8.4047025794334429E-2</v>
      </c>
      <c r="R39" s="158"/>
      <c r="S39" s="193"/>
      <c r="T39" s="193"/>
      <c r="U39" s="193"/>
      <c r="V39" s="193"/>
      <c r="W39" s="193"/>
    </row>
    <row r="40" spans="1:23" x14ac:dyDescent="0.25">
      <c r="A40" s="217" t="s">
        <v>370</v>
      </c>
      <c r="B40" s="172">
        <f>'Income Statement'!BB28</f>
        <v>-0.15948763029009172</v>
      </c>
      <c r="C40" s="172">
        <f>'Income Statement'!BC28</f>
        <v>0.14522635589421773</v>
      </c>
      <c r="D40" s="172">
        <f>'Income Statement'!BD28</f>
        <v>3.7442922374429255E-2</v>
      </c>
      <c r="E40" s="172">
        <f>'Income Statement'!BE28</f>
        <v>0.1569416498993963</v>
      </c>
      <c r="F40" s="172">
        <f>'Income Statement'!BF28</f>
        <v>-0.1206521739130435</v>
      </c>
      <c r="G40" s="172">
        <f>'Income Statement'!BG28</f>
        <v>7.0828182941903517E-2</v>
      </c>
      <c r="H40" s="172">
        <f>'Income Statement'!BH28</f>
        <v>2.9781830774558538E-2</v>
      </c>
      <c r="I40" s="172">
        <f>'Income Statement'!BI28</f>
        <v>0.17397152785562153</v>
      </c>
      <c r="J40" s="172">
        <f>'Income Statement'!BJ28</f>
        <v>-0.14761768356726823</v>
      </c>
      <c r="K40" s="172">
        <f>'Income Statement'!BK28</f>
        <v>9.7345132743362761E-2</v>
      </c>
      <c r="L40" s="172">
        <f>'Income Statement'!BL28</f>
        <v>4.7468354430379778E-2</v>
      </c>
      <c r="M40" s="185">
        <f>'Income Statement'!BM28</f>
        <v>0.15334665237306311</v>
      </c>
      <c r="N40" s="172">
        <f>'Income Statement'!BN28</f>
        <v>-0.14384608039721181</v>
      </c>
      <c r="O40" s="172">
        <f>'Income Statement'!BO28</f>
        <v>7.317453510584393E-2</v>
      </c>
      <c r="P40" s="172">
        <f>'Income Statement'!BP28</f>
        <v>5.6905006272094827E-2</v>
      </c>
      <c r="Q40" s="172">
        <f>'Income Statement'!BQ28</f>
        <v>0.17394212830829625</v>
      </c>
      <c r="R40" s="158"/>
      <c r="S40" s="193"/>
      <c r="T40" s="193"/>
      <c r="U40" s="193"/>
      <c r="V40" s="193"/>
      <c r="W40" s="193"/>
    </row>
    <row r="41" spans="1:23" x14ac:dyDescent="0.25">
      <c r="A41" s="217" t="s">
        <v>69</v>
      </c>
      <c r="B41" s="172">
        <f>'Income Statement'!BB35</f>
        <v>-0.11551622418879059</v>
      </c>
      <c r="C41" s="172">
        <f>'Income Statement'!BC35</f>
        <v>4.7225186766275407E-2</v>
      </c>
      <c r="D41" s="172">
        <f>'Income Statement'!BD35</f>
        <v>-2.3057324840764282E-2</v>
      </c>
      <c r="E41" s="172">
        <f>'Income Statement'!BE35</f>
        <v>8.1888121006650216E-2</v>
      </c>
      <c r="F41" s="172">
        <f>'Income Statement'!BF35</f>
        <v>-0.10654453416897669</v>
      </c>
      <c r="G41" s="172">
        <f>'Income Statement'!BG35</f>
        <v>4.1818427087549903E-3</v>
      </c>
      <c r="H41" s="172">
        <f>'Income Statement'!BH35</f>
        <v>1.3970983342289189E-2</v>
      </c>
      <c r="I41" s="172">
        <f>'Income Statement'!BI35</f>
        <v>5.3789083200847854E-2</v>
      </c>
      <c r="J41" s="172">
        <f>'Income Statement'!BJ35</f>
        <v>-8.7754588886094997E-2</v>
      </c>
      <c r="K41" s="172">
        <f>'Income Statement'!BK35</f>
        <v>1.3506063947078317E-2</v>
      </c>
      <c r="L41" s="172">
        <f>'Income Statement'!BL35</f>
        <v>0</v>
      </c>
      <c r="M41" s="185">
        <f>'Income Statement'!BM35</f>
        <v>5.4548545009518667E-2</v>
      </c>
      <c r="N41" s="172">
        <f>'Income Statement'!BN35</f>
        <v>-8.3076407290639032E-2</v>
      </c>
      <c r="O41" s="172">
        <f>'Income Statement'!BO35</f>
        <v>1.3506063947078317E-2</v>
      </c>
      <c r="P41" s="172">
        <f>'Income Statement'!BP35</f>
        <v>0</v>
      </c>
      <c r="Q41" s="172">
        <f>'Income Statement'!BQ35</f>
        <v>5.4548545009518667E-2</v>
      </c>
      <c r="R41" s="158"/>
      <c r="S41" s="193"/>
      <c r="T41" s="193"/>
      <c r="U41" s="193"/>
      <c r="V41" s="193"/>
      <c r="W41" s="193"/>
    </row>
    <row r="42" spans="1:23" x14ac:dyDescent="0.25">
      <c r="A42" s="194" t="s">
        <v>70</v>
      </c>
      <c r="B42" s="170">
        <f>'Income Statement'!BB42</f>
        <v>-0.15723055934515684</v>
      </c>
      <c r="C42" s="170">
        <f>'Income Statement'!BC42</f>
        <v>9.834075273168752E-2</v>
      </c>
      <c r="D42" s="170">
        <f>'Income Statement'!BD42</f>
        <v>2.4195529353967071E-2</v>
      </c>
      <c r="E42" s="170">
        <f>'Income Statement'!BE42</f>
        <v>0.29439980813047129</v>
      </c>
      <c r="F42" s="170">
        <f>'Income Statement'!BF42</f>
        <v>-0.19038354641467481</v>
      </c>
      <c r="G42" s="170">
        <f>'Income Statement'!BG42</f>
        <v>6.5568142808101637E-2</v>
      </c>
      <c r="H42" s="170">
        <f>'Income Statement'!BH42</f>
        <v>0.14432989690721643</v>
      </c>
      <c r="I42" s="170">
        <f>'Income Statement'!BI42</f>
        <v>9.1685435435435503E-2</v>
      </c>
      <c r="J42" s="170">
        <f>'Income Statement'!BJ42</f>
        <v>-0.10779678500816647</v>
      </c>
      <c r="K42" s="170">
        <f>'Income Statement'!BK42</f>
        <v>7.9391078138548954E-2</v>
      </c>
      <c r="L42" s="170">
        <f>'Income Statement'!BL42</f>
        <v>0.14879942872444873</v>
      </c>
      <c r="M42" s="192">
        <f>'Income Statement'!BM42</f>
        <v>7.3311404644738065E-2</v>
      </c>
      <c r="N42" s="170">
        <f>'Income Statement'!BN42</f>
        <v>-0.14287703164516952</v>
      </c>
      <c r="O42" s="170">
        <f>'Income Statement'!BO42</f>
        <v>7.5470033076831866E-2</v>
      </c>
      <c r="P42" s="170">
        <f>'Income Statement'!BP42</f>
        <v>0.13617982830514364</v>
      </c>
      <c r="Q42" s="170">
        <f>'Income Statement'!BQ42</f>
        <v>6.77452795435316E-2</v>
      </c>
      <c r="R42" s="158"/>
      <c r="S42" s="193"/>
      <c r="T42" s="193"/>
      <c r="U42" s="193"/>
      <c r="V42" s="193"/>
      <c r="W42" s="193"/>
    </row>
    <row r="43" spans="1:23" x14ac:dyDescent="0.25">
      <c r="A43" s="180" t="s">
        <v>74</v>
      </c>
      <c r="B43" s="170">
        <f>'Income Statement'!BB48</f>
        <v>1.900205058099802E-2</v>
      </c>
      <c r="C43" s="170">
        <f>'Income Statement'!BC48</f>
        <v>7.7408103031929132E-2</v>
      </c>
      <c r="D43" s="170">
        <f>'Income Statement'!BD48</f>
        <v>4.731664798904256E-2</v>
      </c>
      <c r="E43" s="170">
        <f>'Income Statement'!BE48</f>
        <v>9.2854595172987775E-2</v>
      </c>
      <c r="F43" s="170">
        <f>'Income Statement'!BF48</f>
        <v>4.155787641427322E-2</v>
      </c>
      <c r="G43" s="170">
        <f>'Income Statement'!BG48</f>
        <v>8.0739502820137865E-2</v>
      </c>
      <c r="H43" s="170">
        <f>'Income Statement'!BH48</f>
        <v>9.7226249154344302E-2</v>
      </c>
      <c r="I43" s="170">
        <f>'Income Statement'!BI48</f>
        <v>5.3025631991544087E-2</v>
      </c>
      <c r="J43" s="170">
        <f>'Income Statement'!BJ48</f>
        <v>2.5512337933918827E-2</v>
      </c>
      <c r="K43" s="170">
        <f>'Income Statement'!BK48</f>
        <v>0.11125611745513875</v>
      </c>
      <c r="L43" s="170">
        <f>'Income Statement'!BL48</f>
        <v>0.11252201996476807</v>
      </c>
      <c r="M43" s="192">
        <f>'Income Statement'!BM48</f>
        <v>0.10424226430032335</v>
      </c>
      <c r="N43" s="170">
        <f>'Income Statement'!BN48</f>
        <v>4.0162514190117848E-2</v>
      </c>
      <c r="O43" s="170">
        <f>'Income Statement'!BO48</f>
        <v>6.4301633619005871E-2</v>
      </c>
      <c r="P43" s="170">
        <f>'Income Statement'!BP48</f>
        <v>8.7981093053780546E-2</v>
      </c>
      <c r="Q43" s="170">
        <f>'Income Statement'!BQ48</f>
        <v>3.7821676973988083E-2</v>
      </c>
      <c r="R43" s="158"/>
      <c r="S43" s="193"/>
      <c r="T43" s="193"/>
      <c r="U43" s="193"/>
      <c r="V43" s="193"/>
      <c r="W43" s="193"/>
    </row>
    <row r="44" spans="1:23" x14ac:dyDescent="0.25">
      <c r="A44" s="199" t="s">
        <v>75</v>
      </c>
      <c r="B44" s="172">
        <f>'Income Statement'!BB54</f>
        <v>0.27433628318584069</v>
      </c>
      <c r="C44" s="172">
        <f>'Income Statement'!BC54</f>
        <v>-1.041666666666663E-2</v>
      </c>
      <c r="D44" s="172">
        <f>'Income Statement'!BD54</f>
        <v>4.2105263157894646E-2</v>
      </c>
      <c r="E44" s="172">
        <f>'Income Statement'!BE54</f>
        <v>1.2121212121212119</v>
      </c>
      <c r="F44" s="172">
        <f>'Income Statement'!BF54</f>
        <v>-0.24657534246575341</v>
      </c>
      <c r="G44" s="172">
        <f>'Income Statement'!BG54</f>
        <v>-0.26262626262626265</v>
      </c>
      <c r="H44" s="172">
        <f>'Income Statement'!BH54</f>
        <v>6.3013698630137061E-2</v>
      </c>
      <c r="I44" s="172">
        <f>'Income Statement'!BI54</f>
        <v>3.0927835051546282E-2</v>
      </c>
      <c r="J44" s="172">
        <f>'Income Statement'!BJ54</f>
        <v>0.125</v>
      </c>
      <c r="K44" s="172">
        <f>'Income Statement'!BK54</f>
        <v>-0.1711111111111111</v>
      </c>
      <c r="L44" s="172">
        <f>'Income Statement'!BL54</f>
        <v>-7.7747989276139462E-2</v>
      </c>
      <c r="M44" s="185">
        <f>'Income Statement'!BM54</f>
        <v>0.22093023255813948</v>
      </c>
      <c r="N44" s="172">
        <f>'Income Statement'!BN54</f>
        <v>0.125</v>
      </c>
      <c r="O44" s="172">
        <f>'Income Statement'!BO54</f>
        <v>-0.17111111111111099</v>
      </c>
      <c r="P44" s="172">
        <f>'Income Statement'!BP54</f>
        <v>-7.7747989276139573E-2</v>
      </c>
      <c r="Q44" s="172">
        <f>'Income Statement'!BQ54</f>
        <v>0.22093023255813948</v>
      </c>
      <c r="R44" s="158"/>
      <c r="S44" s="193"/>
      <c r="T44" s="193"/>
      <c r="U44" s="193"/>
      <c r="V44" s="193"/>
      <c r="W44" s="193"/>
    </row>
    <row r="45" spans="1:23" x14ac:dyDescent="0.25">
      <c r="A45" s="184" t="s">
        <v>378</v>
      </c>
      <c r="B45" s="170">
        <f>'Income Statement'!BB69</f>
        <v>-9.3152804642166354E-2</v>
      </c>
      <c r="C45" s="170">
        <f>'Income Statement'!BC69</f>
        <v>6.9618633222421344E-2</v>
      </c>
      <c r="D45" s="170">
        <f>'Income Statement'!BD69</f>
        <v>8.3752093802345051E-3</v>
      </c>
      <c r="E45" s="170">
        <f>'Income Statement'!BE69</f>
        <v>0.10631229235880402</v>
      </c>
      <c r="F45" s="170">
        <f>'Income Statement'!BF69</f>
        <v>-7.4360074360074413E-2</v>
      </c>
      <c r="G45" s="170">
        <f>'Income Statement'!BG69</f>
        <v>3.4064575930789376E-2</v>
      </c>
      <c r="H45" s="170">
        <f>'Income Statement'!BH69</f>
        <v>2.4800179278404499E-2</v>
      </c>
      <c r="I45" s="170">
        <f>'Income Statement'!BI69</f>
        <v>8.2294627888330085E-2</v>
      </c>
      <c r="J45" s="170">
        <f>'Income Statement'!BJ69</f>
        <v>-7.40840517241379E-2</v>
      </c>
      <c r="K45" s="170">
        <f>'Income Statement'!BK69</f>
        <v>6.9610125109106802E-2</v>
      </c>
      <c r="L45" s="170">
        <f>'Income Statement'!BL69</f>
        <v>1.1628697721863368E-2</v>
      </c>
      <c r="M45" s="192">
        <f>'Income Statement'!BM69</f>
        <v>0.11882374294165099</v>
      </c>
      <c r="N45" s="170">
        <f>'Income Statement'!BN69</f>
        <v>-0.11625337366849131</v>
      </c>
      <c r="O45" s="170">
        <f>'Income Statement'!BO69</f>
        <v>5.676288964911369E-2</v>
      </c>
      <c r="P45" s="170">
        <f>'Income Statement'!BP69</f>
        <v>4.1635849961997318E-2</v>
      </c>
      <c r="Q45" s="170">
        <f>'Income Statement'!BQ69</f>
        <v>9.4116041493406577E-2</v>
      </c>
      <c r="R45" s="158"/>
      <c r="S45" s="193"/>
      <c r="T45" s="193"/>
      <c r="U45" s="193"/>
      <c r="V45" s="193"/>
      <c r="W45" s="193"/>
    </row>
    <row r="46" spans="1:23" ht="15.75" thickBot="1" x14ac:dyDescent="0.3">
      <c r="A46" s="184" t="s">
        <v>379</v>
      </c>
      <c r="B46" s="170">
        <f>'Income Statement'!BB86</f>
        <v>-8.0113429336374997E-2</v>
      </c>
      <c r="C46" s="170">
        <f>'Income Statement'!BC86</f>
        <v>6.8904350222160904E-2</v>
      </c>
      <c r="D46" s="170">
        <f>'Income Statement'!BD86</f>
        <v>3.1965456683906046E-2</v>
      </c>
      <c r="E46" s="170">
        <f>'Income Statement'!BE86</f>
        <v>0.129162698474653</v>
      </c>
      <c r="F46" s="170">
        <f>'Income Statement'!BF86</f>
        <v>-6.5413970466235316E-2</v>
      </c>
      <c r="G46" s="170">
        <f>'Income Statement'!BG86</f>
        <v>5.5656650836625188E-2</v>
      </c>
      <c r="H46" s="170">
        <f>'Income Statement'!BH86</f>
        <v>4.4762104968117056E-2</v>
      </c>
      <c r="I46" s="170">
        <f>'Income Statement'!BI86</f>
        <v>9.4863780868958747E-2</v>
      </c>
      <c r="J46" s="170">
        <f>'Income Statement'!BJ86</f>
        <v>-6.2912730792320626E-2</v>
      </c>
      <c r="K46" s="170">
        <f>'Income Statement'!BK86</f>
        <v>6.8470046805951368E-2</v>
      </c>
      <c r="L46" s="170">
        <f>'Income Statement'!BL86</f>
        <v>7.0322920108170317E-2</v>
      </c>
      <c r="M46" s="192">
        <f>'Income Statement'!BM86</f>
        <v>9.1977772696670845E-2</v>
      </c>
      <c r="N46" s="170">
        <f>'Income Statement'!BN86</f>
        <v>-6.7771262774119823E-2</v>
      </c>
      <c r="O46" s="170">
        <f>'Income Statement'!BO86</f>
        <v>5.9515109358031282E-2</v>
      </c>
      <c r="P46" s="170">
        <f>'Income Statement'!BP86</f>
        <v>6.3003208728196203E-2</v>
      </c>
      <c r="Q46" s="170">
        <f>'Income Statement'!BQ86</f>
        <v>7.9452466893205065E-2</v>
      </c>
      <c r="S46" s="206"/>
      <c r="T46" s="206"/>
      <c r="U46" s="206"/>
      <c r="V46" s="206"/>
      <c r="W46" s="206"/>
    </row>
  </sheetData>
  <mergeCells count="3">
    <mergeCell ref="A2:C2"/>
    <mergeCell ref="A18:C18"/>
    <mergeCell ref="A33:C33"/>
  </mergeCells>
  <pageMargins left="0.7" right="0.7" top="0.75" bottom="0.75" header="0.3" footer="0.3"/>
  <pageSetup scale="11" orientation="landscape" r:id="rId1"/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2197-2784-436F-B9AE-6F7CF9716E7E}">
  <dimension ref="A1:AG62"/>
  <sheetViews>
    <sheetView workbookViewId="0">
      <selection activeCell="C3" sqref="C3"/>
    </sheetView>
  </sheetViews>
  <sheetFormatPr defaultRowHeight="15" outlineLevelCol="1" x14ac:dyDescent="0.25"/>
  <cols>
    <col min="1" max="1" width="2.7109375" style="140" customWidth="1"/>
    <col min="2" max="2" width="21.85546875" style="267" bestFit="1" customWidth="1"/>
    <col min="3" max="3" width="10.140625" style="267" bestFit="1" customWidth="1" outlineLevel="1"/>
    <col min="4" max="6" width="9.140625" style="267" outlineLevel="1"/>
    <col min="7" max="7" width="2.7109375" style="267" customWidth="1" outlineLevel="1"/>
    <col min="8" max="8" width="8" style="267" bestFit="1" customWidth="1"/>
    <col min="9" max="9" width="2.7109375" style="267" customWidth="1"/>
    <col min="10" max="13" width="9.140625" style="267" outlineLevel="1"/>
    <col min="14" max="14" width="2.7109375" style="267" customWidth="1"/>
    <col min="15" max="18" width="9.140625" style="267" outlineLevel="1"/>
    <col min="19" max="19" width="2.7109375" style="267" customWidth="1"/>
    <col min="20" max="23" width="9.140625" style="267" outlineLevel="1"/>
    <col min="24" max="24" width="2.7109375" style="267" customWidth="1"/>
    <col min="25" max="28" width="9.140625" style="267" outlineLevel="1"/>
    <col min="29" max="29" width="2.7109375" style="267" customWidth="1"/>
    <col min="30" max="33" width="9.140625" style="267" outlineLevel="1"/>
    <col min="34" max="16384" width="9.140625" style="140"/>
  </cols>
  <sheetData>
    <row r="1" spans="1:33" x14ac:dyDescent="0.25">
      <c r="A1" s="281"/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</row>
    <row r="2" spans="1:33" ht="3.75" customHeight="1" x14ac:dyDescent="0.25"/>
    <row r="3" spans="1:33" x14ac:dyDescent="0.25">
      <c r="B3" s="150" t="s">
        <v>409</v>
      </c>
      <c r="C3" s="262" t="s">
        <v>467</v>
      </c>
    </row>
    <row r="4" spans="1:33" x14ac:dyDescent="0.25">
      <c r="B4" s="150" t="s">
        <v>410</v>
      </c>
      <c r="C4" s="268" t="str">
        <f ca="1">OFFSET('Income Statement'!A1,0,MATCH('NTM Valuation'!C3,'Income Statement'!1:1,0)+3)</f>
        <v>3Q26E</v>
      </c>
    </row>
    <row r="5" spans="1:33" x14ac:dyDescent="0.25">
      <c r="B5" s="150" t="s">
        <v>411</v>
      </c>
      <c r="C5" s="288">
        <f ca="1">HLOOKUP($C$4,'Shares Outstanding &amp; Corporate'!A1:CC26,ROW('Shares Outstanding &amp; Corporate'!A9),FALSE)</f>
        <v>12087.924887212941</v>
      </c>
    </row>
    <row r="6" spans="1:33" x14ac:dyDescent="0.25">
      <c r="B6" s="150" t="s">
        <v>412</v>
      </c>
      <c r="C6" s="269">
        <f ca="1">HLOOKUP(C4,'Balance Sheet'!A1:CC51,ROW('Balance Sheet'!A51),FALSE)</f>
        <v>-72036.651464161841</v>
      </c>
    </row>
    <row r="7" spans="1:33" ht="3.75" customHeight="1" x14ac:dyDescent="0.25"/>
    <row r="8" spans="1:33" x14ac:dyDescent="0.25">
      <c r="C8" s="270">
        <f>+D8-1</f>
        <v>-4</v>
      </c>
      <c r="D8" s="270">
        <f>+E8-1</f>
        <v>-3</v>
      </c>
      <c r="E8" s="270">
        <f>+F8-1</f>
        <v>-2</v>
      </c>
      <c r="F8" s="270">
        <v>-1</v>
      </c>
      <c r="G8" s="270"/>
      <c r="H8" s="270">
        <v>0</v>
      </c>
      <c r="I8" s="270"/>
      <c r="J8" s="271">
        <v>1</v>
      </c>
      <c r="K8" s="272">
        <f>+J8+1</f>
        <v>2</v>
      </c>
      <c r="L8" s="272">
        <f>+K8+1</f>
        <v>3</v>
      </c>
      <c r="M8" s="272">
        <f>+L8+1</f>
        <v>4</v>
      </c>
      <c r="N8" s="272"/>
      <c r="O8" s="271">
        <f>+M8+1</f>
        <v>5</v>
      </c>
      <c r="P8" s="271">
        <f>+O8+1</f>
        <v>6</v>
      </c>
      <c r="Q8" s="271">
        <f t="shared" ref="Q8:R8" si="0">+P8+1</f>
        <v>7</v>
      </c>
      <c r="R8" s="271">
        <f t="shared" si="0"/>
        <v>8</v>
      </c>
      <c r="S8" s="273"/>
      <c r="T8" s="271">
        <f>+R8+1</f>
        <v>9</v>
      </c>
      <c r="U8" s="271">
        <f>+T8+1</f>
        <v>10</v>
      </c>
      <c r="V8" s="271">
        <f t="shared" ref="V8:W8" si="1">+U8+1</f>
        <v>11</v>
      </c>
      <c r="W8" s="271">
        <f t="shared" si="1"/>
        <v>12</v>
      </c>
      <c r="X8" s="273"/>
      <c r="Y8" s="271">
        <f>+W8+1</f>
        <v>13</v>
      </c>
      <c r="Z8" s="271">
        <f>+Y8+1</f>
        <v>14</v>
      </c>
      <c r="AA8" s="271">
        <f t="shared" ref="AA8:AB8" si="2">+Z8+1</f>
        <v>15</v>
      </c>
      <c r="AB8" s="271">
        <f t="shared" si="2"/>
        <v>16</v>
      </c>
      <c r="AC8" s="273"/>
      <c r="AD8" s="271">
        <f>+AB8+1</f>
        <v>17</v>
      </c>
      <c r="AE8" s="271">
        <f>+AD8+1</f>
        <v>18</v>
      </c>
      <c r="AF8" s="271">
        <f t="shared" ref="AF8:AG8" si="3">+AE8+1</f>
        <v>19</v>
      </c>
      <c r="AG8" s="271">
        <f t="shared" si="3"/>
        <v>20</v>
      </c>
    </row>
    <row r="9" spans="1:33" ht="3.75" customHeight="1" x14ac:dyDescent="0.25"/>
    <row r="10" spans="1:33" x14ac:dyDescent="0.25">
      <c r="C10" s="263" t="s">
        <v>413</v>
      </c>
      <c r="D10" s="264"/>
      <c r="E10" s="264"/>
      <c r="F10" s="265"/>
      <c r="G10" s="274"/>
      <c r="H10" s="266" t="s">
        <v>414</v>
      </c>
      <c r="J10" s="263" t="s">
        <v>410</v>
      </c>
      <c r="K10" s="264"/>
      <c r="L10" s="264"/>
      <c r="M10" s="265"/>
      <c r="O10" s="263" t="s">
        <v>415</v>
      </c>
      <c r="P10" s="264"/>
      <c r="Q10" s="264"/>
      <c r="R10" s="265"/>
      <c r="T10" s="263" t="s">
        <v>416</v>
      </c>
      <c r="U10" s="264"/>
      <c r="V10" s="264"/>
      <c r="W10" s="265"/>
      <c r="Y10" s="263" t="s">
        <v>417</v>
      </c>
      <c r="Z10" s="264"/>
      <c r="AA10" s="264"/>
      <c r="AB10" s="265"/>
      <c r="AD10" s="263" t="s">
        <v>418</v>
      </c>
      <c r="AE10" s="264"/>
      <c r="AF10" s="264"/>
      <c r="AG10" s="265"/>
    </row>
    <row r="11" spans="1:33" ht="15.75" thickBot="1" x14ac:dyDescent="0.3">
      <c r="C11" s="274" t="str">
        <f ca="1">CONCATENATE(IF(LEFT(C12,2)="4Q","12/31",IF(LEFT(C12,2)="1Q","3/31",IF(LEFT(C12,2)="2Q","6/30","9/30"))),"/",MID(C12,3,3))</f>
        <v>9/30/24</v>
      </c>
      <c r="D11" s="274" t="str">
        <f t="shared" ref="D11:H11" ca="1" si="4">CONCATENATE(IF(LEFT(D12,2)="4Q","12/31",IF(LEFT(D12,2)="1Q","3/31",IF(LEFT(D12,2)="2Q","6/30","9/30"))),"/",MID(D12,3,3))</f>
        <v>12/31/24</v>
      </c>
      <c r="E11" s="274" t="str">
        <f t="shared" ca="1" si="4"/>
        <v>3/31/25</v>
      </c>
      <c r="F11" s="274" t="str">
        <f t="shared" ca="1" si="4"/>
        <v>6/30/25</v>
      </c>
      <c r="G11" s="274"/>
      <c r="H11" s="274" t="str">
        <f t="shared" ca="1" si="4"/>
        <v>9/30/25</v>
      </c>
      <c r="J11" s="274" t="str">
        <f t="shared" ref="J11" ca="1" si="5">CONCATENATE(IF(LEFT(J12,2)="4Q","12/31",IF(LEFT(J12,2)="1Q","3/31",IF(LEFT(J12,2)="2Q","6/30","9/30"))),"/",MID(J12,3,3))</f>
        <v>12/31/25E</v>
      </c>
      <c r="K11" s="274" t="str">
        <f t="shared" ref="K11" ca="1" si="6">CONCATENATE(IF(LEFT(K12,2)="4Q","12/31",IF(LEFT(K12,2)="1Q","3/31",IF(LEFT(K12,2)="2Q","6/30","9/30"))),"/",MID(K12,3,3))</f>
        <v>3/31/26E</v>
      </c>
      <c r="L11" s="274" t="str">
        <f t="shared" ref="L11" ca="1" si="7">CONCATENATE(IF(LEFT(L12,2)="4Q","12/31",IF(LEFT(L12,2)="1Q","3/31",IF(LEFT(L12,2)="2Q","6/30","9/30"))),"/",MID(L12,3,3))</f>
        <v>6/30/26E</v>
      </c>
      <c r="M11" s="274" t="str">
        <f t="shared" ref="M11" ca="1" si="8">CONCATENATE(IF(LEFT(M12,2)="4Q","12/31",IF(LEFT(M12,2)="1Q","3/31",IF(LEFT(M12,2)="2Q","6/30","9/30"))),"/",MID(M12,3,3))</f>
        <v>9/30/26E</v>
      </c>
      <c r="N11" s="274"/>
      <c r="O11" s="274" t="str">
        <f t="shared" ref="O11" ca="1" si="9">CONCATENATE(IF(LEFT(O12,2)="4Q","12/31",IF(LEFT(O12,2)="1Q","3/31",IF(LEFT(O12,2)="2Q","6/30","9/30"))),"/",MID(O12,3,3))</f>
        <v>12/31/26E</v>
      </c>
      <c r="P11" s="274" t="str">
        <f t="shared" ref="P11" ca="1" si="10">CONCATENATE(IF(LEFT(P12,2)="4Q","12/31",IF(LEFT(P12,2)="1Q","3/31",IF(LEFT(P12,2)="2Q","6/30","9/30"))),"/",MID(P12,3,3))</f>
        <v>3/31/27E</v>
      </c>
      <c r="Q11" s="274" t="str">
        <f t="shared" ref="Q11" ca="1" si="11">CONCATENATE(IF(LEFT(Q12,2)="4Q","12/31",IF(LEFT(Q12,2)="1Q","3/31",IF(LEFT(Q12,2)="2Q","6/30","9/30"))),"/",MID(Q12,3,3))</f>
        <v>6/30/27E</v>
      </c>
      <c r="R11" s="274" t="str">
        <f t="shared" ref="R11" ca="1" si="12">CONCATENATE(IF(LEFT(R12,2)="4Q","12/31",IF(LEFT(R12,2)="1Q","3/31",IF(LEFT(R12,2)="2Q","6/30","9/30"))),"/",MID(R12,3,3))</f>
        <v>9/30/27E</v>
      </c>
      <c r="S11" s="274"/>
      <c r="T11" s="274" t="str">
        <f t="shared" ref="T11" ca="1" si="13">CONCATENATE(IF(LEFT(T12,2)="4Q","12/31",IF(LEFT(T12,2)="1Q","3/31",IF(LEFT(T12,2)="2Q","6/30","9/30"))),"/",MID(T12,3,3))</f>
        <v>12/31/27E</v>
      </c>
      <c r="U11" s="274" t="str">
        <f t="shared" ref="U11" ca="1" si="14">CONCATENATE(IF(LEFT(U12,2)="4Q","12/31",IF(LEFT(U12,2)="1Q","3/31",IF(LEFT(U12,2)="2Q","6/30","9/30"))),"/",MID(U12,3,3))</f>
        <v>3/31/28E</v>
      </c>
      <c r="V11" s="274" t="str">
        <f t="shared" ref="V11" ca="1" si="15">CONCATENATE(IF(LEFT(V12,2)="4Q","12/31",IF(LEFT(V12,2)="1Q","3/31",IF(LEFT(V12,2)="2Q","6/30","9/30"))),"/",MID(V12,3,3))</f>
        <v>6/30/28E</v>
      </c>
      <c r="W11" s="274" t="str">
        <f t="shared" ref="W11" ca="1" si="16">CONCATENATE(IF(LEFT(W12,2)="4Q","12/31",IF(LEFT(W12,2)="1Q","3/31",IF(LEFT(W12,2)="2Q","6/30","9/30"))),"/",MID(W12,3,3))</f>
        <v>9/30/28E</v>
      </c>
      <c r="X11" s="274"/>
      <c r="Y11" s="274" t="str">
        <f t="shared" ref="Y11" ca="1" si="17">CONCATENATE(IF(LEFT(Y12,2)="4Q","12/31",IF(LEFT(Y12,2)="1Q","3/31",IF(LEFT(Y12,2)="2Q","6/30","9/30"))),"/",MID(Y12,3,3))</f>
        <v>12/31/28E</v>
      </c>
      <c r="Z11" s="274" t="str">
        <f t="shared" ref="Z11" ca="1" si="18">CONCATENATE(IF(LEFT(Z12,2)="4Q","12/31",IF(LEFT(Z12,2)="1Q","3/31",IF(LEFT(Z12,2)="2Q","6/30","9/30"))),"/",MID(Z12,3,3))</f>
        <v>3/31/29E</v>
      </c>
      <c r="AA11" s="274" t="str">
        <f t="shared" ref="AA11" ca="1" si="19">CONCATENATE(IF(LEFT(AA12,2)="4Q","12/31",IF(LEFT(AA12,2)="1Q","3/31",IF(LEFT(AA12,2)="2Q","6/30","9/30"))),"/",MID(AA12,3,3))</f>
        <v>6/30/29E</v>
      </c>
      <c r="AB11" s="274" t="str">
        <f t="shared" ref="AB11" ca="1" si="20">CONCATENATE(IF(LEFT(AB12,2)="4Q","12/31",IF(LEFT(AB12,2)="1Q","3/31",IF(LEFT(AB12,2)="2Q","6/30","9/30"))),"/",MID(AB12,3,3))</f>
        <v>9/30/29E</v>
      </c>
      <c r="AC11" s="274"/>
      <c r="AD11" s="274" t="str">
        <f t="shared" ref="AD11" ca="1" si="21">CONCATENATE(IF(LEFT(AD12,2)="4Q","12/31",IF(LEFT(AD12,2)="1Q","3/31",IF(LEFT(AD12,2)="2Q","6/30","9/30"))),"/",MID(AD12,3,3))</f>
        <v>12/31/29E</v>
      </c>
      <c r="AE11" s="274" t="str">
        <f t="shared" ref="AE11" ca="1" si="22">CONCATENATE(IF(LEFT(AE12,2)="4Q","12/31",IF(LEFT(AE12,2)="1Q","3/31",IF(LEFT(AE12,2)="2Q","6/30","9/30"))),"/",MID(AE12,3,3))</f>
        <v>3/31/30E</v>
      </c>
      <c r="AF11" s="274" t="str">
        <f t="shared" ref="AF11" ca="1" si="23">CONCATENATE(IF(LEFT(AF12,2)="4Q","12/31",IF(LEFT(AF12,2)="1Q","3/31",IF(LEFT(AF12,2)="2Q","6/30","9/30"))),"/",MID(AF12,3,3))</f>
        <v>6/30/30E</v>
      </c>
      <c r="AG11" s="274" t="str">
        <f t="shared" ref="AG11" ca="1" si="24">CONCATENATE(IF(LEFT(AG12,2)="4Q","12/31",IF(LEFT(AG12,2)="1Q","3/31",IF(LEFT(AG12,2)="2Q","6/30","9/30"))),"/",MID(AG12,3,3))</f>
        <v>9/30/30E</v>
      </c>
    </row>
    <row r="12" spans="1:33" x14ac:dyDescent="0.25">
      <c r="C12" s="282" t="str">
        <f ca="1">OFFSET('Income Statement'!$A1,0,MATCH('NTM Valuation'!$C3,'Income Statement'!1:1,0)+C8-1)</f>
        <v>3Q24</v>
      </c>
      <c r="D12" s="282" t="str">
        <f ca="1">OFFSET('Income Statement'!$A1,0,MATCH('NTM Valuation'!$C3,'Income Statement'!1:1,0)+D8-1)</f>
        <v>4Q24</v>
      </c>
      <c r="E12" s="282" t="str">
        <f ca="1">OFFSET('Income Statement'!$A1,0,MATCH('NTM Valuation'!$C3,'Income Statement'!1:1,0)+E8-1)</f>
        <v>1Q25</v>
      </c>
      <c r="F12" s="282" t="str">
        <f ca="1">OFFSET('Income Statement'!$A1,0,MATCH('NTM Valuation'!$C3,'Income Statement'!1:1,0)+F8-1)</f>
        <v>2Q25</v>
      </c>
      <c r="G12" s="282"/>
      <c r="H12" s="284" t="str">
        <f ca="1">OFFSET('Income Statement'!$A1,0,MATCH('NTM Valuation'!$C3,'Income Statement'!1:1,0)+H8-1)</f>
        <v>3Q25</v>
      </c>
      <c r="I12" s="282"/>
      <c r="J12" s="282" t="str">
        <f ca="1">OFFSET('Income Statement'!$A1,0,MATCH('NTM Valuation'!$C3,'Income Statement'!1:1,0)+J8-1)</f>
        <v>4Q25E</v>
      </c>
      <c r="K12" s="282" t="str">
        <f ca="1">OFFSET('Income Statement'!$A1,0,MATCH('NTM Valuation'!$C3,'Income Statement'!1:1,0)+K8-1)</f>
        <v>1Q26E</v>
      </c>
      <c r="L12" s="282" t="str">
        <f ca="1">OFFSET('Income Statement'!$A1,0,MATCH('NTM Valuation'!$C3,'Income Statement'!1:1,0)+L8-1)</f>
        <v>2Q26E</v>
      </c>
      <c r="M12" s="282" t="str">
        <f ca="1">OFFSET('Income Statement'!$A1,0,MATCH('NTM Valuation'!$C3,'Income Statement'!1:1,0)+M8-1)</f>
        <v>3Q26E</v>
      </c>
      <c r="O12" s="282" t="str">
        <f ca="1">OFFSET('Income Statement'!$A1,0,MATCH('NTM Valuation'!$C3,'Income Statement'!1:1,0)+O8-1)</f>
        <v>4Q26E</v>
      </c>
      <c r="P12" s="282" t="str">
        <f ca="1">OFFSET('Income Statement'!$A1,0,MATCH('NTM Valuation'!$C3,'Income Statement'!1:1,0)+P8-1)</f>
        <v>1Q27E</v>
      </c>
      <c r="Q12" s="282" t="str">
        <f ca="1">OFFSET('Income Statement'!$A1,0,MATCH('NTM Valuation'!$C3,'Income Statement'!1:1,0)+Q8-1)</f>
        <v>2Q27E</v>
      </c>
      <c r="R12" s="282" t="str">
        <f ca="1">OFFSET('Income Statement'!$A1,0,MATCH('NTM Valuation'!$C3,'Income Statement'!1:1,0)+R8-1)</f>
        <v>3Q27E</v>
      </c>
      <c r="S12" s="275"/>
      <c r="T12" s="282" t="str">
        <f ca="1">OFFSET('Income Statement'!$A1,0,MATCH('NTM Valuation'!$C3,'Income Statement'!1:1,0)+T8-1)</f>
        <v>4Q27E</v>
      </c>
      <c r="U12" s="282" t="str">
        <f ca="1">OFFSET('Income Statement'!$A1,0,MATCH('NTM Valuation'!$C3,'Income Statement'!1:1,0)+U8-1)</f>
        <v>1Q28E</v>
      </c>
      <c r="V12" s="282" t="str">
        <f ca="1">OFFSET('Income Statement'!$A1,0,MATCH('NTM Valuation'!$C3,'Income Statement'!1:1,0)+V8-1)</f>
        <v>2Q28E</v>
      </c>
      <c r="W12" s="282" t="str">
        <f ca="1">OFFSET('Income Statement'!$A1,0,MATCH('NTM Valuation'!$C3,'Income Statement'!1:1,0)+W8-1)</f>
        <v>3Q28E</v>
      </c>
      <c r="X12" s="275"/>
      <c r="Y12" s="282" t="str">
        <f ca="1">OFFSET('Income Statement'!$A1,0,MATCH('NTM Valuation'!$C3,'Income Statement'!1:1,0)+Y8-1)</f>
        <v>4Q28E</v>
      </c>
      <c r="Z12" s="282" t="str">
        <f ca="1">OFFSET('Income Statement'!$A1,0,MATCH('NTM Valuation'!$C3,'Income Statement'!1:1,0)+Z8-1)</f>
        <v>1Q29E</v>
      </c>
      <c r="AA12" s="282" t="str">
        <f ca="1">OFFSET('Income Statement'!$A1,0,MATCH('NTM Valuation'!$C3,'Income Statement'!1:1,0)+AA8-1)</f>
        <v>2Q29E</v>
      </c>
      <c r="AB12" s="282" t="str">
        <f ca="1">OFFSET('Income Statement'!$A1,0,MATCH('NTM Valuation'!$C3,'Income Statement'!1:1,0)+AB8-1)</f>
        <v>3Q29E</v>
      </c>
      <c r="AC12" s="275"/>
      <c r="AD12" s="282" t="str">
        <f ca="1">OFFSET('Income Statement'!$A1,0,MATCH('NTM Valuation'!$C3,'Income Statement'!1:1,0)+AD8-1)</f>
        <v>4Q29E</v>
      </c>
      <c r="AE12" s="282" t="str">
        <f ca="1">OFFSET('Income Statement'!$A1,0,MATCH('NTM Valuation'!$C3,'Income Statement'!1:1,0)+AE8-1)</f>
        <v>1Q30E</v>
      </c>
      <c r="AF12" s="282" t="str">
        <f ca="1">OFFSET('Income Statement'!$A1,0,MATCH('NTM Valuation'!$C3,'Income Statement'!1:1,0)+AF8-1)</f>
        <v>2Q30E</v>
      </c>
      <c r="AG12" s="282" t="str">
        <f ca="1">OFFSET('Income Statement'!$A1,0,MATCH('NTM Valuation'!$C3,'Income Statement'!1:1,0)+AG8-1)</f>
        <v>3Q30E</v>
      </c>
    </row>
    <row r="13" spans="1:33" x14ac:dyDescent="0.25">
      <c r="H13" s="285"/>
    </row>
    <row r="14" spans="1:33" x14ac:dyDescent="0.25">
      <c r="A14" s="267"/>
      <c r="B14" s="267" t="s">
        <v>240</v>
      </c>
      <c r="C14" s="276">
        <f ca="1">+HLOOKUP(C$12,'Income Statement'!$A$1:CH85,ROW('Income Statement'!$A85),FALSE)</f>
        <v>74549</v>
      </c>
      <c r="D14" s="276">
        <f ca="1">+HLOOKUP(D$12,'Income Statement'!$A$1:CH85,ROW('Income Statement'!$A85),FALSE)</f>
        <v>81621</v>
      </c>
      <c r="E14" s="276">
        <f ca="1">+HLOOKUP(E$12,'Income Statement'!$A$1:CH85,ROW('Income Statement'!$A85),FALSE)</f>
        <v>76486</v>
      </c>
      <c r="F14" s="276">
        <f ca="1">+HLOOKUP(F$12,'Income Statement'!$A$1:CH85,ROW('Income Statement'!$A85),FALSE)</f>
        <v>81723</v>
      </c>
      <c r="G14" s="276"/>
      <c r="H14" s="286">
        <f ca="1">+HLOOKUP(H$12,'Income Statement'!$A$1:CH85,ROW('Income Statement'!$A85),FALSE)</f>
        <v>87470</v>
      </c>
      <c r="I14" s="276"/>
      <c r="J14" s="276">
        <f ca="1">+HLOOKUP(J$12,'Income Statement'!$A$1:CH85,ROW('Income Statement'!$A85),FALSE)</f>
        <v>95515.295777777792</v>
      </c>
      <c r="K14" s="276">
        <f ca="1">+HLOOKUP(K$12,'Income Statement'!$A$1:CH85,ROW('Income Statement'!$A85),FALSE)</f>
        <v>89042.10356867424</v>
      </c>
      <c r="L14" s="276">
        <f ca="1">+HLOOKUP(L$12,'Income Statement'!$A$1:CH85,ROW('Income Statement'!$A85),FALSE)</f>
        <v>94341.454100033036</v>
      </c>
      <c r="M14" s="276">
        <f ca="1">+HLOOKUP(M$12,'Income Statement'!$A$1:CH85,ROW('Income Statement'!$A85),FALSE)</f>
        <v>100285.26842441896</v>
      </c>
      <c r="N14" s="276"/>
      <c r="O14" s="276">
        <f ca="1">+HLOOKUP(O$12,'Income Statement'!$A$1:CH85,ROW('Income Statement'!$A85),FALSE)</f>
        <v>108253.18039378629</v>
      </c>
      <c r="P14" s="276">
        <f ca="1">+HLOOKUP(P$12,'Income Statement'!$A$1:CH85,ROW('Income Statement'!$A85),FALSE)</f>
        <v>101958.57254260007</v>
      </c>
      <c r="Q14" s="276">
        <f ca="1">+HLOOKUP(Q$12,'Income Statement'!$A$1:CH85,ROW('Income Statement'!$A85),FALSE)</f>
        <v>107600.44035095963</v>
      </c>
      <c r="R14" s="276">
        <f ca="1">+HLOOKUP(R$12,'Income Statement'!$A$1:CH85,ROW('Income Statement'!$A85),FALSE)</f>
        <v>114525.07152771353</v>
      </c>
      <c r="S14" s="276"/>
      <c r="T14" s="276">
        <f ca="1">+HLOOKUP(T$12,'Income Statement'!$A$1:CH85,ROW('Income Statement'!$A85),FALSE)</f>
        <v>123228.19052316395</v>
      </c>
      <c r="U14" s="276">
        <f ca="1">+HLOOKUP(U$12,'Income Statement'!$A$1:CH85,ROW('Income Statement'!$A85),FALSE)</f>
        <v>116051.45182507671</v>
      </c>
      <c r="V14" s="276">
        <f ca="1">+HLOOKUP(V$12,'Income Statement'!$A$1:CH85,ROW('Income Statement'!$A85),FALSE)</f>
        <v>122012.27242435009</v>
      </c>
      <c r="W14" s="276">
        <f ca="1">+HLOOKUP(W$12,'Income Statement'!$A$1:CH85,ROW('Income Statement'!$A85),FALSE)</f>
        <v>130037.90191572324</v>
      </c>
      <c r="X14" s="276"/>
      <c r="Y14" s="276">
        <f ca="1">+HLOOKUP(Y$12,'Income Statement'!$A$1:CH85,ROW('Income Statement'!$A85),FALSE)</f>
        <v>139488.5433927002</v>
      </c>
      <c r="Z14" s="276">
        <f ca="1">+HLOOKUP(Z$12,'Income Statement'!$A$1:CH85,ROW('Income Statement'!$A85),FALSE)</f>
        <v>130920.79017615123</v>
      </c>
      <c r="AA14" s="276">
        <f ca="1">+HLOOKUP(AA$12,'Income Statement'!$A$1:CH85,ROW('Income Statement'!$A85),FALSE)</f>
        <v>137151.81864613242</v>
      </c>
      <c r="AB14" s="276">
        <f ca="1">+HLOOKUP(AB$12,'Income Statement'!$A$1:CH85,ROW('Income Statement'!$A85),FALSE)</f>
        <v>146353.52382443228</v>
      </c>
      <c r="AC14" s="276"/>
      <c r="AD14" s="276">
        <f ca="1">+HLOOKUP(AD$12,'Income Statement'!$A$1:CH85,ROW('Income Statement'!$A85),FALSE)</f>
        <v>156533.25233952186</v>
      </c>
      <c r="AE14" s="276">
        <f ca="1">+HLOOKUP(AE$12,'Income Statement'!$A$1:CH85,ROW('Income Statement'!$A85),FALSE)</f>
        <v>146375.8149045461</v>
      </c>
      <c r="AF14" s="276">
        <f ca="1">+HLOOKUP(AF$12,'Income Statement'!$A$1:CH85,ROW('Income Statement'!$A85),FALSE)</f>
        <v>152817.15189418045</v>
      </c>
      <c r="AG14" s="276">
        <f ca="1">+HLOOKUP(AG$12,'Income Statement'!$A$1:CH85,ROW('Income Statement'!$A85),FALSE)</f>
        <v>163252.14526460005</v>
      </c>
    </row>
    <row r="15" spans="1:33" x14ac:dyDescent="0.25">
      <c r="B15" s="159" t="s">
        <v>63</v>
      </c>
      <c r="C15" s="276"/>
      <c r="D15" s="276"/>
      <c r="E15" s="276"/>
      <c r="F15" s="276"/>
      <c r="G15" s="276"/>
      <c r="H15" s="286"/>
      <c r="I15" s="276"/>
      <c r="J15" s="276"/>
      <c r="K15" s="276"/>
      <c r="L15" s="276"/>
      <c r="M15" s="277">
        <f ca="1">+SUM(J14:M14)/SUM(C14:F14)-1</f>
        <v>0.20613692985506038</v>
      </c>
      <c r="N15" s="276"/>
      <c r="O15" s="276"/>
      <c r="P15" s="276"/>
      <c r="Q15" s="276"/>
      <c r="R15" s="277">
        <f ca="1">+SUM(O14:R14)/SUM(J14:M14)-1</f>
        <v>0.14017766008211674</v>
      </c>
      <c r="W15" s="277">
        <f ca="1">+SUM(T14:W14)/SUM(O14:R14)-1</f>
        <v>0.13645030552360482</v>
      </c>
      <c r="AB15" s="277">
        <f ca="1">+SUM(Y14:AB14)/SUM(T14:W14)-1</f>
        <v>0.12737850874375956</v>
      </c>
      <c r="AG15" s="277">
        <f ca="1">+SUM(AD14:AG14)/SUM(Y14:AB14)-1</f>
        <v>0.11746157157028025</v>
      </c>
    </row>
    <row r="16" spans="1:33" x14ac:dyDescent="0.25">
      <c r="C16" s="276"/>
      <c r="D16" s="276"/>
      <c r="E16" s="276"/>
      <c r="F16" s="276"/>
      <c r="G16" s="276"/>
      <c r="H16" s="28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W16" s="276"/>
      <c r="AB16" s="276"/>
      <c r="AG16" s="276"/>
    </row>
    <row r="17" spans="2:33" x14ac:dyDescent="0.25">
      <c r="C17" s="276"/>
      <c r="D17" s="276"/>
      <c r="E17" s="276"/>
      <c r="F17" s="276"/>
      <c r="G17" s="276"/>
      <c r="H17" s="28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W17" s="276"/>
      <c r="AB17" s="276"/>
      <c r="AG17" s="276"/>
    </row>
    <row r="18" spans="2:33" x14ac:dyDescent="0.25">
      <c r="C18" s="276"/>
      <c r="D18" s="276"/>
      <c r="E18" s="276"/>
      <c r="F18" s="276"/>
      <c r="G18" s="276"/>
      <c r="H18" s="28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W18" s="276"/>
      <c r="AB18" s="276"/>
      <c r="AG18" s="276"/>
    </row>
    <row r="19" spans="2:33" x14ac:dyDescent="0.25">
      <c r="B19" s="267" t="s">
        <v>419</v>
      </c>
      <c r="C19" s="276">
        <f ca="1">+HLOOKUP(C$12,'Income Statement'!$A$1:CH172,ROW('Income Statement'!A172),FALSE)</f>
        <v>51794</v>
      </c>
      <c r="D19" s="276">
        <f ca="1">+HLOOKUP(D$12,'Income Statement'!$A$1:CH172,ROW('Income Statement'!B172),FALSE)</f>
        <v>55856</v>
      </c>
      <c r="E19" s="276">
        <f ca="1">+HLOOKUP(E$12,'Income Statement'!$A$1:CH172,ROW('Income Statement'!C172),FALSE)</f>
        <v>53873</v>
      </c>
      <c r="F19" s="276">
        <f ca="1">+HLOOKUP(F$12,'Income Statement'!$A$1:CH172,ROW('Income Statement'!D172),FALSE)</f>
        <v>57389</v>
      </c>
      <c r="G19" s="276"/>
      <c r="H19" s="286">
        <f ca="1">+HLOOKUP(H$12,'Income Statement'!$A$1:CH172,ROW('Income Statement'!F172),FALSE)</f>
        <v>60977</v>
      </c>
      <c r="I19" s="276"/>
      <c r="J19" s="276">
        <f ca="1">+HLOOKUP(J$12,'Income Statement'!$A$1:CH172,ROW('Income Statement'!H172),FALSE)</f>
        <v>64409.181722801441</v>
      </c>
      <c r="K19" s="276">
        <f ca="1">+HLOOKUP(K$12,'Income Statement'!$A$1:CH172,ROW('Income Statement'!I172),FALSE)</f>
        <v>61603.879355512996</v>
      </c>
      <c r="L19" s="276">
        <f ca="1">+HLOOKUP(L$12,'Income Statement'!$A$1:CH172,ROW('Income Statement'!J172),FALSE)</f>
        <v>65070.890400243297</v>
      </c>
      <c r="M19" s="276">
        <f ca="1">+HLOOKUP(M$12,'Income Statement'!$A$1:CH172,ROW('Income Statement'!K172),FALSE)</f>
        <v>68657.201410223453</v>
      </c>
      <c r="N19" s="276"/>
      <c r="O19" s="276">
        <f ca="1">+HLOOKUP(O$12,'Income Statement'!$A$1:CH172,ROW('Income Statement'!M172),FALSE)</f>
        <v>71645.601686387061</v>
      </c>
      <c r="P19" s="276">
        <f ca="1">+HLOOKUP(P$12,'Income Statement'!$A$1:CH172,ROW('Income Statement'!N172),FALSE)</f>
        <v>69520.567195942975</v>
      </c>
      <c r="Q19" s="276">
        <f ca="1">+HLOOKUP(Q$12,'Income Statement'!$A$1:CH172,ROW('Income Statement'!O172),FALSE)</f>
        <v>73140.113292441412</v>
      </c>
      <c r="R19" s="276">
        <f ca="1">+HLOOKUP(R$12,'Income Statement'!$A$1:CH172,ROW('Income Statement'!P172),FALSE)</f>
        <v>77260.790629912924</v>
      </c>
      <c r="S19" s="276"/>
      <c r="T19" s="276">
        <f ca="1">+HLOOKUP(T$12,'Income Statement'!$A$1:CH172,ROW('Income Statement'!R172),FALSE)</f>
        <v>80324.285972413752</v>
      </c>
      <c r="U19" s="276">
        <f ca="1">+HLOOKUP(U$12,'Income Statement'!$A$1:CH172,ROW('Income Statement'!S172),FALSE)</f>
        <v>78259.42687346146</v>
      </c>
      <c r="V19" s="276">
        <f ca="1">+HLOOKUP(V$12,'Income Statement'!$A$1:CH172,ROW('Income Statement'!T172),FALSE)</f>
        <v>82021.291851510236</v>
      </c>
      <c r="W19" s="276">
        <f ca="1">+HLOOKUP(W$12,'Income Statement'!$A$1:CH172,ROW('Income Statement'!U172),FALSE)</f>
        <v>86750.75667883853</v>
      </c>
      <c r="X19" s="276"/>
      <c r="Y19" s="276">
        <f ca="1">+HLOOKUP(Y$12,'Income Statement'!$A$1:CH172,ROW('Income Statement'!W172),FALSE)</f>
        <v>89877.167686409608</v>
      </c>
      <c r="Z19" s="276">
        <f ca="1">+HLOOKUP(Z$12,'Income Statement'!$A$1:CH172,ROW('Income Statement'!X172),FALSE)</f>
        <v>87828.359124368595</v>
      </c>
      <c r="AA19" s="276">
        <f ca="1">+HLOOKUP(AA$12,'Income Statement'!$A$1:CH172,ROW('Income Statement'!Y172),FALSE)</f>
        <v>91718.639486596105</v>
      </c>
      <c r="AB19" s="276">
        <f ca="1">+HLOOKUP(AB$12,'Income Statement'!$A$1:CH172,ROW('Income Statement'!Z172),FALSE)</f>
        <v>97122.980917154258</v>
      </c>
      <c r="AC19" s="276"/>
      <c r="AD19" s="276">
        <f ca="1">+HLOOKUP(AD$12,'Income Statement'!$A$1:CH172,ROW('Income Statement'!AB172),FALSE)</f>
        <v>100311.78149062072</v>
      </c>
      <c r="AE19" s="276">
        <f ca="1">+HLOOKUP(AE$12,'Income Statement'!$A$1:CH172,ROW('Income Statement'!AC172),FALSE)</f>
        <v>97830.440283400938</v>
      </c>
      <c r="AF19" s="276">
        <f ca="1">+HLOOKUP(AF$12,'Income Statement'!$A$1:CH172,ROW('Income Statement'!AD172),FALSE)</f>
        <v>101812.60098506161</v>
      </c>
      <c r="AG19" s="276">
        <f ca="1">+HLOOKUP(AG$12,'Income Statement'!$A$1:CH172,ROW('Income Statement'!AE172),FALSE)</f>
        <v>107929.09702221233</v>
      </c>
    </row>
    <row r="20" spans="2:33" x14ac:dyDescent="0.25">
      <c r="C20" s="276"/>
      <c r="D20" s="276"/>
      <c r="E20" s="276"/>
      <c r="F20" s="276"/>
      <c r="G20" s="276"/>
      <c r="H20" s="286"/>
      <c r="I20" s="276"/>
      <c r="J20" s="276"/>
      <c r="K20" s="276"/>
      <c r="L20" s="278"/>
      <c r="M20" s="277">
        <f ca="1">+SUM(J19:M19)/SUM(C19:F19)-1</f>
        <v>0.1865094325061265</v>
      </c>
      <c r="N20" s="276"/>
      <c r="O20" s="276"/>
      <c r="P20" s="276"/>
      <c r="Q20" s="278"/>
      <c r="R20" s="277">
        <f ca="1">+SUM(O19:R19)/SUM(J19:M19)-1</f>
        <v>0.12252937034406264</v>
      </c>
      <c r="T20" s="276"/>
      <c r="U20" s="276"/>
      <c r="V20" s="278"/>
      <c r="W20" s="277">
        <f ca="1">+SUM(T19:W19)/SUM(O19:R19)-1</f>
        <v>0.12274598852084306</v>
      </c>
      <c r="Y20" s="276"/>
      <c r="Z20" s="276"/>
      <c r="AA20" s="278"/>
      <c r="AB20" s="277">
        <f ca="1">+SUM(Y19:AB19)/SUM(T19:W19)-1</f>
        <v>0.11972108165605988</v>
      </c>
      <c r="AG20" s="277">
        <f ca="1">+SUM(AD19:AG19)/SUM(Y19:AB19)-1</f>
        <v>0.11277341231788096</v>
      </c>
    </row>
    <row r="21" spans="2:33" x14ac:dyDescent="0.25">
      <c r="C21" s="276"/>
      <c r="D21" s="276"/>
      <c r="E21" s="276"/>
      <c r="F21" s="276"/>
      <c r="G21" s="276"/>
      <c r="H21" s="28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T21" s="276"/>
      <c r="U21" s="276"/>
      <c r="V21" s="276"/>
      <c r="W21" s="276"/>
      <c r="Y21" s="276"/>
      <c r="Z21" s="276"/>
      <c r="AA21" s="276"/>
      <c r="AB21" s="276"/>
      <c r="AG21" s="276"/>
    </row>
    <row r="22" spans="2:33" x14ac:dyDescent="0.25">
      <c r="C22" s="276"/>
      <c r="D22" s="276"/>
      <c r="E22" s="276"/>
      <c r="F22" s="276"/>
      <c r="G22" s="276"/>
      <c r="H22" s="28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T22" s="276"/>
      <c r="U22" s="276"/>
      <c r="V22" s="276"/>
      <c r="W22" s="276"/>
      <c r="Y22" s="276"/>
      <c r="Z22" s="276"/>
      <c r="AA22" s="276"/>
      <c r="AB22" s="276"/>
      <c r="AG22" s="276"/>
    </row>
    <row r="23" spans="2:33" x14ac:dyDescent="0.25">
      <c r="C23" s="276"/>
      <c r="D23" s="276"/>
      <c r="E23" s="276"/>
      <c r="F23" s="276"/>
      <c r="G23" s="276"/>
      <c r="H23" s="28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T23" s="276"/>
      <c r="U23" s="276"/>
      <c r="V23" s="276"/>
      <c r="W23" s="276"/>
      <c r="Y23" s="276"/>
      <c r="Z23" s="276"/>
      <c r="AA23" s="276"/>
      <c r="AB23" s="276"/>
      <c r="AG23" s="276"/>
    </row>
    <row r="24" spans="2:33" x14ac:dyDescent="0.25">
      <c r="B24" s="279"/>
      <c r="C24" s="280"/>
      <c r="D24" s="280"/>
      <c r="E24" s="280"/>
      <c r="F24" s="280"/>
      <c r="G24" s="280"/>
      <c r="H24" s="287"/>
      <c r="I24" s="280"/>
      <c r="J24" s="280"/>
      <c r="K24" s="280"/>
      <c r="L24" s="280"/>
      <c r="M24" s="280"/>
      <c r="N24" s="280"/>
      <c r="O24" s="276"/>
      <c r="P24" s="276"/>
      <c r="Q24" s="276"/>
      <c r="R24" s="280"/>
      <c r="T24" s="276"/>
      <c r="U24" s="276"/>
      <c r="V24" s="276"/>
      <c r="W24" s="280"/>
      <c r="Y24" s="276"/>
      <c r="Z24" s="276"/>
      <c r="AA24" s="276"/>
      <c r="AB24" s="280"/>
      <c r="AG24" s="280"/>
    </row>
    <row r="25" spans="2:33" x14ac:dyDescent="0.25">
      <c r="B25" s="267" t="s">
        <v>181</v>
      </c>
      <c r="C25" s="276">
        <f ca="1">+HLOOKUP(C$12,'Cash Flow Statement'!$A$1:CH61,ROW('Cash Flow Statement'!A61),FALSE)</f>
        <v>32506</v>
      </c>
      <c r="D25" s="276">
        <f ca="1">+HLOOKUP(D$12,'Cash Flow Statement'!$A$1:CH61,ROW('Cash Flow Statement'!B61),FALSE)</f>
        <v>35177</v>
      </c>
      <c r="E25" s="276">
        <f ca="1">+HLOOKUP(E$12,'Cash Flow Statement'!$A$1:CH61,ROW('Cash Flow Statement'!C61),FALSE)</f>
        <v>35093</v>
      </c>
      <c r="F25" s="276">
        <f ca="1">+HLOOKUP(F$12,'Cash Flow Statement'!$A$1:CH61,ROW('Cash Flow Statement'!D61),FALSE)</f>
        <v>36269</v>
      </c>
      <c r="G25" s="276"/>
      <c r="H25" s="286">
        <f ca="1">+HLOOKUP(H$12,'Cash Flow Statement'!$A$1:CH61,ROW('Cash Flow Statement'!F61),FALSE)</f>
        <v>36839</v>
      </c>
      <c r="I25" s="276"/>
      <c r="J25" s="276">
        <f ca="1">+HLOOKUP(J$12,'Cash Flow Statement'!$A$1:CH61,ROW('Cash Flow Statement'!H61),FALSE)</f>
        <v>45028.024783205365</v>
      </c>
      <c r="K25" s="276">
        <f ca="1">+HLOOKUP(K$12,'Cash Flow Statement'!$A$1:CH61,ROW('Cash Flow Statement'!I61),FALSE)</f>
        <v>42984.715579447147</v>
      </c>
      <c r="L25" s="276">
        <f ca="1">+HLOOKUP(L$12,'Cash Flow Statement'!$A$1:CH61,ROW('Cash Flow Statement'!J61),FALSE)</f>
        <v>46836.37359134791</v>
      </c>
      <c r="M25" s="276">
        <f ca="1">+HLOOKUP(M$12,'Cash Flow Statement'!$A$1:CH61,ROW('Cash Flow Statement'!K61),FALSE)</f>
        <v>48938.549164011602</v>
      </c>
      <c r="N25" s="276"/>
      <c r="O25" s="276">
        <f ca="1">+HLOOKUP(O$12,'Cash Flow Statement'!$A$1:CH61,ROW('Cash Flow Statement'!M61),FALSE)</f>
        <v>52318.644093845796</v>
      </c>
      <c r="P25" s="276">
        <f ca="1">+HLOOKUP(P$12,'Cash Flow Statement'!$A$1:CH61,ROW('Cash Flow Statement'!N61),FALSE)</f>
        <v>51067.760726135952</v>
      </c>
      <c r="Q25" s="276">
        <f ca="1">+HLOOKUP(Q$12,'Cash Flow Statement'!$A$1:CH61,ROW('Cash Flow Statement'!O61),FALSE)</f>
        <v>55799.833604257365</v>
      </c>
      <c r="R25" s="276">
        <f ca="1">+HLOOKUP(R$12,'Cash Flow Statement'!$A$1:CH61,ROW('Cash Flow Statement'!P61),FALSE)</f>
        <v>58424.954287536333</v>
      </c>
      <c r="S25" s="276"/>
      <c r="T25" s="276">
        <f ca="1">+HLOOKUP(T$12,'Cash Flow Statement'!$A$1:CH61,ROW('Cash Flow Statement'!R61),FALSE)</f>
        <v>62496.641203213163</v>
      </c>
      <c r="U25" s="276">
        <f ca="1">+HLOOKUP(U$12,'Cash Flow Statement'!$A$1:CH61,ROW('Cash Flow Statement'!S61),FALSE)</f>
        <v>60078.067902618175</v>
      </c>
      <c r="V25" s="276">
        <f ca="1">+HLOOKUP(V$12,'Cash Flow Statement'!$A$1:CH61,ROW('Cash Flow Statement'!T61),FALSE)</f>
        <v>65737.45608198292</v>
      </c>
      <c r="W25" s="276">
        <f ca="1">+HLOOKUP(W$12,'Cash Flow Statement'!$A$1:CH61,ROW('Cash Flow Statement'!U61),FALSE)</f>
        <v>68966.509314280673</v>
      </c>
      <c r="X25" s="276"/>
      <c r="Y25" s="276">
        <f ca="1">+HLOOKUP(Y$12,'Cash Flow Statement'!$A$1:CH61,ROW('Cash Flow Statement'!W61),FALSE)</f>
        <v>73765.608171498054</v>
      </c>
      <c r="Z25" s="276">
        <f ca="1">+HLOOKUP(Z$12,'Cash Flow Statement'!$A$1:CH61,ROW('Cash Flow Statement'!X61),FALSE)</f>
        <v>69748.075232771807</v>
      </c>
      <c r="AA25" s="276">
        <f ca="1">+HLOOKUP(AA$12,'Cash Flow Statement'!$A$1:CH61,ROW('Cash Flow Statement'!Y61),FALSE)</f>
        <v>76346.799050658927</v>
      </c>
      <c r="AB25" s="276">
        <f ca="1">+HLOOKUP(AB$12,'Cash Flow Statement'!$A$1:CH61,ROW('Cash Flow Statement'!Z61),FALSE)</f>
        <v>80225.340479454477</v>
      </c>
      <c r="AC25" s="276"/>
      <c r="AD25" s="276">
        <f ca="1">+HLOOKUP(AD$12,'Cash Flow Statement'!$A$1:CH61,ROW('Cash Flow Statement'!AB61),FALSE)</f>
        <v>85769.417496702838</v>
      </c>
      <c r="AE25" s="276">
        <f ca="1">+HLOOKUP(AE$12,'Cash Flow Statement'!$A$1:CH61,ROW('Cash Flow Statement'!AC61),FALSE)</f>
        <v>79751.330395243815</v>
      </c>
      <c r="AF25" s="276">
        <f ca="1">+HLOOKUP(AF$12,'Cash Flow Statement'!$A$1:CH61,ROW('Cash Flow Statement'!AD61),FALSE)</f>
        <v>87468.175977901337</v>
      </c>
      <c r="AG25" s="276">
        <f ca="1">+HLOOKUP(AG$12,'Cash Flow Statement'!$A$1:CH61,ROW('Cash Flow Statement'!AE61),FALSE)</f>
        <v>91935.731715443442</v>
      </c>
    </row>
    <row r="26" spans="2:33" x14ac:dyDescent="0.25">
      <c r="C26" s="276"/>
      <c r="D26" s="276"/>
      <c r="E26" s="276"/>
      <c r="F26" s="276"/>
      <c r="G26" s="276"/>
      <c r="H26" s="286"/>
      <c r="I26" s="276"/>
      <c r="J26" s="276"/>
      <c r="K26" s="276"/>
      <c r="L26" s="276"/>
      <c r="M26" s="277">
        <f ca="1">+SUM(J25:M25)/SUM(C25:F25)-1</f>
        <v>0.32178548756166747</v>
      </c>
      <c r="N26" s="276"/>
      <c r="O26" s="276"/>
      <c r="P26" s="276"/>
      <c r="Q26" s="276"/>
      <c r="R26" s="277">
        <f ca="1">+SUM(O25:R25)/SUM(J25:M25)-1</f>
        <v>0.18403590872171294</v>
      </c>
      <c r="T26" s="276"/>
      <c r="U26" s="276"/>
      <c r="V26" s="276"/>
      <c r="W26" s="277">
        <f ca="1">+SUM(T25:W25)/SUM(O25:R25)-1</f>
        <v>0.18228603637524676</v>
      </c>
      <c r="Y26" s="276"/>
      <c r="Z26" s="276"/>
      <c r="AA26" s="276"/>
      <c r="AB26" s="277">
        <f ca="1">+SUM(Y25:AB25)/SUM(T25:W25)-1</f>
        <v>0.1663843632401012</v>
      </c>
      <c r="AG26" s="277">
        <f ca="1">+SUM(AD25:AG25)/SUM(Y25:AB25)-1</f>
        <v>0.14942002995160664</v>
      </c>
    </row>
    <row r="27" spans="2:33" x14ac:dyDescent="0.25">
      <c r="C27" s="276"/>
      <c r="D27" s="276"/>
      <c r="E27" s="276"/>
      <c r="F27" s="276"/>
      <c r="G27" s="276"/>
      <c r="H27" s="28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T27" s="276"/>
      <c r="U27" s="276"/>
      <c r="V27" s="276"/>
      <c r="W27" s="276"/>
      <c r="Y27" s="276"/>
      <c r="Z27" s="276"/>
      <c r="AA27" s="276"/>
      <c r="AB27" s="276"/>
      <c r="AG27" s="276"/>
    </row>
    <row r="28" spans="2:33" x14ac:dyDescent="0.25">
      <c r="C28" s="276"/>
      <c r="D28" s="276"/>
      <c r="E28" s="276"/>
      <c r="F28" s="276"/>
      <c r="G28" s="276"/>
      <c r="H28" s="28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T28" s="276"/>
      <c r="U28" s="276"/>
      <c r="V28" s="276"/>
      <c r="W28" s="276"/>
      <c r="Y28" s="276"/>
      <c r="Z28" s="276"/>
      <c r="AA28" s="276"/>
      <c r="AB28" s="276"/>
      <c r="AG28" s="276"/>
    </row>
    <row r="29" spans="2:33" x14ac:dyDescent="0.25">
      <c r="C29" s="276"/>
      <c r="D29" s="276"/>
      <c r="E29" s="276"/>
      <c r="F29" s="276"/>
      <c r="G29" s="276"/>
      <c r="H29" s="28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T29" s="276"/>
      <c r="U29" s="276"/>
      <c r="V29" s="276"/>
      <c r="W29" s="276"/>
      <c r="Y29" s="276"/>
      <c r="Z29" s="276"/>
      <c r="AA29" s="276"/>
      <c r="AB29" s="276"/>
      <c r="AG29" s="276"/>
    </row>
    <row r="30" spans="2:33" x14ac:dyDescent="0.25">
      <c r="C30" s="276"/>
      <c r="D30" s="276"/>
      <c r="E30" s="276"/>
      <c r="F30" s="276"/>
      <c r="G30" s="276"/>
      <c r="H30" s="28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T30" s="276"/>
      <c r="U30" s="276"/>
      <c r="V30" s="276"/>
      <c r="W30" s="276"/>
      <c r="Y30" s="276"/>
      <c r="Z30" s="276"/>
      <c r="AA30" s="276"/>
      <c r="AB30" s="276"/>
      <c r="AG30" s="276"/>
    </row>
    <row r="31" spans="2:33" x14ac:dyDescent="0.25">
      <c r="B31" s="283" t="s">
        <v>420</v>
      </c>
      <c r="C31" s="276">
        <f ca="1">+HLOOKUP(C$12,'Income Statement'!$A$1:CH201,ROW('Income Statement'!A201),FALSE)</f>
        <v>28521</v>
      </c>
      <c r="D31" s="276">
        <f ca="1">+HLOOKUP(D$12,'Income Statement'!$A$1:CH201,ROW('Income Statement'!B201),FALSE)</f>
        <v>30972</v>
      </c>
      <c r="E31" s="276">
        <f ca="1">+HLOOKUP(E$12,'Income Statement'!$A$1:CH201,ROW('Income Statement'!C201),FALSE)</f>
        <v>30606</v>
      </c>
      <c r="F31" s="276">
        <f ca="1">+HLOOKUP(F$12,'Income Statement'!$A$1:CH201,ROW('Income Statement'!D201),FALSE)</f>
        <v>31271</v>
      </c>
      <c r="G31" s="276"/>
      <c r="H31" s="286">
        <f ca="1">+HLOOKUP(H$12,'Income Statement'!$A$1:CH201,ROW('Income Statement'!F201),FALSE)</f>
        <v>31228</v>
      </c>
      <c r="I31" s="276"/>
      <c r="J31" s="276">
        <f ca="1">+HLOOKUP(J$12,'Income Statement'!$A$1:CH201,ROW('Income Statement'!H201),FALSE)</f>
        <v>36700.00172280144</v>
      </c>
      <c r="K31" s="276">
        <f ca="1">+HLOOKUP(K$12,'Income Statement'!$A$1:CH201,ROW('Income Statement'!I201),FALSE)</f>
        <v>36202.689355512994</v>
      </c>
      <c r="L31" s="276">
        <f ca="1">+HLOOKUP(L$12,'Income Statement'!$A$1:CH201,ROW('Income Statement'!J201),FALSE)</f>
        <v>37984.285400243301</v>
      </c>
      <c r="M31" s="276">
        <f ca="1">+HLOOKUP(M$12,'Income Statement'!$A$1:CH201,ROW('Income Statement'!K201),FALSE)</f>
        <v>39492.141410223456</v>
      </c>
      <c r="N31" s="276"/>
      <c r="O31" s="276">
        <f ca="1">+HLOOKUP(O$12,'Income Statement'!$A$1:CH201,ROW('Income Statement'!M201),FALSE)</f>
        <v>41058.516586387064</v>
      </c>
      <c r="P31" s="276">
        <f ca="1">+HLOOKUP(P$12,'Income Statement'!$A$1:CH201,ROW('Income Statement'!N201),FALSE)</f>
        <v>41633.728495942982</v>
      </c>
      <c r="Q31" s="276">
        <f ca="1">+HLOOKUP(Q$12,'Income Statement'!$A$1:CH201,ROW('Income Statement'!O201),FALSE)</f>
        <v>43486.27382994142</v>
      </c>
      <c r="R31" s="276">
        <f ca="1">+HLOOKUP(R$12,'Income Statement'!$A$1:CH201,ROW('Income Statement'!P201),FALSE)</f>
        <v>45284.675517412928</v>
      </c>
      <c r="S31" s="276"/>
      <c r="T31" s="276">
        <f ca="1">+HLOOKUP(T$12,'Income Statement'!$A$1:CH201,ROW('Income Statement'!R201),FALSE)</f>
        <v>46833.415743163758</v>
      </c>
      <c r="U31" s="276">
        <f ca="1">+HLOOKUP(U$12,'Income Statement'!$A$1:CH201,ROW('Income Statement'!S201),FALSE)</f>
        <v>47812.363237961457</v>
      </c>
      <c r="V31" s="276">
        <f ca="1">+HLOOKUP(V$12,'Income Statement'!$A$1:CH201,ROW('Income Statement'!T201),FALSE)</f>
        <v>49727.919133510237</v>
      </c>
      <c r="W31" s="276">
        <f ca="1">+HLOOKUP(W$12,'Income Statement'!$A$1:CH201,ROW('Income Statement'!U201),FALSE)</f>
        <v>51882.109486838533</v>
      </c>
      <c r="X31" s="276"/>
      <c r="Y31" s="276">
        <f ca="1">+HLOOKUP(Y$12,'Income Statement'!$A$1:CH201,ROW('Income Statement'!W201),FALSE)</f>
        <v>53400.986459264604</v>
      </c>
      <c r="Z31" s="276">
        <f ca="1">+HLOOKUP(Z$12,'Income Statement'!$A$1:CH201,ROW('Income Statement'!X201),FALSE)</f>
        <v>54566.395817811099</v>
      </c>
      <c r="AA31" s="276">
        <f ca="1">+HLOOKUP(AA$12,'Income Statement'!$A$1:CH201,ROW('Income Statement'!Y201),FALSE)</f>
        <v>56531.251213931107</v>
      </c>
      <c r="AB31" s="276">
        <f ca="1">+HLOOKUP(AB$12,'Income Statement'!$A$1:CH201,ROW('Income Statement'!Z201),FALSE)</f>
        <v>59079.398336839251</v>
      </c>
      <c r="AC31" s="276"/>
      <c r="AD31" s="276">
        <f ca="1">+HLOOKUP(AD$12,'Income Statement'!$A$1:CH201,ROW('Income Statement'!AB201),FALSE)</f>
        <v>60563.433275271294</v>
      </c>
      <c r="AE31" s="276">
        <f ca="1">+HLOOKUP(AE$12,'Income Statement'!$A$1:CH201,ROW('Income Statement'!AC201),FALSE)</f>
        <v>61856.90231978114</v>
      </c>
      <c r="AF31" s="276">
        <f ca="1">+HLOOKUP(AF$12,'Income Statement'!$A$1:CH201,ROW('Income Statement'!AD201),FALSE)</f>
        <v>64111.873565746013</v>
      </c>
      <c r="AG31" s="276">
        <f ca="1">+HLOOKUP(AG$12,'Income Statement'!$A$1:CH201,ROW('Income Statement'!AE201),FALSE)</f>
        <v>67011.31259050552</v>
      </c>
    </row>
    <row r="32" spans="2:33" x14ac:dyDescent="0.25">
      <c r="C32" s="276"/>
      <c r="D32" s="276"/>
      <c r="E32" s="276"/>
      <c r="F32" s="276"/>
      <c r="G32" s="276"/>
      <c r="H32" s="286"/>
      <c r="I32" s="276"/>
      <c r="J32" s="276"/>
      <c r="K32" s="276"/>
      <c r="L32" s="276"/>
      <c r="M32" s="277">
        <f ca="1">+SUM(J31:M31)/SUM(C31:F31)-1</f>
        <v>0.23901390696861813</v>
      </c>
      <c r="N32" s="276"/>
      <c r="O32" s="276"/>
      <c r="P32" s="276"/>
      <c r="Q32" s="276"/>
      <c r="R32" s="277">
        <f ca="1">+SUM(O31:R31)/SUM(J31:M31)-1</f>
        <v>0.1402061458858721</v>
      </c>
      <c r="T32" s="276"/>
      <c r="U32" s="276"/>
      <c r="V32" s="276"/>
      <c r="W32" s="277">
        <f ca="1">+SUM(T31:W31)/SUM(O31:R31)-1</f>
        <v>0.14459437347037674</v>
      </c>
      <c r="Y32" s="276"/>
      <c r="Z32" s="276"/>
      <c r="AA32" s="276"/>
      <c r="AB32" s="277">
        <f ca="1">+SUM(Y31:AB31)/SUM(T31:W31)-1</f>
        <v>0.13921740487728052</v>
      </c>
      <c r="AG32" s="277">
        <f ca="1">+SUM(AD31:AG31)/SUM(Y31:AB31)-1</f>
        <v>0.13402698681295844</v>
      </c>
    </row>
    <row r="33" spans="2:33" x14ac:dyDescent="0.25">
      <c r="C33" s="276"/>
      <c r="D33" s="276"/>
      <c r="E33" s="276"/>
      <c r="F33" s="276"/>
      <c r="G33" s="276"/>
      <c r="H33" s="28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T33" s="276"/>
      <c r="U33" s="276"/>
      <c r="V33" s="276"/>
      <c r="W33" s="276"/>
      <c r="Y33" s="276"/>
      <c r="Z33" s="276"/>
      <c r="AA33" s="276"/>
      <c r="AB33" s="276"/>
      <c r="AG33" s="276"/>
    </row>
    <row r="34" spans="2:33" x14ac:dyDescent="0.25">
      <c r="C34" s="276"/>
      <c r="D34" s="276"/>
      <c r="E34" s="276"/>
      <c r="F34" s="276"/>
      <c r="G34" s="276"/>
      <c r="H34" s="28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T34" s="276"/>
      <c r="U34" s="276"/>
      <c r="V34" s="276"/>
      <c r="W34" s="276"/>
      <c r="Y34" s="276"/>
      <c r="Z34" s="276"/>
      <c r="AA34" s="276"/>
      <c r="AB34" s="276"/>
      <c r="AG34" s="276"/>
    </row>
    <row r="35" spans="2:33" x14ac:dyDescent="0.25">
      <c r="C35" s="276"/>
      <c r="D35" s="276"/>
      <c r="E35" s="276"/>
      <c r="F35" s="276"/>
      <c r="G35" s="276"/>
      <c r="H35" s="28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T35" s="276"/>
      <c r="U35" s="276"/>
      <c r="V35" s="276"/>
      <c r="W35" s="276"/>
      <c r="Y35" s="276"/>
      <c r="Z35" s="276"/>
      <c r="AA35" s="276"/>
      <c r="AB35" s="276"/>
      <c r="AG35" s="276"/>
    </row>
    <row r="36" spans="2:33" x14ac:dyDescent="0.25">
      <c r="B36" s="279"/>
      <c r="C36" s="280"/>
      <c r="D36" s="280"/>
      <c r="E36" s="280"/>
      <c r="F36" s="280"/>
      <c r="G36" s="280"/>
      <c r="H36" s="287"/>
      <c r="I36" s="280"/>
      <c r="J36" s="280"/>
      <c r="K36" s="280"/>
      <c r="L36" s="280"/>
      <c r="M36" s="280"/>
      <c r="N36" s="280"/>
      <c r="O36" s="276"/>
      <c r="P36" s="276"/>
      <c r="Q36" s="276"/>
      <c r="R36" s="280"/>
      <c r="T36" s="276"/>
      <c r="U36" s="276"/>
      <c r="V36" s="276"/>
      <c r="W36" s="280"/>
      <c r="Y36" s="276"/>
      <c r="Z36" s="276"/>
      <c r="AA36" s="276"/>
      <c r="AB36" s="280"/>
      <c r="AG36" s="280"/>
    </row>
    <row r="37" spans="2:33" x14ac:dyDescent="0.25">
      <c r="B37" s="267" t="s">
        <v>139</v>
      </c>
      <c r="C37" s="276">
        <f ca="1">+HLOOKUP(C$12,'Income Statement'!$A$1:CH267,ROW('Income Statement'!A267),FALSE)</f>
        <v>26301</v>
      </c>
      <c r="D37" s="276">
        <f ca="1">+HLOOKUP(D$12,'Income Statement'!$A$1:CH267,ROW('Income Statement'!B267),FALSE)</f>
        <v>26536</v>
      </c>
      <c r="E37" s="276">
        <f ca="1">+HLOOKUP(E$12,'Income Statement'!$A$1:CH267,ROW('Income Statement'!C267),FALSE)</f>
        <v>34540</v>
      </c>
      <c r="F37" s="276">
        <f ca="1">+HLOOKUP(F$12,'Income Statement'!$A$1:CH267,ROW('Income Statement'!D267),FALSE)</f>
        <v>28196</v>
      </c>
      <c r="G37" s="276"/>
      <c r="H37" s="286">
        <f ca="1">+HLOOKUP(H$12,'Income Statement'!$A$1:CH267,ROW('Income Statement'!F267),FALSE)</f>
        <v>34979</v>
      </c>
      <c r="I37" s="276"/>
      <c r="J37" s="276">
        <f ca="1">+HLOOKUP(J$12,'Income Statement'!$A$1:CH267,ROW('Income Statement'!H267),FALSE)</f>
        <v>30455.630398420122</v>
      </c>
      <c r="K37" s="276">
        <f ca="1">+HLOOKUP(K$12,'Income Statement'!$A$1:CH267,ROW('Income Statement'!I267),FALSE)</f>
        <v>30344.399526919296</v>
      </c>
      <c r="L37" s="276">
        <f ca="1">+HLOOKUP(L$12,'Income Statement'!$A$1:CH267,ROW('Income Statement'!J267),FALSE)</f>
        <v>31973.719617294722</v>
      </c>
      <c r="M37" s="276">
        <f ca="1">+HLOOKUP(M$12,'Income Statement'!$A$1:CH267,ROW('Income Statement'!K267),FALSE)</f>
        <v>32972.664440251443</v>
      </c>
      <c r="N37" s="276"/>
      <c r="O37" s="276">
        <f ca="1">+HLOOKUP(O$12,'Income Statement'!$A$1:CH267,ROW('Income Statement'!M267),FALSE)</f>
        <v>34324.048077839936</v>
      </c>
      <c r="P37" s="276">
        <f ca="1">+HLOOKUP(P$12,'Income Statement'!$A$1:CH267,ROW('Income Statement'!N267),FALSE)</f>
        <v>34881.652951068383</v>
      </c>
      <c r="Q37" s="276">
        <f ca="1">+HLOOKUP(Q$12,'Income Statement'!$A$1:CH267,ROW('Income Statement'!O267),FALSE)</f>
        <v>36655.353371903628</v>
      </c>
      <c r="R37" s="276">
        <f ca="1">+HLOOKUP(R$12,'Income Statement'!$A$1:CH267,ROW('Income Statement'!P267),FALSE)</f>
        <v>37907.140566040907</v>
      </c>
      <c r="S37" s="276"/>
      <c r="T37" s="276">
        <f ca="1">+HLOOKUP(T$12,'Income Statement'!$A$1:CH267,ROW('Income Statement'!R267),FALSE)</f>
        <v>39366.16710683077</v>
      </c>
      <c r="U37" s="276">
        <f ca="1">+HLOOKUP(U$12,'Income Statement'!$A$1:CH267,ROW('Income Statement'!S267),FALSE)</f>
        <v>40414.951312448822</v>
      </c>
      <c r="V37" s="276">
        <f ca="1">+HLOOKUP(V$12,'Income Statement'!$A$1:CH267,ROW('Income Statement'!T267),FALSE)</f>
        <v>42461.102762341558</v>
      </c>
      <c r="W37" s="276">
        <f ca="1">+HLOOKUP(W$12,'Income Statement'!$A$1:CH267,ROW('Income Statement'!U267),FALSE)</f>
        <v>43859.983262155409</v>
      </c>
      <c r="X37" s="276"/>
      <c r="Y37" s="276">
        <f ca="1">+HLOOKUP(Y$12,'Income Statement'!$A$1:CH267,ROW('Income Statement'!W267),FALSE)</f>
        <v>45334.642228524928</v>
      </c>
      <c r="Z37" s="276">
        <f ca="1">+HLOOKUP(Z$12,'Income Statement'!$A$1:CH267,ROW('Income Statement'!X267),FALSE)</f>
        <v>46647.091534646854</v>
      </c>
      <c r="AA37" s="276">
        <f ca="1">+HLOOKUP(AA$12,'Income Statement'!$A$1:CH267,ROW('Income Statement'!Y267),FALSE)</f>
        <v>48864.026323009224</v>
      </c>
      <c r="AB37" s="276">
        <f ca="1">+HLOOKUP(AB$12,'Income Statement'!$A$1:CH267,ROW('Income Statement'!Z267),FALSE)</f>
        <v>50404.456270365605</v>
      </c>
      <c r="AC37" s="276"/>
      <c r="AD37" s="276">
        <f ca="1">+HLOOKUP(AD$12,'Income Statement'!$A$1:CH267,ROW('Income Statement'!AB267),FALSE)</f>
        <v>51889.33957547343</v>
      </c>
      <c r="AE37" s="276">
        <f ca="1">+HLOOKUP(AE$12,'Income Statement'!$A$1:CH267,ROW('Income Statement'!AC267),FALSE)</f>
        <v>53444.951055379715</v>
      </c>
      <c r="AF37" s="276">
        <f ca="1">+HLOOKUP(AF$12,'Income Statement'!$A$1:CH267,ROW('Income Statement'!AD267),FALSE)</f>
        <v>56052.312756202009</v>
      </c>
      <c r="AG37" s="276">
        <f ca="1">+HLOOKUP(AG$12,'Income Statement'!$A$1:CH267,ROW('Income Statement'!AE267),FALSE)</f>
        <v>57647.266035578039</v>
      </c>
    </row>
    <row r="38" spans="2:33" x14ac:dyDescent="0.25">
      <c r="C38" s="276"/>
      <c r="D38" s="276"/>
      <c r="E38" s="276"/>
      <c r="F38" s="276"/>
      <c r="G38" s="276"/>
      <c r="H38" s="286"/>
      <c r="I38" s="276"/>
      <c r="J38" s="276"/>
      <c r="K38" s="276"/>
      <c r="L38" s="276"/>
      <c r="M38" s="277">
        <f ca="1">+SUM(J37:M37)/SUM(C37:F37)-1</f>
        <v>8.8025870946376816E-2</v>
      </c>
      <c r="N38" s="276"/>
      <c r="O38" s="276"/>
      <c r="P38" s="276"/>
      <c r="Q38" s="276"/>
      <c r="R38" s="277">
        <f ca="1">+SUM(O37:R37)/SUM(J37:M37)-1</f>
        <v>0.14331844871870492</v>
      </c>
      <c r="T38" s="276"/>
      <c r="U38" s="276"/>
      <c r="V38" s="276"/>
      <c r="W38" s="277">
        <f ca="1">+SUM(T37:W37)/SUM(O37:R37)-1</f>
        <v>0.15534735956080592</v>
      </c>
      <c r="Y38" s="276"/>
      <c r="Z38" s="276"/>
      <c r="AA38" s="276"/>
      <c r="AB38" s="277">
        <f ca="1">+SUM(Y37:AB37)/SUM(T37:W37)-1</f>
        <v>0.15140083177693331</v>
      </c>
      <c r="AG38" s="277">
        <f ca="1">+SUM(AD37:AG37)/SUM(Y37:AB37)-1</f>
        <v>0.14527383861511423</v>
      </c>
    </row>
    <row r="39" spans="2:33" x14ac:dyDescent="0.25">
      <c r="C39" s="276"/>
      <c r="D39" s="276"/>
      <c r="E39" s="276"/>
      <c r="F39" s="276"/>
      <c r="G39" s="276"/>
      <c r="H39" s="28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T39" s="276"/>
      <c r="U39" s="276"/>
      <c r="V39" s="276"/>
      <c r="W39" s="276"/>
      <c r="Y39" s="276"/>
      <c r="Z39" s="276"/>
      <c r="AA39" s="276"/>
      <c r="AB39" s="276"/>
      <c r="AG39" s="276"/>
    </row>
    <row r="40" spans="2:33" x14ac:dyDescent="0.25">
      <c r="C40" s="276"/>
      <c r="D40" s="276"/>
      <c r="E40" s="276"/>
      <c r="F40" s="276"/>
      <c r="G40" s="276"/>
      <c r="H40" s="28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T40" s="276"/>
      <c r="U40" s="276"/>
      <c r="V40" s="276"/>
      <c r="W40" s="276"/>
      <c r="Y40" s="276"/>
      <c r="Z40" s="276"/>
      <c r="AA40" s="276"/>
      <c r="AB40" s="276"/>
      <c r="AG40" s="276"/>
    </row>
    <row r="41" spans="2:33" x14ac:dyDescent="0.25">
      <c r="C41" s="276"/>
      <c r="D41" s="276"/>
      <c r="E41" s="276"/>
      <c r="F41" s="276"/>
      <c r="G41" s="276"/>
      <c r="H41" s="28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T41" s="276"/>
      <c r="U41" s="276"/>
      <c r="V41" s="276"/>
      <c r="W41" s="276"/>
      <c r="Y41" s="276"/>
      <c r="Z41" s="276"/>
      <c r="AA41" s="276"/>
      <c r="AB41" s="276"/>
      <c r="AG41" s="276"/>
    </row>
    <row r="42" spans="2:33" x14ac:dyDescent="0.25">
      <c r="C42" s="276"/>
      <c r="D42" s="276"/>
      <c r="E42" s="276"/>
      <c r="F42" s="276"/>
      <c r="G42" s="276"/>
      <c r="H42" s="28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T42" s="276"/>
      <c r="U42" s="276"/>
      <c r="V42" s="276"/>
      <c r="W42" s="276"/>
      <c r="Y42" s="276"/>
      <c r="Z42" s="276"/>
      <c r="AA42" s="276"/>
      <c r="AB42" s="276"/>
      <c r="AG42" s="276"/>
    </row>
    <row r="43" spans="2:33" x14ac:dyDescent="0.25">
      <c r="B43" s="279"/>
      <c r="C43" s="280"/>
      <c r="D43" s="280"/>
      <c r="E43" s="280"/>
      <c r="F43" s="280"/>
      <c r="G43" s="280"/>
      <c r="H43" s="287"/>
      <c r="I43" s="280"/>
      <c r="J43" s="280"/>
      <c r="K43" s="280"/>
      <c r="L43" s="280"/>
      <c r="M43" s="280"/>
      <c r="N43" s="280"/>
      <c r="O43" s="276"/>
      <c r="P43" s="276"/>
      <c r="Q43" s="276"/>
      <c r="R43" s="280"/>
      <c r="T43" s="276"/>
      <c r="U43" s="276"/>
      <c r="V43" s="276"/>
      <c r="W43" s="280"/>
      <c r="Y43" s="276"/>
      <c r="Z43" s="276"/>
      <c r="AA43" s="276"/>
      <c r="AB43" s="280"/>
      <c r="AG43" s="280"/>
    </row>
    <row r="44" spans="2:33" x14ac:dyDescent="0.25">
      <c r="B44" s="267" t="s">
        <v>185</v>
      </c>
      <c r="C44" s="276">
        <f ca="1">+HLOOKUP(C$12,'Cash Flow Statement'!$A$1:CH83,ROW('Cash Flow Statement'!A83),FALSE)</f>
        <v>11791</v>
      </c>
      <c r="D44" s="276">
        <f ca="1">+HLOOKUP(D$12,'Cash Flow Statement'!$A$1:CH83,ROW('Cash Flow Statement'!B83),FALSE)</f>
        <v>19027</v>
      </c>
      <c r="E44" s="276">
        <f ca="1">+HLOOKUP(E$12,'Cash Flow Statement'!$A$1:CH83,ROW('Cash Flow Statement'!C83),FALSE)</f>
        <v>13437</v>
      </c>
      <c r="F44" s="276">
        <f ca="1">+HLOOKUP(F$12,'Cash Flow Statement'!$A$1:CH83,ROW('Cash Flow Statement'!D83),FALSE)</f>
        <v>-697</v>
      </c>
      <c r="G44" s="276"/>
      <c r="H44" s="286">
        <f ca="1">+HLOOKUP(H$12,'Cash Flow Statement'!$A$1:CH83,ROW('Cash Flow Statement'!F83),FALSE)</f>
        <v>18093</v>
      </c>
      <c r="I44" s="276"/>
      <c r="J44" s="276">
        <f ca="1">+HLOOKUP(J$12,'Cash Flow Statement'!$A$1:CH83,ROW('Cash Flow Statement'!H83),FALSE)</f>
        <v>-6849.4116533079805</v>
      </c>
      <c r="K44" s="276">
        <f ca="1">+HLOOKUP(K$12,'Cash Flow Statement'!$A$1:CH83,ROW('Cash Flow Statement'!I83),FALSE)</f>
        <v>27365.949705247243</v>
      </c>
      <c r="L44" s="276">
        <f ca="1">+HLOOKUP(L$12,'Cash Flow Statement'!$A$1:CH83,ROW('Cash Flow Statement'!J83),FALSE)</f>
        <v>-9027.0836786550353</v>
      </c>
      <c r="M44" s="276">
        <f ca="1">+HLOOKUP(M$12,'Cash Flow Statement'!$A$1:CH83,ROW('Cash Flow Statement'!K83),FALSE)</f>
        <v>17865.853836135473</v>
      </c>
      <c r="N44" s="276"/>
      <c r="O44" s="276">
        <f ca="1">+HLOOKUP(O$12,'Cash Flow Statement'!$A$1:CH83,ROW('Cash Flow Statement'!M83),FALSE)</f>
        <v>9981.6767523258168</v>
      </c>
      <c r="P44" s="276">
        <f ca="1">+HLOOKUP(P$12,'Cash Flow Statement'!$A$1:CH83,ROW('Cash Flow Statement'!N83),FALSE)</f>
        <v>32972.931670636412</v>
      </c>
      <c r="Q44" s="276">
        <f ca="1">+HLOOKUP(Q$12,'Cash Flow Statement'!$A$1:CH83,ROW('Cash Flow Statement'!O83),FALSE)</f>
        <v>-10479.705024459334</v>
      </c>
      <c r="R44" s="276">
        <f ca="1">+HLOOKUP(R$12,'Cash Flow Statement'!$A$1:CH83,ROW('Cash Flow Statement'!P83),FALSE)</f>
        <v>22899.764592300813</v>
      </c>
      <c r="S44" s="276"/>
      <c r="T44" s="276">
        <f ca="1">+HLOOKUP(T$12,'Cash Flow Statement'!$A$1:CH83,ROW('Cash Flow Statement'!R83),FALSE)</f>
        <v>12438.862635576967</v>
      </c>
      <c r="U44" s="276">
        <f ca="1">+HLOOKUP(U$12,'Cash Flow Statement'!$A$1:CH83,ROW('Cash Flow Statement'!S83),FALSE)</f>
        <v>45575.293280169884</v>
      </c>
      <c r="V44" s="276">
        <f ca="1">+HLOOKUP(V$12,'Cash Flow Statement'!$A$1:CH83,ROW('Cash Flow Statement'!T83),FALSE)</f>
        <v>-9912.8909798907825</v>
      </c>
      <c r="W44" s="276">
        <f ca="1">+HLOOKUP(W$12,'Cash Flow Statement'!$A$1:CH83,ROW('Cash Flow Statement'!U83),FALSE)</f>
        <v>30500.968229503393</v>
      </c>
      <c r="X44" s="276"/>
      <c r="Y44" s="276">
        <f ca="1">+HLOOKUP(Y$12,'Cash Flow Statement'!$A$1:CH83,ROW('Cash Flow Statement'!W83),FALSE)</f>
        <v>17418.065380288113</v>
      </c>
      <c r="Z44" s="276">
        <f ca="1">+HLOOKUP(Z$12,'Cash Flow Statement'!$A$1:CH83,ROW('Cash Flow Statement'!X83),FALSE)</f>
        <v>59142.709273462853</v>
      </c>
      <c r="AA44" s="276">
        <f ca="1">+HLOOKUP(AA$12,'Cash Flow Statement'!$A$1:CH83,ROW('Cash Flow Statement'!Y83),FALSE)</f>
        <v>-8329.3167428848883</v>
      </c>
      <c r="AB44" s="276">
        <f ca="1">+HLOOKUP(AB$12,'Cash Flow Statement'!$A$1:CH83,ROW('Cash Flow Statement'!Z83),FALSE)</f>
        <v>39355.064996087109</v>
      </c>
      <c r="AC44" s="276"/>
      <c r="AD44" s="276">
        <f ca="1">+HLOOKUP(AD$12,'Cash Flow Statement'!$A$1:CH83,ROW('Cash Flow Statement'!AB83),FALSE)</f>
        <v>23771.736644143471</v>
      </c>
      <c r="AE44" s="276">
        <f ca="1">+HLOOKUP(AE$12,'Cash Flow Statement'!$A$1:CH83,ROW('Cash Flow Statement'!AC83),FALSE)</f>
        <v>75310.555803477313</v>
      </c>
      <c r="AF44" s="276">
        <f ca="1">+HLOOKUP(AF$12,'Cash Flow Statement'!$A$1:CH83,ROW('Cash Flow Statement'!AD83),FALSE)</f>
        <v>-5608.1709292632368</v>
      </c>
      <c r="AG44" s="276">
        <f ca="1">+HLOOKUP(AG$12,'Cash Flow Statement'!$A$1:CH83,ROW('Cash Flow Statement'!AE83),FALSE)</f>
        <v>49552.894893303725</v>
      </c>
    </row>
    <row r="45" spans="2:33" x14ac:dyDescent="0.25">
      <c r="C45" s="276"/>
      <c r="D45" s="276"/>
      <c r="E45" s="276"/>
      <c r="F45" s="276"/>
      <c r="G45" s="276"/>
      <c r="H45" s="286"/>
      <c r="I45" s="276"/>
      <c r="J45" s="276"/>
      <c r="K45" s="276"/>
      <c r="L45" s="276"/>
      <c r="M45" s="277">
        <f ca="1">+SUM(J44:M44)/SUM(C44:F44)-1</f>
        <v>-0.32606390997245738</v>
      </c>
      <c r="N45" s="276"/>
      <c r="O45" s="276"/>
      <c r="P45" s="276"/>
      <c r="Q45" s="276"/>
      <c r="R45" s="277">
        <f ca="1">+SUM(O44:R44)/SUM(J44:M44)-1</f>
        <v>0.88635961836145061</v>
      </c>
      <c r="T45" s="276"/>
      <c r="U45" s="276"/>
      <c r="V45" s="276"/>
      <c r="W45" s="277">
        <f ca="1">+SUM(T44:W44)/SUM(O44:R44)-1</f>
        <v>0.41946193119231445</v>
      </c>
      <c r="Y45" s="276"/>
      <c r="Z45" s="276"/>
      <c r="AA45" s="276"/>
      <c r="AB45" s="277">
        <f ca="1">+SUM(Y44:AB44)/SUM(T44:W44)-1</f>
        <v>0.36874639020265532</v>
      </c>
      <c r="AG45" s="277">
        <f ca="1">+SUM(AD44:AG44)/SUM(Y44:AB44)-1</f>
        <v>0.32941387589372106</v>
      </c>
    </row>
    <row r="46" spans="2:33" x14ac:dyDescent="0.25">
      <c r="C46" s="276"/>
      <c r="D46" s="276"/>
      <c r="E46" s="276"/>
      <c r="F46" s="276"/>
      <c r="G46" s="276"/>
      <c r="H46" s="28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T46" s="276"/>
      <c r="U46" s="276"/>
      <c r="V46" s="276"/>
      <c r="W46" s="276"/>
      <c r="Y46" s="276"/>
      <c r="Z46" s="276"/>
      <c r="AA46" s="276"/>
      <c r="AB46" s="276"/>
      <c r="AG46" s="276"/>
    </row>
    <row r="47" spans="2:33" x14ac:dyDescent="0.25">
      <c r="C47" s="276"/>
      <c r="D47" s="276"/>
      <c r="E47" s="276"/>
      <c r="F47" s="276"/>
      <c r="G47" s="276"/>
      <c r="H47" s="28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T47" s="276"/>
      <c r="U47" s="276"/>
      <c r="V47" s="276"/>
      <c r="W47" s="276"/>
      <c r="Y47" s="276"/>
      <c r="Z47" s="276"/>
      <c r="AA47" s="276"/>
      <c r="AB47" s="276"/>
      <c r="AG47" s="276"/>
    </row>
    <row r="48" spans="2:33" x14ac:dyDescent="0.25">
      <c r="C48" s="276"/>
      <c r="D48" s="276"/>
      <c r="E48" s="276"/>
      <c r="F48" s="276"/>
      <c r="G48" s="276"/>
      <c r="H48" s="28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T48" s="276"/>
      <c r="U48" s="276"/>
      <c r="V48" s="276"/>
      <c r="W48" s="276"/>
      <c r="Y48" s="276"/>
      <c r="Z48" s="276"/>
      <c r="AA48" s="276"/>
      <c r="AB48" s="276"/>
      <c r="AG48" s="276"/>
    </row>
    <row r="49" spans="2:33" x14ac:dyDescent="0.25">
      <c r="C49" s="276"/>
      <c r="D49" s="276"/>
      <c r="E49" s="276"/>
      <c r="F49" s="276"/>
      <c r="G49" s="276"/>
      <c r="H49" s="28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T49" s="276"/>
      <c r="U49" s="276"/>
      <c r="V49" s="276"/>
      <c r="W49" s="276"/>
      <c r="Y49" s="276"/>
      <c r="Z49" s="276"/>
      <c r="AA49" s="276"/>
      <c r="AB49" s="276"/>
      <c r="AG49" s="276"/>
    </row>
    <row r="50" spans="2:33" x14ac:dyDescent="0.25">
      <c r="B50" s="267" t="s">
        <v>289</v>
      </c>
      <c r="C50" s="276">
        <f ca="1">+HLOOKUP(C$12,'Cash Flow Statement'!$A$1:CH76,ROW('Cash Flow Statement'!A76),FALSE)</f>
        <v>17637</v>
      </c>
      <c r="D50" s="276">
        <f ca="1">+HLOOKUP(D$12,'Cash Flow Statement'!$A$1:CH76,ROW('Cash Flow Statement'!B76),FALSE)</f>
        <v>24837</v>
      </c>
      <c r="E50" s="276">
        <f ca="1">+HLOOKUP(E$12,'Cash Flow Statement'!$A$1:CH76,ROW('Cash Flow Statement'!C76),FALSE)</f>
        <v>18953</v>
      </c>
      <c r="F50" s="276">
        <f ca="1">+HLOOKUP(F$12,'Cash Flow Statement'!$A$1:CH76,ROW('Cash Flow Statement'!D76),FALSE)</f>
        <v>5301</v>
      </c>
      <c r="G50" s="276"/>
      <c r="H50" s="286">
        <f ca="1">+HLOOKUP(H$12,'Cash Flow Statement'!$A$1:CH76,ROW('Cash Flow Statement'!F76),FALSE)</f>
        <v>24461</v>
      </c>
      <c r="I50" s="276"/>
      <c r="J50" s="276">
        <f ca="1">+HLOOKUP(J$12,'Cash Flow Statement'!$A$1:CH76,ROW('Cash Flow Statement'!H76),FALSE)</f>
        <v>-458.41165330797958</v>
      </c>
      <c r="K50" s="276">
        <f ca="1">+HLOOKUP(K$12,'Cash Flow Statement'!$A$1:CH76,ROW('Cash Flow Statement'!I76),FALSE)</f>
        <v>33378.389705247246</v>
      </c>
      <c r="L50" s="276">
        <f ca="1">+HLOOKUP(L$12,'Cash Flow Statement'!$A$1:CH76,ROW('Cash Flow Statement'!J76),FALSE)</f>
        <v>-2489.2636786550356</v>
      </c>
      <c r="M50" s="276">
        <f ca="1">+HLOOKUP(M$12,'Cash Flow Statement'!$A$1:CH76,ROW('Cash Flow Statement'!K76),FALSE)</f>
        <v>24806.973836135472</v>
      </c>
      <c r="N50" s="276"/>
      <c r="O50" s="276">
        <f ca="1">+HLOOKUP(O$12,'Cash Flow Statement'!$A$1:CH76,ROW('Cash Flow Statement'!M76),FALSE)</f>
        <v>16947.866752325819</v>
      </c>
      <c r="P50" s="276">
        <f ca="1">+HLOOKUP(P$12,'Cash Flow Statement'!$A$1:CH76,ROW('Cash Flow Statement'!N76),FALSE)</f>
        <v>39466.366870636411</v>
      </c>
      <c r="Q50" s="276">
        <f ca="1">+HLOOKUP(Q$12,'Cash Flow Statement'!$A$1:CH76,ROW('Cash Flow Statement'!O76),FALSE)</f>
        <v>-3418.8594244593332</v>
      </c>
      <c r="R50" s="276">
        <f ca="1">+HLOOKUP(R$12,'Cash Flow Statement'!$A$1:CH76,ROW('Cash Flow Statement'!P76),FALSE)</f>
        <v>30396.174192300816</v>
      </c>
      <c r="S50" s="276"/>
      <c r="T50" s="276">
        <f ca="1">+HLOOKUP(T$12,'Cash Flow Statement'!$A$1:CH76,ROW('Cash Flow Statement'!R76),FALSE)</f>
        <v>19962.347835576969</v>
      </c>
      <c r="U50" s="276">
        <f ca="1">+HLOOKUP(U$12,'Cash Flow Statement'!$A$1:CH76,ROW('Cash Flow Statement'!S76),FALSE)</f>
        <v>52588.203296169886</v>
      </c>
      <c r="V50" s="276">
        <f ca="1">+HLOOKUP(V$12,'Cash Flow Statement'!$A$1:CH76,ROW('Cash Flow Statement'!T76),FALSE)</f>
        <v>-2428.3946438907806</v>
      </c>
      <c r="W50" s="276">
        <f ca="1">+HLOOKUP(W$12,'Cash Flow Statement'!$A$1:CH76,ROW('Cash Flow Statement'!U76),FALSE)</f>
        <v>38447.162405503397</v>
      </c>
      <c r="X50" s="276"/>
      <c r="Y50" s="276">
        <f ca="1">+HLOOKUP(Y$12,'Cash Flow Statement'!$A$1:CH76,ROW('Cash Flow Statement'!W76),FALSE)</f>
        <v>25392.959692288117</v>
      </c>
      <c r="Z50" s="276">
        <f ca="1">+HLOOKUP(Z$12,'Cash Flow Statement'!$A$1:CH76,ROW('Cash Flow Statement'!X76),FALSE)</f>
        <v>66576.393890422856</v>
      </c>
      <c r="AA50" s="276">
        <f ca="1">+HLOOKUP(AA$12,'Cash Flow Statement'!$A$1:CH76,ROW('Cash Flow Statement'!Y76),FALSE)</f>
        <v>-470.59559008488577</v>
      </c>
      <c r="AB50" s="276">
        <f ca="1">+HLOOKUP(AB$12,'Cash Flow Statement'!$A$1:CH76,ROW('Cash Flow Statement'!Z76),FALSE)</f>
        <v>47698.568880887113</v>
      </c>
      <c r="AC50" s="276"/>
      <c r="AD50" s="276">
        <f ca="1">+HLOOKUP(AD$12,'Cash Flow Statement'!$A$1:CH76,ROW('Cash Flow Statement'!AB76),FALSE)</f>
        <v>32145.375671743474</v>
      </c>
      <c r="AE50" s="276">
        <f ca="1">+HLOOKUP(AE$12,'Cash Flow Statement'!$A$1:CH76,ROW('Cash Flow Statement'!AC76),FALSE)</f>
        <v>83115.924651285313</v>
      </c>
      <c r="AF50" s="276">
        <f ca="1">+HLOOKUP(AF$12,'Cash Flow Statement'!$A$1:CH76,ROW('Cash Flow Statement'!AD76),FALSE)</f>
        <v>2643.4862811767671</v>
      </c>
      <c r="AG50" s="276">
        <f ca="1">+HLOOKUP(AG$12,'Cash Flow Statement'!$A$1:CH76,ROW('Cash Flow Statement'!AE76),FALSE)</f>
        <v>58313.573972343729</v>
      </c>
    </row>
    <row r="51" spans="2:33" x14ac:dyDescent="0.25">
      <c r="C51" s="276"/>
      <c r="D51" s="276"/>
      <c r="E51" s="276"/>
      <c r="F51" s="276"/>
      <c r="G51" s="276"/>
      <c r="H51" s="286"/>
      <c r="I51" s="276"/>
      <c r="J51" s="276"/>
      <c r="K51" s="276"/>
      <c r="L51" s="276"/>
      <c r="M51" s="277">
        <f ca="1">+SUM(J50:M50)/SUM(C50:F50)-1</f>
        <v>-0.17219625630290569</v>
      </c>
      <c r="N51" s="276"/>
      <c r="O51" s="276"/>
      <c r="P51" s="276"/>
      <c r="Q51" s="276"/>
      <c r="R51" s="277">
        <f ca="1">+SUM(O50:R50)/SUM(J50:M50)-1</f>
        <v>0.50968570724114626</v>
      </c>
      <c r="T51" s="276"/>
      <c r="U51" s="276"/>
      <c r="V51" s="276"/>
      <c r="W51" s="277">
        <f ca="1">+SUM(T50:W50)/SUM(O50:R50)-1</f>
        <v>0.30192232892191151</v>
      </c>
      <c r="Y51" s="276"/>
      <c r="Z51" s="276"/>
      <c r="AA51" s="276"/>
      <c r="AB51" s="277">
        <f ca="1">+SUM(Y50:AB50)/SUM(T50:W50)-1</f>
        <v>0.28210555516367974</v>
      </c>
      <c r="AG51" s="277">
        <f ca="1">+SUM(AD50:AG50)/SUM(Y50:AB50)-1</f>
        <v>0.26596080926666521</v>
      </c>
    </row>
    <row r="52" spans="2:33" x14ac:dyDescent="0.25">
      <c r="C52" s="276"/>
      <c r="D52" s="276"/>
      <c r="E52" s="276"/>
      <c r="F52" s="276"/>
      <c r="G52" s="276"/>
      <c r="H52" s="28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T52" s="276"/>
      <c r="U52" s="276"/>
      <c r="V52" s="276"/>
      <c r="W52" s="276"/>
      <c r="Y52" s="276"/>
      <c r="Z52" s="276"/>
      <c r="AA52" s="276"/>
      <c r="AB52" s="276"/>
      <c r="AG52" s="276"/>
    </row>
    <row r="53" spans="2:33" x14ac:dyDescent="0.25">
      <c r="C53" s="276"/>
      <c r="D53" s="276"/>
      <c r="E53" s="276"/>
      <c r="F53" s="276"/>
      <c r="G53" s="276"/>
      <c r="H53" s="28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T53" s="276"/>
      <c r="U53" s="276"/>
      <c r="V53" s="276"/>
      <c r="W53" s="276"/>
      <c r="Y53" s="276"/>
      <c r="Z53" s="276"/>
      <c r="AA53" s="276"/>
      <c r="AB53" s="276"/>
      <c r="AG53" s="276"/>
    </row>
    <row r="54" spans="2:33" x14ac:dyDescent="0.25">
      <c r="C54" s="276"/>
      <c r="D54" s="276"/>
      <c r="E54" s="276"/>
      <c r="F54" s="276"/>
      <c r="G54" s="276"/>
      <c r="H54" s="28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T54" s="276"/>
      <c r="U54" s="276"/>
      <c r="V54" s="276"/>
      <c r="W54" s="276"/>
      <c r="Y54" s="276"/>
      <c r="Z54" s="276"/>
      <c r="AA54" s="276"/>
      <c r="AB54" s="276"/>
      <c r="AG54" s="276"/>
    </row>
    <row r="55" spans="2:33" x14ac:dyDescent="0.25">
      <c r="C55" s="276"/>
      <c r="D55" s="276"/>
      <c r="E55" s="276"/>
      <c r="F55" s="276"/>
      <c r="G55" s="276"/>
      <c r="H55" s="28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T55" s="276"/>
      <c r="U55" s="276"/>
      <c r="V55" s="276"/>
      <c r="W55" s="276"/>
      <c r="Y55" s="276"/>
      <c r="Z55" s="276"/>
      <c r="AA55" s="276"/>
      <c r="AB55" s="276"/>
      <c r="AG55" s="276"/>
    </row>
    <row r="56" spans="2:33" x14ac:dyDescent="0.25">
      <c r="B56" s="267" t="s">
        <v>184</v>
      </c>
      <c r="C56" s="276">
        <f ca="1">+HLOOKUP(C$12,'Income Statement'!$A$1:CH228,ROW('Income Statement'!A228),FALSE)*-1</f>
        <v>5846</v>
      </c>
      <c r="D56" s="276">
        <f ca="1">+HLOOKUP(D$12,'Income Statement'!$A$1:CH228,ROW('Income Statement'!B228),FALSE)*-1</f>
        <v>5810</v>
      </c>
      <c r="E56" s="276">
        <f ca="1">+HLOOKUP(E$12,'Income Statement'!$A$1:CH228,ROW('Income Statement'!C228),FALSE)*-1</f>
        <v>5516</v>
      </c>
      <c r="F56" s="276">
        <f ca="1">+HLOOKUP(F$12,'Income Statement'!$A$1:CH228,ROW('Income Statement'!D228),FALSE)*-1</f>
        <v>5998</v>
      </c>
      <c r="G56" s="276"/>
      <c r="H56" s="286">
        <f ca="1">+HLOOKUP(H$12,'Income Statement'!$A$1:CH228,ROW('Income Statement'!F228),FALSE)*-1</f>
        <v>6368</v>
      </c>
      <c r="I56" s="276"/>
      <c r="J56" s="276">
        <f ca="1">+HLOOKUP(J$12,'Income Statement'!$A$1:CH228,ROW('Income Statement'!H228),FALSE)*-1</f>
        <v>6391.0000000000009</v>
      </c>
      <c r="K56" s="276">
        <f ca="1">+HLOOKUP(K$12,'Income Statement'!$A$1:CH228,ROW('Income Statement'!I228),FALSE)*-1</f>
        <v>6012.4400000000005</v>
      </c>
      <c r="L56" s="276">
        <f ca="1">+HLOOKUP(L$12,'Income Statement'!$A$1:CH228,ROW('Income Statement'!J228),FALSE)*-1</f>
        <v>6537.8200000000006</v>
      </c>
      <c r="M56" s="276">
        <f ca="1">+HLOOKUP(M$12,'Income Statement'!$A$1:CH228,ROW('Income Statement'!K228),FALSE)*-1</f>
        <v>6941.1200000000008</v>
      </c>
      <c r="N56" s="276"/>
      <c r="O56" s="276">
        <f ca="1">+HLOOKUP(O$12,'Income Statement'!$A$1:CH228,ROW('Income Statement'!M228),FALSE)*-1</f>
        <v>6966.1900000000014</v>
      </c>
      <c r="P56" s="276">
        <f ca="1">+HLOOKUP(P$12,'Income Statement'!$A$1:CH228,ROW('Income Statement'!N228),FALSE)*-1</f>
        <v>6493.4352000000008</v>
      </c>
      <c r="Q56" s="276">
        <f ca="1">+HLOOKUP(Q$12,'Income Statement'!$A$1:CH228,ROW('Income Statement'!O228),FALSE)*-1</f>
        <v>7060.8456000000015</v>
      </c>
      <c r="R56" s="276">
        <f ca="1">+HLOOKUP(R$12,'Income Statement'!$A$1:CH228,ROW('Income Statement'!P228),FALSE)*-1</f>
        <v>7496.4096000000018</v>
      </c>
      <c r="S56" s="276"/>
      <c r="T56" s="276">
        <f ca="1">+HLOOKUP(T$12,'Income Statement'!$A$1:CH228,ROW('Income Statement'!R228),FALSE)*-1</f>
        <v>7523.4852000000019</v>
      </c>
      <c r="U56" s="276">
        <f ca="1">+HLOOKUP(U$12,'Income Statement'!$A$1:CH228,ROW('Income Statement'!S228),FALSE)*-1</f>
        <v>7012.9100160000016</v>
      </c>
      <c r="V56" s="276">
        <f ca="1">+HLOOKUP(V$12,'Income Statement'!$A$1:CH228,ROW('Income Statement'!T228),FALSE)*-1</f>
        <v>7484.496336000002</v>
      </c>
      <c r="W56" s="276">
        <f ca="1">+HLOOKUP(W$12,'Income Statement'!$A$1:CH228,ROW('Income Statement'!U228),FALSE)*-1</f>
        <v>7946.1941760000027</v>
      </c>
      <c r="X56" s="276"/>
      <c r="Y56" s="276">
        <f ca="1">+HLOOKUP(Y$12,'Income Statement'!$A$1:CH228,ROW('Income Statement'!W228),FALSE)*-1</f>
        <v>7974.8943120000022</v>
      </c>
      <c r="Z56" s="276">
        <f ca="1">+HLOOKUP(Z$12,'Income Statement'!$A$1:CH228,ROW('Income Statement'!X228),FALSE)*-1</f>
        <v>7433.6846169600021</v>
      </c>
      <c r="AA56" s="276">
        <f ca="1">+HLOOKUP(AA$12,'Income Statement'!$A$1:CH228,ROW('Income Statement'!Y228),FALSE)*-1</f>
        <v>7858.7211528000025</v>
      </c>
      <c r="AB56" s="276">
        <f ca="1">+HLOOKUP(AB$12,'Income Statement'!$A$1:CH228,ROW('Income Statement'!Z228),FALSE)*-1</f>
        <v>8343.503884800004</v>
      </c>
      <c r="AC56" s="276"/>
      <c r="AD56" s="276">
        <f ca="1">+HLOOKUP(AD$12,'Income Statement'!$A$1:CH228,ROW('Income Statement'!AB228),FALSE)*-1</f>
        <v>8373.639027600002</v>
      </c>
      <c r="AE56" s="276">
        <f ca="1">+HLOOKUP(AE$12,'Income Statement'!$A$1:CH228,ROW('Income Statement'!AC228),FALSE)*-1</f>
        <v>7805.368847808003</v>
      </c>
      <c r="AF56" s="276">
        <f ca="1">+HLOOKUP(AF$12,'Income Statement'!$A$1:CH228,ROW('Income Statement'!AD228),FALSE)*-1</f>
        <v>8251.6572104400038</v>
      </c>
      <c r="AG56" s="276">
        <f ca="1">+HLOOKUP(AG$12,'Income Statement'!$A$1:CH228,ROW('Income Statement'!AE228),FALSE)*-1</f>
        <v>8760.6790790400046</v>
      </c>
    </row>
    <row r="57" spans="2:33" x14ac:dyDescent="0.25">
      <c r="H57" s="286"/>
      <c r="M57" s="277">
        <f ca="1">+SUM(J56:M56)/SUM(C56:F56)-1</f>
        <v>0.11706430729391482</v>
      </c>
      <c r="N57" s="276"/>
      <c r="O57" s="276"/>
      <c r="P57" s="276"/>
      <c r="Q57" s="276"/>
      <c r="R57" s="277">
        <f ca="1">+SUM(O56:R56)/SUM(J56:M56)-1</f>
        <v>8.2469247418514025E-2</v>
      </c>
      <c r="W57" s="277">
        <f ca="1">+SUM(T56:W56)/SUM(O56:R56)-1</f>
        <v>6.9608225475381813E-2</v>
      </c>
      <c r="AB57" s="277">
        <f ca="1">+SUM(Y56:AB56)/SUM(T56:W56)-1</f>
        <v>5.4850787076174523E-2</v>
      </c>
      <c r="AG57" s="277">
        <f ca="1">+SUM(AD56:AG56)/SUM(Y56:AB56)-1</f>
        <v>5.0000000000000044E-2</v>
      </c>
    </row>
    <row r="58" spans="2:33" x14ac:dyDescent="0.25">
      <c r="H58" s="286"/>
    </row>
    <row r="59" spans="2:33" x14ac:dyDescent="0.25">
      <c r="H59" s="286"/>
    </row>
    <row r="60" spans="2:33" x14ac:dyDescent="0.25">
      <c r="H60" s="286"/>
    </row>
    <row r="61" spans="2:33" x14ac:dyDescent="0.25">
      <c r="B61" s="267" t="s">
        <v>453</v>
      </c>
      <c r="C61" s="276">
        <f ca="1">+HLOOKUP(C$12,'Cash Flow Statement'!$A$1:CH105,ROW('Cash Flow Statement'!A102),FALSE)</f>
        <v>2455</v>
      </c>
      <c r="D61" s="276">
        <f ca="1">+HLOOKUP(D$12,'Cash Flow Statement'!$A$1:CI105,ROW('Cash Flow Statement'!B102),FALSE)</f>
        <v>2442</v>
      </c>
      <c r="E61" s="276">
        <f ca="1">+HLOOKUP(E$12,'Cash Flow Statement'!$A$1:CJ105,ROW('Cash Flow Statement'!C102),FALSE)</f>
        <v>2434</v>
      </c>
      <c r="F61" s="276">
        <f ca="1">+HLOOKUP(F$12,'Cash Flow Statement'!$A$1:CK105,ROW('Cash Flow Statement'!D102),FALSE)</f>
        <v>2543</v>
      </c>
      <c r="G61" s="276"/>
      <c r="H61" s="286">
        <f ca="1">+HLOOKUP(H$12,'Cash Flow Statement'!$A$1:CM105,ROW('Cash Flow Statement'!F102),FALSE)</f>
        <v>2537</v>
      </c>
      <c r="I61" s="276"/>
      <c r="J61" s="276">
        <f ca="1">+HLOOKUP(J$12,'Cash Flow Statement'!$A$1:CO105,ROW('Cash Flow Statement'!H102),FALSE)</f>
        <v>2531.4790291626955</v>
      </c>
      <c r="K61" s="276">
        <f ca="1">+HLOOKUP(K$12,'Cash Flow Statement'!$A$1:CP105,ROW('Cash Flow Statement'!I102),FALSE)</f>
        <v>2525.3241355702648</v>
      </c>
      <c r="L61" s="276">
        <f ca="1">+HLOOKUP(L$12,'Cash Flow Statement'!$A$1:CQ105,ROW('Cash Flow Statement'!J102),FALSE)</f>
        <v>2519.3393542101726</v>
      </c>
      <c r="M61" s="276">
        <f ca="1">+HLOOKUP(M$12,'Cash Flow Statement'!$A$1:CR105,ROW('Cash Flow Statement'!K102),FALSE)</f>
        <v>2513.8942263147173</v>
      </c>
      <c r="N61" s="276"/>
      <c r="O61" s="276">
        <f ca="1">+HLOOKUP(O$12,'Cash Flow Statement'!$A$1:CT105,ROW('Cash Flow Statement'!M102),FALSE)</f>
        <v>2508.740915617695</v>
      </c>
      <c r="P61" s="276">
        <f ca="1">+HLOOKUP(P$12,'Cash Flow Statement'!$A$1:CU105,ROW('Cash Flow Statement'!N102),FALSE)</f>
        <v>2503.5638661014332</v>
      </c>
      <c r="Q61" s="276">
        <f ca="1">+HLOOKUP(Q$12,'Cash Flow Statement'!$A$1:CV105,ROW('Cash Flow Statement'!O102),FALSE)</f>
        <v>2504.0801109078325</v>
      </c>
      <c r="R61" s="276">
        <f ca="1">+HLOOKUP(R$12,'Cash Flow Statement'!$A$1:CW105,ROW('Cash Flow Statement'!P102),FALSE)</f>
        <v>2510.5065871021488</v>
      </c>
      <c r="S61" s="276"/>
      <c r="T61" s="276">
        <f ca="1">+HLOOKUP(T$12,'Cash Flow Statement'!$A$1:CY105,ROW('Cash Flow Statement'!R102),FALSE)</f>
        <v>2517.027638786898</v>
      </c>
      <c r="U61" s="276">
        <f ca="1">+HLOOKUP(U$12,'Cash Flow Statement'!$A$1:CZ105,ROW('Cash Flow Statement'!S102),FALSE)</f>
        <v>2523.234858771124</v>
      </c>
      <c r="V61" s="276">
        <f ca="1">+HLOOKUP(V$12,'Cash Flow Statement'!$A$1:DA105,ROW('Cash Flow Statement'!T102),FALSE)</f>
        <v>2529.3181177236438</v>
      </c>
      <c r="W61" s="276">
        <f ca="1">+HLOOKUP(W$12,'Cash Flow Statement'!$A$1:DB105,ROW('Cash Flow Statement'!U102),FALSE)</f>
        <v>2535.6845333927795</v>
      </c>
      <c r="X61" s="276"/>
      <c r="Y61" s="276">
        <f ca="1">+HLOOKUP(Y$12,'Cash Flow Statement'!$A$1:DE105,ROW('Cash Flow Statement'!W102),FALSE)</f>
        <v>2542.1446406692603</v>
      </c>
      <c r="Z61" s="276">
        <f ca="1">+HLOOKUP(Z$12,'Cash Flow Statement'!$A$1:DF105,ROW('Cash Flow Statement'!X102),FALSE)</f>
        <v>2548.2938492517637</v>
      </c>
      <c r="AA61" s="276">
        <f ca="1">+HLOOKUP(AA$12,'Cash Flow Statement'!$A$1:DG105,ROW('Cash Flow Statement'!Y102),FALSE)</f>
        <v>2554.2911444068318</v>
      </c>
      <c r="AB61" s="276">
        <f ca="1">+HLOOKUP(AB$12,'Cash Flow Statement'!$A$1:DH105,ROW('Cash Flow Statement'!Z102),FALSE)</f>
        <v>2560.5385616522453</v>
      </c>
      <c r="AC61" s="276"/>
      <c r="AD61" s="276">
        <f ca="1">+HLOOKUP(AD$12,'Cash Flow Statement'!$A$1:DJ105,ROW('Cash Flow Statement'!AB102),FALSE)</f>
        <v>2566.8779192600064</v>
      </c>
      <c r="AE61" s="276">
        <f ca="1">+HLOOKUP(AE$12,'Cash Flow Statement'!$A$1:DK105,ROW('Cash Flow Statement'!AC102),FALSE)</f>
        <v>2572.9121893643328</v>
      </c>
      <c r="AF61" s="276">
        <f ca="1">+HLOOKUP(AF$12,'Cash Flow Statement'!$A$1:DL105,ROW('Cash Flow Statement'!AD102),FALSE)</f>
        <v>2578.7973855445398</v>
      </c>
      <c r="AG61" s="276">
        <f ca="1">+HLOOKUP(AG$12,'Cash Flow Statement'!$A$1:DM105,ROW('Cash Flow Statement'!AE102),FALSE)</f>
        <v>2584.928028635833</v>
      </c>
    </row>
    <row r="62" spans="2:33" x14ac:dyDescent="0.25">
      <c r="M62" s="277"/>
      <c r="N62" s="276"/>
      <c r="O62" s="276"/>
      <c r="P62" s="276"/>
      <c r="Q62" s="276"/>
      <c r="R62" s="277">
        <f ca="1">+SUM(O61:R61)/SUM(J61:M61)-1</f>
        <v>-6.2581799375922564E-3</v>
      </c>
      <c r="W62" s="277">
        <f ca="1">+SUM(T61:W61)/SUM(O61:R61)-1</f>
        <v>7.8163475792851766E-3</v>
      </c>
      <c r="AB62" s="277">
        <f ca="1">+SUM(Y61:AB61)/SUM(T61:W61)-1</f>
        <v>9.8961329400419906E-3</v>
      </c>
      <c r="AG62" s="277">
        <f ca="1">+SUM(AD61:AG61)/SUM(Y61:AB61)-1</f>
        <v>9.6271185566010331E-3</v>
      </c>
    </row>
  </sheetData>
  <pageMargins left="0.7" right="0.7" top="0.75" bottom="0.75" header="0.3" footer="0.3"/>
  <customProperties>
    <customPr name="Qube.Worksheet.Visibility" r:id="rId1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DDB055-85A7-4D0C-806B-F5341B7DFBAB}">
          <x14:formula1>
            <xm:f>'Income Statement'!$B$1:CH$1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9"/>
  <sheetViews>
    <sheetView zoomScaleNormal="100" workbookViewId="0">
      <selection activeCell="N67" sqref="N67"/>
    </sheetView>
  </sheetViews>
  <sheetFormatPr defaultRowHeight="12" outlineLevelRow="1" outlineLevelCol="1" x14ac:dyDescent="0.2"/>
  <cols>
    <col min="1" max="1" width="35.85546875" style="1" bestFit="1" customWidth="1"/>
    <col min="2" max="6" width="10.7109375" style="1" customWidth="1"/>
    <col min="7" max="10" width="10.7109375" style="1" customWidth="1" outlineLevel="1"/>
    <col min="11" max="16384" width="9.140625" style="1"/>
  </cols>
  <sheetData>
    <row r="1" spans="1:11" ht="30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1" x14ac:dyDescent="0.2">
      <c r="A2" s="1" t="s">
        <v>272</v>
      </c>
      <c r="B2" s="54" t="s">
        <v>345</v>
      </c>
    </row>
    <row r="3" spans="1:11" x14ac:dyDescent="0.2">
      <c r="A3" s="1" t="s">
        <v>273</v>
      </c>
      <c r="B3" s="344">
        <v>293</v>
      </c>
    </row>
    <row r="4" spans="1:11" x14ac:dyDescent="0.2">
      <c r="A4" s="1" t="s">
        <v>274</v>
      </c>
      <c r="B4" s="75">
        <f>HLOOKUP('NTM Valuation'!$C$3,'Shares Outstanding &amp; Corporate'!A1:CH9,ROW('Shares Outstanding &amp; Corporate'!A9),FALSE)</f>
        <v>12203</v>
      </c>
      <c r="C4" s="74"/>
      <c r="D4" s="65"/>
      <c r="E4" s="65"/>
      <c r="F4" s="65"/>
    </row>
    <row r="5" spans="1:11" x14ac:dyDescent="0.2">
      <c r="A5" s="1" t="s">
        <v>275</v>
      </c>
      <c r="B5" s="20">
        <f>B3*B4</f>
        <v>3575479</v>
      </c>
      <c r="D5" s="362"/>
    </row>
    <row r="6" spans="1:11" x14ac:dyDescent="0.2">
      <c r="A6" s="1" t="s">
        <v>276</v>
      </c>
      <c r="B6" s="20">
        <f>HLOOKUP('NTM Valuation'!C3,'Balance Sheet'!A1:CH51,ROW('Balance Sheet'!A51),FALSE)</f>
        <v>-76889</v>
      </c>
    </row>
    <row r="7" spans="1:11" x14ac:dyDescent="0.2">
      <c r="A7" s="1" t="s">
        <v>277</v>
      </c>
      <c r="B7" s="20">
        <f>B5+B6</f>
        <v>3498590</v>
      </c>
    </row>
    <row r="8" spans="1:11" ht="12.75" thickBot="1" x14ac:dyDescent="0.25">
      <c r="B8" s="77"/>
      <c r="C8" s="77"/>
      <c r="D8" s="77"/>
      <c r="E8" s="77"/>
      <c r="F8" s="77"/>
      <c r="G8" s="77"/>
      <c r="H8" s="77"/>
      <c r="I8" s="77"/>
      <c r="J8" s="77"/>
      <c r="K8" s="86"/>
    </row>
    <row r="9" spans="1:11" x14ac:dyDescent="0.2">
      <c r="A9" s="102"/>
      <c r="B9" s="103">
        <f>'Income Statement'!CU1</f>
        <v>2022</v>
      </c>
      <c r="C9" s="103">
        <f>'Income Statement'!CV1</f>
        <v>2023</v>
      </c>
      <c r="D9" s="103">
        <f>'Income Statement'!CW1</f>
        <v>2024</v>
      </c>
      <c r="E9" s="103" t="str">
        <f>'Income Statement'!CX1</f>
        <v>2025E</v>
      </c>
      <c r="F9" s="104" t="str">
        <f>'Income Statement'!CY1</f>
        <v>2026E</v>
      </c>
      <c r="G9" s="103" t="str">
        <f>'Income Statement'!CZ1</f>
        <v>2027E</v>
      </c>
      <c r="H9" s="103" t="str">
        <f>'Income Statement'!DA1</f>
        <v>2028E</v>
      </c>
      <c r="I9" s="103" t="str">
        <f>'Income Statement'!DB1</f>
        <v>2029E</v>
      </c>
      <c r="J9" s="104" t="str">
        <f>'Income Statement'!DC1</f>
        <v>2030E</v>
      </c>
      <c r="K9" s="256"/>
    </row>
    <row r="10" spans="1:11" x14ac:dyDescent="0.2">
      <c r="A10" s="57" t="s">
        <v>240</v>
      </c>
      <c r="B10" s="245">
        <f>'Income Statement'!CU85</f>
        <v>233881</v>
      </c>
      <c r="C10" s="245">
        <f>'Income Statement'!CV85</f>
        <v>256508</v>
      </c>
      <c r="D10" s="245">
        <f>'Income Statement'!CW85</f>
        <v>295118</v>
      </c>
      <c r="E10" s="245">
        <f>'Income Statement'!CX85</f>
        <v>341194.29577777779</v>
      </c>
      <c r="F10" s="248">
        <f>'Income Statement'!CY85</f>
        <v>391922.00648691249</v>
      </c>
      <c r="G10" s="245">
        <f>'Income Statement'!CZ85</f>
        <v>447312.27494443714</v>
      </c>
      <c r="H10" s="245">
        <f>'Income Statement'!DA85</f>
        <v>507590.16955785023</v>
      </c>
      <c r="I10" s="245">
        <f>'Income Statement'!DB85</f>
        <v>570959.38498623786</v>
      </c>
      <c r="J10" s="248">
        <f>'Income Statement'!DC85</f>
        <v>636580.1570901114</v>
      </c>
    </row>
    <row r="11" spans="1:11" x14ac:dyDescent="0.2">
      <c r="A11" s="55" t="s">
        <v>63</v>
      </c>
      <c r="B11" s="246">
        <f>'Income Statement'!CU87</f>
        <v>0.10284291581592964</v>
      </c>
      <c r="C11" s="246">
        <f>'Income Statement'!CV87</f>
        <v>9.6745780974085038E-2</v>
      </c>
      <c r="D11" s="246">
        <f>'Income Statement'!CW87</f>
        <v>0.15052162115801448</v>
      </c>
      <c r="E11" s="246">
        <f>'Income Statement'!CX87</f>
        <v>0.15612838179229249</v>
      </c>
      <c r="F11" s="249">
        <f>'Income Statement'!CY87</f>
        <v>0.148676901510024</v>
      </c>
      <c r="G11" s="246">
        <f>'Income Statement'!CZ87</f>
        <v>0.14132982466085209</v>
      </c>
      <c r="H11" s="246">
        <f>'Income Statement'!DA87</f>
        <v>0.1347557355113953</v>
      </c>
      <c r="I11" s="246">
        <f>'Income Statement'!DB87</f>
        <v>0.12484326771652632</v>
      </c>
      <c r="J11" s="249">
        <f>'Income Statement'!DC87</f>
        <v>0.1149307180675474</v>
      </c>
    </row>
    <row r="12" spans="1:11" x14ac:dyDescent="0.2">
      <c r="A12" s="56" t="s">
        <v>278</v>
      </c>
      <c r="B12" s="375">
        <f>$B$7/B10</f>
        <v>14.958846592925463</v>
      </c>
      <c r="C12" s="375">
        <f t="shared" ref="C12:I12" si="0">$B$7/C10</f>
        <v>13.639301698192648</v>
      </c>
      <c r="D12" s="375">
        <f t="shared" si="0"/>
        <v>11.854885164578237</v>
      </c>
      <c r="E12" s="375">
        <f t="shared" si="0"/>
        <v>10.253952200533433</v>
      </c>
      <c r="F12" s="250">
        <f t="shared" si="0"/>
        <v>8.9267505832613381</v>
      </c>
      <c r="G12" s="375">
        <f t="shared" si="0"/>
        <v>7.821359251620307</v>
      </c>
      <c r="H12" s="375">
        <f t="shared" si="0"/>
        <v>6.8925487722655046</v>
      </c>
      <c r="I12" s="375">
        <f t="shared" si="0"/>
        <v>6.1275636971696832</v>
      </c>
      <c r="J12" s="250">
        <f t="shared" ref="J12" si="1">$B$7/J10</f>
        <v>5.4959143181472987</v>
      </c>
    </row>
    <row r="13" spans="1:11" x14ac:dyDescent="0.2">
      <c r="A13" s="56" t="s">
        <v>279</v>
      </c>
      <c r="B13" s="376">
        <f>B12/(B11*100)</f>
        <v>1.4545334964733121</v>
      </c>
      <c r="C13" s="376">
        <f t="shared" ref="C13:I13" si="2">C12/(C11*100)</f>
        <v>1.4098084237746928</v>
      </c>
      <c r="D13" s="376">
        <f t="shared" si="2"/>
        <v>0.7875868644899342</v>
      </c>
      <c r="E13" s="376">
        <f t="shared" si="2"/>
        <v>0.6567641374887826</v>
      </c>
      <c r="F13" s="251">
        <f>F12/(F11*100)</f>
        <v>0.60041274014978607</v>
      </c>
      <c r="G13" s="376">
        <f t="shared" si="2"/>
        <v>0.55341179898787474</v>
      </c>
      <c r="H13" s="376">
        <f t="shared" si="2"/>
        <v>0.51148463151556567</v>
      </c>
      <c r="I13" s="376">
        <f t="shared" si="2"/>
        <v>0.49082051513447666</v>
      </c>
      <c r="J13" s="251">
        <f t="shared" ref="J13" si="3">J12/(J11*100)</f>
        <v>0.47819368142442342</v>
      </c>
    </row>
    <row r="14" spans="1:11" x14ac:dyDescent="0.2">
      <c r="A14" s="57"/>
      <c r="B14" s="86"/>
      <c r="C14" s="86"/>
      <c r="D14" s="86"/>
      <c r="E14" s="86"/>
      <c r="F14" s="377"/>
      <c r="G14" s="86"/>
      <c r="H14" s="86"/>
      <c r="I14" s="86"/>
      <c r="J14" s="377"/>
      <c r="K14" s="86"/>
    </row>
    <row r="15" spans="1:11" x14ac:dyDescent="0.2">
      <c r="A15" s="57" t="s">
        <v>181</v>
      </c>
      <c r="B15" s="245">
        <f>'Cash Flow Statement'!CU61</f>
        <v>90770</v>
      </c>
      <c r="C15" s="245">
        <f>'Cash Flow Statement'!CV61</f>
        <v>97992</v>
      </c>
      <c r="D15" s="245">
        <f>'Cash Flow Statement'!CW61</f>
        <v>127701</v>
      </c>
      <c r="E15" s="245">
        <f>'Cash Flow Statement'!CX61</f>
        <v>153229.02478320536</v>
      </c>
      <c r="F15" s="248">
        <f>'Cash Flow Statement'!CY61</f>
        <v>191078.28242865246</v>
      </c>
      <c r="G15" s="245">
        <f>'Cash Flow Statement'!CZ61</f>
        <v>227789.18982114282</v>
      </c>
      <c r="H15" s="245">
        <f>'Cash Flow Statement'!DA61</f>
        <v>268547.64147037984</v>
      </c>
      <c r="I15" s="245">
        <f>'Cash Flow Statement'!DB61</f>
        <v>312089.63225958811</v>
      </c>
      <c r="J15" s="248">
        <f>'Cash Flow Statement'!DC61</f>
        <v>357307.45982171973</v>
      </c>
    </row>
    <row r="16" spans="1:11" x14ac:dyDescent="0.2">
      <c r="A16" s="55" t="s">
        <v>182</v>
      </c>
      <c r="B16" s="246">
        <f>'Cash Flow Statement'!CU62</f>
        <v>0.38810335170449928</v>
      </c>
      <c r="C16" s="246">
        <f>'Cash Flow Statement'!CV62</f>
        <v>0.38202317276654141</v>
      </c>
      <c r="D16" s="246">
        <f>'Cash Flow Statement'!CW62</f>
        <v>0.43271166109827258</v>
      </c>
      <c r="E16" s="246">
        <f>'Cash Flow Statement'!CX62</f>
        <v>0.44909609181451404</v>
      </c>
      <c r="F16" s="249">
        <f>'Cash Flow Statement'!CY62</f>
        <v>0.48754160079304748</v>
      </c>
      <c r="G16" s="246">
        <f>'Cash Flow Statement'!CZ62</f>
        <v>0.50923974722007714</v>
      </c>
      <c r="H16" s="246">
        <f>'Cash Flow Statement'!DA62</f>
        <v>0.52906391332264247</v>
      </c>
      <c r="I16" s="246">
        <f>'Cash Flow Statement'!DB62</f>
        <v>0.5466056613941298</v>
      </c>
      <c r="J16" s="249">
        <f>'Cash Flow Statement'!DC62</f>
        <v>0.56129217325123271</v>
      </c>
    </row>
    <row r="17" spans="1:11" x14ac:dyDescent="0.2">
      <c r="A17" s="55" t="s">
        <v>63</v>
      </c>
      <c r="B17" s="246">
        <f>'Cash Flow Statement'!CU64</f>
        <v>-4.2235752290055162E-3</v>
      </c>
      <c r="C17" s="246">
        <f>'Cash Flow Statement'!CV64</f>
        <v>7.9563732510741447E-2</v>
      </c>
      <c r="D17" s="246">
        <f>'Cash Flow Statement'!CW64</f>
        <v>0.30317781043350478</v>
      </c>
      <c r="E17" s="246">
        <f>'Cash Flow Statement'!CX64</f>
        <v>0.19990465840678895</v>
      </c>
      <c r="F17" s="249">
        <f>'Cash Flow Statement'!CY64</f>
        <v>0.24701101960935778</v>
      </c>
      <c r="G17" s="246">
        <f>'Cash Flow Statement'!CZ64</f>
        <v>0.19212496012569091</v>
      </c>
      <c r="H17" s="246">
        <f>'Cash Flow Statement'!DA64</f>
        <v>0.17893057910799026</v>
      </c>
      <c r="I17" s="246">
        <f>'Cash Flow Statement'!DB64</f>
        <v>0.16213879425938238</v>
      </c>
      <c r="J17" s="249">
        <f>'Cash Flow Statement'!DC64</f>
        <v>0.14488731084959783</v>
      </c>
    </row>
    <row r="18" spans="1:11" x14ac:dyDescent="0.2">
      <c r="A18" s="56" t="s">
        <v>280</v>
      </c>
      <c r="B18" s="375">
        <f>$B$7/B15</f>
        <v>38.543461496089016</v>
      </c>
      <c r="C18" s="375">
        <f t="shared" ref="C18:I18" si="4">$B$7/C15</f>
        <v>35.702812474487715</v>
      </c>
      <c r="D18" s="375">
        <f t="shared" si="4"/>
        <v>27.396731427318503</v>
      </c>
      <c r="E18" s="375">
        <f t="shared" si="4"/>
        <v>22.832423589133633</v>
      </c>
      <c r="F18" s="250">
        <f t="shared" si="4"/>
        <v>18.309720788422691</v>
      </c>
      <c r="G18" s="375">
        <f t="shared" si="4"/>
        <v>15.358893908648819</v>
      </c>
      <c r="H18" s="375">
        <f t="shared" si="4"/>
        <v>13.027818754408559</v>
      </c>
      <c r="I18" s="375">
        <f t="shared" si="4"/>
        <v>11.210208986019641</v>
      </c>
      <c r="J18" s="250">
        <f t="shared" ref="J18" si="5">$B$7/J15</f>
        <v>9.7915392019680709</v>
      </c>
    </row>
    <row r="19" spans="1:11" x14ac:dyDescent="0.2">
      <c r="A19" s="56" t="s">
        <v>281</v>
      </c>
      <c r="B19" s="376">
        <f>B18/(B17*100)</f>
        <v>-91.257902147428936</v>
      </c>
      <c r="C19" s="376">
        <f t="shared" ref="C19:E19" si="6">C18/(C17*100)</f>
        <v>4.4873224706580581</v>
      </c>
      <c r="D19" s="376">
        <f t="shared" si="6"/>
        <v>0.90365226228610673</v>
      </c>
      <c r="E19" s="376">
        <f t="shared" si="6"/>
        <v>1.1421656589248459</v>
      </c>
      <c r="F19" s="251">
        <f>F18/(F17*100)</f>
        <v>0.74125117241243288</v>
      </c>
      <c r="G19" s="376">
        <f t="shared" ref="G19:I19" si="7">G18/(G17*100)</f>
        <v>0.79942210000204084</v>
      </c>
      <c r="H19" s="376">
        <f t="shared" si="7"/>
        <v>0.72809347733379093</v>
      </c>
      <c r="I19" s="376">
        <f t="shared" si="7"/>
        <v>0.69139585237608536</v>
      </c>
      <c r="J19" s="251">
        <f t="shared" ref="J19" si="8">J18/(J17*100)</f>
        <v>0.67580377774643818</v>
      </c>
    </row>
    <row r="20" spans="1:11" x14ac:dyDescent="0.2">
      <c r="A20" s="57"/>
      <c r="B20" s="86"/>
      <c r="C20" s="86"/>
      <c r="D20" s="86"/>
      <c r="E20" s="86"/>
      <c r="F20" s="377"/>
      <c r="G20" s="86"/>
      <c r="H20" s="86"/>
      <c r="I20" s="86"/>
      <c r="J20" s="377"/>
      <c r="K20" s="86"/>
    </row>
    <row r="21" spans="1:11" x14ac:dyDescent="0.2">
      <c r="A21" s="57" t="s">
        <v>139</v>
      </c>
      <c r="B21" s="245">
        <f>'Income Statement'!CU267</f>
        <v>59972</v>
      </c>
      <c r="C21" s="245">
        <f>'Income Statement'!CV267</f>
        <v>73795</v>
      </c>
      <c r="D21" s="245">
        <f>'Income Statement'!CW267</f>
        <v>100118</v>
      </c>
      <c r="E21" s="245">
        <f>'Income Statement'!CX267</f>
        <v>128170.63039842012</v>
      </c>
      <c r="F21" s="248">
        <f>'Income Statement'!CY267</f>
        <v>129614.8316623054</v>
      </c>
      <c r="G21" s="245">
        <f>'Income Statement'!CZ267</f>
        <v>148810.3139958437</v>
      </c>
      <c r="H21" s="245">
        <f>'Income Statement'!DA267</f>
        <v>172070.67956547072</v>
      </c>
      <c r="I21" s="245">
        <f>'Income Statement'!DB267</f>
        <v>197804.91370349511</v>
      </c>
      <c r="J21" s="248">
        <f>'Income Statement'!DC267</f>
        <v>226271.17719674367</v>
      </c>
    </row>
    <row r="22" spans="1:11" x14ac:dyDescent="0.2">
      <c r="A22" s="55" t="s">
        <v>282</v>
      </c>
      <c r="B22" s="246">
        <f>'Income Statement'!CU268</f>
        <v>0.25642100042329219</v>
      </c>
      <c r="C22" s="246">
        <f>'Income Statement'!CV268</f>
        <v>0.28769083225474451</v>
      </c>
      <c r="D22" s="246">
        <f>'Income Statement'!CW268</f>
        <v>0.33924735190669497</v>
      </c>
      <c r="E22" s="246">
        <f>'Income Statement'!CX268</f>
        <v>0.37565291092058156</v>
      </c>
      <c r="F22" s="249">
        <f>'Income Statement'!CY268</f>
        <v>0.33071588100943661</v>
      </c>
      <c r="G22" s="246">
        <f>'Income Statement'!CZ268</f>
        <v>0.33267657144961682</v>
      </c>
      <c r="H22" s="246">
        <f>'Income Statement'!DA268</f>
        <v>0.33899529558532904</v>
      </c>
      <c r="I22" s="246">
        <f>'Income Statement'!DB268</f>
        <v>0.34644305515402452</v>
      </c>
      <c r="J22" s="249">
        <f>'Income Statement'!DC268</f>
        <v>0.35544805265539203</v>
      </c>
    </row>
    <row r="23" spans="1:11" x14ac:dyDescent="0.2">
      <c r="A23" s="57" t="s">
        <v>283</v>
      </c>
      <c r="B23" s="247">
        <f>'Income Statement'!CU278</f>
        <v>4.5576606157006436</v>
      </c>
      <c r="C23" s="247">
        <f>'Income Statement'!CV278</f>
        <v>5.8009236513707378</v>
      </c>
      <c r="D23" s="247">
        <f>'Income Statement'!CW278</f>
        <v>8.0433830765831811</v>
      </c>
      <c r="E23" s="247">
        <f>'Income Statement'!CX278</f>
        <v>10.492101904599174</v>
      </c>
      <c r="F23" s="252">
        <f>'Income Statement'!CY278</f>
        <v>10.710306077086669</v>
      </c>
      <c r="G23" s="247">
        <f>'Income Statement'!CZ278</f>
        <v>12.335439812714354</v>
      </c>
      <c r="H23" s="247">
        <f>'Income Statement'!DA278</f>
        <v>14.129291000617023</v>
      </c>
      <c r="I23" s="247">
        <f>'Income Statement'!DB278</f>
        <v>16.085922034544353</v>
      </c>
      <c r="J23" s="252">
        <f>'Income Statement'!DC278</f>
        <v>18.228431401815236</v>
      </c>
    </row>
    <row r="24" spans="1:11" x14ac:dyDescent="0.2">
      <c r="A24" s="55" t="s">
        <v>63</v>
      </c>
      <c r="B24" s="246">
        <f>'Income Statement'!CU280</f>
        <v>-0.18756146392509465</v>
      </c>
      <c r="C24" s="246">
        <f>'Income Statement'!CV280</f>
        <v>0.2727853476819202</v>
      </c>
      <c r="D24" s="246">
        <f>'Income Statement'!CW280</f>
        <v>0.38656937411726799</v>
      </c>
      <c r="E24" s="246">
        <f>'Income Statement'!CX280</f>
        <v>0.30443891639887011</v>
      </c>
      <c r="F24" s="249">
        <f>'Income Statement'!CY280</f>
        <v>2.0796993249927009E-2</v>
      </c>
      <c r="G24" s="246">
        <f>'Income Statement'!CZ280</f>
        <v>0.15173550820405124</v>
      </c>
      <c r="H24" s="246">
        <f>'Income Statement'!DA280</f>
        <v>0.14542255607730459</v>
      </c>
      <c r="I24" s="246">
        <f>'Income Statement'!DB280</f>
        <v>0.13848048241358213</v>
      </c>
      <c r="J24" s="249">
        <f>'Income Statement'!DC280</f>
        <v>0.1331915797347436</v>
      </c>
    </row>
    <row r="25" spans="1:11" x14ac:dyDescent="0.2">
      <c r="A25" s="56" t="s">
        <v>284</v>
      </c>
      <c r="B25" s="375">
        <f>$B$3/B23</f>
        <v>64.287366854532124</v>
      </c>
      <c r="C25" s="375">
        <f t="shared" ref="C25:I25" si="9">$B$3/C23</f>
        <v>50.509197777627215</v>
      </c>
      <c r="D25" s="375">
        <f t="shared" si="9"/>
        <v>36.42745809944266</v>
      </c>
      <c r="E25" s="375">
        <f t="shared" si="9"/>
        <v>27.925767654960016</v>
      </c>
      <c r="F25" s="250">
        <f t="shared" si="9"/>
        <v>27.356827889992431</v>
      </c>
      <c r="G25" s="375">
        <f t="shared" si="9"/>
        <v>23.752699899520387</v>
      </c>
      <c r="H25" s="375">
        <f t="shared" si="9"/>
        <v>20.737063168081452</v>
      </c>
      <c r="I25" s="375">
        <f t="shared" si="9"/>
        <v>18.214684826321147</v>
      </c>
      <c r="J25" s="250">
        <f t="shared" ref="J25" si="10">$B$3/J23</f>
        <v>16.07379118593947</v>
      </c>
    </row>
    <row r="26" spans="1:11" x14ac:dyDescent="0.2">
      <c r="A26" s="56" t="s">
        <v>285</v>
      </c>
      <c r="B26" s="376">
        <f>B25/(B24*100)</f>
        <v>-3.4275359932254639</v>
      </c>
      <c r="C26" s="376">
        <f t="shared" ref="C26:E26" si="11">C25/(C24*100)</f>
        <v>1.8516096339794312</v>
      </c>
      <c r="D26" s="376">
        <f t="shared" si="11"/>
        <v>0.94232654054980014</v>
      </c>
      <c r="E26" s="376">
        <f t="shared" si="11"/>
        <v>0.9172863964070942</v>
      </c>
      <c r="F26" s="251">
        <f>F25/(F24*100)</f>
        <v>13.154222613448434</v>
      </c>
      <c r="G26" s="376">
        <f t="shared" ref="G26:I26" si="12">G25/(G24*100)</f>
        <v>1.5654015451398611</v>
      </c>
      <c r="H26" s="376">
        <f t="shared" si="12"/>
        <v>1.4259867057389584</v>
      </c>
      <c r="I26" s="376">
        <f t="shared" si="12"/>
        <v>1.3153250558386742</v>
      </c>
      <c r="J26" s="251">
        <f t="shared" ref="J26" si="13">J25/(J24*100)</f>
        <v>1.2068173692324298</v>
      </c>
    </row>
    <row r="27" spans="1:11" x14ac:dyDescent="0.2">
      <c r="A27" s="57"/>
      <c r="B27" s="86"/>
      <c r="C27" s="86"/>
      <c r="D27" s="86"/>
      <c r="E27" s="86"/>
      <c r="F27" s="377"/>
      <c r="G27" s="86"/>
      <c r="H27" s="86"/>
      <c r="I27" s="86"/>
      <c r="J27" s="377"/>
      <c r="K27" s="86"/>
    </row>
    <row r="28" spans="1:11" x14ac:dyDescent="0.2">
      <c r="A28" s="57" t="s">
        <v>185</v>
      </c>
      <c r="B28" s="245">
        <f>'Cash Flow Statement'!CU83</f>
        <v>40648</v>
      </c>
      <c r="C28" s="245">
        <f>'Cash Flow Statement'!CV83</f>
        <v>47035</v>
      </c>
      <c r="D28" s="245">
        <f>'Cash Flow Statement'!CW83</f>
        <v>49979</v>
      </c>
      <c r="E28" s="245">
        <f>'Cash Flow Statement'!CX83</f>
        <v>23983.58834669202</v>
      </c>
      <c r="F28" s="248">
        <f>'Cash Flow Statement'!CY83</f>
        <v>46186.396615053498</v>
      </c>
      <c r="G28" s="245">
        <f>'Cash Flow Statement'!CZ83</f>
        <v>57831.853874054854</v>
      </c>
      <c r="H28" s="245">
        <f>'Cash Flow Statement'!DA83</f>
        <v>83581.435910070606</v>
      </c>
      <c r="I28" s="245">
        <f>'Cash Flow Statement'!DB83</f>
        <v>113940.19417080854</v>
      </c>
      <c r="J28" s="248">
        <f>'Cash Flow Statement'!DC83</f>
        <v>150768.65981191301</v>
      </c>
    </row>
    <row r="29" spans="1:11" x14ac:dyDescent="0.2">
      <c r="A29" s="55" t="s">
        <v>286</v>
      </c>
      <c r="B29" s="246">
        <f>'Cash Flow Statement'!CU84</f>
        <v>0.17379778605359136</v>
      </c>
      <c r="C29" s="246">
        <f>'Cash Flow Statement'!CV84</f>
        <v>0.18336660065183152</v>
      </c>
      <c r="D29" s="246">
        <f>'Cash Flow Statement'!CW84</f>
        <v>0.16935259794387331</v>
      </c>
      <c r="E29" s="246">
        <f>'Cash Flow Statement'!CX84</f>
        <v>7.0293051916415092E-2</v>
      </c>
      <c r="F29" s="249">
        <f>'Cash Flow Statement'!CY84</f>
        <v>0.11784588732094024</v>
      </c>
      <c r="G29" s="246">
        <f>'Cash Flow Statement'!CZ84</f>
        <v>0.12928742874592125</v>
      </c>
      <c r="H29" s="246">
        <f>'Cash Flow Statement'!DA84</f>
        <v>0.16466322817653545</v>
      </c>
      <c r="I29" s="246">
        <f>'Cash Flow Statement'!DB84</f>
        <v>0.19955919311765916</v>
      </c>
      <c r="J29" s="249">
        <f>'Cash Flow Statement'!DC84</f>
        <v>0.23684159509635938</v>
      </c>
    </row>
    <row r="30" spans="1:11" x14ac:dyDescent="0.2">
      <c r="A30" s="55" t="s">
        <v>63</v>
      </c>
      <c r="B30" s="246">
        <f>'Cash Flow Statement'!CU86</f>
        <v>-0.2127972732202339</v>
      </c>
      <c r="C30" s="246">
        <f>'Cash Flow Statement'!CV86</f>
        <v>0.15712950206652243</v>
      </c>
      <c r="D30" s="246">
        <f>'Cash Flow Statement'!CW86</f>
        <v>6.2591687041564814E-2</v>
      </c>
      <c r="E30" s="246">
        <f>'Cash Flow Statement'!CX86</f>
        <v>-0.52012668627439484</v>
      </c>
      <c r="F30" s="249">
        <f>'Cash Flow Statement'!CY86</f>
        <v>0.92575005655581299</v>
      </c>
      <c r="G30" s="246">
        <f>'Cash Flow Statement'!CZ86</f>
        <v>0.25214041606367199</v>
      </c>
      <c r="H30" s="246">
        <f>'Cash Flow Statement'!DA86</f>
        <v>0.44524911983787896</v>
      </c>
      <c r="I30" s="246">
        <f>'Cash Flow Statement'!DB86</f>
        <v>0.36322369830308276</v>
      </c>
      <c r="J30" s="249">
        <f>'Cash Flow Statement'!DC86</f>
        <v>0.32322628471121151</v>
      </c>
    </row>
    <row r="31" spans="1:11" x14ac:dyDescent="0.2">
      <c r="A31" s="56" t="s">
        <v>287</v>
      </c>
      <c r="B31" s="375">
        <f>$B$7/B28</f>
        <v>86.070409368234593</v>
      </c>
      <c r="C31" s="375">
        <f t="shared" ref="C31:I31" si="14">$B$7/C28</f>
        <v>74.382693738705214</v>
      </c>
      <c r="D31" s="375">
        <f t="shared" si="14"/>
        <v>70.001200504211766</v>
      </c>
      <c r="E31" s="375">
        <f t="shared" si="14"/>
        <v>145.87433495882817</v>
      </c>
      <c r="F31" s="250">
        <f t="shared" si="14"/>
        <v>75.749360340003378</v>
      </c>
      <c r="G31" s="375">
        <f t="shared" si="14"/>
        <v>60.49589915652998</v>
      </c>
      <c r="H31" s="375">
        <f t="shared" si="14"/>
        <v>41.858457705420442</v>
      </c>
      <c r="I31" s="375">
        <f t="shared" si="14"/>
        <v>30.705494452249567</v>
      </c>
      <c r="J31" s="250">
        <f t="shared" ref="J31" si="15">$B$7/J28</f>
        <v>23.2050215499996</v>
      </c>
    </row>
    <row r="32" spans="1:11" x14ac:dyDescent="0.2">
      <c r="A32" s="56" t="s">
        <v>288</v>
      </c>
      <c r="B32" s="376">
        <f>B31/(B30*100)</f>
        <v>-4.044713922586606</v>
      </c>
      <c r="C32" s="376">
        <f t="shared" ref="C32:E32" si="16">C31/(C30*100)</f>
        <v>4.7338464617048501</v>
      </c>
      <c r="D32" s="376">
        <f t="shared" si="16"/>
        <v>11.183785549305703</v>
      </c>
      <c r="E32" s="376">
        <f t="shared" si="16"/>
        <v>-2.8045923965891575</v>
      </c>
      <c r="F32" s="251">
        <f>F31/(F30*100)</f>
        <v>0.81824850890988299</v>
      </c>
      <c r="G32" s="376">
        <f t="shared" ref="G32:I32" si="17">G31/(G30*100)</f>
        <v>2.3992940164441228</v>
      </c>
      <c r="H32" s="376">
        <f t="shared" si="17"/>
        <v>0.94011320495505202</v>
      </c>
      <c r="I32" s="376">
        <f t="shared" si="17"/>
        <v>0.84536043754028822</v>
      </c>
      <c r="J32" s="251">
        <f t="shared" ref="J32" si="18">J31/(J30*100)</f>
        <v>0.71791876612795491</v>
      </c>
    </row>
    <row r="33" spans="1:11" x14ac:dyDescent="0.2">
      <c r="A33" s="57"/>
      <c r="B33" s="86"/>
      <c r="C33" s="86"/>
      <c r="D33" s="86"/>
      <c r="E33" s="86"/>
      <c r="F33" s="377"/>
      <c r="G33" s="86"/>
      <c r="H33" s="86"/>
      <c r="I33" s="86"/>
      <c r="J33" s="377"/>
      <c r="K33" s="86"/>
    </row>
    <row r="34" spans="1:11" x14ac:dyDescent="0.2">
      <c r="A34" s="57" t="s">
        <v>289</v>
      </c>
      <c r="B34" s="245">
        <f>'Cash Flow Statement'!CU76</f>
        <v>60010</v>
      </c>
      <c r="C34" s="245">
        <f>'Cash Flow Statement'!CV76</f>
        <v>69495</v>
      </c>
      <c r="D34" s="245">
        <f>'Cash Flow Statement'!CW76</f>
        <v>72764</v>
      </c>
      <c r="E34" s="245">
        <f>'Cash Flow Statement'!CX76</f>
        <v>48256.58834669202</v>
      </c>
      <c r="F34" s="248">
        <f>'Cash Flow Statement'!CY76</f>
        <v>72643.966615053505</v>
      </c>
      <c r="G34" s="245">
        <f>'Cash Flow Statement'!CZ76</f>
        <v>86406.029474054871</v>
      </c>
      <c r="H34" s="245">
        <f>'Cash Flow Statement'!DA76</f>
        <v>113999.93075007062</v>
      </c>
      <c r="I34" s="245">
        <f>'Cash Flow Statement'!DB76</f>
        <v>145949.74285296857</v>
      </c>
      <c r="J34" s="248">
        <f>'Cash Flow Statement'!DC76</f>
        <v>184378.68592818105</v>
      </c>
    </row>
    <row r="35" spans="1:11" x14ac:dyDescent="0.2">
      <c r="A35" s="55" t="s">
        <v>290</v>
      </c>
      <c r="B35" s="246">
        <f>'Cash Flow Statement'!CU77</f>
        <v>0.2565834762122618</v>
      </c>
      <c r="C35" s="246">
        <f>'Cash Flow Statement'!CV77</f>
        <v>0.27092722254276669</v>
      </c>
      <c r="D35" s="246">
        <f>'Cash Flow Statement'!CW77</f>
        <v>0.24655900351723717</v>
      </c>
      <c r="E35" s="246">
        <f>'Cash Flow Statement'!CX77</f>
        <v>0.14143433505149181</v>
      </c>
      <c r="F35" s="249">
        <f>'Cash Flow Statement'!CY77</f>
        <v>0.185353119785784</v>
      </c>
      <c r="G35" s="246">
        <f>'Cash Flow Statement'!CZ77</f>
        <v>0.19316713247984932</v>
      </c>
      <c r="H35" s="246">
        <f>'Cash Flow Statement'!DA77</f>
        <v>0.22459050152482909</v>
      </c>
      <c r="I35" s="246">
        <f>'Cash Flow Statement'!DB77</f>
        <v>0.25562193509873993</v>
      </c>
      <c r="J35" s="249">
        <f>'Cash Flow Statement'!DC77</f>
        <v>0.28963938613952311</v>
      </c>
    </row>
    <row r="36" spans="1:11" x14ac:dyDescent="0.2">
      <c r="A36" s="55" t="s">
        <v>63</v>
      </c>
      <c r="B36" s="246">
        <f>'Cash Flow Statement'!CU79</f>
        <v>-0.10448874828388943</v>
      </c>
      <c r="C36" s="246">
        <f>'Cash Flow Statement'!CV79</f>
        <v>0.15805699050158317</v>
      </c>
      <c r="D36" s="246">
        <f>'Cash Flow Statement'!CW79</f>
        <v>4.7039355349305811E-2</v>
      </c>
      <c r="E36" s="246">
        <f>'Cash Flow Statement'!CX79</f>
        <v>-0.33680682278747709</v>
      </c>
      <c r="F36" s="249">
        <f>'Cash Flow Statement'!CY79</f>
        <v>0.50536888544946712</v>
      </c>
      <c r="G36" s="246">
        <f>'Cash Flow Statement'!CZ79</f>
        <v>0.18944536621916175</v>
      </c>
      <c r="H36" s="246">
        <f>'Cash Flow Statement'!DA79</f>
        <v>0.31935157122688262</v>
      </c>
      <c r="I36" s="246">
        <f>'Cash Flow Statement'!DB79</f>
        <v>0.28026167992104822</v>
      </c>
      <c r="J36" s="249">
        <f>'Cash Flow Statement'!DC79</f>
        <v>0.26330257473578578</v>
      </c>
    </row>
    <row r="37" spans="1:11" x14ac:dyDescent="0.2">
      <c r="A37" s="56" t="s">
        <v>291</v>
      </c>
      <c r="B37" s="375">
        <f>$B$7/B34</f>
        <v>58.300116647225465</v>
      </c>
      <c r="C37" s="375">
        <f t="shared" ref="C37:I37" si="19">$B$7/C34</f>
        <v>50.343046262321032</v>
      </c>
      <c r="D37" s="375">
        <f t="shared" si="19"/>
        <v>48.081331427629046</v>
      </c>
      <c r="E37" s="375">
        <f>$B$7/E34</f>
        <v>72.499737753214532</v>
      </c>
      <c r="F37" s="250">
        <f t="shared" si="19"/>
        <v>48.160778699479927</v>
      </c>
      <c r="G37" s="375">
        <f t="shared" si="19"/>
        <v>40.490114188738659</v>
      </c>
      <c r="H37" s="375">
        <f t="shared" si="19"/>
        <v>30.68940460736054</v>
      </c>
      <c r="I37" s="375">
        <f t="shared" si="19"/>
        <v>23.971196739445574</v>
      </c>
      <c r="J37" s="250">
        <f t="shared" ref="J37" si="20">$B$7/J34</f>
        <v>18.975024051113838</v>
      </c>
    </row>
    <row r="38" spans="1:11" x14ac:dyDescent="0.2">
      <c r="A38" s="56" t="s">
        <v>292</v>
      </c>
      <c r="B38" s="376">
        <f>B37/(B36*100)</f>
        <v>-5.5795592927218989</v>
      </c>
      <c r="C38" s="376">
        <f t="shared" ref="C38:E38" si="21">C37/(C36*100)</f>
        <v>3.1851198800230711</v>
      </c>
      <c r="D38" s="376">
        <f t="shared" si="21"/>
        <v>10.221511555714509</v>
      </c>
      <c r="E38" s="376">
        <f t="shared" si="21"/>
        <v>-2.1525614342724104</v>
      </c>
      <c r="F38" s="251">
        <f>F37/(F36*100)</f>
        <v>0.95298266446788649</v>
      </c>
      <c r="G38" s="376">
        <f t="shared" ref="G38:I38" si="22">G37/(G36*100)</f>
        <v>2.1372976809523685</v>
      </c>
      <c r="H38" s="376">
        <f t="shared" si="22"/>
        <v>0.96099118878476786</v>
      </c>
      <c r="I38" s="376">
        <f t="shared" si="22"/>
        <v>0.85531481671694953</v>
      </c>
      <c r="J38" s="251">
        <f t="shared" ref="J38" si="23">J37/(J36*100)</f>
        <v>0.72065470951640187</v>
      </c>
    </row>
    <row r="39" spans="1:11" x14ac:dyDescent="0.2">
      <c r="A39" s="57"/>
      <c r="B39" s="86"/>
      <c r="C39" s="86"/>
      <c r="D39" s="86"/>
      <c r="E39" s="86"/>
      <c r="F39" s="377"/>
      <c r="G39" s="86"/>
      <c r="H39" s="86"/>
      <c r="I39" s="86"/>
      <c r="J39" s="377"/>
      <c r="K39" s="86"/>
    </row>
    <row r="40" spans="1:11" x14ac:dyDescent="0.2">
      <c r="A40" s="57" t="s">
        <v>184</v>
      </c>
      <c r="B40" s="245">
        <f>-'Income Statement'!CU228</f>
        <v>19362</v>
      </c>
      <c r="C40" s="245">
        <f>-'Income Statement'!CV228</f>
        <v>22460</v>
      </c>
      <c r="D40" s="245">
        <f>-'Income Statement'!CW228</f>
        <v>22785</v>
      </c>
      <c r="E40" s="245">
        <f>-'Income Statement'!CX228</f>
        <v>24273</v>
      </c>
      <c r="F40" s="248">
        <f>-'Income Statement'!CY228</f>
        <v>26457.570000000007</v>
      </c>
      <c r="G40" s="245">
        <f>-'Income Statement'!CZ228</f>
        <v>28574.175600000006</v>
      </c>
      <c r="H40" s="245">
        <f>-'Income Statement'!DA228</f>
        <v>30418.494840000007</v>
      </c>
      <c r="I40" s="245">
        <f>-'Income Statement'!DB228</f>
        <v>32009.54868216001</v>
      </c>
      <c r="J40" s="248">
        <f>-'Income Statement'!DC228</f>
        <v>33610.026116268011</v>
      </c>
    </row>
    <row r="41" spans="1:11" ht="12.75" thickBot="1" x14ac:dyDescent="0.25">
      <c r="A41" s="105" t="s">
        <v>63</v>
      </c>
      <c r="B41" s="253">
        <f>'Income Statement'!CU231</f>
        <v>0.25923517169614985</v>
      </c>
      <c r="C41" s="253">
        <f>'Income Statement'!CV231</f>
        <v>0.16000413180456574</v>
      </c>
      <c r="D41" s="253">
        <f>'Income Statement'!CW231</f>
        <v>1.4470169189670479E-2</v>
      </c>
      <c r="E41" s="253">
        <f>'Income Statement'!CX231</f>
        <v>6.5306122448979487E-2</v>
      </c>
      <c r="F41" s="254">
        <f>'Income Statement'!CY231</f>
        <v>9.0000000000000302E-2</v>
      </c>
      <c r="G41" s="253">
        <f>'Income Statement'!CZ231</f>
        <v>7.9999999999999849E-2</v>
      </c>
      <c r="H41" s="253">
        <f>'Income Statement'!DA231</f>
        <v>6.4544967659539321E-2</v>
      </c>
      <c r="I41" s="253">
        <f>'Income Statement'!DB231</f>
        <v>5.2305475682767222E-2</v>
      </c>
      <c r="J41" s="254">
        <f>'Income Statement'!DC231</f>
        <v>5.0000000000000044E-2</v>
      </c>
    </row>
    <row r="42" spans="1:11" x14ac:dyDescent="0.2">
      <c r="E42" s="247"/>
      <c r="F42" s="247"/>
      <c r="G42" s="247"/>
      <c r="H42" s="86"/>
      <c r="I42" s="86"/>
      <c r="J42" s="86"/>
    </row>
    <row r="43" spans="1:11" ht="12.75" thickBot="1" x14ac:dyDescent="0.25">
      <c r="A43" s="77"/>
      <c r="B43" s="77"/>
      <c r="C43" s="77"/>
      <c r="D43" s="77"/>
      <c r="E43" s="77"/>
      <c r="F43" s="77"/>
      <c r="G43" s="77"/>
    </row>
    <row r="44" spans="1:11" x14ac:dyDescent="0.2">
      <c r="A44" s="330" t="s">
        <v>293</v>
      </c>
      <c r="B44" s="331"/>
      <c r="C44" s="331"/>
      <c r="D44" s="332"/>
    </row>
    <row r="45" spans="1:11" x14ac:dyDescent="0.2">
      <c r="A45" s="289"/>
      <c r="B45" s="160" t="s">
        <v>294</v>
      </c>
      <c r="C45" s="160" t="s">
        <v>295</v>
      </c>
      <c r="D45" s="333" t="s">
        <v>296</v>
      </c>
    </row>
    <row r="46" spans="1:11" x14ac:dyDescent="0.2">
      <c r="A46" s="290" t="s">
        <v>297</v>
      </c>
      <c r="B46" s="334">
        <f ca="1">MROUND((B75-B77+B78)/B79,5)</f>
        <v>210</v>
      </c>
      <c r="C46" s="334">
        <f ca="1">MROUND((C75-C77+C78)/C79,5)</f>
        <v>330</v>
      </c>
      <c r="D46" s="335">
        <f ca="1">MROUND((D75-D77+D78)/D79,5)</f>
        <v>435</v>
      </c>
      <c r="F46" s="20"/>
      <c r="G46" s="322"/>
    </row>
    <row r="47" spans="1:11" x14ac:dyDescent="0.2">
      <c r="A47" s="336" t="s">
        <v>298</v>
      </c>
      <c r="B47" s="337">
        <f ca="1">B46/$B$3-1</f>
        <v>-0.28327645051194539</v>
      </c>
      <c r="C47" s="337">
        <f ca="1">C46/$B$3-1</f>
        <v>0.12627986348122877</v>
      </c>
      <c r="D47" s="338">
        <f ca="1">D46/$B$3-1</f>
        <v>0.48464163822525608</v>
      </c>
      <c r="F47" s="62"/>
    </row>
    <row r="48" spans="1:11" hidden="1" outlineLevel="1" x14ac:dyDescent="0.2">
      <c r="A48" s="290" t="s">
        <v>421</v>
      </c>
      <c r="B48" s="291">
        <f ca="1">$C48*(1+B49)</f>
        <v>348849.39212123171</v>
      </c>
      <c r="C48" s="291">
        <f ca="1">SUM('NTM Valuation'!$J$14:$M$14)</f>
        <v>379184.121870904</v>
      </c>
      <c r="D48" s="292">
        <f ca="1">$C48*(1+D49)</f>
        <v>409518.85162057634</v>
      </c>
    </row>
    <row r="49" spans="1:4" hidden="1" outlineLevel="1" x14ac:dyDescent="0.2">
      <c r="A49" s="293" t="s">
        <v>299</v>
      </c>
      <c r="B49" s="294">
        <v>-0.08</v>
      </c>
      <c r="C49" s="295" t="s">
        <v>337</v>
      </c>
      <c r="D49" s="296">
        <v>0.08</v>
      </c>
    </row>
    <row r="50" spans="1:4" hidden="1" outlineLevel="1" x14ac:dyDescent="0.2">
      <c r="A50" s="290" t="s">
        <v>422</v>
      </c>
      <c r="B50" s="291">
        <f ca="1">$C50*(1+B51)</f>
        <v>389103.53833355353</v>
      </c>
      <c r="C50" s="291">
        <f ca="1">SUM('NTM Valuation'!$O$14:$R$14)</f>
        <v>432337.26481505949</v>
      </c>
      <c r="D50" s="292">
        <f ca="1">$C50*(1+D51)</f>
        <v>475570.99129656545</v>
      </c>
    </row>
    <row r="51" spans="1:4" hidden="1" outlineLevel="1" x14ac:dyDescent="0.2">
      <c r="A51" s="293" t="s">
        <v>299</v>
      </c>
      <c r="B51" s="294">
        <v>-0.1</v>
      </c>
      <c r="C51" s="295" t="s">
        <v>337</v>
      </c>
      <c r="D51" s="296">
        <v>0.1</v>
      </c>
    </row>
    <row r="52" spans="1:4" hidden="1" outlineLevel="1" x14ac:dyDescent="0.2">
      <c r="A52" s="297" t="s">
        <v>423</v>
      </c>
      <c r="B52" s="298">
        <f ca="1">B75/B50</f>
        <v>6.289910184716633</v>
      </c>
      <c r="C52" s="298">
        <f ca="1">C75/C50</f>
        <v>9.0688000241878157</v>
      </c>
      <c r="D52" s="299">
        <f ca="1">D75/D50</f>
        <v>10.908190461928783</v>
      </c>
    </row>
    <row r="53" spans="1:4" hidden="1" outlineLevel="1" x14ac:dyDescent="0.2">
      <c r="A53" s="297" t="s">
        <v>424</v>
      </c>
      <c r="B53" s="300">
        <f ca="1">(B50/SUM('NTM Valuation'!$D$14:$F$14,'NTM Valuation'!$H$14))^0.5-1</f>
        <v>9.0334081466461713E-2</v>
      </c>
      <c r="C53" s="300">
        <f ca="1">(C50/SUM('NTM Valuation'!$D$14:$F$14,'NTM Valuation'!$H$14))^0.5-1</f>
        <v>0.14931303598053391</v>
      </c>
      <c r="D53" s="301">
        <f ca="1">(D50/SUM('NTM Valuation'!$D$14:$F$14,'NTM Valuation'!$H$14))^0.5-1</f>
        <v>0.20540968145368388</v>
      </c>
    </row>
    <row r="54" spans="1:4" hidden="1" outlineLevel="1" x14ac:dyDescent="0.2">
      <c r="A54" s="302" t="s">
        <v>340</v>
      </c>
      <c r="B54" s="303">
        <f ca="1">B52/(B53*100)</f>
        <v>0.69629425379743137</v>
      </c>
      <c r="C54" s="303">
        <f ca="1">C52/(C53*100)</f>
        <v>0.60736826926284748</v>
      </c>
      <c r="D54" s="304">
        <f ca="1">D52/(D53*100)</f>
        <v>0.53104558581326555</v>
      </c>
    </row>
    <row r="55" spans="1:4" collapsed="1" x14ac:dyDescent="0.2">
      <c r="A55" s="290" t="s">
        <v>425</v>
      </c>
      <c r="B55" s="291">
        <f ca="1">B48*B56</f>
        <v>160470.7203757666</v>
      </c>
      <c r="C55" s="291">
        <f ca="1">SUM('NTM Valuation'!$J$25:$M$25)</f>
        <v>183787.66311801205</v>
      </c>
      <c r="D55" s="292">
        <f ca="1">D48*D56</f>
        <v>200664.23729408241</v>
      </c>
    </row>
    <row r="56" spans="1:4" x14ac:dyDescent="0.2">
      <c r="A56" s="293" t="s">
        <v>301</v>
      </c>
      <c r="B56" s="305">
        <v>0.46</v>
      </c>
      <c r="C56" s="300">
        <f ca="1">C55/C48</f>
        <v>0.48469240275990222</v>
      </c>
      <c r="D56" s="306">
        <v>0.49</v>
      </c>
    </row>
    <row r="57" spans="1:4" x14ac:dyDescent="0.2">
      <c r="A57" s="290" t="s">
        <v>426</v>
      </c>
      <c r="B57" s="291">
        <f ca="1">B50*B58</f>
        <v>190660.73378344122</v>
      </c>
      <c r="C57" s="291">
        <f ca="1">SUM('NTM Valuation'!$O$25:$R$25)</f>
        <v>217611.19271177542</v>
      </c>
      <c r="D57" s="292">
        <f ca="1">D50*D58</f>
        <v>242541.20556124838</v>
      </c>
    </row>
    <row r="58" spans="1:4" x14ac:dyDescent="0.2">
      <c r="A58" s="293" t="s">
        <v>301</v>
      </c>
      <c r="B58" s="305">
        <v>0.49</v>
      </c>
      <c r="C58" s="300">
        <f ca="1">C57/C50</f>
        <v>0.5033366550183056</v>
      </c>
      <c r="D58" s="306">
        <v>0.51</v>
      </c>
    </row>
    <row r="59" spans="1:4" x14ac:dyDescent="0.2">
      <c r="A59" s="297" t="s">
        <v>427</v>
      </c>
      <c r="B59" s="307">
        <v>15</v>
      </c>
      <c r="C59" s="307">
        <v>22</v>
      </c>
      <c r="D59" s="308">
        <v>26</v>
      </c>
    </row>
    <row r="60" spans="1:4" x14ac:dyDescent="0.2">
      <c r="A60" s="297" t="s">
        <v>428</v>
      </c>
      <c r="B60" s="300">
        <f ca="1">(B57/SUM('NTM Valuation'!$D$25:$F$25,'NTM Valuation'!$H$25))^0.5-1</f>
        <v>0.15315947309090139</v>
      </c>
      <c r="C60" s="300">
        <f ca="1">(C57/SUM('NTM Valuation'!$D$25:$F$25,'NTM Valuation'!$H$25))^0.5-1</f>
        <v>0.23196779664945133</v>
      </c>
      <c r="D60" s="301">
        <f ca="1">(D57/SUM('NTM Valuation'!$D$25:$F$25,'NTM Valuation'!$H$25))^0.5-1</f>
        <v>0.3006232311973025</v>
      </c>
    </row>
    <row r="61" spans="1:4" x14ac:dyDescent="0.2">
      <c r="A61" s="297" t="s">
        <v>429</v>
      </c>
      <c r="B61" s="309">
        <f ca="1">B59/(B60*100)</f>
        <v>0.97937135048103618</v>
      </c>
      <c r="C61" s="309">
        <f ca="1">C59/(C60*100)</f>
        <v>0.94840750818728081</v>
      </c>
      <c r="D61" s="310">
        <f ca="1">D59/(D60*100)</f>
        <v>0.86486995354447171</v>
      </c>
    </row>
    <row r="62" spans="1:4" x14ac:dyDescent="0.2">
      <c r="A62" s="302" t="s">
        <v>300</v>
      </c>
      <c r="B62" s="311">
        <f ca="1">B57*B59</f>
        <v>2859911.0067516183</v>
      </c>
      <c r="C62" s="311">
        <f ca="1">C57*C59</f>
        <v>4787446.2396590598</v>
      </c>
      <c r="D62" s="312">
        <f ca="1">D57*D59</f>
        <v>6306071.3445924576</v>
      </c>
    </row>
    <row r="63" spans="1:4" x14ac:dyDescent="0.2">
      <c r="A63" s="290" t="s">
        <v>430</v>
      </c>
      <c r="B63" s="291">
        <f ca="1">B64*SUM('NTM Valuation'!$AD$14:$AG$14)</f>
        <v>123795.67288056971</v>
      </c>
      <c r="C63" s="291">
        <f ca="1">SUM('NTM Valuation'!$AD$44:$AG$44)</f>
        <v>143027.01641166126</v>
      </c>
      <c r="D63" s="292">
        <f ca="1">D64*SUM('NTM Valuation'!$AD$14:$AG$14)</f>
        <v>154744.59110071213</v>
      </c>
    </row>
    <row r="64" spans="1:4" x14ac:dyDescent="0.2">
      <c r="A64" s="293" t="s">
        <v>302</v>
      </c>
      <c r="B64" s="305">
        <v>0.2</v>
      </c>
      <c r="C64" s="300">
        <f ca="1">C63/SUM('NTM Valuation'!$AD$14:$AG$14)</f>
        <v>0.2310694923071257</v>
      </c>
      <c r="D64" s="306">
        <v>0.25</v>
      </c>
    </row>
    <row r="65" spans="1:4" x14ac:dyDescent="0.2">
      <c r="A65" s="297" t="s">
        <v>431</v>
      </c>
      <c r="B65" s="307">
        <v>25</v>
      </c>
      <c r="C65" s="307">
        <v>30</v>
      </c>
      <c r="D65" s="308">
        <v>35</v>
      </c>
    </row>
    <row r="66" spans="1:4" x14ac:dyDescent="0.2">
      <c r="A66" s="297" t="s">
        <v>432</v>
      </c>
      <c r="B66" s="300">
        <f ca="1">(B63/SUM('NTM Valuation'!$O$44:$R$44))^(1/3)-1</f>
        <v>0.30756948395364558</v>
      </c>
      <c r="C66" s="300">
        <f ca="1">(C63/SUM('NTM Valuation'!$O$44:$R$44))^(1/3)-1</f>
        <v>0.37204697706177137</v>
      </c>
      <c r="D66" s="301">
        <f ca="1">(D63/SUM('NTM Valuation'!$O$44:$R$44))^(1/3)-1</f>
        <v>0.40853652792841144</v>
      </c>
    </row>
    <row r="67" spans="1:4" x14ac:dyDescent="0.2">
      <c r="A67" s="289" t="s">
        <v>347</v>
      </c>
      <c r="B67" s="309">
        <f ca="1">B65/(B66*100)</f>
        <v>0.81282446095230299</v>
      </c>
      <c r="C67" s="309">
        <f ca="1">C65/(C66*100)</f>
        <v>0.80634978509767785</v>
      </c>
      <c r="D67" s="310">
        <f ca="1">D65/(D66*100)</f>
        <v>0.85671653835891781</v>
      </c>
    </row>
    <row r="68" spans="1:4" x14ac:dyDescent="0.2">
      <c r="A68" s="289" t="s">
        <v>338</v>
      </c>
      <c r="B68" s="305">
        <v>0.15</v>
      </c>
      <c r="C68" s="305">
        <v>0.12</v>
      </c>
      <c r="D68" s="306">
        <v>0.1</v>
      </c>
    </row>
    <row r="69" spans="1:4" x14ac:dyDescent="0.2">
      <c r="A69" s="289" t="s">
        <v>339</v>
      </c>
      <c r="B69" s="313">
        <v>3</v>
      </c>
      <c r="C69" s="313">
        <v>3</v>
      </c>
      <c r="D69" s="314">
        <v>3</v>
      </c>
    </row>
    <row r="70" spans="1:4" x14ac:dyDescent="0.2">
      <c r="A70" s="297" t="s">
        <v>433</v>
      </c>
      <c r="B70" s="291">
        <f ca="1">B63*B65</f>
        <v>3094891.8220142424</v>
      </c>
      <c r="C70" s="291">
        <f ca="1">C63*C65</f>
        <v>4290810.4923498379</v>
      </c>
      <c r="D70" s="292">
        <f ca="1">D63*D65</f>
        <v>5416060.6885249242</v>
      </c>
    </row>
    <row r="71" spans="1:4" x14ac:dyDescent="0.2">
      <c r="A71" s="315" t="s">
        <v>434</v>
      </c>
      <c r="B71" s="311">
        <f ca="1">B70/(1+B68)^B69</f>
        <v>2034941.6105953767</v>
      </c>
      <c r="C71" s="311">
        <f ca="1">C70/(1+C68)^C69</f>
        <v>3054114.155565151</v>
      </c>
      <c r="D71" s="312">
        <f t="shared" ref="D71" ca="1" si="24">D70/(1+D68)^D69</f>
        <v>4069166.5578699643</v>
      </c>
    </row>
    <row r="72" spans="1:4" x14ac:dyDescent="0.2">
      <c r="A72" s="290" t="s">
        <v>303</v>
      </c>
      <c r="B72" s="316"/>
      <c r="C72" s="316"/>
      <c r="D72" s="317"/>
    </row>
    <row r="73" spans="1:4" x14ac:dyDescent="0.2">
      <c r="A73" s="318" t="s">
        <v>304</v>
      </c>
      <c r="B73" s="319">
        <f t="shared" ref="B73:D74" si="25">$C73</f>
        <v>0.5</v>
      </c>
      <c r="C73" s="320">
        <v>0.5</v>
      </c>
      <c r="D73" s="321">
        <f t="shared" si="25"/>
        <v>0.5</v>
      </c>
    </row>
    <row r="74" spans="1:4" x14ac:dyDescent="0.2">
      <c r="A74" s="318" t="s">
        <v>305</v>
      </c>
      <c r="B74" s="319">
        <f t="shared" si="25"/>
        <v>0.5</v>
      </c>
      <c r="C74" s="320">
        <v>0.5</v>
      </c>
      <c r="D74" s="321">
        <f t="shared" si="25"/>
        <v>0.5</v>
      </c>
    </row>
    <row r="75" spans="1:4" x14ac:dyDescent="0.2">
      <c r="A75" s="289" t="s">
        <v>300</v>
      </c>
      <c r="B75" s="291">
        <f ca="1">(B62*B73)+(B71*B74)</f>
        <v>2447426.3086734973</v>
      </c>
      <c r="C75" s="291">
        <f ca="1">(C62*C73)+(C71*C74)</f>
        <v>3920780.1976121054</v>
      </c>
      <c r="D75" s="292">
        <f ca="1">(D62*D73)+(D71*D74)</f>
        <v>5187618.9512312114</v>
      </c>
    </row>
    <row r="76" spans="1:4" x14ac:dyDescent="0.2">
      <c r="A76" s="290" t="s">
        <v>306</v>
      </c>
      <c r="B76" s="316"/>
      <c r="C76" s="316"/>
      <c r="D76" s="317"/>
    </row>
    <row r="77" spans="1:4" x14ac:dyDescent="0.2">
      <c r="A77" s="297" t="s">
        <v>435</v>
      </c>
      <c r="B77" s="291">
        <f ca="1">$C77</f>
        <v>-72036.651464161841</v>
      </c>
      <c r="C77" s="291">
        <f ca="1">'NTM Valuation'!C6</f>
        <v>-72036.651464161841</v>
      </c>
      <c r="D77" s="292">
        <f ca="1">$C77</f>
        <v>-72036.651464161841</v>
      </c>
    </row>
    <row r="78" spans="1:4" x14ac:dyDescent="0.2">
      <c r="A78" s="297" t="s">
        <v>453</v>
      </c>
      <c r="B78" s="291">
        <f ca="1">C78</f>
        <v>10090.03674525785</v>
      </c>
      <c r="C78" s="291">
        <f ca="1">SUM('NTM Valuation'!$J$61:$M$61)</f>
        <v>10090.03674525785</v>
      </c>
      <c r="D78" s="292">
        <f ca="1">C78</f>
        <v>10090.03674525785</v>
      </c>
    </row>
    <row r="79" spans="1:4" ht="12.75" thickBot="1" x14ac:dyDescent="0.25">
      <c r="A79" s="339" t="s">
        <v>436</v>
      </c>
      <c r="B79" s="340">
        <f ca="1">$C79</f>
        <v>12087.924887212941</v>
      </c>
      <c r="C79" s="340">
        <f ca="1">'NTM Valuation'!C5</f>
        <v>12087.924887212941</v>
      </c>
      <c r="D79" s="341">
        <f ca="1">$C79</f>
        <v>12087.924887212941</v>
      </c>
    </row>
  </sheetData>
  <printOptions horizontalCentered="1" verticalCentered="1"/>
  <pageMargins left="0.7" right="0.7" top="0.75" bottom="0.75" header="0.3" footer="0.3"/>
  <pageSetup scale="16" orientation="landscape" r:id="rId1"/>
  <customProperties>
    <customPr name="Qube.Worksheet.Visibility" r:id="rId2"/>
  </customProperties>
  <ignoredErrors>
    <ignoredError sqref="C49 C51 C55:C58 C79 C63:C64 C60:C61 C66:C77 B78:E78" formula="1"/>
  </ignoredError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F28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B2" sqref="BB2"/>
    </sheetView>
  </sheetViews>
  <sheetFormatPr defaultRowHeight="12" outlineLevelRow="3" outlineLevelCol="1" x14ac:dyDescent="0.2"/>
  <cols>
    <col min="1" max="1" width="41.85546875" style="1" customWidth="1"/>
    <col min="2" max="28" width="10.5703125" style="1" hidden="1" customWidth="1" outlineLevel="1"/>
    <col min="29" max="29" width="11.5703125" style="1" hidden="1" customWidth="1" outlineLevel="1"/>
    <col min="30" max="30" width="10.5703125" style="1" hidden="1" customWidth="1" outlineLevel="1"/>
    <col min="31" max="37" width="11.5703125" style="1" hidden="1" customWidth="1" outlineLevel="1"/>
    <col min="38" max="53" width="10.28515625" style="1" hidden="1" customWidth="1" outlineLevel="1"/>
    <col min="54" max="54" width="10.28515625" style="1" customWidth="1" collapsed="1"/>
    <col min="55" max="73" width="10.28515625" style="1" customWidth="1"/>
    <col min="74" max="85" width="10.28515625" style="1" hidden="1" customWidth="1" outlineLevel="1"/>
    <col min="86" max="86" width="10.28515625" style="1" customWidth="1" collapsed="1"/>
    <col min="87" max="93" width="9.28515625" style="1" hidden="1" customWidth="1" outlineLevel="1"/>
    <col min="94" max="95" width="9.5703125" style="1" hidden="1" customWidth="1" outlineLevel="1"/>
    <col min="96" max="99" width="10.5703125" style="1" hidden="1" customWidth="1" outlineLevel="1"/>
    <col min="100" max="100" width="10.5703125" style="1" customWidth="1" collapsed="1"/>
    <col min="101" max="107" width="10.5703125" style="1" customWidth="1"/>
    <col min="108" max="108" width="9.5703125" style="1" bestFit="1" customWidth="1"/>
    <col min="109" max="16384" width="9.140625" style="1"/>
  </cols>
  <sheetData>
    <row r="1" spans="1:107" ht="43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346</v>
      </c>
      <c r="AV1" s="3" t="s">
        <v>357</v>
      </c>
      <c r="AW1" s="3" t="s">
        <v>359</v>
      </c>
      <c r="AX1" s="3" t="s">
        <v>380</v>
      </c>
      <c r="AY1" s="3" t="s">
        <v>385</v>
      </c>
      <c r="AZ1" s="3" t="s">
        <v>389</v>
      </c>
      <c r="BA1" s="3" t="s">
        <v>395</v>
      </c>
      <c r="BB1" s="3" t="s">
        <v>396</v>
      </c>
      <c r="BC1" s="3" t="s">
        <v>397</v>
      </c>
      <c r="BD1" s="3" t="s">
        <v>398</v>
      </c>
      <c r="BE1" s="3" t="s">
        <v>444</v>
      </c>
      <c r="BF1" s="3" t="s">
        <v>447</v>
      </c>
      <c r="BG1" s="3" t="s">
        <v>454</v>
      </c>
      <c r="BH1" s="3" t="s">
        <v>455</v>
      </c>
      <c r="BI1" s="3" t="s">
        <v>464</v>
      </c>
      <c r="BJ1" s="3" t="s">
        <v>465</v>
      </c>
      <c r="BK1" s="3" t="s">
        <v>466</v>
      </c>
      <c r="BL1" s="3" t="s">
        <v>467</v>
      </c>
      <c r="BM1" s="3" t="s">
        <v>46</v>
      </c>
      <c r="BN1" s="3" t="s">
        <v>47</v>
      </c>
      <c r="BO1" s="3" t="s">
        <v>48</v>
      </c>
      <c r="BP1" s="3" t="s">
        <v>49</v>
      </c>
      <c r="BQ1" s="3" t="s">
        <v>50</v>
      </c>
      <c r="BR1" s="3" t="s">
        <v>390</v>
      </c>
      <c r="BS1" s="3" t="s">
        <v>391</v>
      </c>
      <c r="BT1" s="3" t="s">
        <v>392</v>
      </c>
      <c r="BU1" s="3" t="s">
        <v>393</v>
      </c>
      <c r="BV1" s="3" t="s">
        <v>402</v>
      </c>
      <c r="BW1" s="3" t="s">
        <v>399</v>
      </c>
      <c r="BX1" s="3" t="s">
        <v>400</v>
      </c>
      <c r="BY1" s="3" t="s">
        <v>401</v>
      </c>
      <c r="BZ1" s="3" t="s">
        <v>406</v>
      </c>
      <c r="CA1" s="3" t="s">
        <v>403</v>
      </c>
      <c r="CB1" s="3" t="s">
        <v>404</v>
      </c>
      <c r="CC1" s="3" t="s">
        <v>405</v>
      </c>
      <c r="CD1" s="3" t="s">
        <v>459</v>
      </c>
      <c r="CE1" s="3" t="s">
        <v>460</v>
      </c>
      <c r="CF1" s="3" t="s">
        <v>461</v>
      </c>
      <c r="CG1" s="3" t="s">
        <v>462</v>
      </c>
      <c r="CH1" s="256"/>
      <c r="CI1" s="88">
        <v>2010</v>
      </c>
      <c r="CJ1" s="3">
        <v>2011</v>
      </c>
      <c r="CK1" s="88">
        <v>2012</v>
      </c>
      <c r="CL1" s="88">
        <v>2013</v>
      </c>
      <c r="CM1" s="3">
        <v>2014</v>
      </c>
      <c r="CN1" s="88">
        <v>2015</v>
      </c>
      <c r="CO1" s="3">
        <v>2016</v>
      </c>
      <c r="CP1" s="88">
        <v>2017</v>
      </c>
      <c r="CQ1" s="3">
        <v>2018</v>
      </c>
      <c r="CR1" s="88">
        <v>2019</v>
      </c>
      <c r="CS1" s="3">
        <v>2020</v>
      </c>
      <c r="CT1" s="88">
        <v>2021</v>
      </c>
      <c r="CU1" s="3">
        <v>2022</v>
      </c>
      <c r="CV1" s="88">
        <v>2023</v>
      </c>
      <c r="CW1" s="3">
        <v>2024</v>
      </c>
      <c r="CX1" s="88" t="s">
        <v>51</v>
      </c>
      <c r="CY1" s="88" t="s">
        <v>52</v>
      </c>
      <c r="CZ1" s="88" t="s">
        <v>394</v>
      </c>
      <c r="DA1" s="88" t="s">
        <v>407</v>
      </c>
      <c r="DB1" s="88" t="s">
        <v>408</v>
      </c>
      <c r="DC1" s="88" t="s">
        <v>463</v>
      </c>
    </row>
    <row r="2" spans="1:107" x14ac:dyDescent="0.2"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92"/>
      <c r="CK2" s="92"/>
      <c r="CL2" s="92"/>
      <c r="CN2" s="92"/>
      <c r="CP2" s="92"/>
      <c r="CR2" s="118"/>
      <c r="CS2" s="77"/>
      <c r="CT2" s="118"/>
      <c r="CU2" s="77"/>
      <c r="CV2" s="118"/>
      <c r="CW2" s="77"/>
      <c r="CX2" s="118"/>
      <c r="CY2" s="118"/>
      <c r="CZ2" s="118"/>
      <c r="DA2" s="118"/>
      <c r="DB2" s="118"/>
      <c r="DC2" s="118"/>
    </row>
    <row r="3" spans="1:107" x14ac:dyDescent="0.2">
      <c r="A3" s="4" t="s">
        <v>60</v>
      </c>
      <c r="B3" s="21">
        <f t="shared" ref="B3:AJ3" si="0">SUM(B14,B121)</f>
        <v>6775</v>
      </c>
      <c r="C3" s="21">
        <f t="shared" si="0"/>
        <v>6820</v>
      </c>
      <c r="D3" s="21">
        <f t="shared" si="0"/>
        <v>7286</v>
      </c>
      <c r="E3" s="21">
        <f t="shared" si="0"/>
        <v>8440</v>
      </c>
      <c r="F3" s="21">
        <f t="shared" si="0"/>
        <v>8575</v>
      </c>
      <c r="G3" s="21">
        <f t="shared" si="0"/>
        <v>9026</v>
      </c>
      <c r="H3" s="21">
        <f t="shared" si="0"/>
        <v>9720</v>
      </c>
      <c r="I3" s="21">
        <f t="shared" si="0"/>
        <v>10584</v>
      </c>
      <c r="J3" s="21">
        <f t="shared" si="0"/>
        <v>10645</v>
      </c>
      <c r="K3" s="21">
        <f t="shared" si="0"/>
        <v>10964</v>
      </c>
      <c r="L3" s="21">
        <f t="shared" si="0"/>
        <v>11526</v>
      </c>
      <c r="M3" s="21">
        <f t="shared" si="0"/>
        <v>12905</v>
      </c>
      <c r="N3" s="21">
        <f t="shared" si="0"/>
        <v>12948</v>
      </c>
      <c r="O3" s="21">
        <f t="shared" si="0"/>
        <v>13104</v>
      </c>
      <c r="P3" s="21">
        <f t="shared" si="0"/>
        <v>13751</v>
      </c>
      <c r="Q3" s="21">
        <f t="shared" si="0"/>
        <v>15716</v>
      </c>
      <c r="R3" s="21">
        <f t="shared" si="0"/>
        <v>15420</v>
      </c>
      <c r="S3" s="21">
        <f t="shared" si="0"/>
        <v>15955</v>
      </c>
      <c r="T3" s="21">
        <f t="shared" si="0"/>
        <v>16523</v>
      </c>
      <c r="U3" s="21">
        <f t="shared" si="0"/>
        <v>17997</v>
      </c>
      <c r="V3" s="21">
        <f t="shared" si="0"/>
        <v>17178</v>
      </c>
      <c r="W3" s="21">
        <f t="shared" si="0"/>
        <v>17653</v>
      </c>
      <c r="X3" s="21">
        <f t="shared" si="0"/>
        <v>18533</v>
      </c>
      <c r="Y3" s="21">
        <f t="shared" si="0"/>
        <v>21178</v>
      </c>
      <c r="Z3" s="21">
        <f t="shared" si="0"/>
        <v>20091</v>
      </c>
      <c r="AA3" s="21">
        <f t="shared" si="0"/>
        <v>21315</v>
      </c>
      <c r="AB3" s="21">
        <f t="shared" si="0"/>
        <v>22254</v>
      </c>
      <c r="AC3" s="21">
        <f t="shared" si="0"/>
        <v>25802</v>
      </c>
      <c r="AD3" s="21">
        <f t="shared" si="0"/>
        <v>24618</v>
      </c>
      <c r="AE3" s="21">
        <f t="shared" si="0"/>
        <v>25913</v>
      </c>
      <c r="AF3" s="21">
        <f t="shared" si="0"/>
        <v>27655</v>
      </c>
      <c r="AG3" s="21">
        <f t="shared" si="0"/>
        <v>32192</v>
      </c>
      <c r="AH3" s="21">
        <f t="shared" si="0"/>
        <v>30996</v>
      </c>
      <c r="AI3" s="21">
        <f t="shared" si="0"/>
        <v>32512</v>
      </c>
      <c r="AJ3" s="21">
        <f t="shared" si="0"/>
        <v>33594</v>
      </c>
      <c r="AK3" s="21">
        <f t="shared" ref="AK3:BQ3" si="1">SUM(AK8,AK47)</f>
        <v>38998</v>
      </c>
      <c r="AL3" s="21">
        <f t="shared" si="1"/>
        <v>36032</v>
      </c>
      <c r="AM3" s="21">
        <f t="shared" si="1"/>
        <v>38674</v>
      </c>
      <c r="AN3" s="21">
        <f t="shared" si="1"/>
        <v>40225</v>
      </c>
      <c r="AO3" s="21">
        <f t="shared" si="1"/>
        <v>45812</v>
      </c>
      <c r="AP3" s="21">
        <f t="shared" si="1"/>
        <v>40975</v>
      </c>
      <c r="AQ3" s="21">
        <f t="shared" si="1"/>
        <v>37998</v>
      </c>
      <c r="AR3" s="21">
        <f t="shared" si="1"/>
        <v>46017</v>
      </c>
      <c r="AS3" s="21">
        <f t="shared" si="1"/>
        <v>56704</v>
      </c>
      <c r="AT3" s="21">
        <f t="shared" si="1"/>
        <v>55225</v>
      </c>
      <c r="AU3" s="21">
        <f t="shared" si="1"/>
        <v>61695</v>
      </c>
      <c r="AV3" s="21">
        <f t="shared" si="1"/>
        <v>64874</v>
      </c>
      <c r="AW3" s="21">
        <f t="shared" si="1"/>
        <v>74941</v>
      </c>
      <c r="AX3" s="21">
        <f t="shared" si="1"/>
        <v>67293</v>
      </c>
      <c r="AY3" s="21">
        <f t="shared" si="1"/>
        <v>69117</v>
      </c>
      <c r="AZ3" s="21">
        <f t="shared" si="1"/>
        <v>68245</v>
      </c>
      <c r="BA3" s="21">
        <f>SUM(BA8,BA47)</f>
        <v>75153</v>
      </c>
      <c r="BB3" s="21">
        <f t="shared" si="1"/>
        <v>69415</v>
      </c>
      <c r="BC3" s="21">
        <f t="shared" si="1"/>
        <v>74316</v>
      </c>
      <c r="BD3" s="21">
        <f t="shared" si="1"/>
        <v>76397</v>
      </c>
      <c r="BE3" s="21">
        <f t="shared" si="1"/>
        <v>85503</v>
      </c>
      <c r="BF3" s="21">
        <f t="shared" si="1"/>
        <v>79972</v>
      </c>
      <c r="BG3" s="21">
        <f t="shared" ref="BG3:BH3" si="2">SUM(BG8,BG47)</f>
        <v>84275</v>
      </c>
      <c r="BH3" s="21">
        <f t="shared" si="2"/>
        <v>87863</v>
      </c>
      <c r="BI3" s="21">
        <f t="shared" ref="BI3:BJ3" si="3">SUM(BI8,BI47)</f>
        <v>96049</v>
      </c>
      <c r="BJ3" s="21">
        <f t="shared" si="3"/>
        <v>89524</v>
      </c>
      <c r="BK3" s="21">
        <f t="shared" ref="BK3:BL3" si="4">SUM(BK8,BK47)</f>
        <v>96167</v>
      </c>
      <c r="BL3" s="21">
        <f t="shared" si="4"/>
        <v>102209</v>
      </c>
      <c r="BM3" s="21">
        <f t="shared" si="1"/>
        <v>111738.91777777779</v>
      </c>
      <c r="BN3" s="21">
        <f t="shared" si="1"/>
        <v>103278.34836111112</v>
      </c>
      <c r="BO3" s="21">
        <f t="shared" si="1"/>
        <v>109493.45974999999</v>
      </c>
      <c r="BP3" s="21">
        <f t="shared" si="1"/>
        <v>116114.89738888889</v>
      </c>
      <c r="BQ3" s="21">
        <f t="shared" si="1"/>
        <v>125526.82608888891</v>
      </c>
      <c r="BR3" s="21">
        <f>SUM(BR8,BR47)</f>
        <v>117357.26342897177</v>
      </c>
      <c r="BS3" s="21">
        <f>SUM(BS8,BS47)</f>
        <v>123877.10601446024</v>
      </c>
      <c r="BT3" s="21">
        <f t="shared" ref="BT3:BU3" si="5">SUM(BT8,BT47)</f>
        <v>131536.1221166701</v>
      </c>
      <c r="BU3" s="21">
        <f t="shared" si="5"/>
        <v>141736.39704124641</v>
      </c>
      <c r="BV3" s="21">
        <f t="shared" ref="BV3:CC3" si="6">SUM(BV8,BV47)</f>
        <v>132621.24484519745</v>
      </c>
      <c r="BW3" s="21">
        <f t="shared" si="6"/>
        <v>139403.27227922669</v>
      </c>
      <c r="BX3" s="21">
        <f t="shared" si="6"/>
        <v>148219.42148399586</v>
      </c>
      <c r="BY3" s="21">
        <f t="shared" si="6"/>
        <v>159210.70585127568</v>
      </c>
      <c r="BZ3" s="21">
        <f t="shared" si="6"/>
        <v>148642.14872638945</v>
      </c>
      <c r="CA3" s="21">
        <f t="shared" si="6"/>
        <v>155618.14111183304</v>
      </c>
      <c r="CB3" s="21">
        <f t="shared" si="6"/>
        <v>165664.82175632135</v>
      </c>
      <c r="CC3" s="21">
        <f t="shared" si="6"/>
        <v>177416.10247844941</v>
      </c>
      <c r="CD3" s="21">
        <f t="shared" ref="CD3:CG3" si="7">SUM(CD8,CD47)</f>
        <v>165252.31459383736</v>
      </c>
      <c r="CE3" s="21">
        <f t="shared" si="7"/>
        <v>172344.33580689679</v>
      </c>
      <c r="CF3" s="21">
        <f t="shared" si="7"/>
        <v>183678.11727410767</v>
      </c>
      <c r="CG3" s="21">
        <f t="shared" si="7"/>
        <v>196153.10538182291</v>
      </c>
      <c r="CH3" s="21"/>
      <c r="CI3" s="90">
        <f>SUM(B3:E3)</f>
        <v>29321</v>
      </c>
      <c r="CJ3" s="21">
        <f>SUM(F3:I3)</f>
        <v>37905</v>
      </c>
      <c r="CK3" s="90">
        <f>SUM(J3:M3)</f>
        <v>46040</v>
      </c>
      <c r="CL3" s="90">
        <f>SUM(N3:Q3)</f>
        <v>55519</v>
      </c>
      <c r="CM3" s="21">
        <f>SUM(R3:U3)</f>
        <v>65895</v>
      </c>
      <c r="CN3" s="90">
        <f>SUM(V3:Y3)</f>
        <v>74542</v>
      </c>
      <c r="CO3" s="21">
        <f>SUM(Z3:AC3)</f>
        <v>89462</v>
      </c>
      <c r="CP3" s="90">
        <f>SUM(AD3:AG3)</f>
        <v>110378</v>
      </c>
      <c r="CQ3" s="21">
        <f>SUM(AH3:AK3)</f>
        <v>136100</v>
      </c>
      <c r="CR3" s="90">
        <f>SUM(AL3:AO3)</f>
        <v>160743</v>
      </c>
      <c r="CS3" s="21">
        <f>SUM(AP3:AS3)</f>
        <v>181694</v>
      </c>
      <c r="CT3" s="90">
        <f>SUM(AT3:AW3)</f>
        <v>256735</v>
      </c>
      <c r="CU3" s="21">
        <f>SUM(AX3:BA3)</f>
        <v>279808</v>
      </c>
      <c r="CV3" s="90">
        <f>SUM(BB3:BE3)</f>
        <v>305631</v>
      </c>
      <c r="CW3" s="21">
        <f>SUM(BF3:BI3)</f>
        <v>348159</v>
      </c>
      <c r="CX3" s="90">
        <f>SUM(BJ3:BM3)</f>
        <v>399638.91777777777</v>
      </c>
      <c r="CY3" s="90">
        <f>SUM(BN3:BQ3)</f>
        <v>454413.5315888889</v>
      </c>
      <c r="CZ3" s="90">
        <f>SUM(BR3:BU3)</f>
        <v>514506.8886013485</v>
      </c>
      <c r="DA3" s="90">
        <f>SUM(BV3:BY3)</f>
        <v>579454.64445969567</v>
      </c>
      <c r="DB3" s="90">
        <f>SUM(BZ3:CC3)</f>
        <v>647341.21407299326</v>
      </c>
      <c r="DC3" s="90">
        <f>SUM(CD3:CG3)</f>
        <v>717427.87305666471</v>
      </c>
    </row>
    <row r="4" spans="1:107" x14ac:dyDescent="0.2">
      <c r="A4" s="14" t="s">
        <v>62</v>
      </c>
      <c r="B4" s="25" t="s">
        <v>82</v>
      </c>
      <c r="C4" s="22">
        <f t="shared" ref="C4" si="8">IF(AND(B3&lt;0,C3&gt;0),"n/a",C3/B3-1)</f>
        <v>6.6420664206641167E-3</v>
      </c>
      <c r="D4" s="22">
        <f t="shared" ref="D4" si="9">IF(AND(C3&lt;0,D3&gt;0),"n/a",D3/C3-1)</f>
        <v>6.8328445747800615E-2</v>
      </c>
      <c r="E4" s="22">
        <f t="shared" ref="E4" si="10">IF(AND(D3&lt;0,E3&gt;0),"n/a",E3/D3-1)</f>
        <v>0.15838594564919029</v>
      </c>
      <c r="F4" s="22">
        <f t="shared" ref="F4" si="11">IF(AND(E3&lt;0,F3&gt;0),"n/a",F3/E3-1)</f>
        <v>1.5995260663507205E-2</v>
      </c>
      <c r="G4" s="22">
        <f t="shared" ref="G4" si="12">IF(AND(F3&lt;0,G3&gt;0),"n/a",G3/F3-1)</f>
        <v>5.2594752186588822E-2</v>
      </c>
      <c r="H4" s="22">
        <f t="shared" ref="H4" si="13">IF(AND(G3&lt;0,H3&gt;0),"n/a",H3/G3-1)</f>
        <v>7.6888987369820416E-2</v>
      </c>
      <c r="I4" s="22">
        <f t="shared" ref="I4" si="14">IF(AND(H3&lt;0,I3&gt;0),"n/a",I3/H3-1)</f>
        <v>8.8888888888888795E-2</v>
      </c>
      <c r="J4" s="22">
        <f t="shared" ref="J4" si="15">IF(AND(I3&lt;0,J3&gt;0),"n/a",J3/I3-1)</f>
        <v>5.7634164777022878E-3</v>
      </c>
      <c r="K4" s="22">
        <f t="shared" ref="K4" si="16">IF(AND(J3&lt;0,K3&gt;0),"n/a",K3/J3-1)</f>
        <v>2.9967120713950246E-2</v>
      </c>
      <c r="L4" s="22">
        <f t="shared" ref="L4" si="17">IF(AND(K3&lt;0,L3&gt;0),"n/a",L3/K3-1)</f>
        <v>5.125866472090479E-2</v>
      </c>
      <c r="M4" s="22">
        <f t="shared" ref="M4" si="18">IF(AND(L3&lt;0,M3&gt;0),"n/a",M3/L3-1)</f>
        <v>0.11964254728440049</v>
      </c>
      <c r="N4" s="22">
        <f t="shared" ref="N4" si="19">IF(AND(M3&lt;0,N3&gt;0),"n/a",N3/M3-1)</f>
        <v>3.3320418442464028E-3</v>
      </c>
      <c r="O4" s="22">
        <f t="shared" ref="O4" si="20">IF(AND(N3&lt;0,O3&gt;0),"n/a",O3/N3-1)</f>
        <v>1.2048192771084265E-2</v>
      </c>
      <c r="P4" s="22">
        <f t="shared" ref="P4" si="21">IF(AND(O3&lt;0,P3&gt;0),"n/a",P3/O3-1)</f>
        <v>4.9374236874236921E-2</v>
      </c>
      <c r="Q4" s="22">
        <f t="shared" ref="Q4" si="22">IF(AND(P3&lt;0,Q3&gt;0),"n/a",Q3/P3-1)</f>
        <v>0.14289869827648904</v>
      </c>
      <c r="R4" s="22">
        <f t="shared" ref="R4" si="23">IF(AND(Q3&lt;0,R3&gt;0),"n/a",R3/Q3-1)</f>
        <v>-1.8834308984474468E-2</v>
      </c>
      <c r="S4" s="22">
        <f t="shared" ref="S4" si="24">IF(AND(R3&lt;0,S3&gt;0),"n/a",S3/R3-1)</f>
        <v>3.4695201037613588E-2</v>
      </c>
      <c r="T4" s="22">
        <f t="shared" ref="T4" si="25">IF(AND(S3&lt;0,T3&gt;0),"n/a",T3/S3-1)</f>
        <v>3.5600125352553968E-2</v>
      </c>
      <c r="U4" s="22">
        <f t="shared" ref="U4" si="26">IF(AND(T3&lt;0,U3&gt;0),"n/a",U3/T3-1)</f>
        <v>8.9208981419838906E-2</v>
      </c>
      <c r="V4" s="22">
        <f t="shared" ref="V4" si="27">IF(AND(U3&lt;0,V3&gt;0),"n/a",V3/U3-1)</f>
        <v>-4.5507584597432871E-2</v>
      </c>
      <c r="W4" s="22">
        <f t="shared" ref="W4" si="28">IF(AND(V3&lt;0,W3&gt;0),"n/a",W3/V3-1)</f>
        <v>2.7651647456048423E-2</v>
      </c>
      <c r="X4" s="22">
        <f t="shared" ref="X4" si="29">IF(AND(W3&lt;0,X3&gt;0),"n/a",X3/W3-1)</f>
        <v>4.9849883872429723E-2</v>
      </c>
      <c r="Y4" s="22">
        <f t="shared" ref="Y4" si="30">IF(AND(X3&lt;0,Y3&gt;0),"n/a",Y3/X3-1)</f>
        <v>0.1427183942157233</v>
      </c>
      <c r="Z4" s="22">
        <f t="shared" ref="Z4" si="31">IF(AND(Y3&lt;0,Z3&gt;0),"n/a",Z3/Y3-1)</f>
        <v>-5.132684861648884E-2</v>
      </c>
      <c r="AA4" s="22">
        <f t="shared" ref="AA4" si="32">IF(AND(Z3&lt;0,AA3&gt;0),"n/a",AA3/Z3-1)</f>
        <v>6.0922801254293057E-2</v>
      </c>
      <c r="AB4" s="22">
        <f t="shared" ref="AB4" si="33">IF(AND(AA3&lt;0,AB3&gt;0),"n/a",AB3/AA3-1)</f>
        <v>4.4053483462350496E-2</v>
      </c>
      <c r="AC4" s="22">
        <f t="shared" ref="AC4" si="34">IF(AND(AB3&lt;0,AC3&gt;0),"n/a",AC3/AB3-1)</f>
        <v>0.1594320122225219</v>
      </c>
      <c r="AD4" s="22">
        <f t="shared" ref="AD4" si="35">IF(AND(AC3&lt;0,AD3&gt;0),"n/a",AD3/AC3-1)</f>
        <v>-4.588791566545225E-2</v>
      </c>
      <c r="AE4" s="22">
        <f t="shared" ref="AE4" si="36">IF(AND(AD3&lt;0,AE3&gt;0),"n/a",AE3/AD3-1)</f>
        <v>5.2603785847753715E-2</v>
      </c>
      <c r="AF4" s="22">
        <f t="shared" ref="AF4" si="37">IF(AND(AE3&lt;0,AF3&gt;0),"n/a",AF3/AE3-1)</f>
        <v>6.7224945008296899E-2</v>
      </c>
      <c r="AG4" s="22">
        <f t="shared" ref="AG4" si="38">IF(AND(AF3&lt;0,AG3&gt;0),"n/a",AG3/AF3-1)</f>
        <v>0.16405713252576382</v>
      </c>
      <c r="AH4" s="22">
        <f t="shared" ref="AH4" si="39">IF(AND(AG3&lt;0,AH3&gt;0),"n/a",AH3/AG3-1)</f>
        <v>-3.7152087475149087E-2</v>
      </c>
      <c r="AI4" s="22">
        <f t="shared" ref="AI4" si="40">IF(AND(AH3&lt;0,AI3&gt;0),"n/a",AI3/AH3-1)</f>
        <v>4.8909536714414781E-2</v>
      </c>
      <c r="AJ4" s="22">
        <f t="shared" ref="AJ4" si="41">IF(AND(AI3&lt;0,AJ3&gt;0),"n/a",AJ3/AI3-1)</f>
        <v>3.3280019685039353E-2</v>
      </c>
      <c r="AK4" s="22">
        <f>IF(AND(AJ3&lt;0,AK3&gt;0),"n/a",AK3/AJ3-1)</f>
        <v>0.1608620587009586</v>
      </c>
      <c r="AL4" s="22">
        <f t="shared" ref="AL4:AS4" si="42">IF(AND(AK3&lt;0,AL3&gt;0),"n/a",AL3/AK3-1)</f>
        <v>-7.6055182317041892E-2</v>
      </c>
      <c r="AM4" s="22">
        <f t="shared" si="42"/>
        <v>7.3323712255772611E-2</v>
      </c>
      <c r="AN4" s="22">
        <f t="shared" si="42"/>
        <v>4.0104462946682462E-2</v>
      </c>
      <c r="AO4" s="22">
        <f t="shared" si="42"/>
        <v>0.13889372280919821</v>
      </c>
      <c r="AP4" s="22">
        <f t="shared" si="42"/>
        <v>-0.105583689862918</v>
      </c>
      <c r="AQ4" s="22">
        <f t="shared" si="42"/>
        <v>-7.2654057352043888E-2</v>
      </c>
      <c r="AR4" s="22">
        <f t="shared" si="42"/>
        <v>0.21103742302226425</v>
      </c>
      <c r="AS4" s="22">
        <f t="shared" si="42"/>
        <v>0.23224025903470458</v>
      </c>
      <c r="AT4" s="22">
        <f t="shared" ref="AT4" si="43">IF(AND(AS3&lt;0,AT3&gt;0),"n/a",AT3/AS3-1)</f>
        <v>-2.6082816027088063E-2</v>
      </c>
      <c r="AU4" s="22">
        <f t="shared" ref="AU4" si="44">IF(AND(AT3&lt;0,AU3&gt;0),"n/a",AU3/AT3-1)</f>
        <v>0.11715708465368935</v>
      </c>
      <c r="AV4" s="22">
        <f t="shared" ref="AV4" si="45">IF(AND(AU3&lt;0,AV3&gt;0),"n/a",AV3/AU3-1)</f>
        <v>5.1527676472971962E-2</v>
      </c>
      <c r="AW4" s="22">
        <f t="shared" ref="AW4" si="46">IF(AND(AV3&lt;0,AW3&gt;0),"n/a",AW3/AV3-1)</f>
        <v>0.15517772913647998</v>
      </c>
      <c r="AX4" s="22">
        <f t="shared" ref="AX4" si="47">IF(AND(AW3&lt;0,AX3&gt;0),"n/a",AX3/AW3-1)</f>
        <v>-0.10205361551086856</v>
      </c>
      <c r="AY4" s="22">
        <f t="shared" ref="AY4" si="48">IF(AND(AX3&lt;0,AY3&gt;0),"n/a",AY3/AX3-1)</f>
        <v>2.7105345281084103E-2</v>
      </c>
      <c r="AZ4" s="22">
        <f t="shared" ref="AZ4" si="49">IF(AND(AY3&lt;0,AZ3&gt;0),"n/a",AZ3/AY3-1)</f>
        <v>-1.2616288322699232E-2</v>
      </c>
      <c r="BA4" s="22">
        <f t="shared" ref="BA4" si="50">IF(AND(AZ3&lt;0,BA3&gt;0),"n/a",BA3/AZ3-1)</f>
        <v>0.1012235328595501</v>
      </c>
      <c r="BB4" s="22">
        <f t="shared" ref="BB4" si="51">IF(AND(BA3&lt;0,BB3&gt;0),"n/a",BB3/BA3-1)</f>
        <v>-7.6350910808617112E-2</v>
      </c>
      <c r="BC4" s="22">
        <f t="shared" ref="BC4" si="52">IF(AND(BB3&lt;0,BC3&gt;0),"n/a",BC3/BB3-1)</f>
        <v>7.0604336238565102E-2</v>
      </c>
      <c r="BD4" s="22">
        <f t="shared" ref="BD4" si="53">IF(AND(BC3&lt;0,BD3&gt;0),"n/a",BD3/BC3-1)</f>
        <v>2.8002045319984958E-2</v>
      </c>
      <c r="BE4" s="22">
        <f t="shared" ref="BE4" si="54">IF(AND(BD3&lt;0,BE3&gt;0),"n/a",BE3/BD3-1)</f>
        <v>0.11919316203515851</v>
      </c>
      <c r="BF4" s="22">
        <f t="shared" ref="BF4:BL4" si="55">IF(AND(BE3&lt;0,BF3&gt;0),"n/a",BF3/BE3-1)</f>
        <v>-6.4687788732559093E-2</v>
      </c>
      <c r="BG4" s="22">
        <f t="shared" si="55"/>
        <v>5.3806332216275621E-2</v>
      </c>
      <c r="BH4" s="22">
        <f t="shared" si="55"/>
        <v>4.2574903589439383E-2</v>
      </c>
      <c r="BI4" s="22">
        <f t="shared" si="55"/>
        <v>9.3167772555000417E-2</v>
      </c>
      <c r="BJ4" s="22">
        <f t="shared" si="55"/>
        <v>-6.7934075315724263E-2</v>
      </c>
      <c r="BK4" s="22">
        <f t="shared" si="55"/>
        <v>7.4203565524328718E-2</v>
      </c>
      <c r="BL4" s="22">
        <f t="shared" si="55"/>
        <v>6.2828205101542078E-2</v>
      </c>
      <c r="BM4" s="22">
        <f t="shared" ref="BM4" si="56">IF(AND(BL3&lt;0,BM3&gt;0),"n/a",BM3/BL3-1)</f>
        <v>9.323951685054932E-2</v>
      </c>
      <c r="BN4" s="22">
        <f t="shared" ref="BN4" si="57">IF(AND(BM3&lt;0,BN3&gt;0),"n/a",BN3/BM3-1)</f>
        <v>-7.5717302305475576E-2</v>
      </c>
      <c r="BO4" s="22">
        <f t="shared" ref="BO4" si="58">IF(AND(BN3&lt;0,BO3&gt;0),"n/a",BO3/BN3-1)</f>
        <v>6.0178260860232147E-2</v>
      </c>
      <c r="BP4" s="22">
        <f t="shared" ref="BP4" si="59">IF(AND(BO3&lt;0,BP3&gt;0),"n/a",BP3/BO3-1)</f>
        <v>6.047336209858778E-2</v>
      </c>
      <c r="BQ4" s="22">
        <f t="shared" ref="BQ4" si="60">IF(AND(BP3&lt;0,BQ3&gt;0),"n/a",BQ3/BP3-1)</f>
        <v>8.1057029818299986E-2</v>
      </c>
      <c r="BR4" s="28">
        <f>IF(AND(BQ3&lt;0,BR3&gt;0),"n/a",BR3/BQ3-1)</f>
        <v>-6.5082205250151515E-2</v>
      </c>
      <c r="BS4" s="28">
        <f t="shared" ref="BS4" si="61">IF(AND(BR3&lt;0,BS3&gt;0),"n/a",BS3/BR3-1)</f>
        <v>5.5555509688878235E-2</v>
      </c>
      <c r="BT4" s="28">
        <f t="shared" ref="BT4" si="62">IF(AND(BS3&lt;0,BT3&gt;0),"n/a",BT3/BS3-1)</f>
        <v>6.182753495481097E-2</v>
      </c>
      <c r="BU4" s="28">
        <f t="shared" ref="BU4" si="63">IF(AND(BT3&lt;0,BU3&gt;0),"n/a",BU3/BT3-1)</f>
        <v>7.754732890429028E-2</v>
      </c>
      <c r="BV4" s="28">
        <f t="shared" ref="BV4" si="64">IF(AND(BU3&lt;0,BV3&gt;0),"n/a",BV3/BU3-1)</f>
        <v>-6.4310596193554836E-2</v>
      </c>
      <c r="BW4" s="28">
        <f t="shared" ref="BW4" si="65">IF(AND(BV3&lt;0,BW3&gt;0),"n/a",BW3/BV3-1)</f>
        <v>5.1138318313521891E-2</v>
      </c>
      <c r="BX4" s="28">
        <f t="shared" ref="BX4" si="66">IF(AND(BW3&lt;0,BX3&gt;0),"n/a",BX3/BW3-1)</f>
        <v>6.3242053508688834E-2</v>
      </c>
      <c r="BY4" s="28">
        <f t="shared" ref="BY4" si="67">IF(AND(BX3&lt;0,BY3&gt;0),"n/a",BY3/BX3-1)</f>
        <v>7.4155493640667203E-2</v>
      </c>
      <c r="BZ4" s="28">
        <f t="shared" ref="BZ4" si="68">IF(AND(BY3&lt;0,BZ3&gt;0),"n/a",BZ3/BY3-1)</f>
        <v>-6.6380945102766487E-2</v>
      </c>
      <c r="CA4" s="28">
        <f t="shared" ref="CA4" si="69">IF(AND(BZ3&lt;0,CA3&gt;0),"n/a",CA3/BZ3-1)</f>
        <v>4.6931455480265782E-2</v>
      </c>
      <c r="CB4" s="28">
        <f t="shared" ref="CB4" si="70">IF(AND(CA3&lt;0,CB3&gt;0),"n/a",CB3/CA3-1)</f>
        <v>6.4559829417756509E-2</v>
      </c>
      <c r="CC4" s="28">
        <f t="shared" ref="CC4" si="71">IF(AND(CB3&lt;0,CC3&gt;0),"n/a",CC3/CB3-1)</f>
        <v>7.09340739786819E-2</v>
      </c>
      <c r="CD4" s="28">
        <f t="shared" ref="CD4" si="72">IF(AND(CC3&lt;0,CD3&gt;0),"n/a",CD3/CC3-1)</f>
        <v>-6.8560788534341555E-2</v>
      </c>
      <c r="CE4" s="28">
        <f t="shared" ref="CE4" si="73">IF(AND(CD3&lt;0,CE3&gt;0),"n/a",CE3/CD3-1)</f>
        <v>4.2916319995217167E-2</v>
      </c>
      <c r="CF4" s="28">
        <f t="shared" ref="CF4" si="74">IF(AND(CE3&lt;0,CF3&gt;0),"n/a",CF3/CE3-1)</f>
        <v>6.576242505532548E-2</v>
      </c>
      <c r="CG4" s="28">
        <f t="shared" ref="CG4" si="75">IF(AND(CF3&lt;0,CG3&gt;0),"n/a",CG3/CF3-1)</f>
        <v>6.7917661030347354E-2</v>
      </c>
      <c r="CH4" s="28"/>
      <c r="CI4" s="106" t="s">
        <v>82</v>
      </c>
      <c r="CJ4" s="48" t="s">
        <v>82</v>
      </c>
      <c r="CK4" s="106" t="s">
        <v>82</v>
      </c>
      <c r="CL4" s="106" t="s">
        <v>82</v>
      </c>
      <c r="CM4" s="48" t="s">
        <v>82</v>
      </c>
      <c r="CN4" s="106" t="s">
        <v>82</v>
      </c>
      <c r="CO4" s="48" t="s">
        <v>82</v>
      </c>
      <c r="CP4" s="106" t="s">
        <v>82</v>
      </c>
      <c r="CQ4" s="48" t="s">
        <v>82</v>
      </c>
      <c r="CR4" s="106" t="s">
        <v>82</v>
      </c>
      <c r="CS4" s="48" t="s">
        <v>82</v>
      </c>
      <c r="CT4" s="106" t="s">
        <v>82</v>
      </c>
      <c r="CU4" s="48" t="s">
        <v>82</v>
      </c>
      <c r="CV4" s="106" t="s">
        <v>82</v>
      </c>
      <c r="CW4" s="48" t="s">
        <v>82</v>
      </c>
      <c r="CX4" s="106" t="s">
        <v>82</v>
      </c>
      <c r="CY4" s="106" t="s">
        <v>82</v>
      </c>
      <c r="CZ4" s="106" t="s">
        <v>82</v>
      </c>
      <c r="DA4" s="106" t="s">
        <v>82</v>
      </c>
      <c r="DB4" s="106" t="s">
        <v>82</v>
      </c>
      <c r="DC4" s="106" t="s">
        <v>82</v>
      </c>
    </row>
    <row r="5" spans="1:107" x14ac:dyDescent="0.2">
      <c r="A5" s="14" t="s">
        <v>63</v>
      </c>
      <c r="B5" s="25" t="s">
        <v>82</v>
      </c>
      <c r="C5" s="25" t="s">
        <v>82</v>
      </c>
      <c r="D5" s="25" t="s">
        <v>82</v>
      </c>
      <c r="E5" s="25" t="s">
        <v>82</v>
      </c>
      <c r="F5" s="22">
        <f t="shared" ref="F5" si="76">IF(AND(B3&lt;0,F3&gt;0),"n/a",F3/B3-1)</f>
        <v>0.26568265682656822</v>
      </c>
      <c r="G5" s="22">
        <f t="shared" ref="G5" si="77">IF(AND(C3&lt;0,G3&gt;0),"n/a",G3/C3-1)</f>
        <v>0.32346041055718477</v>
      </c>
      <c r="H5" s="22">
        <f t="shared" ref="H5" si="78">IF(AND(D3&lt;0,H3&gt;0),"n/a",H3/D3-1)</f>
        <v>0.33406533077134237</v>
      </c>
      <c r="I5" s="22">
        <f t="shared" ref="I5" si="79">IF(AND(E3&lt;0,I3&gt;0),"n/a",I3/E3-1)</f>
        <v>0.2540284360189573</v>
      </c>
      <c r="J5" s="22">
        <f t="shared" ref="J5" si="80">IF(AND(F3&lt;0,J3&gt;0),"n/a",J3/F3-1)</f>
        <v>0.24139941690962097</v>
      </c>
      <c r="K5" s="22">
        <f t="shared" ref="K5" si="81">IF(AND(G3&lt;0,K3&gt;0),"n/a",K3/G3-1)</f>
        <v>0.21471305118546424</v>
      </c>
      <c r="L5" s="22">
        <f t="shared" ref="L5" si="82">IF(AND(H3&lt;0,L3&gt;0),"n/a",L3/H3-1)</f>
        <v>0.18580246913580245</v>
      </c>
      <c r="M5" s="22">
        <f t="shared" ref="M5" si="83">IF(AND(I3&lt;0,M3&gt;0),"n/a",M3/I3-1)</f>
        <v>0.21929327286470146</v>
      </c>
      <c r="N5" s="22">
        <f t="shared" ref="N5" si="84">IF(AND(J3&lt;0,N3&gt;0),"n/a",N3/J3-1)</f>
        <v>0.21634570220760918</v>
      </c>
      <c r="O5" s="22">
        <f t="shared" ref="O5" si="85">IF(AND(K3&lt;0,O3&gt;0),"n/a",O3/K3-1)</f>
        <v>0.19518423932871221</v>
      </c>
      <c r="P5" s="22">
        <f t="shared" ref="P5" si="86">IF(AND(L3&lt;0,P3&gt;0),"n/a",P3/L3-1)</f>
        <v>0.19304181849731039</v>
      </c>
      <c r="Q5" s="22">
        <f t="shared" ref="Q5" si="87">IF(AND(M3&lt;0,Q3&gt;0),"n/a",Q3/M3-1)</f>
        <v>0.21782254939945767</v>
      </c>
      <c r="R5" s="22">
        <f t="shared" ref="R5" si="88">IF(AND(N3&lt;0,R3&gt;0),"n/a",R3/N3-1)</f>
        <v>0.19091751621872111</v>
      </c>
      <c r="S5" s="22">
        <f t="shared" ref="S5" si="89">IF(AND(O3&lt;0,S3&gt;0),"n/a",S3/O3-1)</f>
        <v>0.21756715506715496</v>
      </c>
      <c r="T5" s="22">
        <f t="shared" ref="T5" si="90">IF(AND(P3&lt;0,T3&gt;0),"n/a",T3/P3-1)</f>
        <v>0.20158533924805466</v>
      </c>
      <c r="U5" s="22">
        <f t="shared" ref="U5" si="91">IF(AND(Q3&lt;0,U3&gt;0),"n/a",U3/Q3-1)</f>
        <v>0.14513871214049368</v>
      </c>
      <c r="V5" s="22">
        <f t="shared" ref="V5" si="92">IF(AND(R3&lt;0,V3&gt;0),"n/a",V3/R3-1)</f>
        <v>0.11400778210116735</v>
      </c>
      <c r="W5" s="22">
        <f t="shared" ref="W5" si="93">IF(AND(S3&lt;0,W3&gt;0),"n/a",W3/S3-1)</f>
        <v>0.10642431839548738</v>
      </c>
      <c r="X5" s="22">
        <f t="shared" ref="X5" si="94">IF(AND(T3&lt;0,X3&gt;0),"n/a",X3/T3-1)</f>
        <v>0.12164861102705316</v>
      </c>
      <c r="Y5" s="22">
        <f t="shared" ref="Y5" si="95">IF(AND(U3&lt;0,Y3&gt;0),"n/a",Y3/U3-1)</f>
        <v>0.17675168083569481</v>
      </c>
      <c r="Z5" s="22">
        <f t="shared" ref="Z5" si="96">IF(AND(V3&lt;0,Z3&gt;0),"n/a",Z3/V3-1)</f>
        <v>0.16957736639888221</v>
      </c>
      <c r="AA5" s="22">
        <f t="shared" ref="AA5" si="97">IF(AND(W3&lt;0,AA3&gt;0),"n/a",AA3/W3-1)</f>
        <v>0.20744349402367868</v>
      </c>
      <c r="AB5" s="22">
        <f t="shared" ref="AB5" si="98">IF(AND(X3&lt;0,AB3&gt;0),"n/a",AB3/X3-1)</f>
        <v>0.20077699239194957</v>
      </c>
      <c r="AC5" s="22">
        <f t="shared" ref="AC5" si="99">IF(AND(Y3&lt;0,AC3&gt;0),"n/a",AC3/Y3-1)</f>
        <v>0.21833978657096997</v>
      </c>
      <c r="AD5" s="22">
        <f t="shared" ref="AD5" si="100">IF(AND(Z3&lt;0,AD3&gt;0),"n/a",AD3/Z3-1)</f>
        <v>0.22532477228609826</v>
      </c>
      <c r="AE5" s="22">
        <f t="shared" ref="AE5" si="101">IF(AND(AA3&lt;0,AE3&gt;0),"n/a",AE3/AA3-1)</f>
        <v>0.21571663148017839</v>
      </c>
      <c r="AF5" s="22">
        <f t="shared" ref="AF5" si="102">IF(AND(AB3&lt;0,AF3&gt;0),"n/a",AF3/AB3-1)</f>
        <v>0.24269794194302152</v>
      </c>
      <c r="AG5" s="22">
        <f t="shared" ref="AG5" si="103">IF(AND(AC3&lt;0,AG3&gt;0),"n/a",AG3/AC3-1)</f>
        <v>0.24765522052554068</v>
      </c>
      <c r="AH5" s="22">
        <f t="shared" ref="AH5" si="104">IF(AND(AD3&lt;0,AH3&gt;0),"n/a",AH3/AD3-1)</f>
        <v>0.25907872288569345</v>
      </c>
      <c r="AI5" s="22">
        <f t="shared" ref="AI5" si="105">IF(AND(AE3&lt;0,AI3&gt;0),"n/a",AI3/AE3-1)</f>
        <v>0.25465982325473702</v>
      </c>
      <c r="AJ5" s="22">
        <f t="shared" ref="AJ5" si="106">IF(AND(AF3&lt;0,AJ3&gt;0),"n/a",AJ3/AF3-1)</f>
        <v>0.21475320918459584</v>
      </c>
      <c r="AK5" s="22">
        <f>IF(AND(AG3&lt;0,AK3&gt;0),"n/a",AK3/AG3-1)</f>
        <v>0.21141898608349896</v>
      </c>
      <c r="AL5" s="22">
        <f t="shared" ref="AL5:AS5" si="107">IF(AND(AH3&lt;0,AL3&gt;0),"n/a",AL3/AH3-1)</f>
        <v>0.16247257710672347</v>
      </c>
      <c r="AM5" s="22">
        <f t="shared" si="107"/>
        <v>0.18953001968503935</v>
      </c>
      <c r="AN5" s="22">
        <f t="shared" si="107"/>
        <v>0.19738643805441458</v>
      </c>
      <c r="AO5" s="22">
        <f t="shared" si="107"/>
        <v>0.17472690907226007</v>
      </c>
      <c r="AP5" s="22">
        <f t="shared" si="107"/>
        <v>0.1371836145648313</v>
      </c>
      <c r="AQ5" s="22">
        <f t="shared" si="107"/>
        <v>-1.7479443553808816E-2</v>
      </c>
      <c r="AR5" s="22">
        <f t="shared" si="107"/>
        <v>0.14399005593536351</v>
      </c>
      <c r="AS5" s="22">
        <f t="shared" si="107"/>
        <v>0.23775430018335797</v>
      </c>
      <c r="AT5" s="22">
        <f t="shared" ref="AT5" si="108">IF(AND(AP3&lt;0,AT3&gt;0),"n/a",AT3/AP3-1)</f>
        <v>0.34777303233679069</v>
      </c>
      <c r="AU5" s="22">
        <f t="shared" ref="AU5" si="109">IF(AND(AQ3&lt;0,AU3&gt;0),"n/a",AU3/AQ3-1)</f>
        <v>0.62363808621506389</v>
      </c>
      <c r="AV5" s="22">
        <f t="shared" ref="AV5" si="110">IF(AND(AR3&lt;0,AV3&gt;0),"n/a",AV3/AR3-1)</f>
        <v>0.4097833409392182</v>
      </c>
      <c r="AW5" s="22">
        <f t="shared" ref="AW5" si="111">IF(AND(AS3&lt;0,AW3&gt;0),"n/a",AW3/AS3-1)</f>
        <v>0.32161752257336351</v>
      </c>
      <c r="AX5" s="22">
        <f t="shared" ref="AX5" si="112">IF(AND(AT3&lt;0,AX3&gt;0),"n/a",AX3/AT3-1)</f>
        <v>0.21852421910366693</v>
      </c>
      <c r="AY5" s="22">
        <f t="shared" ref="AY5" si="113">IF(AND(AU3&lt;0,AY3&gt;0),"n/a",AY3/AU3-1)</f>
        <v>0.12030148310235833</v>
      </c>
      <c r="AZ5" s="22">
        <f t="shared" ref="AZ5" si="114">IF(AND(AV3&lt;0,AZ3&gt;0),"n/a",AZ3/AV3-1)</f>
        <v>5.1962265314301481E-2</v>
      </c>
      <c r="BA5" s="22">
        <f t="shared" ref="BA5" si="115">IF(AND(AW3&lt;0,BA3&gt;0),"n/a",BA3/AW3-1)</f>
        <v>2.8288920617551838E-3</v>
      </c>
      <c r="BB5" s="22">
        <f t="shared" ref="BB5" si="116">IF(AND(AX3&lt;0,BB3&gt;0),"n/a",BB3/AX3-1)</f>
        <v>3.1533740507928121E-2</v>
      </c>
      <c r="BC5" s="22">
        <f t="shared" ref="BC5" si="117">IF(AND(AY3&lt;0,BC3&gt;0),"n/a",BC3/AY3-1)</f>
        <v>7.5220278657927908E-2</v>
      </c>
      <c r="BD5" s="22">
        <f t="shared" ref="BD5" si="118">IF(AND(AZ3&lt;0,BD3&gt;0),"n/a",BD3/AZ3-1)</f>
        <v>0.11945197450362666</v>
      </c>
      <c r="BE5" s="22">
        <f t="shared" ref="BE5" si="119">IF(AND(BA3&lt;0,BE3&gt;0),"n/a",BE3/BA3-1)</f>
        <v>0.13771905313161148</v>
      </c>
      <c r="BF5" s="22">
        <f t="shared" ref="BF5:BL5" si="120">IF(AND(BB3&lt;0,BF3&gt;0),"n/a",BF3/BB3-1)</f>
        <v>0.15208528416048406</v>
      </c>
      <c r="BG5" s="22">
        <f t="shared" si="120"/>
        <v>0.13400882717046136</v>
      </c>
      <c r="BH5" s="22">
        <f t="shared" si="120"/>
        <v>0.15008442739898165</v>
      </c>
      <c r="BI5" s="22">
        <f t="shared" si="120"/>
        <v>0.12334070149585386</v>
      </c>
      <c r="BJ5" s="22">
        <f t="shared" si="120"/>
        <v>0.11944180463162102</v>
      </c>
      <c r="BK5" s="22">
        <f t="shared" si="120"/>
        <v>0.14110946306733907</v>
      </c>
      <c r="BL5" s="22">
        <f t="shared" si="120"/>
        <v>0.16327691975006542</v>
      </c>
      <c r="BM5" s="22">
        <f t="shared" ref="BM5" si="121">IF(AND(BI3&lt;0,BM3&gt;0),"n/a",BM3/BI3-1)</f>
        <v>0.16335326528936056</v>
      </c>
      <c r="BN5" s="22">
        <f t="shared" ref="BN5" si="122">IF(AND(BJ3&lt;0,BN3&gt;0),"n/a",BN3/BJ3-1)</f>
        <v>0.15363867075992044</v>
      </c>
      <c r="BO5" s="22">
        <f t="shared" ref="BO5" si="123">IF(AND(BK3&lt;0,BO3&gt;0),"n/a",BO3/BK3-1)</f>
        <v>0.13857622417253324</v>
      </c>
      <c r="BP5" s="22">
        <f t="shared" ref="BP5" si="124">IF(AND(BL3&lt;0,BP3&gt;0),"n/a",BP3/BL3-1)</f>
        <v>0.13605355094843796</v>
      </c>
      <c r="BQ5" s="22">
        <f t="shared" ref="BQ5" si="125">IF(AND(BM3&lt;0,BQ3&gt;0),"n/a",BQ3/BM3-1)</f>
        <v>0.1233939668051196</v>
      </c>
      <c r="BR5" s="28">
        <f>IF(AND(BN3&lt;0,BR3&gt;0),"n/a",BR3/BN3-1)</f>
        <v>0.13632010282188034</v>
      </c>
      <c r="BS5" s="28">
        <f t="shared" ref="BS5" si="126">IF(AND(BO3&lt;0,BS3&gt;0),"n/a",BS3/BO3-1)</f>
        <v>0.13136534636225372</v>
      </c>
      <c r="BT5" s="28">
        <f t="shared" ref="BT5" si="127">IF(AND(BP3&lt;0,BT3&gt;0),"n/a",BT3/BP3-1)</f>
        <v>0.13281004483113712</v>
      </c>
      <c r="BU5" s="28">
        <f t="shared" ref="BU5" si="128">IF(AND(BQ3&lt;0,BU3&gt;0),"n/a",BU3/BQ3-1)</f>
        <v>0.12913232539536268</v>
      </c>
      <c r="BV5" s="28">
        <f t="shared" ref="BV5" si="129">IF(AND(BR3&lt;0,BV3&gt;0),"n/a",BV3/BR3-1)</f>
        <v>0.13006422414973851</v>
      </c>
      <c r="BW5" s="28">
        <f t="shared" ref="BW5" si="130">IF(AND(BS3&lt;0,BW3&gt;0),"n/a",BW3/BS3-1)</f>
        <v>0.12533523557576554</v>
      </c>
      <c r="BX5" s="28">
        <f t="shared" ref="BX5" si="131">IF(AND(BT3&lt;0,BX3&gt;0),"n/a",BX3/BT3-1)</f>
        <v>0.12683435621226535</v>
      </c>
      <c r="BY5" s="28">
        <f t="shared" ref="BY5" si="132">IF(AND(BU3&lt;0,BY3&gt;0),"n/a",BY3/BU3-1)</f>
        <v>0.12328737836438797</v>
      </c>
      <c r="BZ5" s="28">
        <f t="shared" ref="BZ5" si="133">IF(AND(BV3&lt;0,BZ3&gt;0),"n/a",BZ3/BV3-1)</f>
        <v>0.1208019416488848</v>
      </c>
      <c r="CA5" s="28">
        <f t="shared" ref="CA5" si="134">IF(AND(BW3&lt;0,CA3&gt;0),"n/a",CA3/BW3-1)</f>
        <v>0.1163162712574477</v>
      </c>
      <c r="CB5" s="28">
        <f t="shared" ref="CB5" si="135">IF(AND(BX3&lt;0,CB3&gt;0),"n/a",CB3/BX3-1)</f>
        <v>0.1176998270379106</v>
      </c>
      <c r="CC5" s="28">
        <f t="shared" ref="CC5" si="136">IF(AND(BY3&lt;0,CC3&gt;0),"n/a",CC3/BY3-1)</f>
        <v>0.11434781681189232</v>
      </c>
      <c r="CD5" s="28">
        <f t="shared" ref="CD5" si="137">IF(AND(BZ3&lt;0,CD3&gt;0),"n/a",CD3/BZ3-1)</f>
        <v>0.1117460021250285</v>
      </c>
      <c r="CE5" s="28">
        <f t="shared" ref="CE5" si="138">IF(AND(CA3&lt;0,CE3&gt;0),"n/a",CE3/CA3-1)</f>
        <v>0.1074822933596391</v>
      </c>
      <c r="CF5" s="28">
        <f t="shared" ref="CF5" si="139">IF(AND(CB3&lt;0,CF3&gt;0),"n/a",CF3/CB3-1)</f>
        <v>0.10873337698864227</v>
      </c>
      <c r="CG5" s="28">
        <f t="shared" ref="CG5" si="140">IF(AND(CC3&lt;0,CG3&gt;0),"n/a",CG3/CC3-1)</f>
        <v>0.10561049781628173</v>
      </c>
      <c r="CH5" s="28"/>
      <c r="CI5" s="106" t="s">
        <v>82</v>
      </c>
      <c r="CJ5" s="22">
        <f>IF(AND(CI3&lt;0,CJ3&gt;0),"n/a",CJ3/CI3-1)</f>
        <v>0.2927594556802291</v>
      </c>
      <c r="CK5" s="107">
        <f t="shared" ref="CK5:CY5" si="141">IF(AND(CJ3&lt;0,CK3&gt;0),"n/a",CK3/CJ3-1)</f>
        <v>0.21461548608363024</v>
      </c>
      <c r="CL5" s="107">
        <f t="shared" si="141"/>
        <v>0.20588618592528229</v>
      </c>
      <c r="CM5" s="22">
        <f t="shared" si="141"/>
        <v>0.18689097426106382</v>
      </c>
      <c r="CN5" s="107">
        <f t="shared" si="141"/>
        <v>0.13122391683739276</v>
      </c>
      <c r="CO5" s="22">
        <f t="shared" si="141"/>
        <v>0.20015561696761552</v>
      </c>
      <c r="CP5" s="107">
        <f t="shared" si="141"/>
        <v>0.23379759003822853</v>
      </c>
      <c r="CQ5" s="22">
        <f t="shared" si="141"/>
        <v>0.23303556868216502</v>
      </c>
      <c r="CR5" s="107">
        <f t="shared" si="141"/>
        <v>0.18106539309331371</v>
      </c>
      <c r="CS5" s="22">
        <f t="shared" si="141"/>
        <v>0.13033849063411784</v>
      </c>
      <c r="CT5" s="107">
        <f t="shared" si="141"/>
        <v>0.41300758417999495</v>
      </c>
      <c r="CU5" s="22">
        <f t="shared" si="141"/>
        <v>8.9870878532338772E-2</v>
      </c>
      <c r="CV5" s="107">
        <f t="shared" si="141"/>
        <v>9.2288283394327486E-2</v>
      </c>
      <c r="CW5" s="22">
        <f t="shared" si="141"/>
        <v>0.13914818850182087</v>
      </c>
      <c r="CX5" s="107">
        <f t="shared" si="141"/>
        <v>0.14786324000751883</v>
      </c>
      <c r="CY5" s="107">
        <f t="shared" si="141"/>
        <v>0.13706025958555168</v>
      </c>
      <c r="CZ5" s="107">
        <f>IF(AND(CY3&lt;0,CZ3&gt;0),"n/a",CZ3/CY3-1)</f>
        <v>0.13224376660250181</v>
      </c>
      <c r="DA5" s="107">
        <f>IF(AND(CZ3&lt;0,DA3&gt;0),"n/a",DA3/CZ3-1)</f>
        <v>0.12623301513980345</v>
      </c>
      <c r="DB5" s="107">
        <f>IF(AND(DA3&lt;0,DB3&gt;0),"n/a",DB3/DA3-1)</f>
        <v>0.11715596770580294</v>
      </c>
      <c r="DC5" s="107">
        <f>IF(AND(DB3&lt;0,DC3&gt;0),"n/a",DC3/DB3-1)</f>
        <v>0.10826849497608015</v>
      </c>
    </row>
    <row r="6" spans="1:107" x14ac:dyDescent="0.2">
      <c r="A6" s="14" t="s">
        <v>61</v>
      </c>
      <c r="B6" s="22">
        <f t="shared" ref="B6:AG6" si="142">B3/B$64</f>
        <v>1</v>
      </c>
      <c r="C6" s="22">
        <f t="shared" si="142"/>
        <v>1</v>
      </c>
      <c r="D6" s="22">
        <f t="shared" si="142"/>
        <v>1</v>
      </c>
      <c r="E6" s="22">
        <f t="shared" si="142"/>
        <v>1</v>
      </c>
      <c r="F6" s="22">
        <f t="shared" si="142"/>
        <v>1</v>
      </c>
      <c r="G6" s="22">
        <f t="shared" si="142"/>
        <v>1</v>
      </c>
      <c r="H6" s="22">
        <f t="shared" si="142"/>
        <v>1</v>
      </c>
      <c r="I6" s="22">
        <f t="shared" si="142"/>
        <v>1</v>
      </c>
      <c r="J6" s="22">
        <f t="shared" si="142"/>
        <v>1</v>
      </c>
      <c r="K6" s="22">
        <f t="shared" si="142"/>
        <v>1</v>
      </c>
      <c r="L6" s="22">
        <f t="shared" si="142"/>
        <v>1</v>
      </c>
      <c r="M6" s="22">
        <f t="shared" si="142"/>
        <v>1</v>
      </c>
      <c r="N6" s="22">
        <f t="shared" si="142"/>
        <v>1</v>
      </c>
      <c r="O6" s="22">
        <f t="shared" si="142"/>
        <v>1</v>
      </c>
      <c r="P6" s="22">
        <f t="shared" si="142"/>
        <v>1</v>
      </c>
      <c r="Q6" s="22">
        <f t="shared" si="142"/>
        <v>1</v>
      </c>
      <c r="R6" s="22">
        <f t="shared" si="142"/>
        <v>1</v>
      </c>
      <c r="S6" s="22">
        <f t="shared" si="142"/>
        <v>1</v>
      </c>
      <c r="T6" s="22">
        <f t="shared" si="142"/>
        <v>1</v>
      </c>
      <c r="U6" s="22">
        <f t="shared" si="142"/>
        <v>0.99414461691432354</v>
      </c>
      <c r="V6" s="22">
        <f t="shared" si="142"/>
        <v>0.99536446865221928</v>
      </c>
      <c r="W6" s="22">
        <f t="shared" si="142"/>
        <v>0.99582557680374573</v>
      </c>
      <c r="X6" s="22">
        <f t="shared" si="142"/>
        <v>0.9923962516733601</v>
      </c>
      <c r="Y6" s="22">
        <f t="shared" si="142"/>
        <v>0.99292043696375831</v>
      </c>
      <c r="Z6" s="22">
        <f t="shared" si="142"/>
        <v>0.99180530187095817</v>
      </c>
      <c r="AA6" s="22">
        <f t="shared" si="142"/>
        <v>0.99139534883720926</v>
      </c>
      <c r="AB6" s="22">
        <f t="shared" si="142"/>
        <v>0.99122533517437972</v>
      </c>
      <c r="AC6" s="22">
        <f t="shared" si="142"/>
        <v>0.98994782074892573</v>
      </c>
      <c r="AD6" s="22">
        <f t="shared" si="142"/>
        <v>0.9946666666666667</v>
      </c>
      <c r="AE6" s="22">
        <f t="shared" si="142"/>
        <v>0.99627066512879658</v>
      </c>
      <c r="AF6" s="22">
        <f t="shared" si="142"/>
        <v>0.99578712372173417</v>
      </c>
      <c r="AG6" s="22">
        <f t="shared" si="142"/>
        <v>0.99594715837020076</v>
      </c>
      <c r="AH6" s="22">
        <f t="shared" ref="AH6:BQ6" si="143">AH3/AH$64</f>
        <v>0.99518397225968025</v>
      </c>
      <c r="AI6" s="22">
        <f t="shared" si="143"/>
        <v>0.99555991058578563</v>
      </c>
      <c r="AJ6" s="22">
        <f t="shared" si="143"/>
        <v>0.99567279193835212</v>
      </c>
      <c r="AK6" s="22">
        <f t="shared" si="143"/>
        <v>0.99292188613911803</v>
      </c>
      <c r="AL6" s="22">
        <f t="shared" si="143"/>
        <v>0.99155177632846259</v>
      </c>
      <c r="AM6" s="22">
        <f t="shared" si="143"/>
        <v>0.99306696795398519</v>
      </c>
      <c r="AN6" s="22">
        <f t="shared" si="143"/>
        <v>0.99323440084940373</v>
      </c>
      <c r="AO6" s="22">
        <f t="shared" si="143"/>
        <v>0.99429191535539885</v>
      </c>
      <c r="AP6" s="22">
        <f t="shared" si="143"/>
        <v>0.99552953181564174</v>
      </c>
      <c r="AQ6" s="22">
        <f t="shared" si="143"/>
        <v>0.99219259994255427</v>
      </c>
      <c r="AR6" s="22">
        <f t="shared" si="143"/>
        <v>0.996621402118121</v>
      </c>
      <c r="AS6" s="22">
        <f t="shared" si="143"/>
        <v>0.99659038982038028</v>
      </c>
      <c r="AT6" s="22">
        <f t="shared" si="143"/>
        <v>0.99839100408576487</v>
      </c>
      <c r="AU6" s="22">
        <f t="shared" si="143"/>
        <v>0.9970103425985779</v>
      </c>
      <c r="AV6" s="22">
        <f t="shared" si="143"/>
        <v>0.99625295617187259</v>
      </c>
      <c r="AW6" s="22">
        <f t="shared" si="143"/>
        <v>0.99490209093926318</v>
      </c>
      <c r="AX6" s="22">
        <f t="shared" si="143"/>
        <v>0.98944288423931426</v>
      </c>
      <c r="AY6" s="22">
        <f t="shared" si="143"/>
        <v>0.99184903494295762</v>
      </c>
      <c r="AZ6" s="22">
        <f t="shared" si="143"/>
        <v>0.98774098303710989</v>
      </c>
      <c r="BA6" s="22">
        <f t="shared" si="143"/>
        <v>0.98823111718914369</v>
      </c>
      <c r="BB6" s="22">
        <f t="shared" si="143"/>
        <v>0.99466949431842611</v>
      </c>
      <c r="BC6" s="22">
        <f t="shared" si="143"/>
        <v>0.99613961717870358</v>
      </c>
      <c r="BD6" s="22">
        <f t="shared" si="143"/>
        <v>0.99614045610420765</v>
      </c>
      <c r="BE6" s="22">
        <f t="shared" si="143"/>
        <v>0.99064998262078552</v>
      </c>
      <c r="BF6" s="22">
        <f t="shared" si="143"/>
        <v>0.99295993245508385</v>
      </c>
      <c r="BG6" s="22">
        <f t="shared" ref="BG6:BH6" si="144">BG3/BG$64</f>
        <v>0.99448915531849613</v>
      </c>
      <c r="BH6" s="22">
        <f t="shared" si="144"/>
        <v>0.99541170072959628</v>
      </c>
      <c r="BI6" s="22">
        <f t="shared" ref="BI6:BJ6" si="145">BI3/BI$64</f>
        <v>0.9956462697861489</v>
      </c>
      <c r="BJ6" s="22">
        <f t="shared" si="145"/>
        <v>0.99213156903162891</v>
      </c>
      <c r="BK6" s="22">
        <f t="shared" ref="BK6:BL6" si="146">BK3/BK$64</f>
        <v>0.99729331729373216</v>
      </c>
      <c r="BL6" s="22">
        <f t="shared" si="146"/>
        <v>0.99866140347448851</v>
      </c>
      <c r="BM6" s="22">
        <f t="shared" si="143"/>
        <v>0.99625531336855311</v>
      </c>
      <c r="BN6" s="22">
        <f t="shared" si="143"/>
        <v>0.99544582037194107</v>
      </c>
      <c r="BO6" s="22">
        <f t="shared" si="143"/>
        <v>0.99643582282539434</v>
      </c>
      <c r="BP6" s="22">
        <f t="shared" si="143"/>
        <v>0.99689893456170642</v>
      </c>
      <c r="BQ6" s="22">
        <f t="shared" si="143"/>
        <v>0.99649910605197867</v>
      </c>
      <c r="BR6" s="28">
        <f>BR3/BR$64</f>
        <v>0.99579032044293736</v>
      </c>
      <c r="BS6" s="28">
        <f t="shared" ref="BS6:BU6" si="147">BS3/BS$64</f>
        <v>0.99669130262005912</v>
      </c>
      <c r="BT6" s="28">
        <f t="shared" si="147"/>
        <v>0.99712497516275567</v>
      </c>
      <c r="BU6" s="28">
        <f t="shared" si="147"/>
        <v>0.99674365822346922</v>
      </c>
      <c r="BV6" s="28">
        <f t="shared" ref="BV6:CC6" si="148">BV3/BV$64</f>
        <v>0.99608740622034353</v>
      </c>
      <c r="BW6" s="28">
        <f t="shared" si="148"/>
        <v>0.9969121184256331</v>
      </c>
      <c r="BX6" s="28">
        <f t="shared" si="148"/>
        <v>0.99732048639727378</v>
      </c>
      <c r="BY6" s="28">
        <f t="shared" si="148"/>
        <v>0.99695546704679749</v>
      </c>
      <c r="BZ6" s="28">
        <f t="shared" si="148"/>
        <v>0.99633366167367821</v>
      </c>
      <c r="CA6" s="28">
        <f t="shared" si="148"/>
        <v>0.99709502530064131</v>
      </c>
      <c r="CB6" s="28">
        <f t="shared" si="148"/>
        <v>0.99748237772071058</v>
      </c>
      <c r="CC6" s="28">
        <f t="shared" si="148"/>
        <v>0.99713076863344374</v>
      </c>
      <c r="CD6" s="28">
        <f t="shared" ref="CD6:CG6" si="149">CD3/CD$64</f>
        <v>0.99653658363557818</v>
      </c>
      <c r="CE6" s="28">
        <f t="shared" si="149"/>
        <v>0.99724538854451028</v>
      </c>
      <c r="CF6" s="28">
        <f t="shared" si="149"/>
        <v>0.99761542671006165</v>
      </c>
      <c r="CG6" s="28">
        <f t="shared" si="149"/>
        <v>0.99727469322233486</v>
      </c>
      <c r="CH6" s="28"/>
      <c r="CI6" s="107">
        <f t="shared" ref="CI6:CY6" si="150">CI3/CI$64</f>
        <v>1</v>
      </c>
      <c r="CJ6" s="22">
        <f t="shared" si="150"/>
        <v>1</v>
      </c>
      <c r="CK6" s="107">
        <f t="shared" si="150"/>
        <v>1</v>
      </c>
      <c r="CL6" s="107">
        <f t="shared" si="150"/>
        <v>1</v>
      </c>
      <c r="CM6" s="22">
        <f t="shared" si="150"/>
        <v>0.9983939637278223</v>
      </c>
      <c r="CN6" s="107">
        <f t="shared" si="150"/>
        <v>0.99403912573844166</v>
      </c>
      <c r="CO6" s="22">
        <f t="shared" si="150"/>
        <v>0.99102711804324706</v>
      </c>
      <c r="CP6" s="107">
        <f t="shared" si="150"/>
        <v>0.99569708177348792</v>
      </c>
      <c r="CQ6" s="22">
        <f t="shared" si="150"/>
        <v>0.99474488192429411</v>
      </c>
      <c r="CR6" s="107">
        <f t="shared" si="150"/>
        <v>0.99311738139221661</v>
      </c>
      <c r="CS6" s="22">
        <f t="shared" si="150"/>
        <v>0.99543629161713065</v>
      </c>
      <c r="CT6" s="107">
        <f t="shared" si="150"/>
        <v>0.99649895007316491</v>
      </c>
      <c r="CU6" s="22">
        <f t="shared" si="150"/>
        <v>0.98929414925964165</v>
      </c>
      <c r="CV6" s="107">
        <f t="shared" si="150"/>
        <v>0.99426468961658332</v>
      </c>
      <c r="CW6" s="22">
        <f t="shared" si="150"/>
        <v>0.99468884457370765</v>
      </c>
      <c r="CX6" s="107">
        <f t="shared" si="150"/>
        <v>0.99619111164882634</v>
      </c>
      <c r="CY6" s="107">
        <f t="shared" si="150"/>
        <v>0.99634636372427832</v>
      </c>
      <c r="CZ6" s="107">
        <f>CZ3/CZ$64</f>
        <v>0.99661085659964666</v>
      </c>
      <c r="DA6" s="107">
        <f>DA3/DA$64</f>
        <v>0.9968395375786403</v>
      </c>
      <c r="DB6" s="107">
        <f>DB3/DB$64</f>
        <v>0.99702895904982836</v>
      </c>
      <c r="DC6" s="107">
        <f>DC3/DC$64</f>
        <v>0.99718472519357337</v>
      </c>
    </row>
    <row r="7" spans="1:107" x14ac:dyDescent="0.2"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92"/>
      <c r="CK7" s="92"/>
      <c r="CL7" s="92"/>
      <c r="CN7" s="92"/>
      <c r="CP7" s="92"/>
      <c r="CR7" s="118"/>
      <c r="CS7" s="77"/>
      <c r="CT7" s="118"/>
      <c r="CU7" s="77"/>
      <c r="CV7" s="118"/>
      <c r="CW7" s="77"/>
      <c r="CX7" s="118"/>
      <c r="CY7" s="118"/>
      <c r="CZ7" s="118"/>
      <c r="DA7" s="118"/>
      <c r="DB7" s="118"/>
      <c r="DC7" s="118"/>
    </row>
    <row r="8" spans="1:107" x14ac:dyDescent="0.2">
      <c r="A8" s="9" t="s">
        <v>58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1">
        <f t="shared" ref="AK8:BQ8" si="151">SUM(AK14,AK41)</f>
        <v>37289</v>
      </c>
      <c r="AL8" s="21">
        <f t="shared" si="151"/>
        <v>34207</v>
      </c>
      <c r="AM8" s="21">
        <f t="shared" si="151"/>
        <v>36574</v>
      </c>
      <c r="AN8" s="21">
        <f t="shared" si="151"/>
        <v>37846</v>
      </c>
      <c r="AO8" s="21">
        <f t="shared" si="151"/>
        <v>43198</v>
      </c>
      <c r="AP8" s="21">
        <f t="shared" si="151"/>
        <v>38198</v>
      </c>
      <c r="AQ8" s="21">
        <f t="shared" si="151"/>
        <v>34991</v>
      </c>
      <c r="AR8" s="21">
        <f t="shared" si="151"/>
        <v>42573</v>
      </c>
      <c r="AS8" s="21">
        <f t="shared" si="151"/>
        <v>52873</v>
      </c>
      <c r="AT8" s="21">
        <f t="shared" si="151"/>
        <v>51178</v>
      </c>
      <c r="AU8" s="21">
        <f t="shared" si="151"/>
        <v>57067</v>
      </c>
      <c r="AV8" s="21">
        <f t="shared" si="151"/>
        <v>59884</v>
      </c>
      <c r="AW8" s="21">
        <f t="shared" si="151"/>
        <v>69400</v>
      </c>
      <c r="AX8" s="21">
        <f t="shared" si="151"/>
        <v>61472</v>
      </c>
      <c r="AY8" s="21">
        <f t="shared" si="151"/>
        <v>62841</v>
      </c>
      <c r="AZ8" s="21">
        <f t="shared" si="151"/>
        <v>61377</v>
      </c>
      <c r="BA8" s="21">
        <f t="shared" si="151"/>
        <v>67838</v>
      </c>
      <c r="BB8" s="21">
        <f t="shared" si="151"/>
        <v>61961</v>
      </c>
      <c r="BC8" s="21">
        <f t="shared" si="151"/>
        <v>66285</v>
      </c>
      <c r="BD8" s="21">
        <f t="shared" si="151"/>
        <v>67986</v>
      </c>
      <c r="BE8" s="21">
        <f t="shared" si="151"/>
        <v>76311</v>
      </c>
      <c r="BF8" s="21">
        <f t="shared" si="151"/>
        <v>70398</v>
      </c>
      <c r="BG8" s="21">
        <f t="shared" ref="BG8:BH8" si="152">SUM(BG14,BG41)</f>
        <v>73928</v>
      </c>
      <c r="BH8" s="21">
        <f t="shared" si="152"/>
        <v>76510</v>
      </c>
      <c r="BI8" s="21">
        <f t="shared" ref="BI8:BJ8" si="153">SUM(BI14,BI41)</f>
        <v>84094</v>
      </c>
      <c r="BJ8" s="21">
        <f t="shared" si="153"/>
        <v>77264</v>
      </c>
      <c r="BK8" s="21">
        <f t="shared" ref="BK8:BL8" si="154">SUM(BK14,BK41)</f>
        <v>82543</v>
      </c>
      <c r="BL8" s="21">
        <f t="shared" si="154"/>
        <v>87052</v>
      </c>
      <c r="BM8" s="21">
        <f t="shared" si="151"/>
        <v>95001.917777777795</v>
      </c>
      <c r="BN8" s="21">
        <f t="shared" si="151"/>
        <v>85869.148361111118</v>
      </c>
      <c r="BO8" s="21">
        <f t="shared" si="151"/>
        <v>90964.819749999995</v>
      </c>
      <c r="BP8" s="21">
        <f t="shared" si="151"/>
        <v>95956.087388888889</v>
      </c>
      <c r="BQ8" s="21">
        <f t="shared" si="151"/>
        <v>104605.57608888891</v>
      </c>
      <c r="BR8" s="21">
        <f>SUM(BR14,BR41)</f>
        <v>94899.395428971766</v>
      </c>
      <c r="BS8" s="21">
        <f t="shared" ref="BS8:BU8" si="155">SUM(BS14,BS41)</f>
        <v>99975.160414460232</v>
      </c>
      <c r="BT8" s="21">
        <f t="shared" si="155"/>
        <v>105531.25721667008</v>
      </c>
      <c r="BU8" s="21">
        <f t="shared" si="155"/>
        <v>114747.98454124641</v>
      </c>
      <c r="BV8" s="21">
        <f t="shared" ref="BV8:CC8" si="156">SUM(BV14,BV41)</f>
        <v>104324.33116519744</v>
      </c>
      <c r="BW8" s="21">
        <f t="shared" si="156"/>
        <v>109286.82082322669</v>
      </c>
      <c r="BX8" s="21">
        <f t="shared" si="156"/>
        <v>115453.29170999586</v>
      </c>
      <c r="BY8" s="21">
        <f t="shared" si="156"/>
        <v>125205.30610127568</v>
      </c>
      <c r="BZ8" s="21">
        <f t="shared" si="156"/>
        <v>113836.94489998944</v>
      </c>
      <c r="CA8" s="21">
        <f t="shared" si="156"/>
        <v>118574.90582095303</v>
      </c>
      <c r="CB8" s="21">
        <f t="shared" si="156"/>
        <v>125362.48213430136</v>
      </c>
      <c r="CC8" s="21">
        <f t="shared" si="156"/>
        <v>135589.4607859494</v>
      </c>
      <c r="CD8" s="21">
        <f t="shared" ref="CD8:CG8" si="157">SUM(CD14,CD41)</f>
        <v>123486.07000215737</v>
      </c>
      <c r="CE8" s="21">
        <f t="shared" si="157"/>
        <v>127892.45345784081</v>
      </c>
      <c r="CF8" s="21">
        <f t="shared" si="157"/>
        <v>135315.30972768366</v>
      </c>
      <c r="CG8" s="21">
        <f t="shared" si="157"/>
        <v>145961.13535082291</v>
      </c>
      <c r="CH8" s="21"/>
      <c r="CI8" s="108"/>
      <c r="CJ8" s="45"/>
      <c r="CK8" s="108"/>
      <c r="CL8" s="108"/>
      <c r="CM8" s="45"/>
      <c r="CN8" s="108"/>
      <c r="CO8" s="45"/>
      <c r="CP8" s="108"/>
      <c r="CQ8" s="78">
        <v>130524</v>
      </c>
      <c r="CR8" s="90">
        <f>SUM(AL8:AO8)</f>
        <v>151825</v>
      </c>
      <c r="CS8" s="21">
        <f>SUM(AP8:AS8)</f>
        <v>168635</v>
      </c>
      <c r="CT8" s="90">
        <f>SUM(AT8:AW8)</f>
        <v>237529</v>
      </c>
      <c r="CU8" s="21">
        <f>SUM(AX8:BA8)</f>
        <v>253528</v>
      </c>
      <c r="CV8" s="90">
        <f>SUM(BB8:BE8)</f>
        <v>272543</v>
      </c>
      <c r="CW8" s="21">
        <f>SUM(BF8:BI8)</f>
        <v>304930</v>
      </c>
      <c r="CX8" s="90">
        <f>SUM(BJ8:BM8)</f>
        <v>341860.91777777777</v>
      </c>
      <c r="CY8" s="90">
        <f>SUM(BN8:BQ8)</f>
        <v>377395.63158888894</v>
      </c>
      <c r="CZ8" s="90">
        <f>SUM(BR8:BU8)</f>
        <v>415153.79760134849</v>
      </c>
      <c r="DA8" s="90">
        <f>SUM(BV8:BY8)</f>
        <v>454269.74979969562</v>
      </c>
      <c r="DB8" s="90">
        <f>SUM(BZ8:CC8)</f>
        <v>493363.79364119319</v>
      </c>
      <c r="DC8" s="90">
        <f>SUM(CD8:CG8)</f>
        <v>532654.96853850479</v>
      </c>
    </row>
    <row r="9" spans="1:107" x14ac:dyDescent="0.2">
      <c r="A9" s="8" t="s">
        <v>62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5" t="s">
        <v>82</v>
      </c>
      <c r="AL9" s="22">
        <f>IF(AND(AK8&lt;0,AL8&gt;0),"n/a",AL8/AK8-1)</f>
        <v>-8.2651720346482827E-2</v>
      </c>
      <c r="AM9" s="22">
        <f t="shared" ref="AM9" si="158">IF(AND(AL8&lt;0,AM8&gt;0),"n/a",AM8/AL8-1)</f>
        <v>6.9196363317449716E-2</v>
      </c>
      <c r="AN9" s="22">
        <f t="shared" ref="AN9" si="159">IF(AND(AM8&lt;0,AN8&gt;0),"n/a",AN8/AM8-1)</f>
        <v>3.4778804615300585E-2</v>
      </c>
      <c r="AO9" s="22">
        <f t="shared" ref="AO9" si="160">IF(AND(AN8&lt;0,AO8&gt;0),"n/a",AO8/AN8-1)</f>
        <v>0.14141520900491455</v>
      </c>
      <c r="AP9" s="22">
        <f t="shared" ref="AP9" si="161">IF(AND(AO8&lt;0,AP8&gt;0),"n/a",AP8/AO8-1)</f>
        <v>-0.11574609935645164</v>
      </c>
      <c r="AQ9" s="22">
        <f t="shared" ref="AQ9" si="162">IF(AND(AP8&lt;0,AQ8&gt;0),"n/a",AQ8/AP8-1)</f>
        <v>-8.3957275250013064E-2</v>
      </c>
      <c r="AR9" s="22">
        <f t="shared" ref="AR9" si="163">IF(AND(AQ8&lt;0,AR8&gt;0),"n/a",AR8/AQ8-1)</f>
        <v>0.21668429024606328</v>
      </c>
      <c r="AS9" s="22">
        <f t="shared" ref="AS9" si="164">IF(AND(AR8&lt;0,AS8&gt;0),"n/a",AS8/AR8-1)</f>
        <v>0.24193737815047101</v>
      </c>
      <c r="AT9" s="22">
        <f t="shared" ref="AT9" si="165">IF(AND(AS8&lt;0,AT8&gt;0),"n/a",AT8/AS8-1)</f>
        <v>-3.2057950182512784E-2</v>
      </c>
      <c r="AU9" s="22">
        <f t="shared" ref="AU9" si="166">IF(AND(AT8&lt;0,AU8&gt;0),"n/a",AU8/AT8-1)</f>
        <v>0.11506897495017387</v>
      </c>
      <c r="AV9" s="22">
        <f t="shared" ref="AV9" si="167">IF(AND(AU8&lt;0,AV8&gt;0),"n/a",AV8/AU8-1)</f>
        <v>4.9363029421557014E-2</v>
      </c>
      <c r="AW9" s="22">
        <f t="shared" ref="AW9" si="168">IF(AND(AV8&lt;0,AW8&gt;0),"n/a",AW8/AV8-1)</f>
        <v>0.15890722062654472</v>
      </c>
      <c r="AX9" s="22">
        <f t="shared" ref="AX9" si="169">IF(AND(AW8&lt;0,AX8&gt;0),"n/a",AX8/AW8-1)</f>
        <v>-0.11423631123919309</v>
      </c>
      <c r="AY9" s="22">
        <f t="shared" ref="AY9" si="170">IF(AND(AX8&lt;0,AY8&gt;0),"n/a",AY8/AX8-1)</f>
        <v>2.2270301926080149E-2</v>
      </c>
      <c r="AZ9" s="22">
        <f t="shared" ref="AZ9" si="171">IF(AND(AY8&lt;0,AZ8&gt;0),"n/a",AZ8/AY8-1)</f>
        <v>-2.3296892156394744E-2</v>
      </c>
      <c r="BA9" s="22">
        <f t="shared" ref="BA9" si="172">IF(AND(AZ8&lt;0,BA8&gt;0),"n/a",BA8/AZ8-1)</f>
        <v>0.10526744546002575</v>
      </c>
      <c r="BB9" s="22">
        <f t="shared" ref="BB9" si="173">IF(AND(BA8&lt;0,BB8&gt;0),"n/a",BB8/BA8-1)</f>
        <v>-8.6632860638580111E-2</v>
      </c>
      <c r="BC9" s="22">
        <f t="shared" ref="BC9" si="174">IF(AND(BB8&lt;0,BC8&gt;0),"n/a",BC8/BB8-1)</f>
        <v>6.9785833023998878E-2</v>
      </c>
      <c r="BD9" s="22">
        <f t="shared" ref="BD9" si="175">IF(AND(BC8&lt;0,BD8&gt;0),"n/a",BD8/BC8-1)</f>
        <v>2.5661914460285207E-2</v>
      </c>
      <c r="BE9" s="22">
        <f t="shared" ref="BE9" si="176">IF(AND(BD8&lt;0,BE8&gt;0),"n/a",BE8/BD8-1)</f>
        <v>0.12245168122848815</v>
      </c>
      <c r="BF9" s="22">
        <f t="shared" ref="BF9:BL9" si="177">IF(AND(BE8&lt;0,BF8&gt;0),"n/a",BF8/BE8-1)</f>
        <v>-7.7485552541573299E-2</v>
      </c>
      <c r="BG9" s="22">
        <f t="shared" si="177"/>
        <v>5.014346998494279E-2</v>
      </c>
      <c r="BH9" s="22">
        <f t="shared" si="177"/>
        <v>3.4925873823179243E-2</v>
      </c>
      <c r="BI9" s="22">
        <f t="shared" si="177"/>
        <v>9.9124297477453993E-2</v>
      </c>
      <c r="BJ9" s="22">
        <f t="shared" si="177"/>
        <v>-8.1218636287963442E-2</v>
      </c>
      <c r="BK9" s="22">
        <f t="shared" si="177"/>
        <v>6.8324187202319253E-2</v>
      </c>
      <c r="BL9" s="22">
        <f t="shared" si="177"/>
        <v>5.4626073682807696E-2</v>
      </c>
      <c r="BM9" s="22">
        <f t="shared" ref="BM9" si="178">IF(AND(BL8&lt;0,BM8&gt;0),"n/a",BM8/BL8-1)</f>
        <v>9.1323780932980325E-2</v>
      </c>
      <c r="BN9" s="22">
        <f t="shared" ref="BN9" si="179">IF(AND(BM8&lt;0,BN8&gt;0),"n/a",BN8/BM8-1)</f>
        <v>-9.6132474273092572E-2</v>
      </c>
      <c r="BO9" s="22">
        <f t="shared" ref="BO9" si="180">IF(AND(BN8&lt;0,BO8&gt;0),"n/a",BO8/BN8-1)</f>
        <v>5.9342284000066137E-2</v>
      </c>
      <c r="BP9" s="22">
        <f t="shared" ref="BP9" si="181">IF(AND(BO8&lt;0,BP8&gt;0),"n/a",BP8/BO8-1)</f>
        <v>5.4870307582716826E-2</v>
      </c>
      <c r="BQ9" s="22">
        <f t="shared" ref="BQ9" si="182">IF(AND(BP8&lt;0,BQ8&gt;0),"n/a",BQ8/BP8-1)</f>
        <v>9.0140072770428237E-2</v>
      </c>
      <c r="BR9" s="28">
        <f>IF(AND(BQ8&lt;0,BR8&gt;0),"n/a",BR8/BQ8-1)</f>
        <v>-9.2788367722092424E-2</v>
      </c>
      <c r="BS9" s="28">
        <f t="shared" ref="BS9" si="183">IF(AND(BR8&lt;0,BS8&gt;0),"n/a",BS8/BR8-1)</f>
        <v>5.348574627419489E-2</v>
      </c>
      <c r="BT9" s="28">
        <f t="shared" ref="BT9" si="184">IF(AND(BS8&lt;0,BT8&gt;0),"n/a",BT8/BS8-1)</f>
        <v>5.5574772565268438E-2</v>
      </c>
      <c r="BU9" s="28">
        <f t="shared" ref="BU9" si="185">IF(AND(BT8&lt;0,BU8&gt;0),"n/a",BU8/BT8-1)</f>
        <v>8.7336468527548394E-2</v>
      </c>
      <c r="BV9" s="28">
        <f t="shared" ref="BV9" si="186">IF(AND(BU8&lt;0,BV8&gt;0),"n/a",BV8/BU8-1)</f>
        <v>-9.0839533415091656E-2</v>
      </c>
      <c r="BW9" s="28">
        <f t="shared" ref="BW9" si="187">IF(AND(BV8&lt;0,BW8&gt;0),"n/a",BW8/BV8-1)</f>
        <v>4.7567902929290362E-2</v>
      </c>
      <c r="BX9" s="28">
        <f t="shared" ref="BX9" si="188">IF(AND(BW8&lt;0,BX8&gt;0),"n/a",BX8/BW8-1)</f>
        <v>5.6424652490747684E-2</v>
      </c>
      <c r="BY9" s="28">
        <f t="shared" ref="BY9" si="189">IF(AND(BX8&lt;0,BY8&gt;0),"n/a",BY8/BX8-1)</f>
        <v>8.4467183627606301E-2</v>
      </c>
      <c r="BZ9" s="28">
        <f t="shared" ref="BZ9" si="190">IF(AND(BY8&lt;0,BZ8&gt;0),"n/a",BZ8/BY8-1)</f>
        <v>-9.0797758939150985E-2</v>
      </c>
      <c r="CA9" s="28">
        <f t="shared" ref="CA9" si="191">IF(AND(BZ8&lt;0,CA8&gt;0),"n/a",CA8/BZ8-1)</f>
        <v>4.1620590970058879E-2</v>
      </c>
      <c r="CB9" s="28">
        <f t="shared" ref="CB9" si="192">IF(AND(CA8&lt;0,CB8&gt;0),"n/a",CB8/CA8-1)</f>
        <v>5.7242940792190167E-2</v>
      </c>
      <c r="CC9" s="28">
        <f t="shared" ref="CC9" si="193">IF(AND(CB8&lt;0,CC8&gt;0),"n/a",CC8/CB8-1)</f>
        <v>8.1579261016001769E-2</v>
      </c>
      <c r="CD9" s="28">
        <f t="shared" ref="CD9" si="194">IF(AND(CC8&lt;0,CD8&gt;0),"n/a",CD8/CC8-1)</f>
        <v>-8.9264982054167552E-2</v>
      </c>
      <c r="CE9" s="28">
        <f t="shared" ref="CE9" si="195">IF(AND(CD8&lt;0,CE8&gt;0),"n/a",CE8/CD8-1)</f>
        <v>3.5683243102695217E-2</v>
      </c>
      <c r="CF9" s="28">
        <f t="shared" ref="CF9" si="196">IF(AND(CE8&lt;0,CF8&gt;0),"n/a",CF8/CE8-1)</f>
        <v>5.8039830100606871E-2</v>
      </c>
      <c r="CG9" s="28">
        <f t="shared" ref="CG9" si="197">IF(AND(CF8&lt;0,CG8&gt;0),"n/a",CG8/CF8-1)</f>
        <v>7.8674213912405921E-2</v>
      </c>
      <c r="CH9" s="28"/>
      <c r="CI9" s="109"/>
      <c r="CJ9" s="59"/>
      <c r="CK9" s="109"/>
      <c r="CL9" s="109"/>
      <c r="CM9" s="59"/>
      <c r="CN9" s="109"/>
      <c r="CO9" s="59"/>
      <c r="CP9" s="109"/>
      <c r="CQ9" s="48" t="s">
        <v>82</v>
      </c>
      <c r="CR9" s="106" t="s">
        <v>82</v>
      </c>
      <c r="CS9" s="48" t="s">
        <v>82</v>
      </c>
      <c r="CT9" s="106" t="s">
        <v>82</v>
      </c>
      <c r="CU9" s="48" t="s">
        <v>82</v>
      </c>
      <c r="CV9" s="106" t="s">
        <v>82</v>
      </c>
      <c r="CW9" s="48" t="s">
        <v>82</v>
      </c>
      <c r="CX9" s="106" t="s">
        <v>82</v>
      </c>
      <c r="CY9" s="106" t="s">
        <v>82</v>
      </c>
      <c r="CZ9" s="106" t="s">
        <v>82</v>
      </c>
      <c r="DA9" s="106" t="s">
        <v>82</v>
      </c>
      <c r="DB9" s="106" t="s">
        <v>82</v>
      </c>
      <c r="DC9" s="106" t="s">
        <v>82</v>
      </c>
    </row>
    <row r="10" spans="1:107" x14ac:dyDescent="0.2">
      <c r="A10" s="8" t="s">
        <v>63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5" t="s">
        <v>82</v>
      </c>
      <c r="AL10" s="25" t="s">
        <v>82</v>
      </c>
      <c r="AM10" s="25" t="s">
        <v>82</v>
      </c>
      <c r="AN10" s="25" t="s">
        <v>82</v>
      </c>
      <c r="AO10" s="22">
        <f t="shared" ref="AO10" si="198">IF(AND(AK8&lt;0,AO8&gt;0),"n/a",AO8/AK8-1)</f>
        <v>0.1584649628576793</v>
      </c>
      <c r="AP10" s="22">
        <f t="shared" ref="AP10" si="199">IF(AND(AL8&lt;0,AP8&gt;0),"n/a",AP8/AL8-1)</f>
        <v>0.11667202619346928</v>
      </c>
      <c r="AQ10" s="22">
        <f t="shared" ref="AQ10" si="200">IF(AND(AM8&lt;0,AQ8&gt;0),"n/a",AQ8/AM8-1)</f>
        <v>-4.3282112976431364E-2</v>
      </c>
      <c r="AR10" s="22">
        <f t="shared" ref="AR10" si="201">IF(AND(AN8&lt;0,AR8&gt;0),"n/a",AR8/AN8-1)</f>
        <v>0.12490091423135863</v>
      </c>
      <c r="AS10" s="22">
        <f t="shared" ref="AS10" si="202">IF(AND(AO8&lt;0,AS8&gt;0),"n/a",AS8/AO8-1)</f>
        <v>0.22396870225473409</v>
      </c>
      <c r="AT10" s="22">
        <f t="shared" ref="AT10" si="203">IF(AND(AP8&lt;0,AT8&gt;0),"n/a",AT8/AP8-1)</f>
        <v>0.33980836693020566</v>
      </c>
      <c r="AU10" s="22">
        <f t="shared" ref="AU10" si="204">IF(AND(AQ8&lt;0,AU8&gt;0),"n/a",AU8/AQ8-1)</f>
        <v>0.63090508988025484</v>
      </c>
      <c r="AV10" s="22">
        <f t="shared" ref="AV10" si="205">IF(AND(AR8&lt;0,AV8&gt;0),"n/a",AV8/AR8-1)</f>
        <v>0.40661921875367013</v>
      </c>
      <c r="AW10" s="22">
        <f t="shared" ref="AW10" si="206">IF(AND(AS8&lt;0,AW8&gt;0),"n/a",AW8/AS8-1)</f>
        <v>0.31257919921320898</v>
      </c>
      <c r="AX10" s="22">
        <f t="shared" ref="AX10" si="207">IF(AND(AT8&lt;0,AX8&gt;0),"n/a",AX8/AT8-1)</f>
        <v>0.20114111532299028</v>
      </c>
      <c r="AY10" s="22">
        <f t="shared" ref="AY10" si="208">IF(AND(AU8&lt;0,AY8&gt;0),"n/a",AY8/AU8-1)</f>
        <v>0.10117931554138115</v>
      </c>
      <c r="AZ10" s="22">
        <f t="shared" ref="AZ10" si="209">IF(AND(AV8&lt;0,AZ8&gt;0),"n/a",AZ8/AV8-1)</f>
        <v>2.4931534299645897E-2</v>
      </c>
      <c r="BA10" s="22">
        <f t="shared" ref="BA10" si="210">IF(AND(AW8&lt;0,BA8&gt;0),"n/a",BA8/AW8-1)</f>
        <v>-2.2507204610951015E-2</v>
      </c>
      <c r="BB10" s="22">
        <f t="shared" ref="BB10" si="211">IF(AND(AX8&lt;0,BB8&gt;0),"n/a",BB8/AX8-1)</f>
        <v>7.9548412285268544E-3</v>
      </c>
      <c r="BC10" s="22">
        <f t="shared" ref="BC10" si="212">IF(AND(AY8&lt;0,BC8&gt;0),"n/a",BC8/AY8-1)</f>
        <v>5.4804984007256419E-2</v>
      </c>
      <c r="BD10" s="22">
        <f t="shared" ref="BD10" si="213">IF(AND(AZ8&lt;0,BD8&gt;0),"n/a",BD8/AZ8-1)</f>
        <v>0.1076787721785033</v>
      </c>
      <c r="BE10" s="22">
        <f t="shared" ref="BE10" si="214">IF(AND(BA8&lt;0,BE8&gt;0),"n/a",BE8/BA8-1)</f>
        <v>0.12490049824582083</v>
      </c>
      <c r="BF10" s="22">
        <f t="shared" ref="BF10:BL10" si="215">IF(AND(BB8&lt;0,BF8&gt;0),"n/a",BF8/BB8-1)</f>
        <v>0.13616629815529113</v>
      </c>
      <c r="BG10" s="22">
        <f t="shared" si="215"/>
        <v>0.11530512182243347</v>
      </c>
      <c r="BH10" s="22">
        <f t="shared" si="215"/>
        <v>0.12537875444944557</v>
      </c>
      <c r="BI10" s="22">
        <f t="shared" si="215"/>
        <v>0.10199053871656782</v>
      </c>
      <c r="BJ10" s="22">
        <f t="shared" si="215"/>
        <v>9.7531179863064255E-2</v>
      </c>
      <c r="BK10" s="22">
        <f t="shared" si="215"/>
        <v>0.11653230169895035</v>
      </c>
      <c r="BL10" s="22">
        <f t="shared" si="215"/>
        <v>0.13778591033851795</v>
      </c>
      <c r="BM10" s="22">
        <f t="shared" ref="BM10" si="216">IF(AND(BI8&lt;0,BM8&gt;0),"n/a",BM8/BI8-1)</f>
        <v>0.12971101122289097</v>
      </c>
      <c r="BN10" s="22">
        <f t="shared" ref="BN10" si="217">IF(AND(BJ8&lt;0,BN8&gt;0),"n/a",BN8/BJ8-1)</f>
        <v>0.1113733221307609</v>
      </c>
      <c r="BO10" s="22">
        <f t="shared" ref="BO10" si="218">IF(AND(BK8&lt;0,BO8&gt;0),"n/a",BO8/BK8-1)</f>
        <v>0.10202948463225225</v>
      </c>
      <c r="BP10" s="22">
        <f t="shared" ref="BP10" si="219">IF(AND(BL8&lt;0,BP8&gt;0),"n/a",BP8/BL8-1)</f>
        <v>0.10228469637560189</v>
      </c>
      <c r="BQ10" s="22">
        <f t="shared" ref="BQ10" si="220">IF(AND(BM8&lt;0,BQ8&gt;0),"n/a",BQ8/BM8-1)</f>
        <v>0.10108909941771227</v>
      </c>
      <c r="BR10" s="28">
        <f>IF(AND(BN8&lt;0,BR8&gt;0),"n/a",BR8/BN8-1)</f>
        <v>0.10516288143309827</v>
      </c>
      <c r="BS10" s="28">
        <f t="shared" ref="BS10" si="221">IF(AND(BO8&lt;0,BS8&gt;0),"n/a",BS8/BO8-1)</f>
        <v>9.9053026095401453E-2</v>
      </c>
      <c r="BT10" s="28">
        <f t="shared" ref="BT10" si="222">IF(AND(BP8&lt;0,BT8&gt;0),"n/a",BT8/BP8-1)</f>
        <v>9.9786997243594744E-2</v>
      </c>
      <c r="BU10" s="28">
        <f t="shared" ref="BU10" si="223">IF(AND(BQ8&lt;0,BU8&gt;0),"n/a",BU8/BQ8-1)</f>
        <v>9.6958583199608483E-2</v>
      </c>
      <c r="BV10" s="28">
        <f t="shared" ref="BV10" si="224">IF(AND(BR8&lt;0,BV8&gt;0),"n/a",BV8/BR8-1)</f>
        <v>9.9315024016984887E-2</v>
      </c>
      <c r="BW10" s="28">
        <f t="shared" ref="BW10" si="225">IF(AND(BS8&lt;0,BW8&gt;0),"n/a",BW8/BS8-1)</f>
        <v>9.3139739612957184E-2</v>
      </c>
      <c r="BX10" s="28">
        <f t="shared" ref="BX10" si="226">IF(AND(BT8&lt;0,BX8&gt;0),"n/a",BX8/BT8-1)</f>
        <v>9.4019864398606323E-2</v>
      </c>
      <c r="BY10" s="28">
        <f t="shared" ref="BY10" si="227">IF(AND(BU8&lt;0,BY8&gt;0),"n/a",BY8/BU8-1)</f>
        <v>9.1132943221938323E-2</v>
      </c>
      <c r="BZ10" s="28">
        <f t="shared" ref="BZ10" si="228">IF(AND(BV8&lt;0,BZ8&gt;0),"n/a",BZ8/BV8-1)</f>
        <v>9.1183079043457127E-2</v>
      </c>
      <c r="CA10" s="28">
        <f t="shared" ref="CA10" si="229">IF(AND(BW8&lt;0,CA8&gt;0),"n/a",CA8/BW8-1)</f>
        <v>8.4988152530760974E-2</v>
      </c>
      <c r="CB10" s="28">
        <f t="shared" ref="CB10" si="230">IF(AND(BX8&lt;0,CB8&gt;0),"n/a",CB8/BX8-1)</f>
        <v>8.5828565626315356E-2</v>
      </c>
      <c r="CC10" s="28">
        <f t="shared" ref="CC10" si="231">IF(AND(BY8&lt;0,CC8&gt;0),"n/a",CC8/BY8-1)</f>
        <v>8.2937017671393276E-2</v>
      </c>
      <c r="CD10" s="28">
        <f t="shared" ref="CD10" si="232">IF(AND(BZ8&lt;0,CD8&gt;0),"n/a",CD8/BZ8-1)</f>
        <v>8.4762685002176541E-2</v>
      </c>
      <c r="CE10" s="28">
        <f t="shared" ref="CE10" si="233">IF(AND(CA8&lt;0,CE8&gt;0),"n/a",CE8/CA8-1)</f>
        <v>7.8579422622162332E-2</v>
      </c>
      <c r="CF10" s="28">
        <f t="shared" ref="CF10" si="234">IF(AND(CB8&lt;0,CF8&gt;0),"n/a",CF8/CB8-1)</f>
        <v>7.9392394151224677E-2</v>
      </c>
      <c r="CG10" s="28">
        <f t="shared" ref="CG10" si="235">IF(AND(CC8&lt;0,CG8&gt;0),"n/a",CG8/CC8-1)</f>
        <v>7.6493220820804897E-2</v>
      </c>
      <c r="CH10" s="28"/>
      <c r="CI10" s="109"/>
      <c r="CJ10" s="30"/>
      <c r="CK10" s="110"/>
      <c r="CL10" s="110"/>
      <c r="CM10" s="30"/>
      <c r="CN10" s="110"/>
      <c r="CO10" s="30"/>
      <c r="CP10" s="110"/>
      <c r="CQ10" s="48" t="s">
        <v>82</v>
      </c>
      <c r="CR10" s="107">
        <f t="shared" ref="CR10" si="236">IF(AND(CQ8&lt;0,CR8&gt;0),"n/a",CR8/CQ8-1)</f>
        <v>0.16319604057491333</v>
      </c>
      <c r="CS10" s="22">
        <f t="shared" ref="CS10" si="237">IF(AND(CR8&lt;0,CS8&gt;0),"n/a",CS8/CR8-1)</f>
        <v>0.11071957846204517</v>
      </c>
      <c r="CT10" s="107">
        <f t="shared" ref="CT10" si="238">IF(AND(CS8&lt;0,CT8&gt;0),"n/a",CT8/CS8-1)</f>
        <v>0.40853915260770313</v>
      </c>
      <c r="CU10" s="22">
        <f t="shared" ref="CU10" si="239">IF(AND(CT8&lt;0,CU8&gt;0),"n/a",CU8/CT8-1)</f>
        <v>6.7355986005919188E-2</v>
      </c>
      <c r="CV10" s="107">
        <f t="shared" ref="CV10" si="240">IF(AND(CU8&lt;0,CV8&gt;0),"n/a",CV8/CU8-1)</f>
        <v>7.5001577735003711E-2</v>
      </c>
      <c r="CW10" s="22">
        <f t="shared" ref="CW10" si="241">IF(AND(CV8&lt;0,CW8&gt;0),"n/a",CW8/CV8-1)</f>
        <v>0.11883262457667221</v>
      </c>
      <c r="CX10" s="107">
        <f t="shared" ref="CX10" si="242">IF(AND(CW8&lt;0,CX8&gt;0),"n/a",CX8/CW8-1)</f>
        <v>0.12111277269464393</v>
      </c>
      <c r="CY10" s="107">
        <f t="shared" ref="CY10" si="243">IF(AND(CX8&lt;0,CY8&gt;0),"n/a",CY8/CX8-1)</f>
        <v>0.10394494358144213</v>
      </c>
      <c r="CZ10" s="107">
        <f>IF(AND(CY8&lt;0,CZ8&gt;0),"n/a",CZ8/CY8-1)</f>
        <v>0.10004929271039087</v>
      </c>
      <c r="DA10" s="107">
        <f>IF(AND(CZ8&lt;0,DA8&gt;0),"n/a",DA8/CZ8-1)</f>
        <v>9.4220388743518679E-2</v>
      </c>
      <c r="DB10" s="107">
        <f>IF(AND(DA8&lt;0,DB8&gt;0),"n/a",DB8/DA8-1)</f>
        <v>8.6059095633674865E-2</v>
      </c>
      <c r="DC10" s="107">
        <f>IF(AND(DB8&lt;0,DC8&gt;0),"n/a",DC8/DB8-1)</f>
        <v>7.9639356198656808E-2</v>
      </c>
    </row>
    <row r="11" spans="1:107" x14ac:dyDescent="0.2">
      <c r="A11" s="8" t="s">
        <v>59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2">
        <f>AK8/AK$3</f>
        <v>0.95617723985845426</v>
      </c>
      <c r="AL11" s="22">
        <f t="shared" ref="AL11:BQ11" si="244">AL8/AL$3</f>
        <v>0.94935057726465366</v>
      </c>
      <c r="AM11" s="22">
        <f t="shared" si="244"/>
        <v>0.945699953457103</v>
      </c>
      <c r="AN11" s="22">
        <f t="shared" si="244"/>
        <v>0.94085767557489119</v>
      </c>
      <c r="AO11" s="22">
        <f t="shared" si="244"/>
        <v>0.94294071422334758</v>
      </c>
      <c r="AP11" s="22">
        <f t="shared" si="244"/>
        <v>0.93222696766320923</v>
      </c>
      <c r="AQ11" s="22">
        <f t="shared" si="244"/>
        <v>0.92086425601347444</v>
      </c>
      <c r="AR11" s="22">
        <f t="shared" si="244"/>
        <v>0.92515809374796276</v>
      </c>
      <c r="AS11" s="22">
        <f t="shared" si="244"/>
        <v>0.93243862866817151</v>
      </c>
      <c r="AT11" s="22">
        <f t="shared" si="244"/>
        <v>0.92671797193300132</v>
      </c>
      <c r="AU11" s="22">
        <f t="shared" si="244"/>
        <v>0.924985817327174</v>
      </c>
      <c r="AV11" s="22">
        <f t="shared" si="244"/>
        <v>0.92308166599870523</v>
      </c>
      <c r="AW11" s="22">
        <f t="shared" si="244"/>
        <v>0.92606183531044417</v>
      </c>
      <c r="AX11" s="22">
        <f t="shared" si="244"/>
        <v>0.91349768920987329</v>
      </c>
      <c r="AY11" s="22">
        <f t="shared" si="244"/>
        <v>0.9091974478058944</v>
      </c>
      <c r="AZ11" s="22">
        <f t="shared" si="244"/>
        <v>0.8993625906659829</v>
      </c>
      <c r="BA11" s="22">
        <f t="shared" si="244"/>
        <v>0.90266522959828621</v>
      </c>
      <c r="BB11" s="22">
        <f t="shared" si="244"/>
        <v>0.89261686955269037</v>
      </c>
      <c r="BC11" s="22">
        <f t="shared" si="244"/>
        <v>0.89193444211206196</v>
      </c>
      <c r="BD11" s="22">
        <f t="shared" si="244"/>
        <v>0.88990405382410309</v>
      </c>
      <c r="BE11" s="22">
        <f t="shared" si="244"/>
        <v>0.89249500017543248</v>
      </c>
      <c r="BF11" s="22">
        <f t="shared" si="244"/>
        <v>0.88028309908467961</v>
      </c>
      <c r="BG11" s="22">
        <f t="shared" ref="BG11:BH11" si="245">BG8/BG$3</f>
        <v>0.8772233758528627</v>
      </c>
      <c r="BH11" s="22">
        <f t="shared" si="245"/>
        <v>0.87078747595688744</v>
      </c>
      <c r="BI11" s="22">
        <f t="shared" ref="BI11:BJ11" si="246">BI8/BI$3</f>
        <v>0.87553228039854658</v>
      </c>
      <c r="BJ11" s="22">
        <f t="shared" si="246"/>
        <v>0.86305348286493011</v>
      </c>
      <c r="BK11" s="22">
        <f t="shared" ref="BK11:BL11" si="247">BK8/BK$3</f>
        <v>0.85832978048602948</v>
      </c>
      <c r="BL11" s="22">
        <f t="shared" si="247"/>
        <v>0.85170581846999771</v>
      </c>
      <c r="BM11" s="22">
        <f t="shared" si="244"/>
        <v>0.8502133336096388</v>
      </c>
      <c r="BN11" s="22">
        <f t="shared" si="244"/>
        <v>0.83143417496251004</v>
      </c>
      <c r="BO11" s="22">
        <f t="shared" si="244"/>
        <v>0.83077856848888176</v>
      </c>
      <c r="BP11" s="22">
        <f t="shared" si="244"/>
        <v>0.82638911583855901</v>
      </c>
      <c r="BQ11" s="22">
        <f t="shared" si="244"/>
        <v>0.83333243855632022</v>
      </c>
      <c r="BR11" s="28">
        <f>BR8/BR$3</f>
        <v>0.8086367443835959</v>
      </c>
      <c r="BS11" s="28">
        <f t="shared" ref="BS11:BU11" si="248">BS8/BS$3</f>
        <v>0.80705114634168218</v>
      </c>
      <c r="BT11" s="28">
        <f t="shared" si="248"/>
        <v>0.80229868053328968</v>
      </c>
      <c r="BU11" s="28">
        <f t="shared" si="248"/>
        <v>0.80958728270659963</v>
      </c>
      <c r="BV11" s="28">
        <f t="shared" ref="BV11:CC11" si="249">BV8/BV$3</f>
        <v>0.78663362937793513</v>
      </c>
      <c r="BW11" s="28">
        <f t="shared" si="249"/>
        <v>0.78396166055789329</v>
      </c>
      <c r="BX11" s="28">
        <f t="shared" si="249"/>
        <v>0.77893497730634476</v>
      </c>
      <c r="BY11" s="28">
        <f t="shared" si="249"/>
        <v>0.78641260606076557</v>
      </c>
      <c r="BZ11" s="28">
        <f t="shared" si="249"/>
        <v>0.76584566272338328</v>
      </c>
      <c r="CA11" s="28">
        <f t="shared" si="249"/>
        <v>0.76196068770504499</v>
      </c>
      <c r="CB11" s="28">
        <f t="shared" si="249"/>
        <v>0.75672361099508956</v>
      </c>
      <c r="CC11" s="28">
        <f t="shared" si="249"/>
        <v>0.76424551600337032</v>
      </c>
      <c r="CD11" s="28">
        <f t="shared" ref="CD11:CG11" si="250">CD8/CD$3</f>
        <v>0.74725773315590494</v>
      </c>
      <c r="CE11" s="28">
        <f t="shared" si="250"/>
        <v>0.74207517676204859</v>
      </c>
      <c r="CF11" s="28">
        <f t="shared" si="250"/>
        <v>0.73669804403400474</v>
      </c>
      <c r="CG11" s="28">
        <f t="shared" si="250"/>
        <v>0.74411840213644054</v>
      </c>
      <c r="CH11" s="28"/>
      <c r="CI11" s="110"/>
      <c r="CJ11" s="30"/>
      <c r="CK11" s="110"/>
      <c r="CL11" s="110"/>
      <c r="CM11" s="30"/>
      <c r="CN11" s="110"/>
      <c r="CO11" s="30"/>
      <c r="CP11" s="110"/>
      <c r="CQ11" s="22">
        <f t="shared" ref="CQ11:CY11" si="251">CQ8/CQ$3</f>
        <v>0.95903012490815576</v>
      </c>
      <c r="CR11" s="107">
        <f t="shared" si="251"/>
        <v>0.94452013462483597</v>
      </c>
      <c r="CS11" s="22">
        <f t="shared" si="251"/>
        <v>0.92812641033826104</v>
      </c>
      <c r="CT11" s="107">
        <f t="shared" si="251"/>
        <v>0.92519134516135315</v>
      </c>
      <c r="CU11" s="22">
        <f t="shared" si="251"/>
        <v>0.90607845379688934</v>
      </c>
      <c r="CV11" s="107">
        <f t="shared" si="251"/>
        <v>0.8917387306915856</v>
      </c>
      <c r="CW11" s="22">
        <f t="shared" si="251"/>
        <v>0.87583546597962425</v>
      </c>
      <c r="CX11" s="107">
        <f t="shared" si="251"/>
        <v>0.85542449088472439</v>
      </c>
      <c r="CY11" s="107">
        <f t="shared" si="251"/>
        <v>0.83051142924661281</v>
      </c>
      <c r="CZ11" s="107">
        <f>CZ8/CZ$3</f>
        <v>0.80689648049205998</v>
      </c>
      <c r="DA11" s="107">
        <f>DA8/DA$3</f>
        <v>0.7839608399778607</v>
      </c>
      <c r="DB11" s="107">
        <f>DB8/DB$3</f>
        <v>0.76213870353937052</v>
      </c>
      <c r="DC11" s="107">
        <f>DC8/DC$3</f>
        <v>0.74245089791267982</v>
      </c>
    </row>
    <row r="12" spans="1:107" x14ac:dyDescent="0.2">
      <c r="A12" s="8" t="s">
        <v>61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2">
        <f t="shared" ref="AK12:BQ12" si="252">AK8/AK$64</f>
        <v>0.94940930848355232</v>
      </c>
      <c r="AL12" s="22">
        <f t="shared" si="252"/>
        <v>0.94133025124521863</v>
      </c>
      <c r="AM12" s="22">
        <f t="shared" si="252"/>
        <v>0.93914338537387021</v>
      </c>
      <c r="AN12" s="22">
        <f t="shared" si="252"/>
        <v>0.93449220968418978</v>
      </c>
      <c r="AO12" s="22">
        <f t="shared" si="252"/>
        <v>0.93755832881172008</v>
      </c>
      <c r="AP12" s="22">
        <f t="shared" si="252"/>
        <v>0.92805947666367017</v>
      </c>
      <c r="AQ12" s="22">
        <f t="shared" si="252"/>
        <v>0.91367470036817511</v>
      </c>
      <c r="AR12" s="22">
        <f t="shared" si="252"/>
        <v>0.92203235657202265</v>
      </c>
      <c r="AS12" s="22">
        <f t="shared" si="252"/>
        <v>0.92925937642799394</v>
      </c>
      <c r="AT12" s="22">
        <f t="shared" si="252"/>
        <v>0.92522688650251295</v>
      </c>
      <c r="AU12" s="22">
        <f t="shared" si="252"/>
        <v>0.92222042663219139</v>
      </c>
      <c r="AV12" s="22">
        <f t="shared" si="252"/>
        <v>0.91962283853926718</v>
      </c>
      <c r="AW12" s="22">
        <f t="shared" si="252"/>
        <v>0.92134085628941254</v>
      </c>
      <c r="AX12" s="22">
        <f t="shared" si="252"/>
        <v>0.90385378835776564</v>
      </c>
      <c r="AY12" s="22">
        <f t="shared" si="252"/>
        <v>0.90178661117887637</v>
      </c>
      <c r="AZ12" s="22">
        <f t="shared" si="252"/>
        <v>0.88833728941121981</v>
      </c>
      <c r="BA12" s="22">
        <f t="shared" si="252"/>
        <v>0.89204186829370924</v>
      </c>
      <c r="BB12" s="22">
        <f t="shared" si="252"/>
        <v>0.88785877025807103</v>
      </c>
      <c r="BC12" s="22">
        <f t="shared" si="252"/>
        <v>0.88849123371400995</v>
      </c>
      <c r="BD12" s="22">
        <f t="shared" si="252"/>
        <v>0.88646943006532541</v>
      </c>
      <c r="BE12" s="22">
        <f t="shared" si="252"/>
        <v>0.88415015641293015</v>
      </c>
      <c r="BF12" s="22">
        <f t="shared" si="252"/>
        <v>0.87408584660847544</v>
      </c>
      <c r="BG12" s="22">
        <f t="shared" ref="BG12:BH12" si="253">BG8/BG$64</f>
        <v>0.87238913407755303</v>
      </c>
      <c r="BH12" s="22">
        <f t="shared" si="253"/>
        <v>0.86679204241627772</v>
      </c>
      <c r="BI12" s="22">
        <f t="shared" ref="BI12:BJ12" si="254">BI8/BI$64</f>
        <v>0.87172044905617352</v>
      </c>
      <c r="BJ12" s="22">
        <f t="shared" si="254"/>
        <v>0.85626260611299509</v>
      </c>
      <c r="BK12" s="22">
        <f t="shared" ref="BK12:BL12" si="255">BK8/BK$64</f>
        <v>0.85600655411291326</v>
      </c>
      <c r="BL12" s="22">
        <f t="shared" si="255"/>
        <v>0.8505657280206359</v>
      </c>
      <c r="BM12" s="22">
        <f t="shared" si="252"/>
        <v>0.84702955110539291</v>
      </c>
      <c r="BN12" s="22">
        <f t="shared" si="252"/>
        <v>0.82764767438082376</v>
      </c>
      <c r="BO12" s="22">
        <f t="shared" si="252"/>
        <v>0.82781752647792217</v>
      </c>
      <c r="BP12" s="22">
        <f t="shared" si="252"/>
        <v>0.82382642911285009</v>
      </c>
      <c r="BQ12" s="22">
        <f t="shared" si="252"/>
        <v>0.83041503006548845</v>
      </c>
      <c r="BR12" s="28">
        <f>BR8/BR$64</f>
        <v>0.80523264281167461</v>
      </c>
      <c r="BS12" s="28">
        <f t="shared" ref="BS12:BU12" si="256">BS8/BS$64</f>
        <v>0.80438085832830319</v>
      </c>
      <c r="BT12" s="28">
        <f t="shared" si="256"/>
        <v>0.79999205189986811</v>
      </c>
      <c r="BU12" s="28">
        <f t="shared" si="256"/>
        <v>0.80695098981617408</v>
      </c>
      <c r="BV12" s="28">
        <f t="shared" ref="BV12:CC12" si="257">BV8/BV$64</f>
        <v>0.78355585153276242</v>
      </c>
      <c r="BW12" s="28">
        <f t="shared" si="257"/>
        <v>0.78154087979124653</v>
      </c>
      <c r="BX12" s="28">
        <f t="shared" si="257"/>
        <v>0.77684781043901308</v>
      </c>
      <c r="BY12" s="28">
        <f t="shared" si="257"/>
        <v>0.78401834696679973</v>
      </c>
      <c r="BZ12" s="28">
        <f t="shared" si="257"/>
        <v>0.76303781341809329</v>
      </c>
      <c r="CA12" s="28">
        <f t="shared" si="257"/>
        <v>0.75974721118535582</v>
      </c>
      <c r="CB12" s="28">
        <f t="shared" si="257"/>
        <v>0.75481846677278397</v>
      </c>
      <c r="CC12" s="28">
        <f t="shared" si="257"/>
        <v>0.76205271879710346</v>
      </c>
      <c r="CD12" s="28">
        <f t="shared" ref="CD12:CG12" si="258">CD8/CD$64</f>
        <v>0.74466966849445204</v>
      </c>
      <c r="CE12" s="28">
        <f t="shared" si="258"/>
        <v>0.74003104797930541</v>
      </c>
      <c r="CF12" s="28">
        <f t="shared" si="258"/>
        <v>0.73494133355545144</v>
      </c>
      <c r="CG12" s="28">
        <f t="shared" si="258"/>
        <v>0.7420904512117128</v>
      </c>
      <c r="CH12" s="28"/>
      <c r="CI12" s="110"/>
      <c r="CJ12" s="30"/>
      <c r="CK12" s="110"/>
      <c r="CL12" s="110"/>
      <c r="CM12" s="30"/>
      <c r="CN12" s="110"/>
      <c r="CO12" s="30"/>
      <c r="CP12" s="110"/>
      <c r="CQ12" s="58">
        <f t="shared" ref="CQ12:CY12" si="259">CQ8/CQ$64</f>
        <v>0.95399030836360443</v>
      </c>
      <c r="CR12" s="107">
        <f t="shared" si="259"/>
        <v>0.93801936277084097</v>
      </c>
      <c r="CS12" s="22">
        <f t="shared" si="259"/>
        <v>0.92389071205903783</v>
      </c>
      <c r="CT12" s="107">
        <f t="shared" si="259"/>
        <v>0.92195220407006762</v>
      </c>
      <c r="CU12" s="22">
        <f t="shared" si="259"/>
        <v>0.89637811311148508</v>
      </c>
      <c r="CV12" s="107">
        <f t="shared" si="259"/>
        <v>0.88662433229015536</v>
      </c>
      <c r="CW12" s="22">
        <f t="shared" si="259"/>
        <v>0.87118376769194728</v>
      </c>
      <c r="CX12" s="107">
        <f t="shared" si="259"/>
        <v>0.85216627450608495</v>
      </c>
      <c r="CY12" s="107">
        <f t="shared" si="259"/>
        <v>0.82747704256131582</v>
      </c>
      <c r="CZ12" s="107">
        <f>CZ8/CZ$64</f>
        <v>0.80416179261043197</v>
      </c>
      <c r="DA12" s="107">
        <f>DA8/DA$64</f>
        <v>0.78148316120329298</v>
      </c>
      <c r="DB12" s="107">
        <f>DB8/DB$64</f>
        <v>0.75987435824144434</v>
      </c>
      <c r="DC12" s="107">
        <f>DC8/DC$64</f>
        <v>0.74036069460477738</v>
      </c>
    </row>
    <row r="13" spans="1:107" x14ac:dyDescent="0.2"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92"/>
      <c r="CK13" s="92"/>
      <c r="CL13" s="92"/>
      <c r="CN13" s="92"/>
      <c r="CP13" s="92"/>
      <c r="CR13" s="118"/>
      <c r="CS13" s="77"/>
      <c r="CT13" s="118"/>
      <c r="CU13" s="77"/>
      <c r="CV13" s="118"/>
      <c r="CW13" s="77"/>
      <c r="CX13" s="118"/>
      <c r="CY13" s="118"/>
      <c r="CZ13" s="118"/>
      <c r="DA13" s="118"/>
      <c r="DB13" s="118"/>
      <c r="DC13" s="118"/>
    </row>
    <row r="14" spans="1:107" x14ac:dyDescent="0.2">
      <c r="A14" s="10" t="s">
        <v>67</v>
      </c>
      <c r="B14" s="21">
        <f>SUM(B91,B106)</f>
        <v>6475</v>
      </c>
      <c r="C14" s="21">
        <f t="shared" ref="C14:AJ14" si="260">SUM(C91,C106)</f>
        <v>6562</v>
      </c>
      <c r="D14" s="21">
        <f t="shared" si="260"/>
        <v>7032</v>
      </c>
      <c r="E14" s="21">
        <f t="shared" si="260"/>
        <v>8167</v>
      </c>
      <c r="F14" s="21">
        <f t="shared" si="260"/>
        <v>8306</v>
      </c>
      <c r="G14" s="21">
        <f t="shared" si="260"/>
        <v>8716</v>
      </c>
      <c r="H14" s="21">
        <f t="shared" si="260"/>
        <v>9335</v>
      </c>
      <c r="I14" s="21">
        <f t="shared" si="260"/>
        <v>10174</v>
      </c>
      <c r="J14" s="21">
        <f t="shared" si="260"/>
        <v>10225</v>
      </c>
      <c r="K14" s="21">
        <f t="shared" si="260"/>
        <v>10525</v>
      </c>
      <c r="L14" s="21">
        <f t="shared" si="260"/>
        <v>10860</v>
      </c>
      <c r="M14" s="21">
        <f t="shared" si="260"/>
        <v>12076</v>
      </c>
      <c r="N14" s="21">
        <f t="shared" si="260"/>
        <v>12028</v>
      </c>
      <c r="O14" s="21">
        <f t="shared" si="260"/>
        <v>12178</v>
      </c>
      <c r="P14" s="21">
        <f t="shared" si="260"/>
        <v>12651</v>
      </c>
      <c r="Q14" s="21">
        <f t="shared" si="260"/>
        <v>14215</v>
      </c>
      <c r="R14" s="21">
        <f t="shared" si="260"/>
        <v>13997</v>
      </c>
      <c r="S14" s="21">
        <f t="shared" si="260"/>
        <v>14498</v>
      </c>
      <c r="T14" s="21">
        <f t="shared" si="260"/>
        <v>14820</v>
      </c>
      <c r="U14" s="21">
        <f t="shared" si="260"/>
        <v>16309</v>
      </c>
      <c r="V14" s="21">
        <f t="shared" si="260"/>
        <v>15508</v>
      </c>
      <c r="W14" s="21">
        <f t="shared" si="260"/>
        <v>16023</v>
      </c>
      <c r="X14" s="21">
        <f t="shared" si="260"/>
        <v>16781</v>
      </c>
      <c r="Y14" s="21">
        <f t="shared" si="260"/>
        <v>19078</v>
      </c>
      <c r="Z14" s="21">
        <f t="shared" si="260"/>
        <v>18020</v>
      </c>
      <c r="AA14" s="21">
        <f t="shared" si="260"/>
        <v>19143</v>
      </c>
      <c r="AB14" s="21">
        <f t="shared" si="260"/>
        <v>19821</v>
      </c>
      <c r="AC14" s="21">
        <f t="shared" si="260"/>
        <v>22399</v>
      </c>
      <c r="AD14" s="21">
        <f t="shared" si="260"/>
        <v>21411</v>
      </c>
      <c r="AE14" s="21">
        <f t="shared" si="260"/>
        <v>22672</v>
      </c>
      <c r="AF14" s="21">
        <f t="shared" si="260"/>
        <v>24065</v>
      </c>
      <c r="AG14" s="21">
        <f t="shared" si="260"/>
        <v>27227</v>
      </c>
      <c r="AH14" s="21">
        <f t="shared" si="260"/>
        <v>26642</v>
      </c>
      <c r="AI14" s="21">
        <f t="shared" si="260"/>
        <v>28087</v>
      </c>
      <c r="AJ14" s="21">
        <f t="shared" si="260"/>
        <v>28954</v>
      </c>
      <c r="AK14" s="21">
        <f t="shared" ref="AK14:BQ14" si="261">SUM(AK20,AK27,AK34)</f>
        <v>32518</v>
      </c>
      <c r="AL14" s="21">
        <f t="shared" si="261"/>
        <v>30587</v>
      </c>
      <c r="AM14" s="21">
        <f t="shared" si="261"/>
        <v>32494</v>
      </c>
      <c r="AN14" s="21">
        <f t="shared" si="261"/>
        <v>33796</v>
      </c>
      <c r="AO14" s="21">
        <f t="shared" si="261"/>
        <v>37934</v>
      </c>
      <c r="AP14" s="21">
        <f t="shared" si="261"/>
        <v>33763</v>
      </c>
      <c r="AQ14" s="21">
        <f t="shared" si="261"/>
        <v>29867</v>
      </c>
      <c r="AR14" s="21">
        <f t="shared" si="261"/>
        <v>37095</v>
      </c>
      <c r="AS14" s="21">
        <f t="shared" si="261"/>
        <v>46199</v>
      </c>
      <c r="AT14" s="21">
        <f t="shared" si="261"/>
        <v>44684</v>
      </c>
      <c r="AU14" s="21">
        <f t="shared" si="261"/>
        <v>50444</v>
      </c>
      <c r="AV14" s="21">
        <f t="shared" si="261"/>
        <v>53130</v>
      </c>
      <c r="AW14" s="21">
        <f t="shared" si="261"/>
        <v>61239</v>
      </c>
      <c r="AX14" s="21">
        <f t="shared" si="261"/>
        <v>54661</v>
      </c>
      <c r="AY14" s="21">
        <f t="shared" si="261"/>
        <v>56288</v>
      </c>
      <c r="AZ14" s="21">
        <f t="shared" si="261"/>
        <v>54482</v>
      </c>
      <c r="BA14" s="21">
        <f t="shared" si="261"/>
        <v>59042</v>
      </c>
      <c r="BB14" s="21">
        <f t="shared" si="261"/>
        <v>54548</v>
      </c>
      <c r="BC14" s="21">
        <f t="shared" si="261"/>
        <v>58143</v>
      </c>
      <c r="BD14" s="21">
        <f t="shared" si="261"/>
        <v>59647</v>
      </c>
      <c r="BE14" s="21">
        <f t="shared" si="261"/>
        <v>65517</v>
      </c>
      <c r="BF14" s="21">
        <f t="shared" si="261"/>
        <v>61659</v>
      </c>
      <c r="BG14" s="21">
        <f t="shared" ref="BG14:BH14" si="262">SUM(BG20,BG27,BG34)</f>
        <v>64616</v>
      </c>
      <c r="BH14" s="21">
        <f t="shared" si="262"/>
        <v>65854</v>
      </c>
      <c r="BI14" s="21">
        <f t="shared" ref="BI14:BJ14" si="263">SUM(BI20,BI27,BI34)</f>
        <v>72461</v>
      </c>
      <c r="BJ14" s="21">
        <f t="shared" si="263"/>
        <v>66885</v>
      </c>
      <c r="BK14" s="21">
        <f t="shared" ref="BK14:BL14" si="264">SUM(BK20,BK27,BK34)</f>
        <v>71340</v>
      </c>
      <c r="BL14" s="21">
        <f t="shared" si="264"/>
        <v>74182</v>
      </c>
      <c r="BM14" s="21">
        <f t="shared" si="261"/>
        <v>81188.400000000009</v>
      </c>
      <c r="BN14" s="21">
        <f t="shared" si="261"/>
        <v>74029.265000000014</v>
      </c>
      <c r="BO14" s="21">
        <f t="shared" si="261"/>
        <v>78231.38</v>
      </c>
      <c r="BP14" s="21">
        <f t="shared" si="261"/>
        <v>81488.61</v>
      </c>
      <c r="BQ14" s="21">
        <f t="shared" si="261"/>
        <v>89157.995400000014</v>
      </c>
      <c r="BR14" s="21">
        <f>SUM(BR20,BR27,BR34)</f>
        <v>81577.571925000011</v>
      </c>
      <c r="BS14" s="21">
        <f t="shared" ref="BS14:BU14" si="265">SUM(BS20,BS27,BS34)</f>
        <v>85647.938450000016</v>
      </c>
      <c r="BT14" s="21">
        <f t="shared" si="265"/>
        <v>89252.956625000006</v>
      </c>
      <c r="BU14" s="21">
        <f t="shared" si="265"/>
        <v>97366.905925500003</v>
      </c>
      <c r="BV14" s="21">
        <f t="shared" ref="BV14:CC14" si="266">SUM(BV20,BV27,BV34)</f>
        <v>89192.838532000009</v>
      </c>
      <c r="BW14" s="21">
        <f t="shared" si="266"/>
        <v>93013.353940500019</v>
      </c>
      <c r="BX14" s="21">
        <f t="shared" si="266"/>
        <v>96963.706901250014</v>
      </c>
      <c r="BY14" s="21">
        <f t="shared" si="266"/>
        <v>105463.13920101752</v>
      </c>
      <c r="BZ14" s="21">
        <f t="shared" si="266"/>
        <v>96782.106590680021</v>
      </c>
      <c r="CA14" s="21">
        <f t="shared" si="266"/>
        <v>100232.93830032002</v>
      </c>
      <c r="CB14" s="21">
        <f t="shared" si="266"/>
        <v>104522.70862593001</v>
      </c>
      <c r="CC14" s="21">
        <f t="shared" si="266"/>
        <v>113337.89099562957</v>
      </c>
      <c r="CD14" s="21">
        <f t="shared" ref="CD14:CG14" si="267">SUM(CD20,CD27,CD34)</f>
        <v>104379.62265743322</v>
      </c>
      <c r="CE14" s="21">
        <f t="shared" si="267"/>
        <v>107344.04190002958</v>
      </c>
      <c r="CF14" s="21">
        <f t="shared" si="267"/>
        <v>111968.61901198629</v>
      </c>
      <c r="CG14" s="21">
        <f t="shared" si="267"/>
        <v>121032.81654617422</v>
      </c>
      <c r="CH14" s="21"/>
      <c r="CI14" s="90">
        <f>SUM(B14:E14)</f>
        <v>28236</v>
      </c>
      <c r="CJ14" s="21">
        <f>SUM(F14:I14)</f>
        <v>36531</v>
      </c>
      <c r="CK14" s="90">
        <f>SUM(J14:M14)</f>
        <v>43686</v>
      </c>
      <c r="CL14" s="90">
        <f>SUM(N14:Q14)</f>
        <v>51072</v>
      </c>
      <c r="CM14" s="21">
        <f>SUM(R14:U14)</f>
        <v>59624</v>
      </c>
      <c r="CN14" s="90">
        <f>SUM(V14:Y14)</f>
        <v>67390</v>
      </c>
      <c r="CO14" s="21">
        <f>SUM(Z14:AC14)</f>
        <v>79383</v>
      </c>
      <c r="CP14" s="90">
        <f>SUM(AD14:AG14)</f>
        <v>95375</v>
      </c>
      <c r="CQ14" s="21">
        <f>SUM(AH14:AK14)</f>
        <v>116201</v>
      </c>
      <c r="CR14" s="90">
        <f>SUM(AL14:AO14)</f>
        <v>134811</v>
      </c>
      <c r="CS14" s="21">
        <f>SUM(AP14:AS14)</f>
        <v>146924</v>
      </c>
      <c r="CT14" s="90">
        <f>SUM(AT14:AW14)</f>
        <v>209497</v>
      </c>
      <c r="CU14" s="21">
        <f>SUM(AX14:BA14)</f>
        <v>224473</v>
      </c>
      <c r="CV14" s="90">
        <f>SUM(BB14:BE14)</f>
        <v>237855</v>
      </c>
      <c r="CW14" s="21">
        <f>SUM(BF14:BI14)</f>
        <v>264590</v>
      </c>
      <c r="CX14" s="90">
        <f>SUM(BJ14:BM14)</f>
        <v>293595.40000000002</v>
      </c>
      <c r="CY14" s="90">
        <f>SUM(BN14:BQ14)</f>
        <v>322907.25040000002</v>
      </c>
      <c r="CZ14" s="90">
        <f>SUM(BR14:BU14)</f>
        <v>353845.37292550004</v>
      </c>
      <c r="DA14" s="90">
        <f>SUM(BV14:BY14)</f>
        <v>384633.03857476753</v>
      </c>
      <c r="DB14" s="90">
        <f>SUM(BZ14:CC14)</f>
        <v>414875.64451255964</v>
      </c>
      <c r="DC14" s="90">
        <f>SUM(CD14:CG14)</f>
        <v>444725.10011562333</v>
      </c>
    </row>
    <row r="15" spans="1:107" x14ac:dyDescent="0.2">
      <c r="A15" s="11" t="s">
        <v>62</v>
      </c>
      <c r="B15" s="25" t="s">
        <v>82</v>
      </c>
      <c r="C15" s="22">
        <f t="shared" ref="C15:AJ15" si="268">IF(AND(B14&lt;0,C14&gt;0),"n/a",C14/B14-1)</f>
        <v>1.3436293436293489E-2</v>
      </c>
      <c r="D15" s="22">
        <f t="shared" si="268"/>
        <v>7.162450472416948E-2</v>
      </c>
      <c r="E15" s="22">
        <f t="shared" si="268"/>
        <v>0.16140500568828209</v>
      </c>
      <c r="F15" s="22">
        <f t="shared" si="268"/>
        <v>1.7019713481082333E-2</v>
      </c>
      <c r="G15" s="22">
        <f t="shared" si="268"/>
        <v>4.9361907055140763E-2</v>
      </c>
      <c r="H15" s="22">
        <f t="shared" si="268"/>
        <v>7.1018815970628646E-2</v>
      </c>
      <c r="I15" s="22">
        <f t="shared" si="268"/>
        <v>8.9876807712908402E-2</v>
      </c>
      <c r="J15" s="22">
        <f t="shared" si="268"/>
        <v>5.0127776685668923E-3</v>
      </c>
      <c r="K15" s="22">
        <f t="shared" si="268"/>
        <v>2.9339853300733409E-2</v>
      </c>
      <c r="L15" s="22">
        <f t="shared" si="268"/>
        <v>3.1828978622327808E-2</v>
      </c>
      <c r="M15" s="22">
        <f t="shared" si="268"/>
        <v>0.11197053406998148</v>
      </c>
      <c r="N15" s="22">
        <f t="shared" si="268"/>
        <v>-3.9748261013580199E-3</v>
      </c>
      <c r="O15" s="22">
        <f t="shared" si="268"/>
        <v>1.2470901230462239E-2</v>
      </c>
      <c r="P15" s="22">
        <f t="shared" si="268"/>
        <v>3.8840532107078385E-2</v>
      </c>
      <c r="Q15" s="22">
        <f t="shared" si="268"/>
        <v>0.12362659078333738</v>
      </c>
      <c r="R15" s="22">
        <f t="shared" si="268"/>
        <v>-1.5335912768202564E-2</v>
      </c>
      <c r="S15" s="22">
        <f t="shared" si="268"/>
        <v>3.5793384296634922E-2</v>
      </c>
      <c r="T15" s="22">
        <f t="shared" si="268"/>
        <v>2.2209959994482054E-2</v>
      </c>
      <c r="U15" s="22">
        <f t="shared" si="268"/>
        <v>0.1004723346828611</v>
      </c>
      <c r="V15" s="22">
        <f t="shared" si="268"/>
        <v>-4.9113986142620636E-2</v>
      </c>
      <c r="W15" s="22">
        <f t="shared" si="268"/>
        <v>3.3208666494712435E-2</v>
      </c>
      <c r="X15" s="22">
        <f t="shared" si="268"/>
        <v>4.7306996192972628E-2</v>
      </c>
      <c r="Y15" s="22">
        <f t="shared" si="268"/>
        <v>0.13688099636493645</v>
      </c>
      <c r="Z15" s="22">
        <f t="shared" si="268"/>
        <v>-5.5456546807841511E-2</v>
      </c>
      <c r="AA15" s="22">
        <f t="shared" si="268"/>
        <v>6.2319644839067712E-2</v>
      </c>
      <c r="AB15" s="22">
        <f t="shared" si="268"/>
        <v>3.5417646136969072E-2</v>
      </c>
      <c r="AC15" s="22">
        <f t="shared" si="268"/>
        <v>0.13006407345744408</v>
      </c>
      <c r="AD15" s="22">
        <f t="shared" si="268"/>
        <v>-4.4109112013929197E-2</v>
      </c>
      <c r="AE15" s="22">
        <f t="shared" si="268"/>
        <v>5.8894960534304763E-2</v>
      </c>
      <c r="AF15" s="22">
        <f t="shared" si="268"/>
        <v>6.1441425546930217E-2</v>
      </c>
      <c r="AG15" s="22">
        <f t="shared" si="268"/>
        <v>0.13139414086848111</v>
      </c>
      <c r="AH15" s="22">
        <f t="shared" si="268"/>
        <v>-2.1486024901751888E-2</v>
      </c>
      <c r="AI15" s="22">
        <f t="shared" si="268"/>
        <v>5.4237669844606318E-2</v>
      </c>
      <c r="AJ15" s="22">
        <f t="shared" si="268"/>
        <v>3.0868373268772009E-2</v>
      </c>
      <c r="AK15" s="22">
        <f>IF(AND(AJ14&lt;0,AK14&gt;0),"n/a",AK14/AJ14-1)</f>
        <v>0.12309180078745596</v>
      </c>
      <c r="AL15" s="22">
        <f>IF(AND(AK14&lt;0,AL14&gt;0),"n/a",AL14/AK14-1)</f>
        <v>-5.9382495848453121E-2</v>
      </c>
      <c r="AM15" s="22">
        <f t="shared" ref="AM15" si="269">IF(AND(AL14&lt;0,AM14&gt;0),"n/a",AM14/AL14-1)</f>
        <v>6.2346748618694159E-2</v>
      </c>
      <c r="AN15" s="22">
        <f t="shared" ref="AN15" si="270">IF(AND(AM14&lt;0,AN14&gt;0),"n/a",AN14/AM14-1)</f>
        <v>4.0068935803532879E-2</v>
      </c>
      <c r="AO15" s="22">
        <f t="shared" ref="AO15" si="271">IF(AND(AN14&lt;0,AO14&gt;0),"n/a",AO14/AN14-1)</f>
        <v>0.12244052550597706</v>
      </c>
      <c r="AP15" s="22">
        <f t="shared" ref="AP15" si="272">IF(AND(AO14&lt;0,AP14&gt;0),"n/a",AP14/AO14-1)</f>
        <v>-0.10995413085886008</v>
      </c>
      <c r="AQ15" s="22">
        <f t="shared" ref="AQ15" si="273">IF(AND(AP14&lt;0,AQ14&gt;0),"n/a",AQ14/AP14-1)</f>
        <v>-0.11539258952107334</v>
      </c>
      <c r="AR15" s="22">
        <f t="shared" ref="AR15" si="274">IF(AND(AQ14&lt;0,AR14&gt;0),"n/a",AR14/AQ14-1)</f>
        <v>0.24200622760906687</v>
      </c>
      <c r="AS15" s="22">
        <f t="shared" ref="AS15" si="275">IF(AND(AR14&lt;0,AS14&gt;0),"n/a",AS14/AR14-1)</f>
        <v>0.24542391157837984</v>
      </c>
      <c r="AT15" s="22">
        <f t="shared" ref="AT15" si="276">IF(AND(AS14&lt;0,AT14&gt;0),"n/a",AT14/AS14-1)</f>
        <v>-3.2792917595618976E-2</v>
      </c>
      <c r="AU15" s="22">
        <f t="shared" ref="AU15" si="277">IF(AND(AT14&lt;0,AU14&gt;0),"n/a",AU14/AT14-1)</f>
        <v>0.12890520096678904</v>
      </c>
      <c r="AV15" s="22">
        <f t="shared" ref="AV15" si="278">IF(AND(AU14&lt;0,AV14&gt;0),"n/a",AV14/AU14-1)</f>
        <v>5.3247165173261335E-2</v>
      </c>
      <c r="AW15" s="22">
        <f t="shared" ref="AW15" si="279">IF(AND(AV14&lt;0,AW14&gt;0),"n/a",AW14/AV14-1)</f>
        <v>0.15262563523433093</v>
      </c>
      <c r="AX15" s="22">
        <f t="shared" ref="AX15" si="280">IF(AND(AW14&lt;0,AX14&gt;0),"n/a",AX14/AW14-1)</f>
        <v>-0.1074152092620716</v>
      </c>
      <c r="AY15" s="22">
        <f t="shared" ref="AY15" si="281">IF(AND(AX14&lt;0,AY14&gt;0),"n/a",AY14/AX14-1)</f>
        <v>2.9765280547373818E-2</v>
      </c>
      <c r="AZ15" s="22">
        <f t="shared" ref="AZ15" si="282">IF(AND(AY14&lt;0,AZ14&gt;0),"n/a",AZ14/AY14-1)</f>
        <v>-3.2084991472427493E-2</v>
      </c>
      <c r="BA15" s="22">
        <f t="shared" ref="BA15" si="283">IF(AND(AZ14&lt;0,BA14&gt;0),"n/a",BA14/AZ14-1)</f>
        <v>8.3697367938034617E-2</v>
      </c>
      <c r="BB15" s="22">
        <f t="shared" ref="BB15" si="284">IF(AND(BA14&lt;0,BB14&gt;0),"n/a",BB14/BA14-1)</f>
        <v>-7.6115307747027572E-2</v>
      </c>
      <c r="BC15" s="22">
        <f t="shared" ref="BC15" si="285">IF(AND(BB14&lt;0,BC14&gt;0),"n/a",BC14/BB14-1)</f>
        <v>6.590525775463818E-2</v>
      </c>
      <c r="BD15" s="22">
        <f t="shared" ref="BD15" si="286">IF(AND(BC14&lt;0,BD14&gt;0),"n/a",BD14/BC14-1)</f>
        <v>2.5867258311404573E-2</v>
      </c>
      <c r="BE15" s="22">
        <f t="shared" ref="BE15" si="287">IF(AND(BD14&lt;0,BE14&gt;0),"n/a",BE14/BD14-1)</f>
        <v>9.8412325850419924E-2</v>
      </c>
      <c r="BF15" s="22">
        <f t="shared" ref="BF15:BL15" si="288">IF(AND(BE14&lt;0,BF14&gt;0),"n/a",BF14/BE14-1)</f>
        <v>-5.8885480104400423E-2</v>
      </c>
      <c r="BG15" s="22">
        <f t="shared" si="288"/>
        <v>4.7957313611962649E-2</v>
      </c>
      <c r="BH15" s="22">
        <f t="shared" si="288"/>
        <v>1.9159341339606284E-2</v>
      </c>
      <c r="BI15" s="22">
        <f t="shared" si="288"/>
        <v>0.10032799829926797</v>
      </c>
      <c r="BJ15" s="22">
        <f t="shared" si="288"/>
        <v>-7.6951739556451071E-2</v>
      </c>
      <c r="BK15" s="22">
        <f t="shared" si="288"/>
        <v>6.6606862525229849E-2</v>
      </c>
      <c r="BL15" s="22">
        <f t="shared" si="288"/>
        <v>3.9837398373983701E-2</v>
      </c>
      <c r="BM15" s="22">
        <f t="shared" ref="BM15" si="289">IF(AND(BL14&lt;0,BM14&gt;0),"n/a",BM14/BL14-1)</f>
        <v>9.4448788115715443E-2</v>
      </c>
      <c r="BN15" s="22">
        <f t="shared" ref="BN15" si="290">IF(AND(BM14&lt;0,BN14&gt;0),"n/a",BN14/BM14-1)</f>
        <v>-8.817928423272281E-2</v>
      </c>
      <c r="BO15" s="22">
        <f t="shared" ref="BO15" si="291">IF(AND(BN14&lt;0,BO14&gt;0),"n/a",BO14/BN14-1)</f>
        <v>5.676288964911369E-2</v>
      </c>
      <c r="BP15" s="22">
        <f t="shared" ref="BP15" si="292">IF(AND(BO14&lt;0,BP14&gt;0),"n/a",BP14/BO14-1)</f>
        <v>4.1635849961997318E-2</v>
      </c>
      <c r="BQ15" s="22">
        <f t="shared" ref="BQ15" si="293">IF(AND(BP14&lt;0,BQ14&gt;0),"n/a",BQ14/BP14-1)</f>
        <v>9.4116041493406355E-2</v>
      </c>
      <c r="BR15" s="28">
        <f>IF(AND(BQ14&lt;0,BR14&gt;0),"n/a",BR14/BQ14-1)</f>
        <v>-8.5022363288800529E-2</v>
      </c>
      <c r="BS15" s="28">
        <f t="shared" ref="BS15" si="294">IF(AND(BR14&lt;0,BS14&gt;0),"n/a",BS14/BR14-1)</f>
        <v>4.9895656722195314E-2</v>
      </c>
      <c r="BT15" s="28">
        <f t="shared" ref="BT15" si="295">IF(AND(BS14&lt;0,BT14&gt;0),"n/a",BT14/BS14-1)</f>
        <v>4.2091126070764151E-2</v>
      </c>
      <c r="BU15" s="28">
        <f t="shared" ref="BU15" si="296">IF(AND(BT14&lt;0,BU14&gt;0),"n/a",BU14/BT14-1)</f>
        <v>9.0909585601641085E-2</v>
      </c>
      <c r="BV15" s="28">
        <f t="shared" ref="BV15" si="297">IF(AND(BU14&lt;0,BV14&gt;0),"n/a",BV14/BU14-1)</f>
        <v>-8.395118768336296E-2</v>
      </c>
      <c r="BW15" s="28">
        <f t="shared" ref="BW15" si="298">IF(AND(BV14&lt;0,BW14&gt;0),"n/a",BW14/BV14-1)</f>
        <v>4.2834329206030475E-2</v>
      </c>
      <c r="BX15" s="28">
        <f t="shared" ref="BX15" si="299">IF(AND(BW14&lt;0,BX14&gt;0),"n/a",BX14/BW14-1)</f>
        <v>4.2470815139910023E-2</v>
      </c>
      <c r="BY15" s="28">
        <f t="shared" ref="BY15" si="300">IF(AND(BX14&lt;0,BY14&gt;0),"n/a",BY14/BX14-1)</f>
        <v>8.7655810316982885E-2</v>
      </c>
      <c r="BZ15" s="28">
        <f t="shared" ref="BZ15" si="301">IF(AND(BY14&lt;0,BZ14&gt;0),"n/a",BZ14/BY14-1)</f>
        <v>-8.2313428901362951E-2</v>
      </c>
      <c r="CA15" s="28">
        <f t="shared" ref="CA15" si="302">IF(AND(BZ14&lt;0,CA14&gt;0),"n/a",CA14/BZ14-1)</f>
        <v>3.5655678835702309E-2</v>
      </c>
      <c r="CB15" s="28">
        <f t="shared" ref="CB15" si="303">IF(AND(CA14&lt;0,CB14&gt;0),"n/a",CB14/CA14-1)</f>
        <v>4.2798010298340072E-2</v>
      </c>
      <c r="CC15" s="28">
        <f t="shared" ref="CC15" si="304">IF(AND(CB14&lt;0,CC14&gt;0),"n/a",CC14/CB14-1)</f>
        <v>8.4337484988527001E-2</v>
      </c>
      <c r="CD15" s="28">
        <f t="shared" ref="CD15" si="305">IF(AND(CC14&lt;0,CD14&gt;0),"n/a",CD14/CC14-1)</f>
        <v>-7.9040365578549432E-2</v>
      </c>
      <c r="CE15" s="28">
        <f t="shared" ref="CE15" si="306">IF(AND(CD14&lt;0,CE14&gt;0),"n/a",CE14/CD14-1)</f>
        <v>2.8400363664135675E-2</v>
      </c>
      <c r="CF15" s="28">
        <f t="shared" ref="CF15" si="307">IF(AND(CE14&lt;0,CF14&gt;0),"n/a",CF14/CE14-1)</f>
        <v>4.3081823919613571E-2</v>
      </c>
      <c r="CG15" s="28">
        <f t="shared" ref="CG15" si="308">IF(AND(CF14&lt;0,CG14&gt;0),"n/a",CG14/CF14-1)</f>
        <v>8.0953017141504713E-2</v>
      </c>
      <c r="CH15" s="28"/>
      <c r="CI15" s="106" t="s">
        <v>82</v>
      </c>
      <c r="CJ15" s="48" t="s">
        <v>82</v>
      </c>
      <c r="CK15" s="106" t="s">
        <v>82</v>
      </c>
      <c r="CL15" s="106" t="s">
        <v>82</v>
      </c>
      <c r="CM15" s="48" t="s">
        <v>82</v>
      </c>
      <c r="CN15" s="106" t="s">
        <v>82</v>
      </c>
      <c r="CO15" s="48" t="s">
        <v>82</v>
      </c>
      <c r="CP15" s="106" t="s">
        <v>82</v>
      </c>
      <c r="CQ15" s="48" t="s">
        <v>82</v>
      </c>
      <c r="CR15" s="106" t="s">
        <v>82</v>
      </c>
      <c r="CS15" s="48" t="s">
        <v>82</v>
      </c>
      <c r="CT15" s="106" t="s">
        <v>82</v>
      </c>
      <c r="CU15" s="48" t="s">
        <v>82</v>
      </c>
      <c r="CV15" s="106" t="s">
        <v>82</v>
      </c>
      <c r="CW15" s="48" t="s">
        <v>82</v>
      </c>
      <c r="CX15" s="106" t="s">
        <v>82</v>
      </c>
      <c r="CY15" s="106" t="s">
        <v>82</v>
      </c>
      <c r="CZ15" s="106" t="s">
        <v>82</v>
      </c>
      <c r="DA15" s="106" t="s">
        <v>82</v>
      </c>
      <c r="DB15" s="106" t="s">
        <v>82</v>
      </c>
      <c r="DC15" s="106" t="s">
        <v>82</v>
      </c>
    </row>
    <row r="16" spans="1:107" x14ac:dyDescent="0.2">
      <c r="A16" s="11" t="s">
        <v>63</v>
      </c>
      <c r="B16" s="25" t="s">
        <v>82</v>
      </c>
      <c r="C16" s="25" t="s">
        <v>82</v>
      </c>
      <c r="D16" s="25" t="s">
        <v>82</v>
      </c>
      <c r="E16" s="25" t="s">
        <v>82</v>
      </c>
      <c r="F16" s="22">
        <f t="shared" ref="F16:AJ16" si="309">IF(AND(B14&lt;0,F14&gt;0),"n/a",F14/B14-1)</f>
        <v>0.28277992277992281</v>
      </c>
      <c r="G16" s="22">
        <f t="shared" si="309"/>
        <v>0.32825358122523629</v>
      </c>
      <c r="H16" s="22">
        <f t="shared" si="309"/>
        <v>0.32750284414106945</v>
      </c>
      <c r="I16" s="22">
        <f t="shared" si="309"/>
        <v>0.24574507162972936</v>
      </c>
      <c r="J16" s="22">
        <f t="shared" si="309"/>
        <v>0.2310378039971106</v>
      </c>
      <c r="K16" s="22">
        <f t="shared" si="309"/>
        <v>0.2075493345571362</v>
      </c>
      <c r="L16" s="22">
        <f t="shared" si="309"/>
        <v>0.16336368505623988</v>
      </c>
      <c r="M16" s="22">
        <f t="shared" si="309"/>
        <v>0.18694712011008452</v>
      </c>
      <c r="N16" s="22">
        <f t="shared" si="309"/>
        <v>0.17633251833740826</v>
      </c>
      <c r="O16" s="22">
        <f t="shared" si="309"/>
        <v>0.15705463182897872</v>
      </c>
      <c r="P16" s="22">
        <f t="shared" si="309"/>
        <v>0.16491712707182327</v>
      </c>
      <c r="Q16" s="22">
        <f t="shared" si="309"/>
        <v>0.17712818814176878</v>
      </c>
      <c r="R16" s="22">
        <f t="shared" si="309"/>
        <v>0.16370136348520115</v>
      </c>
      <c r="S16" s="22">
        <f t="shared" si="309"/>
        <v>0.190507472491378</v>
      </c>
      <c r="T16" s="22">
        <f t="shared" si="309"/>
        <v>0.17144889732036983</v>
      </c>
      <c r="U16" s="22">
        <f t="shared" si="309"/>
        <v>0.14730918044319385</v>
      </c>
      <c r="V16" s="22">
        <f t="shared" si="309"/>
        <v>0.10795170393655784</v>
      </c>
      <c r="W16" s="22">
        <f t="shared" si="309"/>
        <v>0.10518692233411508</v>
      </c>
      <c r="X16" s="22">
        <f t="shared" si="309"/>
        <v>0.13232118758434552</v>
      </c>
      <c r="Y16" s="22">
        <f t="shared" si="309"/>
        <v>0.16978355509228038</v>
      </c>
      <c r="Z16" s="22">
        <f t="shared" si="309"/>
        <v>0.16198091307712148</v>
      </c>
      <c r="AA16" s="22">
        <f t="shared" si="309"/>
        <v>0.1947200898708108</v>
      </c>
      <c r="AB16" s="22">
        <f t="shared" si="309"/>
        <v>0.1811572611882486</v>
      </c>
      <c r="AC16" s="22">
        <f t="shared" si="309"/>
        <v>0.17407485061327188</v>
      </c>
      <c r="AD16" s="22">
        <f t="shared" si="309"/>
        <v>0.18817980022197567</v>
      </c>
      <c r="AE16" s="22">
        <f t="shared" si="309"/>
        <v>0.18434937052708555</v>
      </c>
      <c r="AF16" s="22">
        <f t="shared" si="309"/>
        <v>0.2141163412542253</v>
      </c>
      <c r="AG16" s="22">
        <f t="shared" si="309"/>
        <v>0.21554533684539479</v>
      </c>
      <c r="AH16" s="22">
        <f t="shared" si="309"/>
        <v>0.24431367054317876</v>
      </c>
      <c r="AI16" s="22">
        <f t="shared" si="309"/>
        <v>0.23884086097388857</v>
      </c>
      <c r="AJ16" s="22">
        <f t="shared" si="309"/>
        <v>0.20315811344275914</v>
      </c>
      <c r="AK16" s="22">
        <f>IF(AND(AG14&lt;0,AK14&gt;0),"n/a",AK14/AG14-1)</f>
        <v>0.19432915855584532</v>
      </c>
      <c r="AL16" s="22">
        <f>IF(AND(AH14&lt;0,AL14&gt;0),"n/a",AL14/AH14-1)</f>
        <v>0.14807446888371745</v>
      </c>
      <c r="AM16" s="22">
        <f t="shared" ref="AM16" si="310">IF(AND(AI14&lt;0,AM14&gt;0),"n/a",AM14/AI14-1)</f>
        <v>0.15690532986791039</v>
      </c>
      <c r="AN16" s="22">
        <f t="shared" ref="AN16" si="311">IF(AND(AJ14&lt;0,AN14&gt;0),"n/a",AN14/AJ14-1)</f>
        <v>0.16723077985770529</v>
      </c>
      <c r="AO16" s="22">
        <f t="shared" ref="AO16" si="312">IF(AND(AK14&lt;0,AO14&gt;0),"n/a",AO14/AK14-1)</f>
        <v>0.16655390860446517</v>
      </c>
      <c r="AP16" s="22">
        <f t="shared" ref="AP16" si="313">IF(AND(AL14&lt;0,AP14&gt;0),"n/a",AP14/AL14-1)</f>
        <v>0.10383496256579594</v>
      </c>
      <c r="AQ16" s="22">
        <f t="shared" ref="AQ16" si="314">IF(AND(AM14&lt;0,AQ14&gt;0),"n/a",AQ14/AM14-1)</f>
        <v>-8.0845694589770423E-2</v>
      </c>
      <c r="AR16" s="22">
        <f t="shared" ref="AR16" si="315">IF(AND(AN14&lt;0,AR14&gt;0),"n/a",AR14/AN14-1)</f>
        <v>9.7615102378979746E-2</v>
      </c>
      <c r="AS16" s="22">
        <f t="shared" ref="AS16" si="316">IF(AND(AO14&lt;0,AS14&gt;0),"n/a",AS14/AO14-1)</f>
        <v>0.21787842041440397</v>
      </c>
      <c r="AT16" s="22">
        <f t="shared" ref="AT16" si="317">IF(AND(AP14&lt;0,AT14&gt;0),"n/a",AT14/AP14-1)</f>
        <v>0.32346059295678709</v>
      </c>
      <c r="AU16" s="22">
        <f t="shared" ref="AU16" si="318">IF(AND(AQ14&lt;0,AU14&gt;0),"n/a",AU14/AQ14-1)</f>
        <v>0.68895436434861224</v>
      </c>
      <c r="AV16" s="22">
        <f t="shared" ref="AV16" si="319">IF(AND(AR14&lt;0,AV14&gt;0),"n/a",AV14/AR14-1)</f>
        <v>0.43226849979781634</v>
      </c>
      <c r="AW16" s="22">
        <f t="shared" ref="AW16" si="320">IF(AND(AS14&lt;0,AW14&gt;0),"n/a",AW14/AS14-1)</f>
        <v>0.32554817203835573</v>
      </c>
      <c r="AX16" s="22">
        <f t="shared" ref="AX16" si="321">IF(AND(AT14&lt;0,AX14&gt;0),"n/a",AX14/AT14-1)</f>
        <v>0.22327902604959271</v>
      </c>
      <c r="AY16" s="22">
        <f t="shared" ref="AY16" si="322">IF(AND(AU14&lt;0,AY14&gt;0),"n/a",AY14/AU14-1)</f>
        <v>0.11585124098009669</v>
      </c>
      <c r="AZ16" s="22">
        <f t="shared" ref="AZ16" si="323">IF(AND(AV14&lt;0,AZ14&gt;0),"n/a",AZ14/AV14-1)</f>
        <v>2.5447016751364515E-2</v>
      </c>
      <c r="BA16" s="22">
        <f t="shared" ref="BA16" si="324">IF(AND(AW14&lt;0,BA14&gt;0),"n/a",BA14/AW14-1)</f>
        <v>-3.5875830761442851E-2</v>
      </c>
      <c r="BB16" s="22">
        <f t="shared" ref="BB16" si="325">IF(AND(AX14&lt;0,BB14&gt;0),"n/a",BB14/AX14-1)</f>
        <v>-2.0672874627247761E-3</v>
      </c>
      <c r="BC16" s="22">
        <f t="shared" ref="BC16" si="326">IF(AND(AY14&lt;0,BC14&gt;0),"n/a",BC14/AY14-1)</f>
        <v>3.2955514496873173E-2</v>
      </c>
      <c r="BD16" s="22">
        <f t="shared" ref="BD16" si="327">IF(AND(AZ14&lt;0,BD14&gt;0),"n/a",BD14/AZ14-1)</f>
        <v>9.4801952938585288E-2</v>
      </c>
      <c r="BE16" s="22">
        <f t="shared" ref="BE16" si="328">IF(AND(BA14&lt;0,BE14&gt;0),"n/a",BE14/BA14-1)</f>
        <v>0.10966769418380129</v>
      </c>
      <c r="BF16" s="22">
        <f t="shared" ref="BF16:BL16" si="329">IF(AND(BB14&lt;0,BF14&gt;0),"n/a",BF14/BB14-1)</f>
        <v>0.13036224976167787</v>
      </c>
      <c r="BG16" s="22">
        <f t="shared" si="329"/>
        <v>0.11132896479369836</v>
      </c>
      <c r="BH16" s="22">
        <f t="shared" si="329"/>
        <v>0.10406223280299098</v>
      </c>
      <c r="BI16" s="22">
        <f t="shared" si="329"/>
        <v>0.10598775890226975</v>
      </c>
      <c r="BJ16" s="22">
        <f t="shared" si="329"/>
        <v>8.4756483238456637E-2</v>
      </c>
      <c r="BK16" s="22">
        <f t="shared" si="329"/>
        <v>0.10406091370558368</v>
      </c>
      <c r="BL16" s="22">
        <f t="shared" si="329"/>
        <v>0.12646156649558105</v>
      </c>
      <c r="BM16" s="22">
        <f t="shared" ref="BM16" si="330">IF(AND(BI14&lt;0,BM14&gt;0),"n/a",BM14/BI14-1)</f>
        <v>0.12044272091193897</v>
      </c>
      <c r="BN16" s="22">
        <f t="shared" ref="BN16" si="331">IF(AND(BJ14&lt;0,BN14&gt;0),"n/a",BN14/BJ14-1)</f>
        <v>0.10681415863048538</v>
      </c>
      <c r="BO16" s="22">
        <f t="shared" ref="BO16" si="332">IF(AND(BK14&lt;0,BO14&gt;0),"n/a",BO14/BK14-1)</f>
        <v>9.6599102887580557E-2</v>
      </c>
      <c r="BP16" s="22">
        <f t="shared" ref="BP16" si="333">IF(AND(BL14&lt;0,BP14&gt;0),"n/a",BP14/BL14-1)</f>
        <v>9.8495726726159916E-2</v>
      </c>
      <c r="BQ16" s="22">
        <f t="shared" ref="BQ16" si="334">IF(AND(BM14&lt;0,BQ14&gt;0),"n/a",BQ14/BM14-1)</f>
        <v>9.8161749708086443E-2</v>
      </c>
      <c r="BR16" s="28">
        <f>IF(AND(BN14&lt;0,BR14&gt;0),"n/a",BR14/BN14-1)</f>
        <v>0.10196382369864132</v>
      </c>
      <c r="BS16" s="28">
        <f t="shared" ref="BS16" si="335">IF(AND(BO14&lt;0,BS14&gt;0),"n/a",BS14/BO14-1)</f>
        <v>9.4802858520455668E-2</v>
      </c>
      <c r="BT16" s="28">
        <f t="shared" ref="BT16" si="336">IF(AND(BP14&lt;0,BT14&gt;0),"n/a",BT14/BP14-1)</f>
        <v>9.5281372758720506E-2</v>
      </c>
      <c r="BU16" s="28">
        <f t="shared" ref="BU16" si="337">IF(AND(BQ14&lt;0,BU14&gt;0),"n/a",BU14/BQ14-1)</f>
        <v>9.2071501705162762E-2</v>
      </c>
      <c r="BV16" s="28">
        <f t="shared" ref="BV16" si="338">IF(AND(BR14&lt;0,BV14&gt;0),"n/a",BV14/BR14-1)</f>
        <v>9.3350003282780314E-2</v>
      </c>
      <c r="BW16" s="28">
        <f t="shared" ref="BW16" si="339">IF(AND(BS14&lt;0,BW14&gt;0),"n/a",BW14/BS14-1)</f>
        <v>8.5996413034504338E-2</v>
      </c>
      <c r="BX16" s="28">
        <f t="shared" ref="BX16" si="340">IF(AND(BT14&lt;0,BX14&gt;0),"n/a",BX14/BT14-1)</f>
        <v>8.63920991284024E-2</v>
      </c>
      <c r="BY16" s="28">
        <f t="shared" ref="BY16" si="341">IF(AND(BU14&lt;0,BY14&gt;0),"n/a",BY14/BU14-1)</f>
        <v>8.3151797816316764E-2</v>
      </c>
      <c r="BZ16" s="28">
        <f t="shared" ref="BZ16" si="342">IF(AND(BV14&lt;0,BZ14&gt;0),"n/a",BZ14/BV14-1)</f>
        <v>8.5088311837471009E-2</v>
      </c>
      <c r="CA16" s="28">
        <f t="shared" ref="CA16" si="343">IF(AND(BW14&lt;0,CA14&gt;0),"n/a",CA14/BW14-1)</f>
        <v>7.7618794011431014E-2</v>
      </c>
      <c r="CB16" s="28">
        <f t="shared" ref="CB16" si="344">IF(AND(BX14&lt;0,CB14&gt;0),"n/a",CB14/BX14-1)</f>
        <v>7.7957020892139184E-2</v>
      </c>
      <c r="CC16" s="28">
        <f t="shared" ref="CC16" si="345">IF(AND(BY14&lt;0,CC14&gt;0),"n/a",CC14/BY14-1)</f>
        <v>7.4668285566603654E-2</v>
      </c>
      <c r="CD16" s="28">
        <f t="shared" ref="CD16" si="346">IF(AND(BZ14&lt;0,CD14&gt;0),"n/a",CD14/BZ14-1)</f>
        <v>7.8501247125001505E-2</v>
      </c>
      <c r="CE16" s="28">
        <f t="shared" ref="CE16" si="347">IF(AND(CA14&lt;0,CE14&gt;0),"n/a",CE14/CA14-1)</f>
        <v>7.0945776112071313E-2</v>
      </c>
      <c r="CF16" s="28">
        <f t="shared" ref="CF16" si="348">IF(AND(CB14&lt;0,CF14&gt;0),"n/a",CF14/CB14-1)</f>
        <v>7.1237250583545464E-2</v>
      </c>
      <c r="CG16" s="28">
        <f t="shared" ref="CG16" si="349">IF(AND(CC14&lt;0,CG14&gt;0),"n/a",CG14/CC14-1)</f>
        <v>6.7893671595154137E-2</v>
      </c>
      <c r="CH16" s="28"/>
      <c r="CI16" s="106" t="s">
        <v>82</v>
      </c>
      <c r="CJ16" s="22">
        <f>IF(AND(CI14&lt;0,CJ14&gt;0),"n/a",CJ14/CI14-1)</f>
        <v>0.29377390565235872</v>
      </c>
      <c r="CK16" s="107">
        <f t="shared" ref="CK16" si="350">IF(AND(CJ14&lt;0,CK14&gt;0),"n/a",CK14/CJ14-1)</f>
        <v>0.19586104951958605</v>
      </c>
      <c r="CL16" s="107">
        <f t="shared" ref="CL16" si="351">IF(AND(CK14&lt;0,CL14&gt;0),"n/a",CL14/CK14-1)</f>
        <v>0.16907018266721607</v>
      </c>
      <c r="CM16" s="22">
        <f t="shared" ref="CM16" si="352">IF(AND(CL14&lt;0,CM14&gt;0),"n/a",CM14/CL14-1)</f>
        <v>0.16744987468671679</v>
      </c>
      <c r="CN16" s="107">
        <f t="shared" ref="CN16" si="353">IF(AND(CM14&lt;0,CN14&gt;0),"n/a",CN14/CM14-1)</f>
        <v>0.13024956393398623</v>
      </c>
      <c r="CO16" s="22">
        <f t="shared" ref="CO16" si="354">IF(AND(CN14&lt;0,CO14&gt;0),"n/a",CO14/CN14-1)</f>
        <v>0.17796408962754118</v>
      </c>
      <c r="CP16" s="107">
        <f t="shared" ref="CP16" si="355">IF(AND(CO14&lt;0,CP14&gt;0),"n/a",CP14/CO14-1)</f>
        <v>0.20145371175188642</v>
      </c>
      <c r="CQ16" s="22">
        <f t="shared" ref="CQ16" si="356">IF(AND(CP14&lt;0,CQ14&gt;0),"n/a",CQ14/CP14-1)</f>
        <v>0.21835910878112719</v>
      </c>
      <c r="CR16" s="107">
        <f t="shared" ref="CR16" si="357">IF(AND(CQ14&lt;0,CR14&gt;0),"n/a",CR14/CQ14-1)</f>
        <v>0.16015352707808028</v>
      </c>
      <c r="CS16" s="22">
        <f t="shared" ref="CS16" si="358">IF(AND(CR14&lt;0,CS14&gt;0),"n/a",CS14/CR14-1)</f>
        <v>8.9851718331590114E-2</v>
      </c>
      <c r="CT16" s="107">
        <f t="shared" ref="CT16" si="359">IF(AND(CS14&lt;0,CT14&gt;0),"n/a",CT14/CS14-1)</f>
        <v>0.42588685306689178</v>
      </c>
      <c r="CU16" s="22">
        <f t="shared" ref="CU16" si="360">IF(AND(CT14&lt;0,CU14&gt;0),"n/a",CU14/CT14-1)</f>
        <v>7.14855105323704E-2</v>
      </c>
      <c r="CV16" s="107">
        <f t="shared" ref="CV16" si="361">IF(AND(CU14&lt;0,CV14&gt;0),"n/a",CV14/CU14-1)</f>
        <v>5.9615187572670258E-2</v>
      </c>
      <c r="CW16" s="22">
        <f t="shared" ref="CW16" si="362">IF(AND(CV14&lt;0,CW14&gt;0),"n/a",CW14/CV14-1)</f>
        <v>0.11240041201572382</v>
      </c>
      <c r="CX16" s="107">
        <f t="shared" ref="CX16" si="363">IF(AND(CW14&lt;0,CX14&gt;0),"n/a",CX14/CW14-1)</f>
        <v>0.10962394648323825</v>
      </c>
      <c r="CY16" s="107">
        <f t="shared" ref="CY16" si="364">IF(AND(CX14&lt;0,CY14&gt;0),"n/a",CY14/CX14-1)</f>
        <v>9.983756693735657E-2</v>
      </c>
      <c r="CZ16" s="107">
        <f>IF(AND(CY14&lt;0,CZ14&gt;0),"n/a",CZ14/CY14-1)</f>
        <v>9.5811173292564833E-2</v>
      </c>
      <c r="DA16" s="107">
        <f>IF(AND(CZ14&lt;0,DA14&gt;0),"n/a",DA14/CZ14-1)</f>
        <v>8.7008812337217245E-2</v>
      </c>
      <c r="DB16" s="107">
        <f>IF(AND(DA14&lt;0,DB14&gt;0),"n/a",DB14/DA14-1)</f>
        <v>7.8627166428173023E-2</v>
      </c>
      <c r="DC16" s="107">
        <f>IF(AND(DB14&lt;0,DC14&gt;0),"n/a",DC14/DB14-1)</f>
        <v>7.194795837710366E-2</v>
      </c>
    </row>
    <row r="17" spans="1:108" x14ac:dyDescent="0.2">
      <c r="A17" s="11" t="s">
        <v>64</v>
      </c>
      <c r="B17" s="25" t="s">
        <v>82</v>
      </c>
      <c r="C17" s="25" t="s">
        <v>82</v>
      </c>
      <c r="D17" s="25" t="s">
        <v>82</v>
      </c>
      <c r="E17" s="25" t="s">
        <v>82</v>
      </c>
      <c r="F17" s="25" t="s">
        <v>82</v>
      </c>
      <c r="G17" s="25" t="s">
        <v>82</v>
      </c>
      <c r="H17" s="25" t="s">
        <v>82</v>
      </c>
      <c r="I17" s="25" t="s">
        <v>82</v>
      </c>
      <c r="J17" s="25" t="s">
        <v>82</v>
      </c>
      <c r="K17" s="25" t="s">
        <v>82</v>
      </c>
      <c r="L17" s="25" t="s">
        <v>82</v>
      </c>
      <c r="M17" s="25" t="s">
        <v>82</v>
      </c>
      <c r="N17" s="25" t="s">
        <v>82</v>
      </c>
      <c r="O17" s="25" t="s">
        <v>82</v>
      </c>
      <c r="P17" s="25" t="s">
        <v>82</v>
      </c>
      <c r="Q17" s="25" t="s">
        <v>82</v>
      </c>
      <c r="R17" s="25" t="s">
        <v>82</v>
      </c>
      <c r="S17" s="25" t="s">
        <v>82</v>
      </c>
      <c r="T17" s="25" t="s">
        <v>82</v>
      </c>
      <c r="U17" s="25" t="s">
        <v>82</v>
      </c>
      <c r="V17" s="25" t="s">
        <v>82</v>
      </c>
      <c r="W17" s="25" t="s">
        <v>82</v>
      </c>
      <c r="X17" s="25" t="s">
        <v>82</v>
      </c>
      <c r="Y17" s="25" t="s">
        <v>82</v>
      </c>
      <c r="Z17" s="25" t="s">
        <v>82</v>
      </c>
      <c r="AA17" s="25" t="s">
        <v>82</v>
      </c>
      <c r="AB17" s="25" t="s">
        <v>82</v>
      </c>
      <c r="AC17" s="25" t="s">
        <v>82</v>
      </c>
      <c r="AD17" s="25" t="s">
        <v>82</v>
      </c>
      <c r="AE17" s="25" t="s">
        <v>82</v>
      </c>
      <c r="AF17" s="25" t="s">
        <v>82</v>
      </c>
      <c r="AG17" s="25" t="s">
        <v>82</v>
      </c>
      <c r="AH17" s="25" t="s">
        <v>82</v>
      </c>
      <c r="AI17" s="25" t="s">
        <v>82</v>
      </c>
      <c r="AJ17" s="25" t="s">
        <v>82</v>
      </c>
      <c r="AK17" s="22">
        <f>AK14/AK$8</f>
        <v>0.87205342057979562</v>
      </c>
      <c r="AL17" s="22">
        <f t="shared" ref="AL17:BQ17" si="365">AL14/AL$8</f>
        <v>0.89417370713596633</v>
      </c>
      <c r="AM17" s="22">
        <f t="shared" si="365"/>
        <v>0.88844534368677197</v>
      </c>
      <c r="AN17" s="22">
        <f t="shared" si="365"/>
        <v>0.89298736986735716</v>
      </c>
      <c r="AO17" s="22">
        <f t="shared" si="365"/>
        <v>0.87814250659752768</v>
      </c>
      <c r="AP17" s="22">
        <f t="shared" si="365"/>
        <v>0.88389444473532641</v>
      </c>
      <c r="AQ17" s="22">
        <f t="shared" si="365"/>
        <v>0.85356234460289793</v>
      </c>
      <c r="AR17" s="22">
        <f t="shared" si="365"/>
        <v>0.87132689732929325</v>
      </c>
      <c r="AS17" s="22">
        <f t="shared" si="365"/>
        <v>0.87377300323416485</v>
      </c>
      <c r="AT17" s="22">
        <f t="shared" si="365"/>
        <v>0.87310953925514867</v>
      </c>
      <c r="AU17" s="22">
        <f t="shared" si="365"/>
        <v>0.88394343490984284</v>
      </c>
      <c r="AV17" s="22">
        <f t="shared" si="365"/>
        <v>0.8872152828802351</v>
      </c>
      <c r="AW17" s="22">
        <f t="shared" si="365"/>
        <v>0.88240634005763685</v>
      </c>
      <c r="AX17" s="22">
        <f t="shared" si="365"/>
        <v>0.8892015877147319</v>
      </c>
      <c r="AY17" s="22">
        <f t="shared" si="365"/>
        <v>0.89572094651580969</v>
      </c>
      <c r="AZ17" s="22">
        <f t="shared" si="365"/>
        <v>0.88766150186551962</v>
      </c>
      <c r="BA17" s="22">
        <f t="shared" si="365"/>
        <v>0.87033815855420271</v>
      </c>
      <c r="BB17" s="22">
        <f t="shared" si="365"/>
        <v>0.88036022659414792</v>
      </c>
      <c r="BC17" s="22">
        <f t="shared" si="365"/>
        <v>0.87716677981443769</v>
      </c>
      <c r="BD17" s="22">
        <f t="shared" si="365"/>
        <v>0.87734239402229874</v>
      </c>
      <c r="BE17" s="22">
        <f t="shared" si="365"/>
        <v>0.85855250226048674</v>
      </c>
      <c r="BF17" s="22">
        <f t="shared" si="365"/>
        <v>0.87586295065200714</v>
      </c>
      <c r="BG17" s="22">
        <f t="shared" ref="BG17:BH17" si="366">BG14/BG$8</f>
        <v>0.87403960610323561</v>
      </c>
      <c r="BH17" s="22">
        <f t="shared" si="366"/>
        <v>0.86072408835446346</v>
      </c>
      <c r="BI17" s="22">
        <f t="shared" ref="BI17:BJ17" si="367">BI14/BI$8</f>
        <v>0.86166670630484932</v>
      </c>
      <c r="BJ17" s="22">
        <f t="shared" si="367"/>
        <v>0.86566835783806173</v>
      </c>
      <c r="BK17" s="22">
        <f t="shared" ref="BK17:BL17" si="368">BK14/BK$8</f>
        <v>0.86427680118241401</v>
      </c>
      <c r="BL17" s="22">
        <f t="shared" si="368"/>
        <v>0.85215733125028714</v>
      </c>
      <c r="BM17" s="22">
        <f t="shared" si="365"/>
        <v>0.85459748496773025</v>
      </c>
      <c r="BN17" s="22">
        <f t="shared" si="365"/>
        <v>0.86211714466620681</v>
      </c>
      <c r="BO17" s="22">
        <f t="shared" si="365"/>
        <v>0.86001797414653824</v>
      </c>
      <c r="BP17" s="22">
        <f t="shared" si="365"/>
        <v>0.84922814401284008</v>
      </c>
      <c r="BQ17" s="22">
        <f t="shared" si="365"/>
        <v>0.85232545657258019</v>
      </c>
      <c r="BR17" s="28">
        <f>BR14/BR$8</f>
        <v>0.85962161883378296</v>
      </c>
      <c r="BS17" s="28">
        <f t="shared" ref="BS17:BU17" si="369">BS14/BS$8</f>
        <v>0.85669218328768038</v>
      </c>
      <c r="BT17" s="28">
        <f t="shared" si="369"/>
        <v>0.84574901293700588</v>
      </c>
      <c r="BU17" s="28">
        <f t="shared" si="369"/>
        <v>0.84852824487301792</v>
      </c>
      <c r="BV17" s="28">
        <f t="shared" ref="BV17:CC17" si="370">BV14/BV$8</f>
        <v>0.85495720447767143</v>
      </c>
      <c r="BW17" s="28">
        <f t="shared" si="370"/>
        <v>0.85109396759697786</v>
      </c>
      <c r="BX17" s="28">
        <f t="shared" si="370"/>
        <v>0.83985225076830761</v>
      </c>
      <c r="BY17" s="28">
        <f t="shared" si="370"/>
        <v>0.84232164342708304</v>
      </c>
      <c r="BZ17" s="28">
        <f t="shared" si="370"/>
        <v>0.85018186912611882</v>
      </c>
      <c r="CA17" s="28">
        <f t="shared" si="370"/>
        <v>0.84531324403217989</v>
      </c>
      <c r="CB17" s="28">
        <f t="shared" si="370"/>
        <v>0.83376387294210075</v>
      </c>
      <c r="CC17" s="28">
        <f t="shared" si="370"/>
        <v>0.83589012257045814</v>
      </c>
      <c r="CD17" s="28">
        <f t="shared" ref="CD17:CG17" si="371">CD14/CD$8</f>
        <v>0.84527447229966635</v>
      </c>
      <c r="CE17" s="28">
        <f t="shared" si="371"/>
        <v>0.83933053904087529</v>
      </c>
      <c r="CF17" s="28">
        <f t="shared" si="371"/>
        <v>0.82746452886460808</v>
      </c>
      <c r="CG17" s="28">
        <f t="shared" si="371"/>
        <v>0.82921262742487878</v>
      </c>
      <c r="CH17" s="28"/>
      <c r="CI17" s="107" t="e">
        <f>CI14/CI$8</f>
        <v>#DIV/0!</v>
      </c>
      <c r="CJ17" s="22" t="e">
        <f t="shared" ref="CJ17:CY17" si="372">CJ14/CJ$8</f>
        <v>#DIV/0!</v>
      </c>
      <c r="CK17" s="107" t="e">
        <f t="shared" si="372"/>
        <v>#DIV/0!</v>
      </c>
      <c r="CL17" s="107" t="e">
        <f t="shared" si="372"/>
        <v>#DIV/0!</v>
      </c>
      <c r="CM17" s="22" t="e">
        <f t="shared" si="372"/>
        <v>#DIV/0!</v>
      </c>
      <c r="CN17" s="107" t="e">
        <f t="shared" si="372"/>
        <v>#DIV/0!</v>
      </c>
      <c r="CO17" s="22" t="e">
        <f t="shared" si="372"/>
        <v>#DIV/0!</v>
      </c>
      <c r="CP17" s="107" t="e">
        <f t="shared" si="372"/>
        <v>#DIV/0!</v>
      </c>
      <c r="CQ17" s="22">
        <f t="shared" si="372"/>
        <v>0.89026539180533848</v>
      </c>
      <c r="CR17" s="107">
        <f t="shared" si="372"/>
        <v>0.88793676930676768</v>
      </c>
      <c r="CS17" s="22">
        <f t="shared" si="372"/>
        <v>0.87125448453761078</v>
      </c>
      <c r="CT17" s="107">
        <f t="shared" si="372"/>
        <v>0.88198493657616539</v>
      </c>
      <c r="CU17" s="22">
        <f t="shared" si="372"/>
        <v>0.88539727367391374</v>
      </c>
      <c r="CV17" s="107">
        <f t="shared" si="372"/>
        <v>0.87272467096935158</v>
      </c>
      <c r="CW17" s="22">
        <f t="shared" si="372"/>
        <v>0.86770734266880922</v>
      </c>
      <c r="CX17" s="107">
        <f t="shared" si="372"/>
        <v>0.85881533902289431</v>
      </c>
      <c r="CY17" s="107">
        <f t="shared" si="372"/>
        <v>0.85562000026474838</v>
      </c>
      <c r="CZ17" s="107">
        <f>CZ14/CZ$8</f>
        <v>0.8523235845846221</v>
      </c>
      <c r="DA17" s="107">
        <f>DA14/DA$8</f>
        <v>0.84670625491652596</v>
      </c>
      <c r="DB17" s="107">
        <f>DB14/DB$8</f>
        <v>0.84091222310951474</v>
      </c>
      <c r="DC17" s="107">
        <f>DC14/DC$8</f>
        <v>0.8349215277872224</v>
      </c>
    </row>
    <row r="18" spans="1:108" x14ac:dyDescent="0.2">
      <c r="A18" s="11" t="s">
        <v>59</v>
      </c>
      <c r="B18" s="22">
        <f t="shared" ref="B18:AJ18" si="373">B14/B$3</f>
        <v>0.955719557195572</v>
      </c>
      <c r="C18" s="22">
        <f t="shared" si="373"/>
        <v>0.96217008797653958</v>
      </c>
      <c r="D18" s="22">
        <f t="shared" si="373"/>
        <v>0.96513862201482292</v>
      </c>
      <c r="E18" s="22">
        <f t="shared" si="373"/>
        <v>0.967654028436019</v>
      </c>
      <c r="F18" s="22">
        <f t="shared" si="373"/>
        <v>0.96862973760932947</v>
      </c>
      <c r="G18" s="22">
        <f t="shared" si="373"/>
        <v>0.96565477509417241</v>
      </c>
      <c r="H18" s="22">
        <f t="shared" si="373"/>
        <v>0.96039094650205759</v>
      </c>
      <c r="I18" s="22">
        <f t="shared" si="373"/>
        <v>0.96126228269085412</v>
      </c>
      <c r="J18" s="22">
        <f t="shared" si="373"/>
        <v>0.96054485674025369</v>
      </c>
      <c r="K18" s="22">
        <f t="shared" si="373"/>
        <v>0.95995986866107264</v>
      </c>
      <c r="L18" s="22">
        <f t="shared" si="373"/>
        <v>0.94221759500260283</v>
      </c>
      <c r="M18" s="22">
        <f t="shared" si="373"/>
        <v>0.93576133281673768</v>
      </c>
      <c r="N18" s="22">
        <f t="shared" si="373"/>
        <v>0.92894655545257954</v>
      </c>
      <c r="O18" s="22">
        <f t="shared" si="373"/>
        <v>0.92933455433455436</v>
      </c>
      <c r="P18" s="22">
        <f t="shared" si="373"/>
        <v>0.92000581775870849</v>
      </c>
      <c r="Q18" s="22">
        <f t="shared" si="373"/>
        <v>0.90449223721048611</v>
      </c>
      <c r="R18" s="22">
        <f t="shared" si="373"/>
        <v>0.90771725032425421</v>
      </c>
      <c r="S18" s="22">
        <f t="shared" si="373"/>
        <v>0.90868066436853656</v>
      </c>
      <c r="T18" s="22">
        <f t="shared" si="373"/>
        <v>0.89693154996066093</v>
      </c>
      <c r="U18" s="22">
        <f t="shared" si="373"/>
        <v>0.90620658998722015</v>
      </c>
      <c r="V18" s="22">
        <f t="shared" si="373"/>
        <v>0.90278262894399819</v>
      </c>
      <c r="W18" s="22">
        <f t="shared" si="373"/>
        <v>0.90766441964538602</v>
      </c>
      <c r="X18" s="22">
        <f t="shared" si="373"/>
        <v>0.9054659256461447</v>
      </c>
      <c r="Y18" s="22">
        <f t="shared" si="373"/>
        <v>0.90084049485314954</v>
      </c>
      <c r="Z18" s="22">
        <f t="shared" si="373"/>
        <v>0.89691901846597977</v>
      </c>
      <c r="AA18" s="22">
        <f t="shared" si="373"/>
        <v>0.89809992962702323</v>
      </c>
      <c r="AB18" s="22">
        <f t="shared" si="373"/>
        <v>0.89067133998382308</v>
      </c>
      <c r="AC18" s="22">
        <f t="shared" si="373"/>
        <v>0.8681109991473529</v>
      </c>
      <c r="AD18" s="22">
        <f t="shared" si="373"/>
        <v>0.86972946624421155</v>
      </c>
      <c r="AE18" s="22">
        <f t="shared" si="373"/>
        <v>0.87492764249604449</v>
      </c>
      <c r="AF18" s="22">
        <f t="shared" si="373"/>
        <v>0.87018622310612914</v>
      </c>
      <c r="AG18" s="22">
        <f t="shared" si="373"/>
        <v>0.84576913518886676</v>
      </c>
      <c r="AH18" s="22">
        <f t="shared" si="373"/>
        <v>0.85953026196928639</v>
      </c>
      <c r="AI18" s="22">
        <f t="shared" si="373"/>
        <v>0.86389640748031493</v>
      </c>
      <c r="AJ18" s="22">
        <f t="shared" si="373"/>
        <v>0.86188009763648266</v>
      </c>
      <c r="AK18" s="22">
        <f>AK14/AK$3</f>
        <v>0.83383763269911282</v>
      </c>
      <c r="AL18" s="22">
        <f t="shared" ref="AL18:BQ18" si="374">AL14/AL$3</f>
        <v>0.84888432504440492</v>
      </c>
      <c r="AM18" s="22">
        <f t="shared" si="374"/>
        <v>0.84020272017376019</v>
      </c>
      <c r="AN18" s="22">
        <f t="shared" si="374"/>
        <v>0.84017402113113737</v>
      </c>
      <c r="AO18" s="22">
        <f t="shared" si="374"/>
        <v>0.82803632236095348</v>
      </c>
      <c r="AP18" s="22">
        <f t="shared" si="374"/>
        <v>0.82399023794996951</v>
      </c>
      <c r="AQ18" s="22">
        <f t="shared" si="374"/>
        <v>0.78601505342386446</v>
      </c>
      <c r="AR18" s="22">
        <f t="shared" si="374"/>
        <v>0.80611513136449575</v>
      </c>
      <c r="AS18" s="22">
        <f t="shared" si="374"/>
        <v>0.81473970090293457</v>
      </c>
      <c r="AT18" s="22">
        <f t="shared" si="374"/>
        <v>0.80912630149388864</v>
      </c>
      <c r="AU18" s="22">
        <f t="shared" si="374"/>
        <v>0.81763514061107057</v>
      </c>
      <c r="AV18" s="22">
        <f t="shared" si="374"/>
        <v>0.81897216142059992</v>
      </c>
      <c r="AW18" s="22">
        <f t="shared" si="374"/>
        <v>0.81716283476334717</v>
      </c>
      <c r="AX18" s="22">
        <f t="shared" si="374"/>
        <v>0.81228359561915797</v>
      </c>
      <c r="AY18" s="22">
        <f t="shared" si="374"/>
        <v>0.8143871985184542</v>
      </c>
      <c r="AZ18" s="22">
        <f t="shared" si="374"/>
        <v>0.79832954795223088</v>
      </c>
      <c r="BA18" s="22">
        <f t="shared" si="374"/>
        <v>0.78562399371947889</v>
      </c>
      <c r="BB18" s="22">
        <f t="shared" si="374"/>
        <v>0.7858243895411654</v>
      </c>
      <c r="BC18" s="22">
        <f t="shared" si="374"/>
        <v>0.78237526239302435</v>
      </c>
      <c r="BD18" s="22">
        <f t="shared" si="374"/>
        <v>0.7807505530321871</v>
      </c>
      <c r="BE18" s="22">
        <f t="shared" si="374"/>
        <v>0.76625381565559103</v>
      </c>
      <c r="BF18" s="22">
        <f t="shared" si="374"/>
        <v>0.77100735257340069</v>
      </c>
      <c r="BG18" s="22">
        <f t="shared" ref="BG18:BH18" si="375">BG14/BG$3</f>
        <v>0.7667279738949867</v>
      </c>
      <c r="BH18" s="22">
        <f t="shared" si="375"/>
        <v>0.74950775639347622</v>
      </c>
      <c r="BI18" s="22">
        <f t="shared" ref="BI18:BJ18" si="376">BI14/BI$3</f>
        <v>0.75441701631458946</v>
      </c>
      <c r="BJ18" s="22">
        <f t="shared" si="376"/>
        <v>0.7471180912381038</v>
      </c>
      <c r="BK18" s="22">
        <f t="shared" ref="BK18:BL18" si="377">BK14/BK$3</f>
        <v>0.74183451703806924</v>
      </c>
      <c r="BL18" s="22">
        <f t="shared" si="377"/>
        <v>0.7257873572777348</v>
      </c>
      <c r="BM18" s="22">
        <f t="shared" si="374"/>
        <v>0.72659017658882719</v>
      </c>
      <c r="BN18" s="22">
        <f t="shared" si="374"/>
        <v>0.71679365689658259</v>
      </c>
      <c r="BO18" s="22">
        <f t="shared" si="374"/>
        <v>0.71448450143616915</v>
      </c>
      <c r="BP18" s="22">
        <f t="shared" si="374"/>
        <v>0.7017928950759913</v>
      </c>
      <c r="BQ18" s="22">
        <f t="shared" si="374"/>
        <v>0.71027045116925724</v>
      </c>
      <c r="BR18" s="28">
        <f>BR14/BR$3</f>
        <v>0.69512162725550664</v>
      </c>
      <c r="BS18" s="28">
        <f t="shared" ref="BS18:BU18" si="378">BS14/BS$3</f>
        <v>0.69139440858428103</v>
      </c>
      <c r="BT18" s="28">
        <f t="shared" si="378"/>
        <v>0.67854331714169203</v>
      </c>
      <c r="BU18" s="28">
        <f t="shared" si="378"/>
        <v>0.68695767606654667</v>
      </c>
      <c r="BV18" s="28">
        <f t="shared" ref="BV18:CC18" si="379">BV14/BV$3</f>
        <v>0.672538088721084</v>
      </c>
      <c r="BW18" s="28">
        <f t="shared" si="379"/>
        <v>0.66722504012813255</v>
      </c>
      <c r="BX18" s="28">
        <f t="shared" si="379"/>
        <v>0.65419029389289429</v>
      </c>
      <c r="BY18" s="28">
        <f t="shared" si="379"/>
        <v>0.66241235874887927</v>
      </c>
      <c r="BZ18" s="28">
        <f t="shared" si="379"/>
        <v>0.65110809699629724</v>
      </c>
      <c r="CA18" s="28">
        <f t="shared" si="379"/>
        <v>0.64409546074894231</v>
      </c>
      <c r="CB18" s="28">
        <f t="shared" si="379"/>
        <v>0.63092880864999745</v>
      </c>
      <c r="CC18" s="28">
        <f t="shared" si="379"/>
        <v>0.63882527804598022</v>
      </c>
      <c r="CD18" s="28">
        <f t="shared" ref="CD18:CG18" si="380">CD14/CD$3</f>
        <v>0.63163788606520233</v>
      </c>
      <c r="CE18" s="28">
        <f t="shared" si="380"/>
        <v>0.62284635812054312</v>
      </c>
      <c r="CF18" s="28">
        <f t="shared" si="380"/>
        <v>0.60959149992207606</v>
      </c>
      <c r="CG18" s="28">
        <f t="shared" si="380"/>
        <v>0.61703237535076039</v>
      </c>
      <c r="CH18" s="28"/>
      <c r="CI18" s="107">
        <f>CI14/CI$3</f>
        <v>0.96299580505439786</v>
      </c>
      <c r="CJ18" s="22">
        <f t="shared" ref="CJ18:CY18" si="381">CJ14/CJ$3</f>
        <v>0.96375148397309063</v>
      </c>
      <c r="CK18" s="107">
        <f t="shared" si="381"/>
        <v>0.94887054735013032</v>
      </c>
      <c r="CL18" s="107">
        <f t="shared" si="381"/>
        <v>0.91990129505214435</v>
      </c>
      <c r="CM18" s="22">
        <f t="shared" si="381"/>
        <v>0.90483344715077019</v>
      </c>
      <c r="CN18" s="107">
        <f t="shared" si="381"/>
        <v>0.90405409031150219</v>
      </c>
      <c r="CO18" s="22">
        <f t="shared" si="381"/>
        <v>0.88733764056247344</v>
      </c>
      <c r="CP18" s="107">
        <f t="shared" si="381"/>
        <v>0.86407617460001085</v>
      </c>
      <c r="CQ18" s="22">
        <f t="shared" si="381"/>
        <v>0.85379132990448203</v>
      </c>
      <c r="CR18" s="107">
        <f t="shared" si="381"/>
        <v>0.83867415688397007</v>
      </c>
      <c r="CS18" s="22">
        <f t="shared" si="381"/>
        <v>0.80863429722500468</v>
      </c>
      <c r="CT18" s="107">
        <f t="shared" si="381"/>
        <v>0.8160048298829532</v>
      </c>
      <c r="CU18" s="22">
        <f t="shared" si="381"/>
        <v>0.80223939272644096</v>
      </c>
      <c r="CV18" s="107">
        <f t="shared" si="381"/>
        <v>0.77824239033344134</v>
      </c>
      <c r="CW18" s="22">
        <f t="shared" si="381"/>
        <v>0.75996886480027803</v>
      </c>
      <c r="CX18" s="107">
        <f t="shared" si="381"/>
        <v>0.73465167414765131</v>
      </c>
      <c r="CY18" s="107">
        <f t="shared" si="381"/>
        <v>0.71060218931186336</v>
      </c>
      <c r="CZ18" s="107">
        <f>CZ14/CZ$3</f>
        <v>0.68773690064170823</v>
      </c>
      <c r="DA18" s="107">
        <f>DA14/DA$3</f>
        <v>0.66378454681886823</v>
      </c>
      <c r="DB18" s="107">
        <f>DB14/DB$3</f>
        <v>0.64089175151109545</v>
      </c>
      <c r="DC18" s="107">
        <f>DC14/DC$3</f>
        <v>0.61988823799224979</v>
      </c>
    </row>
    <row r="19" spans="1:108" x14ac:dyDescent="0.2"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92"/>
      <c r="CK19" s="92"/>
      <c r="CL19" s="92"/>
      <c r="CN19" s="92"/>
      <c r="CP19" s="92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7"/>
    </row>
    <row r="20" spans="1:108" x14ac:dyDescent="0.2">
      <c r="A20" s="13" t="s">
        <v>65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7">
        <v>23320</v>
      </c>
      <c r="AL20" s="17">
        <v>22547</v>
      </c>
      <c r="AM20" s="17">
        <v>23642</v>
      </c>
      <c r="AN20" s="18">
        <v>24741</v>
      </c>
      <c r="AO20" s="17">
        <v>27185</v>
      </c>
      <c r="AP20" s="17">
        <v>24502</v>
      </c>
      <c r="AQ20" s="17">
        <v>21319</v>
      </c>
      <c r="AR20" s="17">
        <v>26338</v>
      </c>
      <c r="AS20" s="17">
        <v>31903</v>
      </c>
      <c r="AT20" s="17">
        <v>31879</v>
      </c>
      <c r="AU20" s="18">
        <v>35845</v>
      </c>
      <c r="AV20" s="18">
        <v>37926</v>
      </c>
      <c r="AW20" s="18">
        <v>43301</v>
      </c>
      <c r="AX20" s="18">
        <v>39618</v>
      </c>
      <c r="AY20" s="18">
        <v>40689</v>
      </c>
      <c r="AZ20" s="18">
        <v>39539</v>
      </c>
      <c r="BA20" s="18">
        <v>42604</v>
      </c>
      <c r="BB20" s="18">
        <v>40359</v>
      </c>
      <c r="BC20" s="18">
        <v>42628</v>
      </c>
      <c r="BD20" s="18">
        <v>44026</v>
      </c>
      <c r="BE20" s="18">
        <v>48020</v>
      </c>
      <c r="BF20" s="18">
        <v>46156</v>
      </c>
      <c r="BG20" s="18">
        <v>48509</v>
      </c>
      <c r="BH20" s="18">
        <v>49385</v>
      </c>
      <c r="BI20" s="18">
        <v>54034</v>
      </c>
      <c r="BJ20" s="18">
        <v>50702</v>
      </c>
      <c r="BK20" s="18">
        <v>54190</v>
      </c>
      <c r="BL20" s="18">
        <v>56567</v>
      </c>
      <c r="BM20" s="16">
        <f t="shared" ref="BM20:BQ20" si="382">BI20*(1+BM22)</f>
        <v>61598.760000000009</v>
      </c>
      <c r="BN20" s="16">
        <f t="shared" si="382"/>
        <v>56786.240000000005</v>
      </c>
      <c r="BO20" s="16">
        <f t="shared" si="382"/>
        <v>60150.900000000009</v>
      </c>
      <c r="BP20" s="16">
        <f t="shared" si="382"/>
        <v>62789.37</v>
      </c>
      <c r="BQ20" s="16">
        <f t="shared" si="382"/>
        <v>68066.62980000001</v>
      </c>
      <c r="BR20" s="72">
        <f>BN20*(1+BR22)</f>
        <v>63174.69200000001</v>
      </c>
      <c r="BS20" s="72">
        <f t="shared" ref="BS20" si="383">BO20*(1+BS22)</f>
        <v>66316.36725000001</v>
      </c>
      <c r="BT20" s="72">
        <f t="shared" ref="BT20" si="384">BP20*(1+BT22)</f>
        <v>69225.280425000004</v>
      </c>
      <c r="BU20" s="72">
        <f t="shared" ref="BU20" si="385">BQ20*(1+BU22)</f>
        <v>74703.126205500012</v>
      </c>
      <c r="BV20" s="72">
        <f t="shared" ref="BV20" si="386">BR20*(1+BV22)</f>
        <v>69492.161200000017</v>
      </c>
      <c r="BW20" s="72">
        <f t="shared" ref="BW20" si="387">BS20*(1+BW22)</f>
        <v>72284.840302500015</v>
      </c>
      <c r="BX20" s="72">
        <f t="shared" ref="BX20" si="388">BT20*(1+BX22)</f>
        <v>75455.555663250008</v>
      </c>
      <c r="BY20" s="72">
        <f t="shared" ref="BY20" si="389">BU20*(1+BY22)</f>
        <v>81052.891932967512</v>
      </c>
      <c r="BZ20" s="72">
        <f t="shared" ref="BZ20" si="390">BV20*(1+BZ22)</f>
        <v>75746.455708000023</v>
      </c>
      <c r="CA20" s="72">
        <f t="shared" ref="CA20" si="391">BW20*(1+CA22)</f>
        <v>78067.627526700016</v>
      </c>
      <c r="CB20" s="72">
        <f t="shared" ref="CB20" si="392">BX20*(1+CB22)</f>
        <v>81492.00011631001</v>
      </c>
      <c r="CC20" s="72">
        <f t="shared" ref="CC20" si="393">BY20*(1+CC22)</f>
        <v>87131.858827940072</v>
      </c>
      <c r="CD20" s="72">
        <f t="shared" ref="CD20" si="394">BZ20*(1+CD22)</f>
        <v>81995.538303910027</v>
      </c>
      <c r="CE20" s="72">
        <f t="shared" ref="CE20" si="395">CA20*(1+CE22)</f>
        <v>83727.530522385772</v>
      </c>
      <c r="CF20" s="72">
        <f t="shared" ref="CF20" si="396">CB20*(1+CF22)</f>
        <v>87400.170124742479</v>
      </c>
      <c r="CG20" s="72">
        <f t="shared" ref="CG20" si="397">CC20*(1+CG22)</f>
        <v>93013.259298826015</v>
      </c>
      <c r="CH20" s="72"/>
      <c r="CI20" s="108"/>
      <c r="CJ20" s="45"/>
      <c r="CK20" s="108"/>
      <c r="CL20" s="108"/>
      <c r="CM20" s="45"/>
      <c r="CN20" s="108"/>
      <c r="CO20" s="45"/>
      <c r="CP20" s="117">
        <v>69811</v>
      </c>
      <c r="CQ20" s="78">
        <v>85296</v>
      </c>
      <c r="CR20" s="90">
        <f>SUM(AL20:AO20)</f>
        <v>98115</v>
      </c>
      <c r="CS20" s="21">
        <f>SUM(AP20:AS20)</f>
        <v>104062</v>
      </c>
      <c r="CT20" s="90">
        <f>SUM(AT20:AW20)</f>
        <v>148951</v>
      </c>
      <c r="CU20" s="21">
        <f>SUM(AX20:BA20)</f>
        <v>162450</v>
      </c>
      <c r="CV20" s="90">
        <f>SUM(BB20:BE20)</f>
        <v>175033</v>
      </c>
      <c r="CW20" s="21">
        <f>SUM(BF20:BI20)</f>
        <v>198084</v>
      </c>
      <c r="CX20" s="90">
        <f>SUM(BJ20:BM20)</f>
        <v>223057.76</v>
      </c>
      <c r="CY20" s="90">
        <f>SUM(BN20:BQ20)</f>
        <v>247793.1398</v>
      </c>
      <c r="CZ20" s="90">
        <f>SUM(BR20:BU20)</f>
        <v>273419.46588050004</v>
      </c>
      <c r="DA20" s="90">
        <f>SUM(BV20:BY20)</f>
        <v>298285.44909871754</v>
      </c>
      <c r="DB20" s="90">
        <f>SUM(BZ20:CC20)</f>
        <v>322437.94217895012</v>
      </c>
      <c r="DC20" s="90">
        <f>SUM(CD20:CG20)</f>
        <v>346136.49824986432</v>
      </c>
      <c r="DD20" s="86"/>
    </row>
    <row r="21" spans="1:108" x14ac:dyDescent="0.2">
      <c r="A21" s="12" t="s">
        <v>62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25" t="s">
        <v>82</v>
      </c>
      <c r="AL21" s="22">
        <f>IF(AND(AK20&lt;0,AL20&gt;0),"n/a",AL20/AK20-1)</f>
        <v>-3.3147512864494022E-2</v>
      </c>
      <c r="AM21" s="22">
        <f t="shared" ref="AM21" si="398">IF(AND(AL20&lt;0,AM20&gt;0),"n/a",AM20/AL20-1)</f>
        <v>4.8565219319643305E-2</v>
      </c>
      <c r="AN21" s="22">
        <f t="shared" ref="AN21" si="399">IF(AND(AM20&lt;0,AN20&gt;0),"n/a",AN20/AM20-1)</f>
        <v>4.6485068945097741E-2</v>
      </c>
      <c r="AO21" s="22">
        <f t="shared" ref="AO21" si="400">IF(AND(AN20&lt;0,AO20&gt;0),"n/a",AO20/AN20-1)</f>
        <v>9.8783395982377398E-2</v>
      </c>
      <c r="AP21" s="22">
        <f t="shared" ref="AP21" si="401">IF(AND(AO20&lt;0,AP20&gt;0),"n/a",AP20/AO20-1)</f>
        <v>-9.8694132793820111E-2</v>
      </c>
      <c r="AQ21" s="22">
        <f t="shared" ref="AQ21" si="402">IF(AND(AP20&lt;0,AQ20&gt;0),"n/a",AQ20/AP20-1)</f>
        <v>-0.12990776263162196</v>
      </c>
      <c r="AR21" s="22">
        <f t="shared" ref="AR21" si="403">IF(AND(AQ20&lt;0,AR20&gt;0),"n/a",AR20/AQ20-1)</f>
        <v>0.23542380036587085</v>
      </c>
      <c r="AS21" s="22">
        <f t="shared" ref="AS21" si="404">IF(AND(AR20&lt;0,AS20&gt;0),"n/a",AS20/AR20-1)</f>
        <v>0.21129166983066283</v>
      </c>
      <c r="AT21" s="22">
        <f t="shared" ref="AT21" si="405">IF(AND(AS20&lt;0,AT20&gt;0),"n/a",AT20/AS20-1)</f>
        <v>-7.5228034981034142E-4</v>
      </c>
      <c r="AU21" s="22">
        <f t="shared" ref="AU21" si="406">IF(AND(AT20&lt;0,AU20&gt;0),"n/a",AU20/AT20-1)</f>
        <v>0.12440791743781165</v>
      </c>
      <c r="AV21" s="22">
        <f>IF(AND(AU20&lt;0,AV20&gt;0),"n/a",AV20/AU20-1)</f>
        <v>5.8055516808480867E-2</v>
      </c>
      <c r="AW21" s="22">
        <f t="shared" ref="AW21" si="407">IF(AND(AV20&lt;0,AW20&gt;0),"n/a",AW20/AV20-1)</f>
        <v>0.14172335600907027</v>
      </c>
      <c r="AX21" s="22">
        <f t="shared" ref="AX21" si="408">IF(AND(AW20&lt;0,AX20&gt;0),"n/a",AX20/AW20-1)</f>
        <v>-8.5055772384009631E-2</v>
      </c>
      <c r="AY21" s="22">
        <f t="shared" ref="AY21" si="409">IF(AND(AX20&lt;0,AY20&gt;0),"n/a",AY20/AX20-1)</f>
        <v>2.7033166742389758E-2</v>
      </c>
      <c r="AZ21" s="22">
        <f t="shared" ref="AZ21" si="410">IF(AND(AY20&lt;0,AZ20&gt;0),"n/a",AZ20/AY20-1)</f>
        <v>-2.8263166949298313E-2</v>
      </c>
      <c r="BA21" s="22">
        <f t="shared" ref="BA21" si="411">IF(AND(AZ20&lt;0,BA20&gt;0),"n/a",BA20/AZ20-1)</f>
        <v>7.7518399554869832E-2</v>
      </c>
      <c r="BB21" s="22">
        <f t="shared" ref="BB21:BL21" si="412">IF(AND(BA20&lt;0,BB20&gt;0),"n/a",BB20/BA20-1)</f>
        <v>-5.2694582668294077E-2</v>
      </c>
      <c r="BC21" s="22">
        <f t="shared" si="412"/>
        <v>5.6220421715106994E-2</v>
      </c>
      <c r="BD21" s="28">
        <f t="shared" si="412"/>
        <v>3.2795345782115071E-2</v>
      </c>
      <c r="BE21" s="28">
        <f t="shared" si="412"/>
        <v>9.0719120519692886E-2</v>
      </c>
      <c r="BF21" s="28">
        <f t="shared" si="412"/>
        <v>-3.8817159516867927E-2</v>
      </c>
      <c r="BG21" s="28">
        <f t="shared" si="412"/>
        <v>5.0979287633243775E-2</v>
      </c>
      <c r="BH21" s="28">
        <f t="shared" si="412"/>
        <v>1.8058504607392445E-2</v>
      </c>
      <c r="BI21" s="28">
        <f t="shared" si="412"/>
        <v>9.4137896122304277E-2</v>
      </c>
      <c r="BJ21" s="28">
        <f t="shared" si="412"/>
        <v>-6.1664877669615481E-2</v>
      </c>
      <c r="BK21" s="28">
        <f t="shared" si="412"/>
        <v>6.8794130409056908E-2</v>
      </c>
      <c r="BL21" s="28">
        <f t="shared" si="412"/>
        <v>4.3864181583318063E-2</v>
      </c>
      <c r="BM21" s="22">
        <f t="shared" ref="BM21" si="413">IF(AND(BL20&lt;0,BM20&gt;0),"n/a",BM20/BL20-1)</f>
        <v>8.8952215956299874E-2</v>
      </c>
      <c r="BN21" s="22">
        <f t="shared" ref="BN21" si="414">IF(AND(BM20&lt;0,BN20&gt;0),"n/a",BN20/BM20-1)</f>
        <v>-7.8126897359622194E-2</v>
      </c>
      <c r="BO21" s="22">
        <f t="shared" ref="BO21" si="415">IF(AND(BN20&lt;0,BO20&gt;0),"n/a",BO20/BN20-1)</f>
        <v>5.9251325673261857E-2</v>
      </c>
      <c r="BP21" s="22">
        <f t="shared" ref="BP21" si="416">IF(AND(BO20&lt;0,BP20&gt;0),"n/a",BP20/BO20-1)</f>
        <v>4.3864181583317841E-2</v>
      </c>
      <c r="BQ21" s="22">
        <f t="shared" ref="BQ21" si="417">IF(AND(BP20&lt;0,BQ20&gt;0),"n/a",BQ20/BP20-1)</f>
        <v>8.4047025794334429E-2</v>
      </c>
      <c r="BR21" s="28">
        <f>IF(AND(BQ20&lt;0,BR20&gt;0),"n/a",BR20/BQ20-1)</f>
        <v>-7.1869840101882021E-2</v>
      </c>
      <c r="BS21" s="28">
        <f t="shared" ref="BS21" si="418">IF(AND(BR20&lt;0,BS20&gt;0),"n/a",BS20/BR20-1)</f>
        <v>4.9729965442490753E-2</v>
      </c>
      <c r="BT21" s="28">
        <f t="shared" ref="BT21" si="419">IF(AND(BS20&lt;0,BT20&gt;0),"n/a",BT20/BS20-1)</f>
        <v>4.3864181583317841E-2</v>
      </c>
      <c r="BU21" s="28">
        <f t="shared" ref="BU21" si="420">IF(AND(BT20&lt;0,BU20&gt;0),"n/a",BU20/BT20-1)</f>
        <v>7.9130712752183197E-2</v>
      </c>
      <c r="BV21" s="28">
        <f t="shared" ref="BV21" si="421">IF(AND(BU20&lt;0,BV20&gt;0),"n/a",BV20/BU20-1)</f>
        <v>-6.9755648393685754E-2</v>
      </c>
      <c r="BW21" s="28">
        <f t="shared" ref="BW21" si="422">IF(AND(BV20&lt;0,BW20&gt;0),"n/a",BW20/BV20-1)</f>
        <v>4.0186965756650039E-2</v>
      </c>
      <c r="BX21" s="28">
        <f t="shared" ref="BX21" si="423">IF(AND(BW20&lt;0,BX20&gt;0),"n/a",BX20/BW20-1)</f>
        <v>4.3864181583317841E-2</v>
      </c>
      <c r="BY21" s="28">
        <f t="shared" ref="BY21" si="424">IF(AND(BX20&lt;0,BY20&gt;0),"n/a",BY20/BX20-1)</f>
        <v>7.4180571867998868E-2</v>
      </c>
      <c r="BZ21" s="28">
        <f t="shared" ref="BZ21" si="425">IF(AND(BY20&lt;0,BZ20&gt;0),"n/a",BZ20/BY20-1)</f>
        <v>-6.5468808063702699E-2</v>
      </c>
      <c r="CA21" s="28">
        <f t="shared" ref="CA21" si="426">IF(AND(BZ20&lt;0,CA20&gt;0),"n/a",CA20/BZ20-1)</f>
        <v>3.0643966070809103E-2</v>
      </c>
      <c r="CB21" s="28">
        <f t="shared" ref="CB21" si="427">IF(AND(CA20&lt;0,CB20&gt;0),"n/a",CB20/CA20-1)</f>
        <v>4.3864181583317841E-2</v>
      </c>
      <c r="CC21" s="28">
        <f t="shared" ref="CC21" si="428">IF(AND(CB20&lt;0,CC20&gt;0),"n/a",CC20/CB20-1)</f>
        <v>6.9207513664906184E-2</v>
      </c>
      <c r="CD21" s="28">
        <f t="shared" ref="CD21" si="429">IF(AND(CC20&lt;0,CD20&gt;0),"n/a",CD20/CC20-1)</f>
        <v>-5.8948823003681983E-2</v>
      </c>
      <c r="CE21" s="28">
        <f t="shared" ref="CE21" si="430">IF(AND(CD20&lt;0,CE20&gt;0),"n/a",CE20/CD20-1)</f>
        <v>2.1123005645212745E-2</v>
      </c>
      <c r="CF21" s="28">
        <f t="shared" ref="CF21" si="431">IF(AND(CE20&lt;0,CF20&gt;0),"n/a",CF20/CE20-1)</f>
        <v>4.3864181583317619E-2</v>
      </c>
      <c r="CG21" s="28">
        <f t="shared" ref="CG21" si="432">IF(AND(CF20&lt;0,CG20&gt;0),"n/a",CG20/CF20-1)</f>
        <v>6.4222863251550022E-2</v>
      </c>
      <c r="CH21" s="28"/>
      <c r="CI21" s="109"/>
      <c r="CJ21" s="59"/>
      <c r="CK21" s="109"/>
      <c r="CL21" s="109"/>
      <c r="CM21" s="59"/>
      <c r="CN21" s="109"/>
      <c r="CO21" s="59"/>
      <c r="CP21" s="106" t="s">
        <v>82</v>
      </c>
      <c r="CQ21" s="48" t="s">
        <v>82</v>
      </c>
      <c r="CR21" s="106" t="s">
        <v>82</v>
      </c>
      <c r="CS21" s="48" t="s">
        <v>82</v>
      </c>
      <c r="CT21" s="106" t="s">
        <v>82</v>
      </c>
      <c r="CU21" s="48" t="s">
        <v>82</v>
      </c>
      <c r="CV21" s="106" t="s">
        <v>82</v>
      </c>
      <c r="CW21" s="48" t="s">
        <v>82</v>
      </c>
      <c r="CX21" s="106" t="s">
        <v>82</v>
      </c>
      <c r="CY21" s="106" t="s">
        <v>82</v>
      </c>
      <c r="CZ21" s="106" t="s">
        <v>82</v>
      </c>
      <c r="DA21" s="106" t="s">
        <v>82</v>
      </c>
      <c r="DB21" s="106" t="s">
        <v>82</v>
      </c>
      <c r="DC21" s="106" t="s">
        <v>82</v>
      </c>
    </row>
    <row r="22" spans="1:108" x14ac:dyDescent="0.2">
      <c r="A22" s="12" t="s">
        <v>63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25" t="s">
        <v>82</v>
      </c>
      <c r="AL22" s="25" t="s">
        <v>82</v>
      </c>
      <c r="AM22" s="25" t="s">
        <v>82</v>
      </c>
      <c r="AN22" s="25" t="s">
        <v>82</v>
      </c>
      <c r="AO22" s="22">
        <f t="shared" ref="AO22" si="433">IF(AND(AK20&lt;0,AO20&gt;0),"n/a",AO20/AK20-1)</f>
        <v>0.16573756432246989</v>
      </c>
      <c r="AP22" s="22">
        <f t="shared" ref="AP22" si="434">IF(AND(AL20&lt;0,AP20&gt;0),"n/a",AP20/AL20-1)</f>
        <v>8.6707765999911368E-2</v>
      </c>
      <c r="AQ22" s="22">
        <f t="shared" ref="AQ22" si="435">IF(AND(AM20&lt;0,AQ20&gt;0),"n/a",AQ20/AM20-1)</f>
        <v>-9.8257338634633262E-2</v>
      </c>
      <c r="AR22" s="22">
        <f t="shared" ref="AR22" si="436">IF(AND(AN20&lt;0,AR20&gt;0),"n/a",AR20/AN20-1)</f>
        <v>6.4548724788812128E-2</v>
      </c>
      <c r="AS22" s="22">
        <f t="shared" ref="AS22" si="437">IF(AND(AO20&lt;0,AS20&gt;0),"n/a",AS20/AO20-1)</f>
        <v>0.17355159095089201</v>
      </c>
      <c r="AT22" s="22">
        <f t="shared" ref="AT22:BL22" si="438">IF(AND(AP20&lt;0,AT20&gt;0),"n/a",AT20/AP20-1)</f>
        <v>0.30107746306423966</v>
      </c>
      <c r="AU22" s="22">
        <f t="shared" si="438"/>
        <v>0.68136404146535945</v>
      </c>
      <c r="AV22" s="22">
        <f t="shared" si="438"/>
        <v>0.43997266307236682</v>
      </c>
      <c r="AW22" s="22">
        <f t="shared" si="438"/>
        <v>0.35727047613077145</v>
      </c>
      <c r="AX22" s="22">
        <f t="shared" si="438"/>
        <v>0.24276169265033398</v>
      </c>
      <c r="AY22" s="22">
        <f t="shared" si="438"/>
        <v>0.13513739712651684</v>
      </c>
      <c r="AZ22" s="22">
        <f t="shared" si="438"/>
        <v>4.2530190370722032E-2</v>
      </c>
      <c r="BA22" s="22">
        <f t="shared" si="438"/>
        <v>-1.6096625943973542E-2</v>
      </c>
      <c r="BB22" s="22">
        <f t="shared" si="438"/>
        <v>1.8703619566863505E-2</v>
      </c>
      <c r="BC22" s="22">
        <f t="shared" si="438"/>
        <v>4.7654157143208309E-2</v>
      </c>
      <c r="BD22" s="28">
        <f t="shared" si="438"/>
        <v>0.11348289031083225</v>
      </c>
      <c r="BE22" s="28">
        <f t="shared" si="438"/>
        <v>0.12712421368885551</v>
      </c>
      <c r="BF22" s="28">
        <f t="shared" si="438"/>
        <v>0.14363586808394668</v>
      </c>
      <c r="BG22" s="28">
        <f t="shared" si="438"/>
        <v>0.13796096462419061</v>
      </c>
      <c r="BH22" s="28">
        <f t="shared" si="438"/>
        <v>0.12172352700676869</v>
      </c>
      <c r="BI22" s="28">
        <f t="shared" si="438"/>
        <v>0.12523948354852155</v>
      </c>
      <c r="BJ22" s="28">
        <f t="shared" si="438"/>
        <v>9.8492070370049367E-2</v>
      </c>
      <c r="BK22" s="28">
        <f t="shared" si="438"/>
        <v>0.11711228844132027</v>
      </c>
      <c r="BL22" s="28">
        <f t="shared" si="438"/>
        <v>0.14542877391920617</v>
      </c>
      <c r="BM22" s="26">
        <v>0.14000000000000001</v>
      </c>
      <c r="BN22" s="26">
        <v>0.12</v>
      </c>
      <c r="BO22" s="26">
        <v>0.11</v>
      </c>
      <c r="BP22" s="26">
        <v>0.11</v>
      </c>
      <c r="BQ22" s="26">
        <v>0.105</v>
      </c>
      <c r="BR22" s="26">
        <f>BN22-0.0075</f>
        <v>0.11249999999999999</v>
      </c>
      <c r="BS22" s="26">
        <f t="shared" ref="BS22:BU22" si="439">BO22-0.0075</f>
        <v>0.10250000000000001</v>
      </c>
      <c r="BT22" s="26">
        <f t="shared" si="439"/>
        <v>0.10250000000000001</v>
      </c>
      <c r="BU22" s="26">
        <f t="shared" si="439"/>
        <v>9.7500000000000003E-2</v>
      </c>
      <c r="BV22" s="26">
        <f>BR22-0.0125</f>
        <v>9.9999999999999992E-2</v>
      </c>
      <c r="BW22" s="26">
        <f t="shared" ref="BW22:BX22" si="440">BS22-0.0125</f>
        <v>9.0000000000000011E-2</v>
      </c>
      <c r="BX22" s="26">
        <f t="shared" si="440"/>
        <v>9.0000000000000011E-2</v>
      </c>
      <c r="BY22" s="26">
        <f t="shared" ref="BY22" si="441">BU22-0.0125</f>
        <v>8.5000000000000006E-2</v>
      </c>
      <c r="BZ22" s="26">
        <f>BV22-0.01</f>
        <v>0.09</v>
      </c>
      <c r="CA22" s="26">
        <f t="shared" ref="CA22:CC22" si="442">BW22-0.01</f>
        <v>8.0000000000000016E-2</v>
      </c>
      <c r="CB22" s="26">
        <f t="shared" si="442"/>
        <v>8.0000000000000016E-2</v>
      </c>
      <c r="CC22" s="26">
        <f t="shared" si="442"/>
        <v>7.5000000000000011E-2</v>
      </c>
      <c r="CD22" s="26">
        <f>BZ22-0.0075</f>
        <v>8.249999999999999E-2</v>
      </c>
      <c r="CE22" s="26">
        <f t="shared" ref="CE22:CG22" si="443">CA22-0.0075</f>
        <v>7.2500000000000009E-2</v>
      </c>
      <c r="CF22" s="26">
        <f t="shared" si="443"/>
        <v>7.2500000000000009E-2</v>
      </c>
      <c r="CG22" s="26">
        <f t="shared" si="443"/>
        <v>6.7500000000000004E-2</v>
      </c>
      <c r="CH22" s="26"/>
      <c r="CI22" s="109"/>
      <c r="CJ22" s="30"/>
      <c r="CK22" s="110"/>
      <c r="CL22" s="110"/>
      <c r="CM22" s="30"/>
      <c r="CN22" s="110"/>
      <c r="CO22" s="30"/>
      <c r="CP22" s="106" t="s">
        <v>82</v>
      </c>
      <c r="CQ22" s="22">
        <f t="shared" ref="CQ22" si="444">IF(AND(CP20&lt;0,CQ20&gt;0),"n/a",CQ20/CP20-1)</f>
        <v>0.22181318130380601</v>
      </c>
      <c r="CR22" s="107">
        <f t="shared" ref="CR22" si="445">IF(AND(CQ20&lt;0,CR20&gt;0),"n/a",CR20/CQ20-1)</f>
        <v>0.15028840742824978</v>
      </c>
      <c r="CS22" s="22">
        <f t="shared" ref="CS22" si="446">IF(AND(CR20&lt;0,CS20&gt;0),"n/a",CS20/CR20-1)</f>
        <v>6.0612546501554343E-2</v>
      </c>
      <c r="CT22" s="107">
        <f t="shared" ref="CT22" si="447">IF(AND(CS20&lt;0,CT20&gt;0),"n/a",CT20/CS20-1)</f>
        <v>0.43136783840402826</v>
      </c>
      <c r="CU22" s="22">
        <f t="shared" ref="CU22" si="448">IF(AND(CT20&lt;0,CU20&gt;0),"n/a",CU20/CT20-1)</f>
        <v>9.0627118985438182E-2</v>
      </c>
      <c r="CV22" s="107">
        <f t="shared" ref="CV22" si="449">IF(AND(CU20&lt;0,CV20&gt;0),"n/a",CV20/CU20-1)</f>
        <v>7.7457679285934056E-2</v>
      </c>
      <c r="CW22" s="22">
        <f t="shared" ref="CW22" si="450">IF(AND(CV20&lt;0,CW20&gt;0),"n/a",CW20/CV20-1)</f>
        <v>0.13169516605440124</v>
      </c>
      <c r="CX22" s="107">
        <f t="shared" ref="CX22" si="451">IF(AND(CW20&lt;0,CX20&gt;0),"n/a",CX20/CW20-1)</f>
        <v>0.12607661396175374</v>
      </c>
      <c r="CY22" s="107">
        <f t="shared" ref="CY22" si="452">IF(AND(CX20&lt;0,CY20&gt;0),"n/a",CY20/CX20-1)</f>
        <v>0.11089226306226685</v>
      </c>
      <c r="CZ22" s="107">
        <f>IF(AND(CY20&lt;0,CZ20&gt;0),"n/a",CZ20/CY20-1)</f>
        <v>0.10341822255928346</v>
      </c>
      <c r="DA22" s="107">
        <f>IF(AND(CZ20&lt;0,DA20&gt;0),"n/a",DA20/CZ20-1)</f>
        <v>9.0944451003665439E-2</v>
      </c>
      <c r="DB22" s="107">
        <f>IF(AND(DA20&lt;0,DB20&gt;0),"n/a",DB20/DA20-1)</f>
        <v>8.097107369203016E-2</v>
      </c>
      <c r="DC22" s="107">
        <f>IF(AND(DB20&lt;0,DC20&gt;0),"n/a",DC20/DB20-1)</f>
        <v>7.3498037826335239E-2</v>
      </c>
    </row>
    <row r="23" spans="1:108" hidden="1" outlineLevel="1" x14ac:dyDescent="0.2">
      <c r="A23" s="12" t="s">
        <v>386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233" t="s">
        <v>82</v>
      </c>
      <c r="AL23" s="233" t="s">
        <v>82</v>
      </c>
      <c r="AM23" s="233" t="s">
        <v>82</v>
      </c>
      <c r="AN23" s="233" t="s">
        <v>82</v>
      </c>
      <c r="AO23" s="233" t="s">
        <v>82</v>
      </c>
      <c r="AP23" s="233" t="s">
        <v>82</v>
      </c>
      <c r="AQ23" s="233" t="s">
        <v>82</v>
      </c>
      <c r="AR23" s="233" t="s">
        <v>82</v>
      </c>
      <c r="AS23" s="233" t="s">
        <v>82</v>
      </c>
      <c r="AT23" s="233" t="s">
        <v>82</v>
      </c>
      <c r="AU23" s="233" t="s">
        <v>82</v>
      </c>
      <c r="AV23" s="233" t="s">
        <v>82</v>
      </c>
      <c r="AW23" s="28">
        <f>AW22+AS22+AO22</f>
        <v>0.69655963140413335</v>
      </c>
      <c r="AX23" s="28">
        <f t="shared" ref="AX23" si="453">AX22+AT22+AP22</f>
        <v>0.63054692171448501</v>
      </c>
      <c r="AY23" s="28">
        <f t="shared" ref="AY23" si="454">AY22+AU22+AQ22</f>
        <v>0.71824409995724303</v>
      </c>
      <c r="AZ23" s="28">
        <f t="shared" ref="AZ23" si="455">AZ22+AV22+AR22</f>
        <v>0.54705157823190098</v>
      </c>
      <c r="BA23" s="28">
        <f t="shared" ref="BA23" si="456">BA22+AW22+AS22</f>
        <v>0.51472544113768992</v>
      </c>
      <c r="BB23" s="28">
        <f t="shared" ref="BB23:BL23" si="457">BB22+AX22+AT22</f>
        <v>0.56254277528143715</v>
      </c>
      <c r="BC23" s="28">
        <f t="shared" si="457"/>
        <v>0.8641555957350846</v>
      </c>
      <c r="BD23" s="28">
        <f t="shared" si="457"/>
        <v>0.5959857437539211</v>
      </c>
      <c r="BE23" s="28">
        <f t="shared" si="457"/>
        <v>0.46829806387565343</v>
      </c>
      <c r="BF23" s="28">
        <f t="shared" si="457"/>
        <v>0.40510118030114417</v>
      </c>
      <c r="BG23" s="28">
        <f t="shared" si="457"/>
        <v>0.32075251889391576</v>
      </c>
      <c r="BH23" s="28">
        <f t="shared" si="457"/>
        <v>0.27773660768832298</v>
      </c>
      <c r="BI23" s="28">
        <f t="shared" si="457"/>
        <v>0.23626707129340352</v>
      </c>
      <c r="BJ23" s="28">
        <f t="shared" si="457"/>
        <v>0.26083155802085956</v>
      </c>
      <c r="BK23" s="28">
        <f t="shared" si="457"/>
        <v>0.30272741020871918</v>
      </c>
      <c r="BL23" s="28">
        <f t="shared" si="457"/>
        <v>0.38063519123680711</v>
      </c>
      <c r="BM23" s="28">
        <f t="shared" ref="BM23" si="458">BM22+BI22+BE22</f>
        <v>0.39236369723737707</v>
      </c>
      <c r="BN23" s="28">
        <f t="shared" ref="BN23" si="459">BN22+BJ22+BF22</f>
        <v>0.36212793845399605</v>
      </c>
      <c r="BO23" s="28">
        <f t="shared" ref="BO23" si="460">BO22+BK22+BG22</f>
        <v>0.36507325306551086</v>
      </c>
      <c r="BP23" s="28">
        <f t="shared" ref="BP23" si="461">BP22+BL22+BH22</f>
        <v>0.37715230092597485</v>
      </c>
      <c r="BQ23" s="28">
        <f t="shared" ref="BQ23" si="462">BQ22+BM22+BI22</f>
        <v>0.37023948354852154</v>
      </c>
      <c r="BR23" s="28">
        <f>BR22+BN22+BJ22</f>
        <v>0.33099207037004935</v>
      </c>
      <c r="BS23" s="28">
        <f t="shared" ref="BS23" si="463">BS22+BO22+BK22</f>
        <v>0.32961228844132029</v>
      </c>
      <c r="BT23" s="28">
        <f t="shared" ref="BT23" si="464">BT22+BP22+BL22</f>
        <v>0.35792877391920619</v>
      </c>
      <c r="BU23" s="28">
        <f t="shared" ref="BU23" si="465">BU22+BQ22+BM22</f>
        <v>0.34250000000000003</v>
      </c>
      <c r="BV23" s="28">
        <f t="shared" ref="BV23" si="466">BV22+BR22+BN22</f>
        <v>0.33249999999999996</v>
      </c>
      <c r="BW23" s="28">
        <f t="shared" ref="BW23" si="467">BW22+BS22+BO22</f>
        <v>0.30249999999999999</v>
      </c>
      <c r="BX23" s="28">
        <f t="shared" ref="BX23" si="468">BX22+BT22+BP22</f>
        <v>0.30249999999999999</v>
      </c>
      <c r="BY23" s="28">
        <f t="shared" ref="BY23" si="469">BY22+BU22+BQ22</f>
        <v>0.28749999999999998</v>
      </c>
      <c r="BZ23" s="28">
        <f t="shared" ref="BZ23" si="470">BZ22+BV22+BR22</f>
        <v>0.30249999999999999</v>
      </c>
      <c r="CA23" s="28">
        <f t="shared" ref="CA23" si="471">CA22+BW22+BS22</f>
        <v>0.27250000000000008</v>
      </c>
      <c r="CB23" s="28">
        <f t="shared" ref="CB23" si="472">CB22+BX22+BT22</f>
        <v>0.27250000000000008</v>
      </c>
      <c r="CC23" s="28">
        <f t="shared" ref="CC23" si="473">CC22+BY22+BU22</f>
        <v>0.25750000000000006</v>
      </c>
      <c r="CD23" s="28">
        <f t="shared" ref="CD23" si="474">CD22+BZ22+BV22</f>
        <v>0.27249999999999996</v>
      </c>
      <c r="CE23" s="28">
        <f t="shared" ref="CE23" si="475">CE22+CA22+BW22</f>
        <v>0.24250000000000005</v>
      </c>
      <c r="CF23" s="28">
        <f t="shared" ref="CF23" si="476">CF22+CB22+BX22</f>
        <v>0.24250000000000005</v>
      </c>
      <c r="CG23" s="28">
        <f t="shared" ref="CG23" si="477">CG22+CC22+BY22</f>
        <v>0.22750000000000004</v>
      </c>
      <c r="CH23" s="28"/>
      <c r="CI23" s="109"/>
      <c r="CJ23" s="30"/>
      <c r="CK23" s="110"/>
      <c r="CL23" s="110"/>
      <c r="CM23" s="30"/>
      <c r="CN23" s="110"/>
      <c r="CO23" s="30"/>
      <c r="CP23" s="106" t="s">
        <v>82</v>
      </c>
      <c r="CQ23" s="106" t="s">
        <v>82</v>
      </c>
      <c r="CR23" s="106" t="s">
        <v>82</v>
      </c>
      <c r="CS23" s="111">
        <f t="shared" ref="CS23" si="478">CS22+CQ22+CR22</f>
        <v>0.43271413523361013</v>
      </c>
      <c r="CT23" s="111">
        <f t="shared" ref="CT23" si="479">CT22+CR22+CS22</f>
        <v>0.64226879233383238</v>
      </c>
      <c r="CU23" s="111">
        <f t="shared" ref="CU23" si="480">CU22+CS22+CT22</f>
        <v>0.58260750389102078</v>
      </c>
      <c r="CV23" s="111">
        <f t="shared" ref="CV23" si="481">CV22+CT22+CU22</f>
        <v>0.5994526366754005</v>
      </c>
      <c r="CW23" s="111">
        <f t="shared" ref="CW23" si="482">CW22+CU22+CV22</f>
        <v>0.29977996432577347</v>
      </c>
      <c r="CX23" s="111">
        <f t="shared" ref="CX23" si="483">CX22+CV22+CW22</f>
        <v>0.33522945930208903</v>
      </c>
      <c r="CY23" s="111">
        <f t="shared" ref="CY23" si="484">CY22+CW22+CX22</f>
        <v>0.36866404307842182</v>
      </c>
      <c r="CZ23" s="111">
        <f>CZ22+CX22+CY22</f>
        <v>0.34038709958330404</v>
      </c>
      <c r="DA23" s="111">
        <f>DA22+CY22+CZ22</f>
        <v>0.30525493662521574</v>
      </c>
      <c r="DB23" s="111">
        <f>DB22+CZ22+DA22</f>
        <v>0.27533374725497906</v>
      </c>
      <c r="DC23" s="111">
        <f>DC22+DA22+DB22</f>
        <v>0.24541356252203084</v>
      </c>
    </row>
    <row r="24" spans="1:108" collapsed="1" x14ac:dyDescent="0.2">
      <c r="A24" s="12" t="s">
        <v>66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22">
        <f t="shared" ref="AK24:BQ24" si="485">AK20/AK$14</f>
        <v>0.71714127560120544</v>
      </c>
      <c r="AL24" s="22">
        <f t="shared" si="485"/>
        <v>0.73714323078432009</v>
      </c>
      <c r="AM24" s="22">
        <f t="shared" si="485"/>
        <v>0.72758047639564227</v>
      </c>
      <c r="AN24" s="22">
        <f t="shared" si="485"/>
        <v>0.73206888389158475</v>
      </c>
      <c r="AO24" s="22">
        <f t="shared" si="485"/>
        <v>0.71663942637211997</v>
      </c>
      <c r="AP24" s="22">
        <f t="shared" si="485"/>
        <v>0.7257056541184137</v>
      </c>
      <c r="AQ24" s="22">
        <f t="shared" si="485"/>
        <v>0.71379783707771116</v>
      </c>
      <c r="AR24" s="22">
        <f t="shared" si="485"/>
        <v>0.7100148267960642</v>
      </c>
      <c r="AS24" s="22">
        <f t="shared" si="485"/>
        <v>0.69055607264226493</v>
      </c>
      <c r="AT24" s="22">
        <f t="shared" si="485"/>
        <v>0.71343210097574072</v>
      </c>
      <c r="AU24" s="22">
        <f t="shared" si="485"/>
        <v>0.71058996114503215</v>
      </c>
      <c r="AV24" s="22">
        <f t="shared" si="485"/>
        <v>0.71383399209486165</v>
      </c>
      <c r="AW24" s="22">
        <f t="shared" si="485"/>
        <v>0.70708208821176044</v>
      </c>
      <c r="AX24" s="22">
        <f t="shared" si="485"/>
        <v>0.72479464334717625</v>
      </c>
      <c r="AY24" s="28">
        <f t="shared" si="485"/>
        <v>0.7228716600341103</v>
      </c>
      <c r="AZ24" s="28">
        <f t="shared" si="485"/>
        <v>0.72572592782937484</v>
      </c>
      <c r="BA24" s="28">
        <f t="shared" si="485"/>
        <v>0.72158802208597272</v>
      </c>
      <c r="BB24" s="28">
        <f t="shared" si="485"/>
        <v>0.73988047224462861</v>
      </c>
      <c r="BC24" s="28">
        <f t="shared" ref="BC24:BD24" si="486">BC20/BC$14</f>
        <v>0.7331579037889342</v>
      </c>
      <c r="BD24" s="28">
        <f t="shared" si="486"/>
        <v>0.73810920918067968</v>
      </c>
      <c r="BE24" s="28">
        <f t="shared" ref="BE24:BF24" si="487">BE20/BE$14</f>
        <v>0.73293954240884041</v>
      </c>
      <c r="BF24" s="28">
        <f t="shared" si="487"/>
        <v>0.74856874097860815</v>
      </c>
      <c r="BG24" s="28">
        <f t="shared" ref="BG24:BH24" si="488">BG20/BG$14</f>
        <v>0.75072737402500933</v>
      </c>
      <c r="BH24" s="28">
        <f t="shared" si="488"/>
        <v>0.74991648191453819</v>
      </c>
      <c r="BI24" s="28">
        <f t="shared" ref="BI24:BJ24" si="489">BI20/BI$14</f>
        <v>0.74569768565159189</v>
      </c>
      <c r="BJ24" s="28">
        <f t="shared" si="489"/>
        <v>0.75804739478208871</v>
      </c>
      <c r="BK24" s="28">
        <f t="shared" ref="BK24:BL24" si="490">BK20/BK$14</f>
        <v>0.75960190636389124</v>
      </c>
      <c r="BL24" s="28">
        <f t="shared" si="490"/>
        <v>0.7625434741581516</v>
      </c>
      <c r="BM24" s="28">
        <f t="shared" si="485"/>
        <v>0.7587138064058413</v>
      </c>
      <c r="BN24" s="28">
        <f t="shared" si="485"/>
        <v>0.7670782629004893</v>
      </c>
      <c r="BO24" s="28">
        <f t="shared" si="485"/>
        <v>0.76888455757779051</v>
      </c>
      <c r="BP24" s="28">
        <f t="shared" si="485"/>
        <v>0.77052940282083593</v>
      </c>
      <c r="BQ24" s="28">
        <f t="shared" si="485"/>
        <v>0.76343831525848771</v>
      </c>
      <c r="BR24" s="28">
        <f>BR20/BR$14</f>
        <v>0.77441250712978982</v>
      </c>
      <c r="BS24" s="28">
        <f t="shared" ref="BS24:BU24" si="491">BS20/BS$14</f>
        <v>0.77429029174723818</v>
      </c>
      <c r="BT24" s="28">
        <f t="shared" si="491"/>
        <v>0.77560770021157832</v>
      </c>
      <c r="BU24" s="28">
        <f t="shared" si="491"/>
        <v>0.76723323490076689</v>
      </c>
      <c r="BV24" s="28">
        <f t="shared" ref="BV24:CC24" si="492">BV20/BV$14</f>
        <v>0.77912265540319237</v>
      </c>
      <c r="BW24" s="28">
        <f t="shared" si="492"/>
        <v>0.77714475653399306</v>
      </c>
      <c r="BX24" s="28">
        <f t="shared" si="492"/>
        <v>0.77818348817971261</v>
      </c>
      <c r="BY24" s="28">
        <f t="shared" si="492"/>
        <v>0.76854237932816538</v>
      </c>
      <c r="BZ24" s="28">
        <f t="shared" si="492"/>
        <v>0.78264937989368277</v>
      </c>
      <c r="CA24" s="28">
        <f t="shared" si="492"/>
        <v>0.77886200734525179</v>
      </c>
      <c r="CB24" s="28">
        <f t="shared" si="492"/>
        <v>0.7796583267656868</v>
      </c>
      <c r="CC24" s="28">
        <f t="shared" si="492"/>
        <v>0.76877960285408853</v>
      </c>
      <c r="CD24" s="28">
        <f t="shared" ref="CD24:CG24" si="493">CD20/CD$14</f>
        <v>0.78555120450103344</v>
      </c>
      <c r="CE24" s="28">
        <f t="shared" si="493"/>
        <v>0.77999234089174629</v>
      </c>
      <c r="CF24" s="28">
        <f t="shared" si="493"/>
        <v>0.78057736976631154</v>
      </c>
      <c r="CG24" s="28">
        <f t="shared" si="493"/>
        <v>0.76849619758572918</v>
      </c>
      <c r="CH24" s="28"/>
      <c r="CI24" s="110"/>
      <c r="CJ24" s="30"/>
      <c r="CK24" s="110"/>
      <c r="CL24" s="110"/>
      <c r="CM24" s="30"/>
      <c r="CN24" s="110"/>
      <c r="CO24" s="30"/>
      <c r="CP24" s="107">
        <f t="shared" ref="CP24:CY24" si="494">CP20/CP$14</f>
        <v>0.7319633027522936</v>
      </c>
      <c r="CQ24" s="22">
        <f t="shared" si="494"/>
        <v>0.73403843340418762</v>
      </c>
      <c r="CR24" s="107">
        <f t="shared" si="494"/>
        <v>0.72779669314818529</v>
      </c>
      <c r="CS24" s="22">
        <f t="shared" si="494"/>
        <v>0.7082709428003594</v>
      </c>
      <c r="CT24" s="107">
        <f t="shared" si="494"/>
        <v>0.71099347484689523</v>
      </c>
      <c r="CU24" s="22">
        <f t="shared" si="494"/>
        <v>0.72369505463908801</v>
      </c>
      <c r="CV24" s="107">
        <f t="shared" si="494"/>
        <v>0.73588110403397022</v>
      </c>
      <c r="CW24" s="22">
        <f t="shared" si="494"/>
        <v>0.74864507350995879</v>
      </c>
      <c r="CX24" s="107">
        <f t="shared" si="494"/>
        <v>0.75974541835464726</v>
      </c>
      <c r="CY24" s="107">
        <f t="shared" si="494"/>
        <v>0.76738177756320824</v>
      </c>
      <c r="CZ24" s="107">
        <f>CZ20/CZ$14</f>
        <v>0.77270889151365796</v>
      </c>
      <c r="DA24" s="107">
        <f>DA20/DA$14</f>
        <v>0.77550657167671988</v>
      </c>
      <c r="DB24" s="107">
        <f>DB20/DB$14</f>
        <v>0.77719178371578013</v>
      </c>
      <c r="DC24" s="107">
        <f>DC20/DC$14</f>
        <v>0.77831563399473713</v>
      </c>
    </row>
    <row r="25" spans="1:108" x14ac:dyDescent="0.2">
      <c r="A25" s="12" t="s">
        <v>59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22">
        <f t="shared" ref="AK25:BQ25" si="495">AK20/AK$3</f>
        <v>0.59797938355813118</v>
      </c>
      <c r="AL25" s="22">
        <f t="shared" si="495"/>
        <v>0.62574933392539966</v>
      </c>
      <c r="AM25" s="22">
        <f t="shared" si="495"/>
        <v>0.61131509541293894</v>
      </c>
      <c r="AN25" s="22">
        <f t="shared" si="495"/>
        <v>0.61506525792417654</v>
      </c>
      <c r="AO25" s="22">
        <f t="shared" si="495"/>
        <v>0.5934034750720335</v>
      </c>
      <c r="AP25" s="22">
        <f t="shared" si="495"/>
        <v>0.59797437461866987</v>
      </c>
      <c r="AQ25" s="22">
        <f t="shared" si="495"/>
        <v>0.56105584504447603</v>
      </c>
      <c r="AR25" s="22">
        <f t="shared" si="495"/>
        <v>0.57235369537344893</v>
      </c>
      <c r="AS25" s="22">
        <f t="shared" si="495"/>
        <v>0.56262344808126408</v>
      </c>
      <c r="AT25" s="22">
        <f t="shared" si="495"/>
        <v>0.57725667722951557</v>
      </c>
      <c r="AU25" s="22">
        <f t="shared" si="495"/>
        <v>0.58100332279763356</v>
      </c>
      <c r="AV25" s="22">
        <f t="shared" si="495"/>
        <v>0.58461016740142435</v>
      </c>
      <c r="AW25" s="22">
        <f t="shared" si="495"/>
        <v>0.57780120361350928</v>
      </c>
      <c r="AX25" s="22">
        <f t="shared" si="495"/>
        <v>0.58873879898354953</v>
      </c>
      <c r="AY25" s="28">
        <f t="shared" si="495"/>
        <v>0.58869742610356357</v>
      </c>
      <c r="AZ25" s="28">
        <f t="shared" si="495"/>
        <v>0.5793684519012382</v>
      </c>
      <c r="BA25" s="28">
        <f t="shared" si="495"/>
        <v>0.56689686373132142</v>
      </c>
      <c r="BB25" s="28">
        <f t="shared" si="495"/>
        <v>0.58141612043506452</v>
      </c>
      <c r="BC25" s="28">
        <f t="shared" ref="BC25:BD25" si="496">BC20/BC$3</f>
        <v>0.57360460735238705</v>
      </c>
      <c r="BD25" s="28">
        <f t="shared" si="496"/>
        <v>0.57627917326596589</v>
      </c>
      <c r="BE25" s="28">
        <f t="shared" ref="BE25:BF25" si="497">BE20/BE$3</f>
        <v>0.56161772101563689</v>
      </c>
      <c r="BF25" s="28">
        <f t="shared" si="497"/>
        <v>0.57715200320112037</v>
      </c>
      <c r="BG25" s="28">
        <f t="shared" ref="BG25:BH25" si="498">BG20/BG$3</f>
        <v>0.5756036784336992</v>
      </c>
      <c r="BH25" s="28">
        <f t="shared" si="498"/>
        <v>0.56206821984225441</v>
      </c>
      <c r="BI25" s="28">
        <f t="shared" ref="BI25:BJ25" si="499">BI20/BI$3</f>
        <v>0.5625670230819686</v>
      </c>
      <c r="BJ25" s="28">
        <f t="shared" si="499"/>
        <v>0.56635092265761133</v>
      </c>
      <c r="BK25" s="28">
        <f t="shared" ref="BK25:BL25" si="500">BK20/BK$3</f>
        <v>0.56349891334865387</v>
      </c>
      <c r="BL25" s="28">
        <f t="shared" si="500"/>
        <v>0.55344441291862756</v>
      </c>
      <c r="BM25" s="28">
        <f t="shared" si="495"/>
        <v>0.55127399857680148</v>
      </c>
      <c r="BN25" s="28">
        <f t="shared" si="495"/>
        <v>0.54983683319031995</v>
      </c>
      <c r="BO25" s="28">
        <f t="shared" si="495"/>
        <v>0.54935609978293709</v>
      </c>
      <c r="BP25" s="28">
        <f t="shared" si="495"/>
        <v>0.54075206034680923</v>
      </c>
      <c r="BQ25" s="28">
        <f t="shared" si="495"/>
        <v>0.54224767661854378</v>
      </c>
      <c r="BR25" s="28">
        <f>BR20/BR$3</f>
        <v>0.5383108821230761</v>
      </c>
      <c r="BS25" s="28">
        <f t="shared" ref="BS25:BU25" si="501">BS20/BS$3</f>
        <v>0.53533997833513214</v>
      </c>
      <c r="BT25" s="28">
        <f t="shared" si="501"/>
        <v>0.52628342170220332</v>
      </c>
      <c r="BU25" s="28">
        <f t="shared" si="501"/>
        <v>0.5270567600484497</v>
      </c>
      <c r="BV25" s="28">
        <f t="shared" ref="BV25:CC25" si="502">BV20/BV$3</f>
        <v>0.52398966154415871</v>
      </c>
      <c r="BW25" s="28">
        <f t="shared" si="502"/>
        <v>0.51853044136376136</v>
      </c>
      <c r="BX25" s="28">
        <f t="shared" si="502"/>
        <v>0.50908008483488376</v>
      </c>
      <c r="BY25" s="28">
        <f t="shared" si="502"/>
        <v>0.50909197028924591</v>
      </c>
      <c r="BZ25" s="28">
        <f t="shared" si="502"/>
        <v>0.50958934835790781</v>
      </c>
      <c r="CA25" s="28">
        <f t="shared" si="502"/>
        <v>0.50166148348088602</v>
      </c>
      <c r="CB25" s="28">
        <f t="shared" si="502"/>
        <v>0.49190889926032516</v>
      </c>
      <c r="CC25" s="28">
        <f t="shared" si="502"/>
        <v>0.49111584354934135</v>
      </c>
      <c r="CD25" s="28">
        <f t="shared" ref="CD25:CG25" si="503">CD20/CD$3</f>
        <v>0.49618390220700626</v>
      </c>
      <c r="CE25" s="28">
        <f t="shared" si="503"/>
        <v>0.48581538888634135</v>
      </c>
      <c r="CF25" s="28">
        <f t="shared" si="503"/>
        <v>0.47583332964107483</v>
      </c>
      <c r="CG25" s="28">
        <f t="shared" si="503"/>
        <v>0.47418703424434977</v>
      </c>
      <c r="CH25" s="28"/>
      <c r="CI25" s="110"/>
      <c r="CJ25" s="30"/>
      <c r="CK25" s="110"/>
      <c r="CL25" s="110"/>
      <c r="CM25" s="30"/>
      <c r="CN25" s="110"/>
      <c r="CO25" s="30"/>
      <c r="CP25" s="107">
        <f t="shared" ref="CP25:CY25" si="504">CP20/CP$3</f>
        <v>0.63247205058979139</v>
      </c>
      <c r="CQ25" s="22">
        <f t="shared" si="504"/>
        <v>0.6267156502571638</v>
      </c>
      <c r="CR25" s="107">
        <f t="shared" si="504"/>
        <v>0.61038427800899575</v>
      </c>
      <c r="CS25" s="22">
        <f t="shared" si="504"/>
        <v>0.57273217607626004</v>
      </c>
      <c r="CT25" s="107">
        <f t="shared" si="504"/>
        <v>0.58017410949033055</v>
      </c>
      <c r="CU25" s="22">
        <f t="shared" si="504"/>
        <v>0.58057668115279049</v>
      </c>
      <c r="CV25" s="107">
        <f t="shared" si="504"/>
        <v>0.57269386940460887</v>
      </c>
      <c r="CW25" s="22">
        <f t="shared" si="504"/>
        <v>0.56894694665368406</v>
      </c>
      <c r="CX25" s="107">
        <f t="shared" si="504"/>
        <v>0.55814824352024939</v>
      </c>
      <c r="CY25" s="107">
        <f t="shared" si="504"/>
        <v>0.54530317117444516</v>
      </c>
      <c r="CZ25" s="107">
        <f>CZ20/CZ$3</f>
        <v>0.53142041814789298</v>
      </c>
      <c r="DA25" s="107">
        <f>DA20/DA$3</f>
        <v>0.51476927823548568</v>
      </c>
      <c r="DB25" s="107">
        <f>DB20/DB$3</f>
        <v>0.49809580352563876</v>
      </c>
      <c r="DC25" s="107">
        <f>DC20/DC$3</f>
        <v>0.48246870695881838</v>
      </c>
    </row>
    <row r="26" spans="1:108" x14ac:dyDescent="0.2">
      <c r="A26" s="257"/>
      <c r="AL26" s="77"/>
      <c r="AM26" s="77"/>
      <c r="AN26" s="77"/>
      <c r="AO26" s="77"/>
      <c r="AP26" s="77"/>
      <c r="AQ26" s="77"/>
      <c r="AR26" s="151"/>
      <c r="AS26" s="258"/>
      <c r="AT26" s="258"/>
      <c r="AU26" s="258"/>
      <c r="AV26" s="258"/>
      <c r="AW26" s="258"/>
      <c r="AX26" s="258"/>
      <c r="AY26" s="258"/>
      <c r="AZ26" s="260">
        <f>AZ22-AY22</f>
        <v>-9.2607206755794813E-2</v>
      </c>
      <c r="BA26" s="260">
        <f t="shared" ref="BA26:BE26" si="505">BA22-AZ22</f>
        <v>-5.8626816314695573E-2</v>
      </c>
      <c r="BB26" s="260">
        <f t="shared" si="505"/>
        <v>3.4800245510837047E-2</v>
      </c>
      <c r="BC26" s="260">
        <f t="shared" si="505"/>
        <v>2.8950537576344804E-2</v>
      </c>
      <c r="BD26" s="260">
        <f t="shared" si="505"/>
        <v>6.5828733167623943E-2</v>
      </c>
      <c r="BE26" s="260">
        <f t="shared" si="505"/>
        <v>1.3641323378023262E-2</v>
      </c>
      <c r="BF26" s="260">
        <f t="shared" ref="BF26" si="506">BF22-BE22</f>
        <v>1.6511654395091169E-2</v>
      </c>
      <c r="BG26" s="260">
        <f t="shared" ref="BG26" si="507">BG22-BF22</f>
        <v>-5.6749034597560755E-3</v>
      </c>
      <c r="BH26" s="260">
        <f t="shared" ref="BH26:BK26" si="508">BH22-BG22</f>
        <v>-1.6237437617421913E-2</v>
      </c>
      <c r="BI26" s="260">
        <f t="shared" si="508"/>
        <v>3.5159565417528515E-3</v>
      </c>
      <c r="BJ26" s="260">
        <f t="shared" si="508"/>
        <v>-2.6747413178472179E-2</v>
      </c>
      <c r="BK26" s="260">
        <f t="shared" si="508"/>
        <v>1.86202180712709E-2</v>
      </c>
      <c r="BL26" s="260">
        <f t="shared" ref="BL26" si="509">BL22-BK22</f>
        <v>2.83164854778859E-2</v>
      </c>
      <c r="BM26" s="260">
        <f t="shared" ref="BM26" si="510">BM22-BL22</f>
        <v>-5.4287739192061535E-3</v>
      </c>
      <c r="BN26" s="260">
        <f t="shared" ref="BN26" si="511">BN22-BM22</f>
        <v>-2.0000000000000018E-2</v>
      </c>
      <c r="BO26" s="260">
        <f t="shared" ref="BO26" si="512">BO22-BN22</f>
        <v>-9.999999999999995E-3</v>
      </c>
      <c r="BP26" s="260">
        <f t="shared" ref="BP26" si="513">BP22-BO22</f>
        <v>0</v>
      </c>
      <c r="BQ26" s="260">
        <f t="shared" ref="BQ26" si="514">BQ22-BP22</f>
        <v>-5.0000000000000044E-3</v>
      </c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260"/>
      <c r="CI26" s="92"/>
      <c r="CK26" s="92"/>
      <c r="CL26" s="92"/>
      <c r="CN26" s="92"/>
      <c r="CP26" s="92"/>
      <c r="CR26" s="118"/>
      <c r="CS26" s="77"/>
      <c r="CT26" s="118"/>
      <c r="CU26" s="118"/>
      <c r="CV26" s="118"/>
      <c r="CW26" s="118"/>
      <c r="CX26" s="118"/>
      <c r="CY26" s="118"/>
      <c r="CZ26" s="118"/>
      <c r="DA26" s="118"/>
      <c r="DB26" s="118"/>
      <c r="DC26" s="118"/>
    </row>
    <row r="27" spans="1:108" x14ac:dyDescent="0.2">
      <c r="A27" s="13" t="s">
        <v>68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7">
        <v>3605</v>
      </c>
      <c r="AL27" s="17">
        <v>3025</v>
      </c>
      <c r="AM27" s="17">
        <v>3603</v>
      </c>
      <c r="AN27" s="18">
        <v>3804</v>
      </c>
      <c r="AO27" s="17">
        <v>4717</v>
      </c>
      <c r="AP27" s="17">
        <v>4038</v>
      </c>
      <c r="AQ27" s="17">
        <v>3812</v>
      </c>
      <c r="AR27" s="17">
        <v>5037</v>
      </c>
      <c r="AS27" s="17">
        <v>6885</v>
      </c>
      <c r="AT27" s="17">
        <v>6005</v>
      </c>
      <c r="AU27" s="18">
        <v>7002</v>
      </c>
      <c r="AV27" s="18">
        <v>7205</v>
      </c>
      <c r="AW27" s="18">
        <v>8633</v>
      </c>
      <c r="AX27" s="18">
        <v>6869</v>
      </c>
      <c r="AY27" s="18">
        <v>7340</v>
      </c>
      <c r="AZ27" s="18">
        <v>7071</v>
      </c>
      <c r="BA27" s="18">
        <v>7963</v>
      </c>
      <c r="BB27" s="18">
        <v>6693</v>
      </c>
      <c r="BC27" s="18">
        <v>7665</v>
      </c>
      <c r="BD27" s="18">
        <v>7952</v>
      </c>
      <c r="BE27" s="18">
        <v>9200</v>
      </c>
      <c r="BF27" s="18">
        <v>8090</v>
      </c>
      <c r="BG27" s="18">
        <v>8663</v>
      </c>
      <c r="BH27" s="18">
        <v>8921</v>
      </c>
      <c r="BI27" s="18">
        <v>10473</v>
      </c>
      <c r="BJ27" s="18">
        <v>8927</v>
      </c>
      <c r="BK27" s="18">
        <v>9796</v>
      </c>
      <c r="BL27" s="18">
        <v>10261</v>
      </c>
      <c r="BM27" s="72">
        <f t="shared" ref="BM27:BQ27" si="515">BI27*(1+BM29)</f>
        <v>11834.49</v>
      </c>
      <c r="BN27" s="72">
        <f t="shared" si="515"/>
        <v>10132.145</v>
      </c>
      <c r="BO27" s="72">
        <f t="shared" si="515"/>
        <v>10873.560000000001</v>
      </c>
      <c r="BP27" s="72">
        <f t="shared" si="515"/>
        <v>11492.320000000002</v>
      </c>
      <c r="BQ27" s="72">
        <f t="shared" si="515"/>
        <v>13491.318600000001</v>
      </c>
      <c r="BR27" s="72">
        <f>BN27*(1+BR29)</f>
        <v>11398.663125000001</v>
      </c>
      <c r="BS27" s="72">
        <f t="shared" ref="BS27" si="516">BO27*(1+BS29)</f>
        <v>12232.755000000001</v>
      </c>
      <c r="BT27" s="72">
        <f t="shared" ref="BT27" si="517">BP27*(1+BT29)</f>
        <v>12928.860000000002</v>
      </c>
      <c r="BU27" s="72">
        <f t="shared" ref="BU27" si="518">BQ27*(1+BU29)</f>
        <v>15177.733425</v>
      </c>
      <c r="BV27" s="72">
        <f t="shared" ref="BV27" si="519">BR27*(1+BV29)</f>
        <v>12766.502700000003</v>
      </c>
      <c r="BW27" s="72">
        <f t="shared" ref="BW27" si="520">BS27*(1+BW29)</f>
        <v>13700.685600000003</v>
      </c>
      <c r="BX27" s="72">
        <f t="shared" ref="BX27" si="521">BT27*(1+BX29)</f>
        <v>14480.323200000004</v>
      </c>
      <c r="BY27" s="72">
        <f t="shared" ref="BY27" si="522">BU27*(1+BY29)</f>
        <v>16999.061436000004</v>
      </c>
      <c r="BZ27" s="72">
        <f t="shared" ref="BZ27" si="523">BV27*(1+BZ29)</f>
        <v>14170.817997000004</v>
      </c>
      <c r="CA27" s="72">
        <f t="shared" ref="CA27" si="524">BW27*(1+CA29)</f>
        <v>15207.761016000004</v>
      </c>
      <c r="CB27" s="72">
        <f t="shared" ref="CB27" si="525">BX27*(1+CB29)</f>
        <v>16073.158752000007</v>
      </c>
      <c r="CC27" s="72">
        <f t="shared" ref="CC27" si="526">BY27*(1+CC29)</f>
        <v>18868.958193960007</v>
      </c>
      <c r="CD27" s="72">
        <f t="shared" ref="CD27" si="527">BZ27*(1+CD29)</f>
        <v>15587.899796700005</v>
      </c>
      <c r="CE27" s="72">
        <f t="shared" ref="CE27" si="528">CA27*(1+CE29)</f>
        <v>16728.537117600004</v>
      </c>
      <c r="CF27" s="72">
        <f t="shared" ref="CF27" si="529">CB27*(1+CF29)</f>
        <v>17680.474627200008</v>
      </c>
      <c r="CG27" s="72">
        <f t="shared" ref="CG27" si="530">CC27*(1+CG29)</f>
        <v>20755.854013356009</v>
      </c>
      <c r="CH27" s="72"/>
      <c r="CI27" s="108"/>
      <c r="CJ27" s="45"/>
      <c r="CK27" s="108"/>
      <c r="CL27" s="108"/>
      <c r="CM27" s="45"/>
      <c r="CN27" s="108"/>
      <c r="CO27" s="45"/>
      <c r="CP27" s="117">
        <v>8150</v>
      </c>
      <c r="CQ27" s="78">
        <v>11115</v>
      </c>
      <c r="CR27" s="90">
        <f>SUM(AL27:AO27)</f>
        <v>15149</v>
      </c>
      <c r="CS27" s="21">
        <f>SUM(AP27:AS27)</f>
        <v>19772</v>
      </c>
      <c r="CT27" s="90">
        <f>SUM(AT27:AW27)</f>
        <v>28845</v>
      </c>
      <c r="CU27" s="21">
        <f>SUM(AX27:BA27)</f>
        <v>29243</v>
      </c>
      <c r="CV27" s="90">
        <f>SUM(BB27:BE27)</f>
        <v>31510</v>
      </c>
      <c r="CW27" s="21">
        <f>SUM(BF27:BI27)</f>
        <v>36147</v>
      </c>
      <c r="CX27" s="90">
        <f>SUM(BJ27:BM27)</f>
        <v>40818.49</v>
      </c>
      <c r="CY27" s="90">
        <f>SUM(BN27:BQ27)</f>
        <v>45989.3436</v>
      </c>
      <c r="CZ27" s="90">
        <f>SUM(BR27:BU27)</f>
        <v>51738.011550000003</v>
      </c>
      <c r="DA27" s="90">
        <f>SUM(BV27:BY27)</f>
        <v>57946.572936000011</v>
      </c>
      <c r="DB27" s="90">
        <f>SUM(BZ27:CC27)</f>
        <v>64320.695958960016</v>
      </c>
      <c r="DC27" s="90">
        <f>SUM(CD27:CG27)</f>
        <v>70752.765554856014</v>
      </c>
      <c r="DD27" s="86"/>
    </row>
    <row r="28" spans="1:108" x14ac:dyDescent="0.2">
      <c r="A28" s="12" t="s">
        <v>62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25" t="s">
        <v>82</v>
      </c>
      <c r="AL28" s="22">
        <f>IF(AND(AK27&lt;0,AL27&gt;0),"n/a",AL27/AK27-1)</f>
        <v>-0.16088765603328714</v>
      </c>
      <c r="AM28" s="22">
        <f t="shared" ref="AM28" si="531">IF(AND(AL27&lt;0,AM27&gt;0),"n/a",AM27/AL27-1)</f>
        <v>0.19107438016528921</v>
      </c>
      <c r="AN28" s="22">
        <f t="shared" ref="AN28" si="532">IF(AND(AM27&lt;0,AN27&gt;0),"n/a",AN27/AM27-1)</f>
        <v>5.5786844296419558E-2</v>
      </c>
      <c r="AO28" s="22">
        <f t="shared" ref="AO28" si="533">IF(AND(AN27&lt;0,AO27&gt;0),"n/a",AO27/AN27-1)</f>
        <v>0.24001051524710837</v>
      </c>
      <c r="AP28" s="22">
        <f t="shared" ref="AP28" si="534">IF(AND(AO27&lt;0,AP27&gt;0),"n/a",AP27/AO27-1)</f>
        <v>-0.14394742421030315</v>
      </c>
      <c r="AQ28" s="22">
        <f t="shared" ref="AQ28" si="535">IF(AND(AP27&lt;0,AQ27&gt;0),"n/a",AQ27/AP27-1)</f>
        <v>-5.5968301139177834E-2</v>
      </c>
      <c r="AR28" s="22">
        <f t="shared" ref="AR28" si="536">IF(AND(AQ27&lt;0,AR27&gt;0),"n/a",AR27/AQ27-1)</f>
        <v>0.3213536201469045</v>
      </c>
      <c r="AS28" s="22">
        <f t="shared" ref="AS28" si="537">IF(AND(AR27&lt;0,AS27&gt;0),"n/a",AS27/AR27-1)</f>
        <v>0.36688505062537224</v>
      </c>
      <c r="AT28" s="22">
        <f t="shared" ref="AT28" si="538">IF(AND(AS27&lt;0,AT27&gt;0),"n/a",AT27/AS27-1)</f>
        <v>-0.12781408859840238</v>
      </c>
      <c r="AU28" s="22">
        <f t="shared" ref="AU28" si="539">IF(AND(AT27&lt;0,AU27&gt;0),"n/a",AU27/AT27-1)</f>
        <v>0.16602830974188176</v>
      </c>
      <c r="AV28" s="22">
        <f t="shared" ref="AV28" si="540">IF(AND(AU27&lt;0,AV27&gt;0),"n/a",AV27/AU27-1)</f>
        <v>2.899171665238498E-2</v>
      </c>
      <c r="AW28" s="22">
        <f t="shared" ref="AW28" si="541">IF(AND(AV27&lt;0,AW27&gt;0),"n/a",AW27/AV27-1)</f>
        <v>0.19819569743233867</v>
      </c>
      <c r="AX28" s="22">
        <f t="shared" ref="AX28" si="542">IF(AND(AW27&lt;0,AX27&gt;0),"n/a",AX27/AW27-1)</f>
        <v>-0.20433221359898068</v>
      </c>
      <c r="AY28" s="28">
        <f t="shared" ref="AY28" si="543">IF(AND(AX27&lt;0,AY27&gt;0),"n/a",AY27/AX27-1)</f>
        <v>6.8568932886883038E-2</v>
      </c>
      <c r="AZ28" s="28">
        <f t="shared" ref="AZ28" si="544">IF(AND(AY27&lt;0,AZ27&gt;0),"n/a",AZ27/AY27-1)</f>
        <v>-3.6648501362397834E-2</v>
      </c>
      <c r="BA28" s="28">
        <f t="shared" ref="BA28" si="545">IF(AND(AZ27&lt;0,BA27&gt;0),"n/a",BA27/AZ27-1)</f>
        <v>0.12614905953896205</v>
      </c>
      <c r="BB28" s="28">
        <f t="shared" ref="BB28:BL28" si="546">IF(AND(BA27&lt;0,BB27&gt;0),"n/a",BB27/BA27-1)</f>
        <v>-0.15948763029009172</v>
      </c>
      <c r="BC28" s="28">
        <f t="shared" si="546"/>
        <v>0.14522635589421773</v>
      </c>
      <c r="BD28" s="28">
        <f t="shared" si="546"/>
        <v>3.7442922374429255E-2</v>
      </c>
      <c r="BE28" s="28">
        <f t="shared" si="546"/>
        <v>0.1569416498993963</v>
      </c>
      <c r="BF28" s="28">
        <f t="shared" si="546"/>
        <v>-0.1206521739130435</v>
      </c>
      <c r="BG28" s="28">
        <f t="shared" si="546"/>
        <v>7.0828182941903517E-2</v>
      </c>
      <c r="BH28" s="28">
        <f t="shared" si="546"/>
        <v>2.9781830774558538E-2</v>
      </c>
      <c r="BI28" s="28">
        <f t="shared" si="546"/>
        <v>0.17397152785562153</v>
      </c>
      <c r="BJ28" s="28">
        <f t="shared" si="546"/>
        <v>-0.14761768356726823</v>
      </c>
      <c r="BK28" s="28">
        <f t="shared" si="546"/>
        <v>9.7345132743362761E-2</v>
      </c>
      <c r="BL28" s="28">
        <f t="shared" si="546"/>
        <v>4.7468354430379778E-2</v>
      </c>
      <c r="BM28" s="28">
        <f t="shared" ref="BM28" si="547">IF(AND(BL27&lt;0,BM27&gt;0),"n/a",BM27/BL27-1)</f>
        <v>0.15334665237306311</v>
      </c>
      <c r="BN28" s="28">
        <f t="shared" ref="BN28" si="548">IF(AND(BM27&lt;0,BN27&gt;0),"n/a",BN27/BM27-1)</f>
        <v>-0.14384608039721181</v>
      </c>
      <c r="BO28" s="28">
        <f t="shared" ref="BO28" si="549">IF(AND(BN27&lt;0,BO27&gt;0),"n/a",BO27/BN27-1)</f>
        <v>7.317453510584393E-2</v>
      </c>
      <c r="BP28" s="28">
        <f t="shared" ref="BP28" si="550">IF(AND(BO27&lt;0,BP27&gt;0),"n/a",BP27/BO27-1)</f>
        <v>5.6905006272094827E-2</v>
      </c>
      <c r="BQ28" s="28">
        <f t="shared" ref="BQ28" si="551">IF(AND(BP27&lt;0,BQ27&gt;0),"n/a",BQ27/BP27-1)</f>
        <v>0.17394212830829625</v>
      </c>
      <c r="BR28" s="28">
        <f>IF(AND(BQ27&lt;0,BR27&gt;0),"n/a",BR27/BQ27-1)</f>
        <v>-0.15511126354988014</v>
      </c>
      <c r="BS28" s="28">
        <f t="shared" ref="BS28" si="552">IF(AND(BR27&lt;0,BS27&gt;0),"n/a",BS27/BR27-1)</f>
        <v>7.317453510584393E-2</v>
      </c>
      <c r="BT28" s="28">
        <f t="shared" ref="BT28" si="553">IF(AND(BS27&lt;0,BT27&gt;0),"n/a",BT27/BS27-1)</f>
        <v>5.6905006272095049E-2</v>
      </c>
      <c r="BU28" s="28">
        <f t="shared" ref="BU28" si="554">IF(AND(BT27&lt;0,BU27&gt;0),"n/a",BU27/BT27-1)</f>
        <v>0.17394212830829603</v>
      </c>
      <c r="BV28" s="28">
        <f t="shared" ref="BV28" si="555">IF(AND(BU27&lt;0,BV27&gt;0),"n/a",BV27/BU27-1)</f>
        <v>-0.15886632460076944</v>
      </c>
      <c r="BW28" s="28">
        <f t="shared" ref="BW28" si="556">IF(AND(BV27&lt;0,BW27&gt;0),"n/a",BW27/BV27-1)</f>
        <v>7.3174535105843708E-2</v>
      </c>
      <c r="BX28" s="28">
        <f t="shared" ref="BX28" si="557">IF(AND(BW27&lt;0,BX27&gt;0),"n/a",BX27/BW27-1)</f>
        <v>5.6905006272095049E-2</v>
      </c>
      <c r="BY28" s="28">
        <f t="shared" ref="BY28" si="558">IF(AND(BX27&lt;0,BY27&gt;0),"n/a",BY27/BX27-1)</f>
        <v>0.17394212830829625</v>
      </c>
      <c r="BZ28" s="28">
        <f t="shared" ref="BZ28" si="559">IF(AND(BY27&lt;0,BZ27&gt;0),"n/a",BZ27/BY27-1)</f>
        <v>-0.16637644670254836</v>
      </c>
      <c r="CA28" s="28">
        <f t="shared" ref="CA28" si="560">IF(AND(BZ27&lt;0,CA27&gt;0),"n/a",CA27/BZ27-1)</f>
        <v>7.317453510584393E-2</v>
      </c>
      <c r="CB28" s="28">
        <f t="shared" ref="CB28" si="561">IF(AND(CA27&lt;0,CB27&gt;0),"n/a",CB27/CA27-1)</f>
        <v>5.6905006272095049E-2</v>
      </c>
      <c r="CC28" s="28">
        <f t="shared" ref="CC28" si="562">IF(AND(CB27&lt;0,CC27&gt;0),"n/a",CC27/CB27-1)</f>
        <v>0.17394212830829625</v>
      </c>
      <c r="CD28" s="28">
        <f t="shared" ref="CD28" si="563">IF(AND(CC27&lt;0,CD27&gt;0),"n/a",CD27/CC27-1)</f>
        <v>-0.17388656880432729</v>
      </c>
      <c r="CE28" s="28">
        <f t="shared" ref="CE28" si="564">IF(AND(CD27&lt;0,CE27&gt;0),"n/a",CE27/CD27-1)</f>
        <v>7.3174535105843708E-2</v>
      </c>
      <c r="CF28" s="28">
        <f t="shared" ref="CF28" si="565">IF(AND(CE27&lt;0,CF27&gt;0),"n/a",CF27/CE27-1)</f>
        <v>5.6905006272095049E-2</v>
      </c>
      <c r="CG28" s="28">
        <f t="shared" ref="CG28" si="566">IF(AND(CF27&lt;0,CG27&gt;0),"n/a",CG27/CF27-1)</f>
        <v>0.17394212830829625</v>
      </c>
      <c r="CH28" s="28"/>
      <c r="CI28" s="109"/>
      <c r="CJ28" s="59"/>
      <c r="CK28" s="109"/>
      <c r="CL28" s="109"/>
      <c r="CM28" s="59"/>
      <c r="CN28" s="109"/>
      <c r="CO28" s="59"/>
      <c r="CP28" s="106" t="s">
        <v>82</v>
      </c>
      <c r="CQ28" s="48" t="s">
        <v>82</v>
      </c>
      <c r="CR28" s="106" t="s">
        <v>82</v>
      </c>
      <c r="CS28" s="48" t="s">
        <v>82</v>
      </c>
      <c r="CT28" s="106" t="s">
        <v>82</v>
      </c>
      <c r="CU28" s="48" t="s">
        <v>82</v>
      </c>
      <c r="CV28" s="106" t="s">
        <v>82</v>
      </c>
      <c r="CW28" s="48" t="s">
        <v>82</v>
      </c>
      <c r="CX28" s="106" t="s">
        <v>82</v>
      </c>
      <c r="CY28" s="106" t="s">
        <v>82</v>
      </c>
      <c r="CZ28" s="106" t="s">
        <v>82</v>
      </c>
      <c r="DA28" s="106" t="s">
        <v>82</v>
      </c>
      <c r="DB28" s="106" t="s">
        <v>82</v>
      </c>
      <c r="DC28" s="106" t="s">
        <v>82</v>
      </c>
    </row>
    <row r="29" spans="1:108" x14ac:dyDescent="0.2">
      <c r="A29" s="12" t="s">
        <v>63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25" t="s">
        <v>82</v>
      </c>
      <c r="AL29" s="25" t="s">
        <v>82</v>
      </c>
      <c r="AM29" s="25" t="s">
        <v>82</v>
      </c>
      <c r="AN29" s="25" t="s">
        <v>82</v>
      </c>
      <c r="AO29" s="22">
        <f t="shared" ref="AO29" si="567">IF(AND(AK27&lt;0,AO27&gt;0),"n/a",AO27/AK27-1)</f>
        <v>0.30846047156726764</v>
      </c>
      <c r="AP29" s="22">
        <f t="shared" ref="AP29" si="568">IF(AND(AL27&lt;0,AP27&gt;0),"n/a",AP27/AL27-1)</f>
        <v>0.3348760330578513</v>
      </c>
      <c r="AQ29" s="22">
        <f t="shared" ref="AQ29" si="569">IF(AND(AM27&lt;0,AQ27&gt;0),"n/a",AQ27/AM27-1)</f>
        <v>5.8007216208714851E-2</v>
      </c>
      <c r="AR29" s="22">
        <f t="shared" ref="AR29" si="570">IF(AND(AN27&lt;0,AR27&gt;0),"n/a",AR27/AN27-1)</f>
        <v>0.32413249211356465</v>
      </c>
      <c r="AS29" s="22">
        <f t="shared" ref="AS29" si="571">IF(AND(AO27&lt;0,AS27&gt;0),"n/a",AS27/AO27-1)</f>
        <v>0.45961416154335377</v>
      </c>
      <c r="AT29" s="22">
        <f t="shared" ref="AT29:BL29" si="572">IF(AND(AP27&lt;0,AT27&gt;0),"n/a",AT27/AP27-1)</f>
        <v>0.48712233779098568</v>
      </c>
      <c r="AU29" s="22">
        <f t="shared" si="572"/>
        <v>0.83683105981112282</v>
      </c>
      <c r="AV29" s="22">
        <f t="shared" si="572"/>
        <v>0.4304149295215407</v>
      </c>
      <c r="AW29" s="22">
        <f t="shared" si="572"/>
        <v>0.25388525780682647</v>
      </c>
      <c r="AX29" s="22">
        <f t="shared" si="572"/>
        <v>0.143880099916736</v>
      </c>
      <c r="AY29" s="28">
        <f t="shared" si="572"/>
        <v>4.8271922307911996E-2</v>
      </c>
      <c r="AZ29" s="28">
        <f t="shared" si="572"/>
        <v>-1.8598195697432374E-2</v>
      </c>
      <c r="BA29" s="28">
        <f t="shared" si="572"/>
        <v>-7.7609174099386058E-2</v>
      </c>
      <c r="BB29" s="28">
        <f t="shared" si="572"/>
        <v>-2.5622361333527466E-2</v>
      </c>
      <c r="BC29" s="28">
        <f t="shared" si="572"/>
        <v>4.4277929155313256E-2</v>
      </c>
      <c r="BD29" s="28">
        <f t="shared" si="572"/>
        <v>0.12459340970159816</v>
      </c>
      <c r="BE29" s="28">
        <f t="shared" si="572"/>
        <v>0.15534346351877426</v>
      </c>
      <c r="BF29" s="28">
        <f t="shared" si="572"/>
        <v>0.20872553414014638</v>
      </c>
      <c r="BG29" s="28">
        <f t="shared" si="572"/>
        <v>0.13020221787345077</v>
      </c>
      <c r="BH29" s="28">
        <f t="shared" si="572"/>
        <v>0.12185613682092544</v>
      </c>
      <c r="BI29" s="28">
        <f t="shared" si="572"/>
        <v>0.1383695652173913</v>
      </c>
      <c r="BJ29" s="28">
        <f t="shared" si="572"/>
        <v>0.10346106304079106</v>
      </c>
      <c r="BK29" s="28">
        <f t="shared" si="572"/>
        <v>0.1307861018123051</v>
      </c>
      <c r="BL29" s="28">
        <f t="shared" si="572"/>
        <v>0.15020737585472488</v>
      </c>
      <c r="BM29" s="26">
        <v>0.13</v>
      </c>
      <c r="BN29" s="26">
        <v>0.13500000000000001</v>
      </c>
      <c r="BO29" s="26">
        <v>0.11</v>
      </c>
      <c r="BP29" s="26">
        <v>0.12</v>
      </c>
      <c r="BQ29" s="26">
        <v>0.14000000000000001</v>
      </c>
      <c r="BR29" s="26">
        <v>0.125</v>
      </c>
      <c r="BS29" s="26">
        <v>0.125</v>
      </c>
      <c r="BT29" s="26">
        <v>0.125</v>
      </c>
      <c r="BU29" s="26">
        <v>0.125</v>
      </c>
      <c r="BV29" s="26">
        <v>0.12</v>
      </c>
      <c r="BW29" s="26">
        <v>0.12</v>
      </c>
      <c r="BX29" s="26">
        <v>0.12</v>
      </c>
      <c r="BY29" s="26">
        <v>0.12</v>
      </c>
      <c r="BZ29" s="26">
        <v>0.11</v>
      </c>
      <c r="CA29" s="26">
        <v>0.11</v>
      </c>
      <c r="CB29" s="26">
        <v>0.11</v>
      </c>
      <c r="CC29" s="26">
        <v>0.11</v>
      </c>
      <c r="CD29" s="26">
        <v>0.1</v>
      </c>
      <c r="CE29" s="26">
        <v>0.1</v>
      </c>
      <c r="CF29" s="26">
        <v>0.1</v>
      </c>
      <c r="CG29" s="26">
        <v>0.1</v>
      </c>
      <c r="CH29" s="26"/>
      <c r="CI29" s="109"/>
      <c r="CJ29" s="30"/>
      <c r="CK29" s="110"/>
      <c r="CL29" s="110"/>
      <c r="CM29" s="30"/>
      <c r="CN29" s="110"/>
      <c r="CO29" s="30"/>
      <c r="CP29" s="106" t="s">
        <v>82</v>
      </c>
      <c r="CQ29" s="22">
        <f t="shared" ref="CQ29" si="573">IF(AND(CP27&lt;0,CQ27&gt;0),"n/a",CQ27/CP27-1)</f>
        <v>0.36380368098159499</v>
      </c>
      <c r="CR29" s="107">
        <f t="shared" ref="CR29" si="574">IF(AND(CQ27&lt;0,CR27&gt;0),"n/a",CR27/CQ27-1)</f>
        <v>0.36293297345928921</v>
      </c>
      <c r="CS29" s="22">
        <f t="shared" ref="CS29" si="575">IF(AND(CR27&lt;0,CS27&gt;0),"n/a",CS27/CR27-1)</f>
        <v>0.30516865799722748</v>
      </c>
      <c r="CT29" s="107">
        <f t="shared" ref="CT29" si="576">IF(AND(CS27&lt;0,CT27&gt;0),"n/a",CT27/CS27-1)</f>
        <v>0.45888124620675708</v>
      </c>
      <c r="CU29" s="22">
        <f t="shared" ref="CU29" si="577">IF(AND(CT27&lt;0,CU27&gt;0),"n/a",CU27/CT27-1)</f>
        <v>1.3797885248743258E-2</v>
      </c>
      <c r="CV29" s="107">
        <f t="shared" ref="CV29" si="578">IF(AND(CU27&lt;0,CV27&gt;0),"n/a",CV27/CU27-1)</f>
        <v>7.7522825975447018E-2</v>
      </c>
      <c r="CW29" s="22">
        <f t="shared" ref="CW29" si="579">IF(AND(CV27&lt;0,CW27&gt;0),"n/a",CW27/CV27-1)</f>
        <v>0.14715963186290071</v>
      </c>
      <c r="CX29" s="107">
        <f t="shared" ref="CX29" si="580">IF(AND(CW27&lt;0,CX27&gt;0),"n/a",CX27/CW27-1)</f>
        <v>0.1292358978615098</v>
      </c>
      <c r="CY29" s="107">
        <f t="shared" ref="CY29" si="581">IF(AND(CX27&lt;0,CY27&gt;0),"n/a",CY27/CX27-1)</f>
        <v>0.12667919856907983</v>
      </c>
      <c r="CZ29" s="107">
        <f>IF(AND(CY27&lt;0,CZ27&gt;0),"n/a",CZ27/CY27-1)</f>
        <v>0.125</v>
      </c>
      <c r="DA29" s="107">
        <f>IF(AND(CZ27&lt;0,DA27&gt;0),"n/a",DA27/CZ27-1)</f>
        <v>0.12000000000000011</v>
      </c>
      <c r="DB29" s="107">
        <f>IF(AND(DA27&lt;0,DB27&gt;0),"n/a",DB27/DA27-1)</f>
        <v>0.1100000000000001</v>
      </c>
      <c r="DC29" s="107">
        <f>IF(AND(DB27&lt;0,DC27&gt;0),"n/a",DC27/DB27-1)</f>
        <v>9.9999999999999867E-2</v>
      </c>
    </row>
    <row r="30" spans="1:108" hidden="1" outlineLevel="1" x14ac:dyDescent="0.2">
      <c r="A30" s="12" t="s">
        <v>386</v>
      </c>
      <c r="AK30" s="233" t="s">
        <v>82</v>
      </c>
      <c r="AL30" s="233" t="s">
        <v>82</v>
      </c>
      <c r="AM30" s="233" t="s">
        <v>82</v>
      </c>
      <c r="AN30" s="233" t="s">
        <v>82</v>
      </c>
      <c r="AO30" s="233" t="s">
        <v>82</v>
      </c>
      <c r="AP30" s="233" t="s">
        <v>82</v>
      </c>
      <c r="AQ30" s="233" t="s">
        <v>82</v>
      </c>
      <c r="AR30" s="233" t="s">
        <v>82</v>
      </c>
      <c r="AS30" s="233" t="s">
        <v>82</v>
      </c>
      <c r="AT30" s="233" t="s">
        <v>82</v>
      </c>
      <c r="AU30" s="233" t="s">
        <v>82</v>
      </c>
      <c r="AV30" s="233" t="s">
        <v>82</v>
      </c>
      <c r="AW30" s="28">
        <f t="shared" ref="AW30" si="582">AW29+AS29+AO29</f>
        <v>1.0219598909174479</v>
      </c>
      <c r="AX30" s="28">
        <f t="shared" ref="AX30" si="583">AX29+AT29+AP29</f>
        <v>0.96587847076557298</v>
      </c>
      <c r="AY30" s="28">
        <f t="shared" ref="AY30" si="584">AY29+AU29+AQ29</f>
        <v>0.94311019832774967</v>
      </c>
      <c r="AZ30" s="28">
        <f t="shared" ref="AZ30" si="585">AZ29+AV29+AR29</f>
        <v>0.73594922593767298</v>
      </c>
      <c r="BA30" s="28">
        <f t="shared" ref="BA30" si="586">BA29+AW29+AS29</f>
        <v>0.63589024525079418</v>
      </c>
      <c r="BB30" s="28">
        <f t="shared" ref="BB30:BL30" si="587">BB29+AX29+AT29</f>
        <v>0.60538007637419422</v>
      </c>
      <c r="BC30" s="28">
        <f t="shared" si="587"/>
        <v>0.92938091127434808</v>
      </c>
      <c r="BD30" s="28">
        <f t="shared" si="587"/>
        <v>0.53641014352570648</v>
      </c>
      <c r="BE30" s="28">
        <f t="shared" si="587"/>
        <v>0.33161954722621467</v>
      </c>
      <c r="BF30" s="28">
        <f t="shared" si="587"/>
        <v>0.32698327272335492</v>
      </c>
      <c r="BG30" s="28">
        <f t="shared" si="587"/>
        <v>0.22275206933667602</v>
      </c>
      <c r="BH30" s="28">
        <f t="shared" si="587"/>
        <v>0.22785135082509123</v>
      </c>
      <c r="BI30" s="28">
        <f t="shared" si="587"/>
        <v>0.2161038546367795</v>
      </c>
      <c r="BJ30" s="28">
        <f t="shared" si="587"/>
        <v>0.28656423584740998</v>
      </c>
      <c r="BK30" s="28">
        <f t="shared" si="587"/>
        <v>0.30526624884106912</v>
      </c>
      <c r="BL30" s="28">
        <f t="shared" si="587"/>
        <v>0.39665692237724848</v>
      </c>
      <c r="BM30" s="28">
        <f t="shared" ref="BM30" si="588">BM29+BI29+BE29</f>
        <v>0.42371302873616556</v>
      </c>
      <c r="BN30" s="28">
        <f t="shared" ref="BN30" si="589">BN29+BJ29+BF29</f>
        <v>0.44718659718093745</v>
      </c>
      <c r="BO30" s="28">
        <f t="shared" ref="BO30" si="590">BO29+BK29+BG29</f>
        <v>0.37098831968575585</v>
      </c>
      <c r="BP30" s="28">
        <f t="shared" ref="BP30" si="591">BP29+BL29+BH29</f>
        <v>0.39206351267565032</v>
      </c>
      <c r="BQ30" s="28">
        <f t="shared" ref="BQ30" si="592">BQ29+BM29+BI29</f>
        <v>0.40836956521739132</v>
      </c>
      <c r="BR30" s="28">
        <f>BR29+BN29+BJ29</f>
        <v>0.36346106304079107</v>
      </c>
      <c r="BS30" s="28">
        <f t="shared" ref="BS30" si="593">BS29+BO29+BK29</f>
        <v>0.36578610181230509</v>
      </c>
      <c r="BT30" s="28">
        <f t="shared" ref="BT30" si="594">BT29+BP29+BL29</f>
        <v>0.39520737585472487</v>
      </c>
      <c r="BU30" s="28">
        <f t="shared" ref="BU30" si="595">BU29+BQ29+BM29</f>
        <v>0.39500000000000002</v>
      </c>
      <c r="BV30" s="28">
        <f t="shared" ref="BV30" si="596">BV29+BR29+BN29</f>
        <v>0.38</v>
      </c>
      <c r="BW30" s="28">
        <f t="shared" ref="BW30" si="597">BW29+BS29+BO29</f>
        <v>0.35499999999999998</v>
      </c>
      <c r="BX30" s="28">
        <f t="shared" ref="BX30" si="598">BX29+BT29+BP29</f>
        <v>0.36499999999999999</v>
      </c>
      <c r="BY30" s="28">
        <f t="shared" ref="BY30" si="599">BY29+BU29+BQ29</f>
        <v>0.38500000000000001</v>
      </c>
      <c r="BZ30" s="28">
        <f t="shared" ref="BZ30" si="600">BZ29+BV29+BR29</f>
        <v>0.35499999999999998</v>
      </c>
      <c r="CA30" s="28">
        <f t="shared" ref="CA30" si="601">CA29+BW29+BS29</f>
        <v>0.35499999999999998</v>
      </c>
      <c r="CB30" s="28">
        <f t="shared" ref="CB30" si="602">CB29+BX29+BT29</f>
        <v>0.35499999999999998</v>
      </c>
      <c r="CC30" s="28">
        <f t="shared" ref="CC30" si="603">CC29+BY29+BU29</f>
        <v>0.35499999999999998</v>
      </c>
      <c r="CD30" s="28">
        <f t="shared" ref="CD30" si="604">CD29+BZ29+BV29</f>
        <v>0.33</v>
      </c>
      <c r="CE30" s="28">
        <f t="shared" ref="CE30" si="605">CE29+CA29+BW29</f>
        <v>0.33</v>
      </c>
      <c r="CF30" s="28">
        <f t="shared" ref="CF30" si="606">CF29+CB29+BX29</f>
        <v>0.33</v>
      </c>
      <c r="CG30" s="28">
        <f t="shared" ref="CG30" si="607">CG29+CC29+BY29</f>
        <v>0.33</v>
      </c>
      <c r="CH30" s="28"/>
      <c r="CI30" s="109"/>
      <c r="CJ30" s="30"/>
      <c r="CK30" s="110"/>
      <c r="CL30" s="110"/>
      <c r="CM30" s="30"/>
      <c r="CN30" s="110"/>
      <c r="CO30" s="30"/>
      <c r="CP30" s="106" t="s">
        <v>82</v>
      </c>
      <c r="CQ30" s="106" t="s">
        <v>82</v>
      </c>
      <c r="CR30" s="106" t="s">
        <v>82</v>
      </c>
      <c r="CS30" s="111">
        <f t="shared" ref="CS30" si="608">CS29+CQ29+CR29</f>
        <v>1.0319053124381117</v>
      </c>
      <c r="CT30" s="111">
        <f t="shared" ref="CT30" si="609">CT29+CR29+CS29</f>
        <v>1.1269828776632738</v>
      </c>
      <c r="CU30" s="111">
        <f t="shared" ref="CU30" si="610">CU29+CS29+CT29</f>
        <v>0.77784778945272781</v>
      </c>
      <c r="CV30" s="111">
        <f t="shared" ref="CV30" si="611">CV29+CT29+CU29</f>
        <v>0.55020195743094735</v>
      </c>
      <c r="CW30" s="111">
        <f t="shared" ref="CW30" si="612">CW29+CU29+CV29</f>
        <v>0.23848034308709098</v>
      </c>
      <c r="CX30" s="111">
        <f t="shared" ref="CX30" si="613">CX29+CV29+CW29</f>
        <v>0.35391835569985752</v>
      </c>
      <c r="CY30" s="111">
        <f t="shared" ref="CY30" si="614">CY29+CW29+CX29</f>
        <v>0.40307472829349034</v>
      </c>
      <c r="CZ30" s="111">
        <f>CZ29+CX29+CY29</f>
        <v>0.38091509643058963</v>
      </c>
      <c r="DA30" s="111">
        <f>DA29+CY29+CZ29</f>
        <v>0.37167919856907994</v>
      </c>
      <c r="DB30" s="111">
        <f>DB29+CZ29+DA29</f>
        <v>0.3550000000000002</v>
      </c>
      <c r="DC30" s="111">
        <f>DC29+DA29+DB29</f>
        <v>0.33000000000000007</v>
      </c>
    </row>
    <row r="31" spans="1:108" collapsed="1" x14ac:dyDescent="0.2">
      <c r="A31" s="12" t="s">
        <v>66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22">
        <f>AK27/AK$14</f>
        <v>0.11086167660987761</v>
      </c>
      <c r="AL31" s="22">
        <f t="shared" ref="AL31:BQ31" si="615">AL27/AL$14</f>
        <v>9.8898224735998949E-2</v>
      </c>
      <c r="AM31" s="22">
        <f t="shared" si="615"/>
        <v>0.11088200898627439</v>
      </c>
      <c r="AN31" s="22">
        <f t="shared" si="615"/>
        <v>0.11255769913599242</v>
      </c>
      <c r="AO31" s="22">
        <f t="shared" si="615"/>
        <v>0.12434755100964834</v>
      </c>
      <c r="AP31" s="22">
        <f t="shared" si="615"/>
        <v>0.11959837692148209</v>
      </c>
      <c r="AQ31" s="22">
        <f t="shared" si="615"/>
        <v>0.12763250410151672</v>
      </c>
      <c r="AR31" s="22">
        <f t="shared" si="615"/>
        <v>0.13578649413667609</v>
      </c>
      <c r="AS31" s="22">
        <f t="shared" si="615"/>
        <v>0.14902919976622869</v>
      </c>
      <c r="AT31" s="22">
        <f t="shared" si="615"/>
        <v>0.13438814788291112</v>
      </c>
      <c r="AU31" s="22">
        <f t="shared" si="615"/>
        <v>0.13880739037348347</v>
      </c>
      <c r="AV31" s="22">
        <f t="shared" si="615"/>
        <v>0.13561076604554864</v>
      </c>
      <c r="AW31" s="22">
        <f t="shared" si="615"/>
        <v>0.14097225624193732</v>
      </c>
      <c r="AX31" s="22">
        <f t="shared" si="615"/>
        <v>0.1256654653226249</v>
      </c>
      <c r="AY31" s="28">
        <f t="shared" si="615"/>
        <v>0.1304007959067652</v>
      </c>
      <c r="AZ31" s="28">
        <f t="shared" si="615"/>
        <v>0.12978598436180758</v>
      </c>
      <c r="BA31" s="28">
        <f t="shared" si="615"/>
        <v>0.13487009247654214</v>
      </c>
      <c r="BB31" s="28">
        <f t="shared" si="615"/>
        <v>0.12269927403387842</v>
      </c>
      <c r="BC31" s="28">
        <f t="shared" ref="BC31:BD31" si="616">BC27/BC$14</f>
        <v>0.13183014292348175</v>
      </c>
      <c r="BD31" s="28">
        <f t="shared" si="616"/>
        <v>0.13331768571763877</v>
      </c>
      <c r="BE31" s="28">
        <f t="shared" ref="BE31:BF31" si="617">BE27/BE$14</f>
        <v>0.14042156997420516</v>
      </c>
      <c r="BF31" s="28">
        <f t="shared" si="617"/>
        <v>0.13120550122447655</v>
      </c>
      <c r="BG31" s="28">
        <f t="shared" ref="BG31:BH31" si="618">BG27/BG$14</f>
        <v>0.13406896124798812</v>
      </c>
      <c r="BH31" s="28">
        <f t="shared" si="618"/>
        <v>0.13546633461900567</v>
      </c>
      <c r="BI31" s="28">
        <f t="shared" ref="BI31" si="619">BI27/BI$14</f>
        <v>0.14453292115758823</v>
      </c>
      <c r="BJ31" s="28">
        <f t="shared" ref="BJ31:BK31" si="620">BJ27/BJ$14</f>
        <v>0.13346789265156611</v>
      </c>
      <c r="BK31" s="28">
        <f t="shared" si="620"/>
        <v>0.13731426969442109</v>
      </c>
      <c r="BL31" s="28">
        <f t="shared" ref="BL31" si="621">BL27/BL$14</f>
        <v>0.13832196489714485</v>
      </c>
      <c r="BM31" s="28">
        <f t="shared" si="615"/>
        <v>0.14576577442097638</v>
      </c>
      <c r="BN31" s="28">
        <f t="shared" si="615"/>
        <v>0.13686675127734954</v>
      </c>
      <c r="BO31" s="28">
        <f t="shared" si="615"/>
        <v>0.13899230717903738</v>
      </c>
      <c r="BP31" s="28">
        <f t="shared" si="615"/>
        <v>0.1410297709090878</v>
      </c>
      <c r="BQ31" s="28">
        <f t="shared" si="615"/>
        <v>0.15131922313273541</v>
      </c>
      <c r="BR31" s="28">
        <f>BR27/BR$14</f>
        <v>0.13972790383464209</v>
      </c>
      <c r="BS31" s="28">
        <f t="shared" ref="BS31:BU31" si="622">BS27/BS$14</f>
        <v>0.14282602969061889</v>
      </c>
      <c r="BT31" s="28">
        <f t="shared" si="622"/>
        <v>0.1448563777480352</v>
      </c>
      <c r="BU31" s="28">
        <f t="shared" si="622"/>
        <v>0.15588185000572163</v>
      </c>
      <c r="BV31" s="28">
        <f t="shared" ref="BV31:CC31" si="623">BV27/BV$14</f>
        <v>0.1431337191429301</v>
      </c>
      <c r="BW31" s="28">
        <f t="shared" si="623"/>
        <v>0.14729804936143076</v>
      </c>
      <c r="BX31" s="28">
        <f t="shared" si="623"/>
        <v>0.14933755796637485</v>
      </c>
      <c r="BY31" s="28">
        <f t="shared" si="623"/>
        <v>0.16118486103091453</v>
      </c>
      <c r="BZ31" s="28">
        <f t="shared" si="623"/>
        <v>0.14641981349850711</v>
      </c>
      <c r="CA31" s="28">
        <f t="shared" si="623"/>
        <v>0.15172418641898128</v>
      </c>
      <c r="CB31" s="28">
        <f t="shared" si="623"/>
        <v>0.15377671477614746</v>
      </c>
      <c r="CC31" s="28">
        <f t="shared" si="623"/>
        <v>0.16648411249056694</v>
      </c>
      <c r="CD31" s="28">
        <f t="shared" ref="CD31:CG31" si="624">CD27/CD$14</f>
        <v>0.14933853370842723</v>
      </c>
      <c r="CE31" s="28">
        <f t="shared" si="624"/>
        <v>0.1558403877988816</v>
      </c>
      <c r="CF31" s="28">
        <f t="shared" si="624"/>
        <v>0.15790562376505962</v>
      </c>
      <c r="CG31" s="28">
        <f t="shared" si="624"/>
        <v>0.17148947372828935</v>
      </c>
      <c r="CH31" s="28"/>
      <c r="CI31" s="110"/>
      <c r="CJ31" s="30"/>
      <c r="CK31" s="110"/>
      <c r="CL31" s="110"/>
      <c r="CM31" s="30"/>
      <c r="CN31" s="110"/>
      <c r="CO31" s="30"/>
      <c r="CP31" s="107">
        <f t="shared" ref="CP31:CY31" si="625">CP27/CP$14</f>
        <v>8.5452162516382699E-2</v>
      </c>
      <c r="CQ31" s="22">
        <f t="shared" si="625"/>
        <v>9.5653221572964089E-2</v>
      </c>
      <c r="CR31" s="107">
        <f t="shared" si="625"/>
        <v>0.11237213580494174</v>
      </c>
      <c r="CS31" s="22">
        <f t="shared" si="625"/>
        <v>0.13457297650485966</v>
      </c>
      <c r="CT31" s="107">
        <f t="shared" si="625"/>
        <v>0.13768693585111003</v>
      </c>
      <c r="CU31" s="22">
        <f t="shared" si="625"/>
        <v>0.1302740195925568</v>
      </c>
      <c r="CV31" s="107">
        <f t="shared" si="625"/>
        <v>0.13247566794896051</v>
      </c>
      <c r="CW31" s="22">
        <f t="shared" si="625"/>
        <v>0.13661514040591102</v>
      </c>
      <c r="CX31" s="107">
        <f t="shared" si="625"/>
        <v>0.13902973275466848</v>
      </c>
      <c r="CY31" s="107">
        <f t="shared" si="625"/>
        <v>0.14242276549390231</v>
      </c>
      <c r="CZ31" s="107">
        <f>CZ27/CZ$14</f>
        <v>0.14621644229015571</v>
      </c>
      <c r="DA31" s="107">
        <f>DA27/DA$14</f>
        <v>0.15065417456263569</v>
      </c>
      <c r="DB31" s="107">
        <f>DB27/DB$14</f>
        <v>0.15503608565533139</v>
      </c>
      <c r="DC31" s="107">
        <f>DC27/DC$14</f>
        <v>0.15909325904128443</v>
      </c>
    </row>
    <row r="32" spans="1:108" x14ac:dyDescent="0.2">
      <c r="A32" s="12" t="s">
        <v>59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22">
        <f>AK27/AK$3</f>
        <v>9.2440637981434939E-2</v>
      </c>
      <c r="AL32" s="22">
        <f t="shared" ref="AL32:BQ32" si="626">AL27/AL$3</f>
        <v>8.3953152753108343E-2</v>
      </c>
      <c r="AM32" s="22">
        <f t="shared" si="626"/>
        <v>9.3163365568599055E-2</v>
      </c>
      <c r="AN32" s="22">
        <f t="shared" si="626"/>
        <v>9.4568054692355505E-2</v>
      </c>
      <c r="AO32" s="22">
        <f t="shared" si="626"/>
        <v>0.10296428883262028</v>
      </c>
      <c r="AP32" s="22">
        <f t="shared" si="626"/>
        <v>9.8547895057962173E-2</v>
      </c>
      <c r="AQ32" s="22">
        <f t="shared" si="626"/>
        <v>0.10032106952997526</v>
      </c>
      <c r="AR32" s="22">
        <f t="shared" si="626"/>
        <v>0.10945954755851099</v>
      </c>
      <c r="AS32" s="22">
        <f t="shared" si="626"/>
        <v>0.12142000564334086</v>
      </c>
      <c r="AT32" s="22">
        <f t="shared" si="626"/>
        <v>0.10873698506111362</v>
      </c>
      <c r="AU32" s="22">
        <f t="shared" si="626"/>
        <v>0.11349380014587893</v>
      </c>
      <c r="AV32" s="22">
        <f t="shared" si="626"/>
        <v>0.11106144218022629</v>
      </c>
      <c r="AW32" s="22">
        <f t="shared" si="626"/>
        <v>0.11519728853364647</v>
      </c>
      <c r="AX32" s="22">
        <f t="shared" si="626"/>
        <v>0.10207599601741638</v>
      </c>
      <c r="AY32" s="28">
        <f t="shared" si="626"/>
        <v>0.10619673886308723</v>
      </c>
      <c r="AZ32" s="28">
        <f t="shared" si="626"/>
        <v>0.10361198622609714</v>
      </c>
      <c r="BA32" s="28">
        <f t="shared" si="626"/>
        <v>0.10595718068473647</v>
      </c>
      <c r="BB32" s="28">
        <f t="shared" si="626"/>
        <v>9.6420082114816688E-2</v>
      </c>
      <c r="BC32" s="28">
        <f t="shared" ref="BC32:BD32" si="627">BC27/BC$3</f>
        <v>0.10314064266106895</v>
      </c>
      <c r="BD32" s="28">
        <f t="shared" si="627"/>
        <v>0.10408785685301779</v>
      </c>
      <c r="BE32" s="28">
        <f t="shared" ref="BE32:BF32" si="628">BE27/BE$3</f>
        <v>0.10759856379308329</v>
      </c>
      <c r="BF32" s="28">
        <f t="shared" si="628"/>
        <v>0.10116040614214976</v>
      </c>
      <c r="BG32" s="28">
        <f t="shared" ref="BG32:BH32" si="629">BG27/BG$3</f>
        <v>0.1027944230198754</v>
      </c>
      <c r="BH32" s="28">
        <f t="shared" si="629"/>
        <v>0.10153306852713884</v>
      </c>
      <c r="BI32" s="28">
        <f t="shared" ref="BI32" si="630">BI27/BI$3</f>
        <v>0.1090380951389395</v>
      </c>
      <c r="BJ32" s="28">
        <f t="shared" ref="BJ32:BK32" si="631">BJ27/BJ$3</f>
        <v>9.9716277199410217E-2</v>
      </c>
      <c r="BK32" s="28">
        <f t="shared" si="631"/>
        <v>0.10186446494119604</v>
      </c>
      <c r="BL32" s="28">
        <f t="shared" ref="BL32" si="632">BL27/BL$3</f>
        <v>0.10039233335616238</v>
      </c>
      <c r="BM32" s="28">
        <f t="shared" si="626"/>
        <v>0.10591197977714438</v>
      </c>
      <c r="BN32" s="28">
        <f t="shared" si="626"/>
        <v>9.8105219155646406E-2</v>
      </c>
      <c r="BO32" s="28">
        <f t="shared" si="626"/>
        <v>9.9307849298277392E-2</v>
      </c>
      <c r="BP32" s="28">
        <f t="shared" si="626"/>
        <v>9.897369121819255E-2</v>
      </c>
      <c r="BQ32" s="28">
        <f t="shared" si="626"/>
        <v>0.1074775728850695</v>
      </c>
      <c r="BR32" s="28">
        <f>BR27/BR$3</f>
        <v>9.7127887886537354E-2</v>
      </c>
      <c r="BS32" s="28">
        <f t="shared" ref="BS32:BU32" si="633">BS27/BS$3</f>
        <v>9.8749118328386398E-2</v>
      </c>
      <c r="BT32" s="28">
        <f t="shared" si="633"/>
        <v>9.8291327066281783E-2</v>
      </c>
      <c r="BU32" s="28">
        <f t="shared" si="633"/>
        <v>0.10708423342088455</v>
      </c>
      <c r="BV32" s="28">
        <f t="shared" ref="BV32:CC32" si="634">BV27/BV$3</f>
        <v>9.6262877903926639E-2</v>
      </c>
      <c r="BW32" s="28">
        <f t="shared" si="634"/>
        <v>9.8280946895976301E-2</v>
      </c>
      <c r="BX32" s="28">
        <f t="shared" si="634"/>
        <v>9.7695180935269882E-2</v>
      </c>
      <c r="BY32" s="28">
        <f t="shared" si="634"/>
        <v>0.10677084399009841</v>
      </c>
      <c r="BZ32" s="28">
        <f t="shared" si="634"/>
        <v>9.5335126129565712E-2</v>
      </c>
      <c r="CA32" s="28">
        <f t="shared" si="634"/>
        <v>9.7724859758292162E-2</v>
      </c>
      <c r="CB32" s="28">
        <f t="shared" si="634"/>
        <v>9.7022159451825171E-2</v>
      </c>
      <c r="CC32" s="28">
        <f t="shared" si="634"/>
        <v>0.10635425945202467</v>
      </c>
      <c r="CD32" s="28">
        <f t="shared" ref="CD32:CG32" si="635">CD27/CD$3</f>
        <v>9.432787573966793E-2</v>
      </c>
      <c r="CE32" s="28">
        <f t="shared" si="635"/>
        <v>9.706461798862652E-2</v>
      </c>
      <c r="CF32" s="28">
        <f t="shared" si="635"/>
        <v>9.6257926037073713E-2</v>
      </c>
      <c r="CG32" s="28">
        <f t="shared" si="635"/>
        <v>0.1058145573222182</v>
      </c>
      <c r="CH32" s="28"/>
      <c r="CI32" s="110"/>
      <c r="CJ32" s="30"/>
      <c r="CK32" s="110"/>
      <c r="CL32" s="110"/>
      <c r="CM32" s="30"/>
      <c r="CN32" s="110"/>
      <c r="CO32" s="30"/>
      <c r="CP32" s="107">
        <f t="shared" ref="CP32:CY32" si="636">CP27/CP$3</f>
        <v>7.3837177698454395E-2</v>
      </c>
      <c r="CQ32" s="22">
        <f t="shared" si="636"/>
        <v>8.1667891256429093E-2</v>
      </c>
      <c r="CR32" s="107">
        <f t="shared" si="636"/>
        <v>9.4243606253460496E-2</v>
      </c>
      <c r="CS32" s="22">
        <f t="shared" si="636"/>
        <v>0.10882032428148425</v>
      </c>
      <c r="CT32" s="107">
        <f t="shared" si="636"/>
        <v>0.11235320466629015</v>
      </c>
      <c r="CU32" s="22">
        <f t="shared" si="636"/>
        <v>0.10451095036596524</v>
      </c>
      <c r="CV32" s="107">
        <f t="shared" si="636"/>
        <v>0.10309818048561828</v>
      </c>
      <c r="CW32" s="22">
        <f t="shared" si="636"/>
        <v>0.1038232531688108</v>
      </c>
      <c r="CX32" s="107">
        <f t="shared" si="636"/>
        <v>0.10213842592451776</v>
      </c>
      <c r="CY32" s="107">
        <f t="shared" si="636"/>
        <v>0.10120592896781709</v>
      </c>
      <c r="CZ32" s="107">
        <f>CZ27/CZ$3</f>
        <v>0.10055844284348887</v>
      </c>
      <c r="DA32" s="107">
        <f>DA27/DA$3</f>
        <v>0.10000191298842979</v>
      </c>
      <c r="DB32" s="107">
        <f>DB27/DB$3</f>
        <v>9.9361348483069559E-2</v>
      </c>
      <c r="DC32" s="107">
        <f>DC27/DC$3</f>
        <v>9.8620040023546365E-2</v>
      </c>
    </row>
    <row r="33" spans="1:110" hidden="1" outlineLevel="2" x14ac:dyDescent="0.2">
      <c r="A33" s="257"/>
      <c r="AL33" s="77"/>
      <c r="AM33" s="77"/>
      <c r="AN33" s="77"/>
      <c r="AO33" s="77"/>
      <c r="AP33" s="77"/>
      <c r="AQ33" s="77"/>
      <c r="AR33" s="151"/>
      <c r="AS33" s="258"/>
      <c r="AT33" s="258"/>
      <c r="AU33" s="258"/>
      <c r="AV33" s="258"/>
      <c r="AW33" s="258"/>
      <c r="AX33" s="258"/>
      <c r="AY33" s="258"/>
      <c r="AZ33" s="260">
        <f>AZ29-AY29</f>
        <v>-6.687011800534437E-2</v>
      </c>
      <c r="BA33" s="260">
        <f t="shared" ref="BA33:BF33" si="637">BA29-AZ29</f>
        <v>-5.9010978401953684E-2</v>
      </c>
      <c r="BB33" s="260">
        <f t="shared" si="637"/>
        <v>5.1986812765858592E-2</v>
      </c>
      <c r="BC33" s="260">
        <f t="shared" si="637"/>
        <v>6.9900290488840722E-2</v>
      </c>
      <c r="BD33" s="260">
        <f>BD29-BC29</f>
        <v>8.0315480546284901E-2</v>
      </c>
      <c r="BE33" s="260">
        <f t="shared" si="637"/>
        <v>3.0750053817176104E-2</v>
      </c>
      <c r="BF33" s="260">
        <f t="shared" si="637"/>
        <v>5.3382070621372124E-2</v>
      </c>
      <c r="BG33" s="260">
        <f t="shared" ref="BG33" si="638">BG29-BF29</f>
        <v>-7.852331626669562E-2</v>
      </c>
      <c r="BH33" s="260">
        <f t="shared" ref="BH33:BK33" si="639">BH29-BG29</f>
        <v>-8.3460810525253226E-3</v>
      </c>
      <c r="BI33" s="260">
        <f t="shared" si="639"/>
        <v>1.6513428396465857E-2</v>
      </c>
      <c r="BJ33" s="260">
        <f t="shared" si="639"/>
        <v>-3.4908502176600242E-2</v>
      </c>
      <c r="BK33" s="260">
        <f t="shared" si="639"/>
        <v>2.7325038771514043E-2</v>
      </c>
      <c r="BL33" s="260">
        <f t="shared" ref="BL33" si="640">BL29-BK29</f>
        <v>1.9421274042419778E-2</v>
      </c>
      <c r="BM33" s="260">
        <f t="shared" ref="BM33" si="641">BM29-BL29</f>
        <v>-2.0207375854724874E-2</v>
      </c>
      <c r="BN33" s="260">
        <f t="shared" ref="BN33" si="642">BN29-BM29</f>
        <v>5.0000000000000044E-3</v>
      </c>
      <c r="BO33" s="260">
        <f t="shared" ref="BO33" si="643">BO29-BN29</f>
        <v>-2.5000000000000008E-2</v>
      </c>
      <c r="BP33" s="260">
        <f t="shared" ref="BP33" si="644">BP29-BO29</f>
        <v>9.999999999999995E-3</v>
      </c>
      <c r="BQ33" s="260">
        <f t="shared" ref="BQ33" si="645">BQ29-BP29</f>
        <v>2.0000000000000018E-2</v>
      </c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260"/>
      <c r="CI33" s="92"/>
      <c r="CK33" s="92"/>
      <c r="CL33" s="92"/>
      <c r="CN33" s="92"/>
      <c r="CP33" s="92"/>
      <c r="CR33" s="118"/>
      <c r="CS33" s="77"/>
      <c r="CT33" s="118"/>
      <c r="CU33" s="77"/>
      <c r="CV33" s="118"/>
      <c r="CW33" s="77"/>
      <c r="CX33" s="118"/>
      <c r="CY33" s="118"/>
      <c r="CZ33" s="118"/>
      <c r="DA33" s="118"/>
      <c r="DB33" s="118"/>
      <c r="DC33" s="118"/>
    </row>
    <row r="34" spans="1:110" hidden="1" outlineLevel="2" x14ac:dyDescent="0.2">
      <c r="A34" s="13" t="s">
        <v>69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7">
        <v>5593</v>
      </c>
      <c r="AL34" s="17">
        <v>5015</v>
      </c>
      <c r="AM34" s="17">
        <v>5249</v>
      </c>
      <c r="AN34" s="17">
        <v>5251</v>
      </c>
      <c r="AO34" s="17">
        <v>6032</v>
      </c>
      <c r="AP34" s="17">
        <v>5223</v>
      </c>
      <c r="AQ34" s="17">
        <v>4736</v>
      </c>
      <c r="AR34" s="17">
        <v>5720</v>
      </c>
      <c r="AS34" s="17">
        <v>7411</v>
      </c>
      <c r="AT34" s="17">
        <v>6800</v>
      </c>
      <c r="AU34" s="18">
        <v>7597</v>
      </c>
      <c r="AV34" s="18">
        <v>7999</v>
      </c>
      <c r="AW34" s="18">
        <v>9305</v>
      </c>
      <c r="AX34" s="18">
        <v>8174</v>
      </c>
      <c r="AY34" s="18">
        <v>8259</v>
      </c>
      <c r="AZ34" s="18">
        <v>7872</v>
      </c>
      <c r="BA34" s="18">
        <v>8475</v>
      </c>
      <c r="BB34" s="18">
        <v>7496</v>
      </c>
      <c r="BC34" s="18">
        <v>7850</v>
      </c>
      <c r="BD34" s="18">
        <v>7669</v>
      </c>
      <c r="BE34" s="18">
        <v>8297</v>
      </c>
      <c r="BF34" s="18">
        <v>7413</v>
      </c>
      <c r="BG34" s="18">
        <v>7444</v>
      </c>
      <c r="BH34" s="18">
        <v>7548</v>
      </c>
      <c r="BI34" s="18">
        <v>7954</v>
      </c>
      <c r="BJ34" s="18">
        <v>7256</v>
      </c>
      <c r="BK34" s="18">
        <v>7354</v>
      </c>
      <c r="BL34" s="18">
        <v>7354</v>
      </c>
      <c r="BM34" s="72">
        <f t="shared" ref="BM34" si="646">BI34*(1+BM36)</f>
        <v>7755.15</v>
      </c>
      <c r="BN34" s="72">
        <f t="shared" ref="BN34" si="647">BJ34*(1+BN36)</f>
        <v>7110.88</v>
      </c>
      <c r="BO34" s="72">
        <f t="shared" ref="BO34" si="648">BK34*(1+BO36)</f>
        <v>7206.92</v>
      </c>
      <c r="BP34" s="72">
        <f t="shared" ref="BP34" si="649">BL34*(1+BP36)</f>
        <v>7206.92</v>
      </c>
      <c r="BQ34" s="72">
        <f t="shared" ref="BQ34" si="650">BM34*(1+BQ36)</f>
        <v>7600.0469999999996</v>
      </c>
      <c r="BR34" s="72">
        <f>BN34*(1+BR36)</f>
        <v>7004.2168000000001</v>
      </c>
      <c r="BS34" s="72">
        <f t="shared" ref="BS34" si="651">BO34*(1+BS36)</f>
        <v>7098.8162000000002</v>
      </c>
      <c r="BT34" s="72">
        <f t="shared" ref="BT34" si="652">BP34*(1+BT36)</f>
        <v>7098.8162000000002</v>
      </c>
      <c r="BU34" s="72">
        <f t="shared" ref="BU34" si="653">BQ34*(1+BU36)</f>
        <v>7486.0462949999992</v>
      </c>
      <c r="BV34" s="72">
        <f t="shared" ref="BV34" si="654">BR34*(1+BV36)</f>
        <v>6934.1746320000002</v>
      </c>
      <c r="BW34" s="72">
        <f t="shared" ref="BW34" si="655">BS34*(1+BW36)</f>
        <v>7027.8280380000006</v>
      </c>
      <c r="BX34" s="72">
        <f t="shared" ref="BX34" si="656">BT34*(1+BX36)</f>
        <v>7027.8280380000006</v>
      </c>
      <c r="BY34" s="72">
        <f t="shared" ref="BY34" si="657">BU34*(1+BY36)</f>
        <v>7411.1858320499987</v>
      </c>
      <c r="BZ34" s="72">
        <f t="shared" ref="BZ34" si="658">BV34*(1+BZ36)</f>
        <v>6864.8328856799999</v>
      </c>
      <c r="CA34" s="72">
        <f t="shared" ref="CA34" si="659">BW34*(1+CA36)</f>
        <v>6957.5497576200005</v>
      </c>
      <c r="CB34" s="72">
        <f t="shared" ref="CB34" si="660">BX34*(1+CB36)</f>
        <v>6957.5497576200005</v>
      </c>
      <c r="CC34" s="72">
        <f t="shared" ref="CC34" si="661">BY34*(1+CC36)</f>
        <v>7337.0739737294989</v>
      </c>
      <c r="CD34" s="72">
        <f t="shared" ref="CD34" si="662">BZ34*(1+CD36)</f>
        <v>6796.1845568232002</v>
      </c>
      <c r="CE34" s="72">
        <f t="shared" ref="CE34" si="663">CA34*(1+CE36)</f>
        <v>6887.9742600438003</v>
      </c>
      <c r="CF34" s="72">
        <f t="shared" ref="CF34" si="664">CB34*(1+CF36)</f>
        <v>6887.9742600438003</v>
      </c>
      <c r="CG34" s="72">
        <f t="shared" ref="CG34" si="665">CC34*(1+CG36)</f>
        <v>7263.7032339922034</v>
      </c>
      <c r="CH34" s="72"/>
      <c r="CI34" s="108"/>
      <c r="CJ34" s="45"/>
      <c r="CK34" s="108"/>
      <c r="CL34" s="108"/>
      <c r="CM34" s="45"/>
      <c r="CN34" s="108"/>
      <c r="CO34" s="45"/>
      <c r="CP34" s="117">
        <v>17616</v>
      </c>
      <c r="CQ34" s="78">
        <v>20010</v>
      </c>
      <c r="CR34" s="90">
        <f>SUM(AL34:AO34)</f>
        <v>21547</v>
      </c>
      <c r="CS34" s="21">
        <f>SUM(AP34:AS34)</f>
        <v>23090</v>
      </c>
      <c r="CT34" s="90">
        <f>SUM(AT34:AW34)</f>
        <v>31701</v>
      </c>
      <c r="CU34" s="21">
        <f>SUM(AX34:BA34)</f>
        <v>32780</v>
      </c>
      <c r="CV34" s="90">
        <f>SUM(BB34:BE34)</f>
        <v>31312</v>
      </c>
      <c r="CW34" s="21">
        <f>SUM(BF34:BI34)</f>
        <v>30359</v>
      </c>
      <c r="CX34" s="90">
        <f>SUM(BJ34:BM34)</f>
        <v>29719.15</v>
      </c>
      <c r="CY34" s="90">
        <f>SUM(BN34:BQ34)</f>
        <v>29124.767</v>
      </c>
      <c r="CZ34" s="90">
        <f>SUM(BR34:BU34)</f>
        <v>28687.895495000001</v>
      </c>
      <c r="DA34" s="90">
        <f>SUM(BV34:BY34)</f>
        <v>28401.016540050001</v>
      </c>
      <c r="DB34" s="90">
        <f>SUM(BZ34:CC34)</f>
        <v>28117.0063746495</v>
      </c>
      <c r="DC34" s="90">
        <f>SUM(CD34:CG34)</f>
        <v>27835.836310903007</v>
      </c>
      <c r="DD34" s="86"/>
    </row>
    <row r="35" spans="1:110" hidden="1" outlineLevel="2" x14ac:dyDescent="0.2">
      <c r="A35" s="12" t="s">
        <v>62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25" t="s">
        <v>82</v>
      </c>
      <c r="AL35" s="22">
        <f>IF(AND(AK34&lt;0,AL34&gt;0),"n/a",AL34/AK34-1)</f>
        <v>-0.10334346504559266</v>
      </c>
      <c r="AM35" s="22">
        <f t="shared" ref="AM35" si="666">IF(AND(AL34&lt;0,AM34&gt;0),"n/a",AM34/AL34-1)</f>
        <v>4.6660019940179431E-2</v>
      </c>
      <c r="AN35" s="22">
        <f t="shared" ref="AN35" si="667">IF(AND(AM34&lt;0,AN34&gt;0),"n/a",AN34/AM34-1)</f>
        <v>3.8102495713476792E-4</v>
      </c>
      <c r="AO35" s="22">
        <f t="shared" ref="AO35" si="668">IF(AND(AN34&lt;0,AO34&gt;0),"n/a",AO34/AN34-1)</f>
        <v>0.14873357455722713</v>
      </c>
      <c r="AP35" s="22">
        <f t="shared" ref="AP35" si="669">IF(AND(AO34&lt;0,AP34&gt;0),"n/a",AP34/AO34-1)</f>
        <v>-0.13411803713527848</v>
      </c>
      <c r="AQ35" s="22">
        <f t="shared" ref="AQ35" si="670">IF(AND(AP34&lt;0,AQ34&gt;0),"n/a",AQ34/AP34-1)</f>
        <v>-9.3241432127129986E-2</v>
      </c>
      <c r="AR35" s="22">
        <f t="shared" ref="AR35" si="671">IF(AND(AQ34&lt;0,AR34&gt;0),"n/a",AR34/AQ34-1)</f>
        <v>0.20777027027027017</v>
      </c>
      <c r="AS35" s="22">
        <f t="shared" ref="AS35" si="672">IF(AND(AR34&lt;0,AS34&gt;0),"n/a",AS34/AR34-1)</f>
        <v>0.29562937062937067</v>
      </c>
      <c r="AT35" s="22">
        <f t="shared" ref="AT35" si="673">IF(AND(AS34&lt;0,AT34&gt;0),"n/a",AT34/AS34-1)</f>
        <v>-8.2445014168128439E-2</v>
      </c>
      <c r="AU35" s="22">
        <f t="shared" ref="AU35" si="674">IF(AND(AT34&lt;0,AU34&gt;0),"n/a",AU34/AT34-1)</f>
        <v>0.11720588235294116</v>
      </c>
      <c r="AV35" s="22">
        <f t="shared" ref="AV35" si="675">IF(AND(AU34&lt;0,AV34&gt;0),"n/a",AV34/AU34-1)</f>
        <v>5.2915624588653509E-2</v>
      </c>
      <c r="AW35" s="22">
        <f t="shared" ref="AW35" si="676">IF(AND(AV34&lt;0,AW34&gt;0),"n/a",AW34/AV34-1)</f>
        <v>0.16327040880110011</v>
      </c>
      <c r="AX35" s="22">
        <f t="shared" ref="AX35" si="677">IF(AND(AW34&lt;0,AX34&gt;0),"n/a",AX34/AW34-1)</f>
        <v>-0.12154755507791515</v>
      </c>
      <c r="AY35" s="28">
        <f t="shared" ref="AY35" si="678">IF(AND(AX34&lt;0,AY34&gt;0),"n/a",AY34/AX34-1)</f>
        <v>1.0398825544409185E-2</v>
      </c>
      <c r="AZ35" s="28">
        <f t="shared" ref="AZ35" si="679">IF(AND(AY34&lt;0,AZ34&gt;0),"n/a",AZ34/AY34-1)</f>
        <v>-4.6857973120232432E-2</v>
      </c>
      <c r="BA35" s="28">
        <f t="shared" ref="BA35" si="680">IF(AND(AZ34&lt;0,BA34&gt;0),"n/a",BA34/AZ34-1)</f>
        <v>7.6600609756097615E-2</v>
      </c>
      <c r="BB35" s="28">
        <f t="shared" ref="BB35:BL35" si="681">IF(AND(BA34&lt;0,BB34&gt;0),"n/a",BB34/BA34-1)</f>
        <v>-0.11551622418879059</v>
      </c>
      <c r="BC35" s="28">
        <f t="shared" si="681"/>
        <v>4.7225186766275407E-2</v>
      </c>
      <c r="BD35" s="28">
        <f t="shared" si="681"/>
        <v>-2.3057324840764282E-2</v>
      </c>
      <c r="BE35" s="28">
        <f t="shared" si="681"/>
        <v>8.1888121006650216E-2</v>
      </c>
      <c r="BF35" s="28">
        <f t="shared" si="681"/>
        <v>-0.10654453416897669</v>
      </c>
      <c r="BG35" s="28">
        <f t="shared" si="681"/>
        <v>4.1818427087549903E-3</v>
      </c>
      <c r="BH35" s="28">
        <f t="shared" si="681"/>
        <v>1.3970983342289189E-2</v>
      </c>
      <c r="BI35" s="28">
        <f t="shared" si="681"/>
        <v>5.3789083200847854E-2</v>
      </c>
      <c r="BJ35" s="28">
        <f t="shared" si="681"/>
        <v>-8.7754588886094997E-2</v>
      </c>
      <c r="BK35" s="28">
        <f t="shared" si="681"/>
        <v>1.3506063947078317E-2</v>
      </c>
      <c r="BL35" s="28">
        <f t="shared" si="681"/>
        <v>0</v>
      </c>
      <c r="BM35" s="28">
        <f t="shared" ref="BM35" si="682">IF(AND(BL34&lt;0,BM34&gt;0),"n/a",BM34/BL34-1)</f>
        <v>5.4548545009518667E-2</v>
      </c>
      <c r="BN35" s="28">
        <f t="shared" ref="BN35" si="683">IF(AND(BM34&lt;0,BN34&gt;0),"n/a",BN34/BM34-1)</f>
        <v>-8.3076407290639032E-2</v>
      </c>
      <c r="BO35" s="28">
        <f t="shared" ref="BO35" si="684">IF(AND(BN34&lt;0,BO34&gt;0),"n/a",BO34/BN34-1)</f>
        <v>1.3506063947078317E-2</v>
      </c>
      <c r="BP35" s="28">
        <f t="shared" ref="BP35" si="685">IF(AND(BO34&lt;0,BP34&gt;0),"n/a",BP34/BO34-1)</f>
        <v>0</v>
      </c>
      <c r="BQ35" s="28">
        <f t="shared" ref="BQ35" si="686">IF(AND(BP34&lt;0,BQ34&gt;0),"n/a",BQ34/BP34-1)</f>
        <v>5.4548545009518667E-2</v>
      </c>
      <c r="BR35" s="28">
        <f>IF(AND(BQ34&lt;0,BR34&gt;0),"n/a",BR34/BQ34-1)</f>
        <v>-7.8398225695183177E-2</v>
      </c>
      <c r="BS35" s="28">
        <f t="shared" ref="BS35" si="687">IF(AND(BR34&lt;0,BS34&gt;0),"n/a",BS34/BR34-1)</f>
        <v>1.3506063947078317E-2</v>
      </c>
      <c r="BT35" s="28">
        <f t="shared" ref="BT35" si="688">IF(AND(BS34&lt;0,BT34&gt;0),"n/a",BT34/BS34-1)</f>
        <v>0</v>
      </c>
      <c r="BU35" s="28">
        <f t="shared" ref="BU35" si="689">IF(AND(BT34&lt;0,BU34&gt;0),"n/a",BU34/BT34-1)</f>
        <v>5.4548545009518445E-2</v>
      </c>
      <c r="BV35" s="28">
        <f t="shared" ref="BV35" si="690">IF(AND(BU34&lt;0,BV34&gt;0),"n/a",BV34/BU34-1)</f>
        <v>-7.37200440997271E-2</v>
      </c>
      <c r="BW35" s="28">
        <f t="shared" ref="BW35" si="691">IF(AND(BV34&lt;0,BW34&gt;0),"n/a",BW34/BV34-1)</f>
        <v>1.3506063947078317E-2</v>
      </c>
      <c r="BX35" s="28">
        <f t="shared" ref="BX35" si="692">IF(AND(BW34&lt;0,BX34&gt;0),"n/a",BX34/BW34-1)</f>
        <v>0</v>
      </c>
      <c r="BY35" s="28">
        <f t="shared" ref="BY35" si="693">IF(AND(BX34&lt;0,BY34&gt;0),"n/a",BY34/BX34-1)</f>
        <v>5.4548545009518445E-2</v>
      </c>
      <c r="BZ35" s="28">
        <f t="shared" ref="BZ35" si="694">IF(AND(BY34&lt;0,BZ34&gt;0),"n/a",BZ34/BY34-1)</f>
        <v>-7.37200440997271E-2</v>
      </c>
      <c r="CA35" s="28">
        <f t="shared" ref="CA35" si="695">IF(AND(BZ34&lt;0,CA34&gt;0),"n/a",CA34/BZ34-1)</f>
        <v>1.3506063947078317E-2</v>
      </c>
      <c r="CB35" s="28">
        <f t="shared" ref="CB35" si="696">IF(AND(CA34&lt;0,CB34&gt;0),"n/a",CB34/CA34-1)</f>
        <v>0</v>
      </c>
      <c r="CC35" s="28">
        <f t="shared" ref="CC35" si="697">IF(AND(CB34&lt;0,CC34&gt;0),"n/a",CC34/CB34-1)</f>
        <v>5.4548545009518445E-2</v>
      </c>
      <c r="CD35" s="28">
        <f t="shared" ref="CD35" si="698">IF(AND(CC34&lt;0,CD34&gt;0),"n/a",CD34/CC34-1)</f>
        <v>-7.37200440997271E-2</v>
      </c>
      <c r="CE35" s="28">
        <f t="shared" ref="CE35" si="699">IF(AND(CD34&lt;0,CE34&gt;0),"n/a",CE34/CD34-1)</f>
        <v>1.3506063947078317E-2</v>
      </c>
      <c r="CF35" s="28">
        <f t="shared" ref="CF35" si="700">IF(AND(CE34&lt;0,CF34&gt;0),"n/a",CF34/CE34-1)</f>
        <v>0</v>
      </c>
      <c r="CG35" s="28">
        <f t="shared" ref="CG35" si="701">IF(AND(CF34&lt;0,CG34&gt;0),"n/a",CG34/CF34-1)</f>
        <v>5.4548545009518445E-2</v>
      </c>
      <c r="CH35" s="28"/>
      <c r="CI35" s="109"/>
      <c r="CJ35" s="59"/>
      <c r="CK35" s="109"/>
      <c r="CL35" s="109"/>
      <c r="CM35" s="59"/>
      <c r="CN35" s="109"/>
      <c r="CO35" s="59"/>
      <c r="CP35" s="106" t="s">
        <v>82</v>
      </c>
      <c r="CQ35" s="48" t="s">
        <v>82</v>
      </c>
      <c r="CR35" s="106" t="s">
        <v>82</v>
      </c>
      <c r="CS35" s="48" t="s">
        <v>82</v>
      </c>
      <c r="CT35" s="106" t="s">
        <v>82</v>
      </c>
      <c r="CU35" s="48" t="s">
        <v>82</v>
      </c>
      <c r="CV35" s="106" t="s">
        <v>82</v>
      </c>
      <c r="CW35" s="48" t="s">
        <v>82</v>
      </c>
      <c r="CX35" s="106" t="s">
        <v>82</v>
      </c>
      <c r="CY35" s="106" t="s">
        <v>82</v>
      </c>
      <c r="CZ35" s="106" t="s">
        <v>82</v>
      </c>
      <c r="DA35" s="106" t="s">
        <v>82</v>
      </c>
      <c r="DB35" s="106" t="s">
        <v>82</v>
      </c>
      <c r="DC35" s="106" t="s">
        <v>82</v>
      </c>
    </row>
    <row r="36" spans="1:110" hidden="1" outlineLevel="2" x14ac:dyDescent="0.2">
      <c r="A36" s="12" t="s">
        <v>63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25" t="s">
        <v>82</v>
      </c>
      <c r="AL36" s="25" t="s">
        <v>82</v>
      </c>
      <c r="AM36" s="25" t="s">
        <v>82</v>
      </c>
      <c r="AN36" s="25" t="s">
        <v>82</v>
      </c>
      <c r="AO36" s="22">
        <f t="shared" ref="AO36" si="702">IF(AND(AK34&lt;0,AO34&gt;0),"n/a",AO34/AK34-1)</f>
        <v>7.8490970856427644E-2</v>
      </c>
      <c r="AP36" s="22">
        <f t="shared" ref="AP36" si="703">IF(AND(AL34&lt;0,AP34&gt;0),"n/a",AP34/AL34-1)</f>
        <v>4.1475573280159495E-2</v>
      </c>
      <c r="AQ36" s="22">
        <f t="shared" ref="AQ36" si="704">IF(AND(AM34&lt;0,AQ34&gt;0),"n/a",AQ34/AM34-1)</f>
        <v>-9.7732901505048542E-2</v>
      </c>
      <c r="AR36" s="22">
        <f t="shared" ref="AR36" si="705">IF(AND(AN34&lt;0,AR34&gt;0),"n/a",AR34/AN34-1)</f>
        <v>8.9316320700818963E-2</v>
      </c>
      <c r="AS36" s="22">
        <f t="shared" ref="AS36" si="706">IF(AND(AO34&lt;0,AS34&gt;0),"n/a",AS34/AO34-1)</f>
        <v>0.22861405835543769</v>
      </c>
      <c r="AT36" s="22">
        <f t="shared" ref="AT36:BL36" si="707">IF(AND(AP34&lt;0,AT34&gt;0),"n/a",AT34/AP34-1)</f>
        <v>0.30193375454719518</v>
      </c>
      <c r="AU36" s="22">
        <f t="shared" si="707"/>
        <v>0.60409628378378377</v>
      </c>
      <c r="AV36" s="22">
        <f t="shared" si="707"/>
        <v>0.3984265734265735</v>
      </c>
      <c r="AW36" s="22">
        <f t="shared" si="707"/>
        <v>0.25556605046552416</v>
      </c>
      <c r="AX36" s="22">
        <f t="shared" si="707"/>
        <v>0.20205882352941185</v>
      </c>
      <c r="AY36" s="28">
        <f t="shared" si="707"/>
        <v>8.7139660392260065E-2</v>
      </c>
      <c r="AZ36" s="28">
        <f t="shared" si="707"/>
        <v>-1.587698462307785E-2</v>
      </c>
      <c r="BA36" s="28">
        <f t="shared" si="707"/>
        <v>-8.9199355185384244E-2</v>
      </c>
      <c r="BB36" s="28">
        <f t="shared" si="707"/>
        <v>-8.294592610716911E-2</v>
      </c>
      <c r="BC36" s="28">
        <f t="shared" si="707"/>
        <v>-4.9521733866085493E-2</v>
      </c>
      <c r="BD36" s="28">
        <f t="shared" si="707"/>
        <v>-2.5787601626016232E-2</v>
      </c>
      <c r="BE36" s="28">
        <f t="shared" si="707"/>
        <v>-2.1002949852507391E-2</v>
      </c>
      <c r="BF36" s="28">
        <f t="shared" si="707"/>
        <v>-1.1072572038420492E-2</v>
      </c>
      <c r="BG36" s="28">
        <f t="shared" si="707"/>
        <v>-5.1719745222929991E-2</v>
      </c>
      <c r="BH36" s="28">
        <f t="shared" si="707"/>
        <v>-1.5777806754466051E-2</v>
      </c>
      <c r="BI36" s="28">
        <f t="shared" si="707"/>
        <v>-4.1340243461492121E-2</v>
      </c>
      <c r="BJ36" s="28">
        <f t="shared" si="707"/>
        <v>-2.1179009847565045E-2</v>
      </c>
      <c r="BK36" s="28">
        <f t="shared" si="707"/>
        <v>-1.2090274046211769E-2</v>
      </c>
      <c r="BL36" s="28">
        <f t="shared" si="707"/>
        <v>-2.5702172760996289E-2</v>
      </c>
      <c r="BM36" s="26">
        <v>-2.5000000000000001E-2</v>
      </c>
      <c r="BN36" s="26">
        <v>-0.02</v>
      </c>
      <c r="BO36" s="26">
        <v>-0.02</v>
      </c>
      <c r="BP36" s="26">
        <v>-0.02</v>
      </c>
      <c r="BQ36" s="26">
        <v>-0.02</v>
      </c>
      <c r="BR36" s="26">
        <v>-1.4999999999999999E-2</v>
      </c>
      <c r="BS36" s="26">
        <v>-1.4999999999999999E-2</v>
      </c>
      <c r="BT36" s="26">
        <v>-1.4999999999999999E-2</v>
      </c>
      <c r="BU36" s="26">
        <v>-1.4999999999999999E-2</v>
      </c>
      <c r="BV36" s="26">
        <v>-0.01</v>
      </c>
      <c r="BW36" s="26">
        <v>-0.01</v>
      </c>
      <c r="BX36" s="26">
        <v>-0.01</v>
      </c>
      <c r="BY36" s="26">
        <v>-0.01</v>
      </c>
      <c r="BZ36" s="26">
        <v>-0.01</v>
      </c>
      <c r="CA36" s="26">
        <v>-0.01</v>
      </c>
      <c r="CB36" s="26">
        <v>-0.01</v>
      </c>
      <c r="CC36" s="26">
        <v>-0.01</v>
      </c>
      <c r="CD36" s="26">
        <v>-0.01</v>
      </c>
      <c r="CE36" s="26">
        <v>-0.01</v>
      </c>
      <c r="CF36" s="26">
        <v>-0.01</v>
      </c>
      <c r="CG36" s="26">
        <v>-0.01</v>
      </c>
      <c r="CH36" s="26"/>
      <c r="CI36" s="109"/>
      <c r="CJ36" s="30"/>
      <c r="CK36" s="110"/>
      <c r="CL36" s="110"/>
      <c r="CM36" s="30"/>
      <c r="CN36" s="110"/>
      <c r="CO36" s="30"/>
      <c r="CP36" s="106" t="s">
        <v>82</v>
      </c>
      <c r="CQ36" s="22">
        <f t="shared" ref="CQ36" si="708">IF(AND(CP34&lt;0,CQ34&gt;0),"n/a",CQ34/CP34-1)</f>
        <v>0.13589918256130784</v>
      </c>
      <c r="CR36" s="107">
        <f t="shared" ref="CR36" si="709">IF(AND(CQ34&lt;0,CR34&gt;0),"n/a",CR34/CQ34-1)</f>
        <v>7.6811594202898625E-2</v>
      </c>
      <c r="CS36" s="22">
        <f t="shared" ref="CS36" si="710">IF(AND(CR34&lt;0,CS34&gt;0),"n/a",CS34/CR34-1)</f>
        <v>7.161089710864621E-2</v>
      </c>
      <c r="CT36" s="107">
        <f t="shared" ref="CT36" si="711">IF(AND(CS34&lt;0,CT34&gt;0),"n/a",CT34/CS34-1)</f>
        <v>0.37293200519705505</v>
      </c>
      <c r="CU36" s="22">
        <f t="shared" ref="CU36" si="712">IF(AND(CT34&lt;0,CU34&gt;0),"n/a",CU34/CT34-1)</f>
        <v>3.4036781174095365E-2</v>
      </c>
      <c r="CV36" s="107">
        <f t="shared" ref="CV36" si="713">IF(AND(CU34&lt;0,CV34&gt;0),"n/a",CV34/CU34-1)</f>
        <v>-4.4783404514948111E-2</v>
      </c>
      <c r="CW36" s="22">
        <f t="shared" ref="CW36" si="714">IF(AND(CV34&lt;0,CW34&gt;0),"n/a",CW34/CV34-1)</f>
        <v>-3.0435615738375055E-2</v>
      </c>
      <c r="CX36" s="107">
        <f t="shared" ref="CX36" si="715">IF(AND(CW34&lt;0,CX34&gt;0),"n/a",CX34/CW34-1)</f>
        <v>-2.107612240192358E-2</v>
      </c>
      <c r="CY36" s="107">
        <f t="shared" ref="CY36" si="716">IF(AND(CX34&lt;0,CY34&gt;0),"n/a",CY34/CX34-1)</f>
        <v>-2.0000000000000018E-2</v>
      </c>
      <c r="CZ36" s="107">
        <f>IF(AND(CY34&lt;0,CZ34&gt;0),"n/a",CZ34/CY34-1)</f>
        <v>-1.5000000000000013E-2</v>
      </c>
      <c r="DA36" s="107">
        <f>IF(AND(CZ34&lt;0,DA34&gt;0),"n/a",DA34/CZ34-1)</f>
        <v>-1.0000000000000009E-2</v>
      </c>
      <c r="DB36" s="107">
        <f>IF(AND(DA34&lt;0,DB34&gt;0),"n/a",DB34/DA34-1)</f>
        <v>-1.0000000000000009E-2</v>
      </c>
      <c r="DC36" s="107">
        <f>IF(AND(DB34&lt;0,DC34&gt;0),"n/a",DC34/DB34-1)</f>
        <v>-9.9999999999998979E-3</v>
      </c>
    </row>
    <row r="37" spans="1:110" hidden="1" outlineLevel="3" x14ac:dyDescent="0.2">
      <c r="A37" s="12" t="s">
        <v>386</v>
      </c>
      <c r="AK37" s="233" t="s">
        <v>82</v>
      </c>
      <c r="AL37" s="233" t="s">
        <v>82</v>
      </c>
      <c r="AM37" s="233" t="s">
        <v>82</v>
      </c>
      <c r="AN37" s="233" t="s">
        <v>82</v>
      </c>
      <c r="AO37" s="233" t="s">
        <v>82</v>
      </c>
      <c r="AP37" s="233" t="s">
        <v>82</v>
      </c>
      <c r="AQ37" s="233" t="s">
        <v>82</v>
      </c>
      <c r="AR37" s="233" t="s">
        <v>82</v>
      </c>
      <c r="AS37" s="233" t="s">
        <v>82</v>
      </c>
      <c r="AT37" s="233" t="s">
        <v>82</v>
      </c>
      <c r="AU37" s="233" t="s">
        <v>82</v>
      </c>
      <c r="AV37" s="233" t="s">
        <v>82</v>
      </c>
      <c r="AW37" s="28">
        <f t="shared" ref="AW37" si="717">AW36+AS36+AO36</f>
        <v>0.5626710796773895</v>
      </c>
      <c r="AX37" s="28">
        <f t="shared" ref="AX37" si="718">AX36+AT36+AP36</f>
        <v>0.54546815135676652</v>
      </c>
      <c r="AY37" s="28">
        <f t="shared" ref="AY37" si="719">AY36+AU36+AQ36</f>
        <v>0.5935030426709953</v>
      </c>
      <c r="AZ37" s="28">
        <f t="shared" ref="AZ37" si="720">AZ36+AV36+AR36</f>
        <v>0.47186590950431462</v>
      </c>
      <c r="BA37" s="28">
        <f t="shared" ref="BA37" si="721">BA36+AW36+AS36</f>
        <v>0.39498075363557761</v>
      </c>
      <c r="BB37" s="28">
        <f t="shared" ref="BB37:BL37" si="722">BB36+AX36+AT36</f>
        <v>0.42104665196943791</v>
      </c>
      <c r="BC37" s="28">
        <f t="shared" si="722"/>
        <v>0.64171421030995834</v>
      </c>
      <c r="BD37" s="28">
        <f t="shared" si="722"/>
        <v>0.35676198717747942</v>
      </c>
      <c r="BE37" s="28">
        <f t="shared" si="722"/>
        <v>0.14536374542763253</v>
      </c>
      <c r="BF37" s="28">
        <f t="shared" si="722"/>
        <v>0.10804032538382224</v>
      </c>
      <c r="BG37" s="28">
        <f t="shared" si="722"/>
        <v>-1.4101818696755419E-2</v>
      </c>
      <c r="BH37" s="28">
        <f t="shared" si="722"/>
        <v>-5.7442393003560133E-2</v>
      </c>
      <c r="BI37" s="28">
        <f t="shared" si="722"/>
        <v>-0.15154254849938376</v>
      </c>
      <c r="BJ37" s="28">
        <f t="shared" si="722"/>
        <v>-0.11519750799315465</v>
      </c>
      <c r="BK37" s="28">
        <f t="shared" si="722"/>
        <v>-0.11333175313522725</v>
      </c>
      <c r="BL37" s="28">
        <f t="shared" si="722"/>
        <v>-6.7267581141478572E-2</v>
      </c>
      <c r="BM37" s="28">
        <f t="shared" ref="BM37" si="723">BM36+BI36+BE36</f>
        <v>-8.7343193313999506E-2</v>
      </c>
      <c r="BN37" s="28">
        <f t="shared" ref="BN37" si="724">BN36+BJ36+BF36</f>
        <v>-5.225158188598554E-2</v>
      </c>
      <c r="BO37" s="28">
        <f t="shared" ref="BO37" si="725">BO36+BK36+BG36</f>
        <v>-8.3810019269141764E-2</v>
      </c>
      <c r="BP37" s="28">
        <f t="shared" ref="BP37" si="726">BP36+BL36+BH36</f>
        <v>-6.1479979515462344E-2</v>
      </c>
      <c r="BQ37" s="28">
        <f t="shared" ref="BQ37" si="727">BQ36+BM36+BI36</f>
        <v>-8.6340243461492119E-2</v>
      </c>
      <c r="BR37" s="28">
        <f>BR36+BN36+BJ36</f>
        <v>-5.6179009847565048E-2</v>
      </c>
      <c r="BS37" s="28">
        <f t="shared" ref="BS37" si="728">BS36+BO36+BK36</f>
        <v>-4.7090274046211772E-2</v>
      </c>
      <c r="BT37" s="28">
        <f t="shared" ref="BT37" si="729">BT36+BP36+BL36</f>
        <v>-6.0702172760996292E-2</v>
      </c>
      <c r="BU37" s="28">
        <f t="shared" ref="BU37" si="730">BU36+BQ36+BM36</f>
        <v>-6.0000000000000005E-2</v>
      </c>
      <c r="BV37" s="28">
        <f t="shared" ref="BV37" si="731">BV36+BR36+BN36</f>
        <v>-4.4999999999999998E-2</v>
      </c>
      <c r="BW37" s="28">
        <f t="shared" ref="BW37" si="732">BW36+BS36+BO36</f>
        <v>-4.4999999999999998E-2</v>
      </c>
      <c r="BX37" s="28">
        <f t="shared" ref="BX37" si="733">BX36+BT36+BP36</f>
        <v>-4.4999999999999998E-2</v>
      </c>
      <c r="BY37" s="28">
        <f t="shared" ref="BY37" si="734">BY36+BU36+BQ36</f>
        <v>-4.4999999999999998E-2</v>
      </c>
      <c r="BZ37" s="28">
        <f t="shared" ref="BZ37" si="735">BZ36+BV36+BR36</f>
        <v>-3.5000000000000003E-2</v>
      </c>
      <c r="CA37" s="28">
        <f t="shared" ref="CA37" si="736">CA36+BW36+BS36</f>
        <v>-3.5000000000000003E-2</v>
      </c>
      <c r="CB37" s="28">
        <f t="shared" ref="CB37" si="737">CB36+BX36+BT36</f>
        <v>-3.5000000000000003E-2</v>
      </c>
      <c r="CC37" s="28">
        <f t="shared" ref="CC37" si="738">CC36+BY36+BU36</f>
        <v>-3.5000000000000003E-2</v>
      </c>
      <c r="CD37" s="28">
        <f t="shared" ref="CD37" si="739">CD36+BZ36+BV36</f>
        <v>-0.03</v>
      </c>
      <c r="CE37" s="28">
        <f t="shared" ref="CE37" si="740">CE36+CA36+BW36</f>
        <v>-0.03</v>
      </c>
      <c r="CF37" s="28">
        <f t="shared" ref="CF37" si="741">CF36+CB36+BX36</f>
        <v>-0.03</v>
      </c>
      <c r="CG37" s="28">
        <f t="shared" ref="CG37" si="742">CG36+CC36+BY36</f>
        <v>-0.03</v>
      </c>
      <c r="CH37" s="28"/>
      <c r="CI37" s="109"/>
      <c r="CJ37" s="30"/>
      <c r="CK37" s="110"/>
      <c r="CL37" s="110"/>
      <c r="CM37" s="30"/>
      <c r="CN37" s="110"/>
      <c r="CO37" s="30"/>
      <c r="CP37" s="106" t="s">
        <v>82</v>
      </c>
      <c r="CQ37" s="106" t="s">
        <v>82</v>
      </c>
      <c r="CR37" s="106" t="s">
        <v>82</v>
      </c>
      <c r="CS37" s="111">
        <f t="shared" ref="CS37" si="743">CS36+CQ36+CR36</f>
        <v>0.28432167387285268</v>
      </c>
      <c r="CT37" s="111">
        <f t="shared" ref="CT37" si="744">CT36+CR36+CS36</f>
        <v>0.52135449650859989</v>
      </c>
      <c r="CU37" s="111">
        <f t="shared" ref="CU37" si="745">CU36+CS36+CT36</f>
        <v>0.47857968347979662</v>
      </c>
      <c r="CV37" s="111">
        <f t="shared" ref="CV37" si="746">CV36+CT36+CU36</f>
        <v>0.3621853818562023</v>
      </c>
      <c r="CW37" s="111">
        <f t="shared" ref="CW37" si="747">CW36+CU36+CV36</f>
        <v>-4.11822390792278E-2</v>
      </c>
      <c r="CX37" s="111">
        <f t="shared" ref="CX37" si="748">CX36+CV36+CW36</f>
        <v>-9.6295142655246746E-2</v>
      </c>
      <c r="CY37" s="111">
        <f t="shared" ref="CY37" si="749">CY36+CW36+CX36</f>
        <v>-7.1511738140298653E-2</v>
      </c>
      <c r="CZ37" s="111">
        <f>CZ36+CX36+CY36</f>
        <v>-5.6076122401923612E-2</v>
      </c>
      <c r="DA37" s="111">
        <f>DA36+CY36+CZ36</f>
        <v>-4.500000000000004E-2</v>
      </c>
      <c r="DB37" s="111">
        <f>DB36+CZ36+DA36</f>
        <v>-3.5000000000000031E-2</v>
      </c>
      <c r="DC37" s="111">
        <f>DC36+DA36+DB36</f>
        <v>-2.9999999999999916E-2</v>
      </c>
    </row>
    <row r="38" spans="1:110" hidden="1" outlineLevel="2" x14ac:dyDescent="0.2">
      <c r="A38" s="12" t="s">
        <v>66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2">
        <f>AK34/AK$14</f>
        <v>0.17199704778891692</v>
      </c>
      <c r="AL38" s="22">
        <f t="shared" ref="AL38:BQ38" si="750">AL34/AL$14</f>
        <v>0.16395854447968092</v>
      </c>
      <c r="AM38" s="22">
        <f t="shared" si="750"/>
        <v>0.16153751461808333</v>
      </c>
      <c r="AN38" s="22">
        <f t="shared" si="750"/>
        <v>0.15537341697242277</v>
      </c>
      <c r="AO38" s="22">
        <f t="shared" si="750"/>
        <v>0.15901302261823166</v>
      </c>
      <c r="AP38" s="22">
        <f t="shared" si="750"/>
        <v>0.15469596896010426</v>
      </c>
      <c r="AQ38" s="22">
        <f t="shared" si="750"/>
        <v>0.15856965882077209</v>
      </c>
      <c r="AR38" s="22">
        <f t="shared" si="750"/>
        <v>0.15419867906725973</v>
      </c>
      <c r="AS38" s="22">
        <f t="shared" si="750"/>
        <v>0.16041472759150632</v>
      </c>
      <c r="AT38" s="22">
        <f t="shared" si="750"/>
        <v>0.15217975114134813</v>
      </c>
      <c r="AU38" s="22">
        <f t="shared" si="750"/>
        <v>0.15060264848148441</v>
      </c>
      <c r="AV38" s="22">
        <f t="shared" si="750"/>
        <v>0.15055524185958968</v>
      </c>
      <c r="AW38" s="22">
        <f t="shared" si="750"/>
        <v>0.15194565554630218</v>
      </c>
      <c r="AX38" s="22">
        <f t="shared" si="750"/>
        <v>0.14953989133019885</v>
      </c>
      <c r="AY38" s="28">
        <f t="shared" si="750"/>
        <v>0.1467275440591245</v>
      </c>
      <c r="AZ38" s="28">
        <f t="shared" si="750"/>
        <v>0.14448808780881758</v>
      </c>
      <c r="BA38" s="28">
        <f t="shared" si="750"/>
        <v>0.14354188543748517</v>
      </c>
      <c r="BB38" s="28">
        <f t="shared" si="750"/>
        <v>0.137420253721493</v>
      </c>
      <c r="BC38" s="28">
        <f t="shared" ref="BC38:BD38" si="751">BC34/BC$14</f>
        <v>0.13501195328758406</v>
      </c>
      <c r="BD38" s="28">
        <f t="shared" si="751"/>
        <v>0.12857310510168157</v>
      </c>
      <c r="BE38" s="28">
        <f t="shared" ref="BE38:BF38" si="752">BE34/BE$14</f>
        <v>0.12663888761695438</v>
      </c>
      <c r="BF38" s="28">
        <f t="shared" si="752"/>
        <v>0.12022575779691529</v>
      </c>
      <c r="BG38" s="28">
        <f t="shared" ref="BG38:BH38" si="753">BG34/BG$14</f>
        <v>0.11520366472700259</v>
      </c>
      <c r="BH38" s="28">
        <f t="shared" si="753"/>
        <v>0.11461718346645609</v>
      </c>
      <c r="BI38" s="28">
        <f t="shared" ref="BI38:BJ38" si="754">BI34/BI$14</f>
        <v>0.10976939319081989</v>
      </c>
      <c r="BJ38" s="28">
        <f t="shared" si="754"/>
        <v>0.10848471256634522</v>
      </c>
      <c r="BK38" s="28">
        <f t="shared" ref="BK38:BL38" si="755">BK34/BK$14</f>
        <v>0.10308382394168769</v>
      </c>
      <c r="BL38" s="28">
        <f t="shared" si="755"/>
        <v>9.9134560944703562E-2</v>
      </c>
      <c r="BM38" s="28">
        <f t="shared" si="750"/>
        <v>9.5520419173182367E-2</v>
      </c>
      <c r="BN38" s="28">
        <f t="shared" si="750"/>
        <v>9.6054985822160988E-2</v>
      </c>
      <c r="BO38" s="28">
        <f t="shared" si="750"/>
        <v>9.2123135243172241E-2</v>
      </c>
      <c r="BP38" s="28">
        <f t="shared" si="750"/>
        <v>8.8440826270076267E-2</v>
      </c>
      <c r="BQ38" s="28">
        <f t="shared" si="750"/>
        <v>8.5242461608776798E-2</v>
      </c>
      <c r="BR38" s="28">
        <f>BR34/BR$14</f>
        <v>8.5859589035568118E-2</v>
      </c>
      <c r="BS38" s="28">
        <f t="shared" ref="BS38:BU38" si="756">BS34/BS$14</f>
        <v>8.288367856214289E-2</v>
      </c>
      <c r="BT38" s="28">
        <f t="shared" si="756"/>
        <v>7.9535922040386522E-2</v>
      </c>
      <c r="BU38" s="28">
        <f t="shared" si="756"/>
        <v>7.6884915093511599E-2</v>
      </c>
      <c r="BV38" s="28">
        <f t="shared" ref="BV38:CC38" si="757">BV34/BV$14</f>
        <v>7.774362545387771E-2</v>
      </c>
      <c r="BW38" s="28">
        <f t="shared" si="757"/>
        <v>7.555719410457612E-2</v>
      </c>
      <c r="BX38" s="28">
        <f t="shared" si="757"/>
        <v>7.2478953853912537E-2</v>
      </c>
      <c r="BY38" s="28">
        <f t="shared" si="757"/>
        <v>7.0272759640920071E-2</v>
      </c>
      <c r="BZ38" s="28">
        <f t="shared" si="757"/>
        <v>7.0930806607810218E-2</v>
      </c>
      <c r="CA38" s="28">
        <f t="shared" si="757"/>
        <v>6.9413806235766984E-2</v>
      </c>
      <c r="CB38" s="28">
        <f t="shared" si="757"/>
        <v>6.6564958458165804E-2</v>
      </c>
      <c r="CC38" s="28">
        <f t="shared" si="757"/>
        <v>6.4736284655344645E-2</v>
      </c>
      <c r="CD38" s="28">
        <f t="shared" ref="CD38:CG38" si="758">CD34/CD$14</f>
        <v>6.5110261790539442E-2</v>
      </c>
      <c r="CE38" s="28">
        <f t="shared" si="758"/>
        <v>6.4167271309372054E-2</v>
      </c>
      <c r="CF38" s="28">
        <f t="shared" si="758"/>
        <v>6.1517006468628857E-2</v>
      </c>
      <c r="CG38" s="28">
        <f t="shared" si="758"/>
        <v>6.0014328685981534E-2</v>
      </c>
      <c r="CH38" s="28"/>
      <c r="CI38" s="110"/>
      <c r="CJ38" s="30"/>
      <c r="CK38" s="110"/>
      <c r="CL38" s="110"/>
      <c r="CM38" s="30"/>
      <c r="CN38" s="110"/>
      <c r="CO38" s="30"/>
      <c r="CP38" s="107">
        <f t="shared" ref="CP38:CY38" si="759">CP34/CP$14</f>
        <v>0.18470249017038007</v>
      </c>
      <c r="CQ38" s="22">
        <f t="shared" si="759"/>
        <v>0.17220161616509325</v>
      </c>
      <c r="CR38" s="107">
        <f t="shared" si="759"/>
        <v>0.15983117104687303</v>
      </c>
      <c r="CS38" s="22">
        <f t="shared" si="759"/>
        <v>0.15715608069478099</v>
      </c>
      <c r="CT38" s="107">
        <f t="shared" si="759"/>
        <v>0.15131958930199477</v>
      </c>
      <c r="CU38" s="22">
        <f t="shared" si="759"/>
        <v>0.14603092576835522</v>
      </c>
      <c r="CV38" s="107">
        <f t="shared" si="759"/>
        <v>0.13164322801706924</v>
      </c>
      <c r="CW38" s="22">
        <f t="shared" si="759"/>
        <v>0.11473978608413016</v>
      </c>
      <c r="CX38" s="107">
        <f t="shared" si="759"/>
        <v>0.10122484889068425</v>
      </c>
      <c r="CY38" s="107">
        <f t="shared" si="759"/>
        <v>9.0195456942889371E-2</v>
      </c>
      <c r="CZ38" s="107">
        <f>CZ34/CZ$14</f>
        <v>8.1074666196186376E-2</v>
      </c>
      <c r="DA38" s="107">
        <f>DA34/DA$14</f>
        <v>7.3839253760644444E-2</v>
      </c>
      <c r="DB38" s="107">
        <f>DB34/DB$14</f>
        <v>6.7772130628888497E-2</v>
      </c>
      <c r="DC38" s="107">
        <f>DC34/DC$14</f>
        <v>6.259110696397846E-2</v>
      </c>
    </row>
    <row r="39" spans="1:110" hidden="1" outlineLevel="2" x14ac:dyDescent="0.2">
      <c r="A39" s="12" t="s">
        <v>59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22">
        <f>AK34/AK$3</f>
        <v>0.14341761115954665</v>
      </c>
      <c r="AL39" s="22">
        <f t="shared" ref="AL39:BQ39" si="760">AL34/AL$3</f>
        <v>0.13918183836589698</v>
      </c>
      <c r="AM39" s="22">
        <f t="shared" si="760"/>
        <v>0.13572425919222217</v>
      </c>
      <c r="AN39" s="22">
        <f t="shared" si="760"/>
        <v>0.13054070851460534</v>
      </c>
      <c r="AO39" s="22">
        <f t="shared" si="760"/>
        <v>0.13166855845629966</v>
      </c>
      <c r="AP39" s="22">
        <f t="shared" si="760"/>
        <v>0.1274679682733374</v>
      </c>
      <c r="AQ39" s="22">
        <f t="shared" si="760"/>
        <v>0.12463813884941313</v>
      </c>
      <c r="AR39" s="22">
        <f t="shared" si="760"/>
        <v>0.1243018884325358</v>
      </c>
      <c r="AS39" s="22">
        <f t="shared" si="760"/>
        <v>0.13069624717832956</v>
      </c>
      <c r="AT39" s="22">
        <f t="shared" si="760"/>
        <v>0.1231326392032594</v>
      </c>
      <c r="AU39" s="22">
        <f t="shared" si="760"/>
        <v>0.12313801766755815</v>
      </c>
      <c r="AV39" s="22">
        <f t="shared" si="760"/>
        <v>0.12330055183894935</v>
      </c>
      <c r="AW39" s="22">
        <f t="shared" si="760"/>
        <v>0.1241643426161914</v>
      </c>
      <c r="AX39" s="22">
        <f t="shared" si="760"/>
        <v>0.12146880061819208</v>
      </c>
      <c r="AY39" s="28">
        <f t="shared" si="760"/>
        <v>0.11949303355180346</v>
      </c>
      <c r="AZ39" s="28">
        <f t="shared" si="760"/>
        <v>0.1153491098248956</v>
      </c>
      <c r="BA39" s="28">
        <f t="shared" si="760"/>
        <v>0.11276994930342102</v>
      </c>
      <c r="BB39" s="28">
        <f t="shared" si="760"/>
        <v>0.1079881869912843</v>
      </c>
      <c r="BC39" s="28">
        <f t="shared" ref="BC39:BD39" si="761">BC34/BC$3</f>
        <v>0.10563001237956833</v>
      </c>
      <c r="BD39" s="28">
        <f t="shared" si="761"/>
        <v>0.1003835229132034</v>
      </c>
      <c r="BE39" s="28">
        <f t="shared" ref="BE39:BF39" si="762">BE34/BE$3</f>
        <v>9.7037530846870876E-2</v>
      </c>
      <c r="BF39" s="28">
        <f t="shared" si="762"/>
        <v>9.2694943230130541E-2</v>
      </c>
      <c r="BG39" s="28">
        <f t="shared" ref="BG39:BH39" si="763">BG34/BG$3</f>
        <v>8.832987244141205E-2</v>
      </c>
      <c r="BH39" s="28">
        <f t="shared" si="763"/>
        <v>8.5906468024082944E-2</v>
      </c>
      <c r="BI39" s="28">
        <f t="shared" ref="BI39:BJ39" si="764">BI34/BI$3</f>
        <v>8.2811898093681349E-2</v>
      </c>
      <c r="BJ39" s="28">
        <f t="shared" si="764"/>
        <v>8.1050891381082166E-2</v>
      </c>
      <c r="BK39" s="28">
        <f t="shared" ref="BK39:BL39" si="765">BK34/BK$3</f>
        <v>7.6471138748219245E-2</v>
      </c>
      <c r="BL39" s="28">
        <f t="shared" si="765"/>
        <v>7.1950611002944947E-2</v>
      </c>
      <c r="BM39" s="28">
        <f t="shared" si="760"/>
        <v>6.9404198234881365E-2</v>
      </c>
      <c r="BN39" s="28">
        <f t="shared" si="760"/>
        <v>6.8851604550616174E-2</v>
      </c>
      <c r="BO39" s="28">
        <f t="shared" si="760"/>
        <v>6.5820552354954709E-2</v>
      </c>
      <c r="BP39" s="28">
        <f t="shared" si="760"/>
        <v>6.2067143510989617E-2</v>
      </c>
      <c r="BQ39" s="28">
        <f t="shared" si="760"/>
        <v>6.0545201665643984E-2</v>
      </c>
      <c r="BR39" s="28">
        <f>BR34/BR$3</f>
        <v>5.9682857245893159E-2</v>
      </c>
      <c r="BS39" s="28">
        <f t="shared" ref="BS39:BU39" si="766">BS34/BS$3</f>
        <v>5.7305311920762436E-2</v>
      </c>
      <c r="BT39" s="28">
        <f t="shared" si="766"/>
        <v>5.3968568373206884E-2</v>
      </c>
      <c r="BU39" s="28">
        <f t="shared" si="766"/>
        <v>5.2816682597212491E-2</v>
      </c>
      <c r="BV39" s="28">
        <f t="shared" ref="BV39:CC39" si="767">BV34/BV$3</f>
        <v>5.2285549272998728E-2</v>
      </c>
      <c r="BW39" s="28">
        <f t="shared" si="767"/>
        <v>5.0413651868394908E-2</v>
      </c>
      <c r="BX39" s="28">
        <f t="shared" si="767"/>
        <v>4.7415028122740566E-2</v>
      </c>
      <c r="BY39" s="28">
        <f t="shared" si="767"/>
        <v>4.6549544469534909E-2</v>
      </c>
      <c r="BZ39" s="28">
        <f t="shared" si="767"/>
        <v>4.6183622508823699E-2</v>
      </c>
      <c r="CA39" s="28">
        <f t="shared" si="767"/>
        <v>4.4709117509764133E-2</v>
      </c>
      <c r="CB39" s="28">
        <f t="shared" si="767"/>
        <v>4.1997749937847127E-2</v>
      </c>
      <c r="CC39" s="28">
        <f t="shared" si="767"/>
        <v>4.1355175044614272E-2</v>
      </c>
      <c r="CD39" s="28">
        <f t="shared" ref="CD39:CG39" si="768">CD34/CD$3</f>
        <v>4.1126108118528258E-2</v>
      </c>
      <c r="CE39" s="28">
        <f t="shared" si="768"/>
        <v>3.9966351245575203E-2</v>
      </c>
      <c r="CF39" s="28">
        <f t="shared" si="768"/>
        <v>3.7500244243927519E-2</v>
      </c>
      <c r="CG39" s="28">
        <f t="shared" si="768"/>
        <v>3.7030783784192466E-2</v>
      </c>
      <c r="CH39" s="28"/>
      <c r="CI39" s="110"/>
      <c r="CJ39" s="30"/>
      <c r="CK39" s="110"/>
      <c r="CL39" s="110"/>
      <c r="CM39" s="30"/>
      <c r="CN39" s="110"/>
      <c r="CO39" s="30"/>
      <c r="CP39" s="107">
        <f t="shared" ref="CP39:CY39" si="769">CP34/CP$3</f>
        <v>0.15959702114551813</v>
      </c>
      <c r="CQ39" s="22">
        <f t="shared" si="769"/>
        <v>0.14702424687729609</v>
      </c>
      <c r="CR39" s="107">
        <f t="shared" si="769"/>
        <v>0.13404627262151383</v>
      </c>
      <c r="CS39" s="22">
        <f t="shared" si="769"/>
        <v>0.12708179686726034</v>
      </c>
      <c r="CT39" s="107">
        <f t="shared" si="769"/>
        <v>0.1234775157263326</v>
      </c>
      <c r="CU39" s="22">
        <f t="shared" si="769"/>
        <v>0.11715176120768526</v>
      </c>
      <c r="CV39" s="107">
        <f t="shared" si="769"/>
        <v>0.1024503404432142</v>
      </c>
      <c r="CW39" s="22">
        <f t="shared" si="769"/>
        <v>8.7198664977783141E-2</v>
      </c>
      <c r="CX39" s="107">
        <f t="shared" si="769"/>
        <v>7.4365004702884208E-2</v>
      </c>
      <c r="CY39" s="107">
        <f t="shared" si="769"/>
        <v>6.4093089169601089E-2</v>
      </c>
      <c r="CZ39" s="107">
        <f>CZ34/CZ$3</f>
        <v>5.5758039650326288E-2</v>
      </c>
      <c r="DA39" s="107">
        <f>DA34/DA$3</f>
        <v>4.9013355594952783E-2</v>
      </c>
      <c r="DB39" s="107">
        <f>DB34/DB$3</f>
        <v>4.3434599502387108E-2</v>
      </c>
      <c r="DC39" s="107">
        <f>DC34/DC$3</f>
        <v>3.8799491009885036E-2</v>
      </c>
    </row>
    <row r="40" spans="1:110" hidden="1" outlineLevel="1" x14ac:dyDescent="0.2">
      <c r="A40" s="12"/>
      <c r="AL40" s="77"/>
      <c r="AM40" s="77"/>
      <c r="AN40" s="77"/>
      <c r="AO40" s="77"/>
      <c r="AP40" s="77"/>
      <c r="AQ40" s="77"/>
      <c r="AR40" s="151"/>
      <c r="AS40" s="151"/>
      <c r="AT40" s="151"/>
      <c r="AU40" s="151"/>
      <c r="AV40" s="151"/>
      <c r="AW40" s="151"/>
      <c r="AX40" s="151"/>
      <c r="AY40" s="151"/>
      <c r="AZ40" s="260">
        <f>AZ36-AY36</f>
        <v>-0.10301664501533792</v>
      </c>
      <c r="BA40" s="260">
        <f t="shared" ref="BA40" si="770">BA36-AZ36</f>
        <v>-7.3322370562306394E-2</v>
      </c>
      <c r="BB40" s="260">
        <f t="shared" ref="BB40" si="771">BB36-BA36</f>
        <v>6.2534290782151336E-3</v>
      </c>
      <c r="BC40" s="260">
        <f t="shared" ref="BC40" si="772">BC36-BB36</f>
        <v>3.3424192241083617E-2</v>
      </c>
      <c r="BD40" s="260">
        <f>BD36-BC36</f>
        <v>2.3734132240069261E-2</v>
      </c>
      <c r="BE40" s="260">
        <f t="shared" ref="BE40" si="773">BE36-BD36</f>
        <v>4.7846517735088412E-3</v>
      </c>
      <c r="BF40" s="260">
        <f t="shared" ref="BF40" si="774">BF36-BE36</f>
        <v>9.9303778140868992E-3</v>
      </c>
      <c r="BG40" s="260">
        <f t="shared" ref="BG40" si="775">BG36-BF36</f>
        <v>-4.06471731845095E-2</v>
      </c>
      <c r="BH40" s="260">
        <f t="shared" ref="BH40:BK40" si="776">BH36-BG36</f>
        <v>3.5941938468463941E-2</v>
      </c>
      <c r="BI40" s="260">
        <f t="shared" si="776"/>
        <v>-2.5562436707026071E-2</v>
      </c>
      <c r="BJ40" s="260">
        <f t="shared" si="776"/>
        <v>2.0161233613927076E-2</v>
      </c>
      <c r="BK40" s="260">
        <f t="shared" si="776"/>
        <v>9.088735801353276E-3</v>
      </c>
      <c r="BL40" s="260">
        <f t="shared" ref="BL40" si="777">BL36-BK36</f>
        <v>-1.3611898714784521E-2</v>
      </c>
      <c r="BM40" s="260">
        <f t="shared" ref="BM40" si="778">BM36-BL36</f>
        <v>7.0217276099628773E-4</v>
      </c>
      <c r="BN40" s="260">
        <f t="shared" ref="BN40" si="779">BN36-BM36</f>
        <v>5.000000000000001E-3</v>
      </c>
      <c r="BO40" s="260">
        <f t="shared" ref="BO40" si="780">BO36-BN36</f>
        <v>0</v>
      </c>
      <c r="BP40" s="260">
        <f t="shared" ref="BP40" si="781">BP36-BO36</f>
        <v>0</v>
      </c>
      <c r="BQ40" s="260">
        <f t="shared" ref="BQ40" si="782">BQ36-BP36</f>
        <v>0</v>
      </c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260"/>
      <c r="CI40" s="92"/>
      <c r="CK40" s="92"/>
      <c r="CL40" s="92"/>
      <c r="CN40" s="92"/>
      <c r="CP40" s="92"/>
      <c r="CR40" s="118"/>
      <c r="CS40" s="77"/>
      <c r="CT40" s="118"/>
      <c r="CU40" s="77"/>
      <c r="CV40" s="118"/>
      <c r="CW40" s="77"/>
      <c r="CX40" s="118"/>
      <c r="CY40" s="118"/>
      <c r="CZ40" s="118"/>
      <c r="DA40" s="118"/>
      <c r="DB40" s="118"/>
      <c r="DC40" s="118"/>
    </row>
    <row r="41" spans="1:110" hidden="1" outlineLevel="1" x14ac:dyDescent="0.2">
      <c r="A41" s="10" t="s">
        <v>445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7">
        <v>4771</v>
      </c>
      <c r="AL41" s="17">
        <v>3620</v>
      </c>
      <c r="AM41" s="17">
        <v>4080</v>
      </c>
      <c r="AN41" s="18">
        <v>4050</v>
      </c>
      <c r="AO41" s="17">
        <v>5264</v>
      </c>
      <c r="AP41" s="17">
        <v>4435</v>
      </c>
      <c r="AQ41" s="17">
        <v>5124</v>
      </c>
      <c r="AR41" s="17">
        <v>5478</v>
      </c>
      <c r="AS41" s="17">
        <v>6674</v>
      </c>
      <c r="AT41" s="17">
        <v>6494</v>
      </c>
      <c r="AU41" s="18">
        <v>6623</v>
      </c>
      <c r="AV41" s="18">
        <v>6754</v>
      </c>
      <c r="AW41" s="18">
        <v>8161</v>
      </c>
      <c r="AX41" s="18">
        <v>6811</v>
      </c>
      <c r="AY41" s="18">
        <v>6553</v>
      </c>
      <c r="AZ41" s="18">
        <v>6895</v>
      </c>
      <c r="BA41" s="18">
        <v>8796</v>
      </c>
      <c r="BB41" s="18">
        <v>7413</v>
      </c>
      <c r="BC41" s="18">
        <v>8142</v>
      </c>
      <c r="BD41" s="18">
        <v>8339</v>
      </c>
      <c r="BE41" s="18">
        <v>10794</v>
      </c>
      <c r="BF41" s="18">
        <v>8739</v>
      </c>
      <c r="BG41" s="18">
        <v>9312</v>
      </c>
      <c r="BH41" s="18">
        <v>10656</v>
      </c>
      <c r="BI41" s="18">
        <v>11633</v>
      </c>
      <c r="BJ41" s="18">
        <v>10379</v>
      </c>
      <c r="BK41" s="18">
        <v>11203</v>
      </c>
      <c r="BL41" s="18">
        <v>12870</v>
      </c>
      <c r="BM41" s="72">
        <f t="shared" ref="BM41:BQ41" si="783">BI41*(1+BM43)</f>
        <v>13813.517777777779</v>
      </c>
      <c r="BN41" s="72">
        <f t="shared" si="783"/>
        <v>11839.883361111111</v>
      </c>
      <c r="BO41" s="72">
        <f t="shared" si="783"/>
        <v>12733.439749999998</v>
      </c>
      <c r="BP41" s="72">
        <f t="shared" si="783"/>
        <v>14467.477388888889</v>
      </c>
      <c r="BQ41" s="72">
        <f t="shared" si="783"/>
        <v>15447.580688888887</v>
      </c>
      <c r="BR41" s="72">
        <f>BN41*(1+BR43)</f>
        <v>13321.823503971747</v>
      </c>
      <c r="BS41" s="72">
        <f t="shared" ref="BS41" si="784">BO41*(1+BS43)</f>
        <v>14327.22196446021</v>
      </c>
      <c r="BT41" s="72">
        <f t="shared" ref="BT41" si="785">BP41*(1+BT43)</f>
        <v>16278.300591670084</v>
      </c>
      <c r="BU41" s="72">
        <f t="shared" ref="BU41" si="786">BQ41*(1+BU43)</f>
        <v>17381.07861574641</v>
      </c>
      <c r="BV41" s="72">
        <f t="shared" ref="BV41" si="787">BR41*(1+BV43)</f>
        <v>15131.492633197429</v>
      </c>
      <c r="BW41" s="72">
        <f t="shared" ref="BW41" si="788">BS41*(1+BW43)</f>
        <v>16273.466882726676</v>
      </c>
      <c r="BX41" s="72">
        <f t="shared" ref="BX41" si="789">BT41*(1+BX43)</f>
        <v>18489.584808745836</v>
      </c>
      <c r="BY41" s="72">
        <f t="shared" ref="BY41" si="790">BU41*(1+BY43)</f>
        <v>19742.166900258158</v>
      </c>
      <c r="BZ41" s="72">
        <f t="shared" ref="BZ41" si="791">BV41*(1+BZ43)</f>
        <v>17054.838309309416</v>
      </c>
      <c r="CA41" s="72">
        <f t="shared" ref="CA41" si="792">BW41*(1+CA43)</f>
        <v>18341.967520633014</v>
      </c>
      <c r="CB41" s="72">
        <f t="shared" ref="CB41" si="793">BX41*(1+CB43)</f>
        <v>20839.773508371341</v>
      </c>
      <c r="CC41" s="72">
        <f t="shared" ref="CC41" si="794">BY41*(1+CC43)</f>
        <v>22251.569790319842</v>
      </c>
      <c r="CD41" s="72">
        <f t="shared" ref="CD41" si="795">BZ41*(1+CD43)</f>
        <v>19106.447344724151</v>
      </c>
      <c r="CE41" s="72">
        <f t="shared" ref="CE41" si="796">CA41*(1+CE43)</f>
        <v>20548.411557811225</v>
      </c>
      <c r="CF41" s="72">
        <f t="shared" ref="CF41" si="797">CB41*(1+CF43)</f>
        <v>23346.69071569739</v>
      </c>
      <c r="CG41" s="72">
        <f t="shared" ref="CG41" si="798">CC41*(1+CG43)</f>
        <v>24928.318804648683</v>
      </c>
      <c r="CH41" s="72"/>
      <c r="CI41" s="108"/>
      <c r="CJ41" s="45"/>
      <c r="CK41" s="108"/>
      <c r="CL41" s="108"/>
      <c r="CM41" s="45"/>
      <c r="CN41" s="108"/>
      <c r="CO41" s="45"/>
      <c r="CP41" s="117">
        <v>10914</v>
      </c>
      <c r="CQ41" s="78">
        <v>14063</v>
      </c>
      <c r="CR41" s="90">
        <f>SUM(AL41:AO41)</f>
        <v>17014</v>
      </c>
      <c r="CS41" s="21">
        <f>SUM(AP41:AS41)</f>
        <v>21711</v>
      </c>
      <c r="CT41" s="90">
        <f>SUM(AT41:AW41)</f>
        <v>28032</v>
      </c>
      <c r="CU41" s="21">
        <f>SUM(AX41:BA41)</f>
        <v>29055</v>
      </c>
      <c r="CV41" s="90">
        <f>SUM(BB41:BE41)</f>
        <v>34688</v>
      </c>
      <c r="CW41" s="21">
        <f>SUM(BF41:BI41)</f>
        <v>40340</v>
      </c>
      <c r="CX41" s="90">
        <f>SUM(BJ41:BM41)</f>
        <v>48265.517777777779</v>
      </c>
      <c r="CY41" s="90">
        <f>SUM(BN41:BQ41)</f>
        <v>54488.381188888889</v>
      </c>
      <c r="CZ41" s="90">
        <f>SUM(BR41:BU41)</f>
        <v>61308.424675848451</v>
      </c>
      <c r="DA41" s="90">
        <f>SUM(BV41:BY41)</f>
        <v>69636.711224928105</v>
      </c>
      <c r="DB41" s="90">
        <f>SUM(BZ41:CC41)</f>
        <v>78488.14912863361</v>
      </c>
      <c r="DC41" s="90">
        <f>SUM(CD41:CG41)</f>
        <v>87929.868422881438</v>
      </c>
      <c r="DD41" s="86"/>
    </row>
    <row r="42" spans="1:110" hidden="1" outlineLevel="1" x14ac:dyDescent="0.2">
      <c r="A42" s="11" t="s">
        <v>62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5" t="s">
        <v>82</v>
      </c>
      <c r="AL42" s="22">
        <f>IF(AND(AK41&lt;0,AL41&gt;0),"n/a",AL41/AK41-1)</f>
        <v>-0.24124921400125765</v>
      </c>
      <c r="AM42" s="22">
        <f t="shared" ref="AM42" si="799">IF(AND(AL41&lt;0,AM41&gt;0),"n/a",AM41/AL41-1)</f>
        <v>0.1270718232044199</v>
      </c>
      <c r="AN42" s="22">
        <f t="shared" ref="AN42" si="800">IF(AND(AM41&lt;0,AN41&gt;0),"n/a",AN41/AM41-1)</f>
        <v>-7.3529411764705621E-3</v>
      </c>
      <c r="AO42" s="22">
        <f t="shared" ref="AO42" si="801">IF(AND(AN41&lt;0,AO41&gt;0),"n/a",AO41/AN41-1)</f>
        <v>0.29975308641975307</v>
      </c>
      <c r="AP42" s="22">
        <f t="shared" ref="AP42" si="802">IF(AND(AO41&lt;0,AP41&gt;0),"n/a",AP41/AO41-1)</f>
        <v>-0.15748480243161089</v>
      </c>
      <c r="AQ42" s="22">
        <f t="shared" ref="AQ42" si="803">IF(AND(AP41&lt;0,AQ41&gt;0),"n/a",AQ41/AP41-1)</f>
        <v>0.15535512965050735</v>
      </c>
      <c r="AR42" s="22">
        <f t="shared" ref="AR42" si="804">IF(AND(AQ41&lt;0,AR41&gt;0),"n/a",AR41/AQ41-1)</f>
        <v>6.9086651053864134E-2</v>
      </c>
      <c r="AS42" s="22">
        <f t="shared" ref="AS42" si="805">IF(AND(AR41&lt;0,AS41&gt;0),"n/a",AS41/AR41-1)</f>
        <v>0.21832785688207368</v>
      </c>
      <c r="AT42" s="22">
        <f t="shared" ref="AT42" si="806">IF(AND(AS41&lt;0,AT41&gt;0),"n/a",AT41/AS41-1)</f>
        <v>-2.6970332634102534E-2</v>
      </c>
      <c r="AU42" s="22">
        <f t="shared" ref="AU42" si="807">IF(AND(AT41&lt;0,AU41&gt;0),"n/a",AU41/AT41-1)</f>
        <v>1.986449029873727E-2</v>
      </c>
      <c r="AV42" s="22">
        <f t="shared" ref="AV42" si="808">IF(AND(AU41&lt;0,AV41&gt;0),"n/a",AV41/AU41-1)</f>
        <v>1.9779556092405226E-2</v>
      </c>
      <c r="AW42" s="22">
        <f t="shared" ref="AW42" si="809">IF(AND(AV41&lt;0,AW41&gt;0),"n/a",AW41/AV41-1)</f>
        <v>0.20832099496594614</v>
      </c>
      <c r="AX42" s="22">
        <f t="shared" ref="AX42" si="810">IF(AND(AW41&lt;0,AX41&gt;0),"n/a",AX41/AW41-1)</f>
        <v>-0.16542090430094347</v>
      </c>
      <c r="AY42" s="28">
        <f t="shared" ref="AY42" si="811">IF(AND(AX41&lt;0,AY41&gt;0),"n/a",AY41/AX41-1)</f>
        <v>-3.7879900161503444E-2</v>
      </c>
      <c r="AZ42" s="28">
        <f t="shared" ref="AZ42" si="812">IF(AND(AY41&lt;0,AZ41&gt;0),"n/a",AZ41/AY41-1)</f>
        <v>5.2189836716007854E-2</v>
      </c>
      <c r="BA42" s="28">
        <f t="shared" ref="BA42" si="813">IF(AND(AZ41&lt;0,BA41&gt;0),"n/a",BA41/AZ41-1)</f>
        <v>0.27570703408266861</v>
      </c>
      <c r="BB42" s="28">
        <f t="shared" ref="BB42:BL42" si="814">IF(AND(BA41&lt;0,BB41&gt;0),"n/a",BB41/BA41-1)</f>
        <v>-0.15723055934515684</v>
      </c>
      <c r="BC42" s="28">
        <f t="shared" si="814"/>
        <v>9.834075273168752E-2</v>
      </c>
      <c r="BD42" s="28">
        <f t="shared" si="814"/>
        <v>2.4195529353967071E-2</v>
      </c>
      <c r="BE42" s="28">
        <f t="shared" si="814"/>
        <v>0.29439980813047129</v>
      </c>
      <c r="BF42" s="28">
        <f t="shared" si="814"/>
        <v>-0.19038354641467481</v>
      </c>
      <c r="BG42" s="28">
        <f t="shared" si="814"/>
        <v>6.5568142808101637E-2</v>
      </c>
      <c r="BH42" s="28">
        <f t="shared" si="814"/>
        <v>0.14432989690721643</v>
      </c>
      <c r="BI42" s="28">
        <f t="shared" si="814"/>
        <v>9.1685435435435503E-2</v>
      </c>
      <c r="BJ42" s="28">
        <f t="shared" si="814"/>
        <v>-0.10779678500816647</v>
      </c>
      <c r="BK42" s="28">
        <f t="shared" si="814"/>
        <v>7.9391078138548954E-2</v>
      </c>
      <c r="BL42" s="28">
        <f t="shared" si="814"/>
        <v>0.14879942872444873</v>
      </c>
      <c r="BM42" s="28">
        <f t="shared" ref="BM42" si="815">IF(AND(BL41&lt;0,BM41&gt;0),"n/a",BM41/BL41-1)</f>
        <v>7.3311404644738065E-2</v>
      </c>
      <c r="BN42" s="28">
        <f t="shared" ref="BN42" si="816">IF(AND(BM41&lt;0,BN41&gt;0),"n/a",BN41/BM41-1)</f>
        <v>-0.14287703164516952</v>
      </c>
      <c r="BO42" s="28">
        <f t="shared" ref="BO42" si="817">IF(AND(BN41&lt;0,BO41&gt;0),"n/a",BO41/BN41-1)</f>
        <v>7.5470033076831866E-2</v>
      </c>
      <c r="BP42" s="28">
        <f t="shared" ref="BP42" si="818">IF(AND(BO41&lt;0,BP41&gt;0),"n/a",BP41/BO41-1)</f>
        <v>0.13617982830514364</v>
      </c>
      <c r="BQ42" s="28">
        <f t="shared" ref="BQ42" si="819">IF(AND(BP41&lt;0,BQ41&gt;0),"n/a",BQ41/BP41-1)</f>
        <v>6.77452795435316E-2</v>
      </c>
      <c r="BR42" s="28">
        <f>IF(AND(BQ41&lt;0,BR41&gt;0),"n/a",BR41/BQ41-1)</f>
        <v>-0.13761101027594247</v>
      </c>
      <c r="BS42" s="28">
        <f t="shared" ref="BS42" si="820">IF(AND(BR41&lt;0,BS41&gt;0),"n/a",BS41/BR41-1)</f>
        <v>7.5470033076831866E-2</v>
      </c>
      <c r="BT42" s="28">
        <f t="shared" ref="BT42" si="821">IF(AND(BS41&lt;0,BT41&gt;0),"n/a",BT41/BS41-1)</f>
        <v>0.13617982830514364</v>
      </c>
      <c r="BU42" s="28">
        <f t="shared" ref="BU42" si="822">IF(AND(BT41&lt;0,BU41&gt;0),"n/a",BU41/BT41-1)</f>
        <v>6.77452795435316E-2</v>
      </c>
      <c r="BV42" s="28">
        <f t="shared" ref="BV42" si="823">IF(AND(BU41&lt;0,BV41&gt;0),"n/a",BV41/BU41-1)</f>
        <v>-0.12942729460477587</v>
      </c>
      <c r="BW42" s="28">
        <f t="shared" ref="BW42" si="824">IF(AND(BV41&lt;0,BW41&gt;0),"n/a",BW41/BV41-1)</f>
        <v>7.5470033076831866E-2</v>
      </c>
      <c r="BX42" s="28">
        <f t="shared" ref="BX42" si="825">IF(AND(BW41&lt;0,BX41&gt;0),"n/a",BX41/BW41-1)</f>
        <v>0.13617982830514364</v>
      </c>
      <c r="BY42" s="28">
        <f t="shared" ref="BY42" si="826">IF(AND(BX41&lt;0,BY41&gt;0),"n/a",BY41/BX41-1)</f>
        <v>6.77452795435316E-2</v>
      </c>
      <c r="BZ42" s="28">
        <f t="shared" ref="BZ42" si="827">IF(AND(BY41&lt;0,BZ41&gt;0),"n/a",BZ41/BY41-1)</f>
        <v>-0.13612125783991835</v>
      </c>
      <c r="CA42" s="28">
        <f t="shared" ref="CA42" si="828">IF(AND(BZ41&lt;0,CA41&gt;0),"n/a",CA41/BZ41-1)</f>
        <v>7.5470033076831644E-2</v>
      </c>
      <c r="CB42" s="28">
        <f t="shared" ref="CB42" si="829">IF(AND(CA41&lt;0,CB41&gt;0),"n/a",CB41/CA41-1)</f>
        <v>0.13617982830514386</v>
      </c>
      <c r="CC42" s="28">
        <f t="shared" ref="CC42" si="830">IF(AND(CB41&lt;0,CC41&gt;0),"n/a",CC41/CB41-1)</f>
        <v>6.77452795435316E-2</v>
      </c>
      <c r="CD42" s="28">
        <f t="shared" ref="CD42" si="831">IF(AND(CC41&lt;0,CD41&gt;0),"n/a",CD41/CC41-1)</f>
        <v>-0.14134384563573221</v>
      </c>
      <c r="CE42" s="28">
        <f t="shared" ref="CE42" si="832">IF(AND(CD41&lt;0,CE41&gt;0),"n/a",CE41/CD41-1)</f>
        <v>7.5470033076831644E-2</v>
      </c>
      <c r="CF42" s="28">
        <f t="shared" ref="CF42" si="833">IF(AND(CE41&lt;0,CF41&gt;0),"n/a",CF41/CE41-1)</f>
        <v>0.13617982830514386</v>
      </c>
      <c r="CG42" s="28">
        <f t="shared" ref="CG42" si="834">IF(AND(CF41&lt;0,CG41&gt;0),"n/a",CG41/CF41-1)</f>
        <v>6.77452795435316E-2</v>
      </c>
      <c r="CH42" s="28"/>
      <c r="CI42" s="109"/>
      <c r="CJ42" s="59"/>
      <c r="CK42" s="109"/>
      <c r="CL42" s="109"/>
      <c r="CM42" s="59"/>
      <c r="CN42" s="109"/>
      <c r="CO42" s="59"/>
      <c r="CP42" s="106" t="s">
        <v>82</v>
      </c>
      <c r="CQ42" s="48" t="s">
        <v>82</v>
      </c>
      <c r="CR42" s="106" t="s">
        <v>82</v>
      </c>
      <c r="CS42" s="48" t="s">
        <v>82</v>
      </c>
      <c r="CT42" s="106" t="s">
        <v>82</v>
      </c>
      <c r="CU42" s="48" t="s">
        <v>82</v>
      </c>
      <c r="CV42" s="106" t="s">
        <v>82</v>
      </c>
      <c r="CW42" s="48" t="s">
        <v>82</v>
      </c>
      <c r="CX42" s="106" t="s">
        <v>82</v>
      </c>
      <c r="CY42" s="106" t="s">
        <v>82</v>
      </c>
      <c r="CZ42" s="106" t="s">
        <v>82</v>
      </c>
      <c r="DA42" s="106" t="s">
        <v>82</v>
      </c>
      <c r="DB42" s="106" t="s">
        <v>82</v>
      </c>
      <c r="DC42" s="106" t="s">
        <v>82</v>
      </c>
    </row>
    <row r="43" spans="1:110" hidden="1" outlineLevel="1" x14ac:dyDescent="0.2">
      <c r="A43" s="11" t="s">
        <v>63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25" t="s">
        <v>82</v>
      </c>
      <c r="AL43" s="25" t="s">
        <v>82</v>
      </c>
      <c r="AM43" s="25" t="s">
        <v>82</v>
      </c>
      <c r="AN43" s="25" t="s">
        <v>82</v>
      </c>
      <c r="AO43" s="22">
        <f t="shared" ref="AO43" si="835">IF(AND(AK41&lt;0,AO41&gt;0),"n/a",AO41/AK41-1)</f>
        <v>0.10333263466778453</v>
      </c>
      <c r="AP43" s="22">
        <f t="shared" ref="AP43" si="836">IF(AND(AL41&lt;0,AP41&gt;0),"n/a",AP41/AL41-1)</f>
        <v>0.22513812154696122</v>
      </c>
      <c r="AQ43" s="22">
        <f t="shared" ref="AQ43" si="837">IF(AND(AM41&lt;0,AQ41&gt;0),"n/a",AQ41/AM41-1)</f>
        <v>0.25588235294117645</v>
      </c>
      <c r="AR43" s="22">
        <f t="shared" ref="AR43" si="838">IF(AND(AN41&lt;0,AR41&gt;0),"n/a",AR41/AN41-1)</f>
        <v>0.35259259259259257</v>
      </c>
      <c r="AS43" s="22">
        <f t="shared" ref="AS43" si="839">IF(AND(AO41&lt;0,AS41&gt;0),"n/a",AS41/AO41-1)</f>
        <v>0.26785714285714279</v>
      </c>
      <c r="AT43" s="22">
        <f t="shared" ref="AT43:BL43" si="840">IF(AND(AP41&lt;0,AT41&gt;0),"n/a",AT41/AP41-1)</f>
        <v>0.46426155580608786</v>
      </c>
      <c r="AU43" s="22">
        <f t="shared" si="840"/>
        <v>0.29254488680718183</v>
      </c>
      <c r="AV43" s="22">
        <f t="shared" si="840"/>
        <v>0.23293172690763053</v>
      </c>
      <c r="AW43" s="22">
        <f t="shared" si="840"/>
        <v>0.22280491459394658</v>
      </c>
      <c r="AX43" s="22">
        <f t="shared" si="840"/>
        <v>4.8814290113951442E-2</v>
      </c>
      <c r="AY43" s="28">
        <f t="shared" si="840"/>
        <v>-1.0569228446323464E-2</v>
      </c>
      <c r="AZ43" s="28">
        <f t="shared" si="840"/>
        <v>2.0876517619188739E-2</v>
      </c>
      <c r="BA43" s="28">
        <f t="shared" si="840"/>
        <v>7.7809092023036319E-2</v>
      </c>
      <c r="BB43" s="28">
        <f t="shared" si="840"/>
        <v>8.8386433710174739E-2</v>
      </c>
      <c r="BC43" s="28">
        <f t="shared" si="840"/>
        <v>0.24248435830917137</v>
      </c>
      <c r="BD43" s="28">
        <f t="shared" si="840"/>
        <v>0.20942712110224804</v>
      </c>
      <c r="BE43" s="28">
        <f t="shared" si="840"/>
        <v>0.22714870395634379</v>
      </c>
      <c r="BF43" s="28">
        <f t="shared" si="840"/>
        <v>0.17887494941319293</v>
      </c>
      <c r="BG43" s="28">
        <f t="shared" si="840"/>
        <v>0.14369933677229185</v>
      </c>
      <c r="BH43" s="28">
        <f t="shared" si="840"/>
        <v>0.2778510612783307</v>
      </c>
      <c r="BI43" s="28">
        <f t="shared" si="840"/>
        <v>7.772836761163604E-2</v>
      </c>
      <c r="BJ43" s="28">
        <f t="shared" si="840"/>
        <v>0.18766449250486317</v>
      </c>
      <c r="BK43" s="28">
        <f t="shared" si="840"/>
        <v>0.20307130584192445</v>
      </c>
      <c r="BL43" s="28">
        <f t="shared" si="840"/>
        <v>0.20777027027027017</v>
      </c>
      <c r="BM43" s="26">
        <v>0.18744242910494102</v>
      </c>
      <c r="BN43" s="26">
        <v>0.1407537682928135</v>
      </c>
      <c r="BO43" s="26">
        <v>0.13660981433544572</v>
      </c>
      <c r="BP43" s="26">
        <v>0.12412411724078387</v>
      </c>
      <c r="BQ43" s="26">
        <v>0.11829448062389103</v>
      </c>
      <c r="BR43" s="26">
        <v>0.12516509645087948</v>
      </c>
      <c r="BS43" s="26">
        <v>0.12516509645087948</v>
      </c>
      <c r="BT43" s="26">
        <v>0.12516509645087948</v>
      </c>
      <c r="BU43" s="26">
        <v>0.12516509645087948</v>
      </c>
      <c r="BV43" s="26">
        <v>0.13584244894748454</v>
      </c>
      <c r="BW43" s="26">
        <v>0.13584244894748454</v>
      </c>
      <c r="BX43" s="26">
        <v>0.13584244894748454</v>
      </c>
      <c r="BY43" s="26">
        <v>0.13584244894748454</v>
      </c>
      <c r="BZ43" s="26">
        <v>0.12710878713262574</v>
      </c>
      <c r="CA43" s="26">
        <v>0.12710878713262574</v>
      </c>
      <c r="CB43" s="26">
        <v>0.12710878713262574</v>
      </c>
      <c r="CC43" s="26">
        <v>0.12710878713262574</v>
      </c>
      <c r="CD43" s="26">
        <v>0.12029483940019881</v>
      </c>
      <c r="CE43" s="26">
        <v>0.12029483940019881</v>
      </c>
      <c r="CF43" s="26">
        <v>0.12029483940019881</v>
      </c>
      <c r="CG43" s="26">
        <v>0.12029483940019881</v>
      </c>
      <c r="CH43" s="26"/>
      <c r="CI43" s="109"/>
      <c r="CJ43" s="30"/>
      <c r="CK43" s="110"/>
      <c r="CL43" s="110"/>
      <c r="CM43" s="30"/>
      <c r="CN43" s="110"/>
      <c r="CO43" s="30"/>
      <c r="CP43" s="106" t="s">
        <v>82</v>
      </c>
      <c r="CQ43" s="22">
        <f t="shared" ref="CQ43" si="841">IF(AND(CP41&lt;0,CQ41&gt;0),"n/a",CQ41/CP41-1)</f>
        <v>0.28852849551035376</v>
      </c>
      <c r="CR43" s="107">
        <f t="shared" ref="CR43" si="842">IF(AND(CQ41&lt;0,CR41&gt;0),"n/a",CR41/CQ41-1)</f>
        <v>0.20984142786034266</v>
      </c>
      <c r="CS43" s="22">
        <f t="shared" ref="CS43" si="843">IF(AND(CR41&lt;0,CS41&gt;0),"n/a",CS41/CR41-1)</f>
        <v>0.27606676854355228</v>
      </c>
      <c r="CT43" s="107">
        <f t="shared" ref="CT43" si="844">IF(AND(CS41&lt;0,CT41&gt;0),"n/a",CT41/CS41-1)</f>
        <v>0.29114273870388274</v>
      </c>
      <c r="CU43" s="22">
        <f t="shared" ref="CU43" si="845">IF(AND(CT41&lt;0,CU41&gt;0),"n/a",CU41/CT41-1)</f>
        <v>3.6494006849315141E-2</v>
      </c>
      <c r="CV43" s="107">
        <f t="shared" ref="CV43" si="846">IF(AND(CU41&lt;0,CV41&gt;0),"n/a",CV41/CU41-1)</f>
        <v>0.19387368783341929</v>
      </c>
      <c r="CW43" s="22">
        <f t="shared" ref="CW43" si="847">IF(AND(CV41&lt;0,CW41&gt;0),"n/a",CW41/CV41-1)</f>
        <v>0.16293819188191883</v>
      </c>
      <c r="CX43" s="107">
        <f t="shared" ref="CX43" si="848">IF(AND(CW41&lt;0,CX41&gt;0),"n/a",CX41/CW41-1)</f>
        <v>0.19646796672726263</v>
      </c>
      <c r="CY43" s="107">
        <f t="shared" ref="CY43" si="849">IF(AND(CX41&lt;0,CY41&gt;0),"n/a",CY41/CX41-1)</f>
        <v>0.12892979703982821</v>
      </c>
      <c r="CZ43" s="107">
        <f>IF(AND(CY41&lt;0,CZ41&gt;0),"n/a",CZ41/CY41-1)</f>
        <v>0.12516509645087948</v>
      </c>
      <c r="DA43" s="107">
        <f>IF(AND(CZ41&lt;0,DA41&gt;0),"n/a",DA41/CZ41-1)</f>
        <v>0.13584244894748476</v>
      </c>
      <c r="DB43" s="107">
        <f>IF(AND(DA41&lt;0,DB41&gt;0),"n/a",DB41/DA41-1)</f>
        <v>0.12710878713262552</v>
      </c>
      <c r="DC43" s="107">
        <f>IF(AND(DB41&lt;0,DC41&gt;0),"n/a",DC41/DB41-1)</f>
        <v>0.12029483940019881</v>
      </c>
    </row>
    <row r="44" spans="1:110" hidden="1" outlineLevel="1" x14ac:dyDescent="0.2">
      <c r="A44" s="11" t="s">
        <v>64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22">
        <f>AK41/AK$8</f>
        <v>0.12794657942020435</v>
      </c>
      <c r="AL44" s="22">
        <f t="shared" ref="AL44:BQ44" si="850">AL41/AL$8</f>
        <v>0.10582629286403368</v>
      </c>
      <c r="AM44" s="22">
        <f t="shared" si="850"/>
        <v>0.11155465631322797</v>
      </c>
      <c r="AN44" s="22">
        <f t="shared" si="850"/>
        <v>0.10701263013264281</v>
      </c>
      <c r="AO44" s="22">
        <f t="shared" si="850"/>
        <v>0.12185749340247233</v>
      </c>
      <c r="AP44" s="22">
        <f t="shared" si="850"/>
        <v>0.11610555526467355</v>
      </c>
      <c r="AQ44" s="22">
        <f t="shared" si="850"/>
        <v>0.1464376553971021</v>
      </c>
      <c r="AR44" s="22">
        <f t="shared" si="850"/>
        <v>0.12867310267070678</v>
      </c>
      <c r="AS44" s="22">
        <f t="shared" si="850"/>
        <v>0.12622699676583513</v>
      </c>
      <c r="AT44" s="22">
        <f t="shared" si="850"/>
        <v>0.1268904607448513</v>
      </c>
      <c r="AU44" s="22">
        <f t="shared" si="850"/>
        <v>0.11605656509015719</v>
      </c>
      <c r="AV44" s="22">
        <f t="shared" si="850"/>
        <v>0.11278471711976489</v>
      </c>
      <c r="AW44" s="22">
        <f t="shared" si="850"/>
        <v>0.11759365994236311</v>
      </c>
      <c r="AX44" s="22">
        <f t="shared" si="850"/>
        <v>0.11079841228526809</v>
      </c>
      <c r="AY44" s="28">
        <f t="shared" si="850"/>
        <v>0.10427905348419025</v>
      </c>
      <c r="AZ44" s="28">
        <f t="shared" si="850"/>
        <v>0.11233849813448034</v>
      </c>
      <c r="BA44" s="28">
        <f t="shared" si="850"/>
        <v>0.12966184144579734</v>
      </c>
      <c r="BB44" s="28">
        <f t="shared" si="850"/>
        <v>0.11963977340585207</v>
      </c>
      <c r="BC44" s="28">
        <f t="shared" ref="BC44:BD44" si="851">BC41/BC$8</f>
        <v>0.12283322018556235</v>
      </c>
      <c r="BD44" s="28">
        <f t="shared" si="851"/>
        <v>0.1226576059777013</v>
      </c>
      <c r="BE44" s="28">
        <f t="shared" ref="BE44:BF44" si="852">BE41/BE$8</f>
        <v>0.14144749773951332</v>
      </c>
      <c r="BF44" s="28">
        <f t="shared" si="852"/>
        <v>0.12413704934799284</v>
      </c>
      <c r="BG44" s="28">
        <f t="shared" ref="BG44:BH44" si="853">BG41/BG$8</f>
        <v>0.12596039389676442</v>
      </c>
      <c r="BH44" s="28">
        <f t="shared" si="853"/>
        <v>0.13927591164553654</v>
      </c>
      <c r="BI44" s="28">
        <f t="shared" ref="BI44:BJ44" si="854">BI41/BI$8</f>
        <v>0.13833329369515066</v>
      </c>
      <c r="BJ44" s="28">
        <f t="shared" si="854"/>
        <v>0.1343316421619383</v>
      </c>
      <c r="BK44" s="28">
        <f t="shared" ref="BK44:BL44" si="855">BK41/BK$8</f>
        <v>0.13572319881758599</v>
      </c>
      <c r="BL44" s="28">
        <f t="shared" si="855"/>
        <v>0.1478426687497128</v>
      </c>
      <c r="BM44" s="28">
        <f t="shared" si="850"/>
        <v>0.14540251503226961</v>
      </c>
      <c r="BN44" s="28">
        <f t="shared" si="850"/>
        <v>0.13788285533379321</v>
      </c>
      <c r="BO44" s="28">
        <f t="shared" si="850"/>
        <v>0.13998202585346187</v>
      </c>
      <c r="BP44" s="28">
        <f t="shared" si="850"/>
        <v>0.15077185598715992</v>
      </c>
      <c r="BQ44" s="28">
        <f t="shared" si="850"/>
        <v>0.14767454342741976</v>
      </c>
      <c r="BR44" s="28">
        <f>BR41/BR$8</f>
        <v>0.14037838116621698</v>
      </c>
      <c r="BS44" s="28">
        <f t="shared" ref="BS44:BU44" si="856">BS41/BS$8</f>
        <v>0.14330781671231954</v>
      </c>
      <c r="BT44" s="28">
        <f t="shared" si="856"/>
        <v>0.15425098706299414</v>
      </c>
      <c r="BU44" s="28">
        <f t="shared" si="856"/>
        <v>0.15147175512698216</v>
      </c>
      <c r="BV44" s="28">
        <f t="shared" ref="BV44:CC44" si="857">BV41/BV$8</f>
        <v>0.14504279552232865</v>
      </c>
      <c r="BW44" s="28">
        <f t="shared" si="857"/>
        <v>0.14890603240302222</v>
      </c>
      <c r="BX44" s="28">
        <f t="shared" si="857"/>
        <v>0.16014774923169231</v>
      </c>
      <c r="BY44" s="28">
        <f t="shared" si="857"/>
        <v>0.15767835657291693</v>
      </c>
      <c r="BZ44" s="28">
        <f t="shared" si="857"/>
        <v>0.14981813087388116</v>
      </c>
      <c r="CA44" s="28">
        <f t="shared" si="857"/>
        <v>0.15468675596782011</v>
      </c>
      <c r="CB44" s="28">
        <f t="shared" si="857"/>
        <v>0.16623612705789922</v>
      </c>
      <c r="CC44" s="28">
        <f t="shared" si="857"/>
        <v>0.16410987742954194</v>
      </c>
      <c r="CD44" s="28">
        <f t="shared" ref="CD44:CG44" si="858">CD41/CD$8</f>
        <v>0.15472552770033374</v>
      </c>
      <c r="CE44" s="28">
        <f t="shared" si="858"/>
        <v>0.16066946095912468</v>
      </c>
      <c r="CF44" s="28">
        <f t="shared" si="858"/>
        <v>0.17253547113539197</v>
      </c>
      <c r="CG44" s="28">
        <f t="shared" si="858"/>
        <v>0.17078737257512119</v>
      </c>
      <c r="CH44" s="28"/>
      <c r="CI44" s="110"/>
      <c r="CJ44" s="30"/>
      <c r="CK44" s="110"/>
      <c r="CL44" s="110"/>
      <c r="CM44" s="30"/>
      <c r="CN44" s="110"/>
      <c r="CO44" s="30"/>
      <c r="CP44" s="106" t="s">
        <v>82</v>
      </c>
      <c r="CQ44" s="22">
        <f t="shared" ref="CQ44:CY44" si="859">CQ41/CQ$8</f>
        <v>0.10774263736937269</v>
      </c>
      <c r="CR44" s="107">
        <f t="shared" si="859"/>
        <v>0.11206323069323235</v>
      </c>
      <c r="CS44" s="22">
        <f t="shared" si="859"/>
        <v>0.12874551546238919</v>
      </c>
      <c r="CT44" s="107">
        <f t="shared" si="859"/>
        <v>0.11801506342383457</v>
      </c>
      <c r="CU44" s="22">
        <f t="shared" si="859"/>
        <v>0.11460272632608627</v>
      </c>
      <c r="CV44" s="107">
        <f t="shared" si="859"/>
        <v>0.12727532903064837</v>
      </c>
      <c r="CW44" s="22">
        <f t="shared" si="859"/>
        <v>0.13229265733119078</v>
      </c>
      <c r="CX44" s="107">
        <f t="shared" si="859"/>
        <v>0.14118466097710575</v>
      </c>
      <c r="CY44" s="107">
        <f t="shared" si="859"/>
        <v>0.14437999973525159</v>
      </c>
      <c r="CZ44" s="107">
        <f>CZ41/CZ$8</f>
        <v>0.14767641541537788</v>
      </c>
      <c r="DA44" s="107">
        <f>DA41/DA$8</f>
        <v>0.1532937450834741</v>
      </c>
      <c r="DB44" s="107">
        <f>DB41/DB$8</f>
        <v>0.15908777689048537</v>
      </c>
      <c r="DC44" s="107">
        <f>DC41/DC$8</f>
        <v>0.16507847221277749</v>
      </c>
    </row>
    <row r="45" spans="1:110" hidden="1" outlineLevel="1" x14ac:dyDescent="0.2">
      <c r="A45" s="11" t="s">
        <v>59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22">
        <f>AK41/AK$3</f>
        <v>0.1223396071593415</v>
      </c>
      <c r="AL45" s="22">
        <f t="shared" ref="AL45:BQ45" si="860">AL41/AL$3</f>
        <v>0.10046625222024867</v>
      </c>
      <c r="AM45" s="22">
        <f t="shared" si="860"/>
        <v>0.10549723328334282</v>
      </c>
      <c r="AN45" s="22">
        <f t="shared" si="860"/>
        <v>0.10068365444375388</v>
      </c>
      <c r="AO45" s="22">
        <f t="shared" si="860"/>
        <v>0.11490439186239414</v>
      </c>
      <c r="AP45" s="22">
        <f t="shared" si="860"/>
        <v>0.10823672971323978</v>
      </c>
      <c r="AQ45" s="22">
        <f t="shared" si="860"/>
        <v>0.13484920258960997</v>
      </c>
      <c r="AR45" s="22">
        <f t="shared" si="860"/>
        <v>0.11904296238346698</v>
      </c>
      <c r="AS45" s="22">
        <f t="shared" si="860"/>
        <v>0.11769892776523702</v>
      </c>
      <c r="AT45" s="22">
        <f t="shared" si="860"/>
        <v>0.11759167043911271</v>
      </c>
      <c r="AU45" s="22">
        <f t="shared" si="860"/>
        <v>0.10735067671610342</v>
      </c>
      <c r="AV45" s="22">
        <f t="shared" si="860"/>
        <v>0.10410950457810525</v>
      </c>
      <c r="AW45" s="22">
        <f t="shared" si="860"/>
        <v>0.10889900054709704</v>
      </c>
      <c r="AX45" s="22">
        <f t="shared" si="860"/>
        <v>0.10121409359071523</v>
      </c>
      <c r="AY45" s="28">
        <f t="shared" si="860"/>
        <v>9.481024928744014E-2</v>
      </c>
      <c r="AZ45" s="28">
        <f t="shared" si="860"/>
        <v>0.10103304271375192</v>
      </c>
      <c r="BA45" s="28">
        <f t="shared" si="860"/>
        <v>0.11704123587880723</v>
      </c>
      <c r="BB45" s="28">
        <f t="shared" si="860"/>
        <v>0.10679248001152489</v>
      </c>
      <c r="BC45" s="28">
        <f t="shared" ref="BC45:BD45" si="861">BC41/BC$3</f>
        <v>0.10955917971903763</v>
      </c>
      <c r="BD45" s="28">
        <f t="shared" si="861"/>
        <v>0.10915350079191591</v>
      </c>
      <c r="BE45" s="28">
        <f t="shared" ref="BE45:BF45" si="862">BE41/BE$3</f>
        <v>0.1262411845198414</v>
      </c>
      <c r="BF45" s="28">
        <f t="shared" si="862"/>
        <v>0.10927574651127894</v>
      </c>
      <c r="BG45" s="28">
        <f t="shared" ref="BG45:BH45" si="863">BG41/BG$3</f>
        <v>0.11049540195787601</v>
      </c>
      <c r="BH45" s="28">
        <f t="shared" si="863"/>
        <v>0.12127971956341121</v>
      </c>
      <c r="BI45" s="28">
        <f t="shared" ref="BI45:BJ45" si="864">BI41/BI$3</f>
        <v>0.12111526408395715</v>
      </c>
      <c r="BJ45" s="28">
        <f t="shared" si="864"/>
        <v>0.11593539162682633</v>
      </c>
      <c r="BK45" s="28">
        <f t="shared" ref="BK45:BL45" si="865">BK41/BK$3</f>
        <v>0.11649526344796032</v>
      </c>
      <c r="BL45" s="28">
        <f t="shared" si="865"/>
        <v>0.12591846119226291</v>
      </c>
      <c r="BM45" s="28">
        <f t="shared" si="860"/>
        <v>0.12362315702081159</v>
      </c>
      <c r="BN45" s="28">
        <f t="shared" si="860"/>
        <v>0.11464051806592748</v>
      </c>
      <c r="BO45" s="28">
        <f t="shared" si="860"/>
        <v>0.1162940670527127</v>
      </c>
      <c r="BP45" s="28">
        <f t="shared" si="860"/>
        <v>0.12459622076256764</v>
      </c>
      <c r="BQ45" s="28">
        <f t="shared" si="860"/>
        <v>0.12306198738706292</v>
      </c>
      <c r="BR45" s="28">
        <f>BR41/BR$3</f>
        <v>0.11351511712808918</v>
      </c>
      <c r="BS45" s="28">
        <f t="shared" ref="BS45:BU45" si="866">BS41/BS$3</f>
        <v>0.11565673775740117</v>
      </c>
      <c r="BT45" s="28">
        <f t="shared" si="866"/>
        <v>0.12375536339159773</v>
      </c>
      <c r="BU45" s="28">
        <f t="shared" si="866"/>
        <v>0.12262960664005293</v>
      </c>
      <c r="BV45" s="28">
        <f t="shared" ref="BV45:CC45" si="867">BV41/BV$3</f>
        <v>0.1140955406568511</v>
      </c>
      <c r="BW45" s="28">
        <f t="shared" si="867"/>
        <v>0.11673662042976075</v>
      </c>
      <c r="BX45" s="28">
        <f t="shared" si="867"/>
        <v>0.12474468341345042</v>
      </c>
      <c r="BY45" s="28">
        <f t="shared" si="867"/>
        <v>0.12400024731188625</v>
      </c>
      <c r="BZ45" s="28">
        <f t="shared" si="867"/>
        <v>0.1147375657270861</v>
      </c>
      <c r="CA45" s="28">
        <f t="shared" si="867"/>
        <v>0.11786522695610267</v>
      </c>
      <c r="CB45" s="28">
        <f t="shared" si="867"/>
        <v>0.12579480234509199</v>
      </c>
      <c r="CC45" s="28">
        <f t="shared" si="867"/>
        <v>0.12542023795739016</v>
      </c>
      <c r="CD45" s="28">
        <f t="shared" ref="CD45:CG45" si="868">CD41/CD$3</f>
        <v>0.11561984709070255</v>
      </c>
      <c r="CE45" s="28">
        <f t="shared" si="868"/>
        <v>0.11922881864150553</v>
      </c>
      <c r="CF45" s="28">
        <f t="shared" si="868"/>
        <v>0.12710654411192876</v>
      </c>
      <c r="CG45" s="28">
        <f t="shared" si="868"/>
        <v>0.12708602678568012</v>
      </c>
      <c r="CH45" s="28"/>
      <c r="CI45" s="110"/>
      <c r="CJ45" s="30"/>
      <c r="CK45" s="110"/>
      <c r="CL45" s="110"/>
      <c r="CM45" s="30"/>
      <c r="CN45" s="110"/>
      <c r="CO45" s="30"/>
      <c r="CP45" s="107">
        <f t="shared" ref="CP45:CY45" si="869">CP41/CP$3</f>
        <v>9.8878399681095866E-2</v>
      </c>
      <c r="CQ45" s="22">
        <f t="shared" si="869"/>
        <v>0.10332843497428361</v>
      </c>
      <c r="CR45" s="107">
        <f t="shared" si="869"/>
        <v>0.10584597774086585</v>
      </c>
      <c r="CS45" s="22">
        <f t="shared" si="869"/>
        <v>0.11949211311325636</v>
      </c>
      <c r="CT45" s="107">
        <f t="shared" si="869"/>
        <v>0.10918651527839991</v>
      </c>
      <c r="CU45" s="22">
        <f t="shared" si="869"/>
        <v>0.10383906107044831</v>
      </c>
      <c r="CV45" s="107">
        <f t="shared" si="869"/>
        <v>0.11349634035814429</v>
      </c>
      <c r="CW45" s="22">
        <f t="shared" si="869"/>
        <v>0.11586660117934622</v>
      </c>
      <c r="CX45" s="107">
        <f t="shared" si="869"/>
        <v>0.1207728167370731</v>
      </c>
      <c r="CY45" s="107">
        <f t="shared" si="869"/>
        <v>0.11990923993474936</v>
      </c>
      <c r="CZ45" s="107">
        <f>CZ41/CZ$3</f>
        <v>0.11915957985035182</v>
      </c>
      <c r="DA45" s="107">
        <f>DA41/DA$3</f>
        <v>0.12017629315899241</v>
      </c>
      <c r="DB45" s="107">
        <f>DB41/DB$3</f>
        <v>0.12124695202827515</v>
      </c>
      <c r="DC45" s="107">
        <f>DC41/DC$3</f>
        <v>0.12256265992043003</v>
      </c>
    </row>
    <row r="46" spans="1:110" collapsed="1" x14ac:dyDescent="0.2">
      <c r="A46" s="11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2"/>
      <c r="CI46" s="92"/>
      <c r="CK46" s="92"/>
      <c r="CL46" s="92"/>
      <c r="CN46" s="92"/>
      <c r="CP46" s="92"/>
      <c r="CR46" s="118"/>
      <c r="CS46" s="77"/>
      <c r="CT46" s="89"/>
      <c r="CU46" s="89"/>
      <c r="CV46" s="89"/>
      <c r="CW46" s="89"/>
      <c r="CX46" s="89"/>
      <c r="CY46" s="89"/>
      <c r="CZ46" s="89"/>
      <c r="DA46" s="89"/>
      <c r="DB46" s="89"/>
      <c r="DC46" s="89"/>
    </row>
    <row r="47" spans="1:110" x14ac:dyDescent="0.2">
      <c r="A47" s="9" t="s">
        <v>74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7">
        <v>1709</v>
      </c>
      <c r="AL47" s="17">
        <v>1825</v>
      </c>
      <c r="AM47" s="17">
        <v>2100</v>
      </c>
      <c r="AN47" s="18">
        <v>2379</v>
      </c>
      <c r="AO47" s="17">
        <v>2614</v>
      </c>
      <c r="AP47" s="17">
        <v>2777</v>
      </c>
      <c r="AQ47" s="17">
        <v>3007</v>
      </c>
      <c r="AR47" s="17">
        <v>3444</v>
      </c>
      <c r="AS47" s="17">
        <v>3831</v>
      </c>
      <c r="AT47" s="17">
        <v>4047</v>
      </c>
      <c r="AU47" s="18">
        <v>4628</v>
      </c>
      <c r="AV47" s="18">
        <v>4990</v>
      </c>
      <c r="AW47" s="18">
        <v>5541</v>
      </c>
      <c r="AX47" s="18">
        <v>5821</v>
      </c>
      <c r="AY47" s="18">
        <v>6276</v>
      </c>
      <c r="AZ47" s="18">
        <v>6868</v>
      </c>
      <c r="BA47" s="18">
        <v>7315</v>
      </c>
      <c r="BB47" s="18">
        <v>7454</v>
      </c>
      <c r="BC47" s="18">
        <v>8031</v>
      </c>
      <c r="BD47" s="18">
        <v>8411</v>
      </c>
      <c r="BE47" s="18">
        <v>9192</v>
      </c>
      <c r="BF47" s="18">
        <v>9574</v>
      </c>
      <c r="BG47" s="18">
        <v>10347</v>
      </c>
      <c r="BH47" s="18">
        <v>11353</v>
      </c>
      <c r="BI47" s="18">
        <v>11955</v>
      </c>
      <c r="BJ47" s="18">
        <v>12260</v>
      </c>
      <c r="BK47" s="18">
        <v>13624</v>
      </c>
      <c r="BL47" s="18">
        <v>15157</v>
      </c>
      <c r="BM47" s="72">
        <f t="shared" ref="BM47:BQ47" si="870">BI47*(1+BM49)</f>
        <v>16737</v>
      </c>
      <c r="BN47" s="72">
        <f t="shared" si="870"/>
        <v>17409.2</v>
      </c>
      <c r="BO47" s="72">
        <f t="shared" si="870"/>
        <v>18528.64</v>
      </c>
      <c r="BP47" s="72">
        <f t="shared" si="870"/>
        <v>20158.810000000001</v>
      </c>
      <c r="BQ47" s="72">
        <f t="shared" si="870"/>
        <v>20921.25</v>
      </c>
      <c r="BR47" s="72">
        <f>BN47*(1+BR49)</f>
        <v>22457.868000000002</v>
      </c>
      <c r="BS47" s="72">
        <f t="shared" ref="BS47" si="871">BO47*(1+BS49)</f>
        <v>23901.945599999999</v>
      </c>
      <c r="BT47" s="72">
        <f t="shared" ref="BT47" si="872">BP47*(1+BT49)</f>
        <v>26004.864900000004</v>
      </c>
      <c r="BU47" s="72">
        <f t="shared" ref="BU47" si="873">BQ47*(1+BU49)</f>
        <v>26988.412500000002</v>
      </c>
      <c r="BV47" s="72">
        <f t="shared" ref="BV47" si="874">BR47*(1+BV49)</f>
        <v>28296.913680000001</v>
      </c>
      <c r="BW47" s="72">
        <f t="shared" ref="BW47" si="875">BS47*(1+BW49)</f>
        <v>30116.451455999999</v>
      </c>
      <c r="BX47" s="72">
        <f t="shared" ref="BX47" si="876">BT47*(1+BX49)</f>
        <v>32766.129774000005</v>
      </c>
      <c r="BY47" s="72">
        <f t="shared" ref="BY47" si="877">BU47*(1+BY49)</f>
        <v>34005.399750000004</v>
      </c>
      <c r="BZ47" s="72">
        <f t="shared" ref="BZ47" si="878">BV47*(1+BZ49)</f>
        <v>34805.2038264</v>
      </c>
      <c r="CA47" s="72">
        <f t="shared" ref="CA47" si="879">BW47*(1+CA49)</f>
        <v>37043.235290879995</v>
      </c>
      <c r="CB47" s="72">
        <f t="shared" ref="CB47" si="880">BX47*(1+CB49)</f>
        <v>40302.339622020008</v>
      </c>
      <c r="CC47" s="72">
        <f t="shared" ref="CC47" si="881">BY47*(1+CC49)</f>
        <v>41826.641692500001</v>
      </c>
      <c r="CD47" s="72">
        <f t="shared" ref="CD47" si="882">BZ47*(1+CD49)</f>
        <v>41766.244591679999</v>
      </c>
      <c r="CE47" s="72">
        <f t="shared" ref="CE47" si="883">CA47*(1+CE49)</f>
        <v>44451.882349055995</v>
      </c>
      <c r="CF47" s="72">
        <f t="shared" ref="CF47" si="884">CB47*(1+CF49)</f>
        <v>48362.80754642401</v>
      </c>
      <c r="CG47" s="72">
        <f t="shared" ref="CG47" si="885">CC47*(1+CG49)</f>
        <v>50191.970030999997</v>
      </c>
      <c r="CH47" s="72"/>
      <c r="CI47" s="108"/>
      <c r="CJ47" s="45"/>
      <c r="CK47" s="108"/>
      <c r="CL47" s="108"/>
      <c r="CM47" s="45"/>
      <c r="CN47" s="108"/>
      <c r="CO47" s="45"/>
      <c r="CP47" s="117">
        <v>4056</v>
      </c>
      <c r="CQ47" s="78">
        <v>5838</v>
      </c>
      <c r="CR47" s="90">
        <f>SUM(AL47:AO47)</f>
        <v>8918</v>
      </c>
      <c r="CS47" s="21">
        <f>SUM(AP47:AS47)</f>
        <v>13059</v>
      </c>
      <c r="CT47" s="90">
        <f>SUM(AT47:AW47)</f>
        <v>19206</v>
      </c>
      <c r="CU47" s="21">
        <f>SUM(AX47:BA47)</f>
        <v>26280</v>
      </c>
      <c r="CV47" s="90">
        <f>SUM(BB47:BE47)</f>
        <v>33088</v>
      </c>
      <c r="CW47" s="21">
        <f>SUM(BF47:BI47)</f>
        <v>43229</v>
      </c>
      <c r="CX47" s="90">
        <f>SUM(BJ47:BM47)</f>
        <v>57778</v>
      </c>
      <c r="CY47" s="90">
        <f>SUM(BN47:BQ47)</f>
        <v>77017.899999999994</v>
      </c>
      <c r="CZ47" s="90">
        <f>SUM(BR47:BU47)</f>
        <v>99353.091000000015</v>
      </c>
      <c r="DA47" s="90">
        <f>SUM(BV47:BY47)</f>
        <v>125184.89466000002</v>
      </c>
      <c r="DB47" s="90">
        <f>SUM(BZ47:CC47)</f>
        <v>153977.42043180001</v>
      </c>
      <c r="DC47" s="90">
        <f>SUM(CD47:CG47)</f>
        <v>184772.90451816001</v>
      </c>
      <c r="DD47" s="21"/>
      <c r="DF47" s="20"/>
    </row>
    <row r="48" spans="1:110" x14ac:dyDescent="0.2">
      <c r="A48" s="8" t="s">
        <v>62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25" t="s">
        <v>82</v>
      </c>
      <c r="AL48" s="22">
        <f>IF(AND(AK47&lt;0,AL47&gt;0),"n/a",AL47/AK47-1)</f>
        <v>6.787595084844944E-2</v>
      </c>
      <c r="AM48" s="22">
        <f t="shared" ref="AM48" si="886">IF(AND(AL47&lt;0,AM47&gt;0),"n/a",AM47/AL47-1)</f>
        <v>0.15068493150684925</v>
      </c>
      <c r="AN48" s="22">
        <f t="shared" ref="AN48" si="887">IF(AND(AM47&lt;0,AN47&gt;0),"n/a",AN47/AM47-1)</f>
        <v>0.13285714285714278</v>
      </c>
      <c r="AO48" s="22">
        <f t="shared" ref="AO48" si="888">IF(AND(AN47&lt;0,AO47&gt;0),"n/a",AO47/AN47-1)</f>
        <v>9.8781000420344656E-2</v>
      </c>
      <c r="AP48" s="22">
        <f t="shared" ref="AP48" si="889">IF(AND(AO47&lt;0,AP47&gt;0),"n/a",AP47/AO47-1)</f>
        <v>6.2356541698546319E-2</v>
      </c>
      <c r="AQ48" s="22">
        <f t="shared" ref="AQ48" si="890">IF(AND(AP47&lt;0,AQ47&gt;0),"n/a",AQ47/AP47-1)</f>
        <v>8.2823190493338084E-2</v>
      </c>
      <c r="AR48" s="22">
        <f t="shared" ref="AR48" si="891">IF(AND(AQ47&lt;0,AR47&gt;0),"n/a",AR47/AQ47-1)</f>
        <v>0.14532756900565347</v>
      </c>
      <c r="AS48" s="22">
        <f t="shared" ref="AS48" si="892">IF(AND(AR47&lt;0,AS47&gt;0),"n/a",AS47/AR47-1)</f>
        <v>0.11236933797909399</v>
      </c>
      <c r="AT48" s="22">
        <f t="shared" ref="AT48" si="893">IF(AND(AS47&lt;0,AT47&gt;0),"n/a",AT47/AS47-1)</f>
        <v>5.6382145653876226E-2</v>
      </c>
      <c r="AU48" s="22">
        <f t="shared" ref="AU48" si="894">IF(AND(AT47&lt;0,AU47&gt;0),"n/a",AU47/AT47-1)</f>
        <v>0.1435631331850753</v>
      </c>
      <c r="AV48" s="22">
        <f t="shared" ref="AV48" si="895">IF(AND(AU47&lt;0,AV47&gt;0),"n/a",AV47/AU47-1)</f>
        <v>7.821953327571296E-2</v>
      </c>
      <c r="AW48" s="22">
        <f t="shared" ref="AW48" si="896">IF(AND(AV47&lt;0,AW47&gt;0),"n/a",AW47/AV47-1)</f>
        <v>0.11042084168336674</v>
      </c>
      <c r="AX48" s="22">
        <f t="shared" ref="AX48" si="897">IF(AND(AW47&lt;0,AX47&gt;0),"n/a",AX47/AW47-1)</f>
        <v>5.0532394874571285E-2</v>
      </c>
      <c r="AY48" s="28">
        <f t="shared" ref="AY48" si="898">IF(AND(AX47&lt;0,AY47&gt;0),"n/a",AY47/AX47-1)</f>
        <v>7.8165263700395116E-2</v>
      </c>
      <c r="AZ48" s="28">
        <f t="shared" ref="AZ48" si="899">IF(AND(AY47&lt;0,AZ47&gt;0),"n/a",AZ47/AY47-1)</f>
        <v>9.432759719566608E-2</v>
      </c>
      <c r="BA48" s="28">
        <f t="shared" ref="BA48" si="900">IF(AND(AZ47&lt;0,BA47&gt;0),"n/a",BA47/AZ47-1)</f>
        <v>6.5084449621432672E-2</v>
      </c>
      <c r="BB48" s="28">
        <f t="shared" ref="BB48:BL48" si="901">IF(AND(BA47&lt;0,BB47&gt;0),"n/a",BB47/BA47-1)</f>
        <v>1.900205058099802E-2</v>
      </c>
      <c r="BC48" s="28">
        <f t="shared" si="901"/>
        <v>7.7408103031929132E-2</v>
      </c>
      <c r="BD48" s="28">
        <f t="shared" si="901"/>
        <v>4.731664798904256E-2</v>
      </c>
      <c r="BE48" s="28">
        <f t="shared" si="901"/>
        <v>9.2854595172987775E-2</v>
      </c>
      <c r="BF48" s="28">
        <f t="shared" si="901"/>
        <v>4.155787641427322E-2</v>
      </c>
      <c r="BG48" s="28">
        <f t="shared" si="901"/>
        <v>8.0739502820137865E-2</v>
      </c>
      <c r="BH48" s="28">
        <f t="shared" si="901"/>
        <v>9.7226249154344302E-2</v>
      </c>
      <c r="BI48" s="28">
        <f t="shared" si="901"/>
        <v>5.3025631991544087E-2</v>
      </c>
      <c r="BJ48" s="28">
        <f t="shared" si="901"/>
        <v>2.5512337933918827E-2</v>
      </c>
      <c r="BK48" s="28">
        <f t="shared" si="901"/>
        <v>0.11125611745513875</v>
      </c>
      <c r="BL48" s="28">
        <f t="shared" si="901"/>
        <v>0.11252201996476807</v>
      </c>
      <c r="BM48" s="28">
        <f t="shared" ref="BM48" si="902">IF(AND(BL47&lt;0,BM47&gt;0),"n/a",BM47/BL47-1)</f>
        <v>0.10424226430032335</v>
      </c>
      <c r="BN48" s="28">
        <f t="shared" ref="BN48" si="903">IF(AND(BM47&lt;0,BN47&gt;0),"n/a",BN47/BM47-1)</f>
        <v>4.0162514190117848E-2</v>
      </c>
      <c r="BO48" s="28">
        <f t="shared" ref="BO48" si="904">IF(AND(BN47&lt;0,BO47&gt;0),"n/a",BO47/BN47-1)</f>
        <v>6.4301633619005871E-2</v>
      </c>
      <c r="BP48" s="28">
        <f t="shared" ref="BP48" si="905">IF(AND(BO47&lt;0,BP47&gt;0),"n/a",BP47/BO47-1)</f>
        <v>8.7981093053780546E-2</v>
      </c>
      <c r="BQ48" s="28">
        <f t="shared" ref="BQ48" si="906">IF(AND(BP47&lt;0,BQ47&gt;0),"n/a",BQ47/BP47-1)</f>
        <v>3.7821676973988083E-2</v>
      </c>
      <c r="BR48" s="28">
        <f>IF(AND(BQ47&lt;0,BR47&gt;0),"n/a",BR47/BQ47-1)</f>
        <v>7.3447714644201634E-2</v>
      </c>
      <c r="BS48" s="28">
        <f t="shared" ref="BS48" si="907">IF(AND(BR47&lt;0,BS47&gt;0),"n/a",BS47/BR47-1)</f>
        <v>6.4301633619005871E-2</v>
      </c>
      <c r="BT48" s="28">
        <f t="shared" ref="BT48" si="908">IF(AND(BS47&lt;0,BT47&gt;0),"n/a",BT47/BS47-1)</f>
        <v>8.7981093053780768E-2</v>
      </c>
      <c r="BU48" s="28">
        <f t="shared" ref="BU48" si="909">IF(AND(BT47&lt;0,BU47&gt;0),"n/a",BU47/BT47-1)</f>
        <v>3.7821676973987861E-2</v>
      </c>
      <c r="BV48" s="28">
        <f t="shared" ref="BV48" si="910">IF(AND(BU47&lt;0,BV47&gt;0),"n/a",BV47/BU47-1)</f>
        <v>4.8483814303638573E-2</v>
      </c>
      <c r="BW48" s="28">
        <f t="shared" ref="BW48" si="911">IF(AND(BV47&lt;0,BW47&gt;0),"n/a",BW47/BV47-1)</f>
        <v>6.4301633619005871E-2</v>
      </c>
      <c r="BX48" s="28">
        <f t="shared" ref="BX48" si="912">IF(AND(BW47&lt;0,BX47&gt;0),"n/a",BX47/BW47-1)</f>
        <v>8.7981093053780768E-2</v>
      </c>
      <c r="BY48" s="28">
        <f t="shared" ref="BY48" si="913">IF(AND(BX47&lt;0,BY47&gt;0),"n/a",BY47/BX47-1)</f>
        <v>3.7821676973988083E-2</v>
      </c>
      <c r="BZ48" s="28">
        <f t="shared" ref="BZ48" si="914">IF(AND(BY47&lt;0,BZ47&gt;0),"n/a",BZ47/BY47-1)</f>
        <v>2.3519913963075734E-2</v>
      </c>
      <c r="CA48" s="28">
        <f t="shared" ref="CA48" si="915">IF(AND(BZ47&lt;0,CA47&gt;0),"n/a",CA47/BZ47-1)</f>
        <v>6.4301633619005871E-2</v>
      </c>
      <c r="CB48" s="28">
        <f t="shared" ref="CB48" si="916">IF(AND(CA47&lt;0,CB47&gt;0),"n/a",CB47/CA47-1)</f>
        <v>8.798109305378099E-2</v>
      </c>
      <c r="CC48" s="28">
        <f t="shared" ref="CC48" si="917">IF(AND(CB47&lt;0,CC47&gt;0),"n/a",CC47/CB47-1)</f>
        <v>3.7821676973987861E-2</v>
      </c>
      <c r="CD48" s="28">
        <f t="shared" ref="CD48" si="918">IF(AND(CC47&lt;0,CD47&gt;0),"n/a",CD47/CC47-1)</f>
        <v>-1.4439863774871053E-3</v>
      </c>
      <c r="CE48" s="28">
        <f t="shared" ref="CE48" si="919">IF(AND(CD47&lt;0,CE47&gt;0),"n/a",CE47/CD47-1)</f>
        <v>6.4301633619005871E-2</v>
      </c>
      <c r="CF48" s="28">
        <f t="shared" ref="CF48" si="920">IF(AND(CE47&lt;0,CF47&gt;0),"n/a",CF47/CE47-1)</f>
        <v>8.7981093053780768E-2</v>
      </c>
      <c r="CG48" s="28">
        <f t="shared" ref="CG48" si="921">IF(AND(CF47&lt;0,CG47&gt;0),"n/a",CG47/CF47-1)</f>
        <v>3.7821676973987861E-2</v>
      </c>
      <c r="CH48" s="28"/>
      <c r="CI48" s="109"/>
      <c r="CJ48" s="59"/>
      <c r="CK48" s="109"/>
      <c r="CL48" s="109"/>
      <c r="CM48" s="59"/>
      <c r="CN48" s="109"/>
      <c r="CO48" s="59"/>
      <c r="CP48" s="106" t="s">
        <v>82</v>
      </c>
      <c r="CQ48" s="48" t="s">
        <v>82</v>
      </c>
      <c r="CR48" s="106" t="s">
        <v>82</v>
      </c>
      <c r="CS48" s="48" t="s">
        <v>82</v>
      </c>
      <c r="CT48" s="106" t="s">
        <v>82</v>
      </c>
      <c r="CU48" s="48" t="s">
        <v>82</v>
      </c>
      <c r="CV48" s="106" t="s">
        <v>82</v>
      </c>
      <c r="CW48" s="48" t="s">
        <v>82</v>
      </c>
      <c r="CX48" s="106" t="s">
        <v>82</v>
      </c>
      <c r="CY48" s="106" t="s">
        <v>82</v>
      </c>
      <c r="CZ48" s="106" t="s">
        <v>82</v>
      </c>
      <c r="DA48" s="106" t="s">
        <v>82</v>
      </c>
      <c r="DB48" s="106" t="s">
        <v>82</v>
      </c>
      <c r="DC48" s="106" t="s">
        <v>82</v>
      </c>
      <c r="DF48" s="28"/>
    </row>
    <row r="49" spans="1:108" x14ac:dyDescent="0.2">
      <c r="A49" s="8" t="s">
        <v>63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25" t="s">
        <v>82</v>
      </c>
      <c r="AL49" s="25" t="s">
        <v>82</v>
      </c>
      <c r="AM49" s="25" t="s">
        <v>82</v>
      </c>
      <c r="AN49" s="25" t="s">
        <v>82</v>
      </c>
      <c r="AO49" s="22">
        <f t="shared" ref="AO49" si="922">IF(AND(AK47&lt;0,AO47&gt;0),"n/a",AO47/AK47-1)</f>
        <v>0.529549444119368</v>
      </c>
      <c r="AP49" s="22">
        <f t="shared" ref="AP49" si="923">IF(AND(AL47&lt;0,AP47&gt;0),"n/a",AP47/AL47-1)</f>
        <v>0.52164383561643834</v>
      </c>
      <c r="AQ49" s="22">
        <f t="shared" ref="AQ49" si="924">IF(AND(AM47&lt;0,AQ47&gt;0),"n/a",AQ47/AM47-1)</f>
        <v>0.43190476190476201</v>
      </c>
      <c r="AR49" s="22">
        <f t="shared" ref="AR49" si="925">IF(AND(AN47&lt;0,AR47&gt;0),"n/a",AR47/AN47-1)</f>
        <v>0.44766708701134927</v>
      </c>
      <c r="AS49" s="22">
        <f t="shared" ref="AS49" si="926">IF(AND(AO47&lt;0,AS47&gt;0),"n/a",AS47/AO47-1)</f>
        <v>0.46557000765110934</v>
      </c>
      <c r="AT49" s="22">
        <f t="shared" ref="AT49:BL49" si="927">IF(AND(AP47&lt;0,AT47&gt;0),"n/a",AT47/AP47-1)</f>
        <v>0.4573280518545193</v>
      </c>
      <c r="AU49" s="22">
        <f t="shared" si="927"/>
        <v>0.53907549052211512</v>
      </c>
      <c r="AV49" s="22">
        <f t="shared" si="927"/>
        <v>0.44889663182346107</v>
      </c>
      <c r="AW49" s="22">
        <f t="shared" si="927"/>
        <v>0.44635865309318712</v>
      </c>
      <c r="AX49" s="22">
        <f t="shared" si="927"/>
        <v>0.4383493946132937</v>
      </c>
      <c r="AY49" s="28">
        <f t="shared" si="927"/>
        <v>0.35609334485738975</v>
      </c>
      <c r="AZ49" s="28">
        <f t="shared" si="927"/>
        <v>0.37635270541082155</v>
      </c>
      <c r="BA49" s="28">
        <f t="shared" si="927"/>
        <v>0.3201588160981772</v>
      </c>
      <c r="BB49" s="28">
        <f t="shared" si="927"/>
        <v>0.28053599037965982</v>
      </c>
      <c r="BC49" s="28">
        <f t="shared" si="927"/>
        <v>0.2796367112810707</v>
      </c>
      <c r="BD49" s="28">
        <f t="shared" si="927"/>
        <v>0.22466511357018049</v>
      </c>
      <c r="BE49" s="28">
        <f t="shared" si="927"/>
        <v>0.25659603554340404</v>
      </c>
      <c r="BF49" s="28">
        <f t="shared" si="927"/>
        <v>0.28441105446740012</v>
      </c>
      <c r="BG49" s="28">
        <f t="shared" si="927"/>
        <v>0.28838251774374291</v>
      </c>
      <c r="BH49" s="28">
        <f t="shared" si="927"/>
        <v>0.34978004993460954</v>
      </c>
      <c r="BI49" s="28">
        <f t="shared" si="927"/>
        <v>0.3005874673629243</v>
      </c>
      <c r="BJ49" s="28">
        <f t="shared" si="927"/>
        <v>0.28055149362857734</v>
      </c>
      <c r="BK49" s="28">
        <f t="shared" si="927"/>
        <v>0.31671015753358467</v>
      </c>
      <c r="BL49" s="28">
        <f t="shared" si="927"/>
        <v>0.33506562142165075</v>
      </c>
      <c r="BM49" s="26">
        <v>0.4</v>
      </c>
      <c r="BN49" s="26">
        <v>0.42</v>
      </c>
      <c r="BO49" s="26">
        <v>0.36</v>
      </c>
      <c r="BP49" s="26">
        <v>0.33</v>
      </c>
      <c r="BQ49" s="26">
        <v>0.25</v>
      </c>
      <c r="BR49" s="26">
        <v>0.28999999999999998</v>
      </c>
      <c r="BS49" s="26">
        <v>0.28999999999999998</v>
      </c>
      <c r="BT49" s="26">
        <v>0.28999999999999998</v>
      </c>
      <c r="BU49" s="26">
        <v>0.28999999999999998</v>
      </c>
      <c r="BV49" s="26">
        <f>BR49-0.03</f>
        <v>0.26</v>
      </c>
      <c r="BW49" s="26">
        <f t="shared" ref="BW49:CG49" si="928">BS49-0.03</f>
        <v>0.26</v>
      </c>
      <c r="BX49" s="26">
        <f t="shared" si="928"/>
        <v>0.26</v>
      </c>
      <c r="BY49" s="26">
        <f t="shared" si="928"/>
        <v>0.26</v>
      </c>
      <c r="BZ49" s="26">
        <f t="shared" si="928"/>
        <v>0.23</v>
      </c>
      <c r="CA49" s="26">
        <f t="shared" si="928"/>
        <v>0.23</v>
      </c>
      <c r="CB49" s="26">
        <f t="shared" si="928"/>
        <v>0.23</v>
      </c>
      <c r="CC49" s="26">
        <f t="shared" si="928"/>
        <v>0.23</v>
      </c>
      <c r="CD49" s="26">
        <f t="shared" si="928"/>
        <v>0.2</v>
      </c>
      <c r="CE49" s="26">
        <f t="shared" si="928"/>
        <v>0.2</v>
      </c>
      <c r="CF49" s="26">
        <f t="shared" si="928"/>
        <v>0.2</v>
      </c>
      <c r="CG49" s="26">
        <f t="shared" si="928"/>
        <v>0.2</v>
      </c>
      <c r="CH49" s="26"/>
      <c r="CI49" s="109"/>
      <c r="CJ49" s="30"/>
      <c r="CK49" s="110"/>
      <c r="CL49" s="110"/>
      <c r="CM49" s="30"/>
      <c r="CN49" s="110"/>
      <c r="CO49" s="30"/>
      <c r="CP49" s="106" t="s">
        <v>82</v>
      </c>
      <c r="CQ49" s="22">
        <f t="shared" ref="CQ49" si="929">IF(AND(CP47&lt;0,CQ47&gt;0),"n/a",CQ47/CP47-1)</f>
        <v>0.43934911242603558</v>
      </c>
      <c r="CR49" s="107">
        <f t="shared" ref="CR49" si="930">IF(AND(CQ47&lt;0,CR47&gt;0),"n/a",CR47/CQ47-1)</f>
        <v>0.52757793764988015</v>
      </c>
      <c r="CS49" s="22">
        <f t="shared" ref="CS49" si="931">IF(AND(CR47&lt;0,CS47&gt;0),"n/a",CS47/CR47-1)</f>
        <v>0.46434178066831122</v>
      </c>
      <c r="CT49" s="107">
        <f t="shared" ref="CT49" si="932">IF(AND(CS47&lt;0,CT47&gt;0),"n/a",CT47/CS47-1)</f>
        <v>0.47070985527222597</v>
      </c>
      <c r="CU49" s="22">
        <f t="shared" ref="CU49" si="933">IF(AND(CT47&lt;0,CU47&gt;0),"n/a",CU47/CT47-1)</f>
        <v>0.36832239925023424</v>
      </c>
      <c r="CV49" s="107">
        <f t="shared" ref="CV49" si="934">IF(AND(CU47&lt;0,CV47&gt;0),"n/a",CV47/CU47-1)</f>
        <v>0.25905631659056327</v>
      </c>
      <c r="CW49" s="22">
        <f t="shared" ref="CW49" si="935">IF(AND(CV47&lt;0,CW47&gt;0),"n/a",CW47/CV47-1)</f>
        <v>0.30648573500967125</v>
      </c>
      <c r="CX49" s="107">
        <f t="shared" ref="CX49" si="936">IF(AND(CW47&lt;0,CX47&gt;0),"n/a",CX47/CW47-1)</f>
        <v>0.33655647829003676</v>
      </c>
      <c r="CY49" s="107">
        <f t="shared" ref="CY49" si="937">IF(AND(CX47&lt;0,CY47&gt;0),"n/a",CY47/CX47-1)</f>
        <v>0.3329969884731212</v>
      </c>
      <c r="CZ49" s="107">
        <f>IF(AND(CY47&lt;0,CZ47&gt;0),"n/a",CZ47/CY47-1)</f>
        <v>0.29000000000000026</v>
      </c>
      <c r="DA49" s="107">
        <f>IF(AND(CZ47&lt;0,DA47&gt;0),"n/a",DA47/CZ47-1)</f>
        <v>0.26</v>
      </c>
      <c r="DB49" s="107">
        <f>IF(AND(DA47&lt;0,DB47&gt;0),"n/a",DB47/DA47-1)</f>
        <v>0.22999999999999998</v>
      </c>
      <c r="DC49" s="107">
        <f>IF(AND(DB47&lt;0,DC47&gt;0),"n/a",DC47/DB47-1)</f>
        <v>0.19999999999999996</v>
      </c>
    </row>
    <row r="50" spans="1:108" x14ac:dyDescent="0.2">
      <c r="A50" s="8" t="s">
        <v>59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22">
        <f>AK47/AK$3</f>
        <v>4.3822760141545722E-2</v>
      </c>
      <c r="AL50" s="22">
        <f t="shared" ref="AL50:BQ50" si="938">AL47/AL$3</f>
        <v>5.064942273534636E-2</v>
      </c>
      <c r="AM50" s="22">
        <f t="shared" si="938"/>
        <v>5.4300046542897037E-2</v>
      </c>
      <c r="AN50" s="22">
        <f t="shared" si="938"/>
        <v>5.9142324425108764E-2</v>
      </c>
      <c r="AO50" s="22">
        <f t="shared" si="938"/>
        <v>5.7059285776652403E-2</v>
      </c>
      <c r="AP50" s="22">
        <f t="shared" si="938"/>
        <v>6.7773032336790731E-2</v>
      </c>
      <c r="AQ50" s="22">
        <f t="shared" si="938"/>
        <v>7.9135743986525606E-2</v>
      </c>
      <c r="AR50" s="22">
        <f t="shared" si="938"/>
        <v>7.4841906252037294E-2</v>
      </c>
      <c r="AS50" s="22">
        <f t="shared" si="938"/>
        <v>6.7561371331828449E-2</v>
      </c>
      <c r="AT50" s="22">
        <f t="shared" si="938"/>
        <v>7.3282028066998642E-2</v>
      </c>
      <c r="AU50" s="22">
        <f t="shared" si="938"/>
        <v>7.5014182672826002E-2</v>
      </c>
      <c r="AV50" s="22">
        <f t="shared" si="938"/>
        <v>7.6918334001294816E-2</v>
      </c>
      <c r="AW50" s="22">
        <f t="shared" si="938"/>
        <v>7.3938164689555788E-2</v>
      </c>
      <c r="AX50" s="22">
        <f t="shared" si="938"/>
        <v>8.6502310790126755E-2</v>
      </c>
      <c r="AY50" s="28">
        <f t="shared" si="938"/>
        <v>9.0802552194105643E-2</v>
      </c>
      <c r="AZ50" s="28">
        <f t="shared" si="938"/>
        <v>0.10063740933401714</v>
      </c>
      <c r="BA50" s="28">
        <f t="shared" si="938"/>
        <v>9.7334770401713844E-2</v>
      </c>
      <c r="BB50" s="28">
        <f t="shared" si="938"/>
        <v>0.10738313044730965</v>
      </c>
      <c r="BC50" s="28">
        <f t="shared" ref="BC50:BD50" si="939">BC47/BC$3</f>
        <v>0.10806555788793799</v>
      </c>
      <c r="BD50" s="28">
        <f t="shared" si="939"/>
        <v>0.11009594617589696</v>
      </c>
      <c r="BE50" s="28">
        <f t="shared" ref="BE50:BF50" si="940">BE47/BE$3</f>
        <v>0.10750499982456756</v>
      </c>
      <c r="BF50" s="28">
        <f t="shared" si="940"/>
        <v>0.11971690091532036</v>
      </c>
      <c r="BG50" s="28">
        <f t="shared" ref="BG50:BH50" si="941">BG47/BG$3</f>
        <v>0.12277662414713734</v>
      </c>
      <c r="BH50" s="28">
        <f t="shared" si="941"/>
        <v>0.12921252404311256</v>
      </c>
      <c r="BI50" s="28">
        <f t="shared" ref="BI50:BJ50" si="942">BI47/BI$3</f>
        <v>0.12446771960145342</v>
      </c>
      <c r="BJ50" s="28">
        <f t="shared" si="942"/>
        <v>0.13694651713506992</v>
      </c>
      <c r="BK50" s="28">
        <f t="shared" ref="BK50:BL50" si="943">BK47/BK$3</f>
        <v>0.14167021951397049</v>
      </c>
      <c r="BL50" s="28">
        <f t="shared" si="943"/>
        <v>0.14829418153000226</v>
      </c>
      <c r="BM50" s="22">
        <f t="shared" si="938"/>
        <v>0.14978666639036117</v>
      </c>
      <c r="BN50" s="28">
        <f t="shared" si="938"/>
        <v>0.16856582503749001</v>
      </c>
      <c r="BO50" s="28">
        <f t="shared" si="938"/>
        <v>0.16922143151111818</v>
      </c>
      <c r="BP50" s="28">
        <f t="shared" si="938"/>
        <v>0.17361088416144105</v>
      </c>
      <c r="BQ50" s="28">
        <f t="shared" si="938"/>
        <v>0.16666756144367981</v>
      </c>
      <c r="BR50" s="28">
        <f>BR47/BR$3</f>
        <v>0.19136325561640413</v>
      </c>
      <c r="BS50" s="28">
        <f t="shared" ref="BS50:BU50" si="944">BS47/BS$3</f>
        <v>0.19294885365831774</v>
      </c>
      <c r="BT50" s="28">
        <f t="shared" si="944"/>
        <v>0.19770131946671024</v>
      </c>
      <c r="BU50" s="28">
        <f t="shared" si="944"/>
        <v>0.19041271729340037</v>
      </c>
      <c r="BV50" s="28">
        <f t="shared" ref="BV50:CC50" si="945">BV47/BV$3</f>
        <v>0.21336637062206482</v>
      </c>
      <c r="BW50" s="28">
        <f t="shared" si="945"/>
        <v>0.21603833944210671</v>
      </c>
      <c r="BX50" s="28">
        <f t="shared" si="945"/>
        <v>0.2210650226936553</v>
      </c>
      <c r="BY50" s="28">
        <f t="shared" si="945"/>
        <v>0.21358739393923448</v>
      </c>
      <c r="BZ50" s="28">
        <f t="shared" si="945"/>
        <v>0.23415433727661658</v>
      </c>
      <c r="CA50" s="28">
        <f t="shared" si="945"/>
        <v>0.23803931229495495</v>
      </c>
      <c r="CB50" s="28">
        <f t="shared" si="945"/>
        <v>0.24327638900491058</v>
      </c>
      <c r="CC50" s="28">
        <f t="shared" si="945"/>
        <v>0.23575448399662963</v>
      </c>
      <c r="CD50" s="28">
        <f t="shared" ref="CD50:CG50" si="946">CD47/CD$3</f>
        <v>0.25274226684409512</v>
      </c>
      <c r="CE50" s="28">
        <f t="shared" si="946"/>
        <v>0.25792482323795141</v>
      </c>
      <c r="CF50" s="28">
        <f t="shared" si="946"/>
        <v>0.26330195596599526</v>
      </c>
      <c r="CG50" s="28">
        <f t="shared" si="946"/>
        <v>0.25588159786355941</v>
      </c>
      <c r="CH50" s="28"/>
      <c r="CI50" s="110"/>
      <c r="CJ50" s="30"/>
      <c r="CK50" s="110"/>
      <c r="CL50" s="110"/>
      <c r="CM50" s="30"/>
      <c r="CN50" s="110"/>
      <c r="CO50" s="30"/>
      <c r="CP50" s="107">
        <f t="shared" ref="CP50:CY50" si="947">CP47/CP$3</f>
        <v>3.6746453097537553E-2</v>
      </c>
      <c r="CQ50" s="22">
        <f t="shared" si="947"/>
        <v>4.2894930198383543E-2</v>
      </c>
      <c r="CR50" s="107">
        <f t="shared" si="947"/>
        <v>5.5479865375164084E-2</v>
      </c>
      <c r="CS50" s="22">
        <f t="shared" si="947"/>
        <v>7.1873589661738971E-2</v>
      </c>
      <c r="CT50" s="107">
        <f t="shared" si="947"/>
        <v>7.4808654838646849E-2</v>
      </c>
      <c r="CU50" s="22">
        <f t="shared" si="947"/>
        <v>9.3921546203110703E-2</v>
      </c>
      <c r="CV50" s="107">
        <f t="shared" si="947"/>
        <v>0.1082612693084144</v>
      </c>
      <c r="CW50" s="22">
        <f t="shared" si="947"/>
        <v>0.12416453402037575</v>
      </c>
      <c r="CX50" s="107">
        <f t="shared" si="947"/>
        <v>0.14457550911527564</v>
      </c>
      <c r="CY50" s="107">
        <f t="shared" si="947"/>
        <v>0.1694885707533873</v>
      </c>
      <c r="CZ50" s="107">
        <f>CZ47/CZ$3</f>
        <v>0.19310351950794</v>
      </c>
      <c r="DA50" s="107">
        <f>DA47/DA$3</f>
        <v>0.2160391600221393</v>
      </c>
      <c r="DB50" s="107">
        <f>DB47/DB$3</f>
        <v>0.2378612964606294</v>
      </c>
      <c r="DC50" s="107">
        <f>DC47/DC$3</f>
        <v>0.25754910208732029</v>
      </c>
    </row>
    <row r="51" spans="1:108" x14ac:dyDescent="0.2">
      <c r="A51" s="8" t="s">
        <v>61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22">
        <f t="shared" ref="AK51:BQ51" si="948">AK47/AK$64</f>
        <v>4.3512577655565737E-2</v>
      </c>
      <c r="AL51" s="22">
        <f t="shared" si="948"/>
        <v>5.0221525083243901E-2</v>
      </c>
      <c r="AM51" s="22">
        <f t="shared" si="948"/>
        <v>5.3923582580115037E-2</v>
      </c>
      <c r="AN51" s="22">
        <f t="shared" si="948"/>
        <v>5.8742191165213953E-2</v>
      </c>
      <c r="AO51" s="22">
        <f t="shared" si="948"/>
        <v>5.6733586543678785E-2</v>
      </c>
      <c r="AP51" s="22">
        <f t="shared" si="948"/>
        <v>6.7470055151971617E-2</v>
      </c>
      <c r="AQ51" s="22">
        <f t="shared" si="948"/>
        <v>7.8517899574379199E-2</v>
      </c>
      <c r="AR51" s="22">
        <f t="shared" si="948"/>
        <v>7.4589045546098368E-2</v>
      </c>
      <c r="AS51" s="22">
        <f t="shared" si="948"/>
        <v>6.7331013392386382E-2</v>
      </c>
      <c r="AT51" s="22">
        <f t="shared" si="948"/>
        <v>7.3164117583251975E-2</v>
      </c>
      <c r="AU51" s="22">
        <f t="shared" si="948"/>
        <v>7.4789915966386553E-2</v>
      </c>
      <c r="AV51" s="22">
        <f t="shared" si="948"/>
        <v>7.6630117632605424E-2</v>
      </c>
      <c r="AW51" s="22">
        <f t="shared" si="948"/>
        <v>7.3561234649850649E-2</v>
      </c>
      <c r="AX51" s="22">
        <f t="shared" si="948"/>
        <v>8.5589095881548574E-2</v>
      </c>
      <c r="AY51" s="28">
        <f t="shared" si="948"/>
        <v>9.0062423764081218E-2</v>
      </c>
      <c r="AZ51" s="28">
        <f t="shared" si="948"/>
        <v>9.9403693625890119E-2</v>
      </c>
      <c r="BA51" s="28">
        <f t="shared" si="948"/>
        <v>9.6189248895434468E-2</v>
      </c>
      <c r="BB51" s="28">
        <f t="shared" si="948"/>
        <v>0.10681072406035508</v>
      </c>
      <c r="BC51" s="28">
        <f t="shared" ref="BC51:BD51" si="949">BC47/BC$64</f>
        <v>0.10764838346469358</v>
      </c>
      <c r="BD51" s="28">
        <f t="shared" si="949"/>
        <v>0.10967102603888229</v>
      </c>
      <c r="BE51" s="28">
        <f t="shared" ref="BE51:BF51" si="950">BE47/BE$64</f>
        <v>0.10649982620785541</v>
      </c>
      <c r="BF51" s="28">
        <f t="shared" si="950"/>
        <v>0.11887408584660848</v>
      </c>
      <c r="BG51" s="28">
        <f t="shared" ref="BG51:BH51" si="951">BG47/BG$64</f>
        <v>0.1221000212409431</v>
      </c>
      <c r="BH51" s="28">
        <f t="shared" si="951"/>
        <v>0.12861965831331854</v>
      </c>
      <c r="BI51" s="28">
        <f t="shared" ref="BI51:BJ51" si="952">BI47/BI$64</f>
        <v>0.12392582072997543</v>
      </c>
      <c r="BJ51" s="28">
        <f t="shared" si="952"/>
        <v>0.13586896291863376</v>
      </c>
      <c r="BK51" s="28">
        <f t="shared" ref="BK51:BL51" si="953">BK47/BK$64</f>
        <v>0.14128676318081884</v>
      </c>
      <c r="BL51" s="28">
        <f t="shared" si="953"/>
        <v>0.1480956754538526</v>
      </c>
      <c r="BM51" s="22">
        <f t="shared" si="948"/>
        <v>0.1492257622631602</v>
      </c>
      <c r="BN51" s="22">
        <f t="shared" si="948"/>
        <v>0.16779814599111734</v>
      </c>
      <c r="BO51" s="22">
        <f t="shared" si="948"/>
        <v>0.16861829634747216</v>
      </c>
      <c r="BP51" s="22">
        <f t="shared" si="948"/>
        <v>0.17307250544885641</v>
      </c>
      <c r="BQ51" s="22">
        <f t="shared" si="948"/>
        <v>0.16608407598649014</v>
      </c>
      <c r="BR51" s="28">
        <f>BR47/BR$64</f>
        <v>0.19055767763126283</v>
      </c>
      <c r="BS51" s="28">
        <f t="shared" ref="BS51:BU51" si="954">BS47/BS$64</f>
        <v>0.19231044429175587</v>
      </c>
      <c r="BT51" s="28">
        <f t="shared" si="954"/>
        <v>0.19713292326288745</v>
      </c>
      <c r="BU51" s="28">
        <f t="shared" si="954"/>
        <v>0.18979266840729514</v>
      </c>
      <c r="BV51" s="28">
        <f t="shared" ref="BV51:CC51" si="955">BV47/BV$64</f>
        <v>0.21253155468758106</v>
      </c>
      <c r="BW51" s="28">
        <f t="shared" si="955"/>
        <v>0.21537123863438659</v>
      </c>
      <c r="BX51" s="28">
        <f t="shared" si="955"/>
        <v>0.22047267595826067</v>
      </c>
      <c r="BY51" s="28">
        <f t="shared" si="955"/>
        <v>0.21293712007999785</v>
      </c>
      <c r="BZ51" s="28">
        <f t="shared" si="955"/>
        <v>0.23329584825558486</v>
      </c>
      <c r="CA51" s="28">
        <f t="shared" si="955"/>
        <v>0.23734781411528535</v>
      </c>
      <c r="CB51" s="28">
        <f t="shared" si="955"/>
        <v>0.24266391094792675</v>
      </c>
      <c r="CC51" s="28">
        <f t="shared" si="955"/>
        <v>0.2350780498363402</v>
      </c>
      <c r="CD51" s="28">
        <f t="shared" ref="CD51:CG51" si="956">CD47/CD$64</f>
        <v>0.25186691514112625</v>
      </c>
      <c r="CE51" s="28">
        <f t="shared" si="956"/>
        <v>0.25721434056520498</v>
      </c>
      <c r="CF51" s="28">
        <f t="shared" si="956"/>
        <v>0.26267409315461021</v>
      </c>
      <c r="CG51" s="28">
        <f t="shared" si="956"/>
        <v>0.25518424201062201</v>
      </c>
      <c r="CH51" s="28"/>
      <c r="CI51" s="110"/>
      <c r="CJ51" s="30"/>
      <c r="CK51" s="110"/>
      <c r="CL51" s="110"/>
      <c r="CM51" s="30"/>
      <c r="CN51" s="110"/>
      <c r="CO51" s="30"/>
      <c r="CP51" s="107">
        <f t="shared" ref="CP51:CY51" si="957">CP47/CP$64</f>
        <v>3.6588336114744484E-2</v>
      </c>
      <c r="CQ51" s="22">
        <f t="shared" si="957"/>
        <v>4.2669512275341874E-2</v>
      </c>
      <c r="CR51" s="107">
        <f t="shared" si="957"/>
        <v>5.5098018621375658E-2</v>
      </c>
      <c r="CS51" s="22">
        <f t="shared" si="957"/>
        <v>7.1545579558092778E-2</v>
      </c>
      <c r="CT51" s="107">
        <f t="shared" si="957"/>
        <v>7.4546746003097381E-2</v>
      </c>
      <c r="CU51" s="22">
        <f t="shared" si="957"/>
        <v>9.2916036148156522E-2</v>
      </c>
      <c r="CV51" s="107">
        <f t="shared" si="957"/>
        <v>0.10764035732642797</v>
      </c>
      <c r="CW51" s="22">
        <f t="shared" si="957"/>
        <v>0.12350507688176036</v>
      </c>
      <c r="CX51" s="107">
        <f t="shared" si="957"/>
        <v>0.14402483714274147</v>
      </c>
      <c r="CY51" s="107">
        <f t="shared" si="957"/>
        <v>0.16886932116296249</v>
      </c>
      <c r="CZ51" s="107">
        <f>CZ47/CZ$64</f>
        <v>0.19244906398921466</v>
      </c>
      <c r="DA51" s="107">
        <f>DA47/DA$64</f>
        <v>0.21535637637534719</v>
      </c>
      <c r="DB51" s="107">
        <f>DB47/DB$64</f>
        <v>0.23715460080838396</v>
      </c>
      <c r="DC51" s="107">
        <f>DC47/DC$64</f>
        <v>0.25682403058879605</v>
      </c>
    </row>
    <row r="52" spans="1:108" x14ac:dyDescent="0.2">
      <c r="AL52" s="77"/>
      <c r="AM52" s="77"/>
      <c r="AN52" s="77"/>
      <c r="AO52" s="77"/>
      <c r="AP52" s="77"/>
      <c r="AQ52" s="77"/>
      <c r="AR52" s="151">
        <f>AR49-AQ49</f>
        <v>1.576232510658726E-2</v>
      </c>
      <c r="AS52" s="151">
        <f t="shared" ref="AS52:AZ52" si="958">AS49-AR49</f>
        <v>1.7902920639760067E-2</v>
      </c>
      <c r="AT52" s="151">
        <f t="shared" si="958"/>
        <v>-8.2419557965900392E-3</v>
      </c>
      <c r="AU52" s="151">
        <f t="shared" si="958"/>
        <v>8.1747438667595818E-2</v>
      </c>
      <c r="AV52" s="151">
        <f>AV49-AU49</f>
        <v>-9.0178858698654052E-2</v>
      </c>
      <c r="AW52" s="151">
        <f>AW49-AV49</f>
        <v>-2.5379787302739487E-3</v>
      </c>
      <c r="AX52" s="151">
        <f t="shared" si="958"/>
        <v>-8.0092584798934219E-3</v>
      </c>
      <c r="AY52" s="151">
        <f t="shared" si="958"/>
        <v>-8.2256049755903948E-2</v>
      </c>
      <c r="AZ52" s="151">
        <f t="shared" si="958"/>
        <v>2.0259360553431804E-2</v>
      </c>
      <c r="BA52" s="151">
        <f>BA49-AZ49</f>
        <v>-5.6193889312644352E-2</v>
      </c>
      <c r="BB52" s="151">
        <f>BB49-BA49</f>
        <v>-3.9622825718517385E-2</v>
      </c>
      <c r="BC52" s="151">
        <f>BC49-BB49</f>
        <v>-8.9927909858911192E-4</v>
      </c>
      <c r="BD52" s="151">
        <f t="shared" ref="BD52:BK52" si="959">BD49-BC49</f>
        <v>-5.4971597710890219E-2</v>
      </c>
      <c r="BE52" s="151">
        <f t="shared" si="959"/>
        <v>3.1930921973223558E-2</v>
      </c>
      <c r="BF52" s="151">
        <f t="shared" si="959"/>
        <v>2.7815018923996071E-2</v>
      </c>
      <c r="BG52" s="151">
        <f t="shared" si="959"/>
        <v>3.9714632763427904E-3</v>
      </c>
      <c r="BH52" s="151">
        <f t="shared" si="959"/>
        <v>6.1397532190866633E-2</v>
      </c>
      <c r="BI52" s="151">
        <f t="shared" si="959"/>
        <v>-4.9192582571685239E-2</v>
      </c>
      <c r="BJ52" s="151">
        <f t="shared" si="959"/>
        <v>-2.0035973734346957E-2</v>
      </c>
      <c r="BK52" s="151">
        <f t="shared" si="959"/>
        <v>3.6158663905007327E-2</v>
      </c>
      <c r="BL52" s="151">
        <f t="shared" ref="BL52" si="960">BL49-BK49</f>
        <v>1.8355463888066081E-2</v>
      </c>
      <c r="BM52" s="151">
        <f t="shared" ref="BM52" si="961">BM49-BL49</f>
        <v>6.4934378578349272E-2</v>
      </c>
      <c r="BN52" s="151">
        <f t="shared" ref="BN52" si="962">BN49-BM49</f>
        <v>1.9999999999999962E-2</v>
      </c>
      <c r="BO52" s="151">
        <f t="shared" ref="BO52" si="963">BO49-BN49</f>
        <v>-0.06</v>
      </c>
      <c r="BP52" s="151">
        <f t="shared" ref="BP52" si="964">BP49-BO49</f>
        <v>-2.9999999999999971E-2</v>
      </c>
      <c r="BQ52" s="151">
        <f t="shared" ref="BQ52" si="965">BQ49-BP49</f>
        <v>-8.0000000000000016E-2</v>
      </c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151"/>
      <c r="CI52" s="92"/>
      <c r="CK52" s="92"/>
      <c r="CL52" s="92"/>
      <c r="CN52" s="92"/>
      <c r="CP52" s="92"/>
      <c r="CR52" s="118"/>
      <c r="CS52" s="77"/>
      <c r="CT52" s="118"/>
      <c r="CU52" s="77"/>
      <c r="CV52" s="118"/>
      <c r="CW52" s="77"/>
      <c r="CX52" s="118"/>
      <c r="CY52" s="118"/>
      <c r="CZ52" s="118"/>
      <c r="DA52" s="118"/>
      <c r="DB52" s="118"/>
      <c r="DC52" s="118"/>
    </row>
    <row r="53" spans="1:108" x14ac:dyDescent="0.2">
      <c r="A53" s="4" t="s">
        <v>75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7">
        <v>106</v>
      </c>
      <c r="V53" s="17">
        <v>80</v>
      </c>
      <c r="W53" s="17">
        <v>74</v>
      </c>
      <c r="X53" s="18">
        <v>142</v>
      </c>
      <c r="Y53" s="17">
        <v>151</v>
      </c>
      <c r="Z53" s="17">
        <v>166</v>
      </c>
      <c r="AA53" s="17">
        <v>185</v>
      </c>
      <c r="AB53" s="17">
        <v>197</v>
      </c>
      <c r="AC53" s="17">
        <v>262</v>
      </c>
      <c r="AD53" s="17">
        <v>132</v>
      </c>
      <c r="AE53" s="17">
        <v>97</v>
      </c>
      <c r="AF53" s="17">
        <v>117</v>
      </c>
      <c r="AG53" s="17">
        <v>131</v>
      </c>
      <c r="AH53" s="18">
        <v>150</v>
      </c>
      <c r="AI53" s="17">
        <v>145</v>
      </c>
      <c r="AJ53" s="17">
        <v>146</v>
      </c>
      <c r="AK53" s="17">
        <v>154</v>
      </c>
      <c r="AL53" s="17">
        <v>170</v>
      </c>
      <c r="AM53" s="17">
        <v>162</v>
      </c>
      <c r="AN53" s="17">
        <v>155</v>
      </c>
      <c r="AO53" s="17">
        <v>172</v>
      </c>
      <c r="AP53" s="17">
        <v>135</v>
      </c>
      <c r="AQ53" s="17">
        <v>148</v>
      </c>
      <c r="AR53" s="18">
        <v>178</v>
      </c>
      <c r="AS53" s="17">
        <v>196</v>
      </c>
      <c r="AT53" s="17">
        <v>198</v>
      </c>
      <c r="AU53" s="18">
        <v>192</v>
      </c>
      <c r="AV53" s="18">
        <v>182</v>
      </c>
      <c r="AW53" s="18">
        <v>181</v>
      </c>
      <c r="AX53" s="18">
        <v>440</v>
      </c>
      <c r="AY53" s="18">
        <v>193</v>
      </c>
      <c r="AZ53" s="18">
        <v>209</v>
      </c>
      <c r="BA53" s="18">
        <v>226</v>
      </c>
      <c r="BB53" s="18">
        <v>288</v>
      </c>
      <c r="BC53" s="18">
        <v>285</v>
      </c>
      <c r="BD53" s="18">
        <v>297</v>
      </c>
      <c r="BE53" s="18">
        <v>657</v>
      </c>
      <c r="BF53" s="18">
        <v>495</v>
      </c>
      <c r="BG53" s="18">
        <v>365</v>
      </c>
      <c r="BH53" s="18">
        <v>388</v>
      </c>
      <c r="BI53" s="18">
        <v>400</v>
      </c>
      <c r="BJ53" s="18">
        <v>450</v>
      </c>
      <c r="BK53" s="18">
        <v>373</v>
      </c>
      <c r="BL53" s="18">
        <v>344</v>
      </c>
      <c r="BM53" s="16">
        <f t="shared" ref="BM53:BQ53" si="966">BI53*(1+BM55)</f>
        <v>420</v>
      </c>
      <c r="BN53" s="16">
        <f t="shared" si="966"/>
        <v>472.5</v>
      </c>
      <c r="BO53" s="16">
        <f t="shared" si="966"/>
        <v>391.65000000000003</v>
      </c>
      <c r="BP53" s="16">
        <f t="shared" si="966"/>
        <v>361.2</v>
      </c>
      <c r="BQ53" s="16">
        <f t="shared" si="966"/>
        <v>441</v>
      </c>
      <c r="BR53" s="72">
        <f>BN53*(1+BR55)</f>
        <v>496.125</v>
      </c>
      <c r="BS53" s="72">
        <f t="shared" ref="BS53" si="967">BO53*(1+BS55)</f>
        <v>411.23250000000007</v>
      </c>
      <c r="BT53" s="72">
        <f t="shared" ref="BT53" si="968">BP53*(1+BT55)</f>
        <v>379.26</v>
      </c>
      <c r="BU53" s="72">
        <f t="shared" ref="BU53" si="969">BQ53*(1+BU55)</f>
        <v>463.05</v>
      </c>
      <c r="BV53" s="72">
        <f t="shared" ref="BV53" si="970">BR53*(1+BV55)</f>
        <v>520.93124999999998</v>
      </c>
      <c r="BW53" s="72">
        <f t="shared" ref="BW53" si="971">BS53*(1+BW55)</f>
        <v>431.79412500000012</v>
      </c>
      <c r="BX53" s="72">
        <f t="shared" ref="BX53" si="972">BT53*(1+BX55)</f>
        <v>398.22300000000001</v>
      </c>
      <c r="BY53" s="72">
        <f t="shared" ref="BY53" si="973">BU53*(1+BY55)</f>
        <v>486.20250000000004</v>
      </c>
      <c r="BZ53" s="72">
        <f t="shared" ref="BZ53" si="974">BV53*(1+BZ55)</f>
        <v>546.97781250000003</v>
      </c>
      <c r="CA53" s="72">
        <f t="shared" ref="CA53" si="975">BW53*(1+CA55)</f>
        <v>453.38383125000013</v>
      </c>
      <c r="CB53" s="72">
        <f t="shared" ref="CB53" si="976">BX53*(1+CB55)</f>
        <v>418.13415000000003</v>
      </c>
      <c r="CC53" s="72">
        <f t="shared" ref="CC53" si="977">BY53*(1+CC55)</f>
        <v>510.51262500000007</v>
      </c>
      <c r="CD53" s="72">
        <f t="shared" ref="CD53" si="978">BZ53*(1+CD55)</f>
        <v>574.32670312500011</v>
      </c>
      <c r="CE53" s="72">
        <f t="shared" ref="CE53" si="979">CA53*(1+CE55)</f>
        <v>476.05302281250016</v>
      </c>
      <c r="CF53" s="72">
        <f t="shared" ref="CF53" si="980">CB53*(1+CF55)</f>
        <v>439.04085750000007</v>
      </c>
      <c r="CG53" s="72">
        <f t="shared" ref="CG53" si="981">CC53*(1+CG55)</f>
        <v>536.03825625000013</v>
      </c>
      <c r="CH53" s="72"/>
      <c r="CI53" s="108"/>
      <c r="CJ53" s="45"/>
      <c r="CK53" s="108"/>
      <c r="CL53" s="117">
        <v>12</v>
      </c>
      <c r="CM53" s="78">
        <v>327</v>
      </c>
      <c r="CN53" s="90">
        <f>SUM(V53:Y53)</f>
        <v>447</v>
      </c>
      <c r="CO53" s="21">
        <f>SUM(Z53:AC53)</f>
        <v>810</v>
      </c>
      <c r="CP53" s="90">
        <f>SUM(AD53:AG53)</f>
        <v>477</v>
      </c>
      <c r="CQ53" s="21">
        <f>SUM(AH53:AK53)</f>
        <v>595</v>
      </c>
      <c r="CR53" s="90">
        <f>SUM(AL53:AO53)</f>
        <v>659</v>
      </c>
      <c r="CS53" s="21">
        <f>SUM(AP53:AS53)</f>
        <v>657</v>
      </c>
      <c r="CT53" s="90">
        <f>SUM(AT53:AW53)</f>
        <v>753</v>
      </c>
      <c r="CU53" s="21">
        <f>SUM(AX53:BA53)</f>
        <v>1068</v>
      </c>
      <c r="CV53" s="90">
        <f>SUM(BB53:BE53)</f>
        <v>1527</v>
      </c>
      <c r="CW53" s="21">
        <f>SUM(BF53:BI53)</f>
        <v>1648</v>
      </c>
      <c r="CX53" s="90">
        <f>SUM(BJ53:BM53)</f>
        <v>1587</v>
      </c>
      <c r="CY53" s="90">
        <f>SUM(BN53:BQ53)</f>
        <v>1666.3500000000001</v>
      </c>
      <c r="CZ53" s="90">
        <f>SUM(BR53:BU53)</f>
        <v>1749.6675</v>
      </c>
      <c r="DA53" s="90">
        <f>SUM(BV53:BY53)</f>
        <v>1837.1508750000003</v>
      </c>
      <c r="DB53" s="90">
        <f>SUM(BZ53:CC53)</f>
        <v>1929.0084187500004</v>
      </c>
      <c r="DC53" s="90">
        <f>SUM(CD53:CG53)</f>
        <v>2025.4588396875006</v>
      </c>
      <c r="DD53" s="86"/>
    </row>
    <row r="54" spans="1:108" x14ac:dyDescent="0.2">
      <c r="A54" s="14" t="s">
        <v>62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5" t="s">
        <v>82</v>
      </c>
      <c r="V54" s="22">
        <f t="shared" ref="V54:AJ54" si="982">IF(AND(U53&lt;0,V53&gt;0),"n/a",V53/U53-1)</f>
        <v>-0.24528301886792447</v>
      </c>
      <c r="W54" s="22">
        <f t="shared" si="982"/>
        <v>-7.4999999999999956E-2</v>
      </c>
      <c r="X54" s="22">
        <f t="shared" si="982"/>
        <v>0.91891891891891886</v>
      </c>
      <c r="Y54" s="22">
        <f t="shared" si="982"/>
        <v>6.3380281690140761E-2</v>
      </c>
      <c r="Z54" s="22">
        <f t="shared" si="982"/>
        <v>9.9337748344370924E-2</v>
      </c>
      <c r="AA54" s="22">
        <f t="shared" si="982"/>
        <v>0.1144578313253013</v>
      </c>
      <c r="AB54" s="22">
        <f t="shared" si="982"/>
        <v>6.4864864864864868E-2</v>
      </c>
      <c r="AC54" s="22">
        <f t="shared" si="982"/>
        <v>0.32994923857868019</v>
      </c>
      <c r="AD54" s="22">
        <f t="shared" si="982"/>
        <v>-0.49618320610687028</v>
      </c>
      <c r="AE54" s="22">
        <f t="shared" si="982"/>
        <v>-0.26515151515151514</v>
      </c>
      <c r="AF54" s="22">
        <f t="shared" si="982"/>
        <v>0.20618556701030921</v>
      </c>
      <c r="AG54" s="22">
        <f t="shared" si="982"/>
        <v>0.11965811965811968</v>
      </c>
      <c r="AH54" s="22">
        <f t="shared" si="982"/>
        <v>0.14503816793893121</v>
      </c>
      <c r="AI54" s="22">
        <f t="shared" si="982"/>
        <v>-3.3333333333333326E-2</v>
      </c>
      <c r="AJ54" s="22">
        <f t="shared" si="982"/>
        <v>6.8965517241379448E-3</v>
      </c>
      <c r="AK54" s="22">
        <f>IF(AND(AJ53&lt;0,AK53&gt;0),"n/a",AK53/AJ53-1)</f>
        <v>5.4794520547945202E-2</v>
      </c>
      <c r="AL54" s="22">
        <f>IF(AND(AK53&lt;0,AL53&gt;0),"n/a",AL53/AK53-1)</f>
        <v>0.10389610389610393</v>
      </c>
      <c r="AM54" s="22">
        <f t="shared" ref="AM54" si="983">IF(AND(AL53&lt;0,AM53&gt;0),"n/a",AM53/AL53-1)</f>
        <v>-4.705882352941182E-2</v>
      </c>
      <c r="AN54" s="22">
        <f t="shared" ref="AN54" si="984">IF(AND(AM53&lt;0,AN53&gt;0),"n/a",AN53/AM53-1)</f>
        <v>-4.3209876543209846E-2</v>
      </c>
      <c r="AO54" s="22">
        <f t="shared" ref="AO54" si="985">IF(AND(AN53&lt;0,AO53&gt;0),"n/a",AO53/AN53-1)</f>
        <v>0.10967741935483866</v>
      </c>
      <c r="AP54" s="22">
        <f t="shared" ref="AP54" si="986">IF(AND(AO53&lt;0,AP53&gt;0),"n/a",AP53/AO53-1)</f>
        <v>-0.21511627906976749</v>
      </c>
      <c r="AQ54" s="22">
        <f t="shared" ref="AQ54" si="987">IF(AND(AP53&lt;0,AQ53&gt;0),"n/a",AQ53/AP53-1)</f>
        <v>9.6296296296296324E-2</v>
      </c>
      <c r="AR54" s="22">
        <f t="shared" ref="AR54" si="988">IF(AND(AQ53&lt;0,AR53&gt;0),"n/a",AR53/AQ53-1)</f>
        <v>0.20270270270270263</v>
      </c>
      <c r="AS54" s="22">
        <f t="shared" ref="AS54" si="989">IF(AND(AR53&lt;0,AS53&gt;0),"n/a",AS53/AR53-1)</f>
        <v>0.101123595505618</v>
      </c>
      <c r="AT54" s="22">
        <f t="shared" ref="AT54" si="990">IF(AND(AS53&lt;0,AT53&gt;0),"n/a",AT53/AS53-1)</f>
        <v>1.0204081632652962E-2</v>
      </c>
      <c r="AU54" s="22">
        <f t="shared" ref="AU54" si="991">IF(AND(AT53&lt;0,AU53&gt;0),"n/a",AU53/AT53-1)</f>
        <v>-3.0303030303030276E-2</v>
      </c>
      <c r="AV54" s="22">
        <f>IF(AND(AU53&lt;0,AV53&gt;0),"n/a",AV53/AU53-1)</f>
        <v>-5.208333333333337E-2</v>
      </c>
      <c r="AW54" s="22">
        <f t="shared" ref="AW54" si="992">IF(AND(AV53&lt;0,AW53&gt;0),"n/a",AW53/AV53-1)</f>
        <v>-5.494505494505475E-3</v>
      </c>
      <c r="AX54" s="22">
        <f t="shared" ref="AX54" si="993">IF(AND(AW53&lt;0,AX53&gt;0),"n/a",AX53/AW53-1)</f>
        <v>1.430939226519337</v>
      </c>
      <c r="AY54" s="28">
        <f t="shared" ref="AY54" si="994">IF(AND(AX53&lt;0,AY53&gt;0),"n/a",AY53/AX53-1)</f>
        <v>-0.56136363636363629</v>
      </c>
      <c r="AZ54" s="28">
        <f t="shared" ref="AZ54" si="995">IF(AND(AY53&lt;0,AZ53&gt;0),"n/a",AZ53/AY53-1)</f>
        <v>8.290155440414515E-2</v>
      </c>
      <c r="BA54" s="28">
        <f t="shared" ref="BA54" si="996">IF(AND(AZ53&lt;0,BA53&gt;0),"n/a",BA53/AZ53-1)</f>
        <v>8.1339712918660378E-2</v>
      </c>
      <c r="BB54" s="28">
        <f t="shared" ref="BB54:BL54" si="997">IF(AND(BA53&lt;0,BB53&gt;0),"n/a",BB53/BA53-1)</f>
        <v>0.27433628318584069</v>
      </c>
      <c r="BC54" s="28">
        <f t="shared" si="997"/>
        <v>-1.041666666666663E-2</v>
      </c>
      <c r="BD54" s="28">
        <f t="shared" si="997"/>
        <v>4.2105263157894646E-2</v>
      </c>
      <c r="BE54" s="28">
        <f t="shared" si="997"/>
        <v>1.2121212121212119</v>
      </c>
      <c r="BF54" s="28">
        <f t="shared" si="997"/>
        <v>-0.24657534246575341</v>
      </c>
      <c r="BG54" s="28">
        <f t="shared" si="997"/>
        <v>-0.26262626262626265</v>
      </c>
      <c r="BH54" s="28">
        <f t="shared" si="997"/>
        <v>6.3013698630137061E-2</v>
      </c>
      <c r="BI54" s="28">
        <f t="shared" si="997"/>
        <v>3.0927835051546282E-2</v>
      </c>
      <c r="BJ54" s="28">
        <f t="shared" si="997"/>
        <v>0.125</v>
      </c>
      <c r="BK54" s="28">
        <f t="shared" si="997"/>
        <v>-0.1711111111111111</v>
      </c>
      <c r="BL54" s="28">
        <f t="shared" si="997"/>
        <v>-7.7747989276139462E-2</v>
      </c>
      <c r="BM54" s="22">
        <f t="shared" ref="BM54" si="998">IF(AND(BL53&lt;0,BM53&gt;0),"n/a",BM53/BL53-1)</f>
        <v>0.22093023255813948</v>
      </c>
      <c r="BN54" s="22">
        <f t="shared" ref="BN54" si="999">IF(AND(BM53&lt;0,BN53&gt;0),"n/a",BN53/BM53-1)</f>
        <v>0.125</v>
      </c>
      <c r="BO54" s="22">
        <f t="shared" ref="BO54" si="1000">IF(AND(BN53&lt;0,BO53&gt;0),"n/a",BO53/BN53-1)</f>
        <v>-0.17111111111111099</v>
      </c>
      <c r="BP54" s="22">
        <f t="shared" ref="BP54" si="1001">IF(AND(BO53&lt;0,BP53&gt;0),"n/a",BP53/BO53-1)</f>
        <v>-7.7747989276139573E-2</v>
      </c>
      <c r="BQ54" s="22">
        <f t="shared" ref="BQ54" si="1002">IF(AND(BP53&lt;0,BQ53&gt;0),"n/a",BQ53/BP53-1)</f>
        <v>0.22093023255813948</v>
      </c>
      <c r="BR54" s="28">
        <f>IF(AND(BQ53&lt;0,BR53&gt;0),"n/a",BR53/BQ53-1)</f>
        <v>0.125</v>
      </c>
      <c r="BS54" s="28">
        <f t="shared" ref="BS54" si="1003">IF(AND(BR53&lt;0,BS53&gt;0),"n/a",BS53/BR53-1)</f>
        <v>-0.17111111111111099</v>
      </c>
      <c r="BT54" s="28">
        <f t="shared" ref="BT54" si="1004">IF(AND(BS53&lt;0,BT53&gt;0),"n/a",BT53/BS53-1)</f>
        <v>-7.7747989276139573E-2</v>
      </c>
      <c r="BU54" s="28">
        <f t="shared" ref="BU54" si="1005">IF(AND(BT53&lt;0,BU53&gt;0),"n/a",BU53/BT53-1)</f>
        <v>0.22093023255813948</v>
      </c>
      <c r="BV54" s="28">
        <f t="shared" ref="BV54" si="1006">IF(AND(BU53&lt;0,BV53&gt;0),"n/a",BV53/BU53-1)</f>
        <v>0.125</v>
      </c>
      <c r="BW54" s="28">
        <f t="shared" ref="BW54" si="1007">IF(AND(BV53&lt;0,BW53&gt;0),"n/a",BW53/BV53-1)</f>
        <v>-0.17111111111111088</v>
      </c>
      <c r="BX54" s="28">
        <f t="shared" ref="BX54" si="1008">IF(AND(BW53&lt;0,BX53&gt;0),"n/a",BX53/BW53-1)</f>
        <v>-7.7747989276139684E-2</v>
      </c>
      <c r="BY54" s="28">
        <f t="shared" ref="BY54" si="1009">IF(AND(BX53&lt;0,BY53&gt;0),"n/a",BY53/BX53-1)</f>
        <v>0.22093023255813971</v>
      </c>
      <c r="BZ54" s="28">
        <f t="shared" ref="BZ54" si="1010">IF(AND(BY53&lt;0,BZ53&gt;0),"n/a",BZ53/BY53-1)</f>
        <v>0.125</v>
      </c>
      <c r="CA54" s="28">
        <f t="shared" ref="CA54" si="1011">IF(AND(BZ53&lt;0,CA53&gt;0),"n/a",CA53/BZ53-1)</f>
        <v>-0.17111111111111088</v>
      </c>
      <c r="CB54" s="28">
        <f t="shared" ref="CB54" si="1012">IF(AND(CA53&lt;0,CB53&gt;0),"n/a",CB53/CA53-1)</f>
        <v>-7.7747989276139573E-2</v>
      </c>
      <c r="CC54" s="28">
        <f t="shared" ref="CC54" si="1013">IF(AND(CB53&lt;0,CC53&gt;0),"n/a",CC53/CB53-1)</f>
        <v>0.22093023255813971</v>
      </c>
      <c r="CD54" s="28">
        <f t="shared" ref="CD54" si="1014">IF(AND(CC53&lt;0,CD53&gt;0),"n/a",CD53/CC53-1)</f>
        <v>0.125</v>
      </c>
      <c r="CE54" s="28">
        <f t="shared" ref="CE54" si="1015">IF(AND(CD53&lt;0,CE53&gt;0),"n/a",CE53/CD53-1)</f>
        <v>-0.17111111111111099</v>
      </c>
      <c r="CF54" s="28">
        <f t="shared" ref="CF54" si="1016">IF(AND(CE53&lt;0,CF53&gt;0),"n/a",CF53/CE53-1)</f>
        <v>-7.7747989276139573E-2</v>
      </c>
      <c r="CG54" s="28">
        <f t="shared" ref="CG54" si="1017">IF(AND(CF53&lt;0,CG53&gt;0),"n/a",CG53/CF53-1)</f>
        <v>0.22093023255813971</v>
      </c>
      <c r="CH54" s="28"/>
      <c r="CI54" s="109"/>
      <c r="CJ54" s="59"/>
      <c r="CK54" s="109"/>
      <c r="CL54" s="106" t="s">
        <v>82</v>
      </c>
      <c r="CM54" s="48" t="s">
        <v>82</v>
      </c>
      <c r="CN54" s="106" t="s">
        <v>82</v>
      </c>
      <c r="CO54" s="48" t="s">
        <v>82</v>
      </c>
      <c r="CP54" s="106" t="s">
        <v>82</v>
      </c>
      <c r="CQ54" s="48" t="s">
        <v>82</v>
      </c>
      <c r="CR54" s="106" t="s">
        <v>82</v>
      </c>
      <c r="CS54" s="48" t="s">
        <v>82</v>
      </c>
      <c r="CT54" s="106" t="s">
        <v>82</v>
      </c>
      <c r="CU54" s="48" t="s">
        <v>82</v>
      </c>
      <c r="CV54" s="106" t="s">
        <v>82</v>
      </c>
      <c r="CW54" s="48" t="s">
        <v>82</v>
      </c>
      <c r="CX54" s="106" t="s">
        <v>82</v>
      </c>
      <c r="CY54" s="106" t="s">
        <v>82</v>
      </c>
      <c r="CZ54" s="106" t="s">
        <v>82</v>
      </c>
      <c r="DA54" s="106" t="s">
        <v>82</v>
      </c>
      <c r="DB54" s="106" t="s">
        <v>82</v>
      </c>
      <c r="DC54" s="106" t="s">
        <v>82</v>
      </c>
    </row>
    <row r="55" spans="1:108" x14ac:dyDescent="0.2">
      <c r="A55" s="14" t="s">
        <v>63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5" t="s">
        <v>82</v>
      </c>
      <c r="V55" s="25" t="s">
        <v>82</v>
      </c>
      <c r="W55" s="25" t="s">
        <v>82</v>
      </c>
      <c r="X55" s="25" t="s">
        <v>82</v>
      </c>
      <c r="Y55" s="22">
        <f t="shared" ref="Y55:AJ55" si="1018">IF(AND(U53&lt;0,Y53&gt;0),"n/a",Y53/U53-1)</f>
        <v>0.42452830188679247</v>
      </c>
      <c r="Z55" s="22">
        <f t="shared" si="1018"/>
        <v>1.0750000000000002</v>
      </c>
      <c r="AA55" s="22">
        <f t="shared" si="1018"/>
        <v>1.5</v>
      </c>
      <c r="AB55" s="22">
        <f t="shared" si="1018"/>
        <v>0.38732394366197176</v>
      </c>
      <c r="AC55" s="22">
        <f t="shared" si="1018"/>
        <v>0.73509933774834435</v>
      </c>
      <c r="AD55" s="22">
        <f t="shared" si="1018"/>
        <v>-0.20481927710843373</v>
      </c>
      <c r="AE55" s="22">
        <f t="shared" si="1018"/>
        <v>-0.4756756756756757</v>
      </c>
      <c r="AF55" s="22">
        <f t="shared" si="1018"/>
        <v>-0.40609137055837563</v>
      </c>
      <c r="AG55" s="22">
        <f t="shared" si="1018"/>
        <v>-0.5</v>
      </c>
      <c r="AH55" s="22">
        <f t="shared" si="1018"/>
        <v>0.13636363636363646</v>
      </c>
      <c r="AI55" s="22">
        <f t="shared" si="1018"/>
        <v>0.49484536082474229</v>
      </c>
      <c r="AJ55" s="22">
        <f t="shared" si="1018"/>
        <v>0.24786324786324787</v>
      </c>
      <c r="AK55" s="22">
        <f>IF(AND(AG53&lt;0,AK53&gt;0),"n/a",AK53/AG53-1)</f>
        <v>0.17557251908396942</v>
      </c>
      <c r="AL55" s="22">
        <f>IF(AND(AH53&lt;0,AL53&gt;0),"n/a",AL53/AH53-1)</f>
        <v>0.1333333333333333</v>
      </c>
      <c r="AM55" s="22">
        <f t="shared" ref="AM55" si="1019">IF(AND(AI53&lt;0,AM53&gt;0),"n/a",AM53/AI53-1)</f>
        <v>0.11724137931034484</v>
      </c>
      <c r="AN55" s="22">
        <f t="shared" ref="AN55" si="1020">IF(AND(AJ53&lt;0,AN53&gt;0),"n/a",AN53/AJ53-1)</f>
        <v>6.164383561643838E-2</v>
      </c>
      <c r="AO55" s="22">
        <f t="shared" ref="AO55" si="1021">IF(AND(AK53&lt;0,AO53&gt;0),"n/a",AO53/AK53-1)</f>
        <v>0.11688311688311681</v>
      </c>
      <c r="AP55" s="22">
        <f t="shared" ref="AP55" si="1022">IF(AND(AL53&lt;0,AP53&gt;0),"n/a",AP53/AL53-1)</f>
        <v>-0.20588235294117652</v>
      </c>
      <c r="AQ55" s="22">
        <f t="shared" ref="AQ55" si="1023">IF(AND(AM53&lt;0,AQ53&gt;0),"n/a",AQ53/AM53-1)</f>
        <v>-8.6419753086419804E-2</v>
      </c>
      <c r="AR55" s="22">
        <f t="shared" ref="AR55" si="1024">IF(AND(AN53&lt;0,AR53&gt;0),"n/a",AR53/AN53-1)</f>
        <v>0.14838709677419359</v>
      </c>
      <c r="AS55" s="22">
        <f t="shared" ref="AS55" si="1025">IF(AND(AO53&lt;0,AS53&gt;0),"n/a",AS53/AO53-1)</f>
        <v>0.13953488372093026</v>
      </c>
      <c r="AT55" s="22">
        <f t="shared" ref="AT55:BL55" si="1026">IF(AND(AP53&lt;0,AT53&gt;0),"n/a",AT53/AP53-1)</f>
        <v>0.46666666666666656</v>
      </c>
      <c r="AU55" s="22">
        <f t="shared" si="1026"/>
        <v>0.29729729729729737</v>
      </c>
      <c r="AV55" s="22">
        <f t="shared" si="1026"/>
        <v>2.2471910112359605E-2</v>
      </c>
      <c r="AW55" s="22">
        <f t="shared" si="1026"/>
        <v>-7.6530612244897989E-2</v>
      </c>
      <c r="AX55" s="22">
        <f t="shared" si="1026"/>
        <v>1.2222222222222223</v>
      </c>
      <c r="AY55" s="28">
        <f t="shared" si="1026"/>
        <v>5.2083333333332593E-3</v>
      </c>
      <c r="AZ55" s="28">
        <f t="shared" si="1026"/>
        <v>0.14835164835164827</v>
      </c>
      <c r="BA55" s="28">
        <f t="shared" si="1026"/>
        <v>0.24861878453038666</v>
      </c>
      <c r="BB55" s="28">
        <f t="shared" si="1026"/>
        <v>-0.34545454545454546</v>
      </c>
      <c r="BC55" s="28">
        <f t="shared" si="1026"/>
        <v>0.47668393782383411</v>
      </c>
      <c r="BD55" s="28">
        <f t="shared" si="1026"/>
        <v>0.42105263157894735</v>
      </c>
      <c r="BE55" s="28">
        <f t="shared" si="1026"/>
        <v>1.9070796460176993</v>
      </c>
      <c r="BF55" s="28">
        <f t="shared" si="1026"/>
        <v>0.71875</v>
      </c>
      <c r="BG55" s="28">
        <f t="shared" si="1026"/>
        <v>0.2807017543859649</v>
      </c>
      <c r="BH55" s="28">
        <f t="shared" si="1026"/>
        <v>0.30639730639730645</v>
      </c>
      <c r="BI55" s="28">
        <f t="shared" si="1026"/>
        <v>-0.39117199391171997</v>
      </c>
      <c r="BJ55" s="28">
        <f t="shared" si="1026"/>
        <v>-9.0909090909090939E-2</v>
      </c>
      <c r="BK55" s="28">
        <f t="shared" si="1026"/>
        <v>2.1917808219177992E-2</v>
      </c>
      <c r="BL55" s="28">
        <f t="shared" si="1026"/>
        <v>-0.11340206185567014</v>
      </c>
      <c r="BM55" s="26">
        <v>0.05</v>
      </c>
      <c r="BN55" s="26">
        <v>0.05</v>
      </c>
      <c r="BO55" s="26">
        <v>0.05</v>
      </c>
      <c r="BP55" s="26">
        <v>0.05</v>
      </c>
      <c r="BQ55" s="26">
        <v>0.05</v>
      </c>
      <c r="BR55" s="26">
        <v>0.05</v>
      </c>
      <c r="BS55" s="26">
        <v>0.05</v>
      </c>
      <c r="BT55" s="26">
        <v>0.05</v>
      </c>
      <c r="BU55" s="26">
        <v>0.05</v>
      </c>
      <c r="BV55" s="26">
        <v>0.05</v>
      </c>
      <c r="BW55" s="26">
        <v>0.05</v>
      </c>
      <c r="BX55" s="26">
        <v>0.05</v>
      </c>
      <c r="BY55" s="26">
        <v>0.05</v>
      </c>
      <c r="BZ55" s="26">
        <v>0.05</v>
      </c>
      <c r="CA55" s="26">
        <v>0.05</v>
      </c>
      <c r="CB55" s="26">
        <v>0.05</v>
      </c>
      <c r="CC55" s="26">
        <v>0.05</v>
      </c>
      <c r="CD55" s="26">
        <v>0.05</v>
      </c>
      <c r="CE55" s="26">
        <v>0.05</v>
      </c>
      <c r="CF55" s="26">
        <v>0.05</v>
      </c>
      <c r="CG55" s="26">
        <v>0.05</v>
      </c>
      <c r="CH55" s="26"/>
      <c r="CI55" s="109"/>
      <c r="CJ55" s="30"/>
      <c r="CK55" s="110"/>
      <c r="CL55" s="106" t="s">
        <v>82</v>
      </c>
      <c r="CM55" s="22">
        <f t="shared" ref="CM55" si="1027">IF(AND(CL53&lt;0,CM53&gt;0),"n/a",CM53/CL53-1)</f>
        <v>26.25</v>
      </c>
      <c r="CN55" s="107">
        <f t="shared" ref="CN55" si="1028">IF(AND(CM53&lt;0,CN53&gt;0),"n/a",CN53/CM53-1)</f>
        <v>0.3669724770642202</v>
      </c>
      <c r="CO55" s="22">
        <f t="shared" ref="CO55" si="1029">IF(AND(CN53&lt;0,CO53&gt;0),"n/a",CO53/CN53-1)</f>
        <v>0.81208053691275173</v>
      </c>
      <c r="CP55" s="107">
        <f t="shared" ref="CP55" si="1030">IF(AND(CO53&lt;0,CP53&gt;0),"n/a",CP53/CO53-1)</f>
        <v>-0.41111111111111109</v>
      </c>
      <c r="CQ55" s="22">
        <f t="shared" ref="CQ55" si="1031">IF(AND(CP53&lt;0,CQ53&gt;0),"n/a",CQ53/CP53-1)</f>
        <v>0.24737945492662483</v>
      </c>
      <c r="CR55" s="107">
        <f t="shared" ref="CR55" si="1032">IF(AND(CQ53&lt;0,CR53&gt;0),"n/a",CR53/CQ53-1)</f>
        <v>0.1075630252100841</v>
      </c>
      <c r="CS55" s="22">
        <f t="shared" ref="CS55" si="1033">IF(AND(CR53&lt;0,CS53&gt;0),"n/a",CS53/CR53-1)</f>
        <v>-3.0349013657056112E-3</v>
      </c>
      <c r="CT55" s="107">
        <f t="shared" ref="CT55" si="1034">IF(AND(CS53&lt;0,CT53&gt;0),"n/a",CT53/CS53-1)</f>
        <v>0.14611872146118721</v>
      </c>
      <c r="CU55" s="22">
        <f t="shared" ref="CU55" si="1035">IF(AND(CT53&lt;0,CU53&gt;0),"n/a",CU53/CT53-1)</f>
        <v>0.41832669322709171</v>
      </c>
      <c r="CV55" s="107">
        <f t="shared" ref="CV55" si="1036">IF(AND(CU53&lt;0,CV53&gt;0),"n/a",CV53/CU53-1)</f>
        <v>0.4297752808988764</v>
      </c>
      <c r="CW55" s="22">
        <f t="shared" ref="CW55" si="1037">IF(AND(CV53&lt;0,CW53&gt;0),"n/a",CW53/CV53-1)</f>
        <v>7.9240340537000575E-2</v>
      </c>
      <c r="CX55" s="107">
        <f t="shared" ref="CX55" si="1038">IF(AND(CW53&lt;0,CX53&gt;0),"n/a",CX53/CW53-1)</f>
        <v>-3.7014563106796072E-2</v>
      </c>
      <c r="CY55" s="107">
        <f t="shared" ref="CY55" si="1039">IF(AND(CX53&lt;0,CY53&gt;0),"n/a",CY53/CX53-1)</f>
        <v>5.0000000000000044E-2</v>
      </c>
      <c r="CZ55" s="107">
        <f>IF(AND(CY53&lt;0,CZ53&gt;0),"n/a",CZ53/CY53-1)</f>
        <v>4.9999999999999822E-2</v>
      </c>
      <c r="DA55" s="107">
        <f>IF(AND(CZ53&lt;0,DA53&gt;0),"n/a",DA53/CZ53-1)</f>
        <v>5.0000000000000044E-2</v>
      </c>
      <c r="DB55" s="107">
        <f>IF(AND(DA53&lt;0,DB53&gt;0),"n/a",DB53/DA53-1)</f>
        <v>5.0000000000000044E-2</v>
      </c>
      <c r="DC55" s="107">
        <f>IF(AND(DB53&lt;0,DC53&gt;0),"n/a",DC53/DB53-1)</f>
        <v>5.0000000000000044E-2</v>
      </c>
    </row>
    <row r="56" spans="1:108" x14ac:dyDescent="0.2">
      <c r="A56" s="14" t="s">
        <v>61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22">
        <f t="shared" ref="U56:AZ56" si="1040">U53/U$64</f>
        <v>5.8553830856764074E-3</v>
      </c>
      <c r="V56" s="22">
        <f t="shared" si="1040"/>
        <v>4.6355313477807391E-3</v>
      </c>
      <c r="W56" s="22">
        <f t="shared" si="1040"/>
        <v>4.174423196254301E-3</v>
      </c>
      <c r="X56" s="22">
        <f t="shared" si="1040"/>
        <v>7.6037483266398927E-3</v>
      </c>
      <c r="Y56" s="22">
        <f t="shared" si="1040"/>
        <v>7.0795630362417367E-3</v>
      </c>
      <c r="Z56" s="22">
        <f t="shared" si="1040"/>
        <v>8.1946981290418122E-3</v>
      </c>
      <c r="AA56" s="22">
        <f t="shared" si="1040"/>
        <v>8.6046511627906972E-3</v>
      </c>
      <c r="AB56" s="22">
        <f t="shared" si="1040"/>
        <v>8.7746648256202403E-3</v>
      </c>
      <c r="AC56" s="22">
        <f t="shared" si="1040"/>
        <v>1.0052179251074279E-2</v>
      </c>
      <c r="AD56" s="22">
        <f t="shared" si="1040"/>
        <v>5.3333333333333332E-3</v>
      </c>
      <c r="AE56" s="22">
        <f t="shared" si="1040"/>
        <v>3.7293348712033833E-3</v>
      </c>
      <c r="AF56" s="22">
        <f t="shared" si="1040"/>
        <v>4.212876278265879E-3</v>
      </c>
      <c r="AG56" s="22">
        <f t="shared" si="1040"/>
        <v>4.0528416297992143E-3</v>
      </c>
      <c r="AH56" s="22">
        <f t="shared" si="1040"/>
        <v>4.8160277403197843E-3</v>
      </c>
      <c r="AI56" s="22">
        <f t="shared" si="1040"/>
        <v>4.4400894142144105E-3</v>
      </c>
      <c r="AJ56" s="22">
        <f t="shared" si="1040"/>
        <v>4.3272080616478959E-3</v>
      </c>
      <c r="AK56" s="22">
        <f t="shared" si="1040"/>
        <v>3.9209695488338931E-3</v>
      </c>
      <c r="AL56" s="22">
        <f t="shared" si="1040"/>
        <v>4.678169459809021E-3</v>
      </c>
      <c r="AM56" s="22">
        <f t="shared" si="1040"/>
        <v>4.159819227608874E-3</v>
      </c>
      <c r="AN56" s="22">
        <f t="shared" si="1040"/>
        <v>3.8272549939504679E-3</v>
      </c>
      <c r="AO56" s="22">
        <f t="shared" si="1040"/>
        <v>3.7330439500813891E-3</v>
      </c>
      <c r="AP56" s="22">
        <f t="shared" si="1040"/>
        <v>3.2799630700454338E-3</v>
      </c>
      <c r="AQ56" s="22">
        <f t="shared" si="1040"/>
        <v>3.8645324699062588E-3</v>
      </c>
      <c r="AR56" s="22">
        <f t="shared" si="1040"/>
        <v>3.8550668139388819E-3</v>
      </c>
      <c r="AS56" s="22">
        <f t="shared" si="1040"/>
        <v>3.4447608000281204E-3</v>
      </c>
      <c r="AT56" s="22">
        <f t="shared" si="1040"/>
        <v>3.5795639440286365E-3</v>
      </c>
      <c r="AU56" s="22">
        <f t="shared" si="1040"/>
        <v>3.1027795733678085E-3</v>
      </c>
      <c r="AV56" s="22">
        <f t="shared" si="1040"/>
        <v>2.7949261340950273E-3</v>
      </c>
      <c r="AW56" s="22">
        <f t="shared" si="1040"/>
        <v>2.4029206770660471E-3</v>
      </c>
      <c r="AX56" s="22">
        <f t="shared" si="1040"/>
        <v>6.4695416917851523E-3</v>
      </c>
      <c r="AY56" s="28">
        <f t="shared" si="1040"/>
        <v>2.7696060845232118E-3</v>
      </c>
      <c r="AZ56" s="28">
        <f t="shared" si="1040"/>
        <v>3.0249522375962487E-3</v>
      </c>
      <c r="BA56" s="28">
        <f t="shared" ref="BA56:BQ56" si="1041">BA53/BA$64</f>
        <v>2.9718072796128762E-3</v>
      </c>
      <c r="BB56" s="28">
        <f t="shared" si="1041"/>
        <v>4.1268431083153019E-3</v>
      </c>
      <c r="BC56" s="28">
        <f t="shared" ref="BC56:BD56" si="1042">BC53/BC$64</f>
        <v>3.8201705002412741E-3</v>
      </c>
      <c r="BD56" s="28">
        <f t="shared" si="1042"/>
        <v>3.8725828954402617E-3</v>
      </c>
      <c r="BE56" s="28">
        <f t="shared" ref="BE56:BF56" si="1043">BE53/BE$64</f>
        <v>7.6120959332638162E-3</v>
      </c>
      <c r="BF56" s="28">
        <f t="shared" si="1043"/>
        <v>6.1460907138156671E-3</v>
      </c>
      <c r="BG56" s="28">
        <f t="shared" ref="BG56:BH56" si="1044">BG53/BG$64</f>
        <v>4.3071912392910246E-3</v>
      </c>
      <c r="BH56" s="28">
        <f t="shared" si="1044"/>
        <v>4.395703992386822E-3</v>
      </c>
      <c r="BI56" s="28">
        <f t="shared" ref="BI56:BJ56" si="1045">BI53/BI$64</f>
        <v>4.146409727477221E-3</v>
      </c>
      <c r="BJ56" s="28">
        <f t="shared" si="1045"/>
        <v>4.9870337123478952E-3</v>
      </c>
      <c r="BK56" s="28">
        <f t="shared" ref="BK56:BL56" si="1046">BK53/BK$64</f>
        <v>3.8681710706433814E-3</v>
      </c>
      <c r="BL56" s="28">
        <f t="shared" si="1046"/>
        <v>3.3611474801164675E-3</v>
      </c>
      <c r="BM56" s="28">
        <f t="shared" si="1041"/>
        <v>3.7446866314469309E-3</v>
      </c>
      <c r="BN56" s="28">
        <f t="shared" si="1041"/>
        <v>4.5541796280588968E-3</v>
      </c>
      <c r="BO56" s="28">
        <f t="shared" si="1041"/>
        <v>3.5641771746057712E-3</v>
      </c>
      <c r="BP56" s="28">
        <f t="shared" si="1041"/>
        <v>3.1010654382935764E-3</v>
      </c>
      <c r="BQ56" s="28">
        <f t="shared" si="1041"/>
        <v>3.5008939480213729E-3</v>
      </c>
      <c r="BR56" s="28">
        <f>BR53/BR$64</f>
        <v>4.2096795570625966E-3</v>
      </c>
      <c r="BS56" s="28">
        <f t="shared" ref="BS56:BU56" si="1047">BS53/BS$64</f>
        <v>3.3086973799408828E-3</v>
      </c>
      <c r="BT56" s="28">
        <f t="shared" si="1047"/>
        <v>2.8750248372443068E-3</v>
      </c>
      <c r="BU56" s="28">
        <f t="shared" si="1047"/>
        <v>3.2563417765308724E-3</v>
      </c>
      <c r="BV56" s="28">
        <f t="shared" ref="BV56:CC56" si="1048">BV53/BV$64</f>
        <v>3.9125937796565006E-3</v>
      </c>
      <c r="BW56" s="28">
        <f t="shared" si="1048"/>
        <v>3.087881574367019E-3</v>
      </c>
      <c r="BX56" s="28">
        <f t="shared" si="1048"/>
        <v>2.6795136027262453E-3</v>
      </c>
      <c r="BY56" s="28">
        <f t="shared" si="1048"/>
        <v>3.044532953202385E-3</v>
      </c>
      <c r="BZ56" s="28">
        <f t="shared" si="1048"/>
        <v>3.6663383263217789E-3</v>
      </c>
      <c r="CA56" s="28">
        <f t="shared" si="1048"/>
        <v>2.9049746993587873E-3</v>
      </c>
      <c r="CB56" s="28">
        <f t="shared" si="1048"/>
        <v>2.5176222792894381E-3</v>
      </c>
      <c r="CC56" s="28">
        <f t="shared" si="1048"/>
        <v>2.8692313665562613E-3</v>
      </c>
      <c r="CD56" s="28">
        <f t="shared" ref="CD56:CG56" si="1049">CD53/CD$64</f>
        <v>3.4634163644217805E-3</v>
      </c>
      <c r="CE56" s="28">
        <f t="shared" si="1049"/>
        <v>2.754611455489693E-3</v>
      </c>
      <c r="CF56" s="28">
        <f t="shared" si="1049"/>
        <v>2.3845732899384206E-3</v>
      </c>
      <c r="CG56" s="28">
        <f t="shared" si="1049"/>
        <v>2.7253067776651795E-3</v>
      </c>
      <c r="CH56" s="28"/>
      <c r="CI56" s="110"/>
      <c r="CJ56" s="30"/>
      <c r="CK56" s="110"/>
      <c r="CL56" s="107">
        <f t="shared" ref="CL56:CY56" si="1050">CL53/CL$64</f>
        <v>2.1614222158180082E-4</v>
      </c>
      <c r="CM56" s="22">
        <f t="shared" si="1050"/>
        <v>4.9544703868123208E-3</v>
      </c>
      <c r="CN56" s="107">
        <f t="shared" si="1050"/>
        <v>5.9608742615583615E-3</v>
      </c>
      <c r="CO56" s="22">
        <f t="shared" si="1050"/>
        <v>8.9728819567529237E-3</v>
      </c>
      <c r="CP56" s="107">
        <f t="shared" si="1050"/>
        <v>4.3029182265121105E-3</v>
      </c>
      <c r="CQ56" s="22">
        <f t="shared" si="1050"/>
        <v>4.3488112031223733E-3</v>
      </c>
      <c r="CR56" s="107">
        <f t="shared" si="1050"/>
        <v>4.071495208733635E-3</v>
      </c>
      <c r="CS56" s="22">
        <f t="shared" si="1050"/>
        <v>3.5994674760446398E-3</v>
      </c>
      <c r="CT56" s="107">
        <f t="shared" si="1050"/>
        <v>2.9227168457946645E-3</v>
      </c>
      <c r="CU56" s="22">
        <f t="shared" si="1050"/>
        <v>3.7760398251990555E-3</v>
      </c>
      <c r="CV56" s="107">
        <f t="shared" si="1050"/>
        <v>4.9675660552906042E-3</v>
      </c>
      <c r="CW56" s="22">
        <f t="shared" si="1050"/>
        <v>4.7083292859224383E-3</v>
      </c>
      <c r="CX56" s="107">
        <f t="shared" si="1050"/>
        <v>3.955959301906101E-3</v>
      </c>
      <c r="CY56" s="107">
        <f t="shared" si="1050"/>
        <v>3.6536362757216517E-3</v>
      </c>
      <c r="CZ56" s="107">
        <f>CZ53/CZ$64</f>
        <v>3.3891434003532834E-3</v>
      </c>
      <c r="DA56" s="107">
        <f>DA53/DA$64</f>
        <v>3.1604624213596669E-3</v>
      </c>
      <c r="DB56" s="107">
        <f>DB53/DB$64</f>
        <v>2.9710409501716079E-3</v>
      </c>
      <c r="DC56" s="107">
        <f>DC53/DC$64</f>
        <v>2.8152748064266351E-3</v>
      </c>
    </row>
    <row r="57" spans="1:108" x14ac:dyDescent="0.2">
      <c r="A57" s="14" t="s">
        <v>77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2">
        <f t="shared" ref="U57:AZ57" si="1051">U53/U$85</f>
        <v>7.3209475792527104E-3</v>
      </c>
      <c r="V57" s="22">
        <f t="shared" si="1051"/>
        <v>5.7500179688061521E-3</v>
      </c>
      <c r="W57" s="22">
        <f t="shared" si="1051"/>
        <v>5.156794425087108E-3</v>
      </c>
      <c r="X57" s="22">
        <f t="shared" si="1051"/>
        <v>9.3983718313587934E-3</v>
      </c>
      <c r="Y57" s="22">
        <f t="shared" si="1051"/>
        <v>8.741461155493806E-3</v>
      </c>
      <c r="Z57" s="22">
        <f t="shared" si="1051"/>
        <v>1.0079543384540653E-2</v>
      </c>
      <c r="AA57" s="22">
        <f t="shared" si="1051"/>
        <v>1.0556348074179744E-2</v>
      </c>
      <c r="AB57" s="22">
        <f t="shared" si="1051"/>
        <v>1.078329410476764E-2</v>
      </c>
      <c r="AC57" s="22">
        <f t="shared" si="1051"/>
        <v>1.2349170437405731E-2</v>
      </c>
      <c r="AD57" s="22">
        <f t="shared" si="1051"/>
        <v>6.560310123751305E-3</v>
      </c>
      <c r="AE57" s="22">
        <f t="shared" si="1051"/>
        <v>4.6369329317845018E-3</v>
      </c>
      <c r="AF57" s="22">
        <f t="shared" si="1051"/>
        <v>5.2537045352492144E-3</v>
      </c>
      <c r="AG57" s="22">
        <f t="shared" si="1051"/>
        <v>5.0631932903026323E-3</v>
      </c>
      <c r="AH57" s="22">
        <f t="shared" si="1051"/>
        <v>6.0342746801834417E-3</v>
      </c>
      <c r="AI57" s="22">
        <f t="shared" si="1051"/>
        <v>5.5265464801616034E-3</v>
      </c>
      <c r="AJ57" s="22">
        <f t="shared" si="1051"/>
        <v>5.3759481552397084E-3</v>
      </c>
      <c r="AK57" s="22">
        <f t="shared" si="1051"/>
        <v>4.8366834170854274E-3</v>
      </c>
      <c r="AL57" s="22">
        <f t="shared" si="1051"/>
        <v>5.7668170562095054E-3</v>
      </c>
      <c r="AM57" s="22">
        <f t="shared" si="1051"/>
        <v>5.1094430076326245E-3</v>
      </c>
      <c r="AN57" s="22">
        <f t="shared" si="1051"/>
        <v>4.6956890545002874E-3</v>
      </c>
      <c r="AO57" s="22">
        <f t="shared" si="1051"/>
        <v>4.5776334699526265E-3</v>
      </c>
      <c r="AP57" s="22">
        <f t="shared" si="1051"/>
        <v>4.0051027976384726E-3</v>
      </c>
      <c r="AQ57" s="22">
        <f t="shared" si="1051"/>
        <v>4.6830997057241402E-3</v>
      </c>
      <c r="AR57" s="22">
        <f t="shared" si="1051"/>
        <v>4.68334780435183E-3</v>
      </c>
      <c r="AS57" s="22">
        <f t="shared" si="1051"/>
        <v>4.2212267401791868E-3</v>
      </c>
      <c r="AT57" s="22">
        <f t="shared" si="1051"/>
        <v>4.3419148282970044E-3</v>
      </c>
      <c r="AU57" s="22">
        <f t="shared" si="1051"/>
        <v>3.7683264312771093E-3</v>
      </c>
      <c r="AV57" s="22">
        <f t="shared" si="1051"/>
        <v>3.3942558746736292E-3</v>
      </c>
      <c r="AW57" s="22">
        <f t="shared" si="1051"/>
        <v>2.9241655626999256E-3</v>
      </c>
      <c r="AX57" s="22">
        <f t="shared" si="1051"/>
        <v>7.8541975330679564E-3</v>
      </c>
      <c r="AY57" s="28">
        <f t="shared" si="1051"/>
        <v>3.3582154477910598E-3</v>
      </c>
      <c r="AZ57" s="28">
        <f t="shared" si="1051"/>
        <v>3.6496350364963502E-3</v>
      </c>
      <c r="BA57" s="28">
        <f t="shared" ref="BA57:BQ57" si="1052">BA53/BA$85</f>
        <v>3.5803114554124487E-3</v>
      </c>
      <c r="BB57" s="28">
        <f t="shared" si="1052"/>
        <v>4.9598732476836705E-3</v>
      </c>
      <c r="BC57" s="28">
        <f t="shared" ref="BC57:BD57" si="1053">BC53/BC$85</f>
        <v>4.5918120740490115E-3</v>
      </c>
      <c r="BD57" s="28">
        <f t="shared" si="1053"/>
        <v>4.6369299464489233E-3</v>
      </c>
      <c r="BE57" s="28">
        <f t="shared" ref="BE57:BF57" si="1054">BE53/BE$85</f>
        <v>9.084121453459432E-3</v>
      </c>
      <c r="BF57" s="28">
        <f t="shared" si="1054"/>
        <v>7.323243531134881E-3</v>
      </c>
      <c r="BG57" s="28">
        <f t="shared" ref="BG57:BH57" si="1055">BG53/BG$85</f>
        <v>5.1152687267885921E-3</v>
      </c>
      <c r="BH57" s="28">
        <f t="shared" si="1055"/>
        <v>5.2046305114756735E-3</v>
      </c>
      <c r="BI57" s="28">
        <f t="shared" ref="BI57:BJ57" si="1056">BI53/BI$85</f>
        <v>4.9006995748643121E-3</v>
      </c>
      <c r="BJ57" s="28">
        <f t="shared" si="1056"/>
        <v>5.8834296472557073E-3</v>
      </c>
      <c r="BK57" s="28">
        <f t="shared" ref="BK57:BL57" si="1057">BK53/BK$85</f>
        <v>4.564198573229079E-3</v>
      </c>
      <c r="BL57" s="28">
        <f t="shared" si="1057"/>
        <v>3.9327769520978622E-3</v>
      </c>
      <c r="BM57" s="22">
        <f t="shared" si="1052"/>
        <v>4.3972014804535163E-3</v>
      </c>
      <c r="BN57" s="22">
        <f t="shared" si="1052"/>
        <v>5.3064784081115245E-3</v>
      </c>
      <c r="BO57" s="22">
        <f t="shared" si="1052"/>
        <v>4.1514094067780843E-3</v>
      </c>
      <c r="BP57" s="22">
        <f t="shared" si="1052"/>
        <v>3.6017254146577088E-3</v>
      </c>
      <c r="BQ57" s="22">
        <f t="shared" si="1052"/>
        <v>4.0737833142250419E-3</v>
      </c>
      <c r="BR57" s="28">
        <f>BR53/BR$85</f>
        <v>4.8659469000775814E-3</v>
      </c>
      <c r="BS57" s="28">
        <f t="shared" ref="BS57:BU57" si="1058">BS53/BS$85</f>
        <v>3.8218477420602164E-3</v>
      </c>
      <c r="BT57" s="28">
        <f t="shared" si="1058"/>
        <v>3.3115892873136006E-3</v>
      </c>
      <c r="BU57" s="28">
        <f t="shared" si="1058"/>
        <v>3.7576629019230603E-3</v>
      </c>
      <c r="BV57" s="28">
        <f t="shared" ref="BV57:CC57" si="1059">BV53/BV$85</f>
        <v>4.4887956316582312E-3</v>
      </c>
      <c r="BW57" s="28">
        <f t="shared" si="1059"/>
        <v>3.5389401116819675E-3</v>
      </c>
      <c r="BX57" s="28">
        <f t="shared" si="1059"/>
        <v>3.0623610050097999E-3</v>
      </c>
      <c r="BY57" s="28">
        <f t="shared" si="1059"/>
        <v>3.4856088405138819E-3</v>
      </c>
      <c r="BZ57" s="28">
        <f t="shared" si="1059"/>
        <v>4.1779293553304451E-3</v>
      </c>
      <c r="CA57" s="28">
        <f t="shared" si="1059"/>
        <v>3.3057077603891125E-3</v>
      </c>
      <c r="CB57" s="28">
        <f t="shared" si="1059"/>
        <v>2.8570145704287899E-3</v>
      </c>
      <c r="CC57" s="28">
        <f t="shared" si="1059"/>
        <v>3.2613685422742903E-3</v>
      </c>
      <c r="CD57" s="28">
        <f t="shared" ref="CD57:CG57" si="1060">CD53/CD$85</f>
        <v>3.923644787217938E-3</v>
      </c>
      <c r="CE57" s="28">
        <f t="shared" si="1060"/>
        <v>3.115180573069096E-3</v>
      </c>
      <c r="CF57" s="28">
        <f t="shared" si="1060"/>
        <v>2.6893420407333702E-3</v>
      </c>
      <c r="CG57" s="28">
        <f t="shared" si="1060"/>
        <v>3.0782905081946543E-3</v>
      </c>
      <c r="CH57" s="28"/>
      <c r="CI57" s="110"/>
      <c r="CJ57" s="30"/>
      <c r="CK57" s="110"/>
      <c r="CL57" s="107">
        <f t="shared" ref="CL57:CY57" si="1061">CL53/CL$85</f>
        <v>2.7738609833337184E-4</v>
      </c>
      <c r="CM57" s="22">
        <f t="shared" si="1061"/>
        <v>6.2280969069023317E-3</v>
      </c>
      <c r="CN57" s="107">
        <f t="shared" si="1061"/>
        <v>7.3706427464301028E-3</v>
      </c>
      <c r="CO57" s="22">
        <f t="shared" si="1061"/>
        <v>1.1023557751194219E-2</v>
      </c>
      <c r="CP57" s="107">
        <f t="shared" si="1061"/>
        <v>5.3485529753428346E-3</v>
      </c>
      <c r="CQ57" s="22">
        <f t="shared" si="1061"/>
        <v>5.4045216317113714E-3</v>
      </c>
      <c r="CR57" s="107">
        <f t="shared" si="1061"/>
        <v>5.0012142553579018E-3</v>
      </c>
      <c r="CS57" s="22">
        <f t="shared" si="1061"/>
        <v>4.3873414847511501E-3</v>
      </c>
      <c r="CT57" s="107">
        <f t="shared" si="1061"/>
        <v>3.550697643713662E-3</v>
      </c>
      <c r="CU57" s="22">
        <f t="shared" si="1061"/>
        <v>4.5664248057772968E-3</v>
      </c>
      <c r="CV57" s="107">
        <f t="shared" si="1061"/>
        <v>5.9530307046953704E-3</v>
      </c>
      <c r="CW57" s="22">
        <f t="shared" si="1061"/>
        <v>5.5842069951680343E-3</v>
      </c>
      <c r="CX57" s="107">
        <f t="shared" si="1061"/>
        <v>4.6513087107224798E-3</v>
      </c>
      <c r="CY57" s="107">
        <f t="shared" si="1061"/>
        <v>4.2517387960342686E-3</v>
      </c>
      <c r="CZ57" s="107">
        <f>CZ53/CZ$85</f>
        <v>3.9115123773818521E-3</v>
      </c>
      <c r="DA57" s="107">
        <f>DA53/DA$85</f>
        <v>3.6193586581873697E-3</v>
      </c>
      <c r="DB57" s="107">
        <f>DB53/DB$85</f>
        <v>3.3785387708383081E-3</v>
      </c>
      <c r="DC57" s="107">
        <f>DC53/DC$85</f>
        <v>3.181781299854098E-3</v>
      </c>
    </row>
    <row r="58" spans="1:108" x14ac:dyDescent="0.2">
      <c r="A58" s="14"/>
      <c r="AR58" s="151">
        <f>AR55-AQ55</f>
        <v>0.2348068498606134</v>
      </c>
      <c r="AS58" s="151">
        <f t="shared" ref="AS58:AZ58" si="1062">AS55-AR55</f>
        <v>-8.8522130532633359E-3</v>
      </c>
      <c r="AT58" s="151">
        <f t="shared" si="1062"/>
        <v>0.3271317829457363</v>
      </c>
      <c r="AU58" s="151">
        <f t="shared" si="1062"/>
        <v>-0.16936936936936919</v>
      </c>
      <c r="AV58" s="151">
        <f>AV55-AU55</f>
        <v>-0.27482538718493776</v>
      </c>
      <c r="AW58" s="151">
        <f>AW55-AV55</f>
        <v>-9.9002522357257594E-2</v>
      </c>
      <c r="AX58" s="151">
        <f t="shared" si="1062"/>
        <v>1.2987528344671202</v>
      </c>
      <c r="AY58" s="151">
        <f t="shared" si="1062"/>
        <v>-1.2170138888888891</v>
      </c>
      <c r="AZ58" s="151">
        <f t="shared" si="1062"/>
        <v>0.14314331501831501</v>
      </c>
      <c r="BA58" s="151">
        <f>BA55-AZ55</f>
        <v>0.10026713617873839</v>
      </c>
      <c r="BB58" s="151"/>
      <c r="BC58" s="151"/>
      <c r="BD58" s="151"/>
      <c r="BE58" s="151"/>
      <c r="BF58" s="151"/>
      <c r="BG58" s="151"/>
      <c r="BH58" s="151"/>
      <c r="BI58" s="151"/>
      <c r="BJ58" s="151"/>
      <c r="BK58" s="151"/>
      <c r="BL58" s="151"/>
      <c r="CI58" s="92"/>
      <c r="CK58" s="92"/>
      <c r="CL58" s="92"/>
      <c r="CN58" s="92"/>
      <c r="CP58" s="92"/>
      <c r="CR58" s="92"/>
      <c r="CT58" s="92"/>
      <c r="CV58" s="92"/>
      <c r="CX58" s="92"/>
      <c r="CY58" s="92"/>
      <c r="CZ58" s="92"/>
      <c r="DA58" s="92"/>
      <c r="DB58" s="92"/>
      <c r="DC58" s="92"/>
    </row>
    <row r="59" spans="1:108" x14ac:dyDescent="0.2">
      <c r="A59" s="4" t="s">
        <v>80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7">
        <v>124</v>
      </c>
      <c r="AL59" s="17">
        <v>137</v>
      </c>
      <c r="AM59" s="17">
        <v>108</v>
      </c>
      <c r="AN59" s="18">
        <v>119</v>
      </c>
      <c r="AO59" s="17">
        <v>91</v>
      </c>
      <c r="AP59" s="17">
        <v>49</v>
      </c>
      <c r="AQ59" s="17">
        <v>151</v>
      </c>
      <c r="AR59" s="17">
        <v>-22</v>
      </c>
      <c r="AS59" s="17">
        <v>-2</v>
      </c>
      <c r="AT59" s="17">
        <v>-109</v>
      </c>
      <c r="AU59" s="18">
        <v>-7</v>
      </c>
      <c r="AV59" s="18">
        <v>62</v>
      </c>
      <c r="AW59" s="18">
        <v>203</v>
      </c>
      <c r="AX59" s="18">
        <v>278</v>
      </c>
      <c r="AY59" s="18">
        <v>375</v>
      </c>
      <c r="AZ59" s="18">
        <v>638</v>
      </c>
      <c r="BA59" s="18">
        <v>669</v>
      </c>
      <c r="BB59" s="18">
        <v>84</v>
      </c>
      <c r="BC59" s="18">
        <v>3</v>
      </c>
      <c r="BD59" s="18">
        <v>-1</v>
      </c>
      <c r="BE59" s="18">
        <v>150</v>
      </c>
      <c r="BF59" s="18">
        <v>72</v>
      </c>
      <c r="BG59" s="18">
        <v>102</v>
      </c>
      <c r="BH59" s="18">
        <v>17</v>
      </c>
      <c r="BI59" s="18">
        <v>20</v>
      </c>
      <c r="BJ59" s="18">
        <v>260</v>
      </c>
      <c r="BK59" s="18">
        <v>-112</v>
      </c>
      <c r="BL59" s="18">
        <v>-207</v>
      </c>
      <c r="BM59" s="23">
        <v>0</v>
      </c>
      <c r="BN59" s="23">
        <v>0</v>
      </c>
      <c r="BO59" s="23">
        <v>0</v>
      </c>
      <c r="BP59" s="23">
        <v>0</v>
      </c>
      <c r="BQ59" s="23">
        <v>0</v>
      </c>
      <c r="BR59" s="76">
        <v>0</v>
      </c>
      <c r="BS59" s="76">
        <v>0</v>
      </c>
      <c r="BT59" s="76">
        <v>0</v>
      </c>
      <c r="BU59" s="76">
        <v>0</v>
      </c>
      <c r="BV59" s="76">
        <v>0</v>
      </c>
      <c r="BW59" s="76">
        <v>0</v>
      </c>
      <c r="BX59" s="76">
        <v>0</v>
      </c>
      <c r="BY59" s="76">
        <v>0</v>
      </c>
      <c r="BZ59" s="76">
        <v>0</v>
      </c>
      <c r="CA59" s="76">
        <v>0</v>
      </c>
      <c r="CB59" s="76">
        <v>0</v>
      </c>
      <c r="CC59" s="76">
        <v>0</v>
      </c>
      <c r="CD59" s="76">
        <v>0</v>
      </c>
      <c r="CE59" s="76">
        <v>0</v>
      </c>
      <c r="CF59" s="76">
        <v>0</v>
      </c>
      <c r="CG59" s="76">
        <v>0</v>
      </c>
      <c r="CH59" s="76"/>
      <c r="CI59" s="108"/>
      <c r="CJ59" s="45"/>
      <c r="CK59" s="108"/>
      <c r="CL59" s="108"/>
      <c r="CM59" s="45"/>
      <c r="CN59" s="108"/>
      <c r="CO59" s="45"/>
      <c r="CP59" s="117">
        <v>-169</v>
      </c>
      <c r="CQ59" s="78">
        <v>-138</v>
      </c>
      <c r="CR59" s="90">
        <f>SUM(AL59:AO59)</f>
        <v>455</v>
      </c>
      <c r="CS59" s="21">
        <f>SUM(AP59:AS59)</f>
        <v>176</v>
      </c>
      <c r="CT59" s="90">
        <f>SUM(AT59:AW59)</f>
        <v>149</v>
      </c>
      <c r="CU59" s="21">
        <f>SUM(AX59:BA59)</f>
        <v>1960</v>
      </c>
      <c r="CV59" s="90">
        <f>SUM(BB59:BE59)</f>
        <v>236</v>
      </c>
      <c r="CW59" s="21">
        <f>SUM(BF59:BI59)</f>
        <v>211</v>
      </c>
      <c r="CX59" s="90">
        <f>SUM(BJ59:BM59)</f>
        <v>-59</v>
      </c>
      <c r="CY59" s="90">
        <f>SUM(BN59:BQ59)</f>
        <v>0</v>
      </c>
      <c r="CZ59" s="90">
        <f>SUM(BR59:BU59)</f>
        <v>0</v>
      </c>
      <c r="DA59" s="90">
        <f>SUM(BV59:BY59)</f>
        <v>0</v>
      </c>
      <c r="DB59" s="90">
        <f>SUM(BZ59:CC59)</f>
        <v>0</v>
      </c>
      <c r="DC59" s="90">
        <f>SUM(CD59:CG59)</f>
        <v>0</v>
      </c>
    </row>
    <row r="60" spans="1:108" x14ac:dyDescent="0.2">
      <c r="A60" s="14" t="s">
        <v>62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25" t="s">
        <v>82</v>
      </c>
      <c r="AL60" s="22">
        <f>IF(AND(AK59&lt;0,AL59&gt;0),"n/a",AL59/AK59-1)</f>
        <v>0.10483870967741926</v>
      </c>
      <c r="AM60" s="22">
        <f t="shared" ref="AM60" si="1063">IF(AND(AL59&lt;0,AM59&gt;0),"n/a",AM59/AL59-1)</f>
        <v>-0.21167883211678828</v>
      </c>
      <c r="AN60" s="22">
        <f t="shared" ref="AN60" si="1064">IF(AND(AM59&lt;0,AN59&gt;0),"n/a",AN59/AM59-1)</f>
        <v>0.10185185185185186</v>
      </c>
      <c r="AO60" s="22">
        <f t="shared" ref="AO60" si="1065">IF(AND(AN59&lt;0,AO59&gt;0),"n/a",AO59/AN59-1)</f>
        <v>-0.23529411764705888</v>
      </c>
      <c r="AP60" s="22">
        <f t="shared" ref="AP60" si="1066">IF(AND(AO59&lt;0,AP59&gt;0),"n/a",AP59/AO59-1)</f>
        <v>-0.46153846153846156</v>
      </c>
      <c r="AQ60" s="22">
        <f t="shared" ref="AQ60" si="1067">IF(AND(AP59&lt;0,AQ59&gt;0),"n/a",AQ59/AP59-1)</f>
        <v>2.0816326530612246</v>
      </c>
      <c r="AR60" s="22">
        <f t="shared" ref="AR60" si="1068">IF(AND(AQ59&lt;0,AR59&gt;0),"n/a",AR59/AQ59-1)</f>
        <v>-1.1456953642384107</v>
      </c>
      <c r="AS60" s="22">
        <f t="shared" ref="AS60" si="1069">IF(AND(AR59&lt;0,AS59&gt;0),"n/a",AS59/AR59-1)</f>
        <v>-0.90909090909090906</v>
      </c>
      <c r="AT60" s="22">
        <f t="shared" ref="AT60:AX60" si="1070">IF(AND(AS59&lt;0,AT59&gt;0),"n/a",AT59/AS59-1)</f>
        <v>53.5</v>
      </c>
      <c r="AU60" s="22">
        <f t="shared" si="1070"/>
        <v>-0.93577981651376141</v>
      </c>
      <c r="AV60" s="25" t="str">
        <f t="shared" si="1070"/>
        <v>n/a</v>
      </c>
      <c r="AW60" s="25">
        <f t="shared" si="1070"/>
        <v>2.274193548387097</v>
      </c>
      <c r="AX60" s="25">
        <f t="shared" si="1070"/>
        <v>0.36945812807881784</v>
      </c>
      <c r="AY60" s="233">
        <f t="shared" ref="AY60" si="1071">IF(AND(AX59&lt;0,AY59&gt;0),"n/a",AY59/AX59-1)</f>
        <v>0.34892086330935257</v>
      </c>
      <c r="AZ60" s="233">
        <f t="shared" ref="AZ60" si="1072">IF(AND(AY59&lt;0,AZ59&gt;0),"n/a",AZ59/AY59-1)</f>
        <v>0.70133333333333336</v>
      </c>
      <c r="BA60" s="233">
        <f t="shared" ref="BA60" si="1073">IF(AND(AZ59&lt;0,BA59&gt;0),"n/a",BA59/AZ59-1)</f>
        <v>4.8589341692790056E-2</v>
      </c>
      <c r="BB60" s="233">
        <f t="shared" ref="BB60" si="1074">IF(AND(BA59&lt;0,BB59&gt;0),"n/a",BB59/BA59-1)</f>
        <v>-0.87443946188340804</v>
      </c>
      <c r="BC60" s="233" t="s">
        <v>82</v>
      </c>
      <c r="BD60" s="233" t="s">
        <v>82</v>
      </c>
      <c r="BE60" s="233" t="s">
        <v>82</v>
      </c>
      <c r="BF60" s="233" t="s">
        <v>82</v>
      </c>
      <c r="BG60" s="233" t="s">
        <v>82</v>
      </c>
      <c r="BH60" s="233" t="s">
        <v>82</v>
      </c>
      <c r="BI60" s="233" t="s">
        <v>82</v>
      </c>
      <c r="BJ60" s="233" t="s">
        <v>82</v>
      </c>
      <c r="BK60" s="233" t="s">
        <v>82</v>
      </c>
      <c r="BL60" s="233" t="s">
        <v>82</v>
      </c>
      <c r="BM60" s="25" t="s">
        <v>82</v>
      </c>
      <c r="BN60" s="25" t="s">
        <v>82</v>
      </c>
      <c r="BO60" s="25" t="s">
        <v>82</v>
      </c>
      <c r="BP60" s="25" t="s">
        <v>82</v>
      </c>
      <c r="BQ60" s="25" t="s">
        <v>82</v>
      </c>
      <c r="BR60" s="233" t="s">
        <v>82</v>
      </c>
      <c r="BS60" s="233" t="s">
        <v>82</v>
      </c>
      <c r="BT60" s="233" t="s">
        <v>82</v>
      </c>
      <c r="BU60" s="233" t="s">
        <v>82</v>
      </c>
      <c r="BV60" s="233" t="s">
        <v>82</v>
      </c>
      <c r="BW60" s="233" t="s">
        <v>82</v>
      </c>
      <c r="BX60" s="233" t="s">
        <v>82</v>
      </c>
      <c r="BY60" s="233" t="s">
        <v>82</v>
      </c>
      <c r="BZ60" s="233" t="s">
        <v>82</v>
      </c>
      <c r="CA60" s="233" t="s">
        <v>82</v>
      </c>
      <c r="CB60" s="233" t="s">
        <v>82</v>
      </c>
      <c r="CC60" s="233" t="s">
        <v>82</v>
      </c>
      <c r="CD60" s="233" t="s">
        <v>82</v>
      </c>
      <c r="CE60" s="233" t="s">
        <v>82</v>
      </c>
      <c r="CF60" s="233" t="s">
        <v>82</v>
      </c>
      <c r="CG60" s="233" t="s">
        <v>82</v>
      </c>
      <c r="CH60" s="233"/>
      <c r="CI60" s="109"/>
      <c r="CJ60" s="59"/>
      <c r="CK60" s="109"/>
      <c r="CL60" s="109"/>
      <c r="CM60" s="59"/>
      <c r="CN60" s="109"/>
      <c r="CO60" s="59"/>
      <c r="CP60" s="106" t="s">
        <v>82</v>
      </c>
      <c r="CQ60" s="48" t="s">
        <v>82</v>
      </c>
      <c r="CR60" s="106" t="s">
        <v>82</v>
      </c>
      <c r="CS60" s="48" t="s">
        <v>82</v>
      </c>
      <c r="CT60" s="106" t="s">
        <v>82</v>
      </c>
      <c r="CU60" s="48" t="s">
        <v>82</v>
      </c>
      <c r="CV60" s="106" t="s">
        <v>82</v>
      </c>
      <c r="CW60" s="48" t="s">
        <v>82</v>
      </c>
      <c r="CX60" s="106" t="s">
        <v>82</v>
      </c>
      <c r="CY60" s="106" t="s">
        <v>82</v>
      </c>
      <c r="CZ60" s="106" t="s">
        <v>82</v>
      </c>
      <c r="DA60" s="106" t="s">
        <v>82</v>
      </c>
      <c r="DB60" s="106" t="s">
        <v>82</v>
      </c>
      <c r="DC60" s="106" t="s">
        <v>82</v>
      </c>
    </row>
    <row r="61" spans="1:108" x14ac:dyDescent="0.2">
      <c r="A61" s="14" t="s">
        <v>63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25" t="s">
        <v>82</v>
      </c>
      <c r="AL61" s="25" t="s">
        <v>82</v>
      </c>
      <c r="AM61" s="25" t="s">
        <v>82</v>
      </c>
      <c r="AN61" s="25" t="s">
        <v>82</v>
      </c>
      <c r="AO61" s="22">
        <f t="shared" ref="AO61" si="1075">IF(AND(AK59&lt;0,AO59&gt;0),"n/a",AO59/AK59-1)</f>
        <v>-0.2661290322580645</v>
      </c>
      <c r="AP61" s="22">
        <f t="shared" ref="AP61" si="1076">IF(AND(AL59&lt;0,AP59&gt;0),"n/a",AP59/AL59-1)</f>
        <v>-0.64233576642335766</v>
      </c>
      <c r="AQ61" s="22">
        <f t="shared" ref="AQ61" si="1077">IF(AND(AM59&lt;0,AQ59&gt;0),"n/a",AQ59/AM59-1)</f>
        <v>0.39814814814814814</v>
      </c>
      <c r="AR61" s="22">
        <f t="shared" ref="AR61" si="1078">IF(AND(AN59&lt;0,AR59&gt;0),"n/a",AR59/AN59-1)</f>
        <v>-1.1848739495798319</v>
      </c>
      <c r="AS61" s="22">
        <f t="shared" ref="AS61" si="1079">IF(AND(AO59&lt;0,AS59&gt;0),"n/a",AS59/AO59-1)</f>
        <v>-1.0219780219780219</v>
      </c>
      <c r="AT61" s="22">
        <f t="shared" ref="AT61:AU61" si="1080">IF(AND(AP59&lt;0,AT59&gt;0),"n/a",AT59/AP59-1)</f>
        <v>-3.2244897959183674</v>
      </c>
      <c r="AU61" s="22">
        <f t="shared" si="1080"/>
        <v>-1.0463576158940397</v>
      </c>
      <c r="AV61" s="22" t="str">
        <f t="shared" ref="AV61" si="1081">IF(AND(AR59&lt;0,AV59&gt;0),"n/a",AV59/AR59-1)</f>
        <v>n/a</v>
      </c>
      <c r="AW61" s="22" t="str">
        <f t="shared" ref="AW61" si="1082">IF(AND(AS59&lt;0,AW59&gt;0),"n/a",AW59/AS59-1)</f>
        <v>n/a</v>
      </c>
      <c r="AX61" s="22" t="str">
        <f t="shared" ref="AX61" si="1083">IF(AND(AT59&lt;0,AX59&gt;0),"n/a",AX59/AT59-1)</f>
        <v>n/a</v>
      </c>
      <c r="AY61" s="28" t="str">
        <f t="shared" ref="AY61" si="1084">IF(AND(AU59&lt;0,AY59&gt;0),"n/a",AY59/AU59-1)</f>
        <v>n/a</v>
      </c>
      <c r="AZ61" s="28">
        <f t="shared" ref="AZ61" si="1085">IF(AND(AV59&lt;0,AZ59&gt;0),"n/a",AZ59/AV59-1)</f>
        <v>9.2903225806451619</v>
      </c>
      <c r="BA61" s="28">
        <f t="shared" ref="BA61" si="1086">IF(AND(AW59&lt;0,BA59&gt;0),"n/a",BA59/AW59-1)</f>
        <v>2.2955665024630543</v>
      </c>
      <c r="BB61" s="28">
        <f t="shared" ref="BB61" si="1087">IF(AND(AX59&lt;0,BB59&gt;0),"n/a",BB59/AX59-1)</f>
        <v>-0.69784172661870503</v>
      </c>
      <c r="BC61" s="233" t="s">
        <v>82</v>
      </c>
      <c r="BD61" s="233" t="s">
        <v>82</v>
      </c>
      <c r="BE61" s="233" t="s">
        <v>82</v>
      </c>
      <c r="BF61" s="233" t="s">
        <v>82</v>
      </c>
      <c r="BG61" s="233" t="s">
        <v>82</v>
      </c>
      <c r="BH61" s="233" t="s">
        <v>82</v>
      </c>
      <c r="BI61" s="233" t="s">
        <v>82</v>
      </c>
      <c r="BJ61" s="233" t="s">
        <v>82</v>
      </c>
      <c r="BK61" s="233" t="s">
        <v>82</v>
      </c>
      <c r="BL61" s="233" t="s">
        <v>82</v>
      </c>
      <c r="BM61" s="25" t="s">
        <v>82</v>
      </c>
      <c r="BN61" s="25" t="s">
        <v>82</v>
      </c>
      <c r="BO61" s="25" t="s">
        <v>82</v>
      </c>
      <c r="BP61" s="25" t="s">
        <v>82</v>
      </c>
      <c r="BQ61" s="25" t="s">
        <v>82</v>
      </c>
      <c r="BR61" s="233" t="s">
        <v>82</v>
      </c>
      <c r="BS61" s="233" t="s">
        <v>82</v>
      </c>
      <c r="BT61" s="233" t="s">
        <v>82</v>
      </c>
      <c r="BU61" s="233" t="s">
        <v>82</v>
      </c>
      <c r="BV61" s="233" t="s">
        <v>82</v>
      </c>
      <c r="BW61" s="233" t="s">
        <v>82</v>
      </c>
      <c r="BX61" s="233" t="s">
        <v>82</v>
      </c>
      <c r="BY61" s="233" t="s">
        <v>82</v>
      </c>
      <c r="BZ61" s="233" t="s">
        <v>82</v>
      </c>
      <c r="CA61" s="233" t="s">
        <v>82</v>
      </c>
      <c r="CB61" s="233" t="s">
        <v>82</v>
      </c>
      <c r="CC61" s="233" t="s">
        <v>82</v>
      </c>
      <c r="CD61" s="233" t="s">
        <v>82</v>
      </c>
      <c r="CE61" s="233" t="s">
        <v>82</v>
      </c>
      <c r="CF61" s="233" t="s">
        <v>82</v>
      </c>
      <c r="CG61" s="233" t="s">
        <v>82</v>
      </c>
      <c r="CH61" s="233"/>
      <c r="CI61" s="109"/>
      <c r="CJ61" s="30"/>
      <c r="CK61" s="110"/>
      <c r="CL61" s="110"/>
      <c r="CM61" s="30"/>
      <c r="CN61" s="110"/>
      <c r="CO61" s="30"/>
      <c r="CP61" s="106" t="s">
        <v>82</v>
      </c>
      <c r="CQ61" s="22">
        <f t="shared" ref="CQ61" si="1088">IF(AND(CP59&lt;0,CQ59&gt;0),"n/a",CQ59/CP59-1)</f>
        <v>-0.18343195266272194</v>
      </c>
      <c r="CR61" s="107" t="str">
        <f t="shared" ref="CR61" si="1089">IF(AND(CQ59&lt;0,CR59&gt;0),"n/a",CR59/CQ59-1)</f>
        <v>n/a</v>
      </c>
      <c r="CS61" s="22">
        <f t="shared" ref="CS61" si="1090">IF(AND(CR59&lt;0,CS59&gt;0),"n/a",CS59/CR59-1)</f>
        <v>-0.61318681318681323</v>
      </c>
      <c r="CT61" s="107">
        <f t="shared" ref="CT61" si="1091">IF(AND(CS59&lt;0,CT59&gt;0),"n/a",CT59/CS59-1)</f>
        <v>-0.15340909090909094</v>
      </c>
      <c r="CU61" s="22">
        <f t="shared" ref="CU61" si="1092">IF(AND(CT59&lt;0,CU59&gt;0),"n/a",CU59/CT59-1)</f>
        <v>12.154362416107382</v>
      </c>
      <c r="CV61" s="107">
        <f t="shared" ref="CV61" si="1093">IF(AND(CU59&lt;0,CV59&gt;0),"n/a",CV59/CU59-1)</f>
        <v>-0.87959183673469388</v>
      </c>
      <c r="CW61" s="22">
        <f t="shared" ref="CW61" si="1094">IF(AND(CV59&lt;0,CW59&gt;0),"n/a",CW59/CV59-1)</f>
        <v>-0.10593220338983056</v>
      </c>
      <c r="CX61" s="107">
        <f t="shared" ref="CX61" si="1095">IF(AND(CW59&lt;0,CX59&gt;0),"n/a",CX59/CW59-1)</f>
        <v>-1.2796208530805688</v>
      </c>
      <c r="CY61" s="107">
        <f t="shared" ref="CY61" si="1096">IF(AND(CX59&lt;0,CY59&gt;0),"n/a",CY59/CX59-1)</f>
        <v>-1</v>
      </c>
      <c r="CZ61" s="107" t="e">
        <f>IF(AND(CY59&lt;0,CZ59&gt;0),"n/a",CZ59/CY59-1)</f>
        <v>#DIV/0!</v>
      </c>
      <c r="DA61" s="107" t="e">
        <f>IF(AND(CZ59&lt;0,DA59&gt;0),"n/a",DA59/CZ59-1)</f>
        <v>#DIV/0!</v>
      </c>
      <c r="DB61" s="107" t="e">
        <f>IF(AND(DA59&lt;0,DB59&gt;0),"n/a",DB59/DA59-1)</f>
        <v>#DIV/0!</v>
      </c>
      <c r="DC61" s="107" t="e">
        <f>IF(AND(DB59&lt;0,DC59&gt;0),"n/a",DC59/DB59-1)</f>
        <v>#DIV/0!</v>
      </c>
    </row>
    <row r="62" spans="1:108" x14ac:dyDescent="0.2">
      <c r="A62" s="14" t="s">
        <v>61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22">
        <f t="shared" ref="AK62:AT62" si="1097">AK59/AK$64</f>
        <v>3.1571443120480699E-3</v>
      </c>
      <c r="AL62" s="22">
        <f t="shared" si="1097"/>
        <v>3.7700542117284461E-3</v>
      </c>
      <c r="AM62" s="22">
        <f t="shared" si="1097"/>
        <v>2.7732128184059161E-3</v>
      </c>
      <c r="AN62" s="22">
        <f t="shared" si="1097"/>
        <v>2.9383441566458433E-3</v>
      </c>
      <c r="AO62" s="22">
        <f t="shared" si="1097"/>
        <v>1.9750406945198045E-3</v>
      </c>
      <c r="AP62" s="22">
        <f t="shared" si="1097"/>
        <v>1.190505114312787E-3</v>
      </c>
      <c r="AQ62" s="22">
        <f t="shared" si="1097"/>
        <v>3.9428675875394937E-3</v>
      </c>
      <c r="AR62" s="22">
        <f t="shared" si="1097"/>
        <v>-4.7646893205986182E-4</v>
      </c>
      <c r="AS62" s="22">
        <f t="shared" si="1097"/>
        <v>-3.5150620408450207E-5</v>
      </c>
      <c r="AT62" s="22">
        <f t="shared" si="1097"/>
        <v>-1.9705680297935424E-3</v>
      </c>
      <c r="AU62" s="22">
        <f t="shared" ref="AU62:AV62" si="1098">AU59/AU$64</f>
        <v>-1.1312217194570136E-4</v>
      </c>
      <c r="AV62" s="22">
        <f t="shared" si="1098"/>
        <v>9.5211769403237198E-4</v>
      </c>
      <c r="AW62" s="22">
        <f t="shared" ref="AW62:BB62" si="1099">AW59/AW$64</f>
        <v>2.6949883836707603E-3</v>
      </c>
      <c r="AX62" s="22">
        <f t="shared" si="1099"/>
        <v>4.0875740689006188E-3</v>
      </c>
      <c r="AY62" s="28">
        <f t="shared" si="1099"/>
        <v>5.3813589725191938E-3</v>
      </c>
      <c r="AZ62" s="28">
        <f t="shared" si="1099"/>
        <v>9.2340647252938113E-3</v>
      </c>
      <c r="BA62" s="28">
        <f t="shared" si="1099"/>
        <v>8.7970755312434257E-3</v>
      </c>
      <c r="BB62" s="28">
        <f t="shared" si="1099"/>
        <v>1.2036625732586299E-3</v>
      </c>
      <c r="BC62" s="28" t="s">
        <v>82</v>
      </c>
      <c r="BD62" s="28" t="s">
        <v>82</v>
      </c>
      <c r="BE62" s="28" t="s">
        <v>82</v>
      </c>
      <c r="BF62" s="28" t="s">
        <v>82</v>
      </c>
      <c r="BG62" s="28" t="s">
        <v>82</v>
      </c>
      <c r="BH62" s="28" t="s">
        <v>82</v>
      </c>
      <c r="BI62" s="28" t="s">
        <v>82</v>
      </c>
      <c r="BJ62" s="28" t="s">
        <v>82</v>
      </c>
      <c r="BK62" s="28" t="s">
        <v>82</v>
      </c>
      <c r="BL62" s="28" t="s">
        <v>82</v>
      </c>
      <c r="BM62" s="25" t="s">
        <v>82</v>
      </c>
      <c r="BN62" s="25" t="s">
        <v>82</v>
      </c>
      <c r="BO62" s="25" t="s">
        <v>82</v>
      </c>
      <c r="BP62" s="25" t="s">
        <v>82</v>
      </c>
      <c r="BQ62" s="25" t="s">
        <v>82</v>
      </c>
      <c r="BR62" s="233" t="s">
        <v>82</v>
      </c>
      <c r="BS62" s="233" t="s">
        <v>82</v>
      </c>
      <c r="BT62" s="233" t="s">
        <v>82</v>
      </c>
      <c r="BU62" s="233" t="s">
        <v>82</v>
      </c>
      <c r="BV62" s="233" t="s">
        <v>82</v>
      </c>
      <c r="BW62" s="233" t="s">
        <v>82</v>
      </c>
      <c r="BX62" s="233" t="s">
        <v>82</v>
      </c>
      <c r="BY62" s="233" t="s">
        <v>82</v>
      </c>
      <c r="BZ62" s="233" t="s">
        <v>82</v>
      </c>
      <c r="CA62" s="233" t="s">
        <v>82</v>
      </c>
      <c r="CB62" s="233" t="s">
        <v>82</v>
      </c>
      <c r="CC62" s="233" t="s">
        <v>82</v>
      </c>
      <c r="CD62" s="233" t="s">
        <v>82</v>
      </c>
      <c r="CE62" s="233" t="s">
        <v>82</v>
      </c>
      <c r="CF62" s="233" t="s">
        <v>82</v>
      </c>
      <c r="CG62" s="233" t="s">
        <v>82</v>
      </c>
      <c r="CH62" s="233"/>
      <c r="CI62" s="110"/>
      <c r="CJ62" s="30"/>
      <c r="CK62" s="110"/>
      <c r="CL62" s="110"/>
      <c r="CM62" s="30"/>
      <c r="CN62" s="110"/>
      <c r="CO62" s="30"/>
      <c r="CP62" s="107">
        <f t="shared" ref="CP62:CY62" si="1100">CP59/CP$64</f>
        <v>-1.5245140047810202E-3</v>
      </c>
      <c r="CQ62" s="22">
        <f t="shared" si="1100"/>
        <v>-1.0086318420687184E-3</v>
      </c>
      <c r="CR62" s="107">
        <f t="shared" si="1100"/>
        <v>2.8111233990497785E-3</v>
      </c>
      <c r="CS62" s="22">
        <f t="shared" si="1100"/>
        <v>9.6424090682474377E-4</v>
      </c>
      <c r="CT62" s="107">
        <f t="shared" si="1100"/>
        <v>5.783330810403785E-4</v>
      </c>
      <c r="CU62" s="22">
        <f t="shared" si="1100"/>
        <v>6.9298109151593153E-3</v>
      </c>
      <c r="CV62" s="107">
        <f t="shared" si="1100"/>
        <v>7.6774432812611829E-4</v>
      </c>
      <c r="CW62" s="22">
        <f t="shared" si="1100"/>
        <v>6.0282614036992379E-4</v>
      </c>
      <c r="CX62" s="107">
        <f t="shared" si="1100"/>
        <v>-1.4707095073248895E-4</v>
      </c>
      <c r="CY62" s="107">
        <f t="shared" si="1100"/>
        <v>0</v>
      </c>
      <c r="CZ62" s="107">
        <f>CZ59/CZ$64</f>
        <v>0</v>
      </c>
      <c r="DA62" s="107">
        <f>DA59/DA$64</f>
        <v>0</v>
      </c>
      <c r="DB62" s="107">
        <f>DB59/DB$64</f>
        <v>0</v>
      </c>
      <c r="DC62" s="107">
        <f>DC59/DC$64</f>
        <v>0</v>
      </c>
    </row>
    <row r="63" spans="1:108" x14ac:dyDescent="0.2"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111"/>
      <c r="CJ63" s="28"/>
      <c r="CK63" s="111"/>
      <c r="CL63" s="111"/>
      <c r="CN63" s="92"/>
      <c r="CP63" s="92"/>
      <c r="CR63" s="118"/>
      <c r="CS63" s="77"/>
      <c r="CT63" s="118"/>
      <c r="CU63" s="77"/>
      <c r="CV63" s="118"/>
      <c r="CW63" s="77"/>
      <c r="CX63" s="118"/>
      <c r="CY63" s="118"/>
      <c r="CZ63" s="118"/>
      <c r="DA63" s="118"/>
      <c r="DB63" s="118"/>
      <c r="DC63" s="118"/>
    </row>
    <row r="64" spans="1:108" ht="14.25" x14ac:dyDescent="0.35">
      <c r="A64" s="5" t="s">
        <v>78</v>
      </c>
      <c r="B64" s="24">
        <f t="shared" ref="B64:AG64" si="1101">SUM(B3,B53,B59)</f>
        <v>6775</v>
      </c>
      <c r="C64" s="24">
        <f t="shared" si="1101"/>
        <v>6820</v>
      </c>
      <c r="D64" s="24">
        <f t="shared" si="1101"/>
        <v>7286</v>
      </c>
      <c r="E64" s="24">
        <f t="shared" si="1101"/>
        <v>8440</v>
      </c>
      <c r="F64" s="24">
        <f t="shared" si="1101"/>
        <v>8575</v>
      </c>
      <c r="G64" s="24">
        <f t="shared" si="1101"/>
        <v>9026</v>
      </c>
      <c r="H64" s="24">
        <f t="shared" si="1101"/>
        <v>9720</v>
      </c>
      <c r="I64" s="24">
        <f t="shared" si="1101"/>
        <v>10584</v>
      </c>
      <c r="J64" s="24">
        <f t="shared" si="1101"/>
        <v>10645</v>
      </c>
      <c r="K64" s="24">
        <f t="shared" si="1101"/>
        <v>10964</v>
      </c>
      <c r="L64" s="24">
        <f t="shared" si="1101"/>
        <v>11526</v>
      </c>
      <c r="M64" s="24">
        <f t="shared" si="1101"/>
        <v>12905</v>
      </c>
      <c r="N64" s="24">
        <f t="shared" si="1101"/>
        <v>12948</v>
      </c>
      <c r="O64" s="24">
        <f t="shared" si="1101"/>
        <v>13104</v>
      </c>
      <c r="P64" s="24">
        <f t="shared" si="1101"/>
        <v>13751</v>
      </c>
      <c r="Q64" s="24">
        <f t="shared" si="1101"/>
        <v>15716</v>
      </c>
      <c r="R64" s="24">
        <f t="shared" si="1101"/>
        <v>15420</v>
      </c>
      <c r="S64" s="24">
        <f t="shared" si="1101"/>
        <v>15955</v>
      </c>
      <c r="T64" s="24">
        <f t="shared" si="1101"/>
        <v>16523</v>
      </c>
      <c r="U64" s="24">
        <f t="shared" si="1101"/>
        <v>18103</v>
      </c>
      <c r="V64" s="24">
        <f t="shared" si="1101"/>
        <v>17258</v>
      </c>
      <c r="W64" s="24">
        <f t="shared" si="1101"/>
        <v>17727</v>
      </c>
      <c r="X64" s="24">
        <f t="shared" si="1101"/>
        <v>18675</v>
      </c>
      <c r="Y64" s="24">
        <f t="shared" si="1101"/>
        <v>21329</v>
      </c>
      <c r="Z64" s="24">
        <f t="shared" si="1101"/>
        <v>20257</v>
      </c>
      <c r="AA64" s="24">
        <f t="shared" si="1101"/>
        <v>21500</v>
      </c>
      <c r="AB64" s="24">
        <f t="shared" si="1101"/>
        <v>22451</v>
      </c>
      <c r="AC64" s="24">
        <f t="shared" si="1101"/>
        <v>26064</v>
      </c>
      <c r="AD64" s="24">
        <f t="shared" si="1101"/>
        <v>24750</v>
      </c>
      <c r="AE64" s="24">
        <f t="shared" si="1101"/>
        <v>26010</v>
      </c>
      <c r="AF64" s="24">
        <f t="shared" si="1101"/>
        <v>27772</v>
      </c>
      <c r="AG64" s="24">
        <f t="shared" si="1101"/>
        <v>32323</v>
      </c>
      <c r="AH64" s="24">
        <f t="shared" ref="AH64:BQ64" si="1102">SUM(AH3,AH53,AH59)</f>
        <v>31146</v>
      </c>
      <c r="AI64" s="24">
        <f t="shared" si="1102"/>
        <v>32657</v>
      </c>
      <c r="AJ64" s="24">
        <f t="shared" si="1102"/>
        <v>33740</v>
      </c>
      <c r="AK64" s="24">
        <f t="shared" si="1102"/>
        <v>39276</v>
      </c>
      <c r="AL64" s="24">
        <f t="shared" si="1102"/>
        <v>36339</v>
      </c>
      <c r="AM64" s="24">
        <f t="shared" si="1102"/>
        <v>38944</v>
      </c>
      <c r="AN64" s="24">
        <f t="shared" si="1102"/>
        <v>40499</v>
      </c>
      <c r="AO64" s="24">
        <f t="shared" si="1102"/>
        <v>46075</v>
      </c>
      <c r="AP64" s="24">
        <f t="shared" si="1102"/>
        <v>41159</v>
      </c>
      <c r="AQ64" s="24">
        <f t="shared" si="1102"/>
        <v>38297</v>
      </c>
      <c r="AR64" s="24">
        <f t="shared" si="1102"/>
        <v>46173</v>
      </c>
      <c r="AS64" s="24">
        <f t="shared" si="1102"/>
        <v>56898</v>
      </c>
      <c r="AT64" s="24">
        <f t="shared" si="1102"/>
        <v>55314</v>
      </c>
      <c r="AU64" s="24">
        <f t="shared" si="1102"/>
        <v>61880</v>
      </c>
      <c r="AV64" s="24">
        <f t="shared" si="1102"/>
        <v>65118</v>
      </c>
      <c r="AW64" s="24">
        <f t="shared" si="1102"/>
        <v>75325</v>
      </c>
      <c r="AX64" s="24">
        <f t="shared" si="1102"/>
        <v>68011</v>
      </c>
      <c r="AY64" s="24">
        <f t="shared" si="1102"/>
        <v>69685</v>
      </c>
      <c r="AZ64" s="24">
        <f t="shared" si="1102"/>
        <v>69092</v>
      </c>
      <c r="BA64" s="24">
        <f t="shared" si="1102"/>
        <v>76048</v>
      </c>
      <c r="BB64" s="24">
        <f t="shared" si="1102"/>
        <v>69787</v>
      </c>
      <c r="BC64" s="24">
        <f t="shared" si="1102"/>
        <v>74604</v>
      </c>
      <c r="BD64" s="24">
        <f t="shared" si="1102"/>
        <v>76693</v>
      </c>
      <c r="BE64" s="24">
        <f t="shared" si="1102"/>
        <v>86310</v>
      </c>
      <c r="BF64" s="24">
        <f t="shared" si="1102"/>
        <v>80539</v>
      </c>
      <c r="BG64" s="24">
        <f t="shared" ref="BG64:BH64" si="1103">SUM(BG3,BG53,BG59)</f>
        <v>84742</v>
      </c>
      <c r="BH64" s="24">
        <f t="shared" si="1103"/>
        <v>88268</v>
      </c>
      <c r="BI64" s="24">
        <f t="shared" ref="BI64:BJ64" si="1104">SUM(BI3,BI53,BI59)</f>
        <v>96469</v>
      </c>
      <c r="BJ64" s="24">
        <f t="shared" si="1104"/>
        <v>90234</v>
      </c>
      <c r="BK64" s="24">
        <f t="shared" ref="BK64:BL64" si="1105">SUM(BK3,BK53,BK59)</f>
        <v>96428</v>
      </c>
      <c r="BL64" s="24">
        <f t="shared" si="1105"/>
        <v>102346</v>
      </c>
      <c r="BM64" s="24">
        <f t="shared" si="1102"/>
        <v>112158.91777777779</v>
      </c>
      <c r="BN64" s="24">
        <f t="shared" si="1102"/>
        <v>103750.84836111112</v>
      </c>
      <c r="BO64" s="24">
        <f t="shared" si="1102"/>
        <v>109885.10974999999</v>
      </c>
      <c r="BP64" s="24">
        <f t="shared" si="1102"/>
        <v>116476.09738888888</v>
      </c>
      <c r="BQ64" s="24">
        <f t="shared" si="1102"/>
        <v>125967.82608888891</v>
      </c>
      <c r="BR64" s="24">
        <f>SUM(BR3,BR53,BR59)</f>
        <v>117853.38842897177</v>
      </c>
      <c r="BS64" s="24">
        <f t="shared" ref="BS64:BU64" si="1106">SUM(BS3,BS53,BS59)</f>
        <v>124288.33851446024</v>
      </c>
      <c r="BT64" s="24">
        <f t="shared" si="1106"/>
        <v>131915.38211667011</v>
      </c>
      <c r="BU64" s="24">
        <f t="shared" si="1106"/>
        <v>142199.4470412464</v>
      </c>
      <c r="BV64" s="24">
        <f t="shared" ref="BV64:CC64" si="1107">SUM(BV3,BV53,BV59)</f>
        <v>133142.17609519744</v>
      </c>
      <c r="BW64" s="24">
        <f t="shared" si="1107"/>
        <v>139835.06640422667</v>
      </c>
      <c r="BX64" s="24">
        <f t="shared" si="1107"/>
        <v>148617.64448399586</v>
      </c>
      <c r="BY64" s="24">
        <f t="shared" si="1107"/>
        <v>159696.90835127569</v>
      </c>
      <c r="BZ64" s="24">
        <f t="shared" si="1107"/>
        <v>149189.12653888945</v>
      </c>
      <c r="CA64" s="24">
        <f t="shared" si="1107"/>
        <v>156071.52494308303</v>
      </c>
      <c r="CB64" s="24">
        <f t="shared" si="1107"/>
        <v>166082.95590632135</v>
      </c>
      <c r="CC64" s="24">
        <f t="shared" si="1107"/>
        <v>177926.61510344941</v>
      </c>
      <c r="CD64" s="24">
        <f t="shared" ref="CD64:CG64" si="1108">SUM(CD3,CD53,CD59)</f>
        <v>165826.64129696236</v>
      </c>
      <c r="CE64" s="24">
        <f t="shared" si="1108"/>
        <v>172820.38882970929</v>
      </c>
      <c r="CF64" s="24">
        <f t="shared" si="1108"/>
        <v>184117.15813160766</v>
      </c>
      <c r="CG64" s="24">
        <f t="shared" si="1108"/>
        <v>196689.14363807291</v>
      </c>
      <c r="CH64" s="24"/>
      <c r="CI64" s="91">
        <f>SUM(B64:E64)</f>
        <v>29321</v>
      </c>
      <c r="CJ64" s="24">
        <f>SUM(F64:I64)</f>
        <v>37905</v>
      </c>
      <c r="CK64" s="91">
        <f>SUM(J64:M64)</f>
        <v>46040</v>
      </c>
      <c r="CL64" s="91">
        <f>SUM(N64:Q64)</f>
        <v>55519</v>
      </c>
      <c r="CM64" s="24">
        <f>SUM(R64:U64)</f>
        <v>66001</v>
      </c>
      <c r="CN64" s="91">
        <f>SUM(V64:Y64)</f>
        <v>74989</v>
      </c>
      <c r="CO64" s="24">
        <f>SUM(Z64:AC64)</f>
        <v>90272</v>
      </c>
      <c r="CP64" s="91">
        <f>SUM(AD64:AG64)</f>
        <v>110855</v>
      </c>
      <c r="CQ64" s="24">
        <f>SUM(AH64:AK64)</f>
        <v>136819</v>
      </c>
      <c r="CR64" s="91">
        <f>SUM(AL64:AO64)</f>
        <v>161857</v>
      </c>
      <c r="CS64" s="24">
        <f>SUM(AP64:AS64)</f>
        <v>182527</v>
      </c>
      <c r="CT64" s="91">
        <f>SUM(AT64:AW64)</f>
        <v>257637</v>
      </c>
      <c r="CU64" s="24">
        <f>SUM(AX64:BA64)</f>
        <v>282836</v>
      </c>
      <c r="CV64" s="91">
        <f>SUM(BB64:BE64)</f>
        <v>307394</v>
      </c>
      <c r="CW64" s="24">
        <f>SUM(BF64:BI64)</f>
        <v>350018</v>
      </c>
      <c r="CX64" s="91">
        <f>SUM(BJ64:BM64)</f>
        <v>401166.91777777777</v>
      </c>
      <c r="CY64" s="91">
        <f>SUM(BN64:BQ64)</f>
        <v>456079.88158888894</v>
      </c>
      <c r="CZ64" s="91">
        <f>SUM(BR64:BU64)</f>
        <v>516256.55610134854</v>
      </c>
      <c r="DA64" s="91">
        <f>SUM(BV64:BY64)</f>
        <v>581291.79533469572</v>
      </c>
      <c r="DB64" s="91">
        <f>SUM(BZ64:CC64)</f>
        <v>649270.22249174328</v>
      </c>
      <c r="DC64" s="91">
        <f>SUM(CD64:CG64)</f>
        <v>719453.33189635223</v>
      </c>
      <c r="DD64" s="86"/>
    </row>
    <row r="65" spans="1:108" x14ac:dyDescent="0.2">
      <c r="A65" s="7" t="s">
        <v>62</v>
      </c>
      <c r="B65" s="25" t="s">
        <v>82</v>
      </c>
      <c r="C65" s="22">
        <f t="shared" ref="C65" si="1109">IF(AND(B64&lt;0,C64&gt;0),"n/a",C64/B64-1)</f>
        <v>6.6420664206641167E-3</v>
      </c>
      <c r="D65" s="22">
        <f t="shared" ref="D65" si="1110">IF(AND(C64&lt;0,D64&gt;0),"n/a",D64/C64-1)</f>
        <v>6.8328445747800615E-2</v>
      </c>
      <c r="E65" s="22">
        <f t="shared" ref="E65" si="1111">IF(AND(D64&lt;0,E64&gt;0),"n/a",E64/D64-1)</f>
        <v>0.15838594564919029</v>
      </c>
      <c r="F65" s="22">
        <f t="shared" ref="F65" si="1112">IF(AND(E64&lt;0,F64&gt;0),"n/a",F64/E64-1)</f>
        <v>1.5995260663507205E-2</v>
      </c>
      <c r="G65" s="22">
        <f t="shared" ref="G65" si="1113">IF(AND(F64&lt;0,G64&gt;0),"n/a",G64/F64-1)</f>
        <v>5.2594752186588822E-2</v>
      </c>
      <c r="H65" s="22">
        <f t="shared" ref="H65" si="1114">IF(AND(G64&lt;0,H64&gt;0),"n/a",H64/G64-1)</f>
        <v>7.6888987369820416E-2</v>
      </c>
      <c r="I65" s="22">
        <f t="shared" ref="I65" si="1115">IF(AND(H64&lt;0,I64&gt;0),"n/a",I64/H64-1)</f>
        <v>8.8888888888888795E-2</v>
      </c>
      <c r="J65" s="22">
        <f t="shared" ref="J65" si="1116">IF(AND(I64&lt;0,J64&gt;0),"n/a",J64/I64-1)</f>
        <v>5.7634164777022878E-3</v>
      </c>
      <c r="K65" s="22">
        <f t="shared" ref="K65" si="1117">IF(AND(J64&lt;0,K64&gt;0),"n/a",K64/J64-1)</f>
        <v>2.9967120713950246E-2</v>
      </c>
      <c r="L65" s="22">
        <f t="shared" ref="L65" si="1118">IF(AND(K64&lt;0,L64&gt;0),"n/a",L64/K64-1)</f>
        <v>5.125866472090479E-2</v>
      </c>
      <c r="M65" s="22">
        <f t="shared" ref="M65" si="1119">IF(AND(L64&lt;0,M64&gt;0),"n/a",M64/L64-1)</f>
        <v>0.11964254728440049</v>
      </c>
      <c r="N65" s="22">
        <f t="shared" ref="N65" si="1120">IF(AND(M64&lt;0,N64&gt;0),"n/a",N64/M64-1)</f>
        <v>3.3320418442464028E-3</v>
      </c>
      <c r="O65" s="22">
        <f t="shared" ref="O65" si="1121">IF(AND(N64&lt;0,O64&gt;0),"n/a",O64/N64-1)</f>
        <v>1.2048192771084265E-2</v>
      </c>
      <c r="P65" s="22">
        <f t="shared" ref="P65" si="1122">IF(AND(O64&lt;0,P64&gt;0),"n/a",P64/O64-1)</f>
        <v>4.9374236874236921E-2</v>
      </c>
      <c r="Q65" s="22">
        <f t="shared" ref="Q65" si="1123">IF(AND(P64&lt;0,Q64&gt;0),"n/a",Q64/P64-1)</f>
        <v>0.14289869827648904</v>
      </c>
      <c r="R65" s="22">
        <f t="shared" ref="R65" si="1124">IF(AND(Q64&lt;0,R64&gt;0),"n/a",R64/Q64-1)</f>
        <v>-1.8834308984474468E-2</v>
      </c>
      <c r="S65" s="22">
        <f t="shared" ref="S65" si="1125">IF(AND(R64&lt;0,S64&gt;0),"n/a",S64/R64-1)</f>
        <v>3.4695201037613588E-2</v>
      </c>
      <c r="T65" s="22">
        <f t="shared" ref="T65" si="1126">IF(AND(S64&lt;0,T64&gt;0),"n/a",T64/S64-1)</f>
        <v>3.5600125352553968E-2</v>
      </c>
      <c r="U65" s="22">
        <f t="shared" ref="U65" si="1127">IF(AND(T64&lt;0,U64&gt;0),"n/a",U64/T64-1)</f>
        <v>9.5624281304847791E-2</v>
      </c>
      <c r="V65" s="22">
        <f t="shared" ref="V65" si="1128">IF(AND(U64&lt;0,V64&gt;0),"n/a",V64/U64-1)</f>
        <v>-4.6677346296194022E-2</v>
      </c>
      <c r="W65" s="22">
        <f t="shared" ref="W65" si="1129">IF(AND(V64&lt;0,W64&gt;0),"n/a",W64/V64-1)</f>
        <v>2.7175802526364645E-2</v>
      </c>
      <c r="X65" s="22">
        <f t="shared" ref="X65" si="1130">IF(AND(W64&lt;0,X64&gt;0),"n/a",X64/W64-1)</f>
        <v>5.3477745811474131E-2</v>
      </c>
      <c r="Y65" s="22">
        <f t="shared" ref="Y65" si="1131">IF(AND(X64&lt;0,Y64&gt;0),"n/a",Y64/X64-1)</f>
        <v>0.14211512717536823</v>
      </c>
      <c r="Z65" s="22">
        <f t="shared" ref="Z65" si="1132">IF(AND(Y64&lt;0,Z64&gt;0),"n/a",Z64/Y64-1)</f>
        <v>-5.0260209104974418E-2</v>
      </c>
      <c r="AA65" s="22">
        <f t="shared" ref="AA65" si="1133">IF(AND(Z64&lt;0,AA64&gt;0),"n/a",AA64/Z64-1)</f>
        <v>6.1361504665053967E-2</v>
      </c>
      <c r="AB65" s="22">
        <f t="shared" ref="AB65" si="1134">IF(AND(AA64&lt;0,AB64&gt;0),"n/a",AB64/AA64-1)</f>
        <v>4.4232558139534861E-2</v>
      </c>
      <c r="AC65" s="22">
        <f t="shared" ref="AC65" si="1135">IF(AND(AB64&lt;0,AC64&gt;0),"n/a",AC64/AB64-1)</f>
        <v>0.16092824373079151</v>
      </c>
      <c r="AD65" s="22">
        <f t="shared" ref="AD65" si="1136">IF(AND(AC64&lt;0,AD64&gt;0),"n/a",AD64/AC64-1)</f>
        <v>-5.0414364640884002E-2</v>
      </c>
      <c r="AE65" s="22">
        <f t="shared" ref="AE65" si="1137">IF(AND(AD64&lt;0,AE64&gt;0),"n/a",AE64/AD64-1)</f>
        <v>5.0909090909091015E-2</v>
      </c>
      <c r="AF65" s="22">
        <f t="shared" ref="AF65" si="1138">IF(AND(AE64&lt;0,AF64&gt;0),"n/a",AF64/AE64-1)</f>
        <v>6.7743175701653113E-2</v>
      </c>
      <c r="AG65" s="22">
        <f t="shared" ref="AG65" si="1139">IF(AND(AF64&lt;0,AG64&gt;0),"n/a",AG64/AF64-1)</f>
        <v>0.1638700849776753</v>
      </c>
      <c r="AH65" s="22">
        <f t="shared" ref="AH65" si="1140">IF(AND(AG64&lt;0,AH64&gt;0),"n/a",AH64/AG64-1)</f>
        <v>-3.6413699223463158E-2</v>
      </c>
      <c r="AI65" s="22">
        <f t="shared" ref="AI65" si="1141">IF(AND(AH64&lt;0,AI64&gt;0),"n/a",AI64/AH64-1)</f>
        <v>4.8513452770821308E-2</v>
      </c>
      <c r="AJ65" s="22">
        <f t="shared" ref="AJ65" si="1142">IF(AND(AI64&lt;0,AJ64&gt;0),"n/a",AJ64/AI64-1)</f>
        <v>3.316287472823598E-2</v>
      </c>
      <c r="AK65" s="22">
        <f>IF(AND(AJ64&lt;0,AK64&gt;0),"n/a",AK64/AJ64-1)</f>
        <v>0.16407824540604632</v>
      </c>
      <c r="AL65" s="22">
        <f>IF(AND(AK64&lt;0,AL64&gt;0),"n/a",AL64/AK64-1)</f>
        <v>-7.4778490681332133E-2</v>
      </c>
      <c r="AM65" s="22">
        <f t="shared" ref="AM65" si="1143">IF(AND(AL64&lt;0,AM64&gt;0),"n/a",AM64/AL64-1)</f>
        <v>7.1686067310603008E-2</v>
      </c>
      <c r="AN65" s="22">
        <f t="shared" ref="AN65" si="1144">IF(AND(AM64&lt;0,AN64&gt;0),"n/a",AN64/AM64-1)</f>
        <v>3.992912900575174E-2</v>
      </c>
      <c r="AO65" s="22">
        <f t="shared" ref="AO65" si="1145">IF(AND(AN64&lt;0,AO64&gt;0),"n/a",AO64/AN64-1)</f>
        <v>0.13768241191140529</v>
      </c>
      <c r="AP65" s="22">
        <f t="shared" ref="AP65" si="1146">IF(AND(AO64&lt;0,AP64&gt;0),"n/a",AP64/AO64-1)</f>
        <v>-0.10669560499186115</v>
      </c>
      <c r="AQ65" s="22">
        <f t="shared" ref="AQ65" si="1147">IF(AND(AP64&lt;0,AQ64&gt;0),"n/a",AQ64/AP64-1)</f>
        <v>-6.9535217084963241E-2</v>
      </c>
      <c r="AR65" s="22">
        <f t="shared" ref="AR65" si="1148">IF(AND(AQ64&lt;0,AR64&gt;0),"n/a",AR64/AQ64-1)</f>
        <v>0.20565579549311952</v>
      </c>
      <c r="AS65" s="22">
        <f t="shared" ref="AS65" si="1149">IF(AND(AR64&lt;0,AS64&gt;0),"n/a",AS64/AR64-1)</f>
        <v>0.23227860437918268</v>
      </c>
      <c r="AT65" s="22">
        <f t="shared" ref="AT65" si="1150">IF(AND(AS64&lt;0,AT64&gt;0),"n/a",AT64/AS64-1)</f>
        <v>-2.7839291363492613E-2</v>
      </c>
      <c r="AU65" s="22">
        <f t="shared" ref="AU65" si="1151">IF(AND(AT64&lt;0,AU64&gt;0),"n/a",AU64/AT64-1)</f>
        <v>0.11870412553783849</v>
      </c>
      <c r="AV65" s="22">
        <f t="shared" ref="AV65" si="1152">IF(AND(AU64&lt;0,AV64&gt;0),"n/a",AV64/AU64-1)</f>
        <v>5.2327084680025893E-2</v>
      </c>
      <c r="AW65" s="22">
        <f t="shared" ref="AW65" si="1153">IF(AND(AV64&lt;0,AW64&gt;0),"n/a",AW64/AV64-1)</f>
        <v>0.15674621456432947</v>
      </c>
      <c r="AX65" s="22">
        <f t="shared" ref="AX65" si="1154">IF(AND(AW64&lt;0,AX64&gt;0),"n/a",AX64/AW64-1)</f>
        <v>-9.7099236641221331E-2</v>
      </c>
      <c r="AY65" s="22">
        <f t="shared" ref="AY65" si="1155">IF(AND(AX64&lt;0,AY64&gt;0),"n/a",AY64/AX64-1)</f>
        <v>2.4613665436473475E-2</v>
      </c>
      <c r="AZ65" s="22">
        <f t="shared" ref="AZ65" si="1156">IF(AND(AY64&lt;0,AZ64&gt;0),"n/a",AZ64/AY64-1)</f>
        <v>-8.5097223218769669E-3</v>
      </c>
      <c r="BA65" s="22">
        <f t="shared" ref="BA65" si="1157">IF(AND(AZ64&lt;0,BA64&gt;0),"n/a",BA64/AZ64-1)</f>
        <v>0.10067735772593056</v>
      </c>
      <c r="BB65" s="22">
        <f t="shared" ref="BB65" si="1158">IF(AND(BA64&lt;0,BB64&gt;0),"n/a",BB64/BA64-1)</f>
        <v>-8.2329581317062916E-2</v>
      </c>
      <c r="BC65" s="22">
        <f t="shared" ref="BC65" si="1159">IF(AND(BB64&lt;0,BC64&gt;0),"n/a",BC64/BB64-1)</f>
        <v>6.9024316849843004E-2</v>
      </c>
      <c r="BD65" s="28">
        <f t="shared" ref="BD65" si="1160">IF(AND(BC64&lt;0,BD64&gt;0),"n/a",BD64/BC64-1)</f>
        <v>2.8001179561417677E-2</v>
      </c>
      <c r="BE65" s="28">
        <f t="shared" ref="BE65" si="1161">IF(AND(BD64&lt;0,BE64&gt;0),"n/a",BE64/BD64-1)</f>
        <v>0.12539605961430644</v>
      </c>
      <c r="BF65" s="28">
        <f t="shared" ref="BF65:BL65" si="1162">IF(AND(BE64&lt;0,BF64&gt;0),"n/a",BF64/BE64-1)</f>
        <v>-6.6863631097207721E-2</v>
      </c>
      <c r="BG65" s="28">
        <f t="shared" si="1162"/>
        <v>5.218589751548941E-2</v>
      </c>
      <c r="BH65" s="28">
        <f t="shared" si="1162"/>
        <v>4.1608647423945655E-2</v>
      </c>
      <c r="BI65" s="28">
        <f t="shared" si="1162"/>
        <v>9.2910227942176071E-2</v>
      </c>
      <c r="BJ65" s="28">
        <f t="shared" si="1162"/>
        <v>-6.463216162705121E-2</v>
      </c>
      <c r="BK65" s="28">
        <f t="shared" si="1162"/>
        <v>6.8643748476184152E-2</v>
      </c>
      <c r="BL65" s="28">
        <f t="shared" si="1162"/>
        <v>6.1372215539055031E-2</v>
      </c>
      <c r="BM65" s="22">
        <f t="shared" ref="BM65" si="1163">IF(AND(BL64&lt;0,BM64&gt;0),"n/a",BM64/BL64-1)</f>
        <v>9.5879836806302077E-2</v>
      </c>
      <c r="BN65" s="22">
        <f t="shared" ref="BN65" si="1164">IF(AND(BM64&lt;0,BN64&gt;0),"n/a",BN64/BM64-1)</f>
        <v>-7.4965678906832145E-2</v>
      </c>
      <c r="BO65" s="22">
        <f t="shared" ref="BO65" si="1165">IF(AND(BN64&lt;0,BO64&gt;0),"n/a",BO64/BN64-1)</f>
        <v>5.912492751421361E-2</v>
      </c>
      <c r="BP65" s="22">
        <f t="shared" ref="BP65" si="1166">IF(AND(BO64&lt;0,BP64&gt;0),"n/a",BP64/BO64-1)</f>
        <v>5.9980716712974891E-2</v>
      </c>
      <c r="BQ65" s="22">
        <f t="shared" ref="BQ65" si="1167">IF(AND(BP64&lt;0,BQ64&gt;0),"n/a",BQ64/BP64-1)</f>
        <v>8.1490785773060015E-2</v>
      </c>
      <c r="BR65" s="28">
        <f>IF(AND(BQ64&lt;0,BR64&gt;0),"n/a",BR64/BQ64-1)</f>
        <v>-6.4416747608164626E-2</v>
      </c>
      <c r="BS65" s="28">
        <f t="shared" ref="BS65" si="1168">IF(AND(BR64&lt;0,BS64&gt;0),"n/a",BS64/BR64-1)</f>
        <v>5.4601315849027943E-2</v>
      </c>
      <c r="BT65" s="28">
        <f t="shared" ref="BT65" si="1169">IF(AND(BS64&lt;0,BT64&gt;0),"n/a",BT64/BS64-1)</f>
        <v>6.1365721783484206E-2</v>
      </c>
      <c r="BU65" s="28">
        <f t="shared" ref="BU65" si="1170">IF(AND(BT64&lt;0,BU64&gt;0),"n/a",BU64/BT64-1)</f>
        <v>7.7959558313531074E-2</v>
      </c>
      <c r="BV65" s="28">
        <f t="shared" ref="BV65" si="1171">IF(AND(BU64&lt;0,BV64&gt;0),"n/a",BV64/BU64-1)</f>
        <v>-6.369413619042974E-2</v>
      </c>
      <c r="BW65" s="28">
        <f t="shared" ref="BW65" si="1172">IF(AND(BV64&lt;0,BW64&gt;0),"n/a",BW64/BV64-1)</f>
        <v>5.026874657842284E-2</v>
      </c>
      <c r="BX65" s="28">
        <f t="shared" ref="BX65" si="1173">IF(AND(BW64&lt;0,BX64&gt;0),"n/a",BX64/BW64-1)</f>
        <v>6.2806692953404353E-2</v>
      </c>
      <c r="BY65" s="28">
        <f t="shared" ref="BY65" si="1174">IF(AND(BX64&lt;0,BY64&gt;0),"n/a",BY64/BX64-1)</f>
        <v>7.454877855013331E-2</v>
      </c>
      <c r="BZ65" s="28">
        <f t="shared" ref="BZ65" si="1175">IF(AND(BY64&lt;0,BZ64&gt;0),"n/a",BZ64/BY64-1)</f>
        <v>-6.5798279508786139E-2</v>
      </c>
      <c r="CA65" s="28">
        <f t="shared" ref="CA65" si="1176">IF(AND(BZ64&lt;0,CA64&gt;0),"n/a",CA64/BZ64-1)</f>
        <v>4.6132037661602121E-2</v>
      </c>
      <c r="CB65" s="28">
        <f t="shared" ref="CB65" si="1177">IF(AND(CA64&lt;0,CB64&gt;0),"n/a",CB64/CA64-1)</f>
        <v>6.4146428804930045E-2</v>
      </c>
      <c r="CC65" s="28">
        <f t="shared" ref="CC65" si="1178">IF(AND(CB64&lt;0,CC64&gt;0),"n/a",CC64/CB64-1)</f>
        <v>7.1311707649329481E-2</v>
      </c>
      <c r="CD65" s="28">
        <f t="shared" ref="CD65" si="1179">IF(AND(CC64&lt;0,CD64&gt;0),"n/a",CD64/CC64-1)</f>
        <v>-6.8005417848543526E-2</v>
      </c>
      <c r="CE65" s="28">
        <f t="shared" ref="CE65" si="1180">IF(AND(CD64&lt;0,CE64&gt;0),"n/a",CE64/CD64-1)</f>
        <v>4.2175053887888447E-2</v>
      </c>
      <c r="CF65" s="28">
        <f t="shared" ref="CF65" si="1181">IF(AND(CE64&lt;0,CF64&gt;0),"n/a",CF64/CE64-1)</f>
        <v>6.536710962402581E-2</v>
      </c>
      <c r="CG65" s="28">
        <f t="shared" ref="CG65" si="1182">IF(AND(CF64&lt;0,CG64&gt;0),"n/a",CG64/CF64-1)</f>
        <v>6.8282530721437418E-2</v>
      </c>
      <c r="CH65" s="28"/>
      <c r="CI65" s="106" t="s">
        <v>82</v>
      </c>
      <c r="CJ65" s="48" t="s">
        <v>82</v>
      </c>
      <c r="CK65" s="106" t="s">
        <v>82</v>
      </c>
      <c r="CL65" s="106" t="s">
        <v>82</v>
      </c>
      <c r="CM65" s="48" t="s">
        <v>82</v>
      </c>
      <c r="CN65" s="106" t="s">
        <v>82</v>
      </c>
      <c r="CO65" s="48" t="s">
        <v>82</v>
      </c>
      <c r="CP65" s="106" t="s">
        <v>82</v>
      </c>
      <c r="CQ65" s="48" t="s">
        <v>82</v>
      </c>
      <c r="CR65" s="106" t="s">
        <v>82</v>
      </c>
      <c r="CS65" s="48" t="s">
        <v>82</v>
      </c>
      <c r="CT65" s="106" t="s">
        <v>82</v>
      </c>
      <c r="CU65" s="48" t="s">
        <v>82</v>
      </c>
      <c r="CV65" s="106" t="s">
        <v>82</v>
      </c>
      <c r="CW65" s="48" t="s">
        <v>82</v>
      </c>
      <c r="CX65" s="106" t="s">
        <v>82</v>
      </c>
      <c r="CY65" s="106" t="s">
        <v>82</v>
      </c>
      <c r="CZ65" s="106" t="s">
        <v>82</v>
      </c>
      <c r="DA65" s="106" t="s">
        <v>82</v>
      </c>
      <c r="DB65" s="106" t="s">
        <v>82</v>
      </c>
      <c r="DC65" s="106" t="s">
        <v>82</v>
      </c>
    </row>
    <row r="66" spans="1:108" x14ac:dyDescent="0.2">
      <c r="A66" s="7" t="s">
        <v>63</v>
      </c>
      <c r="B66" s="25" t="s">
        <v>82</v>
      </c>
      <c r="C66" s="25" t="s">
        <v>82</v>
      </c>
      <c r="D66" s="25" t="s">
        <v>82</v>
      </c>
      <c r="E66" s="25" t="s">
        <v>82</v>
      </c>
      <c r="F66" s="22">
        <f t="shared" ref="F66" si="1183">IF(AND(B64&lt;0,F64&gt;0),"n/a",F64/B64-1)</f>
        <v>0.26568265682656822</v>
      </c>
      <c r="G66" s="22">
        <f t="shared" ref="G66" si="1184">IF(AND(C64&lt;0,G64&gt;0),"n/a",G64/C64-1)</f>
        <v>0.32346041055718477</v>
      </c>
      <c r="H66" s="22">
        <f t="shared" ref="H66" si="1185">IF(AND(D64&lt;0,H64&gt;0),"n/a",H64/D64-1)</f>
        <v>0.33406533077134237</v>
      </c>
      <c r="I66" s="22">
        <f t="shared" ref="I66" si="1186">IF(AND(E64&lt;0,I64&gt;0),"n/a",I64/E64-1)</f>
        <v>0.2540284360189573</v>
      </c>
      <c r="J66" s="22">
        <f t="shared" ref="J66" si="1187">IF(AND(F64&lt;0,J64&gt;0),"n/a",J64/F64-1)</f>
        <v>0.24139941690962097</v>
      </c>
      <c r="K66" s="22">
        <f t="shared" ref="K66" si="1188">IF(AND(G64&lt;0,K64&gt;0),"n/a",K64/G64-1)</f>
        <v>0.21471305118546424</v>
      </c>
      <c r="L66" s="22">
        <f t="shared" ref="L66" si="1189">IF(AND(H64&lt;0,L64&gt;0),"n/a",L64/H64-1)</f>
        <v>0.18580246913580245</v>
      </c>
      <c r="M66" s="22">
        <f t="shared" ref="M66" si="1190">IF(AND(I64&lt;0,M64&gt;0),"n/a",M64/I64-1)</f>
        <v>0.21929327286470146</v>
      </c>
      <c r="N66" s="22">
        <f t="shared" ref="N66" si="1191">IF(AND(J64&lt;0,N64&gt;0),"n/a",N64/J64-1)</f>
        <v>0.21634570220760918</v>
      </c>
      <c r="O66" s="22">
        <f t="shared" ref="O66" si="1192">IF(AND(K64&lt;0,O64&gt;0),"n/a",O64/K64-1)</f>
        <v>0.19518423932871221</v>
      </c>
      <c r="P66" s="22">
        <f t="shared" ref="P66" si="1193">IF(AND(L64&lt;0,P64&gt;0),"n/a",P64/L64-1)</f>
        <v>0.19304181849731039</v>
      </c>
      <c r="Q66" s="22">
        <f t="shared" ref="Q66" si="1194">IF(AND(M64&lt;0,Q64&gt;0),"n/a",Q64/M64-1)</f>
        <v>0.21782254939945767</v>
      </c>
      <c r="R66" s="22">
        <f t="shared" ref="R66" si="1195">IF(AND(N64&lt;0,R64&gt;0),"n/a",R64/N64-1)</f>
        <v>0.19091751621872111</v>
      </c>
      <c r="S66" s="22">
        <f t="shared" ref="S66" si="1196">IF(AND(O64&lt;0,S64&gt;0),"n/a",S64/O64-1)</f>
        <v>0.21756715506715496</v>
      </c>
      <c r="T66" s="22">
        <f t="shared" ref="T66" si="1197">IF(AND(P64&lt;0,T64&gt;0),"n/a",T64/P64-1)</f>
        <v>0.20158533924805466</v>
      </c>
      <c r="U66" s="22">
        <f t="shared" ref="U66" si="1198">IF(AND(Q64&lt;0,U64&gt;0),"n/a",U64/Q64-1)</f>
        <v>0.15188343089844736</v>
      </c>
      <c r="V66" s="22">
        <f t="shared" ref="V66" si="1199">IF(AND(R64&lt;0,V64&gt;0),"n/a",V64/R64-1)</f>
        <v>0.11919584954604412</v>
      </c>
      <c r="W66" s="22">
        <f t="shared" ref="W66" si="1200">IF(AND(S64&lt;0,W64&gt;0),"n/a",W64/S64-1)</f>
        <v>0.11106236289564397</v>
      </c>
      <c r="X66" s="22">
        <f t="shared" ref="X66" si="1201">IF(AND(T64&lt;0,X64&gt;0),"n/a",X64/T64-1)</f>
        <v>0.13024269200508387</v>
      </c>
      <c r="Y66" s="22">
        <f t="shared" ref="Y66" si="1202">IF(AND(U64&lt;0,Y64&gt;0),"n/a",Y64/U64-1)</f>
        <v>0.17820250787162339</v>
      </c>
      <c r="Z66" s="22">
        <f t="shared" ref="Z66" si="1203">IF(AND(V64&lt;0,Z64&gt;0),"n/a",Z64/V64-1)</f>
        <v>0.17377448139993046</v>
      </c>
      <c r="AA66" s="22">
        <f t="shared" ref="AA66" si="1204">IF(AND(W64&lt;0,AA64&gt;0),"n/a",AA64/W64-1)</f>
        <v>0.21283917188469559</v>
      </c>
      <c r="AB66" s="22">
        <f t="shared" ref="AB66" si="1205">IF(AND(X64&lt;0,AB64&gt;0),"n/a",AB64/X64-1)</f>
        <v>0.20219544846050863</v>
      </c>
      <c r="AC66" s="22">
        <f t="shared" ref="AC66" si="1206">IF(AND(Y64&lt;0,AC64&gt;0),"n/a",AC64/Y64-1)</f>
        <v>0.22199821838811018</v>
      </c>
      <c r="AD66" s="22">
        <f t="shared" ref="AD66" si="1207">IF(AND(Z64&lt;0,AD64&gt;0),"n/a",AD64/Z64-1)</f>
        <v>0.22179987164930637</v>
      </c>
      <c r="AE66" s="22">
        <f t="shared" ref="AE66" si="1208">IF(AND(AA64&lt;0,AE64&gt;0),"n/a",AE64/AA64-1)</f>
        <v>0.20976744186046514</v>
      </c>
      <c r="AF66" s="22">
        <f t="shared" ref="AF66" si="1209">IF(AND(AB64&lt;0,AF64&gt;0),"n/a",AF64/AB64-1)</f>
        <v>0.23700503318337707</v>
      </c>
      <c r="AG66" s="22">
        <f t="shared" ref="AG66" si="1210">IF(AND(AC64&lt;0,AG64&gt;0),"n/a",AG64/AC64-1)</f>
        <v>0.24013965623081646</v>
      </c>
      <c r="AH66" s="22">
        <f t="shared" ref="AH66" si="1211">IF(AND(AD64&lt;0,AH64&gt;0),"n/a",AH64/AD64-1)</f>
        <v>0.25842424242424245</v>
      </c>
      <c r="AI66" s="22">
        <f t="shared" ref="AI66" si="1212">IF(AND(AE64&lt;0,AI64&gt;0),"n/a",AI64/AE64-1)</f>
        <v>0.25555555555555554</v>
      </c>
      <c r="AJ66" s="22">
        <f t="shared" ref="AJ66" si="1213">IF(AND(AF64&lt;0,AJ64&gt;0),"n/a",AJ64/AF64-1)</f>
        <v>0.21489269768111763</v>
      </c>
      <c r="AK66" s="22">
        <f>IF(AND(AG64&lt;0,AK64&gt;0),"n/a",AK64/AG64-1)</f>
        <v>0.21510998360300704</v>
      </c>
      <c r="AL66" s="22">
        <f>IF(AND(AH64&lt;0,AL64&gt;0),"n/a",AL64/AH64-1)</f>
        <v>0.16673088036987083</v>
      </c>
      <c r="AM66" s="22">
        <f t="shared" ref="AM66" si="1214">IF(AND(AI64&lt;0,AM64&gt;0),"n/a",AM64/AI64-1)</f>
        <v>0.19251615273907574</v>
      </c>
      <c r="AN66" s="22">
        <f t="shared" ref="AN66" si="1215">IF(AND(AJ64&lt;0,AN64&gt;0),"n/a",AN64/AJ64-1)</f>
        <v>0.2003260225251926</v>
      </c>
      <c r="AO66" s="22">
        <f t="shared" ref="AO66" si="1216">IF(AND(AK64&lt;0,AO64&gt;0),"n/a",AO64/AK64-1)</f>
        <v>0.17310825949689379</v>
      </c>
      <c r="AP66" s="22">
        <f t="shared" ref="AP66" si="1217">IF(AND(AL64&lt;0,AP64&gt;0),"n/a",AP64/AL64-1)</f>
        <v>0.13263986350752632</v>
      </c>
      <c r="AQ66" s="22">
        <f t="shared" ref="AQ66" si="1218">IF(AND(AM64&lt;0,AQ64&gt;0),"n/a",AQ64/AM64-1)</f>
        <v>-1.6613599013968749E-2</v>
      </c>
      <c r="AR66" s="22">
        <f t="shared" ref="AR66" si="1219">IF(AND(AN64&lt;0,AR64&gt;0),"n/a",AR64/AN64-1)</f>
        <v>0.14010222474628997</v>
      </c>
      <c r="AS66" s="22">
        <f t="shared" ref="AS66" si="1220">IF(AND(AO64&lt;0,AS64&gt;0),"n/a",AS64/AO64-1)</f>
        <v>0.23489962018448174</v>
      </c>
      <c r="AT66" s="22">
        <f t="shared" ref="AT66" si="1221">IF(AND(AP64&lt;0,AT64&gt;0),"n/a",AT64/AP64-1)</f>
        <v>0.34391020189994892</v>
      </c>
      <c r="AU66" s="22">
        <f t="shared" ref="AU66" si="1222">IF(AND(AQ64&lt;0,AU64&gt;0),"n/a",AU64/AQ64-1)</f>
        <v>0.61579235971486024</v>
      </c>
      <c r="AV66" s="22">
        <f t="shared" ref="AV66" si="1223">IF(AND(AR64&lt;0,AV64&gt;0),"n/a",AV64/AR64-1)</f>
        <v>0.41030472353973102</v>
      </c>
      <c r="AW66" s="22">
        <f t="shared" ref="AW66" si="1224">IF(AND(AS64&lt;0,AW64&gt;0),"n/a",AW64/AS64-1)</f>
        <v>0.32386024113325607</v>
      </c>
      <c r="AX66" s="22">
        <f t="shared" ref="AX66" si="1225">IF(AND(AT64&lt;0,AX64&gt;0),"n/a",AX64/AT64-1)</f>
        <v>0.22954405756228069</v>
      </c>
      <c r="AY66" s="22">
        <f t="shared" ref="AY66" si="1226">IF(AND(AU64&lt;0,AY64&gt;0),"n/a",AY64/AU64-1)</f>
        <v>0.12613122171945701</v>
      </c>
      <c r="AZ66" s="22">
        <f t="shared" ref="AZ66" si="1227">IF(AND(AV64&lt;0,AZ64&gt;0),"n/a",AZ64/AV64-1)</f>
        <v>6.1027672840074931E-2</v>
      </c>
      <c r="BA66" s="22">
        <f t="shared" ref="BA66" si="1228">IF(AND(AW64&lt;0,BA64&gt;0),"n/a",BA64/AW64-1)</f>
        <v>9.5984069034185104E-3</v>
      </c>
      <c r="BB66" s="22">
        <f t="shared" ref="BB66" si="1229">IF(AND(AX64&lt;0,BB64&gt;0),"n/a",BB64/AX64-1)</f>
        <v>2.6113422828660138E-2</v>
      </c>
      <c r="BC66" s="22">
        <f t="shared" ref="BC66" si="1230">IF(AND(AY64&lt;0,BC64&gt;0),"n/a",BC64/AY64-1)</f>
        <v>7.0589079428858392E-2</v>
      </c>
      <c r="BD66" s="28">
        <f t="shared" ref="BD66" si="1231">IF(AND(AZ64&lt;0,BD64&gt;0),"n/a",BD64/AZ64-1)</f>
        <v>0.11001273664100042</v>
      </c>
      <c r="BE66" s="28">
        <f t="shared" ref="BE66" si="1232">IF(AND(BA64&lt;0,BE64&gt;0),"n/a",BE64/BA64-1)</f>
        <v>0.13494108983799702</v>
      </c>
      <c r="BF66" s="28">
        <f t="shared" ref="BF66:BL66" si="1233">IF(AND(BB64&lt;0,BF64&gt;0),"n/a",BF64/BB64-1)</f>
        <v>0.15406880937710454</v>
      </c>
      <c r="BG66" s="28">
        <f t="shared" si="1233"/>
        <v>0.13589083695244231</v>
      </c>
      <c r="BH66" s="28">
        <f t="shared" si="1233"/>
        <v>0.15092642092498654</v>
      </c>
      <c r="BI66" s="28">
        <f t="shared" si="1233"/>
        <v>0.11770362646275045</v>
      </c>
      <c r="BJ66" s="28">
        <f t="shared" si="1233"/>
        <v>0.12037646357665222</v>
      </c>
      <c r="BK66" s="28">
        <f t="shared" si="1233"/>
        <v>0.13790092280097244</v>
      </c>
      <c r="BL66" s="28">
        <f t="shared" si="1233"/>
        <v>0.1594915484660353</v>
      </c>
      <c r="BM66" s="22">
        <f t="shared" ref="BM66" si="1234">IF(AND(BI64&lt;0,BM64&gt;0),"n/a",BM64/BI64-1)</f>
        <v>0.16264206924273905</v>
      </c>
      <c r="BN66" s="22">
        <f t="shared" ref="BN66" si="1235">IF(AND(BJ64&lt;0,BN64&gt;0),"n/a",BN64/BJ64-1)</f>
        <v>0.14979772991456786</v>
      </c>
      <c r="BO66" s="22">
        <f t="shared" ref="BO66" si="1236">IF(AND(BK64&lt;0,BO64&gt;0),"n/a",BO64/BK64-1)</f>
        <v>0.13955603922097315</v>
      </c>
      <c r="BP66" s="22">
        <f t="shared" ref="BP66" si="1237">IF(AND(BL64&lt;0,BP64&gt;0),"n/a",BP64/BL64-1)</f>
        <v>0.13806203846646548</v>
      </c>
      <c r="BQ66" s="22">
        <f t="shared" ref="BQ66" si="1238">IF(AND(BM64&lt;0,BQ64&gt;0),"n/a",BQ64/BM64-1)</f>
        <v>0.12311912939879566</v>
      </c>
      <c r="BR66" s="28">
        <f>IF(AND(BN64&lt;0,BR64&gt;0),"n/a",BR64/BN64-1)</f>
        <v>0.13592698556811711</v>
      </c>
      <c r="BS66" s="28">
        <f t="shared" ref="BS66" si="1239">IF(AND(BO64&lt;0,BS64&gt;0),"n/a",BS64/BO64-1)</f>
        <v>0.13107534585194558</v>
      </c>
      <c r="BT66" s="28">
        <f t="shared" ref="BT66" si="1240">IF(AND(BP64&lt;0,BT64&gt;0),"n/a",BT64/BP64-1)</f>
        <v>0.13255324546316771</v>
      </c>
      <c r="BU66" s="28">
        <f t="shared" ref="BU66" si="1241">IF(AND(BQ64&lt;0,BU64&gt;0),"n/a",BU64/BQ64-1)</f>
        <v>0.12885529151629305</v>
      </c>
      <c r="BV66" s="28">
        <f t="shared" ref="BV66" si="1242">IF(AND(BR64&lt;0,BV64&gt;0),"n/a",BV64/BR64-1)</f>
        <v>0.12972717942208312</v>
      </c>
      <c r="BW66" s="28">
        <f t="shared" ref="BW66" si="1243">IF(AND(BS64&lt;0,BW64&gt;0),"n/a",BW64/BS64-1)</f>
        <v>0.12508597407919853</v>
      </c>
      <c r="BX66" s="28">
        <f t="shared" ref="BX66" si="1244">IF(AND(BT64&lt;0,BX64&gt;0),"n/a",BX64/BT64-1)</f>
        <v>0.1266134555298013</v>
      </c>
      <c r="BY66" s="28">
        <f t="shared" ref="BY66" si="1245">IF(AND(BU64&lt;0,BY64&gt;0),"n/a",BY64/BU64-1)</f>
        <v>0.12304872961252777</v>
      </c>
      <c r="BZ66" s="28">
        <f t="shared" ref="BZ66" si="1246">IF(AND(BV64&lt;0,BZ64&gt;0),"n/a",BZ64/BV64-1)</f>
        <v>0.12052492241240187</v>
      </c>
      <c r="CA66" s="28">
        <f t="shared" ref="CA66" si="1247">IF(AND(BW64&lt;0,CA64&gt;0),"n/a",CA64/BW64-1)</f>
        <v>0.11611149446535096</v>
      </c>
      <c r="CB66" s="28">
        <f t="shared" ref="CB66" si="1248">IF(AND(BX64&lt;0,CB64&gt;0),"n/a",CB64/BX64-1)</f>
        <v>0.11751842443046034</v>
      </c>
      <c r="CC66" s="28">
        <f t="shared" ref="CC66" si="1249">IF(AND(BY64&lt;0,CC64&gt;0),"n/a",CC64/BY64-1)</f>
        <v>0.11415190776314166</v>
      </c>
      <c r="CD66" s="28">
        <f t="shared" ref="CD66" si="1250">IF(AND(BZ64&lt;0,CD64&gt;0),"n/a",CD64/BZ64-1)</f>
        <v>0.11151962039094032</v>
      </c>
      <c r="CE66" s="28">
        <f t="shared" ref="CE66" si="1251">IF(AND(CA64&lt;0,CE64&gt;0),"n/a",CE64/CA64-1)</f>
        <v>0.1073153087517682</v>
      </c>
      <c r="CF66" s="28">
        <f t="shared" ref="CF66" si="1252">IF(AND(CB64&lt;0,CF64&gt;0),"n/a",CF64/CB64-1)</f>
        <v>0.10858550853019766</v>
      </c>
      <c r="CG66" s="28">
        <f t="shared" ref="CG66" si="1253">IF(AND(CC64&lt;0,CG64&gt;0),"n/a",CG64/CC64-1)</f>
        <v>0.10545093843163755</v>
      </c>
      <c r="CH66" s="28"/>
      <c r="CI66" s="106" t="s">
        <v>82</v>
      </c>
      <c r="CJ66" s="22">
        <f>IF(AND(CI64&lt;0,CJ64&gt;0),"n/a",CJ64/CI64-1)</f>
        <v>0.2927594556802291</v>
      </c>
      <c r="CK66" s="107">
        <f t="shared" ref="CK66" si="1254">IF(AND(CJ64&lt;0,CK64&gt;0),"n/a",CK64/CJ64-1)</f>
        <v>0.21461548608363024</v>
      </c>
      <c r="CL66" s="107">
        <f t="shared" ref="CL66" si="1255">IF(AND(CK64&lt;0,CL64&gt;0),"n/a",CL64/CK64-1)</f>
        <v>0.20588618592528229</v>
      </c>
      <c r="CM66" s="22">
        <f t="shared" ref="CM66" si="1256">IF(AND(CL64&lt;0,CM64&gt;0),"n/a",CM64/CL64-1)</f>
        <v>0.18880023055170292</v>
      </c>
      <c r="CN66" s="107">
        <f t="shared" ref="CN66" si="1257">IF(AND(CM64&lt;0,CN64&gt;0),"n/a",CN64/CM64-1)</f>
        <v>0.13617975485219924</v>
      </c>
      <c r="CO66" s="22">
        <f t="shared" ref="CO66" si="1258">IF(AND(CN64&lt;0,CO64&gt;0),"n/a",CO64/CN64-1)</f>
        <v>0.20380322447292265</v>
      </c>
      <c r="CP66" s="107">
        <f t="shared" ref="CP66" si="1259">IF(AND(CO64&lt;0,CP64&gt;0),"n/a",CP64/CO64-1)</f>
        <v>0.22801090038993266</v>
      </c>
      <c r="CQ66" s="22">
        <f t="shared" ref="CQ66" si="1260">IF(AND(CP64&lt;0,CQ64&gt;0),"n/a",CQ64/CP64-1)</f>
        <v>0.23421586757475987</v>
      </c>
      <c r="CR66" s="107">
        <f t="shared" ref="CR66" si="1261">IF(AND(CQ64&lt;0,CR64&gt;0),"n/a",CR64/CQ64-1)</f>
        <v>0.18300089899794614</v>
      </c>
      <c r="CS66" s="22">
        <f t="shared" ref="CS66" si="1262">IF(AND(CR64&lt;0,CS64&gt;0),"n/a",CS64/CR64-1)</f>
        <v>0.12770532012826141</v>
      </c>
      <c r="CT66" s="107">
        <f t="shared" ref="CT66" si="1263">IF(AND(CS64&lt;0,CT64&gt;0),"n/a",CT64/CS64-1)</f>
        <v>0.41150076427049154</v>
      </c>
      <c r="CU66" s="22">
        <f t="shared" ref="CU66" si="1264">IF(AND(CT64&lt;0,CU64&gt;0),"n/a",CU64/CT64-1)</f>
        <v>9.7808156437157789E-2</v>
      </c>
      <c r="CV66" s="107">
        <f t="shared" ref="CV66" si="1265">IF(AND(CU64&lt;0,CV64&gt;0),"n/a",CV64/CU64-1)</f>
        <v>8.6827702272695095E-2</v>
      </c>
      <c r="CW66" s="22">
        <f t="shared" ref="CW66" si="1266">IF(AND(CV64&lt;0,CW64&gt;0),"n/a",CW64/CV64-1)</f>
        <v>0.13866243322901561</v>
      </c>
      <c r="CX66" s="107">
        <f t="shared" ref="CX66" si="1267">IF(AND(CW64&lt;0,CX64&gt;0),"n/a",CX64/CW64-1)</f>
        <v>0.14613224970652294</v>
      </c>
      <c r="CY66" s="107">
        <f t="shared" ref="CY66" si="1268">IF(AND(CX64&lt;0,CY64&gt;0),"n/a",CY64/CX64-1)</f>
        <v>0.1368830812752353</v>
      </c>
      <c r="CZ66" s="107">
        <f>IF(AND(CY64&lt;0,CZ64&gt;0),"n/a",CZ64/CY64-1)</f>
        <v>0.13194327779339088</v>
      </c>
      <c r="DA66" s="107">
        <f>IF(AND(CZ64&lt;0,DA64&gt;0),"n/a",DA64/CZ64-1)</f>
        <v>0.12597465051965329</v>
      </c>
      <c r="DB66" s="107">
        <f>IF(AND(DA64&lt;0,DB64&gt;0),"n/a",DB64/DA64-1)</f>
        <v>0.11694372379349849</v>
      </c>
      <c r="DC66" s="107">
        <f>IF(AND(DB64&lt;0,DC64&gt;0),"n/a",DC64/DB64-1)</f>
        <v>0.10809537689140125</v>
      </c>
    </row>
    <row r="67" spans="1:108" x14ac:dyDescent="0.2">
      <c r="A67" s="7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CI67" s="92"/>
      <c r="CK67" s="92"/>
      <c r="CL67" s="92"/>
      <c r="CN67" s="92"/>
      <c r="CP67" s="92"/>
      <c r="CR67" s="92"/>
      <c r="CT67" s="90"/>
      <c r="CU67" s="21"/>
      <c r="CV67" s="90"/>
      <c r="CW67" s="92"/>
      <c r="CX67" s="92"/>
      <c r="CY67" s="92"/>
      <c r="CZ67" s="92"/>
      <c r="DA67" s="92"/>
      <c r="DB67" s="92"/>
      <c r="DC67" s="92"/>
    </row>
    <row r="68" spans="1:108" x14ac:dyDescent="0.2">
      <c r="A68" s="15" t="s">
        <v>71</v>
      </c>
      <c r="B68" s="16">
        <f>SUM(B96,B111)</f>
        <v>-1711</v>
      </c>
      <c r="C68" s="16">
        <f t="shared" ref="C68:AN68" si="1269">SUM(C96,C111)</f>
        <v>-1732</v>
      </c>
      <c r="D68" s="16">
        <f t="shared" si="1269"/>
        <v>-1805</v>
      </c>
      <c r="E68" s="16">
        <f t="shared" si="1269"/>
        <v>-2069</v>
      </c>
      <c r="F68" s="16">
        <f t="shared" si="1269"/>
        <v>-2039</v>
      </c>
      <c r="G68" s="16">
        <f t="shared" si="1269"/>
        <v>-2112</v>
      </c>
      <c r="H68" s="16">
        <f t="shared" si="1269"/>
        <v>-2208</v>
      </c>
      <c r="I68" s="16">
        <f t="shared" si="1269"/>
        <v>-2452</v>
      </c>
      <c r="J68" s="16">
        <f t="shared" si="1269"/>
        <v>-2509</v>
      </c>
      <c r="K68" s="16">
        <f t="shared" si="1269"/>
        <v>-2603</v>
      </c>
      <c r="L68" s="16">
        <f t="shared" si="1269"/>
        <v>-2774</v>
      </c>
      <c r="M68" s="16">
        <f t="shared" si="1269"/>
        <v>-3073</v>
      </c>
      <c r="N68" s="16">
        <f t="shared" si="1269"/>
        <v>-2964</v>
      </c>
      <c r="O68" s="16">
        <f t="shared" si="1269"/>
        <v>-3013</v>
      </c>
      <c r="P68" s="16">
        <f t="shared" si="1269"/>
        <v>-2973</v>
      </c>
      <c r="Q68" s="16">
        <f t="shared" si="1269"/>
        <v>-3308</v>
      </c>
      <c r="R68" s="16">
        <f t="shared" si="1269"/>
        <v>-3231</v>
      </c>
      <c r="S68" s="16">
        <f t="shared" si="1269"/>
        <v>-3294</v>
      </c>
      <c r="T68" s="16">
        <f t="shared" si="1269"/>
        <v>-3348</v>
      </c>
      <c r="U68" s="16">
        <f t="shared" si="1269"/>
        <v>-3624</v>
      </c>
      <c r="V68" s="16">
        <f t="shared" si="1269"/>
        <v>-3345</v>
      </c>
      <c r="W68" s="16">
        <f t="shared" si="1269"/>
        <v>-3377</v>
      </c>
      <c r="X68" s="16">
        <f t="shared" si="1269"/>
        <v>-3566</v>
      </c>
      <c r="Y68" s="16">
        <f t="shared" si="1269"/>
        <v>-4055</v>
      </c>
      <c r="Z68" s="16">
        <f t="shared" si="1269"/>
        <v>-3788</v>
      </c>
      <c r="AA68" s="16">
        <f t="shared" si="1269"/>
        <v>-3975</v>
      </c>
      <c r="AB68" s="16">
        <f t="shared" si="1269"/>
        <v>-4182</v>
      </c>
      <c r="AC68" s="16">
        <f t="shared" si="1269"/>
        <v>-4848</v>
      </c>
      <c r="AD68" s="16">
        <f t="shared" si="1269"/>
        <v>-4629</v>
      </c>
      <c r="AE68" s="16">
        <f t="shared" si="1269"/>
        <v>-5091</v>
      </c>
      <c r="AF68" s="16">
        <f t="shared" si="1269"/>
        <v>-5502</v>
      </c>
      <c r="AG68" s="16">
        <f t="shared" si="1269"/>
        <v>-6450</v>
      </c>
      <c r="AH68" s="16">
        <f t="shared" si="1269"/>
        <v>-6288</v>
      </c>
      <c r="AI68" s="16">
        <f t="shared" si="1269"/>
        <v>-6420</v>
      </c>
      <c r="AJ68" s="16">
        <f t="shared" si="1269"/>
        <v>-6582</v>
      </c>
      <c r="AK68" s="16">
        <f t="shared" si="1269"/>
        <v>-7436</v>
      </c>
      <c r="AL68" s="16">
        <f t="shared" si="1269"/>
        <v>-6860</v>
      </c>
      <c r="AM68" s="16">
        <f t="shared" si="1269"/>
        <v>-7238</v>
      </c>
      <c r="AN68" s="16">
        <f t="shared" si="1269"/>
        <v>-7490</v>
      </c>
      <c r="AO68" s="17">
        <v>-8501</v>
      </c>
      <c r="AP68" s="17">
        <v>-7452</v>
      </c>
      <c r="AQ68" s="17">
        <v>-6694</v>
      </c>
      <c r="AR68" s="17">
        <v>-8166</v>
      </c>
      <c r="AS68" s="17">
        <v>-10466</v>
      </c>
      <c r="AT68" s="17">
        <v>-9712</v>
      </c>
      <c r="AU68" s="18">
        <v>-10929</v>
      </c>
      <c r="AV68" s="18">
        <v>-11498</v>
      </c>
      <c r="AW68" s="18">
        <v>-13427</v>
      </c>
      <c r="AX68" s="18">
        <v>-11990</v>
      </c>
      <c r="AY68" s="18">
        <v>-12214</v>
      </c>
      <c r="AZ68" s="18">
        <v>-11826</v>
      </c>
      <c r="BA68" s="18">
        <v>-12925</v>
      </c>
      <c r="BB68" s="18">
        <v>-11721</v>
      </c>
      <c r="BC68" s="18">
        <v>-12537</v>
      </c>
      <c r="BD68" s="18">
        <v>-12642</v>
      </c>
      <c r="BE68" s="18">
        <v>-13986</v>
      </c>
      <c r="BF68" s="18">
        <v>-12946</v>
      </c>
      <c r="BG68" s="18">
        <v>-13387</v>
      </c>
      <c r="BH68" s="18">
        <v>-13719</v>
      </c>
      <c r="BI68" s="18">
        <v>-14848</v>
      </c>
      <c r="BJ68" s="18">
        <v>-13748</v>
      </c>
      <c r="BK68" s="18">
        <v>-14705</v>
      </c>
      <c r="BL68" s="18">
        <v>-14876</v>
      </c>
      <c r="BM68" s="27">
        <f t="shared" ref="BM68:BQ68" si="1270">BM14*BM71</f>
        <v>-16643.621999999999</v>
      </c>
      <c r="BN68" s="27">
        <f t="shared" si="1270"/>
        <v>-14708.744792436877</v>
      </c>
      <c r="BO68" s="27">
        <f t="shared" si="1270"/>
        <v>-15543.655649966946</v>
      </c>
      <c r="BP68" s="27">
        <f t="shared" si="1270"/>
        <v>-16190.828964469922</v>
      </c>
      <c r="BQ68" s="27">
        <f t="shared" si="1270"/>
        <v>-17714.645695102623</v>
      </c>
      <c r="BR68" s="27">
        <f>BR14*BR71</f>
        <v>-15894.8158863717</v>
      </c>
      <c r="BS68" s="27">
        <f t="shared" ref="BS68:BU68" si="1271">BS14*BS71</f>
        <v>-16687.898163500602</v>
      </c>
      <c r="BT68" s="27">
        <f t="shared" si="1271"/>
        <v>-17390.310588956578</v>
      </c>
      <c r="BU68" s="27">
        <f t="shared" si="1271"/>
        <v>-18971.256518082449</v>
      </c>
      <c r="BV68" s="27">
        <f t="shared" ref="BV68:CC68" si="1272">BV14*BV71</f>
        <v>-17090.724270120736</v>
      </c>
      <c r="BW68" s="27">
        <f t="shared" si="1272"/>
        <v>-17822.79397987658</v>
      </c>
      <c r="BX68" s="27">
        <f t="shared" si="1272"/>
        <v>-18579.742568272621</v>
      </c>
      <c r="BY68" s="27">
        <f t="shared" si="1272"/>
        <v>-20208.364958575501</v>
      </c>
      <c r="BZ68" s="27">
        <f t="shared" si="1272"/>
        <v>-18268.33636273822</v>
      </c>
      <c r="CA68" s="27">
        <f t="shared" si="1272"/>
        <v>-18919.706296950597</v>
      </c>
      <c r="CB68" s="27">
        <f t="shared" si="1272"/>
        <v>-19729.432081889059</v>
      </c>
      <c r="CC68" s="27">
        <f t="shared" si="1272"/>
        <v>-21393.36276392754</v>
      </c>
      <c r="CD68" s="27">
        <f t="shared" ref="CD68:CG68" si="1273">CD14*CD71</f>
        <v>-19450.826392416257</v>
      </c>
      <c r="CE68" s="27">
        <f t="shared" si="1273"/>
        <v>-20003.236935528847</v>
      </c>
      <c r="CF68" s="27">
        <f t="shared" si="1273"/>
        <v>-20865.012867007612</v>
      </c>
      <c r="CG68" s="27">
        <f t="shared" si="1273"/>
        <v>-22554.098611288195</v>
      </c>
      <c r="CH68" s="27"/>
      <c r="CI68" s="89">
        <f>SUM(B68:E68)</f>
        <v>-7317</v>
      </c>
      <c r="CJ68" s="20">
        <f>SUM(F68:I68)</f>
        <v>-8811</v>
      </c>
      <c r="CK68" s="89">
        <f>SUM(J68:M68)</f>
        <v>-10959</v>
      </c>
      <c r="CL68" s="89">
        <f>SUM(N68:Q68)</f>
        <v>-12258</v>
      </c>
      <c r="CM68" s="20">
        <f>SUM(R68:U68)</f>
        <v>-13497</v>
      </c>
      <c r="CN68" s="89">
        <f>SUM(V68:Y68)</f>
        <v>-14343</v>
      </c>
      <c r="CO68" s="20">
        <f>SUM(Z68:AC68)</f>
        <v>-16793</v>
      </c>
      <c r="CP68" s="89">
        <f>SUM(AD68:AG68)</f>
        <v>-21672</v>
      </c>
      <c r="CQ68" s="20">
        <f>SUM(AH68:AK68)</f>
        <v>-26726</v>
      </c>
      <c r="CR68" s="89">
        <f>SUM(AL68:AO68)</f>
        <v>-30089</v>
      </c>
      <c r="CS68" s="20">
        <f>SUM(AP68:AS68)</f>
        <v>-32778</v>
      </c>
      <c r="CT68" s="89">
        <f>SUM(AT68:AW68)</f>
        <v>-45566</v>
      </c>
      <c r="CU68" s="20">
        <f>SUM(AX68:BA68)</f>
        <v>-48955</v>
      </c>
      <c r="CV68" s="89">
        <f>SUM(BB68:BE68)</f>
        <v>-50886</v>
      </c>
      <c r="CW68" s="20">
        <f>SUM(BF68:BI68)</f>
        <v>-54900</v>
      </c>
      <c r="CX68" s="89">
        <f>SUM(BJ68:BM68)</f>
        <v>-59972.622000000003</v>
      </c>
      <c r="CY68" s="89">
        <f>SUM(BN68:BQ68)</f>
        <v>-64157.875101976359</v>
      </c>
      <c r="CZ68" s="89">
        <f>SUM(BR68:BU68)</f>
        <v>-68944.281156911326</v>
      </c>
      <c r="DA68" s="89">
        <f>SUM(BV68:BY68)</f>
        <v>-73701.625776845438</v>
      </c>
      <c r="DB68" s="89">
        <f>SUM(BZ68:CC68)</f>
        <v>-78310.837505505406</v>
      </c>
      <c r="DC68" s="89">
        <f>SUM(CD68:CG68)</f>
        <v>-82873.174806240902</v>
      </c>
      <c r="DD68" s="86"/>
    </row>
    <row r="69" spans="1:108" x14ac:dyDescent="0.2">
      <c r="A69" s="14" t="s">
        <v>62</v>
      </c>
      <c r="B69" s="25" t="s">
        <v>82</v>
      </c>
      <c r="C69" s="22">
        <f t="shared" ref="C69:AJ69" si="1274">IF(AND(B68&lt;0,C68&gt;0),"n/a",C68/B68-1)</f>
        <v>1.2273524254821755E-2</v>
      </c>
      <c r="D69" s="22">
        <f t="shared" si="1274"/>
        <v>4.2147806004618982E-2</v>
      </c>
      <c r="E69" s="22">
        <f t="shared" si="1274"/>
        <v>0.14626038781163442</v>
      </c>
      <c r="F69" s="22">
        <f t="shared" si="1274"/>
        <v>-1.4499758337361057E-2</v>
      </c>
      <c r="G69" s="22">
        <f t="shared" si="1274"/>
        <v>3.5801863658656119E-2</v>
      </c>
      <c r="H69" s="22">
        <f t="shared" si="1274"/>
        <v>4.5454545454545414E-2</v>
      </c>
      <c r="I69" s="22">
        <f t="shared" si="1274"/>
        <v>0.11050724637681153</v>
      </c>
      <c r="J69" s="22">
        <f t="shared" si="1274"/>
        <v>2.3246329526916742E-2</v>
      </c>
      <c r="K69" s="22">
        <f t="shared" si="1274"/>
        <v>3.7465125548027167E-2</v>
      </c>
      <c r="L69" s="22">
        <f t="shared" si="1274"/>
        <v>6.5693430656934337E-2</v>
      </c>
      <c r="M69" s="22">
        <f t="shared" si="1274"/>
        <v>0.10778658976207645</v>
      </c>
      <c r="N69" s="22">
        <f t="shared" si="1274"/>
        <v>-3.547022453628379E-2</v>
      </c>
      <c r="O69" s="22">
        <f t="shared" si="1274"/>
        <v>1.6531713900134859E-2</v>
      </c>
      <c r="P69" s="22">
        <f t="shared" si="1274"/>
        <v>-1.3275804845668815E-2</v>
      </c>
      <c r="Q69" s="22">
        <f t="shared" si="1274"/>
        <v>0.1126807938109653</v>
      </c>
      <c r="R69" s="22">
        <f t="shared" si="1274"/>
        <v>-2.3276904474002436E-2</v>
      </c>
      <c r="S69" s="22">
        <f t="shared" si="1274"/>
        <v>1.9498607242339761E-2</v>
      </c>
      <c r="T69" s="22">
        <f t="shared" si="1274"/>
        <v>1.6393442622950838E-2</v>
      </c>
      <c r="U69" s="22">
        <f t="shared" si="1274"/>
        <v>8.2437275985663083E-2</v>
      </c>
      <c r="V69" s="22">
        <f t="shared" si="1274"/>
        <v>-7.698675496688745E-2</v>
      </c>
      <c r="W69" s="22">
        <f t="shared" si="1274"/>
        <v>9.5665171898355883E-3</v>
      </c>
      <c r="X69" s="22">
        <f t="shared" si="1274"/>
        <v>5.5966834468463178E-2</v>
      </c>
      <c r="Y69" s="22">
        <f t="shared" si="1274"/>
        <v>0.13712843522153673</v>
      </c>
      <c r="Z69" s="22">
        <f t="shared" si="1274"/>
        <v>-6.5844636251541355E-2</v>
      </c>
      <c r="AA69" s="22">
        <f t="shared" si="1274"/>
        <v>4.9366420274551182E-2</v>
      </c>
      <c r="AB69" s="22">
        <f t="shared" si="1274"/>
        <v>5.2075471698113107E-2</v>
      </c>
      <c r="AC69" s="22">
        <f t="shared" si="1274"/>
        <v>0.15925394548063121</v>
      </c>
      <c r="AD69" s="22">
        <f t="shared" si="1274"/>
        <v>-4.5173267326732658E-2</v>
      </c>
      <c r="AE69" s="22">
        <f t="shared" si="1274"/>
        <v>9.9805573558003902E-2</v>
      </c>
      <c r="AF69" s="22">
        <f t="shared" si="1274"/>
        <v>8.0730701237477831E-2</v>
      </c>
      <c r="AG69" s="22">
        <f t="shared" si="1274"/>
        <v>0.17230098146128681</v>
      </c>
      <c r="AH69" s="22">
        <f t="shared" si="1274"/>
        <v>-2.5116279069767433E-2</v>
      </c>
      <c r="AI69" s="22">
        <f t="shared" si="1274"/>
        <v>2.0992366412213803E-2</v>
      </c>
      <c r="AJ69" s="22">
        <f t="shared" si="1274"/>
        <v>2.5233644859813165E-2</v>
      </c>
      <c r="AK69" s="22">
        <f>IF(AND(AJ68&lt;0,AK68&gt;0),"n/a",AK68/AJ68-1)</f>
        <v>0.12974779702218164</v>
      </c>
      <c r="AL69" s="22">
        <f>IF(AND(AK68&lt;0,AL68&gt;0),"n/a",AL68/AK68-1)</f>
        <v>-7.7461000537923597E-2</v>
      </c>
      <c r="AM69" s="22">
        <f t="shared" ref="AM69" si="1275">IF(AND(AL68&lt;0,AM68&gt;0),"n/a",AM68/AL68-1)</f>
        <v>5.5102040816326525E-2</v>
      </c>
      <c r="AN69" s="22">
        <f t="shared" ref="AN69" si="1276">IF(AND(AM68&lt;0,AN68&gt;0),"n/a",AN68/AM68-1)</f>
        <v>3.481624758220514E-2</v>
      </c>
      <c r="AO69" s="22">
        <f t="shared" ref="AO69" si="1277">IF(AND(AN68&lt;0,AO68&gt;0),"n/a",AO68/AN68-1)</f>
        <v>0.13497997329773037</v>
      </c>
      <c r="AP69" s="22">
        <f t="shared" ref="AP69" si="1278">IF(AND(AO68&lt;0,AP68&gt;0),"n/a",AP68/AO68-1)</f>
        <v>-0.12339724738266089</v>
      </c>
      <c r="AQ69" s="22">
        <f t="shared" ref="AQ69" si="1279">IF(AND(AP68&lt;0,AQ68&gt;0),"n/a",AQ68/AP68-1)</f>
        <v>-0.10171765968867419</v>
      </c>
      <c r="AR69" s="22">
        <f t="shared" ref="AR69" si="1280">IF(AND(AQ68&lt;0,AR68&gt;0),"n/a",AR68/AQ68-1)</f>
        <v>0.21989841649238118</v>
      </c>
      <c r="AS69" s="22">
        <f t="shared" ref="AS69" si="1281">IF(AND(AR68&lt;0,AS68&gt;0),"n/a",AS68/AR68-1)</f>
        <v>0.28165564535880483</v>
      </c>
      <c r="AT69" s="22">
        <f t="shared" ref="AT69" si="1282">IF(AND(AS68&lt;0,AT68&gt;0),"n/a",AT68/AS68-1)</f>
        <v>-7.2042805274221244E-2</v>
      </c>
      <c r="AU69" s="22">
        <f t="shared" ref="AU69" si="1283">IF(AND(AT68&lt;0,AU68&gt;0),"n/a",AU68/AT68-1)</f>
        <v>0.12530889621087304</v>
      </c>
      <c r="AV69" s="22">
        <f t="shared" ref="AV69" si="1284">IF(AND(AU68&lt;0,AV68&gt;0),"n/a",AV68/AU68-1)</f>
        <v>5.2063317778387797E-2</v>
      </c>
      <c r="AW69" s="22">
        <f t="shared" ref="AW69" si="1285">IF(AND(AV68&lt;0,AW68&gt;0),"n/a",AW68/AV68-1)</f>
        <v>0.16776830753174465</v>
      </c>
      <c r="AX69" s="22">
        <f t="shared" ref="AX69" si="1286">IF(AND(AW68&lt;0,AX68&gt;0),"n/a",AX68/AW68-1)</f>
        <v>-0.10702316228494824</v>
      </c>
      <c r="AY69" s="22">
        <f t="shared" ref="AY69" si="1287">IF(AND(AX68&lt;0,AY68&gt;0),"n/a",AY68/AX68-1)</f>
        <v>1.8682235195996766E-2</v>
      </c>
      <c r="AZ69" s="22">
        <f t="shared" ref="AZ69" si="1288">IF(AND(AY68&lt;0,AZ68&gt;0),"n/a",AZ68/AY68-1)</f>
        <v>-3.1766824954969741E-2</v>
      </c>
      <c r="BA69" s="22">
        <f t="shared" ref="BA69" si="1289">IF(AND(AZ68&lt;0,BA68&gt;0),"n/a",BA68/AZ68-1)</f>
        <v>9.2930830373752826E-2</v>
      </c>
      <c r="BB69" s="22">
        <f t="shared" ref="BB69:BL69" si="1290">IF(AND(BA68&lt;0,BB68&gt;0),"n/a",BB68/BA68-1)</f>
        <v>-9.3152804642166354E-2</v>
      </c>
      <c r="BC69" s="22">
        <f t="shared" si="1290"/>
        <v>6.9618633222421344E-2</v>
      </c>
      <c r="BD69" s="28">
        <f t="shared" si="1290"/>
        <v>8.3752093802345051E-3</v>
      </c>
      <c r="BE69" s="28">
        <f t="shared" si="1290"/>
        <v>0.10631229235880402</v>
      </c>
      <c r="BF69" s="28">
        <f t="shared" si="1290"/>
        <v>-7.4360074360074413E-2</v>
      </c>
      <c r="BG69" s="28">
        <f t="shared" si="1290"/>
        <v>3.4064575930789376E-2</v>
      </c>
      <c r="BH69" s="28">
        <f t="shared" si="1290"/>
        <v>2.4800179278404499E-2</v>
      </c>
      <c r="BI69" s="28">
        <f t="shared" si="1290"/>
        <v>8.2294627888330085E-2</v>
      </c>
      <c r="BJ69" s="28">
        <f t="shared" si="1290"/>
        <v>-7.40840517241379E-2</v>
      </c>
      <c r="BK69" s="28">
        <f t="shared" si="1290"/>
        <v>6.9610125109106802E-2</v>
      </c>
      <c r="BL69" s="28">
        <f t="shared" si="1290"/>
        <v>1.1628697721863368E-2</v>
      </c>
      <c r="BM69" s="22">
        <f t="shared" ref="BM69" si="1291">IF(AND(BL68&lt;0,BM68&gt;0),"n/a",BM68/BL68-1)</f>
        <v>0.11882374294165099</v>
      </c>
      <c r="BN69" s="22">
        <f t="shared" ref="BN69" si="1292">IF(AND(BM68&lt;0,BN68&gt;0),"n/a",BN68/BM68-1)</f>
        <v>-0.11625337366849131</v>
      </c>
      <c r="BO69" s="22">
        <f t="shared" ref="BO69" si="1293">IF(AND(BN68&lt;0,BO68&gt;0),"n/a",BO68/BN68-1)</f>
        <v>5.676288964911369E-2</v>
      </c>
      <c r="BP69" s="22">
        <f t="shared" ref="BP69" si="1294">IF(AND(BO68&lt;0,BP68&gt;0),"n/a",BP68/BO68-1)</f>
        <v>4.1635849961997318E-2</v>
      </c>
      <c r="BQ69" s="22">
        <f t="shared" ref="BQ69" si="1295">IF(AND(BP68&lt;0,BQ68&gt;0),"n/a",BQ68/BP68-1)</f>
        <v>9.4116041493406577E-2</v>
      </c>
      <c r="BR69" s="28">
        <f>IF(AND(BQ68&lt;0,BR68&gt;0),"n/a",BR68/BQ68-1)</f>
        <v>-0.10273024027988498</v>
      </c>
      <c r="BS69" s="28">
        <f t="shared" ref="BS69" si="1296">IF(AND(BR68&lt;0,BS68&gt;0),"n/a",BS68/BR68-1)</f>
        <v>4.9895656722195536E-2</v>
      </c>
      <c r="BT69" s="28">
        <f t="shared" ref="BT69" si="1297">IF(AND(BS68&lt;0,BT68&gt;0),"n/a",BT68/BS68-1)</f>
        <v>4.2091126070764151E-2</v>
      </c>
      <c r="BU69" s="28">
        <f t="shared" ref="BU69" si="1298">IF(AND(BT68&lt;0,BU68&gt;0),"n/a",BU68/BT68-1)</f>
        <v>9.0909585601641085E-2</v>
      </c>
      <c r="BV69" s="28">
        <f t="shared" ref="BV69" si="1299">IF(AND(BU68&lt;0,BV68&gt;0),"n/a",BV68/BU68-1)</f>
        <v>-9.9125339756451214E-2</v>
      </c>
      <c r="BW69" s="28">
        <f t="shared" ref="BW69" si="1300">IF(AND(BV68&lt;0,BW68&gt;0),"n/a",BW68/BV68-1)</f>
        <v>4.2834329206030253E-2</v>
      </c>
      <c r="BX69" s="28">
        <f t="shared" ref="BX69" si="1301">IF(AND(BW68&lt;0,BX68&gt;0),"n/a",BX68/BW68-1)</f>
        <v>4.2470815139910023E-2</v>
      </c>
      <c r="BY69" s="28">
        <f t="shared" ref="BY69" si="1302">IF(AND(BX68&lt;0,BY68&gt;0),"n/a",BY68/BX68-1)</f>
        <v>8.7655810316983107E-2</v>
      </c>
      <c r="BZ69" s="28">
        <f t="shared" ref="BZ69" si="1303">IF(AND(BY68&lt;0,BZ68&gt;0),"n/a",BZ68/BY68-1)</f>
        <v>-9.6001264813560416E-2</v>
      </c>
      <c r="CA69" s="28">
        <f t="shared" ref="CA69" si="1304">IF(AND(BZ68&lt;0,CA68&gt;0),"n/a",CA68/BZ68-1)</f>
        <v>3.5655678835702309E-2</v>
      </c>
      <c r="CB69" s="28">
        <f t="shared" ref="CB69" si="1305">IF(AND(CA68&lt;0,CB68&gt;0),"n/a",CB68/CA68-1)</f>
        <v>4.2798010298340072E-2</v>
      </c>
      <c r="CC69" s="28">
        <f t="shared" ref="CC69" si="1306">IF(AND(CB68&lt;0,CC68&gt;0),"n/a",CC68/CB68-1)</f>
        <v>8.4337484988527001E-2</v>
      </c>
      <c r="CD69" s="28">
        <f t="shared" ref="CD69" si="1307">IF(AND(CC68&lt;0,CD68&gt;0),"n/a",CD68/CC68-1)</f>
        <v>-9.0800889647264516E-2</v>
      </c>
      <c r="CE69" s="28">
        <f t="shared" ref="CE69" si="1308">IF(AND(CD68&lt;0,CE68&gt;0),"n/a",CE68/CD68-1)</f>
        <v>2.8400363664135675E-2</v>
      </c>
      <c r="CF69" s="28">
        <f t="shared" ref="CF69" si="1309">IF(AND(CE68&lt;0,CF68&gt;0),"n/a",CF68/CE68-1)</f>
        <v>4.3081823919613571E-2</v>
      </c>
      <c r="CG69" s="28">
        <f t="shared" ref="CG69" si="1310">IF(AND(CF68&lt;0,CG68&gt;0),"n/a",CG68/CF68-1)</f>
        <v>8.0953017141504713E-2</v>
      </c>
      <c r="CH69" s="28"/>
      <c r="CI69" s="106" t="s">
        <v>82</v>
      </c>
      <c r="CJ69" s="48" t="s">
        <v>82</v>
      </c>
      <c r="CK69" s="106" t="s">
        <v>82</v>
      </c>
      <c r="CL69" s="106" t="s">
        <v>82</v>
      </c>
      <c r="CM69" s="48" t="s">
        <v>82</v>
      </c>
      <c r="CN69" s="106" t="s">
        <v>82</v>
      </c>
      <c r="CO69" s="48" t="s">
        <v>82</v>
      </c>
      <c r="CP69" s="106" t="s">
        <v>82</v>
      </c>
      <c r="CQ69" s="48" t="s">
        <v>82</v>
      </c>
      <c r="CR69" s="106" t="s">
        <v>82</v>
      </c>
      <c r="CS69" s="48" t="s">
        <v>82</v>
      </c>
      <c r="CT69" s="106" t="s">
        <v>82</v>
      </c>
      <c r="CU69" s="48" t="s">
        <v>82</v>
      </c>
      <c r="CV69" s="106" t="s">
        <v>82</v>
      </c>
      <c r="CW69" s="48" t="s">
        <v>82</v>
      </c>
      <c r="CX69" s="106" t="s">
        <v>82</v>
      </c>
      <c r="CY69" s="106" t="s">
        <v>82</v>
      </c>
      <c r="CZ69" s="106" t="s">
        <v>82</v>
      </c>
      <c r="DA69" s="106" t="s">
        <v>82</v>
      </c>
      <c r="DB69" s="106" t="s">
        <v>82</v>
      </c>
      <c r="DC69" s="106" t="s">
        <v>82</v>
      </c>
    </row>
    <row r="70" spans="1:108" x14ac:dyDescent="0.2">
      <c r="A70" s="14" t="s">
        <v>63</v>
      </c>
      <c r="B70" s="25" t="s">
        <v>82</v>
      </c>
      <c r="C70" s="25" t="s">
        <v>82</v>
      </c>
      <c r="D70" s="25" t="s">
        <v>82</v>
      </c>
      <c r="E70" s="25" t="s">
        <v>82</v>
      </c>
      <c r="F70" s="22">
        <f t="shared" ref="F70:AJ70" si="1311">IF(AND(B68&lt;0,F68&gt;0),"n/a",F68/B68-1)</f>
        <v>0.19170075978959678</v>
      </c>
      <c r="G70" s="22">
        <f t="shared" si="1311"/>
        <v>0.21939953810623547</v>
      </c>
      <c r="H70" s="22">
        <f t="shared" si="1311"/>
        <v>0.22326869806094174</v>
      </c>
      <c r="I70" s="22">
        <f t="shared" si="1311"/>
        <v>0.18511358144030932</v>
      </c>
      <c r="J70" s="22">
        <f t="shared" si="1311"/>
        <v>0.23050514958312895</v>
      </c>
      <c r="K70" s="22">
        <f t="shared" si="1311"/>
        <v>0.23248106060606055</v>
      </c>
      <c r="L70" s="22">
        <f t="shared" si="1311"/>
        <v>0.25634057971014501</v>
      </c>
      <c r="M70" s="22">
        <f t="shared" si="1311"/>
        <v>0.25326264274061994</v>
      </c>
      <c r="N70" s="22">
        <f t="shared" si="1311"/>
        <v>0.18134715025906734</v>
      </c>
      <c r="O70" s="22">
        <f t="shared" si="1311"/>
        <v>0.1575105647330004</v>
      </c>
      <c r="P70" s="22">
        <f t="shared" si="1311"/>
        <v>7.1737563085796596E-2</v>
      </c>
      <c r="Q70" s="22">
        <f t="shared" si="1311"/>
        <v>7.6472502440611878E-2</v>
      </c>
      <c r="R70" s="22">
        <f t="shared" si="1311"/>
        <v>9.0080971659919129E-2</v>
      </c>
      <c r="S70" s="22">
        <f t="shared" si="1311"/>
        <v>9.3262529040823106E-2</v>
      </c>
      <c r="T70" s="22">
        <f t="shared" si="1311"/>
        <v>0.12613521695257313</v>
      </c>
      <c r="U70" s="22">
        <f t="shared" si="1311"/>
        <v>9.5525997581620281E-2</v>
      </c>
      <c r="V70" s="22">
        <f t="shared" si="1311"/>
        <v>3.5283194057567302E-2</v>
      </c>
      <c r="W70" s="22">
        <f t="shared" si="1311"/>
        <v>2.5197328476016967E-2</v>
      </c>
      <c r="X70" s="22">
        <f t="shared" si="1311"/>
        <v>6.5113500597371532E-2</v>
      </c>
      <c r="Y70" s="22">
        <f t="shared" si="1311"/>
        <v>0.11892935982339958</v>
      </c>
      <c r="Z70" s="22">
        <f t="shared" si="1311"/>
        <v>0.13243647234678635</v>
      </c>
      <c r="AA70" s="22">
        <f t="shared" si="1311"/>
        <v>0.17708024874148642</v>
      </c>
      <c r="AB70" s="22">
        <f t="shared" si="1311"/>
        <v>0.17274256870443083</v>
      </c>
      <c r="AC70" s="22">
        <f t="shared" si="1311"/>
        <v>0.19556103575832307</v>
      </c>
      <c r="AD70" s="22">
        <f t="shared" si="1311"/>
        <v>0.22201689545934533</v>
      </c>
      <c r="AE70" s="22">
        <f t="shared" si="1311"/>
        <v>0.28075471698113197</v>
      </c>
      <c r="AF70" s="22">
        <f t="shared" si="1311"/>
        <v>0.31563845050215211</v>
      </c>
      <c r="AG70" s="22">
        <f t="shared" si="1311"/>
        <v>0.33044554455445541</v>
      </c>
      <c r="AH70" s="22">
        <f t="shared" si="1311"/>
        <v>0.35839274141283206</v>
      </c>
      <c r="AI70" s="22">
        <f t="shared" si="1311"/>
        <v>0.26104890984089568</v>
      </c>
      <c r="AJ70" s="22">
        <f t="shared" si="1311"/>
        <v>0.19629225736095957</v>
      </c>
      <c r="AK70" s="22">
        <f>IF(AND(AG68&lt;0,AK68&gt;0),"n/a",AK68/AG68-1)</f>
        <v>0.15286821705426346</v>
      </c>
      <c r="AL70" s="22">
        <f>IF(AND(AH68&lt;0,AL68&gt;0),"n/a",AL68/AH68-1)</f>
        <v>9.0966921119592925E-2</v>
      </c>
      <c r="AM70" s="22">
        <f t="shared" ref="AM70" si="1312">IF(AND(AI68&lt;0,AM68&gt;0),"n/a",AM68/AI68-1)</f>
        <v>0.12741433021806858</v>
      </c>
      <c r="AN70" s="22">
        <f t="shared" ref="AN70" si="1313">IF(AND(AJ68&lt;0,AN68&gt;0),"n/a",AN68/AJ68-1)</f>
        <v>0.13795199027651162</v>
      </c>
      <c r="AO70" s="22">
        <f t="shared" ref="AO70" si="1314">IF(AND(AK68&lt;0,AO68&gt;0),"n/a",AO68/AK68-1)</f>
        <v>0.14322216245293173</v>
      </c>
      <c r="AP70" s="22">
        <f t="shared" ref="AP70" si="1315">IF(AND(AL68&lt;0,AP68&gt;0),"n/a",AP68/AL68-1)</f>
        <v>8.6297376093294353E-2</v>
      </c>
      <c r="AQ70" s="22">
        <f t="shared" ref="AQ70" si="1316">IF(AND(AM68&lt;0,AQ68&gt;0),"n/a",AQ68/AM68-1)</f>
        <v>-7.5158883669521948E-2</v>
      </c>
      <c r="AR70" s="22">
        <f t="shared" ref="AR70" si="1317">IF(AND(AN68&lt;0,AR68&gt;0),"n/a",AR68/AN68-1)</f>
        <v>9.0253671562082749E-2</v>
      </c>
      <c r="AS70" s="22">
        <f t="shared" ref="AS70" si="1318">IF(AND(AO68&lt;0,AS68&gt;0),"n/a",AS68/AO68-1)</f>
        <v>0.23114927655569928</v>
      </c>
      <c r="AT70" s="22">
        <f t="shared" ref="AT70" si="1319">IF(AND(AP68&lt;0,AT68&gt;0),"n/a",AT68/AP68-1)</f>
        <v>0.30327428878153517</v>
      </c>
      <c r="AU70" s="22">
        <f t="shared" ref="AU70" si="1320">IF(AND(AQ68&lt;0,AU68&gt;0),"n/a",AU68/AQ68-1)</f>
        <v>0.63265610994920829</v>
      </c>
      <c r="AV70" s="22">
        <f t="shared" ref="AV70" si="1321">IF(AND(AR68&lt;0,AV68&gt;0),"n/a",AV68/AR68-1)</f>
        <v>0.40803330884153799</v>
      </c>
      <c r="AW70" s="22">
        <f t="shared" ref="AW70" si="1322">IF(AND(AS68&lt;0,AW68&gt;0),"n/a",AW68/AS68-1)</f>
        <v>0.28291610930632527</v>
      </c>
      <c r="AX70" s="22">
        <f t="shared" ref="AX70" si="1323">IF(AND(AT68&lt;0,AX68&gt;0),"n/a",AX68/AT68-1)</f>
        <v>0.23455518945634268</v>
      </c>
      <c r="AY70" s="22">
        <f t="shared" ref="AY70" si="1324">IF(AND(AU68&lt;0,AY68&gt;0),"n/a",AY68/AU68-1)</f>
        <v>0.11757708848019033</v>
      </c>
      <c r="AZ70" s="22">
        <f t="shared" ref="AZ70" si="1325">IF(AND(AV68&lt;0,AZ68&gt;0),"n/a",AZ68/AV68-1)</f>
        <v>2.85267002957037E-2</v>
      </c>
      <c r="BA70" s="22">
        <f t="shared" ref="BA70" si="1326">IF(AND(AW68&lt;0,BA68&gt;0),"n/a",BA68/AW68-1)</f>
        <v>-3.7387353839279047E-2</v>
      </c>
      <c r="BB70" s="22">
        <f t="shared" ref="BB70:BL70" si="1327">IF(AND(AX68&lt;0,BB68&gt;0),"n/a",BB68/AX68-1)</f>
        <v>-2.2435362802335268E-2</v>
      </c>
      <c r="BC70" s="22">
        <f t="shared" si="1327"/>
        <v>2.6445063042410455E-2</v>
      </c>
      <c r="BD70" s="28">
        <f t="shared" si="1327"/>
        <v>6.9000507356671736E-2</v>
      </c>
      <c r="BE70" s="28">
        <f t="shared" si="1327"/>
        <v>8.2088974854932273E-2</v>
      </c>
      <c r="BF70" s="28">
        <f t="shared" si="1327"/>
        <v>0.10451326678611039</v>
      </c>
      <c r="BG70" s="28">
        <f t="shared" si="1327"/>
        <v>6.7799314030469793E-2</v>
      </c>
      <c r="BH70" s="28">
        <f t="shared" si="1327"/>
        <v>8.5192216421452249E-2</v>
      </c>
      <c r="BI70" s="28">
        <f t="shared" si="1327"/>
        <v>6.1633061633061592E-2</v>
      </c>
      <c r="BJ70" s="28">
        <f t="shared" si="1327"/>
        <v>6.1949636953499088E-2</v>
      </c>
      <c r="BK70" s="28">
        <f t="shared" si="1327"/>
        <v>9.8453723761858569E-2</v>
      </c>
      <c r="BL70" s="28">
        <f t="shared" si="1327"/>
        <v>8.4335592973248774E-2</v>
      </c>
      <c r="BM70" s="22">
        <f t="shared" ref="BM70" si="1328">IF(AND(BI68&lt;0,BM68&gt;0),"n/a",BM68/BI68-1)</f>
        <v>0.12093359375000001</v>
      </c>
      <c r="BN70" s="22">
        <f t="shared" ref="BN70" si="1329">IF(AND(BJ68&lt;0,BN68&gt;0),"n/a",BN68/BJ68-1)</f>
        <v>6.9882513270066671E-2</v>
      </c>
      <c r="BO70" s="22">
        <f t="shared" ref="BO70" si="1330">IF(AND(BK68&lt;0,BO68&gt;0),"n/a",BO68/BK68-1)</f>
        <v>5.7032006118119316E-2</v>
      </c>
      <c r="BP70" s="22">
        <f t="shared" ref="BP70" si="1331">IF(AND(BL68&lt;0,BP68&gt;0),"n/a",BP68/BL68-1)</f>
        <v>8.8385921246969756E-2</v>
      </c>
      <c r="BQ70" s="22">
        <f t="shared" ref="BQ70" si="1332">IF(AND(BM68&lt;0,BQ68&gt;0),"n/a",BQ68/BM68-1)</f>
        <v>6.4350397714068697E-2</v>
      </c>
      <c r="BR70" s="28">
        <f>IF(AND(BN68&lt;0,BR68&gt;0),"n/a",BR68/BN68-1)</f>
        <v>8.0637138700284661E-2</v>
      </c>
      <c r="BS70" s="28">
        <f t="shared" ref="BS70" si="1333">IF(AND(BO68&lt;0,BS68&gt;0),"n/a",BS68/BO68-1)</f>
        <v>7.3614762144842638E-2</v>
      </c>
      <c r="BT70" s="28">
        <f t="shared" ref="BT70" si="1334">IF(AND(BP68&lt;0,BT68&gt;0),"n/a",BT68/BP68-1)</f>
        <v>7.4084015532426939E-2</v>
      </c>
      <c r="BU70" s="28">
        <f t="shared" ref="BU70" si="1335">IF(AND(BQ68&lt;0,BU68&gt;0),"n/a",BU68/BQ68-1)</f>
        <v>7.0936266217688448E-2</v>
      </c>
      <c r="BV70" s="28">
        <f t="shared" ref="BV70" si="1336">IF(AND(BR68&lt;0,BV68&gt;0),"n/a",BV68/BR68-1)</f>
        <v>7.523889501446912E-2</v>
      </c>
      <c r="BW70" s="28">
        <f t="shared" ref="BW70" si="1337">IF(AND(BS68&lt;0,BW68&gt;0),"n/a",BW68/BS68-1)</f>
        <v>6.8007115411226282E-2</v>
      </c>
      <c r="BX70" s="28">
        <f t="shared" ref="BX70" si="1338">IF(AND(BT68&lt;0,BX68&gt;0),"n/a",BX68/BT68-1)</f>
        <v>6.8396247049858472E-2</v>
      </c>
      <c r="BY70" s="28">
        <f t="shared" ref="BY70" si="1339">IF(AND(BU68&lt;0,BY68&gt;0),"n/a",BY68/BU68-1)</f>
        <v>6.520962063392588E-2</v>
      </c>
      <c r="BZ70" s="28">
        <f t="shared" ref="BZ70" si="1340">IF(AND(BV68&lt;0,BZ68&gt;0),"n/a",BZ68/BV68-1)</f>
        <v>6.8903580328440128E-2</v>
      </c>
      <c r="CA70" s="28">
        <f t="shared" ref="CA70" si="1341">IF(AND(BW68&lt;0,CA68&gt;0),"n/a",CA68/BW68-1)</f>
        <v>6.1545474761842689E-2</v>
      </c>
      <c r="CB70" s="28">
        <f t="shared" ref="CB70" si="1342">IF(AND(BX68&lt;0,CB68&gt;0),"n/a",CB68/BX68-1)</f>
        <v>6.1878656789340347E-2</v>
      </c>
      <c r="CC70" s="28">
        <f t="shared" ref="CC70" si="1343">IF(AND(BY68&lt;0,CC68&gt;0),"n/a",CC68/BY68-1)</f>
        <v>5.8638974888920004E-2</v>
      </c>
      <c r="CD70" s="28">
        <f t="shared" ref="CD70" si="1344">IF(AND(BZ68&lt;0,CD68&gt;0),"n/a",CD68/BZ68-1)</f>
        <v>6.4728938979356165E-2</v>
      </c>
      <c r="CE70" s="28">
        <f t="shared" ref="CE70" si="1345">IF(AND(CA68&lt;0,CE68&gt;0),"n/a",CE68/CA68-1)</f>
        <v>5.7269950260955715E-2</v>
      </c>
      <c r="CF70" s="28">
        <f t="shared" ref="CF70" si="1346">IF(AND(CB68&lt;0,CF68&gt;0),"n/a",CF68/CB68-1)</f>
        <v>5.7557702644719155E-2</v>
      </c>
      <c r="CG70" s="28">
        <f t="shared" ref="CG70" si="1347">IF(AND(CC68&lt;0,CG68&gt;0),"n/a",CG68/CC68-1)</f>
        <v>5.4256820686359397E-2</v>
      </c>
      <c r="CH70" s="28"/>
      <c r="CI70" s="106" t="s">
        <v>82</v>
      </c>
      <c r="CJ70" s="22">
        <f>IF(AND(CI68&lt;0,CJ68&gt;0),"n/a",CJ68/CI68-1)</f>
        <v>0.2041820418204181</v>
      </c>
      <c r="CK70" s="107">
        <f t="shared" ref="CK70" si="1348">IF(AND(CJ68&lt;0,CK68&gt;0),"n/a",CK68/CJ68-1)</f>
        <v>0.24378617637044608</v>
      </c>
      <c r="CL70" s="107">
        <f t="shared" ref="CL70" si="1349">IF(AND(CK68&lt;0,CL68&gt;0),"n/a",CL68/CK68-1)</f>
        <v>0.11853271283876277</v>
      </c>
      <c r="CM70" s="22">
        <f t="shared" ref="CM70" si="1350">IF(AND(CL68&lt;0,CM68&gt;0),"n/a",CM68/CL68-1)</f>
        <v>0.10107684777288295</v>
      </c>
      <c r="CN70" s="107">
        <f t="shared" ref="CN70" si="1351">IF(AND(CM68&lt;0,CN68&gt;0),"n/a",CN68/CM68-1)</f>
        <v>6.2680595687930607E-2</v>
      </c>
      <c r="CO70" s="22">
        <f t="shared" ref="CO70" si="1352">IF(AND(CN68&lt;0,CO68&gt;0),"n/a",CO68/CN68-1)</f>
        <v>0.17081503172279167</v>
      </c>
      <c r="CP70" s="107">
        <f t="shared" ref="CP70" si="1353">IF(AND(CO68&lt;0,CP68&gt;0),"n/a",CP68/CO68-1)</f>
        <v>0.29053772405168821</v>
      </c>
      <c r="CQ70" s="22">
        <f t="shared" ref="CQ70" si="1354">IF(AND(CP68&lt;0,CQ68&gt;0),"n/a",CQ68/CP68-1)</f>
        <v>0.23320413436692511</v>
      </c>
      <c r="CR70" s="107">
        <f t="shared" ref="CR70" si="1355">IF(AND(CQ68&lt;0,CR68&gt;0),"n/a",CR68/CQ68-1)</f>
        <v>0.1258325226371324</v>
      </c>
      <c r="CS70" s="22">
        <f t="shared" ref="CS70" si="1356">IF(AND(CR68&lt;0,CS68&gt;0),"n/a",CS68/CR68-1)</f>
        <v>8.9368207650636355E-2</v>
      </c>
      <c r="CT70" s="107">
        <f t="shared" ref="CT70" si="1357">IF(AND(CS68&lt;0,CT68&gt;0),"n/a",CT68/CS68-1)</f>
        <v>0.39013972786625173</v>
      </c>
      <c r="CU70" s="22">
        <f t="shared" ref="CU70" si="1358">IF(AND(CT68&lt;0,CU68&gt;0),"n/a",CU68/CT68-1)</f>
        <v>7.437563095290356E-2</v>
      </c>
      <c r="CV70" s="107">
        <f t="shared" ref="CV70" si="1359">IF(AND(CU68&lt;0,CV68&gt;0),"n/a",CV68/CU68-1)</f>
        <v>3.9444387702992634E-2</v>
      </c>
      <c r="CW70" s="22">
        <f t="shared" ref="CW70" si="1360">IF(AND(CV68&lt;0,CW68&gt;0),"n/a",CW68/CV68-1)</f>
        <v>7.8882207286876449E-2</v>
      </c>
      <c r="CX70" s="107">
        <f t="shared" ref="CX70" si="1361">IF(AND(CW68&lt;0,CX68&gt;0),"n/a",CX68/CW68-1)</f>
        <v>9.2397486338797963E-2</v>
      </c>
      <c r="CY70" s="107">
        <f t="shared" ref="CY70" si="1362">IF(AND(CX68&lt;0,CY68&gt;0),"n/a",CY68/CX68-1)</f>
        <v>6.9786061746247352E-2</v>
      </c>
      <c r="CZ70" s="107">
        <f>IF(AND(CY68&lt;0,CZ68&gt;0),"n/a",CZ68/CY68-1)</f>
        <v>7.4603562654267597E-2</v>
      </c>
      <c r="DA70" s="107">
        <f>IF(AND(CZ68&lt;0,DA68&gt;0),"n/a",DA68/CZ68-1)</f>
        <v>6.9002744536661442E-2</v>
      </c>
      <c r="DB70" s="107">
        <f>IF(AND(DA68&lt;0,DB68&gt;0),"n/a",DB68/DA68-1)</f>
        <v>6.2538806709851791E-2</v>
      </c>
      <c r="DC70" s="107">
        <f>IF(AND(DB68&lt;0,DC68&gt;0),"n/a",DC68/DB68-1)</f>
        <v>5.8259334800432327E-2</v>
      </c>
    </row>
    <row r="71" spans="1:108" x14ac:dyDescent="0.2">
      <c r="A71" s="14" t="s">
        <v>72</v>
      </c>
      <c r="B71" s="22">
        <f t="shared" ref="B71:AJ71" si="1363">B68/B$14</f>
        <v>-0.26424710424710424</v>
      </c>
      <c r="C71" s="22">
        <f t="shared" si="1363"/>
        <v>-0.26394391953672663</v>
      </c>
      <c r="D71" s="22">
        <f t="shared" si="1363"/>
        <v>-0.25668373151308305</v>
      </c>
      <c r="E71" s="22">
        <f t="shared" si="1363"/>
        <v>-0.2533365985061834</v>
      </c>
      <c r="F71" s="22">
        <f t="shared" si="1363"/>
        <v>-0.24548519142788347</v>
      </c>
      <c r="G71" s="22">
        <f t="shared" si="1363"/>
        <v>-0.24231298760899495</v>
      </c>
      <c r="H71" s="22">
        <f t="shared" si="1363"/>
        <v>-0.23652919121585431</v>
      </c>
      <c r="I71" s="22">
        <f t="shared" si="1363"/>
        <v>-0.24100648712404169</v>
      </c>
      <c r="J71" s="22">
        <f t="shared" si="1363"/>
        <v>-0.24537897310513448</v>
      </c>
      <c r="K71" s="22">
        <f t="shared" si="1363"/>
        <v>-0.24731591448931117</v>
      </c>
      <c r="L71" s="22">
        <f t="shared" si="1363"/>
        <v>-0.25543278084714549</v>
      </c>
      <c r="M71" s="22">
        <f t="shared" si="1363"/>
        <v>-0.25447167936402781</v>
      </c>
      <c r="N71" s="22">
        <f t="shared" si="1363"/>
        <v>-0.24642500831393416</v>
      </c>
      <c r="O71" s="22">
        <f t="shared" si="1363"/>
        <v>-0.24741336836919034</v>
      </c>
      <c r="P71" s="22">
        <f t="shared" si="1363"/>
        <v>-0.23500118567702158</v>
      </c>
      <c r="Q71" s="22">
        <f t="shared" si="1363"/>
        <v>-0.23271192402391841</v>
      </c>
      <c r="R71" s="22">
        <f t="shared" si="1363"/>
        <v>-0.23083517896692149</v>
      </c>
      <c r="S71" s="22">
        <f t="shared" si="1363"/>
        <v>-0.22720375224168851</v>
      </c>
      <c r="T71" s="22">
        <f t="shared" si="1363"/>
        <v>-0.22591093117408906</v>
      </c>
      <c r="U71" s="22">
        <f t="shared" si="1363"/>
        <v>-0.22220859648047089</v>
      </c>
      <c r="V71" s="22">
        <f t="shared" si="1363"/>
        <v>-0.21569512509672428</v>
      </c>
      <c r="W71" s="22">
        <f t="shared" si="1363"/>
        <v>-0.2107595331710666</v>
      </c>
      <c r="X71" s="22">
        <f t="shared" si="1363"/>
        <v>-0.21250223467016269</v>
      </c>
      <c r="Y71" s="22">
        <f t="shared" si="1363"/>
        <v>-0.21254848516615998</v>
      </c>
      <c r="Z71" s="22">
        <f t="shared" si="1363"/>
        <v>-0.21021087680355161</v>
      </c>
      <c r="AA71" s="22">
        <f t="shared" si="1363"/>
        <v>-0.20764770412161104</v>
      </c>
      <c r="AB71" s="22">
        <f t="shared" si="1363"/>
        <v>-0.21098834569396094</v>
      </c>
      <c r="AC71" s="22">
        <f t="shared" si="1363"/>
        <v>-0.21643823384972544</v>
      </c>
      <c r="AD71" s="22">
        <f t="shared" si="1363"/>
        <v>-0.21619728177105227</v>
      </c>
      <c r="AE71" s="22">
        <f t="shared" si="1363"/>
        <v>-0.22455010585744531</v>
      </c>
      <c r="AF71" s="22">
        <f t="shared" si="1363"/>
        <v>-0.22863079160606689</v>
      </c>
      <c r="AG71" s="22">
        <f t="shared" si="1363"/>
        <v>-0.23689719763470085</v>
      </c>
      <c r="AH71" s="22">
        <f t="shared" si="1363"/>
        <v>-0.23601831694317243</v>
      </c>
      <c r="AI71" s="22">
        <f t="shared" si="1363"/>
        <v>-0.22857549756114928</v>
      </c>
      <c r="AJ71" s="22">
        <f t="shared" si="1363"/>
        <v>-0.22732610347447677</v>
      </c>
      <c r="AK71" s="22">
        <f>AK68/AK$14</f>
        <v>-0.22867335014453533</v>
      </c>
      <c r="AL71" s="22">
        <f t="shared" ref="AL71:BB71" si="1364">AL68/AL$14</f>
        <v>-0.22427828816163731</v>
      </c>
      <c r="AM71" s="22">
        <f t="shared" si="1364"/>
        <v>-0.22274881516587677</v>
      </c>
      <c r="AN71" s="22">
        <f t="shared" si="1364"/>
        <v>-0.22162386081193042</v>
      </c>
      <c r="AO71" s="22">
        <f t="shared" si="1364"/>
        <v>-0.22409975220119155</v>
      </c>
      <c r="AP71" s="22">
        <f t="shared" si="1364"/>
        <v>-0.22071498385806948</v>
      </c>
      <c r="AQ71" s="22">
        <f t="shared" si="1364"/>
        <v>-0.22412696286871797</v>
      </c>
      <c r="AR71" s="22">
        <f t="shared" si="1364"/>
        <v>-0.2201374848362313</v>
      </c>
      <c r="AS71" s="22">
        <f t="shared" si="1364"/>
        <v>-0.22654170003679733</v>
      </c>
      <c r="AT71" s="22">
        <f t="shared" si="1364"/>
        <v>-0.21734849163011369</v>
      </c>
      <c r="AU71" s="22">
        <f t="shared" si="1364"/>
        <v>-0.21665609388628976</v>
      </c>
      <c r="AV71" s="22">
        <f t="shared" si="1364"/>
        <v>-0.21641257293431207</v>
      </c>
      <c r="AW71" s="22">
        <f t="shared" si="1364"/>
        <v>-0.21925570306504025</v>
      </c>
      <c r="AX71" s="22">
        <f t="shared" si="1364"/>
        <v>-0.21935200600062202</v>
      </c>
      <c r="AY71" s="22">
        <f t="shared" si="1364"/>
        <v>-0.21699118817509949</v>
      </c>
      <c r="AZ71" s="22">
        <f t="shared" si="1364"/>
        <v>-0.21706251606035021</v>
      </c>
      <c r="BA71" s="22">
        <f t="shared" si="1364"/>
        <v>-0.21891196097693166</v>
      </c>
      <c r="BB71" s="22">
        <f t="shared" si="1364"/>
        <v>-0.21487497250128326</v>
      </c>
      <c r="BC71" s="22">
        <f t="shared" ref="BC71:BD71" si="1365">BC68/BC$14</f>
        <v>-0.21562354883648935</v>
      </c>
      <c r="BD71" s="28">
        <f t="shared" si="1365"/>
        <v>-0.21194695458279544</v>
      </c>
      <c r="BE71" s="28">
        <f t="shared" ref="BE71:BF71" si="1366">BE68/BE$14</f>
        <v>-0.21347131278904713</v>
      </c>
      <c r="BF71" s="28">
        <f t="shared" si="1366"/>
        <v>-0.20996123842423653</v>
      </c>
      <c r="BG71" s="28">
        <f t="shared" ref="BG71:BH71" si="1367">BG68/BG$14</f>
        <v>-0.20717778878296397</v>
      </c>
      <c r="BH71" s="28">
        <f t="shared" si="1367"/>
        <v>-0.20832447535457224</v>
      </c>
      <c r="BI71" s="28">
        <f t="shared" ref="BI71:BJ71" si="1368">BI68/BI$14</f>
        <v>-0.20491022757069319</v>
      </c>
      <c r="BJ71" s="370">
        <f t="shared" si="1368"/>
        <v>-0.20554683411826269</v>
      </c>
      <c r="BK71" s="370">
        <f t="shared" ref="BK71:BL71" si="1369">BK68/BK$14</f>
        <v>-0.206125595738716</v>
      </c>
      <c r="BL71" s="370">
        <f t="shared" si="1369"/>
        <v>-0.20053382222102398</v>
      </c>
      <c r="BM71" s="26">
        <v>-0.20499999999999999</v>
      </c>
      <c r="BN71" s="26">
        <v>-0.19868824568820012</v>
      </c>
      <c r="BO71" s="26">
        <v>-0.19868824568820012</v>
      </c>
      <c r="BP71" s="26">
        <v>-0.19868824568820012</v>
      </c>
      <c r="BQ71" s="26">
        <v>-0.19868824568820015</v>
      </c>
      <c r="BR71" s="26">
        <v>-0.19484296371292983</v>
      </c>
      <c r="BS71" s="26">
        <v>-0.19484296371292983</v>
      </c>
      <c r="BT71" s="26">
        <v>-0.19484296371292983</v>
      </c>
      <c r="BU71" s="26">
        <v>-0.19484296371292983</v>
      </c>
      <c r="BV71" s="26">
        <v>-0.19161543181506707</v>
      </c>
      <c r="BW71" s="26">
        <v>-0.19161543181506707</v>
      </c>
      <c r="BX71" s="26">
        <v>-0.19161543181506707</v>
      </c>
      <c r="BY71" s="26">
        <v>-0.19161543181506707</v>
      </c>
      <c r="BZ71" s="26">
        <v>-0.18875737474903687</v>
      </c>
      <c r="CA71" s="26">
        <v>-0.18875737474903687</v>
      </c>
      <c r="CB71" s="26">
        <v>-0.18875737474903687</v>
      </c>
      <c r="CC71" s="26">
        <v>-0.18875737474903687</v>
      </c>
      <c r="CD71" s="26">
        <v>-0.18634696981280088</v>
      </c>
      <c r="CE71" s="26">
        <v>-0.18634696981280088</v>
      </c>
      <c r="CF71" s="26">
        <v>-0.18634696981280088</v>
      </c>
      <c r="CG71" s="26">
        <v>-0.18634696981280088</v>
      </c>
      <c r="CH71" s="26"/>
      <c r="CI71" s="107">
        <f>CI68/CI$14</f>
        <v>-0.25913727156821081</v>
      </c>
      <c r="CJ71" s="22">
        <f t="shared" ref="CJ71:CY71" si="1370">CJ68/CJ$14</f>
        <v>-0.24119241192411925</v>
      </c>
      <c r="CK71" s="107">
        <f t="shared" si="1370"/>
        <v>-0.25085839857162479</v>
      </c>
      <c r="CL71" s="107">
        <f t="shared" si="1370"/>
        <v>-0.24001409774436092</v>
      </c>
      <c r="CM71" s="22">
        <f t="shared" si="1370"/>
        <v>-0.22636857641218303</v>
      </c>
      <c r="CN71" s="107">
        <f t="shared" si="1370"/>
        <v>-0.21283573230449621</v>
      </c>
      <c r="CO71" s="22">
        <f t="shared" si="1370"/>
        <v>-0.21154403335726793</v>
      </c>
      <c r="CP71" s="107">
        <f t="shared" si="1370"/>
        <v>-0.22722935779816514</v>
      </c>
      <c r="CQ71" s="22">
        <f t="shared" si="1370"/>
        <v>-0.22999802067107855</v>
      </c>
      <c r="CR71" s="107">
        <f t="shared" si="1370"/>
        <v>-0.22319395301570347</v>
      </c>
      <c r="CS71" s="22">
        <f t="shared" si="1370"/>
        <v>-0.22309493343497319</v>
      </c>
      <c r="CT71" s="107">
        <f t="shared" si="1370"/>
        <v>-0.21750192126856233</v>
      </c>
      <c r="CU71" s="22">
        <f t="shared" si="1370"/>
        <v>-0.21808858971903081</v>
      </c>
      <c r="CV71" s="107">
        <f t="shared" si="1370"/>
        <v>-0.21393706249605851</v>
      </c>
      <c r="CW71" s="22">
        <f t="shared" si="1370"/>
        <v>-0.20749083487660153</v>
      </c>
      <c r="CX71" s="107">
        <f t="shared" si="1370"/>
        <v>-0.2042696241153642</v>
      </c>
      <c r="CY71" s="107">
        <f t="shared" si="1370"/>
        <v>-0.19868824568820012</v>
      </c>
      <c r="CZ71" s="107">
        <f>CZ68/CZ$14</f>
        <v>-0.19484296371292983</v>
      </c>
      <c r="DA71" s="107">
        <f>DA68/DA$14</f>
        <v>-0.1916154318150671</v>
      </c>
      <c r="DB71" s="107">
        <f>DB68/DB$14</f>
        <v>-0.18875737474903684</v>
      </c>
      <c r="DC71" s="107">
        <f>DC68/DC$14</f>
        <v>-0.18634696981280086</v>
      </c>
    </row>
    <row r="72" spans="1:108" x14ac:dyDescent="0.2">
      <c r="A72" s="14" t="s">
        <v>61</v>
      </c>
      <c r="B72" s="22">
        <f>B68/B64</f>
        <v>-0.2525461254612546</v>
      </c>
      <c r="C72" s="22">
        <f t="shared" ref="C72:BN72" si="1371">C68/C64</f>
        <v>-0.25395894428152493</v>
      </c>
      <c r="D72" s="22">
        <f t="shared" si="1371"/>
        <v>-0.24773538292615976</v>
      </c>
      <c r="E72" s="22">
        <f t="shared" si="1371"/>
        <v>-0.24514218009478672</v>
      </c>
      <c r="F72" s="22">
        <f t="shared" si="1371"/>
        <v>-0.23778425655976676</v>
      </c>
      <c r="G72" s="22">
        <f t="shared" si="1371"/>
        <v>-0.233990693551961</v>
      </c>
      <c r="H72" s="22">
        <f t="shared" si="1371"/>
        <v>-0.2271604938271605</v>
      </c>
      <c r="I72" s="22">
        <f t="shared" si="1371"/>
        <v>-0.23167044595616024</v>
      </c>
      <c r="J72" s="22">
        <f t="shared" si="1371"/>
        <v>-0.23569751056834196</v>
      </c>
      <c r="K72" s="22">
        <f t="shared" si="1371"/>
        <v>-0.23741335279095221</v>
      </c>
      <c r="L72" s="22">
        <f t="shared" si="1371"/>
        <v>-0.24067326045462434</v>
      </c>
      <c r="M72" s="22">
        <f t="shared" si="1371"/>
        <v>-0.2381247578457962</v>
      </c>
      <c r="N72" s="22">
        <f t="shared" si="1371"/>
        <v>-0.2289156626506024</v>
      </c>
      <c r="O72" s="22">
        <f t="shared" si="1371"/>
        <v>-0.22992979242979242</v>
      </c>
      <c r="P72" s="22">
        <f t="shared" si="1371"/>
        <v>-0.21620245800305432</v>
      </c>
      <c r="Q72" s="22">
        <f t="shared" si="1371"/>
        <v>-0.21048612878595063</v>
      </c>
      <c r="R72" s="22">
        <f t="shared" si="1371"/>
        <v>-0.20953307392996109</v>
      </c>
      <c r="S72" s="22">
        <f t="shared" si="1371"/>
        <v>-0.20645565653400189</v>
      </c>
      <c r="T72" s="22">
        <f t="shared" si="1371"/>
        <v>-0.20262664165103189</v>
      </c>
      <c r="U72" s="22">
        <f t="shared" si="1371"/>
        <v>-0.20018781417444623</v>
      </c>
      <c r="V72" s="22">
        <f t="shared" si="1371"/>
        <v>-0.19382315447908216</v>
      </c>
      <c r="W72" s="22">
        <f t="shared" si="1371"/>
        <v>-0.19050036667230777</v>
      </c>
      <c r="X72" s="22">
        <f t="shared" si="1371"/>
        <v>-0.19095046854082998</v>
      </c>
      <c r="Y72" s="22">
        <f t="shared" si="1371"/>
        <v>-0.19011674246331287</v>
      </c>
      <c r="Z72" s="22">
        <f t="shared" si="1371"/>
        <v>-0.18699708742656859</v>
      </c>
      <c r="AA72" s="22">
        <f t="shared" si="1371"/>
        <v>-0.18488372093023256</v>
      </c>
      <c r="AB72" s="22">
        <f t="shared" si="1371"/>
        <v>-0.18627232639971494</v>
      </c>
      <c r="AC72" s="22">
        <f t="shared" si="1371"/>
        <v>-0.1860036832412523</v>
      </c>
      <c r="AD72" s="22">
        <f t="shared" si="1371"/>
        <v>-0.18703030303030302</v>
      </c>
      <c r="AE72" s="22">
        <f t="shared" si="1371"/>
        <v>-0.19573241061130334</v>
      </c>
      <c r="AF72" s="22">
        <f t="shared" si="1371"/>
        <v>-0.19811320754716982</v>
      </c>
      <c r="AG72" s="22">
        <f t="shared" si="1371"/>
        <v>-0.19954830925347275</v>
      </c>
      <c r="AH72" s="22">
        <f t="shared" si="1371"/>
        <v>-0.20188788287420537</v>
      </c>
      <c r="AI72" s="22">
        <f t="shared" si="1371"/>
        <v>-0.19658878647763114</v>
      </c>
      <c r="AJ72" s="22">
        <f t="shared" si="1371"/>
        <v>-0.19508002371072911</v>
      </c>
      <c r="AK72" s="22">
        <f t="shared" si="1371"/>
        <v>-0.18932681535797943</v>
      </c>
      <c r="AL72" s="22">
        <f t="shared" si="1371"/>
        <v>-0.18877789702523459</v>
      </c>
      <c r="AM72" s="22">
        <f t="shared" si="1371"/>
        <v>-0.18585661462612982</v>
      </c>
      <c r="AN72" s="22">
        <f t="shared" si="1371"/>
        <v>-0.18494283809476778</v>
      </c>
      <c r="AO72" s="22">
        <f t="shared" si="1371"/>
        <v>-0.18450352685838306</v>
      </c>
      <c r="AP72" s="22">
        <f t="shared" si="1371"/>
        <v>-0.18105396146650793</v>
      </c>
      <c r="AQ72" s="22">
        <f t="shared" si="1371"/>
        <v>-0.17479175914562498</v>
      </c>
      <c r="AR72" s="22">
        <f t="shared" si="1371"/>
        <v>-0.17685660450912871</v>
      </c>
      <c r="AS72" s="22">
        <f t="shared" si="1371"/>
        <v>-0.18394319659741995</v>
      </c>
      <c r="AT72" s="22">
        <f t="shared" si="1371"/>
        <v>-0.17557941931518242</v>
      </c>
      <c r="AU72" s="22">
        <f t="shared" si="1371"/>
        <v>-0.17661603102779574</v>
      </c>
      <c r="AV72" s="22">
        <f t="shared" si="1371"/>
        <v>-0.17657176203200345</v>
      </c>
      <c r="AW72" s="22">
        <f t="shared" si="1371"/>
        <v>-0.17825423166279455</v>
      </c>
      <c r="AX72" s="22">
        <f t="shared" si="1371"/>
        <v>-0.1762950111011454</v>
      </c>
      <c r="AY72" s="22">
        <f t="shared" si="1371"/>
        <v>-0.17527444930759847</v>
      </c>
      <c r="AZ72" s="22">
        <f t="shared" si="1371"/>
        <v>-0.17116308689862791</v>
      </c>
      <c r="BA72" s="22">
        <f t="shared" si="1371"/>
        <v>-0.16995844729644435</v>
      </c>
      <c r="BB72" s="22">
        <f t="shared" si="1371"/>
        <v>-0.16795391691862382</v>
      </c>
      <c r="BC72" s="22">
        <f t="shared" ref="BC72:BD72" si="1372">BC68/BC64</f>
        <v>-0.16804728968956087</v>
      </c>
      <c r="BD72" s="28">
        <f t="shared" si="1372"/>
        <v>-0.16483903354934609</v>
      </c>
      <c r="BE72" s="28">
        <f t="shared" ref="BE72:BF72" si="1373">BE68/BE64</f>
        <v>-0.16204379562043797</v>
      </c>
      <c r="BF72" s="28">
        <f t="shared" si="1373"/>
        <v>-0.16074200076981338</v>
      </c>
      <c r="BG72" s="28">
        <f t="shared" ref="BG72:BH72" si="1374">BG68/BG64</f>
        <v>-0.15797361402846286</v>
      </c>
      <c r="BH72" s="28">
        <f t="shared" si="1374"/>
        <v>-0.15542438935967734</v>
      </c>
      <c r="BI72" s="28">
        <f t="shared" ref="BI72:BJ72" si="1375">BI68/BI64</f>
        <v>-0.15391472908395443</v>
      </c>
      <c r="BJ72" s="28">
        <f t="shared" si="1375"/>
        <v>-0.15235942106079747</v>
      </c>
      <c r="BK72" s="28">
        <f t="shared" ref="BK72:BL72" si="1376">BK68/BK64</f>
        <v>-0.1524971999834073</v>
      </c>
      <c r="BL72" s="28">
        <f t="shared" si="1376"/>
        <v>-0.14535008695992027</v>
      </c>
      <c r="BM72" s="22">
        <f t="shared" si="1371"/>
        <v>-0.14839321143394291</v>
      </c>
      <c r="BN72" s="22">
        <f t="shared" si="1371"/>
        <v>-0.14176987489530879</v>
      </c>
      <c r="BO72" s="22">
        <f t="shared" ref="BO72:BQ72" si="1377">BO68/BO64</f>
        <v>-0.14145370273852731</v>
      </c>
      <c r="BP72" s="22">
        <f t="shared" si="1377"/>
        <v>-0.13900559279911476</v>
      </c>
      <c r="BQ72" s="22">
        <f t="shared" si="1377"/>
        <v>-0.14062833538623049</v>
      </c>
      <c r="BR72" s="28">
        <f>BR68/BR64</f>
        <v>-0.13486940085690649</v>
      </c>
      <c r="BS72" s="28">
        <f t="shared" ref="BS72:BU72" si="1378">BS68/BS64</f>
        <v>-0.13426761000235804</v>
      </c>
      <c r="BT72" s="28">
        <f t="shared" si="1378"/>
        <v>-0.13182928563687926</v>
      </c>
      <c r="BU72" s="28">
        <f t="shared" si="1378"/>
        <v>-0.1334130118844952</v>
      </c>
      <c r="BV72" s="28">
        <f t="shared" ref="BV72:CC72" si="1379">BV68/BV64</f>
        <v>-0.12836446550115546</v>
      </c>
      <c r="BW72" s="28">
        <f t="shared" si="1379"/>
        <v>-0.12745582662617355</v>
      </c>
      <c r="BX72" s="28">
        <f t="shared" si="1379"/>
        <v>-0.12501707070369705</v>
      </c>
      <c r="BY72" s="28">
        <f t="shared" si="1379"/>
        <v>-0.12654199237297928</v>
      </c>
      <c r="BZ72" s="28">
        <f t="shared" si="1379"/>
        <v>-0.12245085675178997</v>
      </c>
      <c r="CA72" s="28">
        <f t="shared" si="1379"/>
        <v>-0.12122458791794552</v>
      </c>
      <c r="CB72" s="28">
        <f t="shared" si="1379"/>
        <v>-0.11879263572968554</v>
      </c>
      <c r="CC72" s="28">
        <f t="shared" si="1379"/>
        <v>-0.12023700193188688</v>
      </c>
      <c r="CD72" s="28">
        <f t="shared" ref="CD72:CG72" si="1380">CD68/CD64</f>
        <v>-0.11729614879905645</v>
      </c>
      <c r="CE72" s="28">
        <f t="shared" si="1380"/>
        <v>-0.11574581605205901</v>
      </c>
      <c r="CF72" s="28">
        <f t="shared" si="1380"/>
        <v>-0.11332465197020486</v>
      </c>
      <c r="CG72" s="28">
        <f t="shared" si="1380"/>
        <v>-0.11466875188998699</v>
      </c>
      <c r="CH72" s="28"/>
      <c r="CI72" s="107">
        <f>CI68/CI$64</f>
        <v>-0.24954810545342929</v>
      </c>
      <c r="CJ72" s="22">
        <f t="shared" ref="CJ72:CY72" si="1381">CJ68/CJ$64</f>
        <v>-0.23244954491491887</v>
      </c>
      <c r="CK72" s="107">
        <f t="shared" si="1381"/>
        <v>-0.23803214596003475</v>
      </c>
      <c r="CL72" s="107">
        <f t="shared" si="1381"/>
        <v>-0.22078927934580955</v>
      </c>
      <c r="CM72" s="22">
        <f t="shared" si="1381"/>
        <v>-0.20449690156209754</v>
      </c>
      <c r="CN72" s="107">
        <f t="shared" si="1381"/>
        <v>-0.19126805264772168</v>
      </c>
      <c r="CO72" s="22">
        <f t="shared" si="1381"/>
        <v>-0.18602667493796526</v>
      </c>
      <c r="CP72" s="107">
        <f t="shared" si="1381"/>
        <v>-0.19549862432907852</v>
      </c>
      <c r="CQ72" s="22">
        <f t="shared" si="1381"/>
        <v>-0.19533836674730848</v>
      </c>
      <c r="CR72" s="107">
        <f t="shared" si="1381"/>
        <v>-0.18589866363518415</v>
      </c>
      <c r="CS72" s="22">
        <f t="shared" si="1381"/>
        <v>-0.17957891161307643</v>
      </c>
      <c r="CT72" s="107">
        <f t="shared" si="1381"/>
        <v>-0.17686124275628112</v>
      </c>
      <c r="CU72" s="22">
        <f t="shared" si="1381"/>
        <v>-0.17308617007735932</v>
      </c>
      <c r="CV72" s="107">
        <f t="shared" si="1381"/>
        <v>-0.16553999102129516</v>
      </c>
      <c r="CW72" s="22">
        <f t="shared" si="1381"/>
        <v>-0.15684907633321715</v>
      </c>
      <c r="CX72" s="107">
        <f t="shared" si="1381"/>
        <v>-0.14949543280440988</v>
      </c>
      <c r="CY72" s="107">
        <f t="shared" si="1381"/>
        <v>-0.14067245167329778</v>
      </c>
      <c r="CZ72" s="107">
        <f>CZ68/CZ$64</f>
        <v>-0.13354654840136612</v>
      </c>
      <c r="DA72" s="107">
        <f>DA68/DA$64</f>
        <v>-0.12678937904913928</v>
      </c>
      <c r="DB72" s="107">
        <f>DB68/DB$64</f>
        <v>-0.12061362864442975</v>
      </c>
      <c r="DC72" s="107">
        <f>DC68/DC$64</f>
        <v>-0.11518909028859706</v>
      </c>
    </row>
    <row r="73" spans="1:108" x14ac:dyDescent="0.2">
      <c r="A73" s="14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CI73" s="92"/>
      <c r="CK73" s="92"/>
      <c r="CL73" s="92"/>
      <c r="CN73" s="92"/>
      <c r="CP73" s="92"/>
      <c r="CR73" s="92"/>
      <c r="CT73" s="92"/>
      <c r="CV73" s="92"/>
      <c r="CW73" s="92"/>
      <c r="CX73" s="92"/>
      <c r="CY73" s="92"/>
      <c r="CZ73" s="92"/>
      <c r="DA73" s="92"/>
      <c r="DB73" s="92"/>
      <c r="DC73" s="92"/>
    </row>
    <row r="74" spans="1:108" x14ac:dyDescent="0.2">
      <c r="A74" s="15" t="s">
        <v>73</v>
      </c>
      <c r="B74" s="21">
        <f t="shared" ref="B74:AG74" si="1382">B14+B68</f>
        <v>4764</v>
      </c>
      <c r="C74" s="21">
        <f t="shared" si="1382"/>
        <v>4830</v>
      </c>
      <c r="D74" s="21">
        <f t="shared" si="1382"/>
        <v>5227</v>
      </c>
      <c r="E74" s="21">
        <f t="shared" si="1382"/>
        <v>6098</v>
      </c>
      <c r="F74" s="21">
        <f t="shared" si="1382"/>
        <v>6267</v>
      </c>
      <c r="G74" s="21">
        <f t="shared" si="1382"/>
        <v>6604</v>
      </c>
      <c r="H74" s="21">
        <f t="shared" si="1382"/>
        <v>7127</v>
      </c>
      <c r="I74" s="21">
        <f t="shared" si="1382"/>
        <v>7722</v>
      </c>
      <c r="J74" s="21">
        <f t="shared" si="1382"/>
        <v>7716</v>
      </c>
      <c r="K74" s="21">
        <f t="shared" si="1382"/>
        <v>7922</v>
      </c>
      <c r="L74" s="21">
        <f t="shared" si="1382"/>
        <v>8086</v>
      </c>
      <c r="M74" s="21">
        <f t="shared" si="1382"/>
        <v>9003</v>
      </c>
      <c r="N74" s="21">
        <f t="shared" si="1382"/>
        <v>9064</v>
      </c>
      <c r="O74" s="21">
        <f t="shared" si="1382"/>
        <v>9165</v>
      </c>
      <c r="P74" s="21">
        <f t="shared" si="1382"/>
        <v>9678</v>
      </c>
      <c r="Q74" s="21">
        <f t="shared" si="1382"/>
        <v>10907</v>
      </c>
      <c r="R74" s="21">
        <f t="shared" si="1382"/>
        <v>10766</v>
      </c>
      <c r="S74" s="21">
        <f t="shared" si="1382"/>
        <v>11204</v>
      </c>
      <c r="T74" s="21">
        <f t="shared" si="1382"/>
        <v>11472</v>
      </c>
      <c r="U74" s="21">
        <f t="shared" si="1382"/>
        <v>12685</v>
      </c>
      <c r="V74" s="21">
        <f t="shared" si="1382"/>
        <v>12163</v>
      </c>
      <c r="W74" s="21">
        <f t="shared" si="1382"/>
        <v>12646</v>
      </c>
      <c r="X74" s="21">
        <f t="shared" si="1382"/>
        <v>13215</v>
      </c>
      <c r="Y74" s="21">
        <f t="shared" si="1382"/>
        <v>15023</v>
      </c>
      <c r="Z74" s="21">
        <f t="shared" si="1382"/>
        <v>14232</v>
      </c>
      <c r="AA74" s="21">
        <f t="shared" si="1382"/>
        <v>15168</v>
      </c>
      <c r="AB74" s="21">
        <f t="shared" si="1382"/>
        <v>15639</v>
      </c>
      <c r="AC74" s="21">
        <f t="shared" si="1382"/>
        <v>17551</v>
      </c>
      <c r="AD74" s="21">
        <f t="shared" si="1382"/>
        <v>16782</v>
      </c>
      <c r="AE74" s="21">
        <f t="shared" si="1382"/>
        <v>17581</v>
      </c>
      <c r="AF74" s="21">
        <f t="shared" si="1382"/>
        <v>18563</v>
      </c>
      <c r="AG74" s="21">
        <f t="shared" si="1382"/>
        <v>20777</v>
      </c>
      <c r="AH74" s="21">
        <f t="shared" ref="AH74:BQ74" si="1383">AH14+AH68</f>
        <v>20354</v>
      </c>
      <c r="AI74" s="21">
        <f t="shared" si="1383"/>
        <v>21667</v>
      </c>
      <c r="AJ74" s="21">
        <f t="shared" si="1383"/>
        <v>22372</v>
      </c>
      <c r="AK74" s="21">
        <f t="shared" si="1383"/>
        <v>25082</v>
      </c>
      <c r="AL74" s="21">
        <f t="shared" si="1383"/>
        <v>23727</v>
      </c>
      <c r="AM74" s="21">
        <f t="shared" si="1383"/>
        <v>25256</v>
      </c>
      <c r="AN74" s="21">
        <f t="shared" si="1383"/>
        <v>26306</v>
      </c>
      <c r="AO74" s="21">
        <f t="shared" si="1383"/>
        <v>29433</v>
      </c>
      <c r="AP74" s="21">
        <f t="shared" si="1383"/>
        <v>26311</v>
      </c>
      <c r="AQ74" s="21">
        <f t="shared" si="1383"/>
        <v>23173</v>
      </c>
      <c r="AR74" s="21">
        <f t="shared" si="1383"/>
        <v>28929</v>
      </c>
      <c r="AS74" s="21">
        <f t="shared" si="1383"/>
        <v>35733</v>
      </c>
      <c r="AT74" s="21">
        <f t="shared" si="1383"/>
        <v>34972</v>
      </c>
      <c r="AU74" s="21">
        <f t="shared" si="1383"/>
        <v>39515</v>
      </c>
      <c r="AV74" s="21">
        <f t="shared" si="1383"/>
        <v>41632</v>
      </c>
      <c r="AW74" s="21">
        <f t="shared" si="1383"/>
        <v>47812</v>
      </c>
      <c r="AX74" s="21">
        <f t="shared" si="1383"/>
        <v>42671</v>
      </c>
      <c r="AY74" s="21">
        <f t="shared" si="1383"/>
        <v>44074</v>
      </c>
      <c r="AZ74" s="21">
        <f t="shared" si="1383"/>
        <v>42656</v>
      </c>
      <c r="BA74" s="21">
        <f t="shared" si="1383"/>
        <v>46117</v>
      </c>
      <c r="BB74" s="21">
        <f t="shared" si="1383"/>
        <v>42827</v>
      </c>
      <c r="BC74" s="21">
        <f t="shared" si="1383"/>
        <v>45606</v>
      </c>
      <c r="BD74" s="21">
        <f t="shared" si="1383"/>
        <v>47005</v>
      </c>
      <c r="BE74" s="21">
        <f t="shared" si="1383"/>
        <v>51531</v>
      </c>
      <c r="BF74" s="21">
        <f t="shared" ref="BF74:BG74" si="1384">BF14+BF68</f>
        <v>48713</v>
      </c>
      <c r="BG74" s="21">
        <f t="shared" si="1384"/>
        <v>51229</v>
      </c>
      <c r="BH74" s="21">
        <f t="shared" ref="BH74:BI74" si="1385">BH14+BH68</f>
        <v>52135</v>
      </c>
      <c r="BI74" s="21">
        <f t="shared" si="1385"/>
        <v>57613</v>
      </c>
      <c r="BJ74" s="21">
        <f t="shared" ref="BJ74:BK74" si="1386">BJ14+BJ68</f>
        <v>53137</v>
      </c>
      <c r="BK74" s="21">
        <f t="shared" si="1386"/>
        <v>56635</v>
      </c>
      <c r="BL74" s="21">
        <f t="shared" ref="BL74" si="1387">BL14+BL68</f>
        <v>59306</v>
      </c>
      <c r="BM74" s="21">
        <f t="shared" si="1383"/>
        <v>64544.778000000006</v>
      </c>
      <c r="BN74" s="21">
        <f t="shared" si="1383"/>
        <v>59320.520207563139</v>
      </c>
      <c r="BO74" s="21">
        <f t="shared" si="1383"/>
        <v>62687.724350033059</v>
      </c>
      <c r="BP74" s="21">
        <f t="shared" si="1383"/>
        <v>65297.781035530075</v>
      </c>
      <c r="BQ74" s="21">
        <f t="shared" si="1383"/>
        <v>71443.349704897395</v>
      </c>
      <c r="BR74" s="21">
        <f>BR14+BR68</f>
        <v>65682.756038628315</v>
      </c>
      <c r="BS74" s="21">
        <f t="shared" ref="BS74:BU74" si="1388">BS14+BS68</f>
        <v>68960.04028649941</v>
      </c>
      <c r="BT74" s="21">
        <f t="shared" si="1388"/>
        <v>71862.646036043428</v>
      </c>
      <c r="BU74" s="21">
        <f t="shared" si="1388"/>
        <v>78395.649407417557</v>
      </c>
      <c r="BV74" s="21">
        <f t="shared" ref="BV74:CC74" si="1389">BV14+BV68</f>
        <v>72102.114261879266</v>
      </c>
      <c r="BW74" s="21">
        <f t="shared" si="1389"/>
        <v>75190.559960623446</v>
      </c>
      <c r="BX74" s="21">
        <f t="shared" si="1389"/>
        <v>78383.964332977397</v>
      </c>
      <c r="BY74" s="21">
        <f t="shared" si="1389"/>
        <v>85254.774242442014</v>
      </c>
      <c r="BZ74" s="21">
        <f t="shared" si="1389"/>
        <v>78513.770227941801</v>
      </c>
      <c r="CA74" s="21">
        <f t="shared" si="1389"/>
        <v>81313.232003369427</v>
      </c>
      <c r="CB74" s="21">
        <f t="shared" si="1389"/>
        <v>84793.276544040957</v>
      </c>
      <c r="CC74" s="21">
        <f t="shared" si="1389"/>
        <v>91944.528231702032</v>
      </c>
      <c r="CD74" s="21">
        <f t="shared" ref="CD74:CG74" si="1390">CD14+CD68</f>
        <v>84928.796265016965</v>
      </c>
      <c r="CE74" s="21">
        <f t="shared" si="1390"/>
        <v>87340.804964500741</v>
      </c>
      <c r="CF74" s="21">
        <f t="shared" si="1390"/>
        <v>91103.606144978679</v>
      </c>
      <c r="CG74" s="21">
        <f t="shared" si="1390"/>
        <v>98478.717934886023</v>
      </c>
      <c r="CH74" s="21"/>
      <c r="CI74" s="90">
        <f>SUM(B74:E74)</f>
        <v>20919</v>
      </c>
      <c r="CJ74" s="21">
        <f>SUM(F74:I74)</f>
        <v>27720</v>
      </c>
      <c r="CK74" s="90">
        <f>SUM(J74:M74)</f>
        <v>32727</v>
      </c>
      <c r="CL74" s="90">
        <f>SUM(N74:Q74)</f>
        <v>38814</v>
      </c>
      <c r="CM74" s="21">
        <f>SUM(R74:U74)</f>
        <v>46127</v>
      </c>
      <c r="CN74" s="90">
        <f>SUM(V74:Y74)</f>
        <v>53047</v>
      </c>
      <c r="CO74" s="21">
        <f>SUM(Z74:AC74)</f>
        <v>62590</v>
      </c>
      <c r="CP74" s="90">
        <f>SUM(AD74:AG74)</f>
        <v>73703</v>
      </c>
      <c r="CQ74" s="21">
        <f>SUM(AH74:AK74)</f>
        <v>89475</v>
      </c>
      <c r="CR74" s="90">
        <f>SUM(AL74:AO74)</f>
        <v>104722</v>
      </c>
      <c r="CS74" s="21">
        <f>SUM(AP74:AS74)</f>
        <v>114146</v>
      </c>
      <c r="CT74" s="90">
        <f>SUM(AT74:AW74)</f>
        <v>163931</v>
      </c>
      <c r="CU74" s="21">
        <f>SUM(AX74:BA74)</f>
        <v>175518</v>
      </c>
      <c r="CV74" s="90">
        <f>SUM(BB74:BE74)</f>
        <v>186969</v>
      </c>
      <c r="CW74" s="21">
        <f>SUM(BF74:BI74)</f>
        <v>209690</v>
      </c>
      <c r="CX74" s="90">
        <f>SUM(BJ74:BM74)</f>
        <v>233622.77799999999</v>
      </c>
      <c r="CY74" s="90">
        <f>SUM(BN74:BQ74)</f>
        <v>258749.37529802363</v>
      </c>
      <c r="CZ74" s="90">
        <f>SUM(BR74:BU74)</f>
        <v>284901.0917685887</v>
      </c>
      <c r="DA74" s="90">
        <f>SUM(BV74:BY74)</f>
        <v>310931.41279792215</v>
      </c>
      <c r="DB74" s="90">
        <f>SUM(BZ74:CC74)</f>
        <v>336564.80700705422</v>
      </c>
      <c r="DC74" s="90">
        <f>SUM(CD74:CG74)</f>
        <v>361851.92530938238</v>
      </c>
    </row>
    <row r="75" spans="1:108" x14ac:dyDescent="0.2">
      <c r="A75" s="14" t="s">
        <v>62</v>
      </c>
      <c r="B75" s="25" t="s">
        <v>82</v>
      </c>
      <c r="C75" s="22">
        <f t="shared" ref="C75:AJ75" si="1391">IF(AND(B74&lt;0,C74&gt;0),"n/a",C74/B74-1)</f>
        <v>1.385390428211597E-2</v>
      </c>
      <c r="D75" s="22">
        <f t="shared" si="1391"/>
        <v>8.2194616977225632E-2</v>
      </c>
      <c r="E75" s="22">
        <f t="shared" si="1391"/>
        <v>0.16663478094509276</v>
      </c>
      <c r="F75" s="22">
        <f t="shared" si="1391"/>
        <v>2.7714004591669505E-2</v>
      </c>
      <c r="G75" s="22">
        <f t="shared" si="1391"/>
        <v>5.3773735439604176E-2</v>
      </c>
      <c r="H75" s="22">
        <f t="shared" si="1391"/>
        <v>7.9194427619624364E-2</v>
      </c>
      <c r="I75" s="22">
        <f t="shared" si="1391"/>
        <v>8.3485337449137109E-2</v>
      </c>
      <c r="J75" s="22">
        <f t="shared" si="1391"/>
        <v>-7.770007770008247E-4</v>
      </c>
      <c r="K75" s="22">
        <f t="shared" si="1391"/>
        <v>2.6697770865733439E-2</v>
      </c>
      <c r="L75" s="22">
        <f t="shared" si="1391"/>
        <v>2.0701842968947171E-2</v>
      </c>
      <c r="M75" s="22">
        <f t="shared" si="1391"/>
        <v>0.11340588671778384</v>
      </c>
      <c r="N75" s="22">
        <f t="shared" si="1391"/>
        <v>6.7755192713538914E-3</v>
      </c>
      <c r="O75" s="22">
        <f t="shared" si="1391"/>
        <v>1.114298323036178E-2</v>
      </c>
      <c r="P75" s="22">
        <f t="shared" si="1391"/>
        <v>5.5973813420622021E-2</v>
      </c>
      <c r="Q75" s="22">
        <f t="shared" si="1391"/>
        <v>0.12698904732382732</v>
      </c>
      <c r="R75" s="22">
        <f t="shared" si="1391"/>
        <v>-1.2927477766571882E-2</v>
      </c>
      <c r="S75" s="22">
        <f t="shared" si="1391"/>
        <v>4.0683633661527052E-2</v>
      </c>
      <c r="T75" s="22">
        <f t="shared" si="1391"/>
        <v>2.3920028561228213E-2</v>
      </c>
      <c r="U75" s="22">
        <f t="shared" si="1391"/>
        <v>0.10573570432357049</v>
      </c>
      <c r="V75" s="22">
        <f t="shared" si="1391"/>
        <v>-4.1150965707528631E-2</v>
      </c>
      <c r="W75" s="22">
        <f t="shared" si="1391"/>
        <v>3.9710597714379681E-2</v>
      </c>
      <c r="X75" s="22">
        <f t="shared" si="1391"/>
        <v>4.4994464652854615E-2</v>
      </c>
      <c r="Y75" s="22">
        <f t="shared" si="1391"/>
        <v>0.13681422625804007</v>
      </c>
      <c r="Z75" s="22">
        <f t="shared" si="1391"/>
        <v>-5.2652599347666862E-2</v>
      </c>
      <c r="AA75" s="22">
        <f t="shared" si="1391"/>
        <v>6.5767284991568253E-2</v>
      </c>
      <c r="AB75" s="22">
        <f t="shared" si="1391"/>
        <v>3.1052215189873333E-2</v>
      </c>
      <c r="AC75" s="22">
        <f t="shared" si="1391"/>
        <v>0.12225845642304489</v>
      </c>
      <c r="AD75" s="22">
        <f t="shared" si="1391"/>
        <v>-4.3815167226938678E-2</v>
      </c>
      <c r="AE75" s="22">
        <f t="shared" si="1391"/>
        <v>4.7610535097127871E-2</v>
      </c>
      <c r="AF75" s="22">
        <f t="shared" si="1391"/>
        <v>5.5855753370115391E-2</v>
      </c>
      <c r="AG75" s="22">
        <f t="shared" si="1391"/>
        <v>0.11926951462586866</v>
      </c>
      <c r="AH75" s="22">
        <f t="shared" si="1391"/>
        <v>-2.0359050873562157E-2</v>
      </c>
      <c r="AI75" s="22">
        <f t="shared" si="1391"/>
        <v>6.4508204775474143E-2</v>
      </c>
      <c r="AJ75" s="22">
        <f t="shared" si="1391"/>
        <v>3.2537960954446943E-2</v>
      </c>
      <c r="AK75" s="22">
        <f>IF(AND(AJ74&lt;0,AK74&gt;0),"n/a",AK74/AJ74-1)</f>
        <v>0.12113355980690144</v>
      </c>
      <c r="AL75" s="22">
        <f>IF(AND(AK74&lt;0,AL74&gt;0),"n/a",AL74/AK74-1)</f>
        <v>-5.4022805198947421E-2</v>
      </c>
      <c r="AM75" s="22">
        <f t="shared" ref="AM75" si="1392">IF(AND(AL74&lt;0,AM74&gt;0),"n/a",AM74/AL74-1)</f>
        <v>6.4441353732035189E-2</v>
      </c>
      <c r="AN75" s="22">
        <f t="shared" ref="AN75" si="1393">IF(AND(AM74&lt;0,AN74&gt;0),"n/a",AN74/AM74-1)</f>
        <v>4.1574279379157364E-2</v>
      </c>
      <c r="AO75" s="22">
        <f t="shared" ref="AO75" si="1394">IF(AND(AN74&lt;0,AO74&gt;0),"n/a",AO74/AN74-1)</f>
        <v>0.11887021972173639</v>
      </c>
      <c r="AP75" s="22">
        <f t="shared" ref="AP75" si="1395">IF(AND(AO74&lt;0,AP74&gt;0),"n/a",AP74/AO74-1)</f>
        <v>-0.1060714164373322</v>
      </c>
      <c r="AQ75" s="22">
        <f t="shared" ref="AQ75" si="1396">IF(AND(AP74&lt;0,AQ74&gt;0),"n/a",AQ74/AP74-1)</f>
        <v>-0.11926570635855727</v>
      </c>
      <c r="AR75" s="22">
        <f t="shared" ref="AR75" si="1397">IF(AND(AQ74&lt;0,AR74&gt;0),"n/a",AR74/AQ74-1)</f>
        <v>0.24839252578431803</v>
      </c>
      <c r="AS75" s="22">
        <f t="shared" ref="AS75" si="1398">IF(AND(AR74&lt;0,AS74&gt;0),"n/a",AS74/AR74-1)</f>
        <v>0.23519651560717625</v>
      </c>
      <c r="AT75" s="22">
        <f t="shared" ref="AT75" si="1399">IF(AND(AS74&lt;0,AT74&gt;0),"n/a",AT74/AS74-1)</f>
        <v>-2.1296840455601318E-2</v>
      </c>
      <c r="AU75" s="22">
        <f t="shared" ref="AU75" si="1400">IF(AND(AT74&lt;0,AU74&gt;0),"n/a",AU74/AT74-1)</f>
        <v>0.12990392313851085</v>
      </c>
      <c r="AV75" s="22">
        <f t="shared" ref="AV75" si="1401">IF(AND(AU74&lt;0,AV74&gt;0),"n/a",AV74/AU74-1)</f>
        <v>5.3574591927116222E-2</v>
      </c>
      <c r="AW75" s="22">
        <f t="shared" ref="AW75" si="1402">IF(AND(AV74&lt;0,AW74&gt;0),"n/a",AW74/AV74-1)</f>
        <v>0.14844350499615677</v>
      </c>
      <c r="AX75" s="22">
        <f t="shared" ref="AX75" si="1403">IF(AND(AW74&lt;0,AX74&gt;0),"n/a",AX74/AW74-1)</f>
        <v>-0.10752530745419564</v>
      </c>
      <c r="AY75" s="22">
        <f t="shared" ref="AY75" si="1404">IF(AND(AX74&lt;0,AY74&gt;0),"n/a",AY74/AX74-1)</f>
        <v>3.287947317850537E-2</v>
      </c>
      <c r="AZ75" s="22">
        <f t="shared" ref="AZ75" si="1405">IF(AND(AY74&lt;0,AZ74&gt;0),"n/a",AZ74/AY74-1)</f>
        <v>-3.2173163316240871E-2</v>
      </c>
      <c r="BA75" s="22">
        <f t="shared" ref="BA75" si="1406">IF(AND(AZ74&lt;0,BA74&gt;0),"n/a",BA74/AZ74-1)</f>
        <v>8.1137471867966937E-2</v>
      </c>
      <c r="BB75" s="22">
        <f t="shared" ref="BB75" si="1407">IF(AND(BA74&lt;0,BB74&gt;0),"n/a",BB74/BA74-1)</f>
        <v>-7.1340286662185282E-2</v>
      </c>
      <c r="BC75" s="22">
        <f t="shared" ref="BC75" si="1408">IF(AND(BB74&lt;0,BC74&gt;0),"n/a",BC74/BB74-1)</f>
        <v>6.4888971910243454E-2</v>
      </c>
      <c r="BD75" s="28">
        <f t="shared" ref="BD75" si="1409">IF(AND(BC74&lt;0,BD74&gt;0),"n/a",BD74/BC74-1)</f>
        <v>3.0675788273472726E-2</v>
      </c>
      <c r="BE75" s="28">
        <f t="shared" ref="BE75:BL75" si="1410">IF(AND(BD74&lt;0,BE74&gt;0),"n/a",BE74/BD74-1)</f>
        <v>9.6287628975640915E-2</v>
      </c>
      <c r="BF75" s="28">
        <f t="shared" si="1410"/>
        <v>-5.4685529098988939E-2</v>
      </c>
      <c r="BG75" s="28">
        <f t="shared" si="1410"/>
        <v>5.1649457023792422E-2</v>
      </c>
      <c r="BH75" s="28">
        <f t="shared" si="1410"/>
        <v>1.7685295438130799E-2</v>
      </c>
      <c r="BI75" s="28">
        <f t="shared" si="1410"/>
        <v>0.10507336721971794</v>
      </c>
      <c r="BJ75" s="28">
        <f t="shared" si="1410"/>
        <v>-7.769079895162545E-2</v>
      </c>
      <c r="BK75" s="28">
        <f t="shared" si="1410"/>
        <v>6.5829836084084548E-2</v>
      </c>
      <c r="BL75" s="28">
        <f t="shared" si="1410"/>
        <v>4.7161649156881813E-2</v>
      </c>
      <c r="BM75" s="22">
        <f t="shared" ref="BM75" si="1411">IF(AND(BL74&lt;0,BM74&gt;0),"n/a",BM74/BL74-1)</f>
        <v>8.8334704751627191E-2</v>
      </c>
      <c r="BN75" s="22">
        <f t="shared" ref="BN75" si="1412">IF(AND(BM74&lt;0,BN74&gt;0),"n/a",BN74/BM74-1)</f>
        <v>-8.0940053623499431E-2</v>
      </c>
      <c r="BO75" s="22">
        <f t="shared" ref="BO75" si="1413">IF(AND(BN74&lt;0,BO74&gt;0),"n/a",BO74/BN74-1)</f>
        <v>5.676288964911369E-2</v>
      </c>
      <c r="BP75" s="22">
        <f t="shared" ref="BP75" si="1414">IF(AND(BO74&lt;0,BP74&gt;0),"n/a",BP74/BO74-1)</f>
        <v>4.1635849961997318E-2</v>
      </c>
      <c r="BQ75" s="22">
        <f t="shared" ref="BQ75" si="1415">IF(AND(BP74&lt;0,BQ74&gt;0),"n/a",BQ74/BP74-1)</f>
        <v>9.4116041493406577E-2</v>
      </c>
      <c r="BR75" s="28">
        <f>IF(AND(BQ74&lt;0,BR74&gt;0),"n/a",BR74/BQ74-1)</f>
        <v>-8.0631628976856273E-2</v>
      </c>
      <c r="BS75" s="28">
        <f t="shared" ref="BS75" si="1416">IF(AND(BR74&lt;0,BS74&gt;0),"n/a",BS74/BR74-1)</f>
        <v>4.9895656722195314E-2</v>
      </c>
      <c r="BT75" s="28">
        <f t="shared" ref="BT75" si="1417">IF(AND(BS74&lt;0,BT74&gt;0),"n/a",BT74/BS74-1)</f>
        <v>4.2091126070764151E-2</v>
      </c>
      <c r="BU75" s="28">
        <f t="shared" ref="BU75" si="1418">IF(AND(BT74&lt;0,BU74&gt;0),"n/a",BU74/BT74-1)</f>
        <v>9.0909585601641085E-2</v>
      </c>
      <c r="BV75" s="28">
        <f t="shared" ref="BV75" si="1419">IF(AND(BU74&lt;0,BV74&gt;0),"n/a",BV74/BU74-1)</f>
        <v>-8.0279137848978888E-2</v>
      </c>
      <c r="BW75" s="28">
        <f t="shared" ref="BW75" si="1420">IF(AND(BV74&lt;0,BW74&gt;0),"n/a",BW74/BV74-1)</f>
        <v>4.2834329206030697E-2</v>
      </c>
      <c r="BX75" s="28">
        <f t="shared" ref="BX75" si="1421">IF(AND(BW74&lt;0,BX74&gt;0),"n/a",BX74/BW74-1)</f>
        <v>4.2470815139910023E-2</v>
      </c>
      <c r="BY75" s="28">
        <f t="shared" ref="BY75" si="1422">IF(AND(BX74&lt;0,BY74&gt;0),"n/a",BY74/BX74-1)</f>
        <v>8.7655810316982885E-2</v>
      </c>
      <c r="BZ75" s="28">
        <f t="shared" ref="BZ75" si="1423">IF(AND(BY74&lt;0,BZ74&gt;0),"n/a",BZ74/BY74-1)</f>
        <v>-7.9068932788802893E-2</v>
      </c>
      <c r="CA75" s="28">
        <f t="shared" ref="CA75" si="1424">IF(AND(BZ74&lt;0,CA74&gt;0),"n/a",CA74/BZ74-1)</f>
        <v>3.5655678835702309E-2</v>
      </c>
      <c r="CB75" s="28">
        <f t="shared" ref="CB75" si="1425">IF(AND(CA74&lt;0,CB74&gt;0),"n/a",CB74/CA74-1)</f>
        <v>4.2798010298340294E-2</v>
      </c>
      <c r="CC75" s="28">
        <f t="shared" ref="CC75" si="1426">IF(AND(CB74&lt;0,CC74&gt;0),"n/a",CC74/CB74-1)</f>
        <v>8.4337484988527001E-2</v>
      </c>
      <c r="CD75" s="28">
        <f t="shared" ref="CD75" si="1427">IF(AND(CC74&lt;0,CD74&gt;0),"n/a",CD74/CC74-1)</f>
        <v>-7.630396394014094E-2</v>
      </c>
      <c r="CE75" s="28">
        <f t="shared" ref="CE75" si="1428">IF(AND(CD74&lt;0,CE74&gt;0),"n/a",CE74/CD74-1)</f>
        <v>2.8400363664135675E-2</v>
      </c>
      <c r="CF75" s="28">
        <f t="shared" ref="CF75" si="1429">IF(AND(CE74&lt;0,CF74&gt;0),"n/a",CF74/CE74-1)</f>
        <v>4.3081823919613571E-2</v>
      </c>
      <c r="CG75" s="28">
        <f t="shared" ref="CG75" si="1430">IF(AND(CF74&lt;0,CG74&gt;0),"n/a",CG74/CF74-1)</f>
        <v>8.0953017141504713E-2</v>
      </c>
      <c r="CH75" s="28"/>
      <c r="CI75" s="106" t="s">
        <v>82</v>
      </c>
      <c r="CJ75" s="48" t="s">
        <v>82</v>
      </c>
      <c r="CK75" s="106" t="s">
        <v>82</v>
      </c>
      <c r="CL75" s="106" t="s">
        <v>82</v>
      </c>
      <c r="CM75" s="48" t="s">
        <v>82</v>
      </c>
      <c r="CN75" s="106" t="s">
        <v>82</v>
      </c>
      <c r="CO75" s="48" t="s">
        <v>82</v>
      </c>
      <c r="CP75" s="106" t="s">
        <v>82</v>
      </c>
      <c r="CQ75" s="48" t="s">
        <v>82</v>
      </c>
      <c r="CR75" s="106" t="s">
        <v>82</v>
      </c>
      <c r="CS75" s="48" t="s">
        <v>82</v>
      </c>
      <c r="CT75" s="106" t="s">
        <v>82</v>
      </c>
      <c r="CU75" s="48" t="s">
        <v>82</v>
      </c>
      <c r="CV75" s="106" t="s">
        <v>82</v>
      </c>
      <c r="CW75" s="48" t="s">
        <v>82</v>
      </c>
      <c r="CX75" s="106" t="s">
        <v>82</v>
      </c>
      <c r="CY75" s="106" t="s">
        <v>82</v>
      </c>
      <c r="CZ75" s="106" t="s">
        <v>82</v>
      </c>
      <c r="DA75" s="106" t="s">
        <v>82</v>
      </c>
      <c r="DB75" s="106" t="s">
        <v>82</v>
      </c>
      <c r="DC75" s="106" t="s">
        <v>82</v>
      </c>
    </row>
    <row r="76" spans="1:108" x14ac:dyDescent="0.2">
      <c r="A76" s="14" t="s">
        <v>63</v>
      </c>
      <c r="B76" s="25" t="s">
        <v>82</v>
      </c>
      <c r="C76" s="25" t="s">
        <v>82</v>
      </c>
      <c r="D76" s="25" t="s">
        <v>82</v>
      </c>
      <c r="E76" s="25" t="s">
        <v>82</v>
      </c>
      <c r="F76" s="22">
        <f t="shared" ref="F76:AJ76" si="1431">IF(AND(B74&lt;0,F74&gt;0),"n/a",F74/B74-1)</f>
        <v>0.31549118387909325</v>
      </c>
      <c r="G76" s="22">
        <f t="shared" si="1431"/>
        <v>0.36728778467908896</v>
      </c>
      <c r="H76" s="22">
        <f t="shared" si="1431"/>
        <v>0.36349722594222311</v>
      </c>
      <c r="I76" s="22">
        <f t="shared" si="1431"/>
        <v>0.26631682518858635</v>
      </c>
      <c r="J76" s="22">
        <f t="shared" si="1431"/>
        <v>0.23121110579224502</v>
      </c>
      <c r="K76" s="22">
        <f t="shared" si="1431"/>
        <v>0.19957601453664453</v>
      </c>
      <c r="L76" s="22">
        <f t="shared" si="1431"/>
        <v>0.13455872035919736</v>
      </c>
      <c r="M76" s="22">
        <f t="shared" si="1431"/>
        <v>0.1658896658896658</v>
      </c>
      <c r="N76" s="22">
        <f t="shared" si="1431"/>
        <v>0.17470191809227575</v>
      </c>
      <c r="O76" s="22">
        <f t="shared" si="1431"/>
        <v>0.15690482201464273</v>
      </c>
      <c r="P76" s="22">
        <f t="shared" si="1431"/>
        <v>0.19688350234974039</v>
      </c>
      <c r="Q76" s="22">
        <f t="shared" si="1431"/>
        <v>0.21148506053537708</v>
      </c>
      <c r="R76" s="22">
        <f t="shared" si="1431"/>
        <v>0.18777581641659302</v>
      </c>
      <c r="S76" s="22">
        <f t="shared" si="1431"/>
        <v>0.22247681396617569</v>
      </c>
      <c r="T76" s="22">
        <f t="shared" si="1431"/>
        <v>0.18536887786732792</v>
      </c>
      <c r="U76" s="22">
        <f t="shared" si="1431"/>
        <v>0.16301457779407724</v>
      </c>
      <c r="V76" s="22">
        <f t="shared" si="1431"/>
        <v>0.129760356678432</v>
      </c>
      <c r="W76" s="22">
        <f t="shared" si="1431"/>
        <v>0.12870403427347377</v>
      </c>
      <c r="X76" s="22">
        <f t="shared" si="1431"/>
        <v>0.15193514644351458</v>
      </c>
      <c r="Y76" s="22">
        <f t="shared" si="1431"/>
        <v>0.18431217973985015</v>
      </c>
      <c r="Z76" s="22">
        <f t="shared" si="1431"/>
        <v>0.17010605936035517</v>
      </c>
      <c r="AA76" s="22">
        <f t="shared" si="1431"/>
        <v>0.19943065000790772</v>
      </c>
      <c r="AB76" s="22">
        <f t="shared" si="1431"/>
        <v>0.18342792281498288</v>
      </c>
      <c r="AC76" s="22">
        <f t="shared" si="1431"/>
        <v>0.16827531118950945</v>
      </c>
      <c r="AD76" s="22">
        <f t="shared" si="1431"/>
        <v>0.17917369308600328</v>
      </c>
      <c r="AE76" s="22">
        <f t="shared" si="1431"/>
        <v>0.15908491561181437</v>
      </c>
      <c r="AF76" s="22">
        <f t="shared" si="1431"/>
        <v>0.18696847624528412</v>
      </c>
      <c r="AG76" s="22">
        <f t="shared" si="1431"/>
        <v>0.18380719047347727</v>
      </c>
      <c r="AH76" s="22">
        <f t="shared" si="1431"/>
        <v>0.21284709808127755</v>
      </c>
      <c r="AI76" s="22">
        <f t="shared" si="1431"/>
        <v>0.23240998805528701</v>
      </c>
      <c r="AJ76" s="22">
        <f t="shared" si="1431"/>
        <v>0.20519312611108109</v>
      </c>
      <c r="AK76" s="22">
        <f>IF(AND(AG74&lt;0,AK74&gt;0),"n/a",AK74/AG74-1)</f>
        <v>0.20720026952880599</v>
      </c>
      <c r="AL76" s="22">
        <f>IF(AND(AH74&lt;0,AL74&gt;0),"n/a",AL74/AH74-1)</f>
        <v>0.16571681242016312</v>
      </c>
      <c r="AM76" s="22">
        <f t="shared" ref="AM76" si="1432">IF(AND(AI74&lt;0,AM74&gt;0),"n/a",AM74/AI74-1)</f>
        <v>0.16564360548299262</v>
      </c>
      <c r="AN76" s="22">
        <f t="shared" ref="AN76" si="1433">IF(AND(AJ74&lt;0,AN74&gt;0),"n/a",AN74/AJ74-1)</f>
        <v>0.17584480600750929</v>
      </c>
      <c r="AO76" s="22">
        <f t="shared" ref="AO76" si="1434">IF(AND(AK74&lt;0,AO74&gt;0),"n/a",AO74/AK74-1)</f>
        <v>0.1734710150705685</v>
      </c>
      <c r="AP76" s="22">
        <f t="shared" ref="AP76" si="1435">IF(AND(AL74&lt;0,AP74&gt;0),"n/a",AP74/AL74-1)</f>
        <v>0.10890546634635645</v>
      </c>
      <c r="AQ76" s="22">
        <f t="shared" ref="AQ76" si="1436">IF(AND(AM74&lt;0,AQ74&gt;0),"n/a",AQ74/AM74-1)</f>
        <v>-8.2475451377890363E-2</v>
      </c>
      <c r="AR76" s="22">
        <f t="shared" ref="AR76" si="1437">IF(AND(AN74&lt;0,AR74&gt;0),"n/a",AR74/AN74-1)</f>
        <v>9.9711092526419742E-2</v>
      </c>
      <c r="AS76" s="22">
        <f t="shared" ref="AS76" si="1438">IF(AND(AO74&lt;0,AS74&gt;0),"n/a",AS74/AO74-1)</f>
        <v>0.21404545917847306</v>
      </c>
      <c r="AT76" s="22">
        <f t="shared" ref="AT76" si="1439">IF(AND(AP74&lt;0,AT74&gt;0),"n/a",AT74/AP74-1)</f>
        <v>0.32917791037968902</v>
      </c>
      <c r="AU76" s="22">
        <f t="shared" ref="AU76" si="1440">IF(AND(AQ74&lt;0,AU74&gt;0),"n/a",AU74/AQ74-1)</f>
        <v>0.70521727872955586</v>
      </c>
      <c r="AV76" s="22">
        <f t="shared" ref="AV76" si="1441">IF(AND(AR74&lt;0,AV74&gt;0),"n/a",AV74/AR74-1)</f>
        <v>0.43910954405613745</v>
      </c>
      <c r="AW76" s="22">
        <f t="shared" ref="AW76" si="1442">IF(AND(AS74&lt;0,AW74&gt;0),"n/a",AW74/AS74-1)</f>
        <v>0.33803486972826247</v>
      </c>
      <c r="AX76" s="22">
        <f t="shared" ref="AX76" si="1443">IF(AND(AT74&lt;0,AX74&gt;0),"n/a",AX74/AT74-1)</f>
        <v>0.22014754660871549</v>
      </c>
      <c r="AY76" s="22">
        <f t="shared" ref="AY76" si="1444">IF(AND(AU74&lt;0,AY74&gt;0),"n/a",AY74/AU74-1)</f>
        <v>0.1153739086422878</v>
      </c>
      <c r="AZ76" s="22">
        <f t="shared" ref="AZ76" si="1445">IF(AND(AV74&lt;0,AZ74&gt;0),"n/a",AZ74/AV74-1)</f>
        <v>2.4596464258262785E-2</v>
      </c>
      <c r="BA76" s="22">
        <f t="shared" ref="BA76" si="1446">IF(AND(AW74&lt;0,BA74&gt;0),"n/a",BA74/AW74-1)</f>
        <v>-3.545135112524056E-2</v>
      </c>
      <c r="BB76" s="22">
        <f t="shared" ref="BB76" si="1447">IF(AND(AX74&lt;0,BB74&gt;0),"n/a",BB74/AX74-1)</f>
        <v>3.6558786998195369E-3</v>
      </c>
      <c r="BC76" s="22">
        <f t="shared" ref="BC76" si="1448">IF(AND(AY74&lt;0,BC74&gt;0),"n/a",BC74/AY74-1)</f>
        <v>3.4759722285247596E-2</v>
      </c>
      <c r="BD76" s="28">
        <f t="shared" ref="BD76" si="1449">IF(AND(AZ74&lt;0,BD74&gt;0),"n/a",BD74/AZ74-1)</f>
        <v>0.10195517629407358</v>
      </c>
      <c r="BE76" s="28">
        <f t="shared" ref="BE76:BL76" si="1450">IF(AND(BA74&lt;0,BE74&gt;0),"n/a",BE74/BA74-1)</f>
        <v>0.11739705531582723</v>
      </c>
      <c r="BF76" s="28">
        <f t="shared" si="1450"/>
        <v>0.13743666378686337</v>
      </c>
      <c r="BG76" s="28">
        <f t="shared" si="1450"/>
        <v>0.12329518045871168</v>
      </c>
      <c r="BH76" s="28">
        <f t="shared" si="1450"/>
        <v>0.10913732581640256</v>
      </c>
      <c r="BI76" s="28">
        <f t="shared" si="1450"/>
        <v>0.11802604257631333</v>
      </c>
      <c r="BJ76" s="28">
        <f t="shared" si="1450"/>
        <v>9.0817646213536385E-2</v>
      </c>
      <c r="BK76" s="28">
        <f t="shared" si="1450"/>
        <v>0.10552616681957483</v>
      </c>
      <c r="BL76" s="28">
        <f t="shared" si="1450"/>
        <v>0.13754675362040847</v>
      </c>
      <c r="BM76" s="22">
        <f t="shared" ref="BM76" si="1451">IF(AND(BI74&lt;0,BM74&gt;0),"n/a",BM74/BI74-1)</f>
        <v>0.12031621335462495</v>
      </c>
      <c r="BN76" s="22">
        <f t="shared" ref="BN76" si="1452">IF(AND(BJ74&lt;0,BN74&gt;0),"n/a",BN74/BJ74-1)</f>
        <v>0.1163693887039754</v>
      </c>
      <c r="BO76" s="22">
        <f t="shared" ref="BO76" si="1453">IF(AND(BK74&lt;0,BO74&gt;0),"n/a",BO74/BK74-1)</f>
        <v>0.10687250551837302</v>
      </c>
      <c r="BP76" s="22">
        <f t="shared" ref="BP76" si="1454">IF(AND(BL74&lt;0,BP74&gt;0),"n/a",BP74/BL74-1)</f>
        <v>0.10103161628722357</v>
      </c>
      <c r="BQ76" s="22">
        <f t="shared" ref="BQ76" si="1455">IF(AND(BM74&lt;0,BQ74&gt;0),"n/a",BQ74/BM74-1)</f>
        <v>0.10688040022226719</v>
      </c>
      <c r="BR76" s="28">
        <f>IF(AND(BN74&lt;0,BR74&gt;0),"n/a",BR74/BN74-1)</f>
        <v>0.10725185498717216</v>
      </c>
      <c r="BS76" s="28">
        <f t="shared" ref="BS76" si="1456">IF(AND(BO74&lt;0,BS74&gt;0),"n/a",BS74/BO74-1)</f>
        <v>0.10005652624177674</v>
      </c>
      <c r="BT76" s="28">
        <f t="shared" ref="BT76" si="1457">IF(AND(BP74&lt;0,BT74&gt;0),"n/a",BT74/BP74-1)</f>
        <v>0.10053733674259546</v>
      </c>
      <c r="BU76" s="28">
        <f t="shared" ref="BU76" si="1458">IF(AND(BQ74&lt;0,BU74&gt;0),"n/a",BU74/BQ74-1)</f>
        <v>9.7312062371616159E-2</v>
      </c>
      <c r="BV76" s="28">
        <f t="shared" ref="BV76" si="1459">IF(AND(BR74&lt;0,BV74&gt;0),"n/a",BV74/BR74-1)</f>
        <v>9.7732778135492637E-2</v>
      </c>
      <c r="BW76" s="28">
        <f t="shared" ref="BW76" si="1460">IF(AND(BS74&lt;0,BW74&gt;0),"n/a",BW74/BS74-1)</f>
        <v>9.0349710473469846E-2</v>
      </c>
      <c r="BX76" s="28">
        <f t="shared" ref="BX76" si="1461">IF(AND(BT74&lt;0,BX74&gt;0),"n/a",BX74/BT74-1)</f>
        <v>9.0746982704521306E-2</v>
      </c>
      <c r="BY76" s="28">
        <f t="shared" ref="BY76" si="1462">IF(AND(BU74&lt;0,BY74&gt;0),"n/a",BY74/BU74-1)</f>
        <v>8.7493692403490364E-2</v>
      </c>
      <c r="BZ76" s="28">
        <f t="shared" ref="BZ76" si="1463">IF(AND(BV74&lt;0,BZ74&gt;0),"n/a",BZ74/BV74-1)</f>
        <v>8.8924659584530552E-2</v>
      </c>
      <c r="CA76" s="28">
        <f t="shared" ref="CA76" si="1464">IF(AND(BW74&lt;0,CA74&gt;0),"n/a",CA74/BW74-1)</f>
        <v>8.1428733154166766E-2</v>
      </c>
      <c r="CB76" s="28">
        <f t="shared" ref="CB76" si="1465">IF(AND(BX74&lt;0,CB74&gt;0),"n/a",CB74/BX74-1)</f>
        <v>8.1768155841628776E-2</v>
      </c>
      <c r="CC76" s="28">
        <f t="shared" ref="CC76" si="1466">IF(AND(BY74&lt;0,CC74&gt;0),"n/a",CC74/BY74-1)</f>
        <v>7.8467793137732444E-2</v>
      </c>
      <c r="CD76" s="28">
        <f t="shared" ref="CD76" si="1467">IF(AND(BZ74&lt;0,CD74&gt;0),"n/a",CD74/BZ74-1)</f>
        <v>8.1705744335687891E-2</v>
      </c>
      <c r="CE76" s="28">
        <f t="shared" ref="CE76" si="1468">IF(AND(CA74&lt;0,CE74&gt;0),"n/a",CE74/CA74-1)</f>
        <v>7.4127824126847486E-2</v>
      </c>
      <c r="CF76" s="28">
        <f t="shared" ref="CF76" si="1469">IF(AND(CB74&lt;0,CF74&gt;0),"n/a",CF74/CB74-1)</f>
        <v>7.4420164641947562E-2</v>
      </c>
      <c r="CG76" s="28">
        <f t="shared" ref="CG76" si="1470">IF(AND(CC74&lt;0,CG74&gt;0),"n/a",CG74/CC74-1)</f>
        <v>7.1066651043308449E-2</v>
      </c>
      <c r="CH76" s="28"/>
      <c r="CI76" s="106" t="s">
        <v>82</v>
      </c>
      <c r="CJ76" s="22">
        <f>IF(AND(CI74&lt;0,CJ74&gt;0),"n/a",CJ74/CI74-1)</f>
        <v>0.32511114298006594</v>
      </c>
      <c r="CK76" s="107">
        <f t="shared" ref="CK76" si="1471">IF(AND(CJ74&lt;0,CK74&gt;0),"n/a",CK74/CJ74-1)</f>
        <v>0.18062770562770569</v>
      </c>
      <c r="CL76" s="107">
        <f t="shared" ref="CL76" si="1472">IF(AND(CK74&lt;0,CL74&gt;0),"n/a",CL74/CK74-1)</f>
        <v>0.18599321661013835</v>
      </c>
      <c r="CM76" s="22">
        <f t="shared" ref="CM76" si="1473">IF(AND(CL74&lt;0,CM74&gt;0),"n/a",CM74/CL74-1)</f>
        <v>0.18841139794919348</v>
      </c>
      <c r="CN76" s="107">
        <f t="shared" ref="CN76" si="1474">IF(AND(CM74&lt;0,CN74&gt;0),"n/a",CN74/CM74-1)</f>
        <v>0.15002059531294032</v>
      </c>
      <c r="CO76" s="22">
        <f t="shared" ref="CO76" si="1475">IF(AND(CN74&lt;0,CO74&gt;0),"n/a",CO74/CN74-1)</f>
        <v>0.17989707240748776</v>
      </c>
      <c r="CP76" s="107">
        <f t="shared" ref="CP76" si="1476">IF(AND(CO74&lt;0,CP74&gt;0),"n/a",CP74/CO74-1)</f>
        <v>0.17755232465250037</v>
      </c>
      <c r="CQ76" s="22">
        <f t="shared" ref="CQ76" si="1477">IF(AND(CP74&lt;0,CQ74&gt;0),"n/a",CQ74/CP74-1)</f>
        <v>0.21399400295781712</v>
      </c>
      <c r="CR76" s="107">
        <f t="shared" ref="CR76" si="1478">IF(AND(CQ74&lt;0,CR74&gt;0),"n/a",CR74/CQ74-1)</f>
        <v>0.17040514110086624</v>
      </c>
      <c r="CS76" s="22">
        <f t="shared" ref="CS76" si="1479">IF(AND(CR74&lt;0,CS74&gt;0),"n/a",CS74/CR74-1)</f>
        <v>8.9990641889956313E-2</v>
      </c>
      <c r="CT76" s="107">
        <f t="shared" ref="CT76" si="1480">IF(AND(CS74&lt;0,CT74&gt;0),"n/a",CT74/CS74-1)</f>
        <v>0.43615194575368399</v>
      </c>
      <c r="CU76" s="22">
        <f t="shared" ref="CU76" si="1481">IF(AND(CT74&lt;0,CU74&gt;0),"n/a",CU74/CT74-1)</f>
        <v>7.0682177257504586E-2</v>
      </c>
      <c r="CV76" s="107">
        <f t="shared" ref="CV76" si="1482">IF(AND(CU74&lt;0,CV74&gt;0),"n/a",CV74/CU74-1)</f>
        <v>6.5241171845622725E-2</v>
      </c>
      <c r="CW76" s="22">
        <f t="shared" ref="CW76" si="1483">IF(AND(CV74&lt;0,CW74&gt;0),"n/a",CW74/CV74-1)</f>
        <v>0.12152281929089859</v>
      </c>
      <c r="CX76" s="107">
        <f t="shared" ref="CX76" si="1484">IF(AND(CW74&lt;0,CX74&gt;0),"n/a",CX74/CW74-1)</f>
        <v>0.11413409318517798</v>
      </c>
      <c r="CY76" s="107">
        <f t="shared" ref="CY76" si="1485">IF(AND(CX74&lt;0,CY74&gt;0),"n/a",CY74/CX74-1)</f>
        <v>0.10755200119238228</v>
      </c>
      <c r="CZ76" s="107">
        <f>IF(AND(CY74&lt;0,CZ74&gt;0),"n/a",CZ74/CY74-1)</f>
        <v>0.10106967964828484</v>
      </c>
      <c r="DA76" s="107">
        <f>IF(AND(CZ74&lt;0,DA74&gt;0),"n/a",DA74/CZ74-1)</f>
        <v>9.1366168054128227E-2</v>
      </c>
      <c r="DB76" s="107">
        <f>IF(AND(DA74&lt;0,DB74&gt;0),"n/a",DB74/DA74-1)</f>
        <v>8.2440670688334494E-2</v>
      </c>
      <c r="DC76" s="107">
        <f>IF(AND(DB74&lt;0,DC74&gt;0),"n/a",DC74/DB74-1)</f>
        <v>7.5132984126287994E-2</v>
      </c>
    </row>
    <row r="77" spans="1:108" x14ac:dyDescent="0.2">
      <c r="A77" s="14" t="s">
        <v>64</v>
      </c>
      <c r="B77" s="25" t="s">
        <v>82</v>
      </c>
      <c r="C77" s="25" t="s">
        <v>82</v>
      </c>
      <c r="D77" s="25" t="s">
        <v>82</v>
      </c>
      <c r="E77" s="25" t="s">
        <v>82</v>
      </c>
      <c r="F77" s="25" t="s">
        <v>82</v>
      </c>
      <c r="G77" s="25" t="s">
        <v>82</v>
      </c>
      <c r="H77" s="25" t="s">
        <v>82</v>
      </c>
      <c r="I77" s="25" t="s">
        <v>82</v>
      </c>
      <c r="J77" s="25" t="s">
        <v>82</v>
      </c>
      <c r="K77" s="25" t="s">
        <v>82</v>
      </c>
      <c r="L77" s="25" t="s">
        <v>82</v>
      </c>
      <c r="M77" s="25" t="s">
        <v>82</v>
      </c>
      <c r="N77" s="25" t="s">
        <v>82</v>
      </c>
      <c r="O77" s="25" t="s">
        <v>82</v>
      </c>
      <c r="P77" s="25" t="s">
        <v>82</v>
      </c>
      <c r="Q77" s="25" t="s">
        <v>82</v>
      </c>
      <c r="R77" s="25" t="s">
        <v>82</v>
      </c>
      <c r="S77" s="25" t="s">
        <v>82</v>
      </c>
      <c r="T77" s="25" t="s">
        <v>82</v>
      </c>
      <c r="U77" s="25" t="s">
        <v>82</v>
      </c>
      <c r="V77" s="25" t="s">
        <v>82</v>
      </c>
      <c r="W77" s="25" t="s">
        <v>82</v>
      </c>
      <c r="X77" s="25" t="s">
        <v>82</v>
      </c>
      <c r="Y77" s="25" t="s">
        <v>82</v>
      </c>
      <c r="Z77" s="25" t="s">
        <v>82</v>
      </c>
      <c r="AA77" s="25" t="s">
        <v>82</v>
      </c>
      <c r="AB77" s="25" t="s">
        <v>82</v>
      </c>
      <c r="AC77" s="25" t="s">
        <v>82</v>
      </c>
      <c r="AD77" s="25" t="s">
        <v>82</v>
      </c>
      <c r="AE77" s="25" t="s">
        <v>82</v>
      </c>
      <c r="AF77" s="25" t="s">
        <v>82</v>
      </c>
      <c r="AG77" s="25" t="s">
        <v>82</v>
      </c>
      <c r="AH77" s="25" t="s">
        <v>82</v>
      </c>
      <c r="AI77" s="25" t="s">
        <v>82</v>
      </c>
      <c r="AJ77" s="25" t="s">
        <v>82</v>
      </c>
      <c r="AK77" s="22">
        <f>AK74/AK$8</f>
        <v>0.67263804339081235</v>
      </c>
      <c r="AL77" s="22">
        <f t="shared" ref="AL77:BQ77" si="1486">AL74/AL$8</f>
        <v>0.6936299587803666</v>
      </c>
      <c r="AM77" s="22">
        <f t="shared" si="1486"/>
        <v>0.69054519604090336</v>
      </c>
      <c r="AN77" s="22">
        <f t="shared" si="1486"/>
        <v>0.69508006130106215</v>
      </c>
      <c r="AO77" s="22">
        <f t="shared" si="1486"/>
        <v>0.68135098847168851</v>
      </c>
      <c r="AP77" s="22">
        <f t="shared" si="1486"/>
        <v>0.68880569663333158</v>
      </c>
      <c r="AQ77" s="22">
        <f t="shared" si="1486"/>
        <v>0.66225600868794832</v>
      </c>
      <c r="AR77" s="22">
        <f t="shared" si="1486"/>
        <v>0.6795151856810655</v>
      </c>
      <c r="AS77" s="22">
        <f t="shared" si="1486"/>
        <v>0.67582698163523913</v>
      </c>
      <c r="AT77" s="22">
        <f t="shared" si="1486"/>
        <v>0.68334049787017859</v>
      </c>
      <c r="AU77" s="22">
        <f>AU74/AU$8</f>
        <v>0.69243170308584645</v>
      </c>
      <c r="AV77" s="22">
        <f t="shared" si="1486"/>
        <v>0.69521074076547995</v>
      </c>
      <c r="AW77" s="22">
        <f t="shared" si="1486"/>
        <v>0.6889337175792507</v>
      </c>
      <c r="AX77" s="22">
        <f t="shared" si="1486"/>
        <v>0.69415343571056742</v>
      </c>
      <c r="AY77" s="22">
        <f t="shared" si="1486"/>
        <v>0.70135739405801945</v>
      </c>
      <c r="AZ77" s="22">
        <f t="shared" si="1486"/>
        <v>0.69498346286068069</v>
      </c>
      <c r="BA77" s="22">
        <f t="shared" si="1486"/>
        <v>0.67981072555205047</v>
      </c>
      <c r="BB77" s="22">
        <f t="shared" si="1486"/>
        <v>0.69119284711350693</v>
      </c>
      <c r="BC77" s="22">
        <f t="shared" si="1486"/>
        <v>0.68802896582937312</v>
      </c>
      <c r="BD77" s="28">
        <f t="shared" si="1486"/>
        <v>0.69139234548289352</v>
      </c>
      <c r="BE77" s="28">
        <f t="shared" si="1486"/>
        <v>0.67527617250461924</v>
      </c>
      <c r="BF77" s="28">
        <f t="shared" ref="BF77:BG77" si="1487">BF74/BF$8</f>
        <v>0.69196568084320575</v>
      </c>
      <c r="BG77" s="28">
        <f t="shared" si="1487"/>
        <v>0.69295801320203443</v>
      </c>
      <c r="BH77" s="28">
        <f t="shared" ref="BH77:BI77" si="1488">BH74/BH$8</f>
        <v>0.68141419422297744</v>
      </c>
      <c r="BI77" s="28">
        <f t="shared" si="1488"/>
        <v>0.68510238542583302</v>
      </c>
      <c r="BJ77" s="28">
        <f t="shared" ref="BJ77:BK77" si="1489">BJ74/BJ$8</f>
        <v>0.68773296748809276</v>
      </c>
      <c r="BK77" s="28">
        <f t="shared" si="1489"/>
        <v>0.68612723065553716</v>
      </c>
      <c r="BL77" s="28">
        <f t="shared" ref="BL77" si="1490">BL74/BL$8</f>
        <v>0.68127096448099989</v>
      </c>
      <c r="BM77" s="22">
        <f t="shared" si="1486"/>
        <v>0.67940500054934561</v>
      </c>
      <c r="BN77" s="22">
        <f t="shared" si="1486"/>
        <v>0.690824601614758</v>
      </c>
      <c r="BO77" s="22">
        <f t="shared" si="1486"/>
        <v>0.68914251160304274</v>
      </c>
      <c r="BP77" s="22">
        <f t="shared" si="1486"/>
        <v>0.68049649388988265</v>
      </c>
      <c r="BQ77" s="22">
        <f t="shared" si="1486"/>
        <v>0.68297840685078004</v>
      </c>
      <c r="BR77" s="28">
        <f>BR74/BR$8</f>
        <v>0.69213039494850226</v>
      </c>
      <c r="BS77" s="28">
        <f t="shared" ref="BS77:BU77" si="1491">BS74/BS$8</f>
        <v>0.68977173930620816</v>
      </c>
      <c r="BT77" s="28">
        <f t="shared" si="1491"/>
        <v>0.68096076869907463</v>
      </c>
      <c r="BU77" s="28">
        <f t="shared" si="1491"/>
        <v>0.68319848684782847</v>
      </c>
      <c r="BV77" s="28">
        <f t="shared" ref="BV77:CC77" si="1492">BV74/BV$8</f>
        <v>0.69113421055827973</v>
      </c>
      <c r="BW77" s="28">
        <f t="shared" si="1492"/>
        <v>0.68801122948068427</v>
      </c>
      <c r="BX77" s="28">
        <f t="shared" si="1492"/>
        <v>0.67892359907648236</v>
      </c>
      <c r="BY77" s="28">
        <f t="shared" si="1492"/>
        <v>0.68091981799462553</v>
      </c>
      <c r="BZ77" s="28">
        <f t="shared" si="1492"/>
        <v>0.68970377145064343</v>
      </c>
      <c r="CA77" s="28">
        <f t="shared" si="1492"/>
        <v>0.68575413524807372</v>
      </c>
      <c r="CB77" s="28">
        <f t="shared" si="1492"/>
        <v>0.67638479312496025</v>
      </c>
      <c r="CC77" s="28">
        <f t="shared" si="1492"/>
        <v>0.67810969745540783</v>
      </c>
      <c r="CD77" s="28">
        <f t="shared" ref="CD77:CG77" si="1493">CD74/CD$8</f>
        <v>0.68776013572650918</v>
      </c>
      <c r="CE77" s="28">
        <f t="shared" si="1493"/>
        <v>0.68292383641926346</v>
      </c>
      <c r="CF77" s="28">
        <f t="shared" si="1493"/>
        <v>0.6732690212831115</v>
      </c>
      <c r="CG77" s="28">
        <f t="shared" si="1493"/>
        <v>0.67469136697374155</v>
      </c>
      <c r="CH77" s="28"/>
      <c r="CI77" s="106" t="s">
        <v>82</v>
      </c>
      <c r="CJ77" s="48" t="s">
        <v>82</v>
      </c>
      <c r="CK77" s="106" t="s">
        <v>82</v>
      </c>
      <c r="CL77" s="106" t="s">
        <v>82</v>
      </c>
      <c r="CM77" s="48" t="s">
        <v>82</v>
      </c>
      <c r="CN77" s="106" t="s">
        <v>82</v>
      </c>
      <c r="CO77" s="48" t="s">
        <v>82</v>
      </c>
      <c r="CP77" s="106" t="s">
        <v>82</v>
      </c>
      <c r="CQ77" s="22">
        <f t="shared" ref="CQ77:CY77" si="1494">CQ74/CQ$8</f>
        <v>0.68550611381814841</v>
      </c>
      <c r="CR77" s="107">
        <f t="shared" si="1494"/>
        <v>0.68975465173719741</v>
      </c>
      <c r="CS77" s="22">
        <f t="shared" si="1494"/>
        <v>0.67688202330477065</v>
      </c>
      <c r="CT77" s="107">
        <f t="shared" si="1494"/>
        <v>0.69015151834091837</v>
      </c>
      <c r="CU77" s="22">
        <f t="shared" si="1494"/>
        <v>0.69230223091729515</v>
      </c>
      <c r="CV77" s="107">
        <f t="shared" si="1494"/>
        <v>0.68601651849432932</v>
      </c>
      <c r="CW77" s="22">
        <f t="shared" si="1494"/>
        <v>0.68766602170990065</v>
      </c>
      <c r="CX77" s="107">
        <f t="shared" si="1494"/>
        <v>0.68338545253617855</v>
      </c>
      <c r="CY77" s="107">
        <f t="shared" si="1494"/>
        <v>0.68561836343640814</v>
      </c>
      <c r="CZ77" s="107">
        <f>CZ74/CZ$8</f>
        <v>0.68625433132172631</v>
      </c>
      <c r="DA77" s="107">
        <f>DA74/DA$8</f>
        <v>0.68446427026017764</v>
      </c>
      <c r="DB77" s="107">
        <f>DB74/DB$8</f>
        <v>0.68218383948098638</v>
      </c>
      <c r="DC77" s="107">
        <f>DC74/DC$8</f>
        <v>0.67933643105259922</v>
      </c>
    </row>
    <row r="78" spans="1:108" x14ac:dyDescent="0.2">
      <c r="A78" s="14" t="s">
        <v>81</v>
      </c>
      <c r="B78" s="22">
        <f t="shared" ref="B78:AJ78" si="1495">B74/B$80</f>
        <v>0.94075829383886256</v>
      </c>
      <c r="C78" s="22">
        <f t="shared" si="1495"/>
        <v>0.9492924528301887</v>
      </c>
      <c r="D78" s="22">
        <f t="shared" si="1495"/>
        <v>0.95365809158912607</v>
      </c>
      <c r="E78" s="22">
        <f t="shared" si="1495"/>
        <v>0.95714958405273898</v>
      </c>
      <c r="F78" s="22">
        <f t="shared" si="1495"/>
        <v>0.95884332925336602</v>
      </c>
      <c r="G78" s="22">
        <f t="shared" si="1495"/>
        <v>0.95516343650564073</v>
      </c>
      <c r="H78" s="22">
        <f t="shared" si="1495"/>
        <v>0.94874866879659214</v>
      </c>
      <c r="I78" s="22">
        <f t="shared" si="1495"/>
        <v>0.94958189867191345</v>
      </c>
      <c r="J78" s="22">
        <f t="shared" si="1495"/>
        <v>0.94837758112094395</v>
      </c>
      <c r="K78" s="22">
        <f t="shared" si="1495"/>
        <v>0.94749431886138025</v>
      </c>
      <c r="L78" s="22">
        <f t="shared" si="1495"/>
        <v>0.92390310786106034</v>
      </c>
      <c r="M78" s="22">
        <f t="shared" si="1495"/>
        <v>0.91568348250610254</v>
      </c>
      <c r="N78" s="22">
        <f t="shared" si="1495"/>
        <v>0.9078525641025641</v>
      </c>
      <c r="O78" s="22">
        <f t="shared" si="1495"/>
        <v>0.90823506094539685</v>
      </c>
      <c r="P78" s="22">
        <f t="shared" si="1495"/>
        <v>0.89794024865466693</v>
      </c>
      <c r="Q78" s="22">
        <f t="shared" si="1495"/>
        <v>0.87902965828497748</v>
      </c>
      <c r="R78" s="22">
        <f t="shared" si="1495"/>
        <v>0.88325539420789234</v>
      </c>
      <c r="S78" s="22">
        <f t="shared" si="1495"/>
        <v>0.88492220203775374</v>
      </c>
      <c r="T78" s="22">
        <f t="shared" si="1495"/>
        <v>0.87074003795066413</v>
      </c>
      <c r="U78" s="22">
        <f t="shared" si="1495"/>
        <v>0.88255757322757944</v>
      </c>
      <c r="V78" s="22">
        <f t="shared" si="1495"/>
        <v>0.87927419937829832</v>
      </c>
      <c r="W78" s="22">
        <f t="shared" si="1495"/>
        <v>0.88582235920425889</v>
      </c>
      <c r="X78" s="22">
        <f t="shared" si="1495"/>
        <v>0.88294247344157151</v>
      </c>
      <c r="Y78" s="22">
        <f t="shared" si="1495"/>
        <v>0.87735793961338548</v>
      </c>
      <c r="Z78" s="22">
        <f t="shared" si="1495"/>
        <v>0.8729681653683371</v>
      </c>
      <c r="AA78" s="22">
        <f t="shared" si="1495"/>
        <v>0.87474048442906571</v>
      </c>
      <c r="AB78" s="22">
        <f t="shared" si="1495"/>
        <v>0.8653718459495352</v>
      </c>
      <c r="AC78" s="22">
        <f t="shared" si="1495"/>
        <v>0.83759664025961633</v>
      </c>
      <c r="AD78" s="22">
        <f t="shared" si="1495"/>
        <v>0.83956175896743213</v>
      </c>
      <c r="AE78" s="22">
        <f t="shared" si="1495"/>
        <v>0.84434732494476994</v>
      </c>
      <c r="AF78" s="22">
        <f t="shared" si="1495"/>
        <v>0.83794519929580646</v>
      </c>
      <c r="AG78" s="22">
        <f t="shared" si="1495"/>
        <v>0.80712454354750995</v>
      </c>
      <c r="AH78" s="22">
        <f t="shared" si="1495"/>
        <v>0.82378177108628781</v>
      </c>
      <c r="AI78" s="22">
        <f t="shared" si="1495"/>
        <v>0.83040778782768665</v>
      </c>
      <c r="AJ78" s="22">
        <f t="shared" si="1495"/>
        <v>0.82822449281800681</v>
      </c>
      <c r="AK78" s="22">
        <f>AK74/AK$80</f>
        <v>0.79468981686838602</v>
      </c>
      <c r="AL78" s="22">
        <f t="shared" ref="AL78:BQ78" si="1496">AL74/AL$80</f>
        <v>0.81334841628959276</v>
      </c>
      <c r="AM78" s="22">
        <f t="shared" si="1496"/>
        <v>0.80341010306654792</v>
      </c>
      <c r="AN78" s="22">
        <f t="shared" si="1496"/>
        <v>0.80360470444478382</v>
      </c>
      <c r="AO78" s="22">
        <f t="shared" si="1496"/>
        <v>0.78885583340033771</v>
      </c>
      <c r="AP78" s="22">
        <f t="shared" si="1496"/>
        <v>0.78486412313933718</v>
      </c>
      <c r="AQ78" s="22">
        <f t="shared" si="1496"/>
        <v>0.74025683618706872</v>
      </c>
      <c r="AR78" s="22">
        <f t="shared" si="1496"/>
        <v>0.76428628041531266</v>
      </c>
      <c r="AS78" s="22">
        <f t="shared" si="1496"/>
        <v>0.77280591721095204</v>
      </c>
      <c r="AT78" s="22">
        <f t="shared" si="1496"/>
        <v>0.76839584294597152</v>
      </c>
      <c r="AU78" s="22">
        <f t="shared" si="1496"/>
        <v>0.77837529054879251</v>
      </c>
      <c r="AV78" s="22">
        <f t="shared" si="1496"/>
        <v>0.77997601918465231</v>
      </c>
      <c r="AW78" s="22">
        <f t="shared" si="1496"/>
        <v>0.77725395844848322</v>
      </c>
      <c r="AX78" s="22">
        <f t="shared" si="1496"/>
        <v>0.77158562826609767</v>
      </c>
      <c r="AY78" s="22">
        <f t="shared" si="1496"/>
        <v>0.77454615749608979</v>
      </c>
      <c r="AZ78" s="22">
        <f t="shared" si="1496"/>
        <v>0.75605735656427797</v>
      </c>
      <c r="BA78" s="22">
        <f t="shared" si="1496"/>
        <v>0.74109725525486914</v>
      </c>
      <c r="BB78" s="22">
        <f t="shared" si="1496"/>
        <v>0.7423128921551635</v>
      </c>
      <c r="BC78" s="22">
        <f t="shared" si="1496"/>
        <v>0.73821201379109402</v>
      </c>
      <c r="BD78" s="28">
        <f t="shared" si="1496"/>
        <v>0.73727550780330953</v>
      </c>
      <c r="BE78" s="28">
        <f t="shared" si="1496"/>
        <v>0.72054196904232559</v>
      </c>
      <c r="BF78" s="28">
        <f t="shared" ref="BF78:BG78" si="1497">BF74/BF$80</f>
        <v>0.72677766836749913</v>
      </c>
      <c r="BG78" s="28">
        <f t="shared" si="1497"/>
        <v>0.72267520595869539</v>
      </c>
      <c r="BH78" s="28">
        <f t="shared" ref="BH78:BI78" si="1498">BH74/BH$80</f>
        <v>0.70315871817004749</v>
      </c>
      <c r="BI78" s="28">
        <f t="shared" si="1498"/>
        <v>0.7095109666137116</v>
      </c>
      <c r="BJ78" s="28">
        <f t="shared" ref="BJ78:BK78" si="1499">BJ74/BJ$80</f>
        <v>0.70123785895270274</v>
      </c>
      <c r="BK78" s="28">
        <f t="shared" si="1499"/>
        <v>0.69523213277356311</v>
      </c>
      <c r="BL78" s="28">
        <f t="shared" ref="BL78" si="1500">BL74/BL$80</f>
        <v>0.67907892778216705</v>
      </c>
      <c r="BM78" s="22">
        <f t="shared" si="1496"/>
        <v>0.67873786470816211</v>
      </c>
      <c r="BN78" s="22">
        <f t="shared" si="1496"/>
        <v>0.66976160914582583</v>
      </c>
      <c r="BO78" s="22">
        <f t="shared" si="1496"/>
        <v>0.66724699375941554</v>
      </c>
      <c r="BP78" s="22">
        <f t="shared" si="1496"/>
        <v>0.65347400346214202</v>
      </c>
      <c r="BQ78" s="22">
        <f t="shared" si="1496"/>
        <v>0.66266491823047302</v>
      </c>
      <c r="BR78" s="28">
        <f>BR74/BR$80</f>
        <v>0.64736025622731719</v>
      </c>
      <c r="BS78" s="28">
        <f t="shared" ref="BS78:BU78" si="1501">BS74/BS$80</f>
        <v>0.64334872576336544</v>
      </c>
      <c r="BT78" s="28">
        <f t="shared" si="1501"/>
        <v>0.62956883896345039</v>
      </c>
      <c r="BU78" s="28">
        <f t="shared" si="1501"/>
        <v>0.63858232942457682</v>
      </c>
      <c r="BV78" s="28">
        <f t="shared" ref="BV78:CC78" si="1502">BV74/BV$80</f>
        <v>0.62409581384188606</v>
      </c>
      <c r="BW78" s="28">
        <f t="shared" si="1502"/>
        <v>0.61844270570718241</v>
      </c>
      <c r="BX78" s="28">
        <f t="shared" si="1502"/>
        <v>0.60462942355737859</v>
      </c>
      <c r="BY78" s="28">
        <f t="shared" si="1502"/>
        <v>0.61333337046641945</v>
      </c>
      <c r="BZ78" s="28">
        <f t="shared" si="1502"/>
        <v>0.6022204061114943</v>
      </c>
      <c r="CA78" s="28">
        <f t="shared" si="1502"/>
        <v>0.59483659863029248</v>
      </c>
      <c r="CB78" s="28">
        <f t="shared" si="1502"/>
        <v>0.58103299503435424</v>
      </c>
      <c r="CC78" s="28">
        <f t="shared" si="1502"/>
        <v>0.58930210044981202</v>
      </c>
      <c r="CD78" s="28">
        <f t="shared" ref="CD78:CG78" si="1503">CD74/CD$80</f>
        <v>0.58249608637526362</v>
      </c>
      <c r="CE78" s="28">
        <f t="shared" si="1503"/>
        <v>0.57332397896281806</v>
      </c>
      <c r="CF78" s="28">
        <f t="shared" si="1503"/>
        <v>0.55955941922943753</v>
      </c>
      <c r="CG78" s="28">
        <f t="shared" si="1503"/>
        <v>0.56727696642329517</v>
      </c>
      <c r="CH78" s="28"/>
      <c r="CI78" s="106" t="s">
        <v>82</v>
      </c>
      <c r="CJ78" s="48" t="s">
        <v>82</v>
      </c>
      <c r="CK78" s="106" t="s">
        <v>82</v>
      </c>
      <c r="CL78" s="106" t="s">
        <v>82</v>
      </c>
      <c r="CM78" s="48" t="s">
        <v>82</v>
      </c>
      <c r="CN78" s="106" t="s">
        <v>82</v>
      </c>
      <c r="CO78" s="48" t="s">
        <v>82</v>
      </c>
      <c r="CP78" s="106" t="s">
        <v>82</v>
      </c>
      <c r="CQ78" s="22">
        <f>CQ74/CQ$80</f>
        <v>0.81806462230511823</v>
      </c>
      <c r="CR78" s="107">
        <f t="shared" ref="CR78:CY78" si="1504">CR74/CR$80</f>
        <v>0.80152157607114971</v>
      </c>
      <c r="CS78" s="22">
        <f t="shared" si="1504"/>
        <v>0.76651266485804082</v>
      </c>
      <c r="CT78" s="107">
        <f t="shared" si="1504"/>
        <v>0.77630239287016556</v>
      </c>
      <c r="CU78" s="22">
        <f t="shared" si="1504"/>
        <v>0.76030201037023559</v>
      </c>
      <c r="CV78" s="107">
        <f t="shared" si="1504"/>
        <v>0.73394571041629864</v>
      </c>
      <c r="CW78" s="22">
        <f t="shared" si="1504"/>
        <v>0.71503346870854778</v>
      </c>
      <c r="CX78" s="107">
        <f t="shared" si="1504"/>
        <v>0.6878008825251376</v>
      </c>
      <c r="CY78" s="107">
        <f t="shared" si="1504"/>
        <v>0.66302530404630011</v>
      </c>
      <c r="CZ78" s="107">
        <f>CZ74/CZ$80</f>
        <v>0.63941876407148146</v>
      </c>
      <c r="DA78" s="107">
        <f>DA74/DA$80</f>
        <v>0.61478903993038225</v>
      </c>
      <c r="DB78" s="107">
        <f>DB74/DB$80</f>
        <v>0.59147072083793606</v>
      </c>
      <c r="DC78" s="107">
        <f>DC74/DC$80</f>
        <v>0.57024544346936545</v>
      </c>
    </row>
    <row r="79" spans="1:108" x14ac:dyDescent="0.2">
      <c r="A79" s="7"/>
      <c r="CI79" s="92"/>
      <c r="CK79" s="92"/>
      <c r="CL79" s="92"/>
      <c r="CN79" s="92"/>
      <c r="CP79" s="92"/>
      <c r="CR79" s="92"/>
      <c r="CT79" s="92"/>
      <c r="CV79" s="92"/>
      <c r="CX79" s="92"/>
      <c r="CY79" s="92"/>
      <c r="CZ79" s="92"/>
      <c r="DA79" s="92"/>
      <c r="DB79" s="92"/>
      <c r="DC79" s="92"/>
    </row>
    <row r="80" spans="1:108" x14ac:dyDescent="0.2">
      <c r="A80" s="4" t="s">
        <v>76</v>
      </c>
      <c r="B80" s="21">
        <f t="shared" ref="B80:AG80" si="1505">B3+B68</f>
        <v>5064</v>
      </c>
      <c r="C80" s="21">
        <f t="shared" si="1505"/>
        <v>5088</v>
      </c>
      <c r="D80" s="21">
        <f t="shared" si="1505"/>
        <v>5481</v>
      </c>
      <c r="E80" s="21">
        <f t="shared" si="1505"/>
        <v>6371</v>
      </c>
      <c r="F80" s="21">
        <f t="shared" si="1505"/>
        <v>6536</v>
      </c>
      <c r="G80" s="21">
        <f t="shared" si="1505"/>
        <v>6914</v>
      </c>
      <c r="H80" s="21">
        <f t="shared" si="1505"/>
        <v>7512</v>
      </c>
      <c r="I80" s="21">
        <f t="shared" si="1505"/>
        <v>8132</v>
      </c>
      <c r="J80" s="21">
        <f t="shared" si="1505"/>
        <v>8136</v>
      </c>
      <c r="K80" s="21">
        <f t="shared" si="1505"/>
        <v>8361</v>
      </c>
      <c r="L80" s="21">
        <f t="shared" si="1505"/>
        <v>8752</v>
      </c>
      <c r="M80" s="21">
        <f t="shared" si="1505"/>
        <v>9832</v>
      </c>
      <c r="N80" s="21">
        <f t="shared" si="1505"/>
        <v>9984</v>
      </c>
      <c r="O80" s="21">
        <f t="shared" si="1505"/>
        <v>10091</v>
      </c>
      <c r="P80" s="21">
        <f t="shared" si="1505"/>
        <v>10778</v>
      </c>
      <c r="Q80" s="21">
        <f t="shared" si="1505"/>
        <v>12408</v>
      </c>
      <c r="R80" s="21">
        <f t="shared" si="1505"/>
        <v>12189</v>
      </c>
      <c r="S80" s="21">
        <f t="shared" si="1505"/>
        <v>12661</v>
      </c>
      <c r="T80" s="21">
        <f t="shared" si="1505"/>
        <v>13175</v>
      </c>
      <c r="U80" s="21">
        <f t="shared" si="1505"/>
        <v>14373</v>
      </c>
      <c r="V80" s="21">
        <f t="shared" si="1505"/>
        <v>13833</v>
      </c>
      <c r="W80" s="21">
        <f t="shared" si="1505"/>
        <v>14276</v>
      </c>
      <c r="X80" s="21">
        <f t="shared" si="1505"/>
        <v>14967</v>
      </c>
      <c r="Y80" s="21">
        <f t="shared" si="1505"/>
        <v>17123</v>
      </c>
      <c r="Z80" s="21">
        <f t="shared" si="1505"/>
        <v>16303</v>
      </c>
      <c r="AA80" s="21">
        <f t="shared" si="1505"/>
        <v>17340</v>
      </c>
      <c r="AB80" s="21">
        <f t="shared" si="1505"/>
        <v>18072</v>
      </c>
      <c r="AC80" s="21">
        <f t="shared" si="1505"/>
        <v>20954</v>
      </c>
      <c r="AD80" s="21">
        <f t="shared" si="1505"/>
        <v>19989</v>
      </c>
      <c r="AE80" s="21">
        <f t="shared" si="1505"/>
        <v>20822</v>
      </c>
      <c r="AF80" s="21">
        <f t="shared" si="1505"/>
        <v>22153</v>
      </c>
      <c r="AG80" s="21">
        <f t="shared" si="1505"/>
        <v>25742</v>
      </c>
      <c r="AH80" s="21">
        <f t="shared" ref="AH80:BQ80" si="1506">AH3+AH68</f>
        <v>24708</v>
      </c>
      <c r="AI80" s="21">
        <f t="shared" si="1506"/>
        <v>26092</v>
      </c>
      <c r="AJ80" s="21">
        <f t="shared" si="1506"/>
        <v>27012</v>
      </c>
      <c r="AK80" s="21">
        <f t="shared" si="1506"/>
        <v>31562</v>
      </c>
      <c r="AL80" s="21">
        <f t="shared" si="1506"/>
        <v>29172</v>
      </c>
      <c r="AM80" s="21">
        <f t="shared" si="1506"/>
        <v>31436</v>
      </c>
      <c r="AN80" s="21">
        <f t="shared" si="1506"/>
        <v>32735</v>
      </c>
      <c r="AO80" s="21">
        <f t="shared" si="1506"/>
        <v>37311</v>
      </c>
      <c r="AP80" s="21">
        <f t="shared" si="1506"/>
        <v>33523</v>
      </c>
      <c r="AQ80" s="21">
        <f t="shared" si="1506"/>
        <v>31304</v>
      </c>
      <c r="AR80" s="21">
        <f t="shared" si="1506"/>
        <v>37851</v>
      </c>
      <c r="AS80" s="21">
        <f t="shared" si="1506"/>
        <v>46238</v>
      </c>
      <c r="AT80" s="21">
        <f t="shared" si="1506"/>
        <v>45513</v>
      </c>
      <c r="AU80" s="21">
        <f t="shared" si="1506"/>
        <v>50766</v>
      </c>
      <c r="AV80" s="21">
        <f t="shared" si="1506"/>
        <v>53376</v>
      </c>
      <c r="AW80" s="21">
        <f t="shared" si="1506"/>
        <v>61514</v>
      </c>
      <c r="AX80" s="21">
        <f t="shared" si="1506"/>
        <v>55303</v>
      </c>
      <c r="AY80" s="21">
        <f t="shared" si="1506"/>
        <v>56903</v>
      </c>
      <c r="AZ80" s="21">
        <f t="shared" si="1506"/>
        <v>56419</v>
      </c>
      <c r="BA80" s="21">
        <f t="shared" si="1506"/>
        <v>62228</v>
      </c>
      <c r="BB80" s="21">
        <f t="shared" si="1506"/>
        <v>57694</v>
      </c>
      <c r="BC80" s="21">
        <f t="shared" si="1506"/>
        <v>61779</v>
      </c>
      <c r="BD80" s="21">
        <f t="shared" si="1506"/>
        <v>63755</v>
      </c>
      <c r="BE80" s="21">
        <f t="shared" ref="BE80:BF80" si="1507">BE3+BE68</f>
        <v>71517</v>
      </c>
      <c r="BF80" s="21">
        <f t="shared" si="1507"/>
        <v>67026</v>
      </c>
      <c r="BG80" s="21">
        <f t="shared" ref="BG80:BH80" si="1508">BG3+BG68</f>
        <v>70888</v>
      </c>
      <c r="BH80" s="21">
        <f t="shared" si="1508"/>
        <v>74144</v>
      </c>
      <c r="BI80" s="21">
        <f t="shared" ref="BI80:BJ80" si="1509">BI3+BI68</f>
        <v>81201</v>
      </c>
      <c r="BJ80" s="21">
        <f t="shared" si="1509"/>
        <v>75776</v>
      </c>
      <c r="BK80" s="21">
        <f t="shared" ref="BK80:BL80" si="1510">BK3+BK68</f>
        <v>81462</v>
      </c>
      <c r="BL80" s="21">
        <f t="shared" si="1510"/>
        <v>87333</v>
      </c>
      <c r="BM80" s="21">
        <f t="shared" si="1506"/>
        <v>95095.295777777792</v>
      </c>
      <c r="BN80" s="21">
        <f t="shared" si="1506"/>
        <v>88569.60356867424</v>
      </c>
      <c r="BO80" s="21">
        <f t="shared" si="1506"/>
        <v>93949.804100033041</v>
      </c>
      <c r="BP80" s="21">
        <f t="shared" si="1506"/>
        <v>99924.068424418962</v>
      </c>
      <c r="BQ80" s="21">
        <f t="shared" si="1506"/>
        <v>107812.18039378629</v>
      </c>
      <c r="BR80" s="21">
        <f>BR3+BR68</f>
        <v>101462.44754260007</v>
      </c>
      <c r="BS80" s="21">
        <f t="shared" ref="BS80:BU80" si="1511">BS3+BS68</f>
        <v>107189.20785095963</v>
      </c>
      <c r="BT80" s="21">
        <f t="shared" si="1511"/>
        <v>114145.81152771352</v>
      </c>
      <c r="BU80" s="21">
        <f t="shared" si="1511"/>
        <v>122765.14052316397</v>
      </c>
      <c r="BV80" s="21">
        <f t="shared" ref="BV80:CC80" si="1512">BV3+BV68</f>
        <v>115530.52057507672</v>
      </c>
      <c r="BW80" s="21">
        <f t="shared" si="1512"/>
        <v>121580.4782993501</v>
      </c>
      <c r="BX80" s="21">
        <f t="shared" si="1512"/>
        <v>129639.67891572324</v>
      </c>
      <c r="BY80" s="21">
        <f t="shared" si="1512"/>
        <v>139002.34089270019</v>
      </c>
      <c r="BZ80" s="21">
        <f t="shared" si="1512"/>
        <v>130373.81236365123</v>
      </c>
      <c r="CA80" s="21">
        <f t="shared" si="1512"/>
        <v>136698.43481488244</v>
      </c>
      <c r="CB80" s="21">
        <f t="shared" si="1512"/>
        <v>145935.38967443228</v>
      </c>
      <c r="CC80" s="21">
        <f t="shared" si="1512"/>
        <v>156022.73971452186</v>
      </c>
      <c r="CD80" s="21">
        <f t="shared" ref="CD80:CG80" si="1513">CD3+CD68</f>
        <v>145801.4882014211</v>
      </c>
      <c r="CE80" s="21">
        <f t="shared" si="1513"/>
        <v>152341.09887136795</v>
      </c>
      <c r="CF80" s="21">
        <f t="shared" si="1513"/>
        <v>162813.10440710007</v>
      </c>
      <c r="CG80" s="21">
        <f t="shared" si="1513"/>
        <v>173599.00677053473</v>
      </c>
      <c r="CH80" s="21"/>
      <c r="CI80" s="90">
        <f>SUM(B80:E80)</f>
        <v>22004</v>
      </c>
      <c r="CJ80" s="21">
        <f>SUM(F80:I80)</f>
        <v>29094</v>
      </c>
      <c r="CK80" s="90">
        <f>SUM(J80:M80)</f>
        <v>35081</v>
      </c>
      <c r="CL80" s="90">
        <f>SUM(N80:Q80)</f>
        <v>43261</v>
      </c>
      <c r="CM80" s="21">
        <f>SUM(R80:U80)</f>
        <v>52398</v>
      </c>
      <c r="CN80" s="90">
        <f>SUM(V80:Y80)</f>
        <v>60199</v>
      </c>
      <c r="CO80" s="21">
        <f>SUM(Z80:AC80)</f>
        <v>72669</v>
      </c>
      <c r="CP80" s="90">
        <f>SUM(AD80:AG80)</f>
        <v>88706</v>
      </c>
      <c r="CQ80" s="21">
        <f>SUM(AH80:AK80)</f>
        <v>109374</v>
      </c>
      <c r="CR80" s="90">
        <f>SUM(AL80:AO80)</f>
        <v>130654</v>
      </c>
      <c r="CS80" s="21">
        <f>SUM(AP80:AS80)</f>
        <v>148916</v>
      </c>
      <c r="CT80" s="90">
        <f>SUM(AT80:AW80)</f>
        <v>211169</v>
      </c>
      <c r="CU80" s="21">
        <f>SUM(AX80:BA80)</f>
        <v>230853</v>
      </c>
      <c r="CV80" s="90">
        <f>SUM(BB80:BE80)</f>
        <v>254745</v>
      </c>
      <c r="CW80" s="21">
        <f>SUM(BF80:BI80)</f>
        <v>293259</v>
      </c>
      <c r="CX80" s="90">
        <f>SUM(BJ80:BM80)</f>
        <v>339666.29577777779</v>
      </c>
      <c r="CY80" s="90">
        <f>SUM(BN80:BQ80)</f>
        <v>390255.65648691251</v>
      </c>
      <c r="CZ80" s="90">
        <f>SUM(BR80:BU80)</f>
        <v>445562.60744443722</v>
      </c>
      <c r="DA80" s="90">
        <f>SUM(BV80:BY80)</f>
        <v>505753.01868285023</v>
      </c>
      <c r="DB80" s="90">
        <f>SUM(BZ80:CC80)</f>
        <v>569030.37656748784</v>
      </c>
      <c r="DC80" s="90">
        <f>SUM(CD80:CG80)</f>
        <v>634554.69825042388</v>
      </c>
      <c r="DD80" s="21"/>
    </row>
    <row r="81" spans="1:108" x14ac:dyDescent="0.2">
      <c r="A81" s="14" t="s">
        <v>62</v>
      </c>
      <c r="B81" s="25" t="s">
        <v>82</v>
      </c>
      <c r="C81" s="22">
        <f t="shared" ref="C81:AJ81" si="1514">IF(AND(B80&lt;0,C80&gt;0),"n/a",C80/B80-1)</f>
        <v>4.7393364928909332E-3</v>
      </c>
      <c r="D81" s="22">
        <f t="shared" si="1514"/>
        <v>7.7240566037735769E-2</v>
      </c>
      <c r="E81" s="22">
        <f t="shared" si="1514"/>
        <v>0.16237912789636932</v>
      </c>
      <c r="F81" s="22">
        <f t="shared" si="1514"/>
        <v>2.5898603045047874E-2</v>
      </c>
      <c r="G81" s="22">
        <f t="shared" si="1514"/>
        <v>5.7833537331701379E-2</v>
      </c>
      <c r="H81" s="22">
        <f t="shared" si="1514"/>
        <v>8.6491177321377011E-2</v>
      </c>
      <c r="I81" s="22">
        <f t="shared" si="1514"/>
        <v>8.2534611288604953E-2</v>
      </c>
      <c r="J81" s="22">
        <f t="shared" si="1514"/>
        <v>4.9188391539600751E-4</v>
      </c>
      <c r="K81" s="22">
        <f t="shared" si="1514"/>
        <v>2.7654867256637239E-2</v>
      </c>
      <c r="L81" s="22">
        <f t="shared" si="1514"/>
        <v>4.6764741059681869E-2</v>
      </c>
      <c r="M81" s="22">
        <f t="shared" si="1514"/>
        <v>0.12340036563071299</v>
      </c>
      <c r="N81" s="22">
        <f t="shared" si="1514"/>
        <v>1.5459723352319044E-2</v>
      </c>
      <c r="O81" s="22">
        <f t="shared" si="1514"/>
        <v>1.0717147435897356E-2</v>
      </c>
      <c r="P81" s="22">
        <f t="shared" si="1514"/>
        <v>6.8080467743533823E-2</v>
      </c>
      <c r="Q81" s="22">
        <f t="shared" si="1514"/>
        <v>0.15123399517535718</v>
      </c>
      <c r="R81" s="22">
        <f t="shared" si="1514"/>
        <v>-1.7649903288201152E-2</v>
      </c>
      <c r="S81" s="22">
        <f t="shared" si="1514"/>
        <v>3.8723439166461482E-2</v>
      </c>
      <c r="T81" s="22">
        <f t="shared" si="1514"/>
        <v>4.059710923307791E-2</v>
      </c>
      <c r="U81" s="22">
        <f t="shared" si="1514"/>
        <v>9.0929791271347149E-2</v>
      </c>
      <c r="V81" s="22">
        <f t="shared" si="1514"/>
        <v>-3.7570444583594265E-2</v>
      </c>
      <c r="W81" s="22">
        <f t="shared" si="1514"/>
        <v>3.2024868069110202E-2</v>
      </c>
      <c r="X81" s="22">
        <f t="shared" si="1514"/>
        <v>4.8402913981507423E-2</v>
      </c>
      <c r="Y81" s="22">
        <f t="shared" si="1514"/>
        <v>0.14405024386984699</v>
      </c>
      <c r="Z81" s="22">
        <f t="shared" si="1514"/>
        <v>-4.7888804531916129E-2</v>
      </c>
      <c r="AA81" s="22">
        <f t="shared" si="1514"/>
        <v>6.3607924921793568E-2</v>
      </c>
      <c r="AB81" s="22">
        <f t="shared" si="1514"/>
        <v>4.2214532871972299E-2</v>
      </c>
      <c r="AC81" s="22">
        <f t="shared" si="1514"/>
        <v>0.15947321823815841</v>
      </c>
      <c r="AD81" s="22">
        <f t="shared" si="1514"/>
        <v>-4.6053259520855261E-2</v>
      </c>
      <c r="AE81" s="22">
        <f t="shared" si="1514"/>
        <v>4.1672920106058386E-2</v>
      </c>
      <c r="AF81" s="22">
        <f t="shared" si="1514"/>
        <v>6.3922773989049997E-2</v>
      </c>
      <c r="AG81" s="22">
        <f t="shared" si="1514"/>
        <v>0.162009660091184</v>
      </c>
      <c r="AH81" s="22">
        <f t="shared" si="1514"/>
        <v>-4.016781912827283E-2</v>
      </c>
      <c r="AI81" s="22">
        <f t="shared" si="1514"/>
        <v>5.6014246397927847E-2</v>
      </c>
      <c r="AJ81" s="22">
        <f t="shared" si="1514"/>
        <v>3.5259849762379281E-2</v>
      </c>
      <c r="AK81" s="22">
        <f>IF(AND(AJ80&lt;0,AK80&gt;0),"n/a",AK80/AJ80-1)</f>
        <v>0.16844365467199762</v>
      </c>
      <c r="AL81" s="22">
        <f>IF(AND(AK80&lt;0,AL80&gt;0),"n/a",AL80/AK80-1)</f>
        <v>-7.5723971864900874E-2</v>
      </c>
      <c r="AM81" s="22">
        <f t="shared" ref="AM81" si="1515">IF(AND(AL80&lt;0,AM80&gt;0),"n/a",AM80/AL80-1)</f>
        <v>7.7608665843959868E-2</v>
      </c>
      <c r="AN81" s="22">
        <f t="shared" ref="AN81" si="1516">IF(AND(AM80&lt;0,AN80&gt;0),"n/a",AN80/AM80-1)</f>
        <v>4.1322051151545969E-2</v>
      </c>
      <c r="AO81" s="22">
        <f t="shared" ref="AO81" si="1517">IF(AND(AN80&lt;0,AO80&gt;0),"n/a",AO80/AN80-1)</f>
        <v>0.1397892164350083</v>
      </c>
      <c r="AP81" s="22">
        <f t="shared" ref="AP81" si="1518">IF(AND(AO80&lt;0,AP80&gt;0),"n/a",AP80/AO80-1)</f>
        <v>-0.10152501943126691</v>
      </c>
      <c r="AQ81" s="22">
        <f t="shared" ref="AQ81" si="1519">IF(AND(AP80&lt;0,AQ80&gt;0),"n/a",AQ80/AP80-1)</f>
        <v>-6.6193359782835692E-2</v>
      </c>
      <c r="AR81" s="22">
        <f t="shared" ref="AR81" si="1520">IF(AND(AQ80&lt;0,AR80&gt;0),"n/a",AR80/AQ80-1)</f>
        <v>0.20914260158446196</v>
      </c>
      <c r="AS81" s="22">
        <f t="shared" ref="AS81" si="1521">IF(AND(AR80&lt;0,AS80&gt;0),"n/a",AS80/AR80-1)</f>
        <v>0.22157935061160861</v>
      </c>
      <c r="AT81" s="22">
        <f t="shared" ref="AT81" si="1522">IF(AND(AS80&lt;0,AT80&gt;0),"n/a",AT80/AS80-1)</f>
        <v>-1.5679743933561086E-2</v>
      </c>
      <c r="AU81" s="22">
        <f t="shared" ref="AU81" si="1523">IF(AND(AT80&lt;0,AU80&gt;0),"n/a",AU80/AT80-1)</f>
        <v>0.11541757300112065</v>
      </c>
      <c r="AV81" s="22">
        <f t="shared" ref="AV81" si="1524">IF(AND(AU80&lt;0,AV80&gt;0),"n/a",AV80/AU80-1)</f>
        <v>5.1412362604893014E-2</v>
      </c>
      <c r="AW81" s="22">
        <f t="shared" ref="AW81" si="1525">IF(AND(AV80&lt;0,AW80&gt;0),"n/a",AW80/AV80-1)</f>
        <v>0.15246552757793763</v>
      </c>
      <c r="AX81" s="22">
        <f t="shared" ref="AX81" si="1526">IF(AND(AW80&lt;0,AX80&gt;0),"n/a",AX80/AW80-1)</f>
        <v>-0.10096888513183988</v>
      </c>
      <c r="AY81" s="22">
        <f t="shared" ref="AY81" si="1527">IF(AND(AX80&lt;0,AY80&gt;0),"n/a",AY80/AX80-1)</f>
        <v>2.8931522702204227E-2</v>
      </c>
      <c r="AZ81" s="22">
        <f t="shared" ref="AZ81" si="1528">IF(AND(AY80&lt;0,AZ80&gt;0),"n/a",AZ80/AY80-1)</f>
        <v>-8.5057026870287711E-3</v>
      </c>
      <c r="BA81" s="22">
        <f t="shared" ref="BA81" si="1529">IF(AND(AZ80&lt;0,BA80&gt;0),"n/a",BA80/AZ80-1)</f>
        <v>0.10296176819865654</v>
      </c>
      <c r="BB81" s="22">
        <f t="shared" ref="BB81" si="1530">IF(AND(BA80&lt;0,BB80&gt;0),"n/a",BB80/BA80-1)</f>
        <v>-7.2861091470077799E-2</v>
      </c>
      <c r="BC81" s="22">
        <f t="shared" ref="BC81" si="1531">IF(AND(BB80&lt;0,BC80&gt;0),"n/a",BC80/BB80-1)</f>
        <v>7.0804589732034628E-2</v>
      </c>
      <c r="BD81" s="28">
        <f t="shared" ref="BD81:BL81" si="1532">IF(AND(BC80&lt;0,BD80&gt;0),"n/a",BD80/BC80-1)</f>
        <v>3.1984978714449941E-2</v>
      </c>
      <c r="BE81" s="28">
        <f t="shared" si="1532"/>
        <v>0.12174731393616178</v>
      </c>
      <c r="BF81" s="28">
        <f t="shared" si="1532"/>
        <v>-6.2796258232308388E-2</v>
      </c>
      <c r="BG81" s="28">
        <f t="shared" si="1532"/>
        <v>5.7619431265478971E-2</v>
      </c>
      <c r="BH81" s="28">
        <f t="shared" si="1532"/>
        <v>4.5931610427716985E-2</v>
      </c>
      <c r="BI81" s="28">
        <f t="shared" si="1532"/>
        <v>9.5179650410012862E-2</v>
      </c>
      <c r="BJ81" s="28">
        <f t="shared" si="1532"/>
        <v>-6.680952205022106E-2</v>
      </c>
      <c r="BK81" s="28">
        <f t="shared" si="1532"/>
        <v>7.5036951013513598E-2</v>
      </c>
      <c r="BL81" s="28">
        <f t="shared" si="1532"/>
        <v>7.2070413198792149E-2</v>
      </c>
      <c r="BM81" s="22">
        <f t="shared" ref="BM81" si="1533">IF(AND(BL80&lt;0,BM80&gt;0),"n/a",BM80/BL80-1)</f>
        <v>8.8881588606572359E-2</v>
      </c>
      <c r="BN81" s="22">
        <f t="shared" ref="BN81" si="1534">IF(AND(BM80&lt;0,BN80&gt;0),"n/a",BN80/BM80-1)</f>
        <v>-6.8622660624065301E-2</v>
      </c>
      <c r="BO81" s="22">
        <f t="shared" ref="BO81" si="1535">IF(AND(BN80&lt;0,BO80&gt;0),"n/a",BO80/BN80-1)</f>
        <v>6.0745451199712752E-2</v>
      </c>
      <c r="BP81" s="22">
        <f t="shared" ref="BP81" si="1536">IF(AND(BO80&lt;0,BP80&gt;0),"n/a",BP80/BO80-1)</f>
        <v>6.3589960422108183E-2</v>
      </c>
      <c r="BQ81" s="22">
        <f t="shared" ref="BQ81" si="1537">IF(AND(BP80&lt;0,BQ80&gt;0),"n/a",BQ80/BP80-1)</f>
        <v>7.8941060884983649E-2</v>
      </c>
      <c r="BR81" s="28">
        <f>IF(AND(BQ80&lt;0,BR80&gt;0),"n/a",BR80/BQ80-1)</f>
        <v>-5.8896247418368519E-2</v>
      </c>
      <c r="BS81" s="28">
        <f t="shared" ref="BS81" si="1538">IF(AND(BR80&lt;0,BS80&gt;0),"n/a",BS80/BR80-1)</f>
        <v>5.6442166013737527E-2</v>
      </c>
      <c r="BT81" s="28">
        <f t="shared" ref="BT81" si="1539">IF(AND(BS80&lt;0,BT80&gt;0),"n/a",BT80/BS80-1)</f>
        <v>6.4900224716901045E-2</v>
      </c>
      <c r="BU81" s="28">
        <f t="shared" ref="BU81" si="1540">IF(AND(BT80&lt;0,BU80&gt;0),"n/a",BU80/BT80-1)</f>
        <v>7.5511566128361629E-2</v>
      </c>
      <c r="BV81" s="28">
        <f t="shared" ref="BV81" si="1541">IF(AND(BU80&lt;0,BV80&gt;0),"n/a",BV80/BU80-1)</f>
        <v>-5.8930571962504175E-2</v>
      </c>
      <c r="BW81" s="28">
        <f t="shared" ref="BW81" si="1542">IF(AND(BV80&lt;0,BW80&gt;0),"n/a",BW80/BV80-1)</f>
        <v>5.2366748580015665E-2</v>
      </c>
      <c r="BX81" s="28">
        <f t="shared" ref="BX81" si="1543">IF(AND(BW80&lt;0,BX80&gt;0),"n/a",BX80/BW80-1)</f>
        <v>6.6286962587284171E-2</v>
      </c>
      <c r="BY81" s="28">
        <f t="shared" ref="BY81" si="1544">IF(AND(BX80&lt;0,BY80&gt;0),"n/a",BY80/BX80-1)</f>
        <v>7.2220650770536521E-2</v>
      </c>
      <c r="BZ81" s="28">
        <f t="shared" ref="BZ81" si="1545">IF(AND(BY80&lt;0,BZ80&gt;0),"n/a",BZ80/BY80-1)</f>
        <v>-6.207469941610233E-2</v>
      </c>
      <c r="CA81" s="28">
        <f t="shared" ref="CA81" si="1546">IF(AND(BZ80&lt;0,CA80&gt;0),"n/a",CA80/BZ80-1)</f>
        <v>4.8511448246906896E-2</v>
      </c>
      <c r="CB81" s="28">
        <f t="shared" ref="CB81" si="1547">IF(AND(CA80&lt;0,CB80&gt;0),"n/a",CB80/CA80-1)</f>
        <v>6.7571767533831428E-2</v>
      </c>
      <c r="CC81" s="28">
        <f t="shared" ref="CC81" si="1548">IF(AND(CB80&lt;0,CC80&gt;0),"n/a",CC80/CB80-1)</f>
        <v>6.9122027649314299E-2</v>
      </c>
      <c r="CD81" s="28">
        <f t="shared" ref="CD81" si="1549">IF(AND(CC80&lt;0,CD80&gt;0),"n/a",CD80/CC80-1)</f>
        <v>-6.5511293621704048E-2</v>
      </c>
      <c r="CE81" s="28">
        <f t="shared" ref="CE81" si="1550">IF(AND(CD80&lt;0,CE80&gt;0),"n/a",CE80/CD80-1)</f>
        <v>4.4852838956709107E-2</v>
      </c>
      <c r="CF81" s="28">
        <f t="shared" ref="CF81" si="1551">IF(AND(CE80&lt;0,CF80&gt;0),"n/a",CF80/CE80-1)</f>
        <v>6.8740514630095673E-2</v>
      </c>
      <c r="CG81" s="28">
        <f t="shared" ref="CG81" si="1552">IF(AND(CF80&lt;0,CG80&gt;0),"n/a",CG80/CF80-1)</f>
        <v>6.6247139029211422E-2</v>
      </c>
      <c r="CH81" s="28"/>
      <c r="CI81" s="106" t="s">
        <v>82</v>
      </c>
      <c r="CJ81" s="48" t="s">
        <v>82</v>
      </c>
      <c r="CK81" s="106" t="s">
        <v>82</v>
      </c>
      <c r="CL81" s="106" t="s">
        <v>82</v>
      </c>
      <c r="CM81" s="48" t="s">
        <v>82</v>
      </c>
      <c r="CN81" s="106" t="s">
        <v>82</v>
      </c>
      <c r="CO81" s="48" t="s">
        <v>82</v>
      </c>
      <c r="CP81" s="106" t="s">
        <v>82</v>
      </c>
      <c r="CQ81" s="48" t="s">
        <v>82</v>
      </c>
      <c r="CR81" s="106" t="s">
        <v>82</v>
      </c>
      <c r="CS81" s="48" t="s">
        <v>82</v>
      </c>
      <c r="CT81" s="106" t="s">
        <v>82</v>
      </c>
      <c r="CU81" s="48" t="s">
        <v>82</v>
      </c>
      <c r="CV81" s="106" t="s">
        <v>82</v>
      </c>
      <c r="CW81" s="48" t="s">
        <v>82</v>
      </c>
      <c r="CX81" s="106" t="s">
        <v>82</v>
      </c>
      <c r="CY81" s="106" t="s">
        <v>82</v>
      </c>
      <c r="CZ81" s="106" t="s">
        <v>82</v>
      </c>
      <c r="DA81" s="106" t="s">
        <v>82</v>
      </c>
      <c r="DB81" s="106" t="s">
        <v>82</v>
      </c>
      <c r="DC81" s="106" t="s">
        <v>82</v>
      </c>
    </row>
    <row r="82" spans="1:108" x14ac:dyDescent="0.2">
      <c r="A82" s="14" t="s">
        <v>63</v>
      </c>
      <c r="B82" s="25" t="s">
        <v>82</v>
      </c>
      <c r="C82" s="25" t="s">
        <v>82</v>
      </c>
      <c r="D82" s="25" t="s">
        <v>82</v>
      </c>
      <c r="E82" s="25" t="s">
        <v>82</v>
      </c>
      <c r="F82" s="22">
        <f t="shared" ref="F82:AJ82" si="1553">IF(AND(B80&lt;0,F80&gt;0),"n/a",F80/B80-1)</f>
        <v>0.29067930489731442</v>
      </c>
      <c r="G82" s="22">
        <f t="shared" si="1553"/>
        <v>0.35888364779874204</v>
      </c>
      <c r="H82" s="22">
        <f t="shared" si="1553"/>
        <v>0.37055281882868085</v>
      </c>
      <c r="I82" s="22">
        <f t="shared" si="1553"/>
        <v>0.27640872704441999</v>
      </c>
      <c r="J82" s="22">
        <f t="shared" si="1553"/>
        <v>0.24479804161566698</v>
      </c>
      <c r="K82" s="22">
        <f t="shared" si="1553"/>
        <v>0.20928550766560594</v>
      </c>
      <c r="L82" s="22">
        <f t="shared" si="1553"/>
        <v>0.16506922257720991</v>
      </c>
      <c r="M82" s="22">
        <f t="shared" si="1553"/>
        <v>0.20905066404328587</v>
      </c>
      <c r="N82" s="22">
        <f t="shared" si="1553"/>
        <v>0.22713864306784659</v>
      </c>
      <c r="O82" s="22">
        <f t="shared" si="1553"/>
        <v>0.20691304867838767</v>
      </c>
      <c r="P82" s="22">
        <f t="shared" si="1553"/>
        <v>0.23148994515539312</v>
      </c>
      <c r="Q82" s="22">
        <f t="shared" si="1553"/>
        <v>0.26200162733930021</v>
      </c>
      <c r="R82" s="22">
        <f t="shared" si="1553"/>
        <v>0.22085336538461542</v>
      </c>
      <c r="S82" s="22">
        <f t="shared" si="1553"/>
        <v>0.25468239024873651</v>
      </c>
      <c r="T82" s="22">
        <f t="shared" si="1553"/>
        <v>0.22239747634069396</v>
      </c>
      <c r="U82" s="22">
        <f t="shared" si="1553"/>
        <v>0.1583655705996132</v>
      </c>
      <c r="V82" s="22">
        <f t="shared" si="1553"/>
        <v>0.13487570760521783</v>
      </c>
      <c r="W82" s="22">
        <f t="shared" si="1553"/>
        <v>0.12755706500276442</v>
      </c>
      <c r="X82" s="22">
        <f t="shared" si="1553"/>
        <v>0.13601518026565462</v>
      </c>
      <c r="Y82" s="22">
        <f t="shared" si="1553"/>
        <v>0.19133096778682246</v>
      </c>
      <c r="Z82" s="22">
        <f t="shared" si="1553"/>
        <v>0.17855851948239709</v>
      </c>
      <c r="AA82" s="22">
        <f t="shared" si="1553"/>
        <v>0.21462594564303727</v>
      </c>
      <c r="AB82" s="22">
        <f t="shared" si="1553"/>
        <v>0.20745640408899568</v>
      </c>
      <c r="AC82" s="22">
        <f t="shared" si="1553"/>
        <v>0.22373415873386682</v>
      </c>
      <c r="AD82" s="22">
        <f t="shared" si="1553"/>
        <v>0.22609335705084943</v>
      </c>
      <c r="AE82" s="22">
        <f t="shared" si="1553"/>
        <v>0.20080738177623991</v>
      </c>
      <c r="AF82" s="22">
        <f t="shared" si="1553"/>
        <v>0.22581894643647638</v>
      </c>
      <c r="AG82" s="22">
        <f t="shared" si="1553"/>
        <v>0.22850052495943496</v>
      </c>
      <c r="AH82" s="22">
        <f t="shared" si="1553"/>
        <v>0.23607984391415271</v>
      </c>
      <c r="AI82" s="22">
        <f t="shared" si="1553"/>
        <v>0.25309768514071651</v>
      </c>
      <c r="AJ82" s="22">
        <f t="shared" si="1553"/>
        <v>0.21933823861328028</v>
      </c>
      <c r="AK82" s="22">
        <f>IF(AND(AG80&lt;0,AK80&gt;0),"n/a",AK80/AG80-1)</f>
        <v>0.22608965892316069</v>
      </c>
      <c r="AL82" s="22">
        <f>IF(AND(AH80&lt;0,AL80&gt;0),"n/a",AL80/AH80-1)</f>
        <v>0.18067022826614854</v>
      </c>
      <c r="AM82" s="22">
        <f t="shared" ref="AM82" si="1554">IF(AND(AI80&lt;0,AM80&gt;0),"n/a",AM80/AI80-1)</f>
        <v>0.20481373601103781</v>
      </c>
      <c r="AN82" s="22">
        <f t="shared" ref="AN82" si="1555">IF(AND(AJ80&lt;0,AN80&gt;0),"n/a",AN80/AJ80-1)</f>
        <v>0.21186879905227296</v>
      </c>
      <c r="AO82" s="22">
        <f t="shared" ref="AO82" si="1556">IF(AND(AK80&lt;0,AO80&gt;0),"n/a",AO80/AK80-1)</f>
        <v>0.18214942018883473</v>
      </c>
      <c r="AP82" s="22">
        <f t="shared" ref="AP82" si="1557">IF(AND(AL80&lt;0,AP80&gt;0),"n/a",AP80/AL80-1)</f>
        <v>0.14914986973810507</v>
      </c>
      <c r="AQ82" s="22">
        <f t="shared" ref="AQ82" si="1558">IF(AND(AM80&lt;0,AQ80&gt;0),"n/a",AQ80/AM80-1)</f>
        <v>-4.199007507316499E-3</v>
      </c>
      <c r="AR82" s="22">
        <f t="shared" ref="AR82" si="1559">IF(AND(AN80&lt;0,AR80&gt;0),"n/a",AR80/AN80-1)</f>
        <v>0.15628532152130736</v>
      </c>
      <c r="AS82" s="22">
        <f t="shared" ref="AS82" si="1560">IF(AND(AO80&lt;0,AS80&gt;0),"n/a",AS80/AO80-1)</f>
        <v>0.23925919969982035</v>
      </c>
      <c r="AT82" s="22">
        <f t="shared" ref="AT82" si="1561">IF(AND(AP80&lt;0,AT80&gt;0),"n/a",AT80/AP80-1)</f>
        <v>0.35766488679414143</v>
      </c>
      <c r="AU82" s="22">
        <f t="shared" ref="AU82" si="1562">IF(AND(AQ80&lt;0,AU80&gt;0),"n/a",AU80/AQ80-1)</f>
        <v>0.62170968566317408</v>
      </c>
      <c r="AV82" s="22">
        <f t="shared" ref="AV82" si="1563">IF(AND(AR80&lt;0,AV80&gt;0),"n/a",AV80/AR80-1)</f>
        <v>0.41016089403186173</v>
      </c>
      <c r="AW82" s="22">
        <f t="shared" ref="AW82" si="1564">IF(AND(AS80&lt;0,AW80&gt;0),"n/a",AW80/AS80-1)</f>
        <v>0.33037761148838607</v>
      </c>
      <c r="AX82" s="22">
        <f t="shared" ref="AX82" si="1565">IF(AND(AT80&lt;0,AX80&gt;0),"n/a",AX80/AT80-1)</f>
        <v>0.21510337705710447</v>
      </c>
      <c r="AY82" s="22">
        <f t="shared" ref="AY82" si="1566">IF(AND(AU80&lt;0,AY80&gt;0),"n/a",AY80/AU80-1)</f>
        <v>0.12088799590276955</v>
      </c>
      <c r="AZ82" s="22">
        <f t="shared" ref="AZ82" si="1567">IF(AND(AV80&lt;0,AZ80&gt;0),"n/a",AZ80/AV80-1)</f>
        <v>5.7010641486810565E-2</v>
      </c>
      <c r="BA82" s="22">
        <f t="shared" ref="BA82" si="1568">IF(AND(AW80&lt;0,BA80&gt;0),"n/a",BA80/AW80-1)</f>
        <v>1.1607113827746485E-2</v>
      </c>
      <c r="BB82" s="22">
        <f t="shared" ref="BB82" si="1569">IF(AND(AX80&lt;0,BB80&gt;0),"n/a",BB80/AX80-1)</f>
        <v>4.3234544238106354E-2</v>
      </c>
      <c r="BC82" s="22">
        <f t="shared" ref="BC82" si="1570">IF(AND(AY80&lt;0,BC80&gt;0),"n/a",BC80/AY80-1)</f>
        <v>8.5689682442050552E-2</v>
      </c>
      <c r="BD82" s="28">
        <f t="shared" ref="BD82:BL82" si="1571">IF(AND(AZ80&lt;0,BD80&gt;0),"n/a",BD80/AZ80-1)</f>
        <v>0.13002711852390147</v>
      </c>
      <c r="BE82" s="28">
        <f t="shared" si="1571"/>
        <v>0.14927363887639</v>
      </c>
      <c r="BF82" s="28">
        <f t="shared" si="1571"/>
        <v>0.16174992200228799</v>
      </c>
      <c r="BG82" s="28">
        <f t="shared" si="1571"/>
        <v>0.14744492465077119</v>
      </c>
      <c r="BH82" s="28">
        <f t="shared" si="1571"/>
        <v>0.16295192533918912</v>
      </c>
      <c r="BI82" s="28">
        <f t="shared" si="1571"/>
        <v>0.13540836444481741</v>
      </c>
      <c r="BJ82" s="28">
        <f t="shared" si="1571"/>
        <v>0.1305463551457644</v>
      </c>
      <c r="BK82" s="28">
        <f t="shared" si="1571"/>
        <v>0.14916487981040505</v>
      </c>
      <c r="BL82" s="28">
        <f t="shared" si="1571"/>
        <v>0.17788357790246012</v>
      </c>
      <c r="BM82" s="22">
        <f t="shared" ref="BM82" si="1572">IF(AND(BI80&lt;0,BM80&gt;0),"n/a",BM80/BI80-1)</f>
        <v>0.17110990970280904</v>
      </c>
      <c r="BN82" s="22">
        <f t="shared" ref="BN82" si="1573">IF(AND(BJ80&lt;0,BN80&gt;0),"n/a",BN80/BJ80-1)</f>
        <v>0.16883450655450583</v>
      </c>
      <c r="BO82" s="22">
        <f t="shared" ref="BO82" si="1574">IF(AND(BK80&lt;0,BO80&gt;0),"n/a",BO80/BK80-1)</f>
        <v>0.15329606565064746</v>
      </c>
      <c r="BP82" s="22">
        <f t="shared" ref="BP82" si="1575">IF(AND(BL80&lt;0,BP80&gt;0),"n/a",BP80/BL80-1)</f>
        <v>0.14417308948987162</v>
      </c>
      <c r="BQ82" s="22">
        <f t="shared" ref="BQ82" si="1576">IF(AND(BM80&lt;0,BQ80&gt;0),"n/a",BQ80/BM80-1)</f>
        <v>0.13372779917237732</v>
      </c>
      <c r="BR82" s="28">
        <f>IF(AND(BN80&lt;0,BR80&gt;0),"n/a",BR80/BN80-1)</f>
        <v>0.14556736684419169</v>
      </c>
      <c r="BS82" s="28">
        <f t="shared" ref="BS82" si="1577">IF(AND(BO80&lt;0,BS80&gt;0),"n/a",BS80/BO80-1)</f>
        <v>0.14091997186955219</v>
      </c>
      <c r="BT82" s="28">
        <f t="shared" ref="BT82" si="1578">IF(AND(BP80&lt;0,BT80&gt;0),"n/a",BT80/BP80-1)</f>
        <v>0.14232550102832997</v>
      </c>
      <c r="BU82" s="28">
        <f t="shared" ref="BU82" si="1579">IF(AND(BQ80&lt;0,BU80&gt;0),"n/a",BU80/BQ80-1)</f>
        <v>0.13869453409402976</v>
      </c>
      <c r="BV82" s="28">
        <f t="shared" ref="BV82" si="1580">IF(AND(BR80&lt;0,BV80&gt;0),"n/a",BV80/BR80-1)</f>
        <v>0.13865300289124227</v>
      </c>
      <c r="BW82" s="28">
        <f t="shared" ref="BW82" si="1581">IF(AND(BS80&lt;0,BW80&gt;0),"n/a",BW80/BS80-1)</f>
        <v>0.1342604422303475</v>
      </c>
      <c r="BX82" s="28">
        <f t="shared" ref="BX82" si="1582">IF(AND(BT80&lt;0,BX80&gt;0),"n/a",BX80/BT80-1)</f>
        <v>0.13573750259113071</v>
      </c>
      <c r="BY82" s="28">
        <f t="shared" ref="BY82" si="1583">IF(AND(BU80&lt;0,BY80&gt;0),"n/a",BY80/BU80-1)</f>
        <v>0.13226230426928476</v>
      </c>
      <c r="BZ82" s="28">
        <f t="shared" ref="BZ82" si="1584">IF(AND(BV80&lt;0,BZ80&gt;0),"n/a",BZ80/BV80-1)</f>
        <v>0.12847939847140832</v>
      </c>
      <c r="CA82" s="28">
        <f t="shared" ref="CA82" si="1585">IF(AND(BW80&lt;0,CA80&gt;0),"n/a",CA80/BW80-1)</f>
        <v>0.12434526271816071</v>
      </c>
      <c r="CB82" s="28">
        <f t="shared" ref="CB82" si="1586">IF(AND(BX80&lt;0,CB80&gt;0),"n/a",CB80/BX80-1)</f>
        <v>0.12570002405901226</v>
      </c>
      <c r="CC82" s="28">
        <f t="shared" ref="CC82" si="1587">IF(AND(BY80&lt;0,CC80&gt;0),"n/a",CC80/BY80-1)</f>
        <v>0.12244685026535063</v>
      </c>
      <c r="CD82" s="28">
        <f t="shared" ref="CD82" si="1588">IF(AND(BZ80&lt;0,CD80&gt;0),"n/a",CD80/BZ80-1)</f>
        <v>0.11833416203813618</v>
      </c>
      <c r="CE82" s="28">
        <f t="shared" ref="CE82" si="1589">IF(AND(CA80&lt;0,CE80&gt;0),"n/a",CE80/CA80-1)</f>
        <v>0.11443191780263517</v>
      </c>
      <c r="CF82" s="28">
        <f t="shared" ref="CF82" si="1590">IF(AND(CB80&lt;0,CF80&gt;0),"n/a",CF80/CB80-1)</f>
        <v>0.11565196605374695</v>
      </c>
      <c r="CG82" s="28">
        <f t="shared" ref="CG82" si="1591">IF(AND(CC80&lt;0,CG80&gt;0),"n/a",CG80/CC80-1)</f>
        <v>0.11265195758113555</v>
      </c>
      <c r="CH82" s="28"/>
      <c r="CI82" s="106" t="s">
        <v>82</v>
      </c>
      <c r="CJ82" s="22">
        <f>IF(AND(CI80&lt;0,CJ80&gt;0),"n/a",CJ80/CI80-1)</f>
        <v>0.32221414288311223</v>
      </c>
      <c r="CK82" s="107">
        <f t="shared" ref="CK82" si="1592">IF(AND(CJ80&lt;0,CK80&gt;0),"n/a",CK80/CJ80-1)</f>
        <v>0.2057812607410463</v>
      </c>
      <c r="CL82" s="107">
        <f t="shared" ref="CL82" si="1593">IF(AND(CK80&lt;0,CL80&gt;0),"n/a",CL80/CK80-1)</f>
        <v>0.23317465294603923</v>
      </c>
      <c r="CM82" s="22">
        <f t="shared" ref="CM82" si="1594">IF(AND(CL80&lt;0,CM80&gt;0),"n/a",CM80/CL80-1)</f>
        <v>0.21120639837266819</v>
      </c>
      <c r="CN82" s="107">
        <f t="shared" ref="CN82" si="1595">IF(AND(CM80&lt;0,CN80&gt;0),"n/a",CN80/CM80-1)</f>
        <v>0.14887972823390205</v>
      </c>
      <c r="CO82" s="22">
        <f t="shared" ref="CO82" si="1596">IF(AND(CN80&lt;0,CO80&gt;0),"n/a",CO80/CN80-1)</f>
        <v>0.20714629811126439</v>
      </c>
      <c r="CP82" s="107">
        <f t="shared" ref="CP82" si="1597">IF(AND(CO80&lt;0,CP80&gt;0),"n/a",CP80/CO80-1)</f>
        <v>0.22068557431642111</v>
      </c>
      <c r="CQ82" s="22">
        <f t="shared" ref="CQ82" si="1598">IF(AND(CP80&lt;0,CQ80&gt;0),"n/a",CQ80/CP80-1)</f>
        <v>0.23299438594909017</v>
      </c>
      <c r="CR82" s="107">
        <f t="shared" ref="CR82" si="1599">IF(AND(CQ80&lt;0,CR80&gt;0),"n/a",CR80/CQ80-1)</f>
        <v>0.19456177885054959</v>
      </c>
      <c r="CS82" s="22">
        <f t="shared" ref="CS82" si="1600">IF(AND(CR80&lt;0,CS80&gt;0),"n/a",CS80/CR80-1)</f>
        <v>0.13977375357815292</v>
      </c>
      <c r="CT82" s="107">
        <f t="shared" ref="CT82" si="1601">IF(AND(CS80&lt;0,CT80&gt;0),"n/a",CT80/CS80-1)</f>
        <v>0.41804104327271752</v>
      </c>
      <c r="CU82" s="22">
        <f t="shared" ref="CU82" si="1602">IF(AND(CT80&lt;0,CU80&gt;0),"n/a",CU80/CT80-1)</f>
        <v>9.3214439619451639E-2</v>
      </c>
      <c r="CV82" s="107">
        <f t="shared" ref="CV82" si="1603">IF(AND(CU80&lt;0,CV80&gt;0),"n/a",CV80/CU80-1)</f>
        <v>0.10349443152135773</v>
      </c>
      <c r="CW82" s="22">
        <f t="shared" ref="CW82" si="1604">IF(AND(CV80&lt;0,CW80&gt;0),"n/a",CW80/CV80-1)</f>
        <v>0.15118648059824524</v>
      </c>
      <c r="CX82" s="107">
        <f t="shared" ref="CX82" si="1605">IF(AND(CW80&lt;0,CX80&gt;0),"n/a",CX80/CW80-1)</f>
        <v>0.15824679132704467</v>
      </c>
      <c r="CY82" s="107">
        <f t="shared" ref="CY82" si="1606">IF(AND(CX80&lt;0,CY80&gt;0),"n/a",CY80/CX80-1)</f>
        <v>0.14893841790600315</v>
      </c>
      <c r="CZ82" s="107">
        <f>IF(AND(CY80&lt;0,CZ80&gt;0),"n/a",CZ80/CY80-1)</f>
        <v>0.141719793264238</v>
      </c>
      <c r="DA82" s="107">
        <f>IF(AND(CZ80&lt;0,DA80&gt;0),"n/a",DA80/CZ80-1)</f>
        <v>0.13508856046884254</v>
      </c>
      <c r="DB82" s="107">
        <f>IF(AND(DA80&lt;0,DB80&gt;0),"n/a",DB80/DA80-1)</f>
        <v>0.12511513633558335</v>
      </c>
      <c r="DC82" s="107">
        <f>IF(AND(DB80&lt;0,DC80&gt;0),"n/a",DC80/DB80-1)</f>
        <v>0.115150832681715</v>
      </c>
    </row>
    <row r="83" spans="1:108" x14ac:dyDescent="0.2">
      <c r="A83" s="14" t="s">
        <v>77</v>
      </c>
      <c r="B83" s="22">
        <f t="shared" ref="B83:AJ83" si="1607">B80/B$85</f>
        <v>1</v>
      </c>
      <c r="C83" s="22">
        <f t="shared" si="1607"/>
        <v>1</v>
      </c>
      <c r="D83" s="22">
        <f t="shared" si="1607"/>
        <v>1</v>
      </c>
      <c r="E83" s="22">
        <f t="shared" si="1607"/>
        <v>1</v>
      </c>
      <c r="F83" s="22">
        <f t="shared" si="1607"/>
        <v>1</v>
      </c>
      <c r="G83" s="22">
        <f t="shared" si="1607"/>
        <v>1</v>
      </c>
      <c r="H83" s="22">
        <f t="shared" si="1607"/>
        <v>1</v>
      </c>
      <c r="I83" s="22">
        <f t="shared" si="1607"/>
        <v>1</v>
      </c>
      <c r="J83" s="22">
        <f t="shared" si="1607"/>
        <v>1</v>
      </c>
      <c r="K83" s="22">
        <f t="shared" si="1607"/>
        <v>1</v>
      </c>
      <c r="L83" s="22">
        <f t="shared" si="1607"/>
        <v>1</v>
      </c>
      <c r="M83" s="22">
        <f t="shared" si="1607"/>
        <v>1</v>
      </c>
      <c r="N83" s="22">
        <f t="shared" si="1607"/>
        <v>1</v>
      </c>
      <c r="O83" s="22">
        <f t="shared" si="1607"/>
        <v>1</v>
      </c>
      <c r="P83" s="22">
        <f t="shared" si="1607"/>
        <v>1</v>
      </c>
      <c r="Q83" s="22">
        <f t="shared" si="1607"/>
        <v>1</v>
      </c>
      <c r="R83" s="22">
        <f t="shared" si="1607"/>
        <v>1</v>
      </c>
      <c r="S83" s="22">
        <f t="shared" si="1607"/>
        <v>1</v>
      </c>
      <c r="T83" s="22">
        <f t="shared" si="1607"/>
        <v>1</v>
      </c>
      <c r="U83" s="22">
        <f t="shared" si="1607"/>
        <v>0.99267905242074728</v>
      </c>
      <c r="V83" s="22">
        <f t="shared" si="1607"/>
        <v>0.99424998203119386</v>
      </c>
      <c r="W83" s="22">
        <f t="shared" si="1607"/>
        <v>0.9948432055749129</v>
      </c>
      <c r="X83" s="22">
        <f t="shared" si="1607"/>
        <v>0.99060162816864117</v>
      </c>
      <c r="Y83" s="22">
        <f t="shared" si="1607"/>
        <v>0.99125853884450621</v>
      </c>
      <c r="Z83" s="22">
        <f t="shared" si="1607"/>
        <v>0.98992045661545935</v>
      </c>
      <c r="AA83" s="22">
        <f t="shared" si="1607"/>
        <v>0.98944365192582029</v>
      </c>
      <c r="AB83" s="22">
        <f t="shared" si="1607"/>
        <v>0.98921670589523236</v>
      </c>
      <c r="AC83" s="22">
        <f t="shared" si="1607"/>
        <v>0.98765082956259431</v>
      </c>
      <c r="AD83" s="22">
        <f t="shared" si="1607"/>
        <v>0.99343968987624864</v>
      </c>
      <c r="AE83" s="22">
        <f t="shared" si="1607"/>
        <v>0.99536306706821553</v>
      </c>
      <c r="AF83" s="22">
        <f t="shared" si="1607"/>
        <v>0.9947462954647508</v>
      </c>
      <c r="AG83" s="22">
        <f t="shared" si="1607"/>
        <v>0.99493680670969742</v>
      </c>
      <c r="AH83" s="22">
        <f t="shared" si="1607"/>
        <v>0.99396572531981653</v>
      </c>
      <c r="AI83" s="22">
        <f t="shared" si="1607"/>
        <v>0.9944734535198384</v>
      </c>
      <c r="AJ83" s="22">
        <f t="shared" si="1607"/>
        <v>0.99462405184476033</v>
      </c>
      <c r="AK83" s="22">
        <f>AK80/AK$85</f>
        <v>0.99126884422110551</v>
      </c>
      <c r="AL83" s="22">
        <f t="shared" ref="AL83:BQ83" si="1608">AL80/AL$85</f>
        <v>0.98958580684555109</v>
      </c>
      <c r="AM83" s="22">
        <f t="shared" si="1608"/>
        <v>0.99148426165394565</v>
      </c>
      <c r="AN83" s="22">
        <f t="shared" si="1608"/>
        <v>0.99169923354236722</v>
      </c>
      <c r="AO83" s="22">
        <f t="shared" si="1608"/>
        <v>0.99300047905466549</v>
      </c>
      <c r="AP83" s="22">
        <f t="shared" si="1608"/>
        <v>0.9945411932239594</v>
      </c>
      <c r="AQ83" s="22">
        <f t="shared" si="1608"/>
        <v>0.99053887289181408</v>
      </c>
      <c r="AR83" s="22">
        <f t="shared" si="1608"/>
        <v>0.99589549293551183</v>
      </c>
      <c r="AS83" s="22">
        <f t="shared" si="1608"/>
        <v>0.99582184700206755</v>
      </c>
      <c r="AT83" s="22">
        <f t="shared" si="1608"/>
        <v>0.9980483312135433</v>
      </c>
      <c r="AU83" s="22">
        <f t="shared" si="1608"/>
        <v>0.99636906046986318</v>
      </c>
      <c r="AV83" s="22">
        <f t="shared" si="1608"/>
        <v>0.99544945915703098</v>
      </c>
      <c r="AW83" s="22">
        <f t="shared" si="1608"/>
        <v>0.99379624543603995</v>
      </c>
      <c r="AX83" s="22">
        <f t="shared" si="1608"/>
        <v>0.98718337766194819</v>
      </c>
      <c r="AY83" s="22">
        <f t="shared" si="1608"/>
        <v>0.99011675453707082</v>
      </c>
      <c r="AZ83" s="22">
        <f t="shared" si="1608"/>
        <v>0.98520937379946216</v>
      </c>
      <c r="BA83" s="22">
        <f t="shared" si="1608"/>
        <v>0.98582133295312324</v>
      </c>
      <c r="BB83" s="22">
        <f t="shared" si="1608"/>
        <v>0.99359349705507527</v>
      </c>
      <c r="BC83" s="22">
        <f t="shared" si="1608"/>
        <v>0.99535985306201358</v>
      </c>
      <c r="BD83" s="28">
        <f t="shared" si="1608"/>
        <v>0.99537868261229334</v>
      </c>
      <c r="BE83" s="28">
        <f t="shared" ref="BE83:BF83" si="1609">BE80/BE$85</f>
        <v>0.98884187821470049</v>
      </c>
      <c r="BF83" s="28">
        <f t="shared" si="1609"/>
        <v>0.9916115574097909</v>
      </c>
      <c r="BG83" s="28">
        <f t="shared" ref="BG83:BH83" si="1610">BG80/BG$85</f>
        <v>0.99345525891668418</v>
      </c>
      <c r="BH83" s="28">
        <f t="shared" si="1610"/>
        <v>0.99456733155374322</v>
      </c>
      <c r="BI83" s="28">
        <f t="shared" ref="BI83:BJ83" si="1611">BI80/BI$85</f>
        <v>0.99485426544639244</v>
      </c>
      <c r="BJ83" s="28">
        <f t="shared" si="1611"/>
        <v>0.99071725544544098</v>
      </c>
      <c r="BK83" s="28">
        <f t="shared" ref="BK83:BL83" si="1612">BK80/BK$85</f>
        <v>0.99680628464446974</v>
      </c>
      <c r="BL83" s="28">
        <f t="shared" si="1612"/>
        <v>0.99843374871384472</v>
      </c>
      <c r="BM83" s="22">
        <f t="shared" si="1608"/>
        <v>0.99560279851954647</v>
      </c>
      <c r="BN83" s="22">
        <f t="shared" si="1608"/>
        <v>0.99469352159188851</v>
      </c>
      <c r="BO83" s="22">
        <f t="shared" si="1608"/>
        <v>0.99584859059322195</v>
      </c>
      <c r="BP83" s="22">
        <f t="shared" si="1608"/>
        <v>0.99639827458534236</v>
      </c>
      <c r="BQ83" s="22">
        <f t="shared" si="1608"/>
        <v>0.99592621668577497</v>
      </c>
      <c r="BR83" s="28">
        <f>BR80/BR$85</f>
        <v>0.99513405309992242</v>
      </c>
      <c r="BS83" s="28">
        <f t="shared" ref="BS83:BU83" si="1613">BS80/BS$85</f>
        <v>0.99617815225793982</v>
      </c>
      <c r="BT83" s="28">
        <f t="shared" si="1613"/>
        <v>0.99668841071268632</v>
      </c>
      <c r="BU83" s="28">
        <f t="shared" si="1613"/>
        <v>0.99624233709807708</v>
      </c>
      <c r="BV83" s="28">
        <f t="shared" ref="BV83:CC83" si="1614">BV80/BV$85</f>
        <v>0.99551120436834184</v>
      </c>
      <c r="BW83" s="28">
        <f t="shared" si="1614"/>
        <v>0.99646105988831812</v>
      </c>
      <c r="BX83" s="28">
        <f t="shared" si="1614"/>
        <v>0.99693763899499022</v>
      </c>
      <c r="BY83" s="28">
        <f t="shared" si="1614"/>
        <v>0.99651439115948603</v>
      </c>
      <c r="BZ83" s="28">
        <f t="shared" si="1614"/>
        <v>0.99582207064466954</v>
      </c>
      <c r="CA83" s="28">
        <f t="shared" si="1614"/>
        <v>0.99669429223961103</v>
      </c>
      <c r="CB83" s="28">
        <f t="shared" si="1614"/>
        <v>0.99714298542957125</v>
      </c>
      <c r="CC83" s="28">
        <f t="shared" si="1614"/>
        <v>0.99673863145772568</v>
      </c>
      <c r="CD83" s="28">
        <f t="shared" ref="CD83:CG83" si="1615">CD80/CD$85</f>
        <v>0.99607635521278204</v>
      </c>
      <c r="CE83" s="28">
        <f t="shared" si="1615"/>
        <v>0.99688481942693086</v>
      </c>
      <c r="CF83" s="28">
        <f t="shared" si="1615"/>
        <v>0.99731065795926666</v>
      </c>
      <c r="CG83" s="28">
        <f t="shared" si="1615"/>
        <v>0.99692170949180547</v>
      </c>
      <c r="CH83" s="28"/>
      <c r="CI83" s="107">
        <f>CI80/CI$85</f>
        <v>1</v>
      </c>
      <c r="CJ83" s="22">
        <f t="shared" ref="CJ83:CY83" si="1616">CJ80/CJ$85</f>
        <v>1</v>
      </c>
      <c r="CK83" s="107">
        <f t="shared" si="1616"/>
        <v>1</v>
      </c>
      <c r="CL83" s="107">
        <f t="shared" si="1616"/>
        <v>1</v>
      </c>
      <c r="CM83" s="22">
        <f t="shared" si="1616"/>
        <v>0.99798110620143232</v>
      </c>
      <c r="CN83" s="107">
        <f t="shared" si="1616"/>
        <v>0.99262935725356993</v>
      </c>
      <c r="CO83" s="22">
        <f t="shared" si="1616"/>
        <v>0.98897644224880576</v>
      </c>
      <c r="CP83" s="107">
        <f t="shared" si="1616"/>
        <v>0.99465144702465713</v>
      </c>
      <c r="CQ83" s="22">
        <f t="shared" si="1616"/>
        <v>0.99346915789378076</v>
      </c>
      <c r="CR83" s="107">
        <f t="shared" si="1616"/>
        <v>0.99154574707060894</v>
      </c>
      <c r="CS83" s="22">
        <f t="shared" si="1616"/>
        <v>0.99443735851324555</v>
      </c>
      <c r="CT83" s="107">
        <f t="shared" si="1616"/>
        <v>0.99574670747061123</v>
      </c>
      <c r="CU83" s="22">
        <f t="shared" si="1616"/>
        <v>0.98705324502631675</v>
      </c>
      <c r="CV83" s="107">
        <f t="shared" si="1616"/>
        <v>0.99312692001808911</v>
      </c>
      <c r="CW83" s="22">
        <f t="shared" si="1616"/>
        <v>0.99370082475484378</v>
      </c>
      <c r="CX83" s="107">
        <f t="shared" si="1616"/>
        <v>0.99552161328923505</v>
      </c>
      <c r="CY83" s="107">
        <f t="shared" si="1616"/>
        <v>0.99574826120396576</v>
      </c>
      <c r="CZ83" s="107">
        <f>CZ80/CZ$85</f>
        <v>0.99608848762261837</v>
      </c>
      <c r="DA83" s="107">
        <f>DA80/DA$85</f>
        <v>0.9963806413418127</v>
      </c>
      <c r="DB83" s="107">
        <f>DB80/DB$85</f>
        <v>0.99662146122916162</v>
      </c>
      <c r="DC83" s="107">
        <f>DC80/DC$85</f>
        <v>0.99681821870014586</v>
      </c>
    </row>
    <row r="84" spans="1:108" x14ac:dyDescent="0.2">
      <c r="A84" s="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92"/>
      <c r="CK84" s="92"/>
      <c r="CL84" s="92"/>
      <c r="CN84" s="92"/>
      <c r="CP84" s="92"/>
      <c r="CR84" s="118"/>
      <c r="CS84" s="77"/>
      <c r="CT84" s="118"/>
      <c r="CU84" s="77"/>
      <c r="CV84" s="118"/>
      <c r="CW84" s="77"/>
      <c r="CX84" s="118"/>
      <c r="CY84" s="118"/>
      <c r="CZ84" s="118"/>
      <c r="DA84" s="118"/>
      <c r="DB84" s="118"/>
      <c r="DC84" s="118"/>
    </row>
    <row r="85" spans="1:108" ht="14.25" x14ac:dyDescent="0.35">
      <c r="A85" s="5" t="s">
        <v>79</v>
      </c>
      <c r="B85" s="24">
        <f t="shared" ref="B85:AJ85" si="1617">B64+B68</f>
        <v>5064</v>
      </c>
      <c r="C85" s="24">
        <f t="shared" si="1617"/>
        <v>5088</v>
      </c>
      <c r="D85" s="24">
        <f t="shared" si="1617"/>
        <v>5481</v>
      </c>
      <c r="E85" s="24">
        <f t="shared" si="1617"/>
        <v>6371</v>
      </c>
      <c r="F85" s="24">
        <f t="shared" si="1617"/>
        <v>6536</v>
      </c>
      <c r="G85" s="24">
        <f t="shared" si="1617"/>
        <v>6914</v>
      </c>
      <c r="H85" s="24">
        <f t="shared" si="1617"/>
        <v>7512</v>
      </c>
      <c r="I85" s="24">
        <f t="shared" si="1617"/>
        <v>8132</v>
      </c>
      <c r="J85" s="24">
        <f t="shared" si="1617"/>
        <v>8136</v>
      </c>
      <c r="K85" s="24">
        <f t="shared" si="1617"/>
        <v>8361</v>
      </c>
      <c r="L85" s="24">
        <f t="shared" si="1617"/>
        <v>8752</v>
      </c>
      <c r="M85" s="24">
        <f t="shared" si="1617"/>
        <v>9832</v>
      </c>
      <c r="N85" s="24">
        <f t="shared" si="1617"/>
        <v>9984</v>
      </c>
      <c r="O85" s="24">
        <f t="shared" si="1617"/>
        <v>10091</v>
      </c>
      <c r="P85" s="24">
        <f t="shared" si="1617"/>
        <v>10778</v>
      </c>
      <c r="Q85" s="24">
        <f t="shared" si="1617"/>
        <v>12408</v>
      </c>
      <c r="R85" s="24">
        <f t="shared" si="1617"/>
        <v>12189</v>
      </c>
      <c r="S85" s="24">
        <f t="shared" si="1617"/>
        <v>12661</v>
      </c>
      <c r="T85" s="24">
        <f t="shared" si="1617"/>
        <v>13175</v>
      </c>
      <c r="U85" s="24">
        <f t="shared" si="1617"/>
        <v>14479</v>
      </c>
      <c r="V85" s="24">
        <f t="shared" si="1617"/>
        <v>13913</v>
      </c>
      <c r="W85" s="24">
        <f t="shared" si="1617"/>
        <v>14350</v>
      </c>
      <c r="X85" s="24">
        <f t="shared" si="1617"/>
        <v>15109</v>
      </c>
      <c r="Y85" s="24">
        <f t="shared" si="1617"/>
        <v>17274</v>
      </c>
      <c r="Z85" s="24">
        <f t="shared" si="1617"/>
        <v>16469</v>
      </c>
      <c r="AA85" s="24">
        <f t="shared" si="1617"/>
        <v>17525</v>
      </c>
      <c r="AB85" s="24">
        <f t="shared" si="1617"/>
        <v>18269</v>
      </c>
      <c r="AC85" s="24">
        <f t="shared" si="1617"/>
        <v>21216</v>
      </c>
      <c r="AD85" s="24">
        <f t="shared" si="1617"/>
        <v>20121</v>
      </c>
      <c r="AE85" s="24">
        <f t="shared" si="1617"/>
        <v>20919</v>
      </c>
      <c r="AF85" s="24">
        <f t="shared" si="1617"/>
        <v>22270</v>
      </c>
      <c r="AG85" s="24">
        <f t="shared" si="1617"/>
        <v>25873</v>
      </c>
      <c r="AH85" s="24">
        <f t="shared" si="1617"/>
        <v>24858</v>
      </c>
      <c r="AI85" s="24">
        <f t="shared" si="1617"/>
        <v>26237</v>
      </c>
      <c r="AJ85" s="24">
        <f t="shared" si="1617"/>
        <v>27158</v>
      </c>
      <c r="AK85" s="24">
        <f t="shared" ref="AK85:BQ85" si="1618">AK64+AK68</f>
        <v>31840</v>
      </c>
      <c r="AL85" s="24">
        <f t="shared" si="1618"/>
        <v>29479</v>
      </c>
      <c r="AM85" s="24">
        <f t="shared" si="1618"/>
        <v>31706</v>
      </c>
      <c r="AN85" s="24">
        <f t="shared" si="1618"/>
        <v>33009</v>
      </c>
      <c r="AO85" s="24">
        <f t="shared" si="1618"/>
        <v>37574</v>
      </c>
      <c r="AP85" s="24">
        <f t="shared" si="1618"/>
        <v>33707</v>
      </c>
      <c r="AQ85" s="24">
        <f t="shared" si="1618"/>
        <v>31603</v>
      </c>
      <c r="AR85" s="24">
        <f t="shared" si="1618"/>
        <v>38007</v>
      </c>
      <c r="AS85" s="24">
        <f t="shared" si="1618"/>
        <v>46432</v>
      </c>
      <c r="AT85" s="24">
        <f t="shared" si="1618"/>
        <v>45602</v>
      </c>
      <c r="AU85" s="24">
        <f t="shared" si="1618"/>
        <v>50951</v>
      </c>
      <c r="AV85" s="24">
        <f>AV64+AV68</f>
        <v>53620</v>
      </c>
      <c r="AW85" s="24">
        <f t="shared" si="1618"/>
        <v>61898</v>
      </c>
      <c r="AX85" s="24">
        <f t="shared" si="1618"/>
        <v>56021</v>
      </c>
      <c r="AY85" s="24">
        <f t="shared" si="1618"/>
        <v>57471</v>
      </c>
      <c r="AZ85" s="24">
        <f t="shared" si="1618"/>
        <v>57266</v>
      </c>
      <c r="BA85" s="24">
        <f t="shared" si="1618"/>
        <v>63123</v>
      </c>
      <c r="BB85" s="24">
        <f>BB64+BB68</f>
        <v>58066</v>
      </c>
      <c r="BC85" s="24">
        <f t="shared" si="1618"/>
        <v>62067</v>
      </c>
      <c r="BD85" s="24">
        <f t="shared" si="1618"/>
        <v>64051</v>
      </c>
      <c r="BE85" s="24">
        <f t="shared" ref="BE85:BF85" si="1619">BE64+BE68</f>
        <v>72324</v>
      </c>
      <c r="BF85" s="24">
        <f t="shared" si="1619"/>
        <v>67593</v>
      </c>
      <c r="BG85" s="24">
        <f t="shared" ref="BG85:BH85" si="1620">BG64+BG68</f>
        <v>71355</v>
      </c>
      <c r="BH85" s="24">
        <f t="shared" si="1620"/>
        <v>74549</v>
      </c>
      <c r="BI85" s="24">
        <f t="shared" ref="BI85:BJ85" si="1621">BI64+BI68</f>
        <v>81621</v>
      </c>
      <c r="BJ85" s="24">
        <f t="shared" si="1621"/>
        <v>76486</v>
      </c>
      <c r="BK85" s="24">
        <f t="shared" ref="BK85:BL85" si="1622">BK64+BK68</f>
        <v>81723</v>
      </c>
      <c r="BL85" s="24">
        <f t="shared" si="1622"/>
        <v>87470</v>
      </c>
      <c r="BM85" s="24">
        <f t="shared" si="1618"/>
        <v>95515.295777777792</v>
      </c>
      <c r="BN85" s="24">
        <f t="shared" si="1618"/>
        <v>89042.10356867424</v>
      </c>
      <c r="BO85" s="24">
        <f t="shared" si="1618"/>
        <v>94341.454100033036</v>
      </c>
      <c r="BP85" s="24">
        <f t="shared" si="1618"/>
        <v>100285.26842441896</v>
      </c>
      <c r="BQ85" s="24">
        <f t="shared" si="1618"/>
        <v>108253.18039378629</v>
      </c>
      <c r="BR85" s="24">
        <f>BR64+BR68</f>
        <v>101958.57254260007</v>
      </c>
      <c r="BS85" s="24">
        <f t="shared" ref="BS85:BU85" si="1623">BS64+BS68</f>
        <v>107600.44035095963</v>
      </c>
      <c r="BT85" s="24">
        <f t="shared" si="1623"/>
        <v>114525.07152771353</v>
      </c>
      <c r="BU85" s="24">
        <f t="shared" si="1623"/>
        <v>123228.19052316395</v>
      </c>
      <c r="BV85" s="24">
        <f t="shared" ref="BV85:CC85" si="1624">BV64+BV68</f>
        <v>116051.45182507671</v>
      </c>
      <c r="BW85" s="24">
        <f t="shared" si="1624"/>
        <v>122012.27242435009</v>
      </c>
      <c r="BX85" s="24">
        <f t="shared" si="1624"/>
        <v>130037.90191572324</v>
      </c>
      <c r="BY85" s="24">
        <f t="shared" si="1624"/>
        <v>139488.5433927002</v>
      </c>
      <c r="BZ85" s="24">
        <f t="shared" si="1624"/>
        <v>130920.79017615123</v>
      </c>
      <c r="CA85" s="24">
        <f t="shared" si="1624"/>
        <v>137151.81864613242</v>
      </c>
      <c r="CB85" s="24">
        <f t="shared" si="1624"/>
        <v>146353.52382443228</v>
      </c>
      <c r="CC85" s="24">
        <f t="shared" si="1624"/>
        <v>156533.25233952186</v>
      </c>
      <c r="CD85" s="24">
        <f t="shared" ref="CD85:CG85" si="1625">CD64+CD68</f>
        <v>146375.8149045461</v>
      </c>
      <c r="CE85" s="24">
        <f t="shared" si="1625"/>
        <v>152817.15189418045</v>
      </c>
      <c r="CF85" s="24">
        <f t="shared" si="1625"/>
        <v>163252.14526460005</v>
      </c>
      <c r="CG85" s="24">
        <f t="shared" si="1625"/>
        <v>174135.0450267847</v>
      </c>
      <c r="CH85" s="24"/>
      <c r="CI85" s="91">
        <f>SUM(B85:E85)</f>
        <v>22004</v>
      </c>
      <c r="CJ85" s="24">
        <f>SUM(F85:I85)</f>
        <v>29094</v>
      </c>
      <c r="CK85" s="91">
        <f>SUM(J85:M85)</f>
        <v>35081</v>
      </c>
      <c r="CL85" s="91">
        <f>SUM(N85:Q85)</f>
        <v>43261</v>
      </c>
      <c r="CM85" s="24">
        <f>SUM(R85:U85)</f>
        <v>52504</v>
      </c>
      <c r="CN85" s="91">
        <f>SUM(V85:Y85)</f>
        <v>60646</v>
      </c>
      <c r="CO85" s="24">
        <f>SUM(Z85:AC85)</f>
        <v>73479</v>
      </c>
      <c r="CP85" s="91">
        <f>SUM(AD85:AG85)</f>
        <v>89183</v>
      </c>
      <c r="CQ85" s="24">
        <f>SUM(AH85:AK85)</f>
        <v>110093</v>
      </c>
      <c r="CR85" s="91">
        <f>SUM(AL85:AO85)</f>
        <v>131768</v>
      </c>
      <c r="CS85" s="24">
        <f>SUM(AP85:AS85)</f>
        <v>149749</v>
      </c>
      <c r="CT85" s="91">
        <f>SUM(AT85:AW85)</f>
        <v>212071</v>
      </c>
      <c r="CU85" s="24">
        <f>SUM(AX85:BA85)</f>
        <v>233881</v>
      </c>
      <c r="CV85" s="91">
        <f>SUM(BB85:BE85)</f>
        <v>256508</v>
      </c>
      <c r="CW85" s="24">
        <f>SUM(BF85:BI85)</f>
        <v>295118</v>
      </c>
      <c r="CX85" s="91">
        <f>SUM(BJ85:BM85)</f>
        <v>341194.29577777779</v>
      </c>
      <c r="CY85" s="91">
        <f>SUM(BN85:BQ85)</f>
        <v>391922.00648691249</v>
      </c>
      <c r="CZ85" s="91">
        <f>SUM(BR85:BU85)</f>
        <v>447312.27494443714</v>
      </c>
      <c r="DA85" s="91">
        <f>SUM(BV85:BY85)</f>
        <v>507590.16955785023</v>
      </c>
      <c r="DB85" s="91">
        <f>SUM(BZ85:CC85)</f>
        <v>570959.38498623786</v>
      </c>
      <c r="DC85" s="91">
        <f>SUM(CD85:CG85)</f>
        <v>636580.1570901114</v>
      </c>
      <c r="DD85" s="24"/>
    </row>
    <row r="86" spans="1:108" x14ac:dyDescent="0.2">
      <c r="A86" s="7" t="s">
        <v>62</v>
      </c>
      <c r="B86" s="25" t="s">
        <v>82</v>
      </c>
      <c r="C86" s="22">
        <f t="shared" ref="C86:AJ86" si="1626">IF(AND(B85&lt;0,C85&gt;0),"n/a",C85/B85-1)</f>
        <v>4.7393364928909332E-3</v>
      </c>
      <c r="D86" s="22">
        <f t="shared" si="1626"/>
        <v>7.7240566037735769E-2</v>
      </c>
      <c r="E86" s="22">
        <f t="shared" si="1626"/>
        <v>0.16237912789636932</v>
      </c>
      <c r="F86" s="22">
        <f t="shared" si="1626"/>
        <v>2.5898603045047874E-2</v>
      </c>
      <c r="G86" s="22">
        <f t="shared" si="1626"/>
        <v>5.7833537331701379E-2</v>
      </c>
      <c r="H86" s="22">
        <f t="shared" si="1626"/>
        <v>8.6491177321377011E-2</v>
      </c>
      <c r="I86" s="22">
        <f t="shared" si="1626"/>
        <v>8.2534611288604953E-2</v>
      </c>
      <c r="J86" s="22">
        <f t="shared" si="1626"/>
        <v>4.9188391539600751E-4</v>
      </c>
      <c r="K86" s="22">
        <f t="shared" si="1626"/>
        <v>2.7654867256637239E-2</v>
      </c>
      <c r="L86" s="22">
        <f t="shared" si="1626"/>
        <v>4.6764741059681869E-2</v>
      </c>
      <c r="M86" s="22">
        <f t="shared" si="1626"/>
        <v>0.12340036563071299</v>
      </c>
      <c r="N86" s="22">
        <f t="shared" si="1626"/>
        <v>1.5459723352319044E-2</v>
      </c>
      <c r="O86" s="22">
        <f t="shared" si="1626"/>
        <v>1.0717147435897356E-2</v>
      </c>
      <c r="P86" s="22">
        <f t="shared" si="1626"/>
        <v>6.8080467743533823E-2</v>
      </c>
      <c r="Q86" s="22">
        <f t="shared" si="1626"/>
        <v>0.15123399517535718</v>
      </c>
      <c r="R86" s="22">
        <f t="shared" si="1626"/>
        <v>-1.7649903288201152E-2</v>
      </c>
      <c r="S86" s="22">
        <f t="shared" si="1626"/>
        <v>3.8723439166461482E-2</v>
      </c>
      <c r="T86" s="22">
        <f t="shared" si="1626"/>
        <v>4.059710923307791E-2</v>
      </c>
      <c r="U86" s="22">
        <f t="shared" si="1626"/>
        <v>9.8975332068311106E-2</v>
      </c>
      <c r="V86" s="22">
        <f t="shared" si="1626"/>
        <v>-3.9091097451481427E-2</v>
      </c>
      <c r="W86" s="22">
        <f t="shared" si="1626"/>
        <v>3.1409473154603518E-2</v>
      </c>
      <c r="X86" s="22">
        <f t="shared" si="1626"/>
        <v>5.2891986062717722E-2</v>
      </c>
      <c r="Y86" s="22">
        <f t="shared" si="1626"/>
        <v>0.14329207756966045</v>
      </c>
      <c r="Z86" s="22">
        <f t="shared" si="1626"/>
        <v>-4.6601829338890788E-2</v>
      </c>
      <c r="AA86" s="22">
        <f t="shared" si="1626"/>
        <v>6.4120468759487625E-2</v>
      </c>
      <c r="AB86" s="22">
        <f t="shared" si="1626"/>
        <v>4.2453637660484933E-2</v>
      </c>
      <c r="AC86" s="22">
        <f t="shared" si="1626"/>
        <v>0.16131151130330057</v>
      </c>
      <c r="AD86" s="22">
        <f t="shared" si="1626"/>
        <v>-5.1611990950226283E-2</v>
      </c>
      <c r="AE86" s="22">
        <f t="shared" si="1626"/>
        <v>3.966005665722383E-2</v>
      </c>
      <c r="AF86" s="22">
        <f t="shared" si="1626"/>
        <v>6.4582437018978034E-2</v>
      </c>
      <c r="AG86" s="22">
        <f t="shared" si="1626"/>
        <v>0.16178715761113605</v>
      </c>
      <c r="AH86" s="22">
        <f t="shared" si="1626"/>
        <v>-3.9230085417230276E-2</v>
      </c>
      <c r="AI86" s="22">
        <f t="shared" si="1626"/>
        <v>5.5475098559819802E-2</v>
      </c>
      <c r="AJ86" s="22">
        <f t="shared" si="1626"/>
        <v>3.5103098677440325E-2</v>
      </c>
      <c r="AK86" s="22">
        <f>IF(AND(AJ85&lt;0,AK85&gt;0),"n/a",AK85/AJ85-1)</f>
        <v>0.1723985565947419</v>
      </c>
      <c r="AL86" s="22">
        <f>IF(AND(AK85&lt;0,AL85&gt;0),"n/a",AL85/AK85-1)</f>
        <v>-7.4152010050251294E-2</v>
      </c>
      <c r="AM86" s="22">
        <f t="shared" ref="AM86" si="1627">IF(AND(AL85&lt;0,AM85&gt;0),"n/a",AM85/AL85-1)</f>
        <v>7.5545303436344469E-2</v>
      </c>
      <c r="AN86" s="22">
        <f t="shared" ref="AN86" si="1628">IF(AND(AM85&lt;0,AN85&gt;0),"n/a",AN85/AM85-1)</f>
        <v>4.109632246262529E-2</v>
      </c>
      <c r="AO86" s="22">
        <f t="shared" ref="AO86" si="1629">IF(AND(AN85&lt;0,AO85&gt;0),"n/a",AO85/AN85-1)</f>
        <v>0.13829561634705678</v>
      </c>
      <c r="AP86" s="22">
        <f t="shared" ref="AP86" si="1630">IF(AND(AO85&lt;0,AP85&gt;0),"n/a",AP85/AO85-1)</f>
        <v>-0.10291691062969077</v>
      </c>
      <c r="AQ86" s="22">
        <f t="shared" ref="AQ86" si="1631">IF(AND(AP85&lt;0,AQ85&gt;0),"n/a",AQ85/AP85-1)</f>
        <v>-6.242026878689888E-2</v>
      </c>
      <c r="AR86" s="22">
        <f t="shared" ref="AR86" si="1632">IF(AND(AQ85&lt;0,AR85&gt;0),"n/a",AR85/AQ85-1)</f>
        <v>0.20263898996930663</v>
      </c>
      <c r="AS86" s="22">
        <f t="shared" ref="AS86" si="1633">IF(AND(AR85&lt;0,AS85&gt;0),"n/a",AS85/AR85-1)</f>
        <v>0.22166969242507961</v>
      </c>
      <c r="AT86" s="22">
        <f t="shared" ref="AT86" si="1634">IF(AND(AS85&lt;0,AT85&gt;0),"n/a",AT85/AS85-1)</f>
        <v>-1.7875603032391441E-2</v>
      </c>
      <c r="AU86" s="22">
        <f t="shared" ref="AU86" si="1635">IF(AND(AT85&lt;0,AU85&gt;0),"n/a",AU85/AT85-1)</f>
        <v>0.11729748695232667</v>
      </c>
      <c r="AV86" s="22">
        <f t="shared" ref="AV86" si="1636">IF(AND(AU85&lt;0,AV85&gt;0),"n/a",AV85/AU85-1)</f>
        <v>5.2383662734784453E-2</v>
      </c>
      <c r="AW86" s="22">
        <f t="shared" ref="AW86" si="1637">IF(AND(AV85&lt;0,AW85&gt;0),"n/a",AW85/AV85-1)</f>
        <v>0.15438269302499075</v>
      </c>
      <c r="AX86" s="22">
        <f t="shared" ref="AX86" si="1638">IF(AND(AW85&lt;0,AX85&gt;0),"n/a",AX85/AW85-1)</f>
        <v>-9.4946524928107512E-2</v>
      </c>
      <c r="AY86" s="22">
        <f t="shared" ref="AY86" si="1639">IF(AND(AX85&lt;0,AY85&gt;0),"n/a",AY85/AX85-1)</f>
        <v>2.5883150961246715E-2</v>
      </c>
      <c r="AZ86" s="22">
        <f t="shared" ref="AZ86" si="1640">IF(AND(AY85&lt;0,AZ85&gt;0),"n/a",AZ85/AY85-1)</f>
        <v>-3.5670164082755029E-3</v>
      </c>
      <c r="BA86" s="22">
        <f t="shared" ref="BA86" si="1641">IF(AND(AZ85&lt;0,BA85&gt;0),"n/a",BA85/AZ85-1)</f>
        <v>0.10227709286487618</v>
      </c>
      <c r="BB86" s="22">
        <f t="shared" ref="BB86" si="1642">IF(AND(BA85&lt;0,BB85&gt;0),"n/a",BB85/BA85-1)</f>
        <v>-8.0113429336374997E-2</v>
      </c>
      <c r="BC86" s="22">
        <f t="shared" ref="BC86" si="1643">IF(AND(BB85&lt;0,BC85&gt;0),"n/a",BC85/BB85-1)</f>
        <v>6.8904350222160904E-2</v>
      </c>
      <c r="BD86" s="28">
        <f t="shared" ref="BD86:BL86" si="1644">IF(AND(BC85&lt;0,BD85&gt;0),"n/a",BD85/BC85-1)</f>
        <v>3.1965456683906046E-2</v>
      </c>
      <c r="BE86" s="28">
        <f t="shared" si="1644"/>
        <v>0.129162698474653</v>
      </c>
      <c r="BF86" s="28">
        <f t="shared" si="1644"/>
        <v>-6.5413970466235316E-2</v>
      </c>
      <c r="BG86" s="28">
        <f t="shared" si="1644"/>
        <v>5.5656650836625188E-2</v>
      </c>
      <c r="BH86" s="28">
        <f t="shared" si="1644"/>
        <v>4.4762104968117056E-2</v>
      </c>
      <c r="BI86" s="28">
        <f t="shared" si="1644"/>
        <v>9.4863780868958747E-2</v>
      </c>
      <c r="BJ86" s="28">
        <f t="shared" si="1644"/>
        <v>-6.2912730792320626E-2</v>
      </c>
      <c r="BK86" s="28">
        <f t="shared" si="1644"/>
        <v>6.8470046805951368E-2</v>
      </c>
      <c r="BL86" s="28">
        <f t="shared" si="1644"/>
        <v>7.0322920108170317E-2</v>
      </c>
      <c r="BM86" s="22">
        <f t="shared" ref="BM86" si="1645">IF(AND(BL85&lt;0,BM85&gt;0),"n/a",BM85/BL85-1)</f>
        <v>9.1977772696670845E-2</v>
      </c>
      <c r="BN86" s="22">
        <f t="shared" ref="BN86" si="1646">IF(AND(BM85&lt;0,BN85&gt;0),"n/a",BN85/BM85-1)</f>
        <v>-6.7771262774119823E-2</v>
      </c>
      <c r="BO86" s="22">
        <f t="shared" ref="BO86" si="1647">IF(AND(BN85&lt;0,BO85&gt;0),"n/a",BO85/BN85-1)</f>
        <v>5.9515109358031282E-2</v>
      </c>
      <c r="BP86" s="22">
        <f t="shared" ref="BP86" si="1648">IF(AND(BO85&lt;0,BP85&gt;0),"n/a",BP85/BO85-1)</f>
        <v>6.3003208728196203E-2</v>
      </c>
      <c r="BQ86" s="22">
        <f t="shared" ref="BQ86" si="1649">IF(AND(BP85&lt;0,BQ85&gt;0),"n/a",BQ85/BP85-1)</f>
        <v>7.9452466893205065E-2</v>
      </c>
      <c r="BR86" s="28">
        <f>IF(AND(BQ85&lt;0,BR85&gt;0),"n/a",BR85/BQ85-1)</f>
        <v>-5.8147093954086904E-2</v>
      </c>
      <c r="BS86" s="28">
        <f t="shared" ref="BS86" si="1650">IF(AND(BR85&lt;0,BS85&gt;0),"n/a",BS85/BR85-1)</f>
        <v>5.5334903850309258E-2</v>
      </c>
      <c r="BT86" s="28">
        <f t="shared" ref="BT86" si="1651">IF(AND(BS85&lt;0,BT85&gt;0),"n/a",BT85/BS85-1)</f>
        <v>6.43550449623429E-2</v>
      </c>
      <c r="BU86" s="28">
        <f t="shared" ref="BU86" si="1652">IF(AND(BT85&lt;0,BU85&gt;0),"n/a",BU85/BT85-1)</f>
        <v>7.5993133026285742E-2</v>
      </c>
      <c r="BV86" s="28">
        <f t="shared" ref="BV86" si="1653">IF(AND(BU85&lt;0,BV85&gt;0),"n/a",BV85/BU85-1)</f>
        <v>-5.8239422875711044E-2</v>
      </c>
      <c r="BW86" s="28">
        <f t="shared" ref="BW86" si="1654">IF(AND(BV85&lt;0,BW85&gt;0),"n/a",BW85/BV85-1)</f>
        <v>5.1363602139661735E-2</v>
      </c>
      <c r="BX86" s="28">
        <f t="shared" ref="BX86" si="1655">IF(AND(BW85&lt;0,BX85&gt;0),"n/a",BX85/BW85-1)</f>
        <v>6.577723151865067E-2</v>
      </c>
      <c r="BY86" s="28">
        <f t="shared" ref="BY86" si="1656">IF(AND(BX85&lt;0,BY85&gt;0),"n/a",BY85/BX85-1)</f>
        <v>7.2676053194874468E-2</v>
      </c>
      <c r="BZ86" s="28">
        <f t="shared" ref="BZ86" si="1657">IF(AND(BY85&lt;0,BZ85&gt;0),"n/a",BZ85/BY85-1)</f>
        <v>-6.1422630189981176E-2</v>
      </c>
      <c r="CA86" s="28">
        <f t="shared" ref="CA86" si="1658">IF(AND(BZ85&lt;0,CA85&gt;0),"n/a",CA85/BZ85-1)</f>
        <v>4.7593880709072112E-2</v>
      </c>
      <c r="CB86" s="28">
        <f t="shared" ref="CB86" si="1659">IF(AND(CA85&lt;0,CB85&gt;0),"n/a",CB85/CA85-1)</f>
        <v>6.7091382886006912E-2</v>
      </c>
      <c r="CC86" s="28">
        <f t="shared" ref="CC86" si="1660">IF(AND(CB85&lt;0,CC85&gt;0),"n/a",CC85/CB85-1)</f>
        <v>6.9555745902649457E-2</v>
      </c>
      <c r="CD86" s="28">
        <f t="shared" ref="CD86" si="1661">IF(AND(CC85&lt;0,CD85&gt;0),"n/a",CD85/CC85-1)</f>
        <v>-6.4889966081738248E-2</v>
      </c>
      <c r="CE86" s="28">
        <f t="shared" ref="CE86" si="1662">IF(AND(CD85&lt;0,CE85&gt;0),"n/a",CE85/CD85-1)</f>
        <v>4.4005473129798522E-2</v>
      </c>
      <c r="CF86" s="28">
        <f t="shared" ref="CF86" si="1663">IF(AND(CE85&lt;0,CF85&gt;0),"n/a",CF85/CE85-1)</f>
        <v>6.8284176488548898E-2</v>
      </c>
      <c r="CG86" s="28">
        <f t="shared" ref="CG86" si="1664">IF(AND(CF85&lt;0,CG85&gt;0),"n/a",CG85/CF85-1)</f>
        <v>6.666313477562924E-2</v>
      </c>
      <c r="CH86" s="28"/>
      <c r="CI86" s="106" t="s">
        <v>82</v>
      </c>
      <c r="CJ86" s="48" t="s">
        <v>82</v>
      </c>
      <c r="CK86" s="106" t="s">
        <v>82</v>
      </c>
      <c r="CL86" s="106" t="s">
        <v>82</v>
      </c>
      <c r="CM86" s="48" t="s">
        <v>82</v>
      </c>
      <c r="CN86" s="106" t="s">
        <v>82</v>
      </c>
      <c r="CO86" s="48" t="s">
        <v>82</v>
      </c>
      <c r="CP86" s="106" t="s">
        <v>82</v>
      </c>
      <c r="CQ86" s="48" t="s">
        <v>82</v>
      </c>
      <c r="CR86" s="106" t="s">
        <v>82</v>
      </c>
      <c r="CS86" s="48" t="s">
        <v>82</v>
      </c>
      <c r="CT86" s="106" t="s">
        <v>82</v>
      </c>
      <c r="CU86" s="48" t="s">
        <v>82</v>
      </c>
      <c r="CV86" s="106" t="s">
        <v>82</v>
      </c>
      <c r="CW86" s="48" t="s">
        <v>82</v>
      </c>
      <c r="CX86" s="106" t="s">
        <v>82</v>
      </c>
      <c r="CY86" s="106" t="s">
        <v>82</v>
      </c>
      <c r="CZ86" s="106" t="s">
        <v>82</v>
      </c>
      <c r="DA86" s="106" t="s">
        <v>82</v>
      </c>
      <c r="DB86" s="106" t="s">
        <v>82</v>
      </c>
      <c r="DC86" s="106" t="s">
        <v>82</v>
      </c>
    </row>
    <row r="87" spans="1:108" x14ac:dyDescent="0.2">
      <c r="A87" s="7" t="s">
        <v>63</v>
      </c>
      <c r="B87" s="25" t="s">
        <v>82</v>
      </c>
      <c r="C87" s="25" t="s">
        <v>82</v>
      </c>
      <c r="D87" s="25" t="s">
        <v>82</v>
      </c>
      <c r="E87" s="25" t="s">
        <v>82</v>
      </c>
      <c r="F87" s="22">
        <f t="shared" ref="F87:AJ87" si="1665">IF(AND(B85&lt;0,F85&gt;0),"n/a",F85/B85-1)</f>
        <v>0.29067930489731442</v>
      </c>
      <c r="G87" s="22">
        <f t="shared" si="1665"/>
        <v>0.35888364779874204</v>
      </c>
      <c r="H87" s="22">
        <f t="shared" si="1665"/>
        <v>0.37055281882868085</v>
      </c>
      <c r="I87" s="22">
        <f t="shared" si="1665"/>
        <v>0.27640872704441999</v>
      </c>
      <c r="J87" s="22">
        <f t="shared" si="1665"/>
        <v>0.24479804161566698</v>
      </c>
      <c r="K87" s="22">
        <f t="shared" si="1665"/>
        <v>0.20928550766560594</v>
      </c>
      <c r="L87" s="22">
        <f t="shared" si="1665"/>
        <v>0.16506922257720991</v>
      </c>
      <c r="M87" s="22">
        <f t="shared" si="1665"/>
        <v>0.20905066404328587</v>
      </c>
      <c r="N87" s="22">
        <f t="shared" si="1665"/>
        <v>0.22713864306784659</v>
      </c>
      <c r="O87" s="22">
        <f t="shared" si="1665"/>
        <v>0.20691304867838767</v>
      </c>
      <c r="P87" s="22">
        <f t="shared" si="1665"/>
        <v>0.23148994515539312</v>
      </c>
      <c r="Q87" s="22">
        <f t="shared" si="1665"/>
        <v>0.26200162733930021</v>
      </c>
      <c r="R87" s="22">
        <f t="shared" si="1665"/>
        <v>0.22085336538461542</v>
      </c>
      <c r="S87" s="22">
        <f t="shared" si="1665"/>
        <v>0.25468239024873651</v>
      </c>
      <c r="T87" s="22">
        <f t="shared" si="1665"/>
        <v>0.22239747634069396</v>
      </c>
      <c r="U87" s="22">
        <f t="shared" si="1665"/>
        <v>0.16690844616376532</v>
      </c>
      <c r="V87" s="22">
        <f t="shared" si="1665"/>
        <v>0.14143900237919427</v>
      </c>
      <c r="W87" s="22">
        <f t="shared" si="1665"/>
        <v>0.13340178500908295</v>
      </c>
      <c r="X87" s="22">
        <f t="shared" si="1665"/>
        <v>0.14679316888045535</v>
      </c>
      <c r="Y87" s="22">
        <f t="shared" si="1665"/>
        <v>0.19303819324538996</v>
      </c>
      <c r="Z87" s="22">
        <f t="shared" si="1665"/>
        <v>0.18371307410335658</v>
      </c>
      <c r="AA87" s="22">
        <f t="shared" si="1665"/>
        <v>0.22125435540069693</v>
      </c>
      <c r="AB87" s="22">
        <f t="shared" si="1665"/>
        <v>0.20914686610629429</v>
      </c>
      <c r="AC87" s="22">
        <f t="shared" si="1665"/>
        <v>0.22820423758249397</v>
      </c>
      <c r="AD87" s="22">
        <f t="shared" si="1665"/>
        <v>0.22174995445989443</v>
      </c>
      <c r="AE87" s="22">
        <f t="shared" si="1665"/>
        <v>0.19366619115549222</v>
      </c>
      <c r="AF87" s="22">
        <f t="shared" si="1665"/>
        <v>0.21900487164048399</v>
      </c>
      <c r="AG87" s="22">
        <f t="shared" si="1665"/>
        <v>0.21950414781297134</v>
      </c>
      <c r="AH87" s="22">
        <f t="shared" si="1665"/>
        <v>0.23542567466825703</v>
      </c>
      <c r="AI87" s="22">
        <f t="shared" si="1665"/>
        <v>0.25421865289927825</v>
      </c>
      <c r="AJ87" s="22">
        <f t="shared" si="1665"/>
        <v>0.21948810058374502</v>
      </c>
      <c r="AK87" s="22">
        <f>IF(AND(AG85&lt;0,AK85&gt;0),"n/a",AK85/AG85-1)</f>
        <v>0.2306265218567618</v>
      </c>
      <c r="AL87" s="22">
        <f>IF(AND(AH85&lt;0,AL85&gt;0),"n/a",AL85/AH85-1)</f>
        <v>0.18589588864751794</v>
      </c>
      <c r="AM87" s="22">
        <f t="shared" ref="AM87" si="1666">IF(AND(AI85&lt;0,AM85&gt;0),"n/a",AM85/AI85-1)</f>
        <v>0.20844608758623329</v>
      </c>
      <c r="AN87" s="22">
        <f t="shared" ref="AN87" si="1667">IF(AND(AJ85&lt;0,AN85&gt;0),"n/a",AN85/AJ85-1)</f>
        <v>0.21544296339936664</v>
      </c>
      <c r="AO87" s="22">
        <f t="shared" ref="AO87" si="1668">IF(AND(AK85&lt;0,AO85&gt;0),"n/a",AO85/AK85-1)</f>
        <v>0.18008793969849246</v>
      </c>
      <c r="AP87" s="22">
        <f t="shared" ref="AP87" si="1669">IF(AND(AL85&lt;0,AP85&gt;0),"n/a",AP85/AL85-1)</f>
        <v>0.14342413243325747</v>
      </c>
      <c r="AQ87" s="22">
        <f t="shared" ref="AQ87" si="1670">IF(AND(AM85&lt;0,AQ85&gt;0),"n/a",AQ85/AM85-1)</f>
        <v>-3.2485964801615141E-3</v>
      </c>
      <c r="AR87" s="22">
        <f t="shared" ref="AR87" si="1671">IF(AND(AN85&lt;0,AR85&gt;0),"n/a",AR85/AN85-1)</f>
        <v>0.15141325093156421</v>
      </c>
      <c r="AS87" s="22">
        <f t="shared" ref="AS87" si="1672">IF(AND(AO85&lt;0,AS85&gt;0),"n/a",AS85/AO85-1)</f>
        <v>0.23574812370256026</v>
      </c>
      <c r="AT87" s="22">
        <f t="shared" ref="AT87" si="1673">IF(AND(AP85&lt;0,AT85&gt;0),"n/a",AT85/AP85-1)</f>
        <v>0.3528940576141455</v>
      </c>
      <c r="AU87" s="22">
        <f t="shared" ref="AU87" si="1674">IF(AND(AQ85&lt;0,AU85&gt;0),"n/a",AU85/AQ85-1)</f>
        <v>0.61222035882669368</v>
      </c>
      <c r="AV87" s="22">
        <f t="shared" ref="AV87" si="1675">IF(AND(AR85&lt;0,AV85&gt;0),"n/a",AV85/AR85-1)</f>
        <v>0.41079274870418603</v>
      </c>
      <c r="AW87" s="22">
        <f t="shared" ref="AW87" si="1676">IF(AND(AS85&lt;0,AW85&gt;0),"n/a",AW85/AS85-1)</f>
        <v>0.3330892487939352</v>
      </c>
      <c r="AX87" s="22">
        <f t="shared" ref="AX87" si="1677">IF(AND(AT85&lt;0,AX85&gt;0),"n/a",AX85/AT85-1)</f>
        <v>0.22847682119205293</v>
      </c>
      <c r="AY87" s="22">
        <f t="shared" ref="AY87" si="1678">IF(AND(AU85&lt;0,AY85&gt;0),"n/a",AY85/AU85-1)</f>
        <v>0.12796608506211848</v>
      </c>
      <c r="AZ87" s="22">
        <f t="shared" ref="AZ87" si="1679">IF(AND(AV85&lt;0,AZ85&gt;0),"n/a",AZ85/AV85-1)</f>
        <v>6.7997016038791491E-2</v>
      </c>
      <c r="BA87" s="22">
        <f t="shared" ref="BA87" si="1680">IF(AND(AW85&lt;0,BA85&gt;0),"n/a",BA85/AW85-1)</f>
        <v>1.9790623283466369E-2</v>
      </c>
      <c r="BB87" s="22">
        <f t="shared" ref="BB87" si="1681">IF(AND(AX85&lt;0,BB85&gt;0),"n/a",BB85/AX85-1)</f>
        <v>3.6504168079827259E-2</v>
      </c>
      <c r="BC87" s="22">
        <f t="shared" ref="BC87" si="1682">IF(AND(AY85&lt;0,BC85&gt;0),"n/a",BC85/AY85-1)</f>
        <v>7.9970767865532144E-2</v>
      </c>
      <c r="BD87" s="28">
        <f t="shared" ref="BD87:BL87" si="1683">IF(AND(AZ85&lt;0,BD85&gt;0),"n/a",BD85/AZ85-1)</f>
        <v>0.11848217092166391</v>
      </c>
      <c r="BE87" s="28">
        <f t="shared" si="1683"/>
        <v>0.14576303407632718</v>
      </c>
      <c r="BF87" s="28">
        <f t="shared" si="1683"/>
        <v>0.16407191816209132</v>
      </c>
      <c r="BG87" s="28">
        <f t="shared" si="1683"/>
        <v>0.14964473875006035</v>
      </c>
      <c r="BH87" s="28">
        <f t="shared" si="1683"/>
        <v>0.16390064167616436</v>
      </c>
      <c r="BI87" s="28">
        <f t="shared" si="1683"/>
        <v>0.12854654056744641</v>
      </c>
      <c r="BJ87" s="28">
        <f t="shared" si="1683"/>
        <v>0.13156687822703539</v>
      </c>
      <c r="BK87" s="28">
        <f t="shared" si="1683"/>
        <v>0.14530166071053174</v>
      </c>
      <c r="BL87" s="28">
        <f t="shared" si="1683"/>
        <v>0.17332224442983812</v>
      </c>
      <c r="BM87" s="22">
        <f t="shared" ref="BM87" si="1684">IF(AND(BI85&lt;0,BM85&gt;0),"n/a",BM85/BI85-1)</f>
        <v>0.17022942352798665</v>
      </c>
      <c r="BN87" s="22">
        <f t="shared" ref="BN87" si="1685">IF(AND(BJ85&lt;0,BN85&gt;0),"n/a",BN85/BJ85-1)</f>
        <v>0.16416211553322491</v>
      </c>
      <c r="BO87" s="22">
        <f t="shared" ref="BO87" si="1686">IF(AND(BK85&lt;0,BO85&gt;0),"n/a",BO85/BK85-1)</f>
        <v>0.15440517479819671</v>
      </c>
      <c r="BP87" s="22">
        <f t="shared" ref="BP87" si="1687">IF(AND(BL85&lt;0,BP85&gt;0),"n/a",BP85/BL85-1)</f>
        <v>0.14651044271657665</v>
      </c>
      <c r="BQ87" s="22">
        <f t="shared" ref="BQ87" si="1688">IF(AND(BM85&lt;0,BQ85&gt;0),"n/a",BQ85/BM85-1)</f>
        <v>0.13335963116990146</v>
      </c>
      <c r="BR87" s="28">
        <f>IF(AND(BN85&lt;0,BR85&gt;0),"n/a",BR85/BN85-1)</f>
        <v>0.14506024067551282</v>
      </c>
      <c r="BS87" s="28">
        <f t="shared" ref="BS87" si="1689">IF(AND(BO85&lt;0,BS85&gt;0),"n/a",BS85/BO85-1)</f>
        <v>0.14054252584306903</v>
      </c>
      <c r="BT87" s="28">
        <f t="shared" ref="BT87" si="1690">IF(AND(BP85&lt;0,BT85&gt;0),"n/a",BT85/BP85-1)</f>
        <v>0.14199296992485544</v>
      </c>
      <c r="BU87" s="28">
        <f t="shared" ref="BU87" si="1691">IF(AND(BQ85&lt;0,BU85&gt;0),"n/a",BU85/BQ85-1)</f>
        <v>0.13833321178097435</v>
      </c>
      <c r="BV87" s="28">
        <f t="shared" ref="BV87" si="1692">IF(AND(BR85&lt;0,BV85&gt;0),"n/a",BV85/BR85-1)</f>
        <v>0.13822162208664102</v>
      </c>
      <c r="BW87" s="28">
        <f t="shared" ref="BW87" si="1693">IF(AND(BS85&lt;0,BW85&gt;0),"n/a",BW85/BS85-1)</f>
        <v>0.13393841164946418</v>
      </c>
      <c r="BX87" s="28">
        <f t="shared" ref="BX87" si="1694">IF(AND(BT85&lt;0,BX85&gt;0),"n/a",BX85/BT85-1)</f>
        <v>0.13545357519602863</v>
      </c>
      <c r="BY87" s="28">
        <f t="shared" ref="BY87" si="1695">IF(AND(BU85&lt;0,BY85&gt;0),"n/a",BY85/BU85-1)</f>
        <v>0.13195319026030572</v>
      </c>
      <c r="BZ87" s="28">
        <f t="shared" ref="BZ87" si="1696">IF(AND(BV85&lt;0,BZ85&gt;0),"n/a",BZ85/BV85-1)</f>
        <v>0.12812712049037467</v>
      </c>
      <c r="CA87" s="28">
        <f t="shared" ref="CA87" si="1697">IF(AND(BW85&lt;0,CA85&gt;0),"n/a",CA85/BW85-1)</f>
        <v>0.1240821592858139</v>
      </c>
      <c r="CB87" s="28">
        <f t="shared" ref="CB87" si="1698">IF(AND(BX85&lt;0,CB85&gt;0),"n/a",CB85/BX85-1)</f>
        <v>0.12546820325725561</v>
      </c>
      <c r="CC87" s="28">
        <f t="shared" ref="CC87" si="1699">IF(AND(BY85&lt;0,CC85&gt;0),"n/a",CC85/BY85-1)</f>
        <v>0.12219432888359805</v>
      </c>
      <c r="CD87" s="28">
        <f t="shared" ref="CD87" si="1700">IF(AND(BZ85&lt;0,CD85&gt;0),"n/a",CD85/BZ85-1)</f>
        <v>0.11804866673658521</v>
      </c>
      <c r="CE87" s="28">
        <f t="shared" ref="CE87" si="1701">IF(AND(CA85&lt;0,CE85&gt;0),"n/a",CE85/CA85-1)</f>
        <v>0.11421892471193851</v>
      </c>
      <c r="CF87" s="28">
        <f t="shared" ref="CF87" si="1702">IF(AND(CB85&lt;0,CF85&gt;0),"n/a",CF85/CB85-1)</f>
        <v>0.11546439743015413</v>
      </c>
      <c r="CG87" s="28">
        <f t="shared" ref="CG87" si="1703">IF(AND(CC85&lt;0,CG85&gt;0),"n/a",CG85/CC85-1)</f>
        <v>0.11244762645756845</v>
      </c>
      <c r="CH87" s="28"/>
      <c r="CI87" s="106" t="s">
        <v>82</v>
      </c>
      <c r="CJ87" s="22">
        <f>IF(AND(CI85&lt;0,CJ85&gt;0),"n/a",CJ85/CI85-1)</f>
        <v>0.32221414288311223</v>
      </c>
      <c r="CK87" s="107">
        <f t="shared" ref="CK87" si="1704">IF(AND(CJ85&lt;0,CK85&gt;0),"n/a",CK85/CJ85-1)</f>
        <v>0.2057812607410463</v>
      </c>
      <c r="CL87" s="107">
        <f t="shared" ref="CL87" si="1705">IF(AND(CK85&lt;0,CL85&gt;0),"n/a",CL85/CK85-1)</f>
        <v>0.23317465294603923</v>
      </c>
      <c r="CM87" s="22">
        <f t="shared" ref="CM87" si="1706">IF(AND(CL85&lt;0,CM85&gt;0),"n/a",CM85/CL85-1)</f>
        <v>0.21365664224127978</v>
      </c>
      <c r="CN87" s="107">
        <f t="shared" ref="CN87" si="1707">IF(AND(CM85&lt;0,CN85&gt;0),"n/a",CN85/CM85-1)</f>
        <v>0.15507389913149483</v>
      </c>
      <c r="CO87" s="22">
        <f t="shared" ref="CO87" si="1708">IF(AND(CN85&lt;0,CO85&gt;0),"n/a",CO85/CN85-1)</f>
        <v>0.21160505227055371</v>
      </c>
      <c r="CP87" s="107">
        <f t="shared" ref="CP87" si="1709">IF(AND(CO85&lt;0,CP85&gt;0),"n/a",CP85/CO85-1)</f>
        <v>0.21372092706759749</v>
      </c>
      <c r="CQ87" s="22">
        <f t="shared" ref="CQ87" si="1710">IF(AND(CP85&lt;0,CQ85&gt;0),"n/a",CQ85/CP85-1)</f>
        <v>0.23446172476817329</v>
      </c>
      <c r="CR87" s="107">
        <f t="shared" ref="CR87" si="1711">IF(AND(CQ85&lt;0,CR85&gt;0),"n/a",CR85/CQ85-1)</f>
        <v>0.1968790022980571</v>
      </c>
      <c r="CS87" s="22">
        <f t="shared" ref="CS87" si="1712">IF(AND(CR85&lt;0,CS85&gt;0),"n/a",CS85/CR85-1)</f>
        <v>0.13645953494019802</v>
      </c>
      <c r="CT87" s="107">
        <f t="shared" ref="CT87" si="1713">IF(AND(CS85&lt;0,CT85&gt;0),"n/a",CT85/CS85-1)</f>
        <v>0.41617640184575522</v>
      </c>
      <c r="CU87" s="22">
        <f t="shared" ref="CU87" si="1714">IF(AND(CT85&lt;0,CU85&gt;0),"n/a",CU85/CT85-1)</f>
        <v>0.10284291581592964</v>
      </c>
      <c r="CV87" s="107">
        <f t="shared" ref="CV87" si="1715">IF(AND(CU85&lt;0,CV85&gt;0),"n/a",CV85/CU85-1)</f>
        <v>9.6745780974085038E-2</v>
      </c>
      <c r="CW87" s="22">
        <f t="shared" ref="CW87" si="1716">IF(AND(CV85&lt;0,CW85&gt;0),"n/a",CW85/CV85-1)</f>
        <v>0.15052162115801448</v>
      </c>
      <c r="CX87" s="107">
        <f t="shared" ref="CX87" si="1717">IF(AND(CW85&lt;0,CX85&gt;0),"n/a",CX85/CW85-1)</f>
        <v>0.15612838179229249</v>
      </c>
      <c r="CY87" s="107">
        <f t="shared" ref="CY87" si="1718">IF(AND(CX85&lt;0,CY85&gt;0),"n/a",CY85/CX85-1)</f>
        <v>0.148676901510024</v>
      </c>
      <c r="CZ87" s="107">
        <f>IF(AND(CY85&lt;0,CZ85&gt;0),"n/a",CZ85/CY85-1)</f>
        <v>0.14132982466085209</v>
      </c>
      <c r="DA87" s="107">
        <f>IF(AND(CZ85&lt;0,DA85&gt;0),"n/a",DA85/CZ85-1)</f>
        <v>0.1347557355113953</v>
      </c>
      <c r="DB87" s="107">
        <f>IF(AND(DA85&lt;0,DB85&gt;0),"n/a",DB85/DA85-1)</f>
        <v>0.12484326771652632</v>
      </c>
      <c r="DC87" s="107">
        <f>IF(AND(DB85&lt;0,DC85&gt;0),"n/a",DC85/DB85-1)</f>
        <v>0.1149307180675474</v>
      </c>
    </row>
    <row r="88" spans="1:108" x14ac:dyDescent="0.2">
      <c r="CI88" s="92"/>
      <c r="CK88" s="92"/>
      <c r="CL88" s="92"/>
      <c r="CN88" s="92"/>
      <c r="CP88" s="92"/>
      <c r="CR88" s="92"/>
      <c r="CT88" s="92"/>
      <c r="CV88" s="92"/>
      <c r="CX88" s="92"/>
      <c r="CY88" s="92"/>
      <c r="CZ88" s="92"/>
      <c r="DA88" s="92"/>
      <c r="DB88" s="92"/>
      <c r="DC88" s="92"/>
    </row>
    <row r="89" spans="1:108" x14ac:dyDescent="0.2">
      <c r="CI89" s="92"/>
      <c r="CK89" s="92"/>
      <c r="CL89" s="92"/>
      <c r="CN89" s="92"/>
      <c r="CP89" s="92"/>
      <c r="CR89" s="92"/>
      <c r="CT89" s="92"/>
      <c r="CV89" s="92"/>
      <c r="CW89" s="92"/>
      <c r="CX89" s="92"/>
      <c r="CY89" s="92"/>
      <c r="CZ89" s="92"/>
      <c r="DA89" s="92"/>
      <c r="DB89" s="92"/>
      <c r="DC89" s="92"/>
    </row>
    <row r="90" spans="1:108" x14ac:dyDescent="0.2">
      <c r="A90" s="5" t="s">
        <v>85</v>
      </c>
      <c r="CI90" s="92"/>
      <c r="CK90" s="92"/>
      <c r="CL90" s="92"/>
      <c r="CN90" s="92"/>
      <c r="CP90" s="92"/>
      <c r="CR90" s="92"/>
      <c r="CT90" s="92"/>
      <c r="CV90" s="92"/>
      <c r="CX90" s="92"/>
      <c r="CY90" s="92"/>
      <c r="CZ90" s="92"/>
      <c r="DA90" s="92"/>
      <c r="DB90" s="92"/>
      <c r="DC90" s="92"/>
    </row>
    <row r="91" spans="1:108" hidden="1" outlineLevel="1" x14ac:dyDescent="0.2">
      <c r="A91" s="9" t="s">
        <v>83</v>
      </c>
      <c r="B91" s="17">
        <v>4439</v>
      </c>
      <c r="C91" s="17">
        <v>4499</v>
      </c>
      <c r="D91" s="17">
        <v>4833</v>
      </c>
      <c r="E91" s="17">
        <v>5672</v>
      </c>
      <c r="F91" s="17">
        <v>5879</v>
      </c>
      <c r="G91" s="17">
        <v>6232</v>
      </c>
      <c r="H91" s="17">
        <v>6740</v>
      </c>
      <c r="I91" s="17">
        <v>7294</v>
      </c>
      <c r="J91" s="17">
        <v>7312</v>
      </c>
      <c r="K91" s="17">
        <v>7542</v>
      </c>
      <c r="L91" s="17">
        <v>7727</v>
      </c>
      <c r="M91" s="17">
        <v>8640</v>
      </c>
      <c r="N91" s="17">
        <v>8637</v>
      </c>
      <c r="O91" s="17">
        <v>8865</v>
      </c>
      <c r="P91" s="17">
        <v>9373</v>
      </c>
      <c r="Q91" s="17">
        <v>10547</v>
      </c>
      <c r="R91" s="17">
        <v>10469</v>
      </c>
      <c r="S91" s="17">
        <v>10935</v>
      </c>
      <c r="T91" s="17">
        <v>11252</v>
      </c>
      <c r="U91" s="17">
        <v>12429</v>
      </c>
      <c r="V91" s="17">
        <v>11932</v>
      </c>
      <c r="W91" s="17">
        <v>12402</v>
      </c>
      <c r="X91" s="17">
        <v>13087</v>
      </c>
      <c r="Y91" s="17">
        <v>14936</v>
      </c>
      <c r="Z91" s="17">
        <v>14328</v>
      </c>
      <c r="AA91" s="17">
        <v>15400</v>
      </c>
      <c r="AB91" s="17">
        <v>16089</v>
      </c>
      <c r="AC91" s="17">
        <v>17968</v>
      </c>
      <c r="AD91" s="17">
        <v>17403</v>
      </c>
      <c r="AE91" s="17">
        <v>18425</v>
      </c>
      <c r="AF91" s="17">
        <v>19723</v>
      </c>
      <c r="AG91" s="17">
        <v>22237</v>
      </c>
      <c r="AH91" s="17">
        <v>21998</v>
      </c>
      <c r="AI91" s="17">
        <v>23262</v>
      </c>
      <c r="AJ91" s="17">
        <v>24054</v>
      </c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I91" s="90">
        <f>SUM(B91:E91)</f>
        <v>19443</v>
      </c>
      <c r="CJ91" s="21">
        <f>SUM(F91:I91)</f>
        <v>26145</v>
      </c>
      <c r="CK91" s="90">
        <f>SUM(J91:M91)</f>
        <v>31221</v>
      </c>
      <c r="CL91" s="90">
        <f>SUM(N91:Q91)</f>
        <v>37422</v>
      </c>
      <c r="CM91" s="21">
        <f>SUM(R91:U91)</f>
        <v>45085</v>
      </c>
      <c r="CN91" s="90">
        <f>SUM(V91:Y91)</f>
        <v>52357</v>
      </c>
      <c r="CO91" s="21">
        <f>SUM(Z91:AC91)</f>
        <v>63785</v>
      </c>
      <c r="CP91" s="90">
        <f>SUM(AD91:AG91)</f>
        <v>77788</v>
      </c>
      <c r="CQ91" s="45"/>
      <c r="CR91" s="108"/>
      <c r="CS91" s="45"/>
      <c r="CT91" s="108"/>
      <c r="CU91" s="45"/>
      <c r="CV91" s="108"/>
      <c r="CW91" s="45"/>
      <c r="CX91" s="108"/>
      <c r="CY91" s="108"/>
      <c r="CZ91" s="108"/>
      <c r="DA91" s="108"/>
      <c r="DB91" s="108"/>
      <c r="DC91" s="108"/>
    </row>
    <row r="92" spans="1:108" hidden="1" outlineLevel="1" x14ac:dyDescent="0.2">
      <c r="A92" s="8" t="s">
        <v>62</v>
      </c>
      <c r="B92" s="25" t="s">
        <v>82</v>
      </c>
      <c r="C92" s="22">
        <f t="shared" ref="C92" si="1719">IF(AND(B91&lt;0,C91&gt;0),"n/a",C91/B91-1)</f>
        <v>1.3516557783284533E-2</v>
      </c>
      <c r="D92" s="22">
        <f t="shared" ref="D92" si="1720">IF(AND(C91&lt;0,D91&gt;0),"n/a",D91/C91-1)</f>
        <v>7.4238719715492341E-2</v>
      </c>
      <c r="E92" s="22">
        <f t="shared" ref="E92" si="1721">IF(AND(D91&lt;0,E91&gt;0),"n/a",E91/D91-1)</f>
        <v>0.17359817918477138</v>
      </c>
      <c r="F92" s="22">
        <f t="shared" ref="F92" si="1722">IF(AND(E91&lt;0,F91&gt;0),"n/a",F91/E91-1)</f>
        <v>3.6495063469675681E-2</v>
      </c>
      <c r="G92" s="22">
        <f t="shared" ref="G92" si="1723">IF(AND(F91&lt;0,G91&gt;0),"n/a",G91/F91-1)</f>
        <v>6.0044225208368829E-2</v>
      </c>
      <c r="H92" s="22">
        <f t="shared" ref="H92" si="1724">IF(AND(G91&lt;0,H91&gt;0),"n/a",H91/G91-1)</f>
        <v>8.1514762516046169E-2</v>
      </c>
      <c r="I92" s="22">
        <f t="shared" ref="I92" si="1725">IF(AND(H91&lt;0,I91&gt;0),"n/a",I91/H91-1)</f>
        <v>8.2195845697329295E-2</v>
      </c>
      <c r="J92" s="22">
        <f t="shared" ref="J92" si="1726">IF(AND(I91&lt;0,J91&gt;0),"n/a",J91/I91-1)</f>
        <v>2.4677817384151091E-3</v>
      </c>
      <c r="K92" s="22">
        <f t="shared" ref="K92" si="1727">IF(AND(J91&lt;0,K91&gt;0),"n/a",K91/J91-1)</f>
        <v>3.1455142231947564E-2</v>
      </c>
      <c r="L92" s="22">
        <f t="shared" ref="L92" si="1728">IF(AND(K91&lt;0,L91&gt;0),"n/a",L91/K91-1)</f>
        <v>2.4529302572261935E-2</v>
      </c>
      <c r="M92" s="22">
        <f t="shared" ref="M92" si="1729">IF(AND(L91&lt;0,M91&gt;0),"n/a",M91/L91-1)</f>
        <v>0.11815711142746221</v>
      </c>
      <c r="N92" s="22">
        <f t="shared" ref="N92" si="1730">IF(AND(M91&lt;0,N91&gt;0),"n/a",N91/M91-1)</f>
        <v>-3.472222222222765E-4</v>
      </c>
      <c r="O92" s="22">
        <f t="shared" ref="O92" si="1731">IF(AND(N91&lt;0,O91&gt;0),"n/a",O91/N91-1)</f>
        <v>2.6398054880166777E-2</v>
      </c>
      <c r="P92" s="22">
        <f t="shared" ref="P92" si="1732">IF(AND(O91&lt;0,P91&gt;0),"n/a",P91/O91-1)</f>
        <v>5.730400451212625E-2</v>
      </c>
      <c r="Q92" s="22">
        <f t="shared" ref="Q92" si="1733">IF(AND(P91&lt;0,Q91&gt;0),"n/a",Q91/P91-1)</f>
        <v>0.1252533873893098</v>
      </c>
      <c r="R92" s="22">
        <f t="shared" ref="R92" si="1734">IF(AND(Q91&lt;0,R91&gt;0),"n/a",R91/Q91-1)</f>
        <v>-7.3954679055655559E-3</v>
      </c>
      <c r="S92" s="22">
        <f t="shared" ref="S92" si="1735">IF(AND(R91&lt;0,S91&gt;0),"n/a",S91/R91-1)</f>
        <v>4.4512369853854317E-2</v>
      </c>
      <c r="T92" s="22">
        <f t="shared" ref="T92" si="1736">IF(AND(S91&lt;0,T91&gt;0),"n/a",T91/S91-1)</f>
        <v>2.8989483310470909E-2</v>
      </c>
      <c r="U92" s="22">
        <f t="shared" ref="U92" si="1737">IF(AND(T91&lt;0,U91&gt;0),"n/a",U91/T91-1)</f>
        <v>0.10460362602204043</v>
      </c>
      <c r="V92" s="22">
        <f t="shared" ref="V92" si="1738">IF(AND(U91&lt;0,V91&gt;0),"n/a",V91/U91-1)</f>
        <v>-3.9987126880682289E-2</v>
      </c>
      <c r="W92" s="22">
        <f t="shared" ref="W92" si="1739">IF(AND(V91&lt;0,W91&gt;0),"n/a",W91/V91-1)</f>
        <v>3.9389875963794729E-2</v>
      </c>
      <c r="X92" s="22">
        <f t="shared" ref="X92" si="1740">IF(AND(W91&lt;0,X91&gt;0),"n/a",X91/W91-1)</f>
        <v>5.5233026931140072E-2</v>
      </c>
      <c r="Y92" s="22">
        <f t="shared" ref="Y92" si="1741">IF(AND(X91&lt;0,Y91&gt;0),"n/a",Y91/X91-1)</f>
        <v>0.14128524489951855</v>
      </c>
      <c r="Z92" s="22">
        <f t="shared" ref="Z92" si="1742">IF(AND(Y91&lt;0,Z91&gt;0),"n/a",Z91/Y91-1)</f>
        <v>-4.0707016604177859E-2</v>
      </c>
      <c r="AA92" s="22">
        <f t="shared" ref="AA92" si="1743">IF(AND(Z91&lt;0,AA91&gt;0),"n/a",AA91/Z91-1)</f>
        <v>7.4818537130094898E-2</v>
      </c>
      <c r="AB92" s="22">
        <f t="shared" ref="AB92" si="1744">IF(AND(AA91&lt;0,AB91&gt;0),"n/a",AB91/AA91-1)</f>
        <v>4.4740259740259747E-2</v>
      </c>
      <c r="AC92" s="22">
        <f t="shared" ref="AC92" si="1745">IF(AND(AB91&lt;0,AC91&gt;0),"n/a",AC91/AB91-1)</f>
        <v>0.11678786748710301</v>
      </c>
      <c r="AD92" s="22">
        <f t="shared" ref="AD92" si="1746">IF(AND(AC91&lt;0,AD91&gt;0),"n/a",AD91/AC91-1)</f>
        <v>-3.1444790739091677E-2</v>
      </c>
      <c r="AE92" s="22">
        <f t="shared" ref="AE92" si="1747">IF(AND(AD91&lt;0,AE91&gt;0),"n/a",AE91/AD91-1)</f>
        <v>5.8725507096477614E-2</v>
      </c>
      <c r="AF92" s="22">
        <f t="shared" ref="AF92" si="1748">IF(AND(AE91&lt;0,AF91&gt;0),"n/a",AF91/AE91-1)</f>
        <v>7.0447761194029956E-2</v>
      </c>
      <c r="AG92" s="22">
        <f t="shared" ref="AG92" si="1749">IF(AND(AF91&lt;0,AG91&gt;0),"n/a",AG91/AF91-1)</f>
        <v>0.12746539573087268</v>
      </c>
      <c r="AH92" s="22">
        <f t="shared" ref="AH92" si="1750">IF(AND(AG91&lt;0,AH91&gt;0),"n/a",AH91/AG91-1)</f>
        <v>-1.0747852677969183E-2</v>
      </c>
      <c r="AI92" s="22">
        <f t="shared" ref="AI92" si="1751">IF(AND(AH91&lt;0,AI91&gt;0),"n/a",AI91/AH91-1)</f>
        <v>5.7459769069915456E-2</v>
      </c>
      <c r="AJ92" s="22">
        <f t="shared" ref="AJ92" si="1752">IF(AND(AI91&lt;0,AJ91&gt;0),"n/a",AJ91/AI91-1)</f>
        <v>3.4046943513025507E-2</v>
      </c>
      <c r="AK92" s="30"/>
      <c r="AL92" s="30"/>
      <c r="AM92" s="30"/>
      <c r="AN92" s="30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I92" s="106" t="s">
        <v>82</v>
      </c>
      <c r="CJ92" s="48" t="s">
        <v>82</v>
      </c>
      <c r="CK92" s="106" t="s">
        <v>82</v>
      </c>
      <c r="CL92" s="106" t="s">
        <v>82</v>
      </c>
      <c r="CM92" s="48" t="s">
        <v>82</v>
      </c>
      <c r="CN92" s="106" t="s">
        <v>82</v>
      </c>
      <c r="CO92" s="48" t="s">
        <v>82</v>
      </c>
      <c r="CP92" s="106" t="s">
        <v>82</v>
      </c>
      <c r="CQ92" s="59"/>
      <c r="CR92" s="109"/>
      <c r="CS92" s="59"/>
      <c r="CT92" s="109"/>
      <c r="CU92" s="59"/>
      <c r="CV92" s="109"/>
      <c r="CW92" s="59"/>
      <c r="CX92" s="109"/>
      <c r="CY92" s="109"/>
      <c r="CZ92" s="109"/>
      <c r="DA92" s="109"/>
      <c r="DB92" s="109"/>
      <c r="DC92" s="109"/>
    </row>
    <row r="93" spans="1:108" hidden="1" outlineLevel="1" x14ac:dyDescent="0.2">
      <c r="A93" s="8" t="s">
        <v>63</v>
      </c>
      <c r="B93" s="25" t="s">
        <v>82</v>
      </c>
      <c r="C93" s="25" t="s">
        <v>82</v>
      </c>
      <c r="D93" s="25" t="s">
        <v>82</v>
      </c>
      <c r="E93" s="25" t="s">
        <v>82</v>
      </c>
      <c r="F93" s="22">
        <f t="shared" ref="F93" si="1753">IF(AND(B91&lt;0,F91&gt;0),"n/a",F91/B91-1)</f>
        <v>0.32439738679882857</v>
      </c>
      <c r="G93" s="22">
        <f t="shared" ref="G93" si="1754">IF(AND(C91&lt;0,G91&gt;0),"n/a",G91/C91-1)</f>
        <v>0.38519671038008441</v>
      </c>
      <c r="H93" s="22">
        <f t="shared" ref="H93" si="1755">IF(AND(D91&lt;0,H91&gt;0),"n/a",H91/D91-1)</f>
        <v>0.39457893647837783</v>
      </c>
      <c r="I93" s="22">
        <f t="shared" ref="I93" si="1756">IF(AND(E91&lt;0,I91&gt;0),"n/a",I91/E91-1)</f>
        <v>0.28596614950634702</v>
      </c>
      <c r="J93" s="22">
        <f t="shared" ref="J93" si="1757">IF(AND(F91&lt;0,J91&gt;0),"n/a",J91/F91-1)</f>
        <v>0.24374893689402954</v>
      </c>
      <c r="K93" s="22">
        <f t="shared" ref="K93" si="1758">IF(AND(G91&lt;0,K91&gt;0),"n/a",K91/G91-1)</f>
        <v>0.21020539152759943</v>
      </c>
      <c r="L93" s="22">
        <f t="shared" ref="L93" si="1759">IF(AND(H91&lt;0,L91&gt;0),"n/a",L91/H91-1)</f>
        <v>0.14643916913946597</v>
      </c>
      <c r="M93" s="22">
        <f t="shared" ref="M93" si="1760">IF(AND(I91&lt;0,M91&gt;0),"n/a",M91/I91-1)</f>
        <v>0.18453523443926523</v>
      </c>
      <c r="N93" s="22">
        <f t="shared" ref="N93" si="1761">IF(AND(J91&lt;0,N91&gt;0),"n/a",N91/J91-1)</f>
        <v>0.18120897155361049</v>
      </c>
      <c r="O93" s="22">
        <f t="shared" ref="O93" si="1762">IF(AND(K91&lt;0,O91&gt;0),"n/a",O91/K91-1)</f>
        <v>0.17541766109785195</v>
      </c>
      <c r="P93" s="22">
        <f t="shared" ref="P93" si="1763">IF(AND(L91&lt;0,P91&gt;0),"n/a",P91/L91-1)</f>
        <v>0.21301928303351891</v>
      </c>
      <c r="Q93" s="22">
        <f t="shared" ref="Q93" si="1764">IF(AND(M91&lt;0,Q91&gt;0),"n/a",Q91/M91-1)</f>
        <v>0.2207175925925926</v>
      </c>
      <c r="R93" s="22">
        <f t="shared" ref="R93" si="1765">IF(AND(N91&lt;0,R91&gt;0),"n/a",R91/N91-1)</f>
        <v>0.21211068658098875</v>
      </c>
      <c r="S93" s="22">
        <f t="shared" ref="S93" si="1766">IF(AND(O91&lt;0,S91&gt;0),"n/a",S91/O91-1)</f>
        <v>0.23350253807106602</v>
      </c>
      <c r="T93" s="22">
        <f t="shared" ref="T93" si="1767">IF(AND(P91&lt;0,T91&gt;0),"n/a",T91/P91-1)</f>
        <v>0.20046943347914215</v>
      </c>
      <c r="U93" s="22">
        <f t="shared" ref="U93" si="1768">IF(AND(Q91&lt;0,U91&gt;0),"n/a",U91/Q91-1)</f>
        <v>0.17843936664454341</v>
      </c>
      <c r="V93" s="22">
        <f t="shared" ref="V93" si="1769">IF(AND(R91&lt;0,V91&gt;0),"n/a",V91/R91-1)</f>
        <v>0.13974591651542645</v>
      </c>
      <c r="W93" s="22">
        <f t="shared" ref="W93" si="1770">IF(AND(S91&lt;0,W91&gt;0),"n/a",W91/S91-1)</f>
        <v>0.13415637860082308</v>
      </c>
      <c r="X93" s="22">
        <f t="shared" ref="X93" si="1771">IF(AND(T91&lt;0,X91&gt;0),"n/a",X91/T91-1)</f>
        <v>0.16308211873444711</v>
      </c>
      <c r="Y93" s="22">
        <f t="shared" ref="Y93" si="1772">IF(AND(U91&lt;0,Y91&gt;0),"n/a",Y91/U91-1)</f>
        <v>0.20170568830959845</v>
      </c>
      <c r="Z93" s="22">
        <f t="shared" ref="Z93" si="1773">IF(AND(V91&lt;0,Z91&gt;0),"n/a",Z91/V91-1)</f>
        <v>0.20080455916862228</v>
      </c>
      <c r="AA93" s="22">
        <f t="shared" ref="AA93" si="1774">IF(AND(W91&lt;0,AA91&gt;0),"n/a",AA91/W91-1)</f>
        <v>0.241735203999355</v>
      </c>
      <c r="AB93" s="22">
        <f t="shared" ref="AB93" si="1775">IF(AND(X91&lt;0,AB91&gt;0),"n/a",AB91/X91-1)</f>
        <v>0.22938794223275005</v>
      </c>
      <c r="AC93" s="22">
        <f t="shared" ref="AC93" si="1776">IF(AND(Y91&lt;0,AC91&gt;0),"n/a",AC91/Y91-1)</f>
        <v>0.20299946438136041</v>
      </c>
      <c r="AD93" s="22">
        <f t="shared" ref="AD93" si="1777">IF(AND(Z91&lt;0,AD91&gt;0),"n/a",AD91/Z91-1)</f>
        <v>0.21461474036850925</v>
      </c>
      <c r="AE93" s="22">
        <f t="shared" ref="AE93" si="1778">IF(AND(AA91&lt;0,AE91&gt;0),"n/a",AE91/AA91-1)</f>
        <v>0.1964285714285714</v>
      </c>
      <c r="AF93" s="22">
        <f t="shared" ref="AF93" si="1779">IF(AND(AB91&lt;0,AF91&gt;0),"n/a",AF91/AB91-1)</f>
        <v>0.22586860587979363</v>
      </c>
      <c r="AG93" s="22">
        <f t="shared" ref="AG93" si="1780">IF(AND(AC91&lt;0,AG91&gt;0),"n/a",AG91/AC91-1)</f>
        <v>0.23758904719501328</v>
      </c>
      <c r="AH93" s="22">
        <f t="shared" ref="AH93" si="1781">IF(AND(AD91&lt;0,AH91&gt;0),"n/a",AH91/AD91-1)</f>
        <v>0.26403493650520016</v>
      </c>
      <c r="AI93" s="22">
        <f t="shared" ref="AI93" si="1782">IF(AND(AE91&lt;0,AI91&gt;0),"n/a",AI91/AE91-1)</f>
        <v>0.26252374491180452</v>
      </c>
      <c r="AJ93" s="22">
        <f t="shared" ref="AJ93" si="1783">IF(AND(AF91&lt;0,AJ91&gt;0),"n/a",AJ91/AF91-1)</f>
        <v>0.21959134005982861</v>
      </c>
      <c r="AK93" s="30"/>
      <c r="AL93" s="30"/>
      <c r="AM93" s="30"/>
      <c r="AN93" s="30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I93" s="106" t="s">
        <v>82</v>
      </c>
      <c r="CJ93" s="22">
        <f>IF(AND(CI91&lt;0,CJ91&gt;0),"n/a",CJ91/CI91-1)</f>
        <v>0.34469989199197659</v>
      </c>
      <c r="CK93" s="107">
        <f t="shared" ref="CK93" si="1784">IF(AND(CJ91&lt;0,CK91&gt;0),"n/a",CK91/CJ91-1)</f>
        <v>0.19414802065404468</v>
      </c>
      <c r="CL93" s="107">
        <f t="shared" ref="CL93" si="1785">IF(AND(CK91&lt;0,CL91&gt;0),"n/a",CL91/CK91-1)</f>
        <v>0.19861631594119333</v>
      </c>
      <c r="CM93" s="22">
        <f t="shared" ref="CM93" si="1786">IF(AND(CL91&lt;0,CM91&gt;0),"n/a",CM91/CL91-1)</f>
        <v>0.20477259366148259</v>
      </c>
      <c r="CN93" s="107">
        <f t="shared" ref="CN93" si="1787">IF(AND(CM91&lt;0,CN91&gt;0),"n/a",CN91/CM91-1)</f>
        <v>0.16129533104136629</v>
      </c>
      <c r="CO93" s="22">
        <f t="shared" ref="CO93" si="1788">IF(AND(CN91&lt;0,CO91&gt;0),"n/a",CO91/CN91-1)</f>
        <v>0.21827071833756717</v>
      </c>
      <c r="CP93" s="107">
        <f t="shared" ref="CP93" si="1789">IF(AND(CO91&lt;0,CP91&gt;0),"n/a",CP91/CO91-1)</f>
        <v>0.21953437328525505</v>
      </c>
      <c r="CQ93" s="30"/>
      <c r="CR93" s="110"/>
      <c r="CS93" s="30"/>
      <c r="CT93" s="110"/>
      <c r="CU93" s="30"/>
      <c r="CV93" s="110"/>
      <c r="CW93" s="30"/>
      <c r="CX93" s="110"/>
      <c r="CY93" s="110"/>
      <c r="CZ93" s="110"/>
      <c r="DA93" s="110"/>
      <c r="DB93" s="110"/>
      <c r="DC93" s="110"/>
    </row>
    <row r="94" spans="1:108" hidden="1" outlineLevel="1" x14ac:dyDescent="0.2">
      <c r="A94" s="8" t="s">
        <v>59</v>
      </c>
      <c r="B94" s="25">
        <f>B91/B$3</f>
        <v>0.65520295202952028</v>
      </c>
      <c r="C94" s="25">
        <f t="shared" ref="C94:AJ94" si="1790">C91/C$3</f>
        <v>0.6596774193548387</v>
      </c>
      <c r="D94" s="25">
        <f t="shared" si="1790"/>
        <v>0.6633269283557508</v>
      </c>
      <c r="E94" s="25">
        <f t="shared" si="1790"/>
        <v>0.67203791469194318</v>
      </c>
      <c r="F94" s="25">
        <f t="shared" si="1790"/>
        <v>0.68559766763848395</v>
      </c>
      <c r="G94" s="25">
        <f t="shared" si="1790"/>
        <v>0.69044981165521824</v>
      </c>
      <c r="H94" s="25">
        <f t="shared" si="1790"/>
        <v>0.69341563786008231</v>
      </c>
      <c r="I94" s="25">
        <f t="shared" si="1790"/>
        <v>0.68915343915343918</v>
      </c>
      <c r="J94" s="25">
        <f t="shared" si="1790"/>
        <v>0.68689525598872714</v>
      </c>
      <c r="K94" s="25">
        <f t="shared" si="1790"/>
        <v>0.68788763225100324</v>
      </c>
      <c r="L94" s="25">
        <f t="shared" si="1790"/>
        <v>0.67039736248481696</v>
      </c>
      <c r="M94" s="25">
        <f t="shared" si="1790"/>
        <v>0.66950794265788449</v>
      </c>
      <c r="N94" s="25">
        <f t="shared" si="1790"/>
        <v>0.66705282669138088</v>
      </c>
      <c r="O94" s="25">
        <f t="shared" si="1790"/>
        <v>0.67651098901098905</v>
      </c>
      <c r="P94" s="25">
        <f t="shared" si="1790"/>
        <v>0.68162315467965962</v>
      </c>
      <c r="Q94" s="25">
        <f t="shared" si="1790"/>
        <v>0.67109951641639098</v>
      </c>
      <c r="R94" s="25">
        <f t="shared" si="1790"/>
        <v>0.6789234760051881</v>
      </c>
      <c r="S94" s="25">
        <f t="shared" si="1790"/>
        <v>0.68536508931369478</v>
      </c>
      <c r="T94" s="25">
        <f t="shared" si="1790"/>
        <v>0.68099013496338434</v>
      </c>
      <c r="U94" s="25">
        <f t="shared" si="1790"/>
        <v>0.69061510251708613</v>
      </c>
      <c r="V94" s="25">
        <f t="shared" si="1790"/>
        <v>0.69460938409593664</v>
      </c>
      <c r="W94" s="25">
        <f t="shared" si="1790"/>
        <v>0.70254347702940012</v>
      </c>
      <c r="X94" s="25">
        <f t="shared" si="1790"/>
        <v>0.70614579398910049</v>
      </c>
      <c r="Y94" s="25">
        <f t="shared" si="1790"/>
        <v>0.70526017565398058</v>
      </c>
      <c r="Z94" s="25">
        <f t="shared" si="1790"/>
        <v>0.71315514409437064</v>
      </c>
      <c r="AA94" s="25">
        <f t="shared" si="1790"/>
        <v>0.72249589490968802</v>
      </c>
      <c r="AB94" s="25">
        <f t="shared" si="1790"/>
        <v>0.72297115125370714</v>
      </c>
      <c r="AC94" s="25">
        <f t="shared" si="1790"/>
        <v>0.69638012557166107</v>
      </c>
      <c r="AD94" s="25">
        <f t="shared" si="1790"/>
        <v>0.70692176456251521</v>
      </c>
      <c r="AE94" s="25">
        <f t="shared" si="1790"/>
        <v>0.71103307220314127</v>
      </c>
      <c r="AF94" s="25">
        <f t="shared" si="1790"/>
        <v>0.7131802567347677</v>
      </c>
      <c r="AG94" s="25">
        <f t="shared" si="1790"/>
        <v>0.6907616799204771</v>
      </c>
      <c r="AH94" s="25">
        <f t="shared" si="1790"/>
        <v>0.70970447799716097</v>
      </c>
      <c r="AI94" s="25">
        <f t="shared" si="1790"/>
        <v>0.71548966535433067</v>
      </c>
      <c r="AJ94" s="25">
        <f t="shared" si="1790"/>
        <v>0.71602071798535449</v>
      </c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I94" s="107">
        <f>CI91/CI$3</f>
        <v>0.66310835237543053</v>
      </c>
      <c r="CJ94" s="22">
        <f t="shared" ref="CJ94:CP94" si="1791">CJ91/CJ$3</f>
        <v>0.68975069252077559</v>
      </c>
      <c r="CK94" s="107">
        <f t="shared" si="1791"/>
        <v>0.67812771503040836</v>
      </c>
      <c r="CL94" s="107">
        <f t="shared" si="1791"/>
        <v>0.67403951800284589</v>
      </c>
      <c r="CM94" s="22">
        <f t="shared" si="1791"/>
        <v>0.68419455193869039</v>
      </c>
      <c r="CN94" s="107">
        <f t="shared" si="1791"/>
        <v>0.70238254943521772</v>
      </c>
      <c r="CO94" s="22">
        <f t="shared" si="1791"/>
        <v>0.712984283830006</v>
      </c>
      <c r="CP94" s="107">
        <f t="shared" si="1791"/>
        <v>0.70474188697022955</v>
      </c>
      <c r="CQ94" s="19"/>
      <c r="CR94" s="112"/>
      <c r="CS94" s="19"/>
      <c r="CT94" s="112"/>
      <c r="CU94" s="19"/>
      <c r="CV94" s="112"/>
      <c r="CW94" s="19"/>
      <c r="CX94" s="112"/>
      <c r="CY94" s="112"/>
      <c r="CZ94" s="112"/>
      <c r="DA94" s="112"/>
      <c r="DB94" s="112"/>
      <c r="DC94" s="112"/>
    </row>
    <row r="95" spans="1:108" hidden="1" outlineLevel="1" x14ac:dyDescent="0.2">
      <c r="A95" s="8"/>
      <c r="CI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</row>
    <row r="96" spans="1:108" hidden="1" outlineLevel="1" x14ac:dyDescent="0.2">
      <c r="A96" s="10" t="s">
        <v>86</v>
      </c>
      <c r="B96" s="17">
        <v>-265</v>
      </c>
      <c r="C96" s="17">
        <v>-269</v>
      </c>
      <c r="D96" s="17">
        <v>-285</v>
      </c>
      <c r="E96" s="17">
        <v>-333</v>
      </c>
      <c r="F96" s="17">
        <v>-337</v>
      </c>
      <c r="G96" s="17">
        <v>-355</v>
      </c>
      <c r="H96" s="17">
        <v>-383</v>
      </c>
      <c r="I96" s="17">
        <v>-442</v>
      </c>
      <c r="J96" s="17">
        <v>-468</v>
      </c>
      <c r="K96" s="17">
        <v>-507</v>
      </c>
      <c r="L96" s="17">
        <v>-556</v>
      </c>
      <c r="M96" s="17">
        <v>-634</v>
      </c>
      <c r="N96" s="17">
        <v>-680</v>
      </c>
      <c r="O96" s="17">
        <v>-706</v>
      </c>
      <c r="P96" s="17">
        <v>-755</v>
      </c>
      <c r="Q96" s="17">
        <v>-824</v>
      </c>
      <c r="R96" s="17">
        <v>-845</v>
      </c>
      <c r="S96" s="17">
        <v>-893</v>
      </c>
      <c r="T96" s="17">
        <v>-927</v>
      </c>
      <c r="U96" s="17">
        <v>-968</v>
      </c>
      <c r="V96" s="17">
        <v>-913</v>
      </c>
      <c r="W96" s="17">
        <v>-945</v>
      </c>
      <c r="X96" s="17">
        <v>-1052</v>
      </c>
      <c r="Y96" s="17">
        <v>-1191</v>
      </c>
      <c r="Z96" s="17">
        <v>-1217</v>
      </c>
      <c r="AA96" s="17">
        <v>-1352</v>
      </c>
      <c r="AB96" s="17">
        <v>-1559</v>
      </c>
      <c r="AC96" s="17">
        <v>-1766</v>
      </c>
      <c r="AD96" s="17">
        <v>-1805</v>
      </c>
      <c r="AE96" s="17">
        <v>-2049</v>
      </c>
      <c r="AF96" s="17">
        <v>-2401</v>
      </c>
      <c r="AG96" s="17">
        <v>-2776</v>
      </c>
      <c r="AH96" s="17">
        <v>-2902</v>
      </c>
      <c r="AI96" s="17">
        <v>-3009</v>
      </c>
      <c r="AJ96" s="17">
        <v>-3155</v>
      </c>
      <c r="AK96" s="17">
        <v>-3506</v>
      </c>
      <c r="AL96" s="17">
        <v>-3383</v>
      </c>
      <c r="AM96" s="17">
        <v>-3617</v>
      </c>
      <c r="AN96" s="17">
        <v>-3856</v>
      </c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I96" s="90">
        <f>SUM(B96:E96)</f>
        <v>-1152</v>
      </c>
      <c r="CJ96" s="21">
        <f>SUM(F96:I96)</f>
        <v>-1517</v>
      </c>
      <c r="CK96" s="90">
        <f>SUM(J96:M96)</f>
        <v>-2165</v>
      </c>
      <c r="CL96" s="90">
        <f>SUM(N96:Q96)</f>
        <v>-2965</v>
      </c>
      <c r="CM96" s="21">
        <f>SUM(R96:U96)</f>
        <v>-3633</v>
      </c>
      <c r="CN96" s="90">
        <f>SUM(V96:Y96)</f>
        <v>-4101</v>
      </c>
      <c r="CO96" s="21">
        <f>SUM(Z96:AC96)</f>
        <v>-5894</v>
      </c>
      <c r="CP96" s="90">
        <f>SUM(AD96:AG96)</f>
        <v>-9031</v>
      </c>
      <c r="CQ96" s="45"/>
      <c r="CR96" s="108"/>
      <c r="CS96" s="45"/>
      <c r="CT96" s="108"/>
      <c r="CU96" s="45"/>
      <c r="CV96" s="108"/>
      <c r="CW96" s="45"/>
      <c r="CX96" s="108"/>
      <c r="CY96" s="108"/>
      <c r="CZ96" s="108"/>
      <c r="DA96" s="108"/>
      <c r="DB96" s="108"/>
      <c r="DC96" s="108"/>
    </row>
    <row r="97" spans="1:107" hidden="1" outlineLevel="1" x14ac:dyDescent="0.2">
      <c r="A97" s="11" t="s">
        <v>62</v>
      </c>
      <c r="B97" s="25" t="s">
        <v>82</v>
      </c>
      <c r="C97" s="22">
        <f t="shared" ref="C97" si="1792">IF(AND(B96&lt;0,C96&gt;0),"n/a",C96/B96-1)</f>
        <v>1.5094339622641506E-2</v>
      </c>
      <c r="D97" s="22">
        <f t="shared" ref="D97" si="1793">IF(AND(C96&lt;0,D96&gt;0),"n/a",D96/C96-1)</f>
        <v>5.9479553903345694E-2</v>
      </c>
      <c r="E97" s="22">
        <f t="shared" ref="E97" si="1794">IF(AND(D96&lt;0,E96&gt;0),"n/a",E96/D96-1)</f>
        <v>0.16842105263157903</v>
      </c>
      <c r="F97" s="22">
        <f t="shared" ref="F97" si="1795">IF(AND(E96&lt;0,F96&gt;0),"n/a",F96/E96-1)</f>
        <v>1.2012012012011963E-2</v>
      </c>
      <c r="G97" s="22">
        <f t="shared" ref="G97" si="1796">IF(AND(F96&lt;0,G96&gt;0),"n/a",G96/F96-1)</f>
        <v>5.3412462908011937E-2</v>
      </c>
      <c r="H97" s="22">
        <f t="shared" ref="H97" si="1797">IF(AND(G96&lt;0,H96&gt;0),"n/a",H96/G96-1)</f>
        <v>7.8873239436619613E-2</v>
      </c>
      <c r="I97" s="22">
        <f t="shared" ref="I97" si="1798">IF(AND(H96&lt;0,I96&gt;0),"n/a",I96/H96-1)</f>
        <v>0.15404699738903394</v>
      </c>
      <c r="J97" s="22">
        <f t="shared" ref="J97" si="1799">IF(AND(I96&lt;0,J96&gt;0),"n/a",J96/I96-1)</f>
        <v>5.8823529411764719E-2</v>
      </c>
      <c r="K97" s="22">
        <f t="shared" ref="K97" si="1800">IF(AND(J96&lt;0,K96&gt;0),"n/a",K96/J96-1)</f>
        <v>8.3333333333333259E-2</v>
      </c>
      <c r="L97" s="22">
        <f t="shared" ref="L97" si="1801">IF(AND(K96&lt;0,L96&gt;0),"n/a",L96/K96-1)</f>
        <v>9.6646942800789004E-2</v>
      </c>
      <c r="M97" s="22">
        <f t="shared" ref="M97" si="1802">IF(AND(L96&lt;0,M96&gt;0),"n/a",M96/L96-1)</f>
        <v>0.14028776978417268</v>
      </c>
      <c r="N97" s="22">
        <f t="shared" ref="N97" si="1803">IF(AND(M96&lt;0,N96&gt;0),"n/a",N96/M96-1)</f>
        <v>7.2555205047318605E-2</v>
      </c>
      <c r="O97" s="22">
        <f t="shared" ref="O97" si="1804">IF(AND(N96&lt;0,O96&gt;0),"n/a",O96/N96-1)</f>
        <v>3.8235294117647145E-2</v>
      </c>
      <c r="P97" s="22">
        <f t="shared" ref="P97" si="1805">IF(AND(O96&lt;0,P96&gt;0),"n/a",P96/O96-1)</f>
        <v>6.9405099150141591E-2</v>
      </c>
      <c r="Q97" s="22">
        <f t="shared" ref="Q97" si="1806">IF(AND(P96&lt;0,Q96&gt;0),"n/a",Q96/P96-1)</f>
        <v>9.139072847682117E-2</v>
      </c>
      <c r="R97" s="22">
        <f t="shared" ref="R97" si="1807">IF(AND(Q96&lt;0,R96&gt;0),"n/a",R96/Q96-1)</f>
        <v>2.5485436893203817E-2</v>
      </c>
      <c r="S97" s="22">
        <f t="shared" ref="S97" si="1808">IF(AND(R96&lt;0,S96&gt;0),"n/a",S96/R96-1)</f>
        <v>5.6804733727810586E-2</v>
      </c>
      <c r="T97" s="22">
        <f t="shared" ref="T97" si="1809">IF(AND(S96&lt;0,T96&gt;0),"n/a",T96/S96-1)</f>
        <v>3.8073908174692139E-2</v>
      </c>
      <c r="U97" s="22">
        <f t="shared" ref="U97" si="1810">IF(AND(T96&lt;0,U96&gt;0),"n/a",U96/T96-1)</f>
        <v>4.4228694714131711E-2</v>
      </c>
      <c r="V97" s="22">
        <f t="shared" ref="V97" si="1811">IF(AND(U96&lt;0,V96&gt;0),"n/a",V96/U96-1)</f>
        <v>-5.6818181818181768E-2</v>
      </c>
      <c r="W97" s="22">
        <f t="shared" ref="W97" si="1812">IF(AND(V96&lt;0,W96&gt;0),"n/a",W96/V96-1)</f>
        <v>3.5049288061336226E-2</v>
      </c>
      <c r="X97" s="22">
        <f t="shared" ref="X97" si="1813">IF(AND(W96&lt;0,X96&gt;0),"n/a",X96/W96-1)</f>
        <v>0.11322751322751312</v>
      </c>
      <c r="Y97" s="22">
        <f t="shared" ref="Y97" si="1814">IF(AND(X96&lt;0,Y96&gt;0),"n/a",Y96/X96-1)</f>
        <v>0.13212927756653992</v>
      </c>
      <c r="Z97" s="22">
        <f t="shared" ref="Z97" si="1815">IF(AND(Y96&lt;0,Z96&gt;0),"n/a",Z96/Y96-1)</f>
        <v>2.1830394626364491E-2</v>
      </c>
      <c r="AA97" s="22">
        <f t="shared" ref="AA97" si="1816">IF(AND(Z96&lt;0,AA96&gt;0),"n/a",AA96/Z96-1)</f>
        <v>0.11092851273623672</v>
      </c>
      <c r="AB97" s="22">
        <f t="shared" ref="AB97" si="1817">IF(AND(AA96&lt;0,AB96&gt;0),"n/a",AB96/AA96-1)</f>
        <v>0.15310650887573973</v>
      </c>
      <c r="AC97" s="22">
        <f t="shared" ref="AC97" si="1818">IF(AND(AB96&lt;0,AC96&gt;0),"n/a",AC96/AB96-1)</f>
        <v>0.13277742142398963</v>
      </c>
      <c r="AD97" s="22">
        <f t="shared" ref="AD97" si="1819">IF(AND(AC96&lt;0,AD96&gt;0),"n/a",AD96/AC96-1)</f>
        <v>2.2083805209512919E-2</v>
      </c>
      <c r="AE97" s="22">
        <f t="shared" ref="AE97" si="1820">IF(AND(AD96&lt;0,AE96&gt;0),"n/a",AE96/AD96-1)</f>
        <v>0.135180055401662</v>
      </c>
      <c r="AF97" s="22">
        <f t="shared" ref="AF97" si="1821">IF(AND(AE96&lt;0,AF96&gt;0),"n/a",AF96/AE96-1)</f>
        <v>0.17179111761835042</v>
      </c>
      <c r="AG97" s="22">
        <f t="shared" ref="AG97" si="1822">IF(AND(AF96&lt;0,AG96&gt;0),"n/a",AG96/AF96-1)</f>
        <v>0.15618492294877129</v>
      </c>
      <c r="AH97" s="22">
        <f t="shared" ref="AH97" si="1823">IF(AND(AG96&lt;0,AH96&gt;0),"n/a",AH96/AG96-1)</f>
        <v>4.538904899135443E-2</v>
      </c>
      <c r="AI97" s="22">
        <f t="shared" ref="AI97" si="1824">IF(AND(AH96&lt;0,AI96&gt;0),"n/a",AI96/AH96-1)</f>
        <v>3.6871123363197755E-2</v>
      </c>
      <c r="AJ97" s="22">
        <f t="shared" ref="AJ97" si="1825">IF(AND(AI96&lt;0,AJ96&gt;0),"n/a",AJ96/AI96-1)</f>
        <v>4.8521103356596873E-2</v>
      </c>
      <c r="AK97" s="22">
        <f>IF(AND(AJ96&lt;0,AK96&gt;0),"n/a",AK96/AJ96-1)</f>
        <v>0.11125198098256739</v>
      </c>
      <c r="AL97" s="22">
        <f t="shared" ref="AL97" si="1826">IF(AND(AK96&lt;0,AL96&gt;0),"n/a",AL96/AK96-1)</f>
        <v>-3.5082715345122639E-2</v>
      </c>
      <c r="AM97" s="22">
        <f t="shared" ref="AM97" si="1827">IF(AND(AL96&lt;0,AM96&gt;0),"n/a",AM96/AL96-1)</f>
        <v>6.9169376293230833E-2</v>
      </c>
      <c r="AN97" s="22">
        <f t="shared" ref="AN97" si="1828">IF(AND(AM96&lt;0,AN96&gt;0),"n/a",AN96/AM96-1)</f>
        <v>6.6076859275642885E-2</v>
      </c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I97" s="106" t="s">
        <v>82</v>
      </c>
      <c r="CJ97" s="48" t="s">
        <v>82</v>
      </c>
      <c r="CK97" s="106" t="s">
        <v>82</v>
      </c>
      <c r="CL97" s="106" t="s">
        <v>82</v>
      </c>
      <c r="CM97" s="48" t="s">
        <v>82</v>
      </c>
      <c r="CN97" s="106" t="s">
        <v>82</v>
      </c>
      <c r="CO97" s="48" t="s">
        <v>82</v>
      </c>
      <c r="CP97" s="106" t="s">
        <v>82</v>
      </c>
      <c r="CQ97" s="59"/>
      <c r="CR97" s="109"/>
      <c r="CS97" s="59"/>
      <c r="CT97" s="109"/>
      <c r="CU97" s="59"/>
      <c r="CV97" s="109"/>
      <c r="CW97" s="59"/>
      <c r="CX97" s="109"/>
      <c r="CY97" s="109"/>
      <c r="CZ97" s="109"/>
      <c r="DA97" s="109"/>
      <c r="DB97" s="109"/>
      <c r="DC97" s="109"/>
    </row>
    <row r="98" spans="1:107" hidden="1" outlineLevel="1" x14ac:dyDescent="0.2">
      <c r="A98" s="11" t="s">
        <v>63</v>
      </c>
      <c r="B98" s="25" t="s">
        <v>82</v>
      </c>
      <c r="C98" s="25" t="s">
        <v>82</v>
      </c>
      <c r="D98" s="25" t="s">
        <v>82</v>
      </c>
      <c r="E98" s="25" t="s">
        <v>82</v>
      </c>
      <c r="F98" s="22">
        <f t="shared" ref="F98" si="1829">IF(AND(B96&lt;0,F96&gt;0),"n/a",F96/B96-1)</f>
        <v>0.27169811320754711</v>
      </c>
      <c r="G98" s="22">
        <f t="shared" ref="G98" si="1830">IF(AND(C96&lt;0,G96&gt;0),"n/a",G96/C96-1)</f>
        <v>0.31970260223048319</v>
      </c>
      <c r="H98" s="22">
        <f t="shared" ref="H98" si="1831">IF(AND(D96&lt;0,H96&gt;0),"n/a",H96/D96-1)</f>
        <v>0.34385964912280698</v>
      </c>
      <c r="I98" s="22">
        <f t="shared" ref="I98" si="1832">IF(AND(E96&lt;0,I96&gt;0),"n/a",I96/E96-1)</f>
        <v>0.32732732732732739</v>
      </c>
      <c r="J98" s="22">
        <f t="shared" ref="J98" si="1833">IF(AND(F96&lt;0,J96&gt;0),"n/a",J96/F96-1)</f>
        <v>0.38872403560830859</v>
      </c>
      <c r="K98" s="22">
        <f t="shared" ref="K98" si="1834">IF(AND(G96&lt;0,K96&gt;0),"n/a",K96/G96-1)</f>
        <v>0.42816901408450714</v>
      </c>
      <c r="L98" s="22">
        <f t="shared" ref="L98" si="1835">IF(AND(H96&lt;0,L96&gt;0),"n/a",L96/H96-1)</f>
        <v>0.45169712793733674</v>
      </c>
      <c r="M98" s="22">
        <f t="shared" ref="M98" si="1836">IF(AND(I96&lt;0,M96&gt;0),"n/a",M96/I96-1)</f>
        <v>0.43438914027149322</v>
      </c>
      <c r="N98" s="22">
        <f t="shared" ref="N98" si="1837">IF(AND(J96&lt;0,N96&gt;0),"n/a",N96/J96-1)</f>
        <v>0.45299145299145294</v>
      </c>
      <c r="O98" s="22">
        <f t="shared" ref="O98" si="1838">IF(AND(K96&lt;0,O96&gt;0),"n/a",O96/K96-1)</f>
        <v>0.39250493096646943</v>
      </c>
      <c r="P98" s="22">
        <f t="shared" ref="P98" si="1839">IF(AND(L96&lt;0,P96&gt;0),"n/a",P96/L96-1)</f>
        <v>0.3579136690647482</v>
      </c>
      <c r="Q98" s="22">
        <f t="shared" ref="Q98" si="1840">IF(AND(M96&lt;0,Q96&gt;0),"n/a",Q96/M96-1)</f>
        <v>0.2996845425867507</v>
      </c>
      <c r="R98" s="22">
        <f t="shared" ref="R98" si="1841">IF(AND(N96&lt;0,R96&gt;0),"n/a",R96/N96-1)</f>
        <v>0.24264705882352944</v>
      </c>
      <c r="S98" s="22">
        <f t="shared" ref="S98" si="1842">IF(AND(O96&lt;0,S96&gt;0),"n/a",S96/O96-1)</f>
        <v>0.26487252124645888</v>
      </c>
      <c r="T98" s="22">
        <f t="shared" ref="T98" si="1843">IF(AND(P96&lt;0,T96&gt;0),"n/a",T96/P96-1)</f>
        <v>0.22781456953642376</v>
      </c>
      <c r="U98" s="22">
        <f t="shared" ref="U98" si="1844">IF(AND(Q96&lt;0,U96&gt;0),"n/a",U96/Q96-1)</f>
        <v>0.17475728155339798</v>
      </c>
      <c r="V98" s="22">
        <f t="shared" ref="V98" si="1845">IF(AND(R96&lt;0,V96&gt;0),"n/a",V96/R96-1)</f>
        <v>8.0473372781065144E-2</v>
      </c>
      <c r="W98" s="22">
        <f t="shared" ref="W98" si="1846">IF(AND(S96&lt;0,W96&gt;0),"n/a",W96/S96-1)</f>
        <v>5.8230683090705559E-2</v>
      </c>
      <c r="X98" s="22">
        <f t="shared" ref="X98" si="1847">IF(AND(T96&lt;0,X96&gt;0),"n/a",X96/T96-1)</f>
        <v>0.13484358144552311</v>
      </c>
      <c r="Y98" s="22">
        <f t="shared" ref="Y98" si="1848">IF(AND(U96&lt;0,Y96&gt;0),"n/a",Y96/U96-1)</f>
        <v>0.23037190082644621</v>
      </c>
      <c r="Z98" s="22">
        <f t="shared" ref="Z98" si="1849">IF(AND(V96&lt;0,Z96&gt;0),"n/a",Z96/V96-1)</f>
        <v>0.33296823658269448</v>
      </c>
      <c r="AA98" s="22">
        <f t="shared" ref="AA98" si="1850">IF(AND(W96&lt;0,AA96&gt;0),"n/a",AA96/W96-1)</f>
        <v>0.43068783068783079</v>
      </c>
      <c r="AB98" s="22">
        <f t="shared" ref="AB98" si="1851">IF(AND(X96&lt;0,AB96&gt;0),"n/a",AB96/X96-1)</f>
        <v>0.48193916349809895</v>
      </c>
      <c r="AC98" s="22">
        <f t="shared" ref="AC98" si="1852">IF(AND(Y96&lt;0,AC96&gt;0),"n/a",AC96/Y96-1)</f>
        <v>0.48278757346767431</v>
      </c>
      <c r="AD98" s="22">
        <f t="shared" ref="AD98" si="1853">IF(AND(Z96&lt;0,AD96&gt;0),"n/a",AD96/Z96-1)</f>
        <v>0.48315529991783079</v>
      </c>
      <c r="AE98" s="22">
        <f t="shared" ref="AE98" si="1854">IF(AND(AA96&lt;0,AE96&gt;0),"n/a",AE96/AA96-1)</f>
        <v>0.51553254437869822</v>
      </c>
      <c r="AF98" s="22">
        <f t="shared" ref="AF98" si="1855">IF(AND(AB96&lt;0,AF96&gt;0),"n/a",AF96/AB96-1)</f>
        <v>0.54008980115458627</v>
      </c>
      <c r="AG98" s="22">
        <f t="shared" ref="AG98" si="1856">IF(AND(AC96&lt;0,AG96&gt;0),"n/a",AG96/AC96-1)</f>
        <v>0.57191392978482436</v>
      </c>
      <c r="AH98" s="22">
        <f t="shared" ref="AH98" si="1857">IF(AND(AD96&lt;0,AH96&gt;0),"n/a",AH96/AD96-1)</f>
        <v>0.60775623268698054</v>
      </c>
      <c r="AI98" s="22">
        <f t="shared" ref="AI98" si="1858">IF(AND(AE96&lt;0,AI96&gt;0),"n/a",AI96/AE96-1)</f>
        <v>0.46852122986822842</v>
      </c>
      <c r="AJ98" s="22">
        <f t="shared" ref="AJ98" si="1859">IF(AND(AF96&lt;0,AJ96&gt;0),"n/a",AJ96/AF96-1)</f>
        <v>0.31403581840899619</v>
      </c>
      <c r="AK98" s="22">
        <f>IF(AND(AG96&lt;0,AK96&gt;0),"n/a",AK96/AG96-1)</f>
        <v>0.26296829971181546</v>
      </c>
      <c r="AL98" s="22">
        <f t="shared" ref="AL98" si="1860">IF(AND(AH96&lt;0,AL96&gt;0),"n/a",AL96/AH96-1)</f>
        <v>0.16574776016540316</v>
      </c>
      <c r="AM98" s="22">
        <f t="shared" ref="AM98" si="1861">IF(AND(AI96&lt;0,AM96&gt;0),"n/a",AM96/AI96-1)</f>
        <v>0.20206048521103348</v>
      </c>
      <c r="AN98" s="22">
        <f t="shared" ref="AN98" si="1862">IF(AND(AJ96&lt;0,AN96&gt;0),"n/a",AN96/AJ96-1)</f>
        <v>0.22218700475435815</v>
      </c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I98" s="106" t="s">
        <v>82</v>
      </c>
      <c r="CJ98" s="22">
        <f>IF(AND(CI96&lt;0,CJ96&gt;0),"n/a",CJ96/CI96-1)</f>
        <v>0.31684027777777768</v>
      </c>
      <c r="CK98" s="107">
        <f t="shared" ref="CK98" si="1863">IF(AND(CJ96&lt;0,CK96&gt;0),"n/a",CK96/CJ96-1)</f>
        <v>0.42715886618325638</v>
      </c>
      <c r="CL98" s="107">
        <f t="shared" ref="CL98" si="1864">IF(AND(CK96&lt;0,CL96&gt;0),"n/a",CL96/CK96-1)</f>
        <v>0.36951501154734401</v>
      </c>
      <c r="CM98" s="22">
        <f t="shared" ref="CM98" si="1865">IF(AND(CL96&lt;0,CM96&gt;0),"n/a",CM96/CL96-1)</f>
        <v>0.22529510961214161</v>
      </c>
      <c r="CN98" s="107">
        <f t="shared" ref="CN98" si="1866">IF(AND(CM96&lt;0,CN96&gt;0),"n/a",CN96/CM96-1)</f>
        <v>0.12881915772089192</v>
      </c>
      <c r="CO98" s="22">
        <f t="shared" ref="CO98" si="1867">IF(AND(CN96&lt;0,CO96&gt;0),"n/a",CO96/CN96-1)</f>
        <v>0.43721043647890756</v>
      </c>
      <c r="CP98" s="107">
        <f t="shared" ref="CP98" si="1868">IF(AND(CO96&lt;0,CP96&gt;0),"n/a",CP96/CO96-1)</f>
        <v>0.53223617237869014</v>
      </c>
      <c r="CQ98" s="30"/>
      <c r="CR98" s="110"/>
      <c r="CS98" s="30"/>
      <c r="CT98" s="110"/>
      <c r="CU98" s="30"/>
      <c r="CV98" s="110"/>
      <c r="CW98" s="30"/>
      <c r="CX98" s="110"/>
      <c r="CY98" s="110"/>
      <c r="CZ98" s="110"/>
      <c r="DA98" s="110"/>
      <c r="DB98" s="110"/>
      <c r="DC98" s="110"/>
    </row>
    <row r="99" spans="1:107" hidden="1" outlineLevel="1" x14ac:dyDescent="0.2">
      <c r="A99" s="11" t="s">
        <v>87</v>
      </c>
      <c r="B99" s="22">
        <f>B96/B91</f>
        <v>-5.9698130209506643E-2</v>
      </c>
      <c r="C99" s="22">
        <f t="shared" ref="C99:AN99" si="1869">C96/C91</f>
        <v>-5.9791064681040229E-2</v>
      </c>
      <c r="D99" s="22">
        <f t="shared" si="1869"/>
        <v>-5.8969584109248914E-2</v>
      </c>
      <c r="E99" s="22">
        <f t="shared" si="1869"/>
        <v>-5.8709449929478137E-2</v>
      </c>
      <c r="F99" s="22">
        <f t="shared" si="1869"/>
        <v>-5.7322673924136758E-2</v>
      </c>
      <c r="G99" s="22">
        <f t="shared" si="1869"/>
        <v>-5.696405648267009E-2</v>
      </c>
      <c r="H99" s="22">
        <f t="shared" si="1869"/>
        <v>-5.682492581602374E-2</v>
      </c>
      <c r="I99" s="22">
        <f t="shared" si="1869"/>
        <v>-6.0597751576638333E-2</v>
      </c>
      <c r="J99" s="22">
        <f t="shared" si="1869"/>
        <v>-6.4004376367614885E-2</v>
      </c>
      <c r="K99" s="22">
        <f t="shared" si="1869"/>
        <v>-6.7223548130469366E-2</v>
      </c>
      <c r="L99" s="22">
        <f t="shared" si="1869"/>
        <v>-7.1955480781674644E-2</v>
      </c>
      <c r="M99" s="22">
        <f t="shared" si="1869"/>
        <v>-7.3379629629629628E-2</v>
      </c>
      <c r="N99" s="22">
        <f t="shared" si="1869"/>
        <v>-7.8731040870672689E-2</v>
      </c>
      <c r="O99" s="22">
        <f t="shared" si="1869"/>
        <v>-7.9639029892836999E-2</v>
      </c>
      <c r="P99" s="22">
        <f t="shared" si="1869"/>
        <v>-8.0550517443721326E-2</v>
      </c>
      <c r="Q99" s="22">
        <f t="shared" si="1869"/>
        <v>-7.8126481463923397E-2</v>
      </c>
      <c r="R99" s="22">
        <f t="shared" si="1869"/>
        <v>-8.0714490400229252E-2</v>
      </c>
      <c r="S99" s="22">
        <f t="shared" si="1869"/>
        <v>-8.1664380429812528E-2</v>
      </c>
      <c r="T99" s="22">
        <f t="shared" si="1869"/>
        <v>-8.2385353714895124E-2</v>
      </c>
      <c r="U99" s="22">
        <f t="shared" si="1869"/>
        <v>-7.7882371872234291E-2</v>
      </c>
      <c r="V99" s="22">
        <f t="shared" si="1869"/>
        <v>-7.6516929265839764E-2</v>
      </c>
      <c r="W99" s="22">
        <f t="shared" si="1869"/>
        <v>-7.6197387518142229E-2</v>
      </c>
      <c r="X99" s="22">
        <f t="shared" si="1869"/>
        <v>-8.0385114999617938E-2</v>
      </c>
      <c r="Y99" s="22">
        <f t="shared" si="1869"/>
        <v>-7.9740224959828604E-2</v>
      </c>
      <c r="Z99" s="22">
        <f t="shared" si="1869"/>
        <v>-8.4938581797878276E-2</v>
      </c>
      <c r="AA99" s="22">
        <f t="shared" si="1869"/>
        <v>-8.7792207792207796E-2</v>
      </c>
      <c r="AB99" s="22">
        <f t="shared" si="1869"/>
        <v>-9.6898502082167937E-2</v>
      </c>
      <c r="AC99" s="22">
        <f t="shared" si="1869"/>
        <v>-9.8285841495992871E-2</v>
      </c>
      <c r="AD99" s="22">
        <f t="shared" si="1869"/>
        <v>-0.10371774981325059</v>
      </c>
      <c r="AE99" s="22">
        <f t="shared" si="1869"/>
        <v>-0.11120759837177747</v>
      </c>
      <c r="AF99" s="22">
        <f t="shared" si="1869"/>
        <v>-0.12173604421234092</v>
      </c>
      <c r="AG99" s="22">
        <f t="shared" si="1869"/>
        <v>-0.12483698340603498</v>
      </c>
      <c r="AH99" s="22">
        <f t="shared" si="1869"/>
        <v>-0.13192108373488498</v>
      </c>
      <c r="AI99" s="22">
        <f t="shared" si="1869"/>
        <v>-0.12935259221047202</v>
      </c>
      <c r="AJ99" s="22">
        <f t="shared" si="1869"/>
        <v>-0.13116321609711482</v>
      </c>
      <c r="AK99" s="22" t="e">
        <f t="shared" si="1869"/>
        <v>#DIV/0!</v>
      </c>
      <c r="AL99" s="22" t="e">
        <f t="shared" si="1869"/>
        <v>#DIV/0!</v>
      </c>
      <c r="AM99" s="22" t="e">
        <f t="shared" si="1869"/>
        <v>#DIV/0!</v>
      </c>
      <c r="AN99" s="22" t="e">
        <f t="shared" si="1869"/>
        <v>#DIV/0!</v>
      </c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I99" s="107">
        <f>CI96/CI$91</f>
        <v>-5.9250115722882274E-2</v>
      </c>
      <c r="CJ99" s="22">
        <f t="shared" ref="CJ99:CP99" si="1870">CJ96/CJ$91</f>
        <v>-5.8022566456301397E-2</v>
      </c>
      <c r="CK99" s="107">
        <f t="shared" si="1870"/>
        <v>-6.9344351558246059E-2</v>
      </c>
      <c r="CL99" s="107">
        <f t="shared" si="1870"/>
        <v>-7.9231468120357015E-2</v>
      </c>
      <c r="CM99" s="22">
        <f t="shared" si="1870"/>
        <v>-8.0581124542530774E-2</v>
      </c>
      <c r="CN99" s="107">
        <f t="shared" si="1870"/>
        <v>-7.8327635273220397E-2</v>
      </c>
      <c r="CO99" s="22">
        <f t="shared" si="1870"/>
        <v>-9.2404170259465387E-2</v>
      </c>
      <c r="CP99" s="107">
        <f t="shared" si="1870"/>
        <v>-0.11609759860132668</v>
      </c>
      <c r="CQ99" s="19"/>
      <c r="CR99" s="112"/>
      <c r="CS99" s="19"/>
      <c r="CT99" s="112"/>
      <c r="CU99" s="19"/>
      <c r="CV99" s="112"/>
      <c r="CW99" s="19"/>
      <c r="CX99" s="112"/>
      <c r="CY99" s="112"/>
      <c r="CZ99" s="112"/>
      <c r="DA99" s="112"/>
      <c r="DB99" s="112"/>
      <c r="DC99" s="112"/>
    </row>
    <row r="100" spans="1:107" hidden="1" outlineLevel="1" x14ac:dyDescent="0.2">
      <c r="A100" s="11"/>
      <c r="CI100" s="92"/>
      <c r="CK100" s="92"/>
      <c r="CL100" s="92"/>
      <c r="CN100" s="92"/>
      <c r="CP100" s="92"/>
      <c r="CR100" s="92"/>
      <c r="CT100" s="92"/>
      <c r="CU100" s="92"/>
      <c r="CV100" s="92"/>
      <c r="CW100" s="92"/>
      <c r="CX100" s="92"/>
      <c r="CY100" s="92"/>
      <c r="CZ100" s="92"/>
      <c r="DA100" s="92"/>
      <c r="DB100" s="92"/>
      <c r="DC100" s="92"/>
    </row>
    <row r="101" spans="1:107" hidden="1" outlineLevel="1" x14ac:dyDescent="0.2">
      <c r="A101" s="9" t="s">
        <v>88</v>
      </c>
      <c r="B101" s="20">
        <f>B91+B96</f>
        <v>4174</v>
      </c>
      <c r="C101" s="20">
        <f t="shared" ref="C101:AJ101" si="1871">C91+C96</f>
        <v>4230</v>
      </c>
      <c r="D101" s="20">
        <f t="shared" si="1871"/>
        <v>4548</v>
      </c>
      <c r="E101" s="20">
        <f t="shared" si="1871"/>
        <v>5339</v>
      </c>
      <c r="F101" s="20">
        <f t="shared" si="1871"/>
        <v>5542</v>
      </c>
      <c r="G101" s="20">
        <f t="shared" si="1871"/>
        <v>5877</v>
      </c>
      <c r="H101" s="20">
        <f t="shared" si="1871"/>
        <v>6357</v>
      </c>
      <c r="I101" s="20">
        <f t="shared" si="1871"/>
        <v>6852</v>
      </c>
      <c r="J101" s="20">
        <f t="shared" si="1871"/>
        <v>6844</v>
      </c>
      <c r="K101" s="20">
        <f t="shared" si="1871"/>
        <v>7035</v>
      </c>
      <c r="L101" s="20">
        <f t="shared" si="1871"/>
        <v>7171</v>
      </c>
      <c r="M101" s="20">
        <f t="shared" si="1871"/>
        <v>8006</v>
      </c>
      <c r="N101" s="20">
        <f t="shared" si="1871"/>
        <v>7957</v>
      </c>
      <c r="O101" s="20">
        <f t="shared" si="1871"/>
        <v>8159</v>
      </c>
      <c r="P101" s="20">
        <f t="shared" si="1871"/>
        <v>8618</v>
      </c>
      <c r="Q101" s="20">
        <f t="shared" si="1871"/>
        <v>9723</v>
      </c>
      <c r="R101" s="20">
        <f t="shared" si="1871"/>
        <v>9624</v>
      </c>
      <c r="S101" s="20">
        <f t="shared" si="1871"/>
        <v>10042</v>
      </c>
      <c r="T101" s="20">
        <f t="shared" si="1871"/>
        <v>10325</v>
      </c>
      <c r="U101" s="20">
        <f t="shared" si="1871"/>
        <v>11461</v>
      </c>
      <c r="V101" s="20">
        <f t="shared" si="1871"/>
        <v>11019</v>
      </c>
      <c r="W101" s="20">
        <f t="shared" si="1871"/>
        <v>11457</v>
      </c>
      <c r="X101" s="20">
        <f t="shared" si="1871"/>
        <v>12035</v>
      </c>
      <c r="Y101" s="20">
        <f t="shared" si="1871"/>
        <v>13745</v>
      </c>
      <c r="Z101" s="20">
        <f t="shared" si="1871"/>
        <v>13111</v>
      </c>
      <c r="AA101" s="20">
        <f t="shared" si="1871"/>
        <v>14048</v>
      </c>
      <c r="AB101" s="20">
        <f t="shared" si="1871"/>
        <v>14530</v>
      </c>
      <c r="AC101" s="20">
        <f t="shared" si="1871"/>
        <v>16202</v>
      </c>
      <c r="AD101" s="20">
        <f t="shared" si="1871"/>
        <v>15598</v>
      </c>
      <c r="AE101" s="20">
        <f t="shared" si="1871"/>
        <v>16376</v>
      </c>
      <c r="AF101" s="20">
        <f t="shared" si="1871"/>
        <v>17322</v>
      </c>
      <c r="AG101" s="20">
        <f t="shared" si="1871"/>
        <v>19461</v>
      </c>
      <c r="AH101" s="20">
        <f t="shared" si="1871"/>
        <v>19096</v>
      </c>
      <c r="AI101" s="20">
        <f t="shared" si="1871"/>
        <v>20253</v>
      </c>
      <c r="AJ101" s="20">
        <f t="shared" si="1871"/>
        <v>20899</v>
      </c>
      <c r="AK101" s="31"/>
      <c r="AL101" s="31"/>
      <c r="AM101" s="31"/>
      <c r="AN101" s="31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I101" s="90">
        <f>SUM(B101:E101)</f>
        <v>18291</v>
      </c>
      <c r="CJ101" s="21">
        <f>SUM(F101:I101)</f>
        <v>24628</v>
      </c>
      <c r="CK101" s="90">
        <f>SUM(J101:M101)</f>
        <v>29056</v>
      </c>
      <c r="CL101" s="90">
        <f>SUM(N101:Q101)</f>
        <v>34457</v>
      </c>
      <c r="CM101" s="21">
        <f>SUM(R101:U101)</f>
        <v>41452</v>
      </c>
      <c r="CN101" s="90">
        <f>SUM(V101:Y101)</f>
        <v>48256</v>
      </c>
      <c r="CO101" s="21">
        <f>SUM(Z101:AC101)</f>
        <v>57891</v>
      </c>
      <c r="CP101" s="90">
        <f>SUM(AD101:AG101)</f>
        <v>68757</v>
      </c>
      <c r="CQ101" s="45"/>
      <c r="CR101" s="108"/>
      <c r="CS101" s="45"/>
      <c r="CT101" s="108"/>
      <c r="CU101" s="45"/>
      <c r="CV101" s="108"/>
      <c r="CW101" s="45"/>
      <c r="CX101" s="108"/>
      <c r="CY101" s="108"/>
      <c r="CZ101" s="108"/>
      <c r="DA101" s="108"/>
      <c r="DB101" s="108"/>
      <c r="DC101" s="108"/>
    </row>
    <row r="102" spans="1:107" hidden="1" outlineLevel="1" x14ac:dyDescent="0.2">
      <c r="A102" s="8" t="s">
        <v>62</v>
      </c>
      <c r="B102" s="25" t="s">
        <v>82</v>
      </c>
      <c r="C102" s="22">
        <f t="shared" ref="C102" si="1872">IF(AND(B101&lt;0,C101&gt;0),"n/a",C101/B101-1)</f>
        <v>1.3416387158600829E-2</v>
      </c>
      <c r="D102" s="22">
        <f t="shared" ref="D102" si="1873">IF(AND(C101&lt;0,D101&gt;0),"n/a",D101/C101-1)</f>
        <v>7.5177304964539005E-2</v>
      </c>
      <c r="E102" s="22">
        <f t="shared" ref="E102" si="1874">IF(AND(D101&lt;0,E101&gt;0),"n/a",E101/D101-1)</f>
        <v>0.17392260334212839</v>
      </c>
      <c r="F102" s="22">
        <f t="shared" ref="F102" si="1875">IF(AND(E101&lt;0,F101&gt;0),"n/a",F101/E101-1)</f>
        <v>3.8022101517138029E-2</v>
      </c>
      <c r="G102" s="22">
        <f t="shared" ref="G102" si="1876">IF(AND(F101&lt;0,G101&gt;0),"n/a",G101/F101-1)</f>
        <v>6.0447491880187609E-2</v>
      </c>
      <c r="H102" s="22">
        <f t="shared" ref="H102" si="1877">IF(AND(G101&lt;0,H101&gt;0),"n/a",H101/G101-1)</f>
        <v>8.167432363450744E-2</v>
      </c>
      <c r="I102" s="22">
        <f t="shared" ref="I102" si="1878">IF(AND(H101&lt;0,I101&gt;0),"n/a",I101/H101-1)</f>
        <v>7.7866918357715864E-2</v>
      </c>
      <c r="J102" s="22">
        <f t="shared" ref="J102" si="1879">IF(AND(I101&lt;0,J101&gt;0),"n/a",J101/I101-1)</f>
        <v>-1.1675423234092097E-3</v>
      </c>
      <c r="K102" s="22">
        <f t="shared" ref="K102" si="1880">IF(AND(J101&lt;0,K101&gt;0),"n/a",K101/J101-1)</f>
        <v>2.7907656341320974E-2</v>
      </c>
      <c r="L102" s="22">
        <f t="shared" ref="L102" si="1881">IF(AND(K101&lt;0,L101&gt;0),"n/a",L101/K101-1)</f>
        <v>1.9331911869225227E-2</v>
      </c>
      <c r="M102" s="22">
        <f t="shared" ref="M102" si="1882">IF(AND(L101&lt;0,M101&gt;0),"n/a",M101/L101-1)</f>
        <v>0.11644122158694747</v>
      </c>
      <c r="N102" s="22">
        <f t="shared" ref="N102" si="1883">IF(AND(M101&lt;0,N101&gt;0),"n/a",N101/M101-1)</f>
        <v>-6.1204096927304219E-3</v>
      </c>
      <c r="O102" s="22">
        <f t="shared" ref="O102" si="1884">IF(AND(N101&lt;0,O101&gt;0),"n/a",O101/N101-1)</f>
        <v>2.5386452180470087E-2</v>
      </c>
      <c r="P102" s="22">
        <f t="shared" ref="P102" si="1885">IF(AND(O101&lt;0,P101&gt;0),"n/a",P101/O101-1)</f>
        <v>5.6256894227233678E-2</v>
      </c>
      <c r="Q102" s="22">
        <f t="shared" ref="Q102" si="1886">IF(AND(P101&lt;0,Q101&gt;0),"n/a",Q101/P101-1)</f>
        <v>0.12822000464144812</v>
      </c>
      <c r="R102" s="22">
        <f t="shared" ref="R102" si="1887">IF(AND(Q101&lt;0,R101&gt;0),"n/a",R101/Q101-1)</f>
        <v>-1.0182042579450767E-2</v>
      </c>
      <c r="S102" s="22">
        <f t="shared" ref="S102" si="1888">IF(AND(R101&lt;0,S101&gt;0),"n/a",S101/R101-1)</f>
        <v>4.3433083956774698E-2</v>
      </c>
      <c r="T102" s="22">
        <f t="shared" ref="T102" si="1889">IF(AND(S101&lt;0,T101&gt;0),"n/a",T101/S101-1)</f>
        <v>2.818163712407884E-2</v>
      </c>
      <c r="U102" s="22">
        <f t="shared" ref="U102" si="1890">IF(AND(T101&lt;0,U101&gt;0),"n/a",U101/T101-1)</f>
        <v>0.11002421307506061</v>
      </c>
      <c r="V102" s="22">
        <f t="shared" ref="V102" si="1891">IF(AND(U101&lt;0,V101&gt;0),"n/a",V101/U101-1)</f>
        <v>-3.8565570194572851E-2</v>
      </c>
      <c r="W102" s="22">
        <f t="shared" ref="W102" si="1892">IF(AND(V101&lt;0,W101&gt;0),"n/a",W101/V101-1)</f>
        <v>3.9749523550231425E-2</v>
      </c>
      <c r="X102" s="22">
        <f t="shared" ref="X102" si="1893">IF(AND(W101&lt;0,X101&gt;0),"n/a",X101/W101-1)</f>
        <v>5.0449506851706349E-2</v>
      </c>
      <c r="Y102" s="22">
        <f t="shared" ref="Y102" si="1894">IF(AND(X101&lt;0,Y101&gt;0),"n/a",Y101/X101-1)</f>
        <v>0.14208558371416702</v>
      </c>
      <c r="Z102" s="22">
        <f t="shared" ref="Z102" si="1895">IF(AND(Y101&lt;0,Z101&gt;0),"n/a",Z101/Y101-1)</f>
        <v>-4.6125863950527424E-2</v>
      </c>
      <c r="AA102" s="22">
        <f t="shared" ref="AA102" si="1896">IF(AND(Z101&lt;0,AA101&gt;0),"n/a",AA101/Z101-1)</f>
        <v>7.1466707344977509E-2</v>
      </c>
      <c r="AB102" s="22">
        <f t="shared" ref="AB102" si="1897">IF(AND(AA101&lt;0,AB101&gt;0),"n/a",AB101/AA101-1)</f>
        <v>3.4310933940774557E-2</v>
      </c>
      <c r="AC102" s="22">
        <f t="shared" ref="AC102" si="1898">IF(AND(AB101&lt;0,AC101&gt;0),"n/a",AC101/AB101-1)</f>
        <v>0.11507226428079842</v>
      </c>
      <c r="AD102" s="22">
        <f t="shared" ref="AD102" si="1899">IF(AND(AC101&lt;0,AD101&gt;0),"n/a",AD101/AC101-1)</f>
        <v>-3.7279348228613784E-2</v>
      </c>
      <c r="AE102" s="22">
        <f t="shared" ref="AE102" si="1900">IF(AND(AD101&lt;0,AE101&gt;0),"n/a",AE101/AD101-1)</f>
        <v>4.9878189511475934E-2</v>
      </c>
      <c r="AF102" s="22">
        <f t="shared" ref="AF102" si="1901">IF(AND(AE101&lt;0,AF101&gt;0),"n/a",AF101/AE101-1)</f>
        <v>5.7767464582315631E-2</v>
      </c>
      <c r="AG102" s="22">
        <f t="shared" ref="AG102" si="1902">IF(AND(AF101&lt;0,AG101&gt;0),"n/a",AG101/AF101-1)</f>
        <v>0.12348458607551094</v>
      </c>
      <c r="AH102" s="22">
        <f t="shared" ref="AH102" si="1903">IF(AND(AG101&lt;0,AH101&gt;0),"n/a",AH101/AG101-1)</f>
        <v>-1.8755459637223137E-2</v>
      </c>
      <c r="AI102" s="22">
        <f t="shared" ref="AI102" si="1904">IF(AND(AH101&lt;0,AI101&gt;0),"n/a",AI101/AH101-1)</f>
        <v>6.0588604943443647E-2</v>
      </c>
      <c r="AJ102" s="22">
        <f t="shared" ref="AJ102" si="1905">IF(AND(AI101&lt;0,AJ101&gt;0),"n/a",AJ101/AI101-1)</f>
        <v>3.1896509159136999E-2</v>
      </c>
      <c r="AK102" s="30"/>
      <c r="AL102" s="30"/>
      <c r="AM102" s="30"/>
      <c r="AN102" s="30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I102" s="106" t="s">
        <v>82</v>
      </c>
      <c r="CJ102" s="48" t="s">
        <v>82</v>
      </c>
      <c r="CK102" s="106" t="s">
        <v>82</v>
      </c>
      <c r="CL102" s="106" t="s">
        <v>82</v>
      </c>
      <c r="CM102" s="48" t="s">
        <v>82</v>
      </c>
      <c r="CN102" s="106" t="s">
        <v>82</v>
      </c>
      <c r="CO102" s="48" t="s">
        <v>82</v>
      </c>
      <c r="CP102" s="106" t="s">
        <v>82</v>
      </c>
      <c r="CQ102" s="59"/>
      <c r="CR102" s="109"/>
      <c r="CS102" s="59"/>
      <c r="CT102" s="109"/>
      <c r="CU102" s="59"/>
      <c r="CV102" s="109"/>
      <c r="CW102" s="59"/>
      <c r="CX102" s="109"/>
      <c r="CY102" s="109"/>
      <c r="CZ102" s="109"/>
      <c r="DA102" s="109"/>
      <c r="DB102" s="109"/>
      <c r="DC102" s="109"/>
    </row>
    <row r="103" spans="1:107" hidden="1" outlineLevel="1" x14ac:dyDescent="0.2">
      <c r="A103" s="8" t="s">
        <v>63</v>
      </c>
      <c r="B103" s="25" t="s">
        <v>82</v>
      </c>
      <c r="C103" s="25" t="s">
        <v>82</v>
      </c>
      <c r="D103" s="25" t="s">
        <v>82</v>
      </c>
      <c r="E103" s="25" t="s">
        <v>82</v>
      </c>
      <c r="F103" s="22">
        <f t="shared" ref="F103" si="1906">IF(AND(B101&lt;0,F101&gt;0),"n/a",F101/B101-1)</f>
        <v>0.32774317201724967</v>
      </c>
      <c r="G103" s="22">
        <f t="shared" ref="G103" si="1907">IF(AND(C101&lt;0,G101&gt;0),"n/a",G101/C101-1)</f>
        <v>0.38936170212765964</v>
      </c>
      <c r="H103" s="22">
        <f t="shared" ref="H103" si="1908">IF(AND(D101&lt;0,H101&gt;0),"n/a",H101/D101-1)</f>
        <v>0.39775725593667555</v>
      </c>
      <c r="I103" s="22">
        <f t="shared" ref="I103" si="1909">IF(AND(E101&lt;0,I101&gt;0),"n/a",I101/E101-1)</f>
        <v>0.28338640194793041</v>
      </c>
      <c r="J103" s="22">
        <f t="shared" ref="J103" si="1910">IF(AND(F101&lt;0,J101&gt;0),"n/a",J101/F101-1)</f>
        <v>0.23493323709852043</v>
      </c>
      <c r="K103" s="22">
        <f t="shared" ref="K103" si="1911">IF(AND(G101&lt;0,K101&gt;0),"n/a",K101/G101-1)</f>
        <v>0.19703930576824913</v>
      </c>
      <c r="L103" s="22">
        <f t="shared" ref="L103" si="1912">IF(AND(H101&lt;0,L101&gt;0),"n/a",L101/H101-1)</f>
        <v>0.12804782129935499</v>
      </c>
      <c r="M103" s="22">
        <f t="shared" ref="M103" si="1913">IF(AND(I101&lt;0,M101&gt;0),"n/a",M101/I101-1)</f>
        <v>0.16841798015178044</v>
      </c>
      <c r="N103" s="22">
        <f t="shared" ref="N103" si="1914">IF(AND(J101&lt;0,N101&gt;0),"n/a",N101/J101-1)</f>
        <v>0.16262419637638814</v>
      </c>
      <c r="O103" s="22">
        <f t="shared" ref="O103" si="1915">IF(AND(K101&lt;0,O101&gt;0),"n/a",O101/K101-1)</f>
        <v>0.15977256574271492</v>
      </c>
      <c r="P103" s="22">
        <f t="shared" ref="P103" si="1916">IF(AND(L101&lt;0,P101&gt;0),"n/a",P101/L101-1)</f>
        <v>0.20178496722911721</v>
      </c>
      <c r="Q103" s="22">
        <f t="shared" ref="Q103" si="1917">IF(AND(M101&lt;0,Q101&gt;0),"n/a",Q101/M101-1)</f>
        <v>0.21446415188608547</v>
      </c>
      <c r="R103" s="22">
        <f t="shared" ref="R103" si="1918">IF(AND(N101&lt;0,R101&gt;0),"n/a",R101/N101-1)</f>
        <v>0.2095010682417997</v>
      </c>
      <c r="S103" s="22">
        <f t="shared" ref="S103" si="1919">IF(AND(O101&lt;0,S101&gt;0),"n/a",S101/O101-1)</f>
        <v>0.23078808677534002</v>
      </c>
      <c r="T103" s="22">
        <f t="shared" ref="T103" si="1920">IF(AND(P101&lt;0,T101&gt;0),"n/a",T101/P101-1)</f>
        <v>0.19807379902529587</v>
      </c>
      <c r="U103" s="22">
        <f t="shared" ref="U103" si="1921">IF(AND(Q101&lt;0,U101&gt;0),"n/a",U101/Q101-1)</f>
        <v>0.17875141417258056</v>
      </c>
      <c r="V103" s="22">
        <f t="shared" ref="V103" si="1922">IF(AND(R101&lt;0,V101&gt;0),"n/a",V101/R101-1)</f>
        <v>0.14495012468827939</v>
      </c>
      <c r="W103" s="22">
        <f t="shared" ref="W103" si="1923">IF(AND(S101&lt;0,W101&gt;0),"n/a",W101/S101-1)</f>
        <v>0.14090818562039442</v>
      </c>
      <c r="X103" s="22">
        <f t="shared" ref="X103" si="1924">IF(AND(T101&lt;0,X101&gt;0),"n/a",X101/T101-1)</f>
        <v>0.16561743341404367</v>
      </c>
      <c r="Y103" s="22">
        <f t="shared" ref="Y103" si="1925">IF(AND(U101&lt;0,Y101&gt;0),"n/a",Y101/U101-1)</f>
        <v>0.19928453014571157</v>
      </c>
      <c r="Z103" s="22">
        <f t="shared" ref="Z103" si="1926">IF(AND(V101&lt;0,Z101&gt;0),"n/a",Z101/V101-1)</f>
        <v>0.18985388873763509</v>
      </c>
      <c r="AA103" s="22">
        <f t="shared" ref="AA103" si="1927">IF(AND(W101&lt;0,AA101&gt;0),"n/a",AA101/W101-1)</f>
        <v>0.2261499519944139</v>
      </c>
      <c r="AB103" s="22">
        <f t="shared" ref="AB103" si="1928">IF(AND(X101&lt;0,AB101&gt;0),"n/a",AB101/X101-1)</f>
        <v>0.20731200664727867</v>
      </c>
      <c r="AC103" s="22">
        <f t="shared" ref="AC103" si="1929">IF(AND(Y101&lt;0,AC101&gt;0),"n/a",AC101/Y101-1)</f>
        <v>0.17875591124045109</v>
      </c>
      <c r="AD103" s="22">
        <f t="shared" ref="AD103" si="1930">IF(AND(Z101&lt;0,AD101&gt;0),"n/a",AD101/Z101-1)</f>
        <v>0.18968804820379837</v>
      </c>
      <c r="AE103" s="22">
        <f t="shared" ref="AE103" si="1931">IF(AND(AA101&lt;0,AE101&gt;0),"n/a",AE101/AA101-1)</f>
        <v>0.16571753986332571</v>
      </c>
      <c r="AF103" s="22">
        <f t="shared" ref="AF103" si="1932">IF(AND(AB101&lt;0,AF101&gt;0),"n/a",AF101/AB101-1)</f>
        <v>0.19215416379903649</v>
      </c>
      <c r="AG103" s="22">
        <f t="shared" ref="AG103" si="1933">IF(AND(AC101&lt;0,AG101&gt;0),"n/a",AG101/AC101-1)</f>
        <v>0.20114800641896058</v>
      </c>
      <c r="AH103" s="22">
        <f t="shared" ref="AH103" si="1934">IF(AND(AD101&lt;0,AH101&gt;0),"n/a",AH101/AD101-1)</f>
        <v>0.22425952045134001</v>
      </c>
      <c r="AI103" s="22">
        <f t="shared" ref="AI103" si="1935">IF(AND(AE101&lt;0,AI101&gt;0),"n/a",AI101/AE101-1)</f>
        <v>0.23674890083048372</v>
      </c>
      <c r="AJ103" s="22">
        <f t="shared" ref="AJ103" si="1936">IF(AND(AF101&lt;0,AJ101&gt;0),"n/a",AJ101/AF101-1)</f>
        <v>0.20650040411037995</v>
      </c>
      <c r="AK103" s="30"/>
      <c r="AL103" s="30"/>
      <c r="AM103" s="30"/>
      <c r="AN103" s="30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I103" s="106" t="s">
        <v>82</v>
      </c>
      <c r="CJ103" s="22">
        <f>IF(AND(CI101&lt;0,CJ101&gt;0),"n/a",CJ101/CI101-1)</f>
        <v>0.34645454048439128</v>
      </c>
      <c r="CK103" s="107">
        <f t="shared" ref="CK103" si="1937">IF(AND(CJ101&lt;0,CK101&gt;0),"n/a",CK101/CJ101-1)</f>
        <v>0.1797953548806237</v>
      </c>
      <c r="CL103" s="107">
        <f t="shared" ref="CL103" si="1938">IF(AND(CK101&lt;0,CL101&gt;0),"n/a",CL101/CK101-1)</f>
        <v>0.1858824339207048</v>
      </c>
      <c r="CM103" s="22">
        <f t="shared" ref="CM103" si="1939">IF(AND(CL101&lt;0,CM101&gt;0),"n/a",CM101/CL101-1)</f>
        <v>0.20300664596453544</v>
      </c>
      <c r="CN103" s="107">
        <f t="shared" ref="CN103" si="1940">IF(AND(CM101&lt;0,CN101&gt;0),"n/a",CN101/CM101-1)</f>
        <v>0.16414165782109436</v>
      </c>
      <c r="CO103" s="22">
        <f t="shared" ref="CO103" si="1941">IF(AND(CN101&lt;0,CO101&gt;0),"n/a",CO101/CN101-1)</f>
        <v>0.19966429045092848</v>
      </c>
      <c r="CP103" s="107">
        <f t="shared" ref="CP103" si="1942">IF(AND(CO101&lt;0,CP101&gt;0),"n/a",CP101/CO101-1)</f>
        <v>0.18769756957039951</v>
      </c>
      <c r="CQ103" s="30"/>
      <c r="CR103" s="110"/>
      <c r="CS103" s="30"/>
      <c r="CT103" s="110"/>
      <c r="CU103" s="30"/>
      <c r="CV103" s="110"/>
      <c r="CW103" s="30"/>
      <c r="CX103" s="110"/>
      <c r="CY103" s="110"/>
      <c r="CZ103" s="110"/>
      <c r="DA103" s="110"/>
      <c r="DB103" s="110"/>
      <c r="DC103" s="110"/>
    </row>
    <row r="104" spans="1:107" hidden="1" outlineLevel="1" x14ac:dyDescent="0.2">
      <c r="A104" s="8" t="s">
        <v>81</v>
      </c>
      <c r="B104" s="25">
        <f>B101/B$80</f>
        <v>0.82424960505529221</v>
      </c>
      <c r="C104" s="25">
        <f t="shared" ref="C104:AJ104" si="1943">C101/C$80</f>
        <v>0.83136792452830188</v>
      </c>
      <c r="D104" s="25">
        <f t="shared" si="1943"/>
        <v>0.82977558839627807</v>
      </c>
      <c r="E104" s="25">
        <f t="shared" si="1943"/>
        <v>0.83801601004551873</v>
      </c>
      <c r="F104" s="25">
        <f t="shared" si="1943"/>
        <v>0.84791921664626679</v>
      </c>
      <c r="G104" s="25">
        <f t="shared" si="1943"/>
        <v>0.8500144634075788</v>
      </c>
      <c r="H104" s="25">
        <f t="shared" si="1943"/>
        <v>0.84624600638977632</v>
      </c>
      <c r="I104" s="25">
        <f t="shared" si="1943"/>
        <v>0.8425971470732907</v>
      </c>
      <c r="J104" s="25">
        <f t="shared" si="1943"/>
        <v>0.84119960668633231</v>
      </c>
      <c r="K104" s="25">
        <f t="shared" si="1943"/>
        <v>0.84140653031933976</v>
      </c>
      <c r="L104" s="25">
        <f t="shared" si="1943"/>
        <v>0.81935557586837293</v>
      </c>
      <c r="M104" s="25">
        <f t="shared" si="1943"/>
        <v>0.81427990235964198</v>
      </c>
      <c r="N104" s="25">
        <f t="shared" si="1943"/>
        <v>0.79697516025641024</v>
      </c>
      <c r="O104" s="25">
        <f t="shared" si="1943"/>
        <v>0.80854226538499652</v>
      </c>
      <c r="P104" s="25">
        <f t="shared" si="1943"/>
        <v>0.79959176099461871</v>
      </c>
      <c r="Q104" s="25">
        <f t="shared" si="1943"/>
        <v>0.78360735009671179</v>
      </c>
      <c r="R104" s="25">
        <f t="shared" si="1943"/>
        <v>0.78956436130937735</v>
      </c>
      <c r="S104" s="25">
        <f t="shared" si="1943"/>
        <v>0.79314430139799386</v>
      </c>
      <c r="T104" s="25">
        <f t="shared" si="1943"/>
        <v>0.78368121442125238</v>
      </c>
      <c r="U104" s="25">
        <f t="shared" si="1943"/>
        <v>0.7973978988380992</v>
      </c>
      <c r="V104" s="25">
        <f t="shared" si="1943"/>
        <v>0.79657341140750382</v>
      </c>
      <c r="W104" s="25">
        <f t="shared" si="1943"/>
        <v>0.80253572429251896</v>
      </c>
      <c r="X104" s="25">
        <f t="shared" si="1943"/>
        <v>0.80410235852208189</v>
      </c>
      <c r="Y104" s="25">
        <f t="shared" si="1943"/>
        <v>0.80272148572096014</v>
      </c>
      <c r="Z104" s="25">
        <f t="shared" si="1943"/>
        <v>0.80420781451266643</v>
      </c>
      <c r="AA104" s="25">
        <f t="shared" si="1943"/>
        <v>0.81014994232987314</v>
      </c>
      <c r="AB104" s="25">
        <f t="shared" si="1943"/>
        <v>0.80400619743249224</v>
      </c>
      <c r="AC104" s="25">
        <f t="shared" si="1943"/>
        <v>0.77321752410041045</v>
      </c>
      <c r="AD104" s="25">
        <f t="shared" si="1943"/>
        <v>0.78032918104957727</v>
      </c>
      <c r="AE104" s="25">
        <f t="shared" si="1943"/>
        <v>0.78647584285851502</v>
      </c>
      <c r="AF104" s="25">
        <f t="shared" si="1943"/>
        <v>0.78192569855098637</v>
      </c>
      <c r="AG104" s="25">
        <f t="shared" si="1943"/>
        <v>0.75600186465698083</v>
      </c>
      <c r="AH104" s="25">
        <f t="shared" si="1943"/>
        <v>0.77286708758296907</v>
      </c>
      <c r="AI104" s="25">
        <f t="shared" si="1943"/>
        <v>0.7762149317798559</v>
      </c>
      <c r="AJ104" s="25">
        <f t="shared" si="1943"/>
        <v>0.7736931734044129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I104" s="107">
        <f>CI101/CI$80</f>
        <v>0.83125795309943651</v>
      </c>
      <c r="CJ104" s="22">
        <f t="shared" ref="CJ104:CP104" si="1944">CJ101/CJ$80</f>
        <v>0.84649755963428885</v>
      </c>
      <c r="CK104" s="107">
        <f t="shared" si="1944"/>
        <v>0.82825461075796014</v>
      </c>
      <c r="CL104" s="107">
        <f t="shared" si="1944"/>
        <v>0.79649106585608287</v>
      </c>
      <c r="CM104" s="22">
        <f t="shared" si="1944"/>
        <v>0.791098896904462</v>
      </c>
      <c r="CN104" s="107">
        <f t="shared" si="1944"/>
        <v>0.80160800013289257</v>
      </c>
      <c r="CO104" s="22">
        <f t="shared" si="1944"/>
        <v>0.79663955744540316</v>
      </c>
      <c r="CP104" s="107">
        <f t="shared" si="1944"/>
        <v>0.77511104096678918</v>
      </c>
      <c r="CQ104" s="19"/>
      <c r="CR104" s="112"/>
      <c r="CS104" s="19"/>
      <c r="CT104" s="112"/>
      <c r="CU104" s="19"/>
      <c r="CV104" s="112"/>
      <c r="CW104" s="19"/>
      <c r="CX104" s="112"/>
      <c r="CY104" s="112"/>
      <c r="CZ104" s="112"/>
      <c r="DA104" s="112"/>
      <c r="DB104" s="112"/>
      <c r="DC104" s="112"/>
    </row>
    <row r="105" spans="1:107" hidden="1" outlineLevel="1" x14ac:dyDescent="0.2">
      <c r="CI105" s="92"/>
      <c r="CK105" s="92"/>
      <c r="CL105" s="92"/>
      <c r="CN105" s="92"/>
      <c r="CP105" s="92"/>
      <c r="CR105" s="92"/>
      <c r="CT105" s="92"/>
      <c r="CV105" s="92"/>
      <c r="CX105" s="92"/>
      <c r="CY105" s="92"/>
      <c r="CZ105" s="92"/>
      <c r="DA105" s="92"/>
      <c r="DB105" s="92"/>
      <c r="DC105" s="92"/>
    </row>
    <row r="106" spans="1:107" hidden="1" outlineLevel="1" x14ac:dyDescent="0.2">
      <c r="A106" s="9" t="s">
        <v>84</v>
      </c>
      <c r="B106" s="17">
        <v>2036</v>
      </c>
      <c r="C106" s="17">
        <v>2063</v>
      </c>
      <c r="D106" s="17">
        <v>2199</v>
      </c>
      <c r="E106" s="17">
        <v>2495</v>
      </c>
      <c r="F106" s="17">
        <v>2427</v>
      </c>
      <c r="G106" s="17">
        <v>2484</v>
      </c>
      <c r="H106" s="17">
        <v>2595</v>
      </c>
      <c r="I106" s="17">
        <v>2880</v>
      </c>
      <c r="J106" s="17">
        <v>2913</v>
      </c>
      <c r="K106" s="17">
        <v>2983</v>
      </c>
      <c r="L106" s="17">
        <v>3133</v>
      </c>
      <c r="M106" s="17">
        <v>3436</v>
      </c>
      <c r="N106" s="17">
        <v>3391</v>
      </c>
      <c r="O106" s="17">
        <v>3313</v>
      </c>
      <c r="P106" s="17">
        <v>3278</v>
      </c>
      <c r="Q106" s="17">
        <v>3668</v>
      </c>
      <c r="R106" s="17">
        <v>3528</v>
      </c>
      <c r="S106" s="17">
        <v>3563</v>
      </c>
      <c r="T106" s="17">
        <v>3568</v>
      </c>
      <c r="U106" s="17">
        <v>3880</v>
      </c>
      <c r="V106" s="17">
        <v>3576</v>
      </c>
      <c r="W106" s="17">
        <v>3621</v>
      </c>
      <c r="X106" s="17">
        <v>3694</v>
      </c>
      <c r="Y106" s="17">
        <v>4142</v>
      </c>
      <c r="Z106" s="17">
        <v>3692</v>
      </c>
      <c r="AA106" s="17">
        <v>3743</v>
      </c>
      <c r="AB106" s="17">
        <v>3732</v>
      </c>
      <c r="AC106" s="17">
        <v>4431</v>
      </c>
      <c r="AD106" s="17">
        <v>4008</v>
      </c>
      <c r="AE106" s="17">
        <v>4247</v>
      </c>
      <c r="AF106" s="17">
        <v>4342</v>
      </c>
      <c r="AG106" s="17">
        <v>4990</v>
      </c>
      <c r="AH106" s="17">
        <v>4644</v>
      </c>
      <c r="AI106" s="17">
        <v>4825</v>
      </c>
      <c r="AJ106" s="17">
        <v>4900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I106" s="90">
        <f>SUM(B106:E106)</f>
        <v>8793</v>
      </c>
      <c r="CJ106" s="21">
        <f>SUM(F106:I106)</f>
        <v>10386</v>
      </c>
      <c r="CK106" s="90">
        <f>SUM(J106:M106)</f>
        <v>12465</v>
      </c>
      <c r="CL106" s="90">
        <f>SUM(N106:Q106)</f>
        <v>13650</v>
      </c>
      <c r="CM106" s="21">
        <f>SUM(R106:U106)</f>
        <v>14539</v>
      </c>
      <c r="CN106" s="90">
        <f>SUM(V106:Y106)</f>
        <v>15033</v>
      </c>
      <c r="CO106" s="21">
        <f>SUM(Z106:AC106)</f>
        <v>15598</v>
      </c>
      <c r="CP106" s="90">
        <f>SUM(AD106:AG106)</f>
        <v>17587</v>
      </c>
      <c r="CQ106" s="45"/>
      <c r="CR106" s="108"/>
      <c r="CS106" s="45"/>
      <c r="CT106" s="108"/>
      <c r="CU106" s="45"/>
      <c r="CV106" s="108"/>
      <c r="CW106" s="45"/>
      <c r="CX106" s="108"/>
      <c r="CY106" s="108"/>
      <c r="CZ106" s="108"/>
      <c r="DA106" s="108"/>
      <c r="DB106" s="108"/>
      <c r="DC106" s="108"/>
    </row>
    <row r="107" spans="1:107" hidden="1" outlineLevel="1" x14ac:dyDescent="0.2">
      <c r="A107" s="8" t="s">
        <v>62</v>
      </c>
      <c r="B107" s="25" t="s">
        <v>82</v>
      </c>
      <c r="C107" s="22">
        <f t="shared" ref="C107" si="1945">IF(AND(B106&lt;0,C106&gt;0),"n/a",C106/B106-1)</f>
        <v>1.3261296660117772E-2</v>
      </c>
      <c r="D107" s="22">
        <f t="shared" ref="D107" si="1946">IF(AND(C106&lt;0,D106&gt;0),"n/a",D106/C106-1)</f>
        <v>6.5923412506059043E-2</v>
      </c>
      <c r="E107" s="22">
        <f t="shared" ref="E107" si="1947">IF(AND(D106&lt;0,E106&gt;0),"n/a",E106/D106-1)</f>
        <v>0.13460663938153705</v>
      </c>
      <c r="F107" s="22">
        <f t="shared" ref="F107" si="1948">IF(AND(E106&lt;0,F106&gt;0),"n/a",F106/E106-1)</f>
        <v>-2.7254509018036055E-2</v>
      </c>
      <c r="G107" s="22">
        <f t="shared" ref="G107" si="1949">IF(AND(F106&lt;0,G106&gt;0),"n/a",G106/F106-1)</f>
        <v>2.3485784919653918E-2</v>
      </c>
      <c r="H107" s="22">
        <f t="shared" ref="H107" si="1950">IF(AND(G106&lt;0,H106&gt;0),"n/a",H106/G106-1)</f>
        <v>4.4685990338164228E-2</v>
      </c>
      <c r="I107" s="22">
        <f t="shared" ref="I107" si="1951">IF(AND(H106&lt;0,I106&gt;0),"n/a",I106/H106-1)</f>
        <v>0.10982658959537561</v>
      </c>
      <c r="J107" s="22">
        <f t="shared" ref="J107" si="1952">IF(AND(I106&lt;0,J106&gt;0),"n/a",J106/I106-1)</f>
        <v>1.1458333333333348E-2</v>
      </c>
      <c r="K107" s="22">
        <f t="shared" ref="K107" si="1953">IF(AND(J106&lt;0,K106&gt;0),"n/a",K106/J106-1)</f>
        <v>2.4030209406110448E-2</v>
      </c>
      <c r="L107" s="22">
        <f t="shared" ref="L107" si="1954">IF(AND(K106&lt;0,L106&gt;0),"n/a",L106/K106-1)</f>
        <v>5.0284948038886945E-2</v>
      </c>
      <c r="M107" s="22">
        <f t="shared" ref="M107" si="1955">IF(AND(L106&lt;0,M106&gt;0),"n/a",M106/L106-1)</f>
        <v>9.6712416214491004E-2</v>
      </c>
      <c r="N107" s="22">
        <f t="shared" ref="N107" si="1956">IF(AND(M106&lt;0,N106&gt;0),"n/a",N106/M106-1)</f>
        <v>-1.3096623981373678E-2</v>
      </c>
      <c r="O107" s="22">
        <f t="shared" ref="O107" si="1957">IF(AND(N106&lt;0,O106&gt;0),"n/a",O106/N106-1)</f>
        <v>-2.30020642878207E-2</v>
      </c>
      <c r="P107" s="22">
        <f t="shared" ref="P107" si="1958">IF(AND(O106&lt;0,P106&gt;0),"n/a",P106/O106-1)</f>
        <v>-1.0564443102927812E-2</v>
      </c>
      <c r="Q107" s="22">
        <f t="shared" ref="Q107" si="1959">IF(AND(P106&lt;0,Q106&gt;0),"n/a",Q106/P106-1)</f>
        <v>0.11897498474679691</v>
      </c>
      <c r="R107" s="22">
        <f t="shared" ref="R107" si="1960">IF(AND(Q106&lt;0,R106&gt;0),"n/a",R106/Q106-1)</f>
        <v>-3.8167938931297662E-2</v>
      </c>
      <c r="S107" s="22">
        <f t="shared" ref="S107" si="1961">IF(AND(R106&lt;0,S106&gt;0),"n/a",S106/R106-1)</f>
        <v>9.9206349206348854E-3</v>
      </c>
      <c r="T107" s="22">
        <f t="shared" ref="T107" si="1962">IF(AND(S106&lt;0,T106&gt;0),"n/a",T106/S106-1)</f>
        <v>1.4033118158855995E-3</v>
      </c>
      <c r="U107" s="22">
        <f t="shared" ref="U107" si="1963">IF(AND(T106&lt;0,U106&gt;0),"n/a",U106/T106-1)</f>
        <v>8.7443946188340727E-2</v>
      </c>
      <c r="V107" s="22">
        <f t="shared" ref="V107" si="1964">IF(AND(U106&lt;0,V106&gt;0),"n/a",V106/U106-1)</f>
        <v>-7.835051546391758E-2</v>
      </c>
      <c r="W107" s="22">
        <f t="shared" ref="W107" si="1965">IF(AND(V106&lt;0,W106&gt;0),"n/a",W106/V106-1)</f>
        <v>1.2583892617449743E-2</v>
      </c>
      <c r="X107" s="22">
        <f t="shared" ref="X107" si="1966">IF(AND(W106&lt;0,X106&gt;0),"n/a",X106/W106-1)</f>
        <v>2.0160176746754965E-2</v>
      </c>
      <c r="Y107" s="22">
        <f t="shared" ref="Y107" si="1967">IF(AND(X106&lt;0,Y106&gt;0),"n/a",Y106/X106-1)</f>
        <v>0.12127774769897126</v>
      </c>
      <c r="Z107" s="22">
        <f t="shared" ref="Z107" si="1968">IF(AND(Y106&lt;0,Z106&gt;0),"n/a",Z106/Y106-1)</f>
        <v>-0.10864316755190728</v>
      </c>
      <c r="AA107" s="22">
        <f t="shared" ref="AA107" si="1969">IF(AND(Z106&lt;0,AA106&gt;0),"n/a",AA106/Z106-1)</f>
        <v>1.3813651137594807E-2</v>
      </c>
      <c r="AB107" s="22">
        <f t="shared" ref="AB107" si="1970">IF(AND(AA106&lt;0,AB106&gt;0),"n/a",AB106/AA106-1)</f>
        <v>-2.938819129040926E-3</v>
      </c>
      <c r="AC107" s="22">
        <f t="shared" ref="AC107" si="1971">IF(AND(AB106&lt;0,AC106&gt;0),"n/a",AC106/AB106-1)</f>
        <v>0.18729903536977499</v>
      </c>
      <c r="AD107" s="22">
        <f t="shared" ref="AD107" si="1972">IF(AND(AC106&lt;0,AD106&gt;0),"n/a",AD106/AC106-1)</f>
        <v>-9.5463777928232907E-2</v>
      </c>
      <c r="AE107" s="22">
        <f t="shared" ref="AE107" si="1973">IF(AND(AD106&lt;0,AE106&gt;0),"n/a",AE106/AD106-1)</f>
        <v>5.9630738522954196E-2</v>
      </c>
      <c r="AF107" s="22">
        <f t="shared" ref="AF107" si="1974">IF(AND(AE106&lt;0,AF106&gt;0),"n/a",AF106/AE106-1)</f>
        <v>2.2368730868848496E-2</v>
      </c>
      <c r="AG107" s="22">
        <f t="shared" ref="AG107" si="1975">IF(AND(AF106&lt;0,AG106&gt;0),"n/a",AG106/AF106-1)</f>
        <v>0.14923998157531093</v>
      </c>
      <c r="AH107" s="22">
        <f t="shared" ref="AH107" si="1976">IF(AND(AG106&lt;0,AH106&gt;0),"n/a",AH106/AG106-1)</f>
        <v>-6.9338677354709444E-2</v>
      </c>
      <c r="AI107" s="22">
        <f t="shared" ref="AI107" si="1977">IF(AND(AH106&lt;0,AI106&gt;0),"n/a",AI106/AH106-1)</f>
        <v>3.8975021533161014E-2</v>
      </c>
      <c r="AJ107" s="22">
        <f t="shared" ref="AJ107" si="1978">IF(AND(AI106&lt;0,AJ106&gt;0),"n/a",AJ106/AI106-1)</f>
        <v>1.5544041450777257E-2</v>
      </c>
      <c r="AK107" s="30"/>
      <c r="AL107" s="30"/>
      <c r="AM107" s="30"/>
      <c r="AN107" s="30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I107" s="106" t="s">
        <v>82</v>
      </c>
      <c r="CJ107" s="48" t="s">
        <v>82</v>
      </c>
      <c r="CK107" s="106" t="s">
        <v>82</v>
      </c>
      <c r="CL107" s="106" t="s">
        <v>82</v>
      </c>
      <c r="CM107" s="48" t="s">
        <v>82</v>
      </c>
      <c r="CN107" s="106" t="s">
        <v>82</v>
      </c>
      <c r="CO107" s="48" t="s">
        <v>82</v>
      </c>
      <c r="CP107" s="106" t="s">
        <v>82</v>
      </c>
      <c r="CQ107" s="59"/>
      <c r="CR107" s="109"/>
      <c r="CS107" s="59"/>
      <c r="CT107" s="109"/>
      <c r="CU107" s="59"/>
      <c r="CV107" s="109"/>
      <c r="CW107" s="59"/>
      <c r="CX107" s="109"/>
      <c r="CY107" s="109"/>
      <c r="CZ107" s="109"/>
      <c r="DA107" s="109"/>
      <c r="DB107" s="109"/>
      <c r="DC107" s="109"/>
    </row>
    <row r="108" spans="1:107" hidden="1" outlineLevel="1" x14ac:dyDescent="0.2">
      <c r="A108" s="8" t="s">
        <v>63</v>
      </c>
      <c r="B108" s="25" t="s">
        <v>82</v>
      </c>
      <c r="C108" s="25" t="s">
        <v>82</v>
      </c>
      <c r="D108" s="25" t="s">
        <v>82</v>
      </c>
      <c r="E108" s="25" t="s">
        <v>82</v>
      </c>
      <c r="F108" s="22">
        <f t="shared" ref="F108" si="1979">IF(AND(B106&lt;0,F106&gt;0),"n/a",F106/B106-1)</f>
        <v>0.1920432220039292</v>
      </c>
      <c r="G108" s="22">
        <f t="shared" ref="G108" si="1980">IF(AND(C106&lt;0,G106&gt;0),"n/a",G106/C106-1)</f>
        <v>0.20407174018419783</v>
      </c>
      <c r="H108" s="22">
        <f t="shared" ref="H108" si="1981">IF(AND(D106&lt;0,H106&gt;0),"n/a",H106/D106-1)</f>
        <v>0.18008185538881305</v>
      </c>
      <c r="I108" s="22">
        <f t="shared" ref="I108" si="1982">IF(AND(E106&lt;0,I106&gt;0),"n/a",I106/E106-1)</f>
        <v>0.15430861723446898</v>
      </c>
      <c r="J108" s="22">
        <f t="shared" ref="J108" si="1983">IF(AND(F106&lt;0,J106&gt;0),"n/a",J106/F106-1)</f>
        <v>0.20024721878862795</v>
      </c>
      <c r="K108" s="22">
        <f t="shared" ref="K108" si="1984">IF(AND(G106&lt;0,K106&gt;0),"n/a",K106/G106-1)</f>
        <v>0.20088566827697263</v>
      </c>
      <c r="L108" s="22">
        <f t="shared" ref="L108" si="1985">IF(AND(H106&lt;0,L106&gt;0),"n/a",L106/H106-1)</f>
        <v>0.20732177263969165</v>
      </c>
      <c r="M108" s="22">
        <f t="shared" ref="M108" si="1986">IF(AND(I106&lt;0,M106&gt;0),"n/a",M106/I106-1)</f>
        <v>0.19305555555555554</v>
      </c>
      <c r="N108" s="22">
        <f t="shared" ref="N108" si="1987">IF(AND(J106&lt;0,N106&gt;0),"n/a",N106/J106-1)</f>
        <v>0.16409200137315483</v>
      </c>
      <c r="O108" s="22">
        <f t="shared" ref="O108" si="1988">IF(AND(K106&lt;0,O106&gt;0),"n/a",O106/K106-1)</f>
        <v>0.11062688568555146</v>
      </c>
      <c r="P108" s="22">
        <f t="shared" ref="P108" si="1989">IF(AND(L106&lt;0,P106&gt;0),"n/a",P106/L106-1)</f>
        <v>4.6281519310565011E-2</v>
      </c>
      <c r="Q108" s="22">
        <f t="shared" ref="Q108" si="1990">IF(AND(M106&lt;0,Q106&gt;0),"n/a",Q106/M106-1)</f>
        <v>6.7520372526193251E-2</v>
      </c>
      <c r="R108" s="22">
        <f t="shared" ref="R108" si="1991">IF(AND(N106&lt;0,R106&gt;0),"n/a",R106/N106-1)</f>
        <v>4.0401061633736468E-2</v>
      </c>
      <c r="S108" s="22">
        <f t="shared" ref="S108" si="1992">IF(AND(O106&lt;0,S106&gt;0),"n/a",S106/O106-1)</f>
        <v>7.5460307878056243E-2</v>
      </c>
      <c r="T108" s="22">
        <f t="shared" ref="T108" si="1993">IF(AND(P106&lt;0,T106&gt;0),"n/a",T106/P106-1)</f>
        <v>8.8468578401464271E-2</v>
      </c>
      <c r="U108" s="22">
        <f t="shared" ref="U108" si="1994">IF(AND(Q106&lt;0,U106&gt;0),"n/a",U106/Q106-1)</f>
        <v>5.7797164667393597E-2</v>
      </c>
      <c r="V108" s="22">
        <f t="shared" ref="V108" si="1995">IF(AND(R106&lt;0,V106&gt;0),"n/a",V106/R106-1)</f>
        <v>1.3605442176870763E-2</v>
      </c>
      <c r="W108" s="22">
        <f t="shared" ref="W108" si="1996">IF(AND(S106&lt;0,W106&gt;0),"n/a",W106/S106-1)</f>
        <v>1.6278417064271578E-2</v>
      </c>
      <c r="X108" s="22">
        <f t="shared" ref="X108" si="1997">IF(AND(T106&lt;0,X106&gt;0),"n/a",X106/T106-1)</f>
        <v>3.5313901345291443E-2</v>
      </c>
      <c r="Y108" s="22">
        <f t="shared" ref="Y108" si="1998">IF(AND(U106&lt;0,Y106&gt;0),"n/a",Y106/U106-1)</f>
        <v>6.7525773195876271E-2</v>
      </c>
      <c r="Z108" s="22">
        <f t="shared" ref="Z108" si="1999">IF(AND(V106&lt;0,Z106&gt;0),"n/a",Z106/V106-1)</f>
        <v>3.2438478747203625E-2</v>
      </c>
      <c r="AA108" s="22">
        <f t="shared" ref="AA108" si="2000">IF(AND(W106&lt;0,AA106&gt;0),"n/a",AA106/W106-1)</f>
        <v>3.3692350179508335E-2</v>
      </c>
      <c r="AB108" s="22">
        <f t="shared" ref="AB108" si="2001">IF(AND(X106&lt;0,AB106&gt;0),"n/a",AB106/X106-1)</f>
        <v>1.0286951813752054E-2</v>
      </c>
      <c r="AC108" s="22">
        <f t="shared" ref="AC108" si="2002">IF(AND(Y106&lt;0,AC106&gt;0),"n/a",AC106/Y106-1)</f>
        <v>6.9773056494447205E-2</v>
      </c>
      <c r="AD108" s="22">
        <f t="shared" ref="AD108" si="2003">IF(AND(Z106&lt;0,AD106&gt;0),"n/a",AD106/Z106-1)</f>
        <v>8.5590465872156019E-2</v>
      </c>
      <c r="AE108" s="22">
        <f t="shared" ref="AE108" si="2004">IF(AND(AA106&lt;0,AE106&gt;0),"n/a",AE106/AA106-1)</f>
        <v>0.13465134918514554</v>
      </c>
      <c r="AF108" s="22">
        <f t="shared" ref="AF108" si="2005">IF(AND(AB106&lt;0,AF106&gt;0),"n/a",AF106/AB106-1)</f>
        <v>0.16345123258306549</v>
      </c>
      <c r="AG108" s="22">
        <f t="shared" ref="AG108" si="2006">IF(AND(AC106&lt;0,AG106&gt;0),"n/a",AG106/AC106-1)</f>
        <v>0.12615662378695558</v>
      </c>
      <c r="AH108" s="22">
        <f t="shared" ref="AH108" si="2007">IF(AND(AD106&lt;0,AH106&gt;0),"n/a",AH106/AD106-1)</f>
        <v>0.15868263473053901</v>
      </c>
      <c r="AI108" s="22">
        <f t="shared" ref="AI108" si="2008">IF(AND(AE106&lt;0,AI106&gt;0),"n/a",AI106/AE106-1)</f>
        <v>0.13609606781257355</v>
      </c>
      <c r="AJ108" s="22">
        <f t="shared" ref="AJ108" si="2009">IF(AND(AF106&lt;0,AJ106&gt;0),"n/a",AJ106/AF106-1)</f>
        <v>0.12851220635651783</v>
      </c>
      <c r="AK108" s="30"/>
      <c r="AL108" s="30"/>
      <c r="AM108" s="30"/>
      <c r="AN108" s="30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I108" s="106" t="s">
        <v>82</v>
      </c>
      <c r="CJ108" s="22">
        <f>IF(AND(CI106&lt;0,CJ106&gt;0),"n/a",CJ106/CI106-1)</f>
        <v>0.18116683725690885</v>
      </c>
      <c r="CK108" s="107">
        <f t="shared" ref="CK108" si="2010">IF(AND(CJ106&lt;0,CK106&gt;0),"n/a",CK106/CJ106-1)</f>
        <v>0.20017331022530338</v>
      </c>
      <c r="CL108" s="107">
        <f t="shared" ref="CL108" si="2011">IF(AND(CK106&lt;0,CL106&gt;0),"n/a",CL106/CK106-1)</f>
        <v>9.5066185318892993E-2</v>
      </c>
      <c r="CM108" s="22">
        <f t="shared" ref="CM108" si="2012">IF(AND(CL106&lt;0,CM106&gt;0),"n/a",CM106/CL106-1)</f>
        <v>6.5128205128205163E-2</v>
      </c>
      <c r="CN108" s="107">
        <f t="shared" ref="CN108" si="2013">IF(AND(CM106&lt;0,CN106&gt;0),"n/a",CN106/CM106-1)</f>
        <v>3.3977577550037719E-2</v>
      </c>
      <c r="CO108" s="22">
        <f t="shared" ref="CO108" si="2014">IF(AND(CN106&lt;0,CO106&gt;0),"n/a",CO106/CN106-1)</f>
        <v>3.7583981906472497E-2</v>
      </c>
      <c r="CP108" s="107">
        <f t="shared" ref="CP108" si="2015">IF(AND(CO106&lt;0,CP106&gt;0),"n/a",CP106/CO106-1)</f>
        <v>0.12751634824977565</v>
      </c>
      <c r="CQ108" s="30"/>
      <c r="CR108" s="110"/>
      <c r="CS108" s="30"/>
      <c r="CT108" s="110"/>
      <c r="CU108" s="30"/>
      <c r="CV108" s="110"/>
      <c r="CW108" s="30"/>
      <c r="CX108" s="110"/>
      <c r="CY108" s="110"/>
      <c r="CZ108" s="110"/>
      <c r="DA108" s="110"/>
      <c r="DB108" s="110"/>
      <c r="DC108" s="110"/>
    </row>
    <row r="109" spans="1:107" hidden="1" outlineLevel="1" x14ac:dyDescent="0.2">
      <c r="A109" s="8" t="s">
        <v>59</v>
      </c>
      <c r="B109" s="25">
        <f>B106/B$3</f>
        <v>0.30051660516605166</v>
      </c>
      <c r="C109" s="25">
        <f t="shared" ref="C109:AJ109" si="2016">C106/C$3</f>
        <v>0.30249266862170088</v>
      </c>
      <c r="D109" s="25">
        <f t="shared" si="2016"/>
        <v>0.30181169365907218</v>
      </c>
      <c r="E109" s="25">
        <f t="shared" si="2016"/>
        <v>0.29561611374407581</v>
      </c>
      <c r="F109" s="25">
        <f t="shared" si="2016"/>
        <v>0.28303206997084546</v>
      </c>
      <c r="G109" s="25">
        <f t="shared" si="2016"/>
        <v>0.27520496343895412</v>
      </c>
      <c r="H109" s="25">
        <f t="shared" si="2016"/>
        <v>0.26697530864197533</v>
      </c>
      <c r="I109" s="25">
        <f t="shared" si="2016"/>
        <v>0.27210884353741499</v>
      </c>
      <c r="J109" s="25">
        <f t="shared" si="2016"/>
        <v>0.27364960075152656</v>
      </c>
      <c r="K109" s="25">
        <f t="shared" si="2016"/>
        <v>0.27207223641006933</v>
      </c>
      <c r="L109" s="25">
        <f t="shared" si="2016"/>
        <v>0.27182023251778586</v>
      </c>
      <c r="M109" s="25">
        <f t="shared" si="2016"/>
        <v>0.26625339015885313</v>
      </c>
      <c r="N109" s="25">
        <f t="shared" si="2016"/>
        <v>0.26189372876119865</v>
      </c>
      <c r="O109" s="25">
        <f t="shared" si="2016"/>
        <v>0.25282356532356531</v>
      </c>
      <c r="P109" s="25">
        <f t="shared" si="2016"/>
        <v>0.23838266307904879</v>
      </c>
      <c r="Q109" s="25">
        <f t="shared" si="2016"/>
        <v>0.23339272079409518</v>
      </c>
      <c r="R109" s="25">
        <f t="shared" si="2016"/>
        <v>0.22879377431906614</v>
      </c>
      <c r="S109" s="25">
        <f t="shared" si="2016"/>
        <v>0.22331557505484173</v>
      </c>
      <c r="T109" s="25">
        <f t="shared" si="2016"/>
        <v>0.21594141499727654</v>
      </c>
      <c r="U109" s="25">
        <f t="shared" si="2016"/>
        <v>0.2155914874701339</v>
      </c>
      <c r="V109" s="25">
        <f t="shared" si="2016"/>
        <v>0.20817324484806146</v>
      </c>
      <c r="W109" s="25">
        <f t="shared" si="2016"/>
        <v>0.20512094261598596</v>
      </c>
      <c r="X109" s="25">
        <f t="shared" si="2016"/>
        <v>0.19932013165704418</v>
      </c>
      <c r="Y109" s="25">
        <f t="shared" si="2016"/>
        <v>0.19558031919916896</v>
      </c>
      <c r="Z109" s="25">
        <f t="shared" si="2016"/>
        <v>0.18376387437160918</v>
      </c>
      <c r="AA109" s="25">
        <f t="shared" si="2016"/>
        <v>0.17560403471733521</v>
      </c>
      <c r="AB109" s="25">
        <f t="shared" si="2016"/>
        <v>0.16770018873011594</v>
      </c>
      <c r="AC109" s="25">
        <f t="shared" si="2016"/>
        <v>0.17173087357569181</v>
      </c>
      <c r="AD109" s="25">
        <f t="shared" si="2016"/>
        <v>0.16280770168169631</v>
      </c>
      <c r="AE109" s="25">
        <f t="shared" si="2016"/>
        <v>0.16389457029290316</v>
      </c>
      <c r="AF109" s="25">
        <f t="shared" si="2016"/>
        <v>0.15700596637136141</v>
      </c>
      <c r="AG109" s="25">
        <f t="shared" si="2016"/>
        <v>0.15500745526838966</v>
      </c>
      <c r="AH109" s="25">
        <f t="shared" si="2016"/>
        <v>0.14982578397212543</v>
      </c>
      <c r="AI109" s="25">
        <f t="shared" si="2016"/>
        <v>0.14840674212598426</v>
      </c>
      <c r="AJ109" s="25">
        <f t="shared" si="2016"/>
        <v>0.14585937965112819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I109" s="107">
        <f>CI106/CI$3</f>
        <v>0.29988745267896727</v>
      </c>
      <c r="CJ109" s="22">
        <f t="shared" ref="CJ109:CP109" si="2017">CJ106/CJ$3</f>
        <v>0.27400079145231498</v>
      </c>
      <c r="CK109" s="107">
        <f t="shared" si="2017"/>
        <v>0.27074283231972196</v>
      </c>
      <c r="CL109" s="107">
        <f t="shared" si="2017"/>
        <v>0.24586177704929843</v>
      </c>
      <c r="CM109" s="22">
        <f t="shared" si="2017"/>
        <v>0.22063889521207983</v>
      </c>
      <c r="CN109" s="107">
        <f t="shared" si="2017"/>
        <v>0.2016715408762845</v>
      </c>
      <c r="CO109" s="22">
        <f t="shared" si="2017"/>
        <v>0.17435335673246741</v>
      </c>
      <c r="CP109" s="107">
        <f t="shared" si="2017"/>
        <v>0.1593342876297813</v>
      </c>
      <c r="CQ109" s="19"/>
      <c r="CR109" s="112"/>
      <c r="CS109" s="19"/>
      <c r="CT109" s="112"/>
      <c r="CU109" s="19"/>
      <c r="CV109" s="112"/>
      <c r="CW109" s="19"/>
      <c r="CX109" s="112"/>
      <c r="CY109" s="112"/>
      <c r="CZ109" s="112"/>
      <c r="DA109" s="112"/>
      <c r="DB109" s="112"/>
      <c r="DC109" s="112"/>
    </row>
    <row r="110" spans="1:107" hidden="1" outlineLevel="1" x14ac:dyDescent="0.2">
      <c r="CI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  <c r="CW110" s="92"/>
      <c r="CX110" s="92"/>
      <c r="CY110" s="92"/>
      <c r="CZ110" s="92"/>
      <c r="DA110" s="92"/>
      <c r="DB110" s="92"/>
      <c r="DC110" s="92"/>
    </row>
    <row r="111" spans="1:107" hidden="1" outlineLevel="1" x14ac:dyDescent="0.2">
      <c r="A111" s="10" t="s">
        <v>89</v>
      </c>
      <c r="B111" s="17">
        <v>-1446</v>
      </c>
      <c r="C111" s="17">
        <v>-1463</v>
      </c>
      <c r="D111" s="17">
        <v>-1520</v>
      </c>
      <c r="E111" s="17">
        <v>-1736</v>
      </c>
      <c r="F111" s="17">
        <v>-1702</v>
      </c>
      <c r="G111" s="17">
        <v>-1757</v>
      </c>
      <c r="H111" s="17">
        <v>-1825</v>
      </c>
      <c r="I111" s="17">
        <v>-2010</v>
      </c>
      <c r="J111" s="17">
        <v>-2041</v>
      </c>
      <c r="K111" s="17">
        <v>-2096</v>
      </c>
      <c r="L111" s="17">
        <v>-2218</v>
      </c>
      <c r="M111" s="17">
        <v>-2439</v>
      </c>
      <c r="N111" s="17">
        <v>-2284</v>
      </c>
      <c r="O111" s="17">
        <v>-2307</v>
      </c>
      <c r="P111" s="17">
        <v>-2218</v>
      </c>
      <c r="Q111" s="17">
        <v>-2484</v>
      </c>
      <c r="R111" s="17">
        <v>-2386</v>
      </c>
      <c r="S111" s="17">
        <v>-2401</v>
      </c>
      <c r="T111" s="17">
        <v>-2421</v>
      </c>
      <c r="U111" s="17">
        <v>-2656</v>
      </c>
      <c r="V111" s="17">
        <v>-2432</v>
      </c>
      <c r="W111" s="17">
        <v>-2432</v>
      </c>
      <c r="X111" s="17">
        <v>-2514</v>
      </c>
      <c r="Y111" s="17">
        <v>-2864</v>
      </c>
      <c r="Z111" s="17">
        <v>-2571</v>
      </c>
      <c r="AA111" s="17">
        <v>-2623</v>
      </c>
      <c r="AB111" s="17">
        <v>-2623</v>
      </c>
      <c r="AC111" s="17">
        <v>-3082</v>
      </c>
      <c r="AD111" s="17">
        <v>-2824</v>
      </c>
      <c r="AE111" s="17">
        <v>-3042</v>
      </c>
      <c r="AF111" s="17">
        <v>-3101</v>
      </c>
      <c r="AG111" s="17">
        <v>-3674</v>
      </c>
      <c r="AH111" s="17">
        <v>-3386</v>
      </c>
      <c r="AI111" s="17">
        <v>-3411</v>
      </c>
      <c r="AJ111" s="17">
        <v>-3427</v>
      </c>
      <c r="AK111" s="17">
        <v>-3930</v>
      </c>
      <c r="AL111" s="17">
        <v>-3477</v>
      </c>
      <c r="AM111" s="17">
        <v>-3621</v>
      </c>
      <c r="AN111" s="17">
        <v>-3634</v>
      </c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I111" s="90">
        <f>SUM(B111:E111)</f>
        <v>-6165</v>
      </c>
      <c r="CJ111" s="21">
        <f>SUM(F111:I111)</f>
        <v>-7294</v>
      </c>
      <c r="CK111" s="90">
        <f>SUM(J111:M111)</f>
        <v>-8794</v>
      </c>
      <c r="CL111" s="90">
        <f>SUM(N111:Q111)</f>
        <v>-9293</v>
      </c>
      <c r="CM111" s="21">
        <f>SUM(R111:U111)</f>
        <v>-9864</v>
      </c>
      <c r="CN111" s="90">
        <f>SUM(V111:Y111)</f>
        <v>-10242</v>
      </c>
      <c r="CO111" s="21">
        <f>SUM(Z111:AC111)</f>
        <v>-10899</v>
      </c>
      <c r="CP111" s="90">
        <f>SUM(AD111:AG111)</f>
        <v>-12641</v>
      </c>
      <c r="CQ111" s="45"/>
      <c r="CR111" s="108"/>
      <c r="CS111" s="45"/>
      <c r="CT111" s="108"/>
      <c r="CU111" s="45"/>
      <c r="CV111" s="108"/>
      <c r="CW111" s="45"/>
      <c r="CX111" s="108"/>
      <c r="CY111" s="108"/>
      <c r="CZ111" s="108"/>
      <c r="DA111" s="108"/>
      <c r="DB111" s="108"/>
      <c r="DC111" s="108"/>
    </row>
    <row r="112" spans="1:107" hidden="1" outlineLevel="1" x14ac:dyDescent="0.2">
      <c r="A112" s="11" t="s">
        <v>62</v>
      </c>
      <c r="B112" s="25" t="s">
        <v>82</v>
      </c>
      <c r="C112" s="22">
        <f t="shared" ref="C112" si="2018">IF(AND(B111&lt;0,C111&gt;0),"n/a",C111/B111-1)</f>
        <v>1.1756569847856113E-2</v>
      </c>
      <c r="D112" s="22">
        <f t="shared" ref="D112" si="2019">IF(AND(C111&lt;0,D111&gt;0),"n/a",D111/C111-1)</f>
        <v>3.8961038961038863E-2</v>
      </c>
      <c r="E112" s="22">
        <f t="shared" ref="E112" si="2020">IF(AND(D111&lt;0,E111&gt;0),"n/a",E111/D111-1)</f>
        <v>0.14210526315789473</v>
      </c>
      <c r="F112" s="22">
        <f t="shared" ref="F112" si="2021">IF(AND(E111&lt;0,F111&gt;0),"n/a",F111/E111-1)</f>
        <v>-1.9585253456221197E-2</v>
      </c>
      <c r="G112" s="22">
        <f t="shared" ref="G112" si="2022">IF(AND(F111&lt;0,G111&gt;0),"n/a",G111/F111-1)</f>
        <v>3.2314923619271463E-2</v>
      </c>
      <c r="H112" s="22">
        <f t="shared" ref="H112" si="2023">IF(AND(G111&lt;0,H111&gt;0),"n/a",H111/G111-1)</f>
        <v>3.8702333523050747E-2</v>
      </c>
      <c r="I112" s="22">
        <f t="shared" ref="I112" si="2024">IF(AND(H111&lt;0,I111&gt;0),"n/a",I111/H111-1)</f>
        <v>0.10136986301369855</v>
      </c>
      <c r="J112" s="22">
        <f t="shared" ref="J112" si="2025">IF(AND(I111&lt;0,J111&gt;0),"n/a",J111/I111-1)</f>
        <v>1.5422885572139222E-2</v>
      </c>
      <c r="K112" s="22">
        <f t="shared" ref="K112" si="2026">IF(AND(J111&lt;0,K111&gt;0),"n/a",K111/J111-1)</f>
        <v>2.6947574718275247E-2</v>
      </c>
      <c r="L112" s="22">
        <f t="shared" ref="L112" si="2027">IF(AND(K111&lt;0,L111&gt;0),"n/a",L111/K111-1)</f>
        <v>5.8206106870229091E-2</v>
      </c>
      <c r="M112" s="22">
        <f t="shared" ref="M112" si="2028">IF(AND(L111&lt;0,M111&gt;0),"n/a",M111/L111-1)</f>
        <v>9.9639314697925974E-2</v>
      </c>
      <c r="N112" s="22">
        <f t="shared" ref="N112" si="2029">IF(AND(M111&lt;0,N111&gt;0),"n/a",N111/M111-1)</f>
        <v>-6.3550635506355091E-2</v>
      </c>
      <c r="O112" s="22">
        <f t="shared" ref="O112" si="2030">IF(AND(N111&lt;0,O111&gt;0),"n/a",O111/N111-1)</f>
        <v>1.0070052539404628E-2</v>
      </c>
      <c r="P112" s="22">
        <f t="shared" ref="P112" si="2031">IF(AND(O111&lt;0,P111&gt;0),"n/a",P111/O111-1)</f>
        <v>-3.8578240138708253E-2</v>
      </c>
      <c r="Q112" s="22">
        <f t="shared" ref="Q112" si="2032">IF(AND(P111&lt;0,Q111&gt;0),"n/a",Q111/P111-1)</f>
        <v>0.11992786293958524</v>
      </c>
      <c r="R112" s="22">
        <f t="shared" ref="R112" si="2033">IF(AND(Q111&lt;0,R111&gt;0),"n/a",R111/Q111-1)</f>
        <v>-3.9452495974235058E-2</v>
      </c>
      <c r="S112" s="22">
        <f t="shared" ref="S112" si="2034">IF(AND(R111&lt;0,S111&gt;0),"n/a",S111/R111-1)</f>
        <v>6.2866722548198251E-3</v>
      </c>
      <c r="T112" s="22">
        <f t="shared" ref="T112" si="2035">IF(AND(S111&lt;0,T111&gt;0),"n/a",T111/S111-1)</f>
        <v>8.3298625572678642E-3</v>
      </c>
      <c r="U112" s="22">
        <f t="shared" ref="U112" si="2036">IF(AND(T111&lt;0,U111&gt;0),"n/a",U111/T111-1)</f>
        <v>9.7067327550598881E-2</v>
      </c>
      <c r="V112" s="22">
        <f t="shared" ref="V112" si="2037">IF(AND(U111&lt;0,V111&gt;0),"n/a",V111/U111-1)</f>
        <v>-8.4337349397590411E-2</v>
      </c>
      <c r="W112" s="22">
        <f t="shared" ref="W112" si="2038">IF(AND(V111&lt;0,W111&gt;0),"n/a",W111/V111-1)</f>
        <v>0</v>
      </c>
      <c r="X112" s="22">
        <f t="shared" ref="X112" si="2039">IF(AND(W111&lt;0,X111&gt;0),"n/a",X111/W111-1)</f>
        <v>3.3717105263157965E-2</v>
      </c>
      <c r="Y112" s="22">
        <f t="shared" ref="Y112" si="2040">IF(AND(X111&lt;0,Y111&gt;0),"n/a",Y111/X111-1)</f>
        <v>0.13922036595067611</v>
      </c>
      <c r="Z112" s="22">
        <f t="shared" ref="Z112" si="2041">IF(AND(Y111&lt;0,Z111&gt;0),"n/a",Z111/Y111-1)</f>
        <v>-0.10230446927374304</v>
      </c>
      <c r="AA112" s="22">
        <f t="shared" ref="AA112" si="2042">IF(AND(Z111&lt;0,AA111&gt;0),"n/a",AA111/Z111-1)</f>
        <v>2.0225593154414634E-2</v>
      </c>
      <c r="AB112" s="22">
        <f t="shared" ref="AB112" si="2043">IF(AND(AA111&lt;0,AB111&gt;0),"n/a",AB111/AA111-1)</f>
        <v>0</v>
      </c>
      <c r="AC112" s="22">
        <f t="shared" ref="AC112" si="2044">IF(AND(AB111&lt;0,AC111&gt;0),"n/a",AC111/AB111-1)</f>
        <v>0.17499046892870762</v>
      </c>
      <c r="AD112" s="22">
        <f t="shared" ref="AD112" si="2045">IF(AND(AC111&lt;0,AD111&gt;0),"n/a",AD111/AC111-1)</f>
        <v>-8.3711875405580782E-2</v>
      </c>
      <c r="AE112" s="22">
        <f t="shared" ref="AE112" si="2046">IF(AND(AD111&lt;0,AE111&gt;0),"n/a",AE111/AD111-1)</f>
        <v>7.7195467422096264E-2</v>
      </c>
      <c r="AF112" s="22">
        <f t="shared" ref="AF112" si="2047">IF(AND(AE111&lt;0,AF111&gt;0),"n/a",AF111/AE111-1)</f>
        <v>1.9395134779750078E-2</v>
      </c>
      <c r="AG112" s="22">
        <f t="shared" ref="AG112" si="2048">IF(AND(AF111&lt;0,AG111&gt;0),"n/a",AG111/AF111-1)</f>
        <v>0.18477910351499527</v>
      </c>
      <c r="AH112" s="22">
        <f t="shared" ref="AH112" si="2049">IF(AND(AG111&lt;0,AH111&gt;0),"n/a",AH111/AG111-1)</f>
        <v>-7.8388677191072453E-2</v>
      </c>
      <c r="AI112" s="22">
        <f t="shared" ref="AI112" si="2050">IF(AND(AH111&lt;0,AI111&gt;0),"n/a",AI111/AH111-1)</f>
        <v>7.3833431777909908E-3</v>
      </c>
      <c r="AJ112" s="22">
        <f t="shared" ref="AJ112" si="2051">IF(AND(AI111&lt;0,AJ111&gt;0),"n/a",AJ111/AI111-1)</f>
        <v>4.690706537672229E-3</v>
      </c>
      <c r="AK112" s="22">
        <f>IF(AND(AJ111&lt;0,AK111&gt;0),"n/a",AK111/AJ111-1)</f>
        <v>0.14677560548584778</v>
      </c>
      <c r="AL112" s="22">
        <f t="shared" ref="AL112" si="2052">IF(AND(AK111&lt;0,AL111&gt;0),"n/a",AL111/AK111-1)</f>
        <v>-0.11526717557251909</v>
      </c>
      <c r="AM112" s="22">
        <f t="shared" ref="AM112" si="2053">IF(AND(AL111&lt;0,AM111&gt;0),"n/a",AM111/AL111-1)</f>
        <v>4.141501294219152E-2</v>
      </c>
      <c r="AN112" s="22">
        <f t="shared" ref="AN112" si="2054">IF(AND(AM111&lt;0,AN111&gt;0),"n/a",AN111/AM111-1)</f>
        <v>3.5901684617509755E-3</v>
      </c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I112" s="106" t="s">
        <v>82</v>
      </c>
      <c r="CJ112" s="48" t="s">
        <v>82</v>
      </c>
      <c r="CK112" s="106" t="s">
        <v>82</v>
      </c>
      <c r="CL112" s="106" t="s">
        <v>82</v>
      </c>
      <c r="CM112" s="48" t="s">
        <v>82</v>
      </c>
      <c r="CN112" s="106" t="s">
        <v>82</v>
      </c>
      <c r="CO112" s="48" t="s">
        <v>82</v>
      </c>
      <c r="CP112" s="106" t="s">
        <v>82</v>
      </c>
      <c r="CQ112" s="59"/>
      <c r="CR112" s="109"/>
      <c r="CS112" s="59"/>
      <c r="CT112" s="109"/>
      <c r="CU112" s="59"/>
      <c r="CV112" s="109"/>
      <c r="CW112" s="59"/>
      <c r="CX112" s="109"/>
      <c r="CY112" s="109"/>
      <c r="CZ112" s="109"/>
      <c r="DA112" s="109"/>
      <c r="DB112" s="109"/>
      <c r="DC112" s="109"/>
    </row>
    <row r="113" spans="1:107" hidden="1" outlineLevel="1" x14ac:dyDescent="0.2">
      <c r="A113" s="11" t="s">
        <v>63</v>
      </c>
      <c r="B113" s="25" t="s">
        <v>82</v>
      </c>
      <c r="C113" s="25" t="s">
        <v>82</v>
      </c>
      <c r="D113" s="25" t="s">
        <v>82</v>
      </c>
      <c r="E113" s="25" t="s">
        <v>82</v>
      </c>
      <c r="F113" s="22">
        <f t="shared" ref="F113" si="2055">IF(AND(B111&lt;0,F111&gt;0),"n/a",F111/B111-1)</f>
        <v>0.17704011065006919</v>
      </c>
      <c r="G113" s="22">
        <f t="shared" ref="G113" si="2056">IF(AND(C111&lt;0,G111&gt;0),"n/a",G111/C111-1)</f>
        <v>0.200956937799043</v>
      </c>
      <c r="H113" s="22">
        <f t="shared" ref="H113" si="2057">IF(AND(D111&lt;0,H111&gt;0),"n/a",H111/D111-1)</f>
        <v>0.20065789473684204</v>
      </c>
      <c r="I113" s="22">
        <f t="shared" ref="I113" si="2058">IF(AND(E111&lt;0,I111&gt;0),"n/a",I111/E111-1)</f>
        <v>0.15783410138248843</v>
      </c>
      <c r="J113" s="22">
        <f t="shared" ref="J113" si="2059">IF(AND(F111&lt;0,J111&gt;0),"n/a",J111/F111-1)</f>
        <v>0.19917743830787304</v>
      </c>
      <c r="K113" s="22">
        <f t="shared" ref="K113" si="2060">IF(AND(G111&lt;0,K111&gt;0),"n/a",K111/G111-1)</f>
        <v>0.19294251565167908</v>
      </c>
      <c r="L113" s="22">
        <f t="shared" ref="L113" si="2061">IF(AND(H111&lt;0,L111&gt;0),"n/a",L111/H111-1)</f>
        <v>0.21534246575342464</v>
      </c>
      <c r="M113" s="22">
        <f t="shared" ref="M113" si="2062">IF(AND(I111&lt;0,M111&gt;0),"n/a",M111/I111-1)</f>
        <v>0.21343283582089545</v>
      </c>
      <c r="N113" s="22">
        <f t="shared" ref="N113" si="2063">IF(AND(J111&lt;0,N111&gt;0),"n/a",N111/J111-1)</f>
        <v>0.11905928466438032</v>
      </c>
      <c r="O113" s="22">
        <f t="shared" ref="O113" si="2064">IF(AND(K111&lt;0,O111&gt;0),"n/a",O111/K111-1)</f>
        <v>0.10066793893129766</v>
      </c>
      <c r="P113" s="22">
        <f t="shared" ref="P113" si="2065">IF(AND(L111&lt;0,P111&gt;0),"n/a",P111/L111-1)</f>
        <v>0</v>
      </c>
      <c r="Q113" s="22">
        <f t="shared" ref="Q113" si="2066">IF(AND(M111&lt;0,Q111&gt;0),"n/a",Q111/M111-1)</f>
        <v>1.8450184501844991E-2</v>
      </c>
      <c r="R113" s="22">
        <f t="shared" ref="R113" si="2067">IF(AND(N111&lt;0,R111&gt;0),"n/a",R111/N111-1)</f>
        <v>4.4658493870402882E-2</v>
      </c>
      <c r="S113" s="22">
        <f t="shared" ref="S113" si="2068">IF(AND(O111&lt;0,S111&gt;0),"n/a",S111/O111-1)</f>
        <v>4.0745557000433363E-2</v>
      </c>
      <c r="T113" s="22">
        <f t="shared" ref="T113" si="2069">IF(AND(P111&lt;0,T111&gt;0),"n/a",T111/P111-1)</f>
        <v>9.1523895401262489E-2</v>
      </c>
      <c r="U113" s="22">
        <f t="shared" ref="U113" si="2070">IF(AND(Q111&lt;0,U111&gt;0),"n/a",U111/Q111-1)</f>
        <v>6.9243156199678024E-2</v>
      </c>
      <c r="V113" s="22">
        <f t="shared" ref="V113" si="2071">IF(AND(R111&lt;0,V111&gt;0),"n/a",V111/R111-1)</f>
        <v>1.9279128248113953E-2</v>
      </c>
      <c r="W113" s="22">
        <f t="shared" ref="W113" si="2072">IF(AND(S111&lt;0,W111&gt;0),"n/a",W111/S111-1)</f>
        <v>1.291128696376509E-2</v>
      </c>
      <c r="X113" s="22">
        <f t="shared" ref="X113" si="2073">IF(AND(T111&lt;0,X111&gt;0),"n/a",X111/T111-1)</f>
        <v>3.8413878562577386E-2</v>
      </c>
      <c r="Y113" s="22">
        <f t="shared" ref="Y113" si="2074">IF(AND(U111&lt;0,Y111&gt;0),"n/a",Y111/U111-1)</f>
        <v>7.8313253012048278E-2</v>
      </c>
      <c r="Z113" s="22">
        <f t="shared" ref="Z113" si="2075">IF(AND(V111&lt;0,Z111&gt;0),"n/a",Z111/V111-1)</f>
        <v>5.7154605263157965E-2</v>
      </c>
      <c r="AA113" s="22">
        <f t="shared" ref="AA113" si="2076">IF(AND(W111&lt;0,AA111&gt;0),"n/a",AA111/W111-1)</f>
        <v>7.8536184210526327E-2</v>
      </c>
      <c r="AB113" s="22">
        <f t="shared" ref="AB113" si="2077">IF(AND(X111&lt;0,AB111&gt;0),"n/a",AB111/X111-1)</f>
        <v>4.3357199681782088E-2</v>
      </c>
      <c r="AC113" s="22">
        <f t="shared" ref="AC113" si="2078">IF(AND(Y111&lt;0,AC111&gt;0),"n/a",AC111/Y111-1)</f>
        <v>7.61173184357542E-2</v>
      </c>
      <c r="AD113" s="22">
        <f t="shared" ref="AD113" si="2079">IF(AND(Z111&lt;0,AD111&gt;0),"n/a",AD111/Z111-1)</f>
        <v>9.8405289770517212E-2</v>
      </c>
      <c r="AE113" s="22">
        <f t="shared" ref="AE113" si="2080">IF(AND(AA111&lt;0,AE111&gt;0),"n/a",AE111/AA111-1)</f>
        <v>0.15974075486084627</v>
      </c>
      <c r="AF113" s="22">
        <f t="shared" ref="AF113" si="2081">IF(AND(AB111&lt;0,AF111&gt;0),"n/a",AF111/AB111-1)</f>
        <v>0.18223408311094169</v>
      </c>
      <c r="AG113" s="22">
        <f t="shared" ref="AG113" si="2082">IF(AND(AC111&lt;0,AG111&gt;0),"n/a",AG111/AC111-1)</f>
        <v>0.19208306294613897</v>
      </c>
      <c r="AH113" s="22">
        <f t="shared" ref="AH113" si="2083">IF(AND(AD111&lt;0,AH111&gt;0),"n/a",AH111/AD111-1)</f>
        <v>0.19900849858356939</v>
      </c>
      <c r="AI113" s="22">
        <f t="shared" ref="AI113" si="2084">IF(AND(AE111&lt;0,AI111&gt;0),"n/a",AI111/AE111-1)</f>
        <v>0.12130177514792906</v>
      </c>
      <c r="AJ113" s="22">
        <f t="shared" ref="AJ113" si="2085">IF(AND(AF111&lt;0,AJ111&gt;0),"n/a",AJ111/AF111-1)</f>
        <v>0.10512737826507568</v>
      </c>
      <c r="AK113" s="22">
        <f>IF(AND(AG111&lt;0,AK111&gt;0),"n/a",AK111/AG111-1)</f>
        <v>6.9678824169842057E-2</v>
      </c>
      <c r="AL113" s="22">
        <f t="shared" ref="AL113" si="2086">IF(AND(AH111&lt;0,AL111&gt;0),"n/a",AL111/AH111-1)</f>
        <v>2.6875369167158825E-2</v>
      </c>
      <c r="AM113" s="22">
        <f t="shared" ref="AM113" si="2087">IF(AND(AI111&lt;0,AM111&gt;0),"n/a",AM111/AI111-1)</f>
        <v>6.1565523306948089E-2</v>
      </c>
      <c r="AN113" s="22">
        <f t="shared" ref="AN113" si="2088">IF(AND(AJ111&lt;0,AN111&gt;0),"n/a",AN111/AJ111-1)</f>
        <v>6.0402684563758413E-2</v>
      </c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I113" s="106" t="s">
        <v>82</v>
      </c>
      <c r="CJ113" s="22">
        <f>IF(AND(CI111&lt;0,CJ111&gt;0),"n/a",CJ111/CI111-1)</f>
        <v>0.18313057583130576</v>
      </c>
      <c r="CK113" s="107">
        <f t="shared" ref="CK113" si="2089">IF(AND(CJ111&lt;0,CK111&gt;0),"n/a",CK111/CJ111-1)</f>
        <v>0.20564847820126131</v>
      </c>
      <c r="CL113" s="107">
        <f t="shared" ref="CL113" si="2090">IF(AND(CK111&lt;0,CL111&gt;0),"n/a",CL111/CK111-1)</f>
        <v>5.6743234023197697E-2</v>
      </c>
      <c r="CM113" s="22">
        <f t="shared" ref="CM113" si="2091">IF(AND(CL111&lt;0,CM111&gt;0),"n/a",CM111/CL111-1)</f>
        <v>6.1444097707952228E-2</v>
      </c>
      <c r="CN113" s="107">
        <f t="shared" ref="CN113" si="2092">IF(AND(CM111&lt;0,CN111&gt;0),"n/a",CN111/CM111-1)</f>
        <v>3.8321167883211604E-2</v>
      </c>
      <c r="CO113" s="22">
        <f t="shared" ref="CO113" si="2093">IF(AND(CN111&lt;0,CO111&gt;0),"n/a",CO111/CN111-1)</f>
        <v>6.4147627416520248E-2</v>
      </c>
      <c r="CP113" s="107">
        <f t="shared" ref="CP113" si="2094">IF(AND(CO111&lt;0,CP111&gt;0),"n/a",CP111/CO111-1)</f>
        <v>0.15983117717221762</v>
      </c>
      <c r="CQ113" s="30"/>
      <c r="CR113" s="110"/>
      <c r="CS113" s="30"/>
      <c r="CT113" s="110"/>
      <c r="CU113" s="30"/>
      <c r="CV113" s="110"/>
      <c r="CW113" s="30"/>
      <c r="CX113" s="110"/>
      <c r="CY113" s="110"/>
      <c r="CZ113" s="110"/>
      <c r="DA113" s="110"/>
      <c r="DB113" s="110"/>
      <c r="DC113" s="110"/>
    </row>
    <row r="114" spans="1:107" hidden="1" outlineLevel="1" x14ac:dyDescent="0.2">
      <c r="A114" s="11" t="s">
        <v>90</v>
      </c>
      <c r="B114" s="22">
        <f>B111/B106</f>
        <v>-0.71021611001964635</v>
      </c>
      <c r="C114" s="22">
        <f t="shared" ref="C114:AN114" si="2095">C111/C106</f>
        <v>-0.709161415414445</v>
      </c>
      <c r="D114" s="22">
        <f t="shared" si="2095"/>
        <v>-0.69122328331059568</v>
      </c>
      <c r="E114" s="22">
        <f t="shared" si="2095"/>
        <v>-0.69579158316633272</v>
      </c>
      <c r="F114" s="22">
        <f t="shared" si="2095"/>
        <v>-0.70127729707457764</v>
      </c>
      <c r="G114" s="22">
        <f t="shared" si="2095"/>
        <v>-0.70732689210950084</v>
      </c>
      <c r="H114" s="22">
        <f t="shared" si="2095"/>
        <v>-0.7032755298651252</v>
      </c>
      <c r="I114" s="22">
        <f t="shared" si="2095"/>
        <v>-0.69791666666666663</v>
      </c>
      <c r="J114" s="22">
        <f t="shared" si="2095"/>
        <v>-0.70065224854102304</v>
      </c>
      <c r="K114" s="22">
        <f t="shared" si="2095"/>
        <v>-0.70264834059671477</v>
      </c>
      <c r="L114" s="22">
        <f t="shared" si="2095"/>
        <v>-0.70794765400574533</v>
      </c>
      <c r="M114" s="22">
        <f t="shared" si="2095"/>
        <v>-0.70983701979045399</v>
      </c>
      <c r="N114" s="22">
        <f t="shared" si="2095"/>
        <v>-0.6735476260690062</v>
      </c>
      <c r="O114" s="22">
        <f t="shared" si="2095"/>
        <v>-0.69634772109870213</v>
      </c>
      <c r="P114" s="22">
        <f t="shared" si="2095"/>
        <v>-0.67663209273947533</v>
      </c>
      <c r="Q114" s="22">
        <f t="shared" si="2095"/>
        <v>-0.67720828789531085</v>
      </c>
      <c r="R114" s="22">
        <f t="shared" si="2095"/>
        <v>-0.67630385487528344</v>
      </c>
      <c r="S114" s="22">
        <f t="shared" si="2095"/>
        <v>-0.67387033398821217</v>
      </c>
      <c r="T114" s="22">
        <f t="shared" si="2095"/>
        <v>-0.67853139013452912</v>
      </c>
      <c r="U114" s="22">
        <f t="shared" si="2095"/>
        <v>-0.68453608247422681</v>
      </c>
      <c r="V114" s="22">
        <f t="shared" si="2095"/>
        <v>-0.68008948545861303</v>
      </c>
      <c r="W114" s="22">
        <f t="shared" si="2095"/>
        <v>-0.67163766915216794</v>
      </c>
      <c r="X114" s="22">
        <f t="shared" si="2095"/>
        <v>-0.68056307525717374</v>
      </c>
      <c r="Y114" s="22">
        <f t="shared" si="2095"/>
        <v>-0.69145340415258327</v>
      </c>
      <c r="Z114" s="22">
        <f t="shared" si="2095"/>
        <v>-0.69637053087757317</v>
      </c>
      <c r="AA114" s="22">
        <f t="shared" si="2095"/>
        <v>-0.70077477958856527</v>
      </c>
      <c r="AB114" s="22">
        <f t="shared" si="2095"/>
        <v>-0.70284030010718113</v>
      </c>
      <c r="AC114" s="22">
        <f t="shared" si="2095"/>
        <v>-0.69555405100428802</v>
      </c>
      <c r="AD114" s="22">
        <f t="shared" si="2095"/>
        <v>-0.70459081836327342</v>
      </c>
      <c r="AE114" s="22">
        <f t="shared" si="2095"/>
        <v>-0.71627030845302564</v>
      </c>
      <c r="AF114" s="22">
        <f t="shared" si="2095"/>
        <v>-0.7141870105941962</v>
      </c>
      <c r="AG114" s="22">
        <f t="shared" si="2095"/>
        <v>-0.73627254509018036</v>
      </c>
      <c r="AH114" s="22">
        <f t="shared" si="2095"/>
        <v>-0.7291128337639966</v>
      </c>
      <c r="AI114" s="22">
        <f t="shared" si="2095"/>
        <v>-0.70694300518134712</v>
      </c>
      <c r="AJ114" s="22">
        <f t="shared" si="2095"/>
        <v>-0.69938775510204076</v>
      </c>
      <c r="AK114" s="22" t="e">
        <f t="shared" si="2095"/>
        <v>#DIV/0!</v>
      </c>
      <c r="AL114" s="22" t="e">
        <f t="shared" si="2095"/>
        <v>#DIV/0!</v>
      </c>
      <c r="AM114" s="22" t="e">
        <f t="shared" si="2095"/>
        <v>#DIV/0!</v>
      </c>
      <c r="AN114" s="22" t="e">
        <f t="shared" si="2095"/>
        <v>#DIV/0!</v>
      </c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I114" s="107">
        <f>CI111/CI$106</f>
        <v>-0.7011258955987717</v>
      </c>
      <c r="CJ114" s="22">
        <f t="shared" ref="CJ114:CP114" si="2096">CJ111/CJ$106</f>
        <v>-0.70229154631234358</v>
      </c>
      <c r="CK114" s="107">
        <f t="shared" si="2096"/>
        <v>-0.70549538708383475</v>
      </c>
      <c r="CL114" s="107">
        <f t="shared" si="2096"/>
        <v>-0.68080586080586081</v>
      </c>
      <c r="CM114" s="22">
        <f t="shared" si="2096"/>
        <v>-0.67845106265905497</v>
      </c>
      <c r="CN114" s="107">
        <f t="shared" si="2096"/>
        <v>-0.68130113749750554</v>
      </c>
      <c r="CO114" s="22">
        <f t="shared" si="2096"/>
        <v>-0.69874342864469807</v>
      </c>
      <c r="CP114" s="107">
        <f t="shared" si="2096"/>
        <v>-0.71876954568715523</v>
      </c>
      <c r="CQ114" s="19"/>
      <c r="CR114" s="112"/>
      <c r="CS114" s="19"/>
      <c r="CT114" s="112"/>
      <c r="CU114" s="19"/>
      <c r="CV114" s="112"/>
      <c r="CW114" s="19"/>
      <c r="CX114" s="112"/>
      <c r="CY114" s="112"/>
      <c r="CZ114" s="112"/>
      <c r="DA114" s="112"/>
      <c r="DB114" s="112"/>
      <c r="DC114" s="112"/>
    </row>
    <row r="115" spans="1:107" hidden="1" outlineLevel="1" x14ac:dyDescent="0.2">
      <c r="CI115" s="92"/>
      <c r="CK115" s="92"/>
      <c r="CL115" s="92"/>
      <c r="CN115" s="92"/>
      <c r="CP115" s="92"/>
      <c r="CQ115" s="92"/>
      <c r="CR115" s="92"/>
      <c r="CS115" s="92"/>
      <c r="CT115" s="92"/>
      <c r="CU115" s="92"/>
      <c r="CV115" s="92"/>
      <c r="CW115" s="92"/>
      <c r="CX115" s="92"/>
      <c r="CY115" s="92"/>
      <c r="CZ115" s="92"/>
      <c r="DA115" s="92"/>
      <c r="DB115" s="92"/>
      <c r="DC115" s="92"/>
    </row>
    <row r="116" spans="1:107" hidden="1" outlineLevel="1" x14ac:dyDescent="0.2">
      <c r="A116" s="9" t="s">
        <v>91</v>
      </c>
      <c r="B116" s="20">
        <f>B106+B111</f>
        <v>590</v>
      </c>
      <c r="C116" s="20">
        <f t="shared" ref="C116:AJ116" si="2097">C106+C111</f>
        <v>600</v>
      </c>
      <c r="D116" s="20">
        <f t="shared" si="2097"/>
        <v>679</v>
      </c>
      <c r="E116" s="20">
        <f t="shared" si="2097"/>
        <v>759</v>
      </c>
      <c r="F116" s="20">
        <f t="shared" si="2097"/>
        <v>725</v>
      </c>
      <c r="G116" s="20">
        <f t="shared" si="2097"/>
        <v>727</v>
      </c>
      <c r="H116" s="20">
        <f t="shared" si="2097"/>
        <v>770</v>
      </c>
      <c r="I116" s="20">
        <f t="shared" si="2097"/>
        <v>870</v>
      </c>
      <c r="J116" s="20">
        <f t="shared" si="2097"/>
        <v>872</v>
      </c>
      <c r="K116" s="20">
        <f t="shared" si="2097"/>
        <v>887</v>
      </c>
      <c r="L116" s="20">
        <f t="shared" si="2097"/>
        <v>915</v>
      </c>
      <c r="M116" s="20">
        <f t="shared" si="2097"/>
        <v>997</v>
      </c>
      <c r="N116" s="20">
        <f t="shared" si="2097"/>
        <v>1107</v>
      </c>
      <c r="O116" s="20">
        <f t="shared" si="2097"/>
        <v>1006</v>
      </c>
      <c r="P116" s="20">
        <f t="shared" si="2097"/>
        <v>1060</v>
      </c>
      <c r="Q116" s="20">
        <f t="shared" si="2097"/>
        <v>1184</v>
      </c>
      <c r="R116" s="20">
        <f t="shared" si="2097"/>
        <v>1142</v>
      </c>
      <c r="S116" s="20">
        <f t="shared" si="2097"/>
        <v>1162</v>
      </c>
      <c r="T116" s="20">
        <f t="shared" si="2097"/>
        <v>1147</v>
      </c>
      <c r="U116" s="20">
        <f t="shared" si="2097"/>
        <v>1224</v>
      </c>
      <c r="V116" s="20">
        <f t="shared" si="2097"/>
        <v>1144</v>
      </c>
      <c r="W116" s="20">
        <f t="shared" si="2097"/>
        <v>1189</v>
      </c>
      <c r="X116" s="20">
        <f t="shared" si="2097"/>
        <v>1180</v>
      </c>
      <c r="Y116" s="20">
        <f t="shared" si="2097"/>
        <v>1278</v>
      </c>
      <c r="Z116" s="20">
        <f t="shared" si="2097"/>
        <v>1121</v>
      </c>
      <c r="AA116" s="20">
        <f t="shared" si="2097"/>
        <v>1120</v>
      </c>
      <c r="AB116" s="20">
        <f t="shared" si="2097"/>
        <v>1109</v>
      </c>
      <c r="AC116" s="20">
        <f t="shared" si="2097"/>
        <v>1349</v>
      </c>
      <c r="AD116" s="20">
        <f t="shared" si="2097"/>
        <v>1184</v>
      </c>
      <c r="AE116" s="20">
        <f t="shared" si="2097"/>
        <v>1205</v>
      </c>
      <c r="AF116" s="20">
        <f t="shared" si="2097"/>
        <v>1241</v>
      </c>
      <c r="AG116" s="20">
        <f t="shared" si="2097"/>
        <v>1316</v>
      </c>
      <c r="AH116" s="20">
        <f t="shared" si="2097"/>
        <v>1258</v>
      </c>
      <c r="AI116" s="20">
        <f t="shared" si="2097"/>
        <v>1414</v>
      </c>
      <c r="AJ116" s="20">
        <f t="shared" si="2097"/>
        <v>1473</v>
      </c>
      <c r="AK116" s="32"/>
      <c r="AL116" s="32"/>
      <c r="AM116" s="32"/>
      <c r="AN116" s="32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I116" s="90">
        <f>SUM(B116:E116)</f>
        <v>2628</v>
      </c>
      <c r="CJ116" s="21">
        <f>SUM(F116:I116)</f>
        <v>3092</v>
      </c>
      <c r="CK116" s="90">
        <f>SUM(J116:M116)</f>
        <v>3671</v>
      </c>
      <c r="CL116" s="90">
        <f>SUM(N116:Q116)</f>
        <v>4357</v>
      </c>
      <c r="CM116" s="21">
        <f>SUM(R116:U116)</f>
        <v>4675</v>
      </c>
      <c r="CN116" s="90">
        <f>SUM(V116:Y116)</f>
        <v>4791</v>
      </c>
      <c r="CO116" s="21">
        <f>SUM(Z116:AC116)</f>
        <v>4699</v>
      </c>
      <c r="CP116" s="90">
        <f>SUM(AD116:AG116)</f>
        <v>4946</v>
      </c>
      <c r="CQ116" s="45"/>
      <c r="CR116" s="108"/>
      <c r="CS116" s="45"/>
      <c r="CT116" s="108"/>
      <c r="CU116" s="45"/>
      <c r="CV116" s="108"/>
      <c r="CW116" s="45"/>
      <c r="CX116" s="108"/>
      <c r="CY116" s="108"/>
      <c r="CZ116" s="108"/>
      <c r="DA116" s="108"/>
      <c r="DB116" s="108"/>
      <c r="DC116" s="108"/>
    </row>
    <row r="117" spans="1:107" hidden="1" outlineLevel="1" x14ac:dyDescent="0.2">
      <c r="A117" s="8" t="s">
        <v>62</v>
      </c>
      <c r="B117" s="25" t="s">
        <v>82</v>
      </c>
      <c r="C117" s="22">
        <f t="shared" ref="C117" si="2098">IF(AND(B116&lt;0,C116&gt;0),"n/a",C116/B116-1)</f>
        <v>1.6949152542372836E-2</v>
      </c>
      <c r="D117" s="22">
        <f t="shared" ref="D117" si="2099">IF(AND(C116&lt;0,D116&gt;0),"n/a",D116/C116-1)</f>
        <v>0.1316666666666666</v>
      </c>
      <c r="E117" s="22">
        <f t="shared" ref="E117" si="2100">IF(AND(D116&lt;0,E116&gt;0),"n/a",E116/D116-1)</f>
        <v>0.11782032400589104</v>
      </c>
      <c r="F117" s="22">
        <f t="shared" ref="F117" si="2101">IF(AND(E116&lt;0,F116&gt;0),"n/a",F116/E116-1)</f>
        <v>-4.4795783926218746E-2</v>
      </c>
      <c r="G117" s="22">
        <f t="shared" ref="G117" si="2102">IF(AND(F116&lt;0,G116&gt;0),"n/a",G116/F116-1)</f>
        <v>2.7586206896552667E-3</v>
      </c>
      <c r="H117" s="22">
        <f t="shared" ref="H117" si="2103">IF(AND(G116&lt;0,H116&gt;0),"n/a",H116/G116-1)</f>
        <v>5.9147180192572257E-2</v>
      </c>
      <c r="I117" s="22">
        <f t="shared" ref="I117" si="2104">IF(AND(H116&lt;0,I116&gt;0),"n/a",I116/H116-1)</f>
        <v>0.12987012987012991</v>
      </c>
      <c r="J117" s="22">
        <f t="shared" ref="J117" si="2105">IF(AND(I116&lt;0,J116&gt;0),"n/a",J116/I116-1)</f>
        <v>2.2988505747125743E-3</v>
      </c>
      <c r="K117" s="22">
        <f t="shared" ref="K117" si="2106">IF(AND(J116&lt;0,K116&gt;0),"n/a",K116/J116-1)</f>
        <v>1.7201834862385246E-2</v>
      </c>
      <c r="L117" s="22">
        <f t="shared" ref="L117" si="2107">IF(AND(K116&lt;0,L116&gt;0),"n/a",L116/K116-1)</f>
        <v>3.1567080045095786E-2</v>
      </c>
      <c r="M117" s="22">
        <f t="shared" ref="M117" si="2108">IF(AND(L116&lt;0,M116&gt;0),"n/a",M116/L116-1)</f>
        <v>8.9617486338797736E-2</v>
      </c>
      <c r="N117" s="22">
        <f t="shared" ref="N117" si="2109">IF(AND(M116&lt;0,N116&gt;0),"n/a",N116/M116-1)</f>
        <v>0.11033099297893689</v>
      </c>
      <c r="O117" s="22">
        <f t="shared" ref="O117" si="2110">IF(AND(N116&lt;0,O116&gt;0),"n/a",O116/N116-1)</f>
        <v>-9.1237579042457106E-2</v>
      </c>
      <c r="P117" s="22">
        <f t="shared" ref="P117" si="2111">IF(AND(O116&lt;0,P116&gt;0),"n/a",P116/O116-1)</f>
        <v>5.3677932405566509E-2</v>
      </c>
      <c r="Q117" s="22">
        <f t="shared" ref="Q117" si="2112">IF(AND(P116&lt;0,Q116&gt;0),"n/a",Q116/P116-1)</f>
        <v>0.11698113207547167</v>
      </c>
      <c r="R117" s="22">
        <f t="shared" ref="R117" si="2113">IF(AND(Q116&lt;0,R116&gt;0),"n/a",R116/Q116-1)</f>
        <v>-3.5472972972973027E-2</v>
      </c>
      <c r="S117" s="22">
        <f t="shared" ref="S117" si="2114">IF(AND(R116&lt;0,S116&gt;0),"n/a",S116/R116-1)</f>
        <v>1.7513134851138368E-2</v>
      </c>
      <c r="T117" s="22">
        <f t="shared" ref="T117" si="2115">IF(AND(S116&lt;0,T116&gt;0),"n/a",T116/S116-1)</f>
        <v>-1.2908777969018903E-2</v>
      </c>
      <c r="U117" s="22">
        <f t="shared" ref="U117" si="2116">IF(AND(T116&lt;0,U116&gt;0),"n/a",U116/T116-1)</f>
        <v>6.7131647776809134E-2</v>
      </c>
      <c r="V117" s="22">
        <f t="shared" ref="V117" si="2117">IF(AND(U116&lt;0,V116&gt;0),"n/a",V116/U116-1)</f>
        <v>-6.5359477124182996E-2</v>
      </c>
      <c r="W117" s="22">
        <f t="shared" ref="W117" si="2118">IF(AND(V116&lt;0,W116&gt;0),"n/a",W116/V116-1)</f>
        <v>3.9335664335664378E-2</v>
      </c>
      <c r="X117" s="22">
        <f t="shared" ref="X117" si="2119">IF(AND(W116&lt;0,X116&gt;0),"n/a",X116/W116-1)</f>
        <v>-7.569386038687953E-3</v>
      </c>
      <c r="Y117" s="22">
        <f t="shared" ref="Y117" si="2120">IF(AND(X116&lt;0,Y116&gt;0),"n/a",Y116/X116-1)</f>
        <v>8.3050847457627031E-2</v>
      </c>
      <c r="Z117" s="22">
        <f t="shared" ref="Z117" si="2121">IF(AND(Y116&lt;0,Z116&gt;0),"n/a",Z116/Y116-1)</f>
        <v>-0.12284820031298904</v>
      </c>
      <c r="AA117" s="22">
        <f t="shared" ref="AA117" si="2122">IF(AND(Z116&lt;0,AA116&gt;0),"n/a",AA116/Z116-1)</f>
        <v>-8.9206066012492702E-4</v>
      </c>
      <c r="AB117" s="22">
        <f t="shared" ref="AB117" si="2123">IF(AND(AA116&lt;0,AB116&gt;0),"n/a",AB116/AA116-1)</f>
        <v>-9.8214285714285365E-3</v>
      </c>
      <c r="AC117" s="22">
        <f t="shared" ref="AC117" si="2124">IF(AND(AB116&lt;0,AC116&gt;0),"n/a",AC116/AB116-1)</f>
        <v>0.21641118124436431</v>
      </c>
      <c r="AD117" s="22">
        <f t="shared" ref="AD117" si="2125">IF(AND(AC116&lt;0,AD116&gt;0),"n/a",AD116/AC116-1)</f>
        <v>-0.1223128243143069</v>
      </c>
      <c r="AE117" s="22">
        <f t="shared" ref="AE117" si="2126">IF(AND(AD116&lt;0,AE116&gt;0),"n/a",AE116/AD116-1)</f>
        <v>1.7736486486486402E-2</v>
      </c>
      <c r="AF117" s="22">
        <f t="shared" ref="AF117" si="2127">IF(AND(AE116&lt;0,AF116&gt;0),"n/a",AF116/AE116-1)</f>
        <v>2.9875518672199064E-2</v>
      </c>
      <c r="AG117" s="22">
        <f t="shared" ref="AG117" si="2128">IF(AND(AF116&lt;0,AG116&gt;0),"n/a",AG116/AF116-1)</f>
        <v>6.0435132957292526E-2</v>
      </c>
      <c r="AH117" s="22">
        <f t="shared" ref="AH117" si="2129">IF(AND(AG116&lt;0,AH116&gt;0),"n/a",AH116/AG116-1)</f>
        <v>-4.4072948328267469E-2</v>
      </c>
      <c r="AI117" s="22">
        <f t="shared" ref="AI117" si="2130">IF(AND(AH116&lt;0,AI116&gt;0),"n/a",AI116/AH116-1)</f>
        <v>0.12400635930047699</v>
      </c>
      <c r="AJ117" s="22">
        <f t="shared" ref="AJ117" si="2131">IF(AND(AI116&lt;0,AJ116&gt;0),"n/a",AJ116/AI116-1)</f>
        <v>4.1725601131541667E-2</v>
      </c>
      <c r="AK117" s="30"/>
      <c r="AL117" s="30"/>
      <c r="AM117" s="30"/>
      <c r="AN117" s="30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I117" s="106" t="s">
        <v>82</v>
      </c>
      <c r="CJ117" s="48" t="s">
        <v>82</v>
      </c>
      <c r="CK117" s="106" t="s">
        <v>82</v>
      </c>
      <c r="CL117" s="106" t="s">
        <v>82</v>
      </c>
      <c r="CM117" s="48" t="s">
        <v>82</v>
      </c>
      <c r="CN117" s="106" t="s">
        <v>82</v>
      </c>
      <c r="CO117" s="48" t="s">
        <v>82</v>
      </c>
      <c r="CP117" s="106" t="s">
        <v>82</v>
      </c>
      <c r="CQ117" s="59"/>
      <c r="CR117" s="109"/>
      <c r="CS117" s="59"/>
      <c r="CT117" s="109"/>
      <c r="CU117" s="59"/>
      <c r="CV117" s="109"/>
      <c r="CW117" s="59"/>
      <c r="CX117" s="109"/>
      <c r="CY117" s="109"/>
      <c r="CZ117" s="109"/>
      <c r="DA117" s="109"/>
      <c r="DB117" s="109"/>
      <c r="DC117" s="109"/>
    </row>
    <row r="118" spans="1:107" hidden="1" outlineLevel="1" x14ac:dyDescent="0.2">
      <c r="A118" s="8" t="s">
        <v>63</v>
      </c>
      <c r="B118" s="25" t="s">
        <v>82</v>
      </c>
      <c r="C118" s="25" t="s">
        <v>82</v>
      </c>
      <c r="D118" s="25" t="s">
        <v>82</v>
      </c>
      <c r="E118" s="25" t="s">
        <v>82</v>
      </c>
      <c r="F118" s="22">
        <f t="shared" ref="F118" si="2132">IF(AND(B116&lt;0,F116&gt;0),"n/a",F116/B116-1)</f>
        <v>0.22881355932203395</v>
      </c>
      <c r="G118" s="22">
        <f t="shared" ref="G118" si="2133">IF(AND(C116&lt;0,G116&gt;0),"n/a",G116/C116-1)</f>
        <v>0.21166666666666667</v>
      </c>
      <c r="H118" s="22">
        <f t="shared" ref="H118" si="2134">IF(AND(D116&lt;0,H116&gt;0),"n/a",H116/D116-1)</f>
        <v>0.134020618556701</v>
      </c>
      <c r="I118" s="22">
        <f t="shared" ref="I118" si="2135">IF(AND(E116&lt;0,I116&gt;0),"n/a",I116/E116-1)</f>
        <v>0.14624505928853759</v>
      </c>
      <c r="J118" s="22">
        <f t="shared" ref="J118" si="2136">IF(AND(F116&lt;0,J116&gt;0),"n/a",J116/F116-1)</f>
        <v>0.20275862068965522</v>
      </c>
      <c r="K118" s="22">
        <f t="shared" ref="K118" si="2137">IF(AND(G116&lt;0,K116&gt;0),"n/a",K116/G116-1)</f>
        <v>0.2200825309491059</v>
      </c>
      <c r="L118" s="22">
        <f t="shared" ref="L118" si="2138">IF(AND(H116&lt;0,L116&gt;0),"n/a",L116/H116-1)</f>
        <v>0.18831168831168821</v>
      </c>
      <c r="M118" s="22">
        <f t="shared" ref="M118" si="2139">IF(AND(I116&lt;0,M116&gt;0),"n/a",M116/I116-1)</f>
        <v>0.14597701149425291</v>
      </c>
      <c r="N118" s="22">
        <f t="shared" ref="N118" si="2140">IF(AND(J116&lt;0,N116&gt;0),"n/a",N116/J116-1)</f>
        <v>0.26949541284403677</v>
      </c>
      <c r="O118" s="22">
        <f t="shared" ref="O118" si="2141">IF(AND(K116&lt;0,O116&gt;0),"n/a",O116/K116-1)</f>
        <v>0.13416009019165731</v>
      </c>
      <c r="P118" s="22">
        <f t="shared" ref="P118" si="2142">IF(AND(L116&lt;0,P116&gt;0),"n/a",P116/L116-1)</f>
        <v>0.15846994535519121</v>
      </c>
      <c r="Q118" s="22">
        <f t="shared" ref="Q118" si="2143">IF(AND(M116&lt;0,Q116&gt;0),"n/a",Q116/M116-1)</f>
        <v>0.18756268806419252</v>
      </c>
      <c r="R118" s="22">
        <f t="shared" ref="R118" si="2144">IF(AND(N116&lt;0,R116&gt;0),"n/a",R116/N116-1)</f>
        <v>3.1616982836494945E-2</v>
      </c>
      <c r="S118" s="22">
        <f t="shared" ref="S118" si="2145">IF(AND(O116&lt;0,S116&gt;0),"n/a",S116/O116-1)</f>
        <v>0.15506958250497016</v>
      </c>
      <c r="T118" s="22">
        <f t="shared" ref="T118" si="2146">IF(AND(P116&lt;0,T116&gt;0),"n/a",T116/P116-1)</f>
        <v>8.2075471698113134E-2</v>
      </c>
      <c r="U118" s="22">
        <f t="shared" ref="U118" si="2147">IF(AND(Q116&lt;0,U116&gt;0),"n/a",U116/Q116-1)</f>
        <v>3.3783783783783772E-2</v>
      </c>
      <c r="V118" s="22">
        <f t="shared" ref="V118" si="2148">IF(AND(R116&lt;0,V116&gt;0),"n/a",V116/R116-1)</f>
        <v>1.7513134851139256E-3</v>
      </c>
      <c r="W118" s="22">
        <f t="shared" ref="W118" si="2149">IF(AND(S116&lt;0,W116&gt;0),"n/a",W116/S116-1)</f>
        <v>2.3235800344234114E-2</v>
      </c>
      <c r="X118" s="22">
        <f t="shared" ref="X118" si="2150">IF(AND(T116&lt;0,X116&gt;0),"n/a",X116/T116-1)</f>
        <v>2.8770706190061057E-2</v>
      </c>
      <c r="Y118" s="22">
        <f t="shared" ref="Y118" si="2151">IF(AND(U116&lt;0,Y116&gt;0),"n/a",Y116/U116-1)</f>
        <v>4.4117647058823595E-2</v>
      </c>
      <c r="Z118" s="22">
        <f t="shared" ref="Z118" si="2152">IF(AND(V116&lt;0,Z116&gt;0),"n/a",Z116/V116-1)</f>
        <v>-2.0104895104895104E-2</v>
      </c>
      <c r="AA118" s="22">
        <f t="shared" ref="AA118" si="2153">IF(AND(W116&lt;0,AA116&gt;0),"n/a",AA116/W116-1)</f>
        <v>-5.8031959629941121E-2</v>
      </c>
      <c r="AB118" s="22">
        <f t="shared" ref="AB118" si="2154">IF(AND(X116&lt;0,AB116&gt;0),"n/a",AB116/X116-1)</f>
        <v>-6.0169491525423724E-2</v>
      </c>
      <c r="AC118" s="22">
        <f t="shared" ref="AC118" si="2155">IF(AND(Y116&lt;0,AC116&gt;0),"n/a",AC116/Y116-1)</f>
        <v>5.555555555555558E-2</v>
      </c>
      <c r="AD118" s="22">
        <f t="shared" ref="AD118" si="2156">IF(AND(Z116&lt;0,AD116&gt;0),"n/a",AD116/Z116-1)</f>
        <v>5.6199821587868071E-2</v>
      </c>
      <c r="AE118" s="22">
        <f t="shared" ref="AE118" si="2157">IF(AND(AA116&lt;0,AE116&gt;0),"n/a",AE116/AA116-1)</f>
        <v>7.5892857142857206E-2</v>
      </c>
      <c r="AF118" s="22">
        <f t="shared" ref="AF118" si="2158">IF(AND(AB116&lt;0,AF116&gt;0),"n/a",AF116/AB116-1)</f>
        <v>0.11902614968440028</v>
      </c>
      <c r="AG118" s="22">
        <f t="shared" ref="AG118" si="2159">IF(AND(AC116&lt;0,AG116&gt;0),"n/a",AG116/AC116-1)</f>
        <v>-2.4462564862861358E-2</v>
      </c>
      <c r="AH118" s="22">
        <f t="shared" ref="AH118" si="2160">IF(AND(AD116&lt;0,AH116&gt;0),"n/a",AH116/AD116-1)</f>
        <v>6.25E-2</v>
      </c>
      <c r="AI118" s="22">
        <f t="shared" ref="AI118" si="2161">IF(AND(AE116&lt;0,AI116&gt;0),"n/a",AI116/AE116-1)</f>
        <v>0.17344398340248968</v>
      </c>
      <c r="AJ118" s="22">
        <f t="shared" ref="AJ118" si="2162">IF(AND(AF116&lt;0,AJ116&gt;0),"n/a",AJ116/AF116-1)</f>
        <v>0.1869460112812249</v>
      </c>
      <c r="AK118" s="30"/>
      <c r="AL118" s="30"/>
      <c r="AM118" s="30"/>
      <c r="AN118" s="30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I118" s="106" t="s">
        <v>82</v>
      </c>
      <c r="CJ118" s="22">
        <f>IF(AND(CI116&lt;0,CJ116&gt;0),"n/a",CJ116/CI116-1)</f>
        <v>0.17656012176560121</v>
      </c>
      <c r="CK118" s="107">
        <f t="shared" ref="CK118" si="2163">IF(AND(CJ116&lt;0,CK116&gt;0),"n/a",CK116/CJ116-1)</f>
        <v>0.18725743855109966</v>
      </c>
      <c r="CL118" s="107">
        <f t="shared" ref="CL118" si="2164">IF(AND(CK116&lt;0,CL116&gt;0),"n/a",CL116/CK116-1)</f>
        <v>0.18687006265322803</v>
      </c>
      <c r="CM118" s="22">
        <f t="shared" ref="CM118" si="2165">IF(AND(CL116&lt;0,CM116&gt;0),"n/a",CM116/CL116-1)</f>
        <v>7.2985999540968516E-2</v>
      </c>
      <c r="CN118" s="107">
        <f t="shared" ref="CN118" si="2166">IF(AND(CM116&lt;0,CN116&gt;0),"n/a",CN116/CM116-1)</f>
        <v>2.4812834224599012E-2</v>
      </c>
      <c r="CO118" s="22">
        <f t="shared" ref="CO118" si="2167">IF(AND(CN116&lt;0,CO116&gt;0),"n/a",CO116/CN116-1)</f>
        <v>-1.9202671676059269E-2</v>
      </c>
      <c r="CP118" s="107">
        <f t="shared" ref="CP118" si="2168">IF(AND(CO116&lt;0,CP116&gt;0),"n/a",CP116/CO116-1)</f>
        <v>5.2564375399021035E-2</v>
      </c>
      <c r="CQ118" s="30"/>
      <c r="CR118" s="110"/>
      <c r="CS118" s="30"/>
      <c r="CT118" s="110"/>
      <c r="CU118" s="30"/>
      <c r="CV118" s="110"/>
      <c r="CW118" s="30"/>
      <c r="CX118" s="110"/>
      <c r="CY118" s="110"/>
      <c r="CZ118" s="110"/>
      <c r="DA118" s="110"/>
      <c r="DB118" s="110"/>
      <c r="DC118" s="110"/>
    </row>
    <row r="119" spans="1:107" hidden="1" outlineLevel="1" x14ac:dyDescent="0.2">
      <c r="A119" s="8" t="s">
        <v>81</v>
      </c>
      <c r="B119" s="25">
        <f>B116/B$80</f>
        <v>0.11650868878357031</v>
      </c>
      <c r="C119" s="25">
        <f t="shared" ref="C119:AJ119" si="2169">C116/C$80</f>
        <v>0.11792452830188679</v>
      </c>
      <c r="D119" s="25">
        <f t="shared" si="2169"/>
        <v>0.12388250319284802</v>
      </c>
      <c r="E119" s="25">
        <f t="shared" si="2169"/>
        <v>0.11913357400722022</v>
      </c>
      <c r="F119" s="25">
        <f t="shared" si="2169"/>
        <v>0.11092411260709914</v>
      </c>
      <c r="G119" s="25">
        <f t="shared" si="2169"/>
        <v>0.1051489730980619</v>
      </c>
      <c r="H119" s="25">
        <f t="shared" si="2169"/>
        <v>0.10250266240681576</v>
      </c>
      <c r="I119" s="25">
        <f t="shared" si="2169"/>
        <v>0.10698475159862272</v>
      </c>
      <c r="J119" s="25">
        <f t="shared" si="2169"/>
        <v>0.10717797443461161</v>
      </c>
      <c r="K119" s="25">
        <f t="shared" si="2169"/>
        <v>0.10608778854204043</v>
      </c>
      <c r="L119" s="25">
        <f t="shared" si="2169"/>
        <v>0.10454753199268739</v>
      </c>
      <c r="M119" s="25">
        <f t="shared" si="2169"/>
        <v>0.10140358014646053</v>
      </c>
      <c r="N119" s="25">
        <f t="shared" si="2169"/>
        <v>0.11087740384615384</v>
      </c>
      <c r="O119" s="25">
        <f t="shared" si="2169"/>
        <v>9.9692795560400352E-2</v>
      </c>
      <c r="P119" s="25">
        <f t="shared" si="2169"/>
        <v>9.834848766004825E-2</v>
      </c>
      <c r="Q119" s="25">
        <f t="shared" si="2169"/>
        <v>9.5422308188265637E-2</v>
      </c>
      <c r="R119" s="25">
        <f t="shared" si="2169"/>
        <v>9.3691032898515061E-2</v>
      </c>
      <c r="S119" s="25">
        <f t="shared" si="2169"/>
        <v>9.1777900639759893E-2</v>
      </c>
      <c r="T119" s="25">
        <f t="shared" si="2169"/>
        <v>8.7058823529411758E-2</v>
      </c>
      <c r="U119" s="25">
        <f t="shared" si="2169"/>
        <v>8.5159674389480272E-2</v>
      </c>
      <c r="V119" s="25">
        <f t="shared" si="2169"/>
        <v>8.270078797079447E-2</v>
      </c>
      <c r="W119" s="25">
        <f t="shared" si="2169"/>
        <v>8.3286634911739987E-2</v>
      </c>
      <c r="X119" s="25">
        <f t="shared" si="2169"/>
        <v>7.8840114919489543E-2</v>
      </c>
      <c r="Y119" s="25">
        <f t="shared" si="2169"/>
        <v>7.4636453892425389E-2</v>
      </c>
      <c r="Z119" s="25">
        <f t="shared" si="2169"/>
        <v>6.876035085567074E-2</v>
      </c>
      <c r="AA119" s="25">
        <f t="shared" si="2169"/>
        <v>6.4590542099192613E-2</v>
      </c>
      <c r="AB119" s="25">
        <f t="shared" si="2169"/>
        <v>6.1365648517042938E-2</v>
      </c>
      <c r="AC119" s="25">
        <f t="shared" si="2169"/>
        <v>6.4379116159205885E-2</v>
      </c>
      <c r="AD119" s="25">
        <f t="shared" si="2169"/>
        <v>5.9232577917854821E-2</v>
      </c>
      <c r="AE119" s="25">
        <f t="shared" si="2169"/>
        <v>5.7871482086254922E-2</v>
      </c>
      <c r="AF119" s="25">
        <f t="shared" si="2169"/>
        <v>5.6019500744820115E-2</v>
      </c>
      <c r="AG119" s="25">
        <f t="shared" si="2169"/>
        <v>5.11226788905291E-2</v>
      </c>
      <c r="AH119" s="25">
        <f t="shared" si="2169"/>
        <v>5.0914683503318764E-2</v>
      </c>
      <c r="AI119" s="25">
        <f t="shared" si="2169"/>
        <v>5.4192856047830751E-2</v>
      </c>
      <c r="AJ119" s="25">
        <f t="shared" si="2169"/>
        <v>5.4531319413593959E-2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I119" s="107">
        <f>CI116/CI$80</f>
        <v>0.11943283039447374</v>
      </c>
      <c r="CJ119" s="22">
        <f t="shared" ref="CJ119:CP119" si="2170">CJ116/CJ$80</f>
        <v>0.10627620815288376</v>
      </c>
      <c r="CK119" s="107">
        <f t="shared" si="2170"/>
        <v>0.10464353923776404</v>
      </c>
      <c r="CL119" s="107">
        <f t="shared" si="2170"/>
        <v>0.10071426920320843</v>
      </c>
      <c r="CM119" s="22">
        <f t="shared" si="2170"/>
        <v>8.9220962632161532E-2</v>
      </c>
      <c r="CN119" s="107">
        <f t="shared" si="2170"/>
        <v>7.9586039635209882E-2</v>
      </c>
      <c r="CO119" s="22">
        <f t="shared" si="2170"/>
        <v>6.4663061277848877E-2</v>
      </c>
      <c r="CP119" s="107">
        <f t="shared" si="2170"/>
        <v>5.5757220481139944E-2</v>
      </c>
      <c r="CQ119" s="19"/>
      <c r="CR119" s="112"/>
      <c r="CS119" s="19"/>
      <c r="CT119" s="112"/>
      <c r="CU119" s="19"/>
      <c r="CV119" s="112"/>
      <c r="CW119" s="19"/>
      <c r="CX119" s="112"/>
      <c r="CY119" s="112"/>
      <c r="CZ119" s="112"/>
      <c r="DA119" s="112"/>
      <c r="DB119" s="112"/>
      <c r="DC119" s="112"/>
    </row>
    <row r="120" spans="1:107" hidden="1" outlineLevel="1" x14ac:dyDescent="0.2">
      <c r="CI120" s="92"/>
      <c r="CK120" s="92"/>
      <c r="CL120" s="92"/>
      <c r="CN120" s="92"/>
      <c r="CP120" s="92"/>
      <c r="CR120" s="92"/>
      <c r="CT120" s="92"/>
      <c r="CV120" s="92"/>
      <c r="CX120" s="92"/>
      <c r="CY120" s="92"/>
      <c r="CZ120" s="92"/>
      <c r="DA120" s="92"/>
      <c r="DB120" s="92"/>
      <c r="DC120" s="92"/>
    </row>
    <row r="121" spans="1:107" hidden="1" outlineLevel="1" x14ac:dyDescent="0.2">
      <c r="A121" s="9" t="s">
        <v>92</v>
      </c>
      <c r="B121" s="17">
        <v>300</v>
      </c>
      <c r="C121" s="17">
        <v>258</v>
      </c>
      <c r="D121" s="17">
        <v>254</v>
      </c>
      <c r="E121" s="17">
        <v>273</v>
      </c>
      <c r="F121" s="17">
        <v>269</v>
      </c>
      <c r="G121" s="17">
        <v>310</v>
      </c>
      <c r="H121" s="17">
        <v>385</v>
      </c>
      <c r="I121" s="17">
        <v>410</v>
      </c>
      <c r="J121" s="17">
        <v>420</v>
      </c>
      <c r="K121" s="17">
        <v>439</v>
      </c>
      <c r="L121" s="17">
        <v>666</v>
      </c>
      <c r="M121" s="17">
        <v>829</v>
      </c>
      <c r="N121" s="17">
        <v>920</v>
      </c>
      <c r="O121" s="17">
        <v>926</v>
      </c>
      <c r="P121" s="17">
        <v>1100</v>
      </c>
      <c r="Q121" s="17">
        <v>1501</v>
      </c>
      <c r="R121" s="17">
        <v>1423</v>
      </c>
      <c r="S121" s="17">
        <v>1457</v>
      </c>
      <c r="T121" s="17">
        <v>1703</v>
      </c>
      <c r="U121" s="17">
        <v>1688</v>
      </c>
      <c r="V121" s="17">
        <v>1670</v>
      </c>
      <c r="W121" s="17">
        <v>1630</v>
      </c>
      <c r="X121" s="17">
        <v>1752</v>
      </c>
      <c r="Y121" s="17">
        <v>2100</v>
      </c>
      <c r="Z121" s="17">
        <v>2071</v>
      </c>
      <c r="AA121" s="17">
        <v>2172</v>
      </c>
      <c r="AB121" s="17">
        <v>2433</v>
      </c>
      <c r="AC121" s="17">
        <v>3403</v>
      </c>
      <c r="AD121" s="17">
        <v>3207</v>
      </c>
      <c r="AE121" s="17">
        <v>3241</v>
      </c>
      <c r="AF121" s="17">
        <v>3590</v>
      </c>
      <c r="AG121" s="17">
        <v>4965</v>
      </c>
      <c r="AH121" s="17">
        <v>4354</v>
      </c>
      <c r="AI121" s="17">
        <v>4425</v>
      </c>
      <c r="AJ121" s="17">
        <v>4640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I121" s="90">
        <f>SUM(B121:E121)</f>
        <v>1085</v>
      </c>
      <c r="CJ121" s="21">
        <f>SUM(F121:I121)</f>
        <v>1374</v>
      </c>
      <c r="CK121" s="90">
        <f>SUM(J121:M121)</f>
        <v>2354</v>
      </c>
      <c r="CL121" s="90">
        <f>SUM(N121:Q121)</f>
        <v>4447</v>
      </c>
      <c r="CM121" s="21">
        <f>SUM(R121:U121)</f>
        <v>6271</v>
      </c>
      <c r="CN121" s="90">
        <f>SUM(V121:Y121)</f>
        <v>7152</v>
      </c>
      <c r="CO121" s="21">
        <f>SUM(Z121:AC121)</f>
        <v>10079</v>
      </c>
      <c r="CP121" s="90">
        <f>SUM(AD121:AG121)</f>
        <v>15003</v>
      </c>
      <c r="CQ121" s="45"/>
      <c r="CR121" s="108"/>
      <c r="CS121" s="45"/>
      <c r="CT121" s="108"/>
      <c r="CU121" s="45"/>
      <c r="CV121" s="108"/>
      <c r="CW121" s="45"/>
      <c r="CX121" s="108"/>
      <c r="CY121" s="108"/>
      <c r="CZ121" s="108"/>
      <c r="DA121" s="108"/>
      <c r="DB121" s="108"/>
      <c r="DC121" s="108"/>
    </row>
    <row r="122" spans="1:107" hidden="1" outlineLevel="1" x14ac:dyDescent="0.2">
      <c r="A122" s="8" t="s">
        <v>62</v>
      </c>
      <c r="B122" s="25" t="s">
        <v>82</v>
      </c>
      <c r="C122" s="22">
        <f t="shared" ref="C122" si="2171">IF(AND(B121&lt;0,C121&gt;0),"n/a",C121/B121-1)</f>
        <v>-0.14000000000000001</v>
      </c>
      <c r="D122" s="22">
        <f t="shared" ref="D122" si="2172">IF(AND(C121&lt;0,D121&gt;0),"n/a",D121/C121-1)</f>
        <v>-1.5503875968992276E-2</v>
      </c>
      <c r="E122" s="22">
        <f t="shared" ref="E122" si="2173">IF(AND(D121&lt;0,E121&gt;0),"n/a",E121/D121-1)</f>
        <v>7.4803149606299302E-2</v>
      </c>
      <c r="F122" s="22">
        <f t="shared" ref="F122" si="2174">IF(AND(E121&lt;0,F121&gt;0),"n/a",F121/E121-1)</f>
        <v>-1.46520146520146E-2</v>
      </c>
      <c r="G122" s="22">
        <f t="shared" ref="G122" si="2175">IF(AND(F121&lt;0,G121&gt;0),"n/a",G121/F121-1)</f>
        <v>0.15241635687732336</v>
      </c>
      <c r="H122" s="22">
        <f t="shared" ref="H122" si="2176">IF(AND(G121&lt;0,H121&gt;0),"n/a",H121/G121-1)</f>
        <v>0.24193548387096775</v>
      </c>
      <c r="I122" s="22">
        <f t="shared" ref="I122" si="2177">IF(AND(H121&lt;0,I121&gt;0),"n/a",I121/H121-1)</f>
        <v>6.4935064935064846E-2</v>
      </c>
      <c r="J122" s="22">
        <f t="shared" ref="J122" si="2178">IF(AND(I121&lt;0,J121&gt;0),"n/a",J121/I121-1)</f>
        <v>2.4390243902439046E-2</v>
      </c>
      <c r="K122" s="22">
        <f t="shared" ref="K122" si="2179">IF(AND(J121&lt;0,K121&gt;0),"n/a",K121/J121-1)</f>
        <v>4.5238095238095299E-2</v>
      </c>
      <c r="L122" s="22">
        <f t="shared" ref="L122" si="2180">IF(AND(K121&lt;0,L121&gt;0),"n/a",L121/K121-1)</f>
        <v>0.51708428246013671</v>
      </c>
      <c r="M122" s="22">
        <f t="shared" ref="M122" si="2181">IF(AND(L121&lt;0,M121&gt;0),"n/a",M121/L121-1)</f>
        <v>0.24474474474474484</v>
      </c>
      <c r="N122" s="22">
        <f t="shared" ref="N122" si="2182">IF(AND(M121&lt;0,N121&gt;0),"n/a",N121/M121-1)</f>
        <v>0.10977080820265384</v>
      </c>
      <c r="O122" s="22">
        <f t="shared" ref="O122" si="2183">IF(AND(N121&lt;0,O121&gt;0),"n/a",O121/N121-1)</f>
        <v>6.521739130434856E-3</v>
      </c>
      <c r="P122" s="22">
        <f t="shared" ref="P122" si="2184">IF(AND(O121&lt;0,P121&gt;0),"n/a",P121/O121-1)</f>
        <v>0.1879049676025919</v>
      </c>
      <c r="Q122" s="22">
        <f t="shared" ref="Q122" si="2185">IF(AND(P121&lt;0,Q121&gt;0),"n/a",Q121/P121-1)</f>
        <v>0.36454545454545451</v>
      </c>
      <c r="R122" s="22">
        <f t="shared" ref="R122" si="2186">IF(AND(Q121&lt;0,R121&gt;0),"n/a",R121/Q121-1)</f>
        <v>-5.1965356429047316E-2</v>
      </c>
      <c r="S122" s="22">
        <f t="shared" ref="S122" si="2187">IF(AND(R121&lt;0,S121&gt;0),"n/a",S121/R121-1)</f>
        <v>2.3893183415319763E-2</v>
      </c>
      <c r="T122" s="22">
        <f t="shared" ref="T122" si="2188">IF(AND(S121&lt;0,T121&gt;0),"n/a",T121/S121-1)</f>
        <v>0.16884008236101589</v>
      </c>
      <c r="U122" s="22">
        <f t="shared" ref="U122" si="2189">IF(AND(T121&lt;0,U121&gt;0),"n/a",U121/T121-1)</f>
        <v>-8.8079859072225375E-3</v>
      </c>
      <c r="V122" s="22">
        <f t="shared" ref="V122" si="2190">IF(AND(U121&lt;0,V121&gt;0),"n/a",V121/U121-1)</f>
        <v>-1.0663507109004766E-2</v>
      </c>
      <c r="W122" s="22">
        <f t="shared" ref="W122" si="2191">IF(AND(V121&lt;0,W121&gt;0),"n/a",W121/V121-1)</f>
        <v>-2.39520958083832E-2</v>
      </c>
      <c r="X122" s="22">
        <f t="shared" ref="X122" si="2192">IF(AND(W121&lt;0,X121&gt;0),"n/a",X121/W121-1)</f>
        <v>7.4846625766871178E-2</v>
      </c>
      <c r="Y122" s="22">
        <f t="shared" ref="Y122" si="2193">IF(AND(X121&lt;0,Y121&gt;0),"n/a",Y121/X121-1)</f>
        <v>0.19863013698630128</v>
      </c>
      <c r="Z122" s="22">
        <f t="shared" ref="Z122" si="2194">IF(AND(Y121&lt;0,Z121&gt;0),"n/a",Z121/Y121-1)</f>
        <v>-1.3809523809523827E-2</v>
      </c>
      <c r="AA122" s="22">
        <f t="shared" ref="AA122" si="2195">IF(AND(Z121&lt;0,AA121&gt;0),"n/a",AA121/Z121-1)</f>
        <v>4.8768710767745027E-2</v>
      </c>
      <c r="AB122" s="22">
        <f t="shared" ref="AB122" si="2196">IF(AND(AA121&lt;0,AB121&gt;0),"n/a",AB121/AA121-1)</f>
        <v>0.12016574585635365</v>
      </c>
      <c r="AC122" s="22">
        <f t="shared" ref="AC122" si="2197">IF(AND(AB121&lt;0,AC121&gt;0),"n/a",AC121/AB121-1)</f>
        <v>0.39868475133579939</v>
      </c>
      <c r="AD122" s="22">
        <f t="shared" ref="AD122" si="2198">IF(AND(AC121&lt;0,AD121&gt;0),"n/a",AD121/AC121-1)</f>
        <v>-5.7596238612988571E-2</v>
      </c>
      <c r="AE122" s="22">
        <f t="shared" ref="AE122" si="2199">IF(AND(AD121&lt;0,AE121&gt;0),"n/a",AE121/AD121-1)</f>
        <v>1.0601808543810431E-2</v>
      </c>
      <c r="AF122" s="22">
        <f t="shared" ref="AF122" si="2200">IF(AND(AE121&lt;0,AF121&gt;0),"n/a",AF121/AE121-1)</f>
        <v>0.10768281394631285</v>
      </c>
      <c r="AG122" s="22">
        <f t="shared" ref="AG122" si="2201">IF(AND(AF121&lt;0,AG121&gt;0),"n/a",AG121/AF121-1)</f>
        <v>0.38300835654596099</v>
      </c>
      <c r="AH122" s="22">
        <f t="shared" ref="AH122" si="2202">IF(AND(AG121&lt;0,AH121&gt;0),"n/a",AH121/AG121-1)</f>
        <v>-0.12306143001007053</v>
      </c>
      <c r="AI122" s="22">
        <f t="shared" ref="AI122" si="2203">IF(AND(AH121&lt;0,AI121&gt;0),"n/a",AI121/AH121-1)</f>
        <v>1.6306844281120725E-2</v>
      </c>
      <c r="AJ122" s="22">
        <f t="shared" ref="AJ122" si="2204">IF(AND(AI121&lt;0,AJ121&gt;0),"n/a",AJ121/AI121-1)</f>
        <v>4.8587570621468901E-2</v>
      </c>
      <c r="AK122" s="30"/>
      <c r="AL122" s="30"/>
      <c r="AM122" s="30"/>
      <c r="AN122" s="30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I122" s="106" t="s">
        <v>82</v>
      </c>
      <c r="CJ122" s="48" t="s">
        <v>82</v>
      </c>
      <c r="CK122" s="106" t="s">
        <v>82</v>
      </c>
      <c r="CL122" s="106" t="s">
        <v>82</v>
      </c>
      <c r="CM122" s="48" t="s">
        <v>82</v>
      </c>
      <c r="CN122" s="106" t="s">
        <v>82</v>
      </c>
      <c r="CO122" s="48" t="s">
        <v>82</v>
      </c>
      <c r="CP122" s="106" t="s">
        <v>82</v>
      </c>
      <c r="CQ122" s="59"/>
      <c r="CR122" s="109"/>
      <c r="CS122" s="59"/>
      <c r="CT122" s="109"/>
      <c r="CU122" s="59"/>
      <c r="CV122" s="109"/>
      <c r="CW122" s="59"/>
      <c r="CX122" s="109"/>
      <c r="CY122" s="109"/>
      <c r="CZ122" s="109"/>
      <c r="DA122" s="109"/>
      <c r="DB122" s="109"/>
      <c r="DC122" s="109"/>
    </row>
    <row r="123" spans="1:107" hidden="1" outlineLevel="1" x14ac:dyDescent="0.2">
      <c r="A123" s="8" t="s">
        <v>63</v>
      </c>
      <c r="B123" s="25" t="s">
        <v>82</v>
      </c>
      <c r="C123" s="25" t="s">
        <v>82</v>
      </c>
      <c r="D123" s="25" t="s">
        <v>82</v>
      </c>
      <c r="E123" s="25" t="s">
        <v>82</v>
      </c>
      <c r="F123" s="22">
        <f t="shared" ref="F123" si="2205">IF(AND(B121&lt;0,F121&gt;0),"n/a",F121/B121-1)</f>
        <v>-0.10333333333333339</v>
      </c>
      <c r="G123" s="22">
        <f t="shared" ref="G123" si="2206">IF(AND(C121&lt;0,G121&gt;0),"n/a",G121/C121-1)</f>
        <v>0.20155038759689914</v>
      </c>
      <c r="H123" s="22">
        <f t="shared" ref="H123" si="2207">IF(AND(D121&lt;0,H121&gt;0),"n/a",H121/D121-1)</f>
        <v>0.51574803149606296</v>
      </c>
      <c r="I123" s="22">
        <f t="shared" ref="I123" si="2208">IF(AND(E121&lt;0,I121&gt;0),"n/a",I121/E121-1)</f>
        <v>0.50183150183150182</v>
      </c>
      <c r="J123" s="22">
        <f t="shared" ref="J123" si="2209">IF(AND(F121&lt;0,J121&gt;0),"n/a",J121/F121-1)</f>
        <v>0.5613382899628252</v>
      </c>
      <c r="K123" s="22">
        <f t="shared" ref="K123" si="2210">IF(AND(G121&lt;0,K121&gt;0),"n/a",K121/G121-1)</f>
        <v>0.41612903225806441</v>
      </c>
      <c r="L123" s="22">
        <f t="shared" ref="L123" si="2211">IF(AND(H121&lt;0,L121&gt;0),"n/a",L121/H121-1)</f>
        <v>0.72987012987012978</v>
      </c>
      <c r="M123" s="22">
        <f t="shared" ref="M123" si="2212">IF(AND(I121&lt;0,M121&gt;0),"n/a",M121/I121-1)</f>
        <v>1.0219512195121951</v>
      </c>
      <c r="N123" s="22">
        <f t="shared" ref="N123" si="2213">IF(AND(J121&lt;0,N121&gt;0),"n/a",N121/J121-1)</f>
        <v>1.1904761904761907</v>
      </c>
      <c r="O123" s="22">
        <f t="shared" ref="O123" si="2214">IF(AND(K121&lt;0,O121&gt;0),"n/a",O121/K121-1)</f>
        <v>1.1093394077448746</v>
      </c>
      <c r="P123" s="22">
        <f t="shared" ref="P123" si="2215">IF(AND(L121&lt;0,P121&gt;0),"n/a",P121/L121-1)</f>
        <v>0.65165165165165173</v>
      </c>
      <c r="Q123" s="22">
        <f t="shared" ref="Q123" si="2216">IF(AND(M121&lt;0,Q121&gt;0),"n/a",Q121/M121-1)</f>
        <v>0.81061519903498191</v>
      </c>
      <c r="R123" s="22">
        <f t="shared" ref="R123" si="2217">IF(AND(N121&lt;0,R121&gt;0),"n/a",R121/N121-1)</f>
        <v>0.54673913043478262</v>
      </c>
      <c r="S123" s="22">
        <f t="shared" ref="S123" si="2218">IF(AND(O121&lt;0,S121&gt;0),"n/a",S121/O121-1)</f>
        <v>0.57343412526997839</v>
      </c>
      <c r="T123" s="22">
        <f t="shared" ref="T123" si="2219">IF(AND(P121&lt;0,T121&gt;0),"n/a",T121/P121-1)</f>
        <v>0.5481818181818181</v>
      </c>
      <c r="U123" s="22">
        <f t="shared" ref="U123" si="2220">IF(AND(Q121&lt;0,U121&gt;0),"n/a",U121/Q121-1)</f>
        <v>0.12458361092604919</v>
      </c>
      <c r="V123" s="22">
        <f t="shared" ref="V123" si="2221">IF(AND(R121&lt;0,V121&gt;0),"n/a",V121/R121-1)</f>
        <v>0.17357695010541119</v>
      </c>
      <c r="W123" s="22">
        <f t="shared" ref="W123" si="2222">IF(AND(S121&lt;0,W121&gt;0),"n/a",W121/S121-1)</f>
        <v>0.11873713109128348</v>
      </c>
      <c r="X123" s="22">
        <f t="shared" ref="X123" si="2223">IF(AND(T121&lt;0,X121&gt;0),"n/a",X121/T121-1)</f>
        <v>2.8772753963593578E-2</v>
      </c>
      <c r="Y123" s="22">
        <f t="shared" ref="Y123" si="2224">IF(AND(U121&lt;0,Y121&gt;0),"n/a",Y121/U121-1)</f>
        <v>0.24407582938388628</v>
      </c>
      <c r="Z123" s="22">
        <f t="shared" ref="Z123" si="2225">IF(AND(V121&lt;0,Z121&gt;0),"n/a",Z121/V121-1)</f>
        <v>0.24011976047904193</v>
      </c>
      <c r="AA123" s="22">
        <f t="shared" ref="AA123" si="2226">IF(AND(W121&lt;0,AA121&gt;0),"n/a",AA121/W121-1)</f>
        <v>0.33251533742331296</v>
      </c>
      <c r="AB123" s="22">
        <f t="shared" ref="AB123" si="2227">IF(AND(X121&lt;0,AB121&gt;0),"n/a",AB121/X121-1)</f>
        <v>0.38869863013698636</v>
      </c>
      <c r="AC123" s="22">
        <f t="shared" ref="AC123" si="2228">IF(AND(Y121&lt;0,AC121&gt;0),"n/a",AC121/Y121-1)</f>
        <v>0.6204761904761904</v>
      </c>
      <c r="AD123" s="22">
        <f t="shared" ref="AD123" si="2229">IF(AND(Z121&lt;0,AD121&gt;0),"n/a",AD121/Z121-1)</f>
        <v>0.54852728150651853</v>
      </c>
      <c r="AE123" s="22">
        <f t="shared" ref="AE123" si="2230">IF(AND(AA121&lt;0,AE121&gt;0),"n/a",AE121/AA121-1)</f>
        <v>0.49217311233885819</v>
      </c>
      <c r="AF123" s="22">
        <f t="shared" ref="AF123" si="2231">IF(AND(AB121&lt;0,AF121&gt;0),"n/a",AF121/AB121-1)</f>
        <v>0.47554459515002057</v>
      </c>
      <c r="AG123" s="22">
        <f t="shared" ref="AG123" si="2232">IF(AND(AC121&lt;0,AG121&gt;0),"n/a",AG121/AC121-1)</f>
        <v>0.45900675874228614</v>
      </c>
      <c r="AH123" s="22">
        <f t="shared" ref="AH123" si="2233">IF(AND(AD121&lt;0,AH121&gt;0),"n/a",AH121/AD121-1)</f>
        <v>0.3576551294044279</v>
      </c>
      <c r="AI123" s="22">
        <f t="shared" ref="AI123" si="2234">IF(AND(AE121&lt;0,AI121&gt;0),"n/a",AI121/AE121-1)</f>
        <v>0.36531934588090098</v>
      </c>
      <c r="AJ123" s="22">
        <f t="shared" ref="AJ123" si="2235">IF(AND(AF121&lt;0,AJ121&gt;0),"n/a",AJ121/AF121-1)</f>
        <v>0.29247910863509752</v>
      </c>
      <c r="AK123" s="30"/>
      <c r="AL123" s="30"/>
      <c r="AM123" s="30"/>
      <c r="AN123" s="30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I123" s="106" t="s">
        <v>82</v>
      </c>
      <c r="CJ123" s="22">
        <f>IF(AND(CI121&lt;0,CJ121&gt;0),"n/a",CJ121/CI121-1)</f>
        <v>0.26635944700460823</v>
      </c>
      <c r="CK123" s="107">
        <f t="shared" ref="CK123" si="2236">IF(AND(CJ121&lt;0,CK121&gt;0),"n/a",CK121/CJ121-1)</f>
        <v>0.71324599708879188</v>
      </c>
      <c r="CL123" s="107">
        <f t="shared" ref="CL123" si="2237">IF(AND(CK121&lt;0,CL121&gt;0),"n/a",CL121/CK121-1)</f>
        <v>0.88912489379779092</v>
      </c>
      <c r="CM123" s="22">
        <f t="shared" ref="CM123" si="2238">IF(AND(CL121&lt;0,CM121&gt;0),"n/a",CM121/CL121-1)</f>
        <v>0.41016415561052399</v>
      </c>
      <c r="CN123" s="107">
        <f t="shared" ref="CN123" si="2239">IF(AND(CM121&lt;0,CN121&gt;0),"n/a",CN121/CM121-1)</f>
        <v>0.14048796045287837</v>
      </c>
      <c r="CO123" s="22">
        <f t="shared" ref="CO123" si="2240">IF(AND(CN121&lt;0,CO121&gt;0),"n/a",CO121/CN121-1)</f>
        <v>0.40925615212527955</v>
      </c>
      <c r="CP123" s="107">
        <f t="shared" ref="CP123" si="2241">IF(AND(CO121&lt;0,CP121&gt;0),"n/a",CP121/CO121-1)</f>
        <v>0.48854052981446583</v>
      </c>
      <c r="CQ123" s="30"/>
      <c r="CR123" s="110"/>
      <c r="CS123" s="30"/>
      <c r="CT123" s="110"/>
      <c r="CU123" s="30"/>
      <c r="CV123" s="110"/>
      <c r="CW123" s="30"/>
      <c r="CX123" s="110"/>
      <c r="CY123" s="110"/>
      <c r="CZ123" s="110"/>
      <c r="DA123" s="110"/>
      <c r="DB123" s="110"/>
      <c r="DC123" s="110"/>
    </row>
    <row r="124" spans="1:107" hidden="1" outlineLevel="1" x14ac:dyDescent="0.2">
      <c r="A124" s="8" t="s">
        <v>81</v>
      </c>
      <c r="B124" s="25">
        <f>B121/B$80</f>
        <v>5.9241706161137442E-2</v>
      </c>
      <c r="C124" s="25">
        <f t="shared" ref="C124:AJ124" si="2242">C121/C$80</f>
        <v>5.0707547169811323E-2</v>
      </c>
      <c r="D124" s="25">
        <f t="shared" si="2242"/>
        <v>4.6341908410873926E-2</v>
      </c>
      <c r="E124" s="25">
        <f t="shared" si="2242"/>
        <v>4.2850415947261029E-2</v>
      </c>
      <c r="F124" s="25">
        <f t="shared" si="2242"/>
        <v>4.1156670746634025E-2</v>
      </c>
      <c r="G124" s="25">
        <f t="shared" si="2242"/>
        <v>4.4836563494359272E-2</v>
      </c>
      <c r="H124" s="25">
        <f t="shared" si="2242"/>
        <v>5.1251331203407878E-2</v>
      </c>
      <c r="I124" s="25">
        <f t="shared" si="2242"/>
        <v>5.0418101328086572E-2</v>
      </c>
      <c r="J124" s="25">
        <f t="shared" si="2242"/>
        <v>5.1622418879056046E-2</v>
      </c>
      <c r="K124" s="25">
        <f t="shared" si="2242"/>
        <v>5.2505681138619781E-2</v>
      </c>
      <c r="L124" s="25">
        <f t="shared" si="2242"/>
        <v>7.6096892138939665E-2</v>
      </c>
      <c r="M124" s="25">
        <f t="shared" si="2242"/>
        <v>8.4316517493897472E-2</v>
      </c>
      <c r="N124" s="25">
        <f t="shared" si="2242"/>
        <v>9.2147435897435903E-2</v>
      </c>
      <c r="O124" s="25">
        <f t="shared" si="2242"/>
        <v>9.1764939054603117E-2</v>
      </c>
      <c r="P124" s="25">
        <f t="shared" si="2242"/>
        <v>0.10205975134533309</v>
      </c>
      <c r="Q124" s="25">
        <f t="shared" si="2242"/>
        <v>0.12097034171502256</v>
      </c>
      <c r="R124" s="25">
        <f t="shared" si="2242"/>
        <v>0.11674460579210764</v>
      </c>
      <c r="S124" s="25">
        <f t="shared" si="2242"/>
        <v>0.11507779796224626</v>
      </c>
      <c r="T124" s="25">
        <f t="shared" si="2242"/>
        <v>0.12925996204933587</v>
      </c>
      <c r="U124" s="25">
        <f t="shared" si="2242"/>
        <v>0.11744242677242051</v>
      </c>
      <c r="V124" s="25">
        <f t="shared" si="2242"/>
        <v>0.12072580062170173</v>
      </c>
      <c r="W124" s="25">
        <f t="shared" si="2242"/>
        <v>0.11417764079574111</v>
      </c>
      <c r="X124" s="25">
        <f t="shared" si="2242"/>
        <v>0.11705752655842855</v>
      </c>
      <c r="Y124" s="25">
        <f t="shared" si="2242"/>
        <v>0.1226420603866145</v>
      </c>
      <c r="Z124" s="25">
        <f t="shared" si="2242"/>
        <v>0.12703183463166287</v>
      </c>
      <c r="AA124" s="25">
        <f t="shared" si="2242"/>
        <v>0.12525951557093426</v>
      </c>
      <c r="AB124" s="25">
        <f t="shared" si="2242"/>
        <v>0.1346281540504648</v>
      </c>
      <c r="AC124" s="25">
        <f t="shared" si="2242"/>
        <v>0.1624033597403837</v>
      </c>
      <c r="AD124" s="25">
        <f t="shared" si="2242"/>
        <v>0.1604382410325679</v>
      </c>
      <c r="AE124" s="25">
        <f t="shared" si="2242"/>
        <v>0.15565267505523003</v>
      </c>
      <c r="AF124" s="25">
        <f t="shared" si="2242"/>
        <v>0.16205480070419356</v>
      </c>
      <c r="AG124" s="25">
        <f t="shared" si="2242"/>
        <v>0.1928754564524901</v>
      </c>
      <c r="AH124" s="25">
        <f t="shared" si="2242"/>
        <v>0.17621822891371217</v>
      </c>
      <c r="AI124" s="25">
        <f t="shared" si="2242"/>
        <v>0.16959221217231335</v>
      </c>
      <c r="AJ124" s="25">
        <f t="shared" si="2242"/>
        <v>0.17177550718199319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I124" s="107">
        <f>CI121/CI$80</f>
        <v>4.9309216506089805E-2</v>
      </c>
      <c r="CJ124" s="22">
        <f t="shared" ref="CJ124:CP124" si="2243">CJ121/CJ$80</f>
        <v>4.7226232212827388E-2</v>
      </c>
      <c r="CK124" s="107">
        <f t="shared" si="2243"/>
        <v>6.710185000427582E-2</v>
      </c>
      <c r="CL124" s="107">
        <f t="shared" si="2243"/>
        <v>0.10279466494070873</v>
      </c>
      <c r="CM124" s="22">
        <f t="shared" si="2243"/>
        <v>0.11968014046337647</v>
      </c>
      <c r="CN124" s="107">
        <f t="shared" si="2243"/>
        <v>0.11880596023189754</v>
      </c>
      <c r="CO124" s="22">
        <f t="shared" si="2243"/>
        <v>0.13869738127674799</v>
      </c>
      <c r="CP124" s="107">
        <f t="shared" si="2243"/>
        <v>0.16913173855207089</v>
      </c>
      <c r="CQ124" s="19"/>
      <c r="CR124" s="112"/>
      <c r="CS124" s="19"/>
      <c r="CT124" s="112"/>
      <c r="CU124" s="19"/>
      <c r="CV124" s="112"/>
      <c r="CW124" s="19"/>
      <c r="CX124" s="112"/>
      <c r="CY124" s="112"/>
      <c r="CZ124" s="112"/>
      <c r="DA124" s="112"/>
      <c r="DB124" s="112"/>
      <c r="DC124" s="112"/>
    </row>
    <row r="125" spans="1:107" collapsed="1" x14ac:dyDescent="0.2">
      <c r="CI125" s="92"/>
      <c r="CK125" s="92"/>
      <c r="CL125" s="92"/>
      <c r="CN125" s="92"/>
      <c r="CP125" s="92"/>
      <c r="CR125" s="92"/>
      <c r="CT125" s="92"/>
      <c r="CV125" s="92"/>
      <c r="CW125" s="92"/>
      <c r="CX125" s="92"/>
      <c r="CY125" s="92"/>
      <c r="CZ125" s="92"/>
      <c r="DA125" s="92"/>
      <c r="DB125" s="92"/>
      <c r="DC125" s="92"/>
    </row>
    <row r="126" spans="1:107" x14ac:dyDescent="0.2">
      <c r="A126" s="5" t="s">
        <v>343</v>
      </c>
      <c r="CI126" s="92"/>
      <c r="CK126" s="92"/>
      <c r="CL126" s="92"/>
      <c r="CN126" s="92"/>
      <c r="CP126" s="92"/>
      <c r="CR126" s="92"/>
      <c r="CT126" s="92"/>
      <c r="CV126" s="92"/>
      <c r="CW126" s="92"/>
      <c r="CX126" s="92"/>
      <c r="CY126" s="92"/>
      <c r="CZ126" s="92"/>
      <c r="DA126" s="92"/>
      <c r="DB126" s="92"/>
      <c r="DC126" s="92"/>
    </row>
    <row r="127" spans="1:107" hidden="1" outlineLevel="1" x14ac:dyDescent="0.2">
      <c r="A127" s="4" t="s">
        <v>93</v>
      </c>
      <c r="B127" s="17">
        <v>3196</v>
      </c>
      <c r="C127" s="17">
        <v>3288</v>
      </c>
      <c r="D127" s="17">
        <v>3517</v>
      </c>
      <c r="E127" s="17">
        <v>4055</v>
      </c>
      <c r="F127" s="17">
        <v>4005</v>
      </c>
      <c r="G127" s="17">
        <v>4155</v>
      </c>
      <c r="H127" s="17">
        <v>4420</v>
      </c>
      <c r="I127" s="17">
        <v>4980</v>
      </c>
      <c r="J127" s="17">
        <v>4874</v>
      </c>
      <c r="K127" s="17">
        <v>5005</v>
      </c>
      <c r="L127" s="17">
        <v>5416</v>
      </c>
      <c r="M127" s="17">
        <v>5992</v>
      </c>
      <c r="N127" s="17">
        <v>6038.25</v>
      </c>
      <c r="O127" s="17">
        <v>6098.25</v>
      </c>
      <c r="P127" s="17">
        <v>6300.25</v>
      </c>
      <c r="Q127" s="17">
        <v>7150.25</v>
      </c>
      <c r="R127" s="17">
        <v>6895</v>
      </c>
      <c r="S127" s="17">
        <v>6958</v>
      </c>
      <c r="T127" s="17">
        <v>7324</v>
      </c>
      <c r="U127" s="17">
        <v>8305</v>
      </c>
      <c r="V127" s="17">
        <v>7721</v>
      </c>
      <c r="W127" s="17">
        <v>8048</v>
      </c>
      <c r="X127" s="17">
        <v>8748</v>
      </c>
      <c r="Y127" s="17">
        <v>10293</v>
      </c>
      <c r="Z127" s="17">
        <v>9381</v>
      </c>
      <c r="AA127" s="17">
        <v>10035</v>
      </c>
      <c r="AB127" s="17">
        <v>10649</v>
      </c>
      <c r="AC127" s="17">
        <v>12716</v>
      </c>
      <c r="AD127" s="17">
        <v>11769</v>
      </c>
      <c r="AE127" s="17">
        <v>12322</v>
      </c>
      <c r="AF127" s="17">
        <v>12930</v>
      </c>
      <c r="AG127" s="17">
        <v>15428</v>
      </c>
      <c r="AH127" s="17">
        <v>14144</v>
      </c>
      <c r="AI127" s="17">
        <v>14933</v>
      </c>
      <c r="AJ127" s="17">
        <v>15523</v>
      </c>
      <c r="AK127" s="17">
        <v>18669</v>
      </c>
      <c r="AL127" s="17">
        <v>16532</v>
      </c>
      <c r="AM127" s="17">
        <v>17863</v>
      </c>
      <c r="AN127" s="17">
        <v>18711</v>
      </c>
      <c r="AO127" s="17">
        <v>21737</v>
      </c>
      <c r="AP127" s="17">
        <v>18870</v>
      </c>
      <c r="AQ127" s="17">
        <v>17999</v>
      </c>
      <c r="AR127" s="17">
        <v>21442</v>
      </c>
      <c r="AS127" s="17">
        <v>26703</v>
      </c>
      <c r="AT127" s="17">
        <v>25032</v>
      </c>
      <c r="AU127" s="18">
        <v>28208</v>
      </c>
      <c r="AV127" s="18">
        <v>29824</v>
      </c>
      <c r="AW127" s="18">
        <v>34790</v>
      </c>
      <c r="AX127" s="18">
        <v>31733</v>
      </c>
      <c r="AY127" s="18">
        <v>32727</v>
      </c>
      <c r="AZ127" s="18">
        <v>33372</v>
      </c>
      <c r="BA127" s="18">
        <v>36982</v>
      </c>
      <c r="BB127" s="18">
        <v>32864</v>
      </c>
      <c r="BC127" s="18">
        <v>35073</v>
      </c>
      <c r="BD127" s="18">
        <v>36354</v>
      </c>
      <c r="BE127" s="18">
        <v>41995</v>
      </c>
      <c r="BF127" s="18">
        <v>38737</v>
      </c>
      <c r="BG127" s="18">
        <v>41196</v>
      </c>
      <c r="BH127" s="18">
        <v>43139</v>
      </c>
      <c r="BI127" s="18">
        <v>47375</v>
      </c>
      <c r="BJ127" s="18">
        <v>43964</v>
      </c>
      <c r="BK127" s="18">
        <v>46063</v>
      </c>
      <c r="BL127" s="18">
        <v>48758</v>
      </c>
      <c r="CI127" s="90">
        <f>SUM(B127:E127)</f>
        <v>14056</v>
      </c>
      <c r="CJ127" s="21">
        <f>SUM(F127:I127)</f>
        <v>17560</v>
      </c>
      <c r="CK127" s="90">
        <f>SUM(J127:M127)</f>
        <v>21287</v>
      </c>
      <c r="CL127" s="90">
        <f>SUM(N127:Q127)</f>
        <v>25587</v>
      </c>
      <c r="CM127" s="21">
        <f>SUM(R127:U127)</f>
        <v>29482</v>
      </c>
      <c r="CN127" s="90">
        <f>SUM(V127:Y127)</f>
        <v>34810</v>
      </c>
      <c r="CO127" s="21">
        <f>SUM(Z127:AC127)</f>
        <v>42781</v>
      </c>
      <c r="CP127" s="90">
        <f>SUM(AD127:AG127)</f>
        <v>52449</v>
      </c>
      <c r="CQ127" s="21">
        <f>SUM(AH127:AK127)</f>
        <v>63269</v>
      </c>
      <c r="CR127" s="90">
        <f>SUM(AL127:AO127)</f>
        <v>74843</v>
      </c>
      <c r="CS127" s="90">
        <f>SUM(AP127:AS127)</f>
        <v>85014</v>
      </c>
      <c r="CT127" s="90">
        <f>SUM(AT127:AW127)</f>
        <v>117854</v>
      </c>
      <c r="CU127" s="90">
        <f>SUM(AX127:BA127)</f>
        <v>134814</v>
      </c>
      <c r="CV127" s="90">
        <f>SUM(BB127:BE127)</f>
        <v>146286</v>
      </c>
      <c r="CW127" s="90">
        <f>SUM(BF127:BI127)</f>
        <v>170447</v>
      </c>
      <c r="CX127" s="92"/>
      <c r="CY127" s="92"/>
      <c r="CZ127" s="92"/>
      <c r="DA127" s="92"/>
      <c r="DB127" s="92"/>
      <c r="DC127" s="92"/>
    </row>
    <row r="128" spans="1:107" hidden="1" outlineLevel="1" x14ac:dyDescent="0.2">
      <c r="A128" s="14" t="s">
        <v>62</v>
      </c>
      <c r="B128" s="25" t="s">
        <v>82</v>
      </c>
      <c r="C128" s="22">
        <f t="shared" ref="C128" si="2244">IF(AND(B127&lt;0,C127&gt;0),"n/a",C127/B127-1)</f>
        <v>2.8785982478097605E-2</v>
      </c>
      <c r="D128" s="22">
        <f t="shared" ref="D128" si="2245">IF(AND(C127&lt;0,D127&gt;0),"n/a",D127/C127-1)</f>
        <v>6.9647201946472004E-2</v>
      </c>
      <c r="E128" s="22">
        <f t="shared" ref="E128" si="2246">IF(AND(D127&lt;0,E127&gt;0),"n/a",E127/D127-1)</f>
        <v>0.15297128234290591</v>
      </c>
      <c r="F128" s="22">
        <f t="shared" ref="F128" si="2247">IF(AND(E127&lt;0,F127&gt;0),"n/a",F127/E127-1)</f>
        <v>-1.2330456226880449E-2</v>
      </c>
      <c r="G128" s="22">
        <f t="shared" ref="G128" si="2248">IF(AND(F127&lt;0,G127&gt;0),"n/a",G127/F127-1)</f>
        <v>3.7453183520599342E-2</v>
      </c>
      <c r="H128" s="22">
        <f t="shared" ref="H128" si="2249">IF(AND(G127&lt;0,H127&gt;0),"n/a",H127/G127-1)</f>
        <v>6.3778580024067333E-2</v>
      </c>
      <c r="I128" s="22">
        <f t="shared" ref="I128" si="2250">IF(AND(H127&lt;0,I127&gt;0),"n/a",I127/H127-1)</f>
        <v>0.12669683257918551</v>
      </c>
      <c r="J128" s="22">
        <f t="shared" ref="J128" si="2251">IF(AND(I127&lt;0,J127&gt;0),"n/a",J127/I127-1)</f>
        <v>-2.128514056224895E-2</v>
      </c>
      <c r="K128" s="22">
        <f t="shared" ref="K128" si="2252">IF(AND(J127&lt;0,K127&gt;0),"n/a",K127/J127-1)</f>
        <v>2.6877308165777603E-2</v>
      </c>
      <c r="L128" s="22">
        <f t="shared" ref="L128" si="2253">IF(AND(K127&lt;0,L127&gt;0),"n/a",L127/K127-1)</f>
        <v>8.2117882117882068E-2</v>
      </c>
      <c r="M128" s="22">
        <f t="shared" ref="M128" si="2254">IF(AND(L127&lt;0,M127&gt;0),"n/a",M127/L127-1)</f>
        <v>0.10635155096011806</v>
      </c>
      <c r="N128" s="22">
        <f t="shared" ref="N128" si="2255">IF(AND(M127&lt;0,N127&gt;0),"n/a",N127/M127-1)</f>
        <v>7.7186248331109208E-3</v>
      </c>
      <c r="O128" s="22">
        <f t="shared" ref="O128" si="2256">IF(AND(N127&lt;0,O127&gt;0),"n/a",O127/N127-1)</f>
        <v>9.9366538318221842E-3</v>
      </c>
      <c r="P128" s="22">
        <f t="shared" ref="P128" si="2257">IF(AND(O127&lt;0,P127&gt;0),"n/a",P127/O127-1)</f>
        <v>3.3124256958963594E-2</v>
      </c>
      <c r="Q128" s="22">
        <f t="shared" ref="Q128" si="2258">IF(AND(P127&lt;0,Q127&gt;0),"n/a",Q127/P127-1)</f>
        <v>0.13491528113963724</v>
      </c>
      <c r="R128" s="22">
        <f t="shared" ref="R128" si="2259">IF(AND(Q127&lt;0,R127&gt;0),"n/a",R127/Q127-1)</f>
        <v>-3.5698052515646284E-2</v>
      </c>
      <c r="S128" s="22">
        <f t="shared" ref="S128" si="2260">IF(AND(R127&lt;0,S127&gt;0),"n/a",S127/R127-1)</f>
        <v>9.1370558375634126E-3</v>
      </c>
      <c r="T128" s="22">
        <f t="shared" ref="T128" si="2261">IF(AND(S127&lt;0,T127&gt;0),"n/a",T127/S127-1)</f>
        <v>5.2601322219028468E-2</v>
      </c>
      <c r="U128" s="22">
        <f t="shared" ref="U128" si="2262">IF(AND(T127&lt;0,U127&gt;0),"n/a",U127/T127-1)</f>
        <v>0.13394320043691965</v>
      </c>
      <c r="V128" s="22">
        <f t="shared" ref="V128" si="2263">IF(AND(U127&lt;0,V127&gt;0),"n/a",V127/U127-1)</f>
        <v>-7.0319084888621264E-2</v>
      </c>
      <c r="W128" s="22">
        <f t="shared" ref="W128" si="2264">IF(AND(V127&lt;0,W127&gt;0),"n/a",W127/V127-1)</f>
        <v>4.2352026939515675E-2</v>
      </c>
      <c r="X128" s="22">
        <f t="shared" ref="X128" si="2265">IF(AND(W127&lt;0,X127&gt;0),"n/a",X127/W127-1)</f>
        <v>8.6978131212723575E-2</v>
      </c>
      <c r="Y128" s="22">
        <f t="shared" ref="Y128" si="2266">IF(AND(X127&lt;0,Y127&gt;0),"n/a",Y127/X127-1)</f>
        <v>0.17661179698216745</v>
      </c>
      <c r="Z128" s="22">
        <f t="shared" ref="Z128" si="2267">IF(AND(Y127&lt;0,Z127&gt;0),"n/a",Z127/Y127-1)</f>
        <v>-8.8603905566890129E-2</v>
      </c>
      <c r="AA128" s="22">
        <f t="shared" ref="AA128" si="2268">IF(AND(Z127&lt;0,AA127&gt;0),"n/a",AA127/Z127-1)</f>
        <v>6.9715382155420613E-2</v>
      </c>
      <c r="AB128" s="22">
        <f t="shared" ref="AB128" si="2269">IF(AND(AA127&lt;0,AB127&gt;0),"n/a",AB127/AA127-1)</f>
        <v>6.1185849526656622E-2</v>
      </c>
      <c r="AC128" s="22">
        <f t="shared" ref="AC128" si="2270">IF(AND(AB127&lt;0,AC127&gt;0),"n/a",AC127/AB127-1)</f>
        <v>0.19410273265095324</v>
      </c>
      <c r="AD128" s="22">
        <f t="shared" ref="AD128" si="2271">IF(AND(AC127&lt;0,AD127&gt;0),"n/a",AD127/AC127-1)</f>
        <v>-7.4473104749921304E-2</v>
      </c>
      <c r="AE128" s="22">
        <f t="shared" ref="AE128" si="2272">IF(AND(AD127&lt;0,AE127&gt;0),"n/a",AE127/AD127-1)</f>
        <v>4.6987849434956264E-2</v>
      </c>
      <c r="AF128" s="22">
        <f t="shared" ref="AF128" si="2273">IF(AND(AE127&lt;0,AF127&gt;0),"n/a",AF127/AE127-1)</f>
        <v>4.934263918195092E-2</v>
      </c>
      <c r="AG128" s="22">
        <f t="shared" ref="AG128" si="2274">IF(AND(AF127&lt;0,AG127&gt;0),"n/a",AG127/AF127-1)</f>
        <v>0.19319412219644239</v>
      </c>
      <c r="AH128" s="22">
        <f t="shared" ref="AH128" si="2275">IF(AND(AG127&lt;0,AH127&gt;0),"n/a",AH127/AG127-1)</f>
        <v>-8.3225304640912601E-2</v>
      </c>
      <c r="AI128" s="22">
        <f t="shared" ref="AI128" si="2276">IF(AND(AH127&lt;0,AI127&gt;0),"n/a",AI127/AH127-1)</f>
        <v>5.5783371040724061E-2</v>
      </c>
      <c r="AJ128" s="22">
        <f t="shared" ref="AJ128" si="2277">IF(AND(AI127&lt;0,AJ127&gt;0),"n/a",AJ127/AI127-1)</f>
        <v>3.9509810486841213E-2</v>
      </c>
      <c r="AK128" s="22">
        <f t="shared" ref="AK128" si="2278">IF(AND(AJ127&lt;0,AK127&gt;0),"n/a",AK127/AJ127-1)</f>
        <v>0.20266701024286538</v>
      </c>
      <c r="AL128" s="22">
        <f t="shared" ref="AL128" si="2279">IF(AND(AK127&lt;0,AL127&gt;0),"n/a",AL127/AK127-1)</f>
        <v>-0.11446783437784558</v>
      </c>
      <c r="AM128" s="22">
        <f t="shared" ref="AM128" si="2280">IF(AND(AL127&lt;0,AM127&gt;0),"n/a",AM127/AL127-1)</f>
        <v>8.0510525042342129E-2</v>
      </c>
      <c r="AN128" s="22">
        <f t="shared" ref="AN128" si="2281">IF(AND(AM127&lt;0,AN127&gt;0),"n/a",AN127/AM127-1)</f>
        <v>4.7472429043273756E-2</v>
      </c>
      <c r="AO128" s="22">
        <f t="shared" ref="AO128" si="2282">IF(AND(AN127&lt;0,AO127&gt;0),"n/a",AO127/AN127-1)</f>
        <v>0.16172305061193959</v>
      </c>
      <c r="AP128" s="22">
        <f t="shared" ref="AP128" si="2283">IF(AND(AO127&lt;0,AP127&gt;0),"n/a",AP127/AO127-1)</f>
        <v>-0.13189492570271888</v>
      </c>
      <c r="AQ128" s="22">
        <f t="shared" ref="AQ128" si="2284">IF(AND(AP127&lt;0,AQ127&gt;0),"n/a",AQ127/AP127-1)</f>
        <v>-4.6157922628510817E-2</v>
      </c>
      <c r="AR128" s="22">
        <f t="shared" ref="AR128" si="2285">IF(AND(AQ127&lt;0,AR127&gt;0),"n/a",AR127/AQ127-1)</f>
        <v>0.19128840491138388</v>
      </c>
      <c r="AS128" s="22">
        <f t="shared" ref="AS128" si="2286">IF(AND(AR127&lt;0,AS127&gt;0),"n/a",AS127/AR127-1)</f>
        <v>0.24535957466654224</v>
      </c>
      <c r="AT128" s="22">
        <f t="shared" ref="AT128:BL128" si="2287">IF(AND(AS127&lt;0,AT127&gt;0),"n/a",AT127/AS127-1)</f>
        <v>-6.2577238512526723E-2</v>
      </c>
      <c r="AU128" s="22">
        <f t="shared" si="2287"/>
        <v>0.12687759667625431</v>
      </c>
      <c r="AV128" s="28">
        <f t="shared" si="2287"/>
        <v>5.7288712422007837E-2</v>
      </c>
      <c r="AW128" s="28">
        <f t="shared" si="2287"/>
        <v>0.16651019313304727</v>
      </c>
      <c r="AX128" s="28">
        <f t="shared" si="2287"/>
        <v>-8.7870077608508179E-2</v>
      </c>
      <c r="AY128" s="28">
        <f t="shared" si="2287"/>
        <v>3.1323858443891295E-2</v>
      </c>
      <c r="AZ128" s="28">
        <f t="shared" si="2287"/>
        <v>1.9708497570813055E-2</v>
      </c>
      <c r="BA128" s="28">
        <f t="shared" si="2287"/>
        <v>0.10817451755963092</v>
      </c>
      <c r="BB128" s="28">
        <f t="shared" si="2287"/>
        <v>-0.11135146828186682</v>
      </c>
      <c r="BC128" s="28">
        <f t="shared" si="2287"/>
        <v>6.7216407010710855E-2</v>
      </c>
      <c r="BD128" s="28">
        <f t="shared" si="2287"/>
        <v>3.652382174322133E-2</v>
      </c>
      <c r="BE128" s="28">
        <f t="shared" si="2287"/>
        <v>0.15516861968421636</v>
      </c>
      <c r="BF128" s="28">
        <f t="shared" si="2287"/>
        <v>-7.7580664364805374E-2</v>
      </c>
      <c r="BG128" s="28">
        <f t="shared" si="2287"/>
        <v>6.3479360817822794E-2</v>
      </c>
      <c r="BH128" s="28">
        <f t="shared" si="2287"/>
        <v>4.7164773278959071E-2</v>
      </c>
      <c r="BI128" s="28">
        <f t="shared" si="2287"/>
        <v>9.8194209416073708E-2</v>
      </c>
      <c r="BJ128" s="28">
        <f t="shared" si="2287"/>
        <v>-7.1999999999999953E-2</v>
      </c>
      <c r="BK128" s="28">
        <f t="shared" si="2287"/>
        <v>4.7743608406878302E-2</v>
      </c>
      <c r="BL128" s="28">
        <f t="shared" si="2287"/>
        <v>5.8506827605670386E-2</v>
      </c>
      <c r="CI128" s="106" t="s">
        <v>82</v>
      </c>
      <c r="CJ128" s="48" t="s">
        <v>82</v>
      </c>
      <c r="CK128" s="106" t="s">
        <v>82</v>
      </c>
      <c r="CL128" s="106" t="s">
        <v>82</v>
      </c>
      <c r="CM128" s="48" t="s">
        <v>82</v>
      </c>
      <c r="CN128" s="106" t="s">
        <v>82</v>
      </c>
      <c r="CO128" s="48" t="s">
        <v>82</v>
      </c>
      <c r="CP128" s="106" t="s">
        <v>82</v>
      </c>
      <c r="CQ128" s="48" t="s">
        <v>82</v>
      </c>
      <c r="CR128" s="106" t="s">
        <v>82</v>
      </c>
      <c r="CS128" s="106" t="s">
        <v>82</v>
      </c>
      <c r="CT128" s="106" t="s">
        <v>82</v>
      </c>
      <c r="CU128" s="106" t="s">
        <v>82</v>
      </c>
      <c r="CV128" s="106" t="s">
        <v>82</v>
      </c>
      <c r="CW128" s="106" t="s">
        <v>82</v>
      </c>
      <c r="CX128" s="92"/>
      <c r="CY128" s="92"/>
      <c r="CZ128" s="92"/>
      <c r="DA128" s="92"/>
      <c r="DB128" s="92"/>
      <c r="DC128" s="92"/>
    </row>
    <row r="129" spans="1:107" hidden="1" outlineLevel="1" x14ac:dyDescent="0.2">
      <c r="A129" s="14" t="s">
        <v>63</v>
      </c>
      <c r="B129" s="25" t="s">
        <v>82</v>
      </c>
      <c r="C129" s="25" t="s">
        <v>82</v>
      </c>
      <c r="D129" s="25" t="s">
        <v>82</v>
      </c>
      <c r="E129" s="25" t="s">
        <v>82</v>
      </c>
      <c r="F129" s="22">
        <f t="shared" ref="F129" si="2288">IF(AND(B127&lt;0,F127&gt;0),"n/a",F127/B127-1)</f>
        <v>0.25312891113892366</v>
      </c>
      <c r="G129" s="22">
        <f t="shared" ref="G129" si="2289">IF(AND(C127&lt;0,G127&gt;0),"n/a",G127/C127-1)</f>
        <v>0.26368613138686126</v>
      </c>
      <c r="H129" s="22">
        <f t="shared" ref="H129" si="2290">IF(AND(D127&lt;0,H127&gt;0),"n/a",H127/D127-1)</f>
        <v>0.25675291441569525</v>
      </c>
      <c r="I129" s="22">
        <f t="shared" ref="I129" si="2291">IF(AND(E127&lt;0,I127&gt;0),"n/a",I127/E127-1)</f>
        <v>0.2281134401972873</v>
      </c>
      <c r="J129" s="22">
        <f t="shared" ref="J129" si="2292">IF(AND(F127&lt;0,J127&gt;0),"n/a",J127/F127-1)</f>
        <v>0.21697877652933828</v>
      </c>
      <c r="K129" s="22">
        <f t="shared" ref="K129" si="2293">IF(AND(G127&lt;0,K127&gt;0),"n/a",K127/G127-1)</f>
        <v>0.20457280385078214</v>
      </c>
      <c r="L129" s="22">
        <f t="shared" ref="L129" si="2294">IF(AND(H127&lt;0,L127&gt;0),"n/a",L127/H127-1)</f>
        <v>0.22533936651583719</v>
      </c>
      <c r="M129" s="22">
        <f t="shared" ref="M129" si="2295">IF(AND(I127&lt;0,M127&gt;0),"n/a",M127/I127-1)</f>
        <v>0.2032128514056224</v>
      </c>
      <c r="N129" s="22">
        <f t="shared" ref="N129" si="2296">IF(AND(J127&lt;0,N127&gt;0),"n/a",N127/J127-1)</f>
        <v>0.2388695116947066</v>
      </c>
      <c r="O129" s="22">
        <f t="shared" ref="O129" si="2297">IF(AND(K127&lt;0,O127&gt;0),"n/a",O127/K127-1)</f>
        <v>0.21843156843156852</v>
      </c>
      <c r="P129" s="22">
        <f t="shared" ref="P129" si="2298">IF(AND(L127&lt;0,P127&gt;0),"n/a",P127/L127-1)</f>
        <v>0.1632662481536189</v>
      </c>
      <c r="Q129" s="22">
        <f t="shared" ref="Q129" si="2299">IF(AND(M127&lt;0,Q127&gt;0),"n/a",Q127/M127-1)</f>
        <v>0.1932993991989318</v>
      </c>
      <c r="R129" s="22">
        <f t="shared" ref="R129" si="2300">IF(AND(N127&lt;0,R127&gt;0),"n/a",R127/N127-1)</f>
        <v>0.1418871361735603</v>
      </c>
      <c r="S129" s="22">
        <f t="shared" ref="S129" si="2301">IF(AND(O127&lt;0,S127&gt;0),"n/a",S127/O127-1)</f>
        <v>0.14098306891321277</v>
      </c>
      <c r="T129" s="22">
        <f t="shared" ref="T129" si="2302">IF(AND(P127&lt;0,T127&gt;0),"n/a",T127/P127-1)</f>
        <v>0.16249355184318093</v>
      </c>
      <c r="U129" s="22">
        <f t="shared" ref="U129" si="2303">IF(AND(Q127&lt;0,U127&gt;0),"n/a",U127/Q127-1)</f>
        <v>0.16149784972553416</v>
      </c>
      <c r="V129" s="22">
        <f t="shared" ref="V129" si="2304">IF(AND(R127&lt;0,V127&gt;0),"n/a",V127/R127-1)</f>
        <v>0.11979695431472082</v>
      </c>
      <c r="W129" s="22">
        <f t="shared" ref="W129" si="2305">IF(AND(S127&lt;0,W127&gt;0),"n/a",W127/S127-1)</f>
        <v>0.15665421098016674</v>
      </c>
      <c r="X129" s="22">
        <f t="shared" ref="X129" si="2306">IF(AND(T127&lt;0,X127&gt;0),"n/a",X127/T127-1)</f>
        <v>0.19442927362097207</v>
      </c>
      <c r="Y129" s="22">
        <f t="shared" ref="Y129" si="2307">IF(AND(U127&lt;0,Y127&gt;0),"n/a",Y127/U127-1)</f>
        <v>0.23937387116195064</v>
      </c>
      <c r="Z129" s="22">
        <f t="shared" ref="Z129" si="2308">IF(AND(V127&lt;0,Z127&gt;0),"n/a",Z127/V127-1)</f>
        <v>0.2149980572464707</v>
      </c>
      <c r="AA129" s="22">
        <f t="shared" ref="AA129" si="2309">IF(AND(W127&lt;0,AA127&gt;0),"n/a",AA127/W127-1)</f>
        <v>0.24689363817097409</v>
      </c>
      <c r="AB129" s="22">
        <f t="shared" ref="AB129" si="2310">IF(AND(X127&lt;0,AB127&gt;0),"n/a",AB127/X127-1)</f>
        <v>0.21730681298582533</v>
      </c>
      <c r="AC129" s="22">
        <f t="shared" ref="AC129" si="2311">IF(AND(Y127&lt;0,AC127&gt;0),"n/a",AC127/Y127-1)</f>
        <v>0.2354027008646653</v>
      </c>
      <c r="AD129" s="22">
        <f t="shared" ref="AD129" si="2312">IF(AND(Z127&lt;0,AD127&gt;0),"n/a",AD127/Z127-1)</f>
        <v>0.25455708346658135</v>
      </c>
      <c r="AE129" s="22">
        <f t="shared" ref="AE129" si="2313">IF(AND(AA127&lt;0,AE127&gt;0),"n/a",AE127/AA127-1)</f>
        <v>0.22790234180368718</v>
      </c>
      <c r="AF129" s="22">
        <f t="shared" ref="AF129" si="2314">IF(AND(AB127&lt;0,AF127&gt;0),"n/a",AF127/AB127-1)</f>
        <v>0.21419851629260966</v>
      </c>
      <c r="AG129" s="22">
        <f t="shared" ref="AG129" si="2315">IF(AND(AC127&lt;0,AG127&gt;0),"n/a",AG127/AC127-1)</f>
        <v>0.21327461465869768</v>
      </c>
      <c r="AH129" s="22">
        <f t="shared" ref="AH129" si="2316">IF(AND(AD127&lt;0,AH127&gt;0),"n/a",AH127/AD127-1)</f>
        <v>0.20180134250998383</v>
      </c>
      <c r="AI129" s="22">
        <f t="shared" ref="AI129" si="2317">IF(AND(AE127&lt;0,AI127&gt;0),"n/a",AI127/AE127-1)</f>
        <v>0.21189741925012173</v>
      </c>
      <c r="AJ129" s="22">
        <f t="shared" ref="AJ129" si="2318">IF(AND(AF127&lt;0,AJ127&gt;0),"n/a",AJ127/AF127-1)</f>
        <v>0.20054137664346472</v>
      </c>
      <c r="AK129" s="22">
        <f t="shared" ref="AK129" si="2319">IF(AND(AG127&lt;0,AK127&gt;0),"n/a",AK127/AG127-1)</f>
        <v>0.21007259528130673</v>
      </c>
      <c r="AL129" s="22">
        <f t="shared" ref="AL129" si="2320">IF(AND(AH127&lt;0,AL127&gt;0),"n/a",AL127/AH127-1)</f>
        <v>0.16883484162895934</v>
      </c>
      <c r="AM129" s="22">
        <f t="shared" ref="AM129" si="2321">IF(AND(AI127&lt;0,AM127&gt;0),"n/a",AM127/AI127-1)</f>
        <v>0.19620973682448262</v>
      </c>
      <c r="AN129" s="22">
        <f t="shared" ref="AN129" si="2322">IF(AND(AJ127&lt;0,AN127&gt;0),"n/a",AN127/AJ127-1)</f>
        <v>0.20537267280809113</v>
      </c>
      <c r="AO129" s="22">
        <f t="shared" ref="AO129" si="2323">IF(AND(AK127&lt;0,AO127&gt;0),"n/a",AO127/AK127-1)</f>
        <v>0.16433660078204504</v>
      </c>
      <c r="AP129" s="22">
        <f t="shared" ref="AP129" si="2324">IF(AND(AL127&lt;0,AP127&gt;0),"n/a",AP127/AL127-1)</f>
        <v>0.14142269537865948</v>
      </c>
      <c r="AQ129" s="22">
        <f t="shared" ref="AQ129" si="2325">IF(AND(AM127&lt;0,AQ127&gt;0),"n/a",AQ127/AM127-1)</f>
        <v>7.6135027710910741E-3</v>
      </c>
      <c r="AR129" s="22">
        <f t="shared" ref="AR129" si="2326">IF(AND(AN127&lt;0,AR127&gt;0),"n/a",AR127/AN127-1)</f>
        <v>0.14595692373470159</v>
      </c>
      <c r="AS129" s="22">
        <f t="shared" ref="AS129" si="2327">IF(AND(AO127&lt;0,AS127&gt;0),"n/a",AS127/AO127-1)</f>
        <v>0.22845838892211434</v>
      </c>
      <c r="AT129" s="22">
        <f t="shared" ref="AT129:BL129" si="2328">IF(AND(AP127&lt;0,AT127&gt;0),"n/a",AT127/AP127-1)</f>
        <v>0.32655007949125592</v>
      </c>
      <c r="AU129" s="22">
        <f t="shared" si="2328"/>
        <v>0.56719817767653757</v>
      </c>
      <c r="AV129" s="28">
        <f t="shared" si="2328"/>
        <v>0.39091502658334121</v>
      </c>
      <c r="AW129" s="28">
        <f t="shared" si="2328"/>
        <v>0.30284986705613592</v>
      </c>
      <c r="AX129" s="28">
        <f t="shared" si="2328"/>
        <v>0.26769734739533391</v>
      </c>
      <c r="AY129" s="28">
        <f t="shared" si="2328"/>
        <v>0.1602027793533749</v>
      </c>
      <c r="AZ129" s="28">
        <f t="shared" si="2328"/>
        <v>0.11896459227467804</v>
      </c>
      <c r="BA129" s="28">
        <f t="shared" si="2328"/>
        <v>6.3006611095142384E-2</v>
      </c>
      <c r="BB129" s="28">
        <f t="shared" si="2328"/>
        <v>3.5641130684145761E-2</v>
      </c>
      <c r="BC129" s="28">
        <f t="shared" si="2328"/>
        <v>7.1683930699422582E-2</v>
      </c>
      <c r="BD129" s="28">
        <f t="shared" si="2328"/>
        <v>8.935634663789993E-2</v>
      </c>
      <c r="BE129" s="28">
        <f t="shared" si="2328"/>
        <v>0.13555243091233571</v>
      </c>
      <c r="BF129" s="28">
        <f t="shared" si="2328"/>
        <v>0.17870618305744879</v>
      </c>
      <c r="BG129" s="28">
        <f t="shared" si="2328"/>
        <v>0.17457873577965954</v>
      </c>
      <c r="BH129" s="28">
        <f t="shared" si="2328"/>
        <v>0.18663695879408038</v>
      </c>
      <c r="BI129" s="28">
        <f t="shared" si="2328"/>
        <v>0.12811048934396951</v>
      </c>
      <c r="BJ129" s="28">
        <f t="shared" si="2328"/>
        <v>0.13493559129514421</v>
      </c>
      <c r="BK129" s="28">
        <f t="shared" si="2328"/>
        <v>0.11814253811049613</v>
      </c>
      <c r="BL129" s="28">
        <f t="shared" si="2328"/>
        <v>0.1302533670228796</v>
      </c>
      <c r="CI129" s="106" t="s">
        <v>82</v>
      </c>
      <c r="CJ129" s="22">
        <f>IF(AND(CI127&lt;0,CJ127&gt;0),"n/a",CJ127/CI127-1)</f>
        <v>0.24928856004553213</v>
      </c>
      <c r="CK129" s="107">
        <f t="shared" ref="CK129" si="2329">IF(AND(CJ127&lt;0,CK127&gt;0),"n/a",CK127/CJ127-1)</f>
        <v>0.21224373576309796</v>
      </c>
      <c r="CL129" s="107">
        <f t="shared" ref="CL129" si="2330">IF(AND(CK127&lt;0,CL127&gt;0),"n/a",CL127/CK127-1)</f>
        <v>0.20200122140273402</v>
      </c>
      <c r="CM129" s="22">
        <f t="shared" ref="CM129" si="2331">IF(AND(CL127&lt;0,CM127&gt;0),"n/a",CM127/CL127-1)</f>
        <v>0.15222573963340769</v>
      </c>
      <c r="CN129" s="107">
        <f t="shared" ref="CN129" si="2332">IF(AND(CM127&lt;0,CN127&gt;0),"n/a",CN127/CM127-1)</f>
        <v>0.18072043959025841</v>
      </c>
      <c r="CO129" s="22">
        <f t="shared" ref="CO129" si="2333">IF(AND(CN127&lt;0,CO127&gt;0),"n/a",CO127/CN127-1)</f>
        <v>0.22898592358517678</v>
      </c>
      <c r="CP129" s="107">
        <f t="shared" ref="CP129" si="2334">IF(AND(CO127&lt;0,CP127&gt;0),"n/a",CP127/CO127-1)</f>
        <v>0.22598817231948765</v>
      </c>
      <c r="CQ129" s="22">
        <f t="shared" ref="CQ129" si="2335">IF(AND(CP127&lt;0,CQ127&gt;0),"n/a",CQ127/CP127-1)</f>
        <v>0.20629563957368102</v>
      </c>
      <c r="CR129" s="107">
        <f t="shared" ref="CR129" si="2336">IF(AND(CQ127&lt;0,CR127&gt;0),"n/a",CR127/CQ127-1)</f>
        <v>0.18293319002987252</v>
      </c>
      <c r="CS129" s="107">
        <f t="shared" ref="CS129:CU129" si="2337">IF(AND(CR127&lt;0,CS127&gt;0),"n/a",CS127/CR127-1)</f>
        <v>0.13589781275469992</v>
      </c>
      <c r="CT129" s="107">
        <f t="shared" si="2337"/>
        <v>0.38628931705366165</v>
      </c>
      <c r="CU129" s="107">
        <f t="shared" si="2337"/>
        <v>0.14390686781950546</v>
      </c>
      <c r="CV129" s="107">
        <f>IF(AND(CU127&lt;0,CV127&gt;0),"n/a",CV127/CU127-1)</f>
        <v>8.5095019805064842E-2</v>
      </c>
      <c r="CW129" s="111">
        <f>IF(AND(CV127&lt;0,CW127&gt;0),"n/a",CW127/CV127-1)</f>
        <v>0.16516276335397784</v>
      </c>
      <c r="CX129" s="92"/>
      <c r="CY129" s="92"/>
      <c r="CZ129" s="92"/>
      <c r="DA129" s="92"/>
      <c r="DB129" s="92"/>
      <c r="DC129" s="92"/>
    </row>
    <row r="130" spans="1:107" hidden="1" outlineLevel="1" x14ac:dyDescent="0.2">
      <c r="A130" s="14" t="s">
        <v>61</v>
      </c>
      <c r="B130" s="22">
        <f>B127/B$64</f>
        <v>0.47173431734317345</v>
      </c>
      <c r="C130" s="22">
        <f t="shared" ref="C130:AT130" si="2338">C127/C$64</f>
        <v>0.48211143695014663</v>
      </c>
      <c r="D130" s="22">
        <f t="shared" si="2338"/>
        <v>0.48270656052703814</v>
      </c>
      <c r="E130" s="22">
        <f t="shared" si="2338"/>
        <v>0.48045023696682465</v>
      </c>
      <c r="F130" s="22">
        <f t="shared" si="2338"/>
        <v>0.46705539358600584</v>
      </c>
      <c r="G130" s="22">
        <f t="shared" si="2338"/>
        <v>0.46033680478617328</v>
      </c>
      <c r="H130" s="22">
        <f t="shared" si="2338"/>
        <v>0.45473251028806583</v>
      </c>
      <c r="I130" s="22">
        <f t="shared" si="2338"/>
        <v>0.47052154195011336</v>
      </c>
      <c r="J130" s="22">
        <f t="shared" si="2338"/>
        <v>0.45786754344762798</v>
      </c>
      <c r="K130" s="22">
        <f t="shared" si="2338"/>
        <v>0.45649398029916088</v>
      </c>
      <c r="L130" s="22">
        <f t="shared" si="2338"/>
        <v>0.46989415235120596</v>
      </c>
      <c r="M130" s="22">
        <f t="shared" si="2338"/>
        <v>0.46431615652847735</v>
      </c>
      <c r="N130" s="22">
        <f t="shared" si="2338"/>
        <v>0.46634615384615385</v>
      </c>
      <c r="O130" s="22">
        <f t="shared" si="2338"/>
        <v>0.46537316849816851</v>
      </c>
      <c r="P130" s="22">
        <f t="shared" si="2338"/>
        <v>0.45816667878699729</v>
      </c>
      <c r="Q130" s="22">
        <f t="shared" si="2338"/>
        <v>0.45496627640621023</v>
      </c>
      <c r="R130" s="22">
        <f t="shared" si="2338"/>
        <v>0.44714656290531779</v>
      </c>
      <c r="S130" s="22">
        <f t="shared" si="2338"/>
        <v>0.43610153556878722</v>
      </c>
      <c r="T130" s="22">
        <f t="shared" si="2338"/>
        <v>0.44326090903588938</v>
      </c>
      <c r="U130" s="22">
        <f t="shared" si="2338"/>
        <v>0.45876374081643928</v>
      </c>
      <c r="V130" s="22">
        <f t="shared" si="2338"/>
        <v>0.44738671920268863</v>
      </c>
      <c r="W130" s="22">
        <f t="shared" si="2338"/>
        <v>0.45399672815479214</v>
      </c>
      <c r="X130" s="22">
        <f t="shared" si="2338"/>
        <v>0.46843373493975904</v>
      </c>
      <c r="Y130" s="22">
        <f t="shared" si="2338"/>
        <v>0.48258239954990856</v>
      </c>
      <c r="Z130" s="22">
        <f t="shared" si="2338"/>
        <v>0.46309917559362196</v>
      </c>
      <c r="AA130" s="22">
        <f t="shared" si="2338"/>
        <v>0.46674418604651163</v>
      </c>
      <c r="AB130" s="22">
        <f t="shared" si="2338"/>
        <v>0.47432185648746156</v>
      </c>
      <c r="AC130" s="22">
        <f t="shared" si="2338"/>
        <v>0.48787599754450584</v>
      </c>
      <c r="AD130" s="22">
        <f t="shared" si="2338"/>
        <v>0.4755151515151515</v>
      </c>
      <c r="AE130" s="22">
        <f t="shared" si="2338"/>
        <v>0.47374086889657824</v>
      </c>
      <c r="AF130" s="22">
        <f t="shared" si="2338"/>
        <v>0.46557683998271643</v>
      </c>
      <c r="AG130" s="22">
        <f t="shared" si="2338"/>
        <v>0.47730718064536087</v>
      </c>
      <c r="AH130" s="22">
        <f t="shared" si="2338"/>
        <v>0.45411930906055353</v>
      </c>
      <c r="AI130" s="22">
        <f t="shared" si="2338"/>
        <v>0.45726796705147443</v>
      </c>
      <c r="AJ130" s="22">
        <f t="shared" si="2338"/>
        <v>0.46007705986959097</v>
      </c>
      <c r="AK130" s="22">
        <f t="shared" si="2338"/>
        <v>0.47532844485181791</v>
      </c>
      <c r="AL130" s="22">
        <f t="shared" si="2338"/>
        <v>0.45493822064448664</v>
      </c>
      <c r="AM130" s="22">
        <f t="shared" si="2338"/>
        <v>0.45868426458504519</v>
      </c>
      <c r="AN130" s="22">
        <f t="shared" si="2338"/>
        <v>0.46201140768907872</v>
      </c>
      <c r="AO130" s="22">
        <f t="shared" si="2338"/>
        <v>0.47177428106348346</v>
      </c>
      <c r="AP130" s="22">
        <f t="shared" si="2338"/>
        <v>0.45846594912412836</v>
      </c>
      <c r="AQ130" s="22">
        <f t="shared" si="2338"/>
        <v>0.4699845940935321</v>
      </c>
      <c r="AR130" s="22">
        <f t="shared" si="2338"/>
        <v>0.46438394732852534</v>
      </c>
      <c r="AS130" s="22">
        <f t="shared" si="2338"/>
        <v>0.46931350838342295</v>
      </c>
      <c r="AT130" s="22">
        <f t="shared" si="2338"/>
        <v>0.45254365983295369</v>
      </c>
      <c r="AU130" s="22">
        <f t="shared" ref="AU130:AV130" si="2339">AU127/AU$64</f>
        <v>0.45585003232062055</v>
      </c>
      <c r="AV130" s="28">
        <f t="shared" si="2339"/>
        <v>0.45799932430357199</v>
      </c>
      <c r="AW130" s="28">
        <f t="shared" ref="AW130:AX130" si="2340">AW127/AW$64</f>
        <v>0.46186525058081646</v>
      </c>
      <c r="AX130" s="28">
        <f t="shared" si="2340"/>
        <v>0.46658628751231418</v>
      </c>
      <c r="AY130" s="28">
        <f t="shared" ref="AY130:AZ130" si="2341">AY127/AY$64</f>
        <v>0.46964196024969507</v>
      </c>
      <c r="AZ130" s="28">
        <f t="shared" si="2341"/>
        <v>0.48300816302900479</v>
      </c>
      <c r="BA130" s="28">
        <f t="shared" ref="BA130:BB130" si="2342">BA127/BA$64</f>
        <v>0.48629812749842205</v>
      </c>
      <c r="BB130" s="28">
        <f t="shared" si="2342"/>
        <v>0.4709186524710906</v>
      </c>
      <c r="BC130" s="28">
        <f t="shared" ref="BC130:BD130" si="2343">BC127/BC$64</f>
        <v>0.47012224545600773</v>
      </c>
      <c r="BD130" s="28">
        <f t="shared" si="2343"/>
        <v>0.47401979320146559</v>
      </c>
      <c r="BE130" s="28">
        <f t="shared" ref="BE130:BF130" si="2344">BE127/BE$64</f>
        <v>0.48656007415131503</v>
      </c>
      <c r="BF130" s="28">
        <f t="shared" si="2344"/>
        <v>0.48097195147692423</v>
      </c>
      <c r="BG130" s="28">
        <f t="shared" ref="BG130:BH130" si="2345">BG127/BG$64</f>
        <v>0.48613438436666589</v>
      </c>
      <c r="BH130" s="28">
        <f t="shared" si="2345"/>
        <v>0.48872751166900802</v>
      </c>
      <c r="BI130" s="28">
        <f t="shared" ref="BI130:BJ130" si="2346">BI127/BI$64</f>
        <v>0.4910904020980833</v>
      </c>
      <c r="BJ130" s="28">
        <f t="shared" si="2346"/>
        <v>0.48722211139925081</v>
      </c>
      <c r="BK130" s="28">
        <f t="shared" ref="BK130:BL130" si="2347">BK127/BK$64</f>
        <v>0.47769320114489566</v>
      </c>
      <c r="BL130" s="28">
        <f t="shared" si="2347"/>
        <v>0.47640357219627538</v>
      </c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111">
        <f>CI127/CI$64</f>
        <v>0.47938337710173595</v>
      </c>
      <c r="CJ130" s="111">
        <f t="shared" ref="CJ130:CS130" si="2348">CJ127/CJ$64</f>
        <v>0.46326342171217516</v>
      </c>
      <c r="CK130" s="111">
        <f t="shared" si="2348"/>
        <v>0.4623588184187663</v>
      </c>
      <c r="CL130" s="111">
        <f t="shared" si="2348"/>
        <v>0.46086925196779482</v>
      </c>
      <c r="CM130" s="111">
        <f t="shared" si="2348"/>
        <v>0.44669020166361117</v>
      </c>
      <c r="CN130" s="111">
        <f t="shared" si="2348"/>
        <v>0.46420141620771044</v>
      </c>
      <c r="CO130" s="111">
        <f t="shared" si="2348"/>
        <v>0.47391217653314427</v>
      </c>
      <c r="CP130" s="111">
        <f t="shared" si="2348"/>
        <v>0.47313156826485048</v>
      </c>
      <c r="CQ130" s="111">
        <f t="shared" si="2348"/>
        <v>0.46242846388294023</v>
      </c>
      <c r="CR130" s="111">
        <f t="shared" si="2348"/>
        <v>0.46240199682435729</v>
      </c>
      <c r="CS130" s="111">
        <f t="shared" si="2348"/>
        <v>0.46576122984544754</v>
      </c>
      <c r="CT130" s="111">
        <f t="shared" ref="CT130" si="2349">CT127/CT$64</f>
        <v>0.45744205995256892</v>
      </c>
      <c r="CU130" s="111">
        <f>CU127/CU$64</f>
        <v>0.47665077995728972</v>
      </c>
      <c r="CV130" s="111">
        <f>CV127/CV$64</f>
        <v>0.47589087620448023</v>
      </c>
      <c r="CW130" s="111">
        <f>CW127/CW$64</f>
        <v>0.48696638458593561</v>
      </c>
      <c r="CX130" s="92"/>
      <c r="CY130" s="92"/>
      <c r="CZ130" s="92"/>
      <c r="DA130" s="92"/>
      <c r="DB130" s="92"/>
      <c r="DC130" s="92"/>
    </row>
    <row r="131" spans="1:107" hidden="1" outlineLevel="1" x14ac:dyDescent="0.2">
      <c r="A131" s="14"/>
      <c r="CI131" s="92"/>
      <c r="CK131" s="92"/>
      <c r="CL131" s="92"/>
      <c r="CN131" s="92"/>
      <c r="CP131" s="92"/>
      <c r="CR131" s="92"/>
      <c r="CS131" s="92"/>
      <c r="CT131" s="92"/>
      <c r="CU131" s="92"/>
      <c r="CV131" s="92"/>
      <c r="CW131" s="92"/>
      <c r="CX131" s="92"/>
      <c r="CY131" s="92"/>
      <c r="CZ131" s="92"/>
      <c r="DA131" s="92"/>
      <c r="DB131" s="92"/>
      <c r="DC131" s="92"/>
    </row>
    <row r="132" spans="1:107" hidden="1" outlineLevel="1" x14ac:dyDescent="0.2">
      <c r="A132" s="4" t="s">
        <v>95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8">
        <v>7160.1769911504434</v>
      </c>
      <c r="AA132" s="18">
        <v>7495.6140350877185</v>
      </c>
      <c r="AB132" s="18">
        <v>7395.9349593495936</v>
      </c>
      <c r="AC132" s="18">
        <v>8316.9354838709678</v>
      </c>
      <c r="AD132" s="18">
        <v>8091</v>
      </c>
      <c r="AE132" s="18">
        <v>8545</v>
      </c>
      <c r="AF132" s="18">
        <v>9097</v>
      </c>
      <c r="AG132" s="18">
        <v>10313</v>
      </c>
      <c r="AH132" s="18">
        <v>10474</v>
      </c>
      <c r="AI132" s="18">
        <v>10785</v>
      </c>
      <c r="AJ132" s="18">
        <v>10958</v>
      </c>
      <c r="AK132" s="18">
        <v>12350</v>
      </c>
      <c r="AL132" s="18">
        <v>11791</v>
      </c>
      <c r="AM132" s="18">
        <v>12401</v>
      </c>
      <c r="AN132" s="18">
        <v>12667</v>
      </c>
      <c r="AO132" s="17">
        <v>14099</v>
      </c>
      <c r="AP132" s="17">
        <v>12845</v>
      </c>
      <c r="AQ132" s="17">
        <v>11363</v>
      </c>
      <c r="AR132" s="17">
        <v>13924</v>
      </c>
      <c r="AS132" s="17">
        <v>17238</v>
      </c>
      <c r="AT132" s="17">
        <v>17031</v>
      </c>
      <c r="AU132" s="18">
        <v>19084</v>
      </c>
      <c r="AV132" s="18">
        <v>19839</v>
      </c>
      <c r="AW132" s="18">
        <v>23153</v>
      </c>
      <c r="AX132" s="18">
        <v>20317</v>
      </c>
      <c r="AY132" s="18">
        <v>20533</v>
      </c>
      <c r="AZ132" s="18">
        <v>19450</v>
      </c>
      <c r="BA132" s="18">
        <v>23153</v>
      </c>
      <c r="BB132" s="18">
        <v>21078</v>
      </c>
      <c r="BC132" s="18">
        <v>22289</v>
      </c>
      <c r="BD132" s="18">
        <v>22661</v>
      </c>
      <c r="BE132" s="18">
        <v>25010</v>
      </c>
      <c r="BF132" s="18">
        <v>23788</v>
      </c>
      <c r="BG132" s="18">
        <v>24683</v>
      </c>
      <c r="BH132" s="18">
        <v>25472</v>
      </c>
      <c r="BI132" s="18">
        <v>28184</v>
      </c>
      <c r="BJ132" s="18">
        <v>25923</v>
      </c>
      <c r="BK132" s="18">
        <v>28262</v>
      </c>
      <c r="BL132" s="18">
        <v>29911</v>
      </c>
      <c r="CI132" s="112"/>
      <c r="CJ132" s="112"/>
      <c r="CK132" s="112"/>
      <c r="CL132" s="112"/>
      <c r="CM132" s="112"/>
      <c r="CN132" s="112"/>
      <c r="CO132" s="21">
        <f>SUM(Z132:AC132)</f>
        <v>30368.661469458726</v>
      </c>
      <c r="CP132" s="90">
        <f>SUM(AD132:AG132)</f>
        <v>36046</v>
      </c>
      <c r="CQ132" s="21">
        <f>SUM(AH132:AK132)</f>
        <v>44567</v>
      </c>
      <c r="CR132" s="90">
        <f>SUM(AL132:AO132)</f>
        <v>50958</v>
      </c>
      <c r="CS132" s="21">
        <f>SUM(AP132:AS132)</f>
        <v>55370</v>
      </c>
      <c r="CT132" s="90">
        <f>SUM(AT132:AW132)</f>
        <v>79107</v>
      </c>
      <c r="CU132" s="90">
        <f>SUM(AX132:BA132)</f>
        <v>83453</v>
      </c>
      <c r="CV132" s="90">
        <f>SUM(BB132:BE132)</f>
        <v>91038</v>
      </c>
      <c r="CW132" s="90">
        <f>SUM(BF132:BI132)</f>
        <v>102127</v>
      </c>
      <c r="CX132" s="92"/>
      <c r="CY132" s="92"/>
      <c r="CZ132" s="92"/>
      <c r="DA132" s="92"/>
      <c r="DB132" s="92"/>
      <c r="DC132" s="92"/>
    </row>
    <row r="133" spans="1:107" hidden="1" outlineLevel="1" x14ac:dyDescent="0.2">
      <c r="A133" s="14" t="s">
        <v>62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25" t="s">
        <v>82</v>
      </c>
      <c r="AA133" s="22">
        <f t="shared" ref="AA133" si="2350">IF(AND(Z132&lt;0,AA132&gt;0),"n/a",AA132/Z132-1)</f>
        <v>4.6847591107294528E-2</v>
      </c>
      <c r="AB133" s="22">
        <f t="shared" ref="AB133" si="2351">IF(AND(AA132&lt;0,AB132&gt;0),"n/a",AB132/AA132-1)</f>
        <v>-1.3298320227204452E-2</v>
      </c>
      <c r="AC133" s="22">
        <f t="shared" ref="AC133" si="2352">IF(AND(AB132&lt;0,AC132&gt;0),"n/a",AC132/AB132-1)</f>
        <v>0.1245279372497845</v>
      </c>
      <c r="AD133" s="22">
        <f t="shared" ref="AD133" si="2353">IF(AND(AC132&lt;0,AD132&gt;0),"n/a",AD132/AC132-1)</f>
        <v>-2.7165713177542905E-2</v>
      </c>
      <c r="AE133" s="22">
        <f t="shared" ref="AE133" si="2354">IF(AND(AD132&lt;0,AE132&gt;0),"n/a",AE132/AD132-1)</f>
        <v>5.6111729081695705E-2</v>
      </c>
      <c r="AF133" s="22">
        <f t="shared" ref="AF133" si="2355">IF(AND(AE132&lt;0,AF132&gt;0),"n/a",AF132/AE132-1)</f>
        <v>6.459918080748972E-2</v>
      </c>
      <c r="AG133" s="22">
        <f t="shared" ref="AG133" si="2356">IF(AND(AF132&lt;0,AG132&gt;0),"n/a",AG132/AF132-1)</f>
        <v>0.13367044080466095</v>
      </c>
      <c r="AH133" s="22">
        <f t="shared" ref="AH133" si="2357">IF(AND(AG132&lt;0,AH132&gt;0),"n/a",AH132/AG132-1)</f>
        <v>1.5611364297488661E-2</v>
      </c>
      <c r="AI133" s="22">
        <f t="shared" ref="AI133" si="2358">IF(AND(AH132&lt;0,AI132&gt;0),"n/a",AI132/AH132-1)</f>
        <v>2.969257208325371E-2</v>
      </c>
      <c r="AJ133" s="22">
        <f t="shared" ref="AJ133" si="2359">IF(AND(AI132&lt;0,AJ132&gt;0),"n/a",AJ132/AI132-1)</f>
        <v>1.6040797403801488E-2</v>
      </c>
      <c r="AK133" s="22">
        <f t="shared" ref="AK133" si="2360">IF(AND(AJ132&lt;0,AK132&gt;0),"n/a",AK132/AJ132-1)</f>
        <v>0.12703048001460115</v>
      </c>
      <c r="AL133" s="22">
        <f t="shared" ref="AL133" si="2361">IF(AND(AK132&lt;0,AL132&gt;0),"n/a",AL132/AK132-1)</f>
        <v>-4.5263157894736894E-2</v>
      </c>
      <c r="AM133" s="22">
        <f t="shared" ref="AM133" si="2362">IF(AND(AL132&lt;0,AM132&gt;0),"n/a",AM132/AL132-1)</f>
        <v>5.1734373674836798E-2</v>
      </c>
      <c r="AN133" s="22">
        <f t="shared" ref="AN133" si="2363">IF(AND(AM132&lt;0,AN132&gt;0),"n/a",AN132/AM132-1)</f>
        <v>2.1449883073945575E-2</v>
      </c>
      <c r="AO133" s="22">
        <f t="shared" ref="AO133" si="2364">IF(AND(AN132&lt;0,AO132&gt;0),"n/a",AO132/AN132-1)</f>
        <v>0.1130496565879846</v>
      </c>
      <c r="AP133" s="22">
        <f t="shared" ref="AP133" si="2365">IF(AND(AO132&lt;0,AP132&gt;0),"n/a",AP132/AO132-1)</f>
        <v>-8.8942478189942498E-2</v>
      </c>
      <c r="AQ133" s="22">
        <f t="shared" ref="AQ133" si="2366">IF(AND(AP132&lt;0,AQ132&gt;0),"n/a",AQ132/AP132-1)</f>
        <v>-0.11537563254184513</v>
      </c>
      <c r="AR133" s="22">
        <f t="shared" ref="AR133" si="2367">IF(AND(AQ132&lt;0,AR132&gt;0),"n/a",AR132/AQ132-1)</f>
        <v>0.22538062131479353</v>
      </c>
      <c r="AS133" s="22">
        <f t="shared" ref="AS133" si="2368">IF(AND(AR132&lt;0,AS132&gt;0),"n/a",AS132/AR132-1)</f>
        <v>0.23800632002298183</v>
      </c>
      <c r="AT133" s="22">
        <f t="shared" ref="AT133:BL133" si="2369">IF(AND(AS132&lt;0,AT132&gt;0),"n/a",AT132/AS132-1)</f>
        <v>-1.2008353637312896E-2</v>
      </c>
      <c r="AU133" s="22">
        <f t="shared" si="2369"/>
        <v>0.12054488873231173</v>
      </c>
      <c r="AV133" s="28">
        <f t="shared" si="2369"/>
        <v>3.9561936700901246E-2</v>
      </c>
      <c r="AW133" s="28">
        <f t="shared" si="2369"/>
        <v>0.16704470991481424</v>
      </c>
      <c r="AX133" s="28">
        <f t="shared" si="2369"/>
        <v>-0.12248952619530951</v>
      </c>
      <c r="AY133" s="28">
        <f t="shared" si="2369"/>
        <v>1.0631490869714932E-2</v>
      </c>
      <c r="AZ133" s="28">
        <f t="shared" si="2369"/>
        <v>-5.2744362733161299E-2</v>
      </c>
      <c r="BA133" s="28">
        <f t="shared" si="2369"/>
        <v>0.19038560411311045</v>
      </c>
      <c r="BB133" s="28">
        <f t="shared" si="2369"/>
        <v>-8.9621215393253628E-2</v>
      </c>
      <c r="BC133" s="28">
        <f t="shared" si="2369"/>
        <v>5.7453268811082703E-2</v>
      </c>
      <c r="BD133" s="28">
        <f t="shared" si="2369"/>
        <v>1.6689847009735637E-2</v>
      </c>
      <c r="BE133" s="28">
        <f t="shared" si="2369"/>
        <v>0.10365826750805351</v>
      </c>
      <c r="BF133" s="28">
        <f t="shared" si="2369"/>
        <v>-4.8860455817672954E-2</v>
      </c>
      <c r="BG133" s="28">
        <f t="shared" si="2369"/>
        <v>3.762401210694466E-2</v>
      </c>
      <c r="BH133" s="28">
        <f t="shared" si="2369"/>
        <v>3.1965320260908259E-2</v>
      </c>
      <c r="BI133" s="28">
        <f t="shared" si="2369"/>
        <v>0.10646984924623126</v>
      </c>
      <c r="BJ133" s="28">
        <f t="shared" si="2369"/>
        <v>-8.0222821458983851E-2</v>
      </c>
      <c r="BK133" s="28">
        <f t="shared" si="2369"/>
        <v>9.0228754387995158E-2</v>
      </c>
      <c r="BL133" s="28">
        <f t="shared" si="2369"/>
        <v>5.8346896893354927E-2</v>
      </c>
      <c r="CI133" s="112"/>
      <c r="CJ133" s="112"/>
      <c r="CK133" s="112"/>
      <c r="CL133" s="112"/>
      <c r="CM133" s="112"/>
      <c r="CN133" s="112"/>
      <c r="CO133" s="48" t="s">
        <v>82</v>
      </c>
      <c r="CP133" s="106" t="s">
        <v>82</v>
      </c>
      <c r="CQ133" s="48" t="s">
        <v>82</v>
      </c>
      <c r="CR133" s="106" t="s">
        <v>82</v>
      </c>
      <c r="CS133" s="48" t="s">
        <v>82</v>
      </c>
      <c r="CT133" s="106" t="s">
        <v>82</v>
      </c>
      <c r="CU133" s="106" t="s">
        <v>82</v>
      </c>
      <c r="CV133" s="106" t="s">
        <v>82</v>
      </c>
      <c r="CW133" s="106" t="s">
        <v>82</v>
      </c>
      <c r="CX133" s="92"/>
      <c r="CY133" s="92"/>
      <c r="CZ133" s="92"/>
      <c r="DA133" s="92"/>
      <c r="DB133" s="92"/>
      <c r="DC133" s="92"/>
    </row>
    <row r="134" spans="1:107" hidden="1" outlineLevel="1" x14ac:dyDescent="0.2">
      <c r="A134" s="14" t="s">
        <v>63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25" t="s">
        <v>82</v>
      </c>
      <c r="AA134" s="25" t="s">
        <v>82</v>
      </c>
      <c r="AB134" s="25" t="s">
        <v>82</v>
      </c>
      <c r="AC134" s="25" t="s">
        <v>82</v>
      </c>
      <c r="AD134" s="22">
        <f t="shared" ref="AD134" si="2370">IF(AND(Z132&lt;0,AD132&gt;0),"n/a",AD132/Z132-1)</f>
        <v>0.12999999999999989</v>
      </c>
      <c r="AE134" s="22">
        <f t="shared" ref="AE134" si="2371">IF(AND(AA132&lt;0,AE132&gt;0),"n/a",AE132/AA132-1)</f>
        <v>0.14000000000000012</v>
      </c>
      <c r="AF134" s="22">
        <f t="shared" ref="AF134" si="2372">IF(AND(AB132&lt;0,AF132&gt;0),"n/a",AF132/AB132-1)</f>
        <v>0.22999999999999998</v>
      </c>
      <c r="AG134" s="22">
        <f t="shared" ref="AG134" si="2373">IF(AND(AC132&lt;0,AG132&gt;0),"n/a",AG132/AC132-1)</f>
        <v>0.24</v>
      </c>
      <c r="AH134" s="22">
        <f t="shared" ref="AH134" si="2374">IF(AND(AD132&lt;0,AH132&gt;0),"n/a",AH132/AD132-1)</f>
        <v>0.29452478062044252</v>
      </c>
      <c r="AI134" s="22">
        <f t="shared" ref="AI134" si="2375">IF(AND(AE132&lt;0,AI132&gt;0),"n/a",AI132/AE132-1)</f>
        <v>0.26214160327677005</v>
      </c>
      <c r="AJ134" s="22">
        <f t="shared" ref="AJ134" si="2376">IF(AND(AF132&lt;0,AJ132&gt;0),"n/a",AJ132/AF132-1)</f>
        <v>0.20457293613279104</v>
      </c>
      <c r="AK134" s="22">
        <f t="shared" ref="AK134" si="2377">IF(AND(AG132&lt;0,AK132&gt;0),"n/a",AK132/AG132-1)</f>
        <v>0.19751769611170378</v>
      </c>
      <c r="AL134" s="22">
        <f t="shared" ref="AL134" si="2378">IF(AND(AH132&lt;0,AL132&gt;0),"n/a",AL132/AH132-1)</f>
        <v>0.12573992743937379</v>
      </c>
      <c r="AM134" s="22">
        <f t="shared" ref="AM134" si="2379">IF(AND(AI132&lt;0,AM132&gt;0),"n/a",AM132/AI132-1)</f>
        <v>0.14983773759851648</v>
      </c>
      <c r="AN134" s="22">
        <f t="shared" ref="AN134" si="2380">IF(AND(AJ132&lt;0,AN132&gt;0),"n/a",AN132/AJ132-1)</f>
        <v>0.1559591166271217</v>
      </c>
      <c r="AO134" s="22">
        <f t="shared" ref="AO134" si="2381">IF(AND(AK132&lt;0,AO132&gt;0),"n/a",AO132/AK132-1)</f>
        <v>0.14161943319838066</v>
      </c>
      <c r="AP134" s="22">
        <f t="shared" ref="AP134" si="2382">IF(AND(AL132&lt;0,AP132&gt;0),"n/a",AP132/AL132-1)</f>
        <v>8.9390212874226105E-2</v>
      </c>
      <c r="AQ134" s="22">
        <f t="shared" ref="AQ134" si="2383">IF(AND(AM132&lt;0,AQ132&gt;0),"n/a",AQ132/AM132-1)</f>
        <v>-8.3702927183291642E-2</v>
      </c>
      <c r="AR134" s="22">
        <f t="shared" ref="AR134" si="2384">IF(AND(AN132&lt;0,AR132&gt;0),"n/a",AR132/AN132-1)</f>
        <v>9.9234230678139967E-2</v>
      </c>
      <c r="AS134" s="22">
        <f t="shared" ref="AS134" si="2385">IF(AND(AO132&lt;0,AS132&gt;0),"n/a",AS132/AO132-1)</f>
        <v>0.22263990353925811</v>
      </c>
      <c r="AT134" s="22">
        <f t="shared" ref="AT134:BL134" si="2386">IF(AND(AP132&lt;0,AT132&gt;0),"n/a",AT132/AP132-1)</f>
        <v>0.32588555858310619</v>
      </c>
      <c r="AU134" s="22">
        <f t="shared" si="2386"/>
        <v>0.67948605121886829</v>
      </c>
      <c r="AV134" s="22">
        <f t="shared" si="2386"/>
        <v>0.42480609020396431</v>
      </c>
      <c r="AW134" s="22">
        <f t="shared" si="2386"/>
        <v>0.34313725490196068</v>
      </c>
      <c r="AX134" s="22">
        <f t="shared" si="2386"/>
        <v>0.19294228172156647</v>
      </c>
      <c r="AY134" s="22">
        <f t="shared" si="2386"/>
        <v>7.592747851603443E-2</v>
      </c>
      <c r="AZ134" s="22">
        <f t="shared" si="2386"/>
        <v>-1.9607843137254943E-2</v>
      </c>
      <c r="BA134" s="22">
        <f t="shared" si="2386"/>
        <v>0</v>
      </c>
      <c r="BB134" s="28">
        <f t="shared" si="2386"/>
        <v>3.7456317369690462E-2</v>
      </c>
      <c r="BC134" s="28">
        <f t="shared" si="2386"/>
        <v>8.5520868845273545E-2</v>
      </c>
      <c r="BD134" s="28">
        <f t="shared" si="2386"/>
        <v>0.16508997429305916</v>
      </c>
      <c r="BE134" s="28">
        <f t="shared" si="2386"/>
        <v>8.0205588908564662E-2</v>
      </c>
      <c r="BF134" s="28">
        <f t="shared" si="2386"/>
        <v>0.12857007306196033</v>
      </c>
      <c r="BG134" s="28">
        <f t="shared" si="2386"/>
        <v>0.1074072412400735</v>
      </c>
      <c r="BH134" s="28">
        <f t="shared" si="2386"/>
        <v>0.1240457173116809</v>
      </c>
      <c r="BI134" s="28">
        <f t="shared" si="2386"/>
        <v>0.12690923630547779</v>
      </c>
      <c r="BJ134" s="28">
        <f t="shared" si="2386"/>
        <v>8.9751135026063578E-2</v>
      </c>
      <c r="BK134" s="28">
        <f t="shared" si="2386"/>
        <v>0.1449985820200137</v>
      </c>
      <c r="BL134" s="28">
        <f t="shared" si="2386"/>
        <v>0.17426978643216073</v>
      </c>
      <c r="CI134" s="112"/>
      <c r="CJ134" s="112"/>
      <c r="CK134" s="112"/>
      <c r="CL134" s="112"/>
      <c r="CM134" s="112"/>
      <c r="CN134" s="112"/>
      <c r="CO134" s="106" t="s">
        <v>82</v>
      </c>
      <c r="CP134" s="107">
        <f t="shared" ref="CP134" si="2387">IF(AND(CO132&lt;0,CP132&gt;0),"n/a",CP132/CO132-1)</f>
        <v>0.18694727577146852</v>
      </c>
      <c r="CQ134" s="22">
        <f t="shared" ref="CQ134" si="2388">IF(AND(CP132&lt;0,CQ132&gt;0),"n/a",CQ132/CP132-1)</f>
        <v>0.23639238750485481</v>
      </c>
      <c r="CR134" s="107">
        <f t="shared" ref="CR134" si="2389">IF(AND(CQ132&lt;0,CR132&gt;0),"n/a",CR132/CQ132-1)</f>
        <v>0.14340206879529704</v>
      </c>
      <c r="CS134" s="22">
        <f t="shared" ref="CS134:CU134" si="2390">IF(AND(CR132&lt;0,CS132&gt;0),"n/a",CS132/CR132-1)</f>
        <v>8.6581106008870146E-2</v>
      </c>
      <c r="CT134" s="107">
        <f t="shared" si="2390"/>
        <v>0.42869785082174472</v>
      </c>
      <c r="CU134" s="107">
        <f t="shared" si="2390"/>
        <v>5.4938248195482098E-2</v>
      </c>
      <c r="CV134" s="107">
        <f>IF(AND(CU132&lt;0,CV132&gt;0),"n/a",CV132/CU132-1)</f>
        <v>9.0889482702838809E-2</v>
      </c>
      <c r="CW134" s="107">
        <f>IF(AND(CV132&lt;0,CW132&gt;0),"n/a",CW132/CV132-1)</f>
        <v>0.12180627869680793</v>
      </c>
      <c r="CX134" s="92"/>
      <c r="CY134" s="92"/>
      <c r="CZ134" s="92"/>
      <c r="DA134" s="92"/>
      <c r="DB134" s="92"/>
      <c r="DC134" s="92"/>
    </row>
    <row r="135" spans="1:107" hidden="1" outlineLevel="1" x14ac:dyDescent="0.2">
      <c r="A135" s="14" t="s">
        <v>61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22">
        <f t="shared" ref="Z135:AT135" si="2391">Z132/Z$64</f>
        <v>0.353466801162583</v>
      </c>
      <c r="AA135" s="22">
        <f t="shared" si="2391"/>
        <v>0.34863321093431249</v>
      </c>
      <c r="AB135" s="22">
        <f t="shared" si="2391"/>
        <v>0.32942563624558341</v>
      </c>
      <c r="AC135" s="22">
        <f t="shared" si="2391"/>
        <v>0.31909666528050062</v>
      </c>
      <c r="AD135" s="22">
        <f t="shared" si="2391"/>
        <v>0.32690909090909093</v>
      </c>
      <c r="AE135" s="22">
        <f t="shared" si="2391"/>
        <v>0.32852748942714338</v>
      </c>
      <c r="AF135" s="22">
        <f t="shared" si="2391"/>
        <v>0.32756013250756155</v>
      </c>
      <c r="AG135" s="22">
        <f t="shared" si="2391"/>
        <v>0.31906073074900226</v>
      </c>
      <c r="AH135" s="22">
        <f t="shared" si="2391"/>
        <v>0.33628716368072947</v>
      </c>
      <c r="AI135" s="22">
        <f t="shared" si="2391"/>
        <v>0.33025078849863737</v>
      </c>
      <c r="AJ135" s="22">
        <f t="shared" si="2391"/>
        <v>0.32477771191464139</v>
      </c>
      <c r="AK135" s="22">
        <f t="shared" si="2391"/>
        <v>0.31444138914349729</v>
      </c>
      <c r="AL135" s="22">
        <f t="shared" si="2391"/>
        <v>0.32447233000357745</v>
      </c>
      <c r="AM135" s="22">
        <f t="shared" si="2391"/>
        <v>0.31843159408381266</v>
      </c>
      <c r="AN135" s="22">
        <f t="shared" si="2391"/>
        <v>0.3127731548927134</v>
      </c>
      <c r="AO135" s="22">
        <f t="shared" si="2391"/>
        <v>0.30600108518719477</v>
      </c>
      <c r="AP135" s="22">
        <f t="shared" si="2391"/>
        <v>0.31208241210913773</v>
      </c>
      <c r="AQ135" s="22">
        <f t="shared" si="2391"/>
        <v>0.29670731388881638</v>
      </c>
      <c r="AR135" s="22">
        <f t="shared" si="2391"/>
        <v>0.30156151863643255</v>
      </c>
      <c r="AS135" s="22">
        <f t="shared" si="2391"/>
        <v>0.30296319730043236</v>
      </c>
      <c r="AT135" s="22">
        <f t="shared" si="2391"/>
        <v>0.3078967350037965</v>
      </c>
      <c r="AU135" s="22">
        <f t="shared" ref="AU135:AV135" si="2392">AU132/AU$64</f>
        <v>0.30840336134453783</v>
      </c>
      <c r="AV135" s="22">
        <f t="shared" si="2392"/>
        <v>0.30466230535335853</v>
      </c>
      <c r="AW135" s="22">
        <f t="shared" ref="AW135:AX135" si="2393">AW132/AW$64</f>
        <v>0.30737470959176899</v>
      </c>
      <c r="AX135" s="22">
        <f t="shared" si="2393"/>
        <v>0.2987310876181794</v>
      </c>
      <c r="AY135" s="22">
        <f t="shared" ref="AY135:AZ135" si="2394">AY132/AY$64</f>
        <v>0.29465451675396426</v>
      </c>
      <c r="AZ135" s="22">
        <f t="shared" si="2394"/>
        <v>0.28150871302032071</v>
      </c>
      <c r="BA135" s="22">
        <f t="shared" ref="BA135:BB135" si="2395">BA132/BA$64</f>
        <v>0.3044524510835262</v>
      </c>
      <c r="BB135" s="28">
        <f t="shared" si="2395"/>
        <v>0.30203332998982618</v>
      </c>
      <c r="BC135" s="28">
        <f t="shared" ref="BC135:BD135" si="2396">BC132/BC$64</f>
        <v>0.29876414133290441</v>
      </c>
      <c r="BD135" s="28">
        <f t="shared" si="2396"/>
        <v>0.29547677102212716</v>
      </c>
      <c r="BE135" s="28">
        <f t="shared" ref="BE135:BF135" si="2397">BE132/BE$64</f>
        <v>0.28976943575483721</v>
      </c>
      <c r="BF135" s="28">
        <f t="shared" si="2397"/>
        <v>0.29536001191969108</v>
      </c>
      <c r="BG135" s="28">
        <f t="shared" ref="BG135:BH135" si="2398">BG132/BG$64</f>
        <v>0.29127233249156265</v>
      </c>
      <c r="BH135" s="28">
        <f t="shared" si="2398"/>
        <v>0.28857570127339466</v>
      </c>
      <c r="BI135" s="28">
        <f t="shared" ref="BI135:BJ135" si="2399">BI132/BI$64</f>
        <v>0.29215602939804497</v>
      </c>
      <c r="BJ135" s="28">
        <f t="shared" si="2399"/>
        <v>0.28728638872265444</v>
      </c>
      <c r="BK135" s="28">
        <f t="shared" ref="BK135:BL135" si="2400">BK132/BK$64</f>
        <v>0.2930891442319658</v>
      </c>
      <c r="BL135" s="28">
        <f t="shared" si="2400"/>
        <v>0.29225372755163859</v>
      </c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112"/>
      <c r="CJ135" s="112"/>
      <c r="CK135" s="112"/>
      <c r="CL135" s="112"/>
      <c r="CM135" s="112"/>
      <c r="CN135" s="112"/>
      <c r="CO135" s="111">
        <f t="shared" ref="CO135:CT135" si="2401">CO132/CO$64</f>
        <v>0.33641285746919009</v>
      </c>
      <c r="CP135" s="111">
        <f t="shared" si="2401"/>
        <v>0.32516350187181453</v>
      </c>
      <c r="CQ135" s="111">
        <f t="shared" si="2401"/>
        <v>0.32573692250345349</v>
      </c>
      <c r="CR135" s="111">
        <f t="shared" si="2401"/>
        <v>0.31483346410720575</v>
      </c>
      <c r="CS135" s="111">
        <f t="shared" si="2401"/>
        <v>0.30335238074367082</v>
      </c>
      <c r="CT135" s="111">
        <f t="shared" si="2401"/>
        <v>0.30704828887155183</v>
      </c>
      <c r="CU135" s="111">
        <f t="shared" ref="CU135" si="2402">CU132/CU$64</f>
        <v>0.29505791341979098</v>
      </c>
      <c r="CV135" s="111">
        <f>CV132/CV$64</f>
        <v>0.29616062772858287</v>
      </c>
      <c r="CW135" s="111">
        <f>CW132/CW$64</f>
        <v>0.29177642292682093</v>
      </c>
      <c r="CX135" s="92"/>
      <c r="CY135" s="92"/>
      <c r="CZ135" s="92"/>
      <c r="DA135" s="92"/>
      <c r="DB135" s="92"/>
      <c r="DC135" s="92"/>
    </row>
    <row r="136" spans="1:107" hidden="1" outlineLevel="1" x14ac:dyDescent="0.2">
      <c r="A136" s="14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2"/>
      <c r="BN136" s="22"/>
      <c r="BO136" s="22"/>
      <c r="BP136" s="22"/>
      <c r="BQ136" s="22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92"/>
      <c r="CK136" s="92"/>
      <c r="CL136" s="92"/>
      <c r="CN136" s="92"/>
      <c r="CP136" s="92"/>
      <c r="CR136" s="92"/>
      <c r="CT136" s="92"/>
      <c r="CV136" s="92"/>
      <c r="CW136" s="92"/>
      <c r="CX136" s="92"/>
      <c r="CY136" s="92"/>
      <c r="CZ136" s="92"/>
      <c r="DA136" s="92"/>
      <c r="DB136" s="92"/>
      <c r="DC136" s="92"/>
    </row>
    <row r="137" spans="1:107" hidden="1" outlineLevel="1" x14ac:dyDescent="0.2">
      <c r="A137" s="9" t="s">
        <v>96</v>
      </c>
      <c r="B137" s="17">
        <v>842</v>
      </c>
      <c r="C137" s="17">
        <v>770</v>
      </c>
      <c r="D137" s="17">
        <v>840</v>
      </c>
      <c r="E137" s="17">
        <v>878</v>
      </c>
      <c r="F137" s="17">
        <v>969</v>
      </c>
      <c r="G137" s="17">
        <v>976</v>
      </c>
      <c r="H137" s="17">
        <v>1047</v>
      </c>
      <c r="I137" s="17">
        <v>1064</v>
      </c>
      <c r="J137" s="17">
        <v>1150</v>
      </c>
      <c r="K137" s="17">
        <v>1175</v>
      </c>
      <c r="L137" s="17">
        <v>1216</v>
      </c>
      <c r="M137" s="17">
        <v>1305</v>
      </c>
      <c r="N137" s="17">
        <v>1387</v>
      </c>
      <c r="O137" s="17">
        <v>1321</v>
      </c>
      <c r="P137" s="17">
        <v>1389</v>
      </c>
      <c r="Q137" s="17">
        <v>1516</v>
      </c>
      <c r="R137" s="17">
        <v>1583</v>
      </c>
      <c r="S137" s="17">
        <v>1616</v>
      </c>
      <c r="T137" s="17">
        <v>1627</v>
      </c>
      <c r="U137" s="17">
        <v>1657</v>
      </c>
      <c r="V137" s="17">
        <v>1675</v>
      </c>
      <c r="W137" s="17">
        <v>1678</v>
      </c>
      <c r="X137" s="17">
        <v>1792</v>
      </c>
      <c r="Y137" s="17">
        <v>1922</v>
      </c>
      <c r="Z137" s="17">
        <v>1921</v>
      </c>
      <c r="AA137" s="17">
        <v>1914</v>
      </c>
      <c r="AB137" s="17">
        <v>1890</v>
      </c>
      <c r="AC137" s="17">
        <v>2062</v>
      </c>
      <c r="AD137" s="17">
        <v>2025</v>
      </c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CI137" s="90">
        <f>SUM(B137:E137)</f>
        <v>3330</v>
      </c>
      <c r="CJ137" s="21">
        <f>SUM(F137:I137)</f>
        <v>4056</v>
      </c>
      <c r="CK137" s="90">
        <f>SUM(J137:M137)</f>
        <v>4846</v>
      </c>
      <c r="CL137" s="90">
        <f>SUM(N137:Q137)</f>
        <v>5613</v>
      </c>
      <c r="CM137" s="21">
        <f>SUM(R137:U137)</f>
        <v>6483</v>
      </c>
      <c r="CN137" s="90">
        <f>SUM(V137:Y137)</f>
        <v>7067</v>
      </c>
      <c r="CO137" s="21">
        <f>SUM(Z137:AC137)</f>
        <v>7787</v>
      </c>
      <c r="CP137" s="90">
        <f>SUM(AD137:AG137)</f>
        <v>2025</v>
      </c>
      <c r="CQ137" s="112"/>
      <c r="CR137" s="112"/>
      <c r="CS137" s="112"/>
      <c r="CT137" s="112"/>
      <c r="CU137" s="19"/>
      <c r="CV137" s="112"/>
      <c r="CW137" s="112"/>
      <c r="CX137" s="112"/>
      <c r="CY137" s="112"/>
      <c r="CZ137" s="112"/>
      <c r="DA137" s="112"/>
      <c r="DB137" s="112"/>
      <c r="DC137" s="112"/>
    </row>
    <row r="138" spans="1:107" hidden="1" outlineLevel="1" x14ac:dyDescent="0.2">
      <c r="A138" s="8" t="s">
        <v>62</v>
      </c>
      <c r="B138" s="25" t="s">
        <v>82</v>
      </c>
      <c r="C138" s="22">
        <f t="shared" ref="C138" si="2403">IF(AND(B137&lt;0,C137&gt;0),"n/a",C137/B137-1)</f>
        <v>-8.5510688836104465E-2</v>
      </c>
      <c r="D138" s="22">
        <f t="shared" ref="D138" si="2404">IF(AND(C137&lt;0,D137&gt;0),"n/a",D137/C137-1)</f>
        <v>9.0909090909090828E-2</v>
      </c>
      <c r="E138" s="22">
        <f t="shared" ref="E138" si="2405">IF(AND(D137&lt;0,E137&gt;0),"n/a",E137/D137-1)</f>
        <v>4.5238095238095299E-2</v>
      </c>
      <c r="F138" s="22">
        <f t="shared" ref="F138" si="2406">IF(AND(E137&lt;0,F137&gt;0),"n/a",F137/E137-1)</f>
        <v>0.10364464692482911</v>
      </c>
      <c r="G138" s="22">
        <f t="shared" ref="G138" si="2407">IF(AND(F137&lt;0,G137&gt;0),"n/a",G137/F137-1)</f>
        <v>7.2239422084623417E-3</v>
      </c>
      <c r="H138" s="22">
        <f t="shared" ref="H138" si="2408">IF(AND(G137&lt;0,H137&gt;0),"n/a",H137/G137-1)</f>
        <v>7.2745901639344357E-2</v>
      </c>
      <c r="I138" s="22">
        <f t="shared" ref="I138" si="2409">IF(AND(H137&lt;0,I137&gt;0),"n/a",I137/H137-1)</f>
        <v>1.6236867239732611E-2</v>
      </c>
      <c r="J138" s="22">
        <f t="shared" ref="J138" si="2410">IF(AND(I137&lt;0,J137&gt;0),"n/a",J137/I137-1)</f>
        <v>8.0827067669172914E-2</v>
      </c>
      <c r="K138" s="22">
        <f t="shared" ref="K138" si="2411">IF(AND(J137&lt;0,K137&gt;0),"n/a",K137/J137-1)</f>
        <v>2.1739130434782705E-2</v>
      </c>
      <c r="L138" s="22">
        <f t="shared" ref="L138" si="2412">IF(AND(K137&lt;0,L137&gt;0),"n/a",L137/K137-1)</f>
        <v>3.4893617021276579E-2</v>
      </c>
      <c r="M138" s="22">
        <f t="shared" ref="M138" si="2413">IF(AND(L137&lt;0,M137&gt;0),"n/a",M137/L137-1)</f>
        <v>7.3190789473684292E-2</v>
      </c>
      <c r="N138" s="22">
        <f t="shared" ref="N138" si="2414">IF(AND(M137&lt;0,N137&gt;0),"n/a",N137/M137-1)</f>
        <v>6.2835249042145547E-2</v>
      </c>
      <c r="O138" s="22">
        <f t="shared" ref="O138" si="2415">IF(AND(N137&lt;0,O137&gt;0),"n/a",O137/N137-1)</f>
        <v>-4.7584715212689255E-2</v>
      </c>
      <c r="P138" s="22">
        <f t="shared" ref="P138" si="2416">IF(AND(O137&lt;0,P137&gt;0),"n/a",P137/O137-1)</f>
        <v>5.1476154428463206E-2</v>
      </c>
      <c r="Q138" s="22">
        <f t="shared" ref="Q138" si="2417">IF(AND(P137&lt;0,Q137&gt;0),"n/a",Q137/P137-1)</f>
        <v>9.1432685385169243E-2</v>
      </c>
      <c r="R138" s="22">
        <f t="shared" ref="R138" si="2418">IF(AND(Q137&lt;0,R137&gt;0),"n/a",R137/Q137-1)</f>
        <v>4.4195250659630592E-2</v>
      </c>
      <c r="S138" s="22">
        <f t="shared" ref="S138" si="2419">IF(AND(R137&lt;0,S137&gt;0),"n/a",S137/R137-1)</f>
        <v>2.0846493998736504E-2</v>
      </c>
      <c r="T138" s="22">
        <f t="shared" ref="T138" si="2420">IF(AND(S137&lt;0,T137&gt;0),"n/a",T137/S137-1)</f>
        <v>6.8069306930693685E-3</v>
      </c>
      <c r="U138" s="22">
        <f t="shared" ref="U138" si="2421">IF(AND(T137&lt;0,U137&gt;0),"n/a",U137/T137-1)</f>
        <v>1.8438844499077955E-2</v>
      </c>
      <c r="V138" s="22">
        <f t="shared" ref="V138" si="2422">IF(AND(U137&lt;0,V137&gt;0),"n/a",V137/U137-1)</f>
        <v>1.0863005431502648E-2</v>
      </c>
      <c r="W138" s="22">
        <f t="shared" ref="W138" si="2423">IF(AND(V137&lt;0,W137&gt;0),"n/a",W137/V137-1)</f>
        <v>1.7910447761193549E-3</v>
      </c>
      <c r="X138" s="22">
        <f t="shared" ref="X138" si="2424">IF(AND(W137&lt;0,X137&gt;0),"n/a",X137/W137-1)</f>
        <v>6.7938021454112096E-2</v>
      </c>
      <c r="Y138" s="22">
        <f t="shared" ref="Y138" si="2425">IF(AND(X137&lt;0,Y137&gt;0),"n/a",Y137/X137-1)</f>
        <v>7.2544642857142794E-2</v>
      </c>
      <c r="Z138" s="22">
        <f t="shared" ref="Z138" si="2426">IF(AND(Y137&lt;0,Z137&gt;0),"n/a",Z137/Y137-1)</f>
        <v>-5.2029136316333879E-4</v>
      </c>
      <c r="AA138" s="22">
        <f t="shared" ref="AA138" si="2427">IF(AND(Z137&lt;0,AA137&gt;0),"n/a",AA137/Z137-1)</f>
        <v>-3.6439354502862953E-3</v>
      </c>
      <c r="AB138" s="22">
        <f t="shared" ref="AB138" si="2428">IF(AND(AA137&lt;0,AB137&gt;0),"n/a",AB137/AA137-1)</f>
        <v>-1.2539184952978011E-2</v>
      </c>
      <c r="AC138" s="22">
        <f t="shared" ref="AC138" si="2429">IF(AND(AB137&lt;0,AC137&gt;0),"n/a",AC137/AB137-1)</f>
        <v>9.1005291005290978E-2</v>
      </c>
      <c r="AD138" s="22">
        <f t="shared" ref="AD138" si="2430">IF(AND(AC137&lt;0,AD137&gt;0),"n/a",AD137/AC137-1)</f>
        <v>-1.7943743937924306E-2</v>
      </c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CI138" s="106" t="s">
        <v>82</v>
      </c>
      <c r="CJ138" s="48" t="s">
        <v>82</v>
      </c>
      <c r="CK138" s="106" t="s">
        <v>82</v>
      </c>
      <c r="CL138" s="106" t="s">
        <v>82</v>
      </c>
      <c r="CM138" s="48" t="s">
        <v>82</v>
      </c>
      <c r="CN138" s="106" t="s">
        <v>82</v>
      </c>
      <c r="CO138" s="48" t="s">
        <v>82</v>
      </c>
      <c r="CP138" s="106" t="s">
        <v>82</v>
      </c>
      <c r="CQ138" s="112"/>
      <c r="CR138" s="112"/>
      <c r="CS138" s="112"/>
      <c r="CT138" s="112"/>
      <c r="CU138" s="19"/>
      <c r="CV138" s="112"/>
      <c r="CW138" s="112"/>
      <c r="CX138" s="112"/>
      <c r="CY138" s="112"/>
      <c r="CZ138" s="112"/>
      <c r="DA138" s="112"/>
      <c r="DB138" s="112"/>
      <c r="DC138" s="112"/>
    </row>
    <row r="139" spans="1:107" hidden="1" outlineLevel="1" x14ac:dyDescent="0.2">
      <c r="A139" s="8" t="s">
        <v>63</v>
      </c>
      <c r="B139" s="25" t="s">
        <v>82</v>
      </c>
      <c r="C139" s="25" t="s">
        <v>82</v>
      </c>
      <c r="D139" s="25" t="s">
        <v>82</v>
      </c>
      <c r="E139" s="25" t="s">
        <v>82</v>
      </c>
      <c r="F139" s="22">
        <f t="shared" ref="F139" si="2431">IF(AND(B137&lt;0,F137&gt;0),"n/a",F137/B137-1)</f>
        <v>0.15083135391923985</v>
      </c>
      <c r="G139" s="22">
        <f t="shared" ref="G139" si="2432">IF(AND(C137&lt;0,G137&gt;0),"n/a",G137/C137-1)</f>
        <v>0.26753246753246751</v>
      </c>
      <c r="H139" s="22">
        <f t="shared" ref="H139" si="2433">IF(AND(D137&lt;0,H137&gt;0),"n/a",H137/D137-1)</f>
        <v>0.24642857142857144</v>
      </c>
      <c r="I139" s="22">
        <f t="shared" ref="I139" si="2434">IF(AND(E137&lt;0,I137&gt;0),"n/a",I137/E137-1)</f>
        <v>0.21184510250569466</v>
      </c>
      <c r="J139" s="22">
        <f t="shared" ref="J139" si="2435">IF(AND(F137&lt;0,J137&gt;0),"n/a",J137/F137-1)</f>
        <v>0.18679050567595468</v>
      </c>
      <c r="K139" s="22">
        <f t="shared" ref="K139" si="2436">IF(AND(G137&lt;0,K137&gt;0),"n/a",K137/G137-1)</f>
        <v>0.20389344262295084</v>
      </c>
      <c r="L139" s="22">
        <f t="shared" ref="L139" si="2437">IF(AND(H137&lt;0,L137&gt;0),"n/a",L137/H137-1)</f>
        <v>0.16141356255969441</v>
      </c>
      <c r="M139" s="22">
        <f t="shared" ref="M139" si="2438">IF(AND(I137&lt;0,M137&gt;0),"n/a",M137/I137-1)</f>
        <v>0.22650375939849621</v>
      </c>
      <c r="N139" s="22">
        <f t="shared" ref="N139" si="2439">IF(AND(J137&lt;0,N137&gt;0),"n/a",N137/J137-1)</f>
        <v>0.20608695652173914</v>
      </c>
      <c r="O139" s="22">
        <f t="shared" ref="O139" si="2440">IF(AND(K137&lt;0,O137&gt;0),"n/a",O137/K137-1)</f>
        <v>0.12425531914893617</v>
      </c>
      <c r="P139" s="22">
        <f t="shared" ref="P139" si="2441">IF(AND(L137&lt;0,P137&gt;0),"n/a",P137/L137-1)</f>
        <v>0.14226973684210531</v>
      </c>
      <c r="Q139" s="22">
        <f t="shared" ref="Q139" si="2442">IF(AND(M137&lt;0,Q137&gt;0),"n/a",Q137/M137-1)</f>
        <v>0.16168582375478935</v>
      </c>
      <c r="R139" s="22">
        <f t="shared" ref="R139" si="2443">IF(AND(N137&lt;0,R137&gt;0),"n/a",R137/N137-1)</f>
        <v>0.14131218457101657</v>
      </c>
      <c r="S139" s="22">
        <f t="shared" ref="S139" si="2444">IF(AND(O137&lt;0,S137&gt;0),"n/a",S137/O137-1)</f>
        <v>0.2233156699470098</v>
      </c>
      <c r="T139" s="22">
        <f t="shared" ref="T139" si="2445">IF(AND(P137&lt;0,T137&gt;0),"n/a",T137/P137-1)</f>
        <v>0.17134629229661624</v>
      </c>
      <c r="U139" s="22">
        <f t="shared" ref="U139" si="2446">IF(AND(Q137&lt;0,U137&gt;0),"n/a",U137/Q137-1)</f>
        <v>9.3007915567282273E-2</v>
      </c>
      <c r="V139" s="22">
        <f t="shared" ref="V139" si="2447">IF(AND(R137&lt;0,V137&gt;0),"n/a",V137/R137-1)</f>
        <v>5.8117498420720226E-2</v>
      </c>
      <c r="W139" s="22">
        <f t="shared" ref="W139" si="2448">IF(AND(S137&lt;0,W137&gt;0),"n/a",W137/S137-1)</f>
        <v>3.8366336633663289E-2</v>
      </c>
      <c r="X139" s="22">
        <f t="shared" ref="X139" si="2449">IF(AND(T137&lt;0,X137&gt;0),"n/a",X137/T137-1)</f>
        <v>0.10141364474492942</v>
      </c>
      <c r="Y139" s="22">
        <f t="shared" ref="Y139" si="2450">IF(AND(U137&lt;0,Y137&gt;0),"n/a",Y137/U137-1)</f>
        <v>0.15992757996379003</v>
      </c>
      <c r="Z139" s="22">
        <f t="shared" ref="Z139" si="2451">IF(AND(V137&lt;0,Z137&gt;0),"n/a",Z137/V137-1)</f>
        <v>0.1468656716417911</v>
      </c>
      <c r="AA139" s="22">
        <f t="shared" ref="AA139" si="2452">IF(AND(W137&lt;0,AA137&gt;0),"n/a",AA137/W137-1)</f>
        <v>0.14064362336114411</v>
      </c>
      <c r="AB139" s="22">
        <f t="shared" ref="AB139" si="2453">IF(AND(X137&lt;0,AB137&gt;0),"n/a",AB137/X137-1)</f>
        <v>5.46875E-2</v>
      </c>
      <c r="AC139" s="22">
        <f t="shared" ref="AC139" si="2454">IF(AND(Y137&lt;0,AC137&gt;0),"n/a",AC137/Y137-1)</f>
        <v>7.2840790842872094E-2</v>
      </c>
      <c r="AD139" s="22">
        <f t="shared" ref="AD139" si="2455">IF(AND(Z137&lt;0,AD137&gt;0),"n/a",AD137/Z137-1)</f>
        <v>5.413846954711099E-2</v>
      </c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CI139" s="106" t="s">
        <v>82</v>
      </c>
      <c r="CJ139" s="22">
        <f>IF(AND(CI137&lt;0,CJ137&gt;0),"n/a",CJ137/CI137-1)</f>
        <v>0.21801801801801801</v>
      </c>
      <c r="CK139" s="107">
        <f t="shared" ref="CK139" si="2456">IF(AND(CJ137&lt;0,CK137&gt;0),"n/a",CK137/CJ137-1)</f>
        <v>0.19477317554240625</v>
      </c>
      <c r="CL139" s="107">
        <f t="shared" ref="CL139" si="2457">IF(AND(CK137&lt;0,CL137&gt;0),"n/a",CL137/CK137-1)</f>
        <v>0.15827486586875783</v>
      </c>
      <c r="CM139" s="22">
        <f t="shared" ref="CM139" si="2458">IF(AND(CL137&lt;0,CM137&gt;0),"n/a",CM137/CL137-1)</f>
        <v>0.15499732763228224</v>
      </c>
      <c r="CN139" s="107">
        <f t="shared" ref="CN139" si="2459">IF(AND(CM137&lt;0,CN137&gt;0),"n/a",CN137/CM137-1)</f>
        <v>9.0081752275181337E-2</v>
      </c>
      <c r="CO139" s="22">
        <f t="shared" ref="CO139" si="2460">IF(AND(CN137&lt;0,CO137&gt;0),"n/a",CO137/CN137-1)</f>
        <v>0.1018819866987406</v>
      </c>
      <c r="CP139" s="107">
        <f t="shared" ref="CP139" si="2461">IF(AND(CO137&lt;0,CP137&gt;0),"n/a",CP137/CO137-1)</f>
        <v>-0.73995120071914733</v>
      </c>
      <c r="CQ139" s="112"/>
      <c r="CR139" s="112"/>
      <c r="CS139" s="112"/>
      <c r="CT139" s="112"/>
      <c r="CU139" s="19"/>
      <c r="CV139" s="112"/>
      <c r="CW139" s="112"/>
      <c r="CX139" s="112"/>
      <c r="CY139" s="112"/>
      <c r="CZ139" s="112"/>
      <c r="DA139" s="112"/>
      <c r="DB139" s="112"/>
      <c r="DC139" s="112"/>
    </row>
    <row r="140" spans="1:107" hidden="1" outlineLevel="1" x14ac:dyDescent="0.2">
      <c r="A140" s="8" t="s">
        <v>61</v>
      </c>
      <c r="B140" s="22">
        <f t="shared" ref="B140:AD140" si="2462">B137/B$64</f>
        <v>0.12428044280442804</v>
      </c>
      <c r="C140" s="22">
        <f t="shared" si="2462"/>
        <v>0.11290322580645161</v>
      </c>
      <c r="D140" s="22">
        <f t="shared" si="2462"/>
        <v>0.11528959648641229</v>
      </c>
      <c r="E140" s="22">
        <f t="shared" si="2462"/>
        <v>0.10402843601895735</v>
      </c>
      <c r="F140" s="22">
        <f t="shared" si="2462"/>
        <v>0.11300291545189504</v>
      </c>
      <c r="G140" s="22">
        <f t="shared" si="2462"/>
        <v>0.10813206292931531</v>
      </c>
      <c r="H140" s="22">
        <f t="shared" si="2462"/>
        <v>0.10771604938271605</v>
      </c>
      <c r="I140" s="22">
        <f t="shared" si="2462"/>
        <v>0.10052910052910052</v>
      </c>
      <c r="J140" s="22">
        <f t="shared" si="2462"/>
        <v>0.10803193987787693</v>
      </c>
      <c r="K140" s="22">
        <f t="shared" si="2462"/>
        <v>0.10716891645384896</v>
      </c>
      <c r="L140" s="22">
        <f t="shared" si="2462"/>
        <v>0.10550060732257505</v>
      </c>
      <c r="M140" s="22">
        <f t="shared" si="2462"/>
        <v>0.10112359550561797</v>
      </c>
      <c r="N140" s="22">
        <f t="shared" si="2462"/>
        <v>0.10712079085573062</v>
      </c>
      <c r="O140" s="22">
        <f t="shared" si="2462"/>
        <v>0.10080891330891331</v>
      </c>
      <c r="P140" s="22">
        <f t="shared" si="2462"/>
        <v>0.1010108355755945</v>
      </c>
      <c r="Q140" s="22">
        <f t="shared" si="2462"/>
        <v>9.6462204123186568E-2</v>
      </c>
      <c r="R140" s="22">
        <f t="shared" si="2462"/>
        <v>0.10265888456549935</v>
      </c>
      <c r="S140" s="22">
        <f t="shared" si="2462"/>
        <v>0.10128486367909746</v>
      </c>
      <c r="T140" s="22">
        <f t="shared" si="2462"/>
        <v>9.8468801065181868E-2</v>
      </c>
      <c r="U140" s="22">
        <f t="shared" si="2462"/>
        <v>9.1531790310998173E-2</v>
      </c>
      <c r="V140" s="22">
        <f t="shared" si="2462"/>
        <v>9.7056437594159231E-2</v>
      </c>
      <c r="W140" s="22">
        <f t="shared" si="2462"/>
        <v>9.4657866531279972E-2</v>
      </c>
      <c r="X140" s="22">
        <f t="shared" si="2462"/>
        <v>9.5957161981258365E-2</v>
      </c>
      <c r="Y140" s="22">
        <f t="shared" si="2462"/>
        <v>9.0112054010970985E-2</v>
      </c>
      <c r="Z140" s="22">
        <f t="shared" si="2462"/>
        <v>9.4831416300538082E-2</v>
      </c>
      <c r="AA140" s="22">
        <f t="shared" si="2462"/>
        <v>8.9023255813953484E-2</v>
      </c>
      <c r="AB140" s="22">
        <f t="shared" si="2462"/>
        <v>8.4183332590975907E-2</v>
      </c>
      <c r="AC140" s="22">
        <f t="shared" si="2462"/>
        <v>7.9112952731737268E-2</v>
      </c>
      <c r="AD140" s="22">
        <f t="shared" si="2462"/>
        <v>8.1818181818181818E-2</v>
      </c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CI140" s="111">
        <f>CI137/CI$64</f>
        <v>0.11357047849664063</v>
      </c>
      <c r="CJ140" s="111">
        <f t="shared" ref="CJ140:CP140" si="2463">CJ137/CJ$64</f>
        <v>0.10700435298773249</v>
      </c>
      <c r="CK140" s="111">
        <f t="shared" si="2463"/>
        <v>0.10525629887054735</v>
      </c>
      <c r="CL140" s="111">
        <f t="shared" si="2463"/>
        <v>0.10110052414488734</v>
      </c>
      <c r="CM140" s="111">
        <f t="shared" si="2463"/>
        <v>9.8225784457811244E-2</v>
      </c>
      <c r="CN140" s="111">
        <f t="shared" si="2463"/>
        <v>9.4240488604995398E-2</v>
      </c>
      <c r="CO140" s="111">
        <f t="shared" si="2463"/>
        <v>8.6261520737327194E-2</v>
      </c>
      <c r="CP140" s="111">
        <f t="shared" si="2463"/>
        <v>1.8267105678589149E-2</v>
      </c>
      <c r="CQ140" s="112"/>
      <c r="CR140" s="112"/>
      <c r="CS140" s="112"/>
      <c r="CT140" s="112"/>
      <c r="CU140" s="19"/>
      <c r="CV140" s="112"/>
      <c r="CW140" s="112"/>
      <c r="CX140" s="112"/>
      <c r="CY140" s="112"/>
      <c r="CZ140" s="112"/>
      <c r="DA140" s="112"/>
      <c r="DB140" s="112"/>
      <c r="DC140" s="112"/>
    </row>
    <row r="141" spans="1:107" hidden="1" outlineLevel="1" x14ac:dyDescent="0.2">
      <c r="A141" s="14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92"/>
      <c r="CK141" s="92"/>
      <c r="CL141" s="92"/>
      <c r="CN141" s="92"/>
      <c r="CP141" s="92"/>
      <c r="CR141" s="92"/>
      <c r="CT141" s="92"/>
      <c r="CV141" s="92"/>
      <c r="CW141" s="92"/>
      <c r="CX141" s="92"/>
      <c r="CY141" s="92"/>
      <c r="CZ141" s="92"/>
      <c r="DA141" s="92"/>
      <c r="DB141" s="92"/>
      <c r="DC141" s="92"/>
    </row>
    <row r="142" spans="1:107" hidden="1" outlineLevel="1" x14ac:dyDescent="0.2">
      <c r="A142" s="4" t="s">
        <v>97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8">
        <v>2805.4263565891474</v>
      </c>
      <c r="AA142" s="18">
        <v>2914.0625</v>
      </c>
      <c r="AB142" s="18">
        <v>3255.0387596899222</v>
      </c>
      <c r="AC142" s="18">
        <v>3605.3846153846152</v>
      </c>
      <c r="AD142" s="18">
        <v>3619</v>
      </c>
      <c r="AE142" s="18">
        <v>3730</v>
      </c>
      <c r="AF142" s="18">
        <v>4199</v>
      </c>
      <c r="AG142" s="18">
        <v>4687</v>
      </c>
      <c r="AH142" s="18">
        <v>4804</v>
      </c>
      <c r="AI142" s="18">
        <v>5090</v>
      </c>
      <c r="AJ142" s="18">
        <v>5424</v>
      </c>
      <c r="AK142" s="18">
        <v>6056</v>
      </c>
      <c r="AL142" s="18">
        <v>6112</v>
      </c>
      <c r="AM142" s="18">
        <v>6551</v>
      </c>
      <c r="AN142" s="18">
        <v>6828</v>
      </c>
      <c r="AO142" s="17">
        <v>7482</v>
      </c>
      <c r="AP142" s="17">
        <v>7238</v>
      </c>
      <c r="AQ142" s="17">
        <v>6945</v>
      </c>
      <c r="AR142" s="17">
        <v>8458</v>
      </c>
      <c r="AS142" s="17">
        <v>9909</v>
      </c>
      <c r="AT142" s="17">
        <v>10455</v>
      </c>
      <c r="AU142" s="18">
        <v>11231</v>
      </c>
      <c r="AV142" s="18">
        <v>11705</v>
      </c>
      <c r="AW142" s="18">
        <v>12732</v>
      </c>
      <c r="AX142" s="18">
        <v>11841</v>
      </c>
      <c r="AY142" s="18">
        <v>11710</v>
      </c>
      <c r="AZ142" s="18">
        <v>11494</v>
      </c>
      <c r="BA142" s="18">
        <v>11979</v>
      </c>
      <c r="BB142" s="18">
        <v>11681</v>
      </c>
      <c r="BC142" s="18">
        <v>12728</v>
      </c>
      <c r="BD142" s="18">
        <v>13126</v>
      </c>
      <c r="BE142" s="18">
        <v>13979</v>
      </c>
      <c r="BF142" s="18">
        <v>13289</v>
      </c>
      <c r="BG142" s="18">
        <v>13823</v>
      </c>
      <c r="BH142" s="18">
        <v>14547</v>
      </c>
      <c r="BI142" s="18">
        <v>15156</v>
      </c>
      <c r="BJ142" s="18">
        <v>14854</v>
      </c>
      <c r="BK142" s="18">
        <v>16480</v>
      </c>
      <c r="BL142" s="18">
        <v>17819</v>
      </c>
      <c r="CI142" s="112"/>
      <c r="CJ142" s="112"/>
      <c r="CK142" s="112"/>
      <c r="CL142" s="112"/>
      <c r="CM142" s="112"/>
      <c r="CN142" s="112"/>
      <c r="CO142" s="21">
        <f>SUM(Z142:AC142)</f>
        <v>12579.912231663684</v>
      </c>
      <c r="CP142" s="90">
        <f>SUM(AD142:AG142)</f>
        <v>16235</v>
      </c>
      <c r="CQ142" s="21">
        <f>SUM(AH142:AK142)</f>
        <v>21374</v>
      </c>
      <c r="CR142" s="90">
        <f>SUM(AL142:AO142)</f>
        <v>26973</v>
      </c>
      <c r="CS142" s="21">
        <f>SUM(AP142:AS142)</f>
        <v>32550</v>
      </c>
      <c r="CT142" s="90">
        <f>SUM(AT142:AW142)</f>
        <v>46123</v>
      </c>
      <c r="CU142" s="90">
        <f>SUM(AX142:BA142)</f>
        <v>47024</v>
      </c>
      <c r="CV142" s="90">
        <f>SUM(BB142:BE142)</f>
        <v>51514</v>
      </c>
      <c r="CW142" s="90">
        <f>SUM(BF142:BI142)</f>
        <v>56815</v>
      </c>
      <c r="CX142" s="92"/>
      <c r="CY142" s="92"/>
      <c r="CZ142" s="92"/>
      <c r="DA142" s="92"/>
      <c r="DB142" s="92"/>
      <c r="DC142" s="92"/>
    </row>
    <row r="143" spans="1:107" hidden="1" outlineLevel="1" x14ac:dyDescent="0.2">
      <c r="A143" s="14" t="s">
        <v>62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25" t="s">
        <v>82</v>
      </c>
      <c r="AA143" s="22">
        <f t="shared" ref="AA143" si="2464">IF(AND(Z142&lt;0,AA142&gt;0),"n/a",AA142/Z142-1)</f>
        <v>3.8723576954959871E-2</v>
      </c>
      <c r="AB143" s="22">
        <f t="shared" ref="AB143" si="2465">IF(AND(AA142&lt;0,AB142&gt;0),"n/a",AB142/AA142-1)</f>
        <v>0.11701061994721185</v>
      </c>
      <c r="AC143" s="22">
        <f t="shared" ref="AC143" si="2466">IF(AND(AB142&lt;0,AC142&gt;0),"n/a",AC142/AB142-1)</f>
        <v>0.1076318537380696</v>
      </c>
      <c r="AD143" s="22">
        <f t="shared" ref="AD143" si="2467">IF(AND(AC142&lt;0,AD142&gt;0),"n/a",AD142/AC142-1)</f>
        <v>3.7764028163005392E-3</v>
      </c>
      <c r="AE143" s="22">
        <f t="shared" ref="AE143" si="2468">IF(AND(AD142&lt;0,AE142&gt;0),"n/a",AE142/AD142-1)</f>
        <v>3.0671456203371195E-2</v>
      </c>
      <c r="AF143" s="22">
        <f t="shared" ref="AF143" si="2469">IF(AND(AE142&lt;0,AF142&gt;0),"n/a",AF142/AE142-1)</f>
        <v>0.12573726541554953</v>
      </c>
      <c r="AG143" s="22">
        <f t="shared" ref="AG143" si="2470">IF(AND(AF142&lt;0,AG142&gt;0),"n/a",AG142/AF142-1)</f>
        <v>0.11621814717789958</v>
      </c>
      <c r="AH143" s="22">
        <f t="shared" ref="AH143" si="2471">IF(AND(AG142&lt;0,AH142&gt;0),"n/a",AH142/AG142-1)</f>
        <v>2.4962662684019588E-2</v>
      </c>
      <c r="AI143" s="22">
        <f t="shared" ref="AI143" si="2472">IF(AND(AH142&lt;0,AI142&gt;0),"n/a",AI142/AH142-1)</f>
        <v>5.9533721898417991E-2</v>
      </c>
      <c r="AJ143" s="22">
        <f t="shared" ref="AJ143" si="2473">IF(AND(AI142&lt;0,AJ142&gt;0),"n/a",AJ142/AI142-1)</f>
        <v>6.5618860510805455E-2</v>
      </c>
      <c r="AK143" s="22">
        <f t="shared" ref="AK143" si="2474">IF(AND(AJ142&lt;0,AK142&gt;0),"n/a",AK142/AJ142-1)</f>
        <v>0.11651917404129786</v>
      </c>
      <c r="AL143" s="22">
        <f t="shared" ref="AL143" si="2475">IF(AND(AK142&lt;0,AL142&gt;0),"n/a",AL142/AK142-1)</f>
        <v>9.2470277410832136E-3</v>
      </c>
      <c r="AM143" s="22">
        <f t="shared" ref="AM143" si="2476">IF(AND(AL142&lt;0,AM142&gt;0),"n/a",AM142/AL142-1)</f>
        <v>7.1825916230366493E-2</v>
      </c>
      <c r="AN143" s="22">
        <f t="shared" ref="AN143" si="2477">IF(AND(AM142&lt;0,AN142&gt;0),"n/a",AN142/AM142-1)</f>
        <v>4.2283620821248702E-2</v>
      </c>
      <c r="AO143" s="22">
        <f t="shared" ref="AO143" si="2478">IF(AND(AN142&lt;0,AO142&gt;0),"n/a",AO142/AN142-1)</f>
        <v>9.5782073813708291E-2</v>
      </c>
      <c r="AP143" s="22">
        <f t="shared" ref="AP143" si="2479">IF(AND(AO142&lt;0,AP142&gt;0),"n/a",AP142/AO142-1)</f>
        <v>-3.2611601176156135E-2</v>
      </c>
      <c r="AQ143" s="22">
        <f t="shared" ref="AQ143" si="2480">IF(AND(AP142&lt;0,AQ142&gt;0),"n/a",AQ142/AP142-1)</f>
        <v>-4.0480795799944791E-2</v>
      </c>
      <c r="AR143" s="22">
        <f t="shared" ref="AR143" si="2481">IF(AND(AQ142&lt;0,AR142&gt;0),"n/a",AR142/AQ142-1)</f>
        <v>0.21785457163426925</v>
      </c>
      <c r="AS143" s="22">
        <f t="shared" ref="AS143" si="2482">IF(AND(AR142&lt;0,AS142&gt;0),"n/a",AS142/AR142-1)</f>
        <v>0.17155355876093648</v>
      </c>
      <c r="AT143" s="22">
        <f t="shared" ref="AT143:BL143" si="2483">IF(AND(AS142&lt;0,AT142&gt;0),"n/a",AT142/AS142-1)</f>
        <v>5.5101422948834466E-2</v>
      </c>
      <c r="AU143" s="28">
        <f t="shared" si="2483"/>
        <v>7.4222859875657576E-2</v>
      </c>
      <c r="AV143" s="28">
        <f t="shared" si="2483"/>
        <v>4.2204612233995187E-2</v>
      </c>
      <c r="AW143" s="28">
        <f t="shared" si="2483"/>
        <v>8.7740281930798858E-2</v>
      </c>
      <c r="AX143" s="28">
        <f t="shared" si="2483"/>
        <v>-6.9981149858623914E-2</v>
      </c>
      <c r="AY143" s="28">
        <f t="shared" si="2483"/>
        <v>-1.1063254792669563E-2</v>
      </c>
      <c r="AZ143" s="28">
        <f t="shared" si="2483"/>
        <v>-1.8445772843723285E-2</v>
      </c>
      <c r="BA143" s="28">
        <f t="shared" si="2483"/>
        <v>4.2195928310422737E-2</v>
      </c>
      <c r="BB143" s="28">
        <f t="shared" si="2483"/>
        <v>-2.4876867852074436E-2</v>
      </c>
      <c r="BC143" s="28">
        <f t="shared" si="2483"/>
        <v>8.9632736923208611E-2</v>
      </c>
      <c r="BD143" s="28">
        <f t="shared" si="2483"/>
        <v>3.1269641734757991E-2</v>
      </c>
      <c r="BE143" s="28">
        <f t="shared" si="2483"/>
        <v>6.4985524912387627E-2</v>
      </c>
      <c r="BF143" s="28">
        <f t="shared" si="2483"/>
        <v>-4.93597539165892E-2</v>
      </c>
      <c r="BG143" s="28">
        <f t="shared" si="2483"/>
        <v>4.0183610504928913E-2</v>
      </c>
      <c r="BH143" s="28">
        <f t="shared" si="2483"/>
        <v>5.2376473992620909E-2</v>
      </c>
      <c r="BI143" s="28">
        <f t="shared" si="2483"/>
        <v>4.1864301917921232E-2</v>
      </c>
      <c r="BJ143" s="28">
        <f t="shared" si="2483"/>
        <v>-1.9926101873845359E-2</v>
      </c>
      <c r="BK143" s="28">
        <f t="shared" si="2483"/>
        <v>0.10946546384812161</v>
      </c>
      <c r="BL143" s="28">
        <f t="shared" si="2483"/>
        <v>8.1250000000000044E-2</v>
      </c>
      <c r="CI143" s="112"/>
      <c r="CJ143" s="112"/>
      <c r="CK143" s="112"/>
      <c r="CL143" s="112"/>
      <c r="CM143" s="112"/>
      <c r="CN143" s="112"/>
      <c r="CO143" s="48" t="s">
        <v>82</v>
      </c>
      <c r="CP143" s="106" t="s">
        <v>82</v>
      </c>
      <c r="CQ143" s="48" t="s">
        <v>82</v>
      </c>
      <c r="CR143" s="106" t="s">
        <v>82</v>
      </c>
      <c r="CS143" s="48" t="s">
        <v>82</v>
      </c>
      <c r="CT143" s="106" t="s">
        <v>82</v>
      </c>
      <c r="CU143" s="106" t="s">
        <v>82</v>
      </c>
      <c r="CV143" s="106" t="s">
        <v>82</v>
      </c>
      <c r="CW143" s="106" t="s">
        <v>82</v>
      </c>
      <c r="CX143" s="92"/>
      <c r="CY143" s="92"/>
      <c r="CZ143" s="92"/>
      <c r="DA143" s="92"/>
      <c r="DB143" s="92"/>
      <c r="DC143" s="92"/>
    </row>
    <row r="144" spans="1:107" hidden="1" outlineLevel="1" x14ac:dyDescent="0.2">
      <c r="A144" s="14" t="s">
        <v>63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25" t="s">
        <v>82</v>
      </c>
      <c r="AA144" s="25" t="s">
        <v>82</v>
      </c>
      <c r="AB144" s="25" t="s">
        <v>82</v>
      </c>
      <c r="AC144" s="25" t="s">
        <v>82</v>
      </c>
      <c r="AD144" s="22">
        <f t="shared" ref="AD144" si="2484">IF(AND(Z142&lt;0,AD142&gt;0),"n/a",AD142/Z142-1)</f>
        <v>0.29000000000000004</v>
      </c>
      <c r="AE144" s="22">
        <f t="shared" ref="AE144" si="2485">IF(AND(AA142&lt;0,AE142&gt;0),"n/a",AE142/AA142-1)</f>
        <v>0.28000000000000003</v>
      </c>
      <c r="AF144" s="22">
        <f t="shared" ref="AF144" si="2486">IF(AND(AB142&lt;0,AF142&gt;0),"n/a",AF142/AB142-1)</f>
        <v>0.29000000000000004</v>
      </c>
      <c r="AG144" s="22">
        <f t="shared" ref="AG144" si="2487">IF(AND(AC142&lt;0,AG142&gt;0),"n/a",AG142/AC142-1)</f>
        <v>0.30000000000000004</v>
      </c>
      <c r="AH144" s="22">
        <f t="shared" ref="AH144" si="2488">IF(AND(AD142&lt;0,AH142&gt;0),"n/a",AH142/AD142-1)</f>
        <v>0.32743851892788056</v>
      </c>
      <c r="AI144" s="22">
        <f t="shared" ref="AI144" si="2489">IF(AND(AE142&lt;0,AI142&gt;0),"n/a",AI142/AE142-1)</f>
        <v>0.36461126005361932</v>
      </c>
      <c r="AJ144" s="22">
        <f t="shared" ref="AJ144" si="2490">IF(AND(AF142&lt;0,AJ142&gt;0),"n/a",AJ142/AF142-1)</f>
        <v>0.29173612764944035</v>
      </c>
      <c r="AK144" s="22">
        <f t="shared" ref="AK144" si="2491">IF(AND(AG142&lt;0,AK142&gt;0),"n/a",AK142/AG142-1)</f>
        <v>0.29208448901216122</v>
      </c>
      <c r="AL144" s="22">
        <f t="shared" ref="AL144" si="2492">IF(AND(AH142&lt;0,AL142&gt;0),"n/a",AL142/AH142-1)</f>
        <v>0.27227310574521235</v>
      </c>
      <c r="AM144" s="22">
        <f t="shared" ref="AM144" si="2493">IF(AND(AI142&lt;0,AM142&gt;0),"n/a",AM142/AI142-1)</f>
        <v>0.28703339882121814</v>
      </c>
      <c r="AN144" s="22">
        <f t="shared" ref="AN144" si="2494">IF(AND(AJ142&lt;0,AN142&gt;0),"n/a",AN142/AJ142-1)</f>
        <v>0.25884955752212391</v>
      </c>
      <c r="AO144" s="22">
        <f t="shared" ref="AO144" si="2495">IF(AND(AK142&lt;0,AO142&gt;0),"n/a",AO142/AK142-1)</f>
        <v>0.23546895640686927</v>
      </c>
      <c r="AP144" s="22">
        <f t="shared" ref="AP144" si="2496">IF(AND(AL142&lt;0,AP142&gt;0),"n/a",AP142/AL142-1)</f>
        <v>0.18422774869109948</v>
      </c>
      <c r="AQ144" s="22">
        <f t="shared" ref="AQ144" si="2497">IF(AND(AM142&lt;0,AQ142&gt;0),"n/a",AQ142/AM142-1)</f>
        <v>6.0143489543581063E-2</v>
      </c>
      <c r="AR144" s="22">
        <f t="shared" ref="AR144" si="2498">IF(AND(AN142&lt;0,AR142&gt;0),"n/a",AR142/AN142-1)</f>
        <v>0.238722905682484</v>
      </c>
      <c r="AS144" s="22">
        <f t="shared" ref="AS144" si="2499">IF(AND(AO142&lt;0,AS142&gt;0),"n/a",AS142/AO142-1)</f>
        <v>0.32437850842020843</v>
      </c>
      <c r="AT144" s="22">
        <f t="shared" ref="AT144:BL144" si="2500">IF(AND(AP142&lt;0,AT142&gt;0),"n/a",AT142/AP142-1)</f>
        <v>0.44445979552362536</v>
      </c>
      <c r="AU144" s="28">
        <f t="shared" si="2500"/>
        <v>0.61713462922966156</v>
      </c>
      <c r="AV144" s="28">
        <f t="shared" si="2500"/>
        <v>0.38389690234097906</v>
      </c>
      <c r="AW144" s="28">
        <f t="shared" si="2500"/>
        <v>0.28489252194974268</v>
      </c>
      <c r="AX144" s="28">
        <f t="shared" si="2500"/>
        <v>0.13256814921090387</v>
      </c>
      <c r="AY144" s="28">
        <f t="shared" si="2500"/>
        <v>4.2649808565577318E-2</v>
      </c>
      <c r="AZ144" s="28">
        <f t="shared" si="2500"/>
        <v>-1.8026484408372512E-2</v>
      </c>
      <c r="BA144" s="28">
        <f t="shared" si="2500"/>
        <v>-5.9142318567389274E-2</v>
      </c>
      <c r="BB144" s="28">
        <f t="shared" si="2500"/>
        <v>-1.3512372265855888E-2</v>
      </c>
      <c r="BC144" s="28">
        <f t="shared" si="2500"/>
        <v>8.6934244235695957E-2</v>
      </c>
      <c r="BD144" s="28">
        <f t="shared" si="2500"/>
        <v>0.14198712371672184</v>
      </c>
      <c r="BE144" s="28">
        <f t="shared" si="2500"/>
        <v>0.16695884464479516</v>
      </c>
      <c r="BF144" s="28">
        <f t="shared" si="2500"/>
        <v>0.13765944696515708</v>
      </c>
      <c r="BG144" s="28">
        <f t="shared" si="2500"/>
        <v>8.6030798240100514E-2</v>
      </c>
      <c r="BH144" s="28">
        <f t="shared" si="2500"/>
        <v>0.10825841840621675</v>
      </c>
      <c r="BI144" s="28">
        <f t="shared" si="2500"/>
        <v>8.4197725159167236E-2</v>
      </c>
      <c r="BJ144" s="28">
        <f t="shared" si="2500"/>
        <v>0.11776657385807821</v>
      </c>
      <c r="BK144" s="28">
        <f t="shared" si="2500"/>
        <v>0.19221587209722935</v>
      </c>
      <c r="BL144" s="28">
        <f t="shared" si="2500"/>
        <v>0.22492610160170479</v>
      </c>
      <c r="CI144" s="112"/>
      <c r="CJ144" s="112"/>
      <c r="CK144" s="112"/>
      <c r="CL144" s="112"/>
      <c r="CM144" s="112"/>
      <c r="CN144" s="112"/>
      <c r="CO144" s="106" t="s">
        <v>82</v>
      </c>
      <c r="CP144" s="107">
        <f t="shared" ref="CP144" si="2501">IF(AND(CO142&lt;0,CP142&gt;0),"n/a",CP142/CO142-1)</f>
        <v>0.29054954446633152</v>
      </c>
      <c r="CQ144" s="22">
        <f t="shared" ref="CQ144" si="2502">IF(AND(CP142&lt;0,CQ142&gt;0),"n/a",CQ142/CP142-1)</f>
        <v>0.31653834308592543</v>
      </c>
      <c r="CR144" s="107">
        <f t="shared" ref="CR144" si="2503">IF(AND(CQ142&lt;0,CR142&gt;0),"n/a",CR142/CQ142-1)</f>
        <v>0.26195377561523348</v>
      </c>
      <c r="CS144" s="22">
        <f t="shared" ref="CS144:CU144" si="2504">IF(AND(CR142&lt;0,CS142&gt;0),"n/a",CS142/CR142-1)</f>
        <v>0.20676231787342902</v>
      </c>
      <c r="CT144" s="107">
        <f t="shared" si="2504"/>
        <v>0.41698924731182796</v>
      </c>
      <c r="CU144" s="107">
        <f t="shared" si="2504"/>
        <v>1.9534722372785751E-2</v>
      </c>
      <c r="CV144" s="107">
        <f>IF(AND(CU142&lt;0,CV142&gt;0),"n/a",CV142/CU142-1)</f>
        <v>9.5483157536577101E-2</v>
      </c>
      <c r="CW144" s="111">
        <f>IF(AND(CV142&lt;0,CW142&gt;0),"n/a",CW142/CV142-1)</f>
        <v>0.10290406491439219</v>
      </c>
      <c r="CX144" s="92"/>
      <c r="CY144" s="92"/>
      <c r="CZ144" s="92"/>
      <c r="DA144" s="92"/>
      <c r="DB144" s="92"/>
      <c r="DC144" s="92"/>
    </row>
    <row r="145" spans="1:107" hidden="1" outlineLevel="1" x14ac:dyDescent="0.2">
      <c r="A145" s="14" t="s">
        <v>61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22">
        <f t="shared" ref="Z145:AT145" si="2505">Z142/Z$64</f>
        <v>0.13849169949099804</v>
      </c>
      <c r="AA145" s="22">
        <f t="shared" si="2505"/>
        <v>0.13553779069767441</v>
      </c>
      <c r="AB145" s="22">
        <f t="shared" si="2505"/>
        <v>0.14498413254153145</v>
      </c>
      <c r="AC145" s="22">
        <f t="shared" si="2505"/>
        <v>0.13832813901874674</v>
      </c>
      <c r="AD145" s="22">
        <f t="shared" si="2505"/>
        <v>0.14622222222222223</v>
      </c>
      <c r="AE145" s="22">
        <f t="shared" si="2505"/>
        <v>0.14340638216070742</v>
      </c>
      <c r="AF145" s="22">
        <f t="shared" si="2505"/>
        <v>0.15119544865331988</v>
      </c>
      <c r="AG145" s="22">
        <f t="shared" si="2505"/>
        <v>0.1450051047241902</v>
      </c>
      <c r="AH145" s="22">
        <f t="shared" si="2505"/>
        <v>0.15424131509664163</v>
      </c>
      <c r="AI145" s="22">
        <f t="shared" si="2505"/>
        <v>0.15586244909207828</v>
      </c>
      <c r="AJ145" s="22">
        <f t="shared" si="2505"/>
        <v>0.16075874333135745</v>
      </c>
      <c r="AK145" s="22">
        <f t="shared" si="2505"/>
        <v>0.15419085446583156</v>
      </c>
      <c r="AL145" s="22">
        <f t="shared" si="2505"/>
        <v>0.16819395140207491</v>
      </c>
      <c r="AM145" s="22">
        <f t="shared" si="2505"/>
        <v>0.16821589975349219</v>
      </c>
      <c r="AN145" s="22">
        <f t="shared" si="2505"/>
        <v>0.16859675547544384</v>
      </c>
      <c r="AO145" s="22">
        <f t="shared" si="2505"/>
        <v>0.16238741182854041</v>
      </c>
      <c r="AP145" s="22">
        <f t="shared" si="2505"/>
        <v>0.17585461259991739</v>
      </c>
      <c r="AQ145" s="22">
        <f t="shared" si="2505"/>
        <v>0.18134579732093897</v>
      </c>
      <c r="AR145" s="22">
        <f t="shared" si="2505"/>
        <v>0.18318064669828688</v>
      </c>
      <c r="AS145" s="22">
        <f t="shared" si="2505"/>
        <v>0.17415374881366655</v>
      </c>
      <c r="AT145" s="22">
        <f t="shared" si="2505"/>
        <v>0.18901182340817876</v>
      </c>
      <c r="AU145" s="28">
        <f t="shared" ref="AU145:AV145" si="2506">AU142/AU$64</f>
        <v>0.18149644473173884</v>
      </c>
      <c r="AV145" s="28">
        <f t="shared" si="2506"/>
        <v>0.17975060659111153</v>
      </c>
      <c r="AW145" s="28">
        <f t="shared" ref="AW145:AX145" si="2507">AW142/AW$64</f>
        <v>0.16902754729505476</v>
      </c>
      <c r="AX145" s="28">
        <f t="shared" si="2507"/>
        <v>0.17410418902824543</v>
      </c>
      <c r="AY145" s="28">
        <f t="shared" ref="AY145:AZ145" si="2508">AY142/AY$64</f>
        <v>0.16804190284853268</v>
      </c>
      <c r="AZ145" s="28">
        <f t="shared" si="2508"/>
        <v>0.16635789961211139</v>
      </c>
      <c r="BA145" s="28">
        <f t="shared" ref="BA145:BB145" si="2509">BA142/BA$64</f>
        <v>0.15751893540921524</v>
      </c>
      <c r="BB145" s="28">
        <f t="shared" si="2509"/>
        <v>0.16738074426469113</v>
      </c>
      <c r="BC145" s="28">
        <f t="shared" ref="BC145:BD145" si="2510">BC142/BC$64</f>
        <v>0.17060747413007346</v>
      </c>
      <c r="BD145" s="28">
        <f t="shared" si="2510"/>
        <v>0.17114990937895244</v>
      </c>
      <c r="BE145" s="28">
        <f t="shared" ref="BE145:BF145" si="2511">BE142/BE$64</f>
        <v>0.16196269261962692</v>
      </c>
      <c r="BF145" s="28">
        <f t="shared" si="2511"/>
        <v>0.16500080706241696</v>
      </c>
      <c r="BG145" s="28">
        <f t="shared" ref="BG145:BH145" si="2512">BG142/BG$64</f>
        <v>0.16311864246772556</v>
      </c>
      <c r="BH145" s="28">
        <f t="shared" si="2512"/>
        <v>0.16480491231250283</v>
      </c>
      <c r="BI145" s="28">
        <f t="shared" ref="BI145:BJ145" si="2513">BI142/BI$64</f>
        <v>0.1571074645741119</v>
      </c>
      <c r="BJ145" s="28">
        <f t="shared" si="2513"/>
        <v>0.16461644169603476</v>
      </c>
      <c r="BK145" s="28">
        <f t="shared" ref="BK145:BL145" si="2514">BK142/BK$64</f>
        <v>0.17090471647239391</v>
      </c>
      <c r="BL145" s="28">
        <f t="shared" si="2514"/>
        <v>0.17410548531452133</v>
      </c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112"/>
      <c r="CJ145" s="112"/>
      <c r="CK145" s="112"/>
      <c r="CL145" s="112"/>
      <c r="CM145" s="112"/>
      <c r="CN145" s="112"/>
      <c r="CO145" s="111">
        <f t="shared" ref="CO145:CT145" si="2515">CO142/CO$64</f>
        <v>0.13935563886546973</v>
      </c>
      <c r="CP145" s="111">
        <f t="shared" si="2515"/>
        <v>0.14645257318118263</v>
      </c>
      <c r="CQ145" s="111">
        <f t="shared" si="2515"/>
        <v>0.15622099269838252</v>
      </c>
      <c r="CR145" s="111">
        <f t="shared" si="2515"/>
        <v>0.1666471020715817</v>
      </c>
      <c r="CS145" s="111">
        <f t="shared" si="2515"/>
        <v>0.17832978134741709</v>
      </c>
      <c r="CT145" s="111">
        <f t="shared" si="2515"/>
        <v>0.17902319930755287</v>
      </c>
      <c r="CU145" s="111">
        <f t="shared" ref="CU145" si="2516">CU142/CU$64</f>
        <v>0.16625889207880185</v>
      </c>
      <c r="CV145" s="111">
        <f>CV142/CV$64</f>
        <v>0.16758297169105449</v>
      </c>
      <c r="CW145" s="111">
        <f>CW142/CW$64</f>
        <v>0.16232022353136125</v>
      </c>
      <c r="CX145" s="92"/>
      <c r="CY145" s="92"/>
      <c r="CZ145" s="92"/>
      <c r="DA145" s="92"/>
      <c r="DB145" s="92"/>
      <c r="DC145" s="92"/>
    </row>
    <row r="146" spans="1:107" hidden="1" outlineLevel="1" x14ac:dyDescent="0.2">
      <c r="CI146" s="92"/>
      <c r="CK146" s="92"/>
      <c r="CL146" s="92"/>
      <c r="CN146" s="92"/>
      <c r="CP146" s="92"/>
      <c r="CR146" s="92"/>
      <c r="CT146" s="92"/>
      <c r="CX146" s="92"/>
      <c r="CY146" s="92"/>
      <c r="CZ146" s="92"/>
      <c r="DA146" s="92"/>
      <c r="DB146" s="92"/>
      <c r="DC146" s="92"/>
    </row>
    <row r="147" spans="1:107" hidden="1" outlineLevel="1" x14ac:dyDescent="0.2">
      <c r="A147" s="4" t="s">
        <v>98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8">
        <v>948.50746268656712</v>
      </c>
      <c r="AA147" s="18">
        <v>1078.6259541984732</v>
      </c>
      <c r="AB147" s="18">
        <v>1162.406015037594</v>
      </c>
      <c r="AC147" s="18">
        <v>1446.5648854961833</v>
      </c>
      <c r="AD147" s="18">
        <v>1271</v>
      </c>
      <c r="AE147" s="18">
        <v>1413</v>
      </c>
      <c r="AF147" s="18">
        <v>1546</v>
      </c>
      <c r="AG147" s="18">
        <v>1895</v>
      </c>
      <c r="AH147" s="18">
        <v>1724</v>
      </c>
      <c r="AI147" s="18">
        <v>1849</v>
      </c>
      <c r="AJ147" s="18">
        <v>1835</v>
      </c>
      <c r="AK147" s="18">
        <v>2201</v>
      </c>
      <c r="AL147" s="18">
        <v>1904</v>
      </c>
      <c r="AM147" s="18">
        <v>2129</v>
      </c>
      <c r="AN147" s="18">
        <v>2293</v>
      </c>
      <c r="AO147" s="17">
        <v>2666</v>
      </c>
      <c r="AP147" s="17">
        <v>2157</v>
      </c>
      <c r="AQ147" s="17">
        <v>1839</v>
      </c>
      <c r="AR147" s="17">
        <v>2371</v>
      </c>
      <c r="AS147" s="17">
        <v>3050</v>
      </c>
      <c r="AT147" s="17">
        <v>2905</v>
      </c>
      <c r="AU147" s="18">
        <v>3364</v>
      </c>
      <c r="AV147" s="18">
        <v>3688</v>
      </c>
      <c r="AW147" s="18">
        <v>4447</v>
      </c>
      <c r="AX147" s="18">
        <v>3842</v>
      </c>
      <c r="AY147" s="18">
        <v>4340</v>
      </c>
      <c r="AZ147" s="18">
        <v>4138</v>
      </c>
      <c r="BA147" s="18">
        <v>4656</v>
      </c>
      <c r="BB147" s="18">
        <v>4080</v>
      </c>
      <c r="BC147" s="18">
        <v>4511</v>
      </c>
      <c r="BD147" s="18">
        <v>4553</v>
      </c>
      <c r="BE147" s="18">
        <v>5176</v>
      </c>
      <c r="BF147" s="18">
        <v>4653</v>
      </c>
      <c r="BG147" s="18">
        <v>4938</v>
      </c>
      <c r="BH147" s="18">
        <v>5093</v>
      </c>
      <c r="BI147" s="18">
        <v>5734</v>
      </c>
      <c r="BJ147" s="18">
        <v>5233</v>
      </c>
      <c r="BK147" s="18">
        <v>5735</v>
      </c>
      <c r="BL147" s="18">
        <v>6065</v>
      </c>
      <c r="CI147" s="112"/>
      <c r="CJ147" s="112"/>
      <c r="CK147" s="112"/>
      <c r="CL147" s="112"/>
      <c r="CM147" s="112"/>
      <c r="CN147" s="112"/>
      <c r="CO147" s="21">
        <f>SUM(Z147:AC147)</f>
        <v>4636.104317418818</v>
      </c>
      <c r="CP147" s="90">
        <f>SUM(AD147:AG147)</f>
        <v>6125</v>
      </c>
      <c r="CQ147" s="21">
        <f>SUM(AH147:AK147)</f>
        <v>7609</v>
      </c>
      <c r="CR147" s="90">
        <f>SUM(AL147:AO147)</f>
        <v>8992</v>
      </c>
      <c r="CS147" s="21">
        <f>SUM(AP147:AS147)</f>
        <v>9417</v>
      </c>
      <c r="CT147" s="90">
        <f>SUM(AT147:AW147)</f>
        <v>14404</v>
      </c>
      <c r="CU147" s="90">
        <f>SUM(AX147:BA147)</f>
        <v>16976</v>
      </c>
      <c r="CV147" s="90">
        <f>SUM(BB147:BE147)</f>
        <v>18320</v>
      </c>
      <c r="CW147" s="90">
        <f>SUM(BF147:BI147)</f>
        <v>20418</v>
      </c>
      <c r="CX147" s="92"/>
      <c r="CY147" s="92"/>
      <c r="CZ147" s="92"/>
      <c r="DA147" s="92"/>
      <c r="DB147" s="92"/>
      <c r="DC147" s="92"/>
    </row>
    <row r="148" spans="1:107" hidden="1" outlineLevel="1" x14ac:dyDescent="0.2">
      <c r="A148" s="14" t="s">
        <v>62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25" t="s">
        <v>82</v>
      </c>
      <c r="AA148" s="22">
        <f t="shared" ref="AA148" si="2517">IF(AND(Z147&lt;0,AA147&gt;0),"n/a",AA147/Z147-1)</f>
        <v>0.13718235926510958</v>
      </c>
      <c r="AB148" s="22">
        <f t="shared" ref="AB148" si="2518">IF(AND(AA147&lt;0,AB147&gt;0),"n/a",AB147/AA147-1)</f>
        <v>7.7672950954881914E-2</v>
      </c>
      <c r="AC148" s="22">
        <f t="shared" ref="AC148" si="2519">IF(AND(AB147&lt;0,AC147&gt;0),"n/a",AC147/AB147-1)</f>
        <v>0.24445750175286141</v>
      </c>
      <c r="AD148" s="22">
        <f t="shared" ref="AD148" si="2520">IF(AND(AC147&lt;0,AD147&gt;0),"n/a",AD147/AC147-1)</f>
        <v>-0.12136675461741431</v>
      </c>
      <c r="AE148" s="22">
        <f t="shared" ref="AE148" si="2521">IF(AND(AD147&lt;0,AE147&gt;0),"n/a",AE147/AD147-1)</f>
        <v>0.1117230527143982</v>
      </c>
      <c r="AF148" s="22">
        <f t="shared" ref="AF148" si="2522">IF(AND(AE147&lt;0,AF147&gt;0),"n/a",AF147/AE147-1)</f>
        <v>9.412597310686488E-2</v>
      </c>
      <c r="AG148" s="22">
        <f t="shared" ref="AG148" si="2523">IF(AND(AF147&lt;0,AG147&gt;0),"n/a",AG147/AF147-1)</f>
        <v>0.22574385510996109</v>
      </c>
      <c r="AH148" s="22">
        <f t="shared" ref="AH148" si="2524">IF(AND(AG147&lt;0,AH147&gt;0),"n/a",AH147/AG147-1)</f>
        <v>-9.0237467018469686E-2</v>
      </c>
      <c r="AI148" s="22">
        <f t="shared" ref="AI148" si="2525">IF(AND(AH147&lt;0,AI147&gt;0),"n/a",AI147/AH147-1)</f>
        <v>7.2505800464037096E-2</v>
      </c>
      <c r="AJ148" s="22">
        <f t="shared" ref="AJ148" si="2526">IF(AND(AI147&lt;0,AJ147&gt;0),"n/a",AJ147/AI147-1)</f>
        <v>-7.5716603569496721E-3</v>
      </c>
      <c r="AK148" s="22">
        <f t="shared" ref="AK148" si="2527">IF(AND(AJ147&lt;0,AK147&gt;0),"n/a",AK147/AJ147-1)</f>
        <v>0.19945504087193466</v>
      </c>
      <c r="AL148" s="22">
        <f t="shared" ref="AL148" si="2528">IF(AND(AK147&lt;0,AL147&gt;0),"n/a",AL147/AK147-1)</f>
        <v>-0.13493866424352563</v>
      </c>
      <c r="AM148" s="22">
        <f t="shared" ref="AM148" si="2529">IF(AND(AL147&lt;0,AM147&gt;0),"n/a",AM147/AL147-1)</f>
        <v>0.11817226890756305</v>
      </c>
      <c r="AN148" s="22">
        <f t="shared" ref="AN148" si="2530">IF(AND(AM147&lt;0,AN147&gt;0),"n/a",AN147/AM147-1)</f>
        <v>7.7031470173790417E-2</v>
      </c>
      <c r="AO148" s="22">
        <f t="shared" ref="AO148" si="2531">IF(AND(AN147&lt;0,AO147&gt;0),"n/a",AO147/AN147-1)</f>
        <v>0.16266899258613177</v>
      </c>
      <c r="AP148" s="22">
        <f t="shared" ref="AP148" si="2532">IF(AND(AO147&lt;0,AP147&gt;0),"n/a",AP147/AO147-1)</f>
        <v>-0.19092273068267063</v>
      </c>
      <c r="AQ148" s="22">
        <f t="shared" ref="AQ148" si="2533">IF(AND(AP147&lt;0,AQ147&gt;0),"n/a",AQ147/AP147-1)</f>
        <v>-0.14742698191933246</v>
      </c>
      <c r="AR148" s="22">
        <f t="shared" ref="AR148" si="2534">IF(AND(AQ147&lt;0,AR147&gt;0),"n/a",AR147/AQ147-1)</f>
        <v>0.28928765633496467</v>
      </c>
      <c r="AS148" s="22">
        <f t="shared" ref="AS148" si="2535">IF(AND(AR147&lt;0,AS147&gt;0),"n/a",AS147/AR147-1)</f>
        <v>0.28637705609447495</v>
      </c>
      <c r="AT148" s="22">
        <f t="shared" ref="AT148:BL148" si="2536">IF(AND(AS147&lt;0,AT147&gt;0),"n/a",AT147/AS147-1)</f>
        <v>-4.7540983606557341E-2</v>
      </c>
      <c r="AU148" s="28">
        <f t="shared" si="2536"/>
        <v>0.15800344234079167</v>
      </c>
      <c r="AV148" s="28">
        <f t="shared" si="2536"/>
        <v>9.6313912009512448E-2</v>
      </c>
      <c r="AW148" s="28">
        <f t="shared" si="2536"/>
        <v>0.20580260303687625</v>
      </c>
      <c r="AX148" s="28">
        <f t="shared" si="2536"/>
        <v>-0.13604677310546431</v>
      </c>
      <c r="AY148" s="28">
        <f t="shared" si="2536"/>
        <v>0.12961998958875576</v>
      </c>
      <c r="AZ148" s="28">
        <f t="shared" si="2536"/>
        <v>-4.654377880184335E-2</v>
      </c>
      <c r="BA148" s="28">
        <f t="shared" si="2536"/>
        <v>0.12518124697921706</v>
      </c>
      <c r="BB148" s="28">
        <f t="shared" si="2536"/>
        <v>-0.12371134020618557</v>
      </c>
      <c r="BC148" s="28">
        <f t="shared" si="2536"/>
        <v>0.10563725490196085</v>
      </c>
      <c r="BD148" s="28">
        <f t="shared" si="2536"/>
        <v>9.3105741520727037E-3</v>
      </c>
      <c r="BE148" s="28">
        <f t="shared" si="2536"/>
        <v>0.13683285745662199</v>
      </c>
      <c r="BF148" s="28">
        <f t="shared" si="2536"/>
        <v>-0.10104327666151469</v>
      </c>
      <c r="BG148" s="28">
        <f t="shared" si="2536"/>
        <v>6.1250805931656993E-2</v>
      </c>
      <c r="BH148" s="28">
        <f t="shared" si="2536"/>
        <v>3.1389226407452453E-2</v>
      </c>
      <c r="BI148" s="28">
        <f t="shared" si="2536"/>
        <v>0.12585902218731593</v>
      </c>
      <c r="BJ148" s="28">
        <f t="shared" si="2536"/>
        <v>-8.7373561213812345E-2</v>
      </c>
      <c r="BK148" s="28">
        <f t="shared" si="2536"/>
        <v>9.5929677049493511E-2</v>
      </c>
      <c r="BL148" s="28">
        <f t="shared" si="2536"/>
        <v>5.7541412380122114E-2</v>
      </c>
      <c r="CI148" s="112"/>
      <c r="CJ148" s="112"/>
      <c r="CK148" s="112"/>
      <c r="CL148" s="112"/>
      <c r="CM148" s="112"/>
      <c r="CN148" s="112"/>
      <c r="CO148" s="48" t="s">
        <v>82</v>
      </c>
      <c r="CP148" s="106" t="s">
        <v>82</v>
      </c>
      <c r="CQ148" s="48" t="s">
        <v>82</v>
      </c>
      <c r="CR148" s="106" t="s">
        <v>82</v>
      </c>
      <c r="CS148" s="48" t="s">
        <v>82</v>
      </c>
      <c r="CT148" s="106" t="s">
        <v>82</v>
      </c>
      <c r="CU148" s="106" t="s">
        <v>82</v>
      </c>
      <c r="CV148" s="106" t="s">
        <v>82</v>
      </c>
      <c r="CW148" s="106" t="s">
        <v>82</v>
      </c>
      <c r="CX148" s="92"/>
      <c r="CY148" s="92"/>
      <c r="CZ148" s="92"/>
      <c r="DA148" s="92"/>
      <c r="DB148" s="92"/>
      <c r="DC148" s="92"/>
    </row>
    <row r="149" spans="1:107" hidden="1" outlineLevel="1" x14ac:dyDescent="0.2">
      <c r="A149" s="14" t="s">
        <v>63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25" t="s">
        <v>82</v>
      </c>
      <c r="AA149" s="25" t="s">
        <v>82</v>
      </c>
      <c r="AB149" s="25" t="s">
        <v>82</v>
      </c>
      <c r="AC149" s="25" t="s">
        <v>82</v>
      </c>
      <c r="AD149" s="22">
        <f t="shared" ref="AD149" si="2537">IF(AND(Z147&lt;0,AD147&gt;0),"n/a",AD147/Z147-1)</f>
        <v>0.34000000000000008</v>
      </c>
      <c r="AE149" s="22">
        <f t="shared" ref="AE149" si="2538">IF(AND(AA147&lt;0,AE147&gt;0),"n/a",AE147/AA147-1)</f>
        <v>0.31000000000000005</v>
      </c>
      <c r="AF149" s="22">
        <f t="shared" ref="AF149" si="2539">IF(AND(AB147&lt;0,AF147&gt;0),"n/a",AF147/AB147-1)</f>
        <v>0.33000000000000007</v>
      </c>
      <c r="AG149" s="22">
        <f t="shared" ref="AG149" si="2540">IF(AND(AC147&lt;0,AG147&gt;0),"n/a",AG147/AC147-1)</f>
        <v>0.31000000000000005</v>
      </c>
      <c r="AH149" s="22">
        <f t="shared" ref="AH149" si="2541">IF(AND(AD147&lt;0,AH147&gt;0),"n/a",AH147/AD147-1)</f>
        <v>0.35641227380015739</v>
      </c>
      <c r="AI149" s="22">
        <f t="shared" ref="AI149" si="2542">IF(AND(AE147&lt;0,AI147&gt;0),"n/a",AI147/AE147-1)</f>
        <v>0.30856334041047417</v>
      </c>
      <c r="AJ149" s="22">
        <f t="shared" ref="AJ149" si="2543">IF(AND(AF147&lt;0,AJ147&gt;0),"n/a",AJ147/AF147-1)</f>
        <v>0.18693402328589914</v>
      </c>
      <c r="AK149" s="22">
        <f t="shared" ref="AK149" si="2544">IF(AND(AG147&lt;0,AK147&gt;0),"n/a",AK147/AG147-1)</f>
        <v>0.16147757255936668</v>
      </c>
      <c r="AL149" s="22">
        <f t="shared" ref="AL149" si="2545">IF(AND(AH147&lt;0,AL147&gt;0),"n/a",AL147/AH147-1)</f>
        <v>0.10440835266821336</v>
      </c>
      <c r="AM149" s="22">
        <f t="shared" ref="AM149" si="2546">IF(AND(AI147&lt;0,AM147&gt;0),"n/a",AM147/AI147-1)</f>
        <v>0.15143320713899411</v>
      </c>
      <c r="AN149" s="22">
        <f t="shared" ref="AN149" si="2547">IF(AND(AJ147&lt;0,AN147&gt;0),"n/a",AN147/AJ147-1)</f>
        <v>0.24959128065395086</v>
      </c>
      <c r="AO149" s="22">
        <f t="shared" ref="AO149" si="2548">IF(AND(AK147&lt;0,AO147&gt;0),"n/a",AO147/AK147-1)</f>
        <v>0.21126760563380276</v>
      </c>
      <c r="AP149" s="22">
        <f t="shared" ref="AP149" si="2549">IF(AND(AL147&lt;0,AP147&gt;0),"n/a",AP147/AL147-1)</f>
        <v>0.13287815126050417</v>
      </c>
      <c r="AQ149" s="22">
        <f t="shared" ref="AQ149" si="2550">IF(AND(AM147&lt;0,AQ147&gt;0),"n/a",AQ147/AM147-1)</f>
        <v>-0.1362141850634101</v>
      </c>
      <c r="AR149" s="22">
        <f t="shared" ref="AR149" si="2551">IF(AND(AN147&lt;0,AR147&gt;0),"n/a",AR147/AN147-1)</f>
        <v>3.4016572176188475E-2</v>
      </c>
      <c r="AS149" s="22">
        <f t="shared" ref="AS149" si="2552">IF(AND(AO147&lt;0,AS147&gt;0),"n/a",AS147/AO147-1)</f>
        <v>0.14403600900225055</v>
      </c>
      <c r="AT149" s="22">
        <f t="shared" ref="AT149:BL149" si="2553">IF(AND(AP147&lt;0,AT147&gt;0),"n/a",AT147/AP147-1)</f>
        <v>0.34677793231339815</v>
      </c>
      <c r="AU149" s="28">
        <f t="shared" si="2553"/>
        <v>0.82925502990755851</v>
      </c>
      <c r="AV149" s="28">
        <f t="shared" si="2553"/>
        <v>0.55546183045128639</v>
      </c>
      <c r="AW149" s="28">
        <f t="shared" si="2553"/>
        <v>0.45803278688524585</v>
      </c>
      <c r="AX149" s="28">
        <f t="shared" si="2553"/>
        <v>0.32254733218588649</v>
      </c>
      <c r="AY149" s="28">
        <f t="shared" si="2553"/>
        <v>0.29013079667063013</v>
      </c>
      <c r="AZ149" s="28">
        <f t="shared" si="2553"/>
        <v>0.12201735357917576</v>
      </c>
      <c r="BA149" s="28">
        <f t="shared" si="2553"/>
        <v>4.6997976163705824E-2</v>
      </c>
      <c r="BB149" s="28">
        <f t="shared" si="2553"/>
        <v>6.1946902654867353E-2</v>
      </c>
      <c r="BC149" s="28">
        <f t="shared" si="2553"/>
        <v>3.9400921658986121E-2</v>
      </c>
      <c r="BD149" s="28">
        <f t="shared" si="2553"/>
        <v>0.1002899951667473</v>
      </c>
      <c r="BE149" s="28">
        <f t="shared" si="2553"/>
        <v>0.11168384879725091</v>
      </c>
      <c r="BF149" s="28">
        <f t="shared" si="2553"/>
        <v>0.14044117647058818</v>
      </c>
      <c r="BG149" s="28">
        <f t="shared" si="2553"/>
        <v>9.4657503879405969E-2</v>
      </c>
      <c r="BH149" s="28">
        <f t="shared" si="2553"/>
        <v>0.11860311882275432</v>
      </c>
      <c r="BI149" s="28">
        <f t="shared" si="2553"/>
        <v>0.10780525502318383</v>
      </c>
      <c r="BJ149" s="28">
        <f t="shared" si="2553"/>
        <v>0.12465076294863531</v>
      </c>
      <c r="BK149" s="28">
        <f t="shared" si="2553"/>
        <v>0.16140137707573921</v>
      </c>
      <c r="BL149" s="28">
        <f t="shared" si="2553"/>
        <v>0.1908501865305321</v>
      </c>
      <c r="CI149" s="112"/>
      <c r="CJ149" s="112"/>
      <c r="CK149" s="112"/>
      <c r="CL149" s="112"/>
      <c r="CM149" s="112"/>
      <c r="CN149" s="112"/>
      <c r="CO149" s="106" t="s">
        <v>82</v>
      </c>
      <c r="CP149" s="107">
        <f t="shared" ref="CP149" si="2554">IF(AND(CO147&lt;0,CP147&gt;0),"n/a",CP147/CO147-1)</f>
        <v>0.32115232545287831</v>
      </c>
      <c r="CQ149" s="22">
        <f t="shared" ref="CQ149" si="2555">IF(AND(CP147&lt;0,CQ147&gt;0),"n/a",CQ147/CP147-1)</f>
        <v>0.24228571428571422</v>
      </c>
      <c r="CR149" s="107">
        <f t="shared" ref="CR149" si="2556">IF(AND(CQ147&lt;0,CR147&gt;0),"n/a",CR147/CQ147-1)</f>
        <v>0.18175844394795626</v>
      </c>
      <c r="CS149" s="22">
        <f t="shared" ref="CS149:CU149" si="2557">IF(AND(CR147&lt;0,CS147&gt;0),"n/a",CS147/CR147-1)</f>
        <v>4.7264234875444844E-2</v>
      </c>
      <c r="CT149" s="107">
        <f t="shared" si="2557"/>
        <v>0.52957417436550913</v>
      </c>
      <c r="CU149" s="107">
        <f t="shared" si="2557"/>
        <v>0.17856151069147463</v>
      </c>
      <c r="CV149" s="107">
        <f>IF(AND(CU147&lt;0,CV147&gt;0),"n/a",CV147/CU147-1)</f>
        <v>7.9170593779453347E-2</v>
      </c>
      <c r="CW149" s="111">
        <f>IF(AND(CV147&lt;0,CW147&gt;0),"n/a",CW147/CV147-1)</f>
        <v>0.1145196506550219</v>
      </c>
      <c r="CX149" s="92"/>
      <c r="CY149" s="92"/>
      <c r="CZ149" s="92"/>
      <c r="DA149" s="92"/>
      <c r="DB149" s="92"/>
      <c r="DC149" s="92"/>
    </row>
    <row r="150" spans="1:107" hidden="1" outlineLevel="1" x14ac:dyDescent="0.2">
      <c r="A150" s="14" t="s">
        <v>61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22">
        <f t="shared" ref="Z150:AT150" si="2558">Z147/Z$64</f>
        <v>4.6823688734095231E-2</v>
      </c>
      <c r="AA150" s="22">
        <f t="shared" si="2558"/>
        <v>5.0168649032487127E-2</v>
      </c>
      <c r="AB150" s="22">
        <f t="shared" si="2558"/>
        <v>5.177524453421202E-2</v>
      </c>
      <c r="AC150" s="22">
        <f t="shared" si="2558"/>
        <v>5.5500494379073943E-2</v>
      </c>
      <c r="AD150" s="22">
        <f t="shared" si="2558"/>
        <v>5.1353535353535353E-2</v>
      </c>
      <c r="AE150" s="22">
        <f t="shared" si="2558"/>
        <v>5.4325259515570934E-2</v>
      </c>
      <c r="AF150" s="22">
        <f t="shared" si="2558"/>
        <v>5.5667578856402132E-2</v>
      </c>
      <c r="AG150" s="22">
        <f t="shared" si="2558"/>
        <v>5.8626983881446645E-2</v>
      </c>
      <c r="AH150" s="22">
        <f t="shared" si="2558"/>
        <v>5.5352212162075386E-2</v>
      </c>
      <c r="AI150" s="22">
        <f t="shared" si="2558"/>
        <v>5.6618795357809962E-2</v>
      </c>
      <c r="AJ150" s="22">
        <f t="shared" si="2558"/>
        <v>5.4386484884410197E-2</v>
      </c>
      <c r="AK150" s="22">
        <f t="shared" si="2558"/>
        <v>5.6039311538853241E-2</v>
      </c>
      <c r="AL150" s="22">
        <f t="shared" si="2558"/>
        <v>5.2395497949861029E-2</v>
      </c>
      <c r="AM150" s="22">
        <f t="shared" si="2558"/>
        <v>5.4668241577649962E-2</v>
      </c>
      <c r="AN150" s="22">
        <f t="shared" si="2558"/>
        <v>5.6618681942764017E-2</v>
      </c>
      <c r="AO150" s="22">
        <f t="shared" si="2558"/>
        <v>5.7862181226261529E-2</v>
      </c>
      <c r="AP150" s="22">
        <f t="shared" si="2558"/>
        <v>5.2406521052503707E-2</v>
      </c>
      <c r="AQ150" s="22">
        <f t="shared" si="2558"/>
        <v>4.8019427109173042E-2</v>
      </c>
      <c r="AR150" s="22">
        <f t="shared" si="2558"/>
        <v>5.1350356268815109E-2</v>
      </c>
      <c r="AS150" s="22">
        <f t="shared" si="2558"/>
        <v>5.3604696122886569E-2</v>
      </c>
      <c r="AT150" s="22">
        <f t="shared" si="2558"/>
        <v>5.2518349784864589E-2</v>
      </c>
      <c r="AU150" s="28">
        <f t="shared" ref="AU150:AV150" si="2559">AU147/AU$64</f>
        <v>5.4363283775048482E-2</v>
      </c>
      <c r="AV150" s="28">
        <f t="shared" si="2559"/>
        <v>5.6635646057925614E-2</v>
      </c>
      <c r="AW150" s="28">
        <f t="shared" ref="AW150:AX150" si="2560">AW147/AW$64</f>
        <v>5.9037504148689017E-2</v>
      </c>
      <c r="AX150" s="28">
        <f t="shared" si="2560"/>
        <v>5.6490861772360353E-2</v>
      </c>
      <c r="AY150" s="28">
        <f t="shared" ref="AY150:AZ150" si="2561">AY147/AY$64</f>
        <v>6.2280261175288801E-2</v>
      </c>
      <c r="AZ150" s="28">
        <f t="shared" si="2561"/>
        <v>5.9891159613269261E-2</v>
      </c>
      <c r="BA150" s="28">
        <f t="shared" ref="BA150:BB150" si="2562">BA147/BA$64</f>
        <v>6.1224489795918366E-2</v>
      </c>
      <c r="BB150" s="28">
        <f t="shared" si="2562"/>
        <v>5.8463610701133449E-2</v>
      </c>
      <c r="BC150" s="28">
        <f t="shared" ref="BC150:BD150" si="2563">BC147/BC$64</f>
        <v>6.0465926759959251E-2</v>
      </c>
      <c r="BD150" s="28">
        <f t="shared" si="2563"/>
        <v>5.9366565397102736E-2</v>
      </c>
      <c r="BE150" s="28">
        <f t="shared" ref="BE150:BF150" si="2564">BE147/BE$64</f>
        <v>5.996987602827019E-2</v>
      </c>
      <c r="BF150" s="28">
        <f t="shared" si="2564"/>
        <v>5.7773252709867266E-2</v>
      </c>
      <c r="BG150" s="28">
        <f t="shared" ref="BG150:BH150" si="2565">BG147/BG$64</f>
        <v>5.8270987231833091E-2</v>
      </c>
      <c r="BH150" s="28">
        <f t="shared" si="2565"/>
        <v>5.7699279467077536E-2</v>
      </c>
      <c r="BI150" s="28">
        <f t="shared" ref="BI150:BJ150" si="2566">BI147/BI$64</f>
        <v>5.9438783443385955E-2</v>
      </c>
      <c r="BJ150" s="28">
        <f t="shared" si="2566"/>
        <v>5.799366092603675E-2</v>
      </c>
      <c r="BK150" s="28">
        <f t="shared" ref="BK150:BL150" si="2567">BK147/BK$64</f>
        <v>5.9474426515120089E-2</v>
      </c>
      <c r="BL150" s="28">
        <f t="shared" si="2567"/>
        <v>5.9259765892169698E-2</v>
      </c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112"/>
      <c r="CJ150" s="112"/>
      <c r="CK150" s="112"/>
      <c r="CL150" s="112"/>
      <c r="CM150" s="112"/>
      <c r="CN150" s="112"/>
      <c r="CO150" s="111">
        <f t="shared" ref="CO150:CT150" si="2568">CO147/CO$64</f>
        <v>5.1357057752335365E-2</v>
      </c>
      <c r="CP150" s="111">
        <f t="shared" si="2568"/>
        <v>5.5252356682152358E-2</v>
      </c>
      <c r="CQ150" s="111">
        <f t="shared" si="2568"/>
        <v>5.561362091522376E-2</v>
      </c>
      <c r="CR150" s="111">
        <f t="shared" si="2568"/>
        <v>5.5555212317045292E-2</v>
      </c>
      <c r="CS150" s="111">
        <f t="shared" si="2568"/>
        <v>5.159236715663984E-2</v>
      </c>
      <c r="CT150" s="111">
        <f t="shared" si="2568"/>
        <v>5.5908118787285986E-2</v>
      </c>
      <c r="CU150" s="111">
        <f t="shared" ref="CU150" si="2569">CU147/CU$64</f>
        <v>6.0020648008032924E-2</v>
      </c>
      <c r="CV150" s="111">
        <f>CV147/CV$64</f>
        <v>5.9597780047756302E-2</v>
      </c>
      <c r="CW150" s="111">
        <f>CW147/CW$64</f>
        <v>5.8334142815512344E-2</v>
      </c>
      <c r="CX150" s="92"/>
      <c r="CY150" s="92"/>
      <c r="CZ150" s="92"/>
      <c r="DA150" s="92"/>
      <c r="DB150" s="92"/>
      <c r="DC150" s="92"/>
    </row>
    <row r="151" spans="1:107" hidden="1" outlineLevel="1" x14ac:dyDescent="0.2">
      <c r="CI151" s="92"/>
      <c r="CK151" s="92"/>
      <c r="CL151" s="92"/>
      <c r="CN151" s="92"/>
      <c r="CP151" s="92"/>
      <c r="CR151" s="92"/>
      <c r="CT151" s="92"/>
      <c r="CV151" s="92"/>
      <c r="CX151" s="92"/>
      <c r="CY151" s="92"/>
      <c r="CZ151" s="92"/>
      <c r="DA151" s="92"/>
      <c r="DB151" s="92"/>
      <c r="DC151" s="92"/>
    </row>
    <row r="152" spans="1:107" hidden="1" outlineLevel="1" x14ac:dyDescent="0.2">
      <c r="A152" s="5" t="s">
        <v>99</v>
      </c>
      <c r="AO152" s="20"/>
      <c r="AP152" s="20"/>
      <c r="CI152" s="92"/>
      <c r="CK152" s="92"/>
      <c r="CL152" s="92"/>
      <c r="CN152" s="92"/>
      <c r="CP152" s="92"/>
      <c r="CR152" s="92"/>
      <c r="CT152" s="92"/>
      <c r="CV152" s="92"/>
      <c r="CX152" s="92"/>
      <c r="CY152" s="92"/>
      <c r="CZ152" s="92"/>
      <c r="DA152" s="92"/>
      <c r="DB152" s="92"/>
      <c r="DC152" s="92"/>
    </row>
    <row r="153" spans="1:107" hidden="1" outlineLevel="1" x14ac:dyDescent="0.2">
      <c r="A153" s="1" t="s">
        <v>100</v>
      </c>
      <c r="CI153" s="112"/>
      <c r="CJ153" s="19"/>
      <c r="CK153" s="112"/>
      <c r="CL153" s="112"/>
      <c r="CM153" s="19"/>
      <c r="CN153" s="112"/>
      <c r="CO153" s="19"/>
      <c r="CP153" s="112"/>
      <c r="CQ153" s="19"/>
      <c r="CR153" s="112"/>
      <c r="CS153" s="19"/>
      <c r="CT153" s="112"/>
      <c r="CU153" s="19"/>
      <c r="CV153" s="112"/>
      <c r="CW153" s="19"/>
      <c r="CX153" s="112"/>
      <c r="CY153" s="112"/>
      <c r="CZ153" s="112"/>
      <c r="DA153" s="112"/>
      <c r="DB153" s="112"/>
      <c r="DC153" s="112"/>
    </row>
    <row r="154" spans="1:107" hidden="1" outlineLevel="1" x14ac:dyDescent="0.2">
      <c r="A154" s="29" t="s">
        <v>95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31"/>
      <c r="AL154" s="18">
        <v>12430</v>
      </c>
      <c r="AM154" s="18">
        <v>13129</v>
      </c>
      <c r="AN154" s="17">
        <v>13021</v>
      </c>
      <c r="AO154" s="17">
        <v>14462</v>
      </c>
      <c r="AP154" s="17">
        <v>13080</v>
      </c>
      <c r="AQ154" s="17">
        <v>11724</v>
      </c>
      <c r="AR154" s="17">
        <v>13674</v>
      </c>
      <c r="AS154" s="17">
        <v>16781</v>
      </c>
      <c r="AT154" s="17">
        <v>16102</v>
      </c>
      <c r="AU154" s="18">
        <v>17659</v>
      </c>
      <c r="AV154" s="18">
        <v>19349</v>
      </c>
      <c r="AW154" s="18">
        <v>23662</v>
      </c>
      <c r="AX154" s="18">
        <v>21628</v>
      </c>
      <c r="AY154" s="18">
        <v>22489</v>
      </c>
      <c r="AZ154" s="18">
        <v>22093</v>
      </c>
      <c r="BA154" s="18">
        <v>24831</v>
      </c>
      <c r="BB154" s="18">
        <v>22251</v>
      </c>
      <c r="BC154" s="18">
        <v>22014</v>
      </c>
      <c r="BD154" s="18">
        <v>21858</v>
      </c>
      <c r="BE154" s="18">
        <v>23905</v>
      </c>
      <c r="BF154" s="18">
        <v>23584</v>
      </c>
      <c r="BG154" s="18">
        <v>25050</v>
      </c>
      <c r="BH154" s="18">
        <v>25618</v>
      </c>
      <c r="BI154" s="18">
        <v>27834</v>
      </c>
      <c r="BJ154" s="18">
        <v>26647</v>
      </c>
      <c r="BK154" s="18">
        <v>27482</v>
      </c>
      <c r="BL154" s="18">
        <v>28650</v>
      </c>
      <c r="CI154" s="112"/>
      <c r="CJ154" s="19"/>
      <c r="CK154" s="112"/>
      <c r="CL154" s="112"/>
      <c r="CM154" s="19"/>
      <c r="CN154" s="112"/>
      <c r="CO154" s="19"/>
      <c r="CP154" s="112"/>
      <c r="CQ154" s="19"/>
      <c r="CR154" s="112"/>
      <c r="CS154" s="19"/>
      <c r="CT154" s="112"/>
      <c r="CU154" s="19"/>
      <c r="CV154" s="112"/>
      <c r="CW154" s="19"/>
      <c r="CX154" s="112"/>
      <c r="CY154" s="112"/>
      <c r="CZ154" s="112"/>
      <c r="DA154" s="112"/>
      <c r="DB154" s="112"/>
      <c r="DC154" s="112"/>
    </row>
    <row r="155" spans="1:107" hidden="1" outlineLevel="1" x14ac:dyDescent="0.2">
      <c r="A155" s="11" t="s">
        <v>94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22">
        <f t="shared" ref="AL155:BL155" si="2570">AL154/AH132-1</f>
        <v>0.18674813824708814</v>
      </c>
      <c r="AM155" s="22">
        <f t="shared" si="2570"/>
        <v>0.21733889661566996</v>
      </c>
      <c r="AN155" s="22">
        <f t="shared" si="2570"/>
        <v>0.18826428180324872</v>
      </c>
      <c r="AO155" s="22">
        <f t="shared" si="2570"/>
        <v>0.17101214574898793</v>
      </c>
      <c r="AP155" s="22">
        <f t="shared" si="2570"/>
        <v>0.10932066830633524</v>
      </c>
      <c r="AQ155" s="22">
        <f t="shared" si="2570"/>
        <v>-5.4592371582936838E-2</v>
      </c>
      <c r="AR155" s="22">
        <f t="shared" si="2570"/>
        <v>7.9497907949790836E-2</v>
      </c>
      <c r="AS155" s="22">
        <f t="shared" si="2570"/>
        <v>0.19022625718136044</v>
      </c>
      <c r="AT155" s="22">
        <f t="shared" si="2570"/>
        <v>0.25356169715842736</v>
      </c>
      <c r="AU155" s="28">
        <f t="shared" si="2570"/>
        <v>0.55407902842559187</v>
      </c>
      <c r="AV155" s="28">
        <f t="shared" si="2570"/>
        <v>0.38961505314564771</v>
      </c>
      <c r="AW155" s="28">
        <f t="shared" si="2570"/>
        <v>0.37266504234830022</v>
      </c>
      <c r="AX155" s="28">
        <f t="shared" si="2570"/>
        <v>0.26991955845223425</v>
      </c>
      <c r="AY155" s="28">
        <f t="shared" si="2570"/>
        <v>0.17842171452525668</v>
      </c>
      <c r="AZ155" s="28">
        <f t="shared" si="2570"/>
        <v>0.11361459750995517</v>
      </c>
      <c r="BA155" s="28">
        <f t="shared" si="2570"/>
        <v>7.2474409363797454E-2</v>
      </c>
      <c r="BB155" s="28">
        <f t="shared" si="2570"/>
        <v>9.5191219176059549E-2</v>
      </c>
      <c r="BC155" s="28">
        <f t="shared" si="2570"/>
        <v>7.2127794282374813E-2</v>
      </c>
      <c r="BD155" s="28">
        <f t="shared" si="2570"/>
        <v>0.12380462724935737</v>
      </c>
      <c r="BE155" s="28">
        <f t="shared" si="2570"/>
        <v>3.2479592277458558E-2</v>
      </c>
      <c r="BF155" s="28">
        <f t="shared" si="2570"/>
        <v>0.11889173545877219</v>
      </c>
      <c r="BG155" s="28">
        <f t="shared" si="2570"/>
        <v>0.12387276234914091</v>
      </c>
      <c r="BH155" s="28">
        <f t="shared" si="2570"/>
        <v>0.13048850447906091</v>
      </c>
      <c r="BI155" s="28">
        <f t="shared" si="2570"/>
        <v>0.11291483406637348</v>
      </c>
      <c r="BJ155" s="28">
        <f t="shared" si="2570"/>
        <v>0.12018664873045237</v>
      </c>
      <c r="BK155" s="28">
        <f t="shared" si="2570"/>
        <v>0.11339788518413485</v>
      </c>
      <c r="BL155" s="28">
        <f t="shared" si="2570"/>
        <v>0.12476444723618085</v>
      </c>
      <c r="CI155" s="112"/>
      <c r="CJ155" s="19"/>
      <c r="CK155" s="112"/>
      <c r="CL155" s="112"/>
      <c r="CM155" s="19"/>
      <c r="CN155" s="112"/>
      <c r="CO155" s="19"/>
      <c r="CP155" s="112"/>
      <c r="CQ155" s="19"/>
      <c r="CR155" s="112"/>
      <c r="CS155" s="19"/>
      <c r="CT155" s="112"/>
      <c r="CU155" s="19"/>
      <c r="CV155" s="112"/>
      <c r="CW155" s="19"/>
      <c r="CX155" s="112"/>
      <c r="CY155" s="112"/>
      <c r="CZ155" s="112"/>
      <c r="DA155" s="112"/>
      <c r="DB155" s="112"/>
      <c r="DC155" s="112"/>
    </row>
    <row r="156" spans="1:107" hidden="1" outlineLevel="1" x14ac:dyDescent="0.2">
      <c r="A156" s="29" t="s">
        <v>97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31"/>
      <c r="AL156" s="18">
        <v>6295</v>
      </c>
      <c r="AM156" s="18">
        <v>6753</v>
      </c>
      <c r="AN156" s="17">
        <v>6831</v>
      </c>
      <c r="AO156" s="17">
        <v>7437</v>
      </c>
      <c r="AP156" s="17">
        <v>7299</v>
      </c>
      <c r="AQ156" s="17">
        <v>7050</v>
      </c>
      <c r="AR156" s="17">
        <v>8459</v>
      </c>
      <c r="AS156" s="17">
        <v>9753</v>
      </c>
      <c r="AT156" s="17">
        <v>10092</v>
      </c>
      <c r="AU156" s="18">
        <v>10881</v>
      </c>
      <c r="AV156" s="18">
        <v>11697</v>
      </c>
      <c r="AW156" s="18">
        <v>12872</v>
      </c>
      <c r="AX156" s="18">
        <v>12440</v>
      </c>
      <c r="AY156" s="18">
        <v>12466</v>
      </c>
      <c r="AZ156" s="18">
        <v>12604</v>
      </c>
      <c r="BA156" s="18">
        <v>13429</v>
      </c>
      <c r="BB156" s="18">
        <v>12515</v>
      </c>
      <c r="BC156" s="18">
        <v>12827</v>
      </c>
      <c r="BD156" s="18">
        <v>13396</v>
      </c>
      <c r="BE156" s="18">
        <v>14069</v>
      </c>
      <c r="BF156" s="18">
        <v>13728</v>
      </c>
      <c r="BG156" s="18">
        <v>14418</v>
      </c>
      <c r="BH156" s="18">
        <v>14832</v>
      </c>
      <c r="BI156" s="18">
        <v>15206</v>
      </c>
      <c r="BJ156" s="18">
        <v>15235</v>
      </c>
      <c r="BK156" s="18">
        <v>16365</v>
      </c>
      <c r="BL156" s="18">
        <v>17691</v>
      </c>
      <c r="CI156" s="112"/>
      <c r="CJ156" s="19"/>
      <c r="CK156" s="112"/>
      <c r="CL156" s="112"/>
      <c r="CM156" s="19"/>
      <c r="CN156" s="112"/>
      <c r="CO156" s="19"/>
      <c r="CP156" s="112"/>
      <c r="CQ156" s="19"/>
      <c r="CR156" s="112"/>
      <c r="CS156" s="19"/>
      <c r="CT156" s="112"/>
      <c r="CU156" s="19"/>
      <c r="CV156" s="112"/>
      <c r="CW156" s="19"/>
      <c r="CX156" s="112"/>
      <c r="CY156" s="112"/>
      <c r="CZ156" s="112"/>
      <c r="DA156" s="112"/>
      <c r="DB156" s="112"/>
      <c r="DC156" s="112"/>
    </row>
    <row r="157" spans="1:107" hidden="1" outlineLevel="1" x14ac:dyDescent="0.2">
      <c r="A157" s="11" t="s">
        <v>94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22">
        <f t="shared" ref="AL157:BL157" si="2571">AL156/AH142-1</f>
        <v>0.31036636136552875</v>
      </c>
      <c r="AM157" s="22">
        <f t="shared" si="2571"/>
        <v>0.3267190569744598</v>
      </c>
      <c r="AN157" s="22">
        <f t="shared" si="2571"/>
        <v>0.25940265486725655</v>
      </c>
      <c r="AO157" s="22">
        <f t="shared" si="2571"/>
        <v>0.2280383091149274</v>
      </c>
      <c r="AP157" s="22">
        <f t="shared" si="2571"/>
        <v>0.19420811518324599</v>
      </c>
      <c r="AQ157" s="22">
        <f t="shared" si="2571"/>
        <v>7.617157685849496E-2</v>
      </c>
      <c r="AR157" s="22">
        <f t="shared" si="2571"/>
        <v>0.23886936145284121</v>
      </c>
      <c r="AS157" s="22">
        <f t="shared" si="2571"/>
        <v>0.30352846832397762</v>
      </c>
      <c r="AT157" s="22">
        <f t="shared" si="2571"/>
        <v>0.39430781983973473</v>
      </c>
      <c r="AU157" s="28">
        <f t="shared" si="2571"/>
        <v>0.56673866090712743</v>
      </c>
      <c r="AV157" s="28">
        <f t="shared" si="2571"/>
        <v>0.38295105225821713</v>
      </c>
      <c r="AW157" s="28">
        <f t="shared" si="2571"/>
        <v>0.29902109193662318</v>
      </c>
      <c r="AX157" s="28">
        <f t="shared" si="2571"/>
        <v>0.18986131037780973</v>
      </c>
      <c r="AY157" s="28">
        <f t="shared" si="2571"/>
        <v>0.10996349390081028</v>
      </c>
      <c r="AZ157" s="28">
        <f t="shared" si="2571"/>
        <v>7.6804784280222194E-2</v>
      </c>
      <c r="BA157" s="28">
        <f t="shared" si="2571"/>
        <v>5.4743952246308458E-2</v>
      </c>
      <c r="BB157" s="28">
        <f t="shared" si="2571"/>
        <v>5.6920868169918037E-2</v>
      </c>
      <c r="BC157" s="28">
        <f t="shared" si="2571"/>
        <v>9.5388556789069101E-2</v>
      </c>
      <c r="BD157" s="28">
        <f t="shared" si="2571"/>
        <v>0.16547764050809111</v>
      </c>
      <c r="BE157" s="28">
        <f t="shared" si="2571"/>
        <v>0.17447199265381075</v>
      </c>
      <c r="BF157" s="28">
        <f t="shared" si="2571"/>
        <v>0.17524184573238588</v>
      </c>
      <c r="BG157" s="28">
        <f t="shared" si="2571"/>
        <v>0.13277812696417346</v>
      </c>
      <c r="BH157" s="28">
        <f t="shared" si="2571"/>
        <v>0.12997104982477525</v>
      </c>
      <c r="BI157" s="28">
        <f t="shared" si="2571"/>
        <v>8.7774518921239109E-2</v>
      </c>
      <c r="BJ157" s="28">
        <f t="shared" si="2571"/>
        <v>0.14643690270148246</v>
      </c>
      <c r="BK157" s="28">
        <f t="shared" si="2571"/>
        <v>0.18389640454315281</v>
      </c>
      <c r="BL157" s="28">
        <f t="shared" si="2571"/>
        <v>0.21612703650237153</v>
      </c>
      <c r="CI157" s="112"/>
      <c r="CJ157" s="19"/>
      <c r="CK157" s="112"/>
      <c r="CL157" s="112"/>
      <c r="CM157" s="19"/>
      <c r="CN157" s="112"/>
      <c r="CO157" s="19"/>
      <c r="CP157" s="112"/>
      <c r="CQ157" s="19"/>
      <c r="CR157" s="112"/>
      <c r="CS157" s="19"/>
      <c r="CT157" s="112"/>
      <c r="CU157" s="19"/>
      <c r="CV157" s="112"/>
      <c r="CW157" s="19"/>
      <c r="CX157" s="112"/>
      <c r="CY157" s="112"/>
      <c r="CZ157" s="112"/>
      <c r="DA157" s="112"/>
      <c r="DB157" s="112"/>
      <c r="DC157" s="112"/>
    </row>
    <row r="158" spans="1:107" hidden="1" outlineLevel="1" x14ac:dyDescent="0.2">
      <c r="A158" s="29" t="s">
        <v>98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31"/>
      <c r="AD158" s="31"/>
      <c r="AE158" s="31"/>
      <c r="AF158" s="31"/>
      <c r="AG158" s="31"/>
      <c r="AH158" s="31"/>
      <c r="AI158" s="31"/>
      <c r="AJ158" s="31"/>
      <c r="AK158" s="31"/>
      <c r="AL158" s="18">
        <v>2098</v>
      </c>
      <c r="AM158" s="18">
        <v>2308</v>
      </c>
      <c r="AN158" s="17">
        <v>2356</v>
      </c>
      <c r="AO158" s="17">
        <v>2765</v>
      </c>
      <c r="AP158" s="17">
        <v>2253</v>
      </c>
      <c r="AQ158" s="17">
        <v>2079</v>
      </c>
      <c r="AR158" s="17">
        <v>2675</v>
      </c>
      <c r="AS158" s="17">
        <v>3374</v>
      </c>
      <c r="AT158" s="17">
        <v>3096</v>
      </c>
      <c r="AU158" s="18">
        <v>3252</v>
      </c>
      <c r="AV158" s="18">
        <v>3571</v>
      </c>
      <c r="AW158" s="18">
        <v>4560</v>
      </c>
      <c r="AX158" s="18">
        <v>3923</v>
      </c>
      <c r="AY158" s="18">
        <v>4310</v>
      </c>
      <c r="AZ158" s="18">
        <v>4138</v>
      </c>
      <c r="BA158" s="18">
        <v>4870</v>
      </c>
      <c r="BB158" s="18">
        <v>4247</v>
      </c>
      <c r="BC158" s="18">
        <v>4503</v>
      </c>
      <c r="BD158" s="18">
        <v>4659</v>
      </c>
      <c r="BE158" s="18">
        <v>5251</v>
      </c>
      <c r="BF158" s="18">
        <v>4805</v>
      </c>
      <c r="BG158" s="18">
        <v>5243</v>
      </c>
      <c r="BH158" s="18">
        <v>5679</v>
      </c>
      <c r="BI158" s="18">
        <v>6299</v>
      </c>
      <c r="BJ158" s="18">
        <v>5733</v>
      </c>
      <c r="BK158" s="18">
        <v>6087</v>
      </c>
      <c r="BL158" s="18">
        <v>6115</v>
      </c>
      <c r="CI158" s="112"/>
      <c r="CJ158" s="19"/>
      <c r="CK158" s="112"/>
      <c r="CL158" s="112"/>
      <c r="CM158" s="19"/>
      <c r="CN158" s="112"/>
      <c r="CO158" s="19"/>
      <c r="CP158" s="112"/>
      <c r="CQ158" s="19"/>
      <c r="CR158" s="112"/>
      <c r="CS158" s="19"/>
      <c r="CT158" s="112"/>
      <c r="CU158" s="19"/>
      <c r="CV158" s="112"/>
      <c r="CW158" s="19"/>
      <c r="CX158" s="112"/>
      <c r="CY158" s="112"/>
      <c r="CZ158" s="112"/>
      <c r="DA158" s="112"/>
      <c r="DB158" s="112"/>
      <c r="DC158" s="112"/>
    </row>
    <row r="159" spans="1:107" hidden="1" outlineLevel="1" x14ac:dyDescent="0.2">
      <c r="A159" s="11" t="s">
        <v>94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31"/>
      <c r="AL159" s="22">
        <f t="shared" ref="AL159:BL159" si="2572">AL158/AH147-1</f>
        <v>0.21693735498839906</v>
      </c>
      <c r="AM159" s="22">
        <f t="shared" si="2572"/>
        <v>0.24824229313142232</v>
      </c>
      <c r="AN159" s="22">
        <f t="shared" si="2572"/>
        <v>0.28392370572207093</v>
      </c>
      <c r="AO159" s="22">
        <f t="shared" si="2572"/>
        <v>0.25624716038164475</v>
      </c>
      <c r="AP159" s="22">
        <f t="shared" si="2572"/>
        <v>0.18329831932773111</v>
      </c>
      <c r="AQ159" s="22">
        <f t="shared" si="2572"/>
        <v>-2.3485204321277542E-2</v>
      </c>
      <c r="AR159" s="22">
        <f t="shared" si="2572"/>
        <v>0.16659398168338413</v>
      </c>
      <c r="AS159" s="22">
        <f t="shared" si="2572"/>
        <v>0.26556639159789941</v>
      </c>
      <c r="AT159" s="22">
        <f t="shared" si="2572"/>
        <v>0.43532684283727408</v>
      </c>
      <c r="AU159" s="22">
        <f t="shared" si="2572"/>
        <v>0.76835236541598695</v>
      </c>
      <c r="AV159" s="28">
        <f t="shared" si="2572"/>
        <v>0.50611556305356387</v>
      </c>
      <c r="AW159" s="28">
        <f t="shared" si="2572"/>
        <v>0.49508196721311482</v>
      </c>
      <c r="AX159" s="28">
        <f t="shared" si="2572"/>
        <v>0.3504302925989673</v>
      </c>
      <c r="AY159" s="28">
        <f t="shared" si="2572"/>
        <v>0.28121284185493467</v>
      </c>
      <c r="AZ159" s="28">
        <f t="shared" si="2572"/>
        <v>0.12201735357917576</v>
      </c>
      <c r="BA159" s="28">
        <f t="shared" si="2572"/>
        <v>9.5120305824151208E-2</v>
      </c>
      <c r="BB159" s="28">
        <f t="shared" si="2572"/>
        <v>0.10541384695471101</v>
      </c>
      <c r="BC159" s="28">
        <f t="shared" si="2572"/>
        <v>3.7557603686635854E-2</v>
      </c>
      <c r="BD159" s="28">
        <f t="shared" si="2572"/>
        <v>0.1259062348960851</v>
      </c>
      <c r="BE159" s="28">
        <f t="shared" si="2572"/>
        <v>0.12779209621993126</v>
      </c>
      <c r="BF159" s="28">
        <f t="shared" si="2572"/>
        <v>0.17769607843137258</v>
      </c>
      <c r="BG159" s="28">
        <f t="shared" si="2572"/>
        <v>0.16227000665041014</v>
      </c>
      <c r="BH159" s="28">
        <f t="shared" si="2572"/>
        <v>0.2473094662859654</v>
      </c>
      <c r="BI159" s="28">
        <f t="shared" si="2572"/>
        <v>0.21696290571870169</v>
      </c>
      <c r="BJ159" s="28">
        <f t="shared" si="2572"/>
        <v>0.23210831721470027</v>
      </c>
      <c r="BK159" s="28">
        <f t="shared" si="2572"/>
        <v>0.23268529769137292</v>
      </c>
      <c r="BL159" s="28">
        <f t="shared" si="2572"/>
        <v>0.20066758295699971</v>
      </c>
      <c r="CI159" s="112"/>
      <c r="CJ159" s="19"/>
      <c r="CK159" s="112"/>
      <c r="CL159" s="112"/>
      <c r="CM159" s="19"/>
      <c r="CN159" s="112"/>
      <c r="CO159" s="19"/>
      <c r="CP159" s="112"/>
      <c r="CQ159" s="19"/>
      <c r="CR159" s="112"/>
      <c r="CS159" s="19"/>
      <c r="CT159" s="112"/>
      <c r="CU159" s="19"/>
      <c r="CV159" s="112"/>
      <c r="CW159" s="19"/>
      <c r="CX159" s="112"/>
      <c r="CY159" s="112"/>
      <c r="CZ159" s="112"/>
      <c r="DA159" s="112"/>
      <c r="DB159" s="112"/>
      <c r="DC159" s="112"/>
    </row>
    <row r="160" spans="1:107" hidden="1" outlineLevel="1" x14ac:dyDescent="0.2">
      <c r="A160" s="11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31"/>
      <c r="AL160" s="17"/>
      <c r="AM160" s="17"/>
      <c r="AN160" s="22"/>
      <c r="AO160" s="22"/>
      <c r="AP160" s="22"/>
      <c r="AQ160" s="22"/>
      <c r="AR160" s="22"/>
      <c r="AS160" s="22"/>
      <c r="AT160" s="22"/>
      <c r="AU160" s="22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CI160" s="92"/>
      <c r="CK160" s="92"/>
      <c r="CL160" s="92"/>
      <c r="CN160" s="92"/>
      <c r="CP160" s="92"/>
      <c r="CR160" s="92"/>
      <c r="CT160" s="92"/>
      <c r="CV160" s="92"/>
      <c r="CX160" s="92"/>
      <c r="CY160" s="92"/>
      <c r="CZ160" s="92"/>
      <c r="DA160" s="92"/>
      <c r="DB160" s="92"/>
      <c r="DC160" s="92"/>
    </row>
    <row r="161" spans="1:108" hidden="1" outlineLevel="1" x14ac:dyDescent="0.2">
      <c r="A161" s="79" t="s">
        <v>341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31"/>
      <c r="AL161" s="16">
        <f t="shared" ref="AL161:AT161" si="2573">SUM(AL127,AL154,AL156,AL158)</f>
        <v>37355</v>
      </c>
      <c r="AM161" s="16">
        <f t="shared" si="2573"/>
        <v>40053</v>
      </c>
      <c r="AN161" s="16">
        <f t="shared" si="2573"/>
        <v>40919</v>
      </c>
      <c r="AO161" s="16">
        <f t="shared" si="2573"/>
        <v>46401</v>
      </c>
      <c r="AP161" s="16">
        <f t="shared" si="2573"/>
        <v>41502</v>
      </c>
      <c r="AQ161" s="16">
        <f t="shared" si="2573"/>
        <v>38852</v>
      </c>
      <c r="AR161" s="16">
        <f t="shared" si="2573"/>
        <v>46250</v>
      </c>
      <c r="AS161" s="16">
        <f t="shared" si="2573"/>
        <v>56611</v>
      </c>
      <c r="AT161" s="16">
        <f t="shared" si="2573"/>
        <v>54322</v>
      </c>
      <c r="AU161" s="16">
        <f t="shared" ref="AU161:AV161" si="2574">SUM(AU127,AU154,AU156,AU158)</f>
        <v>60000</v>
      </c>
      <c r="AV161" s="16">
        <f t="shared" si="2574"/>
        <v>64441</v>
      </c>
      <c r="AW161" s="16">
        <f t="shared" ref="AW161:AX161" si="2575">SUM(AW127,AW154,AW156,AW158)</f>
        <v>75884</v>
      </c>
      <c r="AX161" s="16">
        <f t="shared" si="2575"/>
        <v>69724</v>
      </c>
      <c r="AY161" s="16">
        <f t="shared" ref="AY161:AZ161" si="2576">SUM(AY127,AY154,AY156,AY158)</f>
        <v>71992</v>
      </c>
      <c r="AZ161" s="16">
        <f t="shared" si="2576"/>
        <v>72207</v>
      </c>
      <c r="BA161" s="16">
        <f t="shared" ref="BA161:BB161" si="2577">SUM(BA127,BA154,BA156,BA158)</f>
        <v>80112</v>
      </c>
      <c r="BB161" s="72">
        <f t="shared" si="2577"/>
        <v>71877</v>
      </c>
      <c r="BC161" s="72">
        <f t="shared" ref="BC161:BD161" si="2578">SUM(BC127,BC154,BC156,BC158)</f>
        <v>74417</v>
      </c>
      <c r="BD161" s="72">
        <f t="shared" si="2578"/>
        <v>76267</v>
      </c>
      <c r="BE161" s="72">
        <f t="shared" ref="BE161:BF161" si="2579">SUM(BE127,BE154,BE156,BE158)</f>
        <v>85220</v>
      </c>
      <c r="BF161" s="72">
        <f t="shared" si="2579"/>
        <v>80854</v>
      </c>
      <c r="BG161" s="72">
        <f t="shared" ref="BG161:BH161" si="2580">SUM(BG127,BG154,BG156,BG158)</f>
        <v>85907</v>
      </c>
      <c r="BH161" s="72">
        <f t="shared" si="2580"/>
        <v>89268</v>
      </c>
      <c r="BI161" s="72">
        <f t="shared" ref="BI161:BJ161" si="2581">SUM(BI127,BI154,BI156,BI158)</f>
        <v>96714</v>
      </c>
      <c r="BJ161" s="72">
        <f t="shared" si="2581"/>
        <v>91579</v>
      </c>
      <c r="BK161" s="72">
        <f t="shared" ref="BK161:BL161" si="2582">SUM(BK127,BK154,BK156,BK158)</f>
        <v>95997</v>
      </c>
      <c r="BL161" s="72">
        <f t="shared" si="2582"/>
        <v>101214</v>
      </c>
      <c r="CI161" s="112"/>
      <c r="CJ161" s="19"/>
      <c r="CK161" s="112"/>
      <c r="CL161" s="112"/>
      <c r="CM161" s="19"/>
      <c r="CN161" s="112"/>
      <c r="CO161" s="19"/>
      <c r="CP161" s="112"/>
      <c r="CQ161" s="19"/>
      <c r="CR161" s="112"/>
      <c r="CS161" s="19"/>
      <c r="CT161" s="112"/>
      <c r="CU161" s="19"/>
      <c r="CV161" s="112"/>
      <c r="CW161" s="19"/>
      <c r="CX161" s="112"/>
      <c r="CY161" s="112"/>
      <c r="CZ161" s="112"/>
      <c r="DA161" s="112"/>
      <c r="DB161" s="112"/>
      <c r="DC161" s="112"/>
    </row>
    <row r="162" spans="1:108" hidden="1" outlineLevel="1" x14ac:dyDescent="0.2">
      <c r="A162" s="8" t="s">
        <v>342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31"/>
      <c r="AL162" s="84">
        <v>31385</v>
      </c>
      <c r="AM162" s="84">
        <v>32760</v>
      </c>
      <c r="AN162" s="84">
        <v>33660</v>
      </c>
      <c r="AO162" s="84">
        <v>39152</v>
      </c>
      <c r="AP162" s="84">
        <v>36202</v>
      </c>
      <c r="AQ162" s="84">
        <v>38836</v>
      </c>
      <c r="AR162" s="84">
        <v>40380</v>
      </c>
      <c r="AS162" s="80">
        <f t="shared" ref="AS162:BL162" si="2583">SUM(AO127,AO132,AO142,AO147)</f>
        <v>45984</v>
      </c>
      <c r="AT162" s="80">
        <f t="shared" si="2583"/>
        <v>41110</v>
      </c>
      <c r="AU162" s="80">
        <f t="shared" si="2583"/>
        <v>38146</v>
      </c>
      <c r="AV162" s="80">
        <f t="shared" si="2583"/>
        <v>46195</v>
      </c>
      <c r="AW162" s="80">
        <f t="shared" si="2583"/>
        <v>56900</v>
      </c>
      <c r="AX162" s="80">
        <f t="shared" si="2583"/>
        <v>55423</v>
      </c>
      <c r="AY162" s="80">
        <f t="shared" si="2583"/>
        <v>61887</v>
      </c>
      <c r="AZ162" s="80">
        <f t="shared" si="2583"/>
        <v>65056</v>
      </c>
      <c r="BA162" s="80">
        <f t="shared" si="2583"/>
        <v>75122</v>
      </c>
      <c r="BB162" s="259">
        <f t="shared" si="2583"/>
        <v>67733</v>
      </c>
      <c r="BC162" s="259">
        <f t="shared" si="2583"/>
        <v>69310</v>
      </c>
      <c r="BD162" s="259">
        <f t="shared" si="2583"/>
        <v>68454</v>
      </c>
      <c r="BE162" s="259">
        <f t="shared" si="2583"/>
        <v>76770</v>
      </c>
      <c r="BF162" s="259">
        <f t="shared" si="2583"/>
        <v>69703</v>
      </c>
      <c r="BG162" s="259">
        <f t="shared" si="2583"/>
        <v>74601</v>
      </c>
      <c r="BH162" s="259">
        <f t="shared" si="2583"/>
        <v>76694</v>
      </c>
      <c r="BI162" s="259">
        <f t="shared" si="2583"/>
        <v>86160</v>
      </c>
      <c r="BJ162" s="259">
        <f t="shared" si="2583"/>
        <v>80467</v>
      </c>
      <c r="BK162" s="259">
        <f t="shared" si="2583"/>
        <v>84640</v>
      </c>
      <c r="BL162" s="259">
        <f t="shared" si="2583"/>
        <v>88251</v>
      </c>
      <c r="CI162" s="112"/>
      <c r="CJ162" s="19"/>
      <c r="CK162" s="112"/>
      <c r="CL162" s="112"/>
      <c r="CM162" s="19"/>
      <c r="CN162" s="112"/>
      <c r="CO162" s="19"/>
      <c r="CP162" s="112"/>
      <c r="CQ162" s="19"/>
      <c r="CR162" s="112"/>
      <c r="CS162" s="19"/>
      <c r="CT162" s="112"/>
      <c r="CU162" s="19"/>
      <c r="CV162" s="112"/>
      <c r="CW162" s="19"/>
      <c r="CX162" s="112"/>
      <c r="CY162" s="112"/>
      <c r="CZ162" s="112"/>
      <c r="DA162" s="112"/>
      <c r="DB162" s="112"/>
      <c r="DC162" s="112"/>
    </row>
    <row r="163" spans="1:108" hidden="1" outlineLevel="1" x14ac:dyDescent="0.2">
      <c r="A163" s="81" t="s">
        <v>94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83">
        <f t="shared" ref="AL163:AS163" si="2584">AL161/AL162-1</f>
        <v>0.19021825712920193</v>
      </c>
      <c r="AM163" s="83">
        <f t="shared" si="2584"/>
        <v>0.22261904761904772</v>
      </c>
      <c r="AN163" s="83">
        <f t="shared" si="2584"/>
        <v>0.21565656565656566</v>
      </c>
      <c r="AO163" s="83">
        <f t="shared" si="2584"/>
        <v>0.18515018389865134</v>
      </c>
      <c r="AP163" s="83">
        <f t="shared" si="2584"/>
        <v>0.14640075133970498</v>
      </c>
      <c r="AQ163" s="83">
        <f t="shared" si="2584"/>
        <v>4.1198887630033987E-4</v>
      </c>
      <c r="AR163" s="83">
        <f t="shared" si="2584"/>
        <v>0.14536899455175822</v>
      </c>
      <c r="AS163" s="83">
        <f t="shared" si="2584"/>
        <v>0.23110212247738349</v>
      </c>
      <c r="AT163" s="83">
        <f t="shared" ref="AT163:AY163" si="2585">AT161/AT162-1</f>
        <v>0.3213816589637557</v>
      </c>
      <c r="AU163" s="83">
        <f t="shared" si="2585"/>
        <v>0.5729041052797148</v>
      </c>
      <c r="AV163" s="83">
        <f t="shared" si="2585"/>
        <v>0.39497781145145572</v>
      </c>
      <c r="AW163" s="83">
        <f t="shared" si="2585"/>
        <v>0.33363796133567658</v>
      </c>
      <c r="AX163" s="83">
        <f t="shared" si="2585"/>
        <v>0.25803366833264163</v>
      </c>
      <c r="AY163" s="83">
        <f t="shared" si="2585"/>
        <v>0.16328146460484438</v>
      </c>
      <c r="AZ163" s="83">
        <f t="shared" ref="AZ163:BA163" si="2586">AZ161/AZ162-1</f>
        <v>0.10992068371864239</v>
      </c>
      <c r="BA163" s="83">
        <f t="shared" si="2586"/>
        <v>6.6425281542024983E-2</v>
      </c>
      <c r="BB163" s="83">
        <f t="shared" ref="BB163:BC163" si="2587">BB161/BB162-1</f>
        <v>6.1181403451788574E-2</v>
      </c>
      <c r="BC163" s="83">
        <f t="shared" si="2587"/>
        <v>7.3683451161448588E-2</v>
      </c>
      <c r="BD163" s="83">
        <f t="shared" ref="BD163:BE163" si="2588">BD161/BD162-1</f>
        <v>0.11413503958862892</v>
      </c>
      <c r="BE163" s="83">
        <f t="shared" si="2588"/>
        <v>0.11006903738439489</v>
      </c>
      <c r="BF163" s="83">
        <f t="shared" ref="BF163:BG163" si="2589">BF161/BF162-1</f>
        <v>0.15997876705450276</v>
      </c>
      <c r="BG163" s="83">
        <f t="shared" si="2589"/>
        <v>0.15155292824492972</v>
      </c>
      <c r="BH163" s="83">
        <f t="shared" ref="BH163:BI163" si="2590">BH161/BH162-1</f>
        <v>0.16395024382611423</v>
      </c>
      <c r="BI163" s="83">
        <f t="shared" si="2590"/>
        <v>0.12249303621169916</v>
      </c>
      <c r="BJ163" s="83">
        <f t="shared" ref="BJ163:BK163" si="2591">BJ161/BJ162-1</f>
        <v>0.13809387699305309</v>
      </c>
      <c r="BK163" s="83">
        <f t="shared" si="2591"/>
        <v>0.13418005671077515</v>
      </c>
      <c r="BL163" s="83">
        <f t="shared" ref="BL163" si="2592">BL161/BL162-1</f>
        <v>0.14688785396199466</v>
      </c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I163" s="113"/>
      <c r="CJ163" s="82"/>
      <c r="CK163" s="113"/>
      <c r="CL163" s="113"/>
      <c r="CM163" s="82"/>
      <c r="CN163" s="113"/>
      <c r="CO163" s="82"/>
      <c r="CP163" s="113"/>
      <c r="CQ163" s="82"/>
      <c r="CR163" s="113"/>
      <c r="CS163" s="82"/>
      <c r="CT163" s="113"/>
      <c r="CU163" s="82"/>
      <c r="CV163" s="113"/>
      <c r="CW163" s="82"/>
      <c r="CX163" s="113"/>
      <c r="CY163" s="113"/>
      <c r="CZ163" s="113"/>
      <c r="DA163" s="113"/>
      <c r="DB163" s="113"/>
      <c r="DC163" s="113"/>
    </row>
    <row r="164" spans="1:108" collapsed="1" x14ac:dyDescent="0.2">
      <c r="BA164" s="20"/>
      <c r="BB164" s="325"/>
      <c r="BC164" s="325"/>
      <c r="BD164" s="325"/>
      <c r="BE164" s="325"/>
      <c r="BF164" s="325"/>
      <c r="BG164" s="325"/>
      <c r="BH164" s="325"/>
      <c r="BI164" s="325"/>
      <c r="BJ164" s="325"/>
      <c r="BK164" s="325"/>
      <c r="BL164" s="325"/>
      <c r="BM164" s="325"/>
      <c r="BN164" s="325"/>
      <c r="BO164" s="325"/>
      <c r="BP164" s="325"/>
      <c r="BQ164" s="325"/>
      <c r="BR164" s="325"/>
      <c r="BS164" s="325"/>
      <c r="BT164" s="325"/>
      <c r="BU164" s="325"/>
      <c r="BV164" s="325"/>
      <c r="BW164" s="325"/>
      <c r="BX164" s="325"/>
      <c r="BY164" s="325"/>
      <c r="BZ164" s="325"/>
      <c r="CA164" s="325"/>
      <c r="CB164" s="325"/>
      <c r="CC164" s="325"/>
      <c r="CD164" s="325"/>
      <c r="CE164" s="325"/>
      <c r="CF164" s="325"/>
      <c r="CG164" s="325"/>
      <c r="CH164" s="325"/>
      <c r="CI164" s="92"/>
      <c r="CK164" s="92"/>
      <c r="CL164" s="92"/>
      <c r="CN164" s="92"/>
      <c r="CP164" s="92"/>
      <c r="CR164" s="92"/>
      <c r="CT164" s="92"/>
      <c r="CV164" s="89"/>
      <c r="CW164" s="89"/>
      <c r="CX164" s="89"/>
      <c r="CY164" s="89"/>
      <c r="CZ164" s="89"/>
      <c r="DA164" s="89"/>
      <c r="DB164" s="89"/>
      <c r="DC164" s="89"/>
    </row>
    <row r="165" spans="1:108" x14ac:dyDescent="0.2">
      <c r="A165" s="1" t="s">
        <v>101</v>
      </c>
      <c r="B165" s="17">
        <v>-2452</v>
      </c>
      <c r="C165" s="17">
        <v>-2467</v>
      </c>
      <c r="D165" s="17">
        <v>-2552</v>
      </c>
      <c r="E165" s="17">
        <v>-2946</v>
      </c>
      <c r="F165" s="17">
        <v>-2936</v>
      </c>
      <c r="G165" s="17">
        <v>-3172</v>
      </c>
      <c r="H165" s="17">
        <v>-3378</v>
      </c>
      <c r="I165" s="17">
        <v>-3702</v>
      </c>
      <c r="J165" s="17">
        <v>-3789</v>
      </c>
      <c r="K165" s="17">
        <v>-3984</v>
      </c>
      <c r="L165" s="17">
        <v>-4440</v>
      </c>
      <c r="M165" s="17">
        <v>-4963</v>
      </c>
      <c r="N165" s="17">
        <v>-5136</v>
      </c>
      <c r="O165" s="17">
        <v>-5195</v>
      </c>
      <c r="P165" s="17">
        <v>-5409</v>
      </c>
      <c r="Q165" s="17">
        <v>-6253</v>
      </c>
      <c r="R165" s="17">
        <v>-5961</v>
      </c>
      <c r="S165" s="17">
        <v>-6114</v>
      </c>
      <c r="T165" s="17">
        <v>-6695</v>
      </c>
      <c r="U165" s="17">
        <v>-6921</v>
      </c>
      <c r="V165" s="17">
        <v>-6356</v>
      </c>
      <c r="W165" s="17">
        <v>-6583</v>
      </c>
      <c r="X165" s="17">
        <v>-7037</v>
      </c>
      <c r="Y165" s="17">
        <v>-8188</v>
      </c>
      <c r="Z165" s="17">
        <v>-7648</v>
      </c>
      <c r="AA165" s="17">
        <v>-8130</v>
      </c>
      <c r="AB165" s="17">
        <v>-8699</v>
      </c>
      <c r="AC165" s="17">
        <v>-10661</v>
      </c>
      <c r="AD165" s="17">
        <v>-9795</v>
      </c>
      <c r="AE165" s="17">
        <v>-10373</v>
      </c>
      <c r="AF165" s="17">
        <v>-11148</v>
      </c>
      <c r="AG165" s="17">
        <v>-14267</v>
      </c>
      <c r="AH165" s="17">
        <v>-13467</v>
      </c>
      <c r="AI165" s="17">
        <v>-13883</v>
      </c>
      <c r="AJ165" s="17">
        <v>-14281</v>
      </c>
      <c r="AK165" s="17">
        <v>-17918</v>
      </c>
      <c r="AL165" s="17">
        <v>-16012</v>
      </c>
      <c r="AM165" s="17">
        <v>-17296</v>
      </c>
      <c r="AN165" s="17">
        <v>-17568</v>
      </c>
      <c r="AO165" s="17">
        <v>-21020</v>
      </c>
      <c r="AP165" s="17">
        <v>-18982</v>
      </c>
      <c r="AQ165" s="17">
        <v>-18553</v>
      </c>
      <c r="AR165" s="17">
        <v>-21117</v>
      </c>
      <c r="AS165" s="17">
        <v>-26080</v>
      </c>
      <c r="AT165" s="17">
        <v>-24103</v>
      </c>
      <c r="AU165" s="18">
        <v>-26227</v>
      </c>
      <c r="AV165" s="18">
        <v>-27621</v>
      </c>
      <c r="AW165" s="18">
        <v>-32988</v>
      </c>
      <c r="AX165" s="18">
        <v>-29599</v>
      </c>
      <c r="AY165" s="18">
        <v>-30104</v>
      </c>
      <c r="AZ165" s="18">
        <v>-31158</v>
      </c>
      <c r="BA165" s="18">
        <v>-35342</v>
      </c>
      <c r="BB165" s="18">
        <v>-30612</v>
      </c>
      <c r="BC165" s="18">
        <v>-31916</v>
      </c>
      <c r="BD165" s="18">
        <v>-33229</v>
      </c>
      <c r="BE165" s="18">
        <v>-37575</v>
      </c>
      <c r="BF165" s="18">
        <v>-33712</v>
      </c>
      <c r="BG165" s="18">
        <v>-35507</v>
      </c>
      <c r="BH165" s="18">
        <v>-36474</v>
      </c>
      <c r="BI165" s="18">
        <v>-40613</v>
      </c>
      <c r="BJ165" s="18">
        <v>-36361</v>
      </c>
      <c r="BK165" s="18">
        <v>-39039</v>
      </c>
      <c r="BL165" s="18">
        <v>-41369</v>
      </c>
      <c r="BM165" s="20">
        <f t="shared" ref="BM165:BQ165" si="2593">BM166+BM68</f>
        <v>-47749.736054976354</v>
      </c>
      <c r="BN165" s="20">
        <f t="shared" si="2593"/>
        <v>-42146.969005598119</v>
      </c>
      <c r="BO165" s="20">
        <f t="shared" si="2593"/>
        <v>-44814.219349756677</v>
      </c>
      <c r="BP165" s="20">
        <f t="shared" si="2593"/>
        <v>-47818.89597866543</v>
      </c>
      <c r="BQ165" s="20">
        <f t="shared" si="2593"/>
        <v>-54322.224402501844</v>
      </c>
      <c r="BR165" s="20">
        <f>BR166+BR68</f>
        <v>-48332.821233028801</v>
      </c>
      <c r="BS165" s="20">
        <f t="shared" ref="BS165:BU165" si="2594">BS166+BS68</f>
        <v>-51148.225222018824</v>
      </c>
      <c r="BT165" s="20">
        <f t="shared" si="2594"/>
        <v>-54654.591486757192</v>
      </c>
      <c r="BU165" s="20">
        <f t="shared" si="2594"/>
        <v>-61875.161068832647</v>
      </c>
      <c r="BV165" s="20">
        <f t="shared" ref="BV165:CC165" si="2595">BV166+BV68</f>
        <v>-54882.74922173599</v>
      </c>
      <c r="BW165" s="20">
        <f t="shared" si="2595"/>
        <v>-57813.774552716422</v>
      </c>
      <c r="BX165" s="20">
        <f t="shared" si="2595"/>
        <v>-61866.887805157327</v>
      </c>
      <c r="BY165" s="20">
        <f t="shared" si="2595"/>
        <v>-69819.740664866084</v>
      </c>
      <c r="BZ165" s="20">
        <f t="shared" si="2595"/>
        <v>-61360.767414520858</v>
      </c>
      <c r="CA165" s="20">
        <f t="shared" si="2595"/>
        <v>-64352.885456486911</v>
      </c>
      <c r="CB165" s="20">
        <f t="shared" si="2595"/>
        <v>-68959.97498916708</v>
      </c>
      <c r="CC165" s="20">
        <f t="shared" si="2595"/>
        <v>-77614.833612828676</v>
      </c>
      <c r="CD165" s="20">
        <f t="shared" ref="CD165:CG165" si="2596">CD166+CD68</f>
        <v>-67996.201013561425</v>
      </c>
      <c r="CE165" s="20">
        <f t="shared" si="2596"/>
        <v>-71007.787844647697</v>
      </c>
      <c r="CF165" s="20">
        <f t="shared" si="2596"/>
        <v>-76188.061109395334</v>
      </c>
      <c r="CG165" s="20">
        <f t="shared" si="2596"/>
        <v>-85532.8780256686</v>
      </c>
      <c r="CH165" s="20"/>
      <c r="CI165" s="89">
        <f>SUM(B165:E165)</f>
        <v>-10417</v>
      </c>
      <c r="CJ165" s="20">
        <f>SUM(F165:I165)</f>
        <v>-13188</v>
      </c>
      <c r="CK165" s="89">
        <f>SUM(J165:M165)</f>
        <v>-17176</v>
      </c>
      <c r="CL165" s="89">
        <f>SUM(N165:Q165)</f>
        <v>-21993</v>
      </c>
      <c r="CM165" s="20">
        <f>SUM(R165:U165)</f>
        <v>-25691</v>
      </c>
      <c r="CN165" s="89">
        <f>SUM(V165:Y165)</f>
        <v>-28164</v>
      </c>
      <c r="CO165" s="20">
        <f>SUM(Z165:AC165)</f>
        <v>-35138</v>
      </c>
      <c r="CP165" s="89">
        <f>SUM(AD165:AG165)</f>
        <v>-45583</v>
      </c>
      <c r="CQ165" s="20">
        <f>SUM(AH165:AK165)</f>
        <v>-59549</v>
      </c>
      <c r="CR165" s="89">
        <f>SUM(AL165:AO165)</f>
        <v>-71896</v>
      </c>
      <c r="CS165" s="20">
        <f>SUM(AP165:AS165)</f>
        <v>-84732</v>
      </c>
      <c r="CT165" s="89">
        <f>SUM(AT165:AW165)</f>
        <v>-110939</v>
      </c>
      <c r="CU165" s="20">
        <f>SUM(AX165:BA165)</f>
        <v>-126203</v>
      </c>
      <c r="CV165" s="89">
        <f>SUM(BB165:BE165)</f>
        <v>-133332</v>
      </c>
      <c r="CW165" s="20">
        <f>SUM(BF165:BI165)</f>
        <v>-146306</v>
      </c>
      <c r="CX165" s="89">
        <f>SUM(BJ165:BM165)</f>
        <v>-164518.73605497635</v>
      </c>
      <c r="CY165" s="89">
        <f>SUM(BN165:BQ165)</f>
        <v>-189102.30873652204</v>
      </c>
      <c r="CZ165" s="89">
        <f>SUM(BR165:BU165)</f>
        <v>-216010.79901063745</v>
      </c>
      <c r="DA165" s="89">
        <f>SUM(BV165:BY165)</f>
        <v>-244383.15224447582</v>
      </c>
      <c r="DB165" s="89">
        <f>SUM(BZ165:CC165)</f>
        <v>-272288.46147300355</v>
      </c>
      <c r="DC165" s="89">
        <f>SUM(CD165:CG165)</f>
        <v>-300724.92799327307</v>
      </c>
    </row>
    <row r="166" spans="1:108" x14ac:dyDescent="0.2">
      <c r="A166" s="1" t="s">
        <v>102</v>
      </c>
      <c r="B166" s="20">
        <f t="shared" ref="B166:BB166" si="2597">B165-B68</f>
        <v>-741</v>
      </c>
      <c r="C166" s="20">
        <f t="shared" si="2597"/>
        <v>-735</v>
      </c>
      <c r="D166" s="20">
        <f t="shared" si="2597"/>
        <v>-747</v>
      </c>
      <c r="E166" s="20">
        <f t="shared" si="2597"/>
        <v>-877</v>
      </c>
      <c r="F166" s="20">
        <f t="shared" si="2597"/>
        <v>-897</v>
      </c>
      <c r="G166" s="20">
        <f t="shared" si="2597"/>
        <v>-1060</v>
      </c>
      <c r="H166" s="20">
        <f t="shared" si="2597"/>
        <v>-1170</v>
      </c>
      <c r="I166" s="20">
        <f t="shared" si="2597"/>
        <v>-1250</v>
      </c>
      <c r="J166" s="20">
        <f t="shared" si="2597"/>
        <v>-1280</v>
      </c>
      <c r="K166" s="20">
        <f t="shared" si="2597"/>
        <v>-1381</v>
      </c>
      <c r="L166" s="20">
        <f t="shared" si="2597"/>
        <v>-1666</v>
      </c>
      <c r="M166" s="20">
        <f t="shared" si="2597"/>
        <v>-1890</v>
      </c>
      <c r="N166" s="20">
        <f t="shared" si="2597"/>
        <v>-2172</v>
      </c>
      <c r="O166" s="20">
        <f t="shared" si="2597"/>
        <v>-2182</v>
      </c>
      <c r="P166" s="20">
        <f t="shared" si="2597"/>
        <v>-2436</v>
      </c>
      <c r="Q166" s="20">
        <f t="shared" si="2597"/>
        <v>-2945</v>
      </c>
      <c r="R166" s="20">
        <f t="shared" si="2597"/>
        <v>-2730</v>
      </c>
      <c r="S166" s="20">
        <f t="shared" si="2597"/>
        <v>-2820</v>
      </c>
      <c r="T166" s="20">
        <f t="shared" si="2597"/>
        <v>-3347</v>
      </c>
      <c r="U166" s="20">
        <f t="shared" si="2597"/>
        <v>-3297</v>
      </c>
      <c r="V166" s="20">
        <f t="shared" si="2597"/>
        <v>-3011</v>
      </c>
      <c r="W166" s="20">
        <f t="shared" si="2597"/>
        <v>-3206</v>
      </c>
      <c r="X166" s="20">
        <f t="shared" si="2597"/>
        <v>-3471</v>
      </c>
      <c r="Y166" s="20">
        <f t="shared" si="2597"/>
        <v>-4133</v>
      </c>
      <c r="Z166" s="20">
        <f t="shared" si="2597"/>
        <v>-3860</v>
      </c>
      <c r="AA166" s="20">
        <f t="shared" si="2597"/>
        <v>-4155</v>
      </c>
      <c r="AB166" s="20">
        <f t="shared" si="2597"/>
        <v>-4517</v>
      </c>
      <c r="AC166" s="20">
        <f t="shared" si="2597"/>
        <v>-5813</v>
      </c>
      <c r="AD166" s="20">
        <f t="shared" si="2597"/>
        <v>-5166</v>
      </c>
      <c r="AE166" s="20">
        <f t="shared" si="2597"/>
        <v>-5282</v>
      </c>
      <c r="AF166" s="20">
        <f t="shared" si="2597"/>
        <v>-5646</v>
      </c>
      <c r="AG166" s="20">
        <f t="shared" si="2597"/>
        <v>-7817</v>
      </c>
      <c r="AH166" s="20">
        <f t="shared" si="2597"/>
        <v>-7179</v>
      </c>
      <c r="AI166" s="20">
        <f t="shared" si="2597"/>
        <v>-7463</v>
      </c>
      <c r="AJ166" s="20">
        <f t="shared" si="2597"/>
        <v>-7699</v>
      </c>
      <c r="AK166" s="20">
        <f t="shared" si="2597"/>
        <v>-10482</v>
      </c>
      <c r="AL166" s="20">
        <f t="shared" si="2597"/>
        <v>-9152</v>
      </c>
      <c r="AM166" s="20">
        <f t="shared" si="2597"/>
        <v>-10058</v>
      </c>
      <c r="AN166" s="20">
        <f t="shared" si="2597"/>
        <v>-10078</v>
      </c>
      <c r="AO166" s="20">
        <f t="shared" si="2597"/>
        <v>-12519</v>
      </c>
      <c r="AP166" s="20">
        <f t="shared" si="2597"/>
        <v>-11530</v>
      </c>
      <c r="AQ166" s="20">
        <f t="shared" si="2597"/>
        <v>-11859</v>
      </c>
      <c r="AR166" s="20">
        <f t="shared" si="2597"/>
        <v>-12951</v>
      </c>
      <c r="AS166" s="20">
        <f t="shared" si="2597"/>
        <v>-15614</v>
      </c>
      <c r="AT166" s="20">
        <f t="shared" si="2597"/>
        <v>-14391</v>
      </c>
      <c r="AU166" s="20">
        <f t="shared" si="2597"/>
        <v>-15298</v>
      </c>
      <c r="AV166" s="20">
        <f t="shared" si="2597"/>
        <v>-16123</v>
      </c>
      <c r="AW166" s="20">
        <f t="shared" si="2597"/>
        <v>-19561</v>
      </c>
      <c r="AX166" s="20">
        <f t="shared" si="2597"/>
        <v>-17609</v>
      </c>
      <c r="AY166" s="20">
        <f t="shared" si="2597"/>
        <v>-17890</v>
      </c>
      <c r="AZ166" s="20">
        <f t="shared" si="2597"/>
        <v>-19332</v>
      </c>
      <c r="BA166" s="20">
        <f t="shared" si="2597"/>
        <v>-22417</v>
      </c>
      <c r="BB166" s="20">
        <f t="shared" si="2597"/>
        <v>-18891</v>
      </c>
      <c r="BC166" s="20">
        <f t="shared" ref="BC166:BD166" si="2598">BC165-BC68</f>
        <v>-19379</v>
      </c>
      <c r="BD166" s="20">
        <f t="shared" si="2598"/>
        <v>-20587</v>
      </c>
      <c r="BE166" s="20">
        <f t="shared" ref="BE166:BF166" si="2599">BE165-BE68</f>
        <v>-23589</v>
      </c>
      <c r="BF166" s="20">
        <f t="shared" si="2599"/>
        <v>-20766</v>
      </c>
      <c r="BG166" s="20">
        <f t="shared" ref="BG166:BH166" si="2600">BG165-BG68</f>
        <v>-22120</v>
      </c>
      <c r="BH166" s="20">
        <f t="shared" si="2600"/>
        <v>-22755</v>
      </c>
      <c r="BI166" s="20">
        <f t="shared" ref="BI166:BJ166" si="2601">BI165-BI68</f>
        <v>-25765</v>
      </c>
      <c r="BJ166" s="20">
        <f t="shared" si="2601"/>
        <v>-22613</v>
      </c>
      <c r="BK166" s="20">
        <f t="shared" ref="BK166:BL166" si="2602">BK165-BK68</f>
        <v>-24334</v>
      </c>
      <c r="BL166" s="20">
        <f t="shared" si="2602"/>
        <v>-26493</v>
      </c>
      <c r="BM166" s="20">
        <f t="shared" ref="BM166:BQ166" si="2603">BM169*BM85</f>
        <v>-31106.114054976351</v>
      </c>
      <c r="BN166" s="20">
        <f t="shared" si="2603"/>
        <v>-27438.224213161244</v>
      </c>
      <c r="BO166" s="20">
        <f t="shared" si="2603"/>
        <v>-29270.563699789735</v>
      </c>
      <c r="BP166" s="20">
        <f t="shared" si="2603"/>
        <v>-31628.067014195505</v>
      </c>
      <c r="BQ166" s="20">
        <f t="shared" si="2603"/>
        <v>-36607.578707399218</v>
      </c>
      <c r="BR166" s="20">
        <f>BR169*BR85</f>
        <v>-32438.005346657101</v>
      </c>
      <c r="BS166" s="20">
        <f t="shared" ref="BS166:BU166" si="2604">BS169*BS85</f>
        <v>-34460.327058518225</v>
      </c>
      <c r="BT166" s="20">
        <f t="shared" si="2604"/>
        <v>-37264.280897800614</v>
      </c>
      <c r="BU166" s="20">
        <f t="shared" si="2604"/>
        <v>-42903.904550750201</v>
      </c>
      <c r="BV166" s="20">
        <f t="shared" ref="BV166:CC166" si="2605">BV169*BV85</f>
        <v>-37792.024951615254</v>
      </c>
      <c r="BW166" s="20">
        <f t="shared" si="2605"/>
        <v>-39990.980572839842</v>
      </c>
      <c r="BX166" s="20">
        <f t="shared" si="2605"/>
        <v>-43287.145236884709</v>
      </c>
      <c r="BY166" s="20">
        <f t="shared" si="2605"/>
        <v>-49611.375706290586</v>
      </c>
      <c r="BZ166" s="20">
        <f t="shared" si="2605"/>
        <v>-43092.431051782638</v>
      </c>
      <c r="CA166" s="20">
        <f t="shared" si="2605"/>
        <v>-45433.17915953631</v>
      </c>
      <c r="CB166" s="20">
        <f t="shared" si="2605"/>
        <v>-49230.542907278024</v>
      </c>
      <c r="CC166" s="20">
        <f t="shared" si="2605"/>
        <v>-56221.470848901139</v>
      </c>
      <c r="CD166" s="20">
        <f t="shared" ref="CD166:CG166" si="2606">CD169*CD85</f>
        <v>-48545.374621145165</v>
      </c>
      <c r="CE166" s="20">
        <f t="shared" si="2606"/>
        <v>-51004.550909118851</v>
      </c>
      <c r="CF166" s="20">
        <f t="shared" si="2606"/>
        <v>-55323.048242387726</v>
      </c>
      <c r="CG166" s="20">
        <f t="shared" si="2606"/>
        <v>-62978.779414380406</v>
      </c>
      <c r="CH166" s="20"/>
      <c r="CI166" s="89">
        <f>SUM(B166:E166)</f>
        <v>-3100</v>
      </c>
      <c r="CJ166" s="20">
        <f>SUM(F166:I166)</f>
        <v>-4377</v>
      </c>
      <c r="CK166" s="89">
        <f>SUM(J166:M166)</f>
        <v>-6217</v>
      </c>
      <c r="CL166" s="89">
        <f>SUM(N166:Q166)</f>
        <v>-9735</v>
      </c>
      <c r="CM166" s="20">
        <f>SUM(R166:U166)</f>
        <v>-12194</v>
      </c>
      <c r="CN166" s="89">
        <f>SUM(V166:Y166)</f>
        <v>-13821</v>
      </c>
      <c r="CO166" s="20">
        <f>SUM(Z166:AC166)</f>
        <v>-18345</v>
      </c>
      <c r="CP166" s="89">
        <f>SUM(AD166:AG166)</f>
        <v>-23911</v>
      </c>
      <c r="CQ166" s="20">
        <f>SUM(AH166:AK166)</f>
        <v>-32823</v>
      </c>
      <c r="CR166" s="89">
        <f>SUM(AL166:AO166)</f>
        <v>-41807</v>
      </c>
      <c r="CS166" s="20">
        <f>SUM(AP166:AS166)</f>
        <v>-51954</v>
      </c>
      <c r="CT166" s="89">
        <f>SUM(AT166:AW166)</f>
        <v>-65373</v>
      </c>
      <c r="CU166" s="20">
        <f>SUM(AX166:BA166)</f>
        <v>-77248</v>
      </c>
      <c r="CV166" s="89">
        <f>SUM(BB166:BE166)</f>
        <v>-82446</v>
      </c>
      <c r="CW166" s="20">
        <f>SUM(BF166:BI166)</f>
        <v>-91406</v>
      </c>
      <c r="CX166" s="89">
        <f>SUM(BJ166:BM166)</f>
        <v>-104546.11405497635</v>
      </c>
      <c r="CY166" s="89">
        <f>SUM(BN166:BQ166)</f>
        <v>-124944.43363454571</v>
      </c>
      <c r="CZ166" s="89">
        <f>SUM(BR166:BU166)</f>
        <v>-147066.51785372617</v>
      </c>
      <c r="DA166" s="89">
        <f>SUM(BV166:BY166)</f>
        <v>-170681.52646763041</v>
      </c>
      <c r="DB166" s="89">
        <f>SUM(BZ166:CC166)</f>
        <v>-193977.6239674981</v>
      </c>
      <c r="DC166" s="89">
        <f>SUM(CD166:CG166)</f>
        <v>-217851.75318703215</v>
      </c>
    </row>
    <row r="167" spans="1:108" x14ac:dyDescent="0.2">
      <c r="A167" s="8" t="s">
        <v>62</v>
      </c>
      <c r="B167" s="25" t="s">
        <v>82</v>
      </c>
      <c r="C167" s="22">
        <f>IF(AND(B166&lt;0,C166&gt;0),"n/a",C166/B166-1)</f>
        <v>-8.0971659919027994E-3</v>
      </c>
      <c r="D167" s="22">
        <f t="shared" ref="D167" si="2607">IF(AND(C166&lt;0,D166&gt;0),"n/a",D166/C166-1)</f>
        <v>1.6326530612244872E-2</v>
      </c>
      <c r="E167" s="22">
        <f t="shared" ref="E167" si="2608">IF(AND(D166&lt;0,E166&gt;0),"n/a",E166/D166-1)</f>
        <v>0.17402945113788482</v>
      </c>
      <c r="F167" s="22">
        <f t="shared" ref="F167" si="2609">IF(AND(E166&lt;0,F166&gt;0),"n/a",F166/E166-1)</f>
        <v>2.2805017103762815E-2</v>
      </c>
      <c r="G167" s="22">
        <f t="shared" ref="G167" si="2610">IF(AND(F166&lt;0,G166&gt;0),"n/a",G166/F166-1)</f>
        <v>0.18171683389074689</v>
      </c>
      <c r="H167" s="22">
        <f t="shared" ref="H167" si="2611">IF(AND(G166&lt;0,H166&gt;0),"n/a",H166/G166-1)</f>
        <v>0.10377358490566047</v>
      </c>
      <c r="I167" s="22">
        <f t="shared" ref="I167" si="2612">IF(AND(H166&lt;0,I166&gt;0),"n/a",I166/H166-1)</f>
        <v>6.8376068376068355E-2</v>
      </c>
      <c r="J167" s="22">
        <f t="shared" ref="J167" si="2613">IF(AND(I166&lt;0,J166&gt;0),"n/a",J166/I166-1)</f>
        <v>2.4000000000000021E-2</v>
      </c>
      <c r="K167" s="22">
        <f t="shared" ref="K167" si="2614">IF(AND(J166&lt;0,K166&gt;0),"n/a",K166/J166-1)</f>
        <v>7.8906249999999956E-2</v>
      </c>
      <c r="L167" s="22">
        <f t="shared" ref="L167" si="2615">IF(AND(K166&lt;0,L166&gt;0),"n/a",L166/K166-1)</f>
        <v>0.20637219406227381</v>
      </c>
      <c r="M167" s="22">
        <f t="shared" ref="M167" si="2616">IF(AND(L166&lt;0,M166&gt;0),"n/a",M166/L166-1)</f>
        <v>0.13445378151260501</v>
      </c>
      <c r="N167" s="22">
        <f t="shared" ref="N167" si="2617">IF(AND(M166&lt;0,N166&gt;0),"n/a",N166/M166-1)</f>
        <v>0.14920634920634912</v>
      </c>
      <c r="O167" s="22">
        <f t="shared" ref="O167" si="2618">IF(AND(N166&lt;0,O166&gt;0),"n/a",O166/N166-1)</f>
        <v>4.604051565377576E-3</v>
      </c>
      <c r="P167" s="22">
        <f t="shared" ref="P167" si="2619">IF(AND(O166&lt;0,P166&gt;0),"n/a",P166/O166-1)</f>
        <v>0.11640696608615952</v>
      </c>
      <c r="Q167" s="22">
        <f t="shared" ref="Q167" si="2620">IF(AND(P166&lt;0,Q166&gt;0),"n/a",Q166/P166-1)</f>
        <v>0.2089490968801313</v>
      </c>
      <c r="R167" s="22">
        <f t="shared" ref="R167" si="2621">IF(AND(Q166&lt;0,R166&gt;0),"n/a",R166/Q166-1)</f>
        <v>-7.3005093378607833E-2</v>
      </c>
      <c r="S167" s="22">
        <f t="shared" ref="S167" si="2622">IF(AND(R166&lt;0,S166&gt;0),"n/a",S166/R166-1)</f>
        <v>3.2967032967033072E-2</v>
      </c>
      <c r="T167" s="22">
        <f t="shared" ref="T167" si="2623">IF(AND(S166&lt;0,T166&gt;0),"n/a",T166/S166-1)</f>
        <v>0.18687943262411344</v>
      </c>
      <c r="U167" s="22">
        <f t="shared" ref="U167" si="2624">IF(AND(T166&lt;0,U166&gt;0),"n/a",U166/T166-1)</f>
        <v>-1.4938751120406324E-2</v>
      </c>
      <c r="V167" s="22">
        <f t="shared" ref="V167" si="2625">IF(AND(U166&lt;0,V166&gt;0),"n/a",V166/U166-1)</f>
        <v>-8.6745526235972092E-2</v>
      </c>
      <c r="W167" s="22">
        <f t="shared" ref="W167" si="2626">IF(AND(V166&lt;0,W166&gt;0),"n/a",W166/V166-1)</f>
        <v>6.4762537363002304E-2</v>
      </c>
      <c r="X167" s="22">
        <f t="shared" ref="X167" si="2627">IF(AND(W166&lt;0,X166&gt;0),"n/a",X166/W166-1)</f>
        <v>8.2657517155333649E-2</v>
      </c>
      <c r="Y167" s="22">
        <f t="shared" ref="Y167" si="2628">IF(AND(X166&lt;0,Y166&gt;0),"n/a",Y166/X166-1)</f>
        <v>0.19072313454335932</v>
      </c>
      <c r="Z167" s="22">
        <f t="shared" ref="Z167" si="2629">IF(AND(Y166&lt;0,Z166&gt;0),"n/a",Z166/Y166-1)</f>
        <v>-6.6053714009194242E-2</v>
      </c>
      <c r="AA167" s="22">
        <f t="shared" ref="AA167" si="2630">IF(AND(Z166&lt;0,AA166&gt;0),"n/a",AA166/Z166-1)</f>
        <v>7.6424870466321293E-2</v>
      </c>
      <c r="AB167" s="22">
        <f t="shared" ref="AB167" si="2631">IF(AND(AA166&lt;0,AB166&gt;0),"n/a",AB166/AA166-1)</f>
        <v>8.7123947051744866E-2</v>
      </c>
      <c r="AC167" s="22">
        <f t="shared" ref="AC167" si="2632">IF(AND(AB166&lt;0,AC166&gt;0),"n/a",AC166/AB166-1)</f>
        <v>0.28691609475315483</v>
      </c>
      <c r="AD167" s="22">
        <f t="shared" ref="AD167" si="2633">IF(AND(AC166&lt;0,AD166&gt;0),"n/a",AD166/AC166-1)</f>
        <v>-0.11130225356958545</v>
      </c>
      <c r="AE167" s="22">
        <f t="shared" ref="AE167" si="2634">IF(AND(AD166&lt;0,AE166&gt;0),"n/a",AE166/AD166-1)</f>
        <v>2.2454510259388272E-2</v>
      </c>
      <c r="AF167" s="22">
        <f t="shared" ref="AF167" si="2635">IF(AND(AE166&lt;0,AF166&gt;0),"n/a",AF166/AE166-1)</f>
        <v>6.891329042029537E-2</v>
      </c>
      <c r="AG167" s="22">
        <f t="shared" ref="AG167" si="2636">IF(AND(AF166&lt;0,AG166&gt;0),"n/a",AG166/AF166-1)</f>
        <v>0.38452001416932347</v>
      </c>
      <c r="AH167" s="22">
        <f t="shared" ref="AH167" si="2637">IF(AND(AG166&lt;0,AH166&gt;0),"n/a",AH166/AG166-1)</f>
        <v>-8.1616988614558017E-2</v>
      </c>
      <c r="AI167" s="22">
        <f t="shared" ref="AI167" si="2638">IF(AND(AH166&lt;0,AI166&gt;0),"n/a",AI166/AH166-1)</f>
        <v>3.9559827273993653E-2</v>
      </c>
      <c r="AJ167" s="22">
        <f t="shared" ref="AJ167" si="2639">IF(AND(AI166&lt;0,AJ166&gt;0),"n/a",AJ166/AI166-1)</f>
        <v>3.1622671847782335E-2</v>
      </c>
      <c r="AK167" s="22">
        <f t="shared" ref="AK167" si="2640">IF(AND(AJ166&lt;0,AK166&gt;0),"n/a",AK166/AJ166-1)</f>
        <v>0.36147551630081831</v>
      </c>
      <c r="AL167" s="22">
        <f t="shared" ref="AL167" si="2641">IF(AND(AK166&lt;0,AL166&gt;0),"n/a",AL166/AK166-1)</f>
        <v>-0.12688418240793742</v>
      </c>
      <c r="AM167" s="22">
        <f t="shared" ref="AM167" si="2642">IF(AND(AL166&lt;0,AM166&gt;0),"n/a",AM166/AL166-1)</f>
        <v>9.8994755244755206E-2</v>
      </c>
      <c r="AN167" s="22">
        <f t="shared" ref="AN167" si="2643">IF(AND(AM166&lt;0,AN166&gt;0),"n/a",AN166/AM166-1)</f>
        <v>1.9884668920262527E-3</v>
      </c>
      <c r="AO167" s="22">
        <f t="shared" ref="AO167" si="2644">IF(AND(AN166&lt;0,AO166&gt;0),"n/a",AO166/AN166-1)</f>
        <v>0.24221075610240117</v>
      </c>
      <c r="AP167" s="22">
        <f t="shared" ref="AP167" si="2645">IF(AND(AO166&lt;0,AP166&gt;0),"n/a",AP166/AO166-1)</f>
        <v>-7.8999920121415435E-2</v>
      </c>
      <c r="AQ167" s="22">
        <f t="shared" ref="AQ167" si="2646">IF(AND(AP166&lt;0,AQ166&gt;0),"n/a",AQ166/AP166-1)</f>
        <v>2.8534258456201167E-2</v>
      </c>
      <c r="AR167" s="22">
        <f t="shared" ref="AR167" si="2647">IF(AND(AQ166&lt;0,AR166&gt;0),"n/a",AR166/AQ166-1)</f>
        <v>9.2081963066025896E-2</v>
      </c>
      <c r="AS167" s="22">
        <f t="shared" ref="AS167" si="2648">IF(AND(AR166&lt;0,AS166&gt;0),"n/a",AS166/AR166-1)</f>
        <v>0.20562118755308467</v>
      </c>
      <c r="AT167" s="22">
        <f t="shared" ref="AT167" si="2649">IF(AND(AS166&lt;0,AT166&gt;0),"n/a",AT166/AS166-1)</f>
        <v>-7.8327142308184938E-2</v>
      </c>
      <c r="AU167" s="22">
        <f t="shared" ref="AU167" si="2650">IF(AND(AT166&lt;0,AU166&gt;0),"n/a",AU166/AT166-1)</f>
        <v>6.3025502049892212E-2</v>
      </c>
      <c r="AV167" s="22">
        <f t="shared" ref="AV167" si="2651">IF(AND(AU166&lt;0,AV166&gt;0),"n/a",AV166/AU166-1)</f>
        <v>5.3928618120015592E-2</v>
      </c>
      <c r="AW167" s="22">
        <f t="shared" ref="AW167" si="2652">IF(AND(AV166&lt;0,AW166&gt;0),"n/a",AW166/AV166-1)</f>
        <v>0.21323575017056373</v>
      </c>
      <c r="AX167" s="22">
        <f t="shared" ref="AX167" si="2653">IF(AND(AW166&lt;0,AX166&gt;0),"n/a",AX166/AW166-1)</f>
        <v>-9.9790399263841367E-2</v>
      </c>
      <c r="AY167" s="22">
        <f t="shared" ref="AY167" si="2654">IF(AND(AX166&lt;0,AY166&gt;0),"n/a",AY166/AX166-1)</f>
        <v>1.5957748878414391E-2</v>
      </c>
      <c r="AZ167" s="22">
        <f t="shared" ref="AZ167" si="2655">IF(AND(AY166&lt;0,AZ166&gt;0),"n/a",AZ166/AY166-1)</f>
        <v>8.0603689211850238E-2</v>
      </c>
      <c r="BA167" s="22">
        <f t="shared" ref="BA167" si="2656">IF(AND(AZ166&lt;0,BA166&gt;0),"n/a",BA166/AZ166-1)</f>
        <v>0.159579971032485</v>
      </c>
      <c r="BB167" s="28">
        <f t="shared" ref="BB167:BL167" si="2657">IF(AND(BA166&lt;0,BB166&gt;0),"n/a",BB166/BA166-1)</f>
        <v>-0.15729134139269307</v>
      </c>
      <c r="BC167" s="28">
        <f t="shared" si="2657"/>
        <v>2.5832406966280308E-2</v>
      </c>
      <c r="BD167" s="28">
        <f t="shared" si="2657"/>
        <v>6.233551782857738E-2</v>
      </c>
      <c r="BE167" s="28">
        <f t="shared" si="2657"/>
        <v>0.14582017778209555</v>
      </c>
      <c r="BF167" s="28">
        <f t="shared" si="2657"/>
        <v>-0.1196744245199034</v>
      </c>
      <c r="BG167" s="28">
        <f t="shared" si="2657"/>
        <v>6.5202735240296628E-2</v>
      </c>
      <c r="BH167" s="28">
        <f t="shared" si="2657"/>
        <v>2.8707052441229619E-2</v>
      </c>
      <c r="BI167" s="28">
        <f t="shared" si="2657"/>
        <v>0.13227862008349822</v>
      </c>
      <c r="BJ167" s="28">
        <f t="shared" si="2657"/>
        <v>-0.12233650300795651</v>
      </c>
      <c r="BK167" s="28">
        <f t="shared" si="2657"/>
        <v>7.6106664308141392E-2</v>
      </c>
      <c r="BL167" s="28">
        <f t="shared" si="2657"/>
        <v>8.8723596613791367E-2</v>
      </c>
      <c r="BM167" s="22">
        <f t="shared" ref="BM167" si="2658">IF(AND(BL166&lt;0,BM166&gt;0),"n/a",BM166/BL166-1)</f>
        <v>0.17412577114620276</v>
      </c>
      <c r="BN167" s="22">
        <f t="shared" ref="BN167" si="2659">IF(AND(BM166&lt;0,BN166&gt;0),"n/a",BN166/BM166-1)</f>
        <v>-0.11791539873262691</v>
      </c>
      <c r="BO167" s="22">
        <f t="shared" ref="BO167" si="2660">IF(AND(BN166&lt;0,BO166&gt;0),"n/a",BO166/BN166-1)</f>
        <v>6.6780542078578753E-2</v>
      </c>
      <c r="BP167" s="22">
        <f t="shared" ref="BP167" si="2661">IF(AND(BO166&lt;0,BP166&gt;0),"n/a",BP166/BO166-1)</f>
        <v>8.0541780424362219E-2</v>
      </c>
      <c r="BQ167" s="22">
        <f t="shared" ref="BQ167" si="2662">IF(AND(BP166&lt;0,BQ166&gt;0),"n/a",BQ166/BP166-1)</f>
        <v>0.15743964659518328</v>
      </c>
      <c r="BR167" s="28">
        <f>IF(AND(BQ166&lt;0,BR166&gt;0),"n/a",BR166/BQ166-1)</f>
        <v>-0.11389918448496983</v>
      </c>
      <c r="BS167" s="28">
        <f t="shared" ref="BS167" si="2663">IF(AND(BR166&lt;0,BS166&gt;0),"n/a",BS166/BR166-1)</f>
        <v>6.2344206749122222E-2</v>
      </c>
      <c r="BT167" s="28">
        <f t="shared" ref="BT167" si="2664">IF(AND(BS166&lt;0,BT166&gt;0),"n/a",BT166/BS166-1)</f>
        <v>8.1367592203083428E-2</v>
      </c>
      <c r="BU167" s="28">
        <f t="shared" ref="BU167" si="2665">IF(AND(BT166&lt;0,BU166&gt;0),"n/a",BU166/BT166-1)</f>
        <v>0.15134127150921195</v>
      </c>
      <c r="BV167" s="28">
        <f t="shared" ref="BV167" si="2666">IF(AND(BU166&lt;0,BV166&gt;0),"n/a",BV166/BU166-1)</f>
        <v>-0.1191471884123787</v>
      </c>
      <c r="BW167" s="28">
        <f t="shared" ref="BW167" si="2667">IF(AND(BV166&lt;0,BW166&gt;0),"n/a",BW166/BV166-1)</f>
        <v>5.8185705159749634E-2</v>
      </c>
      <c r="BX167" s="28">
        <f t="shared" ref="BX167" si="2668">IF(AND(BW166&lt;0,BX166&gt;0),"n/a",BX166/BW166-1)</f>
        <v>8.242270173998878E-2</v>
      </c>
      <c r="BY167" s="28">
        <f t="shared" ref="BY167" si="2669">IF(AND(BX166&lt;0,BY166&gt;0),"n/a",BY166/BX166-1)</f>
        <v>0.14609950447868858</v>
      </c>
      <c r="BZ167" s="28">
        <f t="shared" ref="BZ167" si="2670">IF(AND(BY166&lt;0,BZ166&gt;0),"n/a",BZ166/BY166-1)</f>
        <v>-0.13140019928295121</v>
      </c>
      <c r="CA167" s="28">
        <f t="shared" ref="CA167" si="2671">IF(AND(BZ166&lt;0,CA166&gt;0),"n/a",CA166/BZ166-1)</f>
        <v>5.4319240075847208E-2</v>
      </c>
      <c r="CB167" s="28">
        <f t="shared" ref="CB167" si="2672">IF(AND(CA166&lt;0,CB166&gt;0),"n/a",CB166/CA166-1)</f>
        <v>8.3581290545560627E-2</v>
      </c>
      <c r="CC167" s="28">
        <f t="shared" ref="CC167" si="2673">IF(AND(CB166&lt;0,CC166&gt;0),"n/a",CC166/CB166-1)</f>
        <v>0.14200387663386116</v>
      </c>
      <c r="CD167" s="28">
        <f t="shared" ref="CD167" si="2674">IF(AND(CC166&lt;0,CD166&gt;0),"n/a",CD166/CC166-1)</f>
        <v>-0.13653318050653607</v>
      </c>
      <c r="CE167" s="28">
        <f t="shared" ref="CE167" si="2675">IF(AND(CD166&lt;0,CE166&gt;0),"n/a",CE166/CD166-1)</f>
        <v>5.0657272853808166E-2</v>
      </c>
      <c r="CF167" s="28">
        <f t="shared" ref="CF167" si="2676">IF(AND(CE166&lt;0,CF166&gt;0),"n/a",CF166/CE166-1)</f>
        <v>8.4668862999375927E-2</v>
      </c>
      <c r="CG167" s="28">
        <f t="shared" ref="CG167" si="2677">IF(AND(CF166&lt;0,CG166&gt;0),"n/a",CG166/CF166-1)</f>
        <v>0.13838230927642492</v>
      </c>
      <c r="CH167" s="28"/>
      <c r="CI167" s="106" t="s">
        <v>82</v>
      </c>
      <c r="CJ167" s="48" t="s">
        <v>82</v>
      </c>
      <c r="CK167" s="106" t="s">
        <v>82</v>
      </c>
      <c r="CL167" s="106" t="s">
        <v>82</v>
      </c>
      <c r="CM167" s="48" t="s">
        <v>82</v>
      </c>
      <c r="CN167" s="106" t="s">
        <v>82</v>
      </c>
      <c r="CO167" s="48" t="s">
        <v>82</v>
      </c>
      <c r="CP167" s="106" t="s">
        <v>82</v>
      </c>
      <c r="CQ167" s="48" t="s">
        <v>82</v>
      </c>
      <c r="CR167" s="106" t="s">
        <v>82</v>
      </c>
      <c r="CS167" s="48" t="s">
        <v>82</v>
      </c>
      <c r="CT167" s="106" t="s">
        <v>82</v>
      </c>
      <c r="CU167" s="48" t="s">
        <v>82</v>
      </c>
      <c r="CV167" s="106" t="s">
        <v>82</v>
      </c>
      <c r="CW167" s="48" t="s">
        <v>82</v>
      </c>
      <c r="CX167" s="106" t="s">
        <v>82</v>
      </c>
      <c r="CY167" s="106" t="s">
        <v>82</v>
      </c>
      <c r="CZ167" s="106" t="s">
        <v>82</v>
      </c>
      <c r="DA167" s="106" t="s">
        <v>82</v>
      </c>
      <c r="DB167" s="106" t="s">
        <v>82</v>
      </c>
      <c r="DC167" s="106" t="s">
        <v>82</v>
      </c>
    </row>
    <row r="168" spans="1:108" x14ac:dyDescent="0.2">
      <c r="A168" s="8" t="s">
        <v>63</v>
      </c>
      <c r="B168" s="25" t="s">
        <v>82</v>
      </c>
      <c r="C168" s="25" t="s">
        <v>82</v>
      </c>
      <c r="D168" s="25" t="s">
        <v>82</v>
      </c>
      <c r="E168" s="25" t="s">
        <v>82</v>
      </c>
      <c r="F168" s="22">
        <f>IF(AND(B166&lt;0,F166&gt;0),"n/a",F166/B166-1)</f>
        <v>0.21052631578947367</v>
      </c>
      <c r="G168" s="22">
        <f t="shared" ref="G168:BQ168" si="2678">IF(AND(C166&lt;0,G166&gt;0),"n/a",G166/C166-1)</f>
        <v>0.44217687074829937</v>
      </c>
      <c r="H168" s="22">
        <f t="shared" si="2678"/>
        <v>0.56626506024096379</v>
      </c>
      <c r="I168" s="22">
        <f t="shared" si="2678"/>
        <v>0.4253135689851768</v>
      </c>
      <c r="J168" s="22">
        <f t="shared" si="2678"/>
        <v>0.42697881828316619</v>
      </c>
      <c r="K168" s="22">
        <f t="shared" si="2678"/>
        <v>0.30283018867924527</v>
      </c>
      <c r="L168" s="22">
        <f t="shared" si="2678"/>
        <v>0.42393162393162398</v>
      </c>
      <c r="M168" s="22">
        <f t="shared" si="2678"/>
        <v>0.51200000000000001</v>
      </c>
      <c r="N168" s="22">
        <f t="shared" si="2678"/>
        <v>0.69687499999999991</v>
      </c>
      <c r="O168" s="22">
        <f t="shared" si="2678"/>
        <v>0.58001448225923236</v>
      </c>
      <c r="P168" s="22">
        <f t="shared" si="2678"/>
        <v>0.46218487394957974</v>
      </c>
      <c r="Q168" s="22">
        <f t="shared" si="2678"/>
        <v>0.55820105820105814</v>
      </c>
      <c r="R168" s="22">
        <f t="shared" si="2678"/>
        <v>0.25690607734806625</v>
      </c>
      <c r="S168" s="22">
        <f t="shared" si="2678"/>
        <v>0.29239230064161315</v>
      </c>
      <c r="T168" s="22">
        <f t="shared" si="2678"/>
        <v>0.37397372742200319</v>
      </c>
      <c r="U168" s="22">
        <f t="shared" si="2678"/>
        <v>0.11952461799660452</v>
      </c>
      <c r="V168" s="22">
        <f t="shared" si="2678"/>
        <v>0.10293040293040301</v>
      </c>
      <c r="W168" s="22">
        <f t="shared" si="2678"/>
        <v>0.1368794326241134</v>
      </c>
      <c r="X168" s="22">
        <f t="shared" si="2678"/>
        <v>3.7048102778607817E-2</v>
      </c>
      <c r="Y168" s="22">
        <f t="shared" si="2678"/>
        <v>0.25356384592053383</v>
      </c>
      <c r="Z168" s="22">
        <f t="shared" si="2678"/>
        <v>0.28196612421122547</v>
      </c>
      <c r="AA168" s="22">
        <f t="shared" si="2678"/>
        <v>0.29600748596381776</v>
      </c>
      <c r="AB168" s="22">
        <f t="shared" si="2678"/>
        <v>0.3013540766349756</v>
      </c>
      <c r="AC168" s="22">
        <f t="shared" si="2678"/>
        <v>0.40648439390273405</v>
      </c>
      <c r="AD168" s="22">
        <f t="shared" si="2678"/>
        <v>0.33834196891191715</v>
      </c>
      <c r="AE168" s="22">
        <f t="shared" si="2678"/>
        <v>0.27123947051744879</v>
      </c>
      <c r="AF168" s="22">
        <f t="shared" si="2678"/>
        <v>0.24994465353110473</v>
      </c>
      <c r="AG168" s="22">
        <f t="shared" si="2678"/>
        <v>0.3447445381042491</v>
      </c>
      <c r="AH168" s="22">
        <f t="shared" si="2678"/>
        <v>0.38966318234610919</v>
      </c>
      <c r="AI168" s="22">
        <f t="shared" si="2678"/>
        <v>0.41291177584248384</v>
      </c>
      <c r="AJ168" s="22">
        <f t="shared" si="2678"/>
        <v>0.36362026213248311</v>
      </c>
      <c r="AK168" s="22">
        <f t="shared" si="2678"/>
        <v>0.34092362799027764</v>
      </c>
      <c r="AL168" s="22">
        <f t="shared" si="2678"/>
        <v>0.27482936342108921</v>
      </c>
      <c r="AM168" s="22">
        <f t="shared" si="2678"/>
        <v>0.34771539595336987</v>
      </c>
      <c r="AN168" s="22">
        <f t="shared" si="2678"/>
        <v>0.3090011689829848</v>
      </c>
      <c r="AO168" s="22">
        <f t="shared" si="2678"/>
        <v>0.19433314253005141</v>
      </c>
      <c r="AP168" s="22">
        <f t="shared" si="2678"/>
        <v>0.25983391608391604</v>
      </c>
      <c r="AQ168" s="22">
        <f t="shared" si="2678"/>
        <v>0.17906144362696352</v>
      </c>
      <c r="AR168" s="22">
        <f t="shared" si="2678"/>
        <v>0.28507640404842238</v>
      </c>
      <c r="AS168" s="22">
        <f t="shared" si="2678"/>
        <v>0.2472242191868359</v>
      </c>
      <c r="AT168" s="22">
        <f t="shared" si="2678"/>
        <v>0.24813529921942767</v>
      </c>
      <c r="AU168" s="22">
        <f t="shared" si="2678"/>
        <v>0.28999072434437978</v>
      </c>
      <c r="AV168" s="22">
        <f t="shared" si="2678"/>
        <v>0.24492317195583357</v>
      </c>
      <c r="AW168" s="22">
        <f t="shared" si="2678"/>
        <v>0.25278596131676689</v>
      </c>
      <c r="AX168" s="22">
        <f t="shared" si="2678"/>
        <v>0.22361197970954061</v>
      </c>
      <c r="AY168" s="22">
        <f t="shared" si="2678"/>
        <v>0.16943391292979482</v>
      </c>
      <c r="AZ168" s="22">
        <f t="shared" si="2678"/>
        <v>0.19903243813186133</v>
      </c>
      <c r="BA168" s="22">
        <f t="shared" si="2678"/>
        <v>0.14600480548029249</v>
      </c>
      <c r="BB168" s="28">
        <f t="shared" si="2678"/>
        <v>7.2803679936396248E-2</v>
      </c>
      <c r="BC168" s="28">
        <f t="shared" si="2678"/>
        <v>8.3230855226383404E-2</v>
      </c>
      <c r="BD168" s="28">
        <f t="shared" si="2678"/>
        <v>6.491827022553287E-2</v>
      </c>
      <c r="BE168" s="28">
        <f t="shared" si="2678"/>
        <v>5.2281750457242371E-2</v>
      </c>
      <c r="BF168" s="28">
        <f t="shared" si="2678"/>
        <v>9.9253612831507132E-2</v>
      </c>
      <c r="BG168" s="28">
        <f t="shared" si="2678"/>
        <v>0.14144176686103505</v>
      </c>
      <c r="BH168" s="28">
        <f t="shared" si="2678"/>
        <v>0.10530917569339882</v>
      </c>
      <c r="BI168" s="28">
        <f t="shared" si="2678"/>
        <v>9.2246386027385663E-2</v>
      </c>
      <c r="BJ168" s="28">
        <f t="shared" si="2678"/>
        <v>8.8943465279784251E-2</v>
      </c>
      <c r="BK168" s="28">
        <f t="shared" si="2678"/>
        <v>0.10009041591320078</v>
      </c>
      <c r="BL168" s="28">
        <f t="shared" si="2678"/>
        <v>0.16427158866183267</v>
      </c>
      <c r="BM168" s="22">
        <f t="shared" si="2678"/>
        <v>0.20730114709785963</v>
      </c>
      <c r="BN168" s="22">
        <f t="shared" si="2678"/>
        <v>0.21338275386553063</v>
      </c>
      <c r="BO168" s="22">
        <f t="shared" si="2678"/>
        <v>0.20286692281539143</v>
      </c>
      <c r="BP168" s="22">
        <f t="shared" si="2678"/>
        <v>0.19382731341092008</v>
      </c>
      <c r="BQ168" s="22">
        <f t="shared" si="2678"/>
        <v>0.17686119978534398</v>
      </c>
      <c r="BR168" s="28">
        <f>IF(AND(BN166&lt;0,BR166&gt;0),"n/a",BR166/BN166-1)</f>
        <v>0.18221955964255221</v>
      </c>
      <c r="BS168" s="28">
        <f t="shared" ref="BS168" si="2679">IF(AND(BO166&lt;0,BS166&gt;0),"n/a",BS166/BO166-1)</f>
        <v>0.17730315725917412</v>
      </c>
      <c r="BT168" s="28">
        <f t="shared" ref="BT168" si="2680">IF(AND(BP166&lt;0,BT166&gt;0),"n/a",BT166/BP166-1)</f>
        <v>0.17820291961173051</v>
      </c>
      <c r="BU168" s="28">
        <f t="shared" ref="BU168" si="2681">IF(AND(BQ166&lt;0,BU166&gt;0),"n/a",BU166/BQ166-1)</f>
        <v>0.17199514596900545</v>
      </c>
      <c r="BV168" s="28">
        <f t="shared" ref="BV168" si="2682">IF(AND(BR166&lt;0,BV166&gt;0),"n/a",BV166/BR166-1)</f>
        <v>0.16505390968837452</v>
      </c>
      <c r="BW168" s="28">
        <f t="shared" ref="BW168" si="2683">IF(AND(BS166&lt;0,BW166&gt;0),"n/a",BW166/BS166-1)</f>
        <v>0.16049335529897402</v>
      </c>
      <c r="BX168" s="28">
        <f t="shared" ref="BX168" si="2684">IF(AND(BT166&lt;0,BX166&gt;0),"n/a",BX166/BT166-1)</f>
        <v>0.16162566924616462</v>
      </c>
      <c r="BY168" s="28">
        <f t="shared" ref="BY168" si="2685">IF(AND(BU166&lt;0,BY166&gt;0),"n/a",BY166/BU166-1)</f>
        <v>0.15633707994120316</v>
      </c>
      <c r="BZ168" s="28">
        <f t="shared" ref="BZ168" si="2686">IF(AND(BV166&lt;0,BZ166&gt;0),"n/a",BZ166/BV166-1)</f>
        <v>0.14025197398005118</v>
      </c>
      <c r="CA168" s="28">
        <f t="shared" ref="CA168" si="2687">IF(AND(BW166&lt;0,CA166&gt;0),"n/a",CA166/BW166-1)</f>
        <v>0.13608565003261197</v>
      </c>
      <c r="CB168" s="28">
        <f t="shared" ref="CB168" si="2688">IF(AND(BX166&lt;0,CB166&gt;0),"n/a",CB166/BX166-1)</f>
        <v>0.13730167785074876</v>
      </c>
      <c r="CC168" s="28">
        <f t="shared" ref="CC168" si="2689">IF(AND(BY166&lt;0,CC166&gt;0),"n/a",CC166/BY166-1)</f>
        <v>0.1332374893561441</v>
      </c>
      <c r="CD168" s="28">
        <f t="shared" ref="CD168" si="2690">IF(AND(BZ166&lt;0,CD166&gt;0),"n/a",CD166/BZ166-1)</f>
        <v>0.12654063454461228</v>
      </c>
      <c r="CE168" s="28">
        <f t="shared" ref="CE168" si="2691">IF(AND(CA166&lt;0,CE166&gt;0),"n/a",CE166/CA166-1)</f>
        <v>0.12262782073908918</v>
      </c>
      <c r="CF168" s="28">
        <f t="shared" ref="CF168" si="2692">IF(AND(CB166&lt;0,CF166&gt;0),"n/a",CF166/CB166-1)</f>
        <v>0.12375458354348168</v>
      </c>
      <c r="CG168" s="28">
        <f t="shared" ref="CG168" si="2693">IF(AND(CC166&lt;0,CG166&gt;0),"n/a",CG166/CC166-1)</f>
        <v>0.120190889058025</v>
      </c>
      <c r="CH168" s="28"/>
      <c r="CI168" s="106" t="s">
        <v>82</v>
      </c>
      <c r="CJ168" s="22">
        <f>IF(AND(CI166&lt;0,CJ166&gt;0),"n/a",CJ166/CI166-1)</f>
        <v>0.41193548387096768</v>
      </c>
      <c r="CK168" s="107">
        <f t="shared" ref="CK168" si="2694">IF(AND(CJ166&lt;0,CK166&gt;0),"n/a",CK166/CJ166-1)</f>
        <v>0.42037925519762398</v>
      </c>
      <c r="CL168" s="107">
        <f t="shared" ref="CL168" si="2695">IF(AND(CK166&lt;0,CL166&gt;0),"n/a",CL166/CK166-1)</f>
        <v>0.56586778188837061</v>
      </c>
      <c r="CM168" s="22">
        <f t="shared" ref="CM168" si="2696">IF(AND(CL166&lt;0,CM166&gt;0),"n/a",CM166/CL166-1)</f>
        <v>0.25259373394966622</v>
      </c>
      <c r="CN168" s="107">
        <f t="shared" ref="CN168" si="2697">IF(AND(CM166&lt;0,CN166&gt;0),"n/a",CN166/CM166-1)</f>
        <v>0.13342627521732009</v>
      </c>
      <c r="CO168" s="22">
        <f t="shared" ref="CO168" si="2698">IF(AND(CN166&lt;0,CO166&gt;0),"n/a",CO166/CN166-1)</f>
        <v>0.32732797916214462</v>
      </c>
      <c r="CP168" s="107">
        <f t="shared" ref="CP168" si="2699">IF(AND(CO166&lt;0,CP166&gt;0),"n/a",CP166/CO166-1)</f>
        <v>0.30340692286726623</v>
      </c>
      <c r="CQ168" s="22">
        <f t="shared" ref="CQ168" si="2700">IF(AND(CP166&lt;0,CQ166&gt;0),"n/a",CQ166/CP166-1)</f>
        <v>0.3727154865961273</v>
      </c>
      <c r="CR168" s="107">
        <f t="shared" ref="CR168" si="2701">IF(AND(CQ166&lt;0,CR166&gt;0),"n/a",CR166/CQ166-1)</f>
        <v>0.27371050787557505</v>
      </c>
      <c r="CS168" s="22">
        <f t="shared" ref="CS168" si="2702">IF(AND(CR166&lt;0,CS166&gt;0),"n/a",CS166/CR166-1)</f>
        <v>0.24271055086468762</v>
      </c>
      <c r="CT168" s="107">
        <f t="shared" ref="CT168" si="2703">IF(AND(CS166&lt;0,CT166&gt;0),"n/a",CT166/CS166-1)</f>
        <v>0.25828617623282124</v>
      </c>
      <c r="CU168" s="22">
        <f t="shared" ref="CU168" si="2704">IF(AND(CT166&lt;0,CU166&gt;0),"n/a",CU166/CT166-1)</f>
        <v>0.18164991663224872</v>
      </c>
      <c r="CV168" s="107">
        <f t="shared" ref="CV168" si="2705">IF(AND(CU166&lt;0,CV166&gt;0),"n/a",CV166/CU166-1)</f>
        <v>6.7289768019884066E-2</v>
      </c>
      <c r="CW168" s="22">
        <f t="shared" ref="CW168" si="2706">IF(AND(CV166&lt;0,CW166&gt;0),"n/a",CW166/CV166-1)</f>
        <v>0.10867719476991011</v>
      </c>
      <c r="CX168" s="107">
        <f t="shared" ref="CX168" si="2707">IF(AND(CW166&lt;0,CX166&gt;0),"n/a",CX166/CW166-1)</f>
        <v>0.14375548711218467</v>
      </c>
      <c r="CY168" s="107">
        <f t="shared" ref="CY168" si="2708">IF(AND(CX166&lt;0,CY166&gt;0),"n/a",CY166/CX166-1)</f>
        <v>0.19511313035358491</v>
      </c>
      <c r="CZ168" s="107">
        <f>IF(AND(CY166&lt;0,CZ166&gt;0),"n/a",CZ166/CY166-1)</f>
        <v>0.17705538034520285</v>
      </c>
      <c r="DA168" s="107">
        <f>IF(AND(CZ166&lt;0,DA166&gt;0),"n/a",DA166/CZ166-1)</f>
        <v>0.16057365713514726</v>
      </c>
      <c r="DB168" s="107">
        <f>IF(AND(DA166&lt;0,DB166&gt;0),"n/a",DB166/DA166-1)</f>
        <v>0.13648868733480524</v>
      </c>
      <c r="DC168" s="107">
        <f>IF(AND(DB166&lt;0,DC166&gt;0),"n/a",DC166/DB166-1)</f>
        <v>0.12307671746476423</v>
      </c>
    </row>
    <row r="169" spans="1:108" x14ac:dyDescent="0.2">
      <c r="A169" s="8" t="s">
        <v>77</v>
      </c>
      <c r="B169" s="22">
        <f t="shared" ref="B169:AS169" si="2709">B166/B$85</f>
        <v>-0.14632701421800948</v>
      </c>
      <c r="C169" s="22">
        <f t="shared" si="2709"/>
        <v>-0.14445754716981132</v>
      </c>
      <c r="D169" s="22">
        <f t="shared" si="2709"/>
        <v>-0.13628899835796388</v>
      </c>
      <c r="E169" s="22">
        <f t="shared" si="2709"/>
        <v>-0.13765499921519384</v>
      </c>
      <c r="F169" s="22">
        <f t="shared" si="2709"/>
        <v>-0.13723990208078335</v>
      </c>
      <c r="G169" s="22">
        <f t="shared" si="2709"/>
        <v>-0.15331212033555106</v>
      </c>
      <c r="H169" s="22">
        <f t="shared" si="2709"/>
        <v>-0.15575079872204473</v>
      </c>
      <c r="I169" s="22">
        <f t="shared" si="2709"/>
        <v>-0.15371372356123955</v>
      </c>
      <c r="J169" s="22">
        <f t="shared" si="2709"/>
        <v>-0.15732546705998032</v>
      </c>
      <c r="K169" s="22">
        <f t="shared" si="2709"/>
        <v>-0.16517163018777659</v>
      </c>
      <c r="L169" s="22">
        <f t="shared" si="2709"/>
        <v>-0.19035648994515539</v>
      </c>
      <c r="M169" s="22">
        <f t="shared" si="2709"/>
        <v>-0.19222945484133441</v>
      </c>
      <c r="N169" s="22">
        <f t="shared" si="2709"/>
        <v>-0.21754807692307693</v>
      </c>
      <c r="O169" s="22">
        <f t="shared" si="2709"/>
        <v>-0.21623228619561985</v>
      </c>
      <c r="P169" s="22">
        <f t="shared" si="2709"/>
        <v>-0.22601595843384673</v>
      </c>
      <c r="Q169" s="22">
        <f t="shared" si="2709"/>
        <v>-0.23734687298517085</v>
      </c>
      <c r="R169" s="22">
        <f t="shared" si="2709"/>
        <v>-0.22397243416194929</v>
      </c>
      <c r="S169" s="22">
        <f t="shared" si="2709"/>
        <v>-0.22273122186241212</v>
      </c>
      <c r="T169" s="22">
        <f t="shared" si="2709"/>
        <v>-0.25404174573055027</v>
      </c>
      <c r="U169" s="22">
        <f t="shared" si="2709"/>
        <v>-0.2277090959320395</v>
      </c>
      <c r="V169" s="22">
        <f t="shared" si="2709"/>
        <v>-0.21641630130094155</v>
      </c>
      <c r="W169" s="22">
        <f t="shared" si="2709"/>
        <v>-0.22341463414634147</v>
      </c>
      <c r="X169" s="22">
        <f t="shared" si="2709"/>
        <v>-0.22973062413131246</v>
      </c>
      <c r="Y169" s="22">
        <f t="shared" si="2709"/>
        <v>-0.23926131758712516</v>
      </c>
      <c r="Z169" s="22">
        <f t="shared" si="2709"/>
        <v>-0.23437974376100554</v>
      </c>
      <c r="AA169" s="22">
        <f t="shared" si="2709"/>
        <v>-0.23708987161198289</v>
      </c>
      <c r="AB169" s="22">
        <f t="shared" si="2709"/>
        <v>-0.24724943894028134</v>
      </c>
      <c r="AC169" s="22">
        <f t="shared" si="2709"/>
        <v>-0.27399132730015086</v>
      </c>
      <c r="AD169" s="22">
        <f t="shared" si="2709"/>
        <v>-0.2567466825704488</v>
      </c>
      <c r="AE169" s="22">
        <f t="shared" si="2709"/>
        <v>-0.2524977293369664</v>
      </c>
      <c r="AF169" s="22">
        <f t="shared" si="2709"/>
        <v>-0.25352492141894928</v>
      </c>
      <c r="AG169" s="22">
        <f t="shared" si="2709"/>
        <v>-0.30212963320836395</v>
      </c>
      <c r="AH169" s="22">
        <f t="shared" si="2709"/>
        <v>-0.28880038619357951</v>
      </c>
      <c r="AI169" s="22">
        <f t="shared" si="2709"/>
        <v>-0.28444563021686931</v>
      </c>
      <c r="AJ169" s="22">
        <f t="shared" si="2709"/>
        <v>-0.28348921128212684</v>
      </c>
      <c r="AK169" s="22">
        <f t="shared" si="2709"/>
        <v>-0.32920854271356786</v>
      </c>
      <c r="AL169" s="22">
        <f t="shared" si="2709"/>
        <v>-0.31045829234370231</v>
      </c>
      <c r="AM169" s="22">
        <f t="shared" si="2709"/>
        <v>-0.31722702327635149</v>
      </c>
      <c r="AN169" s="22">
        <f t="shared" si="2709"/>
        <v>-0.30531067284679936</v>
      </c>
      <c r="AO169" s="22">
        <f t="shared" si="2709"/>
        <v>-0.33318251982754032</v>
      </c>
      <c r="AP169" s="22">
        <f t="shared" si="2709"/>
        <v>-0.34206544634645625</v>
      </c>
      <c r="AQ169" s="22">
        <f t="shared" si="2709"/>
        <v>-0.37524918520393635</v>
      </c>
      <c r="AR169" s="22">
        <f t="shared" si="2709"/>
        <v>-0.34075301918067724</v>
      </c>
      <c r="AS169" s="22">
        <f t="shared" si="2709"/>
        <v>-0.33627670572019297</v>
      </c>
      <c r="AT169" s="22">
        <f t="shared" ref="AT169:BB169" si="2710">AT166/AT$85</f>
        <v>-0.31557826411122319</v>
      </c>
      <c r="AU169" s="22">
        <f t="shared" si="2710"/>
        <v>-0.30024925909206884</v>
      </c>
      <c r="AV169" s="22">
        <f t="shared" si="2710"/>
        <v>-0.30069004102946661</v>
      </c>
      <c r="AW169" s="22">
        <f t="shared" si="2710"/>
        <v>-0.31601990371255939</v>
      </c>
      <c r="AX169" s="22">
        <f t="shared" si="2710"/>
        <v>-0.31432855536316739</v>
      </c>
      <c r="AY169" s="22">
        <f t="shared" si="2710"/>
        <v>-0.31128743192218683</v>
      </c>
      <c r="AZ169" s="22">
        <f t="shared" si="2710"/>
        <v>-0.33758250969161457</v>
      </c>
      <c r="BA169" s="22">
        <f t="shared" si="2710"/>
        <v>-0.35513204378752594</v>
      </c>
      <c r="BB169" s="28">
        <f t="shared" si="2710"/>
        <v>-0.32533668584025077</v>
      </c>
      <c r="BC169" s="28">
        <f t="shared" ref="BC169:BD169" si="2711">BC166/BC$85</f>
        <v>-0.31222710941402032</v>
      </c>
      <c r="BD169" s="28">
        <f t="shared" si="2711"/>
        <v>-0.32141574682674745</v>
      </c>
      <c r="BE169" s="28">
        <f t="shared" ref="BE169" si="2712">BE166/BE$85</f>
        <v>-0.32615729218516676</v>
      </c>
      <c r="BF169" s="28">
        <f t="shared" ref="BF169:BK169" si="2713">BF166/BF$85</f>
        <v>-0.30722116195464028</v>
      </c>
      <c r="BG169" s="28">
        <f t="shared" si="2713"/>
        <v>-0.30999929927825659</v>
      </c>
      <c r="BH169" s="28">
        <f t="shared" si="2713"/>
        <v>-0.30523548270265194</v>
      </c>
      <c r="BI169" s="28">
        <f t="shared" si="2713"/>
        <v>-0.31566631136594747</v>
      </c>
      <c r="BJ169" s="28">
        <f t="shared" si="2713"/>
        <v>-0.29564887691865177</v>
      </c>
      <c r="BK169" s="28">
        <f t="shared" si="2713"/>
        <v>-0.29776195195966865</v>
      </c>
      <c r="BL169" s="28">
        <f t="shared" ref="BL169" si="2714">BL166/BL$85</f>
        <v>-0.30288098776723449</v>
      </c>
      <c r="BM169" s="22">
        <f t="shared" ref="BM169:BQ169" si="2715">BI169+BM170/10000</f>
        <v>-0.32566631136594748</v>
      </c>
      <c r="BN169" s="22">
        <f t="shared" si="2715"/>
        <v>-0.30814887691865178</v>
      </c>
      <c r="BO169" s="22">
        <f t="shared" si="2715"/>
        <v>-0.31026195195966866</v>
      </c>
      <c r="BP169" s="22">
        <f t="shared" si="2715"/>
        <v>-0.3153809877672345</v>
      </c>
      <c r="BQ169" s="22">
        <f t="shared" si="2715"/>
        <v>-0.33816631136594749</v>
      </c>
      <c r="BR169" s="28">
        <f>BN169+BR170/10000</f>
        <v>-0.31814887691865179</v>
      </c>
      <c r="BS169" s="28">
        <f t="shared" ref="BS169" si="2716">BO169+BS170/10000</f>
        <v>-0.32026195195966867</v>
      </c>
      <c r="BT169" s="28">
        <f t="shared" ref="BT169" si="2717">BP169+BT170/10000</f>
        <v>-0.32538098776723451</v>
      </c>
      <c r="BU169" s="28">
        <f t="shared" ref="BU169" si="2718">BQ169+BU170/10000</f>
        <v>-0.3481663113659475</v>
      </c>
      <c r="BV169" s="28">
        <f t="shared" ref="BV169" si="2719">BR169+BV170/10000</f>
        <v>-0.3256488769186518</v>
      </c>
      <c r="BW169" s="28">
        <f t="shared" ref="BW169" si="2720">BS169+BW170/10000</f>
        <v>-0.32776195195966867</v>
      </c>
      <c r="BX169" s="28">
        <f t="shared" ref="BX169" si="2721">BT169+BX170/10000</f>
        <v>-0.33288098776723452</v>
      </c>
      <c r="BY169" s="28">
        <f t="shared" ref="BY169" si="2722">BU169+BY170/10000</f>
        <v>-0.35566631136594751</v>
      </c>
      <c r="BZ169" s="28">
        <f t="shared" ref="BZ169" si="2723">BV169+BZ170/10000</f>
        <v>-0.3291488769186518</v>
      </c>
      <c r="CA169" s="28">
        <f t="shared" ref="CA169" si="2724">BW169+CA170/10000</f>
        <v>-0.33126195195966868</v>
      </c>
      <c r="CB169" s="28">
        <f t="shared" ref="CB169" si="2725">BX169+CB170/10000</f>
        <v>-0.33638098776723452</v>
      </c>
      <c r="CC169" s="28">
        <f t="shared" ref="CC169" si="2726">BY169+CC170/10000</f>
        <v>-0.35916631136594751</v>
      </c>
      <c r="CD169" s="28">
        <f t="shared" ref="CD169" si="2727">BZ169+CD170/10000</f>
        <v>-0.3316488769186518</v>
      </c>
      <c r="CE169" s="28">
        <f t="shared" ref="CE169" si="2728">CA169+CE170/10000</f>
        <v>-0.33376195195966868</v>
      </c>
      <c r="CF169" s="28">
        <f t="shared" ref="CF169" si="2729">CB169+CF170/10000</f>
        <v>-0.33888098776723452</v>
      </c>
      <c r="CG169" s="28">
        <f t="shared" ref="CG169" si="2730">CC169+CG170/10000</f>
        <v>-0.36166631136594751</v>
      </c>
      <c r="CH169" s="28"/>
      <c r="CI169" s="107">
        <f>CI166/CI$85</f>
        <v>-0.14088347573168514</v>
      </c>
      <c r="CJ169" s="22">
        <f t="shared" ref="CJ169:CY169" si="2731">CJ166/CJ$85</f>
        <v>-0.15044339038977109</v>
      </c>
      <c r="CK169" s="107">
        <f t="shared" si="2731"/>
        <v>-0.17721843733074885</v>
      </c>
      <c r="CL169" s="107">
        <f t="shared" si="2731"/>
        <v>-0.22502947227294792</v>
      </c>
      <c r="CM169" s="22">
        <f t="shared" si="2731"/>
        <v>-0.2322489715069328</v>
      </c>
      <c r="CN169" s="107">
        <f t="shared" si="2731"/>
        <v>-0.22789631632754015</v>
      </c>
      <c r="CO169" s="22">
        <f t="shared" si="2731"/>
        <v>-0.2496631690687135</v>
      </c>
      <c r="CP169" s="107">
        <f t="shared" si="2731"/>
        <v>-0.26811163562562373</v>
      </c>
      <c r="CQ169" s="22">
        <f t="shared" si="2731"/>
        <v>-0.298138846248172</v>
      </c>
      <c r="CR169" s="107">
        <f t="shared" si="2731"/>
        <v>-0.31727733592374474</v>
      </c>
      <c r="CS169" s="22">
        <f t="shared" si="2731"/>
        <v>-0.34694054718228501</v>
      </c>
      <c r="CT169" s="107">
        <f t="shared" si="2731"/>
        <v>-0.3082599695385036</v>
      </c>
      <c r="CU169" s="22">
        <f t="shared" si="2731"/>
        <v>-0.33028762490326274</v>
      </c>
      <c r="CV169" s="107">
        <f t="shared" si="2731"/>
        <v>-0.32141687588691192</v>
      </c>
      <c r="CW169" s="22">
        <f>CW166/CW$85</f>
        <v>-0.30972695667495714</v>
      </c>
      <c r="CX169" s="107">
        <f t="shared" si="2731"/>
        <v>-0.30641225644366565</v>
      </c>
      <c r="CY169" s="107">
        <f t="shared" si="2731"/>
        <v>-0.31879922935309324</v>
      </c>
      <c r="CZ169" s="107">
        <f>CZ166/CZ$85</f>
        <v>-0.32877818493130784</v>
      </c>
      <c r="DA169" s="107">
        <f>DA166/DA$85</f>
        <v>-0.33625853435323039</v>
      </c>
      <c r="DB169" s="107">
        <f>DB166/DB$85</f>
        <v>-0.33973979422752398</v>
      </c>
      <c r="DC169" s="107">
        <f>DC166/DC$85</f>
        <v>-0.34222202932441398</v>
      </c>
    </row>
    <row r="170" spans="1:108" x14ac:dyDescent="0.2">
      <c r="A170" s="8" t="s">
        <v>103</v>
      </c>
      <c r="B170" s="25" t="s">
        <v>82</v>
      </c>
      <c r="C170" s="25" t="s">
        <v>82</v>
      </c>
      <c r="D170" s="25" t="s">
        <v>82</v>
      </c>
      <c r="E170" s="25" t="s">
        <v>82</v>
      </c>
      <c r="F170" s="33">
        <f>(F169-B169)*10000</f>
        <v>90.871121372261271</v>
      </c>
      <c r="G170" s="33">
        <f t="shared" ref="G170:BL170" si="2732">(G169-C169)*10000</f>
        <v>-88.545731657397326</v>
      </c>
      <c r="H170" s="33">
        <f t="shared" si="2732"/>
        <v>-194.6180036408085</v>
      </c>
      <c r="I170" s="33">
        <f t="shared" si="2732"/>
        <v>-160.58724346045716</v>
      </c>
      <c r="J170" s="33">
        <f t="shared" si="2732"/>
        <v>-200.85564979196974</v>
      </c>
      <c r="K170" s="33">
        <f t="shared" si="2732"/>
        <v>-118.5950985222553</v>
      </c>
      <c r="L170" s="33">
        <f t="shared" si="2732"/>
        <v>-346.05691223110665</v>
      </c>
      <c r="M170" s="33">
        <f t="shared" si="2732"/>
        <v>-385.1573128009486</v>
      </c>
      <c r="N170" s="33">
        <f t="shared" si="2732"/>
        <v>-602.22609863096602</v>
      </c>
      <c r="O170" s="33">
        <f t="shared" si="2732"/>
        <v>-510.60656007843261</v>
      </c>
      <c r="P170" s="33">
        <f t="shared" si="2732"/>
        <v>-356.5946848869134</v>
      </c>
      <c r="Q170" s="33">
        <f t="shared" si="2732"/>
        <v>-451.17418143836437</v>
      </c>
      <c r="R170" s="33">
        <f t="shared" si="2732"/>
        <v>-64.243572388723578</v>
      </c>
      <c r="S170" s="33">
        <f t="shared" si="2732"/>
        <v>-64.989356667922721</v>
      </c>
      <c r="T170" s="33">
        <f t="shared" si="2732"/>
        <v>-280.2578729670355</v>
      </c>
      <c r="U170" s="33">
        <f t="shared" si="2732"/>
        <v>96.377770531313473</v>
      </c>
      <c r="V170" s="33">
        <f t="shared" si="2732"/>
        <v>75.561328610077311</v>
      </c>
      <c r="W170" s="33">
        <f t="shared" si="2732"/>
        <v>-6.8341228392934656</v>
      </c>
      <c r="X170" s="33">
        <f t="shared" si="2732"/>
        <v>243.11121599237816</v>
      </c>
      <c r="Y170" s="33">
        <f t="shared" si="2732"/>
        <v>-115.52221655085654</v>
      </c>
      <c r="Z170" s="33">
        <f t="shared" si="2732"/>
        <v>-179.63442460063982</v>
      </c>
      <c r="AA170" s="33">
        <f t="shared" si="2732"/>
        <v>-136.75237465641422</v>
      </c>
      <c r="AB170" s="33">
        <f t="shared" si="2732"/>
        <v>-175.18814808968887</v>
      </c>
      <c r="AC170" s="33">
        <f t="shared" si="2732"/>
        <v>-347.30009713025703</v>
      </c>
      <c r="AD170" s="33">
        <f t="shared" si="2732"/>
        <v>-223.66938809443266</v>
      </c>
      <c r="AE170" s="33">
        <f t="shared" si="2732"/>
        <v>-154.07857724983515</v>
      </c>
      <c r="AF170" s="33">
        <f t="shared" si="2732"/>
        <v>-62.754824786679379</v>
      </c>
      <c r="AG170" s="33">
        <f t="shared" si="2732"/>
        <v>-281.3830590821309</v>
      </c>
      <c r="AH170" s="33">
        <f t="shared" si="2732"/>
        <v>-320.53703623130701</v>
      </c>
      <c r="AI170" s="33">
        <f t="shared" si="2732"/>
        <v>-319.47900879902903</v>
      </c>
      <c r="AJ170" s="33">
        <f t="shared" si="2732"/>
        <v>-299.64289863177561</v>
      </c>
      <c r="AK170" s="33">
        <f t="shared" si="2732"/>
        <v>-270.78909505203916</v>
      </c>
      <c r="AL170" s="33">
        <f t="shared" si="2732"/>
        <v>-216.57906150122807</v>
      </c>
      <c r="AM170" s="33">
        <f t="shared" si="2732"/>
        <v>-327.8139305948219</v>
      </c>
      <c r="AN170" s="33">
        <f t="shared" si="2732"/>
        <v>-218.21461564672518</v>
      </c>
      <c r="AO170" s="33">
        <f t="shared" si="2732"/>
        <v>-39.739771139724603</v>
      </c>
      <c r="AP170" s="33">
        <f t="shared" si="2732"/>
        <v>-316.07154002753936</v>
      </c>
      <c r="AQ170" s="33">
        <f>(AQ169-AM169)*10000</f>
        <v>-580.22161927584864</v>
      </c>
      <c r="AR170" s="33">
        <f t="shared" si="2732"/>
        <v>-354.42346333877884</v>
      </c>
      <c r="AS170" s="33">
        <f t="shared" si="2732"/>
        <v>-30.941858926526457</v>
      </c>
      <c r="AT170" s="33">
        <f t="shared" si="2732"/>
        <v>264.87182235233053</v>
      </c>
      <c r="AU170" s="33">
        <f t="shared" si="2732"/>
        <v>749.99926111867512</v>
      </c>
      <c r="AV170" s="33">
        <f t="shared" si="2732"/>
        <v>400.62978151210626</v>
      </c>
      <c r="AW170" s="33">
        <f t="shared" si="2732"/>
        <v>202.56802007633578</v>
      </c>
      <c r="AX170" s="33">
        <f t="shared" si="2732"/>
        <v>12.497087480558001</v>
      </c>
      <c r="AY170" s="33">
        <f t="shared" si="2732"/>
        <v>-110.38172830117988</v>
      </c>
      <c r="AZ170" s="33">
        <f t="shared" si="2732"/>
        <v>-368.92468662147957</v>
      </c>
      <c r="BA170" s="33">
        <f t="shared" si="2732"/>
        <v>-391.1214007496655</v>
      </c>
      <c r="BB170" s="33">
        <f t="shared" si="2732"/>
        <v>-110.08130477083378</v>
      </c>
      <c r="BC170" s="33">
        <f t="shared" si="2732"/>
        <v>-9.3967749183349056</v>
      </c>
      <c r="BD170" s="33">
        <f t="shared" si="2732"/>
        <v>161.66762864867124</v>
      </c>
      <c r="BE170" s="33">
        <f>(BE169-BA169)*10000</f>
        <v>289.74751602359186</v>
      </c>
      <c r="BF170" s="33">
        <f t="shared" si="2732"/>
        <v>181.15523885610497</v>
      </c>
      <c r="BG170" s="33">
        <f t="shared" si="2732"/>
        <v>22.278101357637304</v>
      </c>
      <c r="BH170" s="33">
        <f t="shared" si="2732"/>
        <v>161.80264124095513</v>
      </c>
      <c r="BI170" s="33">
        <f t="shared" si="2732"/>
        <v>104.90980819219287</v>
      </c>
      <c r="BJ170" s="33">
        <f t="shared" si="2732"/>
        <v>115.72285035988506</v>
      </c>
      <c r="BK170" s="33">
        <f t="shared" si="2732"/>
        <v>122.37347318587943</v>
      </c>
      <c r="BL170" s="33">
        <f t="shared" si="2732"/>
        <v>23.544949354174506</v>
      </c>
      <c r="BM170" s="363">
        <v>-100</v>
      </c>
      <c r="BN170" s="363">
        <v>-125</v>
      </c>
      <c r="BO170" s="363">
        <v>-125</v>
      </c>
      <c r="BP170" s="363">
        <v>-125</v>
      </c>
      <c r="BQ170" s="363">
        <v>-125</v>
      </c>
      <c r="BR170" s="363">
        <v>-100</v>
      </c>
      <c r="BS170" s="363">
        <v>-100</v>
      </c>
      <c r="BT170" s="363">
        <v>-100</v>
      </c>
      <c r="BU170" s="363">
        <v>-100</v>
      </c>
      <c r="BV170" s="363">
        <v>-75</v>
      </c>
      <c r="BW170" s="363">
        <v>-75</v>
      </c>
      <c r="BX170" s="363">
        <v>-75</v>
      </c>
      <c r="BY170" s="363">
        <v>-75</v>
      </c>
      <c r="BZ170" s="363">
        <v>-35</v>
      </c>
      <c r="CA170" s="363">
        <v>-35</v>
      </c>
      <c r="CB170" s="363">
        <v>-35</v>
      </c>
      <c r="CC170" s="363">
        <v>-35</v>
      </c>
      <c r="CD170" s="363">
        <v>-25</v>
      </c>
      <c r="CE170" s="363">
        <v>-25</v>
      </c>
      <c r="CF170" s="363">
        <v>-25</v>
      </c>
      <c r="CG170" s="363">
        <v>-25</v>
      </c>
      <c r="CH170" s="363"/>
      <c r="CI170" s="106" t="s">
        <v>82</v>
      </c>
      <c r="CJ170" s="33">
        <f>(CJ169-CI169)*10000</f>
        <v>-95.599146580859497</v>
      </c>
      <c r="CK170" s="115">
        <f t="shared" ref="CK170:CY170" si="2733">(CK169-CJ169)*10000</f>
        <v>-267.75046940977762</v>
      </c>
      <c r="CL170" s="115">
        <f t="shared" si="2733"/>
        <v>-478.11034942199069</v>
      </c>
      <c r="CM170" s="33">
        <f t="shared" si="2733"/>
        <v>-72.194992339848767</v>
      </c>
      <c r="CN170" s="115">
        <f t="shared" si="2733"/>
        <v>43.526551793926501</v>
      </c>
      <c r="CO170" s="33">
        <f t="shared" si="2733"/>
        <v>-217.66852741173349</v>
      </c>
      <c r="CP170" s="115">
        <f t="shared" si="2733"/>
        <v>-184.48466556910236</v>
      </c>
      <c r="CQ170" s="33">
        <f t="shared" si="2733"/>
        <v>-300.27210622548262</v>
      </c>
      <c r="CR170" s="115">
        <f t="shared" si="2733"/>
        <v>-191.38489675572745</v>
      </c>
      <c r="CS170" s="33">
        <f t="shared" si="2733"/>
        <v>-296.63211258540269</v>
      </c>
      <c r="CT170" s="115">
        <f t="shared" si="2733"/>
        <v>386.80577643781413</v>
      </c>
      <c r="CU170" s="33">
        <f t="shared" si="2733"/>
        <v>-220.27655364759147</v>
      </c>
      <c r="CV170" s="115">
        <f t="shared" si="2733"/>
        <v>88.707490163508211</v>
      </c>
      <c r="CW170" s="33">
        <f t="shared" si="2733"/>
        <v>116.89919211954781</v>
      </c>
      <c r="CX170" s="115">
        <f t="shared" si="2733"/>
        <v>33.1470023129149</v>
      </c>
      <c r="CY170" s="115">
        <f t="shared" si="2733"/>
        <v>-123.86972909427585</v>
      </c>
      <c r="CZ170" s="115">
        <f>(CZ169-CY169)*10000</f>
        <v>-99.789555782145982</v>
      </c>
      <c r="DA170" s="115">
        <f>(DA169-CZ169)*10000</f>
        <v>-74.803494219225499</v>
      </c>
      <c r="DB170" s="115">
        <f>(DB169-DA169)*10000</f>
        <v>-34.812598742935961</v>
      </c>
      <c r="DC170" s="115">
        <f>(DC169-DB169)*10000</f>
        <v>-24.822350968899954</v>
      </c>
    </row>
    <row r="171" spans="1:108" x14ac:dyDescent="0.2">
      <c r="AZ171" s="28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CI171" s="92"/>
      <c r="CK171" s="92"/>
      <c r="CL171" s="92"/>
      <c r="CN171" s="92"/>
      <c r="CP171" s="92"/>
      <c r="CR171" s="92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</row>
    <row r="172" spans="1:108" x14ac:dyDescent="0.2">
      <c r="A172" s="4" t="s">
        <v>104</v>
      </c>
      <c r="B172" s="21">
        <f t="shared" ref="B172:AG172" si="2734">B85+B166</f>
        <v>4323</v>
      </c>
      <c r="C172" s="21">
        <f t="shared" si="2734"/>
        <v>4353</v>
      </c>
      <c r="D172" s="21">
        <f t="shared" si="2734"/>
        <v>4734</v>
      </c>
      <c r="E172" s="21">
        <f t="shared" si="2734"/>
        <v>5494</v>
      </c>
      <c r="F172" s="21">
        <f t="shared" si="2734"/>
        <v>5639</v>
      </c>
      <c r="G172" s="21">
        <f t="shared" si="2734"/>
        <v>5854</v>
      </c>
      <c r="H172" s="21">
        <f t="shared" si="2734"/>
        <v>6342</v>
      </c>
      <c r="I172" s="21">
        <f t="shared" si="2734"/>
        <v>6882</v>
      </c>
      <c r="J172" s="21">
        <f t="shared" si="2734"/>
        <v>6856</v>
      </c>
      <c r="K172" s="21">
        <f t="shared" si="2734"/>
        <v>6980</v>
      </c>
      <c r="L172" s="21">
        <f t="shared" si="2734"/>
        <v>7086</v>
      </c>
      <c r="M172" s="21">
        <f t="shared" si="2734"/>
        <v>7942</v>
      </c>
      <c r="N172" s="21">
        <f t="shared" si="2734"/>
        <v>7812</v>
      </c>
      <c r="O172" s="21">
        <f t="shared" si="2734"/>
        <v>7909</v>
      </c>
      <c r="P172" s="21">
        <f t="shared" si="2734"/>
        <v>8342</v>
      </c>
      <c r="Q172" s="21">
        <f t="shared" si="2734"/>
        <v>9463</v>
      </c>
      <c r="R172" s="21">
        <f t="shared" si="2734"/>
        <v>9459</v>
      </c>
      <c r="S172" s="21">
        <f t="shared" si="2734"/>
        <v>9841</v>
      </c>
      <c r="T172" s="21">
        <f t="shared" si="2734"/>
        <v>9828</v>
      </c>
      <c r="U172" s="21">
        <f t="shared" si="2734"/>
        <v>11182</v>
      </c>
      <c r="V172" s="21">
        <f t="shared" si="2734"/>
        <v>10902</v>
      </c>
      <c r="W172" s="21">
        <f t="shared" si="2734"/>
        <v>11144</v>
      </c>
      <c r="X172" s="21">
        <f t="shared" si="2734"/>
        <v>11638</v>
      </c>
      <c r="Y172" s="21">
        <f t="shared" si="2734"/>
        <v>13141</v>
      </c>
      <c r="Z172" s="21">
        <f t="shared" si="2734"/>
        <v>12609</v>
      </c>
      <c r="AA172" s="21">
        <f t="shared" si="2734"/>
        <v>13370</v>
      </c>
      <c r="AB172" s="21">
        <f t="shared" si="2734"/>
        <v>13752</v>
      </c>
      <c r="AC172" s="21">
        <f t="shared" si="2734"/>
        <v>15403</v>
      </c>
      <c r="AD172" s="21">
        <f t="shared" si="2734"/>
        <v>14955</v>
      </c>
      <c r="AE172" s="21">
        <f t="shared" si="2734"/>
        <v>15637</v>
      </c>
      <c r="AF172" s="21">
        <f t="shared" si="2734"/>
        <v>16624</v>
      </c>
      <c r="AG172" s="21">
        <f t="shared" si="2734"/>
        <v>18056</v>
      </c>
      <c r="AH172" s="21">
        <f t="shared" ref="AH172:BQ172" si="2735">AH85+AH166</f>
        <v>17679</v>
      </c>
      <c r="AI172" s="21">
        <f t="shared" si="2735"/>
        <v>18774</v>
      </c>
      <c r="AJ172" s="21">
        <f t="shared" si="2735"/>
        <v>19459</v>
      </c>
      <c r="AK172" s="21">
        <f t="shared" si="2735"/>
        <v>21358</v>
      </c>
      <c r="AL172" s="21">
        <f t="shared" si="2735"/>
        <v>20327</v>
      </c>
      <c r="AM172" s="21">
        <f t="shared" si="2735"/>
        <v>21648</v>
      </c>
      <c r="AN172" s="21">
        <f t="shared" si="2735"/>
        <v>22931</v>
      </c>
      <c r="AO172" s="21">
        <f t="shared" si="2735"/>
        <v>25055</v>
      </c>
      <c r="AP172" s="21">
        <f t="shared" si="2735"/>
        <v>22177</v>
      </c>
      <c r="AQ172" s="21">
        <f t="shared" si="2735"/>
        <v>19744</v>
      </c>
      <c r="AR172" s="21">
        <f t="shared" si="2735"/>
        <v>25056</v>
      </c>
      <c r="AS172" s="21">
        <f t="shared" si="2735"/>
        <v>30818</v>
      </c>
      <c r="AT172" s="21">
        <f t="shared" si="2735"/>
        <v>31211</v>
      </c>
      <c r="AU172" s="21">
        <f t="shared" si="2735"/>
        <v>35653</v>
      </c>
      <c r="AV172" s="21">
        <f>AV85+AV166</f>
        <v>37497</v>
      </c>
      <c r="AW172" s="21">
        <f t="shared" si="2735"/>
        <v>42337</v>
      </c>
      <c r="AX172" s="21">
        <f t="shared" si="2735"/>
        <v>38412</v>
      </c>
      <c r="AY172" s="21">
        <f t="shared" si="2735"/>
        <v>39581</v>
      </c>
      <c r="AZ172" s="21">
        <f t="shared" si="2735"/>
        <v>37934</v>
      </c>
      <c r="BA172" s="21">
        <f t="shared" si="2735"/>
        <v>40706</v>
      </c>
      <c r="BB172" s="21">
        <f>BB85+BB166</f>
        <v>39175</v>
      </c>
      <c r="BC172" s="21">
        <f t="shared" si="2735"/>
        <v>42688</v>
      </c>
      <c r="BD172" s="21">
        <f t="shared" ref="BD172" si="2736">BD85+BD166</f>
        <v>43464</v>
      </c>
      <c r="BE172" s="21">
        <f t="shared" si="2735"/>
        <v>48735</v>
      </c>
      <c r="BF172" s="21">
        <f t="shared" ref="BF172:BG172" si="2737">BF85+BF166</f>
        <v>46827</v>
      </c>
      <c r="BG172" s="21">
        <f t="shared" si="2737"/>
        <v>49235</v>
      </c>
      <c r="BH172" s="21">
        <f t="shared" ref="BH172:BI172" si="2738">BH85+BH166</f>
        <v>51794</v>
      </c>
      <c r="BI172" s="21">
        <f t="shared" si="2738"/>
        <v>55856</v>
      </c>
      <c r="BJ172" s="21">
        <f t="shared" ref="BJ172:BK172" si="2739">BJ85+BJ166</f>
        <v>53873</v>
      </c>
      <c r="BK172" s="21">
        <f t="shared" si="2739"/>
        <v>57389</v>
      </c>
      <c r="BL172" s="21">
        <f t="shared" ref="BL172" si="2740">BL85+BL166</f>
        <v>60977</v>
      </c>
      <c r="BM172" s="21">
        <f t="shared" si="2735"/>
        <v>64409.181722801441</v>
      </c>
      <c r="BN172" s="21">
        <f t="shared" si="2735"/>
        <v>61603.879355512996</v>
      </c>
      <c r="BO172" s="21">
        <f t="shared" si="2735"/>
        <v>65070.890400243297</v>
      </c>
      <c r="BP172" s="21">
        <f t="shared" si="2735"/>
        <v>68657.201410223453</v>
      </c>
      <c r="BQ172" s="21">
        <f t="shared" si="2735"/>
        <v>71645.601686387061</v>
      </c>
      <c r="BR172" s="21">
        <f>BR85+BR166</f>
        <v>69520.567195942975</v>
      </c>
      <c r="BS172" s="21">
        <f t="shared" ref="BS172:BU172" si="2741">BS85+BS166</f>
        <v>73140.113292441412</v>
      </c>
      <c r="BT172" s="21">
        <f t="shared" si="2741"/>
        <v>77260.790629912924</v>
      </c>
      <c r="BU172" s="21">
        <f t="shared" si="2741"/>
        <v>80324.285972413752</v>
      </c>
      <c r="BV172" s="21">
        <f t="shared" ref="BV172:CC172" si="2742">BV85+BV166</f>
        <v>78259.42687346146</v>
      </c>
      <c r="BW172" s="21">
        <f t="shared" si="2742"/>
        <v>82021.291851510236</v>
      </c>
      <c r="BX172" s="21">
        <f t="shared" si="2742"/>
        <v>86750.75667883853</v>
      </c>
      <c r="BY172" s="21">
        <f t="shared" si="2742"/>
        <v>89877.167686409608</v>
      </c>
      <c r="BZ172" s="21">
        <f>BZ85+BZ166</f>
        <v>87828.359124368595</v>
      </c>
      <c r="CA172" s="21">
        <f t="shared" si="2742"/>
        <v>91718.639486596105</v>
      </c>
      <c r="CB172" s="21">
        <f t="shared" si="2742"/>
        <v>97122.980917154258</v>
      </c>
      <c r="CC172" s="21">
        <f t="shared" si="2742"/>
        <v>100311.78149062072</v>
      </c>
      <c r="CD172" s="21">
        <f t="shared" ref="CD172:CG172" si="2743">CD85+CD166</f>
        <v>97830.440283400938</v>
      </c>
      <c r="CE172" s="21">
        <f t="shared" si="2743"/>
        <v>101812.60098506161</v>
      </c>
      <c r="CF172" s="21">
        <f t="shared" si="2743"/>
        <v>107929.09702221233</v>
      </c>
      <c r="CG172" s="21">
        <f t="shared" si="2743"/>
        <v>111156.2656124043</v>
      </c>
      <c r="CH172" s="21"/>
      <c r="CI172" s="90">
        <f>SUM(B172:E172)</f>
        <v>18904</v>
      </c>
      <c r="CJ172" s="21">
        <f>SUM(F172:I172)</f>
        <v>24717</v>
      </c>
      <c r="CK172" s="90">
        <f>SUM(J172:M172)</f>
        <v>28864</v>
      </c>
      <c r="CL172" s="90">
        <f>SUM(N172:Q172)</f>
        <v>33526</v>
      </c>
      <c r="CM172" s="21">
        <f>SUM(R172:U172)</f>
        <v>40310</v>
      </c>
      <c r="CN172" s="90">
        <f>SUM(V172:Y172)</f>
        <v>46825</v>
      </c>
      <c r="CO172" s="21">
        <f>SUM(Z172:AC172)</f>
        <v>55134</v>
      </c>
      <c r="CP172" s="90">
        <f>SUM(AD172:AG172)</f>
        <v>65272</v>
      </c>
      <c r="CQ172" s="21">
        <f>SUM(AH172:AK172)</f>
        <v>77270</v>
      </c>
      <c r="CR172" s="90">
        <f>SUM(AL172:AO172)</f>
        <v>89961</v>
      </c>
      <c r="CS172" s="21">
        <f>SUM(AP172:AS172)</f>
        <v>97795</v>
      </c>
      <c r="CT172" s="90">
        <f>SUM(AT172:AW172)</f>
        <v>146698</v>
      </c>
      <c r="CU172" s="21">
        <f>SUM(AX172:BA172)</f>
        <v>156633</v>
      </c>
      <c r="CV172" s="90">
        <f>SUM(BB172:BE172)</f>
        <v>174062</v>
      </c>
      <c r="CW172" s="21">
        <f>SUM(BF172:BI172)</f>
        <v>203712</v>
      </c>
      <c r="CX172" s="90">
        <f>SUM(BJ172:BM172)</f>
        <v>236648.18172280144</v>
      </c>
      <c r="CY172" s="90">
        <f>SUM(BN172:BQ172)</f>
        <v>266977.57285236684</v>
      </c>
      <c r="CZ172" s="90">
        <f>SUM(BR172:BU172)</f>
        <v>300245.75709071103</v>
      </c>
      <c r="DA172" s="90">
        <f>SUM(BV172:BY172)</f>
        <v>336908.64309021982</v>
      </c>
      <c r="DB172" s="90">
        <f>SUM(BZ172:CC172)</f>
        <v>376981.76101873966</v>
      </c>
      <c r="DC172" s="90">
        <f>SUM(CD172:CG172)</f>
        <v>418728.40390307922</v>
      </c>
      <c r="DD172" s="21"/>
    </row>
    <row r="173" spans="1:108" x14ac:dyDescent="0.2">
      <c r="A173" s="7" t="s">
        <v>105</v>
      </c>
      <c r="B173" s="22">
        <f>B172/B$85</f>
        <v>0.85367298578199047</v>
      </c>
      <c r="C173" s="22">
        <f t="shared" ref="C173:BN173" si="2744">C172/C$85</f>
        <v>0.8555424528301887</v>
      </c>
      <c r="D173" s="22">
        <f t="shared" si="2744"/>
        <v>0.86371100164203618</v>
      </c>
      <c r="E173" s="22">
        <f t="shared" si="2744"/>
        <v>0.86234500078480614</v>
      </c>
      <c r="F173" s="22">
        <f t="shared" si="2744"/>
        <v>0.8627600979192166</v>
      </c>
      <c r="G173" s="22">
        <f t="shared" si="2744"/>
        <v>0.84668787966444892</v>
      </c>
      <c r="H173" s="22">
        <f t="shared" si="2744"/>
        <v>0.84424920127795522</v>
      </c>
      <c r="I173" s="22">
        <f t="shared" si="2744"/>
        <v>0.84628627643876042</v>
      </c>
      <c r="J173" s="22">
        <f t="shared" si="2744"/>
        <v>0.8426745329400197</v>
      </c>
      <c r="K173" s="22">
        <f t="shared" si="2744"/>
        <v>0.83482836981222341</v>
      </c>
      <c r="L173" s="22">
        <f t="shared" si="2744"/>
        <v>0.80964351005484458</v>
      </c>
      <c r="M173" s="22">
        <f t="shared" si="2744"/>
        <v>0.80777054515866553</v>
      </c>
      <c r="N173" s="22">
        <f t="shared" si="2744"/>
        <v>0.78245192307692313</v>
      </c>
      <c r="O173" s="22">
        <f t="shared" si="2744"/>
        <v>0.78376771380438015</v>
      </c>
      <c r="P173" s="22">
        <f t="shared" si="2744"/>
        <v>0.7739840415661533</v>
      </c>
      <c r="Q173" s="22">
        <f t="shared" si="2744"/>
        <v>0.76265312701482912</v>
      </c>
      <c r="R173" s="22">
        <f t="shared" si="2744"/>
        <v>0.77602756583805066</v>
      </c>
      <c r="S173" s="22">
        <f t="shared" si="2744"/>
        <v>0.77726877813758788</v>
      </c>
      <c r="T173" s="22">
        <f t="shared" si="2744"/>
        <v>0.74595825426944973</v>
      </c>
      <c r="U173" s="22">
        <f t="shared" si="2744"/>
        <v>0.77229090406796053</v>
      </c>
      <c r="V173" s="22">
        <f t="shared" si="2744"/>
        <v>0.78358369869905842</v>
      </c>
      <c r="W173" s="22">
        <f t="shared" si="2744"/>
        <v>0.77658536585365856</v>
      </c>
      <c r="X173" s="22">
        <f t="shared" si="2744"/>
        <v>0.77026937586868749</v>
      </c>
      <c r="Y173" s="22">
        <f t="shared" si="2744"/>
        <v>0.76073868241287479</v>
      </c>
      <c r="Z173" s="22">
        <f t="shared" si="2744"/>
        <v>0.76562025623899443</v>
      </c>
      <c r="AA173" s="22">
        <f t="shared" si="2744"/>
        <v>0.76291012838801708</v>
      </c>
      <c r="AB173" s="22">
        <f t="shared" si="2744"/>
        <v>0.7527505610597186</v>
      </c>
      <c r="AC173" s="22">
        <f t="shared" si="2744"/>
        <v>0.72600867269984914</v>
      </c>
      <c r="AD173" s="22">
        <f t="shared" si="2744"/>
        <v>0.74325331742955125</v>
      </c>
      <c r="AE173" s="22">
        <f t="shared" si="2744"/>
        <v>0.74750227066303365</v>
      </c>
      <c r="AF173" s="22">
        <f t="shared" si="2744"/>
        <v>0.74647507858105078</v>
      </c>
      <c r="AG173" s="22">
        <f t="shared" si="2744"/>
        <v>0.69787036679163605</v>
      </c>
      <c r="AH173" s="22">
        <f t="shared" si="2744"/>
        <v>0.71119961380642049</v>
      </c>
      <c r="AI173" s="22">
        <f t="shared" si="2744"/>
        <v>0.71555436978313069</v>
      </c>
      <c r="AJ173" s="22">
        <f t="shared" si="2744"/>
        <v>0.71651078871787321</v>
      </c>
      <c r="AK173" s="22">
        <f t="shared" si="2744"/>
        <v>0.67079145728643219</v>
      </c>
      <c r="AL173" s="22">
        <f t="shared" si="2744"/>
        <v>0.68954170765629774</v>
      </c>
      <c r="AM173" s="22">
        <f t="shared" si="2744"/>
        <v>0.68277297672364856</v>
      </c>
      <c r="AN173" s="22">
        <f t="shared" si="2744"/>
        <v>0.69468932715320064</v>
      </c>
      <c r="AO173" s="22">
        <f t="shared" si="2744"/>
        <v>0.66681748017245968</v>
      </c>
      <c r="AP173" s="22">
        <f t="shared" si="2744"/>
        <v>0.65793455365354381</v>
      </c>
      <c r="AQ173" s="22">
        <f t="shared" si="2744"/>
        <v>0.62475081479606365</v>
      </c>
      <c r="AR173" s="22">
        <f t="shared" si="2744"/>
        <v>0.65924698081932276</v>
      </c>
      <c r="AS173" s="22">
        <f t="shared" si="2744"/>
        <v>0.66372329427980703</v>
      </c>
      <c r="AT173" s="22">
        <f t="shared" si="2744"/>
        <v>0.68442173588877686</v>
      </c>
      <c r="AU173" s="22">
        <f t="shared" si="2744"/>
        <v>0.6997507409079311</v>
      </c>
      <c r="AV173" s="22">
        <f t="shared" si="2744"/>
        <v>0.69930995897053339</v>
      </c>
      <c r="AW173" s="22">
        <f t="shared" si="2744"/>
        <v>0.68398009628744061</v>
      </c>
      <c r="AX173" s="22">
        <f t="shared" si="2744"/>
        <v>0.68567144463683261</v>
      </c>
      <c r="AY173" s="22">
        <f t="shared" si="2744"/>
        <v>0.68871256807781311</v>
      </c>
      <c r="AZ173" s="22">
        <f t="shared" si="2744"/>
        <v>0.66241749030838548</v>
      </c>
      <c r="BA173" s="22">
        <f t="shared" si="2744"/>
        <v>0.64486795621247406</v>
      </c>
      <c r="BB173" s="28">
        <f t="shared" si="2744"/>
        <v>0.67466331415974923</v>
      </c>
      <c r="BC173" s="28">
        <f t="shared" si="2744"/>
        <v>0.68777289058597968</v>
      </c>
      <c r="BD173" s="28">
        <f t="shared" ref="BD173" si="2745">BD172/BD$85</f>
        <v>0.67858425317325255</v>
      </c>
      <c r="BE173" s="28">
        <f t="shared" si="2744"/>
        <v>0.67384270781483324</v>
      </c>
      <c r="BF173" s="28">
        <f t="shared" ref="BF173:BG173" si="2746">BF172/BF$85</f>
        <v>0.69277883804535978</v>
      </c>
      <c r="BG173" s="28">
        <f t="shared" si="2746"/>
        <v>0.69000070072174335</v>
      </c>
      <c r="BH173" s="28">
        <f t="shared" ref="BH173:BI173" si="2747">BH172/BH$85</f>
        <v>0.69476451729734801</v>
      </c>
      <c r="BI173" s="28">
        <f t="shared" si="2747"/>
        <v>0.68433368863405253</v>
      </c>
      <c r="BJ173" s="28">
        <f t="shared" ref="BJ173:BK173" si="2748">BJ172/BJ$85</f>
        <v>0.70435112308134817</v>
      </c>
      <c r="BK173" s="28">
        <f t="shared" si="2748"/>
        <v>0.70223804804033141</v>
      </c>
      <c r="BL173" s="28">
        <f t="shared" ref="BL173" si="2749">BL172/BL$85</f>
        <v>0.69711901223276551</v>
      </c>
      <c r="BM173" s="22">
        <f t="shared" si="2744"/>
        <v>0.67433368863405252</v>
      </c>
      <c r="BN173" s="22">
        <f t="shared" si="2744"/>
        <v>0.69185112308134822</v>
      </c>
      <c r="BO173" s="22">
        <f t="shared" ref="BO173:BQ173" si="2750">BO172/BO$85</f>
        <v>0.68973804804033134</v>
      </c>
      <c r="BP173" s="22">
        <f t="shared" si="2750"/>
        <v>0.68461901223276544</v>
      </c>
      <c r="BQ173" s="22">
        <f t="shared" si="2750"/>
        <v>0.66183368863405245</v>
      </c>
      <c r="BR173" s="28">
        <f>BR172/BR$85</f>
        <v>0.68185112308134821</v>
      </c>
      <c r="BS173" s="28">
        <f t="shared" ref="BS173:BU173" si="2751">BS172/BS$85</f>
        <v>0.67973804804033144</v>
      </c>
      <c r="BT173" s="28">
        <f t="shared" si="2751"/>
        <v>0.67461901223276555</v>
      </c>
      <c r="BU173" s="28">
        <f t="shared" si="2751"/>
        <v>0.65183368863405255</v>
      </c>
      <c r="BV173" s="28">
        <f t="shared" ref="BV173:CC173" si="2752">BV172/BV$85</f>
        <v>0.67435112308134826</v>
      </c>
      <c r="BW173" s="28">
        <f t="shared" si="2752"/>
        <v>0.67223804804033127</v>
      </c>
      <c r="BX173" s="28">
        <f t="shared" si="2752"/>
        <v>0.66711901223276548</v>
      </c>
      <c r="BY173" s="28">
        <f t="shared" si="2752"/>
        <v>0.64433368863405249</v>
      </c>
      <c r="BZ173" s="28">
        <f t="shared" si="2752"/>
        <v>0.6708511230813482</v>
      </c>
      <c r="CA173" s="28">
        <f t="shared" si="2752"/>
        <v>0.66873804804033121</v>
      </c>
      <c r="CB173" s="28">
        <f t="shared" si="2752"/>
        <v>0.66361901223276543</v>
      </c>
      <c r="CC173" s="28">
        <f t="shared" si="2752"/>
        <v>0.64083368863405255</v>
      </c>
      <c r="CD173" s="28">
        <f t="shared" ref="CD173:CG173" si="2753">CD172/CD$85</f>
        <v>0.66835112308134825</v>
      </c>
      <c r="CE173" s="28">
        <f t="shared" si="2753"/>
        <v>0.66623804804033138</v>
      </c>
      <c r="CF173" s="28">
        <f t="shared" si="2753"/>
        <v>0.66111901223276548</v>
      </c>
      <c r="CG173" s="28">
        <f t="shared" si="2753"/>
        <v>0.63833368863405249</v>
      </c>
      <c r="CH173" s="28"/>
      <c r="CI173" s="107">
        <f>CI172/CI$85</f>
        <v>0.85911652426831486</v>
      </c>
      <c r="CJ173" s="22">
        <f t="shared" ref="CJ173:CY173" si="2754">CJ172/CJ$85</f>
        <v>0.84955660961022894</v>
      </c>
      <c r="CK173" s="107">
        <f t="shared" si="2754"/>
        <v>0.82278156266925118</v>
      </c>
      <c r="CL173" s="107">
        <f t="shared" si="2754"/>
        <v>0.77497052772705211</v>
      </c>
      <c r="CM173" s="22">
        <f t="shared" si="2754"/>
        <v>0.7677510284930672</v>
      </c>
      <c r="CN173" s="107">
        <f t="shared" si="2754"/>
        <v>0.77210368367245985</v>
      </c>
      <c r="CO173" s="22">
        <f t="shared" si="2754"/>
        <v>0.75033683093128645</v>
      </c>
      <c r="CP173" s="107">
        <f t="shared" si="2754"/>
        <v>0.73188836437437632</v>
      </c>
      <c r="CQ173" s="22">
        <f t="shared" si="2754"/>
        <v>0.701861153751828</v>
      </c>
      <c r="CR173" s="107">
        <f t="shared" si="2754"/>
        <v>0.68272266407625526</v>
      </c>
      <c r="CS173" s="22">
        <f t="shared" si="2754"/>
        <v>0.65305945281771494</v>
      </c>
      <c r="CT173" s="107">
        <f>CT172/CT$85</f>
        <v>0.69174003046149635</v>
      </c>
      <c r="CU173" s="22">
        <f t="shared" si="2754"/>
        <v>0.6697123750967372</v>
      </c>
      <c r="CV173" s="107">
        <f t="shared" si="2754"/>
        <v>0.67858312411308808</v>
      </c>
      <c r="CW173" s="22">
        <f t="shared" si="2754"/>
        <v>0.69027304332504291</v>
      </c>
      <c r="CX173" s="107">
        <f t="shared" si="2754"/>
        <v>0.69358774355633435</v>
      </c>
      <c r="CY173" s="107">
        <f t="shared" si="2754"/>
        <v>0.68120077064690687</v>
      </c>
      <c r="CZ173" s="107">
        <f>CZ172/CZ$85</f>
        <v>0.67122181506869227</v>
      </c>
      <c r="DA173" s="107">
        <f>DA172/DA$85</f>
        <v>0.66374146564676961</v>
      </c>
      <c r="DB173" s="107">
        <f>DB172/DB$85</f>
        <v>0.66026020577247579</v>
      </c>
      <c r="DC173" s="107">
        <f>DC172/DC$85</f>
        <v>0.65777797067558597</v>
      </c>
      <c r="DD173" s="123"/>
    </row>
    <row r="174" spans="1:108" x14ac:dyDescent="0.2">
      <c r="A174" s="7" t="s">
        <v>106</v>
      </c>
      <c r="B174" s="25" t="s">
        <v>82</v>
      </c>
      <c r="C174" s="25" t="s">
        <v>82</v>
      </c>
      <c r="D174" s="25" t="s">
        <v>82</v>
      </c>
      <c r="E174" s="25" t="s">
        <v>82</v>
      </c>
      <c r="F174" s="33">
        <f>(F173-B173)*10000</f>
        <v>90.871121372261271</v>
      </c>
      <c r="G174" s="33">
        <f t="shared" ref="G174:BQ174" si="2755">(G173-C173)*10000</f>
        <v>-88.54573165739788</v>
      </c>
      <c r="H174" s="33">
        <f t="shared" si="2755"/>
        <v>-194.6180036408096</v>
      </c>
      <c r="I174" s="33">
        <f t="shared" si="2755"/>
        <v>-160.58724346045716</v>
      </c>
      <c r="J174" s="33">
        <f t="shared" si="2755"/>
        <v>-200.85564979196891</v>
      </c>
      <c r="K174" s="33">
        <f t="shared" si="2755"/>
        <v>-118.59509852225503</v>
      </c>
      <c r="L174" s="33">
        <f t="shared" si="2755"/>
        <v>-346.05691223110637</v>
      </c>
      <c r="M174" s="33">
        <f t="shared" si="2755"/>
        <v>-385.15731280094889</v>
      </c>
      <c r="N174" s="33">
        <f t="shared" si="2755"/>
        <v>-602.22609863096579</v>
      </c>
      <c r="O174" s="33">
        <f t="shared" si="2755"/>
        <v>-510.60656007843261</v>
      </c>
      <c r="P174" s="33">
        <f t="shared" si="2755"/>
        <v>-356.59468488691283</v>
      </c>
      <c r="Q174" s="33">
        <f t="shared" si="2755"/>
        <v>-451.17418143836409</v>
      </c>
      <c r="R174" s="33">
        <f t="shared" si="2755"/>
        <v>-64.243572388724687</v>
      </c>
      <c r="S174" s="33">
        <f t="shared" si="2755"/>
        <v>-64.989356667922721</v>
      </c>
      <c r="T174" s="33">
        <f t="shared" si="2755"/>
        <v>-280.25787296703572</v>
      </c>
      <c r="U174" s="33">
        <f t="shared" si="2755"/>
        <v>96.377770531314027</v>
      </c>
      <c r="V174" s="33">
        <f t="shared" si="2755"/>
        <v>75.561328610077581</v>
      </c>
      <c r="W174" s="33">
        <f t="shared" si="2755"/>
        <v>-6.8341228392931885</v>
      </c>
      <c r="X174" s="33">
        <f t="shared" si="2755"/>
        <v>243.11121599237762</v>
      </c>
      <c r="Y174" s="33">
        <f t="shared" si="2755"/>
        <v>-115.52221655085737</v>
      </c>
      <c r="Z174" s="33">
        <f t="shared" si="2755"/>
        <v>-179.63442460063982</v>
      </c>
      <c r="AA174" s="33">
        <f t="shared" si="2755"/>
        <v>-136.75237465641476</v>
      </c>
      <c r="AB174" s="33">
        <f t="shared" si="2755"/>
        <v>-175.18814808968887</v>
      </c>
      <c r="AC174" s="33">
        <f t="shared" si="2755"/>
        <v>-347.30009713025646</v>
      </c>
      <c r="AD174" s="33">
        <f t="shared" si="2755"/>
        <v>-223.66938809443181</v>
      </c>
      <c r="AE174" s="33">
        <f t="shared" si="2755"/>
        <v>-154.07857724983432</v>
      </c>
      <c r="AF174" s="33">
        <f t="shared" si="2755"/>
        <v>-62.754824786678263</v>
      </c>
      <c r="AG174" s="33">
        <f t="shared" si="2755"/>
        <v>-281.3830590821309</v>
      </c>
      <c r="AH174" s="33">
        <f t="shared" si="2755"/>
        <v>-320.53703623130758</v>
      </c>
      <c r="AI174" s="33">
        <f t="shared" si="2755"/>
        <v>-319.4790087990296</v>
      </c>
      <c r="AJ174" s="33">
        <f t="shared" si="2755"/>
        <v>-299.64289863177561</v>
      </c>
      <c r="AK174" s="33">
        <f t="shared" si="2755"/>
        <v>-270.78909505203865</v>
      </c>
      <c r="AL174" s="33">
        <f t="shared" si="2755"/>
        <v>-216.57906150122753</v>
      </c>
      <c r="AM174" s="33">
        <f t="shared" si="2755"/>
        <v>-327.81393059482133</v>
      </c>
      <c r="AN174" s="33">
        <f t="shared" si="2755"/>
        <v>-218.21461564672572</v>
      </c>
      <c r="AO174" s="33">
        <f t="shared" si="2755"/>
        <v>-39.739771139725157</v>
      </c>
      <c r="AP174" s="33">
        <f t="shared" si="2755"/>
        <v>-316.07154002753936</v>
      </c>
      <c r="AQ174" s="33">
        <f t="shared" si="2755"/>
        <v>-580.22161927584909</v>
      </c>
      <c r="AR174" s="33">
        <f t="shared" si="2755"/>
        <v>-354.42346333877884</v>
      </c>
      <c r="AS174" s="33">
        <f t="shared" si="2755"/>
        <v>-30.941858926526457</v>
      </c>
      <c r="AT174" s="33">
        <f t="shared" si="2755"/>
        <v>264.87182235233053</v>
      </c>
      <c r="AU174" s="33">
        <f t="shared" si="2755"/>
        <v>749.99926111867455</v>
      </c>
      <c r="AV174" s="33">
        <f t="shared" si="2755"/>
        <v>400.62978151210626</v>
      </c>
      <c r="AW174" s="33">
        <f t="shared" si="2755"/>
        <v>202.56802007633578</v>
      </c>
      <c r="AX174" s="33">
        <f t="shared" si="2755"/>
        <v>12.497087480557445</v>
      </c>
      <c r="AY174" s="33">
        <f t="shared" si="2755"/>
        <v>-110.38172830117988</v>
      </c>
      <c r="AZ174" s="33">
        <f t="shared" si="2755"/>
        <v>-368.92468662147905</v>
      </c>
      <c r="BA174" s="33">
        <f t="shared" si="2755"/>
        <v>-391.1214007496655</v>
      </c>
      <c r="BB174" s="33">
        <f t="shared" si="2755"/>
        <v>-110.08130477083378</v>
      </c>
      <c r="BC174" s="33">
        <f t="shared" si="2755"/>
        <v>-9.3967749183343496</v>
      </c>
      <c r="BD174" s="33">
        <f t="shared" si="2755"/>
        <v>161.66762864867067</v>
      </c>
      <c r="BE174" s="33">
        <f t="shared" si="2755"/>
        <v>289.74751602359186</v>
      </c>
      <c r="BF174" s="33">
        <f t="shared" si="2755"/>
        <v>181.15523885610551</v>
      </c>
      <c r="BG174" s="33">
        <f t="shared" si="2755"/>
        <v>22.27810135763675</v>
      </c>
      <c r="BH174" s="33">
        <f t="shared" si="2755"/>
        <v>161.80264124095456</v>
      </c>
      <c r="BI174" s="33">
        <f t="shared" si="2755"/>
        <v>104.90980819219287</v>
      </c>
      <c r="BJ174" s="33">
        <f t="shared" si="2755"/>
        <v>115.72285035988395</v>
      </c>
      <c r="BK174" s="33">
        <f t="shared" si="2755"/>
        <v>122.37347318588054</v>
      </c>
      <c r="BL174" s="33">
        <f t="shared" si="2755"/>
        <v>23.54494935417506</v>
      </c>
      <c r="BM174" s="33">
        <f t="shared" si="2755"/>
        <v>-100.00000000000009</v>
      </c>
      <c r="BN174" s="33">
        <f t="shared" si="2755"/>
        <v>-124.99999999999956</v>
      </c>
      <c r="BO174" s="33">
        <f t="shared" si="2755"/>
        <v>-125.00000000000067</v>
      </c>
      <c r="BP174" s="33">
        <f t="shared" si="2755"/>
        <v>-125.00000000000067</v>
      </c>
      <c r="BQ174" s="33">
        <f t="shared" si="2755"/>
        <v>-125.00000000000067</v>
      </c>
      <c r="BR174" s="33">
        <f>(BR173-BN173)*10000</f>
        <v>-100.00000000000009</v>
      </c>
      <c r="BS174" s="33">
        <f t="shared" ref="BS174" si="2756">(BS173-BO173)*10000</f>
        <v>-99.999999999998977</v>
      </c>
      <c r="BT174" s="33">
        <f t="shared" ref="BT174" si="2757">(BT173-BP173)*10000</f>
        <v>-99.999999999998977</v>
      </c>
      <c r="BU174" s="33">
        <f t="shared" ref="BU174" si="2758">(BU173-BQ173)*10000</f>
        <v>-99.999999999998977</v>
      </c>
      <c r="BV174" s="33">
        <f t="shared" ref="BV174" si="2759">(BV173-BR173)*10000</f>
        <v>-74.999999999999517</v>
      </c>
      <c r="BW174" s="33">
        <f t="shared" ref="BW174" si="2760">(BW173-BS173)*10000</f>
        <v>-75.000000000001734</v>
      </c>
      <c r="BX174" s="33">
        <f t="shared" ref="BX174" si="2761">(BX173-BT173)*10000</f>
        <v>-75.000000000000625</v>
      </c>
      <c r="BY174" s="33">
        <f t="shared" ref="BY174" si="2762">(BY173-BU173)*10000</f>
        <v>-75.000000000000625</v>
      </c>
      <c r="BZ174" s="33">
        <f t="shared" ref="BZ174" si="2763">(BZ173-BV173)*10000</f>
        <v>-35.000000000000583</v>
      </c>
      <c r="CA174" s="33">
        <f t="shared" ref="CA174" si="2764">(CA173-BW173)*10000</f>
        <v>-35.000000000000583</v>
      </c>
      <c r="CB174" s="33">
        <f t="shared" ref="CB174" si="2765">(CB173-BX173)*10000</f>
        <v>-35.000000000000583</v>
      </c>
      <c r="CC174" s="33">
        <f t="shared" ref="CC174" si="2766">(CC173-BY173)*10000</f>
        <v>-34.999999999999474</v>
      </c>
      <c r="CD174" s="33">
        <f t="shared" ref="CD174" si="2767">(CD173-BZ173)*10000</f>
        <v>-24.999999999999467</v>
      </c>
      <c r="CE174" s="33">
        <f t="shared" ref="CE174" si="2768">(CE173-CA173)*10000</f>
        <v>-24.999999999998359</v>
      </c>
      <c r="CF174" s="33">
        <f t="shared" ref="CF174" si="2769">(CF173-CB173)*10000</f>
        <v>-24.999999999999467</v>
      </c>
      <c r="CG174" s="33">
        <f t="shared" ref="CG174" si="2770">(CG173-CC173)*10000</f>
        <v>-25.000000000000576</v>
      </c>
      <c r="CH174" s="33"/>
      <c r="CI174" s="106" t="s">
        <v>82</v>
      </c>
      <c r="CJ174" s="33">
        <f>(CJ173-CI173)*10000</f>
        <v>-95.599146580859212</v>
      </c>
      <c r="CK174" s="115">
        <f t="shared" ref="CK174:CY174" si="2771">(CK173-CJ173)*10000</f>
        <v>-267.75046940977762</v>
      </c>
      <c r="CL174" s="115">
        <f t="shared" si="2771"/>
        <v>-478.11034942199069</v>
      </c>
      <c r="CM174" s="33">
        <f t="shared" si="2771"/>
        <v>-72.194992339849051</v>
      </c>
      <c r="CN174" s="115">
        <f t="shared" si="2771"/>
        <v>43.526551793926501</v>
      </c>
      <c r="CO174" s="33">
        <f t="shared" si="2771"/>
        <v>-217.66852741173403</v>
      </c>
      <c r="CP174" s="115">
        <f t="shared" si="2771"/>
        <v>-184.48466556910125</v>
      </c>
      <c r="CQ174" s="33">
        <f t="shared" si="2771"/>
        <v>-300.27210622548318</v>
      </c>
      <c r="CR174" s="115">
        <f t="shared" si="2771"/>
        <v>-191.38489675572745</v>
      </c>
      <c r="CS174" s="33">
        <f t="shared" si="2771"/>
        <v>-296.63211258540321</v>
      </c>
      <c r="CT174" s="115">
        <f t="shared" si="2771"/>
        <v>386.80577643781413</v>
      </c>
      <c r="CU174" s="33">
        <f t="shared" si="2771"/>
        <v>-220.27655364759147</v>
      </c>
      <c r="CV174" s="115">
        <f t="shared" si="2771"/>
        <v>88.707490163508766</v>
      </c>
      <c r="CW174" s="33">
        <f t="shared" si="2771"/>
        <v>116.89919211954836</v>
      </c>
      <c r="CX174" s="115">
        <f t="shared" si="2771"/>
        <v>33.147002312914339</v>
      </c>
      <c r="CY174" s="115">
        <f t="shared" si="2771"/>
        <v>-123.86972909427473</v>
      </c>
      <c r="CZ174" s="115">
        <f>(CZ173-CY173)*10000</f>
        <v>-99.789555782145982</v>
      </c>
      <c r="DA174" s="115">
        <f>(DA173-CZ173)*10000</f>
        <v>-74.803494219226607</v>
      </c>
      <c r="DB174" s="115">
        <f>(DB173-DA173)*10000</f>
        <v>-34.812598742938185</v>
      </c>
      <c r="DC174" s="115">
        <f>(DC173-DB173)*10000</f>
        <v>-24.822350968898288</v>
      </c>
    </row>
    <row r="175" spans="1:108" x14ac:dyDescent="0.2">
      <c r="A175" s="7" t="s">
        <v>62</v>
      </c>
      <c r="B175" s="25" t="s">
        <v>82</v>
      </c>
      <c r="C175" s="22">
        <f>IF(AND(B172&lt;0,C172&gt;0),"n/a",C172/B172-1)</f>
        <v>6.9396252602358377E-3</v>
      </c>
      <c r="D175" s="22">
        <f t="shared" ref="D175:BO175" si="2772">IF(AND(C172&lt;0,D172&gt;0),"n/a",D172/C172-1)</f>
        <v>8.7525844245347928E-2</v>
      </c>
      <c r="E175" s="22">
        <f t="shared" si="2772"/>
        <v>0.16054076890578783</v>
      </c>
      <c r="F175" s="22">
        <f t="shared" si="2772"/>
        <v>2.6392428103385601E-2</v>
      </c>
      <c r="G175" s="22">
        <f t="shared" si="2772"/>
        <v>3.812732754034398E-2</v>
      </c>
      <c r="H175" s="22">
        <f t="shared" si="2772"/>
        <v>8.3361803894772768E-2</v>
      </c>
      <c r="I175" s="22">
        <f t="shared" si="2772"/>
        <v>8.5146641438032189E-2</v>
      </c>
      <c r="J175" s="22">
        <f t="shared" si="2772"/>
        <v>-3.7779715199069974E-3</v>
      </c>
      <c r="K175" s="22">
        <f t="shared" si="2772"/>
        <v>1.8086347724620699E-2</v>
      </c>
      <c r="L175" s="22">
        <f t="shared" si="2772"/>
        <v>1.5186246418338101E-2</v>
      </c>
      <c r="M175" s="22">
        <f t="shared" si="2772"/>
        <v>0.1208015805814282</v>
      </c>
      <c r="N175" s="22">
        <f t="shared" si="2772"/>
        <v>-1.6368672878368185E-2</v>
      </c>
      <c r="O175" s="22">
        <f t="shared" si="2772"/>
        <v>1.2416794674859233E-2</v>
      </c>
      <c r="P175" s="22">
        <f t="shared" si="2772"/>
        <v>5.474775572133006E-2</v>
      </c>
      <c r="Q175" s="22">
        <f t="shared" si="2772"/>
        <v>0.13438024454567254</v>
      </c>
      <c r="R175" s="22">
        <f t="shared" si="2772"/>
        <v>-4.2269893268520597E-4</v>
      </c>
      <c r="S175" s="22">
        <f t="shared" si="2772"/>
        <v>4.038481869119348E-2</v>
      </c>
      <c r="T175" s="22">
        <f t="shared" si="2772"/>
        <v>-1.3210039630119352E-3</v>
      </c>
      <c r="U175" s="22">
        <f t="shared" si="2772"/>
        <v>0.1377696377696378</v>
      </c>
      <c r="V175" s="22">
        <f t="shared" si="2772"/>
        <v>-2.5040243248077299E-2</v>
      </c>
      <c r="W175" s="22">
        <f t="shared" si="2772"/>
        <v>2.2197761878554489E-2</v>
      </c>
      <c r="X175" s="22">
        <f t="shared" si="2772"/>
        <v>4.4328786791098418E-2</v>
      </c>
      <c r="Y175" s="22">
        <f t="shared" si="2772"/>
        <v>0.1291459013576215</v>
      </c>
      <c r="Z175" s="22">
        <f t="shared" si="2772"/>
        <v>-4.0483981432158922E-2</v>
      </c>
      <c r="AA175" s="22">
        <f t="shared" si="2772"/>
        <v>6.0353715599968272E-2</v>
      </c>
      <c r="AB175" s="22">
        <f t="shared" si="2772"/>
        <v>2.857142857142847E-2</v>
      </c>
      <c r="AC175" s="22">
        <f t="shared" si="2772"/>
        <v>0.12005526468877248</v>
      </c>
      <c r="AD175" s="22">
        <f t="shared" si="2772"/>
        <v>-2.9085243134454375E-2</v>
      </c>
      <c r="AE175" s="22">
        <f t="shared" si="2772"/>
        <v>4.5603477097960532E-2</v>
      </c>
      <c r="AF175" s="22">
        <f t="shared" si="2772"/>
        <v>6.3119524205410338E-2</v>
      </c>
      <c r="AG175" s="22">
        <f t="shared" si="2772"/>
        <v>8.6140519730510068E-2</v>
      </c>
      <c r="AH175" s="22">
        <f t="shared" si="2772"/>
        <v>-2.0879486043420492E-2</v>
      </c>
      <c r="AI175" s="22">
        <f t="shared" si="2772"/>
        <v>6.1937892414729356E-2</v>
      </c>
      <c r="AJ175" s="22">
        <f t="shared" si="2772"/>
        <v>3.6486630446362023E-2</v>
      </c>
      <c r="AK175" s="22">
        <f t="shared" si="2772"/>
        <v>9.758980420371044E-2</v>
      </c>
      <c r="AL175" s="22">
        <f t="shared" si="2772"/>
        <v>-4.8272310141398989E-2</v>
      </c>
      <c r="AM175" s="22">
        <f t="shared" si="2772"/>
        <v>6.4987455108968417E-2</v>
      </c>
      <c r="AN175" s="22">
        <f t="shared" si="2772"/>
        <v>5.9266444937176699E-2</v>
      </c>
      <c r="AO175" s="22">
        <f t="shared" si="2772"/>
        <v>9.2625703196546061E-2</v>
      </c>
      <c r="AP175" s="22">
        <f t="shared" si="2772"/>
        <v>-0.11486729195769307</v>
      </c>
      <c r="AQ175" s="22">
        <f t="shared" si="2772"/>
        <v>-0.10970825630157366</v>
      </c>
      <c r="AR175" s="22">
        <f t="shared" si="2772"/>
        <v>0.26904376012965958</v>
      </c>
      <c r="AS175" s="22">
        <f t="shared" si="2772"/>
        <v>0.22996487867177517</v>
      </c>
      <c r="AT175" s="22">
        <f t="shared" si="2772"/>
        <v>1.2752287624115732E-2</v>
      </c>
      <c r="AU175" s="22">
        <f t="shared" si="2772"/>
        <v>0.14232161737848825</v>
      </c>
      <c r="AV175" s="22">
        <f t="shared" si="2772"/>
        <v>5.1720752811825088E-2</v>
      </c>
      <c r="AW175" s="22">
        <f t="shared" si="2772"/>
        <v>0.12907699282609286</v>
      </c>
      <c r="AX175" s="22">
        <f t="shared" si="2772"/>
        <v>-9.2708505562510313E-2</v>
      </c>
      <c r="AY175" s="22">
        <f t="shared" si="2772"/>
        <v>3.0433197958971148E-2</v>
      </c>
      <c r="AZ175" s="22">
        <f t="shared" si="2772"/>
        <v>-4.1610873904145973E-2</v>
      </c>
      <c r="BA175" s="22">
        <f t="shared" si="2772"/>
        <v>7.3074286919386333E-2</v>
      </c>
      <c r="BB175" s="28">
        <f t="shared" si="2772"/>
        <v>-3.7611162973517409E-2</v>
      </c>
      <c r="BC175" s="28">
        <f t="shared" si="2772"/>
        <v>8.967453733248254E-2</v>
      </c>
      <c r="BD175" s="28">
        <f t="shared" si="2772"/>
        <v>1.8178410794602806E-2</v>
      </c>
      <c r="BE175" s="28">
        <f t="shared" si="2772"/>
        <v>0.12127277747101051</v>
      </c>
      <c r="BF175" s="28">
        <f t="shared" si="2772"/>
        <v>-3.9150507848568772E-2</v>
      </c>
      <c r="BG175" s="28">
        <f t="shared" si="2772"/>
        <v>5.1423324150596805E-2</v>
      </c>
      <c r="BH175" s="28">
        <f t="shared" si="2772"/>
        <v>5.1975220879455719E-2</v>
      </c>
      <c r="BI175" s="28">
        <f t="shared" si="2772"/>
        <v>7.8426072518052337E-2</v>
      </c>
      <c r="BJ175" s="28">
        <f t="shared" si="2772"/>
        <v>-3.5502005156115679E-2</v>
      </c>
      <c r="BK175" s="28">
        <f t="shared" si="2772"/>
        <v>6.5264603790395892E-2</v>
      </c>
      <c r="BL175" s="28">
        <f t="shared" si="2772"/>
        <v>6.2520692118698706E-2</v>
      </c>
      <c r="BM175" s="22">
        <f t="shared" si="2772"/>
        <v>5.6286496921813756E-2</v>
      </c>
      <c r="BN175" s="22">
        <f t="shared" si="2772"/>
        <v>-4.3554386071253948E-2</v>
      </c>
      <c r="BO175" s="22">
        <f t="shared" si="2772"/>
        <v>5.627910256629054E-2</v>
      </c>
      <c r="BP175" s="22">
        <f t="shared" ref="BP175:BQ175" si="2773">IF(AND(BO172&lt;0,BP172&gt;0),"n/a",BP172/BO172-1)</f>
        <v>5.5113907123772066E-2</v>
      </c>
      <c r="BQ175" s="22">
        <f t="shared" si="2773"/>
        <v>4.3526392203318442E-2</v>
      </c>
      <c r="BR175" s="28">
        <f>IF(AND(BQ172&lt;0,BR172&gt;0),"n/a",BR172/BQ172-1)</f>
        <v>-2.9660362121682771E-2</v>
      </c>
      <c r="BS175" s="28">
        <f t="shared" ref="BS175" si="2774">IF(AND(BR172&lt;0,BS172&gt;0),"n/a",BS172/BR172-1)</f>
        <v>5.2064392488294642E-2</v>
      </c>
      <c r="BT175" s="28">
        <f t="shared" ref="BT175" si="2775">IF(AND(BS172&lt;0,BT172&gt;0),"n/a",BT172/BS172-1)</f>
        <v>5.6339498969539603E-2</v>
      </c>
      <c r="BU175" s="28">
        <f t="shared" ref="BU175" si="2776">IF(AND(BT172&lt;0,BU172&gt;0),"n/a",BU172/BT172-1)</f>
        <v>3.9651358956126703E-2</v>
      </c>
      <c r="BV175" s="28">
        <f t="shared" ref="BV175" si="2777">IF(AND(BU172&lt;0,BV172&gt;0),"n/a",BV172/BU172-1)</f>
        <v>-2.5706535376628703E-2</v>
      </c>
      <c r="BW175" s="28">
        <f t="shared" ref="BW175" si="2778">IF(AND(BV172&lt;0,BW172&gt;0),"n/a",BW172/BV172-1)</f>
        <v>4.8069160845394032E-2</v>
      </c>
      <c r="BX175" s="28">
        <f t="shared" ref="BX175" si="2779">IF(AND(BW172&lt;0,BX172&gt;0),"n/a",BX172/BW172-1)</f>
        <v>5.7661428155635797E-2</v>
      </c>
      <c r="BY175" s="28">
        <f t="shared" ref="BY175" si="2780">IF(AND(BX172&lt;0,BY172&gt;0),"n/a",BY172/BX172-1)</f>
        <v>3.6039005620958742E-2</v>
      </c>
      <c r="BZ175" s="28">
        <f t="shared" ref="BZ175" si="2781">IF(AND(BY172&lt;0,BZ172&gt;0),"n/a",BZ172/BY172-1)</f>
        <v>-2.2795651162367592E-2</v>
      </c>
      <c r="CA175" s="28">
        <f t="shared" ref="CA175" si="2782">IF(AND(BZ172&lt;0,CA172&gt;0),"n/a",CA172/BZ172-1)</f>
        <v>4.4294125508125504E-2</v>
      </c>
      <c r="CB175" s="28">
        <f t="shared" ref="CB175" si="2783">IF(AND(CA172&lt;0,CB172&gt;0),"n/a",CB172/CA172-1)</f>
        <v>5.8923044005116942E-2</v>
      </c>
      <c r="CC175" s="28">
        <f t="shared" ref="CC175" si="2784">IF(AND(CB172&lt;0,CC172&gt;0),"n/a",CC172/CB172-1)</f>
        <v>3.2832606076892423E-2</v>
      </c>
      <c r="CD175" s="28">
        <f t="shared" ref="CD175" si="2785">IF(AND(CC172&lt;0,CD172&gt;0),"n/a",CD172/CC172-1)</f>
        <v>-2.4736288901935133E-2</v>
      </c>
      <c r="CE175" s="28">
        <f t="shared" ref="CE175" si="2786">IF(AND(CD172&lt;0,CE172&gt;0),"n/a",CE172/CD172-1)</f>
        <v>4.0704720229459479E-2</v>
      </c>
      <c r="CF175" s="28">
        <f t="shared" ref="CF175" si="2787">IF(AND(CE172&lt;0,CF172&gt;0),"n/a",CF172/CE172-1)</f>
        <v>6.0076021808421975E-2</v>
      </c>
      <c r="CG175" s="28">
        <f t="shared" ref="CG175" si="2788">IF(AND(CF172&lt;0,CG172&gt;0),"n/a",CG172/CF172-1)</f>
        <v>2.9900820809496853E-2</v>
      </c>
      <c r="CH175" s="28"/>
      <c r="CI175" s="106" t="s">
        <v>82</v>
      </c>
      <c r="CJ175" s="48" t="s">
        <v>82</v>
      </c>
      <c r="CK175" s="106" t="s">
        <v>82</v>
      </c>
      <c r="CL175" s="106" t="s">
        <v>82</v>
      </c>
      <c r="CM175" s="48" t="s">
        <v>82</v>
      </c>
      <c r="CN175" s="106" t="s">
        <v>82</v>
      </c>
      <c r="CO175" s="48" t="s">
        <v>82</v>
      </c>
      <c r="CP175" s="106" t="s">
        <v>82</v>
      </c>
      <c r="CQ175" s="48" t="s">
        <v>82</v>
      </c>
      <c r="CR175" s="106" t="s">
        <v>82</v>
      </c>
      <c r="CS175" s="48" t="s">
        <v>82</v>
      </c>
      <c r="CT175" s="106" t="s">
        <v>82</v>
      </c>
      <c r="CU175" s="48" t="s">
        <v>82</v>
      </c>
      <c r="CV175" s="106" t="s">
        <v>82</v>
      </c>
      <c r="CW175" s="48" t="s">
        <v>82</v>
      </c>
      <c r="CX175" s="106" t="s">
        <v>82</v>
      </c>
      <c r="CY175" s="106" t="s">
        <v>82</v>
      </c>
      <c r="CZ175" s="106" t="s">
        <v>82</v>
      </c>
      <c r="DA175" s="106" t="s">
        <v>82</v>
      </c>
      <c r="DB175" s="106" t="s">
        <v>82</v>
      </c>
      <c r="DC175" s="106" t="s">
        <v>82</v>
      </c>
    </row>
    <row r="176" spans="1:108" x14ac:dyDescent="0.2">
      <c r="A176" s="7" t="s">
        <v>63</v>
      </c>
      <c r="B176" s="25" t="s">
        <v>82</v>
      </c>
      <c r="C176" s="25" t="s">
        <v>82</v>
      </c>
      <c r="D176" s="25" t="s">
        <v>82</v>
      </c>
      <c r="E176" s="25" t="s">
        <v>82</v>
      </c>
      <c r="F176" s="22">
        <f>IF(AND(B172&lt;0,F172&gt;0),"n/a",F172/B172-1)</f>
        <v>0.3044182280823502</v>
      </c>
      <c r="G176" s="22">
        <f t="shared" ref="G176:BQ176" si="2789">IF(AND(C172&lt;0,G172&gt;0),"n/a",G172/C172-1)</f>
        <v>0.34481966459912705</v>
      </c>
      <c r="H176" s="22">
        <f t="shared" si="2789"/>
        <v>0.33967046894803543</v>
      </c>
      <c r="I176" s="22">
        <f t="shared" si="2789"/>
        <v>0.25263924281033856</v>
      </c>
      <c r="J176" s="22">
        <f t="shared" si="2789"/>
        <v>0.21581840751906367</v>
      </c>
      <c r="K176" s="22">
        <f t="shared" si="2789"/>
        <v>0.19234711308507002</v>
      </c>
      <c r="L176" s="22">
        <f t="shared" si="2789"/>
        <v>0.1173131504257332</v>
      </c>
      <c r="M176" s="22">
        <f t="shared" si="2789"/>
        <v>0.15402499273467019</v>
      </c>
      <c r="N176" s="22">
        <f t="shared" si="2789"/>
        <v>0.1394399066511085</v>
      </c>
      <c r="O176" s="22">
        <f t="shared" si="2789"/>
        <v>0.1330945558739256</v>
      </c>
      <c r="P176" s="22">
        <f t="shared" si="2789"/>
        <v>0.1772509173017216</v>
      </c>
      <c r="Q176" s="22">
        <f t="shared" si="2789"/>
        <v>0.19151347267690766</v>
      </c>
      <c r="R176" s="22">
        <f t="shared" si="2789"/>
        <v>0.21082949308755761</v>
      </c>
      <c r="S176" s="22">
        <f t="shared" si="2789"/>
        <v>0.24427866986976854</v>
      </c>
      <c r="T176" s="22">
        <f t="shared" si="2789"/>
        <v>0.17813473987053463</v>
      </c>
      <c r="U176" s="22">
        <f t="shared" si="2789"/>
        <v>0.18165486632146255</v>
      </c>
      <c r="V176" s="22">
        <f t="shared" si="2789"/>
        <v>0.15255312400888044</v>
      </c>
      <c r="W176" s="22">
        <f t="shared" si="2789"/>
        <v>0.13240524336957615</v>
      </c>
      <c r="X176" s="22">
        <f t="shared" si="2789"/>
        <v>0.18416768416768425</v>
      </c>
      <c r="Y176" s="22">
        <f t="shared" si="2789"/>
        <v>0.17519227329636911</v>
      </c>
      <c r="Z176" s="22">
        <f t="shared" si="2789"/>
        <v>0.15657677490368749</v>
      </c>
      <c r="AA176" s="22">
        <f t="shared" si="2789"/>
        <v>0.19974874371859297</v>
      </c>
      <c r="AB176" s="22">
        <f t="shared" si="2789"/>
        <v>0.18164633098470517</v>
      </c>
      <c r="AC176" s="22">
        <f t="shared" si="2789"/>
        <v>0.1721330187961343</v>
      </c>
      <c r="AD176" s="22">
        <f t="shared" si="2789"/>
        <v>0.1860575779205329</v>
      </c>
      <c r="AE176" s="22">
        <f t="shared" si="2789"/>
        <v>0.16955871353777119</v>
      </c>
      <c r="AF176" s="22">
        <f t="shared" si="2789"/>
        <v>0.20884235020360675</v>
      </c>
      <c r="AG176" s="22">
        <f t="shared" si="2789"/>
        <v>0.17223917418684676</v>
      </c>
      <c r="AH176" s="22">
        <f t="shared" si="2789"/>
        <v>0.18214643931795393</v>
      </c>
      <c r="AI176" s="22">
        <f t="shared" si="2789"/>
        <v>0.20061392850290982</v>
      </c>
      <c r="AJ176" s="22">
        <f t="shared" si="2789"/>
        <v>0.17053657362848895</v>
      </c>
      <c r="AK176" s="22">
        <f t="shared" si="2789"/>
        <v>0.18287549844926887</v>
      </c>
      <c r="AL176" s="22">
        <f t="shared" si="2789"/>
        <v>0.14978222750155545</v>
      </c>
      <c r="AM176" s="22">
        <f t="shared" si="2789"/>
        <v>0.15308405241291156</v>
      </c>
      <c r="AN176" s="22">
        <f t="shared" si="2789"/>
        <v>0.17842643506860578</v>
      </c>
      <c r="AO176" s="22">
        <f t="shared" si="2789"/>
        <v>0.1730967319037362</v>
      </c>
      <c r="AP176" s="22">
        <f t="shared" si="2789"/>
        <v>9.1011954543218421E-2</v>
      </c>
      <c r="AQ176" s="22">
        <f t="shared" si="2789"/>
        <v>-8.7952697708795324E-2</v>
      </c>
      <c r="AR176" s="22">
        <f t="shared" si="2789"/>
        <v>9.2669312284680228E-2</v>
      </c>
      <c r="AS176" s="22">
        <f t="shared" si="2789"/>
        <v>0.23001396926761131</v>
      </c>
      <c r="AT176" s="22">
        <f t="shared" si="2789"/>
        <v>0.40735897551517342</v>
      </c>
      <c r="AU176" s="22">
        <f t="shared" si="2789"/>
        <v>0.80576377633711505</v>
      </c>
      <c r="AV176" s="22">
        <f t="shared" si="2789"/>
        <v>0.49652777777777768</v>
      </c>
      <c r="AW176" s="22">
        <f t="shared" si="2789"/>
        <v>0.37377506651956649</v>
      </c>
      <c r="AX176" s="22">
        <f t="shared" si="2789"/>
        <v>0.23071993848322703</v>
      </c>
      <c r="AY176" s="22">
        <f t="shared" si="2789"/>
        <v>0.1101730569657533</v>
      </c>
      <c r="AZ176" s="22">
        <f t="shared" si="2789"/>
        <v>1.1654265674587272E-2</v>
      </c>
      <c r="BA176" s="22">
        <f t="shared" si="2789"/>
        <v>-3.852422231145336E-2</v>
      </c>
      <c r="BB176" s="28">
        <f t="shared" si="2789"/>
        <v>1.9863584296573977E-2</v>
      </c>
      <c r="BC176" s="28">
        <f t="shared" si="2789"/>
        <v>7.8497258785781066E-2</v>
      </c>
      <c r="BD176" s="28">
        <f t="shared" si="2789"/>
        <v>0.14577951178362425</v>
      </c>
      <c r="BE176" s="28">
        <f t="shared" si="2789"/>
        <v>0.19724364958482776</v>
      </c>
      <c r="BF176" s="28">
        <f t="shared" si="2789"/>
        <v>0.19532865347798345</v>
      </c>
      <c r="BG176" s="28">
        <f t="shared" si="2789"/>
        <v>0.15336862818590702</v>
      </c>
      <c r="BH176" s="28">
        <f t="shared" si="2789"/>
        <v>0.19165286213878141</v>
      </c>
      <c r="BI176" s="28">
        <f t="shared" si="2789"/>
        <v>0.14611675387298662</v>
      </c>
      <c r="BJ176" s="28">
        <f t="shared" si="2789"/>
        <v>0.15046874666324994</v>
      </c>
      <c r="BK176" s="28">
        <f t="shared" si="2789"/>
        <v>0.16561389255610837</v>
      </c>
      <c r="BL176" s="28">
        <f t="shared" si="2789"/>
        <v>0.17729852878711827</v>
      </c>
      <c r="BM176" s="22">
        <f t="shared" si="2789"/>
        <v>0.15312914857493265</v>
      </c>
      <c r="BN176" s="22">
        <f t="shared" si="2789"/>
        <v>0.1435019277841032</v>
      </c>
      <c r="BO176" s="22">
        <f t="shared" si="2789"/>
        <v>0.13385649515139297</v>
      </c>
      <c r="BP176" s="22">
        <f t="shared" si="2789"/>
        <v>0.12595243141222845</v>
      </c>
      <c r="BQ176" s="22">
        <f t="shared" si="2789"/>
        <v>0.1123507513995301</v>
      </c>
      <c r="BR176" s="28">
        <f>IF(AND(BN172&lt;0,BR172&gt;0),"n/a",BR172/BN172-1)</f>
        <v>0.12850956665802094</v>
      </c>
      <c r="BS176" s="28">
        <f t="shared" ref="BS176" si="2790">IF(AND(BO172&lt;0,BS172&gt;0),"n/a",BS172/BO172-1)</f>
        <v>0.12400664632933855</v>
      </c>
      <c r="BT176" s="28">
        <f t="shared" ref="BT176" si="2791">IF(AND(BP172&lt;0,BT172&gt;0),"n/a",BT172/BP172-1)</f>
        <v>0.12531226212212521</v>
      </c>
      <c r="BU176" s="28">
        <f t="shared" ref="BU176" si="2792">IF(AND(BQ172&lt;0,BU172&gt;0),"n/a",BU172/BQ172-1)</f>
        <v>0.12113352504199404</v>
      </c>
      <c r="BV176" s="28">
        <f t="shared" ref="BV176" si="2793">IF(AND(BR172&lt;0,BV172&gt;0),"n/a",BV172/BR172-1)</f>
        <v>0.1257017891250527</v>
      </c>
      <c r="BW176" s="28">
        <f t="shared" ref="BW176" si="2794">IF(AND(BS172&lt;0,BW172&gt;0),"n/a",BW172/BS172-1)</f>
        <v>0.12142691827066998</v>
      </c>
      <c r="BX176" s="28">
        <f t="shared" ref="BX176" si="2795">IF(AND(BT172&lt;0,BX172&gt;0),"n/a",BX172/BT172-1)</f>
        <v>0.12283029945141921</v>
      </c>
      <c r="BY176" s="28">
        <f t="shared" ref="BY176" si="2796">IF(AND(BU172&lt;0,BY172&gt;0),"n/a",BY172/BU172-1)</f>
        <v>0.11892893411186578</v>
      </c>
      <c r="BZ176" s="28">
        <f t="shared" ref="BZ176" si="2797">IF(AND(BV172&lt;0,BZ172&gt;0),"n/a",BZ172/BV172-1)</f>
        <v>0.12227194388197149</v>
      </c>
      <c r="CA176" s="28">
        <f t="shared" ref="CA176" si="2798">IF(AND(BW172&lt;0,CA172&gt;0),"n/a",CA172/BW172-1)</f>
        <v>0.11822963789258223</v>
      </c>
      <c r="CB176" s="28">
        <f t="shared" ref="CB176" si="2799">IF(AND(BX172&lt;0,CB172&gt;0),"n/a",CB172/BX172-1)</f>
        <v>0.11956350163854967</v>
      </c>
      <c r="CC176" s="28">
        <f t="shared" ref="CC176" si="2800">IF(AND(BY172&lt;0,CC172&gt;0),"n/a",CC172/BY172-1)</f>
        <v>0.11609860516097381</v>
      </c>
      <c r="CD176" s="28">
        <f t="shared" ref="CD176" si="2801">IF(AND(BZ172&lt;0,CD172&gt;0),"n/a",CD172/BZ172-1)</f>
        <v>0.11388213623425414</v>
      </c>
      <c r="CE176" s="28">
        <f t="shared" ref="CE176" si="2802">IF(AND(CA172&lt;0,CE172&gt;0),"n/a",CE172/CA172-1)</f>
        <v>0.11005354587646976</v>
      </c>
      <c r="CF176" s="28">
        <f t="shared" ref="CF176" si="2803">IF(AND(CB172&lt;0,CF172&gt;0),"n/a",CF172/CB172-1)</f>
        <v>0.11126219565146656</v>
      </c>
      <c r="CG176" s="28">
        <f t="shared" ref="CG176" si="2804">IF(AND(CC172&lt;0,CG172&gt;0),"n/a",CG172/CC172-1)</f>
        <v>0.10810778116623876</v>
      </c>
      <c r="CH176" s="28"/>
      <c r="CI176" s="106" t="s">
        <v>82</v>
      </c>
      <c r="CJ176" s="22">
        <f>IF(AND(CI172&lt;0,CJ172&gt;0),"n/a",CJ172/CI172-1)</f>
        <v>0.30750105797714777</v>
      </c>
      <c r="CK176" s="107">
        <f t="shared" ref="CK176:CY176" si="2805">IF(AND(CJ172&lt;0,CK172&gt;0),"n/a",CK172/CJ172-1)</f>
        <v>0.1677792612372051</v>
      </c>
      <c r="CL176" s="107">
        <f t="shared" si="2805"/>
        <v>0.1615160753880267</v>
      </c>
      <c r="CM176" s="22">
        <f t="shared" si="2805"/>
        <v>0.20235041460359127</v>
      </c>
      <c r="CN176" s="107">
        <f t="shared" si="2805"/>
        <v>0.16162242619697342</v>
      </c>
      <c r="CO176" s="22">
        <f t="shared" si="2805"/>
        <v>0.17744794447410572</v>
      </c>
      <c r="CP176" s="107">
        <f t="shared" si="2805"/>
        <v>0.18387927594587739</v>
      </c>
      <c r="CQ176" s="22">
        <f t="shared" si="2805"/>
        <v>0.18381541855619554</v>
      </c>
      <c r="CR176" s="107">
        <f t="shared" si="2805"/>
        <v>0.1642422673741426</v>
      </c>
      <c r="CS176" s="22">
        <f t="shared" si="2805"/>
        <v>8.7082180055801928E-2</v>
      </c>
      <c r="CT176" s="107">
        <f t="shared" si="2805"/>
        <v>0.50005624009407423</v>
      </c>
      <c r="CU176" s="22">
        <f t="shared" si="2805"/>
        <v>6.7724168018650666E-2</v>
      </c>
      <c r="CV176" s="107">
        <f t="shared" si="2805"/>
        <v>0.11127284799499471</v>
      </c>
      <c r="CW176" s="22">
        <f t="shared" si="2805"/>
        <v>0.17034160241752949</v>
      </c>
      <c r="CX176" s="107">
        <f t="shared" si="2805"/>
        <v>0.16168012548500554</v>
      </c>
      <c r="CY176" s="107">
        <f t="shared" si="2805"/>
        <v>0.12816236705799766</v>
      </c>
      <c r="CZ176" s="107">
        <f>IF(AND(CY172&lt;0,CZ172&gt;0),"n/a",CZ172/CY172-1)</f>
        <v>0.12461040784403576</v>
      </c>
      <c r="DA176" s="107">
        <f>IF(AND(CZ172&lt;0,DA172&gt;0),"n/a",DA172/CZ172-1)</f>
        <v>0.12210958900722146</v>
      </c>
      <c r="DB176" s="107">
        <f>IF(AND(DA172&lt;0,DB172&gt;0),"n/a",DB172/DA172-1)</f>
        <v>0.11894357342975259</v>
      </c>
      <c r="DC176" s="107">
        <f>IF(AND(DB172&lt;0,DC172&gt;0),"n/a",DC172/DB172-1)</f>
        <v>0.11073915823281522</v>
      </c>
    </row>
    <row r="177" spans="1:107" x14ac:dyDescent="0.2">
      <c r="CI177" s="92"/>
      <c r="CK177" s="92"/>
      <c r="CL177" s="92"/>
      <c r="CN177" s="92"/>
      <c r="CP177" s="92"/>
      <c r="CR177" s="92"/>
      <c r="CT177" s="111"/>
      <c r="CU177" s="28"/>
      <c r="CV177" s="89"/>
      <c r="CW177" s="89"/>
      <c r="CX177" s="89"/>
      <c r="CY177" s="89"/>
      <c r="CZ177" s="89"/>
      <c r="DA177" s="89"/>
      <c r="DB177" s="89"/>
      <c r="DC177" s="89"/>
    </row>
    <row r="178" spans="1:107" x14ac:dyDescent="0.2">
      <c r="A178" s="5" t="s">
        <v>107</v>
      </c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325"/>
      <c r="BC178" s="325"/>
      <c r="BD178" s="325"/>
      <c r="BE178" s="325"/>
      <c r="BF178" s="325"/>
      <c r="BG178" s="325"/>
      <c r="BH178" s="325"/>
      <c r="BI178" s="325"/>
      <c r="BJ178" s="325"/>
      <c r="BK178" s="325"/>
      <c r="BL178" s="325"/>
      <c r="CI178" s="92"/>
      <c r="CK178" s="92"/>
      <c r="CL178" s="92"/>
      <c r="CN178" s="92"/>
      <c r="CP178" s="92"/>
      <c r="CR178" s="92"/>
      <c r="CT178" s="89"/>
      <c r="CU178" s="111"/>
      <c r="CV178" s="89"/>
      <c r="CW178" s="89"/>
      <c r="CX178" s="89"/>
      <c r="CY178" s="89"/>
      <c r="CZ178" s="89"/>
      <c r="DA178" s="89"/>
      <c r="DB178" s="89"/>
      <c r="DC178" s="89"/>
    </row>
    <row r="179" spans="1:107" x14ac:dyDescent="0.2">
      <c r="A179" s="1" t="s">
        <v>108</v>
      </c>
      <c r="B179" s="17">
        <v>-818</v>
      </c>
      <c r="C179" s="17">
        <v>-898</v>
      </c>
      <c r="D179" s="17">
        <v>-994</v>
      </c>
      <c r="E179" s="17">
        <v>-1051</v>
      </c>
      <c r="F179" s="17">
        <v>-1226</v>
      </c>
      <c r="G179" s="17">
        <v>-1234</v>
      </c>
      <c r="H179" s="17">
        <v>-1404</v>
      </c>
      <c r="I179" s="17">
        <v>-1298</v>
      </c>
      <c r="J179" s="17">
        <v>-1441</v>
      </c>
      <c r="K179" s="17">
        <v>-1442</v>
      </c>
      <c r="L179" s="17">
        <v>-1540</v>
      </c>
      <c r="M179" s="17">
        <v>-1660</v>
      </c>
      <c r="N179" s="17">
        <v>-1617</v>
      </c>
      <c r="O179" s="17">
        <v>-1766</v>
      </c>
      <c r="P179" s="17">
        <v>-1821</v>
      </c>
      <c r="Q179" s="17">
        <v>-1933</v>
      </c>
      <c r="R179" s="17">
        <v>-2126</v>
      </c>
      <c r="S179" s="17">
        <v>-2238</v>
      </c>
      <c r="T179" s="17">
        <v>-2655</v>
      </c>
      <c r="U179" s="17">
        <v>-2813</v>
      </c>
      <c r="V179" s="17">
        <v>-2753</v>
      </c>
      <c r="W179" s="17">
        <v>-2789</v>
      </c>
      <c r="X179" s="17">
        <v>-3230</v>
      </c>
      <c r="Y179" s="17">
        <v>-3510</v>
      </c>
      <c r="Z179" s="17">
        <v>-3367</v>
      </c>
      <c r="AA179" s="17">
        <v>-3363</v>
      </c>
      <c r="AB179" s="17">
        <v>-3596</v>
      </c>
      <c r="AC179" s="17">
        <v>-3622</v>
      </c>
      <c r="AD179" s="17">
        <v>-3942</v>
      </c>
      <c r="AE179" s="17">
        <v>-4172</v>
      </c>
      <c r="AF179" s="17">
        <v>-4205</v>
      </c>
      <c r="AG179" s="17">
        <v>-4306</v>
      </c>
      <c r="AH179" s="17">
        <v>-5039</v>
      </c>
      <c r="AI179" s="17">
        <v>-5114</v>
      </c>
      <c r="AJ179" s="17">
        <v>-5232</v>
      </c>
      <c r="AK179" s="17">
        <v>-6034</v>
      </c>
      <c r="AL179" s="17">
        <v>-6029</v>
      </c>
      <c r="AM179" s="17">
        <v>-6213</v>
      </c>
      <c r="AN179" s="17">
        <v>-6554</v>
      </c>
      <c r="AO179" s="17">
        <v>-7222</v>
      </c>
      <c r="AP179" s="17">
        <v>-6820</v>
      </c>
      <c r="AQ179" s="17">
        <v>-6875</v>
      </c>
      <c r="AR179" s="17">
        <v>-6856</v>
      </c>
      <c r="AS179" s="17">
        <v>-7022</v>
      </c>
      <c r="AT179" s="17">
        <v>-7485</v>
      </c>
      <c r="AU179" s="18">
        <v>-7675</v>
      </c>
      <c r="AV179" s="18">
        <v>-7694</v>
      </c>
      <c r="AW179" s="18">
        <v>-8708</v>
      </c>
      <c r="AX179" s="18">
        <v>-9119</v>
      </c>
      <c r="AY179" s="18">
        <v>-9841</v>
      </c>
      <c r="AZ179" s="18">
        <v>-10273</v>
      </c>
      <c r="BA179" s="18">
        <v>-10267</v>
      </c>
      <c r="BB179" s="18">
        <v>-11468</v>
      </c>
      <c r="BC179" s="18">
        <v>-10588</v>
      </c>
      <c r="BD179" s="18">
        <v>-11258</v>
      </c>
      <c r="BE179" s="18">
        <v>-12113</v>
      </c>
      <c r="BF179" s="18">
        <v>-11903</v>
      </c>
      <c r="BG179" s="18">
        <v>-11860</v>
      </c>
      <c r="BH179" s="18">
        <v>-12447</v>
      </c>
      <c r="BI179" s="18">
        <v>-13116</v>
      </c>
      <c r="BJ179" s="18">
        <v>-13556</v>
      </c>
      <c r="BK179" s="18">
        <v>-13808</v>
      </c>
      <c r="BL179" s="18">
        <v>-15151</v>
      </c>
      <c r="BM179" s="27">
        <f t="shared" ref="BM179:CG179" si="2806">BI179*(1+BM182)</f>
        <v>-15411.300000000001</v>
      </c>
      <c r="BN179" s="27">
        <f t="shared" si="2806"/>
        <v>-15589.4</v>
      </c>
      <c r="BO179" s="27">
        <f t="shared" si="2806"/>
        <v>-15603.039999999999</v>
      </c>
      <c r="BP179" s="27">
        <f t="shared" si="2806"/>
        <v>-17347.895</v>
      </c>
      <c r="BQ179" s="27">
        <f t="shared" si="2806"/>
        <v>-17645.9385</v>
      </c>
      <c r="BR179" s="27">
        <f t="shared" si="2806"/>
        <v>-17616.021999999997</v>
      </c>
      <c r="BS179" s="27">
        <f t="shared" si="2806"/>
        <v>-17631.435199999996</v>
      </c>
      <c r="BT179" s="27">
        <f t="shared" si="2806"/>
        <v>-19603.121349999998</v>
      </c>
      <c r="BU179" s="27">
        <f t="shared" si="2806"/>
        <v>-19939.910505</v>
      </c>
      <c r="BV179" s="27">
        <f t="shared" si="2806"/>
        <v>-19729.944639999998</v>
      </c>
      <c r="BW179" s="27">
        <f t="shared" si="2806"/>
        <v>-19747.207423999997</v>
      </c>
      <c r="BX179" s="27">
        <f t="shared" si="2806"/>
        <v>-21955.495911999998</v>
      </c>
      <c r="BY179" s="27">
        <f t="shared" si="2806"/>
        <v>-22332.699765600002</v>
      </c>
      <c r="BZ179" s="27">
        <f t="shared" si="2806"/>
        <v>-22097.537996799998</v>
      </c>
      <c r="CA179" s="27">
        <f t="shared" si="2806"/>
        <v>-22116.872314879998</v>
      </c>
      <c r="CB179" s="27">
        <f t="shared" si="2806"/>
        <v>-24590.155421440002</v>
      </c>
      <c r="CC179" s="27">
        <f t="shared" si="2806"/>
        <v>-25012.623737472004</v>
      </c>
      <c r="CD179" s="27">
        <f t="shared" si="2806"/>
        <v>-24362.535641471997</v>
      </c>
      <c r="CE179" s="27">
        <f t="shared" si="2806"/>
        <v>-24107.390823219201</v>
      </c>
      <c r="CF179" s="27">
        <f t="shared" si="2806"/>
        <v>-26926.220186476803</v>
      </c>
      <c r="CG179" s="27">
        <f t="shared" si="2806"/>
        <v>-27388.822992531845</v>
      </c>
      <c r="CH179" s="27"/>
      <c r="CI179" s="89">
        <f>SUM(B179:E179)</f>
        <v>-3761</v>
      </c>
      <c r="CJ179" s="20">
        <f>SUM(F179:I179)</f>
        <v>-5162</v>
      </c>
      <c r="CK179" s="89">
        <f>SUM(J179:M179)</f>
        <v>-6083</v>
      </c>
      <c r="CL179" s="89">
        <f>SUM(N179:Q179)</f>
        <v>-7137</v>
      </c>
      <c r="CM179" s="20">
        <f>SUM(R179:U179)</f>
        <v>-9832</v>
      </c>
      <c r="CN179" s="89">
        <f>SUM(V179:Y179)</f>
        <v>-12282</v>
      </c>
      <c r="CO179" s="20">
        <f>SUM(Z179:AC179)</f>
        <v>-13948</v>
      </c>
      <c r="CP179" s="89">
        <f>SUM(AD179:AG179)</f>
        <v>-16625</v>
      </c>
      <c r="CQ179" s="20">
        <f>SUM(AH179:AK179)</f>
        <v>-21419</v>
      </c>
      <c r="CR179" s="89">
        <f>SUM(AL179:AO179)</f>
        <v>-26018</v>
      </c>
      <c r="CS179" s="20">
        <f>SUM(AP179:AS179)</f>
        <v>-27573</v>
      </c>
      <c r="CT179" s="89">
        <f>SUM(AT179:AW179)</f>
        <v>-31562</v>
      </c>
      <c r="CU179" s="20">
        <f>SUM(AX179:BA179)</f>
        <v>-39500</v>
      </c>
      <c r="CV179" s="89">
        <f>SUM(BB179:BE179)</f>
        <v>-45427</v>
      </c>
      <c r="CW179" s="20">
        <f>SUM(BF179:BI179)</f>
        <v>-49326</v>
      </c>
      <c r="CX179" s="89">
        <f>SUM(BJ179:BM179)</f>
        <v>-57926.3</v>
      </c>
      <c r="CY179" s="89">
        <f>SUM(BN179:BQ179)</f>
        <v>-66186.273499999996</v>
      </c>
      <c r="CZ179" s="89">
        <f>SUM(BR179:BU179)</f>
        <v>-74790.489054999984</v>
      </c>
      <c r="DA179" s="89">
        <f>SUM(BV179:BY179)</f>
        <v>-83765.347741599995</v>
      </c>
      <c r="DB179" s="89">
        <f>SUM(BZ179:CC179)</f>
        <v>-93817.189470591999</v>
      </c>
      <c r="DC179" s="89">
        <f>SUM(CD179:CG179)</f>
        <v>-102784.96964369985</v>
      </c>
    </row>
    <row r="180" spans="1:107" x14ac:dyDescent="0.2">
      <c r="A180" s="7" t="s">
        <v>109</v>
      </c>
      <c r="B180" s="22">
        <f>B179/B$85</f>
        <v>-0.16153238546603477</v>
      </c>
      <c r="C180" s="22">
        <f t="shared" ref="C180:BB180" si="2807">C179/C$85</f>
        <v>-0.1764937106918239</v>
      </c>
      <c r="D180" s="22">
        <f t="shared" si="2807"/>
        <v>-0.18135376756066413</v>
      </c>
      <c r="E180" s="22">
        <f t="shared" si="2807"/>
        <v>-0.16496625333542614</v>
      </c>
      <c r="F180" s="22">
        <f t="shared" si="2807"/>
        <v>-0.18757649938800489</v>
      </c>
      <c r="G180" s="22">
        <f t="shared" si="2807"/>
        <v>-0.17847844952270756</v>
      </c>
      <c r="H180" s="22">
        <f t="shared" si="2807"/>
        <v>-0.18690095846645369</v>
      </c>
      <c r="I180" s="22">
        <f t="shared" si="2807"/>
        <v>-0.15961633054599114</v>
      </c>
      <c r="J180" s="22">
        <f t="shared" si="2807"/>
        <v>-0.17711406096361848</v>
      </c>
      <c r="K180" s="22">
        <f t="shared" si="2807"/>
        <v>-0.1724674082047602</v>
      </c>
      <c r="L180" s="22">
        <f t="shared" si="2807"/>
        <v>-0.17595978062157222</v>
      </c>
      <c r="M180" s="22">
        <f t="shared" si="2807"/>
        <v>-0.16883645240032547</v>
      </c>
      <c r="N180" s="22">
        <f t="shared" si="2807"/>
        <v>-0.16195913461538461</v>
      </c>
      <c r="O180" s="22">
        <f t="shared" si="2807"/>
        <v>-0.1750074323654742</v>
      </c>
      <c r="P180" s="22">
        <f t="shared" si="2807"/>
        <v>-0.16895527927259232</v>
      </c>
      <c r="Q180" s="22">
        <f t="shared" si="2807"/>
        <v>-0.15578658929722761</v>
      </c>
      <c r="R180" s="22">
        <f t="shared" si="2807"/>
        <v>-0.17441955861842645</v>
      </c>
      <c r="S180" s="22">
        <f t="shared" si="2807"/>
        <v>-0.1767632888397441</v>
      </c>
      <c r="T180" s="22">
        <f t="shared" si="2807"/>
        <v>-0.20151802656546489</v>
      </c>
      <c r="U180" s="22">
        <f t="shared" si="2807"/>
        <v>-0.19428137302299883</v>
      </c>
      <c r="V180" s="22">
        <f t="shared" si="2807"/>
        <v>-0.19787249335154172</v>
      </c>
      <c r="W180" s="22">
        <f t="shared" si="2807"/>
        <v>-0.19435540069686411</v>
      </c>
      <c r="X180" s="22">
        <f t="shared" si="2807"/>
        <v>-0.21377986630485141</v>
      </c>
      <c r="Y180" s="22">
        <f t="shared" si="2807"/>
        <v>-0.20319555401180966</v>
      </c>
      <c r="Z180" s="22">
        <f t="shared" si="2807"/>
        <v>-0.20444471431173719</v>
      </c>
      <c r="AA180" s="22">
        <f t="shared" si="2807"/>
        <v>-0.19189728958630528</v>
      </c>
      <c r="AB180" s="22">
        <f t="shared" si="2807"/>
        <v>-0.19683617056215447</v>
      </c>
      <c r="AC180" s="22">
        <f t="shared" si="2807"/>
        <v>-0.17072021116138764</v>
      </c>
      <c r="AD180" s="22">
        <f t="shared" si="2807"/>
        <v>-0.19591471596839125</v>
      </c>
      <c r="AE180" s="22">
        <f t="shared" si="2807"/>
        <v>-0.19943591949902004</v>
      </c>
      <c r="AF180" s="22">
        <f t="shared" si="2807"/>
        <v>-0.18881903906600808</v>
      </c>
      <c r="AG180" s="22">
        <f t="shared" si="2807"/>
        <v>-0.16642832296216134</v>
      </c>
      <c r="AH180" s="22">
        <f t="shared" si="2807"/>
        <v>-0.20271140075629576</v>
      </c>
      <c r="AI180" s="22">
        <f t="shared" si="2807"/>
        <v>-0.19491557723825131</v>
      </c>
      <c r="AJ180" s="22">
        <f t="shared" si="2807"/>
        <v>-0.1926504160836586</v>
      </c>
      <c r="AK180" s="22">
        <f t="shared" si="2807"/>
        <v>-0.18951005025125628</v>
      </c>
      <c r="AL180" s="22">
        <f t="shared" si="2807"/>
        <v>-0.20451847077580651</v>
      </c>
      <c r="AM180" s="22">
        <f t="shared" si="2807"/>
        <v>-0.19595660127420678</v>
      </c>
      <c r="AN180" s="22">
        <f t="shared" si="2807"/>
        <v>-0.19855191008512829</v>
      </c>
      <c r="AO180" s="22">
        <f t="shared" si="2807"/>
        <v>-0.1922073774418481</v>
      </c>
      <c r="AP180" s="22">
        <f t="shared" si="2807"/>
        <v>-0.20233185985106952</v>
      </c>
      <c r="AQ180" s="22">
        <f t="shared" si="2807"/>
        <v>-0.21754263835711798</v>
      </c>
      <c r="AR180" s="22">
        <f t="shared" si="2807"/>
        <v>-0.18038782329570868</v>
      </c>
      <c r="AS180" s="22">
        <f t="shared" si="2807"/>
        <v>-0.15123190902825637</v>
      </c>
      <c r="AT180" s="22">
        <f t="shared" si="2807"/>
        <v>-0.16413753782728827</v>
      </c>
      <c r="AU180" s="22">
        <f t="shared" si="2807"/>
        <v>-0.15063492375026988</v>
      </c>
      <c r="AV180" s="22">
        <f t="shared" si="2807"/>
        <v>-0.14349123461395002</v>
      </c>
      <c r="AW180" s="22">
        <f t="shared" si="2807"/>
        <v>-0.14068305922646934</v>
      </c>
      <c r="AX180" s="22">
        <f t="shared" si="2807"/>
        <v>-0.16277824387283341</v>
      </c>
      <c r="AY180" s="22">
        <f t="shared" si="2807"/>
        <v>-0.17123418767726331</v>
      </c>
      <c r="AZ180" s="22">
        <f t="shared" si="2807"/>
        <v>-0.1793909125833828</v>
      </c>
      <c r="BA180" s="22">
        <f t="shared" si="2807"/>
        <v>-0.16265069784389208</v>
      </c>
      <c r="BB180" s="28">
        <f t="shared" si="2807"/>
        <v>-0.19749939723762616</v>
      </c>
      <c r="BC180" s="28">
        <f t="shared" ref="BC180:BD180" si="2808">BC179/BC$85</f>
        <v>-0.17058984645624889</v>
      </c>
      <c r="BD180" s="28">
        <f t="shared" si="2808"/>
        <v>-0.17576618632027602</v>
      </c>
      <c r="BE180" s="28">
        <f t="shared" ref="BE180:BJ180" si="2809">BE179/BE$85</f>
        <v>-0.16748244013052374</v>
      </c>
      <c r="BF180" s="28">
        <f t="shared" si="2809"/>
        <v>-0.17609811666888583</v>
      </c>
      <c r="BG180" s="28">
        <f t="shared" si="2809"/>
        <v>-0.16621119753345948</v>
      </c>
      <c r="BH180" s="28">
        <f t="shared" si="2809"/>
        <v>-0.16696401024829308</v>
      </c>
      <c r="BI180" s="28">
        <f t="shared" si="2809"/>
        <v>-0.16069393905980078</v>
      </c>
      <c r="BJ180" s="28">
        <f t="shared" si="2809"/>
        <v>-0.17723504955155192</v>
      </c>
      <c r="BK180" s="28">
        <f t="shared" ref="BK180:BL180" si="2810">BK179/BK$85</f>
        <v>-0.1689610024105821</v>
      </c>
      <c r="BL180" s="28">
        <f t="shared" si="2810"/>
        <v>-0.17321367325940323</v>
      </c>
      <c r="BM180" s="28">
        <f t="shared" ref="BM180:CG180" si="2811">BM179/BM$85</f>
        <v>-0.16134902660884115</v>
      </c>
      <c r="BN180" s="28">
        <f t="shared" si="2811"/>
        <v>-0.17507897247706625</v>
      </c>
      <c r="BO180" s="28">
        <f t="shared" si="2811"/>
        <v>-0.16538901322694935</v>
      </c>
      <c r="BP180" s="28">
        <f t="shared" si="2811"/>
        <v>-0.1729854770551312</v>
      </c>
      <c r="BQ180" s="28">
        <f t="shared" si="2811"/>
        <v>-0.16300619007968539</v>
      </c>
      <c r="BR180" s="28">
        <f t="shared" si="2811"/>
        <v>-0.17277627138845747</v>
      </c>
      <c r="BS180" s="28">
        <f t="shared" si="2811"/>
        <v>-0.16386025133811408</v>
      </c>
      <c r="BT180" s="28">
        <f t="shared" si="2811"/>
        <v>-0.17116881996669442</v>
      </c>
      <c r="BU180" s="28">
        <f t="shared" si="2811"/>
        <v>-0.16181289703553484</v>
      </c>
      <c r="BV180" s="28">
        <f t="shared" si="2811"/>
        <v>-0.1700103215403006</v>
      </c>
      <c r="BW180" s="28">
        <f t="shared" si="2811"/>
        <v>-0.16184607524823896</v>
      </c>
      <c r="BX180" s="28">
        <f t="shared" si="2811"/>
        <v>-0.16883920448231485</v>
      </c>
      <c r="BY180" s="28">
        <f t="shared" si="2811"/>
        <v>-0.16010418649743194</v>
      </c>
      <c r="BZ180" s="28">
        <f t="shared" si="2811"/>
        <v>-0.16878555321174135</v>
      </c>
      <c r="CA180" s="28">
        <f t="shared" si="2811"/>
        <v>-0.16125832331792908</v>
      </c>
      <c r="CB180" s="28">
        <f t="shared" si="2811"/>
        <v>-0.16801888180662253</v>
      </c>
      <c r="CC180" s="28">
        <f t="shared" si="2811"/>
        <v>-0.15979112018460734</v>
      </c>
      <c r="CD180" s="28">
        <f t="shared" si="2811"/>
        <v>-0.16643825796877154</v>
      </c>
      <c r="CE180" s="28">
        <f t="shared" si="2811"/>
        <v>-0.15775317445984446</v>
      </c>
      <c r="CF180" s="28">
        <f t="shared" si="2811"/>
        <v>-0.16493639420685482</v>
      </c>
      <c r="CG180" s="28">
        <f t="shared" si="2811"/>
        <v>-0.15728495655954269</v>
      </c>
      <c r="CH180" s="28"/>
      <c r="CI180" s="107">
        <f>CI179/CI$85</f>
        <v>-0.17092346846027995</v>
      </c>
      <c r="CJ180" s="22">
        <f t="shared" ref="CJ180" si="2812">CJ179/CJ$85</f>
        <v>-0.17742489860452326</v>
      </c>
      <c r="CK180" s="107">
        <f t="shared" ref="CK180" si="2813">CK179/CK$85</f>
        <v>-0.17339870585217068</v>
      </c>
      <c r="CL180" s="107">
        <f t="shared" ref="CL180" si="2814">CL179/CL$85</f>
        <v>-0.1649753819837729</v>
      </c>
      <c r="CM180" s="22">
        <f t="shared" ref="CM180" si="2815">CM179/CM$85</f>
        <v>-0.18726192290111229</v>
      </c>
      <c r="CN180" s="107">
        <f t="shared" ref="CN180" si="2816">CN179/CN$85</f>
        <v>-0.2025195396233882</v>
      </c>
      <c r="CO180" s="22">
        <f t="shared" ref="CO180" si="2817">CO179/CO$85</f>
        <v>-0.18982294260945304</v>
      </c>
      <c r="CP180" s="107">
        <f t="shared" ref="CP180" si="2818">CP179/CP$85</f>
        <v>-0.18641445118464281</v>
      </c>
      <c r="CQ180" s="22">
        <f t="shared" ref="CQ180" si="2819">CQ179/CQ$85</f>
        <v>-0.19455369551197624</v>
      </c>
      <c r="CR180" s="107">
        <f t="shared" ref="CR180" si="2820">CR179/CR$85</f>
        <v>-0.19745309938680106</v>
      </c>
      <c r="CS180" s="22">
        <f t="shared" ref="CS180" si="2821">CS179/CS$85</f>
        <v>-0.18412810770021837</v>
      </c>
      <c r="CT180" s="107">
        <f t="shared" ref="CT180" si="2822">CT179/CT$85</f>
        <v>-0.14882751531326774</v>
      </c>
      <c r="CU180" s="22">
        <f>CU179/CU$85</f>
        <v>-0.16888930695524648</v>
      </c>
      <c r="CV180" s="107">
        <f t="shared" ref="CV180" si="2823">CV179/CV$85</f>
        <v>-0.17709779032232914</v>
      </c>
      <c r="CW180" s="356">
        <f t="shared" ref="CW180" si="2824">CW179/CW$85</f>
        <v>-0.16713992369154032</v>
      </c>
      <c r="CX180" s="357">
        <f t="shared" ref="CX180" si="2825">CX179/CX$85</f>
        <v>-0.16977511264645467</v>
      </c>
      <c r="CY180" s="357">
        <f t="shared" ref="CY180:CZ180" si="2826">CY179/CY$85</f>
        <v>-0.16887613454849509</v>
      </c>
      <c r="CZ180" s="357">
        <f t="shared" si="2826"/>
        <v>-0.16719972431852015</v>
      </c>
      <c r="DA180" s="357">
        <f t="shared" ref="DA180:DB180" si="2827">DA179/DA$85</f>
        <v>-0.16502555164645133</v>
      </c>
      <c r="DB180" s="357">
        <f t="shared" si="2827"/>
        <v>-0.16431499671881797</v>
      </c>
      <c r="DC180" s="357">
        <f>DC179/DC$85</f>
        <v>-0.16146430029101594</v>
      </c>
    </row>
    <row r="181" spans="1:107" x14ac:dyDescent="0.2">
      <c r="A181" s="7" t="s">
        <v>62</v>
      </c>
      <c r="B181" s="25" t="s">
        <v>82</v>
      </c>
      <c r="C181" s="22">
        <f>IF(AND(B179&lt;0,C179&gt;0),"n/a",C179/B179-1)</f>
        <v>9.7799511002444994E-2</v>
      </c>
      <c r="D181" s="22">
        <f t="shared" ref="D181:F181" si="2828">IF(AND(C179&lt;0,D179&gt;0),"n/a",D179/C179-1)</f>
        <v>0.10690423162583529</v>
      </c>
      <c r="E181" s="22">
        <f t="shared" si="2828"/>
        <v>5.7344064386317894E-2</v>
      </c>
      <c r="F181" s="22">
        <f t="shared" si="2828"/>
        <v>0.16650808753568036</v>
      </c>
      <c r="G181" s="22">
        <f t="shared" ref="G181:BQ181" si="2829">IF(AND(F179&lt;0,G179&gt;0),"n/a",G179/F179-1)</f>
        <v>6.5252854812398731E-3</v>
      </c>
      <c r="H181" s="22">
        <f t="shared" si="2829"/>
        <v>0.13776337115072934</v>
      </c>
      <c r="I181" s="22">
        <f t="shared" si="2829"/>
        <v>-7.5498575498575526E-2</v>
      </c>
      <c r="J181" s="22">
        <f t="shared" si="2829"/>
        <v>0.11016949152542366</v>
      </c>
      <c r="K181" s="22">
        <f t="shared" si="2829"/>
        <v>6.9396252602360597E-4</v>
      </c>
      <c r="L181" s="22">
        <f t="shared" si="2829"/>
        <v>6.7961165048543659E-2</v>
      </c>
      <c r="M181" s="22">
        <f t="shared" si="2829"/>
        <v>7.7922077922077948E-2</v>
      </c>
      <c r="N181" s="22">
        <f t="shared" si="2829"/>
        <v>-2.5903614457831292E-2</v>
      </c>
      <c r="O181" s="22">
        <f t="shared" si="2829"/>
        <v>9.2145949288806372E-2</v>
      </c>
      <c r="P181" s="22">
        <f t="shared" si="2829"/>
        <v>3.1143827859569706E-2</v>
      </c>
      <c r="Q181" s="22">
        <f t="shared" si="2829"/>
        <v>6.1504667764964216E-2</v>
      </c>
      <c r="R181" s="22">
        <f t="shared" si="2829"/>
        <v>9.9844800827728841E-2</v>
      </c>
      <c r="S181" s="22">
        <f t="shared" si="2829"/>
        <v>5.2681091251175927E-2</v>
      </c>
      <c r="T181" s="22">
        <f t="shared" si="2829"/>
        <v>0.18632707774798929</v>
      </c>
      <c r="U181" s="22">
        <f t="shared" si="2829"/>
        <v>5.9510357815442561E-2</v>
      </c>
      <c r="V181" s="22">
        <f t="shared" si="2829"/>
        <v>-2.1329541414859543E-2</v>
      </c>
      <c r="W181" s="22">
        <f t="shared" si="2829"/>
        <v>1.3076643661460219E-2</v>
      </c>
      <c r="X181" s="22">
        <f t="shared" si="2829"/>
        <v>0.15812119039082106</v>
      </c>
      <c r="Y181" s="22">
        <f t="shared" si="2829"/>
        <v>8.6687306501547878E-2</v>
      </c>
      <c r="Z181" s="22">
        <f t="shared" si="2829"/>
        <v>-4.0740740740740744E-2</v>
      </c>
      <c r="AA181" s="22">
        <f t="shared" si="2829"/>
        <v>-1.1880011880012198E-3</v>
      </c>
      <c r="AB181" s="22">
        <f t="shared" si="2829"/>
        <v>6.9283377936366408E-2</v>
      </c>
      <c r="AC181" s="22">
        <f t="shared" si="2829"/>
        <v>7.230255839822064E-3</v>
      </c>
      <c r="AD181" s="22">
        <f t="shared" si="2829"/>
        <v>8.8348978464936501E-2</v>
      </c>
      <c r="AE181" s="22">
        <f t="shared" si="2829"/>
        <v>5.8346017250126891E-2</v>
      </c>
      <c r="AF181" s="22">
        <f t="shared" si="2829"/>
        <v>7.9098753595396865E-3</v>
      </c>
      <c r="AG181" s="22">
        <f t="shared" si="2829"/>
        <v>2.4019024970273417E-2</v>
      </c>
      <c r="AH181" s="22">
        <f t="shared" si="2829"/>
        <v>0.1702275894101255</v>
      </c>
      <c r="AI181" s="22">
        <f t="shared" si="2829"/>
        <v>1.4883905536812847E-2</v>
      </c>
      <c r="AJ181" s="22">
        <f t="shared" si="2829"/>
        <v>2.3073914743840351E-2</v>
      </c>
      <c r="AK181" s="22">
        <f t="shared" si="2829"/>
        <v>0.15328746177370034</v>
      </c>
      <c r="AL181" s="22">
        <f t="shared" si="2829"/>
        <v>-8.2863771958896493E-4</v>
      </c>
      <c r="AM181" s="22">
        <f t="shared" si="2829"/>
        <v>3.0519157405871633E-2</v>
      </c>
      <c r="AN181" s="22">
        <f t="shared" si="2829"/>
        <v>5.4884918718815401E-2</v>
      </c>
      <c r="AO181" s="22">
        <f t="shared" si="2829"/>
        <v>0.10192249008239251</v>
      </c>
      <c r="AP181" s="22">
        <f t="shared" si="2829"/>
        <v>-5.566325117695925E-2</v>
      </c>
      <c r="AQ181" s="22">
        <f t="shared" si="2829"/>
        <v>8.0645161290322509E-3</v>
      </c>
      <c r="AR181" s="22">
        <f t="shared" si="2829"/>
        <v>-2.7636363636364125E-3</v>
      </c>
      <c r="AS181" s="22">
        <f t="shared" si="2829"/>
        <v>2.421236872812127E-2</v>
      </c>
      <c r="AT181" s="22">
        <f t="shared" si="2829"/>
        <v>6.5935630874394802E-2</v>
      </c>
      <c r="AU181" s="22">
        <f t="shared" si="2829"/>
        <v>2.5384101536406245E-2</v>
      </c>
      <c r="AV181" s="22">
        <f t="shared" si="2829"/>
        <v>2.4755700325733709E-3</v>
      </c>
      <c r="AW181" s="22">
        <f t="shared" si="2829"/>
        <v>0.13179100597868465</v>
      </c>
      <c r="AX181" s="22">
        <f t="shared" si="2829"/>
        <v>4.7197978870004542E-2</v>
      </c>
      <c r="AY181" s="22">
        <f t="shared" si="2829"/>
        <v>7.9175348174141957E-2</v>
      </c>
      <c r="AZ181" s="22">
        <f t="shared" si="2829"/>
        <v>4.3897977847779712E-2</v>
      </c>
      <c r="BA181" s="22">
        <f t="shared" si="2829"/>
        <v>-5.8405529056748673E-4</v>
      </c>
      <c r="BB181" s="28">
        <f t="shared" si="2829"/>
        <v>0.11697672153501504</v>
      </c>
      <c r="BC181" s="28">
        <f t="shared" si="2829"/>
        <v>-7.673526334147196E-2</v>
      </c>
      <c r="BD181" s="28">
        <f t="shared" si="2829"/>
        <v>6.3279183981866272E-2</v>
      </c>
      <c r="BE181" s="28">
        <f t="shared" si="2829"/>
        <v>7.5945993959850799E-2</v>
      </c>
      <c r="BF181" s="28">
        <f t="shared" si="2829"/>
        <v>-1.7336745645174623E-2</v>
      </c>
      <c r="BG181" s="28">
        <f t="shared" si="2829"/>
        <v>-3.6125346551290072E-3</v>
      </c>
      <c r="BH181" s="28">
        <f t="shared" si="2829"/>
        <v>4.9494097807757154E-2</v>
      </c>
      <c r="BI181" s="28">
        <f t="shared" si="2829"/>
        <v>5.3747891058086195E-2</v>
      </c>
      <c r="BJ181" s="28">
        <f t="shared" si="2829"/>
        <v>3.3546813052760083E-2</v>
      </c>
      <c r="BK181" s="28">
        <f t="shared" si="2829"/>
        <v>1.8589554440838096E-2</v>
      </c>
      <c r="BL181" s="28">
        <f t="shared" si="2829"/>
        <v>9.7262456546929332E-2</v>
      </c>
      <c r="BM181" s="28">
        <f t="shared" si="2829"/>
        <v>1.7180384133060667E-2</v>
      </c>
      <c r="BN181" s="28">
        <f t="shared" si="2829"/>
        <v>1.1556455328233017E-2</v>
      </c>
      <c r="BO181" s="28">
        <f t="shared" si="2829"/>
        <v>8.7495349404087541E-4</v>
      </c>
      <c r="BP181" s="28">
        <f t="shared" si="2829"/>
        <v>0.11182788738604788</v>
      </c>
      <c r="BQ181" s="28">
        <f t="shared" si="2829"/>
        <v>1.7180384133060445E-2</v>
      </c>
      <c r="BR181" s="28">
        <f t="shared" ref="BR181" si="2830">IF(AND(BQ179&lt;0,BR179&gt;0),"n/a",BR179/BQ179-1)</f>
        <v>-1.695375964276602E-3</v>
      </c>
      <c r="BS181" s="28">
        <f t="shared" ref="BS181" si="2831">IF(AND(BR179&lt;0,BS179&gt;0),"n/a",BS179/BR179-1)</f>
        <v>8.7495349404087541E-4</v>
      </c>
      <c r="BT181" s="28">
        <f t="shared" ref="BT181" si="2832">IF(AND(BS179&lt;0,BT179&gt;0),"n/a",BT179/BS179-1)</f>
        <v>0.11182788738604788</v>
      </c>
      <c r="BU181" s="28">
        <f t="shared" ref="BU181" si="2833">IF(AND(BT179&lt;0,BU179&gt;0),"n/a",BU179/BT179-1)</f>
        <v>1.7180384133060667E-2</v>
      </c>
      <c r="BV181" s="28">
        <f t="shared" ref="BV181" si="2834">IF(AND(BU179&lt;0,BV179&gt;0),"n/a",BV179/BU179-1)</f>
        <v>-1.0529930159282941E-2</v>
      </c>
      <c r="BW181" s="28">
        <f t="shared" ref="BW181" si="2835">IF(AND(BV179&lt;0,BW179&gt;0),"n/a",BW179/BV179-1)</f>
        <v>8.7495349404065337E-4</v>
      </c>
      <c r="BX181" s="28">
        <f t="shared" ref="BX181" si="2836">IF(AND(BW179&lt;0,BX179&gt;0),"n/a",BX179/BW179-1)</f>
        <v>0.11182788738604788</v>
      </c>
      <c r="BY181" s="28">
        <f t="shared" ref="BY181" si="2837">IF(AND(BX179&lt;0,BY179&gt;0),"n/a",BY179/BX179-1)</f>
        <v>1.7180384133060667E-2</v>
      </c>
      <c r="BZ181" s="28">
        <f t="shared" ref="BZ181" si="2838">IF(AND(BY179&lt;0,BZ179&gt;0),"n/a",BZ179/BY179-1)</f>
        <v>-1.0529930159283052E-2</v>
      </c>
      <c r="CA181" s="28">
        <f t="shared" ref="CA181" si="2839">IF(AND(BZ179&lt;0,CA179&gt;0),"n/a",CA179/BZ179-1)</f>
        <v>8.7495349404087541E-4</v>
      </c>
      <c r="CB181" s="28">
        <f t="shared" ref="CB181" si="2840">IF(AND(CA179&lt;0,CB179&gt;0),"n/a",CB179/CA179-1)</f>
        <v>0.1118278873860481</v>
      </c>
      <c r="CC181" s="28">
        <f t="shared" ref="CC181" si="2841">IF(AND(CB179&lt;0,CC179&gt;0),"n/a",CC179/CB179-1)</f>
        <v>1.7180384133060667E-2</v>
      </c>
      <c r="CD181" s="28">
        <f t="shared" ref="CD181" si="2842">IF(AND(CC179&lt;0,CD179&gt;0),"n/a",CD179/CC179-1)</f>
        <v>-2.5990400000544311E-2</v>
      </c>
      <c r="CE181" s="28">
        <f t="shared" ref="CE181" si="2843">IF(AND(CD179&lt;0,CE179&gt;0),"n/a",CE179/CD179-1)</f>
        <v>-1.0472835094326838E-2</v>
      </c>
      <c r="CF181" s="28">
        <f t="shared" ref="CF181" si="2844">IF(AND(CE179&lt;0,CF179&gt;0),"n/a",CF179/CE179-1)</f>
        <v>0.1169280153098371</v>
      </c>
      <c r="CG181" s="28">
        <f t="shared" ref="CG181" si="2845">IF(AND(CF179&lt;0,CG179&gt;0),"n/a",CG179/CF179-1)</f>
        <v>1.7180384133060667E-2</v>
      </c>
      <c r="CH181" s="28"/>
      <c r="CI181" s="106" t="s">
        <v>82</v>
      </c>
      <c r="CJ181" s="48" t="s">
        <v>82</v>
      </c>
      <c r="CK181" s="106" t="s">
        <v>82</v>
      </c>
      <c r="CL181" s="106" t="s">
        <v>82</v>
      </c>
      <c r="CM181" s="48" t="s">
        <v>82</v>
      </c>
      <c r="CN181" s="106" t="s">
        <v>82</v>
      </c>
      <c r="CO181" s="48" t="s">
        <v>82</v>
      </c>
      <c r="CP181" s="106" t="s">
        <v>82</v>
      </c>
      <c r="CQ181" s="48" t="s">
        <v>82</v>
      </c>
      <c r="CR181" s="106" t="s">
        <v>82</v>
      </c>
      <c r="CS181" s="48" t="s">
        <v>82</v>
      </c>
      <c r="CT181" s="106" t="s">
        <v>82</v>
      </c>
      <c r="CU181" s="48" t="s">
        <v>82</v>
      </c>
      <c r="CV181" s="106" t="s">
        <v>82</v>
      </c>
      <c r="CW181" s="48" t="s">
        <v>82</v>
      </c>
      <c r="CX181" s="106" t="s">
        <v>82</v>
      </c>
      <c r="CY181" s="106" t="s">
        <v>82</v>
      </c>
      <c r="CZ181" s="106" t="s">
        <v>82</v>
      </c>
      <c r="DA181" s="106" t="s">
        <v>82</v>
      </c>
      <c r="DB181" s="106" t="s">
        <v>82</v>
      </c>
      <c r="DC181" s="106" t="s">
        <v>82</v>
      </c>
    </row>
    <row r="182" spans="1:107" x14ac:dyDescent="0.2">
      <c r="A182" s="7" t="s">
        <v>63</v>
      </c>
      <c r="B182" s="25" t="s">
        <v>82</v>
      </c>
      <c r="C182" s="25" t="s">
        <v>82</v>
      </c>
      <c r="D182" s="25" t="s">
        <v>82</v>
      </c>
      <c r="E182" s="25" t="s">
        <v>82</v>
      </c>
      <c r="F182" s="22">
        <f>IF(AND(B179&lt;0,F179&gt;0),"n/a",F179/B179-1)</f>
        <v>0.49877750611246952</v>
      </c>
      <c r="G182" s="22">
        <f t="shared" ref="G182:BL182" si="2846">IF(AND(C179&lt;0,G179&gt;0),"n/a",G179/C179-1)</f>
        <v>0.37416481069042318</v>
      </c>
      <c r="H182" s="22">
        <f t="shared" si="2846"/>
        <v>0.41247484909456733</v>
      </c>
      <c r="I182" s="22">
        <f t="shared" si="2846"/>
        <v>0.23501427212178871</v>
      </c>
      <c r="J182" s="22">
        <f t="shared" si="2846"/>
        <v>0.17536704730831976</v>
      </c>
      <c r="K182" s="22">
        <f t="shared" si="2846"/>
        <v>0.16855753646677463</v>
      </c>
      <c r="L182" s="22">
        <f t="shared" si="2846"/>
        <v>9.6866096866096818E-2</v>
      </c>
      <c r="M182" s="22">
        <f t="shared" si="2846"/>
        <v>0.27889060092449913</v>
      </c>
      <c r="N182" s="22">
        <f t="shared" si="2846"/>
        <v>0.12213740458015265</v>
      </c>
      <c r="O182" s="22">
        <f t="shared" si="2846"/>
        <v>0.2246879334257974</v>
      </c>
      <c r="P182" s="22">
        <f t="shared" si="2846"/>
        <v>0.18246753246753245</v>
      </c>
      <c r="Q182" s="22">
        <f t="shared" si="2846"/>
        <v>0.16445783132530112</v>
      </c>
      <c r="R182" s="22">
        <f t="shared" si="2846"/>
        <v>0.31478045763760054</v>
      </c>
      <c r="S182" s="22">
        <f t="shared" si="2846"/>
        <v>0.26727066817667033</v>
      </c>
      <c r="T182" s="22">
        <f t="shared" si="2846"/>
        <v>0.457990115321252</v>
      </c>
      <c r="U182" s="22">
        <f t="shared" si="2846"/>
        <v>0.45525090532850498</v>
      </c>
      <c r="V182" s="22">
        <f t="shared" si="2846"/>
        <v>0.29492003762935082</v>
      </c>
      <c r="W182" s="22">
        <f t="shared" si="2846"/>
        <v>0.24620196604110811</v>
      </c>
      <c r="X182" s="22">
        <f t="shared" si="2846"/>
        <v>0.21657250470809797</v>
      </c>
      <c r="Y182" s="22">
        <f t="shared" si="2846"/>
        <v>0.24777817276928538</v>
      </c>
      <c r="Z182" s="22">
        <f t="shared" si="2846"/>
        <v>0.22302942244823831</v>
      </c>
      <c r="AA182" s="22">
        <f t="shared" si="2846"/>
        <v>0.20580853352456074</v>
      </c>
      <c r="AB182" s="22">
        <f t="shared" si="2846"/>
        <v>0.11331269349845208</v>
      </c>
      <c r="AC182" s="22">
        <f t="shared" si="2846"/>
        <v>3.1908831908831869E-2</v>
      </c>
      <c r="AD182" s="22">
        <f t="shared" si="2846"/>
        <v>0.17077517077517079</v>
      </c>
      <c r="AE182" s="22">
        <f t="shared" si="2846"/>
        <v>0.24055902468034485</v>
      </c>
      <c r="AF182" s="22">
        <f t="shared" si="2846"/>
        <v>0.16935483870967749</v>
      </c>
      <c r="AG182" s="22">
        <f t="shared" si="2846"/>
        <v>0.18884594146880174</v>
      </c>
      <c r="AH182" s="22">
        <f t="shared" si="2846"/>
        <v>0.27828513444951808</v>
      </c>
      <c r="AI182" s="22">
        <f t="shared" si="2846"/>
        <v>0.22579098753595406</v>
      </c>
      <c r="AJ182" s="22">
        <f t="shared" si="2846"/>
        <v>0.24423305588585009</v>
      </c>
      <c r="AK182" s="22">
        <f t="shared" si="2846"/>
        <v>0.4013005109150023</v>
      </c>
      <c r="AL182" s="22">
        <f t="shared" si="2846"/>
        <v>0.19646755308592967</v>
      </c>
      <c r="AM182" s="22">
        <f t="shared" si="2846"/>
        <v>0.21490027375831056</v>
      </c>
      <c r="AN182" s="22">
        <f t="shared" si="2846"/>
        <v>0.25267584097859319</v>
      </c>
      <c r="AO182" s="22">
        <f t="shared" si="2846"/>
        <v>0.19688432217434548</v>
      </c>
      <c r="AP182" s="22">
        <f t="shared" si="2846"/>
        <v>0.1311992038480676</v>
      </c>
      <c r="AQ182" s="22">
        <f t="shared" si="2846"/>
        <v>0.10655078062127799</v>
      </c>
      <c r="AR182" s="22">
        <f t="shared" si="2846"/>
        <v>4.607873054623135E-2</v>
      </c>
      <c r="AS182" s="22">
        <f t="shared" si="2846"/>
        <v>-2.7693159789532018E-2</v>
      </c>
      <c r="AT182" s="22">
        <f t="shared" si="2846"/>
        <v>9.7507331378299034E-2</v>
      </c>
      <c r="AU182" s="22">
        <f t="shared" si="2846"/>
        <v>0.11636363636363645</v>
      </c>
      <c r="AV182" s="22">
        <f t="shared" si="2846"/>
        <v>0.12222870478413062</v>
      </c>
      <c r="AW182" s="22">
        <f t="shared" si="2846"/>
        <v>0.24010253489034472</v>
      </c>
      <c r="AX182" s="22">
        <f t="shared" si="2846"/>
        <v>0.21830327321309295</v>
      </c>
      <c r="AY182" s="22">
        <f t="shared" si="2846"/>
        <v>0.28221498371335496</v>
      </c>
      <c r="AZ182" s="22">
        <f t="shared" si="2846"/>
        <v>0.33519625682349874</v>
      </c>
      <c r="BA182" s="22">
        <f t="shared" si="2846"/>
        <v>0.17903077629765729</v>
      </c>
      <c r="BB182" s="28">
        <f t="shared" si="2846"/>
        <v>0.25759403443360007</v>
      </c>
      <c r="BC182" s="28">
        <f t="shared" si="2846"/>
        <v>7.590692002845234E-2</v>
      </c>
      <c r="BD182" s="28">
        <f t="shared" si="2846"/>
        <v>9.5882410201499013E-2</v>
      </c>
      <c r="BE182" s="28">
        <f t="shared" si="2846"/>
        <v>0.17979935716372841</v>
      </c>
      <c r="BF182" s="28">
        <f t="shared" si="2846"/>
        <v>3.7931635856295776E-2</v>
      </c>
      <c r="BG182" s="28">
        <f t="shared" si="2846"/>
        <v>0.12013600302228933</v>
      </c>
      <c r="BH182" s="28">
        <f t="shared" si="2846"/>
        <v>0.10561378575235381</v>
      </c>
      <c r="BI182" s="28">
        <f t="shared" si="2846"/>
        <v>8.2803599438619591E-2</v>
      </c>
      <c r="BJ182" s="28">
        <f t="shared" si="2846"/>
        <v>0.13887255313786451</v>
      </c>
      <c r="BK182" s="28">
        <f t="shared" si="2846"/>
        <v>0.16424957841483989</v>
      </c>
      <c r="BL182" s="28">
        <f t="shared" si="2846"/>
        <v>0.21724110227364024</v>
      </c>
      <c r="BM182" s="26">
        <v>0.17499999999999999</v>
      </c>
      <c r="BN182" s="26">
        <v>0.15</v>
      </c>
      <c r="BO182" s="26">
        <v>0.13</v>
      </c>
      <c r="BP182" s="26">
        <v>0.14499999999999999</v>
      </c>
      <c r="BQ182" s="26">
        <v>0.14499999999999999</v>
      </c>
      <c r="BR182" s="26">
        <v>0.13</v>
      </c>
      <c r="BS182" s="26">
        <v>0.13</v>
      </c>
      <c r="BT182" s="26">
        <v>0.13</v>
      </c>
      <c r="BU182" s="26">
        <v>0.13</v>
      </c>
      <c r="BV182" s="26">
        <v>0.12</v>
      </c>
      <c r="BW182" s="26">
        <v>0.12</v>
      </c>
      <c r="BX182" s="26">
        <v>0.12</v>
      </c>
      <c r="BY182" s="26">
        <v>0.12</v>
      </c>
      <c r="BZ182" s="26">
        <v>0.12</v>
      </c>
      <c r="CA182" s="26">
        <v>0.12</v>
      </c>
      <c r="CB182" s="26">
        <v>0.12</v>
      </c>
      <c r="CC182" s="26">
        <v>0.12</v>
      </c>
      <c r="CD182" s="26">
        <v>0.10249999999999999</v>
      </c>
      <c r="CE182" s="26">
        <v>0.09</v>
      </c>
      <c r="CF182" s="26">
        <v>9.5000000000000001E-2</v>
      </c>
      <c r="CG182" s="26">
        <v>9.5000000000000001E-2</v>
      </c>
      <c r="CH182" s="26"/>
      <c r="CI182" s="106" t="s">
        <v>82</v>
      </c>
      <c r="CJ182" s="22">
        <f>IF(AND(CI179&lt;0,CJ179&gt;0),"n/a",CJ179/CI179-1)</f>
        <v>0.37250731188513697</v>
      </c>
      <c r="CK182" s="107">
        <f t="shared" ref="CK182:DB182" si="2847">IF(AND(CJ179&lt;0,CK179&gt;0),"n/a",CK179/CJ179-1)</f>
        <v>0.17841921735761335</v>
      </c>
      <c r="CL182" s="107">
        <f t="shared" si="2847"/>
        <v>0.17326976820647699</v>
      </c>
      <c r="CM182" s="22">
        <f t="shared" si="2847"/>
        <v>0.37760963990472196</v>
      </c>
      <c r="CN182" s="107">
        <f t="shared" si="2847"/>
        <v>0.24918633034987803</v>
      </c>
      <c r="CO182" s="22">
        <f t="shared" si="2847"/>
        <v>0.13564566031590952</v>
      </c>
      <c r="CP182" s="107">
        <f t="shared" si="2847"/>
        <v>0.19192715801548599</v>
      </c>
      <c r="CQ182" s="22">
        <f t="shared" si="2847"/>
        <v>0.28836090225563904</v>
      </c>
      <c r="CR182" s="107">
        <f t="shared" si="2847"/>
        <v>0.21471590643820915</v>
      </c>
      <c r="CS182" s="22">
        <f t="shared" si="2847"/>
        <v>5.9766315627642452E-2</v>
      </c>
      <c r="CT182" s="107">
        <f t="shared" si="2847"/>
        <v>0.14467051100714468</v>
      </c>
      <c r="CU182" s="22">
        <f t="shared" si="2847"/>
        <v>0.25150497433622721</v>
      </c>
      <c r="CV182" s="107">
        <f t="shared" si="2847"/>
        <v>0.15005063291139242</v>
      </c>
      <c r="CW182" s="22">
        <f t="shared" si="2847"/>
        <v>8.583001298787063E-2</v>
      </c>
      <c r="CX182" s="107">
        <f t="shared" si="2847"/>
        <v>0.17435632323723804</v>
      </c>
      <c r="CY182" s="107">
        <f t="shared" si="2847"/>
        <v>0.14259452960054397</v>
      </c>
      <c r="CZ182" s="107">
        <f t="shared" si="2847"/>
        <v>0.12999999999999989</v>
      </c>
      <c r="DA182" s="107">
        <f t="shared" si="2847"/>
        <v>0.12000000000000011</v>
      </c>
      <c r="DB182" s="107">
        <f t="shared" si="2847"/>
        <v>0.12000000000000011</v>
      </c>
      <c r="DC182" s="107">
        <f>IF(AND(DB179&lt;0,DC179&gt;0),"n/a",DC179/DB179-1)</f>
        <v>9.5587815236342077E-2</v>
      </c>
    </row>
    <row r="183" spans="1:107" x14ac:dyDescent="0.2">
      <c r="AO183" s="154">
        <f>AO184-AN184</f>
        <v>-1129</v>
      </c>
      <c r="AP183" s="155"/>
      <c r="AQ183" s="155"/>
      <c r="AR183" s="155"/>
      <c r="AS183" s="154">
        <f>AS184-AR184</f>
        <v>-1083</v>
      </c>
      <c r="AT183" s="155"/>
      <c r="AU183" s="155"/>
      <c r="AV183" s="155"/>
      <c r="AW183" s="155"/>
      <c r="AX183" s="155"/>
      <c r="AY183" s="155"/>
      <c r="AZ183" s="20"/>
      <c r="BA183" s="20"/>
      <c r="BB183" s="325"/>
      <c r="BC183" s="325"/>
      <c r="BD183" s="325"/>
      <c r="BE183" s="325"/>
      <c r="BF183" s="325"/>
      <c r="BG183" s="325"/>
      <c r="BH183" s="325"/>
      <c r="BI183" s="325"/>
      <c r="BJ183" s="325"/>
      <c r="BK183" s="325"/>
      <c r="BL183" s="325"/>
      <c r="CI183" s="92"/>
      <c r="CK183" s="92"/>
      <c r="CL183" s="92"/>
      <c r="CN183" s="92"/>
      <c r="CP183" s="92"/>
      <c r="CR183" s="92"/>
      <c r="CT183" s="89"/>
      <c r="CU183" s="111"/>
      <c r="CV183" s="111"/>
      <c r="CW183" s="111"/>
      <c r="CX183" s="111"/>
      <c r="CY183" s="111"/>
      <c r="CZ183" s="111"/>
      <c r="DA183" s="111"/>
      <c r="DB183" s="111"/>
      <c r="DC183" s="111"/>
    </row>
    <row r="184" spans="1:107" x14ac:dyDescent="0.2">
      <c r="A184" s="1" t="s">
        <v>110</v>
      </c>
      <c r="B184" s="17">
        <v>-607</v>
      </c>
      <c r="C184" s="17">
        <v>-629</v>
      </c>
      <c r="D184" s="17">
        <v>-661</v>
      </c>
      <c r="E184" s="17">
        <v>-902</v>
      </c>
      <c r="F184" s="17">
        <v>-1026</v>
      </c>
      <c r="G184" s="17">
        <v>-1091</v>
      </c>
      <c r="H184" s="17">
        <v>-1204</v>
      </c>
      <c r="I184" s="17">
        <v>-1268</v>
      </c>
      <c r="J184" s="17">
        <v>-1269</v>
      </c>
      <c r="K184" s="17">
        <v>-1286</v>
      </c>
      <c r="L184" s="17">
        <v>-1385</v>
      </c>
      <c r="M184" s="17">
        <v>-1525</v>
      </c>
      <c r="N184" s="17">
        <v>-1435</v>
      </c>
      <c r="O184" s="17">
        <v>-1583</v>
      </c>
      <c r="P184" s="17">
        <v>-1628</v>
      </c>
      <c r="Q184" s="17">
        <v>-1908</v>
      </c>
      <c r="R184" s="17">
        <v>-1729</v>
      </c>
      <c r="S184" s="17">
        <v>-1941</v>
      </c>
      <c r="T184" s="17">
        <v>-2084</v>
      </c>
      <c r="U184" s="17">
        <v>-2377</v>
      </c>
      <c r="V184" s="17">
        <v>-2065</v>
      </c>
      <c r="W184" s="17">
        <v>-2080</v>
      </c>
      <c r="X184" s="17">
        <v>-2223</v>
      </c>
      <c r="Y184" s="17">
        <v>-2679</v>
      </c>
      <c r="Z184" s="17">
        <v>-2387</v>
      </c>
      <c r="AA184" s="17">
        <v>-2415</v>
      </c>
      <c r="AB184" s="17">
        <v>-2565</v>
      </c>
      <c r="AC184" s="17">
        <v>-3118</v>
      </c>
      <c r="AD184" s="17">
        <v>-2644</v>
      </c>
      <c r="AE184" s="17">
        <v>-2897</v>
      </c>
      <c r="AF184" s="17">
        <v>-3042</v>
      </c>
      <c r="AG184" s="17">
        <v>-4310</v>
      </c>
      <c r="AH184" s="17">
        <v>-3604</v>
      </c>
      <c r="AI184" s="17">
        <v>-3780</v>
      </c>
      <c r="AJ184" s="17">
        <v>-3849</v>
      </c>
      <c r="AK184" s="17">
        <v>-5100</v>
      </c>
      <c r="AL184" s="17">
        <v>-3905</v>
      </c>
      <c r="AM184" s="17">
        <v>-4212</v>
      </c>
      <c r="AN184" s="17">
        <v>-4609</v>
      </c>
      <c r="AO184" s="17">
        <v>-5738</v>
      </c>
      <c r="AP184" s="17">
        <v>-4500</v>
      </c>
      <c r="AQ184" s="17">
        <v>-3901</v>
      </c>
      <c r="AR184" s="17">
        <v>-4231</v>
      </c>
      <c r="AS184" s="17">
        <v>-5314</v>
      </c>
      <c r="AT184" s="17">
        <v>-4516</v>
      </c>
      <c r="AU184" s="18">
        <v>-5276</v>
      </c>
      <c r="AV184" s="18">
        <v>-5516</v>
      </c>
      <c r="AW184" s="18">
        <v>-7604</v>
      </c>
      <c r="AX184" s="18">
        <v>-5825</v>
      </c>
      <c r="AY184" s="18">
        <v>-6630</v>
      </c>
      <c r="AZ184" s="18">
        <v>-6929</v>
      </c>
      <c r="BA184" s="18">
        <v>-7183</v>
      </c>
      <c r="BB184" s="18">
        <v>-6533</v>
      </c>
      <c r="BC184" s="18">
        <v>-6781</v>
      </c>
      <c r="BD184" s="18">
        <v>-6884</v>
      </c>
      <c r="BE184" s="18">
        <v>-7719</v>
      </c>
      <c r="BF184" s="18">
        <v>-6426</v>
      </c>
      <c r="BG184" s="18">
        <v>-6792</v>
      </c>
      <c r="BH184" s="18">
        <v>-7227</v>
      </c>
      <c r="BI184" s="18">
        <v>-7363</v>
      </c>
      <c r="BJ184" s="18">
        <v>-6172</v>
      </c>
      <c r="BK184" s="18">
        <v>-7101</v>
      </c>
      <c r="BL184" s="18">
        <v>-7205</v>
      </c>
      <c r="BM184" s="27">
        <f t="shared" ref="BM184" si="2848">BI184*(1+BM187)</f>
        <v>-7804.7800000000007</v>
      </c>
      <c r="BN184" s="27">
        <f t="shared" ref="BN184" si="2849">BJ184*(1+BN187)</f>
        <v>-6449.74</v>
      </c>
      <c r="BO184" s="27">
        <f t="shared" ref="BO184" si="2850">BK184*(1+BO187)</f>
        <v>-7420.5449999999992</v>
      </c>
      <c r="BP184" s="27">
        <f t="shared" ref="BP184" si="2851">BL184*(1+BP187)</f>
        <v>-7529.2249999999995</v>
      </c>
      <c r="BQ184" s="27">
        <f t="shared" ref="BQ184" si="2852">BM184*(1+BQ187)</f>
        <v>-8155.9951000000001</v>
      </c>
      <c r="BR184" s="27">
        <f t="shared" ref="BR184" si="2853">BN184*(1+BR187)</f>
        <v>-6723.8539499999997</v>
      </c>
      <c r="BS184" s="27">
        <f t="shared" ref="BS184" si="2854">BO184*(1+BS187)</f>
        <v>-7735.9181624999992</v>
      </c>
      <c r="BT184" s="27">
        <f t="shared" ref="BT184" si="2855">BP184*(1+BT187)</f>
        <v>-7849.217062499999</v>
      </c>
      <c r="BU184" s="27">
        <f t="shared" ref="BU184" si="2856">BQ184*(1+BU187)</f>
        <v>-8502.6248917499997</v>
      </c>
      <c r="BV184" s="27">
        <f t="shared" ref="BV184" si="2857">BR184*(1+BV187)</f>
        <v>-6992.8081080000002</v>
      </c>
      <c r="BW184" s="27">
        <f t="shared" ref="BW184" si="2858">BS184*(1+BW187)</f>
        <v>-8045.3548889999993</v>
      </c>
      <c r="BX184" s="27">
        <f t="shared" ref="BX184" si="2859">BT184*(1+BX187)</f>
        <v>-8163.1857449999989</v>
      </c>
      <c r="BY184" s="27">
        <f t="shared" ref="BY184" si="2860">BU184*(1+BY187)</f>
        <v>-8842.7298874200005</v>
      </c>
      <c r="BZ184" s="27">
        <f t="shared" ref="BZ184" si="2861">BV184*(1+BZ187)</f>
        <v>-7272.5204323200005</v>
      </c>
      <c r="CA184" s="27">
        <f t="shared" ref="CA184" si="2862">BW184*(1+CA187)</f>
        <v>-8367.1690845599987</v>
      </c>
      <c r="CB184" s="27">
        <f t="shared" ref="CB184" si="2863">BX184*(1+CB187)</f>
        <v>-8489.7131747999993</v>
      </c>
      <c r="CC184" s="27">
        <f t="shared" ref="CC184" si="2864">BY184*(1+CC187)</f>
        <v>-9196.4390829168005</v>
      </c>
      <c r="CD184" s="27">
        <f t="shared" ref="CD184" si="2865">BZ184*(1+CD187)</f>
        <v>-7563.4212496128011</v>
      </c>
      <c r="CE184" s="27">
        <f t="shared" ref="CE184" si="2866">CA184*(1+CE187)</f>
        <v>-8701.8558479423991</v>
      </c>
      <c r="CF184" s="27">
        <f t="shared" ref="CF184" si="2867">CB184*(1+CF187)</f>
        <v>-8829.3017017919992</v>
      </c>
      <c r="CG184" s="27">
        <f t="shared" ref="CG184" si="2868">CC184*(1+CG187)</f>
        <v>-9564.2966462334734</v>
      </c>
      <c r="CH184" s="27"/>
      <c r="CI184" s="89">
        <f>SUM(B184:E184)</f>
        <v>-2799</v>
      </c>
      <c r="CJ184" s="20">
        <f>SUM(F184:I184)</f>
        <v>-4589</v>
      </c>
      <c r="CK184" s="89">
        <f>SUM(J184:M184)</f>
        <v>-5465</v>
      </c>
      <c r="CL184" s="89">
        <f>SUM(N184:Q184)</f>
        <v>-6554</v>
      </c>
      <c r="CM184" s="20">
        <f>SUM(R184:U184)</f>
        <v>-8131</v>
      </c>
      <c r="CN184" s="89">
        <f>SUM(V184:Y184)</f>
        <v>-9047</v>
      </c>
      <c r="CO184" s="20">
        <f>SUM(Z184:AC184)</f>
        <v>-10485</v>
      </c>
      <c r="CP184" s="89">
        <f>SUM(AD184:AG184)</f>
        <v>-12893</v>
      </c>
      <c r="CQ184" s="20">
        <f>SUM(AH184:AK184)</f>
        <v>-16333</v>
      </c>
      <c r="CR184" s="89">
        <f>SUM(AL184:AO184)</f>
        <v>-18464</v>
      </c>
      <c r="CS184" s="20">
        <f>SUM(AP184:AS184)</f>
        <v>-17946</v>
      </c>
      <c r="CT184" s="89">
        <f>SUM(AT184:AW184)</f>
        <v>-22912</v>
      </c>
      <c r="CU184" s="20">
        <f>SUM(AX184:BA184)</f>
        <v>-26567</v>
      </c>
      <c r="CV184" s="89">
        <f>SUM(BB184:BE184)</f>
        <v>-27917</v>
      </c>
      <c r="CW184" s="20">
        <f>SUM(BF184:BI184)</f>
        <v>-27808</v>
      </c>
      <c r="CX184" s="89">
        <f>SUM(BJ184:BM184)</f>
        <v>-28282.78</v>
      </c>
      <c r="CY184" s="89">
        <f>SUM(BN184:BQ184)</f>
        <v>-29555.505099999998</v>
      </c>
      <c r="CZ184" s="89">
        <f>SUM(BR184:BU184)</f>
        <v>-30811.61406675</v>
      </c>
      <c r="DA184" s="89">
        <f>SUM(BV184:BY184)</f>
        <v>-32044.078629420001</v>
      </c>
      <c r="DB184" s="89">
        <f>SUM(BZ184:CC184)</f>
        <v>-33325.841774596804</v>
      </c>
      <c r="DC184" s="89">
        <f>SUM(CD184:CG184)</f>
        <v>-34658.875445580677</v>
      </c>
    </row>
    <row r="185" spans="1:107" x14ac:dyDescent="0.2">
      <c r="A185" s="7" t="s">
        <v>109</v>
      </c>
      <c r="B185" s="22">
        <f>B184/B$85</f>
        <v>-0.11986571879936808</v>
      </c>
      <c r="C185" s="22">
        <f t="shared" ref="C185" si="2869">C184/C$85</f>
        <v>-0.12362421383647798</v>
      </c>
      <c r="D185" s="22">
        <f t="shared" ref="D185" si="2870">D184/D$85</f>
        <v>-0.12059843094325853</v>
      </c>
      <c r="E185" s="22">
        <f t="shared" ref="E185" si="2871">E184/E$85</f>
        <v>-0.14157902997959504</v>
      </c>
      <c r="F185" s="22">
        <f t="shared" ref="F185" si="2872">F184/F$85</f>
        <v>-0.15697674418604651</v>
      </c>
      <c r="G185" s="22">
        <f t="shared" ref="G185" si="2873">G184/G$85</f>
        <v>-0.15779577668498698</v>
      </c>
      <c r="H185" s="22">
        <f t="shared" ref="H185" si="2874">H184/H$85</f>
        <v>-0.16027689030883918</v>
      </c>
      <c r="I185" s="22">
        <f t="shared" ref="I185" si="2875">I184/I$85</f>
        <v>-0.15592720118052139</v>
      </c>
      <c r="J185" s="22">
        <f t="shared" ref="J185" si="2876">J184/J$85</f>
        <v>-0.15597345132743362</v>
      </c>
      <c r="K185" s="22">
        <f t="shared" ref="K185" si="2877">K184/K$85</f>
        <v>-0.15380935294821194</v>
      </c>
      <c r="L185" s="22">
        <f t="shared" ref="L185" si="2878">L184/L$85</f>
        <v>-0.15824954296160879</v>
      </c>
      <c r="M185" s="22">
        <f t="shared" ref="M185" si="2879">M184/M$85</f>
        <v>-0.15510577705451586</v>
      </c>
      <c r="N185" s="22">
        <f t="shared" ref="N185" si="2880">N184/N$85</f>
        <v>-0.14372996794871795</v>
      </c>
      <c r="O185" s="22">
        <f t="shared" ref="O185" si="2881">O184/O$85</f>
        <v>-0.15687246060846299</v>
      </c>
      <c r="P185" s="22">
        <f t="shared" ref="P185" si="2882">P184/P$85</f>
        <v>-0.15104843199109297</v>
      </c>
      <c r="Q185" s="22">
        <f t="shared" ref="Q185" si="2883">Q184/Q$85</f>
        <v>-0.15377176015473887</v>
      </c>
      <c r="R185" s="22">
        <f t="shared" ref="R185" si="2884">R184/R$85</f>
        <v>-0.14184920830256789</v>
      </c>
      <c r="S185" s="22">
        <f t="shared" ref="S185" si="2885">S184/S$85</f>
        <v>-0.15330542611168155</v>
      </c>
      <c r="T185" s="22">
        <f t="shared" ref="T185" si="2886">T184/T$85</f>
        <v>-0.15817836812144212</v>
      </c>
      <c r="U185" s="22">
        <f t="shared" ref="U185" si="2887">U184/U$85</f>
        <v>-0.16416879618758201</v>
      </c>
      <c r="V185" s="22">
        <f t="shared" ref="V185" si="2888">V184/V$85</f>
        <v>-0.14842233881980882</v>
      </c>
      <c r="W185" s="22">
        <f t="shared" ref="W185" si="2889">W184/W$85</f>
        <v>-0.14494773519163764</v>
      </c>
      <c r="X185" s="22">
        <f t="shared" ref="X185" si="2890">X184/X$85</f>
        <v>-0.14713084916275068</v>
      </c>
      <c r="Y185" s="22">
        <f t="shared" ref="Y185" si="2891">Y184/Y$85</f>
        <v>-0.15508857242097951</v>
      </c>
      <c r="Z185" s="22">
        <f t="shared" ref="Z185" si="2892">Z184/Z$85</f>
        <v>-0.14493897625842492</v>
      </c>
      <c r="AA185" s="22">
        <f t="shared" ref="AA185" si="2893">AA184/AA$85</f>
        <v>-0.13780313837375177</v>
      </c>
      <c r="AB185" s="22">
        <f t="shared" ref="AB185" si="2894">AB184/AB$85</f>
        <v>-0.14040177349608626</v>
      </c>
      <c r="AC185" s="22">
        <f t="shared" ref="AC185" si="2895">AC184/AC$85</f>
        <v>-0.14696455505279035</v>
      </c>
      <c r="AD185" s="22">
        <f t="shared" ref="AD185" si="2896">AD184/AD$85</f>
        <v>-0.13140499975150341</v>
      </c>
      <c r="AE185" s="22">
        <f t="shared" ref="AE185" si="2897">AE184/AE$85</f>
        <v>-0.13848654333381136</v>
      </c>
      <c r="AF185" s="22">
        <f t="shared" ref="AF185" si="2898">AF184/AF$85</f>
        <v>-0.13659631791647958</v>
      </c>
      <c r="AG185" s="22">
        <f t="shared" ref="AG185" si="2899">AG184/AG$85</f>
        <v>-0.16658292428400262</v>
      </c>
      <c r="AH185" s="22">
        <f t="shared" ref="AH185" si="2900">AH184/AH$85</f>
        <v>-0.14498350631587417</v>
      </c>
      <c r="AI185" s="22">
        <f t="shared" ref="AI185" si="2901">AI184/AI$85</f>
        <v>-0.14407134962076457</v>
      </c>
      <c r="AJ185" s="22">
        <f t="shared" ref="AJ185" si="2902">AJ184/AJ$85</f>
        <v>-0.14172619485970986</v>
      </c>
      <c r="AK185" s="22">
        <f t="shared" ref="AK185" si="2903">AK184/AK$85</f>
        <v>-0.16017587939698494</v>
      </c>
      <c r="AL185" s="22">
        <f t="shared" ref="AL185" si="2904">AL184/AL$85</f>
        <v>-0.13246718002645952</v>
      </c>
      <c r="AM185" s="22">
        <f t="shared" ref="AM185" si="2905">AM184/AM$85</f>
        <v>-0.13284551819844825</v>
      </c>
      <c r="AN185" s="22">
        <f t="shared" ref="AN185" si="2906">AN184/AN$85</f>
        <v>-0.13962858614317308</v>
      </c>
      <c r="AO185" s="22">
        <f t="shared" ref="AO185" si="2907">AO184/AO$85</f>
        <v>-0.15271198168946612</v>
      </c>
      <c r="AP185" s="22">
        <f t="shared" ref="AP185" si="2908">AP184/AP$85</f>
        <v>-0.13350342658794909</v>
      </c>
      <c r="AQ185" s="22">
        <f t="shared" ref="AQ185" si="2909">AQ184/AQ$85</f>
        <v>-0.12343764832452615</v>
      </c>
      <c r="AR185" s="22">
        <f t="shared" ref="AR185" si="2910">AR184/AR$85</f>
        <v>-0.11132159865287973</v>
      </c>
      <c r="AS185" s="22">
        <f t="shared" ref="AS185" si="2911">AS184/AS$85</f>
        <v>-0.11444693314955204</v>
      </c>
      <c r="AT185" s="22">
        <f t="shared" ref="AT185:BA185" si="2912">AT184/AT$85</f>
        <v>-9.9030744265602391E-2</v>
      </c>
      <c r="AU185" s="22">
        <f t="shared" si="2912"/>
        <v>-0.10355047005946891</v>
      </c>
      <c r="AV185" s="22">
        <f t="shared" si="2912"/>
        <v>-0.10287206266318538</v>
      </c>
      <c r="AW185" s="22">
        <f t="shared" si="2912"/>
        <v>-0.12284726485508417</v>
      </c>
      <c r="AX185" s="22">
        <f t="shared" si="2912"/>
        <v>-0.10397886506845647</v>
      </c>
      <c r="AY185" s="22">
        <f t="shared" si="2912"/>
        <v>-0.11536253066764107</v>
      </c>
      <c r="AZ185" s="22">
        <f t="shared" si="2912"/>
        <v>-0.12099675199944121</v>
      </c>
      <c r="BA185" s="22">
        <f t="shared" si="2912"/>
        <v>-0.11379370435498946</v>
      </c>
      <c r="BB185" s="28">
        <f t="shared" ref="BB185:BC185" si="2913">BB184/BB$85</f>
        <v>-0.11250990252471325</v>
      </c>
      <c r="BC185" s="28">
        <f t="shared" si="2913"/>
        <v>-0.10925290411974158</v>
      </c>
      <c r="BD185" s="28">
        <f t="shared" ref="BD185:BE185" si="2914">BD184/BD$85</f>
        <v>-0.10747685438166461</v>
      </c>
      <c r="BE185" s="28">
        <f t="shared" si="2914"/>
        <v>-0.10672805707648914</v>
      </c>
      <c r="BF185" s="28">
        <f t="shared" ref="BF185:BG185" si="2915">BF184/BF$85</f>
        <v>-9.5069016022369182E-2</v>
      </c>
      <c r="BG185" s="28">
        <f t="shared" si="2915"/>
        <v>-9.5186041622871559E-2</v>
      </c>
      <c r="BH185" s="28">
        <f t="shared" ref="BH185:CG185" si="2916">BH184/BH$85</f>
        <v>-9.6942950274316222E-2</v>
      </c>
      <c r="BI185" s="28">
        <f t="shared" si="2916"/>
        <v>-9.020962742431482E-2</v>
      </c>
      <c r="BJ185" s="28">
        <f t="shared" ref="BJ185:BK185" si="2917">BJ184/BJ$85</f>
        <v>-8.0694506184138273E-2</v>
      </c>
      <c r="BK185" s="28">
        <f t="shared" si="2917"/>
        <v>-8.6891083293564847E-2</v>
      </c>
      <c r="BL185" s="28">
        <f t="shared" ref="BL185" si="2918">BL184/BL$85</f>
        <v>-8.2371098662398543E-2</v>
      </c>
      <c r="BM185" s="28">
        <f t="shared" si="2916"/>
        <v>-8.1712357549080947E-2</v>
      </c>
      <c r="BN185" s="28">
        <f t="shared" si="2916"/>
        <v>-7.2434721794567669E-2</v>
      </c>
      <c r="BO185" s="28">
        <f t="shared" si="2916"/>
        <v>-7.8656250010009129E-2</v>
      </c>
      <c r="BP185" s="28">
        <f t="shared" si="2916"/>
        <v>-7.5078075955637286E-2</v>
      </c>
      <c r="BQ185" s="28">
        <f t="shared" si="2916"/>
        <v>-7.5341852039186391E-2</v>
      </c>
      <c r="BR185" s="28">
        <f t="shared" si="2916"/>
        <v>-6.5946921208519818E-2</v>
      </c>
      <c r="BS185" s="28">
        <f t="shared" si="2916"/>
        <v>-7.1894855980773012E-2</v>
      </c>
      <c r="BT185" s="28">
        <f t="shared" si="2916"/>
        <v>-6.8537106834293426E-2</v>
      </c>
      <c r="BU185" s="28">
        <f t="shared" si="2916"/>
        <v>-6.8999024132807577E-2</v>
      </c>
      <c r="BV185" s="28">
        <f t="shared" si="2916"/>
        <v>-6.0256101910213029E-2</v>
      </c>
      <c r="BW185" s="28">
        <f t="shared" si="2916"/>
        <v>-6.5938898843050986E-2</v>
      </c>
      <c r="BX185" s="28">
        <f t="shared" si="2916"/>
        <v>-6.2775434121434145E-2</v>
      </c>
      <c r="BY185" s="28">
        <f t="shared" si="2916"/>
        <v>-6.3393951018078834E-2</v>
      </c>
      <c r="BZ185" s="28">
        <f t="shared" si="2916"/>
        <v>-5.5549011142806075E-2</v>
      </c>
      <c r="CA185" s="28">
        <f t="shared" si="2916"/>
        <v>-6.1006621473596818E-2</v>
      </c>
      <c r="CB185" s="28">
        <f t="shared" si="2916"/>
        <v>-5.800825940470266E-2</v>
      </c>
      <c r="CC185" s="28">
        <f t="shared" si="2916"/>
        <v>-5.8750705971212118E-2</v>
      </c>
      <c r="CD185" s="28">
        <f t="shared" si="2916"/>
        <v>-5.1671249478918518E-2</v>
      </c>
      <c r="CE185" s="28">
        <f t="shared" si="2916"/>
        <v>-5.6942926497989398E-2</v>
      </c>
      <c r="CF185" s="28">
        <f t="shared" si="2916"/>
        <v>-5.4083832634979553E-2</v>
      </c>
      <c r="CG185" s="28">
        <f t="shared" si="2916"/>
        <v>-5.4924593982574467E-2</v>
      </c>
      <c r="CH185" s="28"/>
      <c r="CI185" s="107">
        <f>CI184/CI$85</f>
        <v>-0.12720414470096347</v>
      </c>
      <c r="CJ185" s="22">
        <f t="shared" ref="CJ185" si="2919">CJ184/CJ$85</f>
        <v>-0.15773011617515639</v>
      </c>
      <c r="CK185" s="107">
        <f t="shared" ref="CK185" si="2920">CK184/CK$85</f>
        <v>-0.15578233231663863</v>
      </c>
      <c r="CL185" s="107">
        <f t="shared" ref="CL185" si="2921">CL184/CL$85</f>
        <v>-0.15149904070640993</v>
      </c>
      <c r="CM185" s="22">
        <f t="shared" ref="CM185" si="2922">CM184/CM$85</f>
        <v>-0.15486439128447357</v>
      </c>
      <c r="CN185" s="107">
        <f t="shared" ref="CN185" si="2923">CN184/CN$85</f>
        <v>-0.14917719223032022</v>
      </c>
      <c r="CO185" s="22">
        <f t="shared" ref="CO185" si="2924">CO184/CO$85</f>
        <v>-0.14269383089045851</v>
      </c>
      <c r="CP185" s="107">
        <f t="shared" ref="CP185" si="2925">CP184/CP$85</f>
        <v>-0.14456791092472782</v>
      </c>
      <c r="CQ185" s="22">
        <f t="shared" ref="CQ185" si="2926">CQ184/CQ$85</f>
        <v>-0.14835638959788541</v>
      </c>
      <c r="CR185" s="107">
        <f t="shared" ref="CR185" si="2927">CR184/CR$85</f>
        <v>-0.14012506830186389</v>
      </c>
      <c r="CS185" s="22">
        <f t="shared" ref="CS185" si="2928">CS184/CS$85</f>
        <v>-0.1198405331588191</v>
      </c>
      <c r="CT185" s="107">
        <f t="shared" ref="CT185" si="2929">CT184/CT$85</f>
        <v>-0.1080392887287748</v>
      </c>
      <c r="CU185" s="22">
        <f t="shared" ref="CU185" si="2930">CU184/CU$85</f>
        <v>-0.1135919548830388</v>
      </c>
      <c r="CV185" s="107">
        <f t="shared" ref="CV185" si="2931">CV184/CV$85</f>
        <v>-0.10883481216960095</v>
      </c>
      <c r="CW185" s="22">
        <f t="shared" ref="CW185" si="2932">CW184/CW$85</f>
        <v>-9.4226716093223722E-2</v>
      </c>
      <c r="CX185" s="107">
        <f t="shared" ref="CX185" si="2933">CX184/CX$85</f>
        <v>-8.2893472575581301E-2</v>
      </c>
      <c r="CY185" s="107">
        <f t="shared" ref="CY185:CZ185" si="2934">CY184/CY$85</f>
        <v>-7.5411700825191982E-2</v>
      </c>
      <c r="CZ185" s="107">
        <f t="shared" si="2934"/>
        <v>-6.8881664538665441E-2</v>
      </c>
      <c r="DA185" s="107">
        <f t="shared" ref="DA185:DB185" si="2935">DA184/DA$85</f>
        <v>-6.3129825105424794E-2</v>
      </c>
      <c r="DB185" s="107">
        <f t="shared" si="2935"/>
        <v>-5.8368147806870843E-2</v>
      </c>
      <c r="DC185" s="107">
        <f>DC184/DC$85</f>
        <v>-5.4445422245033195E-2</v>
      </c>
    </row>
    <row r="186" spans="1:107" x14ac:dyDescent="0.2">
      <c r="A186" s="7" t="s">
        <v>62</v>
      </c>
      <c r="B186" s="25" t="s">
        <v>82</v>
      </c>
      <c r="C186" s="22">
        <f>IF(AND(B184&lt;0,C184&gt;0),"n/a",C184/B184-1)</f>
        <v>3.6243822075782584E-2</v>
      </c>
      <c r="D186" s="22">
        <f t="shared" ref="D186:BO186" si="2936">IF(AND(C184&lt;0,D184&gt;0),"n/a",D184/C184-1)</f>
        <v>5.0874403815580393E-2</v>
      </c>
      <c r="E186" s="22">
        <f t="shared" si="2936"/>
        <v>0.36459909228441756</v>
      </c>
      <c r="F186" s="22">
        <f t="shared" si="2936"/>
        <v>0.13747228381374721</v>
      </c>
      <c r="G186" s="22">
        <f t="shared" si="2936"/>
        <v>6.3352826510721272E-2</v>
      </c>
      <c r="H186" s="22">
        <f t="shared" si="2936"/>
        <v>0.10357470210815767</v>
      </c>
      <c r="I186" s="22">
        <f t="shared" si="2936"/>
        <v>5.3156146179401897E-2</v>
      </c>
      <c r="J186" s="22">
        <f t="shared" si="2936"/>
        <v>7.8864353312302349E-4</v>
      </c>
      <c r="K186" s="22">
        <f t="shared" si="2936"/>
        <v>1.3396375098502666E-2</v>
      </c>
      <c r="L186" s="22">
        <f t="shared" si="2936"/>
        <v>7.6982892690513172E-2</v>
      </c>
      <c r="M186" s="22">
        <f t="shared" si="2936"/>
        <v>0.10108303249097483</v>
      </c>
      <c r="N186" s="22">
        <f t="shared" si="2936"/>
        <v>-5.9016393442622994E-2</v>
      </c>
      <c r="O186" s="22">
        <f t="shared" si="2936"/>
        <v>0.10313588850174216</v>
      </c>
      <c r="P186" s="22">
        <f t="shared" si="2936"/>
        <v>2.8427037271004485E-2</v>
      </c>
      <c r="Q186" s="22">
        <f t="shared" si="2936"/>
        <v>0.17199017199017197</v>
      </c>
      <c r="R186" s="22">
        <f t="shared" si="2936"/>
        <v>-9.3815513626834379E-2</v>
      </c>
      <c r="S186" s="22">
        <f t="shared" si="2936"/>
        <v>0.12261422787738585</v>
      </c>
      <c r="T186" s="22">
        <f t="shared" si="2936"/>
        <v>7.3673364245234518E-2</v>
      </c>
      <c r="U186" s="22">
        <f t="shared" si="2936"/>
        <v>0.14059500959692905</v>
      </c>
      <c r="V186" s="22">
        <f t="shared" si="2936"/>
        <v>-0.13125788809423644</v>
      </c>
      <c r="W186" s="22">
        <f t="shared" si="2936"/>
        <v>7.2639225181598821E-3</v>
      </c>
      <c r="X186" s="22">
        <f t="shared" si="2936"/>
        <v>6.8750000000000089E-2</v>
      </c>
      <c r="Y186" s="22">
        <f t="shared" si="2936"/>
        <v>0.20512820512820507</v>
      </c>
      <c r="Z186" s="22">
        <f t="shared" si="2936"/>
        <v>-0.10899589399029486</v>
      </c>
      <c r="AA186" s="22">
        <f t="shared" si="2936"/>
        <v>1.1730205278592365E-2</v>
      </c>
      <c r="AB186" s="22">
        <f t="shared" si="2936"/>
        <v>6.211180124223592E-2</v>
      </c>
      <c r="AC186" s="22">
        <f t="shared" si="2936"/>
        <v>0.21559454191033134</v>
      </c>
      <c r="AD186" s="22">
        <f t="shared" si="2936"/>
        <v>-0.15202052597819116</v>
      </c>
      <c r="AE186" s="22">
        <f t="shared" si="2936"/>
        <v>9.5688350983358594E-2</v>
      </c>
      <c r="AF186" s="22">
        <f t="shared" si="2936"/>
        <v>5.0051777701070055E-2</v>
      </c>
      <c r="AG186" s="22">
        <f t="shared" si="2936"/>
        <v>0.41683103221564766</v>
      </c>
      <c r="AH186" s="22">
        <f t="shared" si="2936"/>
        <v>-0.16380510440835272</v>
      </c>
      <c r="AI186" s="22">
        <f t="shared" si="2936"/>
        <v>4.8834628190898899E-2</v>
      </c>
      <c r="AJ186" s="22">
        <f t="shared" si="2936"/>
        <v>1.8253968253968189E-2</v>
      </c>
      <c r="AK186" s="22">
        <f t="shared" si="2936"/>
        <v>0.32501948558067029</v>
      </c>
      <c r="AL186" s="22">
        <f t="shared" si="2936"/>
        <v>-0.23431372549019602</v>
      </c>
      <c r="AM186" s="22">
        <f t="shared" si="2936"/>
        <v>7.8617157490396883E-2</v>
      </c>
      <c r="AN186" s="22">
        <f t="shared" si="2936"/>
        <v>9.4254510921177648E-2</v>
      </c>
      <c r="AO186" s="22">
        <f t="shared" si="2936"/>
        <v>0.24495552180516378</v>
      </c>
      <c r="AP186" s="22">
        <f t="shared" si="2936"/>
        <v>-0.21575461833391429</v>
      </c>
      <c r="AQ186" s="22">
        <f t="shared" si="2936"/>
        <v>-0.13311111111111107</v>
      </c>
      <c r="AR186" s="22">
        <f t="shared" si="2936"/>
        <v>8.4593693924634783E-2</v>
      </c>
      <c r="AS186" s="22">
        <f t="shared" si="2936"/>
        <v>0.2559678562987473</v>
      </c>
      <c r="AT186" s="22">
        <f t="shared" si="2936"/>
        <v>-0.15016936394429803</v>
      </c>
      <c r="AU186" s="22">
        <f t="shared" si="2936"/>
        <v>0.16829052258635957</v>
      </c>
      <c r="AV186" s="22">
        <f t="shared" si="2936"/>
        <v>4.5489006823351108E-2</v>
      </c>
      <c r="AW186" s="22">
        <f t="shared" si="2936"/>
        <v>0.37853517041334306</v>
      </c>
      <c r="AX186" s="22">
        <f t="shared" si="2936"/>
        <v>-0.23395581273014199</v>
      </c>
      <c r="AY186" s="22">
        <f t="shared" si="2936"/>
        <v>0.13819742489270381</v>
      </c>
      <c r="AZ186" s="22">
        <f t="shared" si="2936"/>
        <v>4.5098039215686336E-2</v>
      </c>
      <c r="BA186" s="22">
        <f t="shared" si="2936"/>
        <v>3.6657526338576885E-2</v>
      </c>
      <c r="BB186" s="28">
        <f t="shared" si="2936"/>
        <v>-9.0491438117778045E-2</v>
      </c>
      <c r="BC186" s="28">
        <f t="shared" si="2936"/>
        <v>3.7961120465329845E-2</v>
      </c>
      <c r="BD186" s="28">
        <f t="shared" si="2936"/>
        <v>1.5189500073735429E-2</v>
      </c>
      <c r="BE186" s="28">
        <f t="shared" si="2936"/>
        <v>0.12129575828006978</v>
      </c>
      <c r="BF186" s="28">
        <f t="shared" si="2936"/>
        <v>-0.16750874465604348</v>
      </c>
      <c r="BG186" s="28">
        <f t="shared" si="2936"/>
        <v>5.6956115779645211E-2</v>
      </c>
      <c r="BH186" s="28">
        <f t="shared" si="2936"/>
        <v>6.4045936395759728E-2</v>
      </c>
      <c r="BI186" s="28">
        <f t="shared" si="2936"/>
        <v>1.8818320188183302E-2</v>
      </c>
      <c r="BJ186" s="28">
        <f t="shared" si="2936"/>
        <v>-0.16175471954366427</v>
      </c>
      <c r="BK186" s="28">
        <f t="shared" si="2936"/>
        <v>0.15051847051198952</v>
      </c>
      <c r="BL186" s="28">
        <f t="shared" si="2936"/>
        <v>1.4645824531756002E-2</v>
      </c>
      <c r="BM186" s="28">
        <f t="shared" si="2936"/>
        <v>8.3244968771686523E-2</v>
      </c>
      <c r="BN186" s="28">
        <f t="shared" si="2936"/>
        <v>-0.17361668105955586</v>
      </c>
      <c r="BO186" s="28">
        <f t="shared" si="2936"/>
        <v>0.15051847051198952</v>
      </c>
      <c r="BP186" s="28">
        <f t="shared" ref="BP186:BQ186" si="2937">IF(AND(BO184&lt;0,BP184&gt;0),"n/a",BP184/BO184-1)</f>
        <v>1.4645824531756224E-2</v>
      </c>
      <c r="BQ186" s="28">
        <f t="shared" si="2937"/>
        <v>8.3244968771686523E-2</v>
      </c>
      <c r="BR186" s="28">
        <f t="shared" ref="BR186" si="2938">IF(AND(BQ184&lt;0,BR184&gt;0),"n/a",BR184/BQ184-1)</f>
        <v>-0.17559367464553777</v>
      </c>
      <c r="BS186" s="28">
        <f t="shared" ref="BS186" si="2939">IF(AND(BR184&lt;0,BS184&gt;0),"n/a",BS184/BR184-1)</f>
        <v>0.15051847051198952</v>
      </c>
      <c r="BT186" s="28">
        <f t="shared" ref="BT186" si="2940">IF(AND(BS184&lt;0,BT184&gt;0),"n/a",BT184/BS184-1)</f>
        <v>1.4645824531756002E-2</v>
      </c>
      <c r="BU186" s="28">
        <f t="shared" ref="BU186" si="2941">IF(AND(BT184&lt;0,BU184&gt;0),"n/a",BU184/BT184-1)</f>
        <v>8.3244968771686523E-2</v>
      </c>
      <c r="BV186" s="28">
        <f t="shared" ref="BV186" si="2942">IF(AND(BU184&lt;0,BV184&gt;0),"n/a",BV184/BU184-1)</f>
        <v>-0.17757066823151957</v>
      </c>
      <c r="BW186" s="28">
        <f t="shared" ref="BW186" si="2943">IF(AND(BV184&lt;0,BW184&gt;0),"n/a",BW184/BV184-1)</f>
        <v>0.15051847051198952</v>
      </c>
      <c r="BX186" s="28">
        <f t="shared" ref="BX186" si="2944">IF(AND(BW184&lt;0,BX184&gt;0),"n/a",BX184/BW184-1)</f>
        <v>1.4645824531756002E-2</v>
      </c>
      <c r="BY186" s="28">
        <f t="shared" ref="BY186" si="2945">IF(AND(BX184&lt;0,BY184&gt;0),"n/a",BY184/BX184-1)</f>
        <v>8.3244968771686523E-2</v>
      </c>
      <c r="BZ186" s="28">
        <f t="shared" ref="BZ186" si="2946">IF(AND(BY184&lt;0,BZ184&gt;0),"n/a",BZ184/BY184-1)</f>
        <v>-0.17757066823151968</v>
      </c>
      <c r="CA186" s="28">
        <f t="shared" ref="CA186" si="2947">IF(AND(BZ184&lt;0,CA184&gt;0),"n/a",CA184/BZ184-1)</f>
        <v>0.1505184705119893</v>
      </c>
      <c r="CB186" s="28">
        <f t="shared" ref="CB186" si="2948">IF(AND(CA184&lt;0,CB184&gt;0),"n/a",CB184/CA184-1)</f>
        <v>1.4645824531756224E-2</v>
      </c>
      <c r="CC186" s="28">
        <f t="shared" ref="CC186" si="2949">IF(AND(CB184&lt;0,CC184&gt;0),"n/a",CC184/CB184-1)</f>
        <v>8.3244968771686523E-2</v>
      </c>
      <c r="CD186" s="28">
        <f t="shared" ref="CD186" si="2950">IF(AND(CC184&lt;0,CD184&gt;0),"n/a",CD184/CC184-1)</f>
        <v>-0.17757066823151957</v>
      </c>
      <c r="CE186" s="28">
        <f t="shared" ref="CE186" si="2951">IF(AND(CD184&lt;0,CE184&gt;0),"n/a",CE184/CD184-1)</f>
        <v>0.1505184705119893</v>
      </c>
      <c r="CF186" s="28">
        <f t="shared" ref="CF186" si="2952">IF(AND(CE184&lt;0,CF184&gt;0),"n/a",CF184/CE184-1)</f>
        <v>1.4645824531756002E-2</v>
      </c>
      <c r="CG186" s="28">
        <f t="shared" ref="CG186" si="2953">IF(AND(CF184&lt;0,CG184&gt;0),"n/a",CG184/CF184-1)</f>
        <v>8.3244968771686523E-2</v>
      </c>
      <c r="CH186" s="28"/>
      <c r="CI186" s="106" t="s">
        <v>82</v>
      </c>
      <c r="CJ186" s="48" t="s">
        <v>82</v>
      </c>
      <c r="CK186" s="106" t="s">
        <v>82</v>
      </c>
      <c r="CL186" s="106" t="s">
        <v>82</v>
      </c>
      <c r="CM186" s="48" t="s">
        <v>82</v>
      </c>
      <c r="CN186" s="106" t="s">
        <v>82</v>
      </c>
      <c r="CO186" s="48" t="s">
        <v>82</v>
      </c>
      <c r="CP186" s="106" t="s">
        <v>82</v>
      </c>
      <c r="CQ186" s="48" t="s">
        <v>82</v>
      </c>
      <c r="CR186" s="106" t="s">
        <v>82</v>
      </c>
      <c r="CS186" s="48" t="s">
        <v>82</v>
      </c>
      <c r="CT186" s="106" t="s">
        <v>82</v>
      </c>
      <c r="CU186" s="48" t="s">
        <v>82</v>
      </c>
      <c r="CV186" s="106" t="s">
        <v>82</v>
      </c>
      <c r="CW186" s="48" t="s">
        <v>82</v>
      </c>
      <c r="CX186" s="106" t="s">
        <v>82</v>
      </c>
      <c r="CY186" s="106" t="s">
        <v>82</v>
      </c>
      <c r="CZ186" s="106" t="s">
        <v>82</v>
      </c>
      <c r="DA186" s="106" t="s">
        <v>82</v>
      </c>
      <c r="DB186" s="106" t="s">
        <v>82</v>
      </c>
      <c r="DC186" s="106" t="s">
        <v>82</v>
      </c>
    </row>
    <row r="187" spans="1:107" x14ac:dyDescent="0.2">
      <c r="A187" s="7" t="s">
        <v>63</v>
      </c>
      <c r="B187" s="25" t="s">
        <v>82</v>
      </c>
      <c r="C187" s="25" t="s">
        <v>82</v>
      </c>
      <c r="D187" s="25" t="s">
        <v>82</v>
      </c>
      <c r="E187" s="25" t="s">
        <v>82</v>
      </c>
      <c r="F187" s="22">
        <f>IF(AND(B184&lt;0,F184&gt;0),"n/a",F184/B184-1)</f>
        <v>0.69028006589785829</v>
      </c>
      <c r="G187" s="22">
        <f t="shared" ref="G187" si="2954">IF(AND(C184&lt;0,G184&gt;0),"n/a",G184/C184-1)</f>
        <v>0.73449920508744038</v>
      </c>
      <c r="H187" s="22">
        <f t="shared" ref="H187" si="2955">IF(AND(D184&lt;0,H184&gt;0),"n/a",H184/D184-1)</f>
        <v>0.82148260211800306</v>
      </c>
      <c r="I187" s="22">
        <f t="shared" ref="I187" si="2956">IF(AND(E184&lt;0,I184&gt;0),"n/a",I184/E184-1)</f>
        <v>0.40576496674057649</v>
      </c>
      <c r="J187" s="22">
        <f t="shared" ref="J187" si="2957">IF(AND(F184&lt;0,J184&gt;0),"n/a",J184/F184-1)</f>
        <v>0.23684210526315796</v>
      </c>
      <c r="K187" s="22">
        <f t="shared" ref="K187" si="2958">IF(AND(G184&lt;0,K184&gt;0),"n/a",K184/G184-1)</f>
        <v>0.17873510540788273</v>
      </c>
      <c r="L187" s="22">
        <f t="shared" ref="L187" si="2959">IF(AND(H184&lt;0,L184&gt;0),"n/a",L184/H184-1)</f>
        <v>0.15033222591362128</v>
      </c>
      <c r="M187" s="22">
        <f t="shared" ref="M187" si="2960">IF(AND(I184&lt;0,M184&gt;0),"n/a",M184/I184-1)</f>
        <v>0.20268138801261837</v>
      </c>
      <c r="N187" s="22">
        <f t="shared" ref="N187" si="2961">IF(AND(J184&lt;0,N184&gt;0),"n/a",N184/J184-1)</f>
        <v>0.13081166272655631</v>
      </c>
      <c r="O187" s="22">
        <f t="shared" ref="O187" si="2962">IF(AND(K184&lt;0,O184&gt;0),"n/a",O184/K184-1)</f>
        <v>0.23094867807153974</v>
      </c>
      <c r="P187" s="22">
        <f t="shared" ref="P187" si="2963">IF(AND(L184&lt;0,P184&gt;0),"n/a",P184/L184-1)</f>
        <v>0.17545126353790619</v>
      </c>
      <c r="Q187" s="22">
        <f t="shared" ref="Q187" si="2964">IF(AND(M184&lt;0,Q184&gt;0),"n/a",Q184/M184-1)</f>
        <v>0.25114754098360659</v>
      </c>
      <c r="R187" s="22">
        <f t="shared" ref="R187" si="2965">IF(AND(N184&lt;0,R184&gt;0),"n/a",R184/N184-1)</f>
        <v>0.20487804878048776</v>
      </c>
      <c r="S187" s="22">
        <f t="shared" ref="S187" si="2966">IF(AND(O184&lt;0,S184&gt;0),"n/a",S184/O184-1)</f>
        <v>0.22615287428932396</v>
      </c>
      <c r="T187" s="22">
        <f t="shared" ref="T187" si="2967">IF(AND(P184&lt;0,T184&gt;0),"n/a",T184/P184-1)</f>
        <v>0.28009828009828008</v>
      </c>
      <c r="U187" s="22">
        <f t="shared" ref="U187" si="2968">IF(AND(Q184&lt;0,U184&gt;0),"n/a",U184/Q184-1)</f>
        <v>0.24580712788259951</v>
      </c>
      <c r="V187" s="22">
        <f t="shared" ref="V187" si="2969">IF(AND(R184&lt;0,V184&gt;0),"n/a",V184/R184-1)</f>
        <v>0.19433198380566807</v>
      </c>
      <c r="W187" s="22">
        <f t="shared" ref="W187" si="2970">IF(AND(S184&lt;0,W184&gt;0),"n/a",W184/S184-1)</f>
        <v>7.1612570839773237E-2</v>
      </c>
      <c r="X187" s="22">
        <f t="shared" ref="X187" si="2971">IF(AND(T184&lt;0,X184&gt;0),"n/a",X184/T184-1)</f>
        <v>6.6698656429942327E-2</v>
      </c>
      <c r="Y187" s="22">
        <f t="shared" ref="Y187" si="2972">IF(AND(U184&lt;0,Y184&gt;0),"n/a",Y184/U184-1)</f>
        <v>0.12705090450147249</v>
      </c>
      <c r="Z187" s="22">
        <f t="shared" ref="Z187" si="2973">IF(AND(V184&lt;0,Z184&gt;0),"n/a",Z184/V184-1)</f>
        <v>0.15593220338983049</v>
      </c>
      <c r="AA187" s="22">
        <f t="shared" ref="AA187" si="2974">IF(AND(W184&lt;0,AA184&gt;0),"n/a",AA184/W184-1)</f>
        <v>0.16105769230769229</v>
      </c>
      <c r="AB187" s="22">
        <f t="shared" ref="AB187" si="2975">IF(AND(X184&lt;0,AB184&gt;0),"n/a",AB184/X184-1)</f>
        <v>0.15384615384615374</v>
      </c>
      <c r="AC187" s="22">
        <f t="shared" ref="AC187" si="2976">IF(AND(Y184&lt;0,AC184&gt;0),"n/a",AC184/Y184-1)</f>
        <v>0.16386711459499814</v>
      </c>
      <c r="AD187" s="22">
        <f t="shared" ref="AD187" si="2977">IF(AND(Z184&lt;0,AD184&gt;0),"n/a",AD184/Z184-1)</f>
        <v>0.1076665270213657</v>
      </c>
      <c r="AE187" s="22">
        <f t="shared" ref="AE187" si="2978">IF(AND(AA184&lt;0,AE184&gt;0),"n/a",AE184/AA184-1)</f>
        <v>0.19958592132505171</v>
      </c>
      <c r="AF187" s="22">
        <f t="shared" ref="AF187" si="2979">IF(AND(AB184&lt;0,AF184&gt;0),"n/a",AF184/AB184-1)</f>
        <v>0.18596491228070167</v>
      </c>
      <c r="AG187" s="22">
        <f t="shared" ref="AG187" si="2980">IF(AND(AC184&lt;0,AG184&gt;0),"n/a",AG184/AC184-1)</f>
        <v>0.38229634381013478</v>
      </c>
      <c r="AH187" s="22">
        <f t="shared" ref="AH187" si="2981">IF(AND(AD184&lt;0,AH184&gt;0),"n/a",AH184/AD184-1)</f>
        <v>0.36308623298033282</v>
      </c>
      <c r="AI187" s="22">
        <f t="shared" ref="AI187" si="2982">IF(AND(AE184&lt;0,AI184&gt;0),"n/a",AI184/AE184-1)</f>
        <v>0.30479806696582679</v>
      </c>
      <c r="AJ187" s="22">
        <f t="shared" ref="AJ187" si="2983">IF(AND(AF184&lt;0,AJ184&gt;0),"n/a",AJ184/AF184-1)</f>
        <v>0.26528599605522674</v>
      </c>
      <c r="AK187" s="22">
        <f t="shared" ref="AK187" si="2984">IF(AND(AG184&lt;0,AK184&gt;0),"n/a",AK184/AG184-1)</f>
        <v>0.18329466357308588</v>
      </c>
      <c r="AL187" s="22">
        <f t="shared" ref="AL187" si="2985">IF(AND(AH184&lt;0,AL184&gt;0),"n/a",AL184/AH184-1)</f>
        <v>8.3518312985571663E-2</v>
      </c>
      <c r="AM187" s="22">
        <f t="shared" ref="AM187" si="2986">IF(AND(AI184&lt;0,AM184&gt;0),"n/a",AM184/AI184-1)</f>
        <v>0.11428571428571432</v>
      </c>
      <c r="AN187" s="22">
        <f t="shared" ref="AN187" si="2987">IF(AND(AJ184&lt;0,AN184&gt;0),"n/a",AN184/AJ184-1)</f>
        <v>0.19745388412574694</v>
      </c>
      <c r="AO187" s="22">
        <f t="shared" ref="AO187" si="2988">IF(AND(AK184&lt;0,AO184&gt;0),"n/a",AO184/AK184-1)</f>
        <v>0.12509803921568619</v>
      </c>
      <c r="AP187" s="22">
        <f t="shared" ref="AP187" si="2989">IF(AND(AL184&lt;0,AP184&gt;0),"n/a",AP184/AL184-1)</f>
        <v>0.15236875800256078</v>
      </c>
      <c r="AQ187" s="22">
        <f t="shared" ref="AQ187" si="2990">IF(AND(AM184&lt;0,AQ184&gt;0),"n/a",AQ184/AM184-1)</f>
        <v>-7.3836657169990549E-2</v>
      </c>
      <c r="AR187" s="22">
        <f t="shared" ref="AR187" si="2991">IF(AND(AN184&lt;0,AR184&gt;0),"n/a",AR184/AN184-1)</f>
        <v>-8.2013451941852944E-2</v>
      </c>
      <c r="AS187" s="22">
        <f t="shared" ref="AS187" si="2992">IF(AND(AO184&lt;0,AS184&gt;0),"n/a",AS184/AO184-1)</f>
        <v>-7.3893342628093439E-2</v>
      </c>
      <c r="AT187" s="22">
        <f t="shared" ref="AT187" si="2993">IF(AND(AP184&lt;0,AT184&gt;0),"n/a",AT184/AP184-1)</f>
        <v>3.555555555555534E-3</v>
      </c>
      <c r="AU187" s="22">
        <f t="shared" ref="AU187" si="2994">IF(AND(AQ184&lt;0,AU184&gt;0),"n/a",AU184/AQ184-1)</f>
        <v>0.35247372468597793</v>
      </c>
      <c r="AV187" s="22">
        <f t="shared" ref="AV187" si="2995">IF(AND(AR184&lt;0,AV184&gt;0),"n/a",AV184/AR184-1)</f>
        <v>0.30371070668872613</v>
      </c>
      <c r="AW187" s="22">
        <f t="shared" ref="AW187" si="2996">IF(AND(AS184&lt;0,AW184&gt;0),"n/a",AW184/AS184-1)</f>
        <v>0.43093714715844933</v>
      </c>
      <c r="AX187" s="22">
        <f t="shared" ref="AX187" si="2997">IF(AND(AT184&lt;0,AX184&gt;0),"n/a",AX184/AT184-1)</f>
        <v>0.28985828166519045</v>
      </c>
      <c r="AY187" s="22">
        <f t="shared" ref="AY187" si="2998">IF(AND(AU184&lt;0,AY184&gt;0),"n/a",AY184/AU184-1)</f>
        <v>0.25663381349507208</v>
      </c>
      <c r="AZ187" s="22">
        <f t="shared" ref="AZ187" si="2999">IF(AND(AV184&lt;0,AZ184&gt;0),"n/a",AZ184/AV184-1)</f>
        <v>0.25616388687454683</v>
      </c>
      <c r="BA187" s="22">
        <f t="shared" ref="BA187:BL187" si="3000">IF(AND(AW184&lt;0,BA184&gt;0),"n/a",BA184/AW184-1)</f>
        <v>-5.5365597054181981E-2</v>
      </c>
      <c r="BB187" s="28">
        <f t="shared" si="3000"/>
        <v>0.12154506437768231</v>
      </c>
      <c r="BC187" s="28">
        <f t="shared" si="3000"/>
        <v>2.2775263951734459E-2</v>
      </c>
      <c r="BD187" s="28">
        <f t="shared" si="3000"/>
        <v>-6.4944436426612739E-3</v>
      </c>
      <c r="BE187" s="28">
        <f t="shared" si="3000"/>
        <v>7.4620632047890822E-2</v>
      </c>
      <c r="BF187" s="28">
        <f t="shared" si="3000"/>
        <v>-1.6378386652380228E-2</v>
      </c>
      <c r="BG187" s="28">
        <f t="shared" si="3000"/>
        <v>1.6221796195250437E-3</v>
      </c>
      <c r="BH187" s="28">
        <f t="shared" si="3000"/>
        <v>4.9825682742591582E-2</v>
      </c>
      <c r="BI187" s="28">
        <f t="shared" si="3000"/>
        <v>-4.6119963725871238E-2</v>
      </c>
      <c r="BJ187" s="28">
        <f t="shared" si="3000"/>
        <v>-3.9526921879863064E-2</v>
      </c>
      <c r="BK187" s="28">
        <f t="shared" si="3000"/>
        <v>4.5494699646643211E-2</v>
      </c>
      <c r="BL187" s="28">
        <f t="shared" si="3000"/>
        <v>-3.0441400304414001E-3</v>
      </c>
      <c r="BM187" s="26">
        <v>0.06</v>
      </c>
      <c r="BN187" s="26">
        <v>4.4999999999999998E-2</v>
      </c>
      <c r="BO187" s="26">
        <v>4.4999999999999998E-2</v>
      </c>
      <c r="BP187" s="26">
        <v>4.4999999999999998E-2</v>
      </c>
      <c r="BQ187" s="26">
        <v>4.4999999999999998E-2</v>
      </c>
      <c r="BR187" s="26">
        <f>BN187-0.0025</f>
        <v>4.2499999999999996E-2</v>
      </c>
      <c r="BS187" s="26">
        <f t="shared" ref="BS187:BY187" si="3001">BO187-0.0025</f>
        <v>4.2499999999999996E-2</v>
      </c>
      <c r="BT187" s="26">
        <f t="shared" si="3001"/>
        <v>4.2499999999999996E-2</v>
      </c>
      <c r="BU187" s="26">
        <f t="shared" si="3001"/>
        <v>4.2499999999999996E-2</v>
      </c>
      <c r="BV187" s="26">
        <f t="shared" si="3001"/>
        <v>3.9999999999999994E-2</v>
      </c>
      <c r="BW187" s="26">
        <f t="shared" si="3001"/>
        <v>3.9999999999999994E-2</v>
      </c>
      <c r="BX187" s="26">
        <f t="shared" si="3001"/>
        <v>3.9999999999999994E-2</v>
      </c>
      <c r="BY187" s="26">
        <f t="shared" si="3001"/>
        <v>3.9999999999999994E-2</v>
      </c>
      <c r="BZ187" s="26">
        <v>0.04</v>
      </c>
      <c r="CA187" s="26">
        <v>0.04</v>
      </c>
      <c r="CB187" s="26">
        <v>0.04</v>
      </c>
      <c r="CC187" s="26">
        <v>0.04</v>
      </c>
      <c r="CD187" s="26">
        <v>0.04</v>
      </c>
      <c r="CE187" s="26">
        <v>0.04</v>
      </c>
      <c r="CF187" s="26">
        <v>0.04</v>
      </c>
      <c r="CG187" s="26">
        <v>0.04</v>
      </c>
      <c r="CH187" s="26"/>
      <c r="CI187" s="106" t="s">
        <v>82</v>
      </c>
      <c r="CJ187" s="22">
        <f>IF(AND(CI184&lt;0,CJ184&gt;0),"n/a",CJ184/CI184-1)</f>
        <v>0.63951411218292242</v>
      </c>
      <c r="CK187" s="107">
        <f t="shared" ref="CK187:DB187" si="3002">IF(AND(CJ184&lt;0,CK184&gt;0),"n/a",CK184/CJ184-1)</f>
        <v>0.19089126171279136</v>
      </c>
      <c r="CL187" s="107">
        <f t="shared" si="3002"/>
        <v>0.19926806953339438</v>
      </c>
      <c r="CM187" s="22">
        <f t="shared" si="3002"/>
        <v>0.24061641745498941</v>
      </c>
      <c r="CN187" s="107">
        <f t="shared" si="3002"/>
        <v>0.11265526995449515</v>
      </c>
      <c r="CO187" s="22">
        <f t="shared" si="3002"/>
        <v>0.15894771747540615</v>
      </c>
      <c r="CP187" s="107">
        <f t="shared" si="3002"/>
        <v>0.22966142107773013</v>
      </c>
      <c r="CQ187" s="22">
        <f t="shared" si="3002"/>
        <v>0.2668114480725976</v>
      </c>
      <c r="CR187" s="107">
        <f t="shared" si="3002"/>
        <v>0.1304720504500092</v>
      </c>
      <c r="CS187" s="22">
        <f t="shared" si="3002"/>
        <v>-2.805459272097055E-2</v>
      </c>
      <c r="CT187" s="107">
        <f t="shared" si="3002"/>
        <v>0.27671904602696973</v>
      </c>
      <c r="CU187" s="22">
        <f t="shared" si="3002"/>
        <v>0.15952339385474867</v>
      </c>
      <c r="CV187" s="107">
        <f t="shared" si="3002"/>
        <v>5.081492076636418E-2</v>
      </c>
      <c r="CW187" s="22">
        <f t="shared" si="3002"/>
        <v>-3.9044309918687681E-3</v>
      </c>
      <c r="CX187" s="107">
        <f t="shared" si="3002"/>
        <v>1.7073504027617981E-2</v>
      </c>
      <c r="CY187" s="107">
        <f t="shared" si="3002"/>
        <v>4.4999999999999929E-2</v>
      </c>
      <c r="CZ187" s="107">
        <f t="shared" si="3002"/>
        <v>4.2499999999999982E-2</v>
      </c>
      <c r="DA187" s="107">
        <f t="shared" si="3002"/>
        <v>4.0000000000000036E-2</v>
      </c>
      <c r="DB187" s="107">
        <f t="shared" si="3002"/>
        <v>4.0000000000000036E-2</v>
      </c>
      <c r="DC187" s="107">
        <f>IF(AND(DB184&lt;0,DC184&gt;0),"n/a",DC184/DB184-1)</f>
        <v>4.0000000000000036E-2</v>
      </c>
    </row>
    <row r="188" spans="1:107" x14ac:dyDescent="0.2">
      <c r="AZ188" s="20"/>
      <c r="BA188" s="20"/>
      <c r="BB188" s="325"/>
      <c r="BC188" s="325"/>
      <c r="BD188" s="325"/>
      <c r="BE188" s="325"/>
      <c r="BF188" s="325"/>
      <c r="BG188" s="325"/>
      <c r="BH188" s="325"/>
      <c r="BI188" s="325"/>
      <c r="BJ188" s="325"/>
      <c r="BK188" s="325"/>
      <c r="BL188" s="325"/>
      <c r="BM188" s="325"/>
      <c r="BN188" s="325"/>
      <c r="BO188" s="325"/>
      <c r="BP188" s="325"/>
      <c r="CH188" s="325"/>
      <c r="CI188" s="92"/>
      <c r="CK188" s="92"/>
      <c r="CL188" s="92"/>
      <c r="CN188" s="92"/>
      <c r="CP188" s="92"/>
      <c r="CR188" s="92"/>
      <c r="CT188" s="89"/>
      <c r="CU188" s="111"/>
      <c r="CV188" s="89"/>
      <c r="CX188" s="89"/>
      <c r="CY188" s="89"/>
      <c r="DA188" s="92"/>
      <c r="DB188" s="92"/>
      <c r="DC188" s="92"/>
    </row>
    <row r="189" spans="1:107" x14ac:dyDescent="0.2">
      <c r="A189" s="1" t="s">
        <v>111</v>
      </c>
      <c r="B189" s="17">
        <v>-410</v>
      </c>
      <c r="C189" s="17">
        <v>-461</v>
      </c>
      <c r="D189" s="17">
        <v>-532</v>
      </c>
      <c r="E189" s="17">
        <v>-559</v>
      </c>
      <c r="F189" s="17">
        <v>-1091</v>
      </c>
      <c r="G189" s="17">
        <v>-648</v>
      </c>
      <c r="H189" s="17">
        <v>-676</v>
      </c>
      <c r="I189" s="17">
        <v>-809</v>
      </c>
      <c r="J189" s="17">
        <v>-757</v>
      </c>
      <c r="K189" s="17">
        <v>-816</v>
      </c>
      <c r="L189" s="17">
        <v>-898</v>
      </c>
      <c r="M189" s="17">
        <v>-1010</v>
      </c>
      <c r="N189" s="17">
        <v>-1015</v>
      </c>
      <c r="O189" s="17">
        <v>-1098</v>
      </c>
      <c r="P189" s="17">
        <v>-1135</v>
      </c>
      <c r="Q189" s="17">
        <v>-1184</v>
      </c>
      <c r="R189" s="17">
        <v>-1489</v>
      </c>
      <c r="S189" s="17">
        <v>-1404</v>
      </c>
      <c r="T189" s="17">
        <v>-1365</v>
      </c>
      <c r="U189" s="17">
        <v>-1593</v>
      </c>
      <c r="V189" s="17">
        <v>-1637</v>
      </c>
      <c r="W189" s="17">
        <v>-1450</v>
      </c>
      <c r="X189" s="17">
        <v>-1477</v>
      </c>
      <c r="Y189" s="17">
        <v>-1572</v>
      </c>
      <c r="Z189" s="17">
        <v>-1513</v>
      </c>
      <c r="AA189" s="17">
        <v>-1624</v>
      </c>
      <c r="AB189" s="17">
        <v>-1824</v>
      </c>
      <c r="AC189" s="17">
        <v>-2024</v>
      </c>
      <c r="AD189" s="17">
        <v>-1801</v>
      </c>
      <c r="AE189" s="17">
        <v>-1700</v>
      </c>
      <c r="AF189" s="17">
        <v>-1595</v>
      </c>
      <c r="AG189" s="17">
        <v>-1776</v>
      </c>
      <c r="AH189" s="17">
        <v>-1403</v>
      </c>
      <c r="AI189" s="17">
        <v>-2002</v>
      </c>
      <c r="AJ189" s="17">
        <v>-2068</v>
      </c>
      <c r="AK189" s="17">
        <v>-2021</v>
      </c>
      <c r="AL189" s="17">
        <v>-2088</v>
      </c>
      <c r="AM189" s="17">
        <v>-2043</v>
      </c>
      <c r="AN189" s="17">
        <v>-2591</v>
      </c>
      <c r="AO189" s="17">
        <v>-2829</v>
      </c>
      <c r="AP189" s="17">
        <v>-2880</v>
      </c>
      <c r="AQ189" s="17">
        <v>-2585</v>
      </c>
      <c r="AR189" s="17">
        <v>-2756</v>
      </c>
      <c r="AS189" s="17">
        <v>-2831</v>
      </c>
      <c r="AT189" s="17">
        <v>-2773</v>
      </c>
      <c r="AU189" s="18">
        <v>-3341</v>
      </c>
      <c r="AV189" s="18">
        <v>-3256</v>
      </c>
      <c r="AW189" s="18">
        <v>-4140</v>
      </c>
      <c r="AX189" s="18">
        <v>-3374</v>
      </c>
      <c r="AY189" s="18">
        <v>-3657</v>
      </c>
      <c r="AZ189" s="18">
        <v>-3597</v>
      </c>
      <c r="BA189" s="18">
        <v>-5096</v>
      </c>
      <c r="BB189" s="18">
        <v>-3759</v>
      </c>
      <c r="BC189" s="18">
        <v>-3481</v>
      </c>
      <c r="BD189" s="18">
        <v>-3979</v>
      </c>
      <c r="BE189" s="18">
        <v>-5206</v>
      </c>
      <c r="BF189" s="18">
        <v>-3026</v>
      </c>
      <c r="BG189" s="18">
        <v>-3158</v>
      </c>
      <c r="BH189" s="18">
        <v>-3599</v>
      </c>
      <c r="BI189" s="18">
        <v>-4405</v>
      </c>
      <c r="BJ189" s="18">
        <v>-3539</v>
      </c>
      <c r="BK189" s="18">
        <v>-5209</v>
      </c>
      <c r="BL189" s="18">
        <v>-7393</v>
      </c>
      <c r="BM189" s="27">
        <f t="shared" ref="BM189" si="3003">BI189*(1+BM192)</f>
        <v>-4493.1000000000004</v>
      </c>
      <c r="BN189" s="27">
        <f t="shared" ref="BN189" si="3004">BJ189*(1+BN192)</f>
        <v>-3362.0499999999997</v>
      </c>
      <c r="BO189" s="27">
        <f t="shared" ref="BO189" si="3005">BK189*(1+BO192)</f>
        <v>-4063.02</v>
      </c>
      <c r="BP189" s="27">
        <f t="shared" ref="BP189" si="3006">BL189*(1+BP192)</f>
        <v>-4287.9400000000005</v>
      </c>
      <c r="BQ189" s="27">
        <f t="shared" ref="BQ189" si="3007">BM189*(1+BQ192)</f>
        <v>-4785.1514999999999</v>
      </c>
      <c r="BR189" s="27">
        <f t="shared" ref="BR189" si="3008">BN189*(1+BR192)</f>
        <v>-3546.9627499999997</v>
      </c>
      <c r="BS189" s="27">
        <f t="shared" ref="BS189" si="3009">BO189*(1+BS192)</f>
        <v>-4286.4861000000001</v>
      </c>
      <c r="BT189" s="27">
        <f t="shared" ref="BT189" si="3010">BP189*(1+BT192)</f>
        <v>-4523.7767000000003</v>
      </c>
      <c r="BU189" s="27">
        <f t="shared" ref="BU189" si="3011">BQ189*(1+BU192)</f>
        <v>-5048.3348324999997</v>
      </c>
      <c r="BV189" s="27">
        <f t="shared" ref="BV189" si="3012">BR189*(1+BV192)</f>
        <v>-3724.3108874999998</v>
      </c>
      <c r="BW189" s="27">
        <f t="shared" ref="BW189" si="3013">BS189*(1+BW192)</f>
        <v>-4500.8104050000002</v>
      </c>
      <c r="BX189" s="27">
        <f t="shared" ref="BX189" si="3014">BT189*(1+BX192)</f>
        <v>-4749.9655350000003</v>
      </c>
      <c r="BY189" s="27">
        <f t="shared" ref="BY189" si="3015">BU189*(1+BY192)</f>
        <v>-5300.7515741249999</v>
      </c>
      <c r="BZ189" s="27">
        <f t="shared" ref="BZ189" si="3016">BV189*(1+BZ192)</f>
        <v>-3891.9048774374996</v>
      </c>
      <c r="CA189" s="27">
        <f t="shared" ref="CA189" si="3017">BW189*(1+CA192)</f>
        <v>-4703.3468732250003</v>
      </c>
      <c r="CB189" s="27">
        <f t="shared" ref="CB189" si="3018">BX189*(1+CB192)</f>
        <v>-4963.7139840749996</v>
      </c>
      <c r="CC189" s="27">
        <f t="shared" ref="CC189" si="3019">BY189*(1+CC192)</f>
        <v>-5539.2853949606242</v>
      </c>
      <c r="CD189" s="27">
        <f t="shared" ref="CD189" si="3020">BZ189*(1+CD192)</f>
        <v>-4047.5810725349997</v>
      </c>
      <c r="CE189" s="27">
        <f t="shared" ref="CE189" si="3021">CA189*(1+CE192)</f>
        <v>-4891.4807481540001</v>
      </c>
      <c r="CF189" s="27">
        <f t="shared" ref="CF189" si="3022">CB189*(1+CF192)</f>
        <v>-5162.2625434379997</v>
      </c>
      <c r="CG189" s="27">
        <f t="shared" ref="CG189" si="3023">CC189*(1+CG192)</f>
        <v>-5760.856810759049</v>
      </c>
      <c r="CH189" s="27"/>
      <c r="CI189" s="89">
        <f>SUM(B189:E189)</f>
        <v>-1962</v>
      </c>
      <c r="CJ189" s="20">
        <f>SUM(F189:I189)</f>
        <v>-3224</v>
      </c>
      <c r="CK189" s="89">
        <f>SUM(J189:M189)</f>
        <v>-3481</v>
      </c>
      <c r="CL189" s="89">
        <f>SUM(N189:Q189)</f>
        <v>-4432</v>
      </c>
      <c r="CM189" s="20">
        <f>SUM(R189:U189)</f>
        <v>-5851</v>
      </c>
      <c r="CN189" s="89">
        <f>SUM(V189:Y189)</f>
        <v>-6136</v>
      </c>
      <c r="CO189" s="20">
        <f>SUM(Z189:AC189)</f>
        <v>-6985</v>
      </c>
      <c r="CP189" s="89">
        <f>SUM(AD189:AG189)</f>
        <v>-6872</v>
      </c>
      <c r="CQ189" s="20">
        <f>SUM(AH189:AK189)</f>
        <v>-7494</v>
      </c>
      <c r="CR189" s="89">
        <f>SUM(AL189:AO189)</f>
        <v>-9551</v>
      </c>
      <c r="CS189" s="20">
        <f>SUM(AP189:AS189)</f>
        <v>-11052</v>
      </c>
      <c r="CT189" s="89">
        <f>SUM(AT189:AW189)</f>
        <v>-13510</v>
      </c>
      <c r="CU189" s="20">
        <f>SUM(AX189:BA189)</f>
        <v>-15724</v>
      </c>
      <c r="CV189" s="89">
        <f>SUM(BB189:BE189)</f>
        <v>-16425</v>
      </c>
      <c r="CW189" s="20">
        <f>SUM(BF189:BI189)</f>
        <v>-14188</v>
      </c>
      <c r="CX189" s="89">
        <f>SUM(BJ189:BM189)</f>
        <v>-20634.099999999999</v>
      </c>
      <c r="CY189" s="89">
        <f>SUM(BN189:BQ189)</f>
        <v>-16498.161500000002</v>
      </c>
      <c r="CZ189" s="89">
        <f>SUM(BR189:BU189)</f>
        <v>-17405.5603825</v>
      </c>
      <c r="DA189" s="89">
        <f>SUM(BV189:BY189)</f>
        <v>-18275.838401624998</v>
      </c>
      <c r="DB189" s="89">
        <f>SUM(BZ189:CC189)</f>
        <v>-19098.251129698125</v>
      </c>
      <c r="DC189" s="89">
        <f>SUM(CD189:CG189)</f>
        <v>-19862.181174886049</v>
      </c>
    </row>
    <row r="190" spans="1:107" x14ac:dyDescent="0.2">
      <c r="A190" s="7" t="s">
        <v>109</v>
      </c>
      <c r="B190" s="22">
        <f>B189/B$85</f>
        <v>-8.0963665086887834E-2</v>
      </c>
      <c r="C190" s="22">
        <f t="shared" ref="C190" si="3024">C189/C$85</f>
        <v>-9.0605345911949686E-2</v>
      </c>
      <c r="D190" s="22">
        <f t="shared" ref="D190" si="3025">D189/D$85</f>
        <v>-9.7062579821200506E-2</v>
      </c>
      <c r="E190" s="22">
        <f t="shared" ref="E190" si="3026">E189/E$85</f>
        <v>-8.7741327892010668E-2</v>
      </c>
      <c r="F190" s="22">
        <f t="shared" ref="F190" si="3027">F189/F$85</f>
        <v>-0.16692166462668298</v>
      </c>
      <c r="G190" s="22">
        <f t="shared" ref="G190" si="3028">G189/G$85</f>
        <v>-9.3722881110789705E-2</v>
      </c>
      <c r="H190" s="22">
        <f t="shared" ref="H190" si="3029">H189/H$85</f>
        <v>-8.9989350372736948E-2</v>
      </c>
      <c r="I190" s="22">
        <f t="shared" ref="I190" si="3030">I189/I$85</f>
        <v>-9.9483521888834234E-2</v>
      </c>
      <c r="J190" s="22">
        <f t="shared" ref="J190" si="3031">J189/J$85</f>
        <v>-9.3043264503441497E-2</v>
      </c>
      <c r="K190" s="22">
        <f t="shared" ref="K190" si="3032">K189/K$85</f>
        <v>-9.7595981341944749E-2</v>
      </c>
      <c r="L190" s="22">
        <f t="shared" ref="L190" si="3033">L189/L$85</f>
        <v>-0.10260511882998172</v>
      </c>
      <c r="M190" s="22">
        <f t="shared" ref="M190" si="3034">M189/M$85</f>
        <v>-0.10272579332790886</v>
      </c>
      <c r="N190" s="22">
        <f t="shared" ref="N190" si="3035">N189/N$85</f>
        <v>-0.10166266025641026</v>
      </c>
      <c r="O190" s="22">
        <f t="shared" ref="O190" si="3036">O189/O$85</f>
        <v>-0.10880983054206719</v>
      </c>
      <c r="P190" s="22">
        <f t="shared" ref="P190" si="3037">P189/P$85</f>
        <v>-0.10530710706995731</v>
      </c>
      <c r="Q190" s="22">
        <f t="shared" ref="Q190" si="3038">Q189/Q$85</f>
        <v>-9.5422308188265637E-2</v>
      </c>
      <c r="R190" s="22">
        <f t="shared" ref="R190" si="3039">R189/R$85</f>
        <v>-0.12215932398063828</v>
      </c>
      <c r="S190" s="22">
        <f t="shared" ref="S190" si="3040">S189/S$85</f>
        <v>-0.11089171471447754</v>
      </c>
      <c r="T190" s="22">
        <f t="shared" ref="T190" si="3041">T189/T$85</f>
        <v>-0.10360531309297913</v>
      </c>
      <c r="U190" s="22">
        <f t="shared" ref="U190" si="3042">U189/U$85</f>
        <v>-0.11002141031839216</v>
      </c>
      <c r="V190" s="22">
        <f t="shared" ref="V190" si="3043">V189/V$85</f>
        <v>-0.11765974268669589</v>
      </c>
      <c r="W190" s="22">
        <f t="shared" ref="W190" si="3044">W189/W$85</f>
        <v>-0.10104529616724739</v>
      </c>
      <c r="X190" s="22">
        <f t="shared" ref="X190" si="3045">X189/X$85</f>
        <v>-9.7756304189555887E-2</v>
      </c>
      <c r="Y190" s="22">
        <f t="shared" ref="Y190" si="3046">Y189/Y$85</f>
        <v>-9.1003820771101071E-2</v>
      </c>
      <c r="Z190" s="22">
        <f t="shared" ref="Z190" si="3047">Z189/Z$85</f>
        <v>-9.1869573137409677E-2</v>
      </c>
      <c r="AA190" s="22">
        <f t="shared" ref="AA190" si="3048">AA189/AA$85</f>
        <v>-9.2667617689015686E-2</v>
      </c>
      <c r="AB190" s="22">
        <f t="shared" ref="AB190" si="3049">AB189/AB$85</f>
        <v>-9.9841261152772462E-2</v>
      </c>
      <c r="AC190" s="22">
        <f t="shared" ref="AC190" si="3050">AC189/AC$85</f>
        <v>-9.5399698340874806E-2</v>
      </c>
      <c r="AD190" s="22">
        <f t="shared" ref="AD190" si="3051">AD189/AD$85</f>
        <v>-8.9508473733909841E-2</v>
      </c>
      <c r="AE190" s="22">
        <f t="shared" ref="AE190" si="3052">AE189/AE$85</f>
        <v>-8.1265834886944888E-2</v>
      </c>
      <c r="AF190" s="22">
        <f t="shared" ref="AF190" si="3053">AF189/AF$85</f>
        <v>-7.1621014818140996E-2</v>
      </c>
      <c r="AG190" s="22">
        <f t="shared" ref="AG190" si="3054">AG189/AG$85</f>
        <v>-6.8642986897537978E-2</v>
      </c>
      <c r="AH190" s="22">
        <f t="shared" ref="AH190" si="3055">AH189/AH$85</f>
        <v>-5.6440582508649126E-2</v>
      </c>
      <c r="AI190" s="22">
        <f t="shared" ref="AI190" si="3056">AI189/AI$85</f>
        <v>-7.630445553988642E-2</v>
      </c>
      <c r="AJ190" s="22">
        <f t="shared" ref="AJ190" si="3057">AJ189/AJ$85</f>
        <v>-7.6146991678326822E-2</v>
      </c>
      <c r="AK190" s="22">
        <f t="shared" ref="AK190" si="3058">AK189/AK$85</f>
        <v>-6.3473618090452266E-2</v>
      </c>
      <c r="AL190" s="22">
        <f t="shared" ref="AL190" si="3059">AL189/AL$85</f>
        <v>-7.0830082431561456E-2</v>
      </c>
      <c r="AM190" s="22">
        <f t="shared" ref="AM190" si="3060">AM189/AM$85</f>
        <v>-6.443575348514477E-2</v>
      </c>
      <c r="AN190" s="22">
        <f t="shared" ref="AN190" si="3061">AN189/AN$85</f>
        <v>-7.8493744130388676E-2</v>
      </c>
      <c r="AO190" s="22">
        <f t="shared" ref="AO190" si="3062">AO189/AO$85</f>
        <v>-7.5291424921488256E-2</v>
      </c>
      <c r="AP190" s="22">
        <f t="shared" ref="AP190" si="3063">AP189/AP$85</f>
        <v>-8.5442193016287415E-2</v>
      </c>
      <c r="AQ190" s="22">
        <f t="shared" ref="AQ190" si="3064">AQ189/AQ$85</f>
        <v>-8.1796032022276366E-2</v>
      </c>
      <c r="AR190" s="22">
        <f t="shared" ref="AR190" si="3065">AR189/AR$85</f>
        <v>-7.2512958139290137E-2</v>
      </c>
      <c r="AS190" s="22">
        <f t="shared" ref="AS190" si="3066">AS189/AS$85</f>
        <v>-6.0970882150241212E-2</v>
      </c>
      <c r="AT190" s="22">
        <f t="shared" ref="AT190:BA190" si="3067">AT189/AT$85</f>
        <v>-6.0808736458927239E-2</v>
      </c>
      <c r="AU190" s="22">
        <f t="shared" si="3067"/>
        <v>-6.5572805244254281E-2</v>
      </c>
      <c r="AV190" s="22">
        <f t="shared" si="3067"/>
        <v>-6.0723610593062291E-2</v>
      </c>
      <c r="AW190" s="22">
        <f t="shared" si="3067"/>
        <v>-6.6884228892694436E-2</v>
      </c>
      <c r="AX190" s="22">
        <f t="shared" si="3067"/>
        <v>-6.0227414719480198E-2</v>
      </c>
      <c r="AY190" s="22">
        <f t="shared" si="3067"/>
        <v>-6.3632092707626459E-2</v>
      </c>
      <c r="AZ190" s="22">
        <f t="shared" si="3067"/>
        <v>-6.281213983864771E-2</v>
      </c>
      <c r="BA190" s="22">
        <f t="shared" si="3067"/>
        <v>-8.0731270693724946E-2</v>
      </c>
      <c r="BB190" s="28">
        <f t="shared" ref="BB190:BC190" si="3068">BB189/BB$85</f>
        <v>-6.473667895153791E-2</v>
      </c>
      <c r="BC190" s="28">
        <f t="shared" si="3068"/>
        <v>-5.6084553788647754E-2</v>
      </c>
      <c r="BD190" s="28">
        <f t="shared" ref="BD190:BE190" si="3069">BD189/BD$85</f>
        <v>-6.2122371235421775E-2</v>
      </c>
      <c r="BE190" s="28">
        <f t="shared" si="3069"/>
        <v>-7.1981638183728783E-2</v>
      </c>
      <c r="BF190" s="28">
        <f t="shared" ref="BF190:BG190" si="3070">BF189/BF$85</f>
        <v>-4.4767949343866971E-2</v>
      </c>
      <c r="BG190" s="28">
        <f t="shared" si="3070"/>
        <v>-4.4257585312872258E-2</v>
      </c>
      <c r="BH190" s="28">
        <f t="shared" ref="BH190:CG190" si="3071">BH189/BH$85</f>
        <v>-4.8276972192785955E-2</v>
      </c>
      <c r="BI190" s="28">
        <f t="shared" si="3071"/>
        <v>-5.3968954068193235E-2</v>
      </c>
      <c r="BJ190" s="28">
        <f t="shared" ref="BJ190:BK190" si="3072">BJ189/BJ$85</f>
        <v>-4.6269905603639881E-2</v>
      </c>
      <c r="BK190" s="28">
        <f t="shared" si="3072"/>
        <v>-6.3739706080295638E-2</v>
      </c>
      <c r="BL190" s="28">
        <f t="shared" ref="BL190" si="3073">BL189/BL$85</f>
        <v>-8.4520406996684574E-2</v>
      </c>
      <c r="BM190" s="28">
        <f t="shared" si="3071"/>
        <v>-4.7040633266251658E-2</v>
      </c>
      <c r="BN190" s="28">
        <f t="shared" si="3071"/>
        <v>-3.7757980385166881E-2</v>
      </c>
      <c r="BO190" s="28">
        <f t="shared" si="3071"/>
        <v>-4.306717591708794E-2</v>
      </c>
      <c r="BP190" s="28">
        <f t="shared" si="3071"/>
        <v>-4.2757426562921863E-2</v>
      </c>
      <c r="BQ190" s="28">
        <f t="shared" si="3071"/>
        <v>-4.4203334096913675E-2</v>
      </c>
      <c r="BR190" s="28">
        <f t="shared" si="3071"/>
        <v>-3.4788273918978381E-2</v>
      </c>
      <c r="BS190" s="28">
        <f t="shared" si="3071"/>
        <v>-3.9837068380192471E-2</v>
      </c>
      <c r="BT190" s="28">
        <f t="shared" si="3071"/>
        <v>-3.9500317613032944E-2</v>
      </c>
      <c r="BU190" s="28">
        <f t="shared" si="3071"/>
        <v>-4.0967369650299568E-2</v>
      </c>
      <c r="BV190" s="28">
        <f t="shared" si="3071"/>
        <v>-3.2091893974007489E-2</v>
      </c>
      <c r="BW190" s="28">
        <f t="shared" si="3071"/>
        <v>-3.6888177849409266E-2</v>
      </c>
      <c r="BX190" s="28">
        <f t="shared" si="3071"/>
        <v>-3.6527546700026149E-2</v>
      </c>
      <c r="BY190" s="28">
        <f t="shared" si="3071"/>
        <v>-3.8001340075663893E-2</v>
      </c>
      <c r="BZ190" s="28">
        <f t="shared" si="3071"/>
        <v>-2.9727172225289977E-2</v>
      </c>
      <c r="CA190" s="28">
        <f t="shared" si="3071"/>
        <v>-3.4292996765578294E-2</v>
      </c>
      <c r="CB190" s="28">
        <f t="shared" si="3071"/>
        <v>-3.3915917118808425E-2</v>
      </c>
      <c r="CC190" s="28">
        <f t="shared" si="3071"/>
        <v>-3.5387275944065037E-2</v>
      </c>
      <c r="CD190" s="28">
        <f t="shared" si="3071"/>
        <v>-2.7651979769844418E-2</v>
      </c>
      <c r="CE190" s="28">
        <f t="shared" si="3071"/>
        <v>-3.2008715563166285E-2</v>
      </c>
      <c r="CF190" s="28">
        <f t="shared" si="3071"/>
        <v>-3.1621407088225237E-2</v>
      </c>
      <c r="CG190" s="28">
        <f t="shared" si="3071"/>
        <v>-3.3082696305461887E-2</v>
      </c>
      <c r="CH190" s="28"/>
      <c r="CI190" s="107">
        <f>CI189/CI$85</f>
        <v>-8.9165606253408469E-2</v>
      </c>
      <c r="CJ190" s="22">
        <f t="shared" ref="CJ190" si="3074">CJ189/CJ$85</f>
        <v>-0.11081322609472744</v>
      </c>
      <c r="CK190" s="107">
        <f t="shared" ref="CK190" si="3075">CK189/CK$85</f>
        <v>-9.9227502066645767E-2</v>
      </c>
      <c r="CL190" s="107">
        <f t="shared" ref="CL190" si="3076">CL189/CL$85</f>
        <v>-0.10244793231779201</v>
      </c>
      <c r="CM190" s="22">
        <f t="shared" ref="CM190" si="3077">CM189/CM$85</f>
        <v>-0.11143912844735639</v>
      </c>
      <c r="CN190" s="107">
        <f t="shared" ref="CN190" si="3078">CN189/CN$85</f>
        <v>-0.10117732414338951</v>
      </c>
      <c r="CO190" s="22">
        <f t="shared" ref="CO190" si="3079">CO189/CO$85</f>
        <v>-9.5061173940853852E-2</v>
      </c>
      <c r="CP190" s="107">
        <f t="shared" ref="CP190" si="3080">CP189/CP$85</f>
        <v>-7.705504412275882E-2</v>
      </c>
      <c r="CQ190" s="22">
        <f t="shared" ref="CQ190" si="3081">CQ189/CQ$85</f>
        <v>-6.8069722870663887E-2</v>
      </c>
      <c r="CR190" s="107">
        <f t="shared" ref="CR190" si="3082">CR189/CR$85</f>
        <v>-7.2483455770748592E-2</v>
      </c>
      <c r="CS190" s="22">
        <f t="shared" ref="CS190" si="3083">CS189/CS$85</f>
        <v>-7.3803497853074149E-2</v>
      </c>
      <c r="CT190" s="107">
        <f t="shared" ref="CT190" si="3084">CT189/CT$85</f>
        <v>-6.3705079902485487E-2</v>
      </c>
      <c r="CU190" s="22">
        <f t="shared" ref="CU190" si="3085">CU189/CU$85</f>
        <v>-6.7230771204159379E-2</v>
      </c>
      <c r="CV190" s="107">
        <f t="shared" ref="CV190" si="3086">CV189/CV$85</f>
        <v>-6.403309058586866E-2</v>
      </c>
      <c r="CW190" s="22">
        <f t="shared" ref="CW190" si="3087">CW189/CW$85</f>
        <v>-4.8075684980245191E-2</v>
      </c>
      <c r="CX190" s="107">
        <f t="shared" ref="CX190" si="3088">CX189/CX$85</f>
        <v>-6.0476098971593388E-2</v>
      </c>
      <c r="CY190" s="107">
        <f t="shared" ref="CY190:CZ190" si="3089">CY189/CY$85</f>
        <v>-4.2095522136879365E-2</v>
      </c>
      <c r="CZ190" s="107">
        <f t="shared" si="3089"/>
        <v>-3.8911430241126359E-2</v>
      </c>
      <c r="DA190" s="107">
        <f t="shared" ref="DA190:DB190" si="3090">DA189/DA$85</f>
        <v>-3.6005107068059747E-2</v>
      </c>
      <c r="DB190" s="107">
        <f t="shared" si="3090"/>
        <v>-3.3449403988969305E-2</v>
      </c>
      <c r="DC190" s="107">
        <f>DC189/DC$85</f>
        <v>-3.1201382816703864E-2</v>
      </c>
    </row>
    <row r="191" spans="1:107" x14ac:dyDescent="0.2">
      <c r="A191" s="7" t="s">
        <v>62</v>
      </c>
      <c r="B191" s="25" t="s">
        <v>82</v>
      </c>
      <c r="C191" s="22">
        <f>IF(AND(B189&lt;0,C189&gt;0),"n/a",C189/B189-1)</f>
        <v>0.12439024390243913</v>
      </c>
      <c r="D191" s="22">
        <f t="shared" ref="D191:BO191" si="3091">IF(AND(C189&lt;0,D189&gt;0),"n/a",D189/C189-1)</f>
        <v>0.15401301518438171</v>
      </c>
      <c r="E191" s="22">
        <f t="shared" si="3091"/>
        <v>5.0751879699248104E-2</v>
      </c>
      <c r="F191" s="22">
        <f t="shared" si="3091"/>
        <v>0.95169946332737032</v>
      </c>
      <c r="G191" s="22">
        <f t="shared" si="3091"/>
        <v>-0.40604949587534367</v>
      </c>
      <c r="H191" s="22">
        <f t="shared" si="3091"/>
        <v>4.3209876543209846E-2</v>
      </c>
      <c r="I191" s="22">
        <f t="shared" si="3091"/>
        <v>0.19674556213017746</v>
      </c>
      <c r="J191" s="22">
        <f t="shared" si="3091"/>
        <v>-6.4276885043263343E-2</v>
      </c>
      <c r="K191" s="22">
        <f t="shared" si="3091"/>
        <v>7.7939233817701403E-2</v>
      </c>
      <c r="L191" s="22">
        <f t="shared" si="3091"/>
        <v>0.10049019607843146</v>
      </c>
      <c r="M191" s="22">
        <f t="shared" si="3091"/>
        <v>0.12472160356347439</v>
      </c>
      <c r="N191" s="22">
        <f t="shared" si="3091"/>
        <v>4.9504950495049549E-3</v>
      </c>
      <c r="O191" s="22">
        <f t="shared" si="3091"/>
        <v>8.1773399014778425E-2</v>
      </c>
      <c r="P191" s="22">
        <f t="shared" si="3091"/>
        <v>3.3697632058287796E-2</v>
      </c>
      <c r="Q191" s="22">
        <f t="shared" si="3091"/>
        <v>4.3171806167400906E-2</v>
      </c>
      <c r="R191" s="22">
        <f t="shared" si="3091"/>
        <v>0.25760135135135132</v>
      </c>
      <c r="S191" s="22">
        <f t="shared" si="3091"/>
        <v>-5.7085292142377453E-2</v>
      </c>
      <c r="T191" s="22">
        <f t="shared" si="3091"/>
        <v>-2.777777777777779E-2</v>
      </c>
      <c r="U191" s="22">
        <f t="shared" si="3091"/>
        <v>0.16703296703296711</v>
      </c>
      <c r="V191" s="22">
        <f t="shared" si="3091"/>
        <v>2.762084118016328E-2</v>
      </c>
      <c r="W191" s="22">
        <f t="shared" si="3091"/>
        <v>-0.11423335369578502</v>
      </c>
      <c r="X191" s="22">
        <f t="shared" si="3091"/>
        <v>1.8620689655172384E-2</v>
      </c>
      <c r="Y191" s="22">
        <f t="shared" si="3091"/>
        <v>6.4319566689234886E-2</v>
      </c>
      <c r="Z191" s="22">
        <f t="shared" si="3091"/>
        <v>-3.7531806615776042E-2</v>
      </c>
      <c r="AA191" s="22">
        <f t="shared" si="3091"/>
        <v>7.3364177131526764E-2</v>
      </c>
      <c r="AB191" s="22">
        <f t="shared" si="3091"/>
        <v>0.12315270935960587</v>
      </c>
      <c r="AC191" s="22">
        <f t="shared" si="3091"/>
        <v>0.10964912280701755</v>
      </c>
      <c r="AD191" s="22">
        <f t="shared" si="3091"/>
        <v>-0.1101778656126482</v>
      </c>
      <c r="AE191" s="22">
        <f t="shared" si="3091"/>
        <v>-5.6079955580233154E-2</v>
      </c>
      <c r="AF191" s="22">
        <f t="shared" si="3091"/>
        <v>-6.1764705882352944E-2</v>
      </c>
      <c r="AG191" s="22">
        <f t="shared" si="3091"/>
        <v>0.11347962382445131</v>
      </c>
      <c r="AH191" s="22">
        <f t="shared" si="3091"/>
        <v>-0.21002252252252251</v>
      </c>
      <c r="AI191" s="22">
        <f t="shared" si="3091"/>
        <v>0.42694226657163226</v>
      </c>
      <c r="AJ191" s="22">
        <f t="shared" si="3091"/>
        <v>3.2967032967033072E-2</v>
      </c>
      <c r="AK191" s="22">
        <f t="shared" si="3091"/>
        <v>-2.2727272727272707E-2</v>
      </c>
      <c r="AL191" s="22">
        <f t="shared" si="3091"/>
        <v>3.3151904997525961E-2</v>
      </c>
      <c r="AM191" s="22">
        <f t="shared" si="3091"/>
        <v>-2.155172413793105E-2</v>
      </c>
      <c r="AN191" s="22">
        <f t="shared" si="3091"/>
        <v>0.26823299069995099</v>
      </c>
      <c r="AO191" s="22">
        <f t="shared" si="3091"/>
        <v>9.1856426090312526E-2</v>
      </c>
      <c r="AP191" s="22">
        <f t="shared" si="3091"/>
        <v>1.8027571580063517E-2</v>
      </c>
      <c r="AQ191" s="22">
        <f t="shared" si="3091"/>
        <v>-0.10243055555555558</v>
      </c>
      <c r="AR191" s="22">
        <f t="shared" si="3091"/>
        <v>6.6150870406189499E-2</v>
      </c>
      <c r="AS191" s="22">
        <f t="shared" si="3091"/>
        <v>2.7213352685050873E-2</v>
      </c>
      <c r="AT191" s="22">
        <f t="shared" si="3091"/>
        <v>-2.0487460261391699E-2</v>
      </c>
      <c r="AU191" s="22">
        <f t="shared" si="3091"/>
        <v>0.20483231157591053</v>
      </c>
      <c r="AV191" s="22">
        <f t="shared" si="3091"/>
        <v>-2.5441484585453478E-2</v>
      </c>
      <c r="AW191" s="22">
        <f t="shared" si="3091"/>
        <v>0.27149877149877155</v>
      </c>
      <c r="AX191" s="22">
        <f t="shared" si="3091"/>
        <v>-0.18502415458937194</v>
      </c>
      <c r="AY191" s="22">
        <f t="shared" si="3091"/>
        <v>8.387670420865434E-2</v>
      </c>
      <c r="AZ191" s="22">
        <f t="shared" si="3091"/>
        <v>-1.6406890894175574E-2</v>
      </c>
      <c r="BA191" s="22">
        <f t="shared" si="3091"/>
        <v>0.41673616902974708</v>
      </c>
      <c r="BB191" s="28">
        <f t="shared" si="3091"/>
        <v>-0.26236263736263732</v>
      </c>
      <c r="BC191" s="28">
        <f t="shared" si="3091"/>
        <v>-7.3955839318967764E-2</v>
      </c>
      <c r="BD191" s="28">
        <f t="shared" si="3091"/>
        <v>0.14306233840850324</v>
      </c>
      <c r="BE191" s="28">
        <f t="shared" si="3091"/>
        <v>0.30836893691882383</v>
      </c>
      <c r="BF191" s="28">
        <f t="shared" si="3091"/>
        <v>-0.41874759892431812</v>
      </c>
      <c r="BG191" s="28">
        <f t="shared" si="3091"/>
        <v>4.3621943159286136E-2</v>
      </c>
      <c r="BH191" s="28">
        <f t="shared" si="3091"/>
        <v>0.13964534515516158</v>
      </c>
      <c r="BI191" s="28">
        <f t="shared" si="3091"/>
        <v>0.22395109752709086</v>
      </c>
      <c r="BJ191" s="28">
        <f t="shared" si="3091"/>
        <v>-0.19659477866061292</v>
      </c>
      <c r="BK191" s="28">
        <f t="shared" si="3091"/>
        <v>0.47188471319581793</v>
      </c>
      <c r="BL191" s="28">
        <f t="shared" si="3091"/>
        <v>0.41927433288539073</v>
      </c>
      <c r="BM191" s="28">
        <f t="shared" si="3091"/>
        <v>-0.39224942513188144</v>
      </c>
      <c r="BN191" s="28">
        <f t="shared" si="3091"/>
        <v>-0.251730431105473</v>
      </c>
      <c r="BO191" s="28">
        <f t="shared" si="3091"/>
        <v>0.20849481715025076</v>
      </c>
      <c r="BP191" s="28">
        <f t="shared" ref="BP191:BQ191" si="3092">IF(AND(BO189&lt;0,BP189&gt;0),"n/a",BP189/BO189-1)</f>
        <v>5.5357837273752208E-2</v>
      </c>
      <c r="BQ191" s="28">
        <f t="shared" si="3092"/>
        <v>0.11595579695611402</v>
      </c>
      <c r="BR191" s="28">
        <f t="shared" ref="BR191" si="3093">IF(AND(BQ189&lt;0,BR189&gt;0),"n/a",BR189/BQ189-1)</f>
        <v>-0.25875643644720558</v>
      </c>
      <c r="BS191" s="28">
        <f t="shared" ref="BS191" si="3094">IF(AND(BR189&lt;0,BS189&gt;0),"n/a",BS189/BR189-1)</f>
        <v>0.20849481715025076</v>
      </c>
      <c r="BT191" s="28">
        <f t="shared" ref="BT191" si="3095">IF(AND(BS189&lt;0,BT189&gt;0),"n/a",BT189/BS189-1)</f>
        <v>5.5357837273752208E-2</v>
      </c>
      <c r="BU191" s="28">
        <f t="shared" ref="BU191" si="3096">IF(AND(BT189&lt;0,BU189&gt;0),"n/a",BU189/BT189-1)</f>
        <v>0.11595579695611402</v>
      </c>
      <c r="BV191" s="28">
        <f t="shared" ref="BV191" si="3097">IF(AND(BU189&lt;0,BV189&gt;0),"n/a",BV189/BU189-1)</f>
        <v>-0.26226943911807177</v>
      </c>
      <c r="BW191" s="28">
        <f t="shared" ref="BW191" si="3098">IF(AND(BV189&lt;0,BW189&gt;0),"n/a",BW189/BV189-1)</f>
        <v>0.20849481715025076</v>
      </c>
      <c r="BX191" s="28">
        <f t="shared" ref="BX191" si="3099">IF(AND(BW189&lt;0,BX189&gt;0),"n/a",BX189/BW189-1)</f>
        <v>5.5357837273751986E-2</v>
      </c>
      <c r="BY191" s="28">
        <f t="shared" ref="BY191" si="3100">IF(AND(BX189&lt;0,BY189&gt;0),"n/a",BY189/BX189-1)</f>
        <v>0.11595579695611402</v>
      </c>
      <c r="BZ191" s="28">
        <f t="shared" ref="BZ191" si="3101">IF(AND(BY189&lt;0,BZ189&gt;0),"n/a",BZ189/BY189-1)</f>
        <v>-0.26578244178893817</v>
      </c>
      <c r="CA191" s="28">
        <f t="shared" ref="CA191" si="3102">IF(AND(BZ189&lt;0,CA189&gt;0),"n/a",CA189/BZ189-1)</f>
        <v>0.20849481715025076</v>
      </c>
      <c r="CB191" s="28">
        <f t="shared" ref="CB191" si="3103">IF(AND(CA189&lt;0,CB189&gt;0),"n/a",CB189/CA189-1)</f>
        <v>5.5357837273751986E-2</v>
      </c>
      <c r="CC191" s="28">
        <f t="shared" ref="CC191" si="3104">IF(AND(CB189&lt;0,CC189&gt;0),"n/a",CC189/CB189-1)</f>
        <v>0.11595579695611402</v>
      </c>
      <c r="CD191" s="28">
        <f t="shared" ref="CD191" si="3105">IF(AND(CC189&lt;0,CD189&gt;0),"n/a",CD189/CC189-1)</f>
        <v>-0.26929544445980436</v>
      </c>
      <c r="CE191" s="28">
        <f t="shared" ref="CE191" si="3106">IF(AND(CD189&lt;0,CE189&gt;0),"n/a",CE189/CD189-1)</f>
        <v>0.20849481715025076</v>
      </c>
      <c r="CF191" s="28">
        <f t="shared" ref="CF191" si="3107">IF(AND(CE189&lt;0,CF189&gt;0),"n/a",CF189/CE189-1)</f>
        <v>5.5357837273751986E-2</v>
      </c>
      <c r="CG191" s="28">
        <f t="shared" ref="CG191" si="3108">IF(AND(CF189&lt;0,CG189&gt;0),"n/a",CG189/CF189-1)</f>
        <v>0.11595579695611402</v>
      </c>
      <c r="CH191" s="28"/>
      <c r="CI191" s="106" t="s">
        <v>82</v>
      </c>
      <c r="CJ191" s="48" t="s">
        <v>82</v>
      </c>
      <c r="CK191" s="106" t="s">
        <v>82</v>
      </c>
      <c r="CL191" s="106" t="s">
        <v>82</v>
      </c>
      <c r="CM191" s="48" t="s">
        <v>82</v>
      </c>
      <c r="CN191" s="106" t="s">
        <v>82</v>
      </c>
      <c r="CO191" s="48" t="s">
        <v>82</v>
      </c>
      <c r="CP191" s="106" t="s">
        <v>82</v>
      </c>
      <c r="CQ191" s="48" t="s">
        <v>82</v>
      </c>
      <c r="CR191" s="106" t="s">
        <v>82</v>
      </c>
      <c r="CS191" s="48" t="s">
        <v>82</v>
      </c>
      <c r="CT191" s="106" t="s">
        <v>82</v>
      </c>
      <c r="CU191" s="48" t="s">
        <v>82</v>
      </c>
      <c r="CV191" s="106" t="s">
        <v>82</v>
      </c>
      <c r="CW191" s="48" t="s">
        <v>82</v>
      </c>
      <c r="CX191" s="106" t="s">
        <v>82</v>
      </c>
      <c r="CY191" s="106" t="s">
        <v>82</v>
      </c>
      <c r="CZ191" s="106" t="s">
        <v>82</v>
      </c>
      <c r="DA191" s="106" t="s">
        <v>82</v>
      </c>
      <c r="DB191" s="106" t="s">
        <v>82</v>
      </c>
      <c r="DC191" s="106" t="s">
        <v>82</v>
      </c>
    </row>
    <row r="192" spans="1:107" x14ac:dyDescent="0.2">
      <c r="A192" s="7" t="s">
        <v>63</v>
      </c>
      <c r="B192" s="25" t="s">
        <v>82</v>
      </c>
      <c r="C192" s="25" t="s">
        <v>82</v>
      </c>
      <c r="D192" s="25" t="s">
        <v>82</v>
      </c>
      <c r="E192" s="25" t="s">
        <v>82</v>
      </c>
      <c r="F192" s="22">
        <f>IF(AND(B189&lt;0,F189&gt;0),"n/a",F189/B189-1)</f>
        <v>1.6609756097560977</v>
      </c>
      <c r="G192" s="22">
        <f t="shared" ref="G192" si="3109">IF(AND(C189&lt;0,G189&gt;0),"n/a",G189/C189-1)</f>
        <v>0.40563991323210402</v>
      </c>
      <c r="H192" s="22">
        <f t="shared" ref="H192" si="3110">IF(AND(D189&lt;0,H189&gt;0),"n/a",H189/D189-1)</f>
        <v>0.27067669172932329</v>
      </c>
      <c r="I192" s="22">
        <f t="shared" ref="I192" si="3111">IF(AND(E189&lt;0,I189&gt;0),"n/a",I189/E189-1)</f>
        <v>0.44722719141323797</v>
      </c>
      <c r="J192" s="22">
        <f t="shared" ref="J192" si="3112">IF(AND(F189&lt;0,J189&gt;0),"n/a",J189/F189-1)</f>
        <v>-0.30614115490375804</v>
      </c>
      <c r="K192" s="22">
        <f t="shared" ref="K192" si="3113">IF(AND(G189&lt;0,K189&gt;0),"n/a",K189/G189-1)</f>
        <v>0.2592592592592593</v>
      </c>
      <c r="L192" s="22">
        <f t="shared" ref="L192" si="3114">IF(AND(H189&lt;0,L189&gt;0),"n/a",L189/H189-1)</f>
        <v>0.32840236686390534</v>
      </c>
      <c r="M192" s="22">
        <f t="shared" ref="M192" si="3115">IF(AND(I189&lt;0,M189&gt;0),"n/a",M189/I189-1)</f>
        <v>0.24845488257107551</v>
      </c>
      <c r="N192" s="22">
        <f t="shared" ref="N192" si="3116">IF(AND(J189&lt;0,N189&gt;0),"n/a",N189/J189-1)</f>
        <v>0.3408190224570673</v>
      </c>
      <c r="O192" s="22">
        <f t="shared" ref="O192" si="3117">IF(AND(K189&lt;0,O189&gt;0),"n/a",O189/K189-1)</f>
        <v>0.34558823529411775</v>
      </c>
      <c r="P192" s="22">
        <f t="shared" ref="P192" si="3118">IF(AND(L189&lt;0,P189&gt;0),"n/a",P189/L189-1)</f>
        <v>0.2639198218262806</v>
      </c>
      <c r="Q192" s="22">
        <f t="shared" ref="Q192" si="3119">IF(AND(M189&lt;0,Q189&gt;0),"n/a",Q189/M189-1)</f>
        <v>0.17227722772277221</v>
      </c>
      <c r="R192" s="22">
        <f t="shared" ref="R192" si="3120">IF(AND(N189&lt;0,R189&gt;0),"n/a",R189/N189-1)</f>
        <v>0.46699507389162553</v>
      </c>
      <c r="S192" s="22">
        <f t="shared" ref="S192" si="3121">IF(AND(O189&lt;0,S189&gt;0),"n/a",S189/O189-1)</f>
        <v>0.27868852459016402</v>
      </c>
      <c r="T192" s="22">
        <f t="shared" ref="T192" si="3122">IF(AND(P189&lt;0,T189&gt;0),"n/a",T189/P189-1)</f>
        <v>0.20264317180616742</v>
      </c>
      <c r="U192" s="22">
        <f t="shared" ref="U192" si="3123">IF(AND(Q189&lt;0,U189&gt;0),"n/a",U189/Q189-1)</f>
        <v>0.34543918918918926</v>
      </c>
      <c r="V192" s="22">
        <f t="shared" ref="V192" si="3124">IF(AND(R189&lt;0,V189&gt;0),"n/a",V189/R189-1)</f>
        <v>9.9395567494963144E-2</v>
      </c>
      <c r="W192" s="22">
        <f t="shared" ref="W192" si="3125">IF(AND(S189&lt;0,W189&gt;0),"n/a",W189/S189-1)</f>
        <v>3.2763532763532721E-2</v>
      </c>
      <c r="X192" s="22">
        <f t="shared" ref="X192" si="3126">IF(AND(T189&lt;0,X189&gt;0),"n/a",X189/T189-1)</f>
        <v>8.2051282051281982E-2</v>
      </c>
      <c r="Y192" s="22">
        <f t="shared" ref="Y192" si="3127">IF(AND(U189&lt;0,Y189&gt;0),"n/a",Y189/U189-1)</f>
        <v>-1.3182674199623379E-2</v>
      </c>
      <c r="Z192" s="22">
        <f t="shared" ref="Z192" si="3128">IF(AND(V189&lt;0,Z189&gt;0),"n/a",Z189/V189-1)</f>
        <v>-7.5748320097739796E-2</v>
      </c>
      <c r="AA192" s="22">
        <f t="shared" ref="AA192" si="3129">IF(AND(W189&lt;0,AA189&gt;0),"n/a",AA189/W189-1)</f>
        <v>0.12000000000000011</v>
      </c>
      <c r="AB192" s="22">
        <f t="shared" ref="AB192" si="3130">IF(AND(X189&lt;0,AB189&gt;0),"n/a",AB189/X189-1)</f>
        <v>0.2349356804333107</v>
      </c>
      <c r="AC192" s="22">
        <f t="shared" ref="AC192" si="3131">IF(AND(Y189&lt;0,AC189&gt;0),"n/a",AC189/Y189-1)</f>
        <v>0.28753180661577615</v>
      </c>
      <c r="AD192" s="22">
        <f t="shared" ref="AD192" si="3132">IF(AND(Z189&lt;0,AD189&gt;0),"n/a",AD189/Z189-1)</f>
        <v>0.19035029742233966</v>
      </c>
      <c r="AE192" s="22">
        <f t="shared" ref="AE192" si="3133">IF(AND(AA189&lt;0,AE189&gt;0),"n/a",AE189/AA189-1)</f>
        <v>4.6798029556650356E-2</v>
      </c>
      <c r="AF192" s="22">
        <f t="shared" ref="AF192" si="3134">IF(AND(AB189&lt;0,AF189&gt;0),"n/a",AF189/AB189-1)</f>
        <v>-0.1255482456140351</v>
      </c>
      <c r="AG192" s="22">
        <f t="shared" ref="AG192" si="3135">IF(AND(AC189&lt;0,AG189&gt;0),"n/a",AG189/AC189-1)</f>
        <v>-0.12252964426877466</v>
      </c>
      <c r="AH192" s="22">
        <f t="shared" ref="AH192" si="3136">IF(AND(AD189&lt;0,AH189&gt;0),"n/a",AH189/AD189-1)</f>
        <v>-0.22098833981121602</v>
      </c>
      <c r="AI192" s="22">
        <f t="shared" ref="AI192" si="3137">IF(AND(AE189&lt;0,AI189&gt;0),"n/a",AI189/AE189-1)</f>
        <v>0.17764705882352949</v>
      </c>
      <c r="AJ192" s="22">
        <f t="shared" ref="AJ192" si="3138">IF(AND(AF189&lt;0,AJ189&gt;0),"n/a",AJ189/AF189-1)</f>
        <v>0.29655172413793096</v>
      </c>
      <c r="AK192" s="22">
        <f t="shared" ref="AK192" si="3139">IF(AND(AG189&lt;0,AK189&gt;0),"n/a",AK189/AG189-1)</f>
        <v>0.13795045045045051</v>
      </c>
      <c r="AL192" s="22">
        <f t="shared" ref="AL192" si="3140">IF(AND(AH189&lt;0,AL189&gt;0),"n/a",AL189/AH189-1)</f>
        <v>0.48823948681397011</v>
      </c>
      <c r="AM192" s="22">
        <f t="shared" ref="AM192" si="3141">IF(AND(AI189&lt;0,AM189&gt;0),"n/a",AM189/AI189-1)</f>
        <v>2.0479520479520508E-2</v>
      </c>
      <c r="AN192" s="22">
        <f t="shared" ref="AN192" si="3142">IF(AND(AJ189&lt;0,AN189&gt;0),"n/a",AN189/AJ189-1)</f>
        <v>0.25290135396518365</v>
      </c>
      <c r="AO192" s="22">
        <f t="shared" ref="AO192" si="3143">IF(AND(AK189&lt;0,AO189&gt;0),"n/a",AO189/AK189-1)</f>
        <v>0.39980207817911917</v>
      </c>
      <c r="AP192" s="22">
        <f t="shared" ref="AP192" si="3144">IF(AND(AL189&lt;0,AP189&gt;0),"n/a",AP189/AL189-1)</f>
        <v>0.3793103448275863</v>
      </c>
      <c r="AQ192" s="22">
        <f t="shared" ref="AQ192" si="3145">IF(AND(AM189&lt;0,AQ189&gt;0),"n/a",AQ189/AM189-1)</f>
        <v>0.26529613313754274</v>
      </c>
      <c r="AR192" s="22">
        <f t="shared" ref="AR192" si="3146">IF(AND(AN189&lt;0,AR189&gt;0),"n/a",AR189/AN189-1)</f>
        <v>6.3681976071015001E-2</v>
      </c>
      <c r="AS192" s="22">
        <f t="shared" ref="AS192" si="3147">IF(AND(AO189&lt;0,AS189&gt;0),"n/a",AS189/AO189-1)</f>
        <v>7.0696359137500941E-4</v>
      </c>
      <c r="AT192" s="22">
        <f t="shared" ref="AT192" si="3148">IF(AND(AP189&lt;0,AT189&gt;0),"n/a",AT189/AP189-1)</f>
        <v>-3.7152777777777812E-2</v>
      </c>
      <c r="AU192" s="22">
        <f t="shared" ref="AU192" si="3149">IF(AND(AQ189&lt;0,AU189&gt;0),"n/a",AU189/AQ189-1)</f>
        <v>0.29245647969052224</v>
      </c>
      <c r="AV192" s="22">
        <f t="shared" ref="AV192" si="3150">IF(AND(AR189&lt;0,AV189&gt;0),"n/a",AV189/AR189-1)</f>
        <v>0.1814223512336719</v>
      </c>
      <c r="AW192" s="22">
        <f t="shared" ref="AW192" si="3151">IF(AND(AS189&lt;0,AW189&gt;0),"n/a",AW189/AS189-1)</f>
        <v>0.46238078417520301</v>
      </c>
      <c r="AX192" s="22">
        <f t="shared" ref="AX192" si="3152">IF(AND(AT189&lt;0,AX189&gt;0),"n/a",AX189/AT189-1)</f>
        <v>0.21673278038225741</v>
      </c>
      <c r="AY192" s="22">
        <f t="shared" ref="AY192" si="3153">IF(AND(AU189&lt;0,AY189&gt;0),"n/a",AY189/AU189-1)</f>
        <v>9.4582460341215313E-2</v>
      </c>
      <c r="AZ192" s="22">
        <f t="shared" ref="AZ192" si="3154">IF(AND(AV189&lt;0,AZ189&gt;0),"n/a",AZ189/AV189-1)</f>
        <v>0.10472972972972983</v>
      </c>
      <c r="BA192" s="22">
        <f t="shared" ref="BA192:BL192" si="3155">IF(AND(AW189&lt;0,BA189&gt;0),"n/a",BA189/AW189-1)</f>
        <v>0.23091787439613531</v>
      </c>
      <c r="BB192" s="28">
        <f t="shared" si="3155"/>
        <v>0.11410788381742742</v>
      </c>
      <c r="BC192" s="28">
        <f t="shared" si="3155"/>
        <v>-4.8126879956248314E-2</v>
      </c>
      <c r="BD192" s="28">
        <f t="shared" si="3155"/>
        <v>0.10619961078676665</v>
      </c>
      <c r="BE192" s="28">
        <f t="shared" si="3155"/>
        <v>2.1585557299842906E-2</v>
      </c>
      <c r="BF192" s="28">
        <f t="shared" si="3155"/>
        <v>-0.19499866985900505</v>
      </c>
      <c r="BG192" s="28">
        <f t="shared" si="3155"/>
        <v>-9.2789428325193879E-2</v>
      </c>
      <c r="BH192" s="28">
        <f t="shared" si="3155"/>
        <v>-9.5501382256848455E-2</v>
      </c>
      <c r="BI192" s="28">
        <f t="shared" si="3155"/>
        <v>-0.153860929696504</v>
      </c>
      <c r="BJ192" s="28">
        <f t="shared" si="3155"/>
        <v>0.16953073364177129</v>
      </c>
      <c r="BK192" s="28">
        <f t="shared" si="3155"/>
        <v>0.64946168461051301</v>
      </c>
      <c r="BL192" s="28">
        <f t="shared" si="3155"/>
        <v>1.0541817171436509</v>
      </c>
      <c r="BM192" s="26">
        <v>0.02</v>
      </c>
      <c r="BN192" s="26">
        <v>-0.05</v>
      </c>
      <c r="BO192" s="26">
        <v>-0.22</v>
      </c>
      <c r="BP192" s="26">
        <v>-0.42</v>
      </c>
      <c r="BQ192" s="26">
        <v>6.5000000000000002E-2</v>
      </c>
      <c r="BR192" s="26">
        <v>5.5E-2</v>
      </c>
      <c r="BS192" s="26">
        <v>5.5E-2</v>
      </c>
      <c r="BT192" s="26">
        <v>5.5E-2</v>
      </c>
      <c r="BU192" s="26">
        <v>5.5E-2</v>
      </c>
      <c r="BV192" s="26">
        <f>BR192-0.005</f>
        <v>0.05</v>
      </c>
      <c r="BW192" s="26">
        <f t="shared" ref="BW192:CG192" si="3156">BS192-0.005</f>
        <v>0.05</v>
      </c>
      <c r="BX192" s="26">
        <f t="shared" si="3156"/>
        <v>0.05</v>
      </c>
      <c r="BY192" s="26">
        <f t="shared" si="3156"/>
        <v>0.05</v>
      </c>
      <c r="BZ192" s="26">
        <f t="shared" si="3156"/>
        <v>4.5000000000000005E-2</v>
      </c>
      <c r="CA192" s="26">
        <f t="shared" si="3156"/>
        <v>4.5000000000000005E-2</v>
      </c>
      <c r="CB192" s="26">
        <f t="shared" si="3156"/>
        <v>4.5000000000000005E-2</v>
      </c>
      <c r="CC192" s="26">
        <f t="shared" si="3156"/>
        <v>4.5000000000000005E-2</v>
      </c>
      <c r="CD192" s="26">
        <f t="shared" si="3156"/>
        <v>4.0000000000000008E-2</v>
      </c>
      <c r="CE192" s="26">
        <f t="shared" si="3156"/>
        <v>4.0000000000000008E-2</v>
      </c>
      <c r="CF192" s="26">
        <f t="shared" si="3156"/>
        <v>4.0000000000000008E-2</v>
      </c>
      <c r="CG192" s="26">
        <f t="shared" si="3156"/>
        <v>4.0000000000000008E-2</v>
      </c>
      <c r="CH192" s="26"/>
      <c r="CI192" s="106" t="s">
        <v>82</v>
      </c>
      <c r="CJ192" s="22">
        <f>IF(AND(CI189&lt;0,CJ189&gt;0),"n/a",CJ189/CI189-1)</f>
        <v>0.64322120285423035</v>
      </c>
      <c r="CK192" s="107">
        <f t="shared" ref="CK192:DB192" si="3157">IF(AND(CJ189&lt;0,CK189&gt;0),"n/a",CK189/CJ189-1)</f>
        <v>7.9714640198511155E-2</v>
      </c>
      <c r="CL192" s="107">
        <f t="shared" si="3157"/>
        <v>0.27319735708129844</v>
      </c>
      <c r="CM192" s="22">
        <f t="shared" si="3157"/>
        <v>0.32017148014440444</v>
      </c>
      <c r="CN192" s="107">
        <f t="shared" si="3157"/>
        <v>4.8709622286788656E-2</v>
      </c>
      <c r="CO192" s="22">
        <f t="shared" si="3157"/>
        <v>0.13836375488917851</v>
      </c>
      <c r="CP192" s="107">
        <f t="shared" si="3157"/>
        <v>-1.6177523264137461E-2</v>
      </c>
      <c r="CQ192" s="22">
        <f t="shared" si="3157"/>
        <v>9.0512223515715862E-2</v>
      </c>
      <c r="CR192" s="107">
        <f t="shared" si="3157"/>
        <v>0.27448625567120355</v>
      </c>
      <c r="CS192" s="22">
        <f t="shared" si="3157"/>
        <v>0.15715631871008262</v>
      </c>
      <c r="CT192" s="107">
        <f t="shared" si="3157"/>
        <v>0.22240318494390166</v>
      </c>
      <c r="CU192" s="22">
        <f t="shared" si="3157"/>
        <v>0.16387860843819402</v>
      </c>
      <c r="CV192" s="107">
        <f t="shared" si="3157"/>
        <v>4.4581531416942211E-2</v>
      </c>
      <c r="CW192" s="22">
        <f t="shared" si="3157"/>
        <v>-0.13619482496194824</v>
      </c>
      <c r="CX192" s="107">
        <f t="shared" si="3157"/>
        <v>0.45433464899915421</v>
      </c>
      <c r="CY192" s="107">
        <f t="shared" si="3157"/>
        <v>-0.20044191411304568</v>
      </c>
      <c r="CZ192" s="107">
        <f t="shared" si="3157"/>
        <v>5.4999999999999938E-2</v>
      </c>
      <c r="DA192" s="107">
        <f t="shared" si="3157"/>
        <v>4.9999999999999822E-2</v>
      </c>
      <c r="DB192" s="107">
        <f t="shared" si="3157"/>
        <v>4.5000000000000151E-2</v>
      </c>
      <c r="DC192" s="107">
        <f>IF(AND(DB189&lt;0,DC189&gt;0),"n/a",DC189/DB189-1)</f>
        <v>4.0000000000000036E-2</v>
      </c>
    </row>
    <row r="193" spans="1:108" x14ac:dyDescent="0.2">
      <c r="CI193" s="92"/>
      <c r="CK193" s="92"/>
      <c r="CL193" s="92"/>
      <c r="CN193" s="92"/>
      <c r="CP193" s="92"/>
      <c r="CR193" s="92"/>
      <c r="CT193" s="92"/>
      <c r="CV193" s="92"/>
      <c r="CW193" s="92"/>
      <c r="CX193" s="92"/>
      <c r="CY193" s="92"/>
      <c r="CZ193" s="92"/>
      <c r="DA193" s="92"/>
      <c r="DB193" s="92"/>
      <c r="DC193" s="92"/>
    </row>
    <row r="194" spans="1:108" x14ac:dyDescent="0.2">
      <c r="A194" s="1" t="s">
        <v>112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-2736</v>
      </c>
      <c r="AF194" s="17">
        <v>0</v>
      </c>
      <c r="AG194" s="17">
        <v>0</v>
      </c>
      <c r="AH194" s="17">
        <v>0</v>
      </c>
      <c r="AI194" s="17">
        <v>-5071</v>
      </c>
      <c r="AJ194" s="17">
        <v>0</v>
      </c>
      <c r="AK194" s="17">
        <v>0</v>
      </c>
      <c r="AL194" s="17">
        <v>-1697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23">
        <v>0</v>
      </c>
      <c r="BN194" s="23">
        <v>0</v>
      </c>
      <c r="BO194" s="23">
        <v>0</v>
      </c>
      <c r="BP194" s="23">
        <v>0</v>
      </c>
      <c r="BQ194" s="23">
        <v>0</v>
      </c>
      <c r="BR194" s="76">
        <v>0</v>
      </c>
      <c r="BS194" s="76">
        <v>0</v>
      </c>
      <c r="BT194" s="76">
        <v>0</v>
      </c>
      <c r="BU194" s="76">
        <v>0</v>
      </c>
      <c r="BV194" s="76">
        <v>0</v>
      </c>
      <c r="BW194" s="76">
        <v>0</v>
      </c>
      <c r="BX194" s="76">
        <v>0</v>
      </c>
      <c r="BY194" s="76">
        <v>0</v>
      </c>
      <c r="BZ194" s="76">
        <v>0</v>
      </c>
      <c r="CA194" s="76">
        <v>0</v>
      </c>
      <c r="CB194" s="76">
        <v>0</v>
      </c>
      <c r="CC194" s="76">
        <v>0</v>
      </c>
      <c r="CD194" s="76">
        <v>0</v>
      </c>
      <c r="CE194" s="76">
        <v>0</v>
      </c>
      <c r="CF194" s="76">
        <v>0</v>
      </c>
      <c r="CG194" s="76">
        <v>0</v>
      </c>
      <c r="CH194" s="76"/>
      <c r="CI194" s="89">
        <f>SUM(B194:E194)</f>
        <v>0</v>
      </c>
      <c r="CJ194" s="20">
        <f>SUM(F194:I194)</f>
        <v>0</v>
      </c>
      <c r="CK194" s="89">
        <f>SUM(J194:M194)</f>
        <v>0</v>
      </c>
      <c r="CL194" s="89">
        <f>SUM(N194:Q194)</f>
        <v>0</v>
      </c>
      <c r="CM194" s="20">
        <f>SUM(R194:U194)</f>
        <v>0</v>
      </c>
      <c r="CN194" s="89">
        <f>SUM(V194:Y194)</f>
        <v>0</v>
      </c>
      <c r="CO194" s="20">
        <f>SUM(Z194:AC194)</f>
        <v>0</v>
      </c>
      <c r="CP194" s="89">
        <f>SUM(AD194:AG194)</f>
        <v>-2736</v>
      </c>
      <c r="CQ194" s="20">
        <f>SUM(AH194:AK194)</f>
        <v>-5071</v>
      </c>
      <c r="CR194" s="89">
        <f>SUM(AL194:AO194)</f>
        <v>-1697</v>
      </c>
      <c r="CS194" s="20">
        <f>SUM(AP194:AS194)</f>
        <v>0</v>
      </c>
      <c r="CT194" s="89">
        <f>SUM(AT194:AW194)</f>
        <v>0</v>
      </c>
      <c r="CU194" s="20">
        <f>SUM(AX194:BA194)</f>
        <v>0</v>
      </c>
      <c r="CV194" s="89">
        <f>SUM(BB194:BE194)</f>
        <v>0</v>
      </c>
      <c r="CW194" s="20">
        <f>SUM(BF194:BI194)</f>
        <v>0</v>
      </c>
      <c r="CX194" s="89">
        <f>SUM(BJ194:BM194)</f>
        <v>0</v>
      </c>
      <c r="CY194" s="89">
        <f>SUM(BN194:BQ194)</f>
        <v>0</v>
      </c>
      <c r="CZ194" s="89">
        <f>SUM(BR194:BU194)</f>
        <v>0</v>
      </c>
      <c r="DA194" s="89">
        <f>SUM(BV194:BY194)</f>
        <v>0</v>
      </c>
      <c r="DB194" s="89">
        <f>SUM(BZ194:CC194)</f>
        <v>0</v>
      </c>
      <c r="DC194" s="89">
        <f>SUM(CD194:CG194)</f>
        <v>0</v>
      </c>
    </row>
    <row r="195" spans="1:108" x14ac:dyDescent="0.2"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CI195" s="92"/>
      <c r="CK195" s="92"/>
      <c r="CL195" s="92"/>
      <c r="CN195" s="92"/>
      <c r="CP195" s="92"/>
      <c r="CR195" s="92"/>
      <c r="CT195" s="92"/>
      <c r="CV195" s="89"/>
      <c r="CX195" s="92"/>
      <c r="CY195" s="92"/>
      <c r="CZ195" s="92"/>
      <c r="DA195" s="92"/>
      <c r="DB195" s="92"/>
      <c r="DC195" s="92"/>
    </row>
    <row r="196" spans="1:108" x14ac:dyDescent="0.2">
      <c r="A196" s="1" t="s">
        <v>113</v>
      </c>
      <c r="B196" s="20">
        <f>SUM(B179,B184,B189,B194)</f>
        <v>-1835</v>
      </c>
      <c r="C196" s="20">
        <f t="shared" ref="C196:BN196" si="3158">SUM(C179,C184,C189,C194)</f>
        <v>-1988</v>
      </c>
      <c r="D196" s="20">
        <f t="shared" si="3158"/>
        <v>-2187</v>
      </c>
      <c r="E196" s="20">
        <f t="shared" si="3158"/>
        <v>-2512</v>
      </c>
      <c r="F196" s="20">
        <f t="shared" si="3158"/>
        <v>-3343</v>
      </c>
      <c r="G196" s="20">
        <f t="shared" si="3158"/>
        <v>-2973</v>
      </c>
      <c r="H196" s="20">
        <f t="shared" si="3158"/>
        <v>-3284</v>
      </c>
      <c r="I196" s="20">
        <f t="shared" si="3158"/>
        <v>-3375</v>
      </c>
      <c r="J196" s="20">
        <f t="shared" si="3158"/>
        <v>-3467</v>
      </c>
      <c r="K196" s="20">
        <f t="shared" si="3158"/>
        <v>-3544</v>
      </c>
      <c r="L196" s="20">
        <f t="shared" si="3158"/>
        <v>-3823</v>
      </c>
      <c r="M196" s="20">
        <f t="shared" si="3158"/>
        <v>-4195</v>
      </c>
      <c r="N196" s="20">
        <f t="shared" si="3158"/>
        <v>-4067</v>
      </c>
      <c r="O196" s="20">
        <f t="shared" si="3158"/>
        <v>-4447</v>
      </c>
      <c r="P196" s="20">
        <f t="shared" si="3158"/>
        <v>-4584</v>
      </c>
      <c r="Q196" s="20">
        <f t="shared" si="3158"/>
        <v>-5025</v>
      </c>
      <c r="R196" s="20">
        <f t="shared" si="3158"/>
        <v>-5344</v>
      </c>
      <c r="S196" s="20">
        <f t="shared" si="3158"/>
        <v>-5583</v>
      </c>
      <c r="T196" s="20">
        <f t="shared" si="3158"/>
        <v>-6104</v>
      </c>
      <c r="U196" s="20">
        <f t="shared" si="3158"/>
        <v>-6783</v>
      </c>
      <c r="V196" s="20">
        <f t="shared" si="3158"/>
        <v>-6455</v>
      </c>
      <c r="W196" s="20">
        <f t="shared" si="3158"/>
        <v>-6319</v>
      </c>
      <c r="X196" s="20">
        <f t="shared" si="3158"/>
        <v>-6930</v>
      </c>
      <c r="Y196" s="20">
        <f t="shared" si="3158"/>
        <v>-7761</v>
      </c>
      <c r="Z196" s="20">
        <f t="shared" si="3158"/>
        <v>-7267</v>
      </c>
      <c r="AA196" s="20">
        <f t="shared" si="3158"/>
        <v>-7402</v>
      </c>
      <c r="AB196" s="20">
        <f t="shared" si="3158"/>
        <v>-7985</v>
      </c>
      <c r="AC196" s="20">
        <f t="shared" si="3158"/>
        <v>-8764</v>
      </c>
      <c r="AD196" s="20">
        <f t="shared" si="3158"/>
        <v>-8387</v>
      </c>
      <c r="AE196" s="20">
        <f t="shared" si="3158"/>
        <v>-11505</v>
      </c>
      <c r="AF196" s="20">
        <f t="shared" si="3158"/>
        <v>-8842</v>
      </c>
      <c r="AG196" s="20">
        <f t="shared" si="3158"/>
        <v>-10392</v>
      </c>
      <c r="AH196" s="20">
        <f t="shared" si="3158"/>
        <v>-10046</v>
      </c>
      <c r="AI196" s="20">
        <f t="shared" si="3158"/>
        <v>-15967</v>
      </c>
      <c r="AJ196" s="20">
        <f t="shared" si="3158"/>
        <v>-11149</v>
      </c>
      <c r="AK196" s="20">
        <f t="shared" si="3158"/>
        <v>-13155</v>
      </c>
      <c r="AL196" s="20">
        <f t="shared" si="3158"/>
        <v>-13719</v>
      </c>
      <c r="AM196" s="20">
        <f t="shared" si="3158"/>
        <v>-12468</v>
      </c>
      <c r="AN196" s="20">
        <f t="shared" si="3158"/>
        <v>-13754</v>
      </c>
      <c r="AO196" s="20">
        <f t="shared" si="3158"/>
        <v>-15789</v>
      </c>
      <c r="AP196" s="20">
        <f t="shared" si="3158"/>
        <v>-14200</v>
      </c>
      <c r="AQ196" s="20">
        <f t="shared" si="3158"/>
        <v>-13361</v>
      </c>
      <c r="AR196" s="20">
        <f t="shared" si="3158"/>
        <v>-13843</v>
      </c>
      <c r="AS196" s="20">
        <f t="shared" si="3158"/>
        <v>-15167</v>
      </c>
      <c r="AT196" s="20">
        <f t="shared" si="3158"/>
        <v>-14774</v>
      </c>
      <c r="AU196" s="20">
        <f>SUM(AU179,AU184,AU189,AU194)</f>
        <v>-16292</v>
      </c>
      <c r="AV196" s="20">
        <f>SUM(AV179,AV184,AV189,AV194)</f>
        <v>-16466</v>
      </c>
      <c r="AW196" s="20">
        <f>SUM(AW179,AW184,AW189,AW194)</f>
        <v>-20452</v>
      </c>
      <c r="AX196" s="20">
        <f t="shared" si="3158"/>
        <v>-18318</v>
      </c>
      <c r="AY196" s="20">
        <f t="shared" si="3158"/>
        <v>-20128</v>
      </c>
      <c r="AZ196" s="20">
        <f t="shared" si="3158"/>
        <v>-20799</v>
      </c>
      <c r="BA196" s="20">
        <f t="shared" si="3158"/>
        <v>-22546</v>
      </c>
      <c r="BB196" s="20">
        <f t="shared" si="3158"/>
        <v>-21760</v>
      </c>
      <c r="BC196" s="20">
        <f t="shared" si="3158"/>
        <v>-20850</v>
      </c>
      <c r="BD196" s="20">
        <f t="shared" si="3158"/>
        <v>-22121</v>
      </c>
      <c r="BE196" s="20">
        <f t="shared" si="3158"/>
        <v>-25038</v>
      </c>
      <c r="BF196" s="20">
        <f t="shared" ref="BF196:BG196" si="3159">SUM(BF179,BF184,BF189,BF194)</f>
        <v>-21355</v>
      </c>
      <c r="BG196" s="20">
        <f t="shared" si="3159"/>
        <v>-21810</v>
      </c>
      <c r="BH196" s="20">
        <f t="shared" ref="BH196:BI196" si="3160">SUM(BH179,BH184,BH189,BH194)</f>
        <v>-23273</v>
      </c>
      <c r="BI196" s="20">
        <f t="shared" si="3160"/>
        <v>-24884</v>
      </c>
      <c r="BJ196" s="20">
        <f t="shared" ref="BJ196:BK196" si="3161">SUM(BJ179,BJ184,BJ189,BJ194)</f>
        <v>-23267</v>
      </c>
      <c r="BK196" s="20">
        <f t="shared" si="3161"/>
        <v>-26118</v>
      </c>
      <c r="BL196" s="20">
        <f t="shared" ref="BL196" si="3162">SUM(BL179,BL184,BL189,BL194)</f>
        <v>-29749</v>
      </c>
      <c r="BM196" s="20">
        <f t="shared" si="3158"/>
        <v>-27709.18</v>
      </c>
      <c r="BN196" s="20">
        <f t="shared" si="3158"/>
        <v>-25401.19</v>
      </c>
      <c r="BO196" s="20">
        <f t="shared" ref="BO196:BQ196" si="3163">SUM(BO179,BO184,BO189,BO194)</f>
        <v>-27086.605</v>
      </c>
      <c r="BP196" s="20">
        <f t="shared" si="3163"/>
        <v>-29165.059999999998</v>
      </c>
      <c r="BQ196" s="20">
        <f t="shared" si="3163"/>
        <v>-30587.0851</v>
      </c>
      <c r="BR196" s="20">
        <f>SUM(BR179,BR184,BR189,BR194)</f>
        <v>-27886.838699999997</v>
      </c>
      <c r="BS196" s="20">
        <f t="shared" ref="BS196:BU196" si="3164">SUM(BS179,BS184,BS189,BS194)</f>
        <v>-29653.839462499993</v>
      </c>
      <c r="BT196" s="20">
        <f t="shared" si="3164"/>
        <v>-31976.115112499996</v>
      </c>
      <c r="BU196" s="20">
        <f t="shared" si="3164"/>
        <v>-33490.870229249995</v>
      </c>
      <c r="BV196" s="20">
        <f t="shared" ref="BV196:CC196" si="3165">SUM(BV179,BV184,BV189,BV194)</f>
        <v>-30447.063635499999</v>
      </c>
      <c r="BW196" s="20">
        <f t="shared" si="3165"/>
        <v>-32293.372717999995</v>
      </c>
      <c r="BX196" s="20">
        <f t="shared" si="3165"/>
        <v>-34868.647191999997</v>
      </c>
      <c r="BY196" s="20">
        <f t="shared" si="3165"/>
        <v>-36476.181227145004</v>
      </c>
      <c r="BZ196" s="20">
        <f t="shared" si="3165"/>
        <v>-33261.963306557496</v>
      </c>
      <c r="CA196" s="20">
        <f t="shared" si="3165"/>
        <v>-35187.388272664997</v>
      </c>
      <c r="CB196" s="20">
        <f t="shared" si="3165"/>
        <v>-38043.582580315007</v>
      </c>
      <c r="CC196" s="20">
        <f t="shared" si="3165"/>
        <v>-39748.348215349426</v>
      </c>
      <c r="CD196" s="20">
        <f t="shared" ref="CD196:CG196" si="3166">SUM(CD179,CD184,CD189,CD194)</f>
        <v>-35973.537963619798</v>
      </c>
      <c r="CE196" s="20">
        <f t="shared" si="3166"/>
        <v>-37700.727419315597</v>
      </c>
      <c r="CF196" s="20">
        <f t="shared" si="3166"/>
        <v>-40917.784431706808</v>
      </c>
      <c r="CG196" s="20">
        <f t="shared" si="3166"/>
        <v>-42713.976449524365</v>
      </c>
      <c r="CH196" s="20"/>
      <c r="CI196" s="89">
        <f>SUM(B196:E196)</f>
        <v>-8522</v>
      </c>
      <c r="CJ196" s="20">
        <f>SUM(F196:I196)</f>
        <v>-12975</v>
      </c>
      <c r="CK196" s="89">
        <f>SUM(J196:M196)</f>
        <v>-15029</v>
      </c>
      <c r="CL196" s="89">
        <f>SUM(N196:Q196)</f>
        <v>-18123</v>
      </c>
      <c r="CM196" s="20">
        <f>SUM(R196:U196)</f>
        <v>-23814</v>
      </c>
      <c r="CN196" s="89">
        <f>SUM(V196:Y196)</f>
        <v>-27465</v>
      </c>
      <c r="CO196" s="20">
        <f>SUM(Z196:AC196)</f>
        <v>-31418</v>
      </c>
      <c r="CP196" s="89">
        <f>SUM(AD196:AG196)</f>
        <v>-39126</v>
      </c>
      <c r="CQ196" s="20">
        <f>SUM(AH196:AK196)</f>
        <v>-50317</v>
      </c>
      <c r="CR196" s="89">
        <f>SUM(AL196:AO196)</f>
        <v>-55730</v>
      </c>
      <c r="CS196" s="20">
        <f>SUM(AP196:AS196)</f>
        <v>-56571</v>
      </c>
      <c r="CT196" s="89">
        <f>SUM(AT196:AW196)</f>
        <v>-67984</v>
      </c>
      <c r="CU196" s="20">
        <f>SUM(AX196:BA196)</f>
        <v>-81791</v>
      </c>
      <c r="CV196" s="89">
        <f>SUM(BB196:BE196)</f>
        <v>-89769</v>
      </c>
      <c r="CW196" s="20">
        <f>SUM(BF196:BI196)</f>
        <v>-91322</v>
      </c>
      <c r="CX196" s="89">
        <f>SUM(BJ196:BM196)</f>
        <v>-106843.18</v>
      </c>
      <c r="CY196" s="89">
        <f>SUM(BN196:BQ196)</f>
        <v>-112239.94009999999</v>
      </c>
      <c r="CZ196" s="89">
        <f>SUM(BR196:BU196)</f>
        <v>-123007.66350424997</v>
      </c>
      <c r="DA196" s="89">
        <f>SUM(BV196:BY196)</f>
        <v>-134085.26477264499</v>
      </c>
      <c r="DB196" s="89">
        <f>SUM(BZ196:CC196)</f>
        <v>-146241.28237488691</v>
      </c>
      <c r="DC196" s="89">
        <f>SUM(CD196:CG196)</f>
        <v>-157306.02626416658</v>
      </c>
    </row>
    <row r="197" spans="1:108" x14ac:dyDescent="0.2">
      <c r="A197" s="7" t="s">
        <v>109</v>
      </c>
      <c r="B197" s="22">
        <f>B196/B85</f>
        <v>-0.3623617693522907</v>
      </c>
      <c r="C197" s="22">
        <f t="shared" ref="C197:BD197" si="3167">C196/C85</f>
        <v>-0.39072327044025157</v>
      </c>
      <c r="D197" s="22">
        <f t="shared" si="3167"/>
        <v>-0.39901477832512317</v>
      </c>
      <c r="E197" s="22">
        <f t="shared" si="3167"/>
        <v>-0.39428661120703185</v>
      </c>
      <c r="F197" s="22">
        <f t="shared" si="3167"/>
        <v>-0.51147490820073438</v>
      </c>
      <c r="G197" s="22">
        <f t="shared" si="3167"/>
        <v>-0.42999710731848423</v>
      </c>
      <c r="H197" s="22">
        <f t="shared" si="3167"/>
        <v>-0.43716719914802982</v>
      </c>
      <c r="I197" s="22">
        <f t="shared" si="3167"/>
        <v>-0.41502705361534675</v>
      </c>
      <c r="J197" s="22">
        <f t="shared" si="3167"/>
        <v>-0.42613077679449363</v>
      </c>
      <c r="K197" s="22">
        <f t="shared" si="3167"/>
        <v>-0.42387274249491685</v>
      </c>
      <c r="L197" s="22">
        <f t="shared" si="3167"/>
        <v>-0.4368144424131627</v>
      </c>
      <c r="M197" s="22">
        <f t="shared" si="3167"/>
        <v>-0.42666802278275018</v>
      </c>
      <c r="N197" s="22">
        <f t="shared" si="3167"/>
        <v>-0.40735176282051283</v>
      </c>
      <c r="O197" s="22">
        <f t="shared" si="3167"/>
        <v>-0.44068972351600438</v>
      </c>
      <c r="P197" s="22">
        <f t="shared" si="3167"/>
        <v>-0.42531081833364259</v>
      </c>
      <c r="Q197" s="22">
        <f t="shared" si="3167"/>
        <v>-0.40498065764023211</v>
      </c>
      <c r="R197" s="22">
        <f t="shared" si="3167"/>
        <v>-0.43842809090163259</v>
      </c>
      <c r="S197" s="22">
        <f t="shared" si="3167"/>
        <v>-0.44096042966590315</v>
      </c>
      <c r="T197" s="22">
        <f t="shared" si="3167"/>
        <v>-0.46330170777988616</v>
      </c>
      <c r="U197" s="22">
        <f t="shared" si="3167"/>
        <v>-0.468471579528973</v>
      </c>
      <c r="V197" s="22">
        <f t="shared" si="3167"/>
        <v>-0.46395457485804642</v>
      </c>
      <c r="W197" s="22">
        <f t="shared" si="3167"/>
        <v>-0.44034843205574914</v>
      </c>
      <c r="X197" s="22">
        <f t="shared" si="3167"/>
        <v>-0.458667019657158</v>
      </c>
      <c r="Y197" s="22">
        <f t="shared" si="3167"/>
        <v>-0.44928794720389026</v>
      </c>
      <c r="Z197" s="22">
        <f t="shared" si="3167"/>
        <v>-0.44125326370757179</v>
      </c>
      <c r="AA197" s="22">
        <f t="shared" si="3167"/>
        <v>-0.42236804564907277</v>
      </c>
      <c r="AB197" s="22">
        <f t="shared" si="3167"/>
        <v>-0.43707920521101318</v>
      </c>
      <c r="AC197" s="22">
        <f t="shared" si="3167"/>
        <v>-0.41308446455505277</v>
      </c>
      <c r="AD197" s="22">
        <f t="shared" si="3167"/>
        <v>-0.41682818945380451</v>
      </c>
      <c r="AE197" s="22">
        <f t="shared" si="3167"/>
        <v>-0.54997848845547115</v>
      </c>
      <c r="AF197" s="22">
        <f t="shared" si="3167"/>
        <v>-0.39703637180062867</v>
      </c>
      <c r="AG197" s="22">
        <f t="shared" si="3167"/>
        <v>-0.40165423414370194</v>
      </c>
      <c r="AH197" s="22">
        <f t="shared" si="3167"/>
        <v>-0.40413548958081907</v>
      </c>
      <c r="AI197" s="22">
        <f t="shared" si="3167"/>
        <v>-0.60856805274993331</v>
      </c>
      <c r="AJ197" s="22">
        <f t="shared" si="3167"/>
        <v>-0.41052360262169524</v>
      </c>
      <c r="AK197" s="22">
        <f t="shared" si="3167"/>
        <v>-0.41315954773869346</v>
      </c>
      <c r="AL197" s="22">
        <f t="shared" si="3167"/>
        <v>-0.46538213643610704</v>
      </c>
      <c r="AM197" s="22">
        <f t="shared" si="3167"/>
        <v>-0.39323787295779977</v>
      </c>
      <c r="AN197" s="22">
        <f t="shared" si="3167"/>
        <v>-0.41667424035869005</v>
      </c>
      <c r="AO197" s="22">
        <f t="shared" si="3167"/>
        <v>-0.42021078405280249</v>
      </c>
      <c r="AP197" s="22">
        <f t="shared" si="3167"/>
        <v>-0.42127747945530603</v>
      </c>
      <c r="AQ197" s="22">
        <f t="shared" si="3167"/>
        <v>-0.42277631870392052</v>
      </c>
      <c r="AR197" s="22">
        <f t="shared" si="3167"/>
        <v>-0.36422238008787855</v>
      </c>
      <c r="AS197" s="22">
        <f t="shared" si="3167"/>
        <v>-0.32664972432804962</v>
      </c>
      <c r="AT197" s="22">
        <f t="shared" si="3167"/>
        <v>-0.32397701855181793</v>
      </c>
      <c r="AU197" s="22">
        <f t="shared" si="3167"/>
        <v>-0.31975819905399305</v>
      </c>
      <c r="AV197" s="22">
        <f t="shared" si="3167"/>
        <v>-0.30708690787019771</v>
      </c>
      <c r="AW197" s="22">
        <f t="shared" si="3167"/>
        <v>-0.33041455297424793</v>
      </c>
      <c r="AX197" s="22">
        <f t="shared" si="3167"/>
        <v>-0.32698452366077008</v>
      </c>
      <c r="AY197" s="22">
        <f t="shared" si="3167"/>
        <v>-0.35022881105253084</v>
      </c>
      <c r="AZ197" s="22">
        <f t="shared" si="3167"/>
        <v>-0.36319980442147171</v>
      </c>
      <c r="BA197" s="22">
        <f t="shared" si="3167"/>
        <v>-0.35717567289260649</v>
      </c>
      <c r="BB197" s="28">
        <f t="shared" si="3167"/>
        <v>-0.37474597871387733</v>
      </c>
      <c r="BC197" s="28">
        <f t="shared" si="3167"/>
        <v>-0.33592730436463819</v>
      </c>
      <c r="BD197" s="28">
        <f t="shared" si="3167"/>
        <v>-0.34536541193736242</v>
      </c>
      <c r="BE197" s="28">
        <f t="shared" ref="BE197:BJ197" si="3168">BE196/BE85</f>
        <v>-0.34619213539074167</v>
      </c>
      <c r="BF197" s="28">
        <f t="shared" si="3168"/>
        <v>-0.31593508203512199</v>
      </c>
      <c r="BG197" s="28">
        <f t="shared" si="3168"/>
        <v>-0.30565482446920328</v>
      </c>
      <c r="BH197" s="28">
        <f t="shared" si="3168"/>
        <v>-0.31218393271539524</v>
      </c>
      <c r="BI197" s="28">
        <f t="shared" si="3168"/>
        <v>-0.30487252055230885</v>
      </c>
      <c r="BJ197" s="28">
        <f t="shared" si="3168"/>
        <v>-0.30419946133933007</v>
      </c>
      <c r="BK197" s="28">
        <f t="shared" ref="BK197:BL197" si="3169">BK196/BK85</f>
        <v>-0.31959179178444258</v>
      </c>
      <c r="BL197" s="28">
        <f t="shared" si="3169"/>
        <v>-0.34010517891848635</v>
      </c>
      <c r="BM197" s="22">
        <f t="shared" ref="BM197:BU197" si="3170">BM196/BM85</f>
        <v>-0.29010201742417374</v>
      </c>
      <c r="BN197" s="22">
        <f t="shared" si="3170"/>
        <v>-0.28527167465680081</v>
      </c>
      <c r="BO197" s="22">
        <f t="shared" si="3170"/>
        <v>-0.28711243915404644</v>
      </c>
      <c r="BP197" s="22">
        <f t="shared" si="3170"/>
        <v>-0.29082097957369035</v>
      </c>
      <c r="BQ197" s="22">
        <f t="shared" si="3170"/>
        <v>-0.28255137621578547</v>
      </c>
      <c r="BR197" s="22">
        <f t="shared" si="3170"/>
        <v>-0.27351146651595565</v>
      </c>
      <c r="BS197" s="22">
        <f t="shared" si="3170"/>
        <v>-0.27559217569907951</v>
      </c>
      <c r="BT197" s="22">
        <f t="shared" si="3170"/>
        <v>-0.27920624441402075</v>
      </c>
      <c r="BU197" s="22">
        <f t="shared" si="3170"/>
        <v>-0.27177929081864194</v>
      </c>
      <c r="BV197" s="22">
        <f t="shared" ref="BV197:CC197" si="3171">BV196/BV85</f>
        <v>-0.26235831742452115</v>
      </c>
      <c r="BW197" s="22">
        <f t="shared" si="3171"/>
        <v>-0.26467315194069924</v>
      </c>
      <c r="BX197" s="22">
        <f t="shared" si="3171"/>
        <v>-0.26814218530377515</v>
      </c>
      <c r="BY197" s="22">
        <f t="shared" si="3171"/>
        <v>-0.2614994775911747</v>
      </c>
      <c r="BZ197" s="22">
        <f t="shared" si="3171"/>
        <v>-0.25406173657983738</v>
      </c>
      <c r="CA197" s="22">
        <f t="shared" si="3171"/>
        <v>-0.25655794155710421</v>
      </c>
      <c r="CB197" s="22">
        <f t="shared" si="3171"/>
        <v>-0.25994305833013365</v>
      </c>
      <c r="CC197" s="22">
        <f t="shared" si="3171"/>
        <v>-0.25392910209988445</v>
      </c>
      <c r="CD197" s="28">
        <f t="shared" ref="CD197:CG197" si="3172">CD196/CD85</f>
        <v>-0.24576148721753446</v>
      </c>
      <c r="CE197" s="28">
        <f t="shared" si="3172"/>
        <v>-0.24670481652100013</v>
      </c>
      <c r="CF197" s="28">
        <f t="shared" si="3172"/>
        <v>-0.25064163393005967</v>
      </c>
      <c r="CG197" s="28">
        <f t="shared" si="3172"/>
        <v>-0.24529224684757905</v>
      </c>
      <c r="CH197" s="28"/>
      <c r="CI197" s="107">
        <f t="shared" ref="CI197:CQ197" si="3173">CI196/CI85</f>
        <v>-0.38729321941465189</v>
      </c>
      <c r="CJ197" s="107">
        <f t="shared" si="3173"/>
        <v>-0.44596824087440712</v>
      </c>
      <c r="CK197" s="107">
        <f t="shared" si="3173"/>
        <v>-0.4284085402354551</v>
      </c>
      <c r="CL197" s="107">
        <f t="shared" si="3173"/>
        <v>-0.41892235500797487</v>
      </c>
      <c r="CM197" s="107">
        <f t="shared" si="3173"/>
        <v>-0.45356544263294224</v>
      </c>
      <c r="CN197" s="107">
        <f t="shared" si="3173"/>
        <v>-0.4528740559970979</v>
      </c>
      <c r="CO197" s="107">
        <f t="shared" si="3173"/>
        <v>-0.42757794744076538</v>
      </c>
      <c r="CP197" s="107">
        <f t="shared" si="3173"/>
        <v>-0.43871589876994493</v>
      </c>
      <c r="CQ197" s="107">
        <f t="shared" si="3173"/>
        <v>-0.45704086545011946</v>
      </c>
      <c r="CR197" s="107">
        <f>CR196/CR85</f>
        <v>-0.42294031934915916</v>
      </c>
      <c r="CS197" s="107">
        <f t="shared" ref="CS197" si="3174">CS196/CS85</f>
        <v>-0.37777213871211163</v>
      </c>
      <c r="CT197" s="107">
        <f t="shared" ref="CT197" si="3175">CT196/CT85</f>
        <v>-0.32057188394452801</v>
      </c>
      <c r="CU197" s="107">
        <f t="shared" ref="CU197" si="3176">CU196/CU85</f>
        <v>-0.34971203304244464</v>
      </c>
      <c r="CV197" s="107">
        <f t="shared" ref="CV197" si="3177">CV196/CV85</f>
        <v>-0.34996569307779873</v>
      </c>
      <c r="CW197" s="107">
        <f t="shared" ref="CW197" si="3178">CW196/CW85</f>
        <v>-0.30944232476500927</v>
      </c>
      <c r="CX197" s="107">
        <f t="shared" ref="CX197" si="3179">CX196/CX85</f>
        <v>-0.31314468419362934</v>
      </c>
      <c r="CY197" s="107">
        <f t="shared" ref="CY197" si="3180">CY196/CY85</f>
        <v>-0.28638335751056643</v>
      </c>
      <c r="CZ197" s="107">
        <f>CZ196/CZ85</f>
        <v>-0.27499281909831191</v>
      </c>
      <c r="DA197" s="107">
        <f>DA196/DA85</f>
        <v>-0.26416048381993584</v>
      </c>
      <c r="DB197" s="107">
        <f>DB196/DB85</f>
        <v>-0.25613254851465811</v>
      </c>
      <c r="DC197" s="107">
        <f>DC196/DC85</f>
        <v>-0.24711110535275299</v>
      </c>
    </row>
    <row r="198" spans="1:108" x14ac:dyDescent="0.2">
      <c r="A198" s="7" t="s">
        <v>62</v>
      </c>
      <c r="B198" s="25" t="s">
        <v>82</v>
      </c>
      <c r="C198" s="22">
        <f t="shared" ref="C198" si="3181">IF(AND(B196&lt;0,C196&gt;0),"n/a",C196/B196-1)</f>
        <v>8.337874659400546E-2</v>
      </c>
      <c r="D198" s="22">
        <f t="shared" ref="D198" si="3182">IF(AND(C196&lt;0,D196&gt;0),"n/a",D196/C196-1)</f>
        <v>0.10010060362173046</v>
      </c>
      <c r="E198" s="22">
        <f t="shared" ref="E198" si="3183">IF(AND(D196&lt;0,E196&gt;0),"n/a",E196/D196-1)</f>
        <v>0.14860539551897567</v>
      </c>
      <c r="F198" s="22">
        <f>IF(AND(E196&lt;0,F196&gt;0),"n/a",F196/E196-1)</f>
        <v>0.3308121019108281</v>
      </c>
      <c r="G198" s="22">
        <f t="shared" ref="G198:BQ198" si="3184">IF(AND(F196&lt;0,G196&gt;0),"n/a",G196/F196-1)</f>
        <v>-0.11067903081064911</v>
      </c>
      <c r="H198" s="22">
        <f t="shared" si="3184"/>
        <v>0.1046081399260006</v>
      </c>
      <c r="I198" s="22">
        <f t="shared" si="3184"/>
        <v>2.7710109622411716E-2</v>
      </c>
      <c r="J198" s="22">
        <f t="shared" si="3184"/>
        <v>2.7259259259259316E-2</v>
      </c>
      <c r="K198" s="22">
        <f t="shared" si="3184"/>
        <v>2.2209402942024781E-2</v>
      </c>
      <c r="L198" s="22">
        <f t="shared" si="3184"/>
        <v>7.8724604966139866E-2</v>
      </c>
      <c r="M198" s="22">
        <f t="shared" si="3184"/>
        <v>9.7305780800418518E-2</v>
      </c>
      <c r="N198" s="22">
        <f t="shared" si="3184"/>
        <v>-3.0512514898688892E-2</v>
      </c>
      <c r="O198" s="22">
        <f t="shared" si="3184"/>
        <v>9.3434964347184568E-2</v>
      </c>
      <c r="P198" s="22">
        <f t="shared" si="3184"/>
        <v>3.0807285810658946E-2</v>
      </c>
      <c r="Q198" s="22">
        <f t="shared" si="3184"/>
        <v>9.6204188481675335E-2</v>
      </c>
      <c r="R198" s="22">
        <f t="shared" si="3184"/>
        <v>6.3482587064676688E-2</v>
      </c>
      <c r="S198" s="22">
        <f t="shared" si="3184"/>
        <v>4.4723053892215647E-2</v>
      </c>
      <c r="T198" s="22">
        <f t="shared" si="3184"/>
        <v>9.3319004119648996E-2</v>
      </c>
      <c r="U198" s="22">
        <f t="shared" si="3184"/>
        <v>0.11123853211009171</v>
      </c>
      <c r="V198" s="22">
        <f t="shared" si="3184"/>
        <v>-4.8356184579094741E-2</v>
      </c>
      <c r="W198" s="22">
        <f t="shared" si="3184"/>
        <v>-2.1068938807126236E-2</v>
      </c>
      <c r="X198" s="22">
        <f t="shared" si="3184"/>
        <v>9.6692514638392124E-2</v>
      </c>
      <c r="Y198" s="22">
        <f t="shared" si="3184"/>
        <v>0.11991341991341997</v>
      </c>
      <c r="Z198" s="22">
        <f t="shared" si="3184"/>
        <v>-6.3651591289782261E-2</v>
      </c>
      <c r="AA198" s="22">
        <f t="shared" si="3184"/>
        <v>1.8577129489472988E-2</v>
      </c>
      <c r="AB198" s="22">
        <f t="shared" si="3184"/>
        <v>7.8762496622534428E-2</v>
      </c>
      <c r="AC198" s="22">
        <f t="shared" si="3184"/>
        <v>9.7557921102066292E-2</v>
      </c>
      <c r="AD198" s="22">
        <f t="shared" si="3184"/>
        <v>-4.3016887266088544E-2</v>
      </c>
      <c r="AE198" s="22">
        <f t="shared" si="3184"/>
        <v>0.3717658280672469</v>
      </c>
      <c r="AF198" s="22">
        <f t="shared" si="3184"/>
        <v>-0.23146458061712294</v>
      </c>
      <c r="AG198" s="22">
        <f t="shared" si="3184"/>
        <v>0.17529970594888034</v>
      </c>
      <c r="AH198" s="22">
        <f t="shared" si="3184"/>
        <v>-3.3294842186297191E-2</v>
      </c>
      <c r="AI198" s="22">
        <f t="shared" si="3184"/>
        <v>0.58938881146725075</v>
      </c>
      <c r="AJ198" s="22">
        <f t="shared" si="3184"/>
        <v>-0.30174735391745477</v>
      </c>
      <c r="AK198" s="22">
        <f t="shared" si="3184"/>
        <v>0.17992645080276248</v>
      </c>
      <c r="AL198" s="22">
        <f t="shared" si="3184"/>
        <v>4.2873432155074109E-2</v>
      </c>
      <c r="AM198" s="22">
        <f t="shared" si="3184"/>
        <v>-9.118740432976169E-2</v>
      </c>
      <c r="AN198" s="22">
        <f t="shared" si="3184"/>
        <v>0.10314404876483807</v>
      </c>
      <c r="AO198" s="22">
        <f t="shared" si="3184"/>
        <v>0.1479569579758615</v>
      </c>
      <c r="AP198" s="22">
        <f t="shared" si="3184"/>
        <v>-0.10063968585724237</v>
      </c>
      <c r="AQ198" s="22">
        <f t="shared" si="3184"/>
        <v>-5.9084507042253542E-2</v>
      </c>
      <c r="AR198" s="22">
        <f t="shared" si="3184"/>
        <v>3.6075144076042287E-2</v>
      </c>
      <c r="AS198" s="22">
        <f t="shared" si="3184"/>
        <v>9.5644007801777065E-2</v>
      </c>
      <c r="AT198" s="22">
        <f t="shared" si="3184"/>
        <v>-2.5911518428166413E-2</v>
      </c>
      <c r="AU198" s="22">
        <f t="shared" si="3184"/>
        <v>0.10274807093542715</v>
      </c>
      <c r="AV198" s="22">
        <f t="shared" si="3184"/>
        <v>1.0680088386938458E-2</v>
      </c>
      <c r="AW198" s="22">
        <f t="shared" si="3184"/>
        <v>0.24207457791813436</v>
      </c>
      <c r="AX198" s="22">
        <f t="shared" si="3184"/>
        <v>-0.10434187365538827</v>
      </c>
      <c r="AY198" s="22">
        <f t="shared" si="3184"/>
        <v>9.8809913746042088E-2</v>
      </c>
      <c r="AZ198" s="22">
        <f t="shared" si="3184"/>
        <v>3.3336645468998505E-2</v>
      </c>
      <c r="BA198" s="22">
        <f t="shared" si="3184"/>
        <v>8.3994422808788993E-2</v>
      </c>
      <c r="BB198" s="28">
        <f t="shared" si="3184"/>
        <v>-3.4862059788876021E-2</v>
      </c>
      <c r="BC198" s="28">
        <f t="shared" si="3184"/>
        <v>-4.1819852941176516E-2</v>
      </c>
      <c r="BD198" s="28">
        <f t="shared" si="3184"/>
        <v>6.0959232613908787E-2</v>
      </c>
      <c r="BE198" s="28">
        <f t="shared" si="3184"/>
        <v>0.13186564802676193</v>
      </c>
      <c r="BF198" s="28">
        <f t="shared" si="3184"/>
        <v>-0.14709641345155366</v>
      </c>
      <c r="BG198" s="28">
        <f t="shared" si="3184"/>
        <v>2.1306485600562031E-2</v>
      </c>
      <c r="BH198" s="28">
        <f t="shared" si="3184"/>
        <v>6.7079321412196302E-2</v>
      </c>
      <c r="BI198" s="28">
        <f t="shared" si="3184"/>
        <v>6.9221845056503195E-2</v>
      </c>
      <c r="BJ198" s="28">
        <f t="shared" si="3184"/>
        <v>-6.498151422600873E-2</v>
      </c>
      <c r="BK198" s="28">
        <f t="shared" si="3184"/>
        <v>0.12253406111660281</v>
      </c>
      <c r="BL198" s="28">
        <f t="shared" si="3184"/>
        <v>0.13902289608698992</v>
      </c>
      <c r="BM198" s="22">
        <f t="shared" si="3184"/>
        <v>-6.8567682947325959E-2</v>
      </c>
      <c r="BN198" s="22">
        <f t="shared" si="3184"/>
        <v>-8.3293334555551657E-2</v>
      </c>
      <c r="BO198" s="22">
        <f t="shared" si="3184"/>
        <v>6.6351812651297193E-2</v>
      </c>
      <c r="BP198" s="22">
        <f t="shared" si="3184"/>
        <v>7.6733684417076287E-2</v>
      </c>
      <c r="BQ198" s="22">
        <f t="shared" si="3184"/>
        <v>4.8757832145725155E-2</v>
      </c>
      <c r="BR198" s="28">
        <f>IF(AND(BQ196&lt;0,BR196&gt;0),"n/a",BR196/BQ196-1)</f>
        <v>-8.8280605725323036E-2</v>
      </c>
      <c r="BS198" s="28">
        <f t="shared" ref="BS198" si="3185">IF(AND(BR196&lt;0,BS196&gt;0),"n/a",BS196/BR196-1)</f>
        <v>6.3363251084462169E-2</v>
      </c>
      <c r="BT198" s="28">
        <f t="shared" ref="BT198" si="3186">IF(AND(BS196&lt;0,BT196&gt;0),"n/a",BT196/BS196-1)</f>
        <v>7.8312815206837971E-2</v>
      </c>
      <c r="BU198" s="28">
        <f t="shared" ref="BU198" si="3187">IF(AND(BT196&lt;0,BU196&gt;0),"n/a",BU196/BT196-1)</f>
        <v>4.73714555824154E-2</v>
      </c>
      <c r="BV198" s="28">
        <f t="shared" ref="BV198" si="3188">IF(AND(BU196&lt;0,BV196&gt;0),"n/a",BV196/BU196-1)</f>
        <v>-9.0884667161966415E-2</v>
      </c>
      <c r="BW198" s="28">
        <f t="shared" ref="BW198" si="3189">IF(AND(BV196&lt;0,BW196&gt;0),"n/a",BW196/BV196-1)</f>
        <v>6.0639971873914122E-2</v>
      </c>
      <c r="BX198" s="28">
        <f t="shared" ref="BX198" si="3190">IF(AND(BW196&lt;0,BX196&gt;0),"n/a",BX196/BW196-1)</f>
        <v>7.9746222127011546E-2</v>
      </c>
      <c r="BY198" s="28">
        <f t="shared" ref="BY198" si="3191">IF(AND(BX196&lt;0,BY196&gt;0),"n/a",BY196/BX196-1)</f>
        <v>4.6102563896250892E-2</v>
      </c>
      <c r="BZ198" s="28">
        <f t="shared" ref="BZ198" si="3192">IF(AND(BY196&lt;0,BZ196&gt;0),"n/a",BZ196/BY196-1)</f>
        <v>-8.8118268208283168E-2</v>
      </c>
      <c r="CA198" s="28">
        <f t="shared" ref="CA198" si="3193">IF(AND(BZ196&lt;0,CA196&gt;0),"n/a",CA196/BZ196-1)</f>
        <v>5.7886690222158643E-2</v>
      </c>
      <c r="CB198" s="28">
        <f t="shared" ref="CB198" si="3194">IF(AND(CA196&lt;0,CB196&gt;0),"n/a",CB196/CA196-1)</f>
        <v>8.1170966299559666E-2</v>
      </c>
      <c r="CC198" s="28">
        <f t="shared" ref="CC198" si="3195">IF(AND(CB196&lt;0,CC196&gt;0),"n/a",CC196/CB196-1)</f>
        <v>4.4810859530262093E-2</v>
      </c>
      <c r="CD198" s="28">
        <f t="shared" ref="CD198" si="3196">IF(AND(CC196&lt;0,CD196&gt;0),"n/a",CD196/CC196-1)</f>
        <v>-9.496772623804095E-2</v>
      </c>
      <c r="CE198" s="28">
        <f t="shared" ref="CE198" si="3197">IF(AND(CD196&lt;0,CE196&gt;0),"n/a",CE196/CD196-1)</f>
        <v>4.8012776987421013E-2</v>
      </c>
      <c r="CF198" s="28">
        <f t="shared" ref="CF198" si="3198">IF(AND(CE196&lt;0,CF196&gt;0),"n/a",CF196/CE196-1)</f>
        <v>8.5331430786743434E-2</v>
      </c>
      <c r="CG198" s="28">
        <f t="shared" ref="CG198" si="3199">IF(AND(CF196&lt;0,CG196&gt;0),"n/a",CG196/CF196-1)</f>
        <v>4.3897587388082249E-2</v>
      </c>
      <c r="CH198" s="28"/>
      <c r="CI198" s="106" t="s">
        <v>82</v>
      </c>
      <c r="CJ198" s="48" t="s">
        <v>82</v>
      </c>
      <c r="CK198" s="106" t="s">
        <v>82</v>
      </c>
      <c r="CL198" s="106" t="s">
        <v>82</v>
      </c>
      <c r="CM198" s="48" t="s">
        <v>82</v>
      </c>
      <c r="CN198" s="106" t="s">
        <v>82</v>
      </c>
      <c r="CO198" s="48" t="s">
        <v>82</v>
      </c>
      <c r="CP198" s="106" t="s">
        <v>82</v>
      </c>
      <c r="CQ198" s="48" t="s">
        <v>82</v>
      </c>
      <c r="CR198" s="106" t="s">
        <v>82</v>
      </c>
      <c r="CS198" s="48" t="s">
        <v>82</v>
      </c>
      <c r="CT198" s="106" t="s">
        <v>82</v>
      </c>
      <c r="CU198" s="48" t="s">
        <v>82</v>
      </c>
      <c r="CV198" s="106" t="s">
        <v>82</v>
      </c>
      <c r="CW198" s="48" t="s">
        <v>82</v>
      </c>
      <c r="CX198" s="106" t="s">
        <v>82</v>
      </c>
      <c r="CY198" s="106" t="s">
        <v>82</v>
      </c>
      <c r="CZ198" s="106" t="s">
        <v>82</v>
      </c>
      <c r="DA198" s="106" t="s">
        <v>82</v>
      </c>
      <c r="DB198" s="106" t="s">
        <v>82</v>
      </c>
      <c r="DC198" s="106" t="s">
        <v>82</v>
      </c>
    </row>
    <row r="199" spans="1:108" x14ac:dyDescent="0.2">
      <c r="A199" s="7" t="s">
        <v>63</v>
      </c>
      <c r="B199" s="25" t="s">
        <v>82</v>
      </c>
      <c r="C199" s="25" t="s">
        <v>82</v>
      </c>
      <c r="D199" s="25" t="s">
        <v>82</v>
      </c>
      <c r="E199" s="25" t="s">
        <v>82</v>
      </c>
      <c r="F199" s="22">
        <f>IF(AND(B196&lt;0,F196&gt;0),"n/a",F196/B196-1)</f>
        <v>0.82179836512261573</v>
      </c>
      <c r="G199" s="22">
        <f t="shared" ref="G199:BQ199" si="3200">IF(AND(C196&lt;0,G196&gt;0),"n/a",G196/C196-1)</f>
        <v>0.49547283702213285</v>
      </c>
      <c r="H199" s="22">
        <f t="shared" si="3200"/>
        <v>0.50160036579789669</v>
      </c>
      <c r="I199" s="22">
        <f t="shared" si="3200"/>
        <v>0.34355095541401282</v>
      </c>
      <c r="J199" s="22">
        <f t="shared" si="3200"/>
        <v>3.7092431947352678E-2</v>
      </c>
      <c r="K199" s="22">
        <f t="shared" si="3200"/>
        <v>0.19206189034645149</v>
      </c>
      <c r="L199" s="22">
        <f t="shared" si="3200"/>
        <v>0.16412911084043857</v>
      </c>
      <c r="M199" s="22">
        <f t="shared" si="3200"/>
        <v>0.24296296296296305</v>
      </c>
      <c r="N199" s="22">
        <f t="shared" si="3200"/>
        <v>0.17306028266512841</v>
      </c>
      <c r="O199" s="22">
        <f t="shared" si="3200"/>
        <v>0.2547968397291196</v>
      </c>
      <c r="P199" s="22">
        <f t="shared" si="3200"/>
        <v>0.19905833115354432</v>
      </c>
      <c r="Q199" s="22">
        <f t="shared" si="3200"/>
        <v>0.197854588796186</v>
      </c>
      <c r="R199" s="22">
        <f t="shared" si="3200"/>
        <v>0.31399065650356528</v>
      </c>
      <c r="S199" s="22">
        <f t="shared" si="3200"/>
        <v>0.25545311445918606</v>
      </c>
      <c r="T199" s="22">
        <f t="shared" si="3200"/>
        <v>0.331588132635253</v>
      </c>
      <c r="U199" s="22">
        <f t="shared" si="3200"/>
        <v>0.34985074626865664</v>
      </c>
      <c r="V199" s="22">
        <f t="shared" si="3200"/>
        <v>0.20789670658682624</v>
      </c>
      <c r="W199" s="22">
        <f t="shared" si="3200"/>
        <v>0.13182876589647141</v>
      </c>
      <c r="X199" s="22">
        <f t="shared" si="3200"/>
        <v>0.1353211009174311</v>
      </c>
      <c r="Y199" s="22">
        <f t="shared" si="3200"/>
        <v>0.1441839893852277</v>
      </c>
      <c r="Z199" s="22">
        <f t="shared" si="3200"/>
        <v>0.12579395817195982</v>
      </c>
      <c r="AA199" s="22">
        <f t="shared" si="3200"/>
        <v>0.1713878778287703</v>
      </c>
      <c r="AB199" s="22">
        <f t="shared" si="3200"/>
        <v>0.15223665223665228</v>
      </c>
      <c r="AC199" s="22">
        <f t="shared" si="3200"/>
        <v>0.12923592320577248</v>
      </c>
      <c r="AD199" s="22">
        <f t="shared" si="3200"/>
        <v>0.15412137057933117</v>
      </c>
      <c r="AE199" s="22">
        <f t="shared" si="3200"/>
        <v>0.55430964604161037</v>
      </c>
      <c r="AF199" s="22">
        <f t="shared" si="3200"/>
        <v>0.10732623669380081</v>
      </c>
      <c r="AG199" s="22">
        <f t="shared" si="3200"/>
        <v>0.18575992697398447</v>
      </c>
      <c r="AH199" s="22">
        <f t="shared" si="3200"/>
        <v>0.19780612853225232</v>
      </c>
      <c r="AI199" s="22">
        <f t="shared" si="3200"/>
        <v>0.38783137766188625</v>
      </c>
      <c r="AJ199" s="22">
        <f t="shared" si="3200"/>
        <v>0.26091382040262379</v>
      </c>
      <c r="AK199" s="22">
        <f t="shared" si="3200"/>
        <v>0.26587759815242484</v>
      </c>
      <c r="AL199" s="22">
        <f t="shared" si="3200"/>
        <v>0.36561815648019103</v>
      </c>
      <c r="AM199" s="22">
        <f t="shared" si="3200"/>
        <v>-0.21913947516753307</v>
      </c>
      <c r="AN199" s="22">
        <f t="shared" si="3200"/>
        <v>0.23365324244326846</v>
      </c>
      <c r="AO199" s="22">
        <f t="shared" si="3200"/>
        <v>0.20022805017103762</v>
      </c>
      <c r="AP199" s="22">
        <f t="shared" si="3200"/>
        <v>3.5060864494496746E-2</v>
      </c>
      <c r="AQ199" s="22">
        <f t="shared" si="3200"/>
        <v>7.1623355790824572E-2</v>
      </c>
      <c r="AR199" s="22">
        <f t="shared" si="3200"/>
        <v>6.4708448451360479E-3</v>
      </c>
      <c r="AS199" s="22">
        <f t="shared" si="3200"/>
        <v>-3.9394515168788447E-2</v>
      </c>
      <c r="AT199" s="22">
        <f t="shared" si="3200"/>
        <v>4.0422535211267707E-2</v>
      </c>
      <c r="AU199" s="22">
        <f t="shared" si="3200"/>
        <v>0.21936980764912817</v>
      </c>
      <c r="AV199" s="22">
        <f t="shared" si="3200"/>
        <v>0.18948204868886798</v>
      </c>
      <c r="AW199" s="22">
        <f t="shared" si="3200"/>
        <v>0.34845388013450251</v>
      </c>
      <c r="AX199" s="22">
        <f t="shared" si="3200"/>
        <v>0.23988087180181394</v>
      </c>
      <c r="AY199" s="22">
        <f t="shared" si="3200"/>
        <v>0.23545298305917006</v>
      </c>
      <c r="AZ199" s="22">
        <f t="shared" si="3200"/>
        <v>0.26314830559941704</v>
      </c>
      <c r="BA199" s="22">
        <f t="shared" si="3200"/>
        <v>0.10238607471151973</v>
      </c>
      <c r="BB199" s="28">
        <f t="shared" si="3200"/>
        <v>0.18790260945518078</v>
      </c>
      <c r="BC199" s="28">
        <f t="shared" si="3200"/>
        <v>3.5870429252782277E-2</v>
      </c>
      <c r="BD199" s="28">
        <f t="shared" si="3200"/>
        <v>6.3560748112890142E-2</v>
      </c>
      <c r="BE199" s="28">
        <f t="shared" si="3200"/>
        <v>0.11052958396167845</v>
      </c>
      <c r="BF199" s="28">
        <f t="shared" si="3200"/>
        <v>-1.8612132352941124E-2</v>
      </c>
      <c r="BG199" s="28">
        <f t="shared" si="3200"/>
        <v>4.6043165467625879E-2</v>
      </c>
      <c r="BH199" s="28">
        <f t="shared" si="3200"/>
        <v>5.2077211699290249E-2</v>
      </c>
      <c r="BI199" s="28">
        <f t="shared" si="3200"/>
        <v>-6.150651010464081E-3</v>
      </c>
      <c r="BJ199" s="28">
        <f t="shared" si="3200"/>
        <v>8.9534066963240511E-2</v>
      </c>
      <c r="BK199" s="28">
        <f t="shared" si="3200"/>
        <v>0.1975240715268225</v>
      </c>
      <c r="BL199" s="28">
        <f t="shared" si="3200"/>
        <v>0.27826236411292049</v>
      </c>
      <c r="BM199" s="22">
        <f t="shared" si="3200"/>
        <v>0.11353399774955797</v>
      </c>
      <c r="BN199" s="22">
        <f t="shared" si="3200"/>
        <v>9.1726049770060492E-2</v>
      </c>
      <c r="BO199" s="22">
        <f t="shared" si="3200"/>
        <v>3.7085726319013634E-2</v>
      </c>
      <c r="BP199" s="22">
        <f t="shared" si="3200"/>
        <v>-1.9628895088910636E-2</v>
      </c>
      <c r="BQ199" s="22">
        <f t="shared" si="3200"/>
        <v>0.1038610705910461</v>
      </c>
      <c r="BR199" s="28">
        <f>IF(AND(BN196&lt;0,BR196&gt;0),"n/a",BR196/BN196-1)</f>
        <v>9.7855600465962311E-2</v>
      </c>
      <c r="BS199" s="28">
        <f t="shared" ref="BS199" si="3201">IF(AND(BO196&lt;0,BS196&gt;0),"n/a",BS196/BO196-1)</f>
        <v>9.4778746265912428E-2</v>
      </c>
      <c r="BT199" s="28">
        <f t="shared" ref="BT199" si="3202">IF(AND(BP196&lt;0,BT196&gt;0),"n/a",BT196/BP196-1)</f>
        <v>9.6384341828886999E-2</v>
      </c>
      <c r="BU199" s="28">
        <f t="shared" ref="BU199" si="3203">IF(AND(BQ196&lt;0,BU196&gt;0),"n/a",BU196/BQ196-1)</f>
        <v>9.4935006711378112E-2</v>
      </c>
      <c r="BV199" s="28">
        <f t="shared" ref="BV199" si="3204">IF(AND(BR196&lt;0,BV196&gt;0),"n/a",BV196/BR196-1)</f>
        <v>9.1807643133819949E-2</v>
      </c>
      <c r="BW199" s="28">
        <f t="shared" ref="BW199" si="3205">IF(AND(BS196&lt;0,BW196&gt;0),"n/a",BW196/BS196-1)</f>
        <v>8.901151767675608E-2</v>
      </c>
      <c r="BX199" s="28">
        <f t="shared" ref="BX199" si="3206">IF(AND(BT196&lt;0,BX196&gt;0),"n/a",BX196/BT196-1)</f>
        <v>9.0459146438625959E-2</v>
      </c>
      <c r="BY199" s="28">
        <f t="shared" ref="BY199" si="3207">IF(AND(BU196&lt;0,BY196&gt;0),"n/a",BY196/BU196-1)</f>
        <v>8.9138053966950181E-2</v>
      </c>
      <c r="BZ199" s="28">
        <f t="shared" ref="BZ199" si="3208">IF(AND(BV196&lt;0,BZ196&gt;0),"n/a",BZ196/BV196-1)</f>
        <v>9.2452254337441087E-2</v>
      </c>
      <c r="CA199" s="28">
        <f t="shared" ref="CA199" si="3209">IF(AND(BW196&lt;0,CA196&gt;0),"n/a",CA196/BW196-1)</f>
        <v>8.9616392190955851E-2</v>
      </c>
      <c r="CB199" s="28">
        <f t="shared" ref="CB199" si="3210">IF(AND(BX196&lt;0,CB196&gt;0),"n/a",CB196/BX196-1)</f>
        <v>9.1054160226882619E-2</v>
      </c>
      <c r="CC199" s="28">
        <f t="shared" ref="CC199" si="3211">IF(AND(BY196&lt;0,CC196&gt;0),"n/a",CC196/BY196-1)</f>
        <v>8.9706950621501136E-2</v>
      </c>
      <c r="CD199" s="28">
        <f t="shared" ref="CD199" si="3212">IF(AND(BZ196&lt;0,CD196&gt;0),"n/a",CD196/BZ196-1)</f>
        <v>8.1521786073515567E-2</v>
      </c>
      <c r="CE199" s="28">
        <f t="shared" ref="CE199" si="3213">IF(AND(CA196&lt;0,CE196&gt;0),"n/a",CE196/CA196-1)</f>
        <v>7.142727181610864E-2</v>
      </c>
      <c r="CF199" s="28">
        <f t="shared" ref="CF199" si="3214">IF(AND(CB196&lt;0,CF196&gt;0),"n/a",CF196/CB196-1)</f>
        <v>7.5550241497997384E-2</v>
      </c>
      <c r="CG199" s="28">
        <f t="shared" ref="CG199" si="3215">IF(AND(CC196&lt;0,CG196&gt;0),"n/a",CG196/CC196-1)</f>
        <v>7.4610099974663058E-2</v>
      </c>
      <c r="CH199" s="28"/>
      <c r="CI199" s="106" t="s">
        <v>82</v>
      </c>
      <c r="CJ199" s="22">
        <f>IF(AND(CI196&lt;0,CJ196&gt;0),"n/a",CJ196/CI196-1)</f>
        <v>0.52252992255339126</v>
      </c>
      <c r="CK199" s="107">
        <f t="shared" ref="CK199:CY199" si="3216">IF(AND(CJ196&lt;0,CK196&gt;0),"n/a",CK196/CJ196-1)</f>
        <v>0.15830443159922925</v>
      </c>
      <c r="CL199" s="107">
        <f t="shared" si="3216"/>
        <v>0.20586865393572418</v>
      </c>
      <c r="CM199" s="22">
        <f t="shared" si="3216"/>
        <v>0.31402085747392805</v>
      </c>
      <c r="CN199" s="107">
        <f t="shared" si="3216"/>
        <v>0.15331317712270098</v>
      </c>
      <c r="CO199" s="22">
        <f t="shared" si="3216"/>
        <v>0.14392863644638632</v>
      </c>
      <c r="CP199" s="107">
        <f t="shared" si="3216"/>
        <v>0.24533706792284682</v>
      </c>
      <c r="CQ199" s="22">
        <f t="shared" si="3216"/>
        <v>0.28602463834790171</v>
      </c>
      <c r="CR199" s="107">
        <f t="shared" si="3216"/>
        <v>0.10757795576047857</v>
      </c>
      <c r="CS199" s="22">
        <f t="shared" si="3216"/>
        <v>1.5090615467432178E-2</v>
      </c>
      <c r="CT199" s="107">
        <f t="shared" si="3216"/>
        <v>0.20174647787735767</v>
      </c>
      <c r="CU199" s="22">
        <f t="shared" si="3216"/>
        <v>0.2030919039774064</v>
      </c>
      <c r="CV199" s="107">
        <f t="shared" si="3216"/>
        <v>9.7541294274431145E-2</v>
      </c>
      <c r="CW199" s="22">
        <f t="shared" si="3216"/>
        <v>1.7299958783098868E-2</v>
      </c>
      <c r="CX199" s="107">
        <f t="shared" si="3216"/>
        <v>0.16996101706051103</v>
      </c>
      <c r="CY199" s="107">
        <f t="shared" si="3216"/>
        <v>5.0511039637719524E-2</v>
      </c>
      <c r="CZ199" s="107">
        <f>IF(AND(CY196&lt;0,CZ196&gt;0),"n/a",CZ196/CY196-1)</f>
        <v>9.5934864137102061E-2</v>
      </c>
      <c r="DA199" s="107">
        <f>IF(AND(CZ196&lt;0,DA196&gt;0),"n/a",DA196/CZ196-1)</f>
        <v>9.0056187987119118E-2</v>
      </c>
      <c r="DB199" s="107">
        <f>IF(AND(DA196&lt;0,DB196&gt;0),"n/a",DB196/DA196-1)</f>
        <v>9.0658862648730798E-2</v>
      </c>
      <c r="DC199" s="107">
        <f>IF(AND(DB196&lt;0,DC196&gt;0),"n/a",DC196/DB196-1)</f>
        <v>7.5660878444127722E-2</v>
      </c>
    </row>
    <row r="200" spans="1:108" x14ac:dyDescent="0.2"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CH200" s="21"/>
      <c r="CI200" s="92"/>
      <c r="CK200" s="92"/>
      <c r="CL200" s="92"/>
      <c r="CN200" s="92"/>
      <c r="CP200" s="92"/>
      <c r="CR200" s="92"/>
      <c r="CT200" s="92"/>
      <c r="CU200" s="111"/>
      <c r="CV200" s="358"/>
      <c r="CW200" s="358"/>
      <c r="CX200" s="358"/>
      <c r="CY200" s="358"/>
      <c r="CZ200" s="358"/>
      <c r="DA200" s="358"/>
      <c r="DB200" s="358"/>
      <c r="DC200" s="358"/>
    </row>
    <row r="201" spans="1:108" x14ac:dyDescent="0.2">
      <c r="A201" s="4" t="s">
        <v>114</v>
      </c>
      <c r="B201" s="21">
        <f>B172+B196</f>
        <v>2488</v>
      </c>
      <c r="C201" s="21">
        <f>C172+C196</f>
        <v>2365</v>
      </c>
      <c r="D201" s="21">
        <f t="shared" ref="D201:BN201" si="3217">D172+D196</f>
        <v>2547</v>
      </c>
      <c r="E201" s="21">
        <f t="shared" si="3217"/>
        <v>2982</v>
      </c>
      <c r="F201" s="21">
        <f t="shared" si="3217"/>
        <v>2296</v>
      </c>
      <c r="G201" s="21">
        <f t="shared" si="3217"/>
        <v>2881</v>
      </c>
      <c r="H201" s="21">
        <f t="shared" si="3217"/>
        <v>3058</v>
      </c>
      <c r="I201" s="21">
        <f t="shared" si="3217"/>
        <v>3507</v>
      </c>
      <c r="J201" s="21">
        <f t="shared" si="3217"/>
        <v>3389</v>
      </c>
      <c r="K201" s="21">
        <f t="shared" si="3217"/>
        <v>3436</v>
      </c>
      <c r="L201" s="21">
        <f t="shared" si="3217"/>
        <v>3263</v>
      </c>
      <c r="M201" s="21">
        <f t="shared" si="3217"/>
        <v>3747</v>
      </c>
      <c r="N201" s="21">
        <f t="shared" si="3217"/>
        <v>3745</v>
      </c>
      <c r="O201" s="21">
        <f t="shared" si="3217"/>
        <v>3462</v>
      </c>
      <c r="P201" s="21">
        <f t="shared" si="3217"/>
        <v>3758</v>
      </c>
      <c r="Q201" s="21">
        <f t="shared" si="3217"/>
        <v>4438</v>
      </c>
      <c r="R201" s="21">
        <f t="shared" si="3217"/>
        <v>4115</v>
      </c>
      <c r="S201" s="21">
        <f t="shared" si="3217"/>
        <v>4258</v>
      </c>
      <c r="T201" s="21">
        <f t="shared" si="3217"/>
        <v>3724</v>
      </c>
      <c r="U201" s="21">
        <f t="shared" si="3217"/>
        <v>4399</v>
      </c>
      <c r="V201" s="21">
        <f t="shared" si="3217"/>
        <v>4447</v>
      </c>
      <c r="W201" s="21">
        <f t="shared" si="3217"/>
        <v>4825</v>
      </c>
      <c r="X201" s="21">
        <f t="shared" si="3217"/>
        <v>4708</v>
      </c>
      <c r="Y201" s="21">
        <f t="shared" si="3217"/>
        <v>5380</v>
      </c>
      <c r="Z201" s="21">
        <f t="shared" si="3217"/>
        <v>5342</v>
      </c>
      <c r="AA201" s="21">
        <f t="shared" si="3217"/>
        <v>5968</v>
      </c>
      <c r="AB201" s="21">
        <f t="shared" si="3217"/>
        <v>5767</v>
      </c>
      <c r="AC201" s="21">
        <f t="shared" si="3217"/>
        <v>6639</v>
      </c>
      <c r="AD201" s="21">
        <f t="shared" si="3217"/>
        <v>6568</v>
      </c>
      <c r="AE201" s="21">
        <f t="shared" si="3217"/>
        <v>4132</v>
      </c>
      <c r="AF201" s="21">
        <f t="shared" si="3217"/>
        <v>7782</v>
      </c>
      <c r="AG201" s="21">
        <f t="shared" si="3217"/>
        <v>7664</v>
      </c>
      <c r="AH201" s="21">
        <f t="shared" si="3217"/>
        <v>7633</v>
      </c>
      <c r="AI201" s="21">
        <f>AI172+AI196</f>
        <v>2807</v>
      </c>
      <c r="AJ201" s="21">
        <f t="shared" si="3217"/>
        <v>8310</v>
      </c>
      <c r="AK201" s="21">
        <f t="shared" si="3217"/>
        <v>8203</v>
      </c>
      <c r="AL201" s="21">
        <f t="shared" si="3217"/>
        <v>6608</v>
      </c>
      <c r="AM201" s="21">
        <f t="shared" si="3217"/>
        <v>9180</v>
      </c>
      <c r="AN201" s="21">
        <f t="shared" si="3217"/>
        <v>9177</v>
      </c>
      <c r="AO201" s="21">
        <f t="shared" si="3217"/>
        <v>9266</v>
      </c>
      <c r="AP201" s="21">
        <f t="shared" si="3217"/>
        <v>7977</v>
      </c>
      <c r="AQ201" s="21">
        <f t="shared" si="3217"/>
        <v>6383</v>
      </c>
      <c r="AR201" s="21">
        <f t="shared" si="3217"/>
        <v>11213</v>
      </c>
      <c r="AS201" s="21">
        <f t="shared" si="3217"/>
        <v>15651</v>
      </c>
      <c r="AT201" s="21">
        <f t="shared" si="3217"/>
        <v>16437</v>
      </c>
      <c r="AU201" s="21">
        <f>AU172+AU196</f>
        <v>19361</v>
      </c>
      <c r="AV201" s="21">
        <f>AV172+AV196</f>
        <v>21031</v>
      </c>
      <c r="AW201" s="21">
        <f>AW172+AW196</f>
        <v>21885</v>
      </c>
      <c r="AX201" s="21">
        <f t="shared" si="3217"/>
        <v>20094</v>
      </c>
      <c r="AY201" s="21">
        <f t="shared" si="3217"/>
        <v>19453</v>
      </c>
      <c r="AZ201" s="21">
        <f t="shared" si="3217"/>
        <v>17135</v>
      </c>
      <c r="BA201" s="21">
        <f t="shared" si="3217"/>
        <v>18160</v>
      </c>
      <c r="BB201" s="21">
        <f t="shared" si="3217"/>
        <v>17415</v>
      </c>
      <c r="BC201" s="21">
        <f t="shared" si="3217"/>
        <v>21838</v>
      </c>
      <c r="BD201" s="21">
        <f t="shared" si="3217"/>
        <v>21343</v>
      </c>
      <c r="BE201" s="21">
        <f t="shared" si="3217"/>
        <v>23697</v>
      </c>
      <c r="BF201" s="21">
        <f t="shared" ref="BF201:BG201" si="3218">BF172+BF196</f>
        <v>25472</v>
      </c>
      <c r="BG201" s="21">
        <f t="shared" si="3218"/>
        <v>27425</v>
      </c>
      <c r="BH201" s="21">
        <f t="shared" ref="BH201:BI201" si="3219">BH172+BH196</f>
        <v>28521</v>
      </c>
      <c r="BI201" s="21">
        <f t="shared" si="3219"/>
        <v>30972</v>
      </c>
      <c r="BJ201" s="21">
        <f t="shared" ref="BJ201:BK201" si="3220">BJ172+BJ196</f>
        <v>30606</v>
      </c>
      <c r="BK201" s="21">
        <f t="shared" si="3220"/>
        <v>31271</v>
      </c>
      <c r="BL201" s="21">
        <f t="shared" ref="BL201" si="3221">BL172+BL196</f>
        <v>31228</v>
      </c>
      <c r="BM201" s="21">
        <f t="shared" si="3217"/>
        <v>36700.00172280144</v>
      </c>
      <c r="BN201" s="21">
        <f t="shared" si="3217"/>
        <v>36202.689355512994</v>
      </c>
      <c r="BO201" s="21">
        <f t="shared" ref="BO201:BQ201" si="3222">BO172+BO196</f>
        <v>37984.285400243301</v>
      </c>
      <c r="BP201" s="21">
        <f>BP172+BP196</f>
        <v>39492.141410223456</v>
      </c>
      <c r="BQ201" s="21">
        <f t="shared" si="3222"/>
        <v>41058.516586387064</v>
      </c>
      <c r="BR201" s="21">
        <f>BR172+BR196</f>
        <v>41633.728495942982</v>
      </c>
      <c r="BS201" s="21">
        <f t="shared" ref="BS201:BU201" si="3223">BS172+BS196</f>
        <v>43486.27382994142</v>
      </c>
      <c r="BT201" s="21">
        <f t="shared" si="3223"/>
        <v>45284.675517412928</v>
      </c>
      <c r="BU201" s="21">
        <f t="shared" si="3223"/>
        <v>46833.415743163758</v>
      </c>
      <c r="BV201" s="21">
        <f t="shared" ref="BV201:CC201" si="3224">BV172+BV196</f>
        <v>47812.363237961457</v>
      </c>
      <c r="BW201" s="21">
        <f t="shared" si="3224"/>
        <v>49727.919133510237</v>
      </c>
      <c r="BX201" s="21">
        <f t="shared" si="3224"/>
        <v>51882.109486838533</v>
      </c>
      <c r="BY201" s="21">
        <f t="shared" si="3224"/>
        <v>53400.986459264604</v>
      </c>
      <c r="BZ201" s="21">
        <f>BZ172+BZ196</f>
        <v>54566.395817811099</v>
      </c>
      <c r="CA201" s="21">
        <f t="shared" si="3224"/>
        <v>56531.251213931107</v>
      </c>
      <c r="CB201" s="21">
        <f t="shared" si="3224"/>
        <v>59079.398336839251</v>
      </c>
      <c r="CC201" s="21">
        <f t="shared" si="3224"/>
        <v>60563.433275271294</v>
      </c>
      <c r="CD201" s="21">
        <f t="shared" ref="CD201:CG201" si="3225">CD172+CD196</f>
        <v>61856.90231978114</v>
      </c>
      <c r="CE201" s="21">
        <f t="shared" si="3225"/>
        <v>64111.873565746013</v>
      </c>
      <c r="CF201" s="21">
        <f t="shared" si="3225"/>
        <v>67011.31259050552</v>
      </c>
      <c r="CG201" s="21">
        <f t="shared" si="3225"/>
        <v>68442.289162879926</v>
      </c>
      <c r="CH201" s="21"/>
      <c r="CI201" s="90">
        <f>SUM(B201:E201)</f>
        <v>10382</v>
      </c>
      <c r="CJ201" s="21">
        <f>SUM(F201:I201)</f>
        <v>11742</v>
      </c>
      <c r="CK201" s="90">
        <f>SUM(J201:M201)</f>
        <v>13835</v>
      </c>
      <c r="CL201" s="90">
        <f>SUM(N201:Q201)</f>
        <v>15403</v>
      </c>
      <c r="CM201" s="21">
        <f>SUM(R201:U201)</f>
        <v>16496</v>
      </c>
      <c r="CN201" s="90">
        <f>SUM(V201:Y201)</f>
        <v>19360</v>
      </c>
      <c r="CO201" s="21">
        <f>SUM(Z201:AC201)</f>
        <v>23716</v>
      </c>
      <c r="CP201" s="90">
        <f>SUM(AD201:AG201)</f>
        <v>26146</v>
      </c>
      <c r="CQ201" s="21">
        <f>SUM(AH201:AK201)</f>
        <v>26953</v>
      </c>
      <c r="CR201" s="90">
        <f>SUM(AL201:AO201)</f>
        <v>34231</v>
      </c>
      <c r="CS201" s="21">
        <f>SUM(AP201:AS201)</f>
        <v>41224</v>
      </c>
      <c r="CT201" s="90">
        <f>SUM(AT201:AW201)</f>
        <v>78714</v>
      </c>
      <c r="CU201" s="21">
        <f>SUM(AX201:BA201)</f>
        <v>74842</v>
      </c>
      <c r="CV201" s="90">
        <f>SUM(BB201:BE201)</f>
        <v>84293</v>
      </c>
      <c r="CW201" s="21">
        <f>SUM(BF201:BI201)</f>
        <v>112390</v>
      </c>
      <c r="CX201" s="90">
        <f>SUM(BJ201:BM201)</f>
        <v>129805.00172280145</v>
      </c>
      <c r="CY201" s="90">
        <f>SUM(BN201:BQ201)</f>
        <v>154737.63275236683</v>
      </c>
      <c r="CZ201" s="90">
        <f>SUM(BR201:BU201)</f>
        <v>177238.09358646109</v>
      </c>
      <c r="DA201" s="90">
        <f>SUM(BV201:BY201)</f>
        <v>202823.37831757485</v>
      </c>
      <c r="DB201" s="90">
        <f>SUM(BZ201:CC201)</f>
        <v>230740.47864385275</v>
      </c>
      <c r="DC201" s="90">
        <f>SUM(CD201:CG201)</f>
        <v>261422.37763891259</v>
      </c>
      <c r="DD201" s="21"/>
    </row>
    <row r="202" spans="1:108" x14ac:dyDescent="0.2">
      <c r="A202" s="7" t="s">
        <v>115</v>
      </c>
      <c r="B202" s="22">
        <f>B201/B$85</f>
        <v>0.49131121642969983</v>
      </c>
      <c r="C202" s="22">
        <f t="shared" ref="C202:BN202" si="3226">C201/C$85</f>
        <v>0.46481918238993708</v>
      </c>
      <c r="D202" s="22">
        <f t="shared" si="3226"/>
        <v>0.46469622331691296</v>
      </c>
      <c r="E202" s="22">
        <f t="shared" si="3226"/>
        <v>0.46805838957777429</v>
      </c>
      <c r="F202" s="22">
        <f t="shared" si="3226"/>
        <v>0.35128518971848227</v>
      </c>
      <c r="G202" s="22">
        <f t="shared" si="3226"/>
        <v>0.41669077234596469</v>
      </c>
      <c r="H202" s="22">
        <f t="shared" si="3226"/>
        <v>0.40708200212992546</v>
      </c>
      <c r="I202" s="22">
        <f t="shared" si="3226"/>
        <v>0.43125922282341367</v>
      </c>
      <c r="J202" s="22">
        <f t="shared" si="3226"/>
        <v>0.41654375614552608</v>
      </c>
      <c r="K202" s="22">
        <f t="shared" si="3226"/>
        <v>0.41095562731730656</v>
      </c>
      <c r="L202" s="22">
        <f t="shared" si="3226"/>
        <v>0.37282906764168189</v>
      </c>
      <c r="M202" s="22">
        <f t="shared" si="3226"/>
        <v>0.38110252237591535</v>
      </c>
      <c r="N202" s="22">
        <f t="shared" si="3226"/>
        <v>0.37510016025641024</v>
      </c>
      <c r="O202" s="22">
        <f t="shared" si="3226"/>
        <v>0.34307799028837577</v>
      </c>
      <c r="P202" s="22">
        <f t="shared" si="3226"/>
        <v>0.34867322323251065</v>
      </c>
      <c r="Q202" s="22">
        <f t="shared" si="3226"/>
        <v>0.35767246937459701</v>
      </c>
      <c r="R202" s="22">
        <f t="shared" si="3226"/>
        <v>0.33759947493641806</v>
      </c>
      <c r="S202" s="22">
        <f t="shared" si="3226"/>
        <v>0.33630834847168473</v>
      </c>
      <c r="T202" s="22">
        <f t="shared" si="3226"/>
        <v>0.28265654648956356</v>
      </c>
      <c r="U202" s="22">
        <f t="shared" si="3226"/>
        <v>0.30381932453898752</v>
      </c>
      <c r="V202" s="22">
        <f t="shared" si="3226"/>
        <v>0.319629123841012</v>
      </c>
      <c r="W202" s="22">
        <f t="shared" si="3226"/>
        <v>0.33623693379790942</v>
      </c>
      <c r="X202" s="22">
        <f t="shared" si="3226"/>
        <v>0.31160235621152954</v>
      </c>
      <c r="Y202" s="22">
        <f t="shared" si="3226"/>
        <v>0.31145073520898459</v>
      </c>
      <c r="Z202" s="22">
        <f t="shared" si="3226"/>
        <v>0.32436699253142265</v>
      </c>
      <c r="AA202" s="22">
        <f t="shared" si="3226"/>
        <v>0.34054208273894437</v>
      </c>
      <c r="AB202" s="22">
        <f t="shared" si="3226"/>
        <v>0.31567135584870548</v>
      </c>
      <c r="AC202" s="22">
        <f t="shared" si="3226"/>
        <v>0.31292420814479638</v>
      </c>
      <c r="AD202" s="22">
        <f t="shared" si="3226"/>
        <v>0.32642512797574674</v>
      </c>
      <c r="AE202" s="22">
        <f t="shared" si="3226"/>
        <v>0.1975237822075625</v>
      </c>
      <c r="AF202" s="22">
        <f t="shared" si="3226"/>
        <v>0.3494387067804221</v>
      </c>
      <c r="AG202" s="22">
        <f t="shared" si="3226"/>
        <v>0.29621613264793412</v>
      </c>
      <c r="AH202" s="22">
        <f t="shared" si="3226"/>
        <v>0.30706412422560142</v>
      </c>
      <c r="AI202" s="22">
        <f t="shared" si="3226"/>
        <v>0.10698631703319739</v>
      </c>
      <c r="AJ202" s="22">
        <f t="shared" si="3226"/>
        <v>0.30598718609617792</v>
      </c>
      <c r="AK202" s="22">
        <f t="shared" si="3226"/>
        <v>0.25763190954773868</v>
      </c>
      <c r="AL202" s="22">
        <f t="shared" si="3226"/>
        <v>0.22415957122019065</v>
      </c>
      <c r="AM202" s="22">
        <f t="shared" si="3226"/>
        <v>0.28953510376584873</v>
      </c>
      <c r="AN202" s="22">
        <f t="shared" si="3226"/>
        <v>0.27801508679451059</v>
      </c>
      <c r="AO202" s="22">
        <f t="shared" si="3226"/>
        <v>0.24660669611965721</v>
      </c>
      <c r="AP202" s="22">
        <f t="shared" si="3226"/>
        <v>0.23665707419823775</v>
      </c>
      <c r="AQ202" s="22">
        <f t="shared" si="3226"/>
        <v>0.20197449609214316</v>
      </c>
      <c r="AR202" s="22">
        <f t="shared" si="3226"/>
        <v>0.29502460073144421</v>
      </c>
      <c r="AS202" s="22">
        <f t="shared" si="3226"/>
        <v>0.33707356995175741</v>
      </c>
      <c r="AT202" s="22">
        <f t="shared" si="3226"/>
        <v>0.36044471733695893</v>
      </c>
      <c r="AU202" s="22">
        <f t="shared" si="3226"/>
        <v>0.3799925418539381</v>
      </c>
      <c r="AV202" s="22">
        <f t="shared" si="3226"/>
        <v>0.39222305110033567</v>
      </c>
      <c r="AW202" s="22">
        <f t="shared" si="3226"/>
        <v>0.35356554331319268</v>
      </c>
      <c r="AX202" s="22">
        <f t="shared" si="3226"/>
        <v>0.35868692097606253</v>
      </c>
      <c r="AY202" s="22">
        <f t="shared" si="3226"/>
        <v>0.33848375702528233</v>
      </c>
      <c r="AZ202" s="22">
        <f t="shared" si="3226"/>
        <v>0.29921768588691372</v>
      </c>
      <c r="BA202" s="22">
        <f t="shared" si="3226"/>
        <v>0.28769228331986757</v>
      </c>
      <c r="BB202" s="28">
        <f t="shared" si="3226"/>
        <v>0.29991733544587196</v>
      </c>
      <c r="BC202" s="28">
        <f t="shared" si="3226"/>
        <v>0.35184558622134143</v>
      </c>
      <c r="BD202" s="28">
        <f t="shared" si="3226"/>
        <v>0.33321884123589013</v>
      </c>
      <c r="BE202" s="28">
        <f t="shared" si="3226"/>
        <v>0.32765057242409157</v>
      </c>
      <c r="BF202" s="28">
        <f t="shared" ref="BF202:BG202" si="3227">BF201/BF$85</f>
        <v>0.37684375601023773</v>
      </c>
      <c r="BG202" s="28">
        <f t="shared" si="3227"/>
        <v>0.38434587625254013</v>
      </c>
      <c r="BH202" s="28">
        <f t="shared" ref="BH202:BI202" si="3228">BH201/BH$85</f>
        <v>0.38258058458195282</v>
      </c>
      <c r="BI202" s="28">
        <f t="shared" si="3228"/>
        <v>0.37946116808174368</v>
      </c>
      <c r="BJ202" s="28">
        <f t="shared" ref="BJ202:BK202" si="3229">BJ201/BJ$85</f>
        <v>0.40015166174201816</v>
      </c>
      <c r="BK202" s="28">
        <f t="shared" si="3229"/>
        <v>0.38264625625588877</v>
      </c>
      <c r="BL202" s="28">
        <f t="shared" ref="BL202" si="3230">BL201/BL$85</f>
        <v>0.35701383331427916</v>
      </c>
      <c r="BM202" s="22">
        <f t="shared" si="3226"/>
        <v>0.38423167120987878</v>
      </c>
      <c r="BN202" s="22">
        <f t="shared" si="3226"/>
        <v>0.40657944842454735</v>
      </c>
      <c r="BO202" s="22">
        <f t="shared" ref="BO202:BQ202" si="3231">BO201/BO$85</f>
        <v>0.4026256088862849</v>
      </c>
      <c r="BP202" s="22">
        <f t="shared" si="3231"/>
        <v>0.39379803265907515</v>
      </c>
      <c r="BQ202" s="22">
        <f t="shared" si="3231"/>
        <v>0.37928231241826699</v>
      </c>
      <c r="BR202" s="28">
        <f>BR201/BR$85</f>
        <v>0.40833965656539262</v>
      </c>
      <c r="BS202" s="28">
        <f t="shared" ref="BS202:BU202" si="3232">BS201/BS$85</f>
        <v>0.40414587234125188</v>
      </c>
      <c r="BT202" s="28">
        <f t="shared" si="3232"/>
        <v>0.39541276781874479</v>
      </c>
      <c r="BU202" s="28">
        <f t="shared" si="3232"/>
        <v>0.38005439781541056</v>
      </c>
      <c r="BV202" s="28">
        <f t="shared" ref="BV202:CC202" si="3233">BV201/BV$85</f>
        <v>0.41199280565682705</v>
      </c>
      <c r="BW202" s="28">
        <f t="shared" si="3233"/>
        <v>0.40756489609963198</v>
      </c>
      <c r="BX202" s="28">
        <f t="shared" si="3233"/>
        <v>0.39897682692899034</v>
      </c>
      <c r="BY202" s="28">
        <f t="shared" si="3233"/>
        <v>0.38283421104287779</v>
      </c>
      <c r="BZ202" s="28">
        <f t="shared" si="3233"/>
        <v>0.41678938650151082</v>
      </c>
      <c r="CA202" s="28">
        <f t="shared" si="3233"/>
        <v>0.41218010648322706</v>
      </c>
      <c r="CB202" s="28">
        <f t="shared" si="3233"/>
        <v>0.40367595390263178</v>
      </c>
      <c r="CC202" s="28">
        <f t="shared" si="3233"/>
        <v>0.38690458653416804</v>
      </c>
      <c r="CD202" s="28">
        <f t="shared" ref="CD202:CG202" si="3234">CD201/CD$85</f>
        <v>0.42258963586381376</v>
      </c>
      <c r="CE202" s="28">
        <f t="shared" si="3234"/>
        <v>0.4195332315193312</v>
      </c>
      <c r="CF202" s="28">
        <f t="shared" si="3234"/>
        <v>0.41047737830270581</v>
      </c>
      <c r="CG202" s="28">
        <f t="shared" si="3234"/>
        <v>0.39304144178647343</v>
      </c>
      <c r="CH202" s="28"/>
      <c r="CI202" s="107">
        <f>CI201/CI$85</f>
        <v>0.47182330485366297</v>
      </c>
      <c r="CJ202" s="22">
        <f t="shared" ref="CJ202" si="3235">CJ201/CJ$85</f>
        <v>0.40358836873582182</v>
      </c>
      <c r="CK202" s="107">
        <f t="shared" ref="CK202" si="3236">CK201/CK$85</f>
        <v>0.39437302243379607</v>
      </c>
      <c r="CL202" s="107">
        <f t="shared" ref="CL202" si="3237">CL201/CL$85</f>
        <v>0.35604817271907724</v>
      </c>
      <c r="CM202" s="22">
        <f t="shared" ref="CM202" si="3238">CM201/CM$85</f>
        <v>0.31418558586012496</v>
      </c>
      <c r="CN202" s="107">
        <f t="shared" ref="CN202" si="3239">CN201/CN$85</f>
        <v>0.31922962767536195</v>
      </c>
      <c r="CO202" s="22">
        <f t="shared" ref="CO202" si="3240">CO201/CO$85</f>
        <v>0.32275888349052112</v>
      </c>
      <c r="CP202" s="107">
        <f t="shared" ref="CP202" si="3241">CP201/CP$85</f>
        <v>0.29317246560443133</v>
      </c>
      <c r="CQ202" s="22">
        <f t="shared" ref="CQ202" si="3242">CQ201/CQ$85</f>
        <v>0.24482028830170854</v>
      </c>
      <c r="CR202" s="107">
        <f t="shared" ref="CR202" si="3243">CR201/CR$85</f>
        <v>0.2597823447270961</v>
      </c>
      <c r="CS202" s="22">
        <f t="shared" ref="CS202" si="3244">CS201/CS$85</f>
        <v>0.27528731410560336</v>
      </c>
      <c r="CT202" s="107">
        <f t="shared" ref="CT202" si="3245">CT201/CT$85</f>
        <v>0.37116814651696839</v>
      </c>
      <c r="CU202" s="22">
        <f t="shared" ref="CU202" si="3246">CU201/CU$85</f>
        <v>0.32000034205429256</v>
      </c>
      <c r="CV202" s="107">
        <f t="shared" ref="CV202" si="3247">CV201/CV$85</f>
        <v>0.32861743103528934</v>
      </c>
      <c r="CW202" s="28">
        <f t="shared" ref="CW202" si="3248">CW201/CW$85</f>
        <v>0.38083071856003359</v>
      </c>
      <c r="CX202" s="107">
        <f t="shared" ref="CX202" si="3249">CX201/CX$85</f>
        <v>0.38044305936270501</v>
      </c>
      <c r="CY202" s="107">
        <f t="shared" ref="CY202" si="3250">CY201/CY$85</f>
        <v>0.39481741313634044</v>
      </c>
      <c r="CZ202" s="107">
        <f>CZ201/CZ$85</f>
        <v>0.39622899597038047</v>
      </c>
      <c r="DA202" s="107">
        <f>DA201/DA$85</f>
        <v>0.39958098182683383</v>
      </c>
      <c r="DB202" s="107">
        <f>DB201/DB$85</f>
        <v>0.40412765725781774</v>
      </c>
      <c r="DC202" s="107">
        <f>DC201/DC$85</f>
        <v>0.41066686532283292</v>
      </c>
      <c r="DD202" s="123"/>
    </row>
    <row r="203" spans="1:108" x14ac:dyDescent="0.2">
      <c r="A203" s="7" t="s">
        <v>62</v>
      </c>
      <c r="B203" s="25" t="s">
        <v>82</v>
      </c>
      <c r="C203" s="22">
        <f>IF(AND(B201&lt;0,C201&gt;0),"n/a",C201/B201-1)</f>
        <v>-4.9437299035369753E-2</v>
      </c>
      <c r="D203" s="22">
        <f t="shared" ref="D203:F203" si="3251">IF(AND(C201&lt;0,D201&gt;0),"n/a",D201/C201-1)</f>
        <v>7.6955602536997958E-2</v>
      </c>
      <c r="E203" s="22">
        <f t="shared" si="3251"/>
        <v>0.17078916372202602</v>
      </c>
      <c r="F203" s="22">
        <f t="shared" si="3251"/>
        <v>-0.2300469483568075</v>
      </c>
      <c r="G203" s="22">
        <f t="shared" ref="G203:BQ203" si="3252">IF(AND(F201&lt;0,G201&gt;0),"n/a",G201/F201-1)</f>
        <v>0.25479094076655051</v>
      </c>
      <c r="H203" s="22">
        <f t="shared" si="3252"/>
        <v>6.1437001041305006E-2</v>
      </c>
      <c r="I203" s="22">
        <f t="shared" si="3252"/>
        <v>0.14682799215173326</v>
      </c>
      <c r="J203" s="22">
        <f t="shared" si="3252"/>
        <v>-3.3646991730824083E-2</v>
      </c>
      <c r="K203" s="22">
        <f t="shared" si="3252"/>
        <v>1.3868397757450523E-2</v>
      </c>
      <c r="L203" s="22">
        <f t="shared" si="3252"/>
        <v>-5.0349243306169966E-2</v>
      </c>
      <c r="M203" s="22">
        <f t="shared" si="3252"/>
        <v>0.14832975789151082</v>
      </c>
      <c r="N203" s="22">
        <f t="shared" si="3252"/>
        <v>-5.337603416065706E-4</v>
      </c>
      <c r="O203" s="22">
        <f t="shared" si="3252"/>
        <v>-7.5567423230974651E-2</v>
      </c>
      <c r="P203" s="22">
        <f t="shared" si="3252"/>
        <v>8.5499711149624513E-2</v>
      </c>
      <c r="Q203" s="22">
        <f t="shared" si="3252"/>
        <v>0.18094731240021278</v>
      </c>
      <c r="R203" s="22">
        <f t="shared" si="3252"/>
        <v>-7.2780531771068024E-2</v>
      </c>
      <c r="S203" s="22">
        <f t="shared" si="3252"/>
        <v>3.4750911300121423E-2</v>
      </c>
      <c r="T203" s="22">
        <f t="shared" si="3252"/>
        <v>-0.12541099107562237</v>
      </c>
      <c r="U203" s="22">
        <f t="shared" si="3252"/>
        <v>0.18125671321160053</v>
      </c>
      <c r="V203" s="22">
        <f t="shared" si="3252"/>
        <v>1.0911570811548144E-2</v>
      </c>
      <c r="W203" s="22">
        <f t="shared" si="3252"/>
        <v>8.5001124353496715E-2</v>
      </c>
      <c r="X203" s="22">
        <f t="shared" si="3252"/>
        <v>-2.4248704663212384E-2</v>
      </c>
      <c r="Y203" s="22">
        <f t="shared" si="3252"/>
        <v>0.1427357689039932</v>
      </c>
      <c r="Z203" s="22">
        <f t="shared" si="3252"/>
        <v>-7.0631970260223165E-3</v>
      </c>
      <c r="AA203" s="22">
        <f t="shared" si="3252"/>
        <v>0.11718457506551849</v>
      </c>
      <c r="AB203" s="22">
        <f t="shared" si="3252"/>
        <v>-3.3679624664879393E-2</v>
      </c>
      <c r="AC203" s="22">
        <f t="shared" si="3252"/>
        <v>0.15120513265129176</v>
      </c>
      <c r="AD203" s="22">
        <f t="shared" si="3252"/>
        <v>-1.0694381683988508E-2</v>
      </c>
      <c r="AE203" s="22">
        <f t="shared" si="3252"/>
        <v>-0.37088915956151036</v>
      </c>
      <c r="AF203" s="22">
        <f t="shared" si="3252"/>
        <v>0.88334946757018384</v>
      </c>
      <c r="AG203" s="22">
        <f t="shared" si="3252"/>
        <v>-1.5163197121562555E-2</v>
      </c>
      <c r="AH203" s="22">
        <f t="shared" si="3252"/>
        <v>-4.0448851774530503E-3</v>
      </c>
      <c r="AI203" s="22">
        <f t="shared" si="3252"/>
        <v>-0.63225468361063797</v>
      </c>
      <c r="AJ203" s="22">
        <f t="shared" si="3252"/>
        <v>1.9604560028500178</v>
      </c>
      <c r="AK203" s="22">
        <f t="shared" si="3252"/>
        <v>-1.2876052948255112E-2</v>
      </c>
      <c r="AL203" s="22">
        <f t="shared" si="3252"/>
        <v>-0.19444105814945756</v>
      </c>
      <c r="AM203" s="22">
        <f t="shared" si="3252"/>
        <v>0.38922518159806296</v>
      </c>
      <c r="AN203" s="22">
        <f t="shared" si="3252"/>
        <v>-3.2679738562091387E-4</v>
      </c>
      <c r="AO203" s="22">
        <f t="shared" si="3252"/>
        <v>9.6981584395772202E-3</v>
      </c>
      <c r="AP203" s="22">
        <f t="shared" si="3252"/>
        <v>-0.13911072739045971</v>
      </c>
      <c r="AQ203" s="22">
        <f t="shared" si="3252"/>
        <v>-0.19982449542434499</v>
      </c>
      <c r="AR203" s="22">
        <f t="shared" si="3252"/>
        <v>0.75669747767507434</v>
      </c>
      <c r="AS203" s="22">
        <f t="shared" si="3252"/>
        <v>0.39579060019620083</v>
      </c>
      <c r="AT203" s="22">
        <f t="shared" si="3252"/>
        <v>5.02204331991567E-2</v>
      </c>
      <c r="AU203" s="22">
        <f t="shared" si="3252"/>
        <v>0.17789134270243956</v>
      </c>
      <c r="AV203" s="22">
        <f t="shared" si="3252"/>
        <v>8.6255875213057109E-2</v>
      </c>
      <c r="AW203" s="22">
        <f t="shared" si="3252"/>
        <v>4.060672340830207E-2</v>
      </c>
      <c r="AX203" s="22">
        <f t="shared" si="3252"/>
        <v>-8.1836874571624363E-2</v>
      </c>
      <c r="AY203" s="22">
        <f t="shared" si="3252"/>
        <v>-3.1900069672539111E-2</v>
      </c>
      <c r="AZ203" s="22">
        <f t="shared" si="3252"/>
        <v>-0.11915899861203927</v>
      </c>
      <c r="BA203" s="22">
        <f t="shared" si="3252"/>
        <v>5.9819083746717183E-2</v>
      </c>
      <c r="BB203" s="28">
        <f t="shared" si="3252"/>
        <v>-4.1024229074889895E-2</v>
      </c>
      <c r="BC203" s="28">
        <f t="shared" si="3252"/>
        <v>0.25397645707723226</v>
      </c>
      <c r="BD203" s="28">
        <f t="shared" si="3252"/>
        <v>-2.2666910889275527E-2</v>
      </c>
      <c r="BE203" s="28">
        <f t="shared" si="3252"/>
        <v>0.11029377313404853</v>
      </c>
      <c r="BF203" s="28">
        <f t="shared" si="3252"/>
        <v>7.4903996286449726E-2</v>
      </c>
      <c r="BG203" s="28">
        <f t="shared" si="3252"/>
        <v>7.6672424623115631E-2</v>
      </c>
      <c r="BH203" s="28">
        <f t="shared" si="3252"/>
        <v>3.9963536918869558E-2</v>
      </c>
      <c r="BI203" s="28">
        <f t="shared" si="3252"/>
        <v>8.5936678237088504E-2</v>
      </c>
      <c r="BJ203" s="28">
        <f t="shared" si="3252"/>
        <v>-1.181712514529254E-2</v>
      </c>
      <c r="BK203" s="28">
        <f t="shared" si="3252"/>
        <v>2.1727765797556087E-2</v>
      </c>
      <c r="BL203" s="28">
        <f t="shared" si="3252"/>
        <v>-1.3750759489622455E-3</v>
      </c>
      <c r="BM203" s="22">
        <f t="shared" si="3252"/>
        <v>0.17522741522996799</v>
      </c>
      <c r="BN203" s="22">
        <f t="shared" si="3252"/>
        <v>-1.3550745066572278E-2</v>
      </c>
      <c r="BO203" s="22">
        <f t="shared" si="3252"/>
        <v>4.9211704335965445E-2</v>
      </c>
      <c r="BP203" s="22">
        <f t="shared" si="3252"/>
        <v>3.969683762881826E-2</v>
      </c>
      <c r="BQ203" s="22">
        <f t="shared" si="3252"/>
        <v>3.9662958761666811E-2</v>
      </c>
      <c r="BR203" s="28">
        <f>IF(AND(BQ201&lt;0,BR201&gt;0),"n/a",BR201/BQ201-1)</f>
        <v>1.4009563846411055E-2</v>
      </c>
      <c r="BS203" s="28">
        <f t="shared" ref="BS203" si="3253">IF(AND(BR201&lt;0,BS201&gt;0),"n/a",BS201/BR201-1)</f>
        <v>4.44962630281589E-2</v>
      </c>
      <c r="BT203" s="28">
        <f t="shared" ref="BT203" si="3254">IF(AND(BS201&lt;0,BT201&gt;0),"n/a",BT201/BS201-1)</f>
        <v>4.1355617050667259E-2</v>
      </c>
      <c r="BU203" s="28">
        <f t="shared" ref="BU203" si="3255">IF(AND(BT201&lt;0,BU201&gt;0),"n/a",BU201/BT201-1)</f>
        <v>3.4200095463978952E-2</v>
      </c>
      <c r="BV203" s="28">
        <f t="shared" ref="BV203" si="3256">IF(AND(BU201&lt;0,BV201&gt;0),"n/a",BV201/BU201-1)</f>
        <v>2.090275670188757E-2</v>
      </c>
      <c r="BW203" s="28">
        <f t="shared" ref="BW203" si="3257">IF(AND(BV201&lt;0,BW201&gt;0),"n/a",BW201/BV201-1)</f>
        <v>4.0064028753715508E-2</v>
      </c>
      <c r="BX203" s="28">
        <f t="shared" ref="BX203" si="3258">IF(AND(BW201&lt;0,BX201&gt;0),"n/a",BX201/BW201-1)</f>
        <v>4.3319535401123321E-2</v>
      </c>
      <c r="BY203" s="28">
        <f t="shared" ref="BY203" si="3259">IF(AND(BX201&lt;0,BY201&gt;0),"n/a",BY201/BX201-1)</f>
        <v>2.9275543871464693E-2</v>
      </c>
      <c r="BZ203" s="28">
        <f t="shared" ref="BZ203" si="3260">IF(AND(BY201&lt;0,BZ201&gt;0),"n/a",BZ201/BY201-1)</f>
        <v>2.1823742140709257E-2</v>
      </c>
      <c r="CA203" s="28">
        <f t="shared" ref="CA203" si="3261">IF(AND(BZ201&lt;0,CA201&gt;0),"n/a",CA201/BZ201-1)</f>
        <v>3.6008524416389243E-2</v>
      </c>
      <c r="CB203" s="28">
        <f t="shared" ref="CB203" si="3262">IF(AND(CA201&lt;0,CB201&gt;0),"n/a",CB201/CA201-1)</f>
        <v>4.5075017237194981E-2</v>
      </c>
      <c r="CC203" s="28">
        <f t="shared" ref="CC203" si="3263">IF(AND(CB201&lt;0,CC201&gt;0),"n/a",CC201/CB201-1)</f>
        <v>2.5119330599321144E-2</v>
      </c>
      <c r="CD203" s="28">
        <f t="shared" ref="CD203" si="3264">IF(AND(CC201&lt;0,CD201&gt;0),"n/a",CD201/CC201-1)</f>
        <v>2.135726088431622E-2</v>
      </c>
      <c r="CE203" s="28">
        <f t="shared" ref="CE203" si="3265">IF(AND(CD201&lt;0,CE201&gt;0),"n/a",CE201/CD201-1)</f>
        <v>3.6454642269465154E-2</v>
      </c>
      <c r="CF203" s="28">
        <f t="shared" ref="CF203" si="3266">IF(AND(CE201&lt;0,CF201&gt;0),"n/a",CF201/CE201-1)</f>
        <v>4.5224680913219073E-2</v>
      </c>
      <c r="CG203" s="28">
        <f t="shared" ref="CG203" si="3267">IF(AND(CF201&lt;0,CG201&gt;0),"n/a",CG201/CF201-1)</f>
        <v>2.1354253738004703E-2</v>
      </c>
      <c r="CH203" s="28"/>
      <c r="CI203" s="106" t="s">
        <v>82</v>
      </c>
      <c r="CJ203" s="48" t="s">
        <v>82</v>
      </c>
      <c r="CK203" s="106" t="s">
        <v>82</v>
      </c>
      <c r="CL203" s="106" t="s">
        <v>82</v>
      </c>
      <c r="CM203" s="48" t="s">
        <v>82</v>
      </c>
      <c r="CN203" s="106" t="s">
        <v>82</v>
      </c>
      <c r="CO203" s="48" t="s">
        <v>82</v>
      </c>
      <c r="CP203" s="106" t="s">
        <v>82</v>
      </c>
      <c r="CQ203" s="48" t="s">
        <v>82</v>
      </c>
      <c r="CR203" s="106" t="s">
        <v>82</v>
      </c>
      <c r="CS203" s="48" t="s">
        <v>82</v>
      </c>
      <c r="CT203" s="106" t="s">
        <v>82</v>
      </c>
      <c r="CU203" s="48" t="s">
        <v>82</v>
      </c>
      <c r="CV203" s="106" t="s">
        <v>82</v>
      </c>
      <c r="CW203" s="48" t="s">
        <v>82</v>
      </c>
      <c r="CX203" s="106" t="s">
        <v>82</v>
      </c>
      <c r="CY203" s="106" t="s">
        <v>82</v>
      </c>
      <c r="CZ203" s="106" t="s">
        <v>82</v>
      </c>
      <c r="DA203" s="106" t="s">
        <v>82</v>
      </c>
      <c r="DB203" s="106" t="s">
        <v>82</v>
      </c>
      <c r="DC203" s="106" t="s">
        <v>82</v>
      </c>
    </row>
    <row r="204" spans="1:108" x14ac:dyDescent="0.2">
      <c r="A204" s="7" t="s">
        <v>63</v>
      </c>
      <c r="B204" s="25" t="s">
        <v>82</v>
      </c>
      <c r="C204" s="25" t="s">
        <v>82</v>
      </c>
      <c r="D204" s="25" t="s">
        <v>82</v>
      </c>
      <c r="E204" s="25" t="s">
        <v>82</v>
      </c>
      <c r="F204" s="22">
        <f>IF(AND(B201&lt;0,F201&gt;0),"n/a",F201/B201-1)</f>
        <v>-7.7170418006430874E-2</v>
      </c>
      <c r="G204" s="22">
        <f t="shared" ref="G204:BQ204" si="3268">IF(AND(C201&lt;0,G201&gt;0),"n/a",G201/C201-1)</f>
        <v>0.21818181818181825</v>
      </c>
      <c r="H204" s="22">
        <f t="shared" si="3268"/>
        <v>0.20062819002748333</v>
      </c>
      <c r="I204" s="22">
        <f t="shared" si="3268"/>
        <v>0.176056338028169</v>
      </c>
      <c r="J204" s="22">
        <f t="shared" si="3268"/>
        <v>0.47604529616724744</v>
      </c>
      <c r="K204" s="22">
        <f t="shared" si="3268"/>
        <v>0.19264144394307525</v>
      </c>
      <c r="L204" s="22">
        <f t="shared" si="3268"/>
        <v>6.7037279267495142E-2</v>
      </c>
      <c r="M204" s="22">
        <f t="shared" si="3268"/>
        <v>6.8434559452523525E-2</v>
      </c>
      <c r="N204" s="22">
        <f t="shared" si="3268"/>
        <v>0.10504573620537028</v>
      </c>
      <c r="O204" s="22">
        <f t="shared" si="3268"/>
        <v>7.5669383003491575E-3</v>
      </c>
      <c r="P204" s="22">
        <f t="shared" si="3268"/>
        <v>0.15170088875268162</v>
      </c>
      <c r="Q204" s="22">
        <f t="shared" si="3268"/>
        <v>0.18441419802508663</v>
      </c>
      <c r="R204" s="22">
        <f t="shared" si="3268"/>
        <v>9.8798397863818499E-2</v>
      </c>
      <c r="S204" s="22">
        <f t="shared" si="3268"/>
        <v>0.22992489890236856</v>
      </c>
      <c r="T204" s="22">
        <f t="shared" si="3268"/>
        <v>-9.0473656200106278E-3</v>
      </c>
      <c r="U204" s="22">
        <f t="shared" si="3268"/>
        <v>-8.7877422262280236E-3</v>
      </c>
      <c r="V204" s="22">
        <f t="shared" si="3268"/>
        <v>8.0680437424058393E-2</v>
      </c>
      <c r="W204" s="22">
        <f t="shared" si="3268"/>
        <v>0.13316110850164398</v>
      </c>
      <c r="X204" s="22">
        <f t="shared" si="3268"/>
        <v>0.26423200859291085</v>
      </c>
      <c r="Y204" s="22">
        <f t="shared" si="3268"/>
        <v>0.22300522846101378</v>
      </c>
      <c r="Z204" s="22">
        <f t="shared" si="3268"/>
        <v>0.20125927591634807</v>
      </c>
      <c r="AA204" s="22">
        <f t="shared" si="3268"/>
        <v>0.23689119170984463</v>
      </c>
      <c r="AB204" s="22">
        <f t="shared" si="3268"/>
        <v>0.22493627867459653</v>
      </c>
      <c r="AC204" s="22">
        <f t="shared" si="3268"/>
        <v>0.23401486988847586</v>
      </c>
      <c r="AD204" s="22">
        <f t="shared" si="3268"/>
        <v>0.229502059153875</v>
      </c>
      <c r="AE204" s="22">
        <f t="shared" si="3268"/>
        <v>-0.30764075067024133</v>
      </c>
      <c r="AF204" s="22">
        <f t="shared" si="3268"/>
        <v>0.34940176868389106</v>
      </c>
      <c r="AG204" s="22">
        <f t="shared" si="3268"/>
        <v>0.15439072149420086</v>
      </c>
      <c r="AH204" s="22">
        <f t="shared" si="3268"/>
        <v>0.16214981729598055</v>
      </c>
      <c r="AI204" s="22">
        <f t="shared" si="3268"/>
        <v>-0.32066795740561471</v>
      </c>
      <c r="AJ204" s="22">
        <f t="shared" si="3268"/>
        <v>6.7848882035466351E-2</v>
      </c>
      <c r="AK204" s="22">
        <f t="shared" si="3268"/>
        <v>7.0328810020876764E-2</v>
      </c>
      <c r="AL204" s="22">
        <f t="shared" si="3268"/>
        <v>-0.13428533997117775</v>
      </c>
      <c r="AM204" s="22">
        <f t="shared" si="3268"/>
        <v>2.2703954399714998</v>
      </c>
      <c r="AN204" s="22">
        <f t="shared" si="3268"/>
        <v>0.10433212996389885</v>
      </c>
      <c r="AO204" s="22">
        <f t="shared" si="3268"/>
        <v>0.12958673655979513</v>
      </c>
      <c r="AP204" s="22">
        <f t="shared" si="3268"/>
        <v>0.20717312348668271</v>
      </c>
      <c r="AQ204" s="22">
        <f t="shared" si="3268"/>
        <v>-0.30468409586056644</v>
      </c>
      <c r="AR204" s="22">
        <f t="shared" si="3268"/>
        <v>0.22185899531437281</v>
      </c>
      <c r="AS204" s="22">
        <f t="shared" si="3268"/>
        <v>0.68907835096050074</v>
      </c>
      <c r="AT204" s="22">
        <f t="shared" si="3268"/>
        <v>1.0605490786009777</v>
      </c>
      <c r="AU204" s="22">
        <f t="shared" si="3268"/>
        <v>2.0332132226225914</v>
      </c>
      <c r="AV204" s="22">
        <f t="shared" si="3268"/>
        <v>0.87559083206991883</v>
      </c>
      <c r="AW204" s="22">
        <f t="shared" si="3268"/>
        <v>0.39831320682384508</v>
      </c>
      <c r="AX204" s="22">
        <f t="shared" si="3268"/>
        <v>0.22248585508304441</v>
      </c>
      <c r="AY204" s="22">
        <f t="shared" si="3268"/>
        <v>4.751820670420015E-3</v>
      </c>
      <c r="AZ204" s="22">
        <f t="shared" si="3268"/>
        <v>-0.18525034472920932</v>
      </c>
      <c r="BA204" s="22">
        <f t="shared" si="3268"/>
        <v>-0.17020790495773364</v>
      </c>
      <c r="BB204" s="28">
        <f t="shared" si="3268"/>
        <v>-0.13332338011346667</v>
      </c>
      <c r="BC204" s="28">
        <f t="shared" si="3268"/>
        <v>0.12260319745026482</v>
      </c>
      <c r="BD204" s="28">
        <f t="shared" si="3268"/>
        <v>0.24557922381091335</v>
      </c>
      <c r="BE204" s="28">
        <f t="shared" si="3268"/>
        <v>0.30490088105726865</v>
      </c>
      <c r="BF204" s="28">
        <f t="shared" si="3268"/>
        <v>0.46264714326729828</v>
      </c>
      <c r="BG204" s="28">
        <f t="shared" si="3268"/>
        <v>0.25583844674420742</v>
      </c>
      <c r="BH204" s="28">
        <f t="shared" si="3268"/>
        <v>0.33631635665089266</v>
      </c>
      <c r="BI204" s="28">
        <f t="shared" si="3268"/>
        <v>0.30700088618812504</v>
      </c>
      <c r="BJ204" s="28">
        <f t="shared" si="3268"/>
        <v>0.20155464824120606</v>
      </c>
      <c r="BK204" s="28">
        <f t="shared" si="3268"/>
        <v>0.14023701002734734</v>
      </c>
      <c r="BL204" s="28">
        <f t="shared" si="3268"/>
        <v>9.491252059885702E-2</v>
      </c>
      <c r="BM204" s="22">
        <f t="shared" si="3268"/>
        <v>0.18494129287102679</v>
      </c>
      <c r="BN204" s="22">
        <f t="shared" si="3268"/>
        <v>0.18286248956129492</v>
      </c>
      <c r="BO204" s="22">
        <f t="shared" si="3268"/>
        <v>0.21468086726498359</v>
      </c>
      <c r="BP204" s="22">
        <f t="shared" si="3268"/>
        <v>0.2646388308640788</v>
      </c>
      <c r="BQ204" s="22">
        <f t="shared" si="3268"/>
        <v>0.11876061741102628</v>
      </c>
      <c r="BR204" s="28">
        <f>IF(AND(BN201&lt;0,BR201&gt;0),"n/a",BR201/BN201-1)</f>
        <v>0.15001756049382942</v>
      </c>
      <c r="BS204" s="28">
        <f t="shared" ref="BS204" si="3269">IF(AND(BO201&lt;0,BS201&gt;0),"n/a",BS201/BO201-1)</f>
        <v>0.14484907039116957</v>
      </c>
      <c r="BT204" s="28">
        <f t="shared" ref="BT204" si="3270">IF(AND(BP201&lt;0,BT201&gt;0),"n/a",BT201/BP201-1)</f>
        <v>0.14667561444743393</v>
      </c>
      <c r="BU204" s="28">
        <f t="shared" ref="BU204" si="3271">IF(AND(BQ201&lt;0,BU201&gt;0),"n/a",BU201/BQ201-1)</f>
        <v>0.14065045785632102</v>
      </c>
      <c r="BV204" s="28">
        <f t="shared" ref="BV204" si="3272">IF(AND(BR201&lt;0,BV201&gt;0),"n/a",BV201/BR201-1)</f>
        <v>0.14840454999413644</v>
      </c>
      <c r="BW204" s="28">
        <f t="shared" ref="BW204" si="3273">IF(AND(BS201&lt;0,BW201&gt;0),"n/a",BW201/BS201-1)</f>
        <v>0.1435313894213508</v>
      </c>
      <c r="BX204" s="28">
        <f t="shared" ref="BX204" si="3274">IF(AND(BT201&lt;0,BX201&gt;0),"n/a",BX201/BT201-1)</f>
        <v>0.14568800359160683</v>
      </c>
      <c r="BY204" s="28">
        <f t="shared" ref="BY204" si="3275">IF(AND(BU201&lt;0,BY201&gt;0),"n/a",BY201/BU201-1)</f>
        <v>0.14023257991938176</v>
      </c>
      <c r="BZ204" s="28">
        <f t="shared" ref="BZ204" si="3276">IF(AND(BV201&lt;0,BZ201&gt;0),"n/a",BZ201/BV201-1)</f>
        <v>0.1412612161886857</v>
      </c>
      <c r="CA204" s="28">
        <f t="shared" ref="CA204" si="3277">IF(AND(BW201&lt;0,CA201&gt;0),"n/a",CA201/BW201-1)</f>
        <v>0.13681111534458523</v>
      </c>
      <c r="CB204" s="28">
        <f t="shared" ref="CB204" si="3278">IF(AND(BX201&lt;0,CB201&gt;0),"n/a",CB201/BX201-1)</f>
        <v>0.13872390543076363</v>
      </c>
      <c r="CC204" s="28">
        <f t="shared" ref="CC204" si="3279">IF(AND(BY201&lt;0,CC201&gt;0),"n/a",CC201/BY201-1)</f>
        <v>0.13412573982074938</v>
      </c>
      <c r="CD204" s="28">
        <f t="shared" ref="CD204" si="3280">IF(AND(BZ201&lt;0,CD201&gt;0),"n/a",CD201/BZ201-1)</f>
        <v>0.13360799064523032</v>
      </c>
      <c r="CE204" s="28">
        <f t="shared" ref="CE204" si="3281">IF(AND(CA201&lt;0,CE201&gt;0),"n/a",CE201/CA201-1)</f>
        <v>0.13409613601382309</v>
      </c>
      <c r="CF204" s="28">
        <f t="shared" ref="CF204" si="3282">IF(AND(CB201&lt;0,CF201&gt;0),"n/a",CF201/CB201-1)</f>
        <v>0.13425854827503025</v>
      </c>
      <c r="CG204" s="28">
        <f t="shared" ref="CG204" si="3283">IF(AND(CC201&lt;0,CG201&gt;0),"n/a",CG201/CC201-1)</f>
        <v>0.13009262291650248</v>
      </c>
      <c r="CH204" s="28"/>
      <c r="CI204" s="106" t="s">
        <v>82</v>
      </c>
      <c r="CJ204" s="22">
        <f>IF(AND(CI201&lt;0,CJ201&gt;0),"n/a",CJ201/CI201-1)</f>
        <v>0.1309959545366981</v>
      </c>
      <c r="CK204" s="107">
        <f t="shared" ref="CK204:CY204" si="3284">IF(AND(CJ201&lt;0,CK201&gt;0),"n/a",CK201/CJ201-1)</f>
        <v>0.17824902060977688</v>
      </c>
      <c r="CL204" s="107">
        <f t="shared" si="3284"/>
        <v>0.11333574268160462</v>
      </c>
      <c r="CM204" s="22">
        <f t="shared" si="3284"/>
        <v>7.0960202557943219E-2</v>
      </c>
      <c r="CN204" s="107">
        <f t="shared" si="3284"/>
        <v>0.17361784675072744</v>
      </c>
      <c r="CO204" s="22">
        <f t="shared" si="3284"/>
        <v>0.22500000000000009</v>
      </c>
      <c r="CP204" s="107">
        <f t="shared" si="3284"/>
        <v>0.10246247259234265</v>
      </c>
      <c r="CQ204" s="22">
        <f t="shared" si="3284"/>
        <v>3.0865141895509929E-2</v>
      </c>
      <c r="CR204" s="107">
        <f t="shared" si="3284"/>
        <v>0.27002560011872512</v>
      </c>
      <c r="CS204" s="22">
        <f t="shared" si="3284"/>
        <v>0.20428851041453644</v>
      </c>
      <c r="CT204" s="107">
        <f t="shared" si="3284"/>
        <v>0.90942169609935952</v>
      </c>
      <c r="CU204" s="22">
        <f t="shared" si="3284"/>
        <v>-4.9190741164214735E-2</v>
      </c>
      <c r="CV204" s="107">
        <f t="shared" si="3284"/>
        <v>0.12627936185564259</v>
      </c>
      <c r="CW204" s="22">
        <f t="shared" si="3284"/>
        <v>0.33332542441246593</v>
      </c>
      <c r="CX204" s="107">
        <f t="shared" si="3284"/>
        <v>0.15495152347007246</v>
      </c>
      <c r="CY204" s="107">
        <f t="shared" si="3284"/>
        <v>0.19207758328765334</v>
      </c>
      <c r="CZ204" s="107">
        <f>IF(AND(CY201&lt;0,CZ201&gt;0),"n/a",CZ201/CY201-1)</f>
        <v>0.14541039845234494</v>
      </c>
      <c r="DA204" s="107">
        <f>IF(AND(CZ201&lt;0,DA201&gt;0),"n/a",DA201/CZ201-1)</f>
        <v>0.14435544985498638</v>
      </c>
      <c r="DB204" s="107">
        <f>IF(AND(DA201&lt;0,DB201&gt;0),"n/a",DB201/DA201-1)</f>
        <v>0.13764241853109316</v>
      </c>
      <c r="DC204" s="107">
        <f>IF(AND(DB201&lt;0,DC201&gt;0),"n/a",DC201/DB201-1)</f>
        <v>0.13297146289800876</v>
      </c>
    </row>
    <row r="205" spans="1:108" x14ac:dyDescent="0.2">
      <c r="BE205" s="20"/>
      <c r="BF205" s="20"/>
      <c r="BG205" s="20"/>
      <c r="BH205" s="20"/>
      <c r="BI205" s="20"/>
      <c r="BJ205" s="20"/>
      <c r="BK205" s="20"/>
      <c r="BL205" s="20"/>
      <c r="CI205" s="92"/>
      <c r="CK205" s="92"/>
      <c r="CL205" s="92"/>
      <c r="CN205" s="92"/>
      <c r="CP205" s="92"/>
      <c r="CR205" s="92"/>
      <c r="CT205" s="92"/>
      <c r="CV205" s="92"/>
      <c r="CW205" s="92"/>
      <c r="CX205" s="92"/>
      <c r="CY205" s="92"/>
      <c r="CZ205" s="92"/>
      <c r="DA205" s="92"/>
      <c r="DB205" s="92"/>
      <c r="DC205" s="92"/>
    </row>
    <row r="206" spans="1:108" x14ac:dyDescent="0.2">
      <c r="A206" s="5" t="s">
        <v>117</v>
      </c>
      <c r="BH206" s="20"/>
      <c r="BI206" s="20"/>
      <c r="BJ206" s="20"/>
      <c r="BK206" s="20"/>
      <c r="BL206" s="20"/>
      <c r="CI206" s="92"/>
      <c r="CK206" s="92"/>
      <c r="CL206" s="92"/>
      <c r="CN206" s="92"/>
      <c r="CP206" s="92"/>
      <c r="CR206" s="92"/>
      <c r="CT206" s="89"/>
      <c r="CU206" s="111"/>
      <c r="CV206" s="111"/>
      <c r="CW206" s="111"/>
      <c r="CX206" s="111"/>
      <c r="CY206" s="111"/>
      <c r="CZ206" s="111"/>
      <c r="DA206" s="111"/>
      <c r="DB206" s="111"/>
      <c r="DC206" s="111"/>
      <c r="DD206" s="256"/>
    </row>
    <row r="207" spans="1:108" hidden="1" outlineLevel="1" x14ac:dyDescent="0.2">
      <c r="A207" s="9" t="s">
        <v>116</v>
      </c>
      <c r="B207" s="17">
        <v>2488</v>
      </c>
      <c r="C207" s="17">
        <v>2365</v>
      </c>
      <c r="D207" s="17">
        <v>2547</v>
      </c>
      <c r="E207" s="17">
        <v>2982</v>
      </c>
      <c r="F207" s="17">
        <v>2296</v>
      </c>
      <c r="G207" s="17">
        <v>2881</v>
      </c>
      <c r="H207" s="17">
        <v>3058</v>
      </c>
      <c r="I207" s="17">
        <v>3507</v>
      </c>
      <c r="J207" s="17">
        <v>3389</v>
      </c>
      <c r="K207" s="17">
        <v>3436</v>
      </c>
      <c r="L207" s="17">
        <v>3263</v>
      </c>
      <c r="M207" s="17">
        <v>3747</v>
      </c>
      <c r="N207" s="17">
        <v>3748</v>
      </c>
      <c r="O207" s="17">
        <v>3465</v>
      </c>
      <c r="P207" s="17">
        <v>3761</v>
      </c>
      <c r="Q207" s="17">
        <v>4429</v>
      </c>
      <c r="R207" s="17">
        <v>4115</v>
      </c>
      <c r="S207" s="17">
        <v>4258</v>
      </c>
      <c r="T207" s="17">
        <v>3724</v>
      </c>
      <c r="U207" s="17">
        <v>5223</v>
      </c>
      <c r="V207" s="17">
        <v>5188</v>
      </c>
      <c r="W207" s="17">
        <v>5630</v>
      </c>
      <c r="X207" s="17">
        <v>5835</v>
      </c>
      <c r="Y207" s="17">
        <v>6744</v>
      </c>
      <c r="Z207" s="17">
        <v>6272</v>
      </c>
      <c r="AA207" s="17">
        <v>6994</v>
      </c>
      <c r="AB207" s="17">
        <v>6778</v>
      </c>
      <c r="AC207" s="17">
        <v>7883</v>
      </c>
      <c r="AD207" s="17">
        <v>7446</v>
      </c>
      <c r="AE207" s="17">
        <v>7664</v>
      </c>
      <c r="AF207" s="17">
        <v>8582</v>
      </c>
      <c r="AG207" s="17">
        <v>8595</v>
      </c>
      <c r="AH207" s="17">
        <v>8368</v>
      </c>
      <c r="AI207" s="17">
        <v>8959</v>
      </c>
      <c r="AJ207" s="17">
        <v>9490</v>
      </c>
      <c r="AK207" s="17">
        <v>9700</v>
      </c>
      <c r="AL207" s="17">
        <v>9325</v>
      </c>
      <c r="AM207" s="17">
        <v>10388</v>
      </c>
      <c r="AN207" s="17">
        <v>10865</v>
      </c>
      <c r="AO207" s="17">
        <v>13488</v>
      </c>
      <c r="AP207" s="17">
        <v>11548</v>
      </c>
      <c r="AQ207" s="17">
        <v>9539</v>
      </c>
      <c r="AR207" s="17">
        <v>14453</v>
      </c>
      <c r="AS207" s="17">
        <v>19066</v>
      </c>
      <c r="AT207" s="17">
        <v>19546</v>
      </c>
      <c r="AU207" s="18">
        <v>22343</v>
      </c>
      <c r="AV207" s="18">
        <v>23973</v>
      </c>
      <c r="AW207" s="18">
        <v>25993</v>
      </c>
      <c r="AX207" s="18">
        <v>21973</v>
      </c>
      <c r="AY207" s="18">
        <v>21621</v>
      </c>
      <c r="AZ207" s="18">
        <v>18883</v>
      </c>
      <c r="BA207" s="18">
        <v>20222</v>
      </c>
      <c r="BB207" s="18">
        <v>21737</v>
      </c>
      <c r="BC207" s="18">
        <v>23454</v>
      </c>
      <c r="BD207" s="18">
        <v>23937</v>
      </c>
      <c r="BE207" s="18">
        <v>26730</v>
      </c>
      <c r="BF207" s="18">
        <v>27897</v>
      </c>
      <c r="BG207" s="18">
        <v>29674</v>
      </c>
      <c r="BH207" s="18">
        <v>30856</v>
      </c>
      <c r="BI207" s="18">
        <v>32836</v>
      </c>
      <c r="BJ207" s="18">
        <v>32682</v>
      </c>
      <c r="BK207" s="18">
        <v>33063</v>
      </c>
      <c r="BL207" s="18">
        <v>33527</v>
      </c>
      <c r="BM207" s="16">
        <f t="shared" ref="BM207:CG207" si="3285">BM208*BM$80</f>
        <v>37087.165353333337</v>
      </c>
      <c r="BN207" s="16">
        <f t="shared" si="3285"/>
        <v>36977.809489921492</v>
      </c>
      <c r="BO207" s="16">
        <f t="shared" si="3285"/>
        <v>37110.172619513054</v>
      </c>
      <c r="BP207" s="16">
        <f t="shared" si="3285"/>
        <v>39470.007027645494</v>
      </c>
      <c r="BQ207" s="16">
        <f t="shared" si="3285"/>
        <v>40968.628549638786</v>
      </c>
      <c r="BR207" s="72">
        <f>BR208*BR$80</f>
        <v>41092.291254753029</v>
      </c>
      <c r="BS207" s="72">
        <f t="shared" si="3285"/>
        <v>40999.872002992059</v>
      </c>
      <c r="BT207" s="72">
        <f t="shared" si="3285"/>
        <v>43660.772909350424</v>
      </c>
      <c r="BU207" s="72">
        <f t="shared" si="3285"/>
        <v>45116.18914226276</v>
      </c>
      <c r="BV207" s="72">
        <f t="shared" si="3285"/>
        <v>45634.5556271553</v>
      </c>
      <c r="BW207" s="72">
        <f t="shared" si="3285"/>
        <v>45288.728166507914</v>
      </c>
      <c r="BX207" s="72">
        <f t="shared" si="3285"/>
        <v>48290.780396106908</v>
      </c>
      <c r="BY207" s="72">
        <f t="shared" si="3285"/>
        <v>49693.336869140316</v>
      </c>
      <c r="BZ207" s="72">
        <f t="shared" si="3285"/>
        <v>50389.478478551195</v>
      </c>
      <c r="CA207" s="72">
        <f t="shared" si="3285"/>
        <v>49758.230272617206</v>
      </c>
      <c r="CB207" s="72">
        <f t="shared" si="3285"/>
        <v>53120.481841493347</v>
      </c>
      <c r="CC207" s="72">
        <f t="shared" si="3285"/>
        <v>54451.936160368125</v>
      </c>
      <c r="CD207" s="72">
        <f t="shared" si="3285"/>
        <v>55404.565516540009</v>
      </c>
      <c r="CE207" s="72">
        <f t="shared" si="3285"/>
        <v>54461.942846514045</v>
      </c>
      <c r="CF207" s="72">
        <f t="shared" si="3285"/>
        <v>58205.684825538272</v>
      </c>
      <c r="CG207" s="72">
        <f t="shared" si="3285"/>
        <v>59457.659818908141</v>
      </c>
      <c r="CH207" s="72"/>
      <c r="CI207" s="89">
        <f>SUM(B207:E207)</f>
        <v>10382</v>
      </c>
      <c r="CJ207" s="20">
        <f>SUM(F207:I207)</f>
        <v>11742</v>
      </c>
      <c r="CK207" s="89">
        <f>SUM(J207:M207)</f>
        <v>13835</v>
      </c>
      <c r="CL207" s="89">
        <f>SUM(N207:Q207)</f>
        <v>15403</v>
      </c>
      <c r="CM207" s="20">
        <f>SUM(R207:U207)</f>
        <v>17320</v>
      </c>
      <c r="CN207" s="89">
        <f>SUM(V207:Y207)</f>
        <v>23397</v>
      </c>
      <c r="CO207" s="20">
        <f>SUM(Z207:AC207)</f>
        <v>27927</v>
      </c>
      <c r="CP207" s="89">
        <f>SUM(AD207:AG207)</f>
        <v>32287</v>
      </c>
      <c r="CQ207" s="20">
        <f>SUM(AH207:AK207)</f>
        <v>36517</v>
      </c>
      <c r="CR207" s="89">
        <f>SUM(AL207:AO207)</f>
        <v>44066</v>
      </c>
      <c r="CS207" s="20">
        <f>SUM(AP207:AS207)</f>
        <v>54606</v>
      </c>
      <c r="CT207" s="116">
        <v>88132</v>
      </c>
      <c r="CU207" s="20">
        <f>SUM(AX207:BA207)</f>
        <v>82699</v>
      </c>
      <c r="CV207" s="89">
        <f>SUM(BB207:BE207)</f>
        <v>95858</v>
      </c>
      <c r="CW207" s="20">
        <f>SUM(BF207:BI207)</f>
        <v>121263</v>
      </c>
      <c r="CX207" s="89">
        <f>SUM(BJ207:BM207)</f>
        <v>136359.16535333334</v>
      </c>
      <c r="CY207" s="89">
        <f>SUM(BN207:BQ207)</f>
        <v>154526.61768671882</v>
      </c>
      <c r="CZ207" s="89">
        <f>SUM(BR207:BU207)</f>
        <v>170869.12530935829</v>
      </c>
      <c r="DA207" s="89">
        <f>SUM(BV207:BY207)</f>
        <v>188907.40105891041</v>
      </c>
      <c r="DB207" s="89">
        <f>SUM(BZ207:CC207)</f>
        <v>207720.12675302985</v>
      </c>
      <c r="DC207" s="89">
        <f>SUM(CD207:CG207)</f>
        <v>227529.85300750047</v>
      </c>
      <c r="DD207" s="33"/>
    </row>
    <row r="208" spans="1:108" hidden="1" outlineLevel="1" x14ac:dyDescent="0.2">
      <c r="A208" s="8" t="s">
        <v>127</v>
      </c>
      <c r="B208" s="22">
        <f>B207/B$80</f>
        <v>0.49131121642969983</v>
      </c>
      <c r="C208" s="22">
        <f t="shared" ref="C208:AT208" si="3286">C207/C$80</f>
        <v>0.46481918238993708</v>
      </c>
      <c r="D208" s="22">
        <f t="shared" si="3286"/>
        <v>0.46469622331691296</v>
      </c>
      <c r="E208" s="22">
        <f t="shared" si="3286"/>
        <v>0.46805838957777429</v>
      </c>
      <c r="F208" s="22">
        <f t="shared" si="3286"/>
        <v>0.35128518971848227</v>
      </c>
      <c r="G208" s="22">
        <f t="shared" si="3286"/>
        <v>0.41669077234596469</v>
      </c>
      <c r="H208" s="22">
        <f t="shared" si="3286"/>
        <v>0.40708200212992546</v>
      </c>
      <c r="I208" s="22">
        <f t="shared" si="3286"/>
        <v>0.43125922282341367</v>
      </c>
      <c r="J208" s="22">
        <f t="shared" si="3286"/>
        <v>0.41654375614552608</v>
      </c>
      <c r="K208" s="22">
        <f t="shared" si="3286"/>
        <v>0.41095562731730656</v>
      </c>
      <c r="L208" s="22">
        <f t="shared" si="3286"/>
        <v>0.37282906764168189</v>
      </c>
      <c r="M208" s="22">
        <f t="shared" si="3286"/>
        <v>0.38110252237591535</v>
      </c>
      <c r="N208" s="22">
        <f t="shared" si="3286"/>
        <v>0.37540064102564102</v>
      </c>
      <c r="O208" s="22">
        <f t="shared" si="3286"/>
        <v>0.3433752849073432</v>
      </c>
      <c r="P208" s="22">
        <f t="shared" si="3286"/>
        <v>0.34895156800890703</v>
      </c>
      <c r="Q208" s="22">
        <f t="shared" si="3286"/>
        <v>0.3569471308833011</v>
      </c>
      <c r="R208" s="22">
        <f t="shared" si="3286"/>
        <v>0.33759947493641806</v>
      </c>
      <c r="S208" s="22">
        <f t="shared" si="3286"/>
        <v>0.33630834847168473</v>
      </c>
      <c r="T208" s="22">
        <f t="shared" si="3286"/>
        <v>0.28265654648956356</v>
      </c>
      <c r="U208" s="22">
        <f t="shared" si="3286"/>
        <v>0.36338968900020874</v>
      </c>
      <c r="V208" s="22">
        <f t="shared" si="3286"/>
        <v>0.3750451818116099</v>
      </c>
      <c r="W208" s="22">
        <f t="shared" si="3286"/>
        <v>0.39436817035584198</v>
      </c>
      <c r="X208" s="22">
        <f t="shared" si="3286"/>
        <v>0.38985768691120465</v>
      </c>
      <c r="Y208" s="22">
        <f t="shared" si="3286"/>
        <v>0.39385621678444199</v>
      </c>
      <c r="Z208" s="22">
        <f t="shared" si="3286"/>
        <v>0.38471446972949763</v>
      </c>
      <c r="AA208" s="22">
        <f t="shared" si="3286"/>
        <v>0.40334486735870817</v>
      </c>
      <c r="AB208" s="22">
        <f t="shared" si="3286"/>
        <v>0.37505533421868081</v>
      </c>
      <c r="AC208" s="22">
        <f t="shared" si="3286"/>
        <v>0.37620502052114158</v>
      </c>
      <c r="AD208" s="22">
        <f t="shared" si="3286"/>
        <v>0.3725048776827255</v>
      </c>
      <c r="AE208" s="22">
        <f t="shared" si="3286"/>
        <v>0.36807223129382383</v>
      </c>
      <c r="AF208" s="22">
        <f t="shared" si="3286"/>
        <v>0.38739674084774073</v>
      </c>
      <c r="AG208" s="22">
        <f t="shared" si="3286"/>
        <v>0.33389014062621397</v>
      </c>
      <c r="AH208" s="22">
        <f t="shared" si="3286"/>
        <v>0.3386757325562571</v>
      </c>
      <c r="AI208" s="22">
        <f t="shared" si="3286"/>
        <v>0.34336195002299558</v>
      </c>
      <c r="AJ208" s="22">
        <f t="shared" si="3286"/>
        <v>0.35132533688730933</v>
      </c>
      <c r="AK208" s="22">
        <f t="shared" si="3286"/>
        <v>0.30733160129269377</v>
      </c>
      <c r="AL208" s="22">
        <f t="shared" si="3286"/>
        <v>0.31965583436171674</v>
      </c>
      <c r="AM208" s="22">
        <f t="shared" si="3286"/>
        <v>0.33044916656063111</v>
      </c>
      <c r="AN208" s="22">
        <f t="shared" si="3286"/>
        <v>0.33190774400488776</v>
      </c>
      <c r="AO208" s="22">
        <f t="shared" si="3286"/>
        <v>0.36150196992843936</v>
      </c>
      <c r="AP208" s="22">
        <f t="shared" si="3286"/>
        <v>0.34447990931599198</v>
      </c>
      <c r="AQ208" s="22">
        <f t="shared" si="3286"/>
        <v>0.30472144134934831</v>
      </c>
      <c r="AR208" s="22">
        <f t="shared" si="3286"/>
        <v>0.38183931732318827</v>
      </c>
      <c r="AS208" s="22">
        <f t="shared" si="3286"/>
        <v>0.41234482460314026</v>
      </c>
      <c r="AT208" s="22">
        <f t="shared" si="3286"/>
        <v>0.42945971480675849</v>
      </c>
      <c r="AU208" s="22">
        <f t="shared" ref="AU208:BA208" si="3287">AU207/AU$80</f>
        <v>0.44011740141039279</v>
      </c>
      <c r="AV208" s="22">
        <f t="shared" si="3287"/>
        <v>0.44913444244604317</v>
      </c>
      <c r="AW208" s="22">
        <f t="shared" si="3287"/>
        <v>0.42255421530058196</v>
      </c>
      <c r="AX208" s="28">
        <f t="shared" si="3287"/>
        <v>0.39732021770970832</v>
      </c>
      <c r="AY208" s="28">
        <f t="shared" si="3287"/>
        <v>0.37996239214101191</v>
      </c>
      <c r="AZ208" s="28">
        <f t="shared" si="3287"/>
        <v>0.33469221361598045</v>
      </c>
      <c r="BA208" s="28">
        <f t="shared" si="3287"/>
        <v>0.32496625313363758</v>
      </c>
      <c r="BB208" s="28">
        <f t="shared" ref="BB208:BG208" si="3288">BB207/BB$80</f>
        <v>0.37676361493396193</v>
      </c>
      <c r="BC208" s="28">
        <f t="shared" si="3288"/>
        <v>0.37964356820278733</v>
      </c>
      <c r="BD208" s="28">
        <f t="shared" si="3288"/>
        <v>0.37545290565445849</v>
      </c>
      <c r="BE208" s="28">
        <f t="shared" si="3288"/>
        <v>0.37375728847686562</v>
      </c>
      <c r="BF208" s="28">
        <f t="shared" si="3288"/>
        <v>0.41621161937158713</v>
      </c>
      <c r="BG208" s="28">
        <f t="shared" si="3288"/>
        <v>0.41860399503442047</v>
      </c>
      <c r="BH208" s="28">
        <f t="shared" ref="BH208:BI208" si="3289">BH207/BH$80</f>
        <v>0.41616314199395771</v>
      </c>
      <c r="BI208" s="28">
        <f t="shared" si="3289"/>
        <v>0.40437925641309835</v>
      </c>
      <c r="BJ208" s="28">
        <f t="shared" ref="BJ208:BK208" si="3290">BJ207/BJ$80</f>
        <v>0.43129750844594594</v>
      </c>
      <c r="BK208" s="28">
        <f t="shared" si="3290"/>
        <v>0.40587022169846065</v>
      </c>
      <c r="BL208" s="28">
        <f t="shared" ref="BL208" si="3291">BL207/BL$80</f>
        <v>0.38389841182599932</v>
      </c>
      <c r="BM208" s="26">
        <v>0.39</v>
      </c>
      <c r="BN208" s="26">
        <v>0.41749999999999998</v>
      </c>
      <c r="BO208" s="26">
        <v>0.39500000000000002</v>
      </c>
      <c r="BP208" s="26">
        <v>0.39500000000000002</v>
      </c>
      <c r="BQ208" s="26">
        <v>0.38</v>
      </c>
      <c r="BR208" s="26">
        <f>BN208-0.0125</f>
        <v>0.40499999999999997</v>
      </c>
      <c r="BS208" s="26">
        <f t="shared" ref="BS208:BU208" si="3292">BO208-0.0125</f>
        <v>0.38250000000000001</v>
      </c>
      <c r="BT208" s="26">
        <f t="shared" si="3292"/>
        <v>0.38250000000000001</v>
      </c>
      <c r="BU208" s="26">
        <f t="shared" si="3292"/>
        <v>0.36749999999999999</v>
      </c>
      <c r="BV208" s="26">
        <f>BR208-0.01</f>
        <v>0.39499999999999996</v>
      </c>
      <c r="BW208" s="26">
        <f t="shared" ref="BW208:BY208" si="3293">BS208-0.01</f>
        <v>0.3725</v>
      </c>
      <c r="BX208" s="26">
        <f t="shared" si="3293"/>
        <v>0.3725</v>
      </c>
      <c r="BY208" s="26">
        <f t="shared" si="3293"/>
        <v>0.35749999999999998</v>
      </c>
      <c r="BZ208" s="26">
        <f>BV208-0.0085</f>
        <v>0.38649999999999995</v>
      </c>
      <c r="CA208" s="26">
        <f t="shared" ref="CA208:CC208" si="3294">BW208-0.0085</f>
        <v>0.36399999999999999</v>
      </c>
      <c r="CB208" s="26">
        <f t="shared" si="3294"/>
        <v>0.36399999999999999</v>
      </c>
      <c r="CC208" s="26">
        <f t="shared" si="3294"/>
        <v>0.34899999999999998</v>
      </c>
      <c r="CD208" s="26">
        <f t="shared" ref="CD208" si="3295">BZ208-0.0065</f>
        <v>0.37999999999999995</v>
      </c>
      <c r="CE208" s="26">
        <f t="shared" ref="CE208" si="3296">CA208-0.0065</f>
        <v>0.35749999999999998</v>
      </c>
      <c r="CF208" s="26">
        <f t="shared" ref="CF208" si="3297">CB208-0.0065</f>
        <v>0.35749999999999998</v>
      </c>
      <c r="CG208" s="26">
        <f t="shared" ref="CG208" si="3298">CC208-0.0065</f>
        <v>0.34249999999999997</v>
      </c>
      <c r="CH208" s="26"/>
      <c r="CI208" s="107">
        <f>CI207/CI$80</f>
        <v>0.47182330485366297</v>
      </c>
      <c r="CJ208" s="22">
        <f t="shared" ref="CJ208:CY208" si="3299">CJ207/CJ$80</f>
        <v>0.40358836873582182</v>
      </c>
      <c r="CK208" s="107">
        <f t="shared" si="3299"/>
        <v>0.39437302243379607</v>
      </c>
      <c r="CL208" s="107">
        <f t="shared" si="3299"/>
        <v>0.35604817271907724</v>
      </c>
      <c r="CM208" s="22">
        <f t="shared" si="3299"/>
        <v>0.33054696744150541</v>
      </c>
      <c r="CN208" s="107">
        <f t="shared" si="3299"/>
        <v>0.38866094121164801</v>
      </c>
      <c r="CO208" s="22">
        <f t="shared" si="3299"/>
        <v>0.38430417371919251</v>
      </c>
      <c r="CP208" s="107">
        <f t="shared" si="3299"/>
        <v>0.36397763398191779</v>
      </c>
      <c r="CQ208" s="22">
        <f t="shared" si="3299"/>
        <v>0.33387276683672534</v>
      </c>
      <c r="CR208" s="107">
        <f t="shared" si="3299"/>
        <v>0.33727249070062915</v>
      </c>
      <c r="CS208" s="22">
        <f t="shared" si="3299"/>
        <v>0.36668994600983107</v>
      </c>
      <c r="CT208" s="107">
        <f>CT207/CT$80</f>
        <v>0.41735292585559436</v>
      </c>
      <c r="CU208" s="22">
        <f t="shared" si="3299"/>
        <v>0.35823229501024462</v>
      </c>
      <c r="CV208" s="107">
        <f t="shared" si="3299"/>
        <v>0.37629001550570179</v>
      </c>
      <c r="CW208" s="22">
        <f t="shared" si="3299"/>
        <v>0.41350137591685165</v>
      </c>
      <c r="CX208" s="107">
        <f t="shared" si="3299"/>
        <v>0.40145038541752914</v>
      </c>
      <c r="CY208" s="107">
        <f t="shared" si="3299"/>
        <v>0.39596253153066335</v>
      </c>
      <c r="CZ208" s="107">
        <f t="shared" ref="CZ208:DA208" si="3300">CZ207/CZ$80</f>
        <v>0.38349072039369037</v>
      </c>
      <c r="DA208" s="107">
        <f t="shared" si="3300"/>
        <v>0.37351710040384606</v>
      </c>
      <c r="DB208" s="107">
        <f t="shared" ref="DB208" si="3301">DB207/DB$80</f>
        <v>0.36504224608542307</v>
      </c>
      <c r="DC208" s="107">
        <f>DC207/DC$80</f>
        <v>0.35856617819525927</v>
      </c>
      <c r="DD208" s="33"/>
    </row>
    <row r="209" spans="1:108" hidden="1" outlineLevel="1" x14ac:dyDescent="0.2">
      <c r="A209" s="8" t="s">
        <v>62</v>
      </c>
      <c r="B209" s="25" t="s">
        <v>82</v>
      </c>
      <c r="C209" s="22">
        <f>IF(AND(B207&lt;0,C207&gt;0),"n/a",C207/B207-1)</f>
        <v>-4.9437299035369753E-2</v>
      </c>
      <c r="D209" s="22">
        <f t="shared" ref="D209" si="3302">IF(AND(C207&lt;0,D207&gt;0),"n/a",D207/C207-1)</f>
        <v>7.6955602536997958E-2</v>
      </c>
      <c r="E209" s="22">
        <f t="shared" ref="E209" si="3303">IF(AND(D207&lt;0,E207&gt;0),"n/a",E207/D207-1)</f>
        <v>0.17078916372202602</v>
      </c>
      <c r="F209" s="22">
        <f t="shared" ref="F209" si="3304">IF(AND(E207&lt;0,F207&gt;0),"n/a",F207/E207-1)</f>
        <v>-0.2300469483568075</v>
      </c>
      <c r="G209" s="22">
        <f t="shared" ref="G209" si="3305">IF(AND(F207&lt;0,G207&gt;0),"n/a",G207/F207-1)</f>
        <v>0.25479094076655051</v>
      </c>
      <c r="H209" s="22">
        <f t="shared" ref="H209" si="3306">IF(AND(G207&lt;0,H207&gt;0),"n/a",H207/G207-1)</f>
        <v>6.1437001041305006E-2</v>
      </c>
      <c r="I209" s="22">
        <f t="shared" ref="I209" si="3307">IF(AND(H207&lt;0,I207&gt;0),"n/a",I207/H207-1)</f>
        <v>0.14682799215173326</v>
      </c>
      <c r="J209" s="22">
        <f t="shared" ref="J209" si="3308">IF(AND(I207&lt;0,J207&gt;0),"n/a",J207/I207-1)</f>
        <v>-3.3646991730824083E-2</v>
      </c>
      <c r="K209" s="22">
        <f t="shared" ref="K209" si="3309">IF(AND(J207&lt;0,K207&gt;0),"n/a",K207/J207-1)</f>
        <v>1.3868397757450523E-2</v>
      </c>
      <c r="L209" s="22">
        <f t="shared" ref="L209" si="3310">IF(AND(K207&lt;0,L207&gt;0),"n/a",L207/K207-1)</f>
        <v>-5.0349243306169966E-2</v>
      </c>
      <c r="M209" s="22">
        <f t="shared" ref="M209" si="3311">IF(AND(L207&lt;0,M207&gt;0),"n/a",M207/L207-1)</f>
        <v>0.14832975789151082</v>
      </c>
      <c r="N209" s="22">
        <f t="shared" ref="N209" si="3312">IF(AND(M207&lt;0,N207&gt;0),"n/a",N207/M207-1)</f>
        <v>2.6688017080322979E-4</v>
      </c>
      <c r="O209" s="22">
        <f t="shared" ref="O209" si="3313">IF(AND(N207&lt;0,O207&gt;0),"n/a",O207/N207-1)</f>
        <v>-7.5506937033084309E-2</v>
      </c>
      <c r="P209" s="22">
        <f t="shared" ref="P209" si="3314">IF(AND(O207&lt;0,P207&gt;0),"n/a",P207/O207-1)</f>
        <v>8.5425685425685405E-2</v>
      </c>
      <c r="Q209" s="22">
        <f t="shared" ref="Q209" si="3315">IF(AND(P207&lt;0,Q207&gt;0),"n/a",Q207/P207-1)</f>
        <v>0.17761233714437652</v>
      </c>
      <c r="R209" s="22">
        <f t="shared" ref="R209" si="3316">IF(AND(Q207&lt;0,R207&gt;0),"n/a",R207/Q207-1)</f>
        <v>-7.0896364867916062E-2</v>
      </c>
      <c r="S209" s="22">
        <f t="shared" ref="S209" si="3317">IF(AND(R207&lt;0,S207&gt;0),"n/a",S207/R207-1)</f>
        <v>3.4750911300121423E-2</v>
      </c>
      <c r="T209" s="22">
        <f t="shared" ref="T209" si="3318">IF(AND(S207&lt;0,T207&gt;0),"n/a",T207/S207-1)</f>
        <v>-0.12541099107562237</v>
      </c>
      <c r="U209" s="22">
        <f t="shared" ref="U209" si="3319">IF(AND(T207&lt;0,U207&gt;0),"n/a",U207/T207-1)</f>
        <v>0.40252416756176146</v>
      </c>
      <c r="V209" s="22">
        <f t="shared" ref="V209" si="3320">IF(AND(U207&lt;0,V207&gt;0),"n/a",V207/U207-1)</f>
        <v>-6.7011296189929404E-3</v>
      </c>
      <c r="W209" s="22">
        <f t="shared" ref="W209" si="3321">IF(AND(V207&lt;0,W207&gt;0),"n/a",W207/V207-1)</f>
        <v>8.5196607555898307E-2</v>
      </c>
      <c r="X209" s="22">
        <f t="shared" ref="X209" si="3322">IF(AND(W207&lt;0,X207&gt;0),"n/a",X207/W207-1)</f>
        <v>3.6412078152753047E-2</v>
      </c>
      <c r="Y209" s="22">
        <f t="shared" ref="Y209" si="3323">IF(AND(X207&lt;0,Y207&gt;0),"n/a",Y207/X207-1)</f>
        <v>0.15578406169665815</v>
      </c>
      <c r="Z209" s="22">
        <f t="shared" ref="Z209" si="3324">IF(AND(Y207&lt;0,Z207&gt;0),"n/a",Z207/Y207-1)</f>
        <v>-6.9988137603795963E-2</v>
      </c>
      <c r="AA209" s="22">
        <f t="shared" ref="AA209" si="3325">IF(AND(Z207&lt;0,AA207&gt;0),"n/a",AA207/Z207-1)</f>
        <v>0.11511479591836737</v>
      </c>
      <c r="AB209" s="22">
        <f t="shared" ref="AB209" si="3326">IF(AND(AA207&lt;0,AB207&gt;0),"n/a",AB207/AA207-1)</f>
        <v>-3.0883614526737158E-2</v>
      </c>
      <c r="AC209" s="22">
        <f t="shared" ref="AC209" si="3327">IF(AND(AB207&lt;0,AC207&gt;0),"n/a",AC207/AB207-1)</f>
        <v>0.16302744172322226</v>
      </c>
      <c r="AD209" s="22">
        <f t="shared" ref="AD209" si="3328">IF(AND(AC207&lt;0,AD207&gt;0),"n/a",AD207/AC207-1)</f>
        <v>-5.5435747811746761E-2</v>
      </c>
      <c r="AE209" s="22">
        <f t="shared" ref="AE209" si="3329">IF(AND(AD207&lt;0,AE207&gt;0),"n/a",AE207/AD207-1)</f>
        <v>2.9277464410421672E-2</v>
      </c>
      <c r="AF209" s="22">
        <f t="shared" ref="AF209" si="3330">IF(AND(AE207&lt;0,AF207&gt;0),"n/a",AF207/AE207-1)</f>
        <v>0.11978079331941549</v>
      </c>
      <c r="AG209" s="22">
        <f t="shared" ref="AG209" si="3331">IF(AND(AF207&lt;0,AG207&gt;0),"n/a",AG207/AF207-1)</f>
        <v>1.514798415287899E-3</v>
      </c>
      <c r="AH209" s="22">
        <f t="shared" ref="AH209" si="3332">IF(AND(AG207&lt;0,AH207&gt;0),"n/a",AH207/AG207-1)</f>
        <v>-2.6410703897614907E-2</v>
      </c>
      <c r="AI209" s="22">
        <f t="shared" ref="AI209" si="3333">IF(AND(AH207&lt;0,AI207&gt;0),"n/a",AI207/AH207-1)</f>
        <v>7.0626195028680616E-2</v>
      </c>
      <c r="AJ209" s="22">
        <f t="shared" ref="AJ209" si="3334">IF(AND(AI207&lt;0,AJ207&gt;0),"n/a",AJ207/AI207-1)</f>
        <v>5.9270007813372105E-2</v>
      </c>
      <c r="AK209" s="22">
        <f t="shared" ref="AK209" si="3335">IF(AND(AJ207&lt;0,AK207&gt;0),"n/a",AK207/AJ207-1)</f>
        <v>2.2128556375131669E-2</v>
      </c>
      <c r="AL209" s="22">
        <f t="shared" ref="AL209" si="3336">IF(AND(AK207&lt;0,AL207&gt;0),"n/a",AL207/AK207-1)</f>
        <v>-3.8659793814432963E-2</v>
      </c>
      <c r="AM209" s="22">
        <f t="shared" ref="AM209" si="3337">IF(AND(AL207&lt;0,AM207&gt;0),"n/a",AM207/AL207-1)</f>
        <v>0.113994638069705</v>
      </c>
      <c r="AN209" s="22">
        <f t="shared" ref="AN209" si="3338">IF(AND(AM207&lt;0,AN207&gt;0),"n/a",AN207/AM207-1)</f>
        <v>4.5918367346938771E-2</v>
      </c>
      <c r="AO209" s="22">
        <f t="shared" ref="AO209" si="3339">IF(AND(AN207&lt;0,AO207&gt;0),"n/a",AO207/AN207-1)</f>
        <v>0.24141739530602857</v>
      </c>
      <c r="AP209" s="22">
        <f t="shared" ref="AP209" si="3340">IF(AND(AO207&lt;0,AP207&gt;0),"n/a",AP207/AO207-1)</f>
        <v>-0.14383155397390268</v>
      </c>
      <c r="AQ209" s="22">
        <f t="shared" ref="AQ209" si="3341">IF(AND(AP207&lt;0,AQ207&gt;0),"n/a",AQ207/AP207-1)</f>
        <v>-0.17396951853134746</v>
      </c>
      <c r="AR209" s="22">
        <f t="shared" ref="AR209" si="3342">IF(AND(AQ207&lt;0,AR207&gt;0),"n/a",AR207/AQ207-1)</f>
        <v>0.51514833840025154</v>
      </c>
      <c r="AS209" s="22">
        <f t="shared" ref="AS209" si="3343">IF(AND(AR207&lt;0,AS207&gt;0),"n/a",AS207/AR207-1)</f>
        <v>0.31917249014045534</v>
      </c>
      <c r="AT209" s="22">
        <f t="shared" ref="AT209" si="3344">IF(AND(AS207&lt;0,AT207&gt;0),"n/a",AT207/AS207-1)</f>
        <v>2.5175705444246299E-2</v>
      </c>
      <c r="AU209" s="22">
        <f t="shared" ref="AU209" si="3345">IF(AND(AT207&lt;0,AU207&gt;0),"n/a",AU207/AT207-1)</f>
        <v>0.14309833213956824</v>
      </c>
      <c r="AV209" s="22">
        <f t="shared" ref="AV209" si="3346">IF(AND(AU207&lt;0,AV207&gt;0),"n/a",AV207/AU207-1)</f>
        <v>7.2953497739784323E-2</v>
      </c>
      <c r="AW209" s="22">
        <f t="shared" ref="AW209" si="3347">IF(AND(AV207&lt;0,AW207&gt;0),"n/a",AW207/AV207-1)</f>
        <v>8.4261460810078015E-2</v>
      </c>
      <c r="AX209" s="28">
        <f t="shared" ref="AX209" si="3348">IF(AND(AW207&lt;0,AX207&gt;0),"n/a",AX207/AW207-1)</f>
        <v>-0.15465702304466589</v>
      </c>
      <c r="AY209" s="28">
        <f t="shared" ref="AY209" si="3349">IF(AND(AX207&lt;0,AY207&gt;0),"n/a",AY207/AX207-1)</f>
        <v>-1.6019660492422538E-2</v>
      </c>
      <c r="AZ209" s="28">
        <f t="shared" ref="AZ209" si="3350">IF(AND(AY207&lt;0,AZ207&gt;0),"n/a",AZ207/AY207-1)</f>
        <v>-0.12663614078904772</v>
      </c>
      <c r="BA209" s="28">
        <f t="shared" ref="BA209:BL209" si="3351">IF(AND(AZ207&lt;0,BA207&gt;0),"n/a",BA207/AZ207-1)</f>
        <v>7.0910342636233636E-2</v>
      </c>
      <c r="BB209" s="28">
        <f t="shared" si="3351"/>
        <v>7.4918405696765999E-2</v>
      </c>
      <c r="BC209" s="28">
        <f t="shared" si="3351"/>
        <v>7.8989740994617419E-2</v>
      </c>
      <c r="BD209" s="28">
        <f t="shared" si="3351"/>
        <v>2.0593502174469203E-2</v>
      </c>
      <c r="BE209" s="28">
        <f t="shared" si="3351"/>
        <v>0.11668128838200276</v>
      </c>
      <c r="BF209" s="28">
        <f t="shared" si="3351"/>
        <v>4.3658810325476916E-2</v>
      </c>
      <c r="BG209" s="28">
        <f t="shared" si="3351"/>
        <v>6.369860558482987E-2</v>
      </c>
      <c r="BH209" s="28">
        <f t="shared" si="3351"/>
        <v>3.9832850306665835E-2</v>
      </c>
      <c r="BI209" s="28">
        <f t="shared" si="3351"/>
        <v>6.4169043297899853E-2</v>
      </c>
      <c r="BJ209" s="28">
        <f t="shared" si="3351"/>
        <v>-4.6899744183213077E-3</v>
      </c>
      <c r="BK209" s="28">
        <f t="shared" si="3351"/>
        <v>1.1657793280704931E-2</v>
      </c>
      <c r="BL209" s="28">
        <f t="shared" si="3351"/>
        <v>1.4033814233433084E-2</v>
      </c>
      <c r="BM209" s="28">
        <f t="shared" ref="BM209" si="3352">IF(AND(BL207&lt;0,BM207&gt;0),"n/a",BM207/BL207-1)</f>
        <v>0.10618800827194019</v>
      </c>
      <c r="BN209" s="28">
        <f t="shared" ref="BN209" si="3353">IF(AND(BM207&lt;0,BN207&gt;0),"n/a",BN207/BM207-1)</f>
        <v>-2.9486174629417272E-3</v>
      </c>
      <c r="BO209" s="28">
        <f t="shared" ref="BO209" si="3354">IF(AND(BN207&lt;0,BO207&gt;0),"n/a",BO207/BN207-1)</f>
        <v>3.5795286799678028E-3</v>
      </c>
      <c r="BP209" s="28">
        <f t="shared" ref="BP209" si="3355">IF(AND(BO207&lt;0,BP207&gt;0),"n/a",BP207/BO207-1)</f>
        <v>6.3589960422108183E-2</v>
      </c>
      <c r="BQ209" s="28">
        <f t="shared" ref="BQ209" si="3356">IF(AND(BP207&lt;0,BQ207&gt;0),"n/a",BQ207/BP207-1)</f>
        <v>3.7968615534920813E-2</v>
      </c>
      <c r="BR209" s="28">
        <f t="shared" ref="BR209" si="3357">IF(AND(BQ207&lt;0,BR207&gt;0),"n/a",BR207/BQ207-1)</f>
        <v>3.0184731462126191E-3</v>
      </c>
      <c r="BS209" s="28">
        <f t="shared" ref="BS209" si="3358">IF(AND(BR207&lt;0,BS207&gt;0),"n/a",BS207/BR207-1)</f>
        <v>-2.2490654314701874E-3</v>
      </c>
      <c r="BT209" s="28">
        <f t="shared" ref="BT209" si="3359">IF(AND(BS207&lt;0,BT207&gt;0),"n/a",BT207/BS207-1)</f>
        <v>6.4900224716901045E-2</v>
      </c>
      <c r="BU209" s="28">
        <f t="shared" ref="BU209" si="3360">IF(AND(BT207&lt;0,BU207&gt;0),"n/a",BU207/BT207-1)</f>
        <v>3.3334641966465073E-2</v>
      </c>
      <c r="BV209" s="28">
        <f t="shared" ref="BV209" si="3361">IF(AND(BU207&lt;0,BV207&gt;0),"n/a",BV207/BU207-1)</f>
        <v>1.1489589319213067E-2</v>
      </c>
      <c r="BW209" s="28">
        <f t="shared" ref="BW209" si="3362">IF(AND(BV207&lt;0,BW207&gt;0),"n/a",BW207/BV207-1)</f>
        <v>-7.5781927947951022E-3</v>
      </c>
      <c r="BX209" s="28">
        <f t="shared" ref="BX209" si="3363">IF(AND(BW207&lt;0,BX207&gt;0),"n/a",BX207/BW207-1)</f>
        <v>6.6286962587284171E-2</v>
      </c>
      <c r="BY209" s="28">
        <f t="shared" ref="BY209" si="3364">IF(AND(BX207&lt;0,BY207&gt;0),"n/a",BY207/BX207-1)</f>
        <v>2.9043980269709557E-2</v>
      </c>
      <c r="BZ209" s="28">
        <f t="shared" ref="BZ209" si="3365">IF(AND(BY207&lt;0,BZ207&gt;0),"n/a",BZ207/BY207-1)</f>
        <v>1.4008751540353526E-2</v>
      </c>
      <c r="CA209" s="28">
        <f t="shared" ref="CA209" si="3366">IF(AND(BZ207&lt;0,CA207&gt;0),"n/a",CA207/BZ207-1)</f>
        <v>-1.2527381211192457E-2</v>
      </c>
      <c r="CB209" s="28">
        <f t="shared" ref="CB209" si="3367">IF(AND(CA207&lt;0,CB207&gt;0),"n/a",CB207/CA207-1)</f>
        <v>6.7571767533831428E-2</v>
      </c>
      <c r="CC209" s="28">
        <f t="shared" ref="CC209" si="3368">IF(AND(CB207&lt;0,CC207&gt;0),"n/a",CC207/CB207-1)</f>
        <v>2.5064801235194167E-2</v>
      </c>
      <c r="CD209" s="28">
        <f t="shared" ref="CD209" si="3369">IF(AND(CC207&lt;0,CD207&gt;0),"n/a",CD207/CC207-1)</f>
        <v>1.7494866543703136E-2</v>
      </c>
      <c r="CE209" s="28">
        <f t="shared" ref="CE209" si="3370">IF(AND(CD207&lt;0,CE207&gt;0),"n/a",CE207/CD207-1)</f>
        <v>-1.7013447560464301E-2</v>
      </c>
      <c r="CF209" s="28">
        <f t="shared" ref="CF209" si="3371">IF(AND(CE207&lt;0,CF207&gt;0),"n/a",CF207/CE207-1)</f>
        <v>6.8740514630095673E-2</v>
      </c>
      <c r="CG209" s="28">
        <f t="shared" ref="CG209" si="3372">IF(AND(CF207&lt;0,CG207&gt;0),"n/a",CG207/CF207-1)</f>
        <v>2.1509496832181396E-2</v>
      </c>
      <c r="CH209" s="28"/>
      <c r="CI209" s="106" t="s">
        <v>82</v>
      </c>
      <c r="CJ209" s="48" t="s">
        <v>82</v>
      </c>
      <c r="CK209" s="106" t="s">
        <v>82</v>
      </c>
      <c r="CL209" s="106" t="s">
        <v>82</v>
      </c>
      <c r="CM209" s="48" t="s">
        <v>82</v>
      </c>
      <c r="CN209" s="106" t="s">
        <v>82</v>
      </c>
      <c r="CO209" s="48" t="s">
        <v>82</v>
      </c>
      <c r="CP209" s="106" t="s">
        <v>82</v>
      </c>
      <c r="CQ209" s="48" t="s">
        <v>82</v>
      </c>
      <c r="CR209" s="106" t="s">
        <v>82</v>
      </c>
      <c r="CS209" s="48" t="s">
        <v>82</v>
      </c>
      <c r="CT209" s="106" t="s">
        <v>82</v>
      </c>
      <c r="CU209" s="48" t="s">
        <v>82</v>
      </c>
      <c r="CV209" s="106" t="s">
        <v>82</v>
      </c>
      <c r="CW209" s="48" t="s">
        <v>82</v>
      </c>
      <c r="CX209" s="106" t="s">
        <v>82</v>
      </c>
      <c r="CY209" s="106" t="s">
        <v>82</v>
      </c>
      <c r="CZ209" s="106" t="s">
        <v>82</v>
      </c>
      <c r="DA209" s="106" t="s">
        <v>82</v>
      </c>
      <c r="DB209" s="106" t="s">
        <v>82</v>
      </c>
      <c r="DC209" s="106" t="s">
        <v>82</v>
      </c>
    </row>
    <row r="210" spans="1:108" hidden="1" outlineLevel="1" x14ac:dyDescent="0.2">
      <c r="A210" s="8" t="s">
        <v>63</v>
      </c>
      <c r="B210" s="25" t="s">
        <v>82</v>
      </c>
      <c r="C210" s="25" t="s">
        <v>82</v>
      </c>
      <c r="D210" s="25" t="s">
        <v>82</v>
      </c>
      <c r="E210" s="25" t="s">
        <v>82</v>
      </c>
      <c r="F210" s="22">
        <f>IF(AND(B207&lt;0,F207&gt;0),"n/a",F207/B207-1)</f>
        <v>-7.7170418006430874E-2</v>
      </c>
      <c r="G210" s="22">
        <f t="shared" ref="G210:BQ210" si="3373">IF(AND(C207&lt;0,G207&gt;0),"n/a",G207/C207-1)</f>
        <v>0.21818181818181825</v>
      </c>
      <c r="H210" s="22">
        <f t="shared" si="3373"/>
        <v>0.20062819002748333</v>
      </c>
      <c r="I210" s="22">
        <f t="shared" si="3373"/>
        <v>0.176056338028169</v>
      </c>
      <c r="J210" s="22">
        <f t="shared" si="3373"/>
        <v>0.47604529616724744</v>
      </c>
      <c r="K210" s="22">
        <f t="shared" si="3373"/>
        <v>0.19264144394307525</v>
      </c>
      <c r="L210" s="22">
        <f t="shared" si="3373"/>
        <v>6.7037279267495142E-2</v>
      </c>
      <c r="M210" s="22">
        <f t="shared" si="3373"/>
        <v>6.8434559452523525E-2</v>
      </c>
      <c r="N210" s="22">
        <f t="shared" si="3373"/>
        <v>0.10593095308350553</v>
      </c>
      <c r="O210" s="22">
        <f t="shared" si="3373"/>
        <v>8.4400465657741286E-3</v>
      </c>
      <c r="P210" s="22">
        <f t="shared" si="3373"/>
        <v>0.15262028807845551</v>
      </c>
      <c r="Q210" s="22">
        <f t="shared" si="3373"/>
        <v>0.18201227648785689</v>
      </c>
      <c r="R210" s="22">
        <f t="shared" si="3373"/>
        <v>9.7918890074706555E-2</v>
      </c>
      <c r="S210" s="22">
        <f t="shared" si="3373"/>
        <v>0.22886002886002887</v>
      </c>
      <c r="T210" s="22">
        <f t="shared" si="3373"/>
        <v>-9.8378090933262108E-3</v>
      </c>
      <c r="U210" s="22">
        <f t="shared" si="3373"/>
        <v>0.17927297358320171</v>
      </c>
      <c r="V210" s="22">
        <f t="shared" si="3373"/>
        <v>0.26075334143377882</v>
      </c>
      <c r="W210" s="22">
        <f t="shared" si="3373"/>
        <v>0.32221700328792857</v>
      </c>
      <c r="X210" s="22">
        <f t="shared" si="3373"/>
        <v>0.56686358754027921</v>
      </c>
      <c r="Y210" s="22">
        <f t="shared" si="3373"/>
        <v>0.29121194715680643</v>
      </c>
      <c r="Z210" s="22">
        <f t="shared" si="3373"/>
        <v>0.20894371626831143</v>
      </c>
      <c r="AA210" s="22">
        <f t="shared" si="3373"/>
        <v>0.24227353463587931</v>
      </c>
      <c r="AB210" s="22">
        <f t="shared" si="3373"/>
        <v>0.16161096829477284</v>
      </c>
      <c r="AC210" s="22">
        <f t="shared" si="3373"/>
        <v>0.16889086595492286</v>
      </c>
      <c r="AD210" s="22">
        <f t="shared" si="3373"/>
        <v>0.18718112244897966</v>
      </c>
      <c r="AE210" s="22">
        <f t="shared" si="3373"/>
        <v>9.5796396911638437E-2</v>
      </c>
      <c r="AF210" s="22">
        <f t="shared" si="3373"/>
        <v>0.26615520802596637</v>
      </c>
      <c r="AG210" s="22">
        <f t="shared" si="3373"/>
        <v>9.0320943803120723E-2</v>
      </c>
      <c r="AH210" s="22">
        <f t="shared" si="3373"/>
        <v>0.12382487241471929</v>
      </c>
      <c r="AI210" s="22">
        <f t="shared" si="3373"/>
        <v>0.16897181628392488</v>
      </c>
      <c r="AJ210" s="22">
        <f t="shared" si="3373"/>
        <v>0.10580284316010258</v>
      </c>
      <c r="AK210" s="22">
        <f t="shared" si="3373"/>
        <v>0.12856311809191401</v>
      </c>
      <c r="AL210" s="22">
        <f t="shared" si="3373"/>
        <v>0.11436424474187379</v>
      </c>
      <c r="AM210" s="22">
        <f t="shared" si="3373"/>
        <v>0.15950440897421592</v>
      </c>
      <c r="AN210" s="22">
        <f t="shared" si="3373"/>
        <v>0.14488935721812424</v>
      </c>
      <c r="AO210" s="22">
        <f t="shared" si="3373"/>
        <v>0.39051546391752567</v>
      </c>
      <c r="AP210" s="22">
        <f t="shared" si="3373"/>
        <v>0.2383914209115281</v>
      </c>
      <c r="AQ210" s="22">
        <f t="shared" si="3373"/>
        <v>-8.1728917982287208E-2</v>
      </c>
      <c r="AR210" s="22">
        <f t="shared" si="3373"/>
        <v>0.33023469857340082</v>
      </c>
      <c r="AS210" s="22">
        <f t="shared" si="3373"/>
        <v>0.41355278766310799</v>
      </c>
      <c r="AT210" s="22">
        <f t="shared" si="3373"/>
        <v>0.69258746103221336</v>
      </c>
      <c r="AU210" s="22">
        <f t="shared" si="3373"/>
        <v>1.342279064891498</v>
      </c>
      <c r="AV210" s="22">
        <f t="shared" si="3373"/>
        <v>0.65868677783159213</v>
      </c>
      <c r="AW210" s="22">
        <f t="shared" si="3373"/>
        <v>0.3633168991922795</v>
      </c>
      <c r="AX210" s="28">
        <f t="shared" si="3373"/>
        <v>0.12416862785224603</v>
      </c>
      <c r="AY210" s="28">
        <f t="shared" si="3373"/>
        <v>-3.2314371391487295E-2</v>
      </c>
      <c r="AZ210" s="28">
        <f t="shared" si="3373"/>
        <v>-0.21232219580361245</v>
      </c>
      <c r="BA210" s="28">
        <f t="shared" si="3373"/>
        <v>-0.22202131343053899</v>
      </c>
      <c r="BB210" s="28">
        <f t="shared" si="3373"/>
        <v>-1.0740454193783333E-2</v>
      </c>
      <c r="BC210" s="28">
        <f t="shared" si="3373"/>
        <v>8.4778687387262464E-2</v>
      </c>
      <c r="BD210" s="28">
        <f t="shared" si="3373"/>
        <v>0.26764814912884605</v>
      </c>
      <c r="BE210" s="28">
        <f t="shared" si="3373"/>
        <v>0.32182771239244379</v>
      </c>
      <c r="BF210" s="28">
        <f t="shared" si="3373"/>
        <v>0.28338777200165621</v>
      </c>
      <c r="BG210" s="28">
        <f t="shared" si="3373"/>
        <v>0.26519996589067962</v>
      </c>
      <c r="BH210" s="28">
        <f t="shared" si="3373"/>
        <v>0.28905042402974468</v>
      </c>
      <c r="BI210" s="28">
        <f t="shared" si="3373"/>
        <v>0.22843247287691737</v>
      </c>
      <c r="BJ210" s="28">
        <f t="shared" si="3373"/>
        <v>0.17152381976556619</v>
      </c>
      <c r="BK210" s="28">
        <f t="shared" si="3373"/>
        <v>0.11420772393340961</v>
      </c>
      <c r="BL210" s="28">
        <f t="shared" si="3373"/>
        <v>8.6563391236712528E-2</v>
      </c>
      <c r="BM210" s="28">
        <f t="shared" si="3373"/>
        <v>0.12946660230641172</v>
      </c>
      <c r="BN210" s="28">
        <f t="shared" si="3373"/>
        <v>0.13144267455851821</v>
      </c>
      <c r="BO210" s="28">
        <f t="shared" si="3373"/>
        <v>0.12240790670879997</v>
      </c>
      <c r="BP210" s="28">
        <f t="shared" si="3373"/>
        <v>0.17726032832181504</v>
      </c>
      <c r="BQ210" s="28">
        <f t="shared" si="3373"/>
        <v>0.10465785560385488</v>
      </c>
      <c r="BR210" s="28">
        <f t="shared" ref="BR210" si="3374">IF(AND(BN207&lt;0,BR207&gt;0),"n/a",BR207/BN207-1)</f>
        <v>0.11126894268718002</v>
      </c>
      <c r="BS210" s="28">
        <f t="shared" ref="BS210" si="3375">IF(AND(BO207&lt;0,BS207&gt;0),"n/a",BS207/BO207-1)</f>
        <v>0.10481490946861682</v>
      </c>
      <c r="BT210" s="28">
        <f t="shared" ref="BT210" si="3376">IF(AND(BP207&lt;0,BT207&gt;0),"n/a",BT207/BP207-1)</f>
        <v>0.10617595985654726</v>
      </c>
      <c r="BU210" s="28">
        <f t="shared" ref="BU210" si="3377">IF(AND(BQ207&lt;0,BU207&gt;0),"n/a",BU207/BQ207-1)</f>
        <v>0.10123747705146302</v>
      </c>
      <c r="BV210" s="28">
        <f t="shared" ref="BV210" si="3378">IF(AND(BR207&lt;0,BV207&gt;0),"n/a",BV207/BR207-1)</f>
        <v>0.11053811393096469</v>
      </c>
      <c r="BW210" s="28">
        <f t="shared" ref="BW210" si="3379">IF(AND(BS207&lt;0,BW207&gt;0),"n/a",BW207/BS207-1)</f>
        <v>0.10460657445961941</v>
      </c>
      <c r="BX210" s="28">
        <f t="shared" ref="BX210" si="3380">IF(AND(BT207&lt;0,BX207&gt;0),"n/a",BX207/BT207-1)</f>
        <v>0.10604501886325779</v>
      </c>
      <c r="BY210" s="28">
        <f t="shared" ref="BY210" si="3381">IF(AND(BU207&lt;0,BY207&gt;0),"n/a",BY207/BU207-1)</f>
        <v>0.10145244564971234</v>
      </c>
      <c r="BZ210" s="28">
        <f t="shared" ref="BZ210" si="3382">IF(AND(BV207&lt;0,BZ207&gt;0),"n/a",BZ207/BV207-1)</f>
        <v>0.10419566458025131</v>
      </c>
      <c r="CA210" s="28">
        <f t="shared" ref="CA210" si="3383">IF(AND(BW207&lt;0,CA207&gt;0),"n/a",CA207/BW207-1)</f>
        <v>9.8689062092377267E-2</v>
      </c>
      <c r="CB210" s="28">
        <f t="shared" ref="CB210" si="3384">IF(AND(BX207&lt;0,CB207&gt;0),"n/a",CB207/BX207-1)</f>
        <v>0.1000129094160549</v>
      </c>
      <c r="CC210" s="28">
        <f t="shared" ref="CC210" si="3385">IF(AND(BY207&lt;0,CC207&gt;0),"n/a",CC207/BY207-1)</f>
        <v>9.5759302776524002E-2</v>
      </c>
      <c r="CD210" s="28">
        <f t="shared" ref="CD210" si="3386">IF(AND(BZ207&lt;0,CD207&gt;0),"n/a",CD207/BZ207-1)</f>
        <v>9.9526472379021236E-2</v>
      </c>
      <c r="CE210" s="28">
        <f t="shared" ref="CE210" si="3387">IF(AND(CA207&lt;0,CE207&gt;0),"n/a",CE207/CA207-1)</f>
        <v>9.4531347841873892E-2</v>
      </c>
      <c r="CF210" s="28">
        <f t="shared" ref="CF210" si="3388">IF(AND(CB207&lt;0,CF207&gt;0),"n/a",CF207/CB207-1)</f>
        <v>9.5729609517072989E-2</v>
      </c>
      <c r="CG210" s="28">
        <f t="shared" ref="CG210" si="3389">IF(AND(CC207&lt;0,CG207&gt;0),"n/a",CG207/CC207-1)</f>
        <v>9.192921338549831E-2</v>
      </c>
      <c r="CH210" s="28"/>
      <c r="CI210" s="106" t="s">
        <v>82</v>
      </c>
      <c r="CJ210" s="22">
        <f>IF(AND(CI207&lt;0,CJ207&gt;0),"n/a",CJ207/CI207-1)</f>
        <v>0.1309959545366981</v>
      </c>
      <c r="CK210" s="107">
        <f t="shared" ref="CK210:CY210" si="3390">IF(AND(CJ207&lt;0,CK207&gt;0),"n/a",CK207/CJ207-1)</f>
        <v>0.17824902060977688</v>
      </c>
      <c r="CL210" s="107">
        <f t="shared" si="3390"/>
        <v>0.11333574268160462</v>
      </c>
      <c r="CM210" s="22">
        <f t="shared" si="3390"/>
        <v>0.12445627475167176</v>
      </c>
      <c r="CN210" s="107">
        <f t="shared" si="3390"/>
        <v>0.35086605080831412</v>
      </c>
      <c r="CO210" s="22">
        <f t="shared" si="3390"/>
        <v>0.19361456596999616</v>
      </c>
      <c r="CP210" s="107">
        <f t="shared" si="3390"/>
        <v>0.15612131628889614</v>
      </c>
      <c r="CQ210" s="22">
        <f t="shared" si="3390"/>
        <v>0.13101248180382208</v>
      </c>
      <c r="CR210" s="107">
        <f t="shared" si="3390"/>
        <v>0.20672563463592297</v>
      </c>
      <c r="CS210" s="22">
        <f t="shared" si="3390"/>
        <v>0.23918667453365416</v>
      </c>
      <c r="CT210" s="107">
        <f t="shared" si="3390"/>
        <v>0.61396183569571106</v>
      </c>
      <c r="CU210" s="22">
        <f t="shared" si="3390"/>
        <v>-6.1646167112966888E-2</v>
      </c>
      <c r="CV210" s="107">
        <f t="shared" si="3390"/>
        <v>0.15911921546814356</v>
      </c>
      <c r="CW210" s="22">
        <f t="shared" si="3390"/>
        <v>0.26502743641636584</v>
      </c>
      <c r="CX210" s="107">
        <f t="shared" si="3390"/>
        <v>0.12449110902198801</v>
      </c>
      <c r="CY210" s="107">
        <f t="shared" si="3390"/>
        <v>0.13323235212176643</v>
      </c>
      <c r="CZ210" s="107">
        <f>IF(AND(CY207&lt;0,CZ207&gt;0),"n/a",CZ207/CY207-1)</f>
        <v>0.1057585279952975</v>
      </c>
      <c r="DA210" s="107">
        <f>IF(AND(CZ207&lt;0,DA207&gt;0),"n/a",DA207/CZ207-1)</f>
        <v>0.10556778889629026</v>
      </c>
      <c r="DB210" s="107">
        <f>IF(AND(DA207&lt;0,DB207&gt;0),"n/a",DB207/DA207-1)</f>
        <v>9.9587022999976238E-2</v>
      </c>
      <c r="DC210" s="107">
        <f>IF(AND(DB207&lt;0,DC207&gt;0),"n/a",DC207/DB207-1)</f>
        <v>9.5367389593515428E-2</v>
      </c>
    </row>
    <row r="211" spans="1:108" hidden="1" outlineLevel="1" x14ac:dyDescent="0.2"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CH211" s="28"/>
      <c r="CI211" s="92"/>
      <c r="CK211" s="92"/>
      <c r="CL211" s="92"/>
      <c r="CN211" s="92"/>
      <c r="CP211" s="92"/>
      <c r="CR211" s="92"/>
      <c r="CT211" s="89"/>
      <c r="CU211" s="89"/>
      <c r="CV211" s="89"/>
      <c r="CW211" s="89"/>
      <c r="CX211" s="89"/>
      <c r="CY211" s="89"/>
      <c r="CZ211" s="89"/>
      <c r="DA211" s="89"/>
      <c r="DB211" s="89"/>
      <c r="DC211" s="89"/>
    </row>
    <row r="212" spans="1:108" hidden="1" outlineLevel="1" x14ac:dyDescent="0.2">
      <c r="A212" s="9" t="s">
        <v>74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7">
        <v>-1194</v>
      </c>
      <c r="AP212" s="17">
        <v>-1730</v>
      </c>
      <c r="AQ212" s="17">
        <v>-1426</v>
      </c>
      <c r="AR212" s="17">
        <v>-1208</v>
      </c>
      <c r="AS212" s="17">
        <v>-1243</v>
      </c>
      <c r="AT212" s="17">
        <v>-974</v>
      </c>
      <c r="AU212" s="18">
        <v>-591</v>
      </c>
      <c r="AV212" s="18">
        <v>-644</v>
      </c>
      <c r="AW212" s="18">
        <v>-890</v>
      </c>
      <c r="AX212" s="18">
        <v>-706</v>
      </c>
      <c r="AY212" s="18">
        <v>-590</v>
      </c>
      <c r="AZ212" s="18">
        <v>-440</v>
      </c>
      <c r="BA212" s="18">
        <v>-186</v>
      </c>
      <c r="BB212" s="18">
        <v>191</v>
      </c>
      <c r="BC212" s="18">
        <v>395</v>
      </c>
      <c r="BD212" s="18">
        <v>266</v>
      </c>
      <c r="BE212" s="18">
        <v>864</v>
      </c>
      <c r="BF212" s="18">
        <v>900</v>
      </c>
      <c r="BG212" s="18">
        <v>1172</v>
      </c>
      <c r="BH212" s="18">
        <v>1947</v>
      </c>
      <c r="BI212" s="18">
        <v>2093</v>
      </c>
      <c r="BJ212" s="18">
        <v>2177</v>
      </c>
      <c r="BK212" s="18">
        <v>2826</v>
      </c>
      <c r="BL212" s="18">
        <v>3594</v>
      </c>
      <c r="BM212" s="72">
        <f t="shared" ref="BM212:CG212" si="3391">BM213*BM$47</f>
        <v>3849.51</v>
      </c>
      <c r="BN212" s="72">
        <f t="shared" si="3391"/>
        <v>3830.0240000000003</v>
      </c>
      <c r="BO212" s="72">
        <f t="shared" si="3391"/>
        <v>4632.16</v>
      </c>
      <c r="BP212" s="72">
        <f t="shared" si="3391"/>
        <v>5442.8787000000011</v>
      </c>
      <c r="BQ212" s="72">
        <f t="shared" si="3391"/>
        <v>5648.7375000000002</v>
      </c>
      <c r="BR212" s="72">
        <f>BR213*BR$47</f>
        <v>5502.1776600000003</v>
      </c>
      <c r="BS212" s="72">
        <f t="shared" si="3391"/>
        <v>6573.0350400000007</v>
      </c>
      <c r="BT212" s="72">
        <f t="shared" si="3391"/>
        <v>7671.4351455000024</v>
      </c>
      <c r="BU212" s="72">
        <f t="shared" si="3391"/>
        <v>7961.5816875000019</v>
      </c>
      <c r="BV212" s="72">
        <f t="shared" si="3391"/>
        <v>7498.6821252000009</v>
      </c>
      <c r="BW212" s="72">
        <f t="shared" si="3391"/>
        <v>8884.3531795200015</v>
      </c>
      <c r="BX212" s="72">
        <f t="shared" si="3391"/>
        <v>10321.330878810004</v>
      </c>
      <c r="BY212" s="72">
        <f t="shared" si="3391"/>
        <v>10711.700921250003</v>
      </c>
      <c r="BZ212" s="72">
        <f t="shared" si="3391"/>
        <v>9745.4570713920002</v>
      </c>
      <c r="CA212" s="72">
        <f t="shared" si="3391"/>
        <v>11483.4029401728</v>
      </c>
      <c r="CB212" s="72">
        <f t="shared" si="3391"/>
        <v>13299.772075266606</v>
      </c>
      <c r="CC212" s="72">
        <f t="shared" si="3391"/>
        <v>13802.791758525003</v>
      </c>
      <c r="CD212" s="72">
        <f t="shared" si="3391"/>
        <v>12216.626543066401</v>
      </c>
      <c r="CE212" s="72">
        <f t="shared" si="3391"/>
        <v>14335.732057570562</v>
      </c>
      <c r="CF212" s="72">
        <f t="shared" si="3391"/>
        <v>16564.261584650227</v>
      </c>
      <c r="CG212" s="72">
        <f t="shared" si="3391"/>
        <v>17190.749735617504</v>
      </c>
      <c r="CH212" s="72"/>
      <c r="CI212" s="114"/>
      <c r="CJ212" s="32"/>
      <c r="CK212" s="114"/>
      <c r="CL212" s="114"/>
      <c r="CM212" s="32"/>
      <c r="CN212" s="114"/>
      <c r="CO212" s="32"/>
      <c r="CP212" s="114"/>
      <c r="CQ212" s="40">
        <v>-4348</v>
      </c>
      <c r="CR212" s="116">
        <v>-4645</v>
      </c>
      <c r="CS212" s="20">
        <f>SUM(AP212:AS212)</f>
        <v>-5607</v>
      </c>
      <c r="CT212" s="116">
        <v>-2282</v>
      </c>
      <c r="CU212" s="20">
        <f>SUM(AX212:BA212)</f>
        <v>-1922</v>
      </c>
      <c r="CV212" s="89">
        <f>SUM(BB212:BE212)</f>
        <v>1716</v>
      </c>
      <c r="CW212" s="20">
        <f>SUM(BF212:BI212)</f>
        <v>6112</v>
      </c>
      <c r="CX212" s="89">
        <f>SUM(BJ212:BM212)</f>
        <v>12446.51</v>
      </c>
      <c r="CY212" s="89">
        <f>SUM(BN212:BQ212)</f>
        <v>19553.800200000001</v>
      </c>
      <c r="CZ212" s="89">
        <f>SUM(BR212:BU212)</f>
        <v>27708.229533000005</v>
      </c>
      <c r="DA212" s="89">
        <f>SUM(BV212:BY212)</f>
        <v>37416.067104780013</v>
      </c>
      <c r="DB212" s="89">
        <f>SUM(BZ212:CC212)</f>
        <v>48331.42384535641</v>
      </c>
      <c r="DC212" s="89">
        <f>SUM(CD212:CG212)</f>
        <v>60307.36992090469</v>
      </c>
      <c r="DD212" s="33"/>
    </row>
    <row r="213" spans="1:108" hidden="1" outlineLevel="1" x14ac:dyDescent="0.2">
      <c r="A213" s="8" t="s">
        <v>128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22">
        <f>AO212/AO$47</f>
        <v>-0.45677123182861518</v>
      </c>
      <c r="AP213" s="22">
        <f t="shared" ref="AP213:AS213" si="3392">AP212/AP$47</f>
        <v>-0.62297443284119558</v>
      </c>
      <c r="AQ213" s="22">
        <f t="shared" si="3392"/>
        <v>-0.47422680412371132</v>
      </c>
      <c r="AR213" s="22">
        <f t="shared" si="3392"/>
        <v>-0.35075493612078978</v>
      </c>
      <c r="AS213" s="22">
        <f t="shared" si="3392"/>
        <v>-0.32445836596188987</v>
      </c>
      <c r="AT213" s="22">
        <f t="shared" ref="AT213:BA213" si="3393">AT212/AT$47</f>
        <v>-0.24067210279219176</v>
      </c>
      <c r="AU213" s="22">
        <f t="shared" si="3393"/>
        <v>-0.12770095073465859</v>
      </c>
      <c r="AV213" s="22">
        <f t="shared" si="3393"/>
        <v>-0.12905811623246494</v>
      </c>
      <c r="AW213" s="22">
        <f t="shared" si="3393"/>
        <v>-0.16062082656560187</v>
      </c>
      <c r="AX213" s="28">
        <f t="shared" si="3393"/>
        <v>-0.12128500257687683</v>
      </c>
      <c r="AY213" s="28">
        <f t="shared" si="3393"/>
        <v>-9.4008922880815804E-2</v>
      </c>
      <c r="AZ213" s="28">
        <f t="shared" si="3393"/>
        <v>-6.4065230052417002E-2</v>
      </c>
      <c r="BA213" s="28">
        <f t="shared" si="3393"/>
        <v>-2.5427204374572795E-2</v>
      </c>
      <c r="BB213" s="28">
        <f t="shared" ref="BB213:BC213" si="3394">BB212/BB$47</f>
        <v>2.5623826133619534E-2</v>
      </c>
      <c r="BC213" s="28">
        <f t="shared" si="3394"/>
        <v>4.9184410409662559E-2</v>
      </c>
      <c r="BD213" s="28">
        <f t="shared" ref="BD213:BE213" si="3395">BD212/BD$47</f>
        <v>3.1625252645345381E-2</v>
      </c>
      <c r="BE213" s="28">
        <f t="shared" si="3395"/>
        <v>9.3994778067885115E-2</v>
      </c>
      <c r="BF213" s="28">
        <f t="shared" ref="BF213:BG213" si="3396">BF212/BF$47</f>
        <v>9.4004595780238148E-2</v>
      </c>
      <c r="BG213" s="28">
        <f t="shared" si="3396"/>
        <v>0.11326954672852034</v>
      </c>
      <c r="BH213" s="28">
        <f t="shared" ref="BH213:BI213" si="3397">BH212/BH$47</f>
        <v>0.17149652074341584</v>
      </c>
      <c r="BI213" s="28">
        <f t="shared" si="3397"/>
        <v>0.17507319113341699</v>
      </c>
      <c r="BJ213" s="28">
        <f t="shared" ref="BJ213:BK213" si="3398">BJ212/BJ$47</f>
        <v>0.17756933115823817</v>
      </c>
      <c r="BK213" s="28">
        <f t="shared" si="3398"/>
        <v>0.20742806811509101</v>
      </c>
      <c r="BL213" s="28">
        <f t="shared" ref="BL213" si="3399">BL212/BL$47</f>
        <v>0.23711816322491258</v>
      </c>
      <c r="BM213" s="26">
        <v>0.23</v>
      </c>
      <c r="BN213" s="26">
        <v>0.22</v>
      </c>
      <c r="BO213" s="26">
        <v>0.25</v>
      </c>
      <c r="BP213" s="26">
        <v>0.27</v>
      </c>
      <c r="BQ213" s="26">
        <v>0.27</v>
      </c>
      <c r="BR213" s="26">
        <f>BN213+0.025</f>
        <v>0.245</v>
      </c>
      <c r="BS213" s="26">
        <f t="shared" ref="BS213:BU213" si="3400">BO213+0.025</f>
        <v>0.27500000000000002</v>
      </c>
      <c r="BT213" s="26">
        <f t="shared" si="3400"/>
        <v>0.29500000000000004</v>
      </c>
      <c r="BU213" s="26">
        <f t="shared" si="3400"/>
        <v>0.29500000000000004</v>
      </c>
      <c r="BV213" s="26">
        <f>BR213+0.02</f>
        <v>0.26500000000000001</v>
      </c>
      <c r="BW213" s="26">
        <f t="shared" ref="BW213:BY213" si="3401">BS213+0.02</f>
        <v>0.29500000000000004</v>
      </c>
      <c r="BX213" s="26">
        <f t="shared" si="3401"/>
        <v>0.31500000000000006</v>
      </c>
      <c r="BY213" s="26">
        <f t="shared" si="3401"/>
        <v>0.31500000000000006</v>
      </c>
      <c r="BZ213" s="26">
        <f>BV213+0.015</f>
        <v>0.28000000000000003</v>
      </c>
      <c r="CA213" s="26">
        <f t="shared" ref="CA213:CC213" si="3402">BW213+0.015</f>
        <v>0.31000000000000005</v>
      </c>
      <c r="CB213" s="26">
        <f t="shared" si="3402"/>
        <v>0.33000000000000007</v>
      </c>
      <c r="CC213" s="26">
        <f t="shared" si="3402"/>
        <v>0.33000000000000007</v>
      </c>
      <c r="CD213" s="26">
        <f>BZ213+0.0125</f>
        <v>0.29250000000000004</v>
      </c>
      <c r="CE213" s="26">
        <f t="shared" ref="CE213:CG213" si="3403">CA213+0.0125</f>
        <v>0.32250000000000006</v>
      </c>
      <c r="CF213" s="26">
        <f t="shared" si="3403"/>
        <v>0.34250000000000008</v>
      </c>
      <c r="CG213" s="26">
        <f t="shared" si="3403"/>
        <v>0.34250000000000008</v>
      </c>
      <c r="CH213" s="26"/>
      <c r="CI213" s="110"/>
      <c r="CJ213" s="30"/>
      <c r="CK213" s="110"/>
      <c r="CL213" s="110"/>
      <c r="CM213" s="30"/>
      <c r="CN213" s="110"/>
      <c r="CO213" s="30"/>
      <c r="CP213" s="110"/>
      <c r="CQ213" s="28">
        <f t="shared" ref="CQ213:CY213" si="3404">CQ212/CQ$47</f>
        <v>-0.74477560808496057</v>
      </c>
      <c r="CR213" s="111">
        <f t="shared" si="3404"/>
        <v>-0.52085669432608206</v>
      </c>
      <c r="CS213" s="22">
        <f t="shared" si="3404"/>
        <v>-0.42935906271536872</v>
      </c>
      <c r="CT213" s="107">
        <f t="shared" si="3404"/>
        <v>-0.11881703634280955</v>
      </c>
      <c r="CU213" s="22">
        <f t="shared" si="3404"/>
        <v>-7.3135464231354641E-2</v>
      </c>
      <c r="CV213" s="107">
        <f t="shared" si="3404"/>
        <v>5.1861702127659573E-2</v>
      </c>
      <c r="CW213" s="356">
        <f t="shared" si="3404"/>
        <v>0.14138656920123066</v>
      </c>
      <c r="CX213" s="107">
        <f t="shared" si="3404"/>
        <v>0.21541953684793522</v>
      </c>
      <c r="CY213" s="107">
        <f t="shared" si="3404"/>
        <v>0.25388643678936978</v>
      </c>
      <c r="CZ213" s="107">
        <f t="shared" ref="CZ213:DA213" si="3405">CZ212/CZ$47</f>
        <v>0.27888643678936975</v>
      </c>
      <c r="DA213" s="107">
        <f t="shared" si="3405"/>
        <v>0.29888643678936982</v>
      </c>
      <c r="DB213" s="107">
        <f t="shared" ref="DB213" si="3406">DB212/DB$47</f>
        <v>0.31388643678936978</v>
      </c>
      <c r="DC213" s="107">
        <f>DC212/DC$47</f>
        <v>0.32638643678936979</v>
      </c>
      <c r="DD213" s="33"/>
    </row>
    <row r="214" spans="1:108" s="82" customFormat="1" hidden="1" outlineLevel="1" x14ac:dyDescent="0.2">
      <c r="A214" s="81" t="s">
        <v>468</v>
      </c>
      <c r="AO214" s="371" t="s">
        <v>82</v>
      </c>
      <c r="AP214" s="371" t="s">
        <v>82</v>
      </c>
      <c r="AQ214" s="371" t="s">
        <v>82</v>
      </c>
      <c r="AR214" s="371" t="s">
        <v>82</v>
      </c>
      <c r="AS214" s="83">
        <f>(AS212-AO212)/(AS47-AO47)</f>
        <v>-4.0262941659819231E-2</v>
      </c>
      <c r="AT214" s="83">
        <f t="shared" ref="AT214:CG214" si="3407">(AT212-AP212)/(AT47-AP47)</f>
        <v>0.59527559055118107</v>
      </c>
      <c r="AU214" s="83">
        <f t="shared" si="3407"/>
        <v>0.51511412708204807</v>
      </c>
      <c r="AV214" s="83">
        <f t="shared" si="3407"/>
        <v>0.36481241914618368</v>
      </c>
      <c r="AW214" s="83">
        <f t="shared" si="3407"/>
        <v>0.20643274853801169</v>
      </c>
      <c r="AX214" s="83">
        <f t="shared" si="3407"/>
        <v>0.15107102593010147</v>
      </c>
      <c r="AY214" s="83">
        <f t="shared" si="3407"/>
        <v>6.0679611650485432E-4</v>
      </c>
      <c r="AZ214" s="83">
        <f t="shared" si="3407"/>
        <v>0.10862619808306709</v>
      </c>
      <c r="BA214" s="83">
        <f t="shared" si="3407"/>
        <v>0.3968432919954904</v>
      </c>
      <c r="BB214" s="83">
        <f t="shared" si="3407"/>
        <v>0.54929577464788737</v>
      </c>
      <c r="BC214" s="83">
        <f t="shared" si="3407"/>
        <v>0.56125356125356129</v>
      </c>
      <c r="BD214" s="83">
        <f t="shared" si="3407"/>
        <v>0.45755022683084901</v>
      </c>
      <c r="BE214" s="83">
        <f t="shared" si="3407"/>
        <v>0.55940330314331377</v>
      </c>
      <c r="BF214" s="83">
        <f t="shared" si="3407"/>
        <v>0.33443396226415095</v>
      </c>
      <c r="BG214" s="83">
        <f t="shared" si="3407"/>
        <v>0.33549222797927464</v>
      </c>
      <c r="BH214" s="83">
        <f t="shared" si="3407"/>
        <v>0.57138001359619306</v>
      </c>
      <c r="BI214" s="83">
        <f t="shared" si="3407"/>
        <v>0.44480636988780309</v>
      </c>
      <c r="BJ214" s="83">
        <f t="shared" si="3407"/>
        <v>0.47542814594192107</v>
      </c>
      <c r="BK214" s="83">
        <f t="shared" si="3407"/>
        <v>0.50472993591699722</v>
      </c>
      <c r="BL214" s="83">
        <f t="shared" si="3407"/>
        <v>0.43296529968454256</v>
      </c>
      <c r="BM214" s="83">
        <f t="shared" si="3407"/>
        <v>0.36731702216645762</v>
      </c>
      <c r="BN214" s="83">
        <f t="shared" si="3407"/>
        <v>0.32102540200419483</v>
      </c>
      <c r="BO214" s="83">
        <f t="shared" si="3407"/>
        <v>0.36825536634696943</v>
      </c>
      <c r="BP214" s="83">
        <f t="shared" si="3407"/>
        <v>0.36964192962147713</v>
      </c>
      <c r="BQ214" s="83">
        <f t="shared" si="3407"/>
        <v>0.43</v>
      </c>
      <c r="BR214" s="83">
        <f t="shared" si="3407"/>
        <v>0.33120689655172403</v>
      </c>
      <c r="BS214" s="83">
        <f t="shared" si="3407"/>
        <v>0.36120689655172433</v>
      </c>
      <c r="BT214" s="83">
        <f t="shared" si="3407"/>
        <v>0.38120689655172418</v>
      </c>
      <c r="BU214" s="83">
        <f t="shared" si="3407"/>
        <v>0.38120689655172429</v>
      </c>
      <c r="BV214" s="83">
        <f t="shared" si="3407"/>
        <v>0.34192307692307705</v>
      </c>
      <c r="BW214" s="83">
        <f t="shared" si="3407"/>
        <v>0.37192307692307708</v>
      </c>
      <c r="BX214" s="83">
        <f t="shared" si="3407"/>
        <v>0.39192307692307715</v>
      </c>
      <c r="BY214" s="83">
        <f t="shared" si="3407"/>
        <v>0.39192307692307704</v>
      </c>
      <c r="BZ214" s="83">
        <f t="shared" si="3407"/>
        <v>0.34521739130434781</v>
      </c>
      <c r="CA214" s="83">
        <f t="shared" si="3407"/>
        <v>0.37521739130434789</v>
      </c>
      <c r="CB214" s="83">
        <f t="shared" si="3407"/>
        <v>0.39521739130434796</v>
      </c>
      <c r="CC214" s="83">
        <f t="shared" si="3407"/>
        <v>0.39521739130434796</v>
      </c>
      <c r="CD214" s="83">
        <f t="shared" si="3407"/>
        <v>0.35500000000000015</v>
      </c>
      <c r="CE214" s="83">
        <f t="shared" si="3407"/>
        <v>0.38500000000000018</v>
      </c>
      <c r="CF214" s="83">
        <f t="shared" si="3407"/>
        <v>0.40499999999999997</v>
      </c>
      <c r="CG214" s="83">
        <f t="shared" si="3407"/>
        <v>0.4050000000000003</v>
      </c>
      <c r="CH214" s="26"/>
      <c r="CI214" s="372"/>
      <c r="CJ214" s="83"/>
      <c r="CK214" s="372"/>
      <c r="CL214" s="372"/>
      <c r="CM214" s="83"/>
      <c r="CN214" s="372"/>
      <c r="CO214" s="83"/>
      <c r="CP214" s="372"/>
      <c r="CQ214" s="373" t="s">
        <v>82</v>
      </c>
      <c r="CR214" s="372">
        <f>(CR212-CQ212)/(CR47-CQ47)</f>
        <v>-9.6428571428571433E-2</v>
      </c>
      <c r="CS214" s="372">
        <f t="shared" ref="CS214:DC214" si="3408">(CS212-CR212)/(CS47-CR47)</f>
        <v>-0.23231103598164696</v>
      </c>
      <c r="CT214" s="372">
        <f t="shared" si="3408"/>
        <v>0.54091426712217339</v>
      </c>
      <c r="CU214" s="372">
        <f t="shared" si="3408"/>
        <v>5.0890585241730277E-2</v>
      </c>
      <c r="CV214" s="372">
        <f t="shared" si="3408"/>
        <v>0.53437132784958874</v>
      </c>
      <c r="CW214" s="372">
        <f t="shared" si="3408"/>
        <v>0.43348782171383493</v>
      </c>
      <c r="CX214" s="372">
        <f t="shared" si="3408"/>
        <v>0.43539143583751461</v>
      </c>
      <c r="CY214" s="372">
        <f t="shared" si="3408"/>
        <v>0.3694036975244156</v>
      </c>
      <c r="CZ214" s="372">
        <f t="shared" si="3408"/>
        <v>0.36509333334109373</v>
      </c>
      <c r="DA214" s="372">
        <f t="shared" si="3408"/>
        <v>0.37580951371244692</v>
      </c>
      <c r="DB214" s="372">
        <f t="shared" si="3408"/>
        <v>0.37910382809371757</v>
      </c>
      <c r="DC214" s="372">
        <f t="shared" si="3408"/>
        <v>0.38888643678936979</v>
      </c>
      <c r="DD214" s="374"/>
    </row>
    <row r="215" spans="1:108" hidden="1" outlineLevel="1" x14ac:dyDescent="0.2">
      <c r="A215" s="8" t="s">
        <v>62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25" t="s">
        <v>82</v>
      </c>
      <c r="AP215" s="22">
        <f t="shared" ref="AP215" si="3409">IF(AND(AO212&lt;0,AP212&gt;0),"n/a",AP212/AO212-1)</f>
        <v>0.44891122278056961</v>
      </c>
      <c r="AQ215" s="22">
        <f t="shared" ref="AQ215" si="3410">IF(AND(AP212&lt;0,AQ212&gt;0),"n/a",AQ212/AP212-1)</f>
        <v>-0.17572254335260118</v>
      </c>
      <c r="AR215" s="22">
        <f t="shared" ref="AR215:AS215" si="3411">IF(AND(AQ212&lt;0,AR212&gt;0),"n/a",AR212/AQ212-1)</f>
        <v>-0.15287517531556805</v>
      </c>
      <c r="AS215" s="22">
        <f t="shared" si="3411"/>
        <v>2.8973509933774899E-2</v>
      </c>
      <c r="AT215" s="22">
        <f t="shared" ref="AT215" si="3412">IF(AND(AS212&lt;0,AT212&gt;0),"n/a",AT212/AS212-1)</f>
        <v>-0.21641190667739341</v>
      </c>
      <c r="AU215" s="22">
        <f t="shared" ref="AU215" si="3413">IF(AND(AT212&lt;0,AU212&gt;0),"n/a",AU212/AT212-1)</f>
        <v>-0.39322381930184802</v>
      </c>
      <c r="AV215" s="22">
        <f t="shared" ref="AV215" si="3414">IF(AND(AU212&lt;0,AV212&gt;0),"n/a",AV212/AU212-1)</f>
        <v>8.9678510998308036E-2</v>
      </c>
      <c r="AW215" s="22">
        <f t="shared" ref="AW215" si="3415">IF(AND(AV212&lt;0,AW212&gt;0),"n/a",AW212/AV212-1)</f>
        <v>0.38198757763975166</v>
      </c>
      <c r="AX215" s="28">
        <f t="shared" ref="AX215" si="3416">IF(AND(AW212&lt;0,AX212&gt;0),"n/a",AX212/AW212-1)</f>
        <v>-0.20674157303370788</v>
      </c>
      <c r="AY215" s="28">
        <f t="shared" ref="AY215" si="3417">IF(AND(AX212&lt;0,AY212&gt;0),"n/a",AY212/AX212-1)</f>
        <v>-0.1643059490084986</v>
      </c>
      <c r="AZ215" s="28">
        <f t="shared" ref="AZ215" si="3418">IF(AND(AY212&lt;0,AZ212&gt;0),"n/a",AZ212/AY212-1)</f>
        <v>-0.25423728813559321</v>
      </c>
      <c r="BA215" s="28">
        <f t="shared" ref="BA215:BL215" si="3419">IF(AND(AZ212&lt;0,BA212&gt;0),"n/a",BA212/AZ212-1)</f>
        <v>-0.57727272727272727</v>
      </c>
      <c r="BB215" s="28" t="str">
        <f t="shared" si="3419"/>
        <v>n/a</v>
      </c>
      <c r="BC215" s="28">
        <f t="shared" si="3419"/>
        <v>1.0680628272251309</v>
      </c>
      <c r="BD215" s="28">
        <f t="shared" si="3419"/>
        <v>-0.32658227848101262</v>
      </c>
      <c r="BE215" s="28">
        <f t="shared" si="3419"/>
        <v>2.2481203007518795</v>
      </c>
      <c r="BF215" s="28">
        <f t="shared" si="3419"/>
        <v>4.1666666666666741E-2</v>
      </c>
      <c r="BG215" s="28">
        <f t="shared" si="3419"/>
        <v>0.30222222222222217</v>
      </c>
      <c r="BH215" s="28">
        <f t="shared" si="3419"/>
        <v>0.6612627986348123</v>
      </c>
      <c r="BI215" s="28">
        <f t="shared" si="3419"/>
        <v>7.4987159732922359E-2</v>
      </c>
      <c r="BJ215" s="28">
        <f t="shared" si="3419"/>
        <v>4.013377926421402E-2</v>
      </c>
      <c r="BK215" s="28">
        <f t="shared" si="3419"/>
        <v>0.29811667432246214</v>
      </c>
      <c r="BL215" s="28">
        <f t="shared" si="3419"/>
        <v>0.27176220806794049</v>
      </c>
      <c r="BM215" s="28">
        <f t="shared" ref="BM215" si="3420">IF(AND(BL212&lt;0,BM212&gt;0),"n/a",BM212/BL212-1)</f>
        <v>7.1093489148581046E-2</v>
      </c>
      <c r="BN215" s="28">
        <f t="shared" ref="BN215" si="3421">IF(AND(BM212&lt;0,BN212&gt;0),"n/a",BN212/BM212-1)</f>
        <v>-5.0619429485830869E-3</v>
      </c>
      <c r="BO215" s="28">
        <f t="shared" ref="BO215" si="3422">IF(AND(BN212&lt;0,BO212&gt;0),"n/a",BO212/BN212-1)</f>
        <v>0.2094336745670522</v>
      </c>
      <c r="BP215" s="28">
        <f t="shared" ref="BP215" si="3423">IF(AND(BO212&lt;0,BP212&gt;0),"n/a",BP212/BO212-1)</f>
        <v>0.17501958049808319</v>
      </c>
      <c r="BQ215" s="28">
        <f t="shared" ref="BQ215" si="3424">IF(AND(BP212&lt;0,BQ212&gt;0),"n/a",BQ212/BP212-1)</f>
        <v>3.7821676973987861E-2</v>
      </c>
      <c r="BR215" s="28">
        <f t="shared" ref="BR215" si="3425">IF(AND(BQ212&lt;0,BR212&gt;0),"n/a",BR212/BQ212-1)</f>
        <v>-2.5945592267298645E-2</v>
      </c>
      <c r="BS215" s="28">
        <f t="shared" ref="BS215" si="3426">IF(AND(BR212&lt;0,BS212&gt;0),"n/a",BS212/BR212-1)</f>
        <v>0.19462428263357823</v>
      </c>
      <c r="BT215" s="28">
        <f t="shared" ref="BT215" si="3427">IF(AND(BS212&lt;0,BT212&gt;0),"n/a",BT212/BS212-1)</f>
        <v>0.16710699073041946</v>
      </c>
      <c r="BU215" s="28">
        <f t="shared" ref="BU215" si="3428">IF(AND(BT212&lt;0,BU212&gt;0),"n/a",BU212/BT212-1)</f>
        <v>3.7821676973987861E-2</v>
      </c>
      <c r="BV215" s="28">
        <f t="shared" ref="BV215" si="3429">IF(AND(BU212&lt;0,BV212&gt;0),"n/a",BV212/BU212-1)</f>
        <v>-5.8141658337409474E-2</v>
      </c>
      <c r="BW215" s="28">
        <f t="shared" ref="BW215" si="3430">IF(AND(BV212&lt;0,BW212&gt;0),"n/a",BW212/BV212-1)</f>
        <v>0.1847886110098369</v>
      </c>
      <c r="BX215" s="28">
        <f t="shared" ref="BX215" si="3431">IF(AND(BW212&lt;0,BX212&gt;0),"n/a",BX212/BW212-1)</f>
        <v>0.1617425230913252</v>
      </c>
      <c r="BY215" s="28">
        <f t="shared" ref="BY215" si="3432">IF(AND(BX212&lt;0,BY212&gt;0),"n/a",BY212/BX212-1)</f>
        <v>3.7821676973988083E-2</v>
      </c>
      <c r="BZ215" s="28">
        <f t="shared" ref="BZ215" si="3433">IF(AND(BY212&lt;0,BZ212&gt;0),"n/a",BZ212/BY212-1)</f>
        <v>-9.0204520921710607E-2</v>
      </c>
      <c r="CA215" s="28">
        <f t="shared" ref="CA215" si="3434">IF(AND(BZ212&lt;0,CA212&gt;0),"n/a",CA212/BZ212-1)</f>
        <v>0.17833395150675679</v>
      </c>
      <c r="CB215" s="28">
        <f t="shared" ref="CB215" si="3435">IF(AND(CA212&lt;0,CB212&gt;0),"n/a",CB212/CA212-1)</f>
        <v>0.15817342163789583</v>
      </c>
      <c r="CC215" s="28">
        <f t="shared" ref="CC215" si="3436">IF(AND(CB212&lt;0,CC212&gt;0),"n/a",CC212/CB212-1)</f>
        <v>3.7821676973987861E-2</v>
      </c>
      <c r="CD215" s="28">
        <f t="shared" ref="CD215" si="3437">IF(AND(CC212&lt;0,CD212&gt;0),"n/a",CD212/CC212-1)</f>
        <v>-0.11491626065277272</v>
      </c>
      <c r="CE215" s="28">
        <f t="shared" ref="CE215" si="3438">IF(AND(CD212&lt;0,CE212&gt;0),"n/a",CE212/CD212-1)</f>
        <v>0.17346077552864769</v>
      </c>
      <c r="CF215" s="28">
        <f t="shared" ref="CF215" si="3439">IF(AND(CE212&lt;0,CF212&gt;0),"n/a",CF212/CE212-1)</f>
        <v>0.1554527887470385</v>
      </c>
      <c r="CG215" s="28">
        <f t="shared" ref="CG215" si="3440">IF(AND(CF212&lt;0,CG212&gt;0),"n/a",CG212/CF212-1)</f>
        <v>3.7821676973987861E-2</v>
      </c>
      <c r="CH215" s="28"/>
      <c r="CI215" s="109"/>
      <c r="CJ215" s="59"/>
      <c r="CK215" s="109"/>
      <c r="CL215" s="109"/>
      <c r="CM215" s="59"/>
      <c r="CN215" s="109"/>
      <c r="CO215" s="59"/>
      <c r="CP215" s="109"/>
      <c r="CQ215" s="48" t="s">
        <v>82</v>
      </c>
      <c r="CR215" s="106" t="s">
        <v>82</v>
      </c>
      <c r="CS215" s="48" t="s">
        <v>82</v>
      </c>
      <c r="CT215" s="106" t="s">
        <v>82</v>
      </c>
      <c r="CU215" s="48" t="s">
        <v>82</v>
      </c>
      <c r="CV215" s="106" t="s">
        <v>82</v>
      </c>
      <c r="CW215" s="48" t="s">
        <v>82</v>
      </c>
      <c r="CX215" s="106" t="s">
        <v>82</v>
      </c>
      <c r="CY215" s="106" t="s">
        <v>82</v>
      </c>
      <c r="CZ215" s="106" t="s">
        <v>82</v>
      </c>
      <c r="DA215" s="106" t="s">
        <v>82</v>
      </c>
      <c r="DB215" s="106" t="s">
        <v>82</v>
      </c>
      <c r="DC215" s="106" t="s">
        <v>82</v>
      </c>
    </row>
    <row r="216" spans="1:108" hidden="1" outlineLevel="1" x14ac:dyDescent="0.2">
      <c r="A216" s="8" t="s">
        <v>63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25" t="s">
        <v>82</v>
      </c>
      <c r="AP216" s="25" t="s">
        <v>82</v>
      </c>
      <c r="AQ216" s="25" t="s">
        <v>82</v>
      </c>
      <c r="AR216" s="25" t="s">
        <v>82</v>
      </c>
      <c r="AS216" s="22">
        <f t="shared" ref="AS216" si="3441">IF(AND(AO212&lt;0,AS212&gt;0),"n/a",AS212/AO212-1)</f>
        <v>4.1038525963149164E-2</v>
      </c>
      <c r="AT216" s="22">
        <f t="shared" ref="AT216" si="3442">IF(AND(AP212&lt;0,AT212&gt;0),"n/a",AT212/AP212-1)</f>
        <v>-0.43699421965317919</v>
      </c>
      <c r="AU216" s="22">
        <f t="shared" ref="AU216" si="3443">IF(AND(AQ212&lt;0,AU212&gt;0),"n/a",AU212/AQ212-1)</f>
        <v>-0.58555399719495094</v>
      </c>
      <c r="AV216" s="22">
        <f t="shared" ref="AV216" si="3444">IF(AND(AR212&lt;0,AV212&gt;0),"n/a",AV212/AR212-1)</f>
        <v>-0.4668874172185431</v>
      </c>
      <c r="AW216" s="22">
        <f t="shared" ref="AW216" si="3445">IF(AND(AS212&lt;0,AW212&gt;0),"n/a",AW212/AS212-1)</f>
        <v>-0.28399034593724859</v>
      </c>
      <c r="AX216" s="28">
        <f t="shared" ref="AX216" si="3446">IF(AND(AT212&lt;0,AX212&gt;0),"n/a",AX212/AT212-1)</f>
        <v>-0.27515400410677615</v>
      </c>
      <c r="AY216" s="28">
        <f t="shared" ref="AY216" si="3447">IF(AND(AU212&lt;0,AY212&gt;0),"n/a",AY212/AU212-1)</f>
        <v>-1.6920473773265332E-3</v>
      </c>
      <c r="AZ216" s="28">
        <f t="shared" ref="AZ216" si="3448">IF(AND(AV212&lt;0,AZ212&gt;0),"n/a",AZ212/AV212-1)</f>
        <v>-0.31677018633540377</v>
      </c>
      <c r="BA216" s="28">
        <f t="shared" ref="BA216:BL216" si="3449">IF(AND(AW212&lt;0,BA212&gt;0),"n/a",BA212/AW212-1)</f>
        <v>-0.79101123595505618</v>
      </c>
      <c r="BB216" s="28" t="str">
        <f t="shared" si="3449"/>
        <v>n/a</v>
      </c>
      <c r="BC216" s="28" t="str">
        <f t="shared" si="3449"/>
        <v>n/a</v>
      </c>
      <c r="BD216" s="28" t="str">
        <f t="shared" si="3449"/>
        <v>n/a</v>
      </c>
      <c r="BE216" s="28" t="str">
        <f t="shared" si="3449"/>
        <v>n/a</v>
      </c>
      <c r="BF216" s="28">
        <f t="shared" si="3449"/>
        <v>3.7120418848167542</v>
      </c>
      <c r="BG216" s="28">
        <f t="shared" si="3449"/>
        <v>1.9670886075949365</v>
      </c>
      <c r="BH216" s="28">
        <f t="shared" si="3449"/>
        <v>6.3195488721804507</v>
      </c>
      <c r="BI216" s="28">
        <f t="shared" si="3449"/>
        <v>1.4224537037037037</v>
      </c>
      <c r="BJ216" s="28">
        <f t="shared" si="3449"/>
        <v>1.4188888888888891</v>
      </c>
      <c r="BK216" s="28">
        <f t="shared" si="3449"/>
        <v>1.4112627986348123</v>
      </c>
      <c r="BL216" s="28">
        <f t="shared" si="3449"/>
        <v>0.84591679506933737</v>
      </c>
      <c r="BM216" s="28">
        <f t="shared" ref="BM216" si="3450">IF(AND(BI212&lt;0,BM212&gt;0),"n/a",BM212/BI212-1)</f>
        <v>0.83923076923076922</v>
      </c>
      <c r="BN216" s="28">
        <f t="shared" ref="BN216" si="3451">IF(AND(BJ212&lt;0,BN212&gt;0),"n/a",BN212/BJ212-1)</f>
        <v>0.75931281580156185</v>
      </c>
      <c r="BO216" s="28">
        <f t="shared" ref="BO216" si="3452">IF(AND(BK212&lt;0,BO212&gt;0),"n/a",BO212/BK212-1)</f>
        <v>0.63912243453644724</v>
      </c>
      <c r="BP216" s="28">
        <f t="shared" ref="BP216" si="3453">IF(AND(BL212&lt;0,BP212&gt;0),"n/a",BP212/BL212-1)</f>
        <v>0.51443480801335584</v>
      </c>
      <c r="BQ216" s="28">
        <f t="shared" ref="BQ216" si="3454">IF(AND(BM212&lt;0,BQ212&gt;0),"n/a",BQ212/BM212-1)</f>
        <v>0.46739130434782594</v>
      </c>
      <c r="BR216" s="28">
        <f t="shared" ref="BR216" si="3455">IF(AND(BN212&lt;0,BR212&gt;0),"n/a",BR212/BN212-1)</f>
        <v>0.43659090909090903</v>
      </c>
      <c r="BS216" s="28">
        <f t="shared" ref="BS216" si="3456">IF(AND(BO212&lt;0,BS212&gt;0),"n/a",BS212/BO212-1)</f>
        <v>0.41900000000000026</v>
      </c>
      <c r="BT216" s="28">
        <f t="shared" ref="BT216" si="3457">IF(AND(BP212&lt;0,BT212&gt;0),"n/a",BT212/BP212-1)</f>
        <v>0.4094444444444445</v>
      </c>
      <c r="BU216" s="28">
        <f t="shared" ref="BU216" si="3458">IF(AND(BQ212&lt;0,BU212&gt;0),"n/a",BU212/BQ212-1)</f>
        <v>0.40944444444444472</v>
      </c>
      <c r="BV216" s="28">
        <f t="shared" ref="BV216" si="3459">IF(AND(BR212&lt;0,BV212&gt;0),"n/a",BV212/BR212-1)</f>
        <v>0.36285714285714299</v>
      </c>
      <c r="BW216" s="28">
        <f t="shared" ref="BW216" si="3460">IF(AND(BS212&lt;0,BW212&gt;0),"n/a",BW212/BS212-1)</f>
        <v>0.35163636363636375</v>
      </c>
      <c r="BX216" s="28">
        <f t="shared" ref="BX216" si="3461">IF(AND(BT212&lt;0,BX212&gt;0),"n/a",BX212/BT212-1)</f>
        <v>0.34542372881355932</v>
      </c>
      <c r="BY216" s="28">
        <f t="shared" ref="BY216" si="3462">IF(AND(BU212&lt;0,BY212&gt;0),"n/a",BY212/BU212-1)</f>
        <v>0.34542372881355954</v>
      </c>
      <c r="BZ216" s="28">
        <f t="shared" ref="BZ216" si="3463">IF(AND(BV212&lt;0,BZ212&gt;0),"n/a",BZ212/BV212-1)</f>
        <v>0.29962264150943385</v>
      </c>
      <c r="CA216" s="28">
        <f t="shared" ref="CA216" si="3464">IF(AND(BW212&lt;0,CA212&gt;0),"n/a",CA212/BW212-1)</f>
        <v>0.29254237288135565</v>
      </c>
      <c r="CB216" s="28">
        <f t="shared" ref="CB216" si="3465">IF(AND(BX212&lt;0,CB212&gt;0),"n/a",CB212/BX212-1)</f>
        <v>0.2885714285714287</v>
      </c>
      <c r="CC216" s="28">
        <f t="shared" ref="CC216" si="3466">IF(AND(BY212&lt;0,CC212&gt;0),"n/a",CC212/BY212-1)</f>
        <v>0.28857142857142848</v>
      </c>
      <c r="CD216" s="28">
        <f t="shared" ref="CD216" si="3467">IF(AND(BZ212&lt;0,CD212&gt;0),"n/a",CD212/BZ212-1)</f>
        <v>0.25357142857142856</v>
      </c>
      <c r="CE216" s="28">
        <f t="shared" ref="CE216" si="3468">IF(AND(CA212&lt;0,CE212&gt;0),"n/a",CE212/CA212-1)</f>
        <v>0.24838709677419368</v>
      </c>
      <c r="CF216" s="28">
        <f t="shared" ref="CF216" si="3469">IF(AND(CB212&lt;0,CF212&gt;0),"n/a",CF212/CB212-1)</f>
        <v>0.24545454545454537</v>
      </c>
      <c r="CG216" s="28">
        <f t="shared" ref="CG216" si="3470">IF(AND(CC212&lt;0,CG212&gt;0),"n/a",CG212/CC212-1)</f>
        <v>0.24545454545454537</v>
      </c>
      <c r="CH216" s="28"/>
      <c r="CI216" s="109"/>
      <c r="CJ216" s="30"/>
      <c r="CK216" s="110"/>
      <c r="CL216" s="110"/>
      <c r="CM216" s="30"/>
      <c r="CN216" s="110"/>
      <c r="CO216" s="30"/>
      <c r="CP216" s="110"/>
      <c r="CQ216" s="48" t="s">
        <v>82</v>
      </c>
      <c r="CR216" s="111">
        <f t="shared" ref="CR216:DB216" si="3471">IF(AND(CQ212&lt;0,CR212&gt;0),"n/a",CR212/CQ212-1)</f>
        <v>6.8307267709291519E-2</v>
      </c>
      <c r="CS216" s="22">
        <f t="shared" si="3471"/>
        <v>0.20710441334768559</v>
      </c>
      <c r="CT216" s="107">
        <f t="shared" si="3471"/>
        <v>-0.59300873907615481</v>
      </c>
      <c r="CU216" s="22">
        <f t="shared" si="3471"/>
        <v>-0.15775635407537247</v>
      </c>
      <c r="CV216" s="107" t="str">
        <f t="shared" si="3471"/>
        <v>n/a</v>
      </c>
      <c r="CW216" s="22">
        <f t="shared" si="3471"/>
        <v>2.561771561771562</v>
      </c>
      <c r="CX216" s="107">
        <f t="shared" si="3471"/>
        <v>1.0364054319371729</v>
      </c>
      <c r="CY216" s="107">
        <f t="shared" si="3471"/>
        <v>0.57102675368436628</v>
      </c>
      <c r="CZ216" s="107">
        <f t="shared" si="3471"/>
        <v>0.41702529685252698</v>
      </c>
      <c r="DA216" s="107">
        <f t="shared" si="3471"/>
        <v>0.35035936021167102</v>
      </c>
      <c r="DB216" s="107">
        <f t="shared" si="3471"/>
        <v>0.2917291309642196</v>
      </c>
      <c r="DC216" s="107">
        <f>IF(AND(DB212&lt;0,DC212&gt;0),"n/a",DC212/DB212-1)</f>
        <v>0.24778798393912638</v>
      </c>
    </row>
    <row r="217" spans="1:108" hidden="1" outlineLevel="1" x14ac:dyDescent="0.2">
      <c r="BH217" s="258"/>
      <c r="BI217" s="258"/>
      <c r="BJ217" s="258"/>
      <c r="BK217" s="258"/>
      <c r="BL217" s="258"/>
      <c r="CI217" s="92"/>
      <c r="CK217" s="92"/>
      <c r="CL217" s="92"/>
      <c r="CN217" s="92"/>
      <c r="CP217" s="92"/>
      <c r="CR217" s="92"/>
      <c r="CT217" s="89"/>
      <c r="CU217" s="111"/>
      <c r="CV217" s="111"/>
      <c r="CW217" s="111"/>
      <c r="CX217" s="111"/>
      <c r="CY217" s="111"/>
      <c r="CZ217" s="111"/>
      <c r="DA217" s="111"/>
      <c r="DB217" s="111"/>
      <c r="DC217" s="111"/>
    </row>
    <row r="218" spans="1:108" hidden="1" outlineLevel="1" x14ac:dyDescent="0.2">
      <c r="A218" s="9" t="s">
        <v>75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7">
        <v>-634</v>
      </c>
      <c r="V218" s="17">
        <v>-633</v>
      </c>
      <c r="W218" s="17">
        <v>-683</v>
      </c>
      <c r="X218" s="17">
        <v>-1009</v>
      </c>
      <c r="Y218" s="17">
        <v>-1213</v>
      </c>
      <c r="Z218" s="17">
        <v>-802</v>
      </c>
      <c r="AA218" s="17">
        <v>-859</v>
      </c>
      <c r="AB218" s="17">
        <v>-865</v>
      </c>
      <c r="AC218" s="17">
        <v>-1088</v>
      </c>
      <c r="AD218" s="17">
        <v>-703</v>
      </c>
      <c r="AE218" s="17">
        <v>-633</v>
      </c>
      <c r="AF218" s="17">
        <v>-650</v>
      </c>
      <c r="AG218" s="17">
        <v>-748</v>
      </c>
      <c r="AH218" s="17">
        <v>-571</v>
      </c>
      <c r="AI218" s="17">
        <v>-732</v>
      </c>
      <c r="AJ218" s="17">
        <v>-727</v>
      </c>
      <c r="AK218" s="17">
        <v>-1328</v>
      </c>
      <c r="AL218" s="17">
        <v>-868</v>
      </c>
      <c r="AM218" s="17">
        <v>-989</v>
      </c>
      <c r="AN218" s="17">
        <v>-941</v>
      </c>
      <c r="AO218" s="17">
        <v>-2026</v>
      </c>
      <c r="AP218" s="17">
        <v>-1121</v>
      </c>
      <c r="AQ218" s="17">
        <v>-1116</v>
      </c>
      <c r="AR218" s="17">
        <v>-1103</v>
      </c>
      <c r="AS218" s="17">
        <v>-1136</v>
      </c>
      <c r="AT218" s="17">
        <v>-1145</v>
      </c>
      <c r="AU218" s="18">
        <v>-1398</v>
      </c>
      <c r="AV218" s="18">
        <v>-1288</v>
      </c>
      <c r="AW218" s="18">
        <v>-1450</v>
      </c>
      <c r="AX218" s="18">
        <v>-835</v>
      </c>
      <c r="AY218" s="18">
        <v>-1339</v>
      </c>
      <c r="AZ218" s="18">
        <v>-1225</v>
      </c>
      <c r="BA218" s="18">
        <v>-1237</v>
      </c>
      <c r="BB218" s="18">
        <v>-1225</v>
      </c>
      <c r="BC218" s="18">
        <v>-813</v>
      </c>
      <c r="BD218" s="18">
        <v>-1194</v>
      </c>
      <c r="BE218" s="18">
        <v>-863</v>
      </c>
      <c r="BF218" s="18">
        <v>-1020</v>
      </c>
      <c r="BG218" s="18">
        <v>-1134</v>
      </c>
      <c r="BH218" s="18">
        <v>-1116</v>
      </c>
      <c r="BI218" s="18">
        <v>-1174</v>
      </c>
      <c r="BJ218" s="18">
        <v>-1226</v>
      </c>
      <c r="BK218" s="18">
        <v>-1246</v>
      </c>
      <c r="BL218" s="18">
        <v>-1426</v>
      </c>
      <c r="BM218" s="35">
        <f>BI218-200</f>
        <v>-1374</v>
      </c>
      <c r="BN218" s="35">
        <f>BJ218-200</f>
        <v>-1426</v>
      </c>
      <c r="BO218" s="35">
        <f t="shared" ref="BO218:BQ218" si="3472">BK218-200</f>
        <v>-1446</v>
      </c>
      <c r="BP218" s="35">
        <f t="shared" si="3472"/>
        <v>-1626</v>
      </c>
      <c r="BQ218" s="35">
        <f t="shared" si="3472"/>
        <v>-1574</v>
      </c>
      <c r="BR218" s="35">
        <f t="shared" ref="BR218:CC218" si="3473">BN218</f>
        <v>-1426</v>
      </c>
      <c r="BS218" s="35">
        <f t="shared" si="3473"/>
        <v>-1446</v>
      </c>
      <c r="BT218" s="35">
        <f t="shared" si="3473"/>
        <v>-1626</v>
      </c>
      <c r="BU218" s="35">
        <f t="shared" si="3473"/>
        <v>-1574</v>
      </c>
      <c r="BV218" s="35">
        <f t="shared" si="3473"/>
        <v>-1426</v>
      </c>
      <c r="BW218" s="35">
        <f t="shared" si="3473"/>
        <v>-1446</v>
      </c>
      <c r="BX218" s="35">
        <f t="shared" si="3473"/>
        <v>-1626</v>
      </c>
      <c r="BY218" s="35">
        <f t="shared" si="3473"/>
        <v>-1574</v>
      </c>
      <c r="BZ218" s="35">
        <f t="shared" si="3473"/>
        <v>-1426</v>
      </c>
      <c r="CA218" s="35">
        <f t="shared" si="3473"/>
        <v>-1446</v>
      </c>
      <c r="CB218" s="35">
        <f t="shared" si="3473"/>
        <v>-1626</v>
      </c>
      <c r="CC218" s="35">
        <f t="shared" si="3473"/>
        <v>-1574</v>
      </c>
      <c r="CD218" s="35">
        <f t="shared" ref="CD218" si="3474">BZ218</f>
        <v>-1426</v>
      </c>
      <c r="CE218" s="35">
        <f t="shared" ref="CE218" si="3475">CA218</f>
        <v>-1446</v>
      </c>
      <c r="CF218" s="35">
        <f t="shared" ref="CF218" si="3476">CB218</f>
        <v>-1626</v>
      </c>
      <c r="CG218" s="35">
        <f t="shared" ref="CG218" si="3477">CC218</f>
        <v>-1574</v>
      </c>
      <c r="CH218" s="35"/>
      <c r="CI218" s="114"/>
      <c r="CJ218" s="32"/>
      <c r="CK218" s="114"/>
      <c r="CL218" s="116">
        <v>-527</v>
      </c>
      <c r="CM218" s="40">
        <v>-1942</v>
      </c>
      <c r="CN218" s="89">
        <f>SUM(V218:Y218)</f>
        <v>-3538</v>
      </c>
      <c r="CO218" s="20">
        <f>SUM(Z218:AC218)</f>
        <v>-3614</v>
      </c>
      <c r="CP218" s="89">
        <f>SUM(AD218:AG218)</f>
        <v>-2734</v>
      </c>
      <c r="CQ218" s="20">
        <f>SUM(AH218:AK218)</f>
        <v>-3358</v>
      </c>
      <c r="CR218" s="89">
        <f>SUM(AL218:AO218)</f>
        <v>-4824</v>
      </c>
      <c r="CS218" s="20">
        <f>SUM(AP218:AS218)</f>
        <v>-4476</v>
      </c>
      <c r="CT218" s="116">
        <v>-4051</v>
      </c>
      <c r="CU218" s="20">
        <f>SUM(AX218:BA218)</f>
        <v>-4636</v>
      </c>
      <c r="CV218" s="89">
        <f>SUM(BB218:BE218)</f>
        <v>-4095</v>
      </c>
      <c r="CW218" s="20">
        <f>SUM(BF218:BI218)</f>
        <v>-4444</v>
      </c>
      <c r="CX218" s="89">
        <f>SUM(BJ218:BM218)</f>
        <v>-5272</v>
      </c>
      <c r="CY218" s="89">
        <f>SUM(BN218:BQ218)</f>
        <v>-6072</v>
      </c>
      <c r="CZ218" s="89">
        <f>SUM(BR218:BU218)</f>
        <v>-6072</v>
      </c>
      <c r="DA218" s="89">
        <f>SUM(BV218:BY218)</f>
        <v>-6072</v>
      </c>
      <c r="DB218" s="89">
        <f>SUM(BZ218:CC218)</f>
        <v>-6072</v>
      </c>
      <c r="DC218" s="89">
        <f>SUM(CD218:CG218)</f>
        <v>-6072</v>
      </c>
    </row>
    <row r="219" spans="1:108" hidden="1" outlineLevel="1" x14ac:dyDescent="0.2">
      <c r="A219" s="8" t="s">
        <v>129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22">
        <f>U218/U$53</f>
        <v>-5.9811320754716979</v>
      </c>
      <c r="V219" s="22">
        <f t="shared" ref="V219:Y219" si="3478">V218/V$53</f>
        <v>-7.9124999999999996</v>
      </c>
      <c r="W219" s="22">
        <f t="shared" si="3478"/>
        <v>-9.2297297297297298</v>
      </c>
      <c r="X219" s="22">
        <f t="shared" si="3478"/>
        <v>-7.105633802816901</v>
      </c>
      <c r="Y219" s="22">
        <f t="shared" si="3478"/>
        <v>-8.0331125827814578</v>
      </c>
      <c r="Z219" s="22">
        <f t="shared" ref="Z219" si="3479">Z218/Z$53</f>
        <v>-4.831325301204819</v>
      </c>
      <c r="AA219" s="22">
        <f t="shared" ref="AA219" si="3480">AA218/AA$53</f>
        <v>-4.6432432432432433</v>
      </c>
      <c r="AB219" s="22">
        <f t="shared" ref="AB219" si="3481">AB218/AB$53</f>
        <v>-4.3908629441624365</v>
      </c>
      <c r="AC219" s="22">
        <f t="shared" ref="AC219" si="3482">AC218/AC$53</f>
        <v>-4.1526717557251906</v>
      </c>
      <c r="AD219" s="22">
        <f t="shared" ref="AD219" si="3483">AD218/AD$53</f>
        <v>-5.3257575757575761</v>
      </c>
      <c r="AE219" s="22">
        <f t="shared" ref="AE219" si="3484">AE218/AE$53</f>
        <v>-6.5257731958762886</v>
      </c>
      <c r="AF219" s="22">
        <f t="shared" ref="AF219" si="3485">AF218/AF$53</f>
        <v>-5.5555555555555554</v>
      </c>
      <c r="AG219" s="22">
        <f t="shared" ref="AG219" si="3486">AG218/AG$53</f>
        <v>-5.7099236641221376</v>
      </c>
      <c r="AH219" s="22">
        <f t="shared" ref="AH219" si="3487">AH218/AH$53</f>
        <v>-3.8066666666666666</v>
      </c>
      <c r="AI219" s="22">
        <f t="shared" ref="AI219" si="3488">AI218/AI$53</f>
        <v>-5.0482758620689658</v>
      </c>
      <c r="AJ219" s="22">
        <f t="shared" ref="AJ219" si="3489">AJ218/AJ$53</f>
        <v>-4.9794520547945202</v>
      </c>
      <c r="AK219" s="22">
        <f t="shared" ref="AK219" si="3490">AK218/AK$53</f>
        <v>-8.6233766233766236</v>
      </c>
      <c r="AL219" s="22">
        <f t="shared" ref="AL219" si="3491">AL218/AL$53</f>
        <v>-5.1058823529411761</v>
      </c>
      <c r="AM219" s="22">
        <f t="shared" ref="AM219" si="3492">AM218/AM$53</f>
        <v>-6.1049382716049383</v>
      </c>
      <c r="AN219" s="22">
        <f t="shared" ref="AN219" si="3493">AN218/AN$53</f>
        <v>-6.0709677419354842</v>
      </c>
      <c r="AO219" s="22">
        <f t="shared" ref="AO219" si="3494">AO218/AO$53</f>
        <v>-11.779069767441861</v>
      </c>
      <c r="AP219" s="22">
        <f t="shared" ref="AP219" si="3495">AP218/AP$53</f>
        <v>-8.3037037037037038</v>
      </c>
      <c r="AQ219" s="22">
        <f t="shared" ref="AQ219" si="3496">AQ218/AQ$53</f>
        <v>-7.5405405405405403</v>
      </c>
      <c r="AR219" s="22">
        <f t="shared" ref="AR219" si="3497">AR218/AR$53</f>
        <v>-6.1966292134831464</v>
      </c>
      <c r="AS219" s="22">
        <f t="shared" ref="AS219" si="3498">AS218/AS$53</f>
        <v>-5.795918367346939</v>
      </c>
      <c r="AT219" s="22">
        <f t="shared" ref="AT219" si="3499">AT218/AT$53</f>
        <v>-5.7828282828282829</v>
      </c>
      <c r="AU219" s="22">
        <f t="shared" ref="AU219" si="3500">AU218/AU$53</f>
        <v>-7.28125</v>
      </c>
      <c r="AV219" s="22">
        <f t="shared" ref="AV219" si="3501">AV218/AV$53</f>
        <v>-7.0769230769230766</v>
      </c>
      <c r="AW219" s="22">
        <f t="shared" ref="AW219" si="3502">AW218/AW$53</f>
        <v>-8.0110497237569067</v>
      </c>
      <c r="AX219" s="28">
        <f t="shared" ref="AX219" si="3503">AX218/AX$53</f>
        <v>-1.8977272727272727</v>
      </c>
      <c r="AY219" s="28">
        <f t="shared" ref="AY219" si="3504">AY218/AY$53</f>
        <v>-6.937823834196891</v>
      </c>
      <c r="AZ219" s="28">
        <f t="shared" ref="AZ219" si="3505">AZ218/AZ$53</f>
        <v>-5.8612440191387556</v>
      </c>
      <c r="BA219" s="28">
        <f t="shared" ref="BA219:BB219" si="3506">BA218/BA$53</f>
        <v>-5.4734513274336285</v>
      </c>
      <c r="BB219" s="28">
        <f t="shared" si="3506"/>
        <v>-4.2534722222222223</v>
      </c>
      <c r="BC219" s="28">
        <f t="shared" ref="BC219:BD219" si="3507">BC218/BC$53</f>
        <v>-2.8526315789473684</v>
      </c>
      <c r="BD219" s="28">
        <f t="shared" si="3507"/>
        <v>-4.0202020202020199</v>
      </c>
      <c r="BE219" s="28">
        <f t="shared" ref="BE219:BF219" si="3508">BE218/BE$53</f>
        <v>-1.3135464231354643</v>
      </c>
      <c r="BF219" s="28">
        <f t="shared" si="3508"/>
        <v>-2.0606060606060606</v>
      </c>
      <c r="BG219" s="28">
        <f t="shared" ref="BG219:BH219" si="3509">BG218/BG$53</f>
        <v>-3.106849315068493</v>
      </c>
      <c r="BH219" s="28">
        <f t="shared" si="3509"/>
        <v>-2.8762886597938144</v>
      </c>
      <c r="BI219" s="28">
        <f t="shared" ref="BI219:BJ219" si="3510">BI218/BI$53</f>
        <v>-2.9350000000000001</v>
      </c>
      <c r="BJ219" s="28">
        <f t="shared" si="3510"/>
        <v>-2.7244444444444444</v>
      </c>
      <c r="BK219" s="28">
        <f t="shared" ref="BK219:BL219" si="3511">BK218/BK$53</f>
        <v>-3.3404825737265416</v>
      </c>
      <c r="BL219" s="28">
        <f t="shared" si="3511"/>
        <v>-4.1453488372093021</v>
      </c>
      <c r="BM219" s="28">
        <f t="shared" ref="BM219" si="3512">BM218/BM$53</f>
        <v>-3.2714285714285714</v>
      </c>
      <c r="BN219" s="28">
        <f t="shared" ref="BN219" si="3513">BN218/BN$53</f>
        <v>-3.0179894179894178</v>
      </c>
      <c r="BO219" s="28">
        <f t="shared" ref="BO219" si="3514">BO218/BO$53</f>
        <v>-3.6920720030639598</v>
      </c>
      <c r="BP219" s="28">
        <f t="shared" ref="BP219" si="3515">BP218/BP$53</f>
        <v>-4.5016611295681068</v>
      </c>
      <c r="BQ219" s="28">
        <f t="shared" ref="BQ219:CY219" si="3516">BQ218/BQ$53</f>
        <v>-3.5691609977324261</v>
      </c>
      <c r="BR219" s="28">
        <f t="shared" ref="BR219:BU219" si="3517">BR218/BR$53</f>
        <v>-2.8742756361803981</v>
      </c>
      <c r="BS219" s="28">
        <f t="shared" si="3517"/>
        <v>-3.5162590505371041</v>
      </c>
      <c r="BT219" s="28">
        <f t="shared" si="3517"/>
        <v>-4.2872963138743874</v>
      </c>
      <c r="BU219" s="28">
        <f t="shared" si="3517"/>
        <v>-3.3992009502213585</v>
      </c>
      <c r="BV219" s="28">
        <f t="shared" ref="BV219:CC219" si="3518">BV218/BV$53</f>
        <v>-2.7374053677908554</v>
      </c>
      <c r="BW219" s="28">
        <f t="shared" si="3518"/>
        <v>-3.3488181433686703</v>
      </c>
      <c r="BX219" s="28">
        <f t="shared" si="3518"/>
        <v>-4.0831393465470347</v>
      </c>
      <c r="BY219" s="28">
        <f t="shared" si="3518"/>
        <v>-3.2373342383060555</v>
      </c>
      <c r="BZ219" s="28">
        <f t="shared" si="3518"/>
        <v>-2.6070527312293859</v>
      </c>
      <c r="CA219" s="28">
        <f t="shared" si="3518"/>
        <v>-3.189350612732067</v>
      </c>
      <c r="CB219" s="28">
        <f t="shared" si="3518"/>
        <v>-3.8887041395686048</v>
      </c>
      <c r="CC219" s="28">
        <f t="shared" si="3518"/>
        <v>-3.0831754650533858</v>
      </c>
      <c r="CD219" s="28">
        <f t="shared" ref="CD219:CG219" si="3519">CD218/CD$53</f>
        <v>-2.4829073630756051</v>
      </c>
      <c r="CE219" s="28">
        <f t="shared" si="3519"/>
        <v>-3.0374767740305399</v>
      </c>
      <c r="CF219" s="28">
        <f t="shared" si="3519"/>
        <v>-3.7035277519700993</v>
      </c>
      <c r="CG219" s="28">
        <f t="shared" si="3519"/>
        <v>-2.936357585765129</v>
      </c>
      <c r="CH219" s="28"/>
      <c r="CI219" s="110"/>
      <c r="CJ219" s="30"/>
      <c r="CK219" s="110"/>
      <c r="CL219" s="107">
        <f t="shared" si="3516"/>
        <v>-43.916666666666664</v>
      </c>
      <c r="CM219" s="22">
        <f t="shared" si="3516"/>
        <v>-5.9388379204892967</v>
      </c>
      <c r="CN219" s="107">
        <f t="shared" si="3516"/>
        <v>-7.914988814317673</v>
      </c>
      <c r="CO219" s="22">
        <f t="shared" si="3516"/>
        <v>-4.4617283950617281</v>
      </c>
      <c r="CP219" s="107">
        <f t="shared" si="3516"/>
        <v>-5.7316561844863729</v>
      </c>
      <c r="CQ219" s="22">
        <f t="shared" si="3516"/>
        <v>-5.643697478991597</v>
      </c>
      <c r="CR219" s="107">
        <f t="shared" si="3516"/>
        <v>-7.3201820940819422</v>
      </c>
      <c r="CS219" s="22">
        <f t="shared" si="3516"/>
        <v>-6.8127853881278542</v>
      </c>
      <c r="CT219" s="107">
        <f t="shared" si="3516"/>
        <v>-5.3798140770252321</v>
      </c>
      <c r="CU219" s="22">
        <f t="shared" si="3516"/>
        <v>-4.3408239700374533</v>
      </c>
      <c r="CV219" s="107">
        <f t="shared" si="3516"/>
        <v>-2.6817288801571708</v>
      </c>
      <c r="CW219" s="22">
        <f t="shared" si="3516"/>
        <v>-2.6966019417475726</v>
      </c>
      <c r="CX219" s="107">
        <f t="shared" si="3516"/>
        <v>-3.3219911783238816</v>
      </c>
      <c r="CY219" s="107">
        <f t="shared" si="3516"/>
        <v>-3.6438923395445131</v>
      </c>
      <c r="CZ219" s="107">
        <f t="shared" ref="CZ219:DA219" si="3520">CZ218/CZ$53</f>
        <v>-3.4703736567090604</v>
      </c>
      <c r="DA219" s="107">
        <f t="shared" si="3520"/>
        <v>-3.3051177682943429</v>
      </c>
      <c r="DB219" s="107">
        <f t="shared" ref="DB219" si="3521">DB218/DB$53</f>
        <v>-3.147731207899374</v>
      </c>
      <c r="DC219" s="107">
        <f>DC218/DC$53</f>
        <v>-2.9978392456184513</v>
      </c>
    </row>
    <row r="220" spans="1:108" hidden="1" outlineLevel="1" x14ac:dyDescent="0.2">
      <c r="A220" s="8" t="s">
        <v>62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25" t="s">
        <v>82</v>
      </c>
      <c r="V220" s="22">
        <f t="shared" ref="V220" si="3522">IF(AND(U218&lt;0,V218&gt;0),"n/a",V218/U218-1)</f>
        <v>-1.577287066246047E-3</v>
      </c>
      <c r="W220" s="22">
        <f t="shared" ref="W220" si="3523">IF(AND(V218&lt;0,W218&gt;0),"n/a",W218/V218-1)</f>
        <v>7.8988941548183256E-2</v>
      </c>
      <c r="X220" s="22">
        <f t="shared" ref="X220" si="3524">IF(AND(W218&lt;0,X218&gt;0),"n/a",X218/W218-1)</f>
        <v>0.47730600292825764</v>
      </c>
      <c r="Y220" s="22">
        <f t="shared" ref="Y220" si="3525">IF(AND(X218&lt;0,Y218&gt;0),"n/a",Y218/X218-1)</f>
        <v>0.20218037661050547</v>
      </c>
      <c r="Z220" s="22">
        <f t="shared" ref="Z220" si="3526">IF(AND(Y218&lt;0,Z218&gt;0),"n/a",Z218/Y218-1)</f>
        <v>-0.3388293487221764</v>
      </c>
      <c r="AA220" s="22">
        <f t="shared" ref="AA220" si="3527">IF(AND(Z218&lt;0,AA218&gt;0),"n/a",AA218/Z218-1)</f>
        <v>7.1072319201995082E-2</v>
      </c>
      <c r="AB220" s="22">
        <f t="shared" ref="AB220" si="3528">IF(AND(AA218&lt;0,AB218&gt;0),"n/a",AB218/AA218-1)</f>
        <v>6.9848661233993248E-3</v>
      </c>
      <c r="AC220" s="22">
        <f t="shared" ref="AC220" si="3529">IF(AND(AB218&lt;0,AC218&gt;0),"n/a",AC218/AB218-1)</f>
        <v>0.25780346820809252</v>
      </c>
      <c r="AD220" s="22">
        <f t="shared" ref="AD220" si="3530">IF(AND(AC218&lt;0,AD218&gt;0),"n/a",AD218/AC218-1)</f>
        <v>-0.35386029411764708</v>
      </c>
      <c r="AE220" s="22">
        <f t="shared" ref="AE220" si="3531">IF(AND(AD218&lt;0,AE218&gt;0),"n/a",AE218/AD218-1)</f>
        <v>-9.9573257467994281E-2</v>
      </c>
      <c r="AF220" s="22">
        <f t="shared" ref="AF220" si="3532">IF(AND(AE218&lt;0,AF218&gt;0),"n/a",AF218/AE218-1)</f>
        <v>2.6856240126382325E-2</v>
      </c>
      <c r="AG220" s="22">
        <f t="shared" ref="AG220" si="3533">IF(AND(AF218&lt;0,AG218&gt;0),"n/a",AG218/AF218-1)</f>
        <v>0.15076923076923077</v>
      </c>
      <c r="AH220" s="22">
        <f t="shared" ref="AH220" si="3534">IF(AND(AG218&lt;0,AH218&gt;0),"n/a",AH218/AG218-1)</f>
        <v>-0.2366310160427807</v>
      </c>
      <c r="AI220" s="22">
        <f t="shared" ref="AI220" si="3535">IF(AND(AH218&lt;0,AI218&gt;0),"n/a",AI218/AH218-1)</f>
        <v>0.28196147110332759</v>
      </c>
      <c r="AJ220" s="22">
        <f t="shared" ref="AJ220" si="3536">IF(AND(AI218&lt;0,AJ218&gt;0),"n/a",AJ218/AI218-1)</f>
        <v>-6.8306010928961269E-3</v>
      </c>
      <c r="AK220" s="22">
        <f t="shared" ref="AK220" si="3537">IF(AND(AJ218&lt;0,AK218&gt;0),"n/a",AK218/AJ218-1)</f>
        <v>0.82668500687757906</v>
      </c>
      <c r="AL220" s="22">
        <f t="shared" ref="AL220" si="3538">IF(AND(AK218&lt;0,AL218&gt;0),"n/a",AL218/AK218-1)</f>
        <v>-0.34638554216867468</v>
      </c>
      <c r="AM220" s="22">
        <f t="shared" ref="AM220" si="3539">IF(AND(AL218&lt;0,AM218&gt;0),"n/a",AM218/AL218-1)</f>
        <v>0.13940092165898621</v>
      </c>
      <c r="AN220" s="22">
        <f t="shared" ref="AN220" si="3540">IF(AND(AM218&lt;0,AN218&gt;0),"n/a",AN218/AM218-1)</f>
        <v>-4.8533872598584438E-2</v>
      </c>
      <c r="AO220" s="22">
        <f t="shared" ref="AO220" si="3541">IF(AND(AN218&lt;0,AO218&gt;0),"n/a",AO218/AN218-1)</f>
        <v>1.1530286928799152</v>
      </c>
      <c r="AP220" s="22">
        <f t="shared" ref="AP220" si="3542">IF(AND(AO218&lt;0,AP218&gt;0),"n/a",AP218/AO218-1)</f>
        <v>-0.44669299111549854</v>
      </c>
      <c r="AQ220" s="22">
        <f t="shared" ref="AQ220" si="3543">IF(AND(AP218&lt;0,AQ218&gt;0),"n/a",AQ218/AP218-1)</f>
        <v>-4.460303300624413E-3</v>
      </c>
      <c r="AR220" s="22">
        <f t="shared" ref="AR220" si="3544">IF(AND(AQ218&lt;0,AR218&gt;0),"n/a",AR218/AQ218-1)</f>
        <v>-1.1648745519713288E-2</v>
      </c>
      <c r="AS220" s="22">
        <f t="shared" ref="AS220" si="3545">IF(AND(AR218&lt;0,AS218&gt;0),"n/a",AS218/AR218-1)</f>
        <v>2.9918404351767958E-2</v>
      </c>
      <c r="AT220" s="22">
        <f t="shared" ref="AT220" si="3546">IF(AND(AS218&lt;0,AT218&gt;0),"n/a",AT218/AS218-1)</f>
        <v>7.9225352112675118E-3</v>
      </c>
      <c r="AU220" s="22">
        <f t="shared" ref="AU220" si="3547">IF(AND(AT218&lt;0,AU218&gt;0),"n/a",AU218/AT218-1)</f>
        <v>0.22096069868995638</v>
      </c>
      <c r="AV220" s="22">
        <f t="shared" ref="AV220" si="3548">IF(AND(AU218&lt;0,AV218&gt;0),"n/a",AV218/AU218-1)</f>
        <v>-7.8683834048640877E-2</v>
      </c>
      <c r="AW220" s="22">
        <f t="shared" ref="AW220" si="3549">IF(AND(AV218&lt;0,AW218&gt;0),"n/a",AW218/AV218-1)</f>
        <v>0.12577639751552794</v>
      </c>
      <c r="AX220" s="28">
        <f t="shared" ref="AX220" si="3550">IF(AND(AW218&lt;0,AX218&gt;0),"n/a",AX218/AW218-1)</f>
        <v>-0.42413793103448272</v>
      </c>
      <c r="AY220" s="28">
        <f t="shared" ref="AY220" si="3551">IF(AND(AX218&lt;0,AY218&gt;0),"n/a",AY218/AX218-1)</f>
        <v>0.60359281437125745</v>
      </c>
      <c r="AZ220" s="28">
        <f t="shared" ref="AZ220" si="3552">IF(AND(AY218&lt;0,AZ218&gt;0),"n/a",AZ218/AY218-1)</f>
        <v>-8.5138162808065743E-2</v>
      </c>
      <c r="BA220" s="28">
        <f t="shared" ref="BA220:BL220" si="3553">IF(AND(AZ218&lt;0,BA218&gt;0),"n/a",BA218/AZ218-1)</f>
        <v>9.7959183673468342E-3</v>
      </c>
      <c r="BB220" s="28">
        <f t="shared" si="3553"/>
        <v>-9.7008892481811326E-3</v>
      </c>
      <c r="BC220" s="28">
        <f t="shared" si="3553"/>
        <v>-0.33632653061224493</v>
      </c>
      <c r="BD220" s="28">
        <f t="shared" si="3553"/>
        <v>0.46863468634686356</v>
      </c>
      <c r="BE220" s="28">
        <f t="shared" si="3553"/>
        <v>-0.27721943048576214</v>
      </c>
      <c r="BF220" s="28">
        <f t="shared" si="3553"/>
        <v>0.18192352259559685</v>
      </c>
      <c r="BG220" s="28">
        <f t="shared" si="3553"/>
        <v>0.11176470588235299</v>
      </c>
      <c r="BH220" s="28">
        <f t="shared" si="3553"/>
        <v>-1.5873015873015928E-2</v>
      </c>
      <c r="BI220" s="28">
        <f t="shared" si="3553"/>
        <v>5.1971326164874654E-2</v>
      </c>
      <c r="BJ220" s="28">
        <f t="shared" si="3553"/>
        <v>4.4293015332197649E-2</v>
      </c>
      <c r="BK220" s="28">
        <f t="shared" si="3553"/>
        <v>1.6313213703099461E-2</v>
      </c>
      <c r="BL220" s="28">
        <f t="shared" si="3553"/>
        <v>0.14446227929374</v>
      </c>
      <c r="BM220" s="28">
        <f t="shared" ref="BM220" si="3554">IF(AND(BL218&lt;0,BM218&gt;0),"n/a",BM218/BL218-1)</f>
        <v>-3.6465638148667656E-2</v>
      </c>
      <c r="BN220" s="28">
        <f t="shared" ref="BN220" si="3555">IF(AND(BM218&lt;0,BN218&gt;0),"n/a",BN218/BM218-1)</f>
        <v>3.7845705967976651E-2</v>
      </c>
      <c r="BO220" s="28">
        <f t="shared" ref="BO220" si="3556">IF(AND(BN218&lt;0,BO218&gt;0),"n/a",BO218/BN218-1)</f>
        <v>1.4025245441795287E-2</v>
      </c>
      <c r="BP220" s="28">
        <f t="shared" ref="BP220" si="3557">IF(AND(BO218&lt;0,BP218&gt;0),"n/a",BP218/BO218-1)</f>
        <v>0.12448132780082988</v>
      </c>
      <c r="BQ220" s="28">
        <f t="shared" ref="BQ220" si="3558">IF(AND(BP218&lt;0,BQ218&gt;0),"n/a",BQ218/BP218-1)</f>
        <v>-3.1980319803198043E-2</v>
      </c>
      <c r="BR220" s="28">
        <f t="shared" ref="BR220" si="3559">IF(AND(BQ218&lt;0,BR218&gt;0),"n/a",BR218/BQ218-1)</f>
        <v>-9.4027954256670876E-2</v>
      </c>
      <c r="BS220" s="28">
        <f t="shared" ref="BS220" si="3560">IF(AND(BR218&lt;0,BS218&gt;0),"n/a",BS218/BR218-1)</f>
        <v>1.4025245441795287E-2</v>
      </c>
      <c r="BT220" s="28">
        <f t="shared" ref="BT220" si="3561">IF(AND(BS218&lt;0,BT218&gt;0),"n/a",BT218/BS218-1)</f>
        <v>0.12448132780082988</v>
      </c>
      <c r="BU220" s="28">
        <f t="shared" ref="BU220" si="3562">IF(AND(BT218&lt;0,BU218&gt;0),"n/a",BU218/BT218-1)</f>
        <v>-3.1980319803198043E-2</v>
      </c>
      <c r="BV220" s="28">
        <f t="shared" ref="BV220" si="3563">IF(AND(BU218&lt;0,BV218&gt;0),"n/a",BV218/BU218-1)</f>
        <v>-9.4027954256670876E-2</v>
      </c>
      <c r="BW220" s="28">
        <f t="shared" ref="BW220" si="3564">IF(AND(BV218&lt;0,BW218&gt;0),"n/a",BW218/BV218-1)</f>
        <v>1.4025245441795287E-2</v>
      </c>
      <c r="BX220" s="28">
        <f t="shared" ref="BX220" si="3565">IF(AND(BW218&lt;0,BX218&gt;0),"n/a",BX218/BW218-1)</f>
        <v>0.12448132780082988</v>
      </c>
      <c r="BY220" s="28">
        <f t="shared" ref="BY220" si="3566">IF(AND(BX218&lt;0,BY218&gt;0),"n/a",BY218/BX218-1)</f>
        <v>-3.1980319803198043E-2</v>
      </c>
      <c r="BZ220" s="28">
        <f t="shared" ref="BZ220" si="3567">IF(AND(BY218&lt;0,BZ218&gt;0),"n/a",BZ218/BY218-1)</f>
        <v>-9.4027954256670876E-2</v>
      </c>
      <c r="CA220" s="28">
        <f t="shared" ref="CA220" si="3568">IF(AND(BZ218&lt;0,CA218&gt;0),"n/a",CA218/BZ218-1)</f>
        <v>1.4025245441795287E-2</v>
      </c>
      <c r="CB220" s="28">
        <f t="shared" ref="CB220" si="3569">IF(AND(CA218&lt;0,CB218&gt;0),"n/a",CB218/CA218-1)</f>
        <v>0.12448132780082988</v>
      </c>
      <c r="CC220" s="28">
        <f t="shared" ref="CC220" si="3570">IF(AND(CB218&lt;0,CC218&gt;0),"n/a",CC218/CB218-1)</f>
        <v>-3.1980319803198043E-2</v>
      </c>
      <c r="CD220" s="28">
        <f t="shared" ref="CD220" si="3571">IF(AND(CC218&lt;0,CD218&gt;0),"n/a",CD218/CC218-1)</f>
        <v>-9.4027954256670876E-2</v>
      </c>
      <c r="CE220" s="28">
        <f t="shared" ref="CE220" si="3572">IF(AND(CD218&lt;0,CE218&gt;0),"n/a",CE218/CD218-1)</f>
        <v>1.4025245441795287E-2</v>
      </c>
      <c r="CF220" s="28">
        <f t="shared" ref="CF220" si="3573">IF(AND(CE218&lt;0,CF218&gt;0),"n/a",CF218/CE218-1)</f>
        <v>0.12448132780082988</v>
      </c>
      <c r="CG220" s="28">
        <f t="shared" ref="CG220" si="3574">IF(AND(CF218&lt;0,CG218&gt;0),"n/a",CG218/CF218-1)</f>
        <v>-3.1980319803198043E-2</v>
      </c>
      <c r="CH220" s="28"/>
      <c r="CI220" s="114"/>
      <c r="CJ220" s="32"/>
      <c r="CK220" s="114"/>
      <c r="CL220" s="106" t="s">
        <v>82</v>
      </c>
      <c r="CM220" s="48" t="s">
        <v>82</v>
      </c>
      <c r="CN220" s="106" t="s">
        <v>82</v>
      </c>
      <c r="CO220" s="48" t="s">
        <v>82</v>
      </c>
      <c r="CP220" s="106" t="s">
        <v>82</v>
      </c>
      <c r="CQ220" s="48" t="s">
        <v>82</v>
      </c>
      <c r="CR220" s="106" t="s">
        <v>82</v>
      </c>
      <c r="CS220" s="48" t="s">
        <v>82</v>
      </c>
      <c r="CT220" s="106" t="s">
        <v>82</v>
      </c>
      <c r="CU220" s="48" t="s">
        <v>82</v>
      </c>
      <c r="CV220" s="106" t="s">
        <v>82</v>
      </c>
      <c r="CW220" s="48" t="s">
        <v>82</v>
      </c>
      <c r="CX220" s="106" t="s">
        <v>82</v>
      </c>
      <c r="CY220" s="106" t="s">
        <v>82</v>
      </c>
      <c r="CZ220" s="106" t="s">
        <v>82</v>
      </c>
      <c r="DA220" s="106" t="s">
        <v>82</v>
      </c>
      <c r="DB220" s="106" t="s">
        <v>82</v>
      </c>
      <c r="DC220" s="106" t="s">
        <v>82</v>
      </c>
    </row>
    <row r="221" spans="1:108" hidden="1" outlineLevel="1" x14ac:dyDescent="0.2">
      <c r="A221" s="8" t="s">
        <v>63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25" t="s">
        <v>82</v>
      </c>
      <c r="V221" s="25" t="s">
        <v>82</v>
      </c>
      <c r="W221" s="25" t="s">
        <v>82</v>
      </c>
      <c r="X221" s="25" t="s">
        <v>82</v>
      </c>
      <c r="Y221" s="22">
        <f t="shared" ref="Y221" si="3575">IF(AND(U218&lt;0,Y218&gt;0),"n/a",Y218/U218-1)</f>
        <v>0.91324921135646697</v>
      </c>
      <c r="Z221" s="22">
        <f t="shared" ref="Z221" si="3576">IF(AND(V218&lt;0,Z218&gt;0),"n/a",Z218/V218-1)</f>
        <v>0.26698262243285931</v>
      </c>
      <c r="AA221" s="22">
        <f t="shared" ref="AA221" si="3577">IF(AND(W218&lt;0,AA218&gt;0),"n/a",AA218/W218-1)</f>
        <v>0.25768667642752563</v>
      </c>
      <c r="AB221" s="22">
        <f t="shared" ref="AB221" si="3578">IF(AND(X218&lt;0,AB218&gt;0),"n/a",AB218/X218-1)</f>
        <v>-0.14271555996035679</v>
      </c>
      <c r="AC221" s="22">
        <f t="shared" ref="AC221" si="3579">IF(AND(Y218&lt;0,AC218&gt;0),"n/a",AC218/Y218-1)</f>
        <v>-0.10305028854080789</v>
      </c>
      <c r="AD221" s="22">
        <f t="shared" ref="AD221" si="3580">IF(AND(Z218&lt;0,AD218&gt;0),"n/a",AD218/Z218-1)</f>
        <v>-0.12344139650872821</v>
      </c>
      <c r="AE221" s="22">
        <f t="shared" ref="AE221" si="3581">IF(AND(AA218&lt;0,AE218&gt;0),"n/a",AE218/AA218-1)</f>
        <v>-0.26309662398137368</v>
      </c>
      <c r="AF221" s="22">
        <f t="shared" ref="AF221" si="3582">IF(AND(AB218&lt;0,AF218&gt;0),"n/a",AF218/AB218-1)</f>
        <v>-0.24855491329479773</v>
      </c>
      <c r="AG221" s="22">
        <f t="shared" ref="AG221" si="3583">IF(AND(AC218&lt;0,AG218&gt;0),"n/a",AG218/AC218-1)</f>
        <v>-0.3125</v>
      </c>
      <c r="AH221" s="22">
        <f t="shared" ref="AH221" si="3584">IF(AND(AD218&lt;0,AH218&gt;0),"n/a",AH218/AD218-1)</f>
        <v>-0.18776671408250356</v>
      </c>
      <c r="AI221" s="22">
        <f t="shared" ref="AI221" si="3585">IF(AND(AE218&lt;0,AI218&gt;0),"n/a",AI218/AE218-1)</f>
        <v>0.15639810426540279</v>
      </c>
      <c r="AJ221" s="22">
        <f t="shared" ref="AJ221" si="3586">IF(AND(AF218&lt;0,AJ218&gt;0),"n/a",AJ218/AF218-1)</f>
        <v>0.1184615384615384</v>
      </c>
      <c r="AK221" s="22">
        <f t="shared" ref="AK221" si="3587">IF(AND(AG218&lt;0,AK218&gt;0),"n/a",AK218/AG218-1)</f>
        <v>0.77540106951871657</v>
      </c>
      <c r="AL221" s="22">
        <f t="shared" ref="AL221" si="3588">IF(AND(AH218&lt;0,AL218&gt;0),"n/a",AL218/AH218-1)</f>
        <v>0.52014010507880903</v>
      </c>
      <c r="AM221" s="22">
        <f t="shared" ref="AM221" si="3589">IF(AND(AI218&lt;0,AM218&gt;0),"n/a",AM218/AI218-1)</f>
        <v>0.35109289617486339</v>
      </c>
      <c r="AN221" s="22">
        <f t="shared" ref="AN221" si="3590">IF(AND(AJ218&lt;0,AN218&gt;0),"n/a",AN218/AJ218-1)</f>
        <v>0.29436038514442919</v>
      </c>
      <c r="AO221" s="22">
        <f t="shared" ref="AO221" si="3591">IF(AND(AK218&lt;0,AO218&gt;0),"n/a",AO218/AK218-1)</f>
        <v>0.52560240963855431</v>
      </c>
      <c r="AP221" s="22">
        <f t="shared" ref="AP221" si="3592">IF(AND(AL218&lt;0,AP218&gt;0),"n/a",AP218/AL218-1)</f>
        <v>0.29147465437788012</v>
      </c>
      <c r="AQ221" s="22">
        <f t="shared" ref="AQ221" si="3593">IF(AND(AM218&lt;0,AQ218&gt;0),"n/a",AQ218/AM218-1)</f>
        <v>0.12841253791708795</v>
      </c>
      <c r="AR221" s="22">
        <f t="shared" ref="AR221" si="3594">IF(AND(AN218&lt;0,AR218&gt;0),"n/a",AR218/AN218-1)</f>
        <v>0.17215727948990445</v>
      </c>
      <c r="AS221" s="22">
        <f t="shared" ref="AS221" si="3595">IF(AND(AO218&lt;0,AS218&gt;0),"n/a",AS218/AO218-1)</f>
        <v>-0.43928923988154001</v>
      </c>
      <c r="AT221" s="22">
        <f t="shared" ref="AT221" si="3596">IF(AND(AP218&lt;0,AT218&gt;0),"n/a",AT218/AP218-1)</f>
        <v>2.140945584299736E-2</v>
      </c>
      <c r="AU221" s="22">
        <f t="shared" ref="AU221" si="3597">IF(AND(AQ218&lt;0,AU218&gt;0),"n/a",AU218/AQ218-1)</f>
        <v>0.25268817204301075</v>
      </c>
      <c r="AV221" s="22">
        <f t="shared" ref="AV221" si="3598">IF(AND(AR218&lt;0,AV218&gt;0),"n/a",AV218/AR218-1)</f>
        <v>0.16772438803263823</v>
      </c>
      <c r="AW221" s="22">
        <f t="shared" ref="AW221" si="3599">IF(AND(AS218&lt;0,AW218&gt;0),"n/a",AW218/AS218-1)</f>
        <v>0.27640845070422526</v>
      </c>
      <c r="AX221" s="28">
        <f t="shared" ref="AX221" si="3600">IF(AND(AT218&lt;0,AX218&gt;0),"n/a",AX218/AT218-1)</f>
        <v>-0.27074235807860259</v>
      </c>
      <c r="AY221" s="28">
        <f t="shared" ref="AY221" si="3601">IF(AND(AU218&lt;0,AY218&gt;0),"n/a",AY218/AU218-1)</f>
        <v>-4.2203147353361947E-2</v>
      </c>
      <c r="AZ221" s="28">
        <f t="shared" ref="AZ221" si="3602">IF(AND(AV218&lt;0,AZ218&gt;0),"n/a",AZ218/AV218-1)</f>
        <v>-4.8913043478260865E-2</v>
      </c>
      <c r="BA221" s="28">
        <f t="shared" ref="BA221:BL221" si="3603">IF(AND(AW218&lt;0,BA218&gt;0),"n/a",BA218/AW218-1)</f>
        <v>-0.14689655172413796</v>
      </c>
      <c r="BB221" s="28">
        <f t="shared" si="3603"/>
        <v>0.46706586826347296</v>
      </c>
      <c r="BC221" s="28">
        <f t="shared" si="3603"/>
        <v>-0.39283047050037345</v>
      </c>
      <c r="BD221" s="28">
        <f t="shared" si="3603"/>
        <v>-2.5306122448979562E-2</v>
      </c>
      <c r="BE221" s="28">
        <f t="shared" si="3603"/>
        <v>-0.30234438156831045</v>
      </c>
      <c r="BF221" s="28">
        <f t="shared" si="3603"/>
        <v>-0.16734693877551021</v>
      </c>
      <c r="BG221" s="28">
        <f t="shared" si="3603"/>
        <v>0.39483394833948338</v>
      </c>
      <c r="BH221" s="28">
        <f t="shared" si="3603"/>
        <v>-6.5326633165829096E-2</v>
      </c>
      <c r="BI221" s="28">
        <f t="shared" si="3603"/>
        <v>0.36037079953650064</v>
      </c>
      <c r="BJ221" s="28">
        <f t="shared" si="3603"/>
        <v>0.20196078431372544</v>
      </c>
      <c r="BK221" s="28">
        <f t="shared" si="3603"/>
        <v>9.8765432098765427E-2</v>
      </c>
      <c r="BL221" s="28">
        <f t="shared" si="3603"/>
        <v>0.27777777777777768</v>
      </c>
      <c r="BM221" s="28">
        <f t="shared" ref="BM221" si="3604">IF(AND(BI218&lt;0,BM218&gt;0),"n/a",BM218/BI218-1)</f>
        <v>0.17035775127768304</v>
      </c>
      <c r="BN221" s="28">
        <f t="shared" ref="BN221" si="3605">IF(AND(BJ218&lt;0,BN218&gt;0),"n/a",BN218/BJ218-1)</f>
        <v>0.16313213703099505</v>
      </c>
      <c r="BO221" s="28">
        <f t="shared" ref="BO221" si="3606">IF(AND(BK218&lt;0,BO218&gt;0),"n/a",BO218/BK218-1)</f>
        <v>0.16051364365971099</v>
      </c>
      <c r="BP221" s="28">
        <f t="shared" ref="BP221" si="3607">IF(AND(BL218&lt;0,BP218&gt;0),"n/a",BP218/BL218-1)</f>
        <v>0.14025245441795242</v>
      </c>
      <c r="BQ221" s="28">
        <f t="shared" ref="BQ221" si="3608">IF(AND(BM218&lt;0,BQ218&gt;0),"n/a",BQ218/BM218-1)</f>
        <v>0.14556040756914124</v>
      </c>
      <c r="BR221" s="28">
        <f t="shared" ref="BR221" si="3609">IF(AND(BN218&lt;0,BR218&gt;0),"n/a",BR218/BN218-1)</f>
        <v>0</v>
      </c>
      <c r="BS221" s="28">
        <f t="shared" ref="BS221" si="3610">IF(AND(BO218&lt;0,BS218&gt;0),"n/a",BS218/BO218-1)</f>
        <v>0</v>
      </c>
      <c r="BT221" s="28">
        <f t="shared" ref="BT221" si="3611">IF(AND(BP218&lt;0,BT218&gt;0),"n/a",BT218/BP218-1)</f>
        <v>0</v>
      </c>
      <c r="BU221" s="28">
        <f t="shared" ref="BU221" si="3612">IF(AND(BQ218&lt;0,BU218&gt;0),"n/a",BU218/BQ218-1)</f>
        <v>0</v>
      </c>
      <c r="BV221" s="28">
        <f t="shared" ref="BV221" si="3613">IF(AND(BR218&lt;0,BV218&gt;0),"n/a",BV218/BR218-1)</f>
        <v>0</v>
      </c>
      <c r="BW221" s="28">
        <f t="shared" ref="BW221" si="3614">IF(AND(BS218&lt;0,BW218&gt;0),"n/a",BW218/BS218-1)</f>
        <v>0</v>
      </c>
      <c r="BX221" s="28">
        <f t="shared" ref="BX221" si="3615">IF(AND(BT218&lt;0,BX218&gt;0),"n/a",BX218/BT218-1)</f>
        <v>0</v>
      </c>
      <c r="BY221" s="28">
        <f t="shared" ref="BY221" si="3616">IF(AND(BU218&lt;0,BY218&gt;0),"n/a",BY218/BU218-1)</f>
        <v>0</v>
      </c>
      <c r="BZ221" s="28">
        <f t="shared" ref="BZ221" si="3617">IF(AND(BV218&lt;0,BZ218&gt;0),"n/a",BZ218/BV218-1)</f>
        <v>0</v>
      </c>
      <c r="CA221" s="28">
        <f t="shared" ref="CA221" si="3618">IF(AND(BW218&lt;0,CA218&gt;0),"n/a",CA218/BW218-1)</f>
        <v>0</v>
      </c>
      <c r="CB221" s="28">
        <f t="shared" ref="CB221" si="3619">IF(AND(BX218&lt;0,CB218&gt;0),"n/a",CB218/BX218-1)</f>
        <v>0</v>
      </c>
      <c r="CC221" s="28">
        <f t="shared" ref="CC221" si="3620">IF(AND(BY218&lt;0,CC218&gt;0),"n/a",CC218/BY218-1)</f>
        <v>0</v>
      </c>
      <c r="CD221" s="28">
        <f t="shared" ref="CD221" si="3621">IF(AND(BZ218&lt;0,CD218&gt;0),"n/a",CD218/BZ218-1)</f>
        <v>0</v>
      </c>
      <c r="CE221" s="28">
        <f t="shared" ref="CE221" si="3622">IF(AND(CA218&lt;0,CE218&gt;0),"n/a",CE218/CA218-1)</f>
        <v>0</v>
      </c>
      <c r="CF221" s="28">
        <f t="shared" ref="CF221" si="3623">IF(AND(CB218&lt;0,CF218&gt;0),"n/a",CF218/CB218-1)</f>
        <v>0</v>
      </c>
      <c r="CG221" s="28">
        <f t="shared" ref="CG221" si="3624">IF(AND(CC218&lt;0,CG218&gt;0),"n/a",CG218/CC218-1)</f>
        <v>0</v>
      </c>
      <c r="CH221" s="28"/>
      <c r="CI221" s="110"/>
      <c r="CJ221" s="30"/>
      <c r="CK221" s="110"/>
      <c r="CL221" s="106" t="s">
        <v>82</v>
      </c>
      <c r="CM221" s="22">
        <f t="shared" ref="CM221:DB221" si="3625">IF(AND(CL218&lt;0,CM218&gt;0),"n/a",CM218/CL218-1)</f>
        <v>2.6850094876660342</v>
      </c>
      <c r="CN221" s="107">
        <f t="shared" si="3625"/>
        <v>0.82183316168898046</v>
      </c>
      <c r="CO221" s="22">
        <f t="shared" si="3625"/>
        <v>2.1481062747314761E-2</v>
      </c>
      <c r="CP221" s="107">
        <f t="shared" si="3625"/>
        <v>-0.24349750968456008</v>
      </c>
      <c r="CQ221" s="22">
        <f t="shared" si="3625"/>
        <v>0.22823701536210672</v>
      </c>
      <c r="CR221" s="107">
        <f t="shared" si="3625"/>
        <v>0.43656938653960697</v>
      </c>
      <c r="CS221" s="22">
        <f t="shared" si="3625"/>
        <v>-7.2139303482587014E-2</v>
      </c>
      <c r="CT221" s="107">
        <f t="shared" si="3625"/>
        <v>-9.4950848972296664E-2</v>
      </c>
      <c r="CU221" s="22">
        <f t="shared" si="3625"/>
        <v>0.1444087879535918</v>
      </c>
      <c r="CV221" s="107">
        <f t="shared" si="3625"/>
        <v>-0.11669542709232095</v>
      </c>
      <c r="CW221" s="22">
        <f t="shared" si="3625"/>
        <v>8.5225885225885145E-2</v>
      </c>
      <c r="CX221" s="107">
        <f t="shared" si="3625"/>
        <v>0.18631863186318642</v>
      </c>
      <c r="CY221" s="107">
        <f t="shared" si="3625"/>
        <v>0.15174506828528078</v>
      </c>
      <c r="CZ221" s="107">
        <f t="shared" si="3625"/>
        <v>0</v>
      </c>
      <c r="DA221" s="107">
        <f t="shared" si="3625"/>
        <v>0</v>
      </c>
      <c r="DB221" s="107">
        <f t="shared" si="3625"/>
        <v>0</v>
      </c>
      <c r="DC221" s="107">
        <f>IF(AND(DB218&lt;0,DC218&gt;0),"n/a",DC218/DB218-1)</f>
        <v>0</v>
      </c>
    </row>
    <row r="222" spans="1:108" hidden="1" outlineLevel="1" x14ac:dyDescent="0.2">
      <c r="BK222" s="20"/>
      <c r="BL222" s="20"/>
      <c r="CI222" s="92"/>
      <c r="CK222" s="92"/>
      <c r="CL222" s="92"/>
      <c r="CN222" s="92"/>
      <c r="CP222" s="92"/>
      <c r="CR222" s="92"/>
      <c r="CT222" s="92"/>
      <c r="CV222" s="92"/>
      <c r="CX222" s="92"/>
      <c r="CY222" s="92"/>
      <c r="CZ222" s="92"/>
      <c r="DA222" s="92"/>
      <c r="DB222" s="92"/>
      <c r="DC222" s="92"/>
    </row>
    <row r="223" spans="1:108" hidden="1" outlineLevel="1" x14ac:dyDescent="0.2">
      <c r="A223" s="9" t="s">
        <v>446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7">
        <v>-190</v>
      </c>
      <c r="V223" s="17">
        <v>-108</v>
      </c>
      <c r="W223" s="17">
        <v>-122</v>
      </c>
      <c r="X223" s="17">
        <v>-118</v>
      </c>
      <c r="Y223" s="17">
        <v>-151</v>
      </c>
      <c r="Z223" s="17">
        <v>-128</v>
      </c>
      <c r="AA223" s="17">
        <v>-167</v>
      </c>
      <c r="AB223" s="17">
        <v>-146</v>
      </c>
      <c r="AC223" s="17">
        <v>-156</v>
      </c>
      <c r="AD223" s="17">
        <v>-175</v>
      </c>
      <c r="AE223" s="17">
        <v>-2899</v>
      </c>
      <c r="AF223" s="17">
        <v>-150</v>
      </c>
      <c r="AG223" s="17">
        <v>-183</v>
      </c>
      <c r="AH223" s="17">
        <v>-164</v>
      </c>
      <c r="AI223" s="17">
        <v>-5420</v>
      </c>
      <c r="AJ223" s="17">
        <v>-453</v>
      </c>
      <c r="AK223" s="17">
        <v>-169</v>
      </c>
      <c r="AL223" s="17">
        <v>-1849</v>
      </c>
      <c r="AM223" s="17">
        <v>-219</v>
      </c>
      <c r="AN223" s="17">
        <v>-747</v>
      </c>
      <c r="AO223" s="17">
        <v>-1002</v>
      </c>
      <c r="AP223" s="17">
        <v>-720</v>
      </c>
      <c r="AQ223" s="17">
        <v>-614</v>
      </c>
      <c r="AR223" s="17">
        <v>-929</v>
      </c>
      <c r="AS223" s="17">
        <v>-1036</v>
      </c>
      <c r="AT223" s="17">
        <v>-990</v>
      </c>
      <c r="AU223" s="18">
        <v>-993</v>
      </c>
      <c r="AV223" s="18">
        <v>-1010</v>
      </c>
      <c r="AW223" s="18">
        <v>-1768</v>
      </c>
      <c r="AX223" s="18">
        <v>-338</v>
      </c>
      <c r="AY223" s="18">
        <v>-239</v>
      </c>
      <c r="AZ223" s="18">
        <v>-83</v>
      </c>
      <c r="BA223" s="18">
        <v>-639</v>
      </c>
      <c r="BB223" s="18">
        <v>-3288</v>
      </c>
      <c r="BC223" s="18">
        <v>-1198</v>
      </c>
      <c r="BD223" s="18">
        <v>-1666</v>
      </c>
      <c r="BE223" s="18">
        <v>-3034</v>
      </c>
      <c r="BF223" s="18">
        <v>-2305</v>
      </c>
      <c r="BG223" s="18">
        <v>-2287</v>
      </c>
      <c r="BH223" s="18">
        <v>-3166</v>
      </c>
      <c r="BI223" s="18">
        <v>-2783</v>
      </c>
      <c r="BJ223" s="18">
        <v>-3027</v>
      </c>
      <c r="BK223" s="18">
        <v>-3372</v>
      </c>
      <c r="BL223" s="18">
        <v>-4467</v>
      </c>
      <c r="BM223" s="20">
        <f t="shared" ref="BM223:BQ223" si="3626">BM201-SUM(BM207,BM212,BM218)</f>
        <v>-2862.6736305318991</v>
      </c>
      <c r="BN223" s="20">
        <f t="shared" si="3626"/>
        <v>-3179.144134408496</v>
      </c>
      <c r="BO223" s="20">
        <f t="shared" si="3626"/>
        <v>-2312.0472192697489</v>
      </c>
      <c r="BP223" s="20">
        <f t="shared" si="3626"/>
        <v>-3794.7443174220389</v>
      </c>
      <c r="BQ223" s="20">
        <f t="shared" si="3626"/>
        <v>-3984.849463251725</v>
      </c>
      <c r="BR223" s="20">
        <f>BR201-SUM(BR207,BR212,BR218)</f>
        <v>-3534.7404188100481</v>
      </c>
      <c r="BS223" s="20">
        <f t="shared" ref="BS223:BU223" si="3627">BS201-SUM(BS207,BS212,BS218)</f>
        <v>-2640.6332130506416</v>
      </c>
      <c r="BT223" s="20">
        <f t="shared" si="3627"/>
        <v>-4421.5325374374952</v>
      </c>
      <c r="BU223" s="20">
        <f t="shared" si="3627"/>
        <v>-4670.3550865990037</v>
      </c>
      <c r="BV223" s="20">
        <f t="shared" ref="BV223:CB223" si="3628">BV201-SUM(BV207,BV212,BV218)</f>
        <v>-3894.8745143938431</v>
      </c>
      <c r="BW223" s="20">
        <f t="shared" si="3628"/>
        <v>-2999.16221251768</v>
      </c>
      <c r="BX223" s="20">
        <f t="shared" si="3628"/>
        <v>-5104.001788078378</v>
      </c>
      <c r="BY223" s="20">
        <f t="shared" si="3628"/>
        <v>-5430.0513311257164</v>
      </c>
      <c r="BZ223" s="20">
        <f t="shared" si="3628"/>
        <v>-4142.5397321320997</v>
      </c>
      <c r="CA223" s="20">
        <f t="shared" si="3628"/>
        <v>-3264.3819988589021</v>
      </c>
      <c r="CB223" s="20">
        <f t="shared" si="3628"/>
        <v>-5714.8555799206952</v>
      </c>
      <c r="CC223" s="20">
        <f>CC201-SUM(CC207,CC212,CC218)</f>
        <v>-6117.2946436218335</v>
      </c>
      <c r="CD223" s="20">
        <f t="shared" ref="CD223:CG223" si="3629">CD201-SUM(CD207,CD212,CD218)</f>
        <v>-4338.2897398252753</v>
      </c>
      <c r="CE223" s="20">
        <f t="shared" si="3629"/>
        <v>-3239.8013383385914</v>
      </c>
      <c r="CF223" s="20">
        <f t="shared" si="3629"/>
        <v>-6132.6338196829747</v>
      </c>
      <c r="CG223" s="20">
        <f t="shared" si="3629"/>
        <v>-6632.1203916457162</v>
      </c>
      <c r="CH223" s="20"/>
      <c r="CI223" s="114"/>
      <c r="CJ223" s="32"/>
      <c r="CK223" s="114"/>
      <c r="CL223" s="114"/>
      <c r="CM223" s="20">
        <f>SUM(R223:U223)</f>
        <v>-190</v>
      </c>
      <c r="CN223" s="89">
        <f>SUM(V223:Y223)</f>
        <v>-499</v>
      </c>
      <c r="CO223" s="20">
        <f>SUM(Z223:AC223)</f>
        <v>-597</v>
      </c>
      <c r="CP223" s="89">
        <f>SUM(AD223:AG223)</f>
        <v>-3407</v>
      </c>
      <c r="CQ223" s="20">
        <f>SUM(AH223:AK223)</f>
        <v>-6206</v>
      </c>
      <c r="CR223" s="89">
        <f>SUM(AL223:AO223)</f>
        <v>-3817</v>
      </c>
      <c r="CS223" s="20">
        <f>SUM(AP223:AS223)</f>
        <v>-3299</v>
      </c>
      <c r="CT223" s="116">
        <v>-3085</v>
      </c>
      <c r="CU223" s="20">
        <f>SUM(AX223:BA223)</f>
        <v>-1299</v>
      </c>
      <c r="CV223" s="89">
        <f>SUM(BB223:BE223)</f>
        <v>-9186</v>
      </c>
      <c r="CW223" s="20">
        <f>SUM(BF223:BI223)</f>
        <v>-10541</v>
      </c>
      <c r="CX223" s="89">
        <f>SUM(BJ223:BM223)</f>
        <v>-13728.673630531899</v>
      </c>
      <c r="CY223" s="89">
        <f>SUM(BN223:BQ223)</f>
        <v>-13270.785134352009</v>
      </c>
      <c r="CZ223" s="89">
        <f>SUM(BR223:BU223)</f>
        <v>-15267.261255897189</v>
      </c>
      <c r="DA223" s="89">
        <f>SUM(BV223:BY223)</f>
        <v>-17428.089846115618</v>
      </c>
      <c r="DB223" s="89">
        <f>SUM(BZ223:CC223)</f>
        <v>-19239.071954533531</v>
      </c>
      <c r="DC223" s="89">
        <f>SUM(CD223:CG223)</f>
        <v>-20342.845289492558</v>
      </c>
    </row>
    <row r="224" spans="1:108" hidden="1" outlineLevel="1" x14ac:dyDescent="0.2">
      <c r="A224" s="8" t="s">
        <v>118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22">
        <f>U223/U207</f>
        <v>-3.6377560788818687E-2</v>
      </c>
      <c r="V224" s="22">
        <f t="shared" ref="V224:BQ224" si="3630">V223/V207</f>
        <v>-2.081727062451812E-2</v>
      </c>
      <c r="W224" s="22">
        <f t="shared" si="3630"/>
        <v>-2.16696269982238E-2</v>
      </c>
      <c r="X224" s="22">
        <f t="shared" si="3630"/>
        <v>-2.022279348757498E-2</v>
      </c>
      <c r="Y224" s="22">
        <f t="shared" si="3630"/>
        <v>-2.2390272835112694E-2</v>
      </c>
      <c r="Z224" s="22">
        <f t="shared" si="3630"/>
        <v>-2.0408163265306121E-2</v>
      </c>
      <c r="AA224" s="22">
        <f t="shared" si="3630"/>
        <v>-2.3877609379468114E-2</v>
      </c>
      <c r="AB224" s="22">
        <f t="shared" si="3630"/>
        <v>-2.1540277367955149E-2</v>
      </c>
      <c r="AC224" s="22">
        <f t="shared" si="3630"/>
        <v>-1.9789420271470251E-2</v>
      </c>
      <c r="AD224" s="22">
        <f t="shared" si="3630"/>
        <v>-2.3502551705613751E-2</v>
      </c>
      <c r="AE224" s="22">
        <f t="shared" si="3630"/>
        <v>-0.37826200417536532</v>
      </c>
      <c r="AF224" s="22">
        <f t="shared" si="3630"/>
        <v>-1.7478443253320906E-2</v>
      </c>
      <c r="AG224" s="22">
        <f t="shared" si="3630"/>
        <v>-2.1291448516579405E-2</v>
      </c>
      <c r="AH224" s="22">
        <f t="shared" si="3630"/>
        <v>-1.9598470363288718E-2</v>
      </c>
      <c r="AI224" s="22">
        <f t="shared" si="3630"/>
        <v>-0.60497823417792163</v>
      </c>
      <c r="AJ224" s="22">
        <f t="shared" si="3630"/>
        <v>-4.7734457323498417E-2</v>
      </c>
      <c r="AK224" s="22">
        <f t="shared" si="3630"/>
        <v>-1.7422680412371133E-2</v>
      </c>
      <c r="AL224" s="22">
        <f t="shared" si="3630"/>
        <v>-0.19828418230563002</v>
      </c>
      <c r="AM224" s="22">
        <f t="shared" si="3630"/>
        <v>-2.1082017712745475E-2</v>
      </c>
      <c r="AN224" s="22">
        <f t="shared" si="3630"/>
        <v>-6.8752876208007366E-2</v>
      </c>
      <c r="AO224" s="22">
        <f t="shared" si="3630"/>
        <v>-7.4288256227758004E-2</v>
      </c>
      <c r="AP224" s="22">
        <f t="shared" si="3630"/>
        <v>-6.2348458607551088E-2</v>
      </c>
      <c r="AQ224" s="22">
        <f t="shared" si="3630"/>
        <v>-6.436733410210714E-2</v>
      </c>
      <c r="AR224" s="22">
        <f t="shared" si="3630"/>
        <v>-6.4277312668650111E-2</v>
      </c>
      <c r="AS224" s="22">
        <f t="shared" si="3630"/>
        <v>-5.4337564250498266E-2</v>
      </c>
      <c r="AT224" s="22">
        <f t="shared" si="3630"/>
        <v>-5.0649749309321597E-2</v>
      </c>
      <c r="AU224" s="22">
        <f t="shared" si="3630"/>
        <v>-4.4443449850064896E-2</v>
      </c>
      <c r="AV224" s="22">
        <f t="shared" si="3630"/>
        <v>-4.2130730405039001E-2</v>
      </c>
      <c r="AW224" s="22">
        <f t="shared" si="3630"/>
        <v>-6.8018312622629168E-2</v>
      </c>
      <c r="AX224" s="22">
        <f t="shared" si="3630"/>
        <v>-1.5382514904655713E-2</v>
      </c>
      <c r="AY224" s="22">
        <f t="shared" si="3630"/>
        <v>-1.1054067804449378E-2</v>
      </c>
      <c r="AZ224" s="22">
        <f t="shared" si="3630"/>
        <v>-4.395488005083938E-3</v>
      </c>
      <c r="BA224" s="22">
        <f t="shared" si="3630"/>
        <v>-3.1599248343388391E-2</v>
      </c>
      <c r="BB224" s="28">
        <f t="shared" si="3630"/>
        <v>-0.15126282375672817</v>
      </c>
      <c r="BC224" s="28">
        <f t="shared" si="3630"/>
        <v>-5.1078707256757908E-2</v>
      </c>
      <c r="BD224" s="28">
        <f t="shared" si="3630"/>
        <v>-6.9599364999791122E-2</v>
      </c>
      <c r="BE224" s="28">
        <f t="shared" si="3630"/>
        <v>-0.11350542461653573</v>
      </c>
      <c r="BF224" s="28">
        <f t="shared" ref="BF224:BG224" si="3631">BF223/BF207</f>
        <v>-8.2625371903788936E-2</v>
      </c>
      <c r="BG224" s="28">
        <f t="shared" si="3631"/>
        <v>-7.7070836422457364E-2</v>
      </c>
      <c r="BH224" s="28">
        <f t="shared" ref="BH224:BI224" si="3632">BH223/BH207</f>
        <v>-0.10260565206118745</v>
      </c>
      <c r="BI224" s="28">
        <f t="shared" si="3632"/>
        <v>-8.4754537702521629E-2</v>
      </c>
      <c r="BJ224" s="28">
        <f t="shared" ref="BJ224:BL224" si="3633">BJ223/BJ207</f>
        <v>-9.2619790710482833E-2</v>
      </c>
      <c r="BK224" s="28">
        <f t="shared" si="3633"/>
        <v>-0.10198711550675982</v>
      </c>
      <c r="BL224" s="28">
        <f t="shared" si="3633"/>
        <v>-0.13323589942434455</v>
      </c>
      <c r="BM224" s="22">
        <f t="shared" si="3630"/>
        <v>-7.7187717186226162E-2</v>
      </c>
      <c r="BN224" s="22">
        <f t="shared" si="3630"/>
        <v>-8.5974377018600556E-2</v>
      </c>
      <c r="BO224" s="22">
        <f t="shared" si="3630"/>
        <v>-6.2302249115759753E-2</v>
      </c>
      <c r="BP224" s="22">
        <f t="shared" si="3630"/>
        <v>-9.6142478889454791E-2</v>
      </c>
      <c r="BQ224" s="22">
        <f t="shared" si="3630"/>
        <v>-9.7265874019277096E-2</v>
      </c>
      <c r="BR224" s="28">
        <f>BR223/BR207</f>
        <v>-8.6019550404145315E-2</v>
      </c>
      <c r="BS224" s="28">
        <f t="shared" ref="BS224:BU224" si="3634">BS223/BS207</f>
        <v>-6.440588919053053E-2</v>
      </c>
      <c r="BT224" s="28">
        <f t="shared" si="3634"/>
        <v>-0.10127013890976209</v>
      </c>
      <c r="BU224" s="28">
        <f t="shared" si="3634"/>
        <v>-0.10351838609134723</v>
      </c>
      <c r="BV224" s="28">
        <f t="shared" ref="BV224:CC224" si="3635">BV223/BV207</f>
        <v>-8.5349237236270123E-2</v>
      </c>
      <c r="BW224" s="28">
        <f t="shared" si="3635"/>
        <v>-6.6223149422324282E-2</v>
      </c>
      <c r="BX224" s="28">
        <f t="shared" si="3635"/>
        <v>-0.1056930897826172</v>
      </c>
      <c r="BY224" s="28">
        <f t="shared" si="3635"/>
        <v>-0.10927121568480928</v>
      </c>
      <c r="BZ224" s="28">
        <f t="shared" si="3635"/>
        <v>-8.2210410927261626E-2</v>
      </c>
      <c r="CA224" s="28">
        <f t="shared" si="3635"/>
        <v>-6.5604865385563094E-2</v>
      </c>
      <c r="CB224" s="28">
        <f t="shared" si="3635"/>
        <v>-0.10758290176985406</v>
      </c>
      <c r="CC224" s="28">
        <f t="shared" si="3635"/>
        <v>-0.11234301431643487</v>
      </c>
      <c r="CD224" s="28">
        <f t="shared" ref="CD224:CG224" si="3636">CD223/CD207</f>
        <v>-7.8302026184650056E-2</v>
      </c>
      <c r="CE224" s="28">
        <f t="shared" si="3636"/>
        <v>-5.9487435978350559E-2</v>
      </c>
      <c r="CF224" s="28">
        <f t="shared" si="3636"/>
        <v>-0.1053614236833483</v>
      </c>
      <c r="CG224" s="28">
        <f t="shared" si="3636"/>
        <v>-0.11154358264091373</v>
      </c>
      <c r="CH224" s="28"/>
      <c r="CI224" s="110"/>
      <c r="CJ224" s="30"/>
      <c r="CK224" s="110"/>
      <c r="CL224" s="110"/>
      <c r="CM224" s="22">
        <f t="shared" ref="CM224" si="3637">CM223/CM207</f>
        <v>-1.0969976905311778E-2</v>
      </c>
      <c r="CN224" s="107">
        <f t="shared" ref="CN224" si="3638">CN223/CN207</f>
        <v>-2.1327520622302004E-2</v>
      </c>
      <c r="CO224" s="22">
        <f t="shared" ref="CO224" si="3639">CO223/CO207</f>
        <v>-2.1377161886346547E-2</v>
      </c>
      <c r="CP224" s="107">
        <f t="shared" ref="CP224" si="3640">CP223/CP207</f>
        <v>-0.10552234645522966</v>
      </c>
      <c r="CQ224" s="22">
        <f t="shared" ref="CQ224" si="3641">CQ223/CQ207</f>
        <v>-0.16994824328394995</v>
      </c>
      <c r="CR224" s="107">
        <f t="shared" ref="CR224" si="3642">CR223/CR207</f>
        <v>-8.6620069895157262E-2</v>
      </c>
      <c r="CS224" s="22">
        <f t="shared" ref="CS224" si="3643">CS223/CS207</f>
        <v>-6.0414606453503279E-2</v>
      </c>
      <c r="CT224" s="107">
        <f t="shared" ref="CT224" si="3644">CT223/CT207</f>
        <v>-3.5004311714246811E-2</v>
      </c>
      <c r="CU224" s="22">
        <f t="shared" ref="CU224" si="3645">CU223/CU207</f>
        <v>-1.5707565992333642E-2</v>
      </c>
      <c r="CV224" s="107">
        <f t="shared" ref="CV224" si="3646">CV223/CV207</f>
        <v>-9.5829247428487974E-2</v>
      </c>
      <c r="CW224" s="22">
        <f t="shared" ref="CW224" si="3647">CW223/CW207</f>
        <v>-8.6926762491444209E-2</v>
      </c>
      <c r="CX224" s="107">
        <f t="shared" ref="CX224" si="3648">CX223/CX207</f>
        <v>-0.10068024100146267</v>
      </c>
      <c r="CY224" s="107">
        <f t="shared" ref="CY224:CZ224" si="3649">CY223/CY207</f>
        <v>-8.5880253725974104E-2</v>
      </c>
      <c r="CZ224" s="107">
        <f t="shared" si="3649"/>
        <v>-8.9350613975788987E-2</v>
      </c>
      <c r="DA224" s="107">
        <f t="shared" ref="DA224:DB224" si="3650">DA223/DA207</f>
        <v>-9.2257316274658302E-2</v>
      </c>
      <c r="DB224" s="107">
        <f t="shared" si="3650"/>
        <v>-9.2620162789559368E-2</v>
      </c>
      <c r="DC224" s="107">
        <f>DC223/DC207</f>
        <v>-8.9407367958972667E-2</v>
      </c>
    </row>
    <row r="225" spans="1:107" hidden="1" outlineLevel="1" x14ac:dyDescent="0.2">
      <c r="CI225" s="92"/>
      <c r="CK225" s="92"/>
      <c r="CL225" s="92"/>
      <c r="CN225" s="92"/>
      <c r="CP225" s="92"/>
      <c r="CR225" s="92"/>
      <c r="CT225" s="92"/>
      <c r="CV225" s="92"/>
      <c r="CX225" s="92"/>
      <c r="CY225" s="92"/>
      <c r="CZ225" s="92"/>
      <c r="DA225" s="92"/>
      <c r="DB225" s="92"/>
      <c r="DC225" s="92"/>
    </row>
    <row r="226" spans="1:107" hidden="1" outlineLevel="1" x14ac:dyDescent="0.2">
      <c r="A226" s="8" t="s">
        <v>119</v>
      </c>
      <c r="B226" s="20">
        <f>SUM(B207,B212,B218,B223)-B201</f>
        <v>0</v>
      </c>
      <c r="C226" s="20">
        <f t="shared" ref="C226:BN226" si="3651">SUM(C207,C212,C218,C223)-C201</f>
        <v>0</v>
      </c>
      <c r="D226" s="20">
        <f t="shared" si="3651"/>
        <v>0</v>
      </c>
      <c r="E226" s="20">
        <f t="shared" si="3651"/>
        <v>0</v>
      </c>
      <c r="F226" s="20">
        <f t="shared" si="3651"/>
        <v>0</v>
      </c>
      <c r="G226" s="20">
        <f t="shared" si="3651"/>
        <v>0</v>
      </c>
      <c r="H226" s="20">
        <f t="shared" si="3651"/>
        <v>0</v>
      </c>
      <c r="I226" s="20">
        <f t="shared" si="3651"/>
        <v>0</v>
      </c>
      <c r="J226" s="20">
        <f t="shared" si="3651"/>
        <v>0</v>
      </c>
      <c r="K226" s="20">
        <f t="shared" si="3651"/>
        <v>0</v>
      </c>
      <c r="L226" s="20">
        <f t="shared" si="3651"/>
        <v>0</v>
      </c>
      <c r="M226" s="20">
        <f t="shared" si="3651"/>
        <v>0</v>
      </c>
      <c r="N226" s="20">
        <f t="shared" si="3651"/>
        <v>3</v>
      </c>
      <c r="O226" s="20">
        <f t="shared" si="3651"/>
        <v>3</v>
      </c>
      <c r="P226" s="20">
        <f t="shared" si="3651"/>
        <v>3</v>
      </c>
      <c r="Q226" s="20">
        <f t="shared" si="3651"/>
        <v>-9</v>
      </c>
      <c r="R226" s="20">
        <f t="shared" si="3651"/>
        <v>0</v>
      </c>
      <c r="S226" s="20">
        <f t="shared" si="3651"/>
        <v>0</v>
      </c>
      <c r="T226" s="20">
        <f t="shared" si="3651"/>
        <v>0</v>
      </c>
      <c r="U226" s="20">
        <f t="shared" si="3651"/>
        <v>0</v>
      </c>
      <c r="V226" s="20">
        <f t="shared" si="3651"/>
        <v>0</v>
      </c>
      <c r="W226" s="20">
        <f t="shared" si="3651"/>
        <v>0</v>
      </c>
      <c r="X226" s="20">
        <f t="shared" si="3651"/>
        <v>0</v>
      </c>
      <c r="Y226" s="20">
        <f t="shared" si="3651"/>
        <v>0</v>
      </c>
      <c r="Z226" s="20">
        <f t="shared" si="3651"/>
        <v>0</v>
      </c>
      <c r="AA226" s="20">
        <f t="shared" si="3651"/>
        <v>0</v>
      </c>
      <c r="AB226" s="20">
        <f t="shared" si="3651"/>
        <v>0</v>
      </c>
      <c r="AC226" s="20">
        <f t="shared" si="3651"/>
        <v>0</v>
      </c>
      <c r="AD226" s="20">
        <f t="shared" si="3651"/>
        <v>0</v>
      </c>
      <c r="AE226" s="20">
        <f t="shared" si="3651"/>
        <v>0</v>
      </c>
      <c r="AF226" s="20">
        <f t="shared" si="3651"/>
        <v>0</v>
      </c>
      <c r="AG226" s="20">
        <f t="shared" si="3651"/>
        <v>0</v>
      </c>
      <c r="AH226" s="20">
        <f t="shared" si="3651"/>
        <v>0</v>
      </c>
      <c r="AI226" s="20">
        <f t="shared" si="3651"/>
        <v>0</v>
      </c>
      <c r="AJ226" s="20">
        <f t="shared" si="3651"/>
        <v>0</v>
      </c>
      <c r="AK226" s="20">
        <f t="shared" si="3651"/>
        <v>0</v>
      </c>
      <c r="AL226" s="20">
        <f t="shared" si="3651"/>
        <v>0</v>
      </c>
      <c r="AM226" s="20">
        <f t="shared" si="3651"/>
        <v>0</v>
      </c>
      <c r="AN226" s="20">
        <f t="shared" si="3651"/>
        <v>0</v>
      </c>
      <c r="AO226" s="20">
        <f t="shared" si="3651"/>
        <v>0</v>
      </c>
      <c r="AP226" s="20">
        <f t="shared" si="3651"/>
        <v>0</v>
      </c>
      <c r="AQ226" s="20">
        <f t="shared" si="3651"/>
        <v>0</v>
      </c>
      <c r="AR226" s="20">
        <f t="shared" si="3651"/>
        <v>0</v>
      </c>
      <c r="AS226" s="20">
        <f t="shared" si="3651"/>
        <v>0</v>
      </c>
      <c r="AT226" s="20">
        <f t="shared" si="3651"/>
        <v>0</v>
      </c>
      <c r="AU226" s="20">
        <f t="shared" si="3651"/>
        <v>0</v>
      </c>
      <c r="AV226" s="20">
        <f t="shared" si="3651"/>
        <v>0</v>
      </c>
      <c r="AW226" s="20">
        <f t="shared" si="3651"/>
        <v>0</v>
      </c>
      <c r="AX226" s="20">
        <f t="shared" si="3651"/>
        <v>0</v>
      </c>
      <c r="AY226" s="20">
        <f t="shared" si="3651"/>
        <v>0</v>
      </c>
      <c r="AZ226" s="20">
        <f t="shared" si="3651"/>
        <v>0</v>
      </c>
      <c r="BA226" s="20">
        <f t="shared" si="3651"/>
        <v>0</v>
      </c>
      <c r="BB226" s="20">
        <f t="shared" si="3651"/>
        <v>0</v>
      </c>
      <c r="BC226" s="20">
        <f t="shared" si="3651"/>
        <v>0</v>
      </c>
      <c r="BD226" s="20">
        <f t="shared" si="3651"/>
        <v>0</v>
      </c>
      <c r="BE226" s="20">
        <f t="shared" si="3651"/>
        <v>0</v>
      </c>
      <c r="BF226" s="20">
        <f t="shared" ref="BF226:BG226" si="3652">SUM(BF207,BF212,BF218,BF223)-BF201</f>
        <v>0</v>
      </c>
      <c r="BG226" s="20">
        <f t="shared" si="3652"/>
        <v>0</v>
      </c>
      <c r="BH226" s="20">
        <f t="shared" ref="BH226:BI226" si="3653">SUM(BH207,BH212,BH218,BH223)-BH201</f>
        <v>0</v>
      </c>
      <c r="BI226" s="20">
        <f t="shared" si="3653"/>
        <v>0</v>
      </c>
      <c r="BJ226" s="20">
        <f t="shared" ref="BJ226:BL226" si="3654">SUM(BJ207,BJ212,BJ218,BJ223)-BJ201</f>
        <v>0</v>
      </c>
      <c r="BK226" s="20">
        <f t="shared" si="3654"/>
        <v>0</v>
      </c>
      <c r="BL226" s="20">
        <f t="shared" si="3654"/>
        <v>0</v>
      </c>
      <c r="BM226" s="20">
        <f t="shared" si="3651"/>
        <v>0</v>
      </c>
      <c r="BN226" s="20">
        <f t="shared" si="3651"/>
        <v>0</v>
      </c>
      <c r="BO226" s="20">
        <f t="shared" ref="BO226:BQ226" si="3655">SUM(BO207,BO212,BO218,BO223)-BO201</f>
        <v>0</v>
      </c>
      <c r="BP226" s="20">
        <f t="shared" si="3655"/>
        <v>0</v>
      </c>
      <c r="BQ226" s="20">
        <f t="shared" si="3655"/>
        <v>0</v>
      </c>
      <c r="BR226" s="20">
        <f>SUM(BR207,BR212,BR218,BR223)-BR201</f>
        <v>0</v>
      </c>
      <c r="BS226" s="20">
        <f t="shared" ref="BS226:BU226" si="3656">SUM(BS207,BS212,BS218,BS223)-BS201</f>
        <v>0</v>
      </c>
      <c r="BT226" s="20">
        <f t="shared" si="3656"/>
        <v>0</v>
      </c>
      <c r="BU226" s="20">
        <f t="shared" si="3656"/>
        <v>0</v>
      </c>
      <c r="BV226" s="20">
        <f t="shared" ref="BV226:CC226" si="3657">SUM(BV207,BV212,BV218,BV223)-BV201</f>
        <v>0</v>
      </c>
      <c r="BW226" s="20">
        <f t="shared" si="3657"/>
        <v>0</v>
      </c>
      <c r="BX226" s="20">
        <f t="shared" si="3657"/>
        <v>0</v>
      </c>
      <c r="BY226" s="20">
        <f t="shared" si="3657"/>
        <v>0</v>
      </c>
      <c r="BZ226" s="20">
        <f t="shared" si="3657"/>
        <v>0</v>
      </c>
      <c r="CA226" s="20">
        <f t="shared" si="3657"/>
        <v>0</v>
      </c>
      <c r="CB226" s="20">
        <f t="shared" si="3657"/>
        <v>0</v>
      </c>
      <c r="CC226" s="20">
        <f t="shared" si="3657"/>
        <v>0</v>
      </c>
      <c r="CD226" s="20">
        <f t="shared" ref="CD226:CG226" si="3658">SUM(CD207,CD212,CD218,CD223)-CD201</f>
        <v>0</v>
      </c>
      <c r="CE226" s="20">
        <f t="shared" si="3658"/>
        <v>0</v>
      </c>
      <c r="CF226" s="20">
        <f t="shared" si="3658"/>
        <v>0</v>
      </c>
      <c r="CG226" s="20">
        <f t="shared" si="3658"/>
        <v>0</v>
      </c>
      <c r="CH226" s="20"/>
      <c r="CI226" s="89">
        <f>SUM(CI207,CI212,CI218,CI223)-CI201</f>
        <v>0</v>
      </c>
      <c r="CJ226" s="20">
        <f t="shared" ref="CJ226:CY226" si="3659">SUM(CJ207,CJ212,CJ218,CJ223)-CJ201</f>
        <v>0</v>
      </c>
      <c r="CK226" s="89">
        <f t="shared" si="3659"/>
        <v>0</v>
      </c>
      <c r="CL226" s="89">
        <f t="shared" si="3659"/>
        <v>-527</v>
      </c>
      <c r="CM226" s="20">
        <f t="shared" si="3659"/>
        <v>-1308</v>
      </c>
      <c r="CN226" s="89">
        <f t="shared" si="3659"/>
        <v>0</v>
      </c>
      <c r="CO226" s="20">
        <f t="shared" si="3659"/>
        <v>0</v>
      </c>
      <c r="CP226" s="89">
        <f t="shared" si="3659"/>
        <v>0</v>
      </c>
      <c r="CQ226" s="20">
        <f t="shared" si="3659"/>
        <v>-4348</v>
      </c>
      <c r="CR226" s="89">
        <f t="shared" si="3659"/>
        <v>-3451</v>
      </c>
      <c r="CS226" s="20">
        <f>SUM(CS207,CS212,CS218,CS223)-CS201</f>
        <v>0</v>
      </c>
      <c r="CT226" s="89">
        <f t="shared" si="3659"/>
        <v>0</v>
      </c>
      <c r="CU226" s="20">
        <f t="shared" si="3659"/>
        <v>0</v>
      </c>
      <c r="CV226" s="89">
        <f t="shared" si="3659"/>
        <v>0</v>
      </c>
      <c r="CW226" s="20">
        <f t="shared" si="3659"/>
        <v>0</v>
      </c>
      <c r="CX226" s="89">
        <f t="shared" si="3659"/>
        <v>0</v>
      </c>
      <c r="CY226" s="89">
        <f t="shared" si="3659"/>
        <v>0</v>
      </c>
      <c r="CZ226" s="89">
        <f>SUM(CZ207,CZ212,CZ218,CZ223)-CZ201</f>
        <v>0</v>
      </c>
      <c r="DA226" s="89">
        <f>SUM(DA207,DA212,DA218,DA223)-DA201</f>
        <v>0</v>
      </c>
      <c r="DB226" s="89">
        <f>SUM(DB207,DB212,DB218,DB223)-DB201</f>
        <v>0</v>
      </c>
      <c r="DC226" s="89">
        <f>SUM(DC207,DC212,DC218,DC223)-DC201</f>
        <v>0</v>
      </c>
    </row>
    <row r="227" spans="1:107" collapsed="1" x14ac:dyDescent="0.2"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152" t="s">
        <v>46</v>
      </c>
      <c r="BN227" s="152" t="s">
        <v>47</v>
      </c>
      <c r="BO227" s="152" t="s">
        <v>48</v>
      </c>
      <c r="BP227" s="152" t="s">
        <v>49</v>
      </c>
      <c r="BQ227" s="152" t="s">
        <v>50</v>
      </c>
      <c r="BR227" s="152" t="s">
        <v>50</v>
      </c>
      <c r="BS227" s="152" t="s">
        <v>50</v>
      </c>
      <c r="BT227" s="152" t="s">
        <v>50</v>
      </c>
      <c r="BU227" s="152" t="s">
        <v>50</v>
      </c>
      <c r="BV227" s="152" t="s">
        <v>50</v>
      </c>
      <c r="BW227" s="152" t="s">
        <v>50</v>
      </c>
      <c r="BX227" s="152" t="s">
        <v>50</v>
      </c>
      <c r="BY227" s="152" t="s">
        <v>50</v>
      </c>
      <c r="BZ227" s="152" t="s">
        <v>50</v>
      </c>
      <c r="CA227" s="152" t="s">
        <v>50</v>
      </c>
      <c r="CB227" s="152" t="s">
        <v>50</v>
      </c>
      <c r="CC227" s="152" t="s">
        <v>50</v>
      </c>
      <c r="CD227" s="152" t="s">
        <v>50</v>
      </c>
      <c r="CE227" s="152" t="s">
        <v>50</v>
      </c>
      <c r="CF227" s="152" t="s">
        <v>50</v>
      </c>
      <c r="CG227" s="152" t="s">
        <v>50</v>
      </c>
      <c r="CH227" s="152"/>
      <c r="CI227" s="92"/>
      <c r="CK227" s="92"/>
      <c r="CL227" s="92"/>
      <c r="CN227" s="92"/>
      <c r="CP227" s="92"/>
      <c r="CR227" s="89"/>
      <c r="CS227" s="20"/>
      <c r="CT227" s="89"/>
      <c r="CU227" s="20"/>
      <c r="CV227" s="89"/>
      <c r="CW227" s="20"/>
      <c r="CX227" s="89"/>
      <c r="CY227" s="89"/>
      <c r="CZ227" s="89"/>
      <c r="DA227" s="89"/>
      <c r="DB227" s="89"/>
      <c r="DC227" s="89"/>
    </row>
    <row r="228" spans="1:107" x14ac:dyDescent="0.2">
      <c r="A228" s="1" t="s">
        <v>120</v>
      </c>
      <c r="B228" s="20">
        <f t="shared" ref="B228:I228" si="3660">SUM(B234,B236,B238,B240)</f>
        <v>-291</v>
      </c>
      <c r="C228" s="20">
        <f t="shared" si="3660"/>
        <v>-309</v>
      </c>
      <c r="D228" s="20">
        <f t="shared" si="3660"/>
        <v>-380</v>
      </c>
      <c r="E228" s="20">
        <f t="shared" si="3660"/>
        <v>-396</v>
      </c>
      <c r="F228" s="20">
        <f t="shared" si="3660"/>
        <v>-432</v>
      </c>
      <c r="G228" s="20">
        <f t="shared" si="3660"/>
        <v>-435</v>
      </c>
      <c r="H228" s="20">
        <f t="shared" si="3660"/>
        <v>-571</v>
      </c>
      <c r="I228" s="20">
        <f t="shared" si="3660"/>
        <v>-536</v>
      </c>
      <c r="J228" s="20">
        <f>SUM(J234,J236,J238,J240)</f>
        <v>-556</v>
      </c>
      <c r="K228" s="20">
        <f>SUM(K234,K236,K238,K240)</f>
        <v>-658</v>
      </c>
      <c r="L228" s="20">
        <f t="shared" ref="L228:AC228" si="3661">SUM(L234,L236,L238,L240)</f>
        <v>-762</v>
      </c>
      <c r="M228" s="20">
        <f t="shared" si="3661"/>
        <v>-708</v>
      </c>
      <c r="N228" s="20">
        <f t="shared" si="3661"/>
        <v>-697</v>
      </c>
      <c r="O228" s="20">
        <f t="shared" si="3661"/>
        <v>-783</v>
      </c>
      <c r="P228" s="20">
        <f t="shared" si="3661"/>
        <v>-886</v>
      </c>
      <c r="Q228" s="20">
        <f t="shared" si="3661"/>
        <v>-902</v>
      </c>
      <c r="R228" s="20">
        <f t="shared" si="3661"/>
        <v>-839</v>
      </c>
      <c r="S228" s="20">
        <f t="shared" si="3661"/>
        <v>-880</v>
      </c>
      <c r="T228" s="20">
        <f t="shared" si="3661"/>
        <v>-1255</v>
      </c>
      <c r="U228" s="20">
        <f t="shared" si="3661"/>
        <v>-1201</v>
      </c>
      <c r="V228" s="20">
        <f t="shared" si="3661"/>
        <v>-903</v>
      </c>
      <c r="W228" s="20">
        <f t="shared" si="3661"/>
        <v>-1132</v>
      </c>
      <c r="X228" s="20">
        <f t="shared" si="3661"/>
        <v>-1432</v>
      </c>
      <c r="Y228" s="20">
        <f t="shared" si="3661"/>
        <v>-1436</v>
      </c>
      <c r="Z228" s="20">
        <f t="shared" si="3661"/>
        <v>-1494</v>
      </c>
      <c r="AA228" s="20">
        <f t="shared" si="3661"/>
        <v>-1503</v>
      </c>
      <c r="AB228" s="20">
        <f t="shared" si="3661"/>
        <v>-1860</v>
      </c>
      <c r="AC228" s="20">
        <f t="shared" si="3661"/>
        <v>-1846</v>
      </c>
      <c r="AD228" s="17">
        <v>-2009</v>
      </c>
      <c r="AE228" s="17">
        <v>-2003</v>
      </c>
      <c r="AF228" s="17">
        <v>-1820</v>
      </c>
      <c r="AG228" s="17">
        <v>-1847</v>
      </c>
      <c r="AH228" s="17">
        <v>-2457</v>
      </c>
      <c r="AI228" s="17">
        <v>-2413</v>
      </c>
      <c r="AJ228" s="17">
        <v>-2230</v>
      </c>
      <c r="AK228" s="17">
        <v>-2253</v>
      </c>
      <c r="AL228" s="17">
        <v>-2769</v>
      </c>
      <c r="AM228" s="18">
        <v>-2756</v>
      </c>
      <c r="AN228" s="18">
        <v>-2624</v>
      </c>
      <c r="AO228" s="18">
        <v>-2645</v>
      </c>
      <c r="AP228" s="18">
        <v>-3191</v>
      </c>
      <c r="AQ228" s="18">
        <v>-3382</v>
      </c>
      <c r="AR228" s="18">
        <v>-3195</v>
      </c>
      <c r="AS228" s="17">
        <v>-3223</v>
      </c>
      <c r="AT228" s="17">
        <v>-3745</v>
      </c>
      <c r="AU228" s="18">
        <v>-3803</v>
      </c>
      <c r="AV228" s="18">
        <v>-3874</v>
      </c>
      <c r="AW228" s="18">
        <v>-3954</v>
      </c>
      <c r="AX228" s="18">
        <v>-4504</v>
      </c>
      <c r="AY228" s="18">
        <v>-4782</v>
      </c>
      <c r="AZ228" s="18">
        <v>-4976</v>
      </c>
      <c r="BA228" s="18">
        <v>-5100</v>
      </c>
      <c r="BB228" s="18">
        <v>-5284</v>
      </c>
      <c r="BC228" s="18">
        <v>-5774</v>
      </c>
      <c r="BD228" s="18">
        <v>-5743</v>
      </c>
      <c r="BE228" s="18">
        <v>-5659</v>
      </c>
      <c r="BF228" s="18">
        <v>-5264</v>
      </c>
      <c r="BG228" s="18">
        <v>-5865</v>
      </c>
      <c r="BH228" s="18">
        <v>-5846</v>
      </c>
      <c r="BI228" s="18">
        <v>-5810</v>
      </c>
      <c r="BJ228" s="18">
        <v>-5516</v>
      </c>
      <c r="BK228" s="18">
        <v>-5998</v>
      </c>
      <c r="BL228" s="18">
        <v>-6368</v>
      </c>
      <c r="BM228" s="20">
        <f t="shared" ref="BM228:CG228" si="3662">BI228*(1+BM231)</f>
        <v>-6391.0000000000009</v>
      </c>
      <c r="BN228" s="20">
        <f t="shared" si="3662"/>
        <v>-6012.4400000000005</v>
      </c>
      <c r="BO228" s="20">
        <f t="shared" si="3662"/>
        <v>-6537.8200000000006</v>
      </c>
      <c r="BP228" s="20">
        <f t="shared" si="3662"/>
        <v>-6941.1200000000008</v>
      </c>
      <c r="BQ228" s="20">
        <f t="shared" si="3662"/>
        <v>-6966.1900000000014</v>
      </c>
      <c r="BR228" s="20">
        <f t="shared" si="3662"/>
        <v>-6493.4352000000008</v>
      </c>
      <c r="BS228" s="20">
        <f t="shared" si="3662"/>
        <v>-7060.8456000000015</v>
      </c>
      <c r="BT228" s="20">
        <f t="shared" si="3662"/>
        <v>-7496.4096000000018</v>
      </c>
      <c r="BU228" s="20">
        <f t="shared" si="3662"/>
        <v>-7523.4852000000019</v>
      </c>
      <c r="BV228" s="20">
        <f t="shared" si="3662"/>
        <v>-7012.9100160000016</v>
      </c>
      <c r="BW228" s="20">
        <f t="shared" si="3662"/>
        <v>-7484.496336000002</v>
      </c>
      <c r="BX228" s="20">
        <f t="shared" si="3662"/>
        <v>-7946.1941760000027</v>
      </c>
      <c r="BY228" s="20">
        <f t="shared" si="3662"/>
        <v>-7974.8943120000022</v>
      </c>
      <c r="BZ228" s="20">
        <f t="shared" si="3662"/>
        <v>-7433.6846169600021</v>
      </c>
      <c r="CA228" s="20">
        <f t="shared" si="3662"/>
        <v>-7858.7211528000025</v>
      </c>
      <c r="CB228" s="20">
        <f t="shared" si="3662"/>
        <v>-8343.503884800004</v>
      </c>
      <c r="CC228" s="20">
        <f t="shared" si="3662"/>
        <v>-8373.639027600002</v>
      </c>
      <c r="CD228" s="20">
        <f t="shared" si="3662"/>
        <v>-7805.368847808003</v>
      </c>
      <c r="CE228" s="20">
        <f t="shared" si="3662"/>
        <v>-8251.6572104400038</v>
      </c>
      <c r="CF228" s="20">
        <f t="shared" si="3662"/>
        <v>-8760.6790790400046</v>
      </c>
      <c r="CG228" s="20">
        <f t="shared" si="3662"/>
        <v>-8792.3209789800021</v>
      </c>
      <c r="CH228" s="20"/>
      <c r="CI228" s="89">
        <f>SUM(B228:E228)</f>
        <v>-1376</v>
      </c>
      <c r="CJ228" s="20">
        <f>SUM(F228:I228)</f>
        <v>-1974</v>
      </c>
      <c r="CK228" s="89">
        <f>SUM(J228:M228)</f>
        <v>-2684</v>
      </c>
      <c r="CL228" s="89">
        <f>SUM(N228:Q228)</f>
        <v>-3268</v>
      </c>
      <c r="CM228" s="20">
        <f>SUM(R228:U228)</f>
        <v>-4175</v>
      </c>
      <c r="CN228" s="89">
        <f>SUM(V228:Y228)</f>
        <v>-4903</v>
      </c>
      <c r="CO228" s="20">
        <f>SUM(Z228:AC228)</f>
        <v>-6703</v>
      </c>
      <c r="CP228" s="89">
        <f>SUM(AD228:AG228)</f>
        <v>-7679</v>
      </c>
      <c r="CQ228" s="20">
        <f>SUM(AH228:AK228)</f>
        <v>-9353</v>
      </c>
      <c r="CR228" s="89">
        <f>SUM(AL228:AO228)</f>
        <v>-10794</v>
      </c>
      <c r="CS228" s="20">
        <f>SUM(AP228:AS228)</f>
        <v>-12991</v>
      </c>
      <c r="CT228" s="89">
        <f>SUM(AT228:AW228)</f>
        <v>-15376</v>
      </c>
      <c r="CU228" s="20">
        <f>SUM(AX228:BA228)</f>
        <v>-19362</v>
      </c>
      <c r="CV228" s="89">
        <f>SUM(BB228:BE228)</f>
        <v>-22460</v>
      </c>
      <c r="CW228" s="20">
        <f>SUM(BF228:BI228)</f>
        <v>-22785</v>
      </c>
      <c r="CX228" s="89">
        <f>SUM(BJ228:BM228)</f>
        <v>-24273</v>
      </c>
      <c r="CY228" s="89">
        <f>SUM(BN228:BQ228)</f>
        <v>-26457.570000000007</v>
      </c>
      <c r="CZ228" s="89">
        <f>SUM(BR228:BU228)</f>
        <v>-28574.175600000006</v>
      </c>
      <c r="DA228" s="89">
        <f>SUM(BV228:BY228)</f>
        <v>-30418.494840000007</v>
      </c>
      <c r="DB228" s="89">
        <f>SUM(BZ228:CC228)</f>
        <v>-32009.54868216001</v>
      </c>
      <c r="DC228" s="89">
        <f>SUM(CD228:CG228)</f>
        <v>-33610.026116268011</v>
      </c>
    </row>
    <row r="229" spans="1:107" x14ac:dyDescent="0.2">
      <c r="A229" s="7" t="s">
        <v>109</v>
      </c>
      <c r="B229" s="22">
        <f>B228/B$85</f>
        <v>-5.7464454976303314E-2</v>
      </c>
      <c r="C229" s="22">
        <f t="shared" ref="C229:F229" si="3663">C228/C$85</f>
        <v>-6.0731132075471699E-2</v>
      </c>
      <c r="D229" s="22">
        <f t="shared" si="3663"/>
        <v>-6.933041415800037E-2</v>
      </c>
      <c r="E229" s="22">
        <f t="shared" si="3663"/>
        <v>-6.2156647308114897E-2</v>
      </c>
      <c r="F229" s="22">
        <f t="shared" si="3663"/>
        <v>-6.6095471236230108E-2</v>
      </c>
      <c r="G229" s="22">
        <f t="shared" ref="G229" si="3664">G228/G$85</f>
        <v>-6.2915822967891236E-2</v>
      </c>
      <c r="H229" s="22">
        <f t="shared" ref="H229" si="3665">H228/H$85</f>
        <v>-7.6011714589989357E-2</v>
      </c>
      <c r="I229" s="22">
        <f t="shared" ref="I229" si="3666">I228/I$85</f>
        <v>-6.5912444663059525E-2</v>
      </c>
      <c r="J229" s="22">
        <f t="shared" ref="J229" si="3667">J228/J$85</f>
        <v>-6.8338249754178959E-2</v>
      </c>
      <c r="K229" s="22">
        <f t="shared" ref="K229" si="3668">K228/K$85</f>
        <v>-7.8698720248774071E-2</v>
      </c>
      <c r="L229" s="22">
        <f t="shared" ref="L229" si="3669">L228/L$85</f>
        <v>-8.706581352833638E-2</v>
      </c>
      <c r="M229" s="22">
        <f t="shared" ref="M229" si="3670">M228/M$85</f>
        <v>-7.2009764035801463E-2</v>
      </c>
      <c r="N229" s="22">
        <f t="shared" ref="N229" si="3671">N228/N$85</f>
        <v>-6.981169871794872E-2</v>
      </c>
      <c r="O229" s="22">
        <f t="shared" ref="O229" si="3672">O228/O$85</f>
        <v>-7.7593895550490538E-2</v>
      </c>
      <c r="P229" s="22">
        <f t="shared" ref="P229" si="3673">P228/P$85</f>
        <v>-8.2204490629059199E-2</v>
      </c>
      <c r="Q229" s="22">
        <f t="shared" ref="Q229" si="3674">Q228/Q$85</f>
        <v>-7.2695035460992902E-2</v>
      </c>
      <c r="R229" s="22">
        <f t="shared" ref="R229" si="3675">R228/R$85</f>
        <v>-6.883255394207892E-2</v>
      </c>
      <c r="S229" s="22">
        <f t="shared" ref="S229" si="3676">S228/S$85</f>
        <v>-6.9504778453518684E-2</v>
      </c>
      <c r="T229" s="22">
        <f t="shared" ref="T229" si="3677">T228/T$85</f>
        <v>-9.5256166982922205E-2</v>
      </c>
      <c r="U229" s="22">
        <f t="shared" ref="U229" si="3678">U228/U$85</f>
        <v>-8.294771738379722E-2</v>
      </c>
      <c r="V229" s="22">
        <f t="shared" ref="V229" si="3679">V228/V$85</f>
        <v>-6.490332782289944E-2</v>
      </c>
      <c r="W229" s="22">
        <f t="shared" ref="W229" si="3680">W228/W$85</f>
        <v>-7.8885017421602782E-2</v>
      </c>
      <c r="X229" s="22">
        <f t="shared" ref="X229" si="3681">X228/X$85</f>
        <v>-9.4777946919054862E-2</v>
      </c>
      <c r="Y229" s="22">
        <f t="shared" ref="Y229" si="3682">Y228/Y$85</f>
        <v>-8.3130716684033809E-2</v>
      </c>
      <c r="Z229" s="22">
        <f t="shared" ref="Z229" si="3683">Z228/Z$85</f>
        <v>-9.0715890460865867E-2</v>
      </c>
      <c r="AA229" s="22">
        <f t="shared" ref="AA229" si="3684">AA228/AA$85</f>
        <v>-8.5763195435092726E-2</v>
      </c>
      <c r="AB229" s="22">
        <f t="shared" ref="AB229" si="3685">AB228/AB$85</f>
        <v>-0.10181181235973508</v>
      </c>
      <c r="AC229" s="22">
        <f t="shared" ref="AC229" si="3686">AC228/AC$85</f>
        <v>-8.7009803921568624E-2</v>
      </c>
      <c r="AD229" s="22">
        <f t="shared" ref="AD229" si="3687">AD228/AD$85</f>
        <v>-9.9845932110730076E-2</v>
      </c>
      <c r="AE229" s="22">
        <f t="shared" ref="AE229" si="3688">AE228/AE$85</f>
        <v>-9.5750274869735641E-2</v>
      </c>
      <c r="AF229" s="22">
        <f t="shared" ref="AF229" si="3689">AF228/AF$85</f>
        <v>-8.1724292770543328E-2</v>
      </c>
      <c r="AG229" s="22">
        <f t="shared" ref="AG229" si="3690">AG228/AG$85</f>
        <v>-7.138716036022108E-2</v>
      </c>
      <c r="AH229" s="22">
        <f t="shared" ref="AH229" si="3691">AH228/AH$85</f>
        <v>-9.8841419261404773E-2</v>
      </c>
      <c r="AI229" s="22">
        <f t="shared" ref="AI229" si="3692">AI228/AI$85</f>
        <v>-9.1969356252620343E-2</v>
      </c>
      <c r="AJ229" s="22">
        <f t="shared" ref="AJ229" si="3693">AJ228/AJ$85</f>
        <v>-8.2112084836880483E-2</v>
      </c>
      <c r="AK229" s="22">
        <f t="shared" ref="AK229" si="3694">AK228/AK$85</f>
        <v>-7.0760050251256285E-2</v>
      </c>
      <c r="AL229" s="22">
        <f t="shared" ref="AL229" si="3695">AL228/AL$85</f>
        <v>-9.3931273109671296E-2</v>
      </c>
      <c r="AM229" s="22">
        <f t="shared" ref="AM229" si="3696">AM228/AM$85</f>
        <v>-8.6923610673058732E-2</v>
      </c>
      <c r="AN229" s="22">
        <f t="shared" ref="AN229" si="3697">AN228/AN$85</f>
        <v>-7.9493471477475847E-2</v>
      </c>
      <c r="AO229" s="22">
        <f t="shared" ref="AO229" si="3698">AO228/AO$85</f>
        <v>-7.0394421674562196E-2</v>
      </c>
      <c r="AP229" s="22">
        <f t="shared" ref="AP229" si="3699">AP228/AP$85</f>
        <v>-9.4668763164921232E-2</v>
      </c>
      <c r="AQ229" s="22">
        <f t="shared" ref="AQ229" si="3700">AQ228/AQ$85</f>
        <v>-0.10701515678891245</v>
      </c>
      <c r="AR229" s="22">
        <f t="shared" ref="AR229" si="3701">AR228/AR$85</f>
        <v>-8.4063461993843236E-2</v>
      </c>
      <c r="AS229" s="22">
        <f t="shared" ref="AS229" si="3702">AS228/AS$85</f>
        <v>-6.9413335630599593E-2</v>
      </c>
      <c r="AT229" s="22">
        <f t="shared" ref="AT229" si="3703">AT228/AT$85</f>
        <v>-8.2123591070567076E-2</v>
      </c>
      <c r="AU229" s="22">
        <f t="shared" ref="AU229:BA229" si="3704">AU228/AU$85</f>
        <v>-7.4640340719514822E-2</v>
      </c>
      <c r="AV229" s="22">
        <f t="shared" si="3704"/>
        <v>-7.2249160760910106E-2</v>
      </c>
      <c r="AW229" s="22">
        <f t="shared" si="3704"/>
        <v>-6.3879285275776271E-2</v>
      </c>
      <c r="AX229" s="22">
        <f t="shared" si="3704"/>
        <v>-8.0398422020313817E-2</v>
      </c>
      <c r="AY229" s="22">
        <f t="shared" si="3704"/>
        <v>-8.3207182753040662E-2</v>
      </c>
      <c r="AZ229" s="22">
        <f t="shared" si="3704"/>
        <v>-8.6892746132085349E-2</v>
      </c>
      <c r="BA229" s="22">
        <f t="shared" si="3704"/>
        <v>-8.0794639038068536E-2</v>
      </c>
      <c r="BB229" s="28">
        <f t="shared" ref="BB229:BC229" si="3705">BB228/BB$85</f>
        <v>-9.0999896669307342E-2</v>
      </c>
      <c r="BC229" s="28">
        <f t="shared" si="3705"/>
        <v>-9.3028501458101723E-2</v>
      </c>
      <c r="BD229" s="28">
        <f t="shared" ref="BD229:BE229" si="3706">BD228/BD$85</f>
        <v>-8.9662924856754769E-2</v>
      </c>
      <c r="BE229" s="28">
        <f t="shared" si="3706"/>
        <v>-7.8245119185885739E-2</v>
      </c>
      <c r="BF229" s="28">
        <f t="shared" ref="BF229:BG229" si="3707">BF228/BF$85</f>
        <v>-7.7877886763422249E-2</v>
      </c>
      <c r="BG229" s="28">
        <f t="shared" si="3707"/>
        <v>-8.219466050031532E-2</v>
      </c>
      <c r="BH229" s="28">
        <f t="shared" ref="BH229:CG229" si="3708">BH228/BH$85</f>
        <v>-7.8418221572388633E-2</v>
      </c>
      <c r="BI229" s="28">
        <f t="shared" ref="BI229:BJ229" si="3709">BI228/BI$85</f>
        <v>-7.1182661324904126E-2</v>
      </c>
      <c r="BJ229" s="28">
        <f t="shared" si="3709"/>
        <v>-7.2117773187249948E-2</v>
      </c>
      <c r="BK229" s="28">
        <f t="shared" ref="BK229:BL229" si="3710">BK228/BK$85</f>
        <v>-7.3394270890691726E-2</v>
      </c>
      <c r="BL229" s="28">
        <f t="shared" si="3710"/>
        <v>-7.280210357836972E-2</v>
      </c>
      <c r="BM229" s="28">
        <f t="shared" si="3708"/>
        <v>-6.6910749194234342E-2</v>
      </c>
      <c r="BN229" s="28">
        <f t="shared" si="3708"/>
        <v>-6.7523561989557793E-2</v>
      </c>
      <c r="BO229" s="28">
        <f t="shared" si="3708"/>
        <v>-6.9299546655998717E-2</v>
      </c>
      <c r="BP229" s="28">
        <f t="shared" si="3708"/>
        <v>-6.9213755011597225E-2</v>
      </c>
      <c r="BQ229" s="28">
        <f t="shared" si="3708"/>
        <v>-6.4350903822497391E-2</v>
      </c>
      <c r="BR229" s="28">
        <f t="shared" si="3708"/>
        <v>-6.3686995983461128E-2</v>
      </c>
      <c r="BS229" s="28">
        <f t="shared" si="3708"/>
        <v>-6.5620973083099748E-2</v>
      </c>
      <c r="BT229" s="28">
        <f t="shared" si="3708"/>
        <v>-6.5456493499643623E-2</v>
      </c>
      <c r="BU229" s="28">
        <f t="shared" si="3708"/>
        <v>-6.1053279838477921E-2</v>
      </c>
      <c r="BV229" s="28">
        <f t="shared" si="3708"/>
        <v>-6.0429317390794011E-2</v>
      </c>
      <c r="BW229" s="28">
        <f t="shared" si="3708"/>
        <v>-6.1342159991656015E-2</v>
      </c>
      <c r="BX229" s="28">
        <f t="shared" si="3708"/>
        <v>-6.1106754714866762E-2</v>
      </c>
      <c r="BY229" s="28">
        <f t="shared" si="3708"/>
        <v>-5.717239651394445E-2</v>
      </c>
      <c r="BZ229" s="28">
        <f t="shared" si="3708"/>
        <v>-5.6780016427934267E-2</v>
      </c>
      <c r="CA229" s="28">
        <f t="shared" si="3708"/>
        <v>-5.7299430881601457E-2</v>
      </c>
      <c r="CB229" s="28">
        <f t="shared" si="3708"/>
        <v>-5.70092449212838E-2</v>
      </c>
      <c r="CC229" s="28">
        <f t="shared" si="3708"/>
        <v>-5.34943144823792E-2</v>
      </c>
      <c r="CD229" s="28">
        <f t="shared" si="3708"/>
        <v>-5.3324170067971972E-2</v>
      </c>
      <c r="CE229" s="28">
        <f t="shared" si="3708"/>
        <v>-5.3996931026132032E-2</v>
      </c>
      <c r="CF229" s="28">
        <f t="shared" si="3708"/>
        <v>-5.3663485186308847E-2</v>
      </c>
      <c r="CG229" s="28">
        <f t="shared" si="3708"/>
        <v>-5.0491392916501128E-2</v>
      </c>
      <c r="CH229" s="28"/>
      <c r="CI229" s="107">
        <f>CI228/CI$85</f>
        <v>-6.2534084711870566E-2</v>
      </c>
      <c r="CJ229" s="22">
        <f t="shared" ref="CJ229" si="3711">CJ228/CJ$85</f>
        <v>-6.784904103938956E-2</v>
      </c>
      <c r="CK229" s="107">
        <f t="shared" ref="CK229" si="3712">CK228/CK$85</f>
        <v>-7.6508651406744385E-2</v>
      </c>
      <c r="CL229" s="107">
        <f t="shared" ref="CL229" si="3713">CL228/CL$85</f>
        <v>-7.5541480779454939E-2</v>
      </c>
      <c r="CM229" s="22">
        <f t="shared" ref="CM229" si="3714">CM228/CM$85</f>
        <v>-7.9517751028493067E-2</v>
      </c>
      <c r="CN229" s="107">
        <f t="shared" ref="CN229" si="3715">CN228/CN$85</f>
        <v>-8.0846222339478288E-2</v>
      </c>
      <c r="CO229" s="22">
        <f t="shared" ref="CO229" si="3716">CO228/CO$85</f>
        <v>-9.1223342723771417E-2</v>
      </c>
      <c r="CP229" s="107">
        <f t="shared" ref="CP229" si="3717">CP228/CP$85</f>
        <v>-8.6103853873496075E-2</v>
      </c>
      <c r="CQ229" s="22">
        <f t="shared" ref="CQ229" si="3718">CQ228/CQ$85</f>
        <v>-8.4955446758649508E-2</v>
      </c>
      <c r="CR229" s="107">
        <f t="shared" ref="CR229" si="3719">CR228/CR$85</f>
        <v>-8.1916702082447945E-2</v>
      </c>
      <c r="CS229" s="22">
        <f t="shared" ref="CS229" si="3720">CS228/CS$85</f>
        <v>-8.6751831397872445E-2</v>
      </c>
      <c r="CT229" s="107">
        <f t="shared" ref="CT229" si="3721">CT228/CT$85</f>
        <v>-7.2504019880134482E-2</v>
      </c>
      <c r="CU229" s="22">
        <f t="shared" ref="CU229" si="3722">CU228/CU$85</f>
        <v>-8.2785690158670433E-2</v>
      </c>
      <c r="CV229" s="107">
        <f t="shared" ref="CV229" si="3723">CV228/CV$85</f>
        <v>-8.7560621890935178E-2</v>
      </c>
      <c r="CW229" s="22">
        <f t="shared" ref="CW229" si="3724">CW228/CW$85</f>
        <v>-7.7206405573363876E-2</v>
      </c>
      <c r="CX229" s="107">
        <f t="shared" ref="CX229" si="3725">CX228/CX$85</f>
        <v>-7.1141283135076713E-2</v>
      </c>
      <c r="CY229" s="107">
        <f t="shared" ref="CY229:CZ229" si="3726">CY228/CY$85</f>
        <v>-6.7507232464843761E-2</v>
      </c>
      <c r="CZ229" s="107">
        <f t="shared" si="3726"/>
        <v>-6.3879703733928039E-2</v>
      </c>
      <c r="DA229" s="107">
        <f t="shared" ref="DA229:DB229" si="3727">DA228/DA$85</f>
        <v>-5.992727334829364E-2</v>
      </c>
      <c r="DB229" s="107">
        <f t="shared" si="3727"/>
        <v>-5.6062741981080765E-2</v>
      </c>
      <c r="DC229" s="107">
        <f>DC228/DC$85</f>
        <v>-5.2797791043163678E-2</v>
      </c>
    </row>
    <row r="230" spans="1:107" x14ac:dyDescent="0.2">
      <c r="A230" s="7" t="s">
        <v>62</v>
      </c>
      <c r="B230" s="25" t="s">
        <v>82</v>
      </c>
      <c r="C230" s="22">
        <f>IF(AND(B228&lt;0,C228&gt;0),"n/a",C228/B228-1)</f>
        <v>6.1855670103092786E-2</v>
      </c>
      <c r="D230" s="22">
        <f t="shared" ref="D230" si="3728">IF(AND(C228&lt;0,D228&gt;0),"n/a",D228/C228-1)</f>
        <v>0.22977346278317157</v>
      </c>
      <c r="E230" s="22">
        <f t="shared" ref="E230" si="3729">IF(AND(D228&lt;0,E228&gt;0),"n/a",E228/D228-1)</f>
        <v>4.2105263157894646E-2</v>
      </c>
      <c r="F230" s="22">
        <f t="shared" ref="F230" si="3730">IF(AND(E228&lt;0,F228&gt;0),"n/a",F228/E228-1)</f>
        <v>9.0909090909090828E-2</v>
      </c>
      <c r="G230" s="22">
        <f t="shared" ref="G230" si="3731">IF(AND(F228&lt;0,G228&gt;0),"n/a",G228/F228-1)</f>
        <v>6.9444444444444198E-3</v>
      </c>
      <c r="H230" s="22">
        <f t="shared" ref="H230" si="3732">IF(AND(G228&lt;0,H228&gt;0),"n/a",H228/G228-1)</f>
        <v>0.31264367816091965</v>
      </c>
      <c r="I230" s="22">
        <f t="shared" ref="I230" si="3733">IF(AND(H228&lt;0,I228&gt;0),"n/a",I228/H228-1)</f>
        <v>-6.1295971978984287E-2</v>
      </c>
      <c r="J230" s="22">
        <f t="shared" ref="J230" si="3734">IF(AND(I228&lt;0,J228&gt;0),"n/a",J228/I228-1)</f>
        <v>3.7313432835820892E-2</v>
      </c>
      <c r="K230" s="22">
        <f t="shared" ref="K230" si="3735">IF(AND(J228&lt;0,K228&gt;0),"n/a",K228/J228-1)</f>
        <v>0.18345323741007191</v>
      </c>
      <c r="L230" s="22">
        <f t="shared" ref="L230" si="3736">IF(AND(K228&lt;0,L228&gt;0),"n/a",L228/K228-1)</f>
        <v>0.15805471124620052</v>
      </c>
      <c r="M230" s="22">
        <f t="shared" ref="M230" si="3737">IF(AND(L228&lt;0,M228&gt;0),"n/a",M228/L228-1)</f>
        <v>-7.086614173228345E-2</v>
      </c>
      <c r="N230" s="22">
        <f t="shared" ref="N230" si="3738">IF(AND(M228&lt;0,N228&gt;0),"n/a",N228/M228-1)</f>
        <v>-1.5536723163841804E-2</v>
      </c>
      <c r="O230" s="22">
        <f t="shared" ref="O230" si="3739">IF(AND(N228&lt;0,O228&gt;0),"n/a",O228/N228-1)</f>
        <v>0.12338593974175027</v>
      </c>
      <c r="P230" s="22">
        <f t="shared" ref="P230" si="3740">IF(AND(O228&lt;0,P228&gt;0),"n/a",P228/O228-1)</f>
        <v>0.13154533844189009</v>
      </c>
      <c r="Q230" s="22">
        <f t="shared" ref="Q230" si="3741">IF(AND(P228&lt;0,Q228&gt;0),"n/a",Q228/P228-1)</f>
        <v>1.8058690744920947E-2</v>
      </c>
      <c r="R230" s="22">
        <f t="shared" ref="R230" si="3742">IF(AND(Q228&lt;0,R228&gt;0),"n/a",R228/Q228-1)</f>
        <v>-6.984478935698446E-2</v>
      </c>
      <c r="S230" s="22">
        <f t="shared" ref="S230" si="3743">IF(AND(R228&lt;0,S228&gt;0),"n/a",S228/R228-1)</f>
        <v>4.8867699642431539E-2</v>
      </c>
      <c r="T230" s="22">
        <f t="shared" ref="T230" si="3744">IF(AND(S228&lt;0,T228&gt;0),"n/a",T228/S228-1)</f>
        <v>0.42613636363636354</v>
      </c>
      <c r="U230" s="22">
        <f t="shared" ref="U230" si="3745">IF(AND(T228&lt;0,U228&gt;0),"n/a",U228/T228-1)</f>
        <v>-4.302788844621519E-2</v>
      </c>
      <c r="V230" s="22">
        <f t="shared" ref="V230" si="3746">IF(AND(U228&lt;0,V228&gt;0),"n/a",V228/U228-1)</f>
        <v>-0.24812656119900078</v>
      </c>
      <c r="W230" s="22">
        <f t="shared" ref="W230" si="3747">IF(AND(V228&lt;0,W228&gt;0),"n/a",W228/V228-1)</f>
        <v>0.25359911406423041</v>
      </c>
      <c r="X230" s="22">
        <f t="shared" ref="X230" si="3748">IF(AND(W228&lt;0,X228&gt;0),"n/a",X228/W228-1)</f>
        <v>0.26501766784452307</v>
      </c>
      <c r="Y230" s="22">
        <f t="shared" ref="Y230" si="3749">IF(AND(X228&lt;0,Y228&gt;0),"n/a",Y228/X228-1)</f>
        <v>2.7932960893854997E-3</v>
      </c>
      <c r="Z230" s="22">
        <f t="shared" ref="Z230" si="3750">IF(AND(Y228&lt;0,Z228&gt;0),"n/a",Z228/Y228-1)</f>
        <v>4.0389972144846853E-2</v>
      </c>
      <c r="AA230" s="22">
        <f t="shared" ref="AA230" si="3751">IF(AND(Z228&lt;0,AA228&gt;0),"n/a",AA228/Z228-1)</f>
        <v>6.0240963855422436E-3</v>
      </c>
      <c r="AB230" s="22">
        <f t="shared" ref="AB230" si="3752">IF(AND(AA228&lt;0,AB228&gt;0),"n/a",AB228/AA228-1)</f>
        <v>0.23752495009980046</v>
      </c>
      <c r="AC230" s="22">
        <f t="shared" ref="AC230" si="3753">IF(AND(AB228&lt;0,AC228&gt;0),"n/a",AC228/AB228-1)</f>
        <v>-7.5268817204301453E-3</v>
      </c>
      <c r="AD230" s="22">
        <f t="shared" ref="AD230" si="3754">IF(AND(AC228&lt;0,AD228&gt;0),"n/a",AD228/AC228-1)</f>
        <v>8.8299024918743196E-2</v>
      </c>
      <c r="AE230" s="22">
        <f t="shared" ref="AE230" si="3755">IF(AND(AD228&lt;0,AE228&gt;0),"n/a",AE228/AD228-1)</f>
        <v>-2.9865604778497312E-3</v>
      </c>
      <c r="AF230" s="22">
        <f t="shared" ref="AF230" si="3756">IF(AND(AE228&lt;0,AF228&gt;0),"n/a",AF228/AE228-1)</f>
        <v>-9.1362955566649973E-2</v>
      </c>
      <c r="AG230" s="22">
        <f t="shared" ref="AG230" si="3757">IF(AND(AF228&lt;0,AG228&gt;0),"n/a",AG228/AF228-1)</f>
        <v>1.4835164835164782E-2</v>
      </c>
      <c r="AH230" s="22">
        <f t="shared" ref="AH230" si="3758">IF(AND(AG228&lt;0,AH228&gt;0),"n/a",AH228/AG228-1)</f>
        <v>0.33026529507309155</v>
      </c>
      <c r="AI230" s="22">
        <f t="shared" ref="AI230" si="3759">IF(AND(AH228&lt;0,AI228&gt;0),"n/a",AI228/AH228-1)</f>
        <v>-1.7908017908017881E-2</v>
      </c>
      <c r="AJ230" s="22">
        <f t="shared" ref="AJ230" si="3760">IF(AND(AI228&lt;0,AJ228&gt;0),"n/a",AJ228/AI228-1)</f>
        <v>-7.5839204309987585E-2</v>
      </c>
      <c r="AK230" s="22">
        <f t="shared" ref="AK230" si="3761">IF(AND(AJ228&lt;0,AK228&gt;0),"n/a",AK228/AJ228-1)</f>
        <v>1.0313901345291532E-2</v>
      </c>
      <c r="AL230" s="22">
        <f t="shared" ref="AL230" si="3762">IF(AND(AK228&lt;0,AL228&gt;0),"n/a",AL228/AK228-1)</f>
        <v>0.22902796271637826</v>
      </c>
      <c r="AM230" s="22">
        <f t="shared" ref="AM230" si="3763">IF(AND(AL228&lt;0,AM228&gt;0),"n/a",AM228/AL228-1)</f>
        <v>-4.6948356807511304E-3</v>
      </c>
      <c r="AN230" s="22">
        <f t="shared" ref="AN230" si="3764">IF(AND(AM228&lt;0,AN228&gt;0),"n/a",AN228/AM228-1)</f>
        <v>-4.7895500725689377E-2</v>
      </c>
      <c r="AO230" s="22">
        <f t="shared" ref="AO230" si="3765">IF(AND(AN228&lt;0,AO228&gt;0),"n/a",AO228/AN228-1)</f>
        <v>8.0030487804878536E-3</v>
      </c>
      <c r="AP230" s="22">
        <f t="shared" ref="AP230" si="3766">IF(AND(AO228&lt;0,AP228&gt;0),"n/a",AP228/AO228-1)</f>
        <v>0.20642722117202261</v>
      </c>
      <c r="AQ230" s="22">
        <f t="shared" ref="AQ230" si="3767">IF(AND(AP228&lt;0,AQ228&gt;0),"n/a",AQ228/AP228-1)</f>
        <v>5.9855844562832994E-2</v>
      </c>
      <c r="AR230" s="22">
        <f t="shared" ref="AR230" si="3768">IF(AND(AQ228&lt;0,AR228&gt;0),"n/a",AR228/AQ228-1)</f>
        <v>-5.529272619751624E-2</v>
      </c>
      <c r="AS230" s="22">
        <f t="shared" ref="AS230" si="3769">IF(AND(AR228&lt;0,AS228&gt;0),"n/a",AS228/AR228-1)</f>
        <v>8.7636932707355619E-3</v>
      </c>
      <c r="AT230" s="22">
        <f t="shared" ref="AT230" si="3770">IF(AND(AS228&lt;0,AT228&gt;0),"n/a",AT228/AS228-1)</f>
        <v>0.16196090598820967</v>
      </c>
      <c r="AU230" s="22">
        <f t="shared" ref="AU230" si="3771">IF(AND(AT228&lt;0,AU228&gt;0),"n/a",AU228/AT228-1)</f>
        <v>1.5487316421895825E-2</v>
      </c>
      <c r="AV230" s="22">
        <f t="shared" ref="AV230" si="3772">IF(AND(AU228&lt;0,AV228&gt;0),"n/a",AV228/AU228-1)</f>
        <v>1.8669471469892285E-2</v>
      </c>
      <c r="AW230" s="22">
        <f t="shared" ref="AW230" si="3773">IF(AND(AV228&lt;0,AW228&gt;0),"n/a",AW228/AV228-1)</f>
        <v>2.065049044914824E-2</v>
      </c>
      <c r="AX230" s="22">
        <f t="shared" ref="AX230" si="3774">IF(AND(AW228&lt;0,AX228&gt;0),"n/a",AX228/AW228-1)</f>
        <v>0.13909964592817392</v>
      </c>
      <c r="AY230" s="22">
        <f t="shared" ref="AY230" si="3775">IF(AND(AX228&lt;0,AY228&gt;0),"n/a",AY228/AX228-1)</f>
        <v>6.1722912966252208E-2</v>
      </c>
      <c r="AZ230" s="22">
        <f t="shared" ref="AZ230" si="3776">IF(AND(AY228&lt;0,AZ228&gt;0),"n/a",AZ228/AY228-1)</f>
        <v>4.0568799665412048E-2</v>
      </c>
      <c r="BA230" s="22">
        <f t="shared" ref="BA230:BL230" si="3777">IF(AND(AZ228&lt;0,BA228&gt;0),"n/a",BA228/AZ228-1)</f>
        <v>2.4919614147909996E-2</v>
      </c>
      <c r="BB230" s="28">
        <f t="shared" si="3777"/>
        <v>3.6078431372549069E-2</v>
      </c>
      <c r="BC230" s="28">
        <f t="shared" si="3777"/>
        <v>9.2732778198334698E-2</v>
      </c>
      <c r="BD230" s="28">
        <f t="shared" si="3777"/>
        <v>-5.3688950467613017E-3</v>
      </c>
      <c r="BE230" s="28">
        <f t="shared" si="3777"/>
        <v>-1.462650182831271E-2</v>
      </c>
      <c r="BF230" s="28">
        <f t="shared" si="3777"/>
        <v>-6.9800318077398837E-2</v>
      </c>
      <c r="BG230" s="28">
        <f t="shared" si="3777"/>
        <v>0.11417173252279644</v>
      </c>
      <c r="BH230" s="28">
        <f t="shared" si="3777"/>
        <v>-3.2395566922420738E-3</v>
      </c>
      <c r="BI230" s="28">
        <f t="shared" si="3777"/>
        <v>-6.1580567909681472E-3</v>
      </c>
      <c r="BJ230" s="28">
        <f t="shared" si="3777"/>
        <v>-5.0602409638554224E-2</v>
      </c>
      <c r="BK230" s="28">
        <f t="shared" si="3777"/>
        <v>8.7382160986221979E-2</v>
      </c>
      <c r="BL230" s="28">
        <f t="shared" si="3777"/>
        <v>6.1687229076358818E-2</v>
      </c>
      <c r="BM230" s="22">
        <f t="shared" ref="BM230" si="3778">IF(AND(BL228&lt;0,BM228&gt;0),"n/a",BM228/BL228-1)</f>
        <v>3.6118090452261775E-3</v>
      </c>
      <c r="BN230" s="22">
        <f t="shared" ref="BN230" si="3779">IF(AND(BM228&lt;0,BN228&gt;0),"n/a",BN228/BM228-1)</f>
        <v>-5.9233296823658299E-2</v>
      </c>
      <c r="BO230" s="22">
        <f t="shared" ref="BO230" si="3780">IF(AND(BN228&lt;0,BO228&gt;0),"n/a",BO228/BN228-1)</f>
        <v>8.7382160986221979E-2</v>
      </c>
      <c r="BP230" s="22">
        <f t="shared" ref="BP230" si="3781">IF(AND(BO228&lt;0,BP228&gt;0),"n/a",BP228/BO228-1)</f>
        <v>6.1687229076358818E-2</v>
      </c>
      <c r="BQ230" s="22">
        <f t="shared" ref="BQ230" si="3782">IF(AND(BP228&lt;0,BQ228&gt;0),"n/a",BQ228/BP228-1)</f>
        <v>3.6118090452261775E-3</v>
      </c>
      <c r="BR230" s="28">
        <f>IF(AND(BQ228&lt;0,BR228&gt;0),"n/a",BR228/BQ228-1)</f>
        <v>-6.7864184008762374E-2</v>
      </c>
      <c r="BS230" s="28">
        <f t="shared" ref="BS230" si="3783">IF(AND(BR228&lt;0,BS228&gt;0),"n/a",BS228/BR228-1)</f>
        <v>8.7382160986221979E-2</v>
      </c>
      <c r="BT230" s="28">
        <f t="shared" ref="BT230" si="3784">IF(AND(BS228&lt;0,BT228&gt;0),"n/a",BT228/BS228-1)</f>
        <v>6.1687229076358818E-2</v>
      </c>
      <c r="BU230" s="28">
        <f t="shared" ref="BU230" si="3785">IF(AND(BT228&lt;0,BU228&gt;0),"n/a",BU228/BT228-1)</f>
        <v>3.6118090452261775E-3</v>
      </c>
      <c r="BV230" s="28">
        <f t="shared" ref="BV230" si="3786">IF(AND(BU228&lt;0,BV228&gt;0),"n/a",BV228/BU228-1)</f>
        <v>-6.7864184008762374E-2</v>
      </c>
      <c r="BW230" s="28">
        <f t="shared" ref="BW230" si="3787">IF(AND(BV228&lt;0,BW228&gt;0),"n/a",BW228/BV228-1)</f>
        <v>6.7245454301291918E-2</v>
      </c>
      <c r="BX230" s="28">
        <f t="shared" ref="BX230" si="3788">IF(AND(BW228&lt;0,BX228&gt;0),"n/a",BX228/BW228-1)</f>
        <v>6.1687229076358818E-2</v>
      </c>
      <c r="BY230" s="28">
        <f t="shared" ref="BY230" si="3789">IF(AND(BX228&lt;0,BY228&gt;0),"n/a",BY228/BX228-1)</f>
        <v>3.6118090452259555E-3</v>
      </c>
      <c r="BZ230" s="28">
        <f t="shared" ref="BZ230" si="3790">IF(AND(BY228&lt;0,BZ228&gt;0),"n/a",BZ228/BY228-1)</f>
        <v>-6.7864184008762263E-2</v>
      </c>
      <c r="CA230" s="28">
        <f t="shared" ref="CA230" si="3791">IF(AND(BZ228&lt;0,CA228&gt;0),"n/a",CA228/BZ228-1)</f>
        <v>5.7177100958826887E-2</v>
      </c>
      <c r="CB230" s="28">
        <f t="shared" ref="CB230" si="3792">IF(AND(CA228&lt;0,CB228&gt;0),"n/a",CB228/CA228-1)</f>
        <v>6.168722907635904E-2</v>
      </c>
      <c r="CC230" s="28">
        <f t="shared" ref="CC230" si="3793">IF(AND(CB228&lt;0,CC228&gt;0),"n/a",CC228/CB228-1)</f>
        <v>3.6118090452259555E-3</v>
      </c>
      <c r="CD230" s="28">
        <f t="shared" ref="CD230" si="3794">IF(AND(CC228&lt;0,CD228&gt;0),"n/a",CD228/CC228-1)</f>
        <v>-6.7864184008762152E-2</v>
      </c>
      <c r="CE230" s="28">
        <f t="shared" ref="CE230" si="3795">IF(AND(CD228&lt;0,CE228&gt;0),"n/a",CE228/CD228-1)</f>
        <v>5.7177100958826887E-2</v>
      </c>
      <c r="CF230" s="28">
        <f t="shared" ref="CF230" si="3796">IF(AND(CE228&lt;0,CF228&gt;0),"n/a",CF228/CE228-1)</f>
        <v>6.1687229076358818E-2</v>
      </c>
      <c r="CG230" s="28">
        <f t="shared" ref="CG230" si="3797">IF(AND(CF228&lt;0,CG228&gt;0),"n/a",CG228/CF228-1)</f>
        <v>3.6118090452259555E-3</v>
      </c>
      <c r="CH230" s="28"/>
      <c r="CI230" s="106" t="s">
        <v>82</v>
      </c>
      <c r="CJ230" s="48" t="s">
        <v>82</v>
      </c>
      <c r="CK230" s="106" t="s">
        <v>82</v>
      </c>
      <c r="CL230" s="106" t="s">
        <v>82</v>
      </c>
      <c r="CM230" s="48" t="s">
        <v>82</v>
      </c>
      <c r="CN230" s="106" t="s">
        <v>82</v>
      </c>
      <c r="CO230" s="48" t="s">
        <v>82</v>
      </c>
      <c r="CP230" s="106" t="s">
        <v>82</v>
      </c>
      <c r="CQ230" s="48" t="s">
        <v>82</v>
      </c>
      <c r="CR230" s="106" t="s">
        <v>82</v>
      </c>
      <c r="CS230" s="48" t="s">
        <v>82</v>
      </c>
      <c r="CT230" s="106" t="s">
        <v>82</v>
      </c>
      <c r="CU230" s="48" t="s">
        <v>82</v>
      </c>
      <c r="CV230" s="106" t="s">
        <v>82</v>
      </c>
      <c r="CW230" s="48" t="s">
        <v>82</v>
      </c>
      <c r="CX230" s="106" t="s">
        <v>82</v>
      </c>
      <c r="CY230" s="106" t="s">
        <v>82</v>
      </c>
      <c r="CZ230" s="106" t="s">
        <v>82</v>
      </c>
      <c r="DA230" s="106" t="s">
        <v>82</v>
      </c>
      <c r="DB230" s="106" t="s">
        <v>82</v>
      </c>
      <c r="DC230" s="106" t="s">
        <v>82</v>
      </c>
    </row>
    <row r="231" spans="1:107" x14ac:dyDescent="0.2">
      <c r="A231" s="7" t="s">
        <v>63</v>
      </c>
      <c r="B231" s="25" t="s">
        <v>82</v>
      </c>
      <c r="C231" s="25" t="s">
        <v>82</v>
      </c>
      <c r="D231" s="25" t="s">
        <v>82</v>
      </c>
      <c r="E231" s="25" t="s">
        <v>82</v>
      </c>
      <c r="F231" s="22">
        <f>IF(AND(B228&lt;0,F228&gt;0),"n/a",F228/B228-1)</f>
        <v>0.48453608247422686</v>
      </c>
      <c r="G231" s="22">
        <f t="shared" ref="G231:BL231" si="3798">IF(AND(C228&lt;0,G228&gt;0),"n/a",G228/C228-1)</f>
        <v>0.40776699029126218</v>
      </c>
      <c r="H231" s="22">
        <f t="shared" si="3798"/>
        <v>0.50263157894736832</v>
      </c>
      <c r="I231" s="22">
        <f t="shared" si="3798"/>
        <v>0.35353535353535359</v>
      </c>
      <c r="J231" s="22">
        <f t="shared" si="3798"/>
        <v>0.28703703703703698</v>
      </c>
      <c r="K231" s="22">
        <f t="shared" si="3798"/>
        <v>0.5126436781609196</v>
      </c>
      <c r="L231" s="22">
        <f t="shared" si="3798"/>
        <v>0.33450087565674247</v>
      </c>
      <c r="M231" s="22">
        <f t="shared" si="3798"/>
        <v>0.32089552238805963</v>
      </c>
      <c r="N231" s="22">
        <f t="shared" si="3798"/>
        <v>0.25359712230215825</v>
      </c>
      <c r="O231" s="22">
        <f t="shared" si="3798"/>
        <v>0.18996960486322179</v>
      </c>
      <c r="P231" s="22">
        <f t="shared" si="3798"/>
        <v>0.162729658792651</v>
      </c>
      <c r="Q231" s="22">
        <f t="shared" si="3798"/>
        <v>0.27401129943502833</v>
      </c>
      <c r="R231" s="22">
        <f t="shared" si="3798"/>
        <v>0.20373027259684351</v>
      </c>
      <c r="S231" s="22">
        <f t="shared" si="3798"/>
        <v>0.1238825031928481</v>
      </c>
      <c r="T231" s="22">
        <f t="shared" si="3798"/>
        <v>0.41647855530474032</v>
      </c>
      <c r="U231" s="22">
        <f t="shared" si="3798"/>
        <v>0.33148558758314861</v>
      </c>
      <c r="V231" s="22">
        <f t="shared" si="3798"/>
        <v>7.6281287246722229E-2</v>
      </c>
      <c r="W231" s="22">
        <f t="shared" si="3798"/>
        <v>0.28636363636363638</v>
      </c>
      <c r="X231" s="22">
        <f t="shared" si="3798"/>
        <v>0.1410358565737051</v>
      </c>
      <c r="Y231" s="22">
        <f t="shared" si="3798"/>
        <v>0.19567027477102417</v>
      </c>
      <c r="Z231" s="22">
        <f t="shared" si="3798"/>
        <v>0.654485049833887</v>
      </c>
      <c r="AA231" s="22">
        <f t="shared" si="3798"/>
        <v>0.32773851590106018</v>
      </c>
      <c r="AB231" s="22">
        <f t="shared" si="3798"/>
        <v>0.2988826815642458</v>
      </c>
      <c r="AC231" s="22">
        <f t="shared" si="3798"/>
        <v>0.28551532033426175</v>
      </c>
      <c r="AD231" s="22">
        <f t="shared" si="3798"/>
        <v>0.34471218206157972</v>
      </c>
      <c r="AE231" s="22">
        <f t="shared" si="3798"/>
        <v>0.33266799733865593</v>
      </c>
      <c r="AF231" s="22">
        <f t="shared" si="3798"/>
        <v>-2.1505376344086002E-2</v>
      </c>
      <c r="AG231" s="22">
        <f t="shared" si="3798"/>
        <v>5.4171180931739116E-4</v>
      </c>
      <c r="AH231" s="22">
        <f t="shared" si="3798"/>
        <v>0.22299651567944245</v>
      </c>
      <c r="AI231" s="22">
        <f t="shared" si="3798"/>
        <v>0.2046929605591612</v>
      </c>
      <c r="AJ231" s="22">
        <f t="shared" si="3798"/>
        <v>0.22527472527472536</v>
      </c>
      <c r="AK231" s="22">
        <f t="shared" si="3798"/>
        <v>0.21981591770438547</v>
      </c>
      <c r="AL231" s="22">
        <f t="shared" si="3798"/>
        <v>0.12698412698412698</v>
      </c>
      <c r="AM231" s="22">
        <f t="shared" si="3798"/>
        <v>0.14214670534604235</v>
      </c>
      <c r="AN231" s="22">
        <f t="shared" si="3798"/>
        <v>0.17668161434977581</v>
      </c>
      <c r="AO231" s="22">
        <f t="shared" si="3798"/>
        <v>0.1739902352418996</v>
      </c>
      <c r="AP231" s="22">
        <f t="shared" si="3798"/>
        <v>0.15240158902130729</v>
      </c>
      <c r="AQ231" s="22">
        <f t="shared" si="3798"/>
        <v>0.22714078374455737</v>
      </c>
      <c r="AR231" s="22">
        <f t="shared" si="3798"/>
        <v>0.2176067073170731</v>
      </c>
      <c r="AS231" s="22">
        <f t="shared" si="3798"/>
        <v>0.21852551984877122</v>
      </c>
      <c r="AT231" s="22">
        <f t="shared" si="3798"/>
        <v>0.17361328737073012</v>
      </c>
      <c r="AU231" s="22">
        <f t="shared" si="3798"/>
        <v>0.12448255470136016</v>
      </c>
      <c r="AV231" s="22">
        <f t="shared" si="3798"/>
        <v>0.21251956181533638</v>
      </c>
      <c r="AW231" s="22">
        <f t="shared" si="3798"/>
        <v>0.22680732237046231</v>
      </c>
      <c r="AX231" s="22">
        <f t="shared" si="3798"/>
        <v>0.20267022696929238</v>
      </c>
      <c r="AY231" s="22">
        <f t="shared" si="3798"/>
        <v>0.2574283460425979</v>
      </c>
      <c r="AZ231" s="22">
        <f t="shared" si="3798"/>
        <v>0.28446050593701599</v>
      </c>
      <c r="BA231" s="22">
        <f t="shared" si="3798"/>
        <v>0.28983308042488609</v>
      </c>
      <c r="BB231" s="28">
        <f t="shared" si="3798"/>
        <v>0.17317939609236244</v>
      </c>
      <c r="BC231" s="28">
        <f t="shared" si="3798"/>
        <v>0.20744458385612718</v>
      </c>
      <c r="BD231" s="28">
        <f t="shared" si="3798"/>
        <v>0.15413987138263674</v>
      </c>
      <c r="BE231" s="28">
        <f t="shared" si="3798"/>
        <v>0.10960784313725491</v>
      </c>
      <c r="BF231" s="28">
        <f t="shared" si="3798"/>
        <v>-3.7850113550340625E-3</v>
      </c>
      <c r="BG231" s="28">
        <f t="shared" si="3798"/>
        <v>1.5760304814686599E-2</v>
      </c>
      <c r="BH231" s="28">
        <f t="shared" si="3798"/>
        <v>1.7934877241859715E-2</v>
      </c>
      <c r="BI231" s="28">
        <f t="shared" si="3798"/>
        <v>2.6683159568828385E-2</v>
      </c>
      <c r="BJ231" s="28">
        <f t="shared" si="3798"/>
        <v>4.7872340425531901E-2</v>
      </c>
      <c r="BK231" s="28">
        <f t="shared" si="3798"/>
        <v>2.2676896845694738E-2</v>
      </c>
      <c r="BL231" s="28">
        <f t="shared" si="3798"/>
        <v>8.9291823469038745E-2</v>
      </c>
      <c r="BM231" s="365">
        <v>0.1</v>
      </c>
      <c r="BN231" s="365">
        <v>0.09</v>
      </c>
      <c r="BO231" s="365">
        <v>0.09</v>
      </c>
      <c r="BP231" s="365">
        <v>0.09</v>
      </c>
      <c r="BQ231" s="365">
        <v>0.09</v>
      </c>
      <c r="BR231" s="365">
        <v>0.08</v>
      </c>
      <c r="BS231" s="365">
        <v>0.08</v>
      </c>
      <c r="BT231" s="365">
        <v>0.08</v>
      </c>
      <c r="BU231" s="365">
        <v>0.08</v>
      </c>
      <c r="BV231" s="365">
        <v>0.08</v>
      </c>
      <c r="BW231" s="365">
        <v>0.06</v>
      </c>
      <c r="BX231" s="365">
        <v>0.06</v>
      </c>
      <c r="BY231" s="365">
        <v>0.06</v>
      </c>
      <c r="BZ231" s="365">
        <v>0.06</v>
      </c>
      <c r="CA231" s="365">
        <v>0.05</v>
      </c>
      <c r="CB231" s="365">
        <v>0.05</v>
      </c>
      <c r="CC231" s="365">
        <v>0.05</v>
      </c>
      <c r="CD231" s="365">
        <v>0.05</v>
      </c>
      <c r="CE231" s="365">
        <v>0.05</v>
      </c>
      <c r="CF231" s="365">
        <v>0.05</v>
      </c>
      <c r="CG231" s="365">
        <v>0.05</v>
      </c>
      <c r="CH231" s="365"/>
      <c r="CI231" s="106" t="s">
        <v>82</v>
      </c>
      <c r="CJ231" s="22">
        <f>IF(AND(CI228&lt;0,CJ228&gt;0),"n/a",CJ228/CI228-1)</f>
        <v>0.43459302325581395</v>
      </c>
      <c r="CK231" s="107">
        <f t="shared" ref="CK231:DB231" si="3799">IF(AND(CJ228&lt;0,CK228&gt;0),"n/a",CK228/CJ228-1)</f>
        <v>0.35967578520770016</v>
      </c>
      <c r="CL231" s="107">
        <f t="shared" si="3799"/>
        <v>0.2175856929955291</v>
      </c>
      <c r="CM231" s="22">
        <f t="shared" si="3799"/>
        <v>0.27753977968176247</v>
      </c>
      <c r="CN231" s="107">
        <f t="shared" si="3799"/>
        <v>0.17437125748503002</v>
      </c>
      <c r="CO231" s="22">
        <f t="shared" si="3799"/>
        <v>0.36712217009993875</v>
      </c>
      <c r="CP231" s="107">
        <f t="shared" si="3799"/>
        <v>0.14560644487542884</v>
      </c>
      <c r="CQ231" s="22">
        <f t="shared" si="3799"/>
        <v>0.21799713504362539</v>
      </c>
      <c r="CR231" s="107">
        <f t="shared" si="3799"/>
        <v>0.15406821340746291</v>
      </c>
      <c r="CS231" s="22">
        <f t="shared" si="3799"/>
        <v>0.20353900314989803</v>
      </c>
      <c r="CT231" s="107">
        <f t="shared" si="3799"/>
        <v>0.18358863828804561</v>
      </c>
      <c r="CU231" s="22">
        <f t="shared" si="3799"/>
        <v>0.25923517169614985</v>
      </c>
      <c r="CV231" s="107">
        <f t="shared" si="3799"/>
        <v>0.16000413180456574</v>
      </c>
      <c r="CW231" s="22">
        <f t="shared" si="3799"/>
        <v>1.4470169189670479E-2</v>
      </c>
      <c r="CX231" s="107">
        <f t="shared" si="3799"/>
        <v>6.5306122448979487E-2</v>
      </c>
      <c r="CY231" s="107">
        <f t="shared" si="3799"/>
        <v>9.0000000000000302E-2</v>
      </c>
      <c r="CZ231" s="107">
        <f t="shared" si="3799"/>
        <v>7.9999999999999849E-2</v>
      </c>
      <c r="DA231" s="107">
        <f t="shared" si="3799"/>
        <v>6.4544967659539321E-2</v>
      </c>
      <c r="DB231" s="107">
        <f t="shared" si="3799"/>
        <v>5.2305475682767222E-2</v>
      </c>
      <c r="DC231" s="107">
        <f>IF(AND(DB228&lt;0,DC228&gt;0),"n/a",DC228/DB228-1)</f>
        <v>5.0000000000000044E-2</v>
      </c>
    </row>
    <row r="232" spans="1:107" x14ac:dyDescent="0.2">
      <c r="AP232" s="152" t="s">
        <v>41</v>
      </c>
      <c r="AQ232" s="152" t="s">
        <v>42</v>
      </c>
      <c r="AR232" s="152" t="s">
        <v>43</v>
      </c>
      <c r="AS232" s="152" t="s">
        <v>44</v>
      </c>
      <c r="AT232" s="152" t="str">
        <f>AT1</f>
        <v>1Q21</v>
      </c>
      <c r="AU232" s="152" t="str">
        <f t="shared" ref="AU232:BU232" si="3800">AU1</f>
        <v>2Q21</v>
      </c>
      <c r="AV232" s="152" t="str">
        <f t="shared" si="3800"/>
        <v>3Q21</v>
      </c>
      <c r="AW232" s="152" t="str">
        <f t="shared" si="3800"/>
        <v>4Q21</v>
      </c>
      <c r="AX232" s="152" t="str">
        <f t="shared" si="3800"/>
        <v>1Q22</v>
      </c>
      <c r="AY232" s="152" t="str">
        <f t="shared" si="3800"/>
        <v>2Q22</v>
      </c>
      <c r="AZ232" s="152" t="str">
        <f t="shared" si="3800"/>
        <v>3Q22</v>
      </c>
      <c r="BA232" s="152" t="str">
        <f t="shared" si="3800"/>
        <v>4Q22</v>
      </c>
      <c r="BB232" s="152" t="str">
        <f t="shared" si="3800"/>
        <v>1Q23</v>
      </c>
      <c r="BC232" s="152" t="str">
        <f t="shared" si="3800"/>
        <v>2Q23</v>
      </c>
      <c r="BD232" s="152" t="str">
        <f t="shared" ref="BD232" si="3801">BD1</f>
        <v>3Q23</v>
      </c>
      <c r="BE232" s="152" t="str">
        <f t="shared" si="3800"/>
        <v>4Q23</v>
      </c>
      <c r="BF232" s="152" t="str">
        <f t="shared" si="3800"/>
        <v>1Q24</v>
      </c>
      <c r="BG232" s="152" t="str">
        <f t="shared" si="3800"/>
        <v>2Q24</v>
      </c>
      <c r="BH232" s="152" t="str">
        <f t="shared" si="3800"/>
        <v>3Q24</v>
      </c>
      <c r="BI232" s="152" t="str">
        <f t="shared" si="3800"/>
        <v>4Q24</v>
      </c>
      <c r="BJ232" s="152" t="str">
        <f t="shared" ref="BJ232:BK232" si="3802">BJ1</f>
        <v>1Q25</v>
      </c>
      <c r="BK232" s="152" t="str">
        <f t="shared" si="3802"/>
        <v>2Q25</v>
      </c>
      <c r="BL232" s="152" t="str">
        <f t="shared" ref="BL232" si="3803">BL1</f>
        <v>3Q25</v>
      </c>
      <c r="BM232" s="152" t="str">
        <f t="shared" si="3800"/>
        <v>4Q25E</v>
      </c>
      <c r="BN232" s="152" t="str">
        <f t="shared" si="3800"/>
        <v>1Q26E</v>
      </c>
      <c r="BO232" s="152" t="str">
        <f t="shared" si="3800"/>
        <v>2Q26E</v>
      </c>
      <c r="BP232" s="152" t="str">
        <f t="shared" si="3800"/>
        <v>3Q26E</v>
      </c>
      <c r="BQ232" s="152" t="str">
        <f t="shared" si="3800"/>
        <v>4Q26E</v>
      </c>
      <c r="BR232" s="152" t="str">
        <f t="shared" si="3800"/>
        <v>1Q27E</v>
      </c>
      <c r="BS232" s="152" t="str">
        <f t="shared" si="3800"/>
        <v>2Q27E</v>
      </c>
      <c r="BT232" s="152" t="str">
        <f t="shared" si="3800"/>
        <v>3Q27E</v>
      </c>
      <c r="BU232" s="152" t="str">
        <f t="shared" si="3800"/>
        <v>4Q27E</v>
      </c>
      <c r="BV232" s="152"/>
      <c r="BW232" s="152"/>
      <c r="BX232" s="152"/>
      <c r="BY232" s="152"/>
      <c r="BZ232" s="152"/>
      <c r="CA232" s="152"/>
      <c r="CB232" s="152"/>
      <c r="CC232" s="152"/>
      <c r="CD232" s="152"/>
      <c r="CE232" s="152"/>
      <c r="CF232" s="152"/>
      <c r="CG232" s="152"/>
      <c r="CH232" s="152"/>
      <c r="CI232" s="92"/>
      <c r="CK232" s="92"/>
      <c r="CL232" s="92"/>
      <c r="CN232" s="92"/>
      <c r="CP232" s="92"/>
      <c r="CR232" s="92"/>
      <c r="CT232" s="92"/>
      <c r="CV232" s="92"/>
      <c r="CX232" s="92"/>
      <c r="CY232" s="92"/>
      <c r="CZ232" s="92"/>
      <c r="DA232" s="92"/>
      <c r="DB232" s="92"/>
      <c r="DC232" s="92"/>
    </row>
    <row r="233" spans="1:107" x14ac:dyDescent="0.2">
      <c r="A233" s="1" t="s">
        <v>121</v>
      </c>
      <c r="AO233" s="153">
        <f t="shared" ref="AO233:AT233" si="3804">-AO228</f>
        <v>2645</v>
      </c>
      <c r="AP233" s="153">
        <f t="shared" si="3804"/>
        <v>3191</v>
      </c>
      <c r="AQ233" s="153">
        <f t="shared" si="3804"/>
        <v>3382</v>
      </c>
      <c r="AR233" s="153">
        <f t="shared" si="3804"/>
        <v>3195</v>
      </c>
      <c r="AS233" s="153">
        <f t="shared" si="3804"/>
        <v>3223</v>
      </c>
      <c r="AT233" s="153">
        <f t="shared" si="3804"/>
        <v>3745</v>
      </c>
      <c r="AU233" s="153">
        <f t="shared" ref="AU233:BQ233" si="3805">-AU228</f>
        <v>3803</v>
      </c>
      <c r="AV233" s="153">
        <f t="shared" si="3805"/>
        <v>3874</v>
      </c>
      <c r="AW233" s="153">
        <f t="shared" si="3805"/>
        <v>3954</v>
      </c>
      <c r="AX233" s="153">
        <f t="shared" si="3805"/>
        <v>4504</v>
      </c>
      <c r="AY233" s="153">
        <f>-AY228</f>
        <v>4782</v>
      </c>
      <c r="AZ233" s="153">
        <f t="shared" si="3805"/>
        <v>4976</v>
      </c>
      <c r="BA233" s="153">
        <f t="shared" si="3805"/>
        <v>5100</v>
      </c>
      <c r="BB233" s="153">
        <f t="shared" si="3805"/>
        <v>5284</v>
      </c>
      <c r="BC233" s="153">
        <f t="shared" si="3805"/>
        <v>5774</v>
      </c>
      <c r="BD233" s="153">
        <f t="shared" ref="BD233" si="3806">-BD228</f>
        <v>5743</v>
      </c>
      <c r="BE233" s="153">
        <f t="shared" si="3805"/>
        <v>5659</v>
      </c>
      <c r="BF233" s="153">
        <f t="shared" si="3805"/>
        <v>5264</v>
      </c>
      <c r="BG233" s="153">
        <f t="shared" si="3805"/>
        <v>5865</v>
      </c>
      <c r="BH233" s="153">
        <f t="shared" si="3805"/>
        <v>5846</v>
      </c>
      <c r="BI233" s="153">
        <f t="shared" si="3805"/>
        <v>5810</v>
      </c>
      <c r="BJ233" s="153">
        <f t="shared" ref="BJ233:BK233" si="3807">-BJ228</f>
        <v>5516</v>
      </c>
      <c r="BK233" s="153">
        <f t="shared" si="3807"/>
        <v>5998</v>
      </c>
      <c r="BL233" s="153">
        <f t="shared" ref="BL233" si="3808">-BL228</f>
        <v>6368</v>
      </c>
      <c r="BM233" s="153">
        <f t="shared" si="3805"/>
        <v>6391.0000000000009</v>
      </c>
      <c r="BN233" s="153">
        <f t="shared" si="3805"/>
        <v>6012.4400000000005</v>
      </c>
      <c r="BO233" s="153">
        <f t="shared" si="3805"/>
        <v>6537.8200000000006</v>
      </c>
      <c r="BP233" s="153">
        <f t="shared" si="3805"/>
        <v>6941.1200000000008</v>
      </c>
      <c r="BQ233" s="153">
        <f t="shared" si="3805"/>
        <v>6966.1900000000014</v>
      </c>
      <c r="BR233" s="153">
        <f>-BR228</f>
        <v>6493.4352000000008</v>
      </c>
      <c r="BS233" s="153">
        <f t="shared" ref="BS233:BU233" si="3809">-BS228</f>
        <v>7060.8456000000015</v>
      </c>
      <c r="BT233" s="153">
        <f t="shared" si="3809"/>
        <v>7496.4096000000018</v>
      </c>
      <c r="BU233" s="153">
        <f t="shared" si="3809"/>
        <v>7523.4852000000019</v>
      </c>
      <c r="BV233" s="153"/>
      <c r="BW233" s="153"/>
      <c r="BX233" s="153"/>
      <c r="BY233" s="153"/>
      <c r="BZ233" s="153"/>
      <c r="CA233" s="153"/>
      <c r="CB233" s="153"/>
      <c r="CC233" s="153"/>
      <c r="CD233" s="153"/>
      <c r="CE233" s="153"/>
      <c r="CF233" s="153"/>
      <c r="CG233" s="153"/>
      <c r="CH233" s="153"/>
      <c r="CI233" s="92"/>
      <c r="CK233" s="92"/>
      <c r="CL233" s="92"/>
      <c r="CN233" s="92"/>
      <c r="CP233" s="92"/>
      <c r="CR233" s="92"/>
      <c r="CT233" s="92"/>
      <c r="CV233" s="92"/>
      <c r="CX233" s="92"/>
      <c r="CY233" s="92"/>
      <c r="CZ233" s="92"/>
      <c r="DA233" s="92"/>
      <c r="DB233" s="92"/>
      <c r="DC233" s="92"/>
    </row>
    <row r="234" spans="1:107" hidden="1" outlineLevel="1" x14ac:dyDescent="0.2">
      <c r="A234" s="1" t="s">
        <v>122</v>
      </c>
      <c r="B234" s="17">
        <v>-6</v>
      </c>
      <c r="C234" s="17">
        <v>-8</v>
      </c>
      <c r="D234" s="17">
        <v>-8</v>
      </c>
      <c r="E234" s="17">
        <v>-45</v>
      </c>
      <c r="F234" s="17">
        <v>-49</v>
      </c>
      <c r="G234" s="17">
        <v>-51</v>
      </c>
      <c r="H234" s="17">
        <v>-72</v>
      </c>
      <c r="I234" s="17">
        <v>-77</v>
      </c>
      <c r="J234" s="17">
        <v>-74</v>
      </c>
      <c r="K234" s="17">
        <v>-87</v>
      </c>
      <c r="L234" s="17">
        <v>-111</v>
      </c>
      <c r="M234" s="17">
        <v>-105</v>
      </c>
      <c r="N234" s="17">
        <v>-104</v>
      </c>
      <c r="O234" s="17">
        <v>-115</v>
      </c>
      <c r="P234" s="17">
        <v>-137</v>
      </c>
      <c r="Q234" s="17">
        <v>-131</v>
      </c>
      <c r="R234" s="17">
        <v>-95</v>
      </c>
      <c r="S234" s="17">
        <v>-100</v>
      </c>
      <c r="T234" s="17">
        <v>-169</v>
      </c>
      <c r="U234" s="17">
        <v>-171</v>
      </c>
      <c r="V234" s="17">
        <v>-160</v>
      </c>
      <c r="W234" s="17">
        <v>-163</v>
      </c>
      <c r="X234" s="17">
        <v>-231</v>
      </c>
      <c r="Y234" s="17">
        <v>-252</v>
      </c>
      <c r="Z234" s="17">
        <v>-241</v>
      </c>
      <c r="AA234" s="17">
        <v>-255</v>
      </c>
      <c r="AB234" s="17">
        <v>-325</v>
      </c>
      <c r="AC234" s="17">
        <v>-336</v>
      </c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235"/>
      <c r="AR234" s="235"/>
      <c r="AS234" s="235"/>
      <c r="AT234" s="235"/>
      <c r="AU234" s="235"/>
      <c r="AV234" s="235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I234" s="89">
        <f>SUM(B234:E234)</f>
        <v>-67</v>
      </c>
      <c r="CJ234" s="20">
        <f>SUM(F234:I234)</f>
        <v>-249</v>
      </c>
      <c r="CK234" s="89">
        <f>SUM(J234:M234)</f>
        <v>-377</v>
      </c>
      <c r="CL234" s="89">
        <f>SUM(N234:Q234)</f>
        <v>-487</v>
      </c>
      <c r="CM234" s="20">
        <f>SUM(R234:U234)</f>
        <v>-535</v>
      </c>
      <c r="CN234" s="89">
        <f>SUM(V234:Y234)</f>
        <v>-806</v>
      </c>
      <c r="CO234" s="20">
        <f>SUM(Z234:AC234)</f>
        <v>-1157</v>
      </c>
      <c r="CP234" s="112"/>
      <c r="CQ234" s="19"/>
      <c r="CR234" s="112"/>
      <c r="CS234" s="19"/>
      <c r="CT234" s="112"/>
      <c r="CU234" s="19"/>
      <c r="CV234" s="112"/>
      <c r="CW234" s="19"/>
      <c r="CX234" s="112"/>
      <c r="CY234" s="112"/>
      <c r="CZ234" s="112"/>
      <c r="DA234" s="112"/>
      <c r="DB234" s="112"/>
      <c r="DC234" s="112"/>
    </row>
    <row r="235" spans="1:107" hidden="1" outlineLevel="1" x14ac:dyDescent="0.2">
      <c r="A235" s="8" t="s">
        <v>123</v>
      </c>
      <c r="B235" s="22">
        <f>B234/B165</f>
        <v>2.4469820554649264E-3</v>
      </c>
      <c r="C235" s="22">
        <f t="shared" ref="C235:AC235" si="3810">C234/C165</f>
        <v>3.2428050263477908E-3</v>
      </c>
      <c r="D235" s="22">
        <f t="shared" si="3810"/>
        <v>3.134796238244514E-3</v>
      </c>
      <c r="E235" s="22">
        <f t="shared" si="3810"/>
        <v>1.5274949083503055E-2</v>
      </c>
      <c r="F235" s="22">
        <f t="shared" si="3810"/>
        <v>1.6689373297002725E-2</v>
      </c>
      <c r="G235" s="22">
        <f t="shared" si="3810"/>
        <v>1.6078184110970995E-2</v>
      </c>
      <c r="H235" s="22">
        <f t="shared" si="3810"/>
        <v>2.1314387211367674E-2</v>
      </c>
      <c r="I235" s="22">
        <f t="shared" si="3810"/>
        <v>2.0799567801188548E-2</v>
      </c>
      <c r="J235" s="22">
        <f t="shared" si="3810"/>
        <v>1.9530219055159673E-2</v>
      </c>
      <c r="K235" s="22">
        <f t="shared" si="3810"/>
        <v>2.1837349397590362E-2</v>
      </c>
      <c r="L235" s="22">
        <f t="shared" si="3810"/>
        <v>2.5000000000000001E-2</v>
      </c>
      <c r="M235" s="22">
        <f t="shared" si="3810"/>
        <v>2.1156558533145273E-2</v>
      </c>
      <c r="N235" s="22">
        <f t="shared" si="3810"/>
        <v>2.0249221183800622E-2</v>
      </c>
      <c r="O235" s="22">
        <f t="shared" si="3810"/>
        <v>2.2136669874879691E-2</v>
      </c>
      <c r="P235" s="22">
        <f t="shared" si="3810"/>
        <v>2.532815677574413E-2</v>
      </c>
      <c r="Q235" s="22">
        <f t="shared" si="3810"/>
        <v>2.0949944026867104E-2</v>
      </c>
      <c r="R235" s="22">
        <f t="shared" si="3810"/>
        <v>1.5936923335010903E-2</v>
      </c>
      <c r="S235" s="22">
        <f t="shared" si="3810"/>
        <v>1.6355904481517827E-2</v>
      </c>
      <c r="T235" s="22">
        <f t="shared" si="3810"/>
        <v>2.524271844660194E-2</v>
      </c>
      <c r="U235" s="22">
        <f t="shared" si="3810"/>
        <v>2.47074122236671E-2</v>
      </c>
      <c r="V235" s="22">
        <f t="shared" si="3810"/>
        <v>2.5173064820641914E-2</v>
      </c>
      <c r="W235" s="22">
        <f t="shared" si="3810"/>
        <v>2.4760747379614159E-2</v>
      </c>
      <c r="X235" s="22">
        <f t="shared" si="3810"/>
        <v>3.2826488560466105E-2</v>
      </c>
      <c r="Y235" s="22">
        <f t="shared" si="3810"/>
        <v>3.0776746458231558E-2</v>
      </c>
      <c r="Z235" s="22">
        <f t="shared" si="3810"/>
        <v>3.1511506276150625E-2</v>
      </c>
      <c r="AA235" s="22">
        <f t="shared" si="3810"/>
        <v>3.136531365313653E-2</v>
      </c>
      <c r="AB235" s="22">
        <f t="shared" si="3810"/>
        <v>3.7360616162777333E-2</v>
      </c>
      <c r="AC235" s="22">
        <f t="shared" si="3810"/>
        <v>3.1516743269862112E-2</v>
      </c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  <c r="BC235" s="236"/>
      <c r="BD235" s="236"/>
      <c r="BE235" s="236"/>
      <c r="BF235" s="236"/>
      <c r="BG235" s="236"/>
      <c r="BH235" s="236"/>
      <c r="BI235" s="236"/>
      <c r="BJ235" s="236"/>
      <c r="BK235" s="236"/>
      <c r="BL235" s="236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I235" s="107">
        <f>CI234/CI165</f>
        <v>6.4317941825861574E-3</v>
      </c>
      <c r="CJ235" s="22">
        <f t="shared" ref="CJ235:CO235" si="3811">CJ234/CJ165</f>
        <v>1.8880800727934487E-2</v>
      </c>
      <c r="CK235" s="107">
        <f t="shared" si="3811"/>
        <v>2.194923148579413E-2</v>
      </c>
      <c r="CL235" s="107">
        <f t="shared" si="3811"/>
        <v>2.2143409266584823E-2</v>
      </c>
      <c r="CM235" s="22">
        <f t="shared" si="3811"/>
        <v>2.0824413218636876E-2</v>
      </c>
      <c r="CN235" s="107">
        <f t="shared" si="3811"/>
        <v>2.8618094020735691E-2</v>
      </c>
      <c r="CO235" s="22">
        <f t="shared" si="3811"/>
        <v>3.2927315157379476E-2</v>
      </c>
      <c r="CP235" s="112"/>
      <c r="CQ235" s="19"/>
      <c r="CR235" s="112"/>
      <c r="CS235" s="19"/>
      <c r="CT235" s="112"/>
      <c r="CU235" s="19"/>
      <c r="CV235" s="112"/>
      <c r="CW235" s="19"/>
      <c r="CX235" s="112"/>
      <c r="CY235" s="112"/>
      <c r="CZ235" s="112"/>
      <c r="DA235" s="112"/>
      <c r="DB235" s="112"/>
      <c r="DC235" s="112"/>
    </row>
    <row r="236" spans="1:107" hidden="1" outlineLevel="1" x14ac:dyDescent="0.2">
      <c r="A236" s="1" t="s">
        <v>108</v>
      </c>
      <c r="B236" s="17">
        <v>-191</v>
      </c>
      <c r="C236" s="17">
        <v>-202</v>
      </c>
      <c r="D236" s="17">
        <v>-244</v>
      </c>
      <c r="E236" s="17">
        <v>-224</v>
      </c>
      <c r="F236" s="17">
        <v>-237</v>
      </c>
      <c r="G236" s="17">
        <v>-247</v>
      </c>
      <c r="H236" s="17">
        <v>-311</v>
      </c>
      <c r="I236" s="17">
        <v>-266</v>
      </c>
      <c r="J236" s="17">
        <v>-299</v>
      </c>
      <c r="K236" s="17">
        <v>-291</v>
      </c>
      <c r="L236" s="17">
        <v>-378</v>
      </c>
      <c r="M236" s="17">
        <v>-364</v>
      </c>
      <c r="N236" s="17">
        <v>-361</v>
      </c>
      <c r="O236" s="17">
        <v>-421</v>
      </c>
      <c r="P236" s="17">
        <v>-453</v>
      </c>
      <c r="Q236" s="17">
        <v>-482</v>
      </c>
      <c r="R236" s="17">
        <v>-456</v>
      </c>
      <c r="S236" s="17">
        <v>-447</v>
      </c>
      <c r="T236" s="17">
        <v>-666</v>
      </c>
      <c r="U236" s="17">
        <v>-631</v>
      </c>
      <c r="V236" s="17">
        <v>-315</v>
      </c>
      <c r="W236" s="17">
        <v>-583</v>
      </c>
      <c r="X236" s="17">
        <v>-741</v>
      </c>
      <c r="Y236" s="17">
        <v>-739</v>
      </c>
      <c r="Z236" s="17">
        <v>-739</v>
      </c>
      <c r="AA236" s="17">
        <v>-739</v>
      </c>
      <c r="AB236" s="17">
        <v>-922</v>
      </c>
      <c r="AC236" s="17">
        <v>-907</v>
      </c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237"/>
      <c r="AS236" s="19"/>
      <c r="AT236" s="19"/>
      <c r="AU236" s="19"/>
      <c r="AV236" s="237"/>
      <c r="AW236" s="19"/>
      <c r="AX236" s="19"/>
      <c r="AY236" s="237"/>
      <c r="AZ236" s="237"/>
      <c r="BA236" s="237"/>
      <c r="BB236" s="237"/>
      <c r="BC236" s="237"/>
      <c r="BD236" s="237"/>
      <c r="BE236" s="237"/>
      <c r="BF236" s="237"/>
      <c r="BG236" s="237"/>
      <c r="BH236" s="237"/>
      <c r="BI236" s="237"/>
      <c r="BJ236" s="237"/>
      <c r="BK236" s="237"/>
      <c r="BL236" s="237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I236" s="89">
        <f>SUM(B236:E236)</f>
        <v>-861</v>
      </c>
      <c r="CJ236" s="20">
        <f>SUM(F236:I236)</f>
        <v>-1061</v>
      </c>
      <c r="CK236" s="89">
        <f>SUM(J236:M236)</f>
        <v>-1332</v>
      </c>
      <c r="CL236" s="89">
        <f>SUM(N236:Q236)</f>
        <v>-1717</v>
      </c>
      <c r="CM236" s="20">
        <f>SUM(R236:U236)</f>
        <v>-2200</v>
      </c>
      <c r="CN236" s="89">
        <f>SUM(V236:Y236)</f>
        <v>-2378</v>
      </c>
      <c r="CO236" s="20">
        <f>SUM(Z236:AC236)</f>
        <v>-3307</v>
      </c>
      <c r="CP236" s="112"/>
      <c r="CQ236" s="19"/>
      <c r="CR236" s="112"/>
      <c r="CS236" s="19"/>
      <c r="CT236" s="112"/>
      <c r="CU236" s="19"/>
      <c r="CV236" s="112"/>
      <c r="CW236" s="19"/>
      <c r="CX236" s="112"/>
      <c r="CY236" s="112"/>
      <c r="CZ236" s="112"/>
      <c r="DA236" s="112"/>
      <c r="DB236" s="112"/>
      <c r="DC236" s="112"/>
    </row>
    <row r="237" spans="1:107" hidden="1" outlineLevel="1" x14ac:dyDescent="0.2">
      <c r="A237" s="8" t="s">
        <v>124</v>
      </c>
      <c r="B237" s="22">
        <f>B236/B179</f>
        <v>0.2334963325183374</v>
      </c>
      <c r="C237" s="22">
        <f t="shared" ref="C237:AC237" si="3812">C236/C179</f>
        <v>0.22494432071269488</v>
      </c>
      <c r="D237" s="22">
        <f t="shared" si="3812"/>
        <v>0.24547283702213279</v>
      </c>
      <c r="E237" s="22">
        <f t="shared" si="3812"/>
        <v>0.2131303520456708</v>
      </c>
      <c r="F237" s="22">
        <f t="shared" si="3812"/>
        <v>0.19331158238172921</v>
      </c>
      <c r="G237" s="22">
        <f t="shared" si="3812"/>
        <v>0.20016207455429497</v>
      </c>
      <c r="H237" s="22">
        <f t="shared" si="3812"/>
        <v>0.22150997150997151</v>
      </c>
      <c r="I237" s="22">
        <f t="shared" si="3812"/>
        <v>0.2049306625577812</v>
      </c>
      <c r="J237" s="22">
        <f t="shared" si="3812"/>
        <v>0.20749479528105483</v>
      </c>
      <c r="K237" s="22">
        <f t="shared" si="3812"/>
        <v>0.20180305131761442</v>
      </c>
      <c r="L237" s="22">
        <f t="shared" si="3812"/>
        <v>0.24545454545454545</v>
      </c>
      <c r="M237" s="22">
        <f t="shared" si="3812"/>
        <v>0.21927710843373494</v>
      </c>
      <c r="N237" s="22">
        <f t="shared" si="3812"/>
        <v>0.22325293753865183</v>
      </c>
      <c r="O237" s="22">
        <f t="shared" si="3812"/>
        <v>0.23839184597961494</v>
      </c>
      <c r="P237" s="22">
        <f t="shared" si="3812"/>
        <v>0.24876441515650741</v>
      </c>
      <c r="Q237" s="22">
        <f t="shared" si="3812"/>
        <v>0.24935333678220384</v>
      </c>
      <c r="R237" s="22">
        <f t="shared" si="3812"/>
        <v>0.21448730009407338</v>
      </c>
      <c r="S237" s="22">
        <f t="shared" si="3812"/>
        <v>0.19973190348525469</v>
      </c>
      <c r="T237" s="22">
        <f t="shared" si="3812"/>
        <v>0.25084745762711863</v>
      </c>
      <c r="U237" s="22">
        <f t="shared" si="3812"/>
        <v>0.22431567721293993</v>
      </c>
      <c r="V237" s="22">
        <f t="shared" si="3812"/>
        <v>0.11442063203777697</v>
      </c>
      <c r="W237" s="22">
        <f t="shared" si="3812"/>
        <v>0.20903549659376119</v>
      </c>
      <c r="X237" s="22">
        <f t="shared" si="3812"/>
        <v>0.22941176470588234</v>
      </c>
      <c r="Y237" s="22">
        <f t="shared" si="3812"/>
        <v>0.21054131054131053</v>
      </c>
      <c r="Z237" s="22">
        <f t="shared" si="3812"/>
        <v>0.21948321948321947</v>
      </c>
      <c r="AA237" s="22">
        <f t="shared" si="3812"/>
        <v>0.21974427594409754</v>
      </c>
      <c r="AB237" s="22">
        <f t="shared" si="3812"/>
        <v>0.25639599555061177</v>
      </c>
      <c r="AC237" s="22">
        <f t="shared" si="3812"/>
        <v>0.25041413583655436</v>
      </c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I237" s="107">
        <f>CI236/CI179</f>
        <v>0.2289284764690242</v>
      </c>
      <c r="CJ237" s="22">
        <f t="shared" ref="CJ237:CO237" si="3813">CJ236/CJ179</f>
        <v>0.20554048818287485</v>
      </c>
      <c r="CK237" s="107">
        <f t="shared" si="3813"/>
        <v>0.21897090251520632</v>
      </c>
      <c r="CL237" s="107">
        <f t="shared" si="3813"/>
        <v>0.2405772733641586</v>
      </c>
      <c r="CM237" s="22">
        <f t="shared" si="3813"/>
        <v>0.22375915378356387</v>
      </c>
      <c r="CN237" s="107">
        <f t="shared" si="3813"/>
        <v>0.1936166748086631</v>
      </c>
      <c r="CO237" s="22">
        <f t="shared" si="3813"/>
        <v>0.23709492400344134</v>
      </c>
      <c r="CP237" s="112"/>
      <c r="CQ237" s="19"/>
      <c r="CR237" s="112"/>
      <c r="CS237" s="19"/>
      <c r="CT237" s="112"/>
      <c r="CU237" s="19"/>
      <c r="CV237" s="112"/>
      <c r="CW237" s="19"/>
      <c r="CX237" s="112"/>
      <c r="CY237" s="112"/>
      <c r="CZ237" s="112"/>
      <c r="DA237" s="112"/>
      <c r="DB237" s="112"/>
      <c r="DC237" s="112"/>
    </row>
    <row r="238" spans="1:107" hidden="1" outlineLevel="1" x14ac:dyDescent="0.2">
      <c r="A238" s="1" t="s">
        <v>110</v>
      </c>
      <c r="B238" s="17">
        <v>-54</v>
      </c>
      <c r="C238" s="17">
        <v>-56</v>
      </c>
      <c r="D238" s="17">
        <v>-75</v>
      </c>
      <c r="E238" s="17">
        <v>-76</v>
      </c>
      <c r="F238" s="17">
        <v>-78</v>
      </c>
      <c r="G238" s="17">
        <v>-74</v>
      </c>
      <c r="H238" s="17">
        <v>-104</v>
      </c>
      <c r="I238" s="17">
        <v>-105</v>
      </c>
      <c r="J238" s="17">
        <v>-97</v>
      </c>
      <c r="K238" s="17">
        <v>-120</v>
      </c>
      <c r="L238" s="17">
        <v>-155</v>
      </c>
      <c r="M238" s="17">
        <v>-130</v>
      </c>
      <c r="N238" s="17">
        <v>-125</v>
      </c>
      <c r="O238" s="17">
        <v>-134</v>
      </c>
      <c r="P238" s="17">
        <v>-160</v>
      </c>
      <c r="Q238" s="17">
        <v>-159</v>
      </c>
      <c r="R238" s="17">
        <v>-147</v>
      </c>
      <c r="S238" s="17">
        <v>-158</v>
      </c>
      <c r="T238" s="17">
        <v>-197</v>
      </c>
      <c r="U238" s="17">
        <v>-213</v>
      </c>
      <c r="V238" s="17">
        <v>-205</v>
      </c>
      <c r="W238" s="17">
        <v>-196</v>
      </c>
      <c r="X238" s="17">
        <v>-250</v>
      </c>
      <c r="Y238" s="17">
        <v>-240</v>
      </c>
      <c r="Z238" s="17">
        <v>-242</v>
      </c>
      <c r="AA238" s="17">
        <v>-238</v>
      </c>
      <c r="AB238" s="17">
        <v>-297</v>
      </c>
      <c r="AC238" s="17">
        <v>-301</v>
      </c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I238" s="89">
        <f>SUM(B238:E238)</f>
        <v>-261</v>
      </c>
      <c r="CJ238" s="20">
        <f>SUM(F238:I238)</f>
        <v>-361</v>
      </c>
      <c r="CK238" s="89">
        <f>SUM(J238:M238)</f>
        <v>-502</v>
      </c>
      <c r="CL238" s="89">
        <f>SUM(N238:Q238)</f>
        <v>-578</v>
      </c>
      <c r="CM238" s="20">
        <f>SUM(R238:U238)</f>
        <v>-715</v>
      </c>
      <c r="CN238" s="89">
        <f>SUM(V238:Y238)</f>
        <v>-891</v>
      </c>
      <c r="CO238" s="20">
        <f>SUM(Z238:AC238)</f>
        <v>-1078</v>
      </c>
      <c r="CP238" s="112"/>
      <c r="CQ238" s="19"/>
      <c r="CR238" s="112"/>
      <c r="CS238" s="19"/>
      <c r="CT238" s="112"/>
      <c r="CU238" s="19"/>
      <c r="CV238" s="112"/>
      <c r="CW238" s="19"/>
      <c r="CX238" s="112"/>
      <c r="CY238" s="112"/>
      <c r="CZ238" s="112"/>
      <c r="DA238" s="112"/>
      <c r="DB238" s="112"/>
      <c r="DC238" s="112"/>
    </row>
    <row r="239" spans="1:107" hidden="1" outlineLevel="1" x14ac:dyDescent="0.2">
      <c r="A239" s="8" t="s">
        <v>125</v>
      </c>
      <c r="B239" s="22">
        <f>B238/B184</f>
        <v>8.8962108731466233E-2</v>
      </c>
      <c r="C239" s="22">
        <f t="shared" ref="C239:AC239" si="3814">C238/C184</f>
        <v>8.9030206677265494E-2</v>
      </c>
      <c r="D239" s="22">
        <f t="shared" si="3814"/>
        <v>0.11346444780635401</v>
      </c>
      <c r="E239" s="22">
        <f t="shared" si="3814"/>
        <v>8.4257206208425722E-2</v>
      </c>
      <c r="F239" s="22">
        <f t="shared" si="3814"/>
        <v>7.6023391812865493E-2</v>
      </c>
      <c r="G239" s="22">
        <f t="shared" si="3814"/>
        <v>6.7827681026581113E-2</v>
      </c>
      <c r="H239" s="22">
        <f t="shared" si="3814"/>
        <v>8.6378737541528236E-2</v>
      </c>
      <c r="I239" s="22">
        <f t="shared" si="3814"/>
        <v>8.280757097791798E-2</v>
      </c>
      <c r="J239" s="22">
        <f t="shared" si="3814"/>
        <v>7.6438140267927501E-2</v>
      </c>
      <c r="K239" s="22">
        <f t="shared" si="3814"/>
        <v>9.3312597200622086E-2</v>
      </c>
      <c r="L239" s="22">
        <f t="shared" si="3814"/>
        <v>0.11191335740072202</v>
      </c>
      <c r="M239" s="22">
        <f t="shared" si="3814"/>
        <v>8.5245901639344257E-2</v>
      </c>
      <c r="N239" s="22">
        <f t="shared" si="3814"/>
        <v>8.7108013937282236E-2</v>
      </c>
      <c r="O239" s="22">
        <f t="shared" si="3814"/>
        <v>8.4649399873657619E-2</v>
      </c>
      <c r="P239" s="22">
        <f t="shared" si="3814"/>
        <v>9.8280098280098274E-2</v>
      </c>
      <c r="Q239" s="22">
        <f t="shared" si="3814"/>
        <v>8.3333333333333329E-2</v>
      </c>
      <c r="R239" s="22">
        <f t="shared" si="3814"/>
        <v>8.5020242914979755E-2</v>
      </c>
      <c r="S239" s="22">
        <f t="shared" si="3814"/>
        <v>8.1401339515713544E-2</v>
      </c>
      <c r="T239" s="22">
        <f t="shared" si="3814"/>
        <v>9.452975047984645E-2</v>
      </c>
      <c r="U239" s="22">
        <f t="shared" si="3814"/>
        <v>8.9608750525872943E-2</v>
      </c>
      <c r="V239" s="22">
        <f t="shared" si="3814"/>
        <v>9.9273607748184015E-2</v>
      </c>
      <c r="W239" s="22">
        <f t="shared" si="3814"/>
        <v>9.4230769230769229E-2</v>
      </c>
      <c r="X239" s="22">
        <f t="shared" si="3814"/>
        <v>0.11246063877642826</v>
      </c>
      <c r="Y239" s="22">
        <f t="shared" si="3814"/>
        <v>8.9585666293393054E-2</v>
      </c>
      <c r="Z239" s="22">
        <f t="shared" si="3814"/>
        <v>0.10138248847926268</v>
      </c>
      <c r="AA239" s="22">
        <f t="shared" si="3814"/>
        <v>9.8550724637681164E-2</v>
      </c>
      <c r="AB239" s="22">
        <f t="shared" si="3814"/>
        <v>0.11578947368421053</v>
      </c>
      <c r="AC239" s="22">
        <f t="shared" si="3814"/>
        <v>9.6536241180243745E-2</v>
      </c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I239" s="107">
        <f>CI238/CI184</f>
        <v>9.3247588424437297E-2</v>
      </c>
      <c r="CJ239" s="22">
        <f t="shared" ref="CJ239:CO239" si="3815">CJ238/CJ184</f>
        <v>7.8666376116801051E-2</v>
      </c>
      <c r="CK239" s="107">
        <f t="shared" si="3815"/>
        <v>9.1857273559011896E-2</v>
      </c>
      <c r="CL239" s="107">
        <f t="shared" si="3815"/>
        <v>8.819041806530363E-2</v>
      </c>
      <c r="CM239" s="22">
        <f t="shared" si="3815"/>
        <v>8.7935063337842817E-2</v>
      </c>
      <c r="CN239" s="107">
        <f t="shared" si="3815"/>
        <v>9.8485685862716929E-2</v>
      </c>
      <c r="CO239" s="22">
        <f t="shared" si="3815"/>
        <v>0.1028135431568908</v>
      </c>
      <c r="CP239" s="112"/>
      <c r="CQ239" s="19"/>
      <c r="CR239" s="112"/>
      <c r="CS239" s="19"/>
      <c r="CT239" s="112"/>
      <c r="CU239" s="19"/>
      <c r="CV239" s="112"/>
      <c r="CW239" s="19"/>
      <c r="CX239" s="112"/>
      <c r="CY239" s="112"/>
      <c r="CZ239" s="112"/>
      <c r="DA239" s="112"/>
      <c r="DB239" s="112"/>
      <c r="DC239" s="112"/>
    </row>
    <row r="240" spans="1:107" hidden="1" outlineLevel="1" x14ac:dyDescent="0.2">
      <c r="A240" s="1" t="s">
        <v>111</v>
      </c>
      <c r="B240" s="17">
        <v>-40</v>
      </c>
      <c r="C240" s="17">
        <v>-43</v>
      </c>
      <c r="D240" s="17">
        <v>-53</v>
      </c>
      <c r="E240" s="17">
        <v>-51</v>
      </c>
      <c r="F240" s="17">
        <v>-68</v>
      </c>
      <c r="G240" s="17">
        <v>-63</v>
      </c>
      <c r="H240" s="17">
        <v>-84</v>
      </c>
      <c r="I240" s="17">
        <v>-88</v>
      </c>
      <c r="J240" s="17">
        <v>-86</v>
      </c>
      <c r="K240" s="17">
        <v>-160</v>
      </c>
      <c r="L240" s="17">
        <v>-118</v>
      </c>
      <c r="M240" s="17">
        <v>-109</v>
      </c>
      <c r="N240" s="17">
        <v>-107</v>
      </c>
      <c r="O240" s="17">
        <v>-113</v>
      </c>
      <c r="P240" s="17">
        <v>-136</v>
      </c>
      <c r="Q240" s="17">
        <v>-130</v>
      </c>
      <c r="R240" s="17">
        <v>-141</v>
      </c>
      <c r="S240" s="17">
        <v>-175</v>
      </c>
      <c r="T240" s="17">
        <v>-223</v>
      </c>
      <c r="U240" s="17">
        <v>-186</v>
      </c>
      <c r="V240" s="17">
        <v>-223</v>
      </c>
      <c r="W240" s="17">
        <v>-190</v>
      </c>
      <c r="X240" s="17">
        <v>-210</v>
      </c>
      <c r="Y240" s="17">
        <v>-205</v>
      </c>
      <c r="Z240" s="17">
        <v>-272</v>
      </c>
      <c r="AA240" s="17">
        <v>-271</v>
      </c>
      <c r="AB240" s="17">
        <v>-316</v>
      </c>
      <c r="AC240" s="17">
        <v>-302</v>
      </c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I240" s="89">
        <f>SUM(B240:E240)</f>
        <v>-187</v>
      </c>
      <c r="CJ240" s="20">
        <f>SUM(F240:I240)</f>
        <v>-303</v>
      </c>
      <c r="CK240" s="89">
        <f>SUM(J240:M240)</f>
        <v>-473</v>
      </c>
      <c r="CL240" s="89">
        <f>SUM(N240:Q240)</f>
        <v>-486</v>
      </c>
      <c r="CM240" s="20">
        <f>SUM(R240:U240)</f>
        <v>-725</v>
      </c>
      <c r="CN240" s="89">
        <f>SUM(V240:Y240)</f>
        <v>-828</v>
      </c>
      <c r="CO240" s="20">
        <f>SUM(Z240:AC240)</f>
        <v>-1161</v>
      </c>
      <c r="CP240" s="112"/>
      <c r="CQ240" s="19"/>
      <c r="CR240" s="112"/>
      <c r="CS240" s="19"/>
      <c r="CT240" s="112"/>
      <c r="CU240" s="19"/>
      <c r="CV240" s="112"/>
      <c r="CW240" s="19"/>
      <c r="CX240" s="112"/>
      <c r="CY240" s="112"/>
      <c r="CZ240" s="112"/>
      <c r="DA240" s="112"/>
      <c r="DB240" s="112"/>
      <c r="DC240" s="112"/>
    </row>
    <row r="241" spans="1:107" hidden="1" outlineLevel="1" x14ac:dyDescent="0.2">
      <c r="A241" s="8" t="s">
        <v>126</v>
      </c>
      <c r="B241" s="22">
        <f>B240/B189</f>
        <v>9.7560975609756101E-2</v>
      </c>
      <c r="C241" s="22">
        <f t="shared" ref="C241:AC241" si="3816">C240/C189</f>
        <v>9.3275488069414311E-2</v>
      </c>
      <c r="D241" s="22">
        <f t="shared" si="3816"/>
        <v>9.9624060150375934E-2</v>
      </c>
      <c r="E241" s="22">
        <f t="shared" si="3816"/>
        <v>9.1234347048300538E-2</v>
      </c>
      <c r="F241" s="22">
        <f t="shared" si="3816"/>
        <v>6.2328139321723187E-2</v>
      </c>
      <c r="G241" s="22">
        <f t="shared" si="3816"/>
        <v>9.7222222222222224E-2</v>
      </c>
      <c r="H241" s="22">
        <f t="shared" si="3816"/>
        <v>0.1242603550295858</v>
      </c>
      <c r="I241" s="22">
        <f t="shared" si="3816"/>
        <v>0.10877626699629171</v>
      </c>
      <c r="J241" s="22">
        <f t="shared" si="3816"/>
        <v>0.11360634081902246</v>
      </c>
      <c r="K241" s="22">
        <f t="shared" si="3816"/>
        <v>0.19607843137254902</v>
      </c>
      <c r="L241" s="22">
        <f t="shared" si="3816"/>
        <v>0.13140311804008908</v>
      </c>
      <c r="M241" s="22">
        <f t="shared" si="3816"/>
        <v>0.10792079207920792</v>
      </c>
      <c r="N241" s="22">
        <f t="shared" si="3816"/>
        <v>0.10541871921182266</v>
      </c>
      <c r="O241" s="22">
        <f t="shared" si="3816"/>
        <v>0.1029143897996357</v>
      </c>
      <c r="P241" s="22">
        <f t="shared" si="3816"/>
        <v>0.1198237885462555</v>
      </c>
      <c r="Q241" s="22">
        <f t="shared" si="3816"/>
        <v>0.1097972972972973</v>
      </c>
      <c r="R241" s="22">
        <f t="shared" si="3816"/>
        <v>9.4694425789120212E-2</v>
      </c>
      <c r="S241" s="22">
        <f t="shared" si="3816"/>
        <v>0.12464387464387465</v>
      </c>
      <c r="T241" s="22">
        <f t="shared" si="3816"/>
        <v>0.16336996336996337</v>
      </c>
      <c r="U241" s="22">
        <f t="shared" si="3816"/>
        <v>0.1167608286252354</v>
      </c>
      <c r="V241" s="22">
        <f t="shared" si="3816"/>
        <v>0.13622480146609653</v>
      </c>
      <c r="W241" s="22">
        <f t="shared" si="3816"/>
        <v>0.1310344827586207</v>
      </c>
      <c r="X241" s="22">
        <f t="shared" si="3816"/>
        <v>0.14218009478672985</v>
      </c>
      <c r="Y241" s="22">
        <f t="shared" si="3816"/>
        <v>0.13040712468193386</v>
      </c>
      <c r="Z241" s="22">
        <f t="shared" si="3816"/>
        <v>0.1797752808988764</v>
      </c>
      <c r="AA241" s="22">
        <f t="shared" si="3816"/>
        <v>0.16687192118226601</v>
      </c>
      <c r="AB241" s="22">
        <f t="shared" si="3816"/>
        <v>0.17324561403508773</v>
      </c>
      <c r="AC241" s="22">
        <f t="shared" si="3816"/>
        <v>0.1492094861660079</v>
      </c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I241" s="107">
        <f>CI240/CI189</f>
        <v>9.5310907237512746E-2</v>
      </c>
      <c r="CJ241" s="22">
        <f t="shared" ref="CJ241:CO241" si="3817">CJ240/CJ189</f>
        <v>9.3982630272952852E-2</v>
      </c>
      <c r="CK241" s="107">
        <f t="shared" si="3817"/>
        <v>0.13588049411088768</v>
      </c>
      <c r="CL241" s="107">
        <f t="shared" si="3817"/>
        <v>0.10965703971119134</v>
      </c>
      <c r="CM241" s="22">
        <f t="shared" si="3817"/>
        <v>0.12391044265937447</v>
      </c>
      <c r="CN241" s="107">
        <f t="shared" si="3817"/>
        <v>0.13494132985658408</v>
      </c>
      <c r="CO241" s="22">
        <f t="shared" si="3817"/>
        <v>0.16621331424481031</v>
      </c>
      <c r="CP241" s="112"/>
      <c r="CQ241" s="19"/>
      <c r="CR241" s="112"/>
      <c r="CS241" s="19"/>
      <c r="CT241" s="112"/>
      <c r="CU241" s="19"/>
      <c r="CV241" s="112"/>
      <c r="CW241" s="19"/>
      <c r="CX241" s="112"/>
      <c r="CY241" s="112"/>
      <c r="CZ241" s="112"/>
      <c r="DA241" s="112"/>
      <c r="DB241" s="112"/>
      <c r="DC241" s="112"/>
    </row>
    <row r="242" spans="1:107" collapsed="1" x14ac:dyDescent="0.2">
      <c r="CI242" s="92"/>
      <c r="CK242" s="92"/>
      <c r="CL242" s="92"/>
      <c r="CN242" s="92"/>
      <c r="CP242" s="92"/>
      <c r="CR242" s="92"/>
      <c r="CT242" s="92"/>
      <c r="CV242" s="92"/>
      <c r="CX242" s="92"/>
      <c r="CY242" s="92"/>
      <c r="CZ242" s="92"/>
      <c r="DA242" s="92"/>
      <c r="DB242" s="92"/>
      <c r="DC242" s="92"/>
    </row>
    <row r="243" spans="1:107" x14ac:dyDescent="0.2">
      <c r="A243" s="1" t="s">
        <v>130</v>
      </c>
      <c r="B243" s="17">
        <v>18</v>
      </c>
      <c r="C243" s="17">
        <v>69</v>
      </c>
      <c r="D243" s="17">
        <v>167</v>
      </c>
      <c r="E243" s="17">
        <v>160</v>
      </c>
      <c r="F243" s="17">
        <v>96</v>
      </c>
      <c r="G243" s="17">
        <v>204</v>
      </c>
      <c r="H243" s="17">
        <v>302</v>
      </c>
      <c r="I243" s="17">
        <v>-18</v>
      </c>
      <c r="J243" s="17">
        <v>156</v>
      </c>
      <c r="K243" s="17">
        <v>254</v>
      </c>
      <c r="L243" s="17">
        <v>63</v>
      </c>
      <c r="M243" s="17">
        <v>152</v>
      </c>
      <c r="N243" s="17">
        <v>134</v>
      </c>
      <c r="O243" s="17">
        <v>236</v>
      </c>
      <c r="P243" s="17">
        <v>14</v>
      </c>
      <c r="Q243" s="17">
        <v>125</v>
      </c>
      <c r="R243" s="17">
        <v>357</v>
      </c>
      <c r="S243" s="17">
        <v>145</v>
      </c>
      <c r="T243" s="17">
        <v>133</v>
      </c>
      <c r="U243" s="17">
        <v>128</v>
      </c>
      <c r="V243" s="17">
        <v>157</v>
      </c>
      <c r="W243" s="17">
        <v>131</v>
      </c>
      <c r="X243" s="17">
        <v>183</v>
      </c>
      <c r="Y243" s="17">
        <v>-180</v>
      </c>
      <c r="Z243" s="17">
        <v>-213</v>
      </c>
      <c r="AA243" s="17">
        <v>151</v>
      </c>
      <c r="AB243" s="17">
        <v>278</v>
      </c>
      <c r="AC243" s="17">
        <v>218</v>
      </c>
      <c r="AD243" s="17">
        <v>251</v>
      </c>
      <c r="AE243" s="17">
        <v>245</v>
      </c>
      <c r="AF243" s="17">
        <v>197</v>
      </c>
      <c r="AG243" s="17">
        <v>354</v>
      </c>
      <c r="AH243" s="17">
        <v>2910</v>
      </c>
      <c r="AI243" s="17">
        <v>1408</v>
      </c>
      <c r="AJ243" s="17">
        <v>1773</v>
      </c>
      <c r="AK243" s="17">
        <v>1869</v>
      </c>
      <c r="AL243" s="17">
        <v>1538</v>
      </c>
      <c r="AM243" s="17">
        <v>2967</v>
      </c>
      <c r="AN243" s="17">
        <v>-549</v>
      </c>
      <c r="AO243" s="17">
        <v>1438</v>
      </c>
      <c r="AP243" s="17">
        <v>-220</v>
      </c>
      <c r="AQ243" s="17">
        <v>1894</v>
      </c>
      <c r="AR243" s="17">
        <v>2146</v>
      </c>
      <c r="AS243" s="17">
        <v>3038</v>
      </c>
      <c r="AT243" s="17">
        <v>4846</v>
      </c>
      <c r="AU243" s="18">
        <v>2624</v>
      </c>
      <c r="AV243" s="18">
        <v>2033</v>
      </c>
      <c r="AW243" s="18">
        <v>2517</v>
      </c>
      <c r="AX243" s="18">
        <v>-1160</v>
      </c>
      <c r="AY243" s="18">
        <v>-439</v>
      </c>
      <c r="AZ243" s="18">
        <v>-902</v>
      </c>
      <c r="BA243" s="18">
        <v>-1013</v>
      </c>
      <c r="BB243" s="18">
        <v>790</v>
      </c>
      <c r="BC243" s="18">
        <v>65</v>
      </c>
      <c r="BD243" s="18">
        <v>-146</v>
      </c>
      <c r="BE243" s="18">
        <v>715</v>
      </c>
      <c r="BF243" s="18">
        <v>2843</v>
      </c>
      <c r="BG243" s="18">
        <v>126</v>
      </c>
      <c r="BH243" s="18">
        <v>3185</v>
      </c>
      <c r="BI243" s="18">
        <v>1271</v>
      </c>
      <c r="BJ243" s="18">
        <v>11183</v>
      </c>
      <c r="BK243" s="18">
        <v>2662</v>
      </c>
      <c r="BL243" s="18">
        <v>12759</v>
      </c>
      <c r="BM243" s="20">
        <f>'Debt &amp; Interest'!BM22</f>
        <v>668.86993170177266</v>
      </c>
      <c r="BN243" s="20">
        <f>'Debt &amp; Interest'!BN22</f>
        <v>578.40098014675846</v>
      </c>
      <c r="BO243" s="20">
        <f>'Debt &amp; Interest'!BO22</f>
        <v>771.7383782957528</v>
      </c>
      <c r="BP243" s="20">
        <f>'Debt &amp; Interest'!BP22</f>
        <v>474.72457796011088</v>
      </c>
      <c r="BQ243" s="20">
        <f>'Debt &amp; Interest'!BQ22</f>
        <v>546.39017463103755</v>
      </c>
      <c r="BR243" s="20">
        <f>'Debt &amp; Interest'!BR22</f>
        <v>647.0629598974823</v>
      </c>
      <c r="BS243" s="20">
        <f>'Debt &amp; Interest'!BS22</f>
        <v>944.45752994176337</v>
      </c>
      <c r="BT243" s="20">
        <f>'Debt &amp; Interest'!BT22</f>
        <v>663.37365354574911</v>
      </c>
      <c r="BU243" s="20">
        <f>'Debt &amp; Interest'!BU22</f>
        <v>883.15044693414734</v>
      </c>
      <c r="BV243" s="20">
        <f>'Debt &amp; Interest'!BV22</f>
        <v>1175.4565347037806</v>
      </c>
      <c r="BW243" s="20">
        <f>'Debt &amp; Interest'!BW22</f>
        <v>1740.0842147825585</v>
      </c>
      <c r="BX243" s="20">
        <f>'Debt &amp; Interest'!BX22</f>
        <v>1281.506588501351</v>
      </c>
      <c r="BY243" s="20">
        <f>'Debt &amp; Interest'!BY22</f>
        <v>1550.0950298565112</v>
      </c>
      <c r="BZ243" s="20">
        <f>'Debt &amp; Interest'!BZ22</f>
        <v>1975.5333150941779</v>
      </c>
      <c r="CA243" s="20">
        <f>'Debt &amp; Interest'!CA22</f>
        <v>2697.8716018376417</v>
      </c>
      <c r="CB243" s="20">
        <f>'Debt &amp; Interest'!CB22</f>
        <v>2016.9122939069362</v>
      </c>
      <c r="CC243" s="20">
        <f>'Debt &amp; Interest'!CC22</f>
        <v>2332.7359071207375</v>
      </c>
      <c r="CD243" s="20">
        <f>'Debt &amp; Interest'!CD22</f>
        <v>2924.8565352245819</v>
      </c>
      <c r="CE243" s="20">
        <f>'Debt &amp; Interest'!CE22</f>
        <v>3830.3237144988452</v>
      </c>
      <c r="CF243" s="20">
        <f>'Debt &amp; Interest'!CF22</f>
        <v>2864.1613920133036</v>
      </c>
      <c r="CG243" s="20">
        <f>'Debt &amp; Interest'!CG22</f>
        <v>3226.3742911612076</v>
      </c>
      <c r="CH243" s="20"/>
      <c r="CI243" s="89">
        <f>SUM(B243:E243)</f>
        <v>414</v>
      </c>
      <c r="CJ243" s="20">
        <f>SUM(F243:I243)</f>
        <v>584</v>
      </c>
      <c r="CK243" s="89">
        <f>SUM(J243:M243)</f>
        <v>625</v>
      </c>
      <c r="CL243" s="89">
        <f>SUM(N243:Q243)</f>
        <v>509</v>
      </c>
      <c r="CM243" s="20">
        <f>SUM(R243:U243)</f>
        <v>763</v>
      </c>
      <c r="CN243" s="89">
        <f>SUM(V243:Y243)</f>
        <v>291</v>
      </c>
      <c r="CO243" s="20">
        <f>SUM(Z243:AC243)</f>
        <v>434</v>
      </c>
      <c r="CP243" s="89">
        <f>SUM(AD243:AG243)</f>
        <v>1047</v>
      </c>
      <c r="CQ243" s="20">
        <f>SUM(AH243:AK243)</f>
        <v>7960</v>
      </c>
      <c r="CR243" s="89">
        <f>SUM(AL243:AO243)</f>
        <v>5394</v>
      </c>
      <c r="CS243" s="20">
        <f>SUM(AP243:AS243)</f>
        <v>6858</v>
      </c>
      <c r="CT243" s="89">
        <f>SUM(AT243:AW243)</f>
        <v>12020</v>
      </c>
      <c r="CU243" s="20">
        <f>SUM(AX243:BA243)</f>
        <v>-3514</v>
      </c>
      <c r="CV243" s="89">
        <f>SUM(BB243:BE243)</f>
        <v>1424</v>
      </c>
      <c r="CW243" s="20">
        <f>SUM(BF243:BI243)</f>
        <v>7425</v>
      </c>
      <c r="CX243" s="89">
        <f>SUM(BJ243:BM243)</f>
        <v>27272.869931701774</v>
      </c>
      <c r="CY243" s="89">
        <f>SUM(BN243:BQ243)</f>
        <v>2371.2541110336597</v>
      </c>
      <c r="CZ243" s="89">
        <f>SUM(BR243:BU243)</f>
        <v>3138.0445903191421</v>
      </c>
      <c r="DA243" s="89">
        <f>SUM(BV243:BY243)</f>
        <v>5747.1423678442015</v>
      </c>
      <c r="DB243" s="89">
        <f>SUM(BZ243:CC243)</f>
        <v>9023.0531179594927</v>
      </c>
      <c r="DC243" s="89">
        <f>SUM(CD243:CG243)</f>
        <v>12845.71593289794</v>
      </c>
    </row>
    <row r="244" spans="1:107" x14ac:dyDescent="0.2">
      <c r="CI244" s="92"/>
      <c r="CK244" s="92"/>
      <c r="CL244" s="92"/>
      <c r="CN244" s="92"/>
      <c r="CP244" s="92"/>
      <c r="CR244" s="92"/>
      <c r="CT244" s="92"/>
      <c r="CV244" s="92"/>
      <c r="CX244" s="92"/>
      <c r="CY244" s="92"/>
      <c r="CZ244" s="92"/>
      <c r="DA244" s="92"/>
      <c r="DB244" s="92"/>
      <c r="DC244" s="92"/>
    </row>
    <row r="245" spans="1:107" hidden="1" outlineLevel="1" x14ac:dyDescent="0.2">
      <c r="A245" s="238" t="s">
        <v>387</v>
      </c>
      <c r="B245" s="240">
        <v>20621</v>
      </c>
      <c r="C245" s="240">
        <v>21805</v>
      </c>
      <c r="D245" s="240">
        <v>23331</v>
      </c>
      <c r="E245" s="240">
        <v>24400</v>
      </c>
      <c r="F245" s="240">
        <v>26316</v>
      </c>
      <c r="G245" s="240">
        <v>28768</v>
      </c>
      <c r="H245" s="240">
        <v>31353</v>
      </c>
      <c r="I245" s="240">
        <v>32467</v>
      </c>
      <c r="J245" s="240">
        <v>33077</v>
      </c>
      <c r="K245" s="240">
        <v>54604</v>
      </c>
      <c r="L245" s="240">
        <v>53546</v>
      </c>
      <c r="M245" s="240">
        <v>53861</v>
      </c>
      <c r="N245" s="240">
        <v>53891</v>
      </c>
      <c r="O245" s="240">
        <v>44777</v>
      </c>
      <c r="P245" s="240">
        <v>46421</v>
      </c>
      <c r="Q245" s="240">
        <v>47756</v>
      </c>
      <c r="R245" s="240">
        <v>53891</v>
      </c>
      <c r="S245" s="240">
        <v>44777</v>
      </c>
      <c r="T245" s="240">
        <v>46421</v>
      </c>
      <c r="U245" s="240">
        <v>53600</v>
      </c>
      <c r="V245" s="240">
        <v>55419</v>
      </c>
      <c r="W245" s="240">
        <v>57148</v>
      </c>
      <c r="X245" s="240">
        <v>59976</v>
      </c>
      <c r="Y245" s="240">
        <v>61814</v>
      </c>
      <c r="Z245" s="240">
        <v>64115</v>
      </c>
      <c r="AA245" s="240">
        <v>66575</v>
      </c>
      <c r="AB245" s="240">
        <v>69953</v>
      </c>
      <c r="AC245" s="240">
        <v>72053</v>
      </c>
      <c r="AD245" s="240">
        <v>73992</v>
      </c>
      <c r="AE245" s="240">
        <v>75606</v>
      </c>
      <c r="AF245" s="240">
        <v>78101</v>
      </c>
      <c r="AG245" s="240">
        <v>80110</v>
      </c>
      <c r="AH245" s="240">
        <v>85050</v>
      </c>
      <c r="AI245" s="240">
        <v>89058</v>
      </c>
      <c r="AJ245" s="240">
        <v>94372</v>
      </c>
      <c r="AK245" s="240">
        <v>98771</v>
      </c>
      <c r="AL245" s="240">
        <v>103459</v>
      </c>
      <c r="AM245" s="240">
        <v>107646</v>
      </c>
      <c r="AN245" s="240">
        <v>114096</v>
      </c>
      <c r="AO245" s="240">
        <v>118899</v>
      </c>
      <c r="AP245" s="240">
        <v>123048</v>
      </c>
      <c r="AQ245" s="240">
        <v>127498</v>
      </c>
      <c r="AR245" s="240">
        <v>132121</v>
      </c>
      <c r="AS245" s="240">
        <v>135301</v>
      </c>
      <c r="AT245" s="240">
        <v>139995</v>
      </c>
      <c r="AU245" s="240">
        <v>144056</v>
      </c>
      <c r="AV245" s="240">
        <v>150028</v>
      </c>
      <c r="AW245" s="240">
        <v>156500</v>
      </c>
      <c r="AX245" s="240">
        <v>163906</v>
      </c>
      <c r="AY245" s="240">
        <v>174014</v>
      </c>
      <c r="AZ245" s="240">
        <v>186779</v>
      </c>
      <c r="BA245" s="240">
        <v>190234</v>
      </c>
      <c r="BB245" s="240">
        <v>190711</v>
      </c>
      <c r="BC245" s="240">
        <v>181798</v>
      </c>
      <c r="BD245" s="240">
        <v>182381</v>
      </c>
      <c r="BE245" s="240">
        <v>182502</v>
      </c>
      <c r="BF245" s="240">
        <v>180895</v>
      </c>
      <c r="BG245" s="240">
        <v>179582</v>
      </c>
      <c r="BH245" s="240">
        <v>181269</v>
      </c>
      <c r="BI245" s="240">
        <v>183323</v>
      </c>
      <c r="BJ245" s="240">
        <v>185719</v>
      </c>
      <c r="BK245" s="240">
        <v>187103</v>
      </c>
      <c r="BL245" s="240">
        <v>190167</v>
      </c>
      <c r="CI245" s="92"/>
      <c r="CK245" s="92"/>
      <c r="CL245" s="92"/>
      <c r="CN245" s="92"/>
      <c r="CP245" s="92"/>
      <c r="CR245" s="92"/>
      <c r="CT245" s="92"/>
      <c r="CV245" s="92"/>
      <c r="CX245" s="92"/>
      <c r="CY245" s="92"/>
      <c r="CZ245" s="92"/>
      <c r="DA245" s="92"/>
      <c r="DB245" s="92"/>
      <c r="DC245" s="92"/>
    </row>
    <row r="246" spans="1:107" hidden="1" outlineLevel="1" x14ac:dyDescent="0.2">
      <c r="A246" s="7" t="s">
        <v>388</v>
      </c>
      <c r="B246" s="25" t="s">
        <v>82</v>
      </c>
      <c r="C246" s="239">
        <f t="shared" ref="C246:AQ246" si="3818">C245-B245</f>
        <v>1184</v>
      </c>
      <c r="D246" s="239">
        <f t="shared" si="3818"/>
        <v>1526</v>
      </c>
      <c r="E246" s="239">
        <f t="shared" si="3818"/>
        <v>1069</v>
      </c>
      <c r="F246" s="239">
        <f t="shared" si="3818"/>
        <v>1916</v>
      </c>
      <c r="G246" s="239">
        <f>G245-F245</f>
        <v>2452</v>
      </c>
      <c r="H246" s="239">
        <f t="shared" si="3818"/>
        <v>2585</v>
      </c>
      <c r="I246" s="239">
        <f t="shared" si="3818"/>
        <v>1114</v>
      </c>
      <c r="J246" s="239">
        <f t="shared" si="3818"/>
        <v>610</v>
      </c>
      <c r="K246" s="239">
        <f t="shared" si="3818"/>
        <v>21527</v>
      </c>
      <c r="L246" s="239">
        <f t="shared" si="3818"/>
        <v>-1058</v>
      </c>
      <c r="M246" s="239">
        <f t="shared" si="3818"/>
        <v>315</v>
      </c>
      <c r="N246" s="239">
        <f t="shared" si="3818"/>
        <v>30</v>
      </c>
      <c r="O246" s="239">
        <f t="shared" si="3818"/>
        <v>-9114</v>
      </c>
      <c r="P246" s="239">
        <f t="shared" si="3818"/>
        <v>1644</v>
      </c>
      <c r="Q246" s="239">
        <f t="shared" si="3818"/>
        <v>1335</v>
      </c>
      <c r="R246" s="239">
        <f t="shared" si="3818"/>
        <v>6135</v>
      </c>
      <c r="S246" s="239">
        <f t="shared" si="3818"/>
        <v>-9114</v>
      </c>
      <c r="T246" s="239">
        <f t="shared" si="3818"/>
        <v>1644</v>
      </c>
      <c r="U246" s="239">
        <f t="shared" si="3818"/>
        <v>7179</v>
      </c>
      <c r="V246" s="239">
        <f t="shared" si="3818"/>
        <v>1819</v>
      </c>
      <c r="W246" s="239">
        <f t="shared" si="3818"/>
        <v>1729</v>
      </c>
      <c r="X246" s="239">
        <f t="shared" si="3818"/>
        <v>2828</v>
      </c>
      <c r="Y246" s="239">
        <f t="shared" si="3818"/>
        <v>1838</v>
      </c>
      <c r="Z246" s="239">
        <f t="shared" si="3818"/>
        <v>2301</v>
      </c>
      <c r="AA246" s="239">
        <f t="shared" si="3818"/>
        <v>2460</v>
      </c>
      <c r="AB246" s="239">
        <f t="shared" si="3818"/>
        <v>3378</v>
      </c>
      <c r="AC246" s="239">
        <f t="shared" si="3818"/>
        <v>2100</v>
      </c>
      <c r="AD246" s="239">
        <f t="shared" si="3818"/>
        <v>1939</v>
      </c>
      <c r="AE246" s="239">
        <f t="shared" si="3818"/>
        <v>1614</v>
      </c>
      <c r="AF246" s="239">
        <f t="shared" si="3818"/>
        <v>2495</v>
      </c>
      <c r="AG246" s="239">
        <f t="shared" si="3818"/>
        <v>2009</v>
      </c>
      <c r="AH246" s="239">
        <f t="shared" si="3818"/>
        <v>4940</v>
      </c>
      <c r="AI246" s="239">
        <f t="shared" si="3818"/>
        <v>4008</v>
      </c>
      <c r="AJ246" s="239">
        <f t="shared" si="3818"/>
        <v>5314</v>
      </c>
      <c r="AK246" s="239">
        <f t="shared" si="3818"/>
        <v>4399</v>
      </c>
      <c r="AL246" s="239">
        <f t="shared" si="3818"/>
        <v>4688</v>
      </c>
      <c r="AM246" s="239">
        <f t="shared" si="3818"/>
        <v>4187</v>
      </c>
      <c r="AN246" s="239">
        <f t="shared" si="3818"/>
        <v>6450</v>
      </c>
      <c r="AO246" s="239">
        <f t="shared" si="3818"/>
        <v>4803</v>
      </c>
      <c r="AP246" s="239">
        <f t="shared" si="3818"/>
        <v>4149</v>
      </c>
      <c r="AQ246" s="239">
        <f t="shared" si="3818"/>
        <v>4450</v>
      </c>
      <c r="AR246" s="239">
        <f>AR245-AQ245</f>
        <v>4623</v>
      </c>
      <c r="AS246" s="239">
        <f t="shared" ref="AS246:BL246" si="3819">AS245-AR245</f>
        <v>3180</v>
      </c>
      <c r="AT246" s="239">
        <f t="shared" si="3819"/>
        <v>4694</v>
      </c>
      <c r="AU246" s="239">
        <f t="shared" si="3819"/>
        <v>4061</v>
      </c>
      <c r="AV246" s="239">
        <f t="shared" si="3819"/>
        <v>5972</v>
      </c>
      <c r="AW246" s="239">
        <f t="shared" si="3819"/>
        <v>6472</v>
      </c>
      <c r="AX246" s="239">
        <f t="shared" si="3819"/>
        <v>7406</v>
      </c>
      <c r="AY246" s="239">
        <f t="shared" si="3819"/>
        <v>10108</v>
      </c>
      <c r="AZ246" s="239">
        <f t="shared" si="3819"/>
        <v>12765</v>
      </c>
      <c r="BA246" s="239">
        <f t="shared" si="3819"/>
        <v>3455</v>
      </c>
      <c r="BB246" s="239">
        <f t="shared" si="3819"/>
        <v>477</v>
      </c>
      <c r="BC246" s="239">
        <f t="shared" si="3819"/>
        <v>-8913</v>
      </c>
      <c r="BD246" s="239">
        <f t="shared" si="3819"/>
        <v>583</v>
      </c>
      <c r="BE246" s="239">
        <f t="shared" si="3819"/>
        <v>121</v>
      </c>
      <c r="BF246" s="239">
        <f t="shared" si="3819"/>
        <v>-1607</v>
      </c>
      <c r="BG246" s="239">
        <f t="shared" si="3819"/>
        <v>-1313</v>
      </c>
      <c r="BH246" s="239">
        <f t="shared" si="3819"/>
        <v>1687</v>
      </c>
      <c r="BI246" s="239">
        <f t="shared" si="3819"/>
        <v>2054</v>
      </c>
      <c r="BJ246" s="239">
        <f t="shared" si="3819"/>
        <v>2396</v>
      </c>
      <c r="BK246" s="239">
        <f t="shared" si="3819"/>
        <v>1384</v>
      </c>
      <c r="BL246" s="239">
        <f t="shared" si="3819"/>
        <v>3064</v>
      </c>
      <c r="CI246" s="92"/>
      <c r="CK246" s="92"/>
      <c r="CL246" s="92"/>
      <c r="CN246" s="92"/>
      <c r="CP246" s="92"/>
      <c r="CR246" s="92"/>
      <c r="CT246" s="92"/>
      <c r="CV246" s="92"/>
      <c r="CX246" s="92"/>
      <c r="CY246" s="92"/>
      <c r="CZ246" s="92"/>
      <c r="DA246" s="92"/>
      <c r="DB246" s="92"/>
      <c r="DC246" s="92"/>
    </row>
    <row r="247" spans="1:107" hidden="1" outlineLevel="1" x14ac:dyDescent="0.2">
      <c r="A247" s="7" t="s">
        <v>62</v>
      </c>
      <c r="B247" s="25" t="s">
        <v>82</v>
      </c>
      <c r="C247" s="22">
        <f t="shared" ref="C247" si="3820">IF(AND(B245&lt;0,C245&gt;0),"n/a",C245/B245-1)</f>
        <v>5.7417196062266695E-2</v>
      </c>
      <c r="D247" s="22">
        <f t="shared" ref="D247" si="3821">IF(AND(C245&lt;0,D245&gt;0),"n/a",D245/C245-1)</f>
        <v>6.9983948635633952E-2</v>
      </c>
      <c r="E247" s="22">
        <f t="shared" ref="E247" si="3822">IF(AND(D245&lt;0,E245&gt;0),"n/a",E245/D245-1)</f>
        <v>4.581886760104581E-2</v>
      </c>
      <c r="F247" s="22">
        <f t="shared" ref="F247" si="3823">IF(AND(E245&lt;0,F245&gt;0),"n/a",F245/E245-1)</f>
        <v>7.8524590163934427E-2</v>
      </c>
      <c r="G247" s="22">
        <f t="shared" ref="G247" si="3824">IF(AND(F245&lt;0,G245&gt;0),"n/a",G245/F245-1)</f>
        <v>9.3175254597963164E-2</v>
      </c>
      <c r="H247" s="22">
        <f t="shared" ref="H247" si="3825">IF(AND(G245&lt;0,H245&gt;0),"n/a",H245/G245-1)</f>
        <v>8.9856785317018906E-2</v>
      </c>
      <c r="I247" s="22">
        <f t="shared" ref="I247" si="3826">IF(AND(H245&lt;0,I245&gt;0),"n/a",I245/H245-1)</f>
        <v>3.5530890185947017E-2</v>
      </c>
      <c r="J247" s="22">
        <f t="shared" ref="J247" si="3827">IF(AND(I245&lt;0,J245&gt;0),"n/a",J245/I245-1)</f>
        <v>1.8788308128253384E-2</v>
      </c>
      <c r="K247" s="22">
        <f t="shared" ref="K247" si="3828">IF(AND(J245&lt;0,K245&gt;0),"n/a",K245/J245-1)</f>
        <v>0.65081476554705686</v>
      </c>
      <c r="L247" s="22">
        <f t="shared" ref="L247" si="3829">IF(AND(K245&lt;0,L245&gt;0),"n/a",L245/K245-1)</f>
        <v>-1.9375869899641018E-2</v>
      </c>
      <c r="M247" s="22">
        <f t="shared" ref="M247" si="3830">IF(AND(L245&lt;0,M245&gt;0),"n/a",M245/L245-1)</f>
        <v>5.8827923654427572E-3</v>
      </c>
      <c r="N247" s="22">
        <f t="shared" ref="N247" si="3831">IF(AND(M245&lt;0,N245&gt;0),"n/a",N245/M245-1)</f>
        <v>5.5698928723946217E-4</v>
      </c>
      <c r="O247" s="22">
        <f t="shared" ref="O247" si="3832">IF(AND(N245&lt;0,O245&gt;0),"n/a",O245/N245-1)</f>
        <v>-0.16911914790966953</v>
      </c>
      <c r="P247" s="22">
        <f t="shared" ref="P247" si="3833">IF(AND(O245&lt;0,P245&gt;0),"n/a",P245/O245-1)</f>
        <v>3.6715277932867219E-2</v>
      </c>
      <c r="Q247" s="22">
        <f t="shared" ref="Q247" si="3834">IF(AND(P245&lt;0,Q245&gt;0),"n/a",Q245/P245-1)</f>
        <v>2.8758536007410518E-2</v>
      </c>
      <c r="R247" s="22">
        <f t="shared" ref="R247" si="3835">IF(AND(Q245&lt;0,R245&gt;0),"n/a",R245/Q245-1)</f>
        <v>0.12846553312672748</v>
      </c>
      <c r="S247" s="22">
        <f t="shared" ref="S247" si="3836">IF(AND(R245&lt;0,S245&gt;0),"n/a",S245/R245-1)</f>
        <v>-0.16911914790966953</v>
      </c>
      <c r="T247" s="22">
        <f t="shared" ref="T247" si="3837">IF(AND(S245&lt;0,T245&gt;0),"n/a",T245/S245-1)</f>
        <v>3.6715277932867219E-2</v>
      </c>
      <c r="U247" s="22">
        <f t="shared" ref="U247" si="3838">IF(AND(T245&lt;0,U245&gt;0),"n/a",U245/T245-1)</f>
        <v>0.15464983520389475</v>
      </c>
      <c r="V247" s="22">
        <f t="shared" ref="V247" si="3839">IF(AND(U245&lt;0,V245&gt;0),"n/a",V245/U245-1)</f>
        <v>3.3936567164179143E-2</v>
      </c>
      <c r="W247" s="22">
        <f t="shared" ref="W247" si="3840">IF(AND(V245&lt;0,W245&gt;0),"n/a",W245/V245-1)</f>
        <v>3.1198686371100237E-2</v>
      </c>
      <c r="X247" s="22">
        <f>IF(AND(W245&lt;0,X245&gt;0),"n/a",X245/W245-1)</f>
        <v>4.9485546300833017E-2</v>
      </c>
      <c r="Y247" s="22">
        <f t="shared" ref="Y247" si="3841">IF(AND(X245&lt;0,Y245&gt;0),"n/a",Y245/X245-1)</f>
        <v>3.0645591569961272E-2</v>
      </c>
      <c r="Z247" s="22">
        <f t="shared" ref="Z247" si="3842">IF(AND(Y245&lt;0,Z245&gt;0),"n/a",Z245/Y245-1)</f>
        <v>3.7224576956676581E-2</v>
      </c>
      <c r="AA247" s="22">
        <f t="shared" ref="AA247" si="3843">IF(AND(Z245&lt;0,AA245&gt;0),"n/a",AA245/Z245-1)</f>
        <v>3.8368556500038897E-2</v>
      </c>
      <c r="AB247" s="22">
        <f t="shared" ref="AB247" si="3844">IF(AND(AA245&lt;0,AB245&gt;0),"n/a",AB245/AA245-1)</f>
        <v>5.0739767179872386E-2</v>
      </c>
      <c r="AC247" s="22">
        <f t="shared" ref="AC247" si="3845">IF(AND(AB245&lt;0,AC245&gt;0),"n/a",AC245/AB245-1)</f>
        <v>3.0020156390719421E-2</v>
      </c>
      <c r="AD247" s="22">
        <f t="shared" ref="AD247" si="3846">IF(AND(AC245&lt;0,AD245&gt;0),"n/a",AD245/AC245-1)</f>
        <v>2.6910746256228135E-2</v>
      </c>
      <c r="AE247" s="22">
        <f t="shared" ref="AE247" si="3847">IF(AND(AD245&lt;0,AE245&gt;0),"n/a",AE245/AD245-1)</f>
        <v>2.1813168991242193E-2</v>
      </c>
      <c r="AF247" s="22">
        <f t="shared" ref="AF247" si="3848">IF(AND(AE245&lt;0,AF245&gt;0),"n/a",AF245/AE245-1)</f>
        <v>3.30000264529271E-2</v>
      </c>
      <c r="AG247" s="22">
        <f t="shared" ref="AG247" si="3849">IF(AND(AF245&lt;0,AG245&gt;0),"n/a",AG245/AF245-1)</f>
        <v>2.5723102136976372E-2</v>
      </c>
      <c r="AH247" s="22">
        <f t="shared" ref="AH247" si="3850">IF(AND(AG245&lt;0,AH245&gt;0),"n/a",AH245/AG245-1)</f>
        <v>6.1665210335788201E-2</v>
      </c>
      <c r="AI247" s="22">
        <f t="shared" ref="AI247" si="3851">IF(AND(AH245&lt;0,AI245&gt;0),"n/a",AI245/AH245-1)</f>
        <v>4.7125220458553718E-2</v>
      </c>
      <c r="AJ247" s="22">
        <f t="shared" ref="AJ247" si="3852">IF(AND(AI245&lt;0,AJ245&gt;0),"n/a",AJ245/AI245-1)</f>
        <v>5.9668979765995278E-2</v>
      </c>
      <c r="AK247" s="22">
        <f t="shared" ref="AK247" si="3853">IF(AND(AJ245&lt;0,AK245&gt;0),"n/a",AK245/AJ245-1)</f>
        <v>4.6613402280337279E-2</v>
      </c>
      <c r="AL247" s="22">
        <f t="shared" ref="AL247" si="3854">IF(AND(AK245&lt;0,AL245&gt;0),"n/a",AL245/AK245-1)</f>
        <v>4.746332425509503E-2</v>
      </c>
      <c r="AM247" s="22">
        <f t="shared" ref="AM247" si="3855">IF(AND(AL245&lt;0,AM245&gt;0),"n/a",AM245/AL245-1)</f>
        <v>4.0470137929034644E-2</v>
      </c>
      <c r="AN247" s="22">
        <f t="shared" ref="AN247" si="3856">IF(AND(AM245&lt;0,AN245&gt;0),"n/a",AN245/AM245-1)</f>
        <v>5.9918622150381795E-2</v>
      </c>
      <c r="AO247" s="22">
        <f t="shared" ref="AO247" si="3857">IF(AND(AN245&lt;0,AO245&gt;0),"n/a",AO245/AN245-1)</f>
        <v>4.2096129575094565E-2</v>
      </c>
      <c r="AP247" s="22">
        <f t="shared" ref="AP247" si="3858">IF(AND(AO245&lt;0,AP245&gt;0),"n/a",AP245/AO245-1)</f>
        <v>3.4895163121640982E-2</v>
      </c>
      <c r="AQ247" s="22">
        <f t="shared" ref="AQ247" si="3859">IF(AND(AP245&lt;0,AQ245&gt;0),"n/a",AQ245/AP245-1)</f>
        <v>3.6164748715948214E-2</v>
      </c>
      <c r="AR247" s="22">
        <f t="shared" ref="AR247" si="3860">IF(AND(AQ245&lt;0,AR245&gt;0),"n/a",AR245/AQ245-1)</f>
        <v>3.625939230419295E-2</v>
      </c>
      <c r="AS247" s="22">
        <f t="shared" ref="AS247" si="3861">IF(AND(AR245&lt;0,AS245&gt;0),"n/a",AS245/AR245-1)</f>
        <v>2.4068845982092135E-2</v>
      </c>
      <c r="AT247" s="22">
        <f t="shared" ref="AT247" si="3862">IF(AND(AS245&lt;0,AT245&gt;0),"n/a",AT245/AS245-1)</f>
        <v>3.4693017789964697E-2</v>
      </c>
      <c r="AU247" s="22">
        <f t="shared" ref="AU247" si="3863">IF(AND(AT245&lt;0,AU245&gt;0),"n/a",AU245/AT245-1)</f>
        <v>2.9008178863530798E-2</v>
      </c>
      <c r="AV247" s="22">
        <f t="shared" ref="AV247" si="3864">IF(AND(AU245&lt;0,AV245&gt;0),"n/a",AV245/AU245-1)</f>
        <v>4.1456100405397933E-2</v>
      </c>
      <c r="AW247" s="22">
        <f t="shared" ref="AW247" si="3865">IF(AND(AV245&lt;0,AW245&gt;0),"n/a",AW245/AV245-1)</f>
        <v>4.313861412536335E-2</v>
      </c>
      <c r="AX247" s="22">
        <f t="shared" ref="AX247" si="3866">IF(AND(AW245&lt;0,AX245&gt;0),"n/a",AX245/AW245-1)</f>
        <v>4.732268370607029E-2</v>
      </c>
      <c r="AY247" s="22">
        <f t="shared" ref="AY247:BL247" si="3867">IF(AND(AX245&lt;0,AY245&gt;0),"n/a",AY245/AX245-1)</f>
        <v>6.1669493490171146E-2</v>
      </c>
      <c r="AZ247" s="22">
        <f t="shared" si="3867"/>
        <v>7.335616674520451E-2</v>
      </c>
      <c r="BA247" s="22">
        <f t="shared" si="3867"/>
        <v>1.8497796861531635E-2</v>
      </c>
      <c r="BB247" s="28">
        <f t="shared" si="3867"/>
        <v>2.5074382076810675E-3</v>
      </c>
      <c r="BC247" s="28">
        <f t="shared" si="3867"/>
        <v>-4.6735636643927214E-2</v>
      </c>
      <c r="BD247" s="28">
        <f t="shared" si="3867"/>
        <v>3.2068559610116676E-3</v>
      </c>
      <c r="BE247" s="28">
        <f t="shared" si="3867"/>
        <v>6.63446301972348E-4</v>
      </c>
      <c r="BF247" s="28">
        <f t="shared" si="3867"/>
        <v>-8.8053829547073414E-3</v>
      </c>
      <c r="BG247" s="28">
        <f t="shared" si="3867"/>
        <v>-7.2583542939274048E-3</v>
      </c>
      <c r="BH247" s="28">
        <f t="shared" si="3867"/>
        <v>9.3940372643137593E-3</v>
      </c>
      <c r="BI247" s="28">
        <f t="shared" si="3867"/>
        <v>1.1331225968036485E-2</v>
      </c>
      <c r="BJ247" s="28">
        <f t="shared" si="3867"/>
        <v>1.3069827572099513E-2</v>
      </c>
      <c r="BK247" s="28">
        <f t="shared" si="3867"/>
        <v>7.4521185231450904E-3</v>
      </c>
      <c r="BL247" s="28">
        <f t="shared" si="3867"/>
        <v>1.637600679839446E-2</v>
      </c>
      <c r="CI247" s="92"/>
      <c r="CK247" s="92"/>
      <c r="CL247" s="92"/>
      <c r="CN247" s="92"/>
      <c r="CP247" s="92"/>
      <c r="CR247" s="92"/>
      <c r="CT247" s="92"/>
      <c r="CV247" s="92"/>
      <c r="CX247" s="92"/>
      <c r="CY247" s="92"/>
      <c r="CZ247" s="92"/>
      <c r="DA247" s="92"/>
      <c r="DB247" s="92"/>
      <c r="DC247" s="92"/>
    </row>
    <row r="248" spans="1:107" hidden="1" outlineLevel="1" x14ac:dyDescent="0.2">
      <c r="A248" s="7" t="s">
        <v>63</v>
      </c>
      <c r="B248" s="25" t="s">
        <v>82</v>
      </c>
      <c r="C248" s="25" t="s">
        <v>82</v>
      </c>
      <c r="D248" s="25" t="s">
        <v>82</v>
      </c>
      <c r="E248" s="25" t="s">
        <v>82</v>
      </c>
      <c r="F248" s="22">
        <f>IF(AND(B245&lt;0,F245&gt;0),"n/a",F245/B245-1)</f>
        <v>0.27617477328936513</v>
      </c>
      <c r="G248" s="22">
        <f>IF(AND(C245&lt;0,G245&gt;0),"n/a",G245/C245-1)</f>
        <v>0.3193304288007337</v>
      </c>
      <c r="H248" s="22">
        <f t="shared" ref="H248:W248" si="3868">IF(AND(D245&lt;0,H245&gt;0),"n/a",H245/D245-1)</f>
        <v>0.34383438343834394</v>
      </c>
      <c r="I248" s="22">
        <f t="shared" si="3868"/>
        <v>0.33061475409836061</v>
      </c>
      <c r="J248" s="22">
        <f t="shared" si="3868"/>
        <v>0.25691594467244272</v>
      </c>
      <c r="K248" s="22">
        <f t="shared" si="3868"/>
        <v>0.8980812013348165</v>
      </c>
      <c r="L248" s="22">
        <f t="shared" si="3868"/>
        <v>0.70784294963799321</v>
      </c>
      <c r="M248" s="22">
        <f t="shared" si="3868"/>
        <v>0.65894600671451009</v>
      </c>
      <c r="N248" s="22">
        <f t="shared" si="3868"/>
        <v>0.62925900172325178</v>
      </c>
      <c r="O248" s="22">
        <f t="shared" si="3868"/>
        <v>-0.17996850047615565</v>
      </c>
      <c r="P248" s="22">
        <f t="shared" si="3868"/>
        <v>-0.13306316064692036</v>
      </c>
      <c r="Q248" s="22">
        <f t="shared" si="3868"/>
        <v>-0.1133473199532129</v>
      </c>
      <c r="R248" s="22">
        <f t="shared" si="3868"/>
        <v>0</v>
      </c>
      <c r="S248" s="22">
        <f t="shared" si="3868"/>
        <v>0</v>
      </c>
      <c r="T248" s="22">
        <f t="shared" si="3868"/>
        <v>0</v>
      </c>
      <c r="U248" s="22">
        <f t="shared" si="3868"/>
        <v>0.12237205796130324</v>
      </c>
      <c r="V248" s="22">
        <f t="shared" si="3868"/>
        <v>2.8353528418474383E-2</v>
      </c>
      <c r="W248" s="22">
        <f t="shared" si="3868"/>
        <v>0.27628023315541461</v>
      </c>
      <c r="X248" s="22">
        <f>IF(AND(T245&lt;0,X245&gt;0),"n/a",X245/T245-1)</f>
        <v>0.29200146485426859</v>
      </c>
      <c r="Y248" s="22">
        <f t="shared" ref="Y248:AQ248" si="3869">IF(AND(U245&lt;0,Y245&gt;0),"n/a",Y245/U245-1)</f>
        <v>0.15324626865671642</v>
      </c>
      <c r="Z248" s="22">
        <f t="shared" si="3869"/>
        <v>0.1569136938595066</v>
      </c>
      <c r="AA248" s="22">
        <f t="shared" si="3869"/>
        <v>0.16495765381115701</v>
      </c>
      <c r="AB248" s="22">
        <f t="shared" si="3869"/>
        <v>0.1663498732826465</v>
      </c>
      <c r="AC248" s="22">
        <f t="shared" si="3869"/>
        <v>0.1656420875529816</v>
      </c>
      <c r="AD248" s="22">
        <f t="shared" si="3869"/>
        <v>0.15405131404507522</v>
      </c>
      <c r="AE248" s="22">
        <f t="shared" si="3869"/>
        <v>0.13565152084115661</v>
      </c>
      <c r="AF248" s="22">
        <f t="shared" si="3869"/>
        <v>0.11647820679599152</v>
      </c>
      <c r="AG248" s="22">
        <f t="shared" si="3869"/>
        <v>0.11182046549068048</v>
      </c>
      <c r="AH248" s="22">
        <f t="shared" si="3869"/>
        <v>0.14944858903665259</v>
      </c>
      <c r="AI248" s="22">
        <f t="shared" si="3869"/>
        <v>0.17792238711213404</v>
      </c>
      <c r="AJ248" s="22">
        <f t="shared" si="3869"/>
        <v>0.20833279983610975</v>
      </c>
      <c r="AK248" s="22">
        <f t="shared" si="3869"/>
        <v>0.23294220446885539</v>
      </c>
      <c r="AL248" s="22">
        <f t="shared" si="3869"/>
        <v>0.21644914756025857</v>
      </c>
      <c r="AM248" s="22">
        <f t="shared" si="3869"/>
        <v>0.20871791416829488</v>
      </c>
      <c r="AN248" s="22">
        <f t="shared" si="3869"/>
        <v>0.20900267028355879</v>
      </c>
      <c r="AO248" s="22">
        <f t="shared" si="3869"/>
        <v>0.20378451164815581</v>
      </c>
      <c r="AP248" s="22">
        <f t="shared" si="3869"/>
        <v>0.18934070501358025</v>
      </c>
      <c r="AQ248" s="22">
        <f t="shared" si="3869"/>
        <v>0.18441930029912856</v>
      </c>
      <c r="AR248" s="22">
        <f>IF(AND(AN245&lt;0,AR245&gt;0),"n/a",AR245/AN245-1)</f>
        <v>0.1579809984574394</v>
      </c>
      <c r="AS248" s="22">
        <f t="shared" ref="AS248" si="3870">IF(AND(AO245&lt;0,AS245&gt;0),"n/a",AS245/AO245-1)</f>
        <v>0.13794901555101391</v>
      </c>
      <c r="AT248" s="22">
        <f t="shared" ref="AT248" si="3871">IF(AND(AP245&lt;0,AT245&gt;0),"n/a",AT245/AP245-1)</f>
        <v>0.13772674078408431</v>
      </c>
      <c r="AU248" s="22">
        <f t="shared" ref="AU248" si="3872">IF(AND(AQ245&lt;0,AU245&gt;0),"n/a",AU245/AQ245-1)</f>
        <v>0.12986870382280502</v>
      </c>
      <c r="AV248" s="22">
        <f t="shared" ref="AV248" si="3873">IF(AND(AR245&lt;0,AV245&gt;0),"n/a",AV245/AR245-1)</f>
        <v>0.13553485062934745</v>
      </c>
      <c r="AW248" s="22">
        <f t="shared" ref="AW248" si="3874">IF(AND(AS245&lt;0,AW245&gt;0),"n/a",AW245/AS245-1)</f>
        <v>0.15668029061130362</v>
      </c>
      <c r="AX248" s="22">
        <f t="shared" ref="AX248" si="3875">IF(AND(AT245&lt;0,AX245&gt;0),"n/a",AX245/AT245-1)</f>
        <v>0.17079895710561099</v>
      </c>
      <c r="AY248" s="22">
        <f t="shared" ref="AY248:BL248" si="3876">IF(AND(AU245&lt;0,AY245&gt;0),"n/a",AY245/AU245-1)</f>
        <v>0.20796079302493475</v>
      </c>
      <c r="AZ248" s="22">
        <f t="shared" si="3876"/>
        <v>0.24496094062441687</v>
      </c>
      <c r="BA248" s="22">
        <f t="shared" si="3876"/>
        <v>0.21555271565495215</v>
      </c>
      <c r="BB248" s="28">
        <f t="shared" si="3876"/>
        <v>0.16353885763791443</v>
      </c>
      <c r="BC248" s="28">
        <f t="shared" si="3876"/>
        <v>4.4732033054811771E-2</v>
      </c>
      <c r="BD248" s="28">
        <f t="shared" si="3876"/>
        <v>-2.3546544311726647E-2</v>
      </c>
      <c r="BE248" s="28">
        <f t="shared" si="3876"/>
        <v>-4.0644679710251541E-2</v>
      </c>
      <c r="BF248" s="28">
        <f t="shared" si="3876"/>
        <v>-5.1470549679882072E-2</v>
      </c>
      <c r="BG248" s="28">
        <f t="shared" si="3876"/>
        <v>-1.2189353018185023E-2</v>
      </c>
      <c r="BH248" s="28">
        <f t="shared" si="3876"/>
        <v>-6.0971263453978297E-3</v>
      </c>
      <c r="BI248" s="28">
        <f t="shared" si="3876"/>
        <v>4.4985808374702341E-3</v>
      </c>
      <c r="BJ248" s="28">
        <f t="shared" si="3876"/>
        <v>2.6667403742502538E-2</v>
      </c>
      <c r="BK248" s="28">
        <f t="shared" si="3876"/>
        <v>4.1880589368644916E-2</v>
      </c>
      <c r="BL248" s="28">
        <f t="shared" si="3876"/>
        <v>4.9087268093275682E-2</v>
      </c>
      <c r="CI248" s="92"/>
      <c r="CK248" s="92"/>
      <c r="CL248" s="92"/>
      <c r="CN248" s="92"/>
      <c r="CP248" s="92"/>
      <c r="CR248" s="92"/>
      <c r="CT248" s="92"/>
      <c r="CV248" s="92"/>
      <c r="CX248" s="92"/>
      <c r="CY248" s="92"/>
      <c r="CZ248" s="92"/>
      <c r="DA248" s="92"/>
      <c r="DB248" s="92"/>
      <c r="DC248" s="92"/>
    </row>
    <row r="249" spans="1:107" hidden="1" outlineLevel="1" x14ac:dyDescent="0.2"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255"/>
      <c r="BH249" s="255"/>
      <c r="BI249" s="255"/>
      <c r="BJ249" s="255"/>
      <c r="BK249" s="255"/>
      <c r="BL249" s="255"/>
      <c r="CI249" s="92"/>
      <c r="CK249" s="92"/>
      <c r="CL249" s="92"/>
      <c r="CN249" s="92"/>
      <c r="CP249" s="92"/>
      <c r="CR249" s="92"/>
      <c r="CT249" s="92"/>
      <c r="CV249" s="92"/>
      <c r="CX249" s="92"/>
      <c r="CY249" s="92"/>
      <c r="CZ249" s="92"/>
      <c r="DA249" s="92"/>
      <c r="DB249" s="92"/>
      <c r="DC249" s="92"/>
    </row>
    <row r="250" spans="1:107" collapsed="1" x14ac:dyDescent="0.2">
      <c r="A250" s="4" t="s">
        <v>131</v>
      </c>
      <c r="B250" s="21">
        <f>B201+B243</f>
        <v>2506</v>
      </c>
      <c r="C250" s="21">
        <f t="shared" ref="C250:BN250" si="3877">C201+C243</f>
        <v>2434</v>
      </c>
      <c r="D250" s="21">
        <f t="shared" si="3877"/>
        <v>2714</v>
      </c>
      <c r="E250" s="21">
        <f t="shared" si="3877"/>
        <v>3142</v>
      </c>
      <c r="F250" s="21">
        <f t="shared" si="3877"/>
        <v>2392</v>
      </c>
      <c r="G250" s="21">
        <f t="shared" si="3877"/>
        <v>3085</v>
      </c>
      <c r="H250" s="21">
        <f t="shared" si="3877"/>
        <v>3360</v>
      </c>
      <c r="I250" s="21">
        <f t="shared" si="3877"/>
        <v>3489</v>
      </c>
      <c r="J250" s="21">
        <f t="shared" si="3877"/>
        <v>3545</v>
      </c>
      <c r="K250" s="21">
        <f t="shared" si="3877"/>
        <v>3690</v>
      </c>
      <c r="L250" s="21">
        <f t="shared" si="3877"/>
        <v>3326</v>
      </c>
      <c r="M250" s="21">
        <f t="shared" si="3877"/>
        <v>3899</v>
      </c>
      <c r="N250" s="21">
        <f t="shared" si="3877"/>
        <v>3879</v>
      </c>
      <c r="O250" s="21">
        <f t="shared" si="3877"/>
        <v>3698</v>
      </c>
      <c r="P250" s="21">
        <f t="shared" si="3877"/>
        <v>3772</v>
      </c>
      <c r="Q250" s="21">
        <f t="shared" si="3877"/>
        <v>4563</v>
      </c>
      <c r="R250" s="21">
        <f t="shared" si="3877"/>
        <v>4472</v>
      </c>
      <c r="S250" s="21">
        <f t="shared" si="3877"/>
        <v>4403</v>
      </c>
      <c r="T250" s="21">
        <f t="shared" si="3877"/>
        <v>3857</v>
      </c>
      <c r="U250" s="21">
        <f t="shared" si="3877"/>
        <v>4527</v>
      </c>
      <c r="V250" s="21">
        <f t="shared" si="3877"/>
        <v>4604</v>
      </c>
      <c r="W250" s="21">
        <f t="shared" si="3877"/>
        <v>4956</v>
      </c>
      <c r="X250" s="21">
        <f t="shared" si="3877"/>
        <v>4891</v>
      </c>
      <c r="Y250" s="21">
        <f t="shared" si="3877"/>
        <v>5200</v>
      </c>
      <c r="Z250" s="21">
        <f t="shared" si="3877"/>
        <v>5129</v>
      </c>
      <c r="AA250" s="21">
        <f t="shared" si="3877"/>
        <v>6119</v>
      </c>
      <c r="AB250" s="21">
        <f t="shared" si="3877"/>
        <v>6045</v>
      </c>
      <c r="AC250" s="21">
        <f t="shared" si="3877"/>
        <v>6857</v>
      </c>
      <c r="AD250" s="21">
        <f t="shared" si="3877"/>
        <v>6819</v>
      </c>
      <c r="AE250" s="21">
        <f t="shared" si="3877"/>
        <v>4377</v>
      </c>
      <c r="AF250" s="21">
        <f t="shared" si="3877"/>
        <v>7979</v>
      </c>
      <c r="AG250" s="21">
        <f t="shared" si="3877"/>
        <v>8018</v>
      </c>
      <c r="AH250" s="21">
        <f t="shared" si="3877"/>
        <v>10543</v>
      </c>
      <c r="AI250" s="21">
        <f t="shared" si="3877"/>
        <v>4215</v>
      </c>
      <c r="AJ250" s="21">
        <f t="shared" si="3877"/>
        <v>10083</v>
      </c>
      <c r="AK250" s="21">
        <f t="shared" si="3877"/>
        <v>10072</v>
      </c>
      <c r="AL250" s="21">
        <f t="shared" si="3877"/>
        <v>8146</v>
      </c>
      <c r="AM250" s="21">
        <f t="shared" si="3877"/>
        <v>12147</v>
      </c>
      <c r="AN250" s="21">
        <f t="shared" si="3877"/>
        <v>8628</v>
      </c>
      <c r="AO250" s="21">
        <f t="shared" si="3877"/>
        <v>10704</v>
      </c>
      <c r="AP250" s="21">
        <f t="shared" si="3877"/>
        <v>7757</v>
      </c>
      <c r="AQ250" s="21">
        <f t="shared" si="3877"/>
        <v>8277</v>
      </c>
      <c r="AR250" s="21">
        <f t="shared" si="3877"/>
        <v>13359</v>
      </c>
      <c r="AS250" s="21">
        <f t="shared" si="3877"/>
        <v>18689</v>
      </c>
      <c r="AT250" s="21">
        <f t="shared" si="3877"/>
        <v>21283</v>
      </c>
      <c r="AU250" s="21">
        <f>AU201+AU243</f>
        <v>21985</v>
      </c>
      <c r="AV250" s="21">
        <f>AV201+AV243</f>
        <v>23064</v>
      </c>
      <c r="AW250" s="21">
        <f t="shared" si="3877"/>
        <v>24402</v>
      </c>
      <c r="AX250" s="21">
        <f t="shared" si="3877"/>
        <v>18934</v>
      </c>
      <c r="AY250" s="21">
        <f t="shared" si="3877"/>
        <v>19014</v>
      </c>
      <c r="AZ250" s="21">
        <f t="shared" si="3877"/>
        <v>16233</v>
      </c>
      <c r="BA250" s="21">
        <f t="shared" si="3877"/>
        <v>17147</v>
      </c>
      <c r="BB250" s="21">
        <f t="shared" si="3877"/>
        <v>18205</v>
      </c>
      <c r="BC250" s="21">
        <f t="shared" ref="BC250:BD250" si="3878">BC201+BC243</f>
        <v>21903</v>
      </c>
      <c r="BD250" s="21">
        <f t="shared" si="3878"/>
        <v>21197</v>
      </c>
      <c r="BE250" s="21">
        <f t="shared" si="3877"/>
        <v>24412</v>
      </c>
      <c r="BF250" s="21">
        <f t="shared" ref="BF250:BG250" si="3879">BF201+BF243</f>
        <v>28315</v>
      </c>
      <c r="BG250" s="21">
        <f t="shared" si="3879"/>
        <v>27551</v>
      </c>
      <c r="BH250" s="21">
        <f t="shared" ref="BH250:BI250" si="3880">BH201+BH243</f>
        <v>31706</v>
      </c>
      <c r="BI250" s="21">
        <f t="shared" si="3880"/>
        <v>32243</v>
      </c>
      <c r="BJ250" s="21">
        <f t="shared" ref="BJ250:BK250" si="3881">BJ201+BJ243</f>
        <v>41789</v>
      </c>
      <c r="BK250" s="21">
        <f t="shared" si="3881"/>
        <v>33933</v>
      </c>
      <c r="BL250" s="21">
        <f t="shared" ref="BL250" si="3882">BL201+BL243</f>
        <v>43987</v>
      </c>
      <c r="BM250" s="21">
        <f t="shared" si="3877"/>
        <v>37368.871654503215</v>
      </c>
      <c r="BN250" s="21">
        <f t="shared" si="3877"/>
        <v>36781.090335659756</v>
      </c>
      <c r="BO250" s="21">
        <f t="shared" ref="BO250:BQ250" si="3883">BO201+BO243</f>
        <v>38756.023778539056</v>
      </c>
      <c r="BP250" s="21">
        <f t="shared" si="3883"/>
        <v>39966.86598818357</v>
      </c>
      <c r="BQ250" s="21">
        <f t="shared" si="3883"/>
        <v>41604.906761018101</v>
      </c>
      <c r="BR250" s="21">
        <f>BR201+BR243</f>
        <v>42280.791455840466</v>
      </c>
      <c r="BS250" s="21">
        <f t="shared" ref="BS250:BU250" si="3884">BS201+BS243</f>
        <v>44430.731359883182</v>
      </c>
      <c r="BT250" s="21">
        <f t="shared" si="3884"/>
        <v>45948.049170958679</v>
      </c>
      <c r="BU250" s="21">
        <f t="shared" si="3884"/>
        <v>47716.566190097903</v>
      </c>
      <c r="BV250" s="21">
        <f t="shared" ref="BV250:CC250" si="3885">BV201+BV243</f>
        <v>48987.819772665236</v>
      </c>
      <c r="BW250" s="21">
        <f t="shared" si="3885"/>
        <v>51468.003348292797</v>
      </c>
      <c r="BX250" s="21">
        <f t="shared" si="3885"/>
        <v>53163.616075339887</v>
      </c>
      <c r="BY250" s="21">
        <f t="shared" si="3885"/>
        <v>54951.081489121119</v>
      </c>
      <c r="BZ250" s="21">
        <f t="shared" si="3885"/>
        <v>56541.929132905279</v>
      </c>
      <c r="CA250" s="21">
        <f t="shared" si="3885"/>
        <v>59229.122815768751</v>
      </c>
      <c r="CB250" s="21">
        <f t="shared" si="3885"/>
        <v>61096.310630746186</v>
      </c>
      <c r="CC250" s="21">
        <f t="shared" si="3885"/>
        <v>62896.169182392034</v>
      </c>
      <c r="CD250" s="21">
        <f t="shared" ref="CD250:CG250" si="3886">CD201+CD243</f>
        <v>64781.758855005719</v>
      </c>
      <c r="CE250" s="21">
        <f t="shared" si="3886"/>
        <v>67942.197280244858</v>
      </c>
      <c r="CF250" s="21">
        <f t="shared" si="3886"/>
        <v>69875.47398251883</v>
      </c>
      <c r="CG250" s="21">
        <f t="shared" si="3886"/>
        <v>71668.663454041132</v>
      </c>
      <c r="CH250" s="21"/>
      <c r="CI250" s="90">
        <f>SUM(B250:E250)</f>
        <v>10796</v>
      </c>
      <c r="CJ250" s="21">
        <f>SUM(F250:I250)</f>
        <v>12326</v>
      </c>
      <c r="CK250" s="90">
        <f>SUM(J250:M250)</f>
        <v>14460</v>
      </c>
      <c r="CL250" s="90">
        <f>SUM(N250:Q250)</f>
        <v>15912</v>
      </c>
      <c r="CM250" s="21">
        <f>SUM(R250:U250)</f>
        <v>17259</v>
      </c>
      <c r="CN250" s="90">
        <f>SUM(V250:Y250)</f>
        <v>19651</v>
      </c>
      <c r="CO250" s="21">
        <f>SUM(Z250:AC250)</f>
        <v>24150</v>
      </c>
      <c r="CP250" s="90">
        <f>SUM(AD250:AG250)</f>
        <v>27193</v>
      </c>
      <c r="CQ250" s="21">
        <f>SUM(AH250:AK250)</f>
        <v>34913</v>
      </c>
      <c r="CR250" s="90">
        <f>SUM(AL250:AO250)</f>
        <v>39625</v>
      </c>
      <c r="CS250" s="21">
        <f>SUM(AP250:AS250)</f>
        <v>48082</v>
      </c>
      <c r="CT250" s="90">
        <f>SUM(AT250:AW250)</f>
        <v>90734</v>
      </c>
      <c r="CU250" s="21">
        <f>SUM(AX250:BA250)</f>
        <v>71328</v>
      </c>
      <c r="CV250" s="90">
        <f>SUM(BB250:BE250)</f>
        <v>85717</v>
      </c>
      <c r="CW250" s="21">
        <f>SUM(BF250:BI250)</f>
        <v>119815</v>
      </c>
      <c r="CX250" s="90">
        <f>SUM(BJ250:BM250)</f>
        <v>157077.87165450322</v>
      </c>
      <c r="CY250" s="90">
        <f>SUM(BN250:BQ250)</f>
        <v>157108.88686340046</v>
      </c>
      <c r="CZ250" s="90">
        <f>SUM(BR250:BU250)</f>
        <v>180376.13817678019</v>
      </c>
      <c r="DA250" s="90">
        <f>SUM(BV250:BY250)</f>
        <v>208570.52068541903</v>
      </c>
      <c r="DB250" s="90">
        <f>SUM(BZ250:CC250)</f>
        <v>239763.53176181225</v>
      </c>
      <c r="DC250" s="90">
        <f>SUM(CD250:CG250)</f>
        <v>274268.09357181052</v>
      </c>
    </row>
    <row r="251" spans="1:107" x14ac:dyDescent="0.2">
      <c r="A251" s="7" t="s">
        <v>132</v>
      </c>
      <c r="B251" s="22">
        <f>B250/B$85</f>
        <v>0.49486571879936808</v>
      </c>
      <c r="C251" s="22">
        <f t="shared" ref="C251:F251" si="3887">C250/C$85</f>
        <v>0.47838050314465408</v>
      </c>
      <c r="D251" s="22">
        <f t="shared" si="3887"/>
        <v>0.49516511585477102</v>
      </c>
      <c r="E251" s="22">
        <f t="shared" si="3887"/>
        <v>0.49317218646994193</v>
      </c>
      <c r="F251" s="22">
        <f t="shared" si="3887"/>
        <v>0.3659730722154223</v>
      </c>
      <c r="G251" s="22">
        <f t="shared" ref="G251:BQ251" si="3888">G250/G$85</f>
        <v>0.44619612380676887</v>
      </c>
      <c r="H251" s="22">
        <f t="shared" si="3888"/>
        <v>0.4472843450479233</v>
      </c>
      <c r="I251" s="22">
        <f t="shared" si="3888"/>
        <v>0.4290457452041318</v>
      </c>
      <c r="J251" s="22">
        <f t="shared" si="3888"/>
        <v>0.43571779744346117</v>
      </c>
      <c r="K251" s="22">
        <f t="shared" si="3888"/>
        <v>0.44133476856835308</v>
      </c>
      <c r="L251" s="22">
        <f t="shared" si="3888"/>
        <v>0.38002742230347347</v>
      </c>
      <c r="M251" s="22">
        <f t="shared" si="3888"/>
        <v>0.39656224572823434</v>
      </c>
      <c r="N251" s="22">
        <f t="shared" si="3888"/>
        <v>0.38852163461538464</v>
      </c>
      <c r="O251" s="22">
        <f t="shared" si="3888"/>
        <v>0.36646516698047765</v>
      </c>
      <c r="P251" s="22">
        <f t="shared" si="3888"/>
        <v>0.34997216552236038</v>
      </c>
      <c r="Q251" s="22">
        <f t="shared" si="3888"/>
        <v>0.3677466150870406</v>
      </c>
      <c r="R251" s="22">
        <f t="shared" si="3888"/>
        <v>0.36688817786528838</v>
      </c>
      <c r="S251" s="22">
        <f t="shared" si="3888"/>
        <v>0.34776084037595767</v>
      </c>
      <c r="T251" s="22">
        <f t="shared" si="3888"/>
        <v>0.2927514231499051</v>
      </c>
      <c r="U251" s="22">
        <f t="shared" si="3888"/>
        <v>0.31265971406865117</v>
      </c>
      <c r="V251" s="22">
        <f t="shared" si="3888"/>
        <v>0.33091353410479407</v>
      </c>
      <c r="W251" s="22">
        <f t="shared" si="3888"/>
        <v>0.34536585365853656</v>
      </c>
      <c r="X251" s="22">
        <f t="shared" si="3888"/>
        <v>0.32371434244490038</v>
      </c>
      <c r="Y251" s="22">
        <f t="shared" si="3888"/>
        <v>0.30103045038786613</v>
      </c>
      <c r="Z251" s="22">
        <f t="shared" si="3888"/>
        <v>0.31143360252595786</v>
      </c>
      <c r="AA251" s="22">
        <f t="shared" si="3888"/>
        <v>0.34915834522111272</v>
      </c>
      <c r="AB251" s="22">
        <f t="shared" si="3888"/>
        <v>0.33088839016913896</v>
      </c>
      <c r="AC251" s="22">
        <f t="shared" si="3888"/>
        <v>0.32319947209653094</v>
      </c>
      <c r="AD251" s="22">
        <f t="shared" si="3888"/>
        <v>0.3388996570746981</v>
      </c>
      <c r="AE251" s="22">
        <f t="shared" si="3888"/>
        <v>0.20923562311773986</v>
      </c>
      <c r="AF251" s="22">
        <f t="shared" si="3888"/>
        <v>0.3582846879209699</v>
      </c>
      <c r="AG251" s="22">
        <f t="shared" si="3888"/>
        <v>0.30989834963088936</v>
      </c>
      <c r="AH251" s="22">
        <f t="shared" si="3888"/>
        <v>0.42412905302116016</v>
      </c>
      <c r="AI251" s="22">
        <f t="shared" si="3888"/>
        <v>0.16065098906124939</v>
      </c>
      <c r="AJ251" s="22">
        <f t="shared" si="3888"/>
        <v>0.37127181677590398</v>
      </c>
      <c r="AK251" s="22">
        <f t="shared" si="3888"/>
        <v>0.31633165829145726</v>
      </c>
      <c r="AL251" s="22">
        <f t="shared" si="3888"/>
        <v>0.27633230435225076</v>
      </c>
      <c r="AM251" s="22">
        <f t="shared" si="3888"/>
        <v>0.38311360625749069</v>
      </c>
      <c r="AN251" s="22">
        <f t="shared" si="3888"/>
        <v>0.26138325911115151</v>
      </c>
      <c r="AO251" s="22">
        <f t="shared" si="3888"/>
        <v>0.28487784106030767</v>
      </c>
      <c r="AP251" s="22">
        <f t="shared" si="3888"/>
        <v>0.23013024000949359</v>
      </c>
      <c r="AQ251" s="22">
        <f t="shared" si="3888"/>
        <v>0.26190551529918044</v>
      </c>
      <c r="AR251" s="22">
        <f t="shared" si="3888"/>
        <v>0.35148788381087692</v>
      </c>
      <c r="AS251" s="22">
        <f t="shared" si="3888"/>
        <v>0.40250258442453479</v>
      </c>
      <c r="AT251" s="22">
        <f t="shared" si="3888"/>
        <v>0.4667119863163896</v>
      </c>
      <c r="AU251" s="22">
        <f t="shared" si="3888"/>
        <v>0.43149300308139193</v>
      </c>
      <c r="AV251" s="22">
        <f t="shared" si="3888"/>
        <v>0.43013800820589332</v>
      </c>
      <c r="AW251" s="22">
        <f t="shared" si="3888"/>
        <v>0.39422921580664966</v>
      </c>
      <c r="AX251" s="22">
        <f t="shared" si="3888"/>
        <v>0.33798040020706521</v>
      </c>
      <c r="AY251" s="22">
        <f t="shared" si="3888"/>
        <v>0.33084512188756066</v>
      </c>
      <c r="AZ251" s="22">
        <f t="shared" si="3888"/>
        <v>0.28346662941361367</v>
      </c>
      <c r="BA251" s="22">
        <f t="shared" si="3888"/>
        <v>0.2716442501148551</v>
      </c>
      <c r="BB251" s="28">
        <f t="shared" si="3888"/>
        <v>0.31352254331278201</v>
      </c>
      <c r="BC251" s="28">
        <f t="shared" ref="BC251:BD251" si="3889">BC250/BC$85</f>
        <v>0.35289284160665085</v>
      </c>
      <c r="BD251" s="28">
        <f t="shared" si="3889"/>
        <v>0.33093940765952135</v>
      </c>
      <c r="BE251" s="28">
        <f t="shared" si="3888"/>
        <v>0.3375366406725292</v>
      </c>
      <c r="BF251" s="28">
        <f t="shared" ref="BF251:BG251" si="3890">BF250/BF$85</f>
        <v>0.4189043244122912</v>
      </c>
      <c r="BG251" s="28">
        <f t="shared" si="3890"/>
        <v>0.38611169504589726</v>
      </c>
      <c r="BH251" s="28">
        <f t="shared" ref="BH251:BI251" si="3891">BH250/BH$85</f>
        <v>0.42530416236300955</v>
      </c>
      <c r="BI251" s="28">
        <f t="shared" si="3891"/>
        <v>0.395033140980875</v>
      </c>
      <c r="BJ251" s="28">
        <f t="shared" ref="BJ251:BK251" si="3892">BJ250/BJ$85</f>
        <v>0.54636142562037493</v>
      </c>
      <c r="BK251" s="28">
        <f t="shared" si="3892"/>
        <v>0.41521970559083732</v>
      </c>
      <c r="BL251" s="28">
        <f t="shared" ref="BL251" si="3893">BL250/BL$85</f>
        <v>0.50288098776723444</v>
      </c>
      <c r="BM251" s="22">
        <f t="shared" si="3888"/>
        <v>0.39123442324299756</v>
      </c>
      <c r="BN251" s="22">
        <f t="shared" si="3888"/>
        <v>0.41307526284228141</v>
      </c>
      <c r="BO251" s="22">
        <f t="shared" si="3888"/>
        <v>0.4108058768889114</v>
      </c>
      <c r="BP251" s="22">
        <f t="shared" si="3888"/>
        <v>0.39853177456771743</v>
      </c>
      <c r="BQ251" s="22">
        <f t="shared" si="3888"/>
        <v>0.38432964841932915</v>
      </c>
      <c r="BR251" s="28">
        <f>BR250/BR$85</f>
        <v>0.4146859886467596</v>
      </c>
      <c r="BS251" s="28">
        <f t="shared" ref="BS251:BU251" si="3894">BS250/BS$85</f>
        <v>0.41292332275745125</v>
      </c>
      <c r="BT251" s="28">
        <f t="shared" si="3894"/>
        <v>0.40120515584956318</v>
      </c>
      <c r="BU251" s="28">
        <f t="shared" si="3894"/>
        <v>0.38722118686899271</v>
      </c>
      <c r="BV251" s="28">
        <f t="shared" ref="BV251:CC251" si="3895">BV250/BV$85</f>
        <v>0.42212155903490228</v>
      </c>
      <c r="BW251" s="28">
        <f t="shared" si="3895"/>
        <v>0.42182644684536902</v>
      </c>
      <c r="BX251" s="28">
        <f t="shared" si="3895"/>
        <v>0.40883169669866637</v>
      </c>
      <c r="BY251" s="28">
        <f t="shared" si="3895"/>
        <v>0.39394691601602067</v>
      </c>
      <c r="BZ251" s="28">
        <f t="shared" si="3895"/>
        <v>0.43187891744946905</v>
      </c>
      <c r="CA251" s="28">
        <f t="shared" si="3895"/>
        <v>0.4318508015455978</v>
      </c>
      <c r="CB251" s="28">
        <f t="shared" si="3895"/>
        <v>0.41745705217209644</v>
      </c>
      <c r="CC251" s="28">
        <f t="shared" si="3895"/>
        <v>0.40180708087486577</v>
      </c>
      <c r="CD251" s="28">
        <f t="shared" ref="CD251:CG251" si="3896">CD250/CD$85</f>
        <v>0.44257146508288198</v>
      </c>
      <c r="CE251" s="28">
        <f t="shared" si="3896"/>
        <v>0.444597981562253</v>
      </c>
      <c r="CF251" s="28">
        <f t="shared" si="3896"/>
        <v>0.42802178108755778</v>
      </c>
      <c r="CG251" s="28">
        <f t="shared" si="3896"/>
        <v>0.41156944280238</v>
      </c>
      <c r="CH251" s="28"/>
      <c r="CI251" s="107">
        <f>CI250/CI$85</f>
        <v>0.49063806580621705</v>
      </c>
      <c r="CJ251" s="22">
        <f t="shared" ref="CJ251" si="3897">CJ250/CJ$85</f>
        <v>0.42366123599367567</v>
      </c>
      <c r="CK251" s="107">
        <f t="shared" ref="CK251" si="3898">CK250/CK$85</f>
        <v>0.41218893418089564</v>
      </c>
      <c r="CL251" s="107">
        <f t="shared" ref="CL251" si="3899">CL250/CL$85</f>
        <v>0.36781396639005109</v>
      </c>
      <c r="CM251" s="22">
        <f t="shared" ref="CM251" si="3900">CM250/CM$85</f>
        <v>0.3287178119762304</v>
      </c>
      <c r="CN251" s="107">
        <f t="shared" ref="CN251" si="3901">CN250/CN$85</f>
        <v>0.32402796557068891</v>
      </c>
      <c r="CO251" s="22">
        <f t="shared" ref="CO251" si="3902">CO250/CO$85</f>
        <v>0.32866533295227207</v>
      </c>
      <c r="CP251" s="107">
        <f t="shared" ref="CP251" si="3903">CP250/CP$85</f>
        <v>0.30491237119181908</v>
      </c>
      <c r="CQ251" s="22">
        <f t="shared" ref="CQ251" si="3904">CQ250/CQ$85</f>
        <v>0.31712279618141026</v>
      </c>
      <c r="CR251" s="107">
        <f t="shared" ref="CR251" si="3905">CR250/CR$85</f>
        <v>0.30071792848035944</v>
      </c>
      <c r="CS251" s="22">
        <f t="shared" ref="CS251" si="3906">CS250/CS$85</f>
        <v>0.32108394713821126</v>
      </c>
      <c r="CT251" s="107">
        <f t="shared" ref="CT251" si="3907">CT250/CT$85</f>
        <v>0.42784727756270308</v>
      </c>
      <c r="CU251" s="22">
        <f t="shared" ref="CU251" si="3908">CU250/CU$85</f>
        <v>0.30497560725326128</v>
      </c>
      <c r="CV251" s="107">
        <f t="shared" ref="CV251" si="3909">CV250/CV$85</f>
        <v>0.33416891480967453</v>
      </c>
      <c r="CW251" s="22">
        <f t="shared" ref="CW251" si="3910">CW250/CW$85</f>
        <v>0.40599014631435559</v>
      </c>
      <c r="CX251" s="107">
        <f t="shared" ref="CX251" si="3911">CX250/CX$85</f>
        <v>0.46037660534866953</v>
      </c>
      <c r="CY251" s="107">
        <f t="shared" ref="CY251" si="3912">CY250/CY$85</f>
        <v>0.40086773455689284</v>
      </c>
      <c r="CZ251" s="107">
        <f>CZ250/CZ$85</f>
        <v>0.40324432902983848</v>
      </c>
      <c r="DA251" s="107">
        <f>DA250/DA$85</f>
        <v>0.41090338858827757</v>
      </c>
      <c r="DB251" s="107">
        <f>DB250/DB$85</f>
        <v>0.41993097594427209</v>
      </c>
      <c r="DC251" s="107">
        <f>DC250/DC$85</f>
        <v>0.4308461244307783</v>
      </c>
    </row>
    <row r="252" spans="1:107" x14ac:dyDescent="0.2">
      <c r="A252" s="7" t="s">
        <v>62</v>
      </c>
      <c r="B252" s="25" t="s">
        <v>82</v>
      </c>
      <c r="C252" s="22">
        <f>IF(AND(B250&lt;0,C250&gt;0),"n/a",C250/B250-1)</f>
        <v>-2.873104549082206E-2</v>
      </c>
      <c r="D252" s="22">
        <f t="shared" ref="D252" si="3913">IF(AND(C250&lt;0,D250&gt;0),"n/a",D250/C250-1)</f>
        <v>0.11503697617091202</v>
      </c>
      <c r="E252" s="22">
        <f t="shared" ref="E252" si="3914">IF(AND(D250&lt;0,E250&gt;0),"n/a",E250/D250-1)</f>
        <v>0.15770081061164332</v>
      </c>
      <c r="F252" s="22">
        <f t="shared" ref="F252" si="3915">IF(AND(E250&lt;0,F250&gt;0),"n/a",F250/E250-1)</f>
        <v>-0.23870146403564607</v>
      </c>
      <c r="G252" s="22">
        <f t="shared" ref="G252" si="3916">IF(AND(F250&lt;0,G250&gt;0),"n/a",G250/F250-1)</f>
        <v>0.2897157190635451</v>
      </c>
      <c r="H252" s="22">
        <f t="shared" ref="H252" si="3917">IF(AND(G250&lt;0,H250&gt;0),"n/a",H250/G250-1)</f>
        <v>8.9141004862236528E-2</v>
      </c>
      <c r="I252" s="22">
        <f t="shared" ref="I252" si="3918">IF(AND(H250&lt;0,I250&gt;0),"n/a",I250/H250-1)</f>
        <v>3.8392857142857117E-2</v>
      </c>
      <c r="J252" s="22">
        <f t="shared" ref="J252" si="3919">IF(AND(I250&lt;0,J250&gt;0),"n/a",J250/I250-1)</f>
        <v>1.6050444253367768E-2</v>
      </c>
      <c r="K252" s="22">
        <f t="shared" ref="K252" si="3920">IF(AND(J250&lt;0,K250&gt;0),"n/a",K250/J250-1)</f>
        <v>4.0902679830747468E-2</v>
      </c>
      <c r="L252" s="22">
        <f t="shared" ref="L252" si="3921">IF(AND(K250&lt;0,L250&gt;0),"n/a",L250/K250-1)</f>
        <v>-9.8644986449864525E-2</v>
      </c>
      <c r="M252" s="22">
        <f t="shared" ref="M252" si="3922">IF(AND(L250&lt;0,M250&gt;0),"n/a",M250/L250-1)</f>
        <v>0.17227901383042687</v>
      </c>
      <c r="N252" s="22">
        <f t="shared" ref="N252" si="3923">IF(AND(M250&lt;0,N250&gt;0),"n/a",N250/M250-1)</f>
        <v>-5.1295203898436004E-3</v>
      </c>
      <c r="O252" s="22">
        <f t="shared" ref="O252" si="3924">IF(AND(N250&lt;0,O250&gt;0),"n/a",O250/N250-1)</f>
        <v>-4.6661510698633668E-2</v>
      </c>
      <c r="P252" s="22">
        <f t="shared" ref="P252" si="3925">IF(AND(O250&lt;0,P250&gt;0),"n/a",P250/O250-1)</f>
        <v>2.0010816657652697E-2</v>
      </c>
      <c r="Q252" s="22">
        <f t="shared" ref="Q252" si="3926">IF(AND(P250&lt;0,Q250&gt;0),"n/a",Q250/P250-1)</f>
        <v>0.20970307529162246</v>
      </c>
      <c r="R252" s="22">
        <f t="shared" ref="R252" si="3927">IF(AND(Q250&lt;0,R250&gt;0),"n/a",R250/Q250-1)</f>
        <v>-1.9943019943019946E-2</v>
      </c>
      <c r="S252" s="22">
        <f t="shared" ref="S252" si="3928">IF(AND(R250&lt;0,S250&gt;0),"n/a",S250/R250-1)</f>
        <v>-1.5429338103756685E-2</v>
      </c>
      <c r="T252" s="22">
        <f t="shared" ref="T252" si="3929">IF(AND(S250&lt;0,T250&gt;0),"n/a",T250/S250-1)</f>
        <v>-0.12400635930047699</v>
      </c>
      <c r="U252" s="22">
        <f t="shared" ref="U252" si="3930">IF(AND(T250&lt;0,U250&gt;0),"n/a",U250/T250-1)</f>
        <v>0.17371013741249675</v>
      </c>
      <c r="V252" s="22">
        <f t="shared" ref="V252" si="3931">IF(AND(U250&lt;0,V250&gt;0),"n/a",V250/U250-1)</f>
        <v>1.700905677048814E-2</v>
      </c>
      <c r="W252" s="22">
        <f t="shared" ref="W252" si="3932">IF(AND(V250&lt;0,W250&gt;0),"n/a",W250/V250-1)</f>
        <v>7.6455256298870511E-2</v>
      </c>
      <c r="X252" s="22">
        <f t="shared" ref="X252" si="3933">IF(AND(W250&lt;0,X250&gt;0),"n/a",X250/W250-1)</f>
        <v>-1.3115415657788509E-2</v>
      </c>
      <c r="Y252" s="22">
        <f t="shared" ref="Y252" si="3934">IF(AND(X250&lt;0,Y250&gt;0),"n/a",Y250/X250-1)</f>
        <v>6.3177264363115881E-2</v>
      </c>
      <c r="Z252" s="22">
        <f t="shared" ref="Z252" si="3935">IF(AND(Y250&lt;0,Z250&gt;0),"n/a",Z250/Y250-1)</f>
        <v>-1.3653846153846128E-2</v>
      </c>
      <c r="AA252" s="22">
        <f t="shared" ref="AA252" si="3936">IF(AND(Z250&lt;0,AA250&gt;0),"n/a",AA250/Z250-1)</f>
        <v>0.19302008188730757</v>
      </c>
      <c r="AB252" s="22">
        <f t="shared" ref="AB252" si="3937">IF(AND(AA250&lt;0,AB250&gt;0),"n/a",AB250/AA250-1)</f>
        <v>-1.2093479326687362E-2</v>
      </c>
      <c r="AC252" s="22">
        <f t="shared" ref="AC252" si="3938">IF(AND(AB250&lt;0,AC250&gt;0),"n/a",AC250/AB250-1)</f>
        <v>0.13432588916459887</v>
      </c>
      <c r="AD252" s="22">
        <f t="shared" ref="AD252" si="3939">IF(AND(AC250&lt;0,AD250&gt;0),"n/a",AD250/AC250-1)</f>
        <v>-5.5417821204608586E-3</v>
      </c>
      <c r="AE252" s="22">
        <f t="shared" ref="AE252" si="3940">IF(AND(AD250&lt;0,AE250&gt;0),"n/a",AE250/AD250-1)</f>
        <v>-0.35811702595688522</v>
      </c>
      <c r="AF252" s="22">
        <f t="shared" ref="AF252" si="3941">IF(AND(AE250&lt;0,AF250&gt;0),"n/a",AF250/AE250-1)</f>
        <v>0.82293808544665303</v>
      </c>
      <c r="AG252" s="22">
        <f t="shared" ref="AG252" si="3942">IF(AND(AF250&lt;0,AG250&gt;0),"n/a",AG250/AF250-1)</f>
        <v>4.887830555207362E-3</v>
      </c>
      <c r="AH252" s="22">
        <f t="shared" ref="AH252" si="3943">IF(AND(AG250&lt;0,AH250&gt;0),"n/a",AH250/AG250-1)</f>
        <v>0.31491643801446756</v>
      </c>
      <c r="AI252" s="22">
        <f t="shared" ref="AI252" si="3944">IF(AND(AH250&lt;0,AI250&gt;0),"n/a",AI250/AH250-1)</f>
        <v>-0.60020866925922411</v>
      </c>
      <c r="AJ252" s="22">
        <f t="shared" ref="AJ252" si="3945">IF(AND(AI250&lt;0,AJ250&gt;0),"n/a",AJ250/AI250-1)</f>
        <v>1.3921708185053379</v>
      </c>
      <c r="AK252" s="22">
        <f t="shared" ref="AK252" si="3946">IF(AND(AJ250&lt;0,AK250&gt;0),"n/a",AK250/AJ250-1)</f>
        <v>-1.0909451552117977E-3</v>
      </c>
      <c r="AL252" s="22">
        <f t="shared" ref="AL252" si="3947">IF(AND(AK250&lt;0,AL250&gt;0),"n/a",AL250/AK250-1)</f>
        <v>-0.19122319301032564</v>
      </c>
      <c r="AM252" s="22">
        <f t="shared" ref="AM252" si="3948">IF(AND(AL250&lt;0,AM250&gt;0),"n/a",AM250/AL250-1)</f>
        <v>0.49116130616253373</v>
      </c>
      <c r="AN252" s="22">
        <f t="shared" ref="AN252" si="3949">IF(AND(AM250&lt;0,AN250&gt;0),"n/a",AN250/AM250-1)</f>
        <v>-0.28970116078043961</v>
      </c>
      <c r="AO252" s="22">
        <f t="shared" ref="AO252" si="3950">IF(AND(AN250&lt;0,AO250&gt;0),"n/a",AO250/AN250-1)</f>
        <v>0.24061196105702365</v>
      </c>
      <c r="AP252" s="22">
        <f t="shared" ref="AP252" si="3951">IF(AND(AO250&lt;0,AP250&gt;0),"n/a",AP250/AO250-1)</f>
        <v>-0.27531763826606881</v>
      </c>
      <c r="AQ252" s="22">
        <f t="shared" ref="AQ252" si="3952">IF(AND(AP250&lt;0,AQ250&gt;0),"n/a",AQ250/AP250-1)</f>
        <v>6.7036225344849765E-2</v>
      </c>
      <c r="AR252" s="22">
        <f t="shared" ref="AR252" si="3953">IF(AND(AQ250&lt;0,AR250&gt;0),"n/a",AR250/AQ250-1)</f>
        <v>0.61399057629575937</v>
      </c>
      <c r="AS252" s="22">
        <f t="shared" ref="AS252" si="3954">IF(AND(AR250&lt;0,AS250&gt;0),"n/a",AS250/AR250-1)</f>
        <v>0.39898195972752459</v>
      </c>
      <c r="AT252" s="22">
        <f t="shared" ref="AT252" si="3955">IF(AND(AS250&lt;0,AT250&gt;0),"n/a",AT250/AS250-1)</f>
        <v>0.13879822355396221</v>
      </c>
      <c r="AU252" s="22">
        <f t="shared" ref="AU252" si="3956">IF(AND(AT250&lt;0,AU250&gt;0),"n/a",AU250/AT250-1)</f>
        <v>3.2984071794389891E-2</v>
      </c>
      <c r="AV252" s="22">
        <f t="shared" ref="AV252" si="3957">IF(AND(AU250&lt;0,AV250&gt;0),"n/a",AV250/AU250-1)</f>
        <v>4.9078917443711623E-2</v>
      </c>
      <c r="AW252" s="22">
        <f t="shared" ref="AW252" si="3958">IF(AND(AV250&lt;0,AW250&gt;0),"n/a",AW250/AV250-1)</f>
        <v>5.8012486992715884E-2</v>
      </c>
      <c r="AX252" s="22">
        <f t="shared" ref="AX252" si="3959">IF(AND(AW250&lt;0,AX250&gt;0),"n/a",AX250/AW250-1)</f>
        <v>-0.22407999344316043</v>
      </c>
      <c r="AY252" s="22">
        <f t="shared" ref="AY252" si="3960">IF(AND(AX250&lt;0,AY250&gt;0),"n/a",AY250/AX250-1)</f>
        <v>4.2252033379106546E-3</v>
      </c>
      <c r="AZ252" s="22">
        <f t="shared" ref="AZ252" si="3961">IF(AND(AY250&lt;0,AZ250&gt;0),"n/a",AZ250/AY250-1)</f>
        <v>-0.14626065004733357</v>
      </c>
      <c r="BA252" s="22">
        <f t="shared" ref="BA252" si="3962">IF(AND(AZ250&lt;0,BA250&gt;0),"n/a",BA250/AZ250-1)</f>
        <v>5.6305057598718733E-2</v>
      </c>
      <c r="BB252" s="28">
        <f t="shared" ref="BB252:BD252" si="3963">IF(AND(BA250&lt;0,BB250&gt;0),"n/a",BB250/BA250-1)</f>
        <v>6.1701755409109493E-2</v>
      </c>
      <c r="BC252" s="28">
        <f t="shared" si="3963"/>
        <v>0.20313100796484473</v>
      </c>
      <c r="BD252" s="28">
        <f t="shared" si="3963"/>
        <v>-3.2233027439163564E-2</v>
      </c>
      <c r="BE252" s="28">
        <f t="shared" ref="BE252:BL252" si="3964">IF(AND(BD250&lt;0,BE250&gt;0),"n/a",BE250/BD250-1)</f>
        <v>0.15167240647261404</v>
      </c>
      <c r="BF252" s="28">
        <f t="shared" si="3964"/>
        <v>0.15988038669506799</v>
      </c>
      <c r="BG252" s="28">
        <f t="shared" si="3964"/>
        <v>-2.6982164930248964E-2</v>
      </c>
      <c r="BH252" s="28">
        <f t="shared" si="3964"/>
        <v>0.15081122282312798</v>
      </c>
      <c r="BI252" s="28">
        <f t="shared" si="3964"/>
        <v>1.693685737715267E-2</v>
      </c>
      <c r="BJ252" s="28">
        <f t="shared" si="3964"/>
        <v>0.29606426201035885</v>
      </c>
      <c r="BK252" s="28">
        <f t="shared" si="3964"/>
        <v>-0.18799205532556418</v>
      </c>
      <c r="BL252" s="28">
        <f t="shared" si="3964"/>
        <v>0.29628974744349157</v>
      </c>
      <c r="BM252" s="22">
        <f t="shared" ref="BM252" si="3965">IF(AND(BL250&lt;0,BM250&gt;0),"n/a",BM250/BL250-1)</f>
        <v>-0.15045646089746478</v>
      </c>
      <c r="BN252" s="22">
        <f t="shared" ref="BN252" si="3966">IF(AND(BM250&lt;0,BN250&gt;0),"n/a",BN250/BM250-1)</f>
        <v>-1.5729169568667656E-2</v>
      </c>
      <c r="BO252" s="22">
        <f t="shared" ref="BO252" si="3967">IF(AND(BN250&lt;0,BO250&gt;0),"n/a",BO250/BN250-1)</f>
        <v>5.3694260416325301E-2</v>
      </c>
      <c r="BP252" s="22">
        <f t="shared" ref="BP252" si="3968">IF(AND(BO250&lt;0,BP250&gt;0),"n/a",BP250/BO250-1)</f>
        <v>3.1242684145400101E-2</v>
      </c>
      <c r="BQ252" s="22">
        <f t="shared" ref="BQ252" si="3969">IF(AND(BP250&lt;0,BQ250&gt;0),"n/a",BQ250/BP250-1)</f>
        <v>4.0984969232234159E-2</v>
      </c>
      <c r="BR252" s="28">
        <f>IF(AND(BQ250&lt;0,BR250&gt;0),"n/a",BR250/BQ250-1)</f>
        <v>1.6245312090343189E-2</v>
      </c>
      <c r="BS252" s="28">
        <f t="shared" ref="BS252" si="3970">IF(AND(BR250&lt;0,BS250&gt;0),"n/a",BS250/BR250-1)</f>
        <v>5.0849093170079129E-2</v>
      </c>
      <c r="BT252" s="28">
        <f t="shared" ref="BT252" si="3971">IF(AND(BS250&lt;0,BT250&gt;0),"n/a",BT250/BS250-1)</f>
        <v>3.4150187598430914E-2</v>
      </c>
      <c r="BU252" s="28">
        <f t="shared" ref="BU252" si="3972">IF(AND(BT250&lt;0,BU250&gt;0),"n/a",BU250/BT250-1)</f>
        <v>3.8489490871725929E-2</v>
      </c>
      <c r="BV252" s="28">
        <f t="shared" ref="BV252" si="3973">IF(AND(BU250&lt;0,BV250&gt;0),"n/a",BV250/BU250-1)</f>
        <v>2.6641765828303576E-2</v>
      </c>
      <c r="BW252" s="28">
        <f t="shared" ref="BW252" si="3974">IF(AND(BV250&lt;0,BW250&gt;0),"n/a",BW250/BV250-1)</f>
        <v>5.062857639178886E-2</v>
      </c>
      <c r="BX252" s="28">
        <f t="shared" ref="BX252" si="3975">IF(AND(BW250&lt;0,BX250&gt;0),"n/a",BX250/BW250-1)</f>
        <v>3.2944987501702494E-2</v>
      </c>
      <c r="BY252" s="28">
        <f t="shared" ref="BY252" si="3976">IF(AND(BX250&lt;0,BY250&gt;0),"n/a",BY250/BX250-1)</f>
        <v>3.3621968288390258E-2</v>
      </c>
      <c r="BZ252" s="28">
        <f t="shared" ref="BZ252" si="3977">IF(AND(BY250&lt;0,BZ250&gt;0),"n/a",BZ250/BY250-1)</f>
        <v>2.895025176345456E-2</v>
      </c>
      <c r="CA252" s="28">
        <f t="shared" ref="CA252" si="3978">IF(AND(BZ250&lt;0,CA250&gt;0),"n/a",CA250/BZ250-1)</f>
        <v>4.7525680925160074E-2</v>
      </c>
      <c r="CB252" s="28">
        <f t="shared" ref="CB252" si="3979">IF(AND(CA250&lt;0,CB250&gt;0),"n/a",CB250/CA250-1)</f>
        <v>3.152482640651777E-2</v>
      </c>
      <c r="CC252" s="28">
        <f t="shared" ref="CC252" si="3980">IF(AND(CB250&lt;0,CC250&gt;0),"n/a",CC250/CB250-1)</f>
        <v>2.9459365599403098E-2</v>
      </c>
      <c r="CD252" s="28">
        <f t="shared" ref="CD252" si="3981">IF(AND(CC250&lt;0,CD250&gt;0),"n/a",CD250/CC250-1)</f>
        <v>2.9979404105608953E-2</v>
      </c>
      <c r="CE252" s="28">
        <f t="shared" ref="CE252" si="3982">IF(AND(CD250&lt;0,CE250&gt;0),"n/a",CE250/CD250-1)</f>
        <v>4.8785931118554782E-2</v>
      </c>
      <c r="CF252" s="28">
        <f t="shared" ref="CF252" si="3983">IF(AND(CE250&lt;0,CF250&gt;0),"n/a",CF250/CE250-1)</f>
        <v>2.84547273956961E-2</v>
      </c>
      <c r="CG252" s="28">
        <f t="shared" ref="CG252" si="3984">IF(AND(CF250&lt;0,CG250&gt;0),"n/a",CG250/CF250-1)</f>
        <v>2.5662644835452886E-2</v>
      </c>
      <c r="CH252" s="28"/>
      <c r="CI252" s="106" t="s">
        <v>82</v>
      </c>
      <c r="CJ252" s="48" t="s">
        <v>82</v>
      </c>
      <c r="CK252" s="106" t="s">
        <v>82</v>
      </c>
      <c r="CL252" s="106" t="s">
        <v>82</v>
      </c>
      <c r="CM252" s="48" t="s">
        <v>82</v>
      </c>
      <c r="CN252" s="106" t="s">
        <v>82</v>
      </c>
      <c r="CO252" s="48" t="s">
        <v>82</v>
      </c>
      <c r="CP252" s="106" t="s">
        <v>82</v>
      </c>
      <c r="CQ252" s="48" t="s">
        <v>82</v>
      </c>
      <c r="CR252" s="106" t="s">
        <v>82</v>
      </c>
      <c r="CS252" s="48" t="s">
        <v>82</v>
      </c>
      <c r="CT252" s="106" t="s">
        <v>82</v>
      </c>
      <c r="CU252" s="48" t="s">
        <v>82</v>
      </c>
      <c r="CV252" s="106" t="s">
        <v>82</v>
      </c>
      <c r="CW252" s="48" t="s">
        <v>82</v>
      </c>
      <c r="CX252" s="106" t="s">
        <v>82</v>
      </c>
      <c r="CY252" s="106" t="s">
        <v>82</v>
      </c>
      <c r="CZ252" s="106" t="s">
        <v>82</v>
      </c>
      <c r="DA252" s="106" t="s">
        <v>82</v>
      </c>
      <c r="DB252" s="106" t="s">
        <v>82</v>
      </c>
      <c r="DC252" s="106" t="s">
        <v>82</v>
      </c>
    </row>
    <row r="253" spans="1:107" x14ac:dyDescent="0.2">
      <c r="A253" s="7" t="s">
        <v>63</v>
      </c>
      <c r="B253" s="25" t="s">
        <v>82</v>
      </c>
      <c r="C253" s="25" t="s">
        <v>82</v>
      </c>
      <c r="D253" s="25" t="s">
        <v>82</v>
      </c>
      <c r="E253" s="25" t="s">
        <v>82</v>
      </c>
      <c r="F253" s="22">
        <f>IF(AND(B250&lt;0,F250&gt;0),"n/a",F250/B250-1)</f>
        <v>-4.5490822027134836E-2</v>
      </c>
      <c r="G253" s="22">
        <f t="shared" ref="G253:BQ253" si="3985">IF(AND(C250&lt;0,G250&gt;0),"n/a",G250/C250-1)</f>
        <v>0.26746096959737065</v>
      </c>
      <c r="H253" s="22">
        <f t="shared" si="3985"/>
        <v>0.23802505526897577</v>
      </c>
      <c r="I253" s="22">
        <f t="shared" si="3985"/>
        <v>0.11043921069382567</v>
      </c>
      <c r="J253" s="22">
        <f t="shared" si="3985"/>
        <v>0.48202341137123739</v>
      </c>
      <c r="K253" s="22">
        <f t="shared" si="3985"/>
        <v>0.19611021069692058</v>
      </c>
      <c r="L253" s="22">
        <f t="shared" si="3985"/>
        <v>-1.0119047619047583E-2</v>
      </c>
      <c r="M253" s="22">
        <f t="shared" si="3985"/>
        <v>0.11751218114072803</v>
      </c>
      <c r="N253" s="22">
        <f t="shared" si="3985"/>
        <v>9.4217207334273523E-2</v>
      </c>
      <c r="O253" s="22">
        <f t="shared" si="3985"/>
        <v>2.1680216802169028E-3</v>
      </c>
      <c r="P253" s="22">
        <f t="shared" si="3985"/>
        <v>0.13409500901984361</v>
      </c>
      <c r="Q253" s="22">
        <f t="shared" si="3985"/>
        <v>0.1703000769428058</v>
      </c>
      <c r="R253" s="22">
        <f t="shared" si="3985"/>
        <v>0.15287445217839646</v>
      </c>
      <c r="S253" s="22">
        <f t="shared" si="3985"/>
        <v>0.19064359113034079</v>
      </c>
      <c r="T253" s="22">
        <f t="shared" si="3985"/>
        <v>2.2534464475079563E-2</v>
      </c>
      <c r="U253" s="22">
        <f t="shared" si="3985"/>
        <v>-7.8895463510848529E-3</v>
      </c>
      <c r="V253" s="22">
        <f t="shared" si="3985"/>
        <v>2.9516994633273619E-2</v>
      </c>
      <c r="W253" s="22">
        <f t="shared" si="3985"/>
        <v>0.12559618441971376</v>
      </c>
      <c r="X253" s="22">
        <f t="shared" si="3985"/>
        <v>0.26808400311122638</v>
      </c>
      <c r="Y253" s="22">
        <f t="shared" si="3985"/>
        <v>0.14866357411089015</v>
      </c>
      <c r="Z253" s="22">
        <f t="shared" si="3985"/>
        <v>0.11403127715030403</v>
      </c>
      <c r="AA253" s="22">
        <f t="shared" si="3985"/>
        <v>0.23466505246166269</v>
      </c>
      <c r="AB253" s="22">
        <f t="shared" si="3985"/>
        <v>0.23594356982212217</v>
      </c>
      <c r="AC253" s="22">
        <f t="shared" si="3985"/>
        <v>0.31865384615384618</v>
      </c>
      <c r="AD253" s="22">
        <f t="shared" si="3985"/>
        <v>0.32949892766621169</v>
      </c>
      <c r="AE253" s="22">
        <f t="shared" si="3985"/>
        <v>-0.28468704036607284</v>
      </c>
      <c r="AF253" s="22">
        <f t="shared" si="3985"/>
        <v>0.31993382961124905</v>
      </c>
      <c r="AG253" s="22">
        <f t="shared" si="3985"/>
        <v>0.16931602741723784</v>
      </c>
      <c r="AH253" s="22">
        <f t="shared" si="3985"/>
        <v>0.54612113213081104</v>
      </c>
      <c r="AI253" s="22">
        <f t="shared" si="3985"/>
        <v>-3.7011651816312496E-2</v>
      </c>
      <c r="AJ253" s="22">
        <f t="shared" si="3985"/>
        <v>0.26369219200401051</v>
      </c>
      <c r="AK253" s="22">
        <f t="shared" si="3985"/>
        <v>0.25617360937889755</v>
      </c>
      <c r="AL253" s="22">
        <f t="shared" si="3985"/>
        <v>-0.2273546428910177</v>
      </c>
      <c r="AM253" s="22">
        <f t="shared" si="3985"/>
        <v>1.8818505338078291</v>
      </c>
      <c r="AN253" s="22">
        <f t="shared" si="3985"/>
        <v>-0.14430229098482594</v>
      </c>
      <c r="AO253" s="22">
        <f t="shared" si="3985"/>
        <v>6.2748212867355102E-2</v>
      </c>
      <c r="AP253" s="22">
        <f t="shared" si="3985"/>
        <v>-4.7753498649643955E-2</v>
      </c>
      <c r="AQ253" s="22">
        <f t="shared" si="3985"/>
        <v>-0.31859718448999752</v>
      </c>
      <c r="AR253" s="22">
        <f t="shared" si="3985"/>
        <v>0.54833101529902639</v>
      </c>
      <c r="AS253" s="22">
        <f t="shared" si="3985"/>
        <v>0.74598281016442458</v>
      </c>
      <c r="AT253" s="22">
        <f t="shared" si="3985"/>
        <v>1.7437153538739203</v>
      </c>
      <c r="AU253" s="22">
        <f t="shared" si="3985"/>
        <v>1.656155611936692</v>
      </c>
      <c r="AV253" s="22">
        <f t="shared" si="3985"/>
        <v>0.72647653267460144</v>
      </c>
      <c r="AW253" s="22">
        <f t="shared" si="3985"/>
        <v>0.30568783776553055</v>
      </c>
      <c r="AX253" s="22">
        <f t="shared" si="3985"/>
        <v>-0.11036977869661235</v>
      </c>
      <c r="AY253" s="22">
        <f t="shared" si="3985"/>
        <v>-0.13513759381396406</v>
      </c>
      <c r="AZ253" s="22">
        <f t="shared" si="3985"/>
        <v>-0.29617585848074923</v>
      </c>
      <c r="BA253" s="22">
        <f t="shared" si="3985"/>
        <v>-0.29731169576264238</v>
      </c>
      <c r="BB253" s="28">
        <f t="shared" si="3985"/>
        <v>-3.8502165416710699E-2</v>
      </c>
      <c r="BC253" s="28">
        <f t="shared" si="3985"/>
        <v>0.15194067529189015</v>
      </c>
      <c r="BD253" s="28">
        <f t="shared" si="3985"/>
        <v>0.30579683361054633</v>
      </c>
      <c r="BE253" s="28">
        <f t="shared" si="3985"/>
        <v>0.42368927509185283</v>
      </c>
      <c r="BF253" s="28">
        <f t="shared" si="3985"/>
        <v>0.55534193902773965</v>
      </c>
      <c r="BG253" s="28">
        <f t="shared" si="3985"/>
        <v>0.25786421951330873</v>
      </c>
      <c r="BH253" s="28">
        <f t="shared" si="3985"/>
        <v>0.49577770439213098</v>
      </c>
      <c r="BI253" s="28">
        <f t="shared" si="3985"/>
        <v>0.32078485990496475</v>
      </c>
      <c r="BJ253" s="28">
        <f t="shared" si="3985"/>
        <v>0.47586085113897236</v>
      </c>
      <c r="BK253" s="28">
        <f t="shared" si="3985"/>
        <v>0.23164313455047014</v>
      </c>
      <c r="BL253" s="28">
        <f t="shared" si="3985"/>
        <v>0.38733993565886582</v>
      </c>
      <c r="BM253" s="22">
        <f t="shared" si="3985"/>
        <v>0.15897626320451619</v>
      </c>
      <c r="BN253" s="22">
        <f t="shared" si="3985"/>
        <v>-0.1198379876125355</v>
      </c>
      <c r="BO253" s="22">
        <f t="shared" si="3985"/>
        <v>0.14213372759670695</v>
      </c>
      <c r="BP253" s="22">
        <f t="shared" si="3985"/>
        <v>-9.1393684766327143E-2</v>
      </c>
      <c r="BQ253" s="22">
        <f t="shared" si="3985"/>
        <v>0.11335731904563451</v>
      </c>
      <c r="BR253" s="28">
        <f>IF(AND(BN250&lt;0,BR250&gt;0),"n/a",BR250/BN250-1)</f>
        <v>0.14952523348250701</v>
      </c>
      <c r="BS253" s="28">
        <f t="shared" ref="BS253" si="3986">IF(AND(BO250&lt;0,BS250&gt;0),"n/a",BS250/BO250-1)</f>
        <v>0.14642130507945628</v>
      </c>
      <c r="BT253" s="28">
        <f t="shared" ref="BT253" si="3987">IF(AND(BP250&lt;0,BT250&gt;0),"n/a",BT250/BP250-1)</f>
        <v>0.14965354512769347</v>
      </c>
      <c r="BU253" s="28">
        <f t="shared" ref="BU253" si="3988">IF(AND(BQ250&lt;0,BU250&gt;0),"n/a",BU250/BQ250-1)</f>
        <v>0.14689756340966365</v>
      </c>
      <c r="BV253" s="28">
        <f t="shared" ref="BV253" si="3989">IF(AND(BR250&lt;0,BV250&gt;0),"n/a",BV250/BR250-1)</f>
        <v>0.15863062364454139</v>
      </c>
      <c r="BW253" s="28">
        <f t="shared" ref="BW253" si="3990">IF(AND(BS250&lt;0,BW250&gt;0),"n/a",BW250/BS250-1)</f>
        <v>0.15838748931249014</v>
      </c>
      <c r="BX253" s="28">
        <f t="shared" ref="BX253" si="3991">IF(AND(BT250&lt;0,BX250&gt;0),"n/a",BX250/BT250-1)</f>
        <v>0.15703750288797425</v>
      </c>
      <c r="BY253" s="28">
        <f t="shared" ref="BY253" si="3992">IF(AND(BU250&lt;0,BY250&gt;0),"n/a",BY250/BU250-1)</f>
        <v>0.15161433180672823</v>
      </c>
      <c r="BZ253" s="28">
        <f t="shared" ref="BZ253" si="3993">IF(AND(BV250&lt;0,BZ250&gt;0),"n/a",BZ250/BV250-1)</f>
        <v>0.15420382852913095</v>
      </c>
      <c r="CA253" s="28">
        <f t="shared" ref="CA253" si="3994">IF(AND(BW250&lt;0,CA250&gt;0),"n/a",CA250/BW250-1)</f>
        <v>0.15079503696607643</v>
      </c>
      <c r="CB253" s="28">
        <f t="shared" ref="CB253" si="3995">IF(AND(BX250&lt;0,CB250&gt;0),"n/a",CB250/BX250-1)</f>
        <v>0.14921284782744304</v>
      </c>
      <c r="CC253" s="28">
        <f t="shared" ref="CC253" si="3996">IF(AND(BY250&lt;0,CC250&gt;0),"n/a",CC250/BY250-1)</f>
        <v>0.14458473751501755</v>
      </c>
      <c r="CD253" s="28">
        <f t="shared" ref="CD253" si="3997">IF(AND(BZ250&lt;0,CD250&gt;0),"n/a",CD250/BZ250-1)</f>
        <v>0.14572954705404917</v>
      </c>
      <c r="CE253" s="28">
        <f t="shared" ref="CE253" si="3998">IF(AND(CA250&lt;0,CE250&gt;0),"n/a",CE250/CA250-1)</f>
        <v>0.1471079436982039</v>
      </c>
      <c r="CF253" s="28">
        <f t="shared" ref="CF253" si="3999">IF(AND(CB250&lt;0,CF250&gt;0),"n/a",CF250/CB250-1)</f>
        <v>0.14369383782978562</v>
      </c>
      <c r="CG253" s="28">
        <f t="shared" ref="CG253" si="4000">IF(AND(CC250&lt;0,CG250&gt;0),"n/a",CG250/CC250-1)</f>
        <v>0.13947581205160242</v>
      </c>
      <c r="CH253" s="28"/>
      <c r="CI253" s="106" t="s">
        <v>82</v>
      </c>
      <c r="CJ253" s="22">
        <f>IF(AND(CI250&lt;0,CJ250&gt;0),"n/a",CJ250/CI250-1)</f>
        <v>0.14171915524268242</v>
      </c>
      <c r="CK253" s="107">
        <f t="shared" ref="CK253:CY253" si="4001">IF(AND(CJ250&lt;0,CK250&gt;0),"n/a",CK250/CJ250-1)</f>
        <v>0.17312996917085832</v>
      </c>
      <c r="CL253" s="107">
        <f t="shared" si="4001"/>
        <v>0.10041493775933619</v>
      </c>
      <c r="CM253" s="22">
        <f t="shared" si="4001"/>
        <v>8.4653092006033104E-2</v>
      </c>
      <c r="CN253" s="107">
        <f t="shared" si="4001"/>
        <v>0.13859435656758801</v>
      </c>
      <c r="CO253" s="22">
        <f t="shared" si="4001"/>
        <v>0.22894509185283196</v>
      </c>
      <c r="CP253" s="107">
        <f t="shared" si="4001"/>
        <v>0.12600414078674937</v>
      </c>
      <c r="CQ253" s="22">
        <f t="shared" si="4001"/>
        <v>0.2838965910344573</v>
      </c>
      <c r="CR253" s="107">
        <f t="shared" si="4001"/>
        <v>0.1349640535044252</v>
      </c>
      <c r="CS253" s="22">
        <f t="shared" si="4001"/>
        <v>0.21342586750788639</v>
      </c>
      <c r="CT253" s="107">
        <f t="shared" si="4001"/>
        <v>0.88706792562705372</v>
      </c>
      <c r="CU253" s="22">
        <f t="shared" si="4001"/>
        <v>-0.21387792889104418</v>
      </c>
      <c r="CV253" s="107">
        <f t="shared" si="4001"/>
        <v>0.20173003589053384</v>
      </c>
      <c r="CW253" s="22">
        <f t="shared" si="4001"/>
        <v>0.39779740308223577</v>
      </c>
      <c r="CX253" s="107">
        <f t="shared" si="4001"/>
        <v>0.31100339401997434</v>
      </c>
      <c r="CY253" s="107">
        <f t="shared" si="4001"/>
        <v>1.9745116591263212E-4</v>
      </c>
      <c r="CZ253" s="107">
        <f>IF(AND(CY250&lt;0,CZ250&gt;0),"n/a",CZ250/CY250-1)</f>
        <v>0.14809634119303272</v>
      </c>
      <c r="DA253" s="107">
        <f>IF(AND(CZ250&lt;0,DA250&gt;0),"n/a",DA250/CZ250-1)</f>
        <v>0.15630882661988554</v>
      </c>
      <c r="DB253" s="107">
        <f>IF(AND(DA250&lt;0,DB250&gt;0),"n/a",DB250/DA250-1)</f>
        <v>0.14955618355789002</v>
      </c>
      <c r="DC253" s="107">
        <f>IF(AND(DB250&lt;0,DC250&gt;0),"n/a",DC250/DB250-1)</f>
        <v>0.14391080059779915</v>
      </c>
    </row>
    <row r="254" spans="1:107" x14ac:dyDescent="0.2">
      <c r="CI254" s="92"/>
      <c r="CK254" s="92"/>
      <c r="CL254" s="92"/>
      <c r="CN254" s="92"/>
      <c r="CP254" s="92"/>
      <c r="CR254" s="92"/>
      <c r="CT254" s="92"/>
      <c r="CV254" s="92"/>
      <c r="CX254" s="92"/>
      <c r="CY254" s="92"/>
      <c r="CZ254" s="92"/>
      <c r="DA254" s="92"/>
      <c r="DB254" s="92"/>
      <c r="DC254" s="92"/>
    </row>
    <row r="255" spans="1:107" x14ac:dyDescent="0.2">
      <c r="A255" s="1" t="s">
        <v>133</v>
      </c>
      <c r="B255" s="17">
        <v>-551</v>
      </c>
      <c r="C255" s="17">
        <v>-594</v>
      </c>
      <c r="D255" s="17">
        <v>-547</v>
      </c>
      <c r="E255" s="17">
        <v>-599</v>
      </c>
      <c r="F255" s="17">
        <v>-594</v>
      </c>
      <c r="G255" s="17">
        <v>-580</v>
      </c>
      <c r="H255" s="17">
        <v>-631</v>
      </c>
      <c r="I255" s="17">
        <v>-784</v>
      </c>
      <c r="J255" s="17">
        <v>-655</v>
      </c>
      <c r="K255" s="17">
        <v>-672</v>
      </c>
      <c r="L255" s="17">
        <v>-623</v>
      </c>
      <c r="M255" s="17">
        <v>-639</v>
      </c>
      <c r="N255" s="17">
        <v>-400.75</v>
      </c>
      <c r="O255" s="17">
        <v>-973.75</v>
      </c>
      <c r="P255" s="17">
        <v>-658.75</v>
      </c>
      <c r="Q255" s="17">
        <v>-712.75</v>
      </c>
      <c r="R255" s="17">
        <v>-903</v>
      </c>
      <c r="S255" s="17">
        <v>-984</v>
      </c>
      <c r="T255" s="17">
        <v>-933</v>
      </c>
      <c r="U255" s="17">
        <v>-819</v>
      </c>
      <c r="V255" s="17">
        <v>-1089</v>
      </c>
      <c r="W255" s="17">
        <v>-1025</v>
      </c>
      <c r="X255" s="17">
        <v>-912</v>
      </c>
      <c r="Y255" s="17">
        <v>-277</v>
      </c>
      <c r="Z255" s="17">
        <v>-922</v>
      </c>
      <c r="AA255" s="17">
        <v>-1242</v>
      </c>
      <c r="AB255" s="17">
        <v>-984</v>
      </c>
      <c r="AC255" s="17">
        <v>-1524</v>
      </c>
      <c r="AD255" s="17">
        <v>-1393</v>
      </c>
      <c r="AE255" s="17">
        <v>-853</v>
      </c>
      <c r="AF255" s="17">
        <v>-1247</v>
      </c>
      <c r="AG255" s="17">
        <v>-11038</v>
      </c>
      <c r="AH255" s="17">
        <v>-1142</v>
      </c>
      <c r="AI255" s="17">
        <v>-1020</v>
      </c>
      <c r="AJ255" s="17">
        <v>-891</v>
      </c>
      <c r="AK255" s="17">
        <v>-1124</v>
      </c>
      <c r="AL255" s="17">
        <v>-1489</v>
      </c>
      <c r="AM255" s="17">
        <v>-2200</v>
      </c>
      <c r="AN255" s="17">
        <v>-1560</v>
      </c>
      <c r="AO255" s="17">
        <v>-33</v>
      </c>
      <c r="AP255" s="17">
        <v>-921</v>
      </c>
      <c r="AQ255" s="17">
        <v>-1318</v>
      </c>
      <c r="AR255" s="17">
        <v>-2112</v>
      </c>
      <c r="AS255" s="17">
        <v>-3462</v>
      </c>
      <c r="AT255" s="17">
        <v>-3353</v>
      </c>
      <c r="AU255" s="18">
        <v>-3460</v>
      </c>
      <c r="AV255" s="18">
        <v>-4128</v>
      </c>
      <c r="AW255" s="18">
        <v>-3760</v>
      </c>
      <c r="AX255" s="18">
        <v>-2498</v>
      </c>
      <c r="AY255" s="18">
        <v>-3012</v>
      </c>
      <c r="AZ255" s="18">
        <v>-2323</v>
      </c>
      <c r="BA255" s="18">
        <v>-3523</v>
      </c>
      <c r="BB255" s="18">
        <v>-3154</v>
      </c>
      <c r="BC255" s="18">
        <v>-3535</v>
      </c>
      <c r="BD255" s="18">
        <v>-1508</v>
      </c>
      <c r="BE255" s="18">
        <v>-3725</v>
      </c>
      <c r="BF255" s="18">
        <v>-4653</v>
      </c>
      <c r="BG255" s="18">
        <v>-3932</v>
      </c>
      <c r="BH255" s="18">
        <v>-5405</v>
      </c>
      <c r="BI255" s="18">
        <v>-5707</v>
      </c>
      <c r="BJ255" s="18">
        <v>-7249</v>
      </c>
      <c r="BK255" s="18">
        <v>-5737</v>
      </c>
      <c r="BL255" s="18">
        <v>-9008</v>
      </c>
      <c r="BM255" s="20">
        <f t="shared" ref="BM255:BQ255" si="4002">BM250*BM256</f>
        <v>-6913.2412560830944</v>
      </c>
      <c r="BN255" s="20">
        <f t="shared" si="4002"/>
        <v>-6436.6908087404572</v>
      </c>
      <c r="BO255" s="20">
        <f t="shared" si="4002"/>
        <v>-6782.3041612443349</v>
      </c>
      <c r="BP255" s="20">
        <f t="shared" si="4002"/>
        <v>-6994.2015479321244</v>
      </c>
      <c r="BQ255" s="20">
        <f t="shared" si="4002"/>
        <v>-7280.8586831781668</v>
      </c>
      <c r="BR255" s="20">
        <f>BR250*BR256</f>
        <v>-7399.1385047720814</v>
      </c>
      <c r="BS255" s="20">
        <f t="shared" ref="BS255:BU255" si="4003">BS250*BS256</f>
        <v>-7775.3779879795566</v>
      </c>
      <c r="BT255" s="20">
        <f t="shared" si="4003"/>
        <v>-8040.9086049177686</v>
      </c>
      <c r="BU255" s="20">
        <f t="shared" si="4003"/>
        <v>-8350.3990832671334</v>
      </c>
      <c r="BV255" s="20">
        <f t="shared" ref="BV255:CC255" si="4004">BV250*BV256</f>
        <v>-8572.8684602164158</v>
      </c>
      <c r="BW255" s="20">
        <f t="shared" si="4004"/>
        <v>-9006.9005859512381</v>
      </c>
      <c r="BX255" s="20">
        <f t="shared" si="4004"/>
        <v>-9303.6328131844803</v>
      </c>
      <c r="BY255" s="20">
        <f t="shared" si="4004"/>
        <v>-9616.4392605961948</v>
      </c>
      <c r="BZ255" s="20">
        <f t="shared" si="4004"/>
        <v>-9894.8375982584239</v>
      </c>
      <c r="CA255" s="20">
        <f t="shared" si="4004"/>
        <v>-10365.096492759531</v>
      </c>
      <c r="CB255" s="20">
        <f t="shared" si="4004"/>
        <v>-10691.854360380581</v>
      </c>
      <c r="CC255" s="20">
        <f t="shared" si="4004"/>
        <v>-11006.829606918605</v>
      </c>
      <c r="CD255" s="20">
        <f t="shared" ref="CD255:CG255" si="4005">CD250*CD256</f>
        <v>-11336.807799626</v>
      </c>
      <c r="CE255" s="20">
        <f t="shared" si="4005"/>
        <v>-11889.884524042849</v>
      </c>
      <c r="CF255" s="20">
        <f t="shared" si="4005"/>
        <v>-12228.207946940794</v>
      </c>
      <c r="CG255" s="20">
        <f t="shared" si="4005"/>
        <v>-12542.016104457198</v>
      </c>
      <c r="CH255" s="20"/>
      <c r="CI255" s="89">
        <f>SUM(B255:E255)</f>
        <v>-2291</v>
      </c>
      <c r="CJ255" s="20">
        <f>SUM(F255:I255)</f>
        <v>-2589</v>
      </c>
      <c r="CK255" s="89">
        <f>SUM(J255:M255)</f>
        <v>-2589</v>
      </c>
      <c r="CL255" s="89">
        <f>SUM(N255:Q255)</f>
        <v>-2746</v>
      </c>
      <c r="CM255" s="20">
        <f>SUM(R255:U255)</f>
        <v>-3639</v>
      </c>
      <c r="CN255" s="89">
        <f>SUM(V255:Y255)</f>
        <v>-3303</v>
      </c>
      <c r="CO255" s="20">
        <f>SUM(Z255:AC255)</f>
        <v>-4672</v>
      </c>
      <c r="CP255" s="89">
        <f>SUM(AD255:AG255)</f>
        <v>-14531</v>
      </c>
      <c r="CQ255" s="20">
        <f>SUM(AH255:AK255)</f>
        <v>-4177</v>
      </c>
      <c r="CR255" s="89">
        <f>SUM(AL255:AO255)</f>
        <v>-5282</v>
      </c>
      <c r="CS255" s="20">
        <f>SUM(AP255:AS255)</f>
        <v>-7813</v>
      </c>
      <c r="CT255" s="89">
        <f>SUM(AT255:AW255)</f>
        <v>-14701</v>
      </c>
      <c r="CU255" s="20">
        <f>SUM(AX255:BA255)</f>
        <v>-11356</v>
      </c>
      <c r="CV255" s="89">
        <f>SUM(BB255:BE255)</f>
        <v>-11922</v>
      </c>
      <c r="CW255" s="20">
        <f>SUM(BF255:BI255)</f>
        <v>-19697</v>
      </c>
      <c r="CX255" s="89">
        <f>SUM(BJ255:BM255)</f>
        <v>-28907.241256083093</v>
      </c>
      <c r="CY255" s="89">
        <f>SUM(BN255:BQ255)</f>
        <v>-27494.055201095085</v>
      </c>
      <c r="CZ255" s="89">
        <f>SUM(BR255:BU255)</f>
        <v>-31565.824180936539</v>
      </c>
      <c r="DA255" s="89">
        <f>SUM(BV255:BY255)</f>
        <v>-36499.841119948323</v>
      </c>
      <c r="DB255" s="89">
        <f>SUM(BZ255:CC255)</f>
        <v>-41958.618058317137</v>
      </c>
      <c r="DC255" s="89">
        <f>SUM(CD255:CG255)</f>
        <v>-47996.916375066838</v>
      </c>
    </row>
    <row r="256" spans="1:107" x14ac:dyDescent="0.2">
      <c r="A256" s="7" t="s">
        <v>134</v>
      </c>
      <c r="B256" s="22">
        <f>B255/B250</f>
        <v>-0.21987230646448525</v>
      </c>
      <c r="C256" s="22">
        <f t="shared" ref="C256:F256" si="4006">C255/C250</f>
        <v>-0.24404272801972063</v>
      </c>
      <c r="D256" s="22">
        <f t="shared" si="4006"/>
        <v>-0.20154753131908623</v>
      </c>
      <c r="E256" s="22">
        <f t="shared" si="4006"/>
        <v>-0.19064290260980268</v>
      </c>
      <c r="F256" s="22">
        <f t="shared" si="4006"/>
        <v>-0.24832775919732442</v>
      </c>
      <c r="G256" s="22">
        <f t="shared" ref="G256" si="4007">G255/G250</f>
        <v>-0.18800648298217179</v>
      </c>
      <c r="H256" s="22">
        <f t="shared" ref="H256" si="4008">H255/H250</f>
        <v>-0.18779761904761905</v>
      </c>
      <c r="I256" s="22">
        <f t="shared" ref="I256" si="4009">I255/I250</f>
        <v>-0.22470621954714817</v>
      </c>
      <c r="J256" s="22">
        <f t="shared" ref="J256" si="4010">J255/J250</f>
        <v>-0.18476727785613539</v>
      </c>
      <c r="K256" s="22">
        <f t="shared" ref="K256" si="4011">K255/K250</f>
        <v>-0.1821138211382114</v>
      </c>
      <c r="L256" s="22">
        <f t="shared" ref="L256" si="4012">L255/L250</f>
        <v>-0.18731208659049911</v>
      </c>
      <c r="M256" s="22">
        <f t="shared" ref="M256" si="4013">M255/M250</f>
        <v>-0.16388817645550141</v>
      </c>
      <c r="N256" s="22">
        <f t="shared" ref="N256" si="4014">N255/N250</f>
        <v>-0.10331270946120134</v>
      </c>
      <c r="O256" s="22">
        <f t="shared" ref="O256" si="4015">O255/O250</f>
        <v>-0.26331800973499186</v>
      </c>
      <c r="P256" s="22">
        <f t="shared" ref="P256" si="4016">P255/P250</f>
        <v>-0.17464209968186639</v>
      </c>
      <c r="Q256" s="22">
        <f t="shared" ref="Q256" si="4017">Q255/Q250</f>
        <v>-0.15620206004821388</v>
      </c>
      <c r="R256" s="22">
        <f t="shared" ref="R256" si="4018">R255/R250</f>
        <v>-0.20192307692307693</v>
      </c>
      <c r="S256" s="22">
        <f t="shared" ref="S256" si="4019">S255/S250</f>
        <v>-0.22348398818987053</v>
      </c>
      <c r="T256" s="22">
        <f t="shared" ref="T256" si="4020">T255/T250</f>
        <v>-0.24189784806844697</v>
      </c>
      <c r="U256" s="22">
        <f t="shared" ref="U256" si="4021">U255/U250</f>
        <v>-0.18091451292246521</v>
      </c>
      <c r="V256" s="22">
        <f t="shared" ref="V256" si="4022">V255/V250</f>
        <v>-0.23653344917463076</v>
      </c>
      <c r="W256" s="22">
        <f t="shared" ref="W256" si="4023">W255/W250</f>
        <v>-0.20682001614205003</v>
      </c>
      <c r="X256" s="22">
        <f t="shared" ref="X256" si="4024">X255/X250</f>
        <v>-0.18646493559599264</v>
      </c>
      <c r="Y256" s="22">
        <f t="shared" ref="Y256" si="4025">Y255/Y250</f>
        <v>-5.326923076923077E-2</v>
      </c>
      <c r="Z256" s="22">
        <f t="shared" ref="Z256" si="4026">Z255/Z250</f>
        <v>-0.17976213686878534</v>
      </c>
      <c r="AA256" s="22">
        <f t="shared" ref="AA256" si="4027">AA255/AA250</f>
        <v>-0.20297434221277988</v>
      </c>
      <c r="AB256" s="22">
        <f t="shared" ref="AB256" si="4028">AB255/AB250</f>
        <v>-0.16277915632754342</v>
      </c>
      <c r="AC256" s="22">
        <f t="shared" ref="AC256" si="4029">AC255/AC250</f>
        <v>-0.22225463030479803</v>
      </c>
      <c r="AD256" s="22">
        <f t="shared" ref="AD256" si="4030">AD255/AD250</f>
        <v>-0.20428215280832968</v>
      </c>
      <c r="AE256" s="22">
        <f t="shared" ref="AE256" si="4031">AE255/AE250</f>
        <v>-0.19488233950194198</v>
      </c>
      <c r="AF256" s="22">
        <f t="shared" ref="AF256" si="4032">AF255/AF250</f>
        <v>-0.15628524877804237</v>
      </c>
      <c r="AG256" s="22">
        <f t="shared" ref="AG256" si="4033">AG255/AG250</f>
        <v>-1.3766525318034422</v>
      </c>
      <c r="AH256" s="22">
        <f t="shared" ref="AH256" si="4034">AH255/AH250</f>
        <v>-0.10831831546998008</v>
      </c>
      <c r="AI256" s="22">
        <f t="shared" ref="AI256" si="4035">AI255/AI250</f>
        <v>-0.24199288256227758</v>
      </c>
      <c r="AJ256" s="22">
        <f t="shared" ref="AJ256" si="4036">AJ255/AJ250</f>
        <v>-8.8366557572151144E-2</v>
      </c>
      <c r="AK256" s="22">
        <f t="shared" ref="AK256" si="4037">AK255/AK250</f>
        <v>-0.11159650516282764</v>
      </c>
      <c r="AL256" s="22">
        <f t="shared" ref="AL256" si="4038">AL255/AL250</f>
        <v>-0.18278909894426712</v>
      </c>
      <c r="AM256" s="22">
        <f t="shared" ref="AM256" si="4039">AM255/AM250</f>
        <v>-0.18111467852144564</v>
      </c>
      <c r="AN256" s="22">
        <f t="shared" ref="AN256" si="4040">AN255/AN250</f>
        <v>-0.1808066759388039</v>
      </c>
      <c r="AO256" s="22">
        <f t="shared" ref="AO256" si="4041">AO255/AO250</f>
        <v>-3.0829596412556052E-3</v>
      </c>
      <c r="AP256" s="22">
        <f t="shared" ref="AP256" si="4042">AP255/AP250</f>
        <v>-0.11873146835116669</v>
      </c>
      <c r="AQ256" s="22">
        <f t="shared" ref="AQ256" si="4043">AQ255/AQ250</f>
        <v>-0.15923643832306392</v>
      </c>
      <c r="AR256" s="22">
        <f t="shared" ref="AR256" si="4044">AR255/AR250</f>
        <v>-0.15809566584325174</v>
      </c>
      <c r="AS256" s="22">
        <f t="shared" ref="AS256" si="4045">AS255/AS250</f>
        <v>-0.18524265610787094</v>
      </c>
      <c r="AT256" s="22">
        <f t="shared" ref="AT256:BA256" si="4046">AT255/AT250</f>
        <v>-0.15754357938260583</v>
      </c>
      <c r="AU256" s="22">
        <f t="shared" si="4046"/>
        <v>-0.15738003183989083</v>
      </c>
      <c r="AV256" s="22">
        <f t="shared" si="4046"/>
        <v>-0.17898022892819979</v>
      </c>
      <c r="AW256" s="22">
        <f t="shared" si="4046"/>
        <v>-0.15408573067781328</v>
      </c>
      <c r="AX256" s="22">
        <f t="shared" si="4046"/>
        <v>-0.13193197422625963</v>
      </c>
      <c r="AY256" s="22">
        <f t="shared" si="4046"/>
        <v>-0.15840959293152415</v>
      </c>
      <c r="AZ256" s="22">
        <f t="shared" si="4046"/>
        <v>-0.14310355448777182</v>
      </c>
      <c r="BA256" s="22">
        <f t="shared" si="4046"/>
        <v>-0.20545868081880211</v>
      </c>
      <c r="BB256" s="28">
        <f t="shared" ref="BB256:BC256" si="4047">BB255/BB250</f>
        <v>-0.17324910738808019</v>
      </c>
      <c r="BC256" s="28">
        <f t="shared" si="4047"/>
        <v>-0.16139341642697347</v>
      </c>
      <c r="BD256" s="28">
        <f t="shared" ref="BD256:BE256" si="4048">BD255/BD250</f>
        <v>-7.1142142756050381E-2</v>
      </c>
      <c r="BE256" s="28">
        <f t="shared" si="4048"/>
        <v>-0.15258889070948714</v>
      </c>
      <c r="BF256" s="28">
        <f t="shared" ref="BF256:BG256" si="4049">BF255/BF250</f>
        <v>-0.16432986049796927</v>
      </c>
      <c r="BG256" s="28">
        <f t="shared" si="4049"/>
        <v>-0.14271714275343908</v>
      </c>
      <c r="BH256" s="28">
        <f t="shared" ref="BH256:BI256" si="4050">BH255/BH250</f>
        <v>-0.17047246577934777</v>
      </c>
      <c r="BI256" s="28">
        <f t="shared" si="4050"/>
        <v>-0.17699965884067859</v>
      </c>
      <c r="BJ256" s="28">
        <f t="shared" ref="BJ256:BK256" si="4051">BJ255/BJ250</f>
        <v>-0.173466701763622</v>
      </c>
      <c r="BK256" s="28">
        <f t="shared" si="4051"/>
        <v>-0.16906845843279403</v>
      </c>
      <c r="BL256" s="28">
        <f t="shared" ref="BL256" si="4052">BL255/BL250</f>
        <v>-0.20478777820719757</v>
      </c>
      <c r="BM256" s="26">
        <v>-0.185</v>
      </c>
      <c r="BN256" s="26">
        <v>-0.17499999999999999</v>
      </c>
      <c r="BO256" s="26">
        <v>-0.17499999999999999</v>
      </c>
      <c r="BP256" s="26">
        <v>-0.17499999999999999</v>
      </c>
      <c r="BQ256" s="26">
        <v>-0.17499999999999999</v>
      </c>
      <c r="BR256" s="26">
        <v>-0.17499999999999999</v>
      </c>
      <c r="BS256" s="26">
        <v>-0.17499999999999999</v>
      </c>
      <c r="BT256" s="26">
        <v>-0.17499999999999999</v>
      </c>
      <c r="BU256" s="26">
        <v>-0.17499999999999999</v>
      </c>
      <c r="BV256" s="26">
        <v>-0.17499999999999999</v>
      </c>
      <c r="BW256" s="26">
        <v>-0.17499999999999999</v>
      </c>
      <c r="BX256" s="26">
        <v>-0.17499999999999999</v>
      </c>
      <c r="BY256" s="26">
        <v>-0.17499999999999999</v>
      </c>
      <c r="BZ256" s="26">
        <v>-0.17499999999999999</v>
      </c>
      <c r="CA256" s="26">
        <v>-0.17499999999999999</v>
      </c>
      <c r="CB256" s="26">
        <v>-0.17499999999999999</v>
      </c>
      <c r="CC256" s="26">
        <v>-0.17499999999999999</v>
      </c>
      <c r="CD256" s="26">
        <v>-0.17499999999999999</v>
      </c>
      <c r="CE256" s="26">
        <v>-0.17499999999999999</v>
      </c>
      <c r="CF256" s="26">
        <v>-0.17499999999999999</v>
      </c>
      <c r="CG256" s="26">
        <v>-0.17499999999999999</v>
      </c>
      <c r="CH256" s="26"/>
      <c r="CI256" s="107">
        <f>CI255/CI$250</f>
        <v>-0.21220822526861802</v>
      </c>
      <c r="CJ256" s="22">
        <f t="shared" ref="CJ256:CY256" si="4053">CJ255/CJ$250</f>
        <v>-0.2100438098328736</v>
      </c>
      <c r="CK256" s="107">
        <f t="shared" si="4053"/>
        <v>-0.17904564315352697</v>
      </c>
      <c r="CL256" s="107">
        <f t="shared" si="4053"/>
        <v>-0.17257415786827551</v>
      </c>
      <c r="CM256" s="22">
        <f t="shared" si="4053"/>
        <v>-0.21084651486181122</v>
      </c>
      <c r="CN256" s="107">
        <f t="shared" si="4053"/>
        <v>-0.16808304920869166</v>
      </c>
      <c r="CO256" s="22">
        <f t="shared" si="4053"/>
        <v>-0.19345755693581781</v>
      </c>
      <c r="CP256" s="107">
        <f t="shared" si="4053"/>
        <v>-0.53436546169970212</v>
      </c>
      <c r="CQ256" s="22">
        <f t="shared" si="4053"/>
        <v>-0.1196402486179933</v>
      </c>
      <c r="CR256" s="107">
        <f t="shared" si="4053"/>
        <v>-0.13329968454258675</v>
      </c>
      <c r="CS256" s="22">
        <f t="shared" si="4053"/>
        <v>-0.16249324071378063</v>
      </c>
      <c r="CT256" s="107">
        <f t="shared" si="4053"/>
        <v>-0.16202305640663919</v>
      </c>
      <c r="CU256" s="22">
        <f t="shared" si="4053"/>
        <v>-0.1592081650964558</v>
      </c>
      <c r="CV256" s="107">
        <f t="shared" si="4053"/>
        <v>-0.13908559562280529</v>
      </c>
      <c r="CW256" s="22">
        <f t="shared" si="4053"/>
        <v>-0.16439510912657013</v>
      </c>
      <c r="CX256" s="107">
        <f t="shared" si="4053"/>
        <v>-0.1840312766629873</v>
      </c>
      <c r="CY256" s="107">
        <f t="shared" si="4053"/>
        <v>-0.17500000000000002</v>
      </c>
      <c r="CZ256" s="107">
        <f t="shared" ref="CZ256:DA256" si="4054">CZ255/CZ$250</f>
        <v>-0.17500000000000002</v>
      </c>
      <c r="DA256" s="107">
        <f t="shared" si="4054"/>
        <v>-0.17499999999999996</v>
      </c>
      <c r="DB256" s="107">
        <f t="shared" ref="DB256" si="4055">DB255/DB$250</f>
        <v>-0.17499999999999996</v>
      </c>
      <c r="DC256" s="107">
        <f>DC255/DC$250</f>
        <v>-0.17499999999999999</v>
      </c>
    </row>
    <row r="257" spans="1:107" x14ac:dyDescent="0.2">
      <c r="A257" s="7" t="s">
        <v>62</v>
      </c>
      <c r="B257" s="25" t="s">
        <v>82</v>
      </c>
      <c r="C257" s="22">
        <f>IF(AND(B255&lt;0,C255&gt;0),"n/a",C255/B255-1)</f>
        <v>7.8039927404718767E-2</v>
      </c>
      <c r="D257" s="22">
        <f t="shared" ref="D257" si="4056">IF(AND(C255&lt;0,D255&gt;0),"n/a",D255/C255-1)</f>
        <v>-7.9124579124579153E-2</v>
      </c>
      <c r="E257" s="22">
        <f t="shared" ref="E257" si="4057">IF(AND(D255&lt;0,E255&gt;0),"n/a",E255/D255-1)</f>
        <v>9.5063985374771454E-2</v>
      </c>
      <c r="F257" s="22">
        <f t="shared" ref="F257" si="4058">IF(AND(E255&lt;0,F255&gt;0),"n/a",F255/E255-1)</f>
        <v>-8.3472454090149917E-3</v>
      </c>
      <c r="G257" s="22">
        <f t="shared" ref="G257" si="4059">IF(AND(F255&lt;0,G255&gt;0),"n/a",G255/F255-1)</f>
        <v>-2.3569023569023573E-2</v>
      </c>
      <c r="H257" s="22">
        <f t="shared" ref="H257" si="4060">IF(AND(G255&lt;0,H255&gt;0),"n/a",H255/G255-1)</f>
        <v>8.793103448275863E-2</v>
      </c>
      <c r="I257" s="22">
        <f t="shared" ref="I257" si="4061">IF(AND(H255&lt;0,I255&gt;0),"n/a",I255/H255-1)</f>
        <v>0.24247226624405704</v>
      </c>
      <c r="J257" s="22">
        <f t="shared" ref="J257" si="4062">IF(AND(I255&lt;0,J255&gt;0),"n/a",J255/I255-1)</f>
        <v>-0.16454081632653061</v>
      </c>
      <c r="K257" s="22">
        <f t="shared" ref="K257" si="4063">IF(AND(J255&lt;0,K255&gt;0),"n/a",K255/J255-1)</f>
        <v>2.5954198473282508E-2</v>
      </c>
      <c r="L257" s="22">
        <f t="shared" ref="L257" si="4064">IF(AND(K255&lt;0,L255&gt;0),"n/a",L255/K255-1)</f>
        <v>-7.291666666666663E-2</v>
      </c>
      <c r="M257" s="22">
        <f t="shared" ref="M257" si="4065">IF(AND(L255&lt;0,M255&gt;0),"n/a",M255/L255-1)</f>
        <v>2.5682182985553803E-2</v>
      </c>
      <c r="N257" s="22">
        <f t="shared" ref="N257" si="4066">IF(AND(M255&lt;0,N255&gt;0),"n/a",N255/M255-1)</f>
        <v>-0.37284820031298904</v>
      </c>
      <c r="O257" s="22">
        <f t="shared" ref="O257" si="4067">IF(AND(N255&lt;0,O255&gt;0),"n/a",O255/N255-1)</f>
        <v>1.4298190892077356</v>
      </c>
      <c r="P257" s="22">
        <f t="shared" ref="P257" si="4068">IF(AND(O255&lt;0,P255&gt;0),"n/a",P255/O255-1)</f>
        <v>-0.32349165596919127</v>
      </c>
      <c r="Q257" s="22">
        <f t="shared" ref="Q257" si="4069">IF(AND(P255&lt;0,Q255&gt;0),"n/a",Q255/P255-1)</f>
        <v>8.1973434535104417E-2</v>
      </c>
      <c r="R257" s="22">
        <f t="shared" ref="R257" si="4070">IF(AND(Q255&lt;0,R255&gt;0),"n/a",R255/Q255-1)</f>
        <v>0.26692388635566466</v>
      </c>
      <c r="S257" s="22">
        <f t="shared" ref="S257" si="4071">IF(AND(R255&lt;0,S255&gt;0),"n/a",S255/R255-1)</f>
        <v>8.9700996677740896E-2</v>
      </c>
      <c r="T257" s="22">
        <f t="shared" ref="T257" si="4072">IF(AND(S255&lt;0,T255&gt;0),"n/a",T255/S255-1)</f>
        <v>-5.1829268292682973E-2</v>
      </c>
      <c r="U257" s="22">
        <f t="shared" ref="U257" si="4073">IF(AND(T255&lt;0,U255&gt;0),"n/a",U255/T255-1)</f>
        <v>-0.12218649517684887</v>
      </c>
      <c r="V257" s="22">
        <f t="shared" ref="V257" si="4074">IF(AND(U255&lt;0,V255&gt;0),"n/a",V255/U255-1)</f>
        <v>0.32967032967032961</v>
      </c>
      <c r="W257" s="22">
        <f t="shared" ref="W257" si="4075">IF(AND(V255&lt;0,W255&gt;0),"n/a",W255/V255-1)</f>
        <v>-5.8769513314967825E-2</v>
      </c>
      <c r="X257" s="22">
        <f t="shared" ref="X257" si="4076">IF(AND(W255&lt;0,X255&gt;0),"n/a",X255/W255-1)</f>
        <v>-0.11024390243902438</v>
      </c>
      <c r="Y257" s="22">
        <f t="shared" ref="Y257" si="4077">IF(AND(X255&lt;0,Y255&gt;0),"n/a",Y255/X255-1)</f>
        <v>-0.69627192982456143</v>
      </c>
      <c r="Z257" s="22">
        <f t="shared" ref="Z257" si="4078">IF(AND(Y255&lt;0,Z255&gt;0),"n/a",Z255/Y255-1)</f>
        <v>2.3285198555956677</v>
      </c>
      <c r="AA257" s="22">
        <f t="shared" ref="AA257" si="4079">IF(AND(Z255&lt;0,AA255&gt;0),"n/a",AA255/Z255-1)</f>
        <v>0.34707158351409984</v>
      </c>
      <c r="AB257" s="22">
        <f t="shared" ref="AB257" si="4080">IF(AND(AA255&lt;0,AB255&gt;0),"n/a",AB255/AA255-1)</f>
        <v>-0.20772946859903385</v>
      </c>
      <c r="AC257" s="22">
        <f t="shared" ref="AC257" si="4081">IF(AND(AB255&lt;0,AC255&gt;0),"n/a",AC255/AB255-1)</f>
        <v>0.54878048780487809</v>
      </c>
      <c r="AD257" s="22">
        <f t="shared" ref="AD257" si="4082">IF(AND(AC255&lt;0,AD255&gt;0),"n/a",AD255/AC255-1)</f>
        <v>-8.5958005249343827E-2</v>
      </c>
      <c r="AE257" s="22">
        <f t="shared" ref="AE257" si="4083">IF(AND(AD255&lt;0,AE255&gt;0),"n/a",AE255/AD255-1)</f>
        <v>-0.3876525484565686</v>
      </c>
      <c r="AF257" s="22">
        <f t="shared" ref="AF257" si="4084">IF(AND(AE255&lt;0,AF255&gt;0),"n/a",AF255/AE255-1)</f>
        <v>0.46189917936694025</v>
      </c>
      <c r="AG257" s="22">
        <f t="shared" ref="AG257" si="4085">IF(AND(AF255&lt;0,AG255&gt;0),"n/a",AG255/AF255-1)</f>
        <v>7.8516439454691263</v>
      </c>
      <c r="AH257" s="22">
        <f t="shared" ref="AH257" si="4086">IF(AND(AG255&lt;0,AH255&gt;0),"n/a",AH255/AG255-1)</f>
        <v>-0.89653922812103648</v>
      </c>
      <c r="AI257" s="22">
        <f t="shared" ref="AI257" si="4087">IF(AND(AH255&lt;0,AI255&gt;0),"n/a",AI255/AH255-1)</f>
        <v>-0.10683012259194391</v>
      </c>
      <c r="AJ257" s="22">
        <f t="shared" ref="AJ257" si="4088">IF(AND(AI255&lt;0,AJ255&gt;0),"n/a",AJ255/AI255-1)</f>
        <v>-0.12647058823529411</v>
      </c>
      <c r="AK257" s="22">
        <f t="shared" ref="AK257" si="4089">IF(AND(AJ255&lt;0,AK255&gt;0),"n/a",AK255/AJ255-1)</f>
        <v>0.26150392817059487</v>
      </c>
      <c r="AL257" s="22">
        <f t="shared" ref="AL257" si="4090">IF(AND(AK255&lt;0,AL255&gt;0),"n/a",AL255/AK255-1)</f>
        <v>0.32473309608540935</v>
      </c>
      <c r="AM257" s="22">
        <f t="shared" ref="AM257" si="4091">IF(AND(AL255&lt;0,AM255&gt;0),"n/a",AM255/AL255-1)</f>
        <v>0.47750167897918061</v>
      </c>
      <c r="AN257" s="22">
        <f t="shared" ref="AN257" si="4092">IF(AND(AM255&lt;0,AN255&gt;0),"n/a",AN255/AM255-1)</f>
        <v>-0.29090909090909089</v>
      </c>
      <c r="AO257" s="22">
        <f t="shared" ref="AO257" si="4093">IF(AND(AN255&lt;0,AO255&gt;0),"n/a",AO255/AN255-1)</f>
        <v>-0.97884615384615381</v>
      </c>
      <c r="AP257" s="22">
        <f t="shared" ref="AP257" si="4094">IF(AND(AO255&lt;0,AP255&gt;0),"n/a",AP255/AO255-1)</f>
        <v>26.90909090909091</v>
      </c>
      <c r="AQ257" s="22">
        <f t="shared" ref="AQ257" si="4095">IF(AND(AP255&lt;0,AQ255&gt;0),"n/a",AQ255/AP255-1)</f>
        <v>0.43105320304017369</v>
      </c>
      <c r="AR257" s="22">
        <f t="shared" ref="AR257" si="4096">IF(AND(AQ255&lt;0,AR255&gt;0),"n/a",AR255/AQ255-1)</f>
        <v>0.60242792109256449</v>
      </c>
      <c r="AS257" s="22">
        <f t="shared" ref="AS257" si="4097">IF(AND(AR255&lt;0,AS255&gt;0),"n/a",AS255/AR255-1)</f>
        <v>0.63920454545454541</v>
      </c>
      <c r="AT257" s="22">
        <f t="shared" ref="AT257" si="4098">IF(AND(AS255&lt;0,AT255&gt;0),"n/a",AT255/AS255-1)</f>
        <v>-3.1484690930098203E-2</v>
      </c>
      <c r="AU257" s="22">
        <f t="shared" ref="AU257" si="4099">IF(AND(AT255&lt;0,AU255&gt;0),"n/a",AU255/AT255-1)</f>
        <v>3.1911720847002778E-2</v>
      </c>
      <c r="AV257" s="22">
        <f t="shared" ref="AV257" si="4100">IF(AND(AU255&lt;0,AV255&gt;0),"n/a",AV255/AU255-1)</f>
        <v>0.19306358381502897</v>
      </c>
      <c r="AW257" s="22">
        <f t="shared" ref="AW257" si="4101">IF(AND(AV255&lt;0,AW255&gt;0),"n/a",AW255/AV255-1)</f>
        <v>-8.9147286821705474E-2</v>
      </c>
      <c r="AX257" s="22">
        <f t="shared" ref="AX257" si="4102">IF(AND(AW255&lt;0,AX255&gt;0),"n/a",AX255/AW255-1)</f>
        <v>-0.33563829787234045</v>
      </c>
      <c r="AY257" s="22">
        <f t="shared" ref="AY257" si="4103">IF(AND(AX255&lt;0,AY255&gt;0),"n/a",AY255/AX255-1)</f>
        <v>0.20576461168935145</v>
      </c>
      <c r="AZ257" s="22">
        <f t="shared" ref="AZ257" si="4104">IF(AND(AY255&lt;0,AZ255&gt;0),"n/a",AZ255/AY255-1)</f>
        <v>-0.22875166002656044</v>
      </c>
      <c r="BA257" s="22">
        <f t="shared" ref="BA257:BL257" si="4105">IF(AND(AZ255&lt;0,BA255&gt;0),"n/a",BA255/AZ255-1)</f>
        <v>0.51657339647008182</v>
      </c>
      <c r="BB257" s="28">
        <f t="shared" si="4105"/>
        <v>-0.10474027817201248</v>
      </c>
      <c r="BC257" s="28">
        <f t="shared" si="4105"/>
        <v>0.12079898541534551</v>
      </c>
      <c r="BD257" s="28">
        <f t="shared" si="4105"/>
        <v>-0.57340876944837338</v>
      </c>
      <c r="BE257" s="28">
        <f t="shared" si="4105"/>
        <v>1.4701591511936338</v>
      </c>
      <c r="BF257" s="28">
        <f t="shared" si="4105"/>
        <v>0.24912751677852341</v>
      </c>
      <c r="BG257" s="28">
        <f t="shared" si="4105"/>
        <v>-0.15495379325166558</v>
      </c>
      <c r="BH257" s="28">
        <f t="shared" si="4105"/>
        <v>0.37461851475076302</v>
      </c>
      <c r="BI257" s="28">
        <f t="shared" si="4105"/>
        <v>5.5874190564292325E-2</v>
      </c>
      <c r="BJ257" s="28">
        <f t="shared" si="4105"/>
        <v>0.27019449798493089</v>
      </c>
      <c r="BK257" s="28">
        <f t="shared" si="4105"/>
        <v>-0.20858049386122224</v>
      </c>
      <c r="BL257" s="28">
        <f t="shared" si="4105"/>
        <v>0.57015861948753699</v>
      </c>
      <c r="BM257" s="22">
        <f t="shared" ref="BM257" si="4106">IF(AND(BL255&lt;0,BM255&gt;0),"n/a",BM255/BL255-1)</f>
        <v>-0.23254426553251617</v>
      </c>
      <c r="BN257" s="22">
        <f t="shared" ref="BN257" si="4107">IF(AND(BM255&lt;0,BN255&gt;0),"n/a",BN255/BM255-1)</f>
        <v>-6.8932998240631482E-2</v>
      </c>
      <c r="BO257" s="22">
        <f t="shared" ref="BO257" si="4108">IF(AND(BN255&lt;0,BO255&gt;0),"n/a",BO255/BN255-1)</f>
        <v>5.3694260416325301E-2</v>
      </c>
      <c r="BP257" s="22">
        <f t="shared" ref="BP257" si="4109">IF(AND(BO255&lt;0,BP255&gt;0),"n/a",BP255/BO255-1)</f>
        <v>3.1242684145400101E-2</v>
      </c>
      <c r="BQ257" s="22">
        <f t="shared" ref="BQ257" si="4110">IF(AND(BP255&lt;0,BQ255&gt;0),"n/a",BQ255/BP255-1)</f>
        <v>4.0984969232234159E-2</v>
      </c>
      <c r="BR257" s="28">
        <f>IF(AND(BQ255&lt;0,BR255&gt;0),"n/a",BR255/BQ255-1)</f>
        <v>1.6245312090343189E-2</v>
      </c>
      <c r="BS257" s="28">
        <f t="shared" ref="BS257" si="4111">IF(AND(BR255&lt;0,BS255&gt;0),"n/a",BS255/BR255-1)</f>
        <v>5.0849093170079129E-2</v>
      </c>
      <c r="BT257" s="28">
        <f t="shared" ref="BT257" si="4112">IF(AND(BS255&lt;0,BT255&gt;0),"n/a",BT255/BS255-1)</f>
        <v>3.4150187598430914E-2</v>
      </c>
      <c r="BU257" s="28">
        <f t="shared" ref="BU257" si="4113">IF(AND(BT255&lt;0,BU255&gt;0),"n/a",BU255/BT255-1)</f>
        <v>3.8489490871725929E-2</v>
      </c>
      <c r="BV257" s="28">
        <f t="shared" ref="BV257" si="4114">IF(AND(BU255&lt;0,BV255&gt;0),"n/a",BV255/BU255-1)</f>
        <v>2.6641765828303354E-2</v>
      </c>
      <c r="BW257" s="28">
        <f t="shared" ref="BW257" si="4115">IF(AND(BV255&lt;0,BW255&gt;0),"n/a",BW255/BV255-1)</f>
        <v>5.0628576391788638E-2</v>
      </c>
      <c r="BX257" s="28">
        <f t="shared" ref="BX257" si="4116">IF(AND(BW255&lt;0,BX255&gt;0),"n/a",BX255/BW255-1)</f>
        <v>3.2944987501702716E-2</v>
      </c>
      <c r="BY257" s="28">
        <f t="shared" ref="BY257" si="4117">IF(AND(BX255&lt;0,BY255&gt;0),"n/a",BY255/BX255-1)</f>
        <v>3.3621968288390036E-2</v>
      </c>
      <c r="BZ257" s="28">
        <f t="shared" ref="BZ257" si="4118">IF(AND(BY255&lt;0,BZ255&gt;0),"n/a",BZ255/BY255-1)</f>
        <v>2.895025176345456E-2</v>
      </c>
      <c r="CA257" s="28">
        <f t="shared" ref="CA257" si="4119">IF(AND(BZ255&lt;0,CA255&gt;0),"n/a",CA255/BZ255-1)</f>
        <v>4.7525680925160074E-2</v>
      </c>
      <c r="CB257" s="28">
        <f t="shared" ref="CB257" si="4120">IF(AND(CA255&lt;0,CB255&gt;0),"n/a",CB255/CA255-1)</f>
        <v>3.152482640651777E-2</v>
      </c>
      <c r="CC257" s="28">
        <f t="shared" ref="CC257" si="4121">IF(AND(CB255&lt;0,CC255&gt;0),"n/a",CC255/CB255-1)</f>
        <v>2.9459365599403098E-2</v>
      </c>
      <c r="CD257" s="28">
        <f t="shared" ref="CD257" si="4122">IF(AND(CC255&lt;0,CD255&gt;0),"n/a",CD255/CC255-1)</f>
        <v>2.9979404105608953E-2</v>
      </c>
      <c r="CE257" s="28">
        <f t="shared" ref="CE257" si="4123">IF(AND(CD255&lt;0,CE255&gt;0),"n/a",CE255/CD255-1)</f>
        <v>4.8785931118554782E-2</v>
      </c>
      <c r="CF257" s="28">
        <f t="shared" ref="CF257" si="4124">IF(AND(CE255&lt;0,CF255&gt;0),"n/a",CF255/CE255-1)</f>
        <v>2.84547273956961E-2</v>
      </c>
      <c r="CG257" s="28">
        <f t="shared" ref="CG257" si="4125">IF(AND(CF255&lt;0,CG255&gt;0),"n/a",CG255/CF255-1)</f>
        <v>2.5662644835452886E-2</v>
      </c>
      <c r="CH257" s="28"/>
      <c r="CI257" s="106" t="s">
        <v>82</v>
      </c>
      <c r="CJ257" s="48" t="s">
        <v>82</v>
      </c>
      <c r="CK257" s="106" t="s">
        <v>82</v>
      </c>
      <c r="CL257" s="106" t="s">
        <v>82</v>
      </c>
      <c r="CM257" s="48" t="s">
        <v>82</v>
      </c>
      <c r="CN257" s="106" t="s">
        <v>82</v>
      </c>
      <c r="CO257" s="48" t="s">
        <v>82</v>
      </c>
      <c r="CP257" s="106" t="s">
        <v>82</v>
      </c>
      <c r="CQ257" s="48" t="s">
        <v>82</v>
      </c>
      <c r="CR257" s="106" t="s">
        <v>82</v>
      </c>
      <c r="CS257" s="48" t="s">
        <v>82</v>
      </c>
      <c r="CT257" s="106" t="s">
        <v>82</v>
      </c>
      <c r="CU257" s="48" t="s">
        <v>82</v>
      </c>
      <c r="CV257" s="106" t="s">
        <v>82</v>
      </c>
      <c r="CW257" s="48" t="s">
        <v>82</v>
      </c>
      <c r="CX257" s="106" t="s">
        <v>82</v>
      </c>
      <c r="CY257" s="106" t="s">
        <v>82</v>
      </c>
      <c r="CZ257" s="106" t="s">
        <v>82</v>
      </c>
      <c r="DA257" s="106" t="s">
        <v>82</v>
      </c>
      <c r="DB257" s="106" t="s">
        <v>82</v>
      </c>
      <c r="DC257" s="106" t="s">
        <v>82</v>
      </c>
    </row>
    <row r="258" spans="1:107" x14ac:dyDescent="0.2">
      <c r="A258" s="7" t="s">
        <v>63</v>
      </c>
      <c r="B258" s="25" t="s">
        <v>82</v>
      </c>
      <c r="C258" s="25" t="s">
        <v>82</v>
      </c>
      <c r="D258" s="25" t="s">
        <v>82</v>
      </c>
      <c r="E258" s="25" t="s">
        <v>82</v>
      </c>
      <c r="F258" s="22">
        <f>IF(AND(B255&lt;0,F255&gt;0),"n/a",F255/B255-1)</f>
        <v>7.8039927404718767E-2</v>
      </c>
      <c r="G258" s="22">
        <f t="shared" ref="G258:BQ258" si="4126">IF(AND(C255&lt;0,G255&gt;0),"n/a",G255/C255-1)</f>
        <v>-2.3569023569023573E-2</v>
      </c>
      <c r="H258" s="22">
        <f t="shared" si="4126"/>
        <v>0.15356489945155394</v>
      </c>
      <c r="I258" s="22">
        <f t="shared" si="4126"/>
        <v>0.30884808013355602</v>
      </c>
      <c r="J258" s="22">
        <f t="shared" si="4126"/>
        <v>0.10269360269360273</v>
      </c>
      <c r="K258" s="22">
        <f t="shared" si="4126"/>
        <v>0.15862068965517251</v>
      </c>
      <c r="L258" s="22">
        <f t="shared" si="4126"/>
        <v>-1.2678288431061779E-2</v>
      </c>
      <c r="M258" s="22">
        <f t="shared" si="4126"/>
        <v>-0.18494897959183676</v>
      </c>
      <c r="N258" s="22">
        <f t="shared" si="4126"/>
        <v>-0.38816793893129775</v>
      </c>
      <c r="O258" s="22">
        <f t="shared" si="4126"/>
        <v>0.44903273809523814</v>
      </c>
      <c r="P258" s="22">
        <f t="shared" si="4126"/>
        <v>5.738362760834681E-2</v>
      </c>
      <c r="Q258" s="22">
        <f t="shared" si="4126"/>
        <v>0.11541471048513308</v>
      </c>
      <c r="R258" s="22">
        <f t="shared" si="4126"/>
        <v>1.2532751091703056</v>
      </c>
      <c r="S258" s="22">
        <f t="shared" si="4126"/>
        <v>1.0526315789473717E-2</v>
      </c>
      <c r="T258" s="22">
        <f t="shared" si="4126"/>
        <v>0.41631878557874757</v>
      </c>
      <c r="U258" s="22">
        <f t="shared" si="4126"/>
        <v>0.14907050157839352</v>
      </c>
      <c r="V258" s="22">
        <f t="shared" si="4126"/>
        <v>0.20598006644518274</v>
      </c>
      <c r="W258" s="22">
        <f t="shared" si="4126"/>
        <v>4.1666666666666741E-2</v>
      </c>
      <c r="X258" s="22">
        <f t="shared" si="4126"/>
        <v>-2.2508038585209E-2</v>
      </c>
      <c r="Y258" s="22">
        <f t="shared" si="4126"/>
        <v>-0.66178266178266176</v>
      </c>
      <c r="Z258" s="22">
        <f t="shared" si="4126"/>
        <v>-0.15335169880624422</v>
      </c>
      <c r="AA258" s="22">
        <f t="shared" si="4126"/>
        <v>0.2117073170731707</v>
      </c>
      <c r="AB258" s="22">
        <f t="shared" si="4126"/>
        <v>7.8947368421052655E-2</v>
      </c>
      <c r="AC258" s="22">
        <f t="shared" si="4126"/>
        <v>4.5018050541516246</v>
      </c>
      <c r="AD258" s="22">
        <f t="shared" si="4126"/>
        <v>0.51084598698481565</v>
      </c>
      <c r="AE258" s="22">
        <f t="shared" si="4126"/>
        <v>-0.31320450885668272</v>
      </c>
      <c r="AF258" s="22">
        <f t="shared" si="4126"/>
        <v>0.26727642276422769</v>
      </c>
      <c r="AG258" s="22">
        <f t="shared" si="4126"/>
        <v>6.242782152230971</v>
      </c>
      <c r="AH258" s="22">
        <f t="shared" si="4126"/>
        <v>-0.18018664752333091</v>
      </c>
      <c r="AI258" s="22">
        <f t="shared" si="4126"/>
        <v>0.19577960140679962</v>
      </c>
      <c r="AJ258" s="22">
        <f t="shared" si="4126"/>
        <v>-0.28548516439454696</v>
      </c>
      <c r="AK258" s="22">
        <f t="shared" si="4126"/>
        <v>-0.89816995832578361</v>
      </c>
      <c r="AL258" s="22">
        <f t="shared" si="4126"/>
        <v>0.30385288966725055</v>
      </c>
      <c r="AM258" s="22">
        <f t="shared" si="4126"/>
        <v>1.1568627450980391</v>
      </c>
      <c r="AN258" s="22">
        <f t="shared" si="4126"/>
        <v>0.75084175084175087</v>
      </c>
      <c r="AO258" s="22">
        <f t="shared" si="4126"/>
        <v>-0.97064056939501775</v>
      </c>
      <c r="AP258" s="22">
        <f t="shared" si="4126"/>
        <v>-0.38146406984553394</v>
      </c>
      <c r="AQ258" s="22">
        <f t="shared" si="4126"/>
        <v>-0.40090909090909088</v>
      </c>
      <c r="AR258" s="22">
        <f t="shared" si="4126"/>
        <v>0.35384615384615392</v>
      </c>
      <c r="AS258" s="22">
        <f t="shared" si="4126"/>
        <v>103.90909090909091</v>
      </c>
      <c r="AT258" s="22">
        <f t="shared" si="4126"/>
        <v>2.6406080347448424</v>
      </c>
      <c r="AU258" s="22">
        <f t="shared" si="4126"/>
        <v>1.6251896813353568</v>
      </c>
      <c r="AV258" s="22">
        <f t="shared" si="4126"/>
        <v>0.95454545454545459</v>
      </c>
      <c r="AW258" s="22">
        <f t="shared" si="4126"/>
        <v>8.6077411900635559E-2</v>
      </c>
      <c r="AX258" s="22">
        <f t="shared" si="4126"/>
        <v>-0.25499552639427381</v>
      </c>
      <c r="AY258" s="22">
        <f t="shared" si="4126"/>
        <v>-0.12947976878612721</v>
      </c>
      <c r="AZ258" s="22">
        <f t="shared" si="4126"/>
        <v>-0.43725775193798455</v>
      </c>
      <c r="BA258" s="22">
        <f t="shared" si="4126"/>
        <v>-6.3031914893617036E-2</v>
      </c>
      <c r="BB258" s="28">
        <f t="shared" si="4126"/>
        <v>0.26261008807045627</v>
      </c>
      <c r="BC258" s="28">
        <f t="shared" si="4126"/>
        <v>0.1736387782204516</v>
      </c>
      <c r="BD258" s="28">
        <f t="shared" si="4126"/>
        <v>-0.35083943176926391</v>
      </c>
      <c r="BE258" s="28">
        <f t="shared" si="4126"/>
        <v>5.7337496451887571E-2</v>
      </c>
      <c r="BF258" s="28">
        <f t="shared" si="4126"/>
        <v>0.47526949904882687</v>
      </c>
      <c r="BG258" s="28">
        <f t="shared" si="4126"/>
        <v>0.11230551626591234</v>
      </c>
      <c r="BH258" s="28">
        <f t="shared" si="4126"/>
        <v>2.5842175066312998</v>
      </c>
      <c r="BI258" s="28">
        <f t="shared" si="4126"/>
        <v>0.5320805369127517</v>
      </c>
      <c r="BJ258" s="28">
        <f t="shared" si="4126"/>
        <v>0.5579196217494089</v>
      </c>
      <c r="BK258" s="28">
        <f t="shared" si="4126"/>
        <v>0.4590539165818921</v>
      </c>
      <c r="BL258" s="28">
        <f t="shared" si="4126"/>
        <v>0.66660499537465312</v>
      </c>
      <c r="BM258" s="22">
        <f t="shared" si="4126"/>
        <v>0.21136170598967841</v>
      </c>
      <c r="BN258" s="22">
        <f t="shared" si="4126"/>
        <v>-0.11205810336040045</v>
      </c>
      <c r="BO258" s="22">
        <f t="shared" si="4126"/>
        <v>0.18220396744715606</v>
      </c>
      <c r="BP258" s="22">
        <f t="shared" si="4126"/>
        <v>-0.22355666652618511</v>
      </c>
      <c r="BQ258" s="22">
        <f t="shared" si="4126"/>
        <v>5.3175842340464907E-2</v>
      </c>
      <c r="BR258" s="28">
        <f>IF(AND(BN255&lt;0,BR255&gt;0),"n/a",BR255/BN255-1)</f>
        <v>0.14952523348250701</v>
      </c>
      <c r="BS258" s="28">
        <f t="shared" ref="BS258" si="4127">IF(AND(BO255&lt;0,BS255&gt;0),"n/a",BS255/BO255-1)</f>
        <v>0.14642130507945605</v>
      </c>
      <c r="BT258" s="28">
        <f t="shared" ref="BT258" si="4128">IF(AND(BP255&lt;0,BT255&gt;0),"n/a",BT255/BP255-1)</f>
        <v>0.14965354512769347</v>
      </c>
      <c r="BU258" s="28">
        <f t="shared" ref="BU258" si="4129">IF(AND(BQ255&lt;0,BU255&gt;0),"n/a",BU255/BQ255-1)</f>
        <v>0.14689756340966387</v>
      </c>
      <c r="BV258" s="28">
        <f t="shared" ref="BV258" si="4130">IF(AND(BR255&lt;0,BV255&gt;0),"n/a",BV255/BR255-1)</f>
        <v>0.15863062364454139</v>
      </c>
      <c r="BW258" s="28">
        <f t="shared" ref="BW258" si="4131">IF(AND(BS255&lt;0,BW255&gt;0),"n/a",BW255/BS255-1)</f>
        <v>0.15838748931248992</v>
      </c>
      <c r="BX258" s="28">
        <f t="shared" ref="BX258" si="4132">IF(AND(BT255&lt;0,BX255&gt;0),"n/a",BX255/BT255-1)</f>
        <v>0.15703750288797425</v>
      </c>
      <c r="BY258" s="28">
        <f t="shared" ref="BY258" si="4133">IF(AND(BU255&lt;0,BY255&gt;0),"n/a",BY255/BU255-1)</f>
        <v>0.15161433180672801</v>
      </c>
      <c r="BZ258" s="28">
        <f t="shared" ref="BZ258" si="4134">IF(AND(BV255&lt;0,BZ255&gt;0),"n/a",BZ255/BV255-1)</f>
        <v>0.15420382852913117</v>
      </c>
      <c r="CA258" s="28">
        <f t="shared" ref="CA258" si="4135">IF(AND(BW255&lt;0,CA255&gt;0),"n/a",CA255/BW255-1)</f>
        <v>0.15079503696607643</v>
      </c>
      <c r="CB258" s="28">
        <f t="shared" ref="CB258" si="4136">IF(AND(BX255&lt;0,CB255&gt;0),"n/a",CB255/BX255-1)</f>
        <v>0.14921284782744304</v>
      </c>
      <c r="CC258" s="28">
        <f t="shared" ref="CC258" si="4137">IF(AND(BY255&lt;0,CC255&gt;0),"n/a",CC255/BY255-1)</f>
        <v>0.14458473751501755</v>
      </c>
      <c r="CD258" s="28">
        <f t="shared" ref="CD258" si="4138">IF(AND(BZ255&lt;0,CD255&gt;0),"n/a",CD255/BZ255-1)</f>
        <v>0.14572954705404917</v>
      </c>
      <c r="CE258" s="28">
        <f t="shared" ref="CE258" si="4139">IF(AND(CA255&lt;0,CE255&gt;0),"n/a",CE255/CA255-1)</f>
        <v>0.14710794369820368</v>
      </c>
      <c r="CF258" s="28">
        <f t="shared" ref="CF258" si="4140">IF(AND(CB255&lt;0,CF255&gt;0),"n/a",CF255/CB255-1)</f>
        <v>0.14369383782978562</v>
      </c>
      <c r="CG258" s="28">
        <f t="shared" ref="CG258" si="4141">IF(AND(CC255&lt;0,CG255&gt;0),"n/a",CG255/CC255-1)</f>
        <v>0.13947581205160242</v>
      </c>
      <c r="CH258" s="28"/>
      <c r="CI258" s="106" t="s">
        <v>82</v>
      </c>
      <c r="CJ258" s="22">
        <f>IF(AND(CI255&lt;0,CJ255&gt;0),"n/a",CJ255/CI255-1)</f>
        <v>0.13007420340462672</v>
      </c>
      <c r="CK258" s="107">
        <f t="shared" ref="CK258:CY258" si="4142">IF(AND(CJ255&lt;0,CK255&gt;0),"n/a",CK255/CJ255-1)</f>
        <v>0</v>
      </c>
      <c r="CL258" s="107">
        <f t="shared" si="4142"/>
        <v>6.0641174198532211E-2</v>
      </c>
      <c r="CM258" s="22">
        <f t="shared" si="4142"/>
        <v>0.32520029133284778</v>
      </c>
      <c r="CN258" s="107">
        <f t="shared" si="4142"/>
        <v>-9.2333058532563905E-2</v>
      </c>
      <c r="CO258" s="22">
        <f t="shared" si="4142"/>
        <v>0.4144716924008478</v>
      </c>
      <c r="CP258" s="107">
        <f t="shared" si="4142"/>
        <v>2.1102311643835616</v>
      </c>
      <c r="CQ258" s="22">
        <f t="shared" si="4142"/>
        <v>-0.71254559218223101</v>
      </c>
      <c r="CR258" s="107">
        <f t="shared" si="4142"/>
        <v>0.26454393105099361</v>
      </c>
      <c r="CS258" s="22">
        <f t="shared" si="4142"/>
        <v>0.47917455509276796</v>
      </c>
      <c r="CT258" s="107">
        <f t="shared" si="4142"/>
        <v>0.88160757711506466</v>
      </c>
      <c r="CU258" s="22">
        <f t="shared" si="4142"/>
        <v>-0.22753554179987756</v>
      </c>
      <c r="CV258" s="107">
        <f t="shared" si="4142"/>
        <v>4.9841493483621102E-2</v>
      </c>
      <c r="CW258" s="22">
        <f t="shared" si="4142"/>
        <v>0.65215567857741985</v>
      </c>
      <c r="CX258" s="107">
        <f t="shared" si="4142"/>
        <v>0.46759614439168873</v>
      </c>
      <c r="CY258" s="107">
        <f t="shared" si="4142"/>
        <v>-4.8886922223704943E-2</v>
      </c>
      <c r="CZ258" s="107">
        <f>IF(AND(CY255&lt;0,CZ255&gt;0),"n/a",CZ255/CY255-1)</f>
        <v>0.14809634119303272</v>
      </c>
      <c r="DA258" s="107">
        <f>IF(AND(CZ255&lt;0,DA255&gt;0),"n/a",DA255/CZ255-1)</f>
        <v>0.1563088266198851</v>
      </c>
      <c r="DB258" s="107">
        <f>IF(AND(DA255&lt;0,DB255&gt;0),"n/a",DB255/DA255-1)</f>
        <v>0.14955618355789002</v>
      </c>
      <c r="DC258" s="107">
        <f>IF(AND(DB255&lt;0,DC255&gt;0),"n/a",DC255/DB255-1)</f>
        <v>0.14391080059779937</v>
      </c>
    </row>
    <row r="259" spans="1:107" hidden="1" outlineLevel="1" x14ac:dyDescent="0.2"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CI259" s="92"/>
      <c r="CK259" s="92"/>
      <c r="CL259" s="92"/>
      <c r="CN259" s="92"/>
      <c r="CP259" s="92"/>
      <c r="CR259" s="92"/>
      <c r="CT259" s="90"/>
      <c r="CU259" s="21"/>
      <c r="CV259" s="92"/>
      <c r="CX259" s="92"/>
      <c r="CY259" s="92"/>
      <c r="CZ259" s="92"/>
      <c r="DA259" s="92"/>
      <c r="DB259" s="92"/>
      <c r="DC259" s="92"/>
    </row>
    <row r="260" spans="1:107" hidden="1" outlineLevel="1" x14ac:dyDescent="0.2">
      <c r="A260" s="4" t="s">
        <v>136</v>
      </c>
      <c r="B260" s="21">
        <f>B250+B255</f>
        <v>1955</v>
      </c>
      <c r="C260" s="21">
        <f t="shared" ref="C260:F260" si="4143">C250+C255</f>
        <v>1840</v>
      </c>
      <c r="D260" s="21">
        <f t="shared" si="4143"/>
        <v>2167</v>
      </c>
      <c r="E260" s="21">
        <f t="shared" si="4143"/>
        <v>2543</v>
      </c>
      <c r="F260" s="21">
        <f t="shared" si="4143"/>
        <v>1798</v>
      </c>
      <c r="G260" s="21">
        <f t="shared" ref="G260:BQ260" si="4144">G250+G255</f>
        <v>2505</v>
      </c>
      <c r="H260" s="21">
        <f t="shared" si="4144"/>
        <v>2729</v>
      </c>
      <c r="I260" s="21">
        <f t="shared" si="4144"/>
        <v>2705</v>
      </c>
      <c r="J260" s="21">
        <f t="shared" si="4144"/>
        <v>2890</v>
      </c>
      <c r="K260" s="21">
        <f t="shared" si="4144"/>
        <v>3018</v>
      </c>
      <c r="L260" s="21">
        <f t="shared" si="4144"/>
        <v>2703</v>
      </c>
      <c r="M260" s="21">
        <f t="shared" si="4144"/>
        <v>3260</v>
      </c>
      <c r="N260" s="21">
        <f t="shared" si="4144"/>
        <v>3478.25</v>
      </c>
      <c r="O260" s="21">
        <f t="shared" si="4144"/>
        <v>2724.25</v>
      </c>
      <c r="P260" s="21">
        <f t="shared" si="4144"/>
        <v>3113.25</v>
      </c>
      <c r="Q260" s="21">
        <f t="shared" si="4144"/>
        <v>3850.25</v>
      </c>
      <c r="R260" s="21">
        <f t="shared" si="4144"/>
        <v>3569</v>
      </c>
      <c r="S260" s="21">
        <f t="shared" si="4144"/>
        <v>3419</v>
      </c>
      <c r="T260" s="21">
        <f t="shared" si="4144"/>
        <v>2924</v>
      </c>
      <c r="U260" s="21">
        <f t="shared" si="4144"/>
        <v>3708</v>
      </c>
      <c r="V260" s="21">
        <f t="shared" si="4144"/>
        <v>3515</v>
      </c>
      <c r="W260" s="21">
        <f t="shared" si="4144"/>
        <v>3931</v>
      </c>
      <c r="X260" s="21">
        <f t="shared" si="4144"/>
        <v>3979</v>
      </c>
      <c r="Y260" s="21">
        <f t="shared" si="4144"/>
        <v>4923</v>
      </c>
      <c r="Z260" s="21">
        <f t="shared" si="4144"/>
        <v>4207</v>
      </c>
      <c r="AA260" s="21">
        <f t="shared" si="4144"/>
        <v>4877</v>
      </c>
      <c r="AB260" s="21">
        <f t="shared" si="4144"/>
        <v>5061</v>
      </c>
      <c r="AC260" s="21">
        <f t="shared" si="4144"/>
        <v>5333</v>
      </c>
      <c r="AD260" s="21">
        <f t="shared" si="4144"/>
        <v>5426</v>
      </c>
      <c r="AE260" s="21">
        <f t="shared" si="4144"/>
        <v>3524</v>
      </c>
      <c r="AF260" s="21">
        <f t="shared" si="4144"/>
        <v>6732</v>
      </c>
      <c r="AG260" s="21">
        <f t="shared" si="4144"/>
        <v>-3020</v>
      </c>
      <c r="AH260" s="21">
        <f t="shared" si="4144"/>
        <v>9401</v>
      </c>
      <c r="AI260" s="21">
        <f t="shared" si="4144"/>
        <v>3195</v>
      </c>
      <c r="AJ260" s="21">
        <f t="shared" si="4144"/>
        <v>9192</v>
      </c>
      <c r="AK260" s="21">
        <f t="shared" si="4144"/>
        <v>8948</v>
      </c>
      <c r="AL260" s="21">
        <f t="shared" si="4144"/>
        <v>6657</v>
      </c>
      <c r="AM260" s="21">
        <f t="shared" si="4144"/>
        <v>9947</v>
      </c>
      <c r="AN260" s="21">
        <f t="shared" si="4144"/>
        <v>7068</v>
      </c>
      <c r="AO260" s="21">
        <f t="shared" si="4144"/>
        <v>10671</v>
      </c>
      <c r="AP260" s="21">
        <f t="shared" si="4144"/>
        <v>6836</v>
      </c>
      <c r="AQ260" s="21">
        <f t="shared" si="4144"/>
        <v>6959</v>
      </c>
      <c r="AR260" s="21">
        <f t="shared" si="4144"/>
        <v>11247</v>
      </c>
      <c r="AS260" s="21">
        <f t="shared" si="4144"/>
        <v>15227</v>
      </c>
      <c r="AT260" s="21">
        <f t="shared" si="4144"/>
        <v>17930</v>
      </c>
      <c r="AU260" s="21">
        <f>AU250+AU255</f>
        <v>18525</v>
      </c>
      <c r="AV260" s="21">
        <f>AV250+AV255</f>
        <v>18936</v>
      </c>
      <c r="AW260" s="21">
        <f t="shared" si="4144"/>
        <v>20642</v>
      </c>
      <c r="AX260" s="21">
        <f t="shared" si="4144"/>
        <v>16436</v>
      </c>
      <c r="AY260" s="21">
        <f t="shared" si="4144"/>
        <v>16002</v>
      </c>
      <c r="AZ260" s="21">
        <f t="shared" si="4144"/>
        <v>13910</v>
      </c>
      <c r="BA260" s="21">
        <f t="shared" si="4144"/>
        <v>13624</v>
      </c>
      <c r="BB260" s="21">
        <f t="shared" si="4144"/>
        <v>15051</v>
      </c>
      <c r="BC260" s="21">
        <f t="shared" si="4144"/>
        <v>18368</v>
      </c>
      <c r="BD260" s="21">
        <f t="shared" si="4144"/>
        <v>19689</v>
      </c>
      <c r="BE260" s="21">
        <f t="shared" ref="BE260:BF260" si="4145">BE250+BE255</f>
        <v>20687</v>
      </c>
      <c r="BF260" s="21">
        <f t="shared" si="4145"/>
        <v>23662</v>
      </c>
      <c r="BG260" s="21">
        <f t="shared" ref="BG260:BH260" si="4146">BG250+BG255</f>
        <v>23619</v>
      </c>
      <c r="BH260" s="21">
        <f t="shared" si="4146"/>
        <v>26301</v>
      </c>
      <c r="BI260" s="21">
        <f t="shared" ref="BI260:BJ260" si="4147">BI250+BI255</f>
        <v>26536</v>
      </c>
      <c r="BJ260" s="21">
        <f t="shared" si="4147"/>
        <v>34540</v>
      </c>
      <c r="BK260" s="21">
        <f t="shared" ref="BK260:BL260" si="4148">BK250+BK255</f>
        <v>28196</v>
      </c>
      <c r="BL260" s="21">
        <f t="shared" si="4148"/>
        <v>34979</v>
      </c>
      <c r="BM260" s="21">
        <f t="shared" si="4144"/>
        <v>30455.630398420122</v>
      </c>
      <c r="BN260" s="21">
        <f t="shared" si="4144"/>
        <v>30344.399526919296</v>
      </c>
      <c r="BO260" s="21">
        <f t="shared" si="4144"/>
        <v>31973.719617294722</v>
      </c>
      <c r="BP260" s="21">
        <f t="shared" si="4144"/>
        <v>32972.664440251443</v>
      </c>
      <c r="BQ260" s="21">
        <f t="shared" si="4144"/>
        <v>34324.048077839936</v>
      </c>
      <c r="BR260" s="21">
        <f>BR250+BR255</f>
        <v>34881.652951068383</v>
      </c>
      <c r="BS260" s="21">
        <f t="shared" ref="BS260:BU260" si="4149">BS250+BS255</f>
        <v>36655.353371903628</v>
      </c>
      <c r="BT260" s="21">
        <f t="shared" si="4149"/>
        <v>37907.140566040907</v>
      </c>
      <c r="BU260" s="21">
        <f t="shared" si="4149"/>
        <v>39366.16710683077</v>
      </c>
      <c r="BV260" s="21">
        <f t="shared" ref="BV260:CC260" si="4150">BV250+BV255</f>
        <v>40414.951312448822</v>
      </c>
      <c r="BW260" s="21">
        <f t="shared" si="4150"/>
        <v>42461.102762341558</v>
      </c>
      <c r="BX260" s="21">
        <f t="shared" si="4150"/>
        <v>43859.983262155409</v>
      </c>
      <c r="BY260" s="21">
        <f t="shared" si="4150"/>
        <v>45334.642228524928</v>
      </c>
      <c r="BZ260" s="21">
        <f t="shared" si="4150"/>
        <v>46647.091534646854</v>
      </c>
      <c r="CA260" s="21">
        <f t="shared" si="4150"/>
        <v>48864.026323009224</v>
      </c>
      <c r="CB260" s="21">
        <f t="shared" si="4150"/>
        <v>50404.456270365605</v>
      </c>
      <c r="CC260" s="21">
        <f t="shared" si="4150"/>
        <v>51889.33957547343</v>
      </c>
      <c r="CD260" s="21">
        <f t="shared" ref="CD260:CG260" si="4151">CD250+CD255</f>
        <v>53444.951055379715</v>
      </c>
      <c r="CE260" s="21">
        <f t="shared" si="4151"/>
        <v>56052.312756202009</v>
      </c>
      <c r="CF260" s="21">
        <f t="shared" si="4151"/>
        <v>57647.266035578039</v>
      </c>
      <c r="CG260" s="21">
        <f t="shared" si="4151"/>
        <v>59126.647349583931</v>
      </c>
      <c r="CH260" s="21"/>
      <c r="CI260" s="90">
        <f>SUM(B260:E260)</f>
        <v>8505</v>
      </c>
      <c r="CJ260" s="21">
        <f>SUM(F260:I260)</f>
        <v>9737</v>
      </c>
      <c r="CK260" s="90">
        <f>SUM(J260:M260)</f>
        <v>11871</v>
      </c>
      <c r="CL260" s="90">
        <f>SUM(N260:Q260)</f>
        <v>13166</v>
      </c>
      <c r="CM260" s="21">
        <f>SUM(R260:U260)</f>
        <v>13620</v>
      </c>
      <c r="CN260" s="90">
        <f>SUM(V260:Y260)</f>
        <v>16348</v>
      </c>
      <c r="CO260" s="21">
        <f>SUM(Z260:AC260)</f>
        <v>19478</v>
      </c>
      <c r="CP260" s="90">
        <f>SUM(AD260:AG260)</f>
        <v>12662</v>
      </c>
      <c r="CQ260" s="21">
        <f>SUM(AH260:AK260)</f>
        <v>30736</v>
      </c>
      <c r="CR260" s="90">
        <f>SUM(AL260:AO260)</f>
        <v>34343</v>
      </c>
      <c r="CS260" s="21">
        <f>SUM(AP260:AS260)</f>
        <v>40269</v>
      </c>
      <c r="CT260" s="90">
        <f>SUM(AT260:AW260)</f>
        <v>76033</v>
      </c>
      <c r="CU260" s="21">
        <f>SUM(AX260:BA260)</f>
        <v>59972</v>
      </c>
      <c r="CV260" s="90">
        <f>SUM(BB260:BE260)</f>
        <v>73795</v>
      </c>
      <c r="CW260" s="21">
        <f>SUM(BF260:BI260)</f>
        <v>100118</v>
      </c>
      <c r="CX260" s="90">
        <f>SUM(BJ260:BM260)</f>
        <v>128170.63039842012</v>
      </c>
      <c r="CY260" s="90">
        <f>SUM(BN260:BQ260)</f>
        <v>129614.8316623054</v>
      </c>
      <c r="CZ260" s="90">
        <f>SUM(BR260:BU260)</f>
        <v>148810.3139958437</v>
      </c>
      <c r="DA260" s="90">
        <f>SUM(BV260:BY260)</f>
        <v>172070.67956547072</v>
      </c>
      <c r="DB260" s="90">
        <f>SUM(BZ260:CC260)</f>
        <v>197804.91370349511</v>
      </c>
      <c r="DC260" s="90">
        <f>SUM(CD260:CG260)</f>
        <v>226271.17719674367</v>
      </c>
    </row>
    <row r="261" spans="1:107" hidden="1" outlineLevel="1" x14ac:dyDescent="0.2">
      <c r="A261" s="7" t="s">
        <v>137</v>
      </c>
      <c r="B261" s="22">
        <f>B260/B$85</f>
        <v>0.38605845181674564</v>
      </c>
      <c r="C261" s="22">
        <f t="shared" ref="C261:F261" si="4152">C260/C$85</f>
        <v>0.36163522012578614</v>
      </c>
      <c r="D261" s="22">
        <f t="shared" si="4152"/>
        <v>0.39536580915891262</v>
      </c>
      <c r="E261" s="22">
        <f t="shared" si="4152"/>
        <v>0.39915240935488933</v>
      </c>
      <c r="F261" s="22">
        <f t="shared" si="4152"/>
        <v>0.2750917992656059</v>
      </c>
      <c r="G261" s="22">
        <f t="shared" ref="G261:BQ261" si="4153">G260/G$85</f>
        <v>0.36230835984958054</v>
      </c>
      <c r="H261" s="22">
        <f t="shared" si="4153"/>
        <v>0.36328541001064962</v>
      </c>
      <c r="I261" s="22">
        <f t="shared" si="4153"/>
        <v>0.33263649778652238</v>
      </c>
      <c r="J261" s="22">
        <f t="shared" si="4153"/>
        <v>0.35521140609636187</v>
      </c>
      <c r="K261" s="22">
        <f t="shared" si="4153"/>
        <v>0.36096160746322209</v>
      </c>
      <c r="L261" s="22">
        <f t="shared" si="4153"/>
        <v>0.30884369287020108</v>
      </c>
      <c r="M261" s="22">
        <f t="shared" si="4153"/>
        <v>0.33157038242473558</v>
      </c>
      <c r="N261" s="22">
        <f t="shared" si="4153"/>
        <v>0.34838241185897434</v>
      </c>
      <c r="O261" s="22">
        <f t="shared" si="4153"/>
        <v>0.26996828857397681</v>
      </c>
      <c r="P261" s="22">
        <f t="shared" si="4153"/>
        <v>0.28885229170532567</v>
      </c>
      <c r="Q261" s="22">
        <f t="shared" si="4153"/>
        <v>0.31030383623468732</v>
      </c>
      <c r="R261" s="22">
        <f t="shared" si="4153"/>
        <v>0.29280498810402822</v>
      </c>
      <c r="S261" s="22">
        <f t="shared" si="4153"/>
        <v>0.27004186083247766</v>
      </c>
      <c r="T261" s="22">
        <f t="shared" si="4153"/>
        <v>0.22193548387096773</v>
      </c>
      <c r="U261" s="22">
        <f t="shared" si="4153"/>
        <v>0.25609503418744389</v>
      </c>
      <c r="V261" s="22">
        <f t="shared" si="4153"/>
        <v>0.25264141450442035</v>
      </c>
      <c r="W261" s="22">
        <f t="shared" si="4153"/>
        <v>0.27393728222996516</v>
      </c>
      <c r="X261" s="22">
        <f t="shared" si="4153"/>
        <v>0.26335296842941291</v>
      </c>
      <c r="Y261" s="22">
        <f t="shared" si="4153"/>
        <v>0.28499478985758941</v>
      </c>
      <c r="Z261" s="22">
        <f t="shared" si="4153"/>
        <v>0.25544963264314774</v>
      </c>
      <c r="AA261" s="22">
        <f t="shared" si="4153"/>
        <v>0.27828815977175464</v>
      </c>
      <c r="AB261" s="22">
        <f t="shared" si="4153"/>
        <v>0.27702665717882752</v>
      </c>
      <c r="AC261" s="22">
        <f t="shared" si="4153"/>
        <v>0.25136689291101055</v>
      </c>
      <c r="AD261" s="22">
        <f t="shared" si="4153"/>
        <v>0.26966850554147409</v>
      </c>
      <c r="AE261" s="22">
        <f t="shared" si="4153"/>
        <v>0.16845929537740809</v>
      </c>
      <c r="AF261" s="22">
        <f t="shared" si="4153"/>
        <v>0.30229007633587784</v>
      </c>
      <c r="AG261" s="22">
        <f t="shared" si="4153"/>
        <v>-0.11672399799018282</v>
      </c>
      <c r="AH261" s="22">
        <f t="shared" si="4153"/>
        <v>0.37818810845603024</v>
      </c>
      <c r="AI261" s="22">
        <f t="shared" si="4153"/>
        <v>0.12177459313183672</v>
      </c>
      <c r="AJ261" s="22">
        <f t="shared" si="4153"/>
        <v>0.33846380440385893</v>
      </c>
      <c r="AK261" s="22">
        <f t="shared" si="4153"/>
        <v>0.28103015075376886</v>
      </c>
      <c r="AL261" s="22">
        <f t="shared" si="4153"/>
        <v>0.22582177143050985</v>
      </c>
      <c r="AM261" s="22">
        <f t="shared" si="4153"/>
        <v>0.31372610862297357</v>
      </c>
      <c r="AN261" s="22">
        <f t="shared" si="4153"/>
        <v>0.21412342088521313</v>
      </c>
      <c r="AO261" s="22">
        <f t="shared" si="4153"/>
        <v>0.2839995741736307</v>
      </c>
      <c r="AP261" s="22">
        <f t="shared" si="4153"/>
        <v>0.20280653870116</v>
      </c>
      <c r="AQ261" s="22">
        <f t="shared" si="4153"/>
        <v>0.22020061386577225</v>
      </c>
      <c r="AR261" s="22">
        <f t="shared" si="4153"/>
        <v>0.29591917278396085</v>
      </c>
      <c r="AS261" s="22">
        <f t="shared" si="4153"/>
        <v>0.3279419365954514</v>
      </c>
      <c r="AT261" s="22">
        <f t="shared" si="4153"/>
        <v>0.39318450945133987</v>
      </c>
      <c r="AU261" s="22">
        <f t="shared" si="4153"/>
        <v>0.36358462051775237</v>
      </c>
      <c r="AV261" s="22">
        <f t="shared" si="4153"/>
        <v>0.35315180902648263</v>
      </c>
      <c r="AW261" s="22">
        <f t="shared" si="4153"/>
        <v>0.33348411903454067</v>
      </c>
      <c r="AX261" s="22">
        <f t="shared" si="4153"/>
        <v>0.29338997875796574</v>
      </c>
      <c r="AY261" s="22">
        <f t="shared" si="4153"/>
        <v>0.27843608080597171</v>
      </c>
      <c r="AZ261" s="22">
        <f t="shared" si="4153"/>
        <v>0.24290154716585757</v>
      </c>
      <c r="BA261" s="22">
        <f t="shared" si="4153"/>
        <v>0.21583258083424425</v>
      </c>
      <c r="BB261" s="28">
        <f t="shared" si="4153"/>
        <v>0.2592050425378018</v>
      </c>
      <c r="BC261" s="28">
        <f t="shared" si="4153"/>
        <v>0.29593826026713066</v>
      </c>
      <c r="BD261" s="28">
        <f t="shared" si="4153"/>
        <v>0.30739566907620491</v>
      </c>
      <c r="BE261" s="28">
        <f t="shared" ref="BE261:BF261" si="4154">BE260/BE$85</f>
        <v>0.2860322990985012</v>
      </c>
      <c r="BF261" s="28">
        <f t="shared" si="4154"/>
        <v>0.35006583521962331</v>
      </c>
      <c r="BG261" s="28">
        <f t="shared" ref="BG261:BH261" si="4155">BG260/BG$85</f>
        <v>0.33100693714525964</v>
      </c>
      <c r="BH261" s="28">
        <f t="shared" si="4155"/>
        <v>0.35280151309876723</v>
      </c>
      <c r="BI261" s="28">
        <f t="shared" ref="BI261:BJ261" si="4156">BI260/BI$85</f>
        <v>0.32511240979649847</v>
      </c>
      <c r="BJ261" s="28">
        <f t="shared" si="4156"/>
        <v>0.45158591114713803</v>
      </c>
      <c r="BK261" s="28">
        <f t="shared" ref="BK261:BL261" si="4157">BK260/BK$85</f>
        <v>0.3450191500556759</v>
      </c>
      <c r="BL261" s="28">
        <f t="shared" si="4157"/>
        <v>0.39989710757974162</v>
      </c>
      <c r="BM261" s="22">
        <f t="shared" si="4153"/>
        <v>0.31885605494304303</v>
      </c>
      <c r="BN261" s="22">
        <f t="shared" si="4153"/>
        <v>0.34078709184488215</v>
      </c>
      <c r="BO261" s="22">
        <f t="shared" si="4153"/>
        <v>0.3389148484333519</v>
      </c>
      <c r="BP261" s="22">
        <f t="shared" si="4153"/>
        <v>0.3287887140183669</v>
      </c>
      <c r="BQ261" s="22">
        <f t="shared" si="4153"/>
        <v>0.31707195994594661</v>
      </c>
      <c r="BR261" s="28">
        <f>BR260/BR$85</f>
        <v>0.34211594063357664</v>
      </c>
      <c r="BS261" s="28">
        <f t="shared" ref="BS261:BU261" si="4158">BS260/BS$85</f>
        <v>0.34066174127489729</v>
      </c>
      <c r="BT261" s="28">
        <f t="shared" si="4158"/>
        <v>0.33099425357588963</v>
      </c>
      <c r="BU261" s="28">
        <f t="shared" si="4158"/>
        <v>0.31945747916691897</v>
      </c>
      <c r="BV261" s="28">
        <f t="shared" ref="BV261:CC261" si="4159">BV260/BV$85</f>
        <v>0.34825028620379439</v>
      </c>
      <c r="BW261" s="28">
        <f t="shared" si="4159"/>
        <v>0.34800681864742944</v>
      </c>
      <c r="BX261" s="28">
        <f t="shared" si="4159"/>
        <v>0.33728614977639976</v>
      </c>
      <c r="BY261" s="28">
        <f t="shared" si="4159"/>
        <v>0.32500620571321709</v>
      </c>
      <c r="BZ261" s="28">
        <f t="shared" si="4159"/>
        <v>0.35630010689581199</v>
      </c>
      <c r="CA261" s="28">
        <f t="shared" si="4159"/>
        <v>0.35627691127511824</v>
      </c>
      <c r="CB261" s="28">
        <f t="shared" si="4159"/>
        <v>0.34440206804197959</v>
      </c>
      <c r="CC261" s="28">
        <f t="shared" si="4159"/>
        <v>0.3314908417217643</v>
      </c>
      <c r="CD261" s="28">
        <f t="shared" ref="CD261:CG261" si="4160">CD260/CD$85</f>
        <v>0.36512145869337759</v>
      </c>
      <c r="CE261" s="28">
        <f t="shared" si="4160"/>
        <v>0.36679333478885873</v>
      </c>
      <c r="CF261" s="28">
        <f t="shared" si="4160"/>
        <v>0.35311796939723522</v>
      </c>
      <c r="CG261" s="28">
        <f t="shared" si="4160"/>
        <v>0.3395447903119635</v>
      </c>
      <c r="CH261" s="28"/>
      <c r="CI261" s="107">
        <f>CI260/CI$85</f>
        <v>0.38652063261225234</v>
      </c>
      <c r="CJ261" s="22">
        <f t="shared" ref="CJ261" si="4161">CJ260/CJ$85</f>
        <v>0.33467381590705986</v>
      </c>
      <c r="CK261" s="107">
        <f t="shared" ref="CK261" si="4162">CK260/CK$85</f>
        <v>0.33838830135971038</v>
      </c>
      <c r="CL261" s="107">
        <f t="shared" ref="CL261" si="4163">CL260/CL$85</f>
        <v>0.30433878088809785</v>
      </c>
      <c r="CM261" s="22">
        <f t="shared" ref="CM261" si="4164">CM260/CM$85</f>
        <v>0.25940880694804208</v>
      </c>
      <c r="CN261" s="107">
        <f t="shared" ref="CN261" si="4165">CN260/CN$85</f>
        <v>0.26956435708867854</v>
      </c>
      <c r="CO261" s="22">
        <f t="shared" ref="CO261" si="4166">CO260/CO$85</f>
        <v>0.26508254058982839</v>
      </c>
      <c r="CP261" s="107">
        <f t="shared" ref="CP261" si="4167">CP260/CP$85</f>
        <v>0.14197773118195173</v>
      </c>
      <c r="CQ261" s="22">
        <f t="shared" ref="CQ261" si="4168">CQ260/CQ$85</f>
        <v>0.27918214600383312</v>
      </c>
      <c r="CR261" s="107">
        <f t="shared" ref="CR261" si="4169">CR260/CR$85</f>
        <v>0.26063232347762733</v>
      </c>
      <c r="CS261" s="22">
        <f t="shared" ref="CS261" si="4170">CS260/CS$85</f>
        <v>0.26890997602655109</v>
      </c>
      <c r="CT261" s="107">
        <f t="shared" ref="CT261" si="4171">CT260/CT$85</f>
        <v>0.35852615397673421</v>
      </c>
      <c r="CU261" s="22">
        <f t="shared" ref="CU261" si="4172">CU260/CU$85</f>
        <v>0.25642100042329219</v>
      </c>
      <c r="CV261" s="107">
        <f t="shared" ref="CV261" si="4173">CV260/CV$85</f>
        <v>0.28769083225474451</v>
      </c>
      <c r="CW261" s="22">
        <f t="shared" ref="CW261" si="4174">CW260/CW$85</f>
        <v>0.33924735190669497</v>
      </c>
      <c r="CX261" s="107">
        <f t="shared" ref="CX261" si="4175">CX260/CX$85</f>
        <v>0.37565291092058156</v>
      </c>
      <c r="CY261" s="107">
        <f t="shared" ref="CY261" si="4176">CY260/CY$85</f>
        <v>0.33071588100943661</v>
      </c>
      <c r="CZ261" s="107">
        <f>CZ260/CZ$85</f>
        <v>0.33267657144961682</v>
      </c>
      <c r="DA261" s="107">
        <f>DA260/DA$85</f>
        <v>0.33899529558532904</v>
      </c>
      <c r="DB261" s="107">
        <f>DB260/DB$85</f>
        <v>0.34644305515402452</v>
      </c>
      <c r="DC261" s="107">
        <f>DC260/DC$85</f>
        <v>0.35544805265539203</v>
      </c>
    </row>
    <row r="262" spans="1:107" hidden="1" outlineLevel="1" x14ac:dyDescent="0.2">
      <c r="A262" s="7" t="s">
        <v>62</v>
      </c>
      <c r="B262" s="25" t="s">
        <v>82</v>
      </c>
      <c r="C262" s="22">
        <f>IF(AND(B260&lt;0,C260&gt;0),"n/a",C260/B260-1)</f>
        <v>-5.8823529411764719E-2</v>
      </c>
      <c r="D262" s="22">
        <f t="shared" ref="D262" si="4177">IF(AND(C260&lt;0,D260&gt;0),"n/a",D260/C260-1)</f>
        <v>0.17771739130434772</v>
      </c>
      <c r="E262" s="22">
        <f t="shared" ref="E262" si="4178">IF(AND(D260&lt;0,E260&gt;0),"n/a",E260/D260-1)</f>
        <v>0.17351176742039676</v>
      </c>
      <c r="F262" s="22">
        <f t="shared" ref="F262" si="4179">IF(AND(E260&lt;0,F260&gt;0),"n/a",F260/E260-1)</f>
        <v>-0.2929610696028313</v>
      </c>
      <c r="G262" s="22">
        <f t="shared" ref="G262" si="4180">IF(AND(F260&lt;0,G260&gt;0),"n/a",G260/F260-1)</f>
        <v>0.39321468298109008</v>
      </c>
      <c r="H262" s="22">
        <f t="shared" ref="H262" si="4181">IF(AND(G260&lt;0,H260&gt;0),"n/a",H260/G260-1)</f>
        <v>8.9421157684630659E-2</v>
      </c>
      <c r="I262" s="22">
        <f t="shared" ref="I262" si="4182">IF(AND(H260&lt;0,I260&gt;0),"n/a",I260/H260-1)</f>
        <v>-8.7944301942103342E-3</v>
      </c>
      <c r="J262" s="22">
        <f t="shared" ref="J262" si="4183">IF(AND(I260&lt;0,J260&gt;0),"n/a",J260/I260-1)</f>
        <v>6.8391866913123822E-2</v>
      </c>
      <c r="K262" s="22">
        <f t="shared" ref="K262" si="4184">IF(AND(J260&lt;0,K260&gt;0),"n/a",K260/J260-1)</f>
        <v>4.4290657439446379E-2</v>
      </c>
      <c r="L262" s="22">
        <f t="shared" ref="L262" si="4185">IF(AND(K260&lt;0,L260&gt;0),"n/a",L260/K260-1)</f>
        <v>-0.10437375745526833</v>
      </c>
      <c r="M262" s="22">
        <f t="shared" ref="M262" si="4186">IF(AND(L260&lt;0,M260&gt;0),"n/a",M260/L260-1)</f>
        <v>0.20606733259341481</v>
      </c>
      <c r="N262" s="22">
        <f t="shared" ref="N262" si="4187">IF(AND(M260&lt;0,N260&gt;0),"n/a",N260/M260-1)</f>
        <v>6.6947852760736115E-2</v>
      </c>
      <c r="O262" s="22">
        <f t="shared" ref="O262" si="4188">IF(AND(N260&lt;0,O260&gt;0),"n/a",O260/N260-1)</f>
        <v>-0.21677567742399195</v>
      </c>
      <c r="P262" s="22">
        <f t="shared" ref="P262" si="4189">IF(AND(O260&lt;0,P260&gt;0),"n/a",P260/O260-1)</f>
        <v>0.14279159401670194</v>
      </c>
      <c r="Q262" s="22">
        <f t="shared" ref="Q262" si="4190">IF(AND(P260&lt;0,Q260&gt;0),"n/a",Q260/P260-1)</f>
        <v>0.23673010519553528</v>
      </c>
      <c r="R262" s="22">
        <f t="shared" ref="R262" si="4191">IF(AND(Q260&lt;0,R260&gt;0),"n/a",R260/Q260-1)</f>
        <v>-7.3047204726965798E-2</v>
      </c>
      <c r="S262" s="22">
        <f t="shared" ref="S262" si="4192">IF(AND(R260&lt;0,S260&gt;0),"n/a",S260/R260-1)</f>
        <v>-4.2028579434015167E-2</v>
      </c>
      <c r="T262" s="22">
        <f t="shared" ref="T262" si="4193">IF(AND(S260&lt;0,T260&gt;0),"n/a",T260/S260-1)</f>
        <v>-0.14477917519742611</v>
      </c>
      <c r="U262" s="22">
        <f t="shared" ref="U262" si="4194">IF(AND(T260&lt;0,U260&gt;0),"n/a",U260/T260-1)</f>
        <v>0.26812585499316</v>
      </c>
      <c r="V262" s="22">
        <f t="shared" ref="V262" si="4195">IF(AND(U260&lt;0,V260&gt;0),"n/a",V260/U260-1)</f>
        <v>-5.2049622437971954E-2</v>
      </c>
      <c r="W262" s="22">
        <f t="shared" ref="W262" si="4196">IF(AND(V260&lt;0,W260&gt;0),"n/a",W260/V260-1)</f>
        <v>0.11834992887624463</v>
      </c>
      <c r="X262" s="22">
        <f t="shared" ref="X262" si="4197">IF(AND(W260&lt;0,X260&gt;0),"n/a",X260/W260-1)</f>
        <v>1.2210633426608997E-2</v>
      </c>
      <c r="Y262" s="22">
        <f t="shared" ref="Y262" si="4198">IF(AND(X260&lt;0,Y260&gt;0),"n/a",Y260/X260-1)</f>
        <v>0.23724553908017088</v>
      </c>
      <c r="Z262" s="22">
        <f t="shared" ref="Z262" si="4199">IF(AND(Y260&lt;0,Z260&gt;0),"n/a",Z260/Y260-1)</f>
        <v>-0.14543977249644524</v>
      </c>
      <c r="AA262" s="22">
        <f t="shared" ref="AA262" si="4200">IF(AND(Z260&lt;0,AA260&gt;0),"n/a",AA260/Z260-1)</f>
        <v>0.15925837889232231</v>
      </c>
      <c r="AB262" s="22">
        <f t="shared" ref="AB262" si="4201">IF(AND(AA260&lt;0,AB260&gt;0),"n/a",AB260/AA260-1)</f>
        <v>3.7728111543982035E-2</v>
      </c>
      <c r="AC262" s="22">
        <f t="shared" ref="AC262" si="4202">IF(AND(AB260&lt;0,AC260&gt;0),"n/a",AC260/AB260-1)</f>
        <v>5.3744319304485311E-2</v>
      </c>
      <c r="AD262" s="22">
        <f t="shared" ref="AD262" si="4203">IF(AND(AC260&lt;0,AD260&gt;0),"n/a",AD260/AC260-1)</f>
        <v>1.7438589911869418E-2</v>
      </c>
      <c r="AE262" s="22">
        <f t="shared" ref="AE262" si="4204">IF(AND(AD260&lt;0,AE260&gt;0),"n/a",AE260/AD260-1)</f>
        <v>-0.35053446369332841</v>
      </c>
      <c r="AF262" s="22">
        <f t="shared" ref="AF262" si="4205">IF(AND(AE260&lt;0,AF260&gt;0),"n/a",AF260/AE260-1)</f>
        <v>0.91032917139614078</v>
      </c>
      <c r="AG262" s="22">
        <f t="shared" ref="AG262" si="4206">IF(AND(AF260&lt;0,AG260&gt;0),"n/a",AG260/AF260-1)</f>
        <v>-1.4486036838978016</v>
      </c>
      <c r="AH262" s="22" t="str">
        <f t="shared" ref="AH262" si="4207">IF(AND(AG260&lt;0,AH260&gt;0),"n/a",AH260/AG260-1)</f>
        <v>n/a</v>
      </c>
      <c r="AI262" s="22">
        <f t="shared" ref="AI262" si="4208">IF(AND(AH260&lt;0,AI260&gt;0),"n/a",AI260/AH260-1)</f>
        <v>-0.66014253802786937</v>
      </c>
      <c r="AJ262" s="22">
        <f t="shared" ref="AJ262" si="4209">IF(AND(AI260&lt;0,AJ260&gt;0),"n/a",AJ260/AI260-1)</f>
        <v>1.8769953051643191</v>
      </c>
      <c r="AK262" s="22">
        <f t="shared" ref="AK262" si="4210">IF(AND(AJ260&lt;0,AK260&gt;0),"n/a",AK260/AJ260-1)</f>
        <v>-2.6544821583986078E-2</v>
      </c>
      <c r="AL262" s="22">
        <f t="shared" ref="AL262" si="4211">IF(AND(AK260&lt;0,AL260&gt;0),"n/a",AL260/AK260-1)</f>
        <v>-0.25603486812695575</v>
      </c>
      <c r="AM262" s="22">
        <f t="shared" ref="AM262" si="4212">IF(AND(AL260&lt;0,AM260&gt;0),"n/a",AM260/AL260-1)</f>
        <v>0.49421661409043116</v>
      </c>
      <c r="AN262" s="22">
        <f t="shared" ref="AN262" si="4213">IF(AND(AM260&lt;0,AN260&gt;0),"n/a",AN260/AM260-1)</f>
        <v>-0.28943400020106569</v>
      </c>
      <c r="AO262" s="22">
        <f t="shared" ref="AO262" si="4214">IF(AND(AN260&lt;0,AO260&gt;0),"n/a",AO260/AN260-1)</f>
        <v>0.5097623089983021</v>
      </c>
      <c r="AP262" s="22">
        <f t="shared" ref="AP262" si="4215">IF(AND(AO260&lt;0,AP260&gt;0),"n/a",AP260/AO260-1)</f>
        <v>-0.35938524974229225</v>
      </c>
      <c r="AQ262" s="22">
        <f t="shared" ref="AQ262" si="4216">IF(AND(AP260&lt;0,AQ260&gt;0),"n/a",AQ260/AP260-1)</f>
        <v>1.7992978349912203E-2</v>
      </c>
      <c r="AR262" s="22">
        <f t="shared" ref="AR262" si="4217">IF(AND(AQ260&lt;0,AR260&gt;0),"n/a",AR260/AQ260-1)</f>
        <v>0.61618048570196859</v>
      </c>
      <c r="AS262" s="22">
        <f t="shared" ref="AS262" si="4218">IF(AND(AR260&lt;0,AS260&gt;0),"n/a",AS260/AR260-1)</f>
        <v>0.35387214368275988</v>
      </c>
      <c r="AT262" s="22">
        <f t="shared" ref="AT262" si="4219">IF(AND(AS260&lt;0,AT260&gt;0),"n/a",AT260/AS260-1)</f>
        <v>0.17751362710973928</v>
      </c>
      <c r="AU262" s="22">
        <f t="shared" ref="AU262" si="4220">IF(AND(AT260&lt;0,AU260&gt;0),"n/a",AU260/AT260-1)</f>
        <v>3.3184606804238737E-2</v>
      </c>
      <c r="AV262" s="22">
        <f t="shared" ref="AV262" si="4221">IF(AND(AU260&lt;0,AV260&gt;0),"n/a",AV260/AU260-1)</f>
        <v>2.2186234817813677E-2</v>
      </c>
      <c r="AW262" s="22">
        <f t="shared" ref="AW262" si="4222">IF(AND(AV260&lt;0,AW260&gt;0),"n/a",AW260/AV260-1)</f>
        <v>9.0092944655682405E-2</v>
      </c>
      <c r="AX262" s="22">
        <f t="shared" ref="AX262" si="4223">IF(AND(AW260&lt;0,AX260&gt;0),"n/a",AX260/AW260-1)</f>
        <v>-0.20375932564673971</v>
      </c>
      <c r="AY262" s="22">
        <f t="shared" ref="AY262" si="4224">IF(AND(AX260&lt;0,AY260&gt;0),"n/a",AY260/AX260-1)</f>
        <v>-2.6405451448040851E-2</v>
      </c>
      <c r="AZ262" s="22">
        <f t="shared" ref="AZ262" si="4225">IF(AND(AY260&lt;0,AZ260&gt;0),"n/a",AZ260/AY260-1)</f>
        <v>-0.13073365829271344</v>
      </c>
      <c r="BA262" s="22">
        <f t="shared" ref="BA262" si="4226">IF(AND(AZ260&lt;0,BA260&gt;0),"n/a",BA260/AZ260-1)</f>
        <v>-2.0560747663551426E-2</v>
      </c>
      <c r="BB262" s="28">
        <f t="shared" ref="BB262" si="4227">IF(AND(BA260&lt;0,BB260&gt;0),"n/a",BB260/BA260-1)</f>
        <v>0.10474163241338807</v>
      </c>
      <c r="BC262" s="28">
        <f t="shared" ref="BC262" si="4228">IF(AND(BB260&lt;0,BC260&gt;0),"n/a",BC260/BB260-1)</f>
        <v>0.2203840276393596</v>
      </c>
      <c r="BD262" s="28">
        <f t="shared" ref="BD262:BL262" si="4229">IF(AND(BC260&lt;0,BD260&gt;0),"n/a",BD260/BC260-1)</f>
        <v>7.1918554006968671E-2</v>
      </c>
      <c r="BE262" s="28">
        <f t="shared" si="4229"/>
        <v>5.0688201533851451E-2</v>
      </c>
      <c r="BF262" s="28">
        <f t="shared" si="4229"/>
        <v>0.14381012229902845</v>
      </c>
      <c r="BG262" s="28">
        <f t="shared" si="4229"/>
        <v>-1.8172597413574909E-3</v>
      </c>
      <c r="BH262" s="28">
        <f t="shared" si="4229"/>
        <v>0.11355264829162959</v>
      </c>
      <c r="BI262" s="28">
        <f t="shared" si="4229"/>
        <v>8.9350214820729246E-3</v>
      </c>
      <c r="BJ262" s="28">
        <f t="shared" si="4229"/>
        <v>0.30162797708772993</v>
      </c>
      <c r="BK262" s="28">
        <f t="shared" si="4229"/>
        <v>-0.18367110596409963</v>
      </c>
      <c r="BL262" s="28">
        <f t="shared" si="4229"/>
        <v>0.24056603773584895</v>
      </c>
      <c r="BM262" s="22">
        <f t="shared" ref="BM262" si="4230">IF(AND(BL260&lt;0,BM260&gt;0),"n/a",BM260/BL260-1)</f>
        <v>-0.12931672150661477</v>
      </c>
      <c r="BN262" s="22">
        <f t="shared" ref="BN262" si="4231">IF(AND(BM260&lt;0,BN260&gt;0),"n/a",BN260/BM260-1)</f>
        <v>-3.6522268639888056E-3</v>
      </c>
      <c r="BO262" s="22">
        <f t="shared" ref="BO262" si="4232">IF(AND(BN260&lt;0,BO260&gt;0),"n/a",BO260/BN260-1)</f>
        <v>5.3694260416325301E-2</v>
      </c>
      <c r="BP262" s="22">
        <f t="shared" ref="BP262" si="4233">IF(AND(BO260&lt;0,BP260&gt;0),"n/a",BP260/BO260-1)</f>
        <v>3.1242684145400101E-2</v>
      </c>
      <c r="BQ262" s="22">
        <f t="shared" ref="BQ262" si="4234">IF(AND(BP260&lt;0,BQ260&gt;0),"n/a",BQ260/BP260-1)</f>
        <v>4.0984969232234381E-2</v>
      </c>
      <c r="BR262" s="28">
        <f>IF(AND(BQ260&lt;0,BR260&gt;0),"n/a",BR260/BQ260-1)</f>
        <v>1.6245312090342967E-2</v>
      </c>
      <c r="BS262" s="28">
        <f t="shared" ref="BS262" si="4235">IF(AND(BR260&lt;0,BS260&gt;0),"n/a",BS260/BR260-1)</f>
        <v>5.0849093170079129E-2</v>
      </c>
      <c r="BT262" s="28">
        <f t="shared" ref="BT262" si="4236">IF(AND(BS260&lt;0,BT260&gt;0),"n/a",BT260/BS260-1)</f>
        <v>3.4150187598430692E-2</v>
      </c>
      <c r="BU262" s="28">
        <f t="shared" ref="BU262" si="4237">IF(AND(BT260&lt;0,BU260&gt;0),"n/a",BU260/BT260-1)</f>
        <v>3.8489490871725929E-2</v>
      </c>
      <c r="BV262" s="28">
        <f t="shared" ref="BV262" si="4238">IF(AND(BU260&lt;0,BV260&gt;0),"n/a",BV260/BU260-1)</f>
        <v>2.6641765828303576E-2</v>
      </c>
      <c r="BW262" s="28">
        <f t="shared" ref="BW262" si="4239">IF(AND(BV260&lt;0,BW260&gt;0),"n/a",BW260/BV260-1)</f>
        <v>5.0628576391788638E-2</v>
      </c>
      <c r="BX262" s="28">
        <f t="shared" ref="BX262" si="4240">IF(AND(BW260&lt;0,BX260&gt;0),"n/a",BX260/BW260-1)</f>
        <v>3.2944987501702494E-2</v>
      </c>
      <c r="BY262" s="28">
        <f t="shared" ref="BY262" si="4241">IF(AND(BX260&lt;0,BY260&gt;0),"n/a",BY260/BX260-1)</f>
        <v>3.3621968288390258E-2</v>
      </c>
      <c r="BZ262" s="28">
        <f t="shared" ref="BZ262" si="4242">IF(AND(BY260&lt;0,BZ260&gt;0),"n/a",BZ260/BY260-1)</f>
        <v>2.8950251763454338E-2</v>
      </c>
      <c r="CA262" s="28">
        <f t="shared" ref="CA262" si="4243">IF(AND(BZ260&lt;0,CA260&gt;0),"n/a",CA260/BZ260-1)</f>
        <v>4.7525680925160296E-2</v>
      </c>
      <c r="CB262" s="28">
        <f t="shared" ref="CB262" si="4244">IF(AND(CA260&lt;0,CB260&gt;0),"n/a",CB260/CA260-1)</f>
        <v>3.152482640651777E-2</v>
      </c>
      <c r="CC262" s="28">
        <f t="shared" ref="CC262" si="4245">IF(AND(CB260&lt;0,CC260&gt;0),"n/a",CC260/CB260-1)</f>
        <v>2.9459365599403098E-2</v>
      </c>
      <c r="CD262" s="28">
        <f t="shared" ref="CD262" si="4246">IF(AND(CC260&lt;0,CD260&gt;0),"n/a",CD260/CC260-1)</f>
        <v>2.9979404105608953E-2</v>
      </c>
      <c r="CE262" s="28">
        <f t="shared" ref="CE262" si="4247">IF(AND(CD260&lt;0,CE260&gt;0),"n/a",CE260/CD260-1)</f>
        <v>4.8785931118555004E-2</v>
      </c>
      <c r="CF262" s="28">
        <f t="shared" ref="CF262" si="4248">IF(AND(CE260&lt;0,CF260&gt;0),"n/a",CF260/CE260-1)</f>
        <v>2.84547273956961E-2</v>
      </c>
      <c r="CG262" s="28">
        <f t="shared" ref="CG262" si="4249">IF(AND(CF260&lt;0,CG260&gt;0),"n/a",CG260/CF260-1)</f>
        <v>2.5662644835452664E-2</v>
      </c>
      <c r="CH262" s="28"/>
      <c r="CI262" s="106" t="s">
        <v>82</v>
      </c>
      <c r="CJ262" s="48" t="s">
        <v>82</v>
      </c>
      <c r="CK262" s="106" t="s">
        <v>82</v>
      </c>
      <c r="CL262" s="106" t="s">
        <v>82</v>
      </c>
      <c r="CM262" s="48" t="s">
        <v>82</v>
      </c>
      <c r="CN262" s="106" t="s">
        <v>82</v>
      </c>
      <c r="CO262" s="48" t="s">
        <v>82</v>
      </c>
      <c r="CP262" s="106" t="s">
        <v>82</v>
      </c>
      <c r="CQ262" s="48" t="s">
        <v>82</v>
      </c>
      <c r="CR262" s="106" t="s">
        <v>82</v>
      </c>
      <c r="CS262" s="48" t="s">
        <v>82</v>
      </c>
      <c r="CT262" s="106" t="s">
        <v>82</v>
      </c>
      <c r="CU262" s="48" t="s">
        <v>82</v>
      </c>
      <c r="CV262" s="106" t="s">
        <v>82</v>
      </c>
      <c r="CW262" s="48" t="s">
        <v>82</v>
      </c>
      <c r="CX262" s="106" t="s">
        <v>82</v>
      </c>
      <c r="CY262" s="106" t="s">
        <v>82</v>
      </c>
      <c r="CZ262" s="106" t="s">
        <v>82</v>
      </c>
      <c r="DA262" s="106" t="s">
        <v>82</v>
      </c>
      <c r="DB262" s="106" t="s">
        <v>82</v>
      </c>
      <c r="DC262" s="106" t="s">
        <v>82</v>
      </c>
    </row>
    <row r="263" spans="1:107" hidden="1" outlineLevel="1" x14ac:dyDescent="0.2">
      <c r="A263" s="7" t="s">
        <v>63</v>
      </c>
      <c r="B263" s="25" t="s">
        <v>82</v>
      </c>
      <c r="C263" s="25" t="s">
        <v>82</v>
      </c>
      <c r="D263" s="25" t="s">
        <v>82</v>
      </c>
      <c r="E263" s="25" t="s">
        <v>82</v>
      </c>
      <c r="F263" s="22">
        <f>IF(AND(B260&lt;0,F260&gt;0),"n/a",F260/B260-1)</f>
        <v>-8.0306905370843951E-2</v>
      </c>
      <c r="G263" s="22">
        <f t="shared" ref="G263:BQ263" si="4250">IF(AND(C260&lt;0,G260&gt;0),"n/a",G260/C260-1)</f>
        <v>0.36141304347826098</v>
      </c>
      <c r="H263" s="22">
        <f t="shared" si="4250"/>
        <v>0.25934471619750799</v>
      </c>
      <c r="I263" s="22">
        <f t="shared" si="4250"/>
        <v>6.3704286276051958E-2</v>
      </c>
      <c r="J263" s="22">
        <f t="shared" si="4250"/>
        <v>0.60734149054505004</v>
      </c>
      <c r="K263" s="22">
        <f t="shared" si="4250"/>
        <v>0.20479041916167673</v>
      </c>
      <c r="L263" s="22">
        <f t="shared" si="4250"/>
        <v>-9.5272993770612047E-3</v>
      </c>
      <c r="M263" s="22">
        <f t="shared" si="4250"/>
        <v>0.20517560073937147</v>
      </c>
      <c r="N263" s="22">
        <f t="shared" si="4250"/>
        <v>0.20354671280276815</v>
      </c>
      <c r="O263" s="22">
        <f t="shared" si="4250"/>
        <v>-9.7332670642809815E-2</v>
      </c>
      <c r="P263" s="22">
        <f t="shared" si="4250"/>
        <v>0.15177580466148721</v>
      </c>
      <c r="Q263" s="22">
        <f t="shared" si="4250"/>
        <v>0.18105828220858888</v>
      </c>
      <c r="R263" s="22">
        <f t="shared" si="4250"/>
        <v>2.6090706533457908E-2</v>
      </c>
      <c r="S263" s="22">
        <f t="shared" si="4250"/>
        <v>0.25502431861980357</v>
      </c>
      <c r="T263" s="22">
        <f t="shared" si="4250"/>
        <v>-6.078856500441665E-2</v>
      </c>
      <c r="U263" s="22">
        <f t="shared" si="4250"/>
        <v>-3.69456528796831E-2</v>
      </c>
      <c r="V263" s="22">
        <f t="shared" si="4250"/>
        <v>-1.5130288596245434E-2</v>
      </c>
      <c r="W263" s="22">
        <f t="shared" si="4250"/>
        <v>0.14975138929511544</v>
      </c>
      <c r="X263" s="22">
        <f t="shared" si="4250"/>
        <v>0.3608071135430917</v>
      </c>
      <c r="Y263" s="22">
        <f t="shared" si="4250"/>
        <v>0.32766990291262132</v>
      </c>
      <c r="Z263" s="22">
        <f t="shared" si="4250"/>
        <v>0.19687055476529158</v>
      </c>
      <c r="AA263" s="22">
        <f t="shared" si="4250"/>
        <v>0.24065123378275244</v>
      </c>
      <c r="AB263" s="22">
        <f t="shared" si="4250"/>
        <v>0.27192762000502646</v>
      </c>
      <c r="AC263" s="22">
        <f t="shared" si="4250"/>
        <v>8.3282551289863838E-2</v>
      </c>
      <c r="AD263" s="22">
        <f t="shared" si="4250"/>
        <v>0.28975516995483708</v>
      </c>
      <c r="AE263" s="22">
        <f t="shared" si="4250"/>
        <v>-0.27742464629895425</v>
      </c>
      <c r="AF263" s="22">
        <f t="shared" si="4250"/>
        <v>0.33017190278601061</v>
      </c>
      <c r="AG263" s="22">
        <f t="shared" si="4250"/>
        <v>-1.5662853928370524</v>
      </c>
      <c r="AH263" s="22">
        <f t="shared" si="4250"/>
        <v>0.73258385551050487</v>
      </c>
      <c r="AI263" s="22">
        <f t="shared" si="4250"/>
        <v>-9.3359818388195182E-2</v>
      </c>
      <c r="AJ263" s="22">
        <f t="shared" si="4250"/>
        <v>0.36541889483065959</v>
      </c>
      <c r="AK263" s="22" t="str">
        <f t="shared" si="4250"/>
        <v>n/a</v>
      </c>
      <c r="AL263" s="22">
        <f t="shared" si="4250"/>
        <v>-0.29188384214445273</v>
      </c>
      <c r="AM263" s="22">
        <f t="shared" si="4250"/>
        <v>2.1133020344287949</v>
      </c>
      <c r="AN263" s="22">
        <f t="shared" si="4250"/>
        <v>-0.2310704960835509</v>
      </c>
      <c r="AO263" s="22">
        <f t="shared" si="4250"/>
        <v>0.19255699597675457</v>
      </c>
      <c r="AP263" s="22">
        <f t="shared" si="4250"/>
        <v>2.6888989034099531E-2</v>
      </c>
      <c r="AQ263" s="22">
        <f t="shared" si="4250"/>
        <v>-0.30039207801347145</v>
      </c>
      <c r="AR263" s="22">
        <f t="shared" si="4250"/>
        <v>0.59125636672325976</v>
      </c>
      <c r="AS263" s="22">
        <f t="shared" si="4250"/>
        <v>0.42695155093243375</v>
      </c>
      <c r="AT263" s="22">
        <f t="shared" si="4250"/>
        <v>1.6228788765359861</v>
      </c>
      <c r="AU263" s="22">
        <f t="shared" si="4250"/>
        <v>1.6620204052306367</v>
      </c>
      <c r="AV263" s="22">
        <f t="shared" si="4250"/>
        <v>0.68364897305948258</v>
      </c>
      <c r="AW263" s="22">
        <f t="shared" si="4250"/>
        <v>0.35561830958166407</v>
      </c>
      <c r="AX263" s="22">
        <f t="shared" si="4250"/>
        <v>-8.3324037925264882E-2</v>
      </c>
      <c r="AY263" s="22">
        <f t="shared" si="4250"/>
        <v>-0.13619433198380571</v>
      </c>
      <c r="AZ263" s="22">
        <f t="shared" si="4250"/>
        <v>-0.26542036332910857</v>
      </c>
      <c r="BA263" s="22">
        <f t="shared" si="4250"/>
        <v>-0.33998643542292417</v>
      </c>
      <c r="BB263" s="28">
        <f t="shared" si="4250"/>
        <v>-8.4266244828425374E-2</v>
      </c>
      <c r="BC263" s="28">
        <f t="shared" si="4250"/>
        <v>0.147856517935258</v>
      </c>
      <c r="BD263" s="28">
        <f t="shared" si="4250"/>
        <v>0.41545650611071161</v>
      </c>
      <c r="BE263" s="28">
        <f t="shared" si="4250"/>
        <v>0.51842337052260712</v>
      </c>
      <c r="BF263" s="28">
        <f t="shared" si="4250"/>
        <v>0.57212145372400514</v>
      </c>
      <c r="BG263" s="28">
        <f t="shared" si="4250"/>
        <v>0.28587761324041816</v>
      </c>
      <c r="BH263" s="28">
        <f t="shared" si="4250"/>
        <v>0.33582203260703936</v>
      </c>
      <c r="BI263" s="28">
        <f t="shared" si="4250"/>
        <v>0.28273795137042579</v>
      </c>
      <c r="BJ263" s="28">
        <f t="shared" si="4250"/>
        <v>0.45972445270898477</v>
      </c>
      <c r="BK263" s="28">
        <f t="shared" si="4250"/>
        <v>0.19378466488843737</v>
      </c>
      <c r="BL263" s="28">
        <f t="shared" si="4250"/>
        <v>0.32994943158054824</v>
      </c>
      <c r="BM263" s="22">
        <f t="shared" si="4250"/>
        <v>0.14770991854160842</v>
      </c>
      <c r="BN263" s="22">
        <f t="shared" si="4250"/>
        <v>-0.12147077223742631</v>
      </c>
      <c r="BO263" s="22">
        <f t="shared" si="4250"/>
        <v>0.1339806929101548</v>
      </c>
      <c r="BP263" s="22">
        <f t="shared" si="4250"/>
        <v>-5.7358288108538158E-2</v>
      </c>
      <c r="BQ263" s="22">
        <f t="shared" si="4250"/>
        <v>0.12701814504619446</v>
      </c>
      <c r="BR263" s="28">
        <f>IF(AND(BN260&lt;0,BR260&gt;0),"n/a",BR260/BN260-1)</f>
        <v>0.14952523348250724</v>
      </c>
      <c r="BS263" s="28">
        <f t="shared" ref="BS263" si="4251">IF(AND(BO260&lt;0,BS260&gt;0),"n/a",BS260/BO260-1)</f>
        <v>0.14642130507945628</v>
      </c>
      <c r="BT263" s="28">
        <f t="shared" ref="BT263" si="4252">IF(AND(BP260&lt;0,BT260&gt;0),"n/a",BT260/BP260-1)</f>
        <v>0.14965354512769347</v>
      </c>
      <c r="BU263" s="28">
        <f t="shared" ref="BU263" si="4253">IF(AND(BQ260&lt;0,BU260&gt;0),"n/a",BU260/BQ260-1)</f>
        <v>0.14689756340966365</v>
      </c>
      <c r="BV263" s="28">
        <f t="shared" ref="BV263" si="4254">IF(AND(BR260&lt;0,BV260&gt;0),"n/a",BV260/BR260-1)</f>
        <v>0.15863062364454139</v>
      </c>
      <c r="BW263" s="28">
        <f t="shared" ref="BW263" si="4255">IF(AND(BS260&lt;0,BW260&gt;0),"n/a",BW260/BS260-1)</f>
        <v>0.15838748931248992</v>
      </c>
      <c r="BX263" s="28">
        <f t="shared" ref="BX263" si="4256">IF(AND(BT260&lt;0,BX260&gt;0),"n/a",BX260/BT260-1)</f>
        <v>0.15703750288797447</v>
      </c>
      <c r="BY263" s="28">
        <f t="shared" ref="BY263" si="4257">IF(AND(BU260&lt;0,BY260&gt;0),"n/a",BY260/BU260-1)</f>
        <v>0.15161433180672845</v>
      </c>
      <c r="BZ263" s="28">
        <f t="shared" ref="BZ263" si="4258">IF(AND(BV260&lt;0,BZ260&gt;0),"n/a",BZ260/BV260-1)</f>
        <v>0.15420382852913095</v>
      </c>
      <c r="CA263" s="28">
        <f t="shared" ref="CA263" si="4259">IF(AND(BW260&lt;0,CA260&gt;0),"n/a",CA260/BW260-1)</f>
        <v>0.15079503696607643</v>
      </c>
      <c r="CB263" s="28">
        <f t="shared" ref="CB263" si="4260">IF(AND(BX260&lt;0,CB260&gt;0),"n/a",CB260/BX260-1)</f>
        <v>0.14921284782744304</v>
      </c>
      <c r="CC263" s="28">
        <f t="shared" ref="CC263" si="4261">IF(AND(BY260&lt;0,CC260&gt;0),"n/a",CC260/BY260-1)</f>
        <v>0.14458473751501755</v>
      </c>
      <c r="CD263" s="28">
        <f t="shared" ref="CD263" si="4262">IF(AND(BZ260&lt;0,CD260&gt;0),"n/a",CD260/BZ260-1)</f>
        <v>0.14572954705404917</v>
      </c>
      <c r="CE263" s="28">
        <f t="shared" ref="CE263" si="4263">IF(AND(CA260&lt;0,CE260&gt;0),"n/a",CE260/CA260-1)</f>
        <v>0.14710794369820368</v>
      </c>
      <c r="CF263" s="28">
        <f t="shared" ref="CF263" si="4264">IF(AND(CB260&lt;0,CF260&gt;0),"n/a",CF260/CB260-1)</f>
        <v>0.14369383782978562</v>
      </c>
      <c r="CG263" s="28">
        <f t="shared" ref="CG263" si="4265">IF(AND(CC260&lt;0,CG260&gt;0),"n/a",CG260/CC260-1)</f>
        <v>0.1394758120516022</v>
      </c>
      <c r="CH263" s="28"/>
      <c r="CI263" s="106" t="s">
        <v>82</v>
      </c>
      <c r="CJ263" s="22">
        <f>IF(AND(CI260&lt;0,CJ260&gt;0),"n/a",CJ260/CI260-1)</f>
        <v>0.14485596707818926</v>
      </c>
      <c r="CK263" s="107">
        <f t="shared" ref="CK263:CY263" si="4266">IF(AND(CJ260&lt;0,CK260&gt;0),"n/a",CK260/CJ260-1)</f>
        <v>0.21916401355653692</v>
      </c>
      <c r="CL263" s="107">
        <f t="shared" si="4266"/>
        <v>0.10908937747451763</v>
      </c>
      <c r="CM263" s="22">
        <f t="shared" si="4266"/>
        <v>3.4482758620689724E-2</v>
      </c>
      <c r="CN263" s="107">
        <f t="shared" si="4266"/>
        <v>0.20029368575624074</v>
      </c>
      <c r="CO263" s="22">
        <f t="shared" si="4266"/>
        <v>0.1914607291411794</v>
      </c>
      <c r="CP263" s="107">
        <f t="shared" si="4266"/>
        <v>-0.34993325803470587</v>
      </c>
      <c r="CQ263" s="22">
        <f t="shared" si="4266"/>
        <v>1.4274206286526616</v>
      </c>
      <c r="CR263" s="107">
        <f t="shared" si="4266"/>
        <v>0.11735424258198845</v>
      </c>
      <c r="CS263" s="22">
        <f t="shared" si="4266"/>
        <v>0.17255335876306677</v>
      </c>
      <c r="CT263" s="107">
        <f t="shared" si="4266"/>
        <v>0.88812734361419454</v>
      </c>
      <c r="CU263" s="22">
        <f t="shared" si="4266"/>
        <v>-0.21123722594136751</v>
      </c>
      <c r="CV263" s="107">
        <f t="shared" si="4266"/>
        <v>0.23049089575135073</v>
      </c>
      <c r="CW263" s="22">
        <f t="shared" si="4266"/>
        <v>0.35670438376583768</v>
      </c>
      <c r="CX263" s="107">
        <f t="shared" si="4266"/>
        <v>0.28019567308995508</v>
      </c>
      <c r="CY263" s="107">
        <f t="shared" si="4266"/>
        <v>1.1267801831011948E-2</v>
      </c>
      <c r="CZ263" s="107">
        <f>IF(AND(CY260&lt;0,CZ260&gt;0),"n/a",CZ260/CY260-1)</f>
        <v>0.14809634119303294</v>
      </c>
      <c r="DA263" s="107">
        <f>IF(AND(CZ260&lt;0,DA260&gt;0),"n/a",DA260/CZ260-1)</f>
        <v>0.15630882661988532</v>
      </c>
      <c r="DB263" s="107">
        <f>IF(AND(DA260&lt;0,DB260&gt;0),"n/a",DB260/DA260-1)</f>
        <v>0.1495561835578898</v>
      </c>
      <c r="DC263" s="107">
        <f>IF(AND(DB260&lt;0,DC260&gt;0),"n/a",DC260/DB260-1)</f>
        <v>0.14391080059779915</v>
      </c>
    </row>
    <row r="264" spans="1:107" hidden="1" outlineLevel="1" x14ac:dyDescent="0.2">
      <c r="CI264" s="92"/>
      <c r="CK264" s="92"/>
      <c r="CL264" s="92"/>
      <c r="CN264" s="92"/>
      <c r="CP264" s="92"/>
      <c r="CR264" s="92"/>
      <c r="CT264" s="107"/>
      <c r="CU264" s="107"/>
      <c r="CV264" s="129"/>
      <c r="CX264" s="92"/>
      <c r="CY264" s="92"/>
      <c r="CZ264" s="92"/>
      <c r="DA264" s="92"/>
      <c r="DB264" s="92"/>
      <c r="DC264" s="92"/>
    </row>
    <row r="265" spans="1:107" hidden="1" outlineLevel="1" x14ac:dyDescent="0.2">
      <c r="A265" s="1" t="s">
        <v>138</v>
      </c>
      <c r="B265" s="17">
        <v>0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8">
        <v>-48</v>
      </c>
      <c r="L265" s="18">
        <v>18</v>
      </c>
      <c r="M265" s="18">
        <v>-21</v>
      </c>
      <c r="N265" s="18">
        <v>-182</v>
      </c>
      <c r="O265" s="18">
        <v>454</v>
      </c>
      <c r="P265" s="18">
        <v>-193</v>
      </c>
      <c r="Q265" s="18">
        <v>-525</v>
      </c>
      <c r="R265" s="18">
        <v>-198</v>
      </c>
      <c r="S265" s="18">
        <v>-68</v>
      </c>
      <c r="T265" s="18">
        <v>-185</v>
      </c>
      <c r="U265" s="18">
        <v>967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23">
        <v>0</v>
      </c>
      <c r="BN265" s="23">
        <v>0</v>
      </c>
      <c r="BO265" s="23">
        <v>0</v>
      </c>
      <c r="BP265" s="23">
        <v>0</v>
      </c>
      <c r="BQ265" s="23">
        <v>0</v>
      </c>
      <c r="BR265" s="76">
        <v>0</v>
      </c>
      <c r="BS265" s="76">
        <v>0</v>
      </c>
      <c r="BT265" s="76">
        <v>0</v>
      </c>
      <c r="BU265" s="76">
        <v>0</v>
      </c>
      <c r="BV265" s="76">
        <v>0</v>
      </c>
      <c r="BW265" s="76">
        <v>0</v>
      </c>
      <c r="BX265" s="76">
        <v>0</v>
      </c>
      <c r="BY265" s="76">
        <v>0</v>
      </c>
      <c r="BZ265" s="76">
        <v>0</v>
      </c>
      <c r="CA265" s="76">
        <v>0</v>
      </c>
      <c r="CB265" s="76">
        <v>0</v>
      </c>
      <c r="CC265" s="76">
        <v>0</v>
      </c>
      <c r="CD265" s="76">
        <v>0</v>
      </c>
      <c r="CE265" s="76">
        <v>0</v>
      </c>
      <c r="CF265" s="76">
        <v>0</v>
      </c>
      <c r="CG265" s="76">
        <v>0</v>
      </c>
      <c r="CH265" s="76"/>
      <c r="CI265" s="89">
        <f>SUM(B265:E265)</f>
        <v>0</v>
      </c>
      <c r="CJ265" s="20">
        <f>SUM(F265:I265)</f>
        <v>0</v>
      </c>
      <c r="CK265" s="89">
        <f>SUM(J265:M265)</f>
        <v>-51</v>
      </c>
      <c r="CL265" s="89">
        <f>SUM(N265:Q265)</f>
        <v>-446</v>
      </c>
      <c r="CM265" s="20">
        <f>SUM(R265:U265)</f>
        <v>516</v>
      </c>
      <c r="CN265" s="89">
        <f>SUM(V265:Y265)</f>
        <v>0</v>
      </c>
      <c r="CO265" s="20">
        <f>SUM(Z265:AC265)</f>
        <v>0</v>
      </c>
      <c r="CP265" s="89">
        <f>SUM(AD265:AG265)</f>
        <v>0</v>
      </c>
      <c r="CQ265" s="20">
        <f>SUM(AH265:AK265)</f>
        <v>0</v>
      </c>
      <c r="CR265" s="89">
        <f>SUM(AL265:AO265)</f>
        <v>0</v>
      </c>
      <c r="CS265" s="20">
        <f>SUM(AP265:AS265)</f>
        <v>0</v>
      </c>
      <c r="CT265" s="89">
        <f>SUM(AT265:AW265)</f>
        <v>0</v>
      </c>
      <c r="CU265" s="20">
        <f>SUM(AX265:BA265)</f>
        <v>0</v>
      </c>
      <c r="CV265" s="89">
        <f>SUM(BB265:BE265)</f>
        <v>0</v>
      </c>
      <c r="CW265" s="20">
        <f>SUM(BF265:BI265)</f>
        <v>0</v>
      </c>
      <c r="CX265" s="89">
        <f>SUM(BJ265:BM265)</f>
        <v>0</v>
      </c>
      <c r="CY265" s="89">
        <f>SUM(BN265:BQ265)</f>
        <v>0</v>
      </c>
      <c r="CZ265" s="89">
        <f>SUM(BR265:BU265)</f>
        <v>0</v>
      </c>
      <c r="DA265" s="89">
        <f>SUM(BV265:BY265)</f>
        <v>0</v>
      </c>
      <c r="DB265" s="89">
        <f>SUM(BZ265:CC265)</f>
        <v>0</v>
      </c>
      <c r="DC265" s="89">
        <f>SUM(CD265:CG265)</f>
        <v>0</v>
      </c>
    </row>
    <row r="266" spans="1:107" collapsed="1" x14ac:dyDescent="0.2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CI266" s="92"/>
      <c r="CK266" s="92"/>
      <c r="CL266" s="92"/>
      <c r="CN266" s="92"/>
      <c r="CP266" s="92"/>
      <c r="CR266" s="92"/>
      <c r="CT266" s="92"/>
      <c r="CV266" s="92"/>
      <c r="CX266" s="92"/>
      <c r="CY266" s="92"/>
      <c r="CZ266" s="92"/>
      <c r="DA266" s="92"/>
      <c r="DB266" s="92"/>
      <c r="DC266" s="92"/>
    </row>
    <row r="267" spans="1:107" x14ac:dyDescent="0.2">
      <c r="A267" s="4" t="s">
        <v>139</v>
      </c>
      <c r="B267" s="21">
        <f>B260+B265</f>
        <v>1955</v>
      </c>
      <c r="C267" s="21">
        <f t="shared" ref="C267:R267" si="4267">C260+C265</f>
        <v>1840</v>
      </c>
      <c r="D267" s="21">
        <f>D260+D265</f>
        <v>2167</v>
      </c>
      <c r="E267" s="21">
        <f t="shared" si="4267"/>
        <v>2543</v>
      </c>
      <c r="F267" s="21">
        <f t="shared" si="4267"/>
        <v>1798</v>
      </c>
      <c r="G267" s="21">
        <f t="shared" si="4267"/>
        <v>2505</v>
      </c>
      <c r="H267" s="21">
        <f t="shared" si="4267"/>
        <v>2729</v>
      </c>
      <c r="I267" s="21">
        <f t="shared" si="4267"/>
        <v>2705</v>
      </c>
      <c r="J267" s="21">
        <f t="shared" si="4267"/>
        <v>2890</v>
      </c>
      <c r="K267" s="21">
        <f t="shared" si="4267"/>
        <v>2970</v>
      </c>
      <c r="L267" s="21">
        <f t="shared" si="4267"/>
        <v>2721</v>
      </c>
      <c r="M267" s="21">
        <f t="shared" si="4267"/>
        <v>3239</v>
      </c>
      <c r="N267" s="21">
        <f t="shared" si="4267"/>
        <v>3296.25</v>
      </c>
      <c r="O267" s="21">
        <f t="shared" si="4267"/>
        <v>3178.25</v>
      </c>
      <c r="P267" s="21">
        <f t="shared" si="4267"/>
        <v>2920.25</v>
      </c>
      <c r="Q267" s="21">
        <f t="shared" si="4267"/>
        <v>3325.25</v>
      </c>
      <c r="R267" s="21">
        <f t="shared" si="4267"/>
        <v>3371</v>
      </c>
      <c r="S267" s="21">
        <f t="shared" ref="S267:BQ267" si="4268">S260+S265</f>
        <v>3351</v>
      </c>
      <c r="T267" s="21">
        <f t="shared" si="4268"/>
        <v>2739</v>
      </c>
      <c r="U267" s="21">
        <f t="shared" si="4268"/>
        <v>4675</v>
      </c>
      <c r="V267" s="21">
        <f t="shared" si="4268"/>
        <v>3515</v>
      </c>
      <c r="W267" s="21">
        <f t="shared" si="4268"/>
        <v>3931</v>
      </c>
      <c r="X267" s="21">
        <f t="shared" si="4268"/>
        <v>3979</v>
      </c>
      <c r="Y267" s="21">
        <f t="shared" si="4268"/>
        <v>4923</v>
      </c>
      <c r="Z267" s="21">
        <f t="shared" si="4268"/>
        <v>4207</v>
      </c>
      <c r="AA267" s="21">
        <f t="shared" si="4268"/>
        <v>4877</v>
      </c>
      <c r="AB267" s="21">
        <f t="shared" si="4268"/>
        <v>5061</v>
      </c>
      <c r="AC267" s="21">
        <f t="shared" si="4268"/>
        <v>5333</v>
      </c>
      <c r="AD267" s="21">
        <f t="shared" si="4268"/>
        <v>5426</v>
      </c>
      <c r="AE267" s="21">
        <f t="shared" si="4268"/>
        <v>3524</v>
      </c>
      <c r="AF267" s="21">
        <f t="shared" si="4268"/>
        <v>6732</v>
      </c>
      <c r="AG267" s="21">
        <f t="shared" si="4268"/>
        <v>-3020</v>
      </c>
      <c r="AH267" s="21">
        <f t="shared" si="4268"/>
        <v>9401</v>
      </c>
      <c r="AI267" s="21">
        <f t="shared" si="4268"/>
        <v>3195</v>
      </c>
      <c r="AJ267" s="21">
        <f t="shared" si="4268"/>
        <v>9192</v>
      </c>
      <c r="AK267" s="21">
        <f t="shared" si="4268"/>
        <v>8948</v>
      </c>
      <c r="AL267" s="21">
        <f t="shared" si="4268"/>
        <v>6657</v>
      </c>
      <c r="AM267" s="21">
        <f t="shared" si="4268"/>
        <v>9947</v>
      </c>
      <c r="AN267" s="21">
        <f t="shared" si="4268"/>
        <v>7068</v>
      </c>
      <c r="AO267" s="21">
        <f t="shared" si="4268"/>
        <v>10671</v>
      </c>
      <c r="AP267" s="21">
        <f t="shared" si="4268"/>
        <v>6836</v>
      </c>
      <c r="AQ267" s="21">
        <f t="shared" si="4268"/>
        <v>6959</v>
      </c>
      <c r="AR267" s="21">
        <f t="shared" si="4268"/>
        <v>11247</v>
      </c>
      <c r="AS267" s="21">
        <f t="shared" si="4268"/>
        <v>15227</v>
      </c>
      <c r="AT267" s="21">
        <f t="shared" si="4268"/>
        <v>17930</v>
      </c>
      <c r="AU267" s="21">
        <f t="shared" si="4268"/>
        <v>18525</v>
      </c>
      <c r="AV267" s="21">
        <f>AV260+AV265</f>
        <v>18936</v>
      </c>
      <c r="AW267" s="21">
        <f t="shared" si="4268"/>
        <v>20642</v>
      </c>
      <c r="AX267" s="21">
        <f t="shared" si="4268"/>
        <v>16436</v>
      </c>
      <c r="AY267" s="21">
        <f t="shared" si="4268"/>
        <v>16002</v>
      </c>
      <c r="AZ267" s="21">
        <f t="shared" si="4268"/>
        <v>13910</v>
      </c>
      <c r="BA267" s="21">
        <f t="shared" si="4268"/>
        <v>13624</v>
      </c>
      <c r="BB267" s="21">
        <f t="shared" si="4268"/>
        <v>15051</v>
      </c>
      <c r="BC267" s="21">
        <f t="shared" si="4268"/>
        <v>18368</v>
      </c>
      <c r="BD267" s="21">
        <f t="shared" si="4268"/>
        <v>19689</v>
      </c>
      <c r="BE267" s="21">
        <f t="shared" ref="BE267:BF267" si="4269">BE260+BE265</f>
        <v>20687</v>
      </c>
      <c r="BF267" s="21">
        <f t="shared" si="4269"/>
        <v>23662</v>
      </c>
      <c r="BG267" s="21">
        <f t="shared" ref="BG267:BH267" si="4270">BG260+BG265</f>
        <v>23619</v>
      </c>
      <c r="BH267" s="21">
        <f t="shared" si="4270"/>
        <v>26301</v>
      </c>
      <c r="BI267" s="21">
        <f t="shared" ref="BI267:BJ267" si="4271">BI260+BI265</f>
        <v>26536</v>
      </c>
      <c r="BJ267" s="21">
        <f t="shared" si="4271"/>
        <v>34540</v>
      </c>
      <c r="BK267" s="21">
        <f t="shared" ref="BK267:BL267" si="4272">BK260+BK265</f>
        <v>28196</v>
      </c>
      <c r="BL267" s="21">
        <f t="shared" si="4272"/>
        <v>34979</v>
      </c>
      <c r="BM267" s="21">
        <f t="shared" si="4268"/>
        <v>30455.630398420122</v>
      </c>
      <c r="BN267" s="21">
        <f t="shared" si="4268"/>
        <v>30344.399526919296</v>
      </c>
      <c r="BO267" s="21">
        <f t="shared" si="4268"/>
        <v>31973.719617294722</v>
      </c>
      <c r="BP267" s="21">
        <f t="shared" si="4268"/>
        <v>32972.664440251443</v>
      </c>
      <c r="BQ267" s="21">
        <f t="shared" si="4268"/>
        <v>34324.048077839936</v>
      </c>
      <c r="BR267" s="21">
        <f>BR260+BR265</f>
        <v>34881.652951068383</v>
      </c>
      <c r="BS267" s="21">
        <f t="shared" ref="BS267:BU267" si="4273">BS260+BS265</f>
        <v>36655.353371903628</v>
      </c>
      <c r="BT267" s="21">
        <f t="shared" si="4273"/>
        <v>37907.140566040907</v>
      </c>
      <c r="BU267" s="21">
        <f t="shared" si="4273"/>
        <v>39366.16710683077</v>
      </c>
      <c r="BV267" s="21">
        <f t="shared" ref="BV267:CC267" si="4274">BV260+BV265</f>
        <v>40414.951312448822</v>
      </c>
      <c r="BW267" s="21">
        <f t="shared" si="4274"/>
        <v>42461.102762341558</v>
      </c>
      <c r="BX267" s="21">
        <f t="shared" si="4274"/>
        <v>43859.983262155409</v>
      </c>
      <c r="BY267" s="21">
        <f t="shared" si="4274"/>
        <v>45334.642228524928</v>
      </c>
      <c r="BZ267" s="21">
        <f t="shared" si="4274"/>
        <v>46647.091534646854</v>
      </c>
      <c r="CA267" s="21">
        <f t="shared" si="4274"/>
        <v>48864.026323009224</v>
      </c>
      <c r="CB267" s="21">
        <f t="shared" si="4274"/>
        <v>50404.456270365605</v>
      </c>
      <c r="CC267" s="21">
        <f t="shared" si="4274"/>
        <v>51889.33957547343</v>
      </c>
      <c r="CD267" s="21">
        <f t="shared" ref="CD267:CG267" si="4275">CD260+CD265</f>
        <v>53444.951055379715</v>
      </c>
      <c r="CE267" s="21">
        <f t="shared" si="4275"/>
        <v>56052.312756202009</v>
      </c>
      <c r="CF267" s="21">
        <f t="shared" si="4275"/>
        <v>57647.266035578039</v>
      </c>
      <c r="CG267" s="21">
        <f t="shared" si="4275"/>
        <v>59126.647349583931</v>
      </c>
      <c r="CH267" s="21"/>
      <c r="CI267" s="90">
        <f>SUM(B267:E267)</f>
        <v>8505</v>
      </c>
      <c r="CJ267" s="21">
        <f>SUM(F267:I267)</f>
        <v>9737</v>
      </c>
      <c r="CK267" s="90">
        <f>SUM(J267:M267)</f>
        <v>11820</v>
      </c>
      <c r="CL267" s="90">
        <f>SUM(N267:Q267)</f>
        <v>12720</v>
      </c>
      <c r="CM267" s="21">
        <f>SUM(R267:U267)</f>
        <v>14136</v>
      </c>
      <c r="CN267" s="90">
        <f>SUM(V267:Y267)</f>
        <v>16348</v>
      </c>
      <c r="CO267" s="21">
        <f>SUM(Z267:AC267)</f>
        <v>19478</v>
      </c>
      <c r="CP267" s="90">
        <f>SUM(AD267:AG267)</f>
        <v>12662</v>
      </c>
      <c r="CQ267" s="21">
        <f>SUM(AH267:AK267)</f>
        <v>30736</v>
      </c>
      <c r="CR267" s="90">
        <f>SUM(AL267:AO267)</f>
        <v>34343</v>
      </c>
      <c r="CS267" s="21">
        <f>SUM(AP267:AS267)</f>
        <v>40269</v>
      </c>
      <c r="CT267" s="90">
        <f>SUM(AT267:AW267)</f>
        <v>76033</v>
      </c>
      <c r="CU267" s="21">
        <f>SUM(AX267:BA267)</f>
        <v>59972</v>
      </c>
      <c r="CV267" s="90">
        <f>SUM(BB267:BE267)</f>
        <v>73795</v>
      </c>
      <c r="CW267" s="21">
        <f>SUM(BF267:BI267)</f>
        <v>100118</v>
      </c>
      <c r="CX267" s="90">
        <f>SUM(BJ267:BM267)</f>
        <v>128170.63039842012</v>
      </c>
      <c r="CY267" s="90">
        <f>SUM(BN267:BQ267)</f>
        <v>129614.8316623054</v>
      </c>
      <c r="CZ267" s="90">
        <f>SUM(BR267:BU267)</f>
        <v>148810.3139958437</v>
      </c>
      <c r="DA267" s="90">
        <f>SUM(BV267:BY267)</f>
        <v>172070.67956547072</v>
      </c>
      <c r="DB267" s="90">
        <f>SUM(BZ267:CC267)</f>
        <v>197804.91370349511</v>
      </c>
      <c r="DC267" s="90">
        <f>SUM(CD267:CG267)</f>
        <v>226271.17719674367</v>
      </c>
    </row>
    <row r="268" spans="1:107" x14ac:dyDescent="0.2">
      <c r="A268" s="7" t="s">
        <v>137</v>
      </c>
      <c r="B268" s="22">
        <f>B267/B$85</f>
        <v>0.38605845181674564</v>
      </c>
      <c r="C268" s="22">
        <f t="shared" ref="C268:F268" si="4276">C267/C$85</f>
        <v>0.36163522012578614</v>
      </c>
      <c r="D268" s="22">
        <f t="shared" si="4276"/>
        <v>0.39536580915891262</v>
      </c>
      <c r="E268" s="22">
        <f t="shared" si="4276"/>
        <v>0.39915240935488933</v>
      </c>
      <c r="F268" s="22">
        <f t="shared" si="4276"/>
        <v>0.2750917992656059</v>
      </c>
      <c r="G268" s="22">
        <f t="shared" ref="G268:R268" si="4277">G267/G$85</f>
        <v>0.36230835984958054</v>
      </c>
      <c r="H268" s="22">
        <f t="shared" si="4277"/>
        <v>0.36328541001064962</v>
      </c>
      <c r="I268" s="22">
        <f t="shared" si="4277"/>
        <v>0.33263649778652238</v>
      </c>
      <c r="J268" s="22">
        <f t="shared" si="4277"/>
        <v>0.35521140609636187</v>
      </c>
      <c r="K268" s="22">
        <f t="shared" si="4277"/>
        <v>0.35522066738428415</v>
      </c>
      <c r="L268" s="22">
        <f t="shared" si="4277"/>
        <v>0.31090036563071299</v>
      </c>
      <c r="M268" s="22">
        <f t="shared" si="4277"/>
        <v>0.32943449959316518</v>
      </c>
      <c r="N268" s="22">
        <f t="shared" si="4277"/>
        <v>0.33015324519230771</v>
      </c>
      <c r="O268" s="22">
        <f t="shared" si="4277"/>
        <v>0.31495887424437619</v>
      </c>
      <c r="P268" s="22">
        <f t="shared" si="4277"/>
        <v>0.27094544442382629</v>
      </c>
      <c r="Q268" s="22">
        <f t="shared" si="4277"/>
        <v>0.26799242424242425</v>
      </c>
      <c r="R268" s="22">
        <f t="shared" si="4277"/>
        <v>0.2765608335384363</v>
      </c>
      <c r="S268" s="22">
        <f t="shared" ref="S268:BQ268" si="4278">S267/S$85</f>
        <v>0.26467103704288758</v>
      </c>
      <c r="T268" s="22">
        <f t="shared" si="4278"/>
        <v>0.20789373814041745</v>
      </c>
      <c r="U268" s="22">
        <f t="shared" si="4278"/>
        <v>0.32288141446232477</v>
      </c>
      <c r="V268" s="22">
        <f t="shared" si="4278"/>
        <v>0.25264141450442035</v>
      </c>
      <c r="W268" s="22">
        <f t="shared" si="4278"/>
        <v>0.27393728222996516</v>
      </c>
      <c r="X268" s="22">
        <f t="shared" si="4278"/>
        <v>0.26335296842941291</v>
      </c>
      <c r="Y268" s="22">
        <f t="shared" si="4278"/>
        <v>0.28499478985758941</v>
      </c>
      <c r="Z268" s="22">
        <f t="shared" si="4278"/>
        <v>0.25544963264314774</v>
      </c>
      <c r="AA268" s="22">
        <f t="shared" si="4278"/>
        <v>0.27828815977175464</v>
      </c>
      <c r="AB268" s="22">
        <f t="shared" si="4278"/>
        <v>0.27702665717882752</v>
      </c>
      <c r="AC268" s="22">
        <f t="shared" si="4278"/>
        <v>0.25136689291101055</v>
      </c>
      <c r="AD268" s="22">
        <f t="shared" si="4278"/>
        <v>0.26966850554147409</v>
      </c>
      <c r="AE268" s="22">
        <f t="shared" si="4278"/>
        <v>0.16845929537740809</v>
      </c>
      <c r="AF268" s="22">
        <f t="shared" si="4278"/>
        <v>0.30229007633587784</v>
      </c>
      <c r="AG268" s="22">
        <f t="shared" si="4278"/>
        <v>-0.11672399799018282</v>
      </c>
      <c r="AH268" s="22">
        <f t="shared" si="4278"/>
        <v>0.37818810845603024</v>
      </c>
      <c r="AI268" s="22">
        <f t="shared" si="4278"/>
        <v>0.12177459313183672</v>
      </c>
      <c r="AJ268" s="22">
        <f t="shared" si="4278"/>
        <v>0.33846380440385893</v>
      </c>
      <c r="AK268" s="22">
        <f t="shared" si="4278"/>
        <v>0.28103015075376886</v>
      </c>
      <c r="AL268" s="22">
        <f t="shared" si="4278"/>
        <v>0.22582177143050985</v>
      </c>
      <c r="AM268" s="22">
        <f t="shared" si="4278"/>
        <v>0.31372610862297357</v>
      </c>
      <c r="AN268" s="22">
        <f t="shared" si="4278"/>
        <v>0.21412342088521313</v>
      </c>
      <c r="AO268" s="22">
        <f t="shared" si="4278"/>
        <v>0.2839995741736307</v>
      </c>
      <c r="AP268" s="22">
        <f t="shared" si="4278"/>
        <v>0.20280653870116</v>
      </c>
      <c r="AQ268" s="22">
        <f t="shared" si="4278"/>
        <v>0.22020061386577225</v>
      </c>
      <c r="AR268" s="22">
        <f t="shared" si="4278"/>
        <v>0.29591917278396085</v>
      </c>
      <c r="AS268" s="22">
        <f t="shared" si="4278"/>
        <v>0.3279419365954514</v>
      </c>
      <c r="AT268" s="22">
        <f t="shared" si="4278"/>
        <v>0.39318450945133987</v>
      </c>
      <c r="AU268" s="22">
        <f t="shared" si="4278"/>
        <v>0.36358462051775237</v>
      </c>
      <c r="AV268" s="22">
        <f t="shared" si="4278"/>
        <v>0.35315180902648263</v>
      </c>
      <c r="AW268" s="22">
        <f t="shared" si="4278"/>
        <v>0.33348411903454067</v>
      </c>
      <c r="AX268" s="22">
        <f t="shared" si="4278"/>
        <v>0.29338997875796574</v>
      </c>
      <c r="AY268" s="22">
        <f t="shared" si="4278"/>
        <v>0.27843608080597171</v>
      </c>
      <c r="AZ268" s="22">
        <f t="shared" si="4278"/>
        <v>0.24290154716585757</v>
      </c>
      <c r="BA268" s="22">
        <f t="shared" si="4278"/>
        <v>0.21583258083424425</v>
      </c>
      <c r="BB268" s="28">
        <f t="shared" si="4278"/>
        <v>0.2592050425378018</v>
      </c>
      <c r="BC268" s="28">
        <f t="shared" si="4278"/>
        <v>0.29593826026713066</v>
      </c>
      <c r="BD268" s="28">
        <f t="shared" si="4278"/>
        <v>0.30739566907620491</v>
      </c>
      <c r="BE268" s="28">
        <f t="shared" ref="BE268:BF268" si="4279">BE267/BE$85</f>
        <v>0.2860322990985012</v>
      </c>
      <c r="BF268" s="28">
        <f t="shared" si="4279"/>
        <v>0.35006583521962331</v>
      </c>
      <c r="BG268" s="28">
        <f t="shared" ref="BG268:BH268" si="4280">BG267/BG$85</f>
        <v>0.33100693714525964</v>
      </c>
      <c r="BH268" s="28">
        <f t="shared" si="4280"/>
        <v>0.35280151309876723</v>
      </c>
      <c r="BI268" s="28">
        <f t="shared" ref="BI268:BJ268" si="4281">BI267/BI$85</f>
        <v>0.32511240979649847</v>
      </c>
      <c r="BJ268" s="28">
        <f t="shared" si="4281"/>
        <v>0.45158591114713803</v>
      </c>
      <c r="BK268" s="28">
        <f t="shared" ref="BK268:BL268" si="4282">BK267/BK$85</f>
        <v>0.3450191500556759</v>
      </c>
      <c r="BL268" s="28">
        <f t="shared" si="4282"/>
        <v>0.39989710757974162</v>
      </c>
      <c r="BM268" s="22">
        <f t="shared" si="4278"/>
        <v>0.31885605494304303</v>
      </c>
      <c r="BN268" s="22">
        <f t="shared" si="4278"/>
        <v>0.34078709184488215</v>
      </c>
      <c r="BO268" s="22">
        <f t="shared" si="4278"/>
        <v>0.3389148484333519</v>
      </c>
      <c r="BP268" s="22">
        <f t="shared" si="4278"/>
        <v>0.3287887140183669</v>
      </c>
      <c r="BQ268" s="22">
        <f t="shared" si="4278"/>
        <v>0.31707195994594661</v>
      </c>
      <c r="BR268" s="28">
        <f>BR267/BR$85</f>
        <v>0.34211594063357664</v>
      </c>
      <c r="BS268" s="28">
        <f t="shared" ref="BS268:BU268" si="4283">BS267/BS$85</f>
        <v>0.34066174127489729</v>
      </c>
      <c r="BT268" s="28">
        <f t="shared" si="4283"/>
        <v>0.33099425357588963</v>
      </c>
      <c r="BU268" s="28">
        <f t="shared" si="4283"/>
        <v>0.31945747916691897</v>
      </c>
      <c r="BV268" s="28">
        <f t="shared" ref="BV268:CC268" si="4284">BV267/BV$85</f>
        <v>0.34825028620379439</v>
      </c>
      <c r="BW268" s="28">
        <f t="shared" si="4284"/>
        <v>0.34800681864742944</v>
      </c>
      <c r="BX268" s="28">
        <f t="shared" si="4284"/>
        <v>0.33728614977639976</v>
      </c>
      <c r="BY268" s="28">
        <f t="shared" si="4284"/>
        <v>0.32500620571321709</v>
      </c>
      <c r="BZ268" s="28">
        <f t="shared" si="4284"/>
        <v>0.35630010689581199</v>
      </c>
      <c r="CA268" s="28">
        <f t="shared" si="4284"/>
        <v>0.35627691127511824</v>
      </c>
      <c r="CB268" s="28">
        <f t="shared" si="4284"/>
        <v>0.34440206804197959</v>
      </c>
      <c r="CC268" s="28">
        <f t="shared" si="4284"/>
        <v>0.3314908417217643</v>
      </c>
      <c r="CD268" s="28">
        <f t="shared" ref="CD268:CG268" si="4285">CD267/CD$85</f>
        <v>0.36512145869337759</v>
      </c>
      <c r="CE268" s="28">
        <f t="shared" si="4285"/>
        <v>0.36679333478885873</v>
      </c>
      <c r="CF268" s="28">
        <f t="shared" si="4285"/>
        <v>0.35311796939723522</v>
      </c>
      <c r="CG268" s="28">
        <f t="shared" si="4285"/>
        <v>0.3395447903119635</v>
      </c>
      <c r="CH268" s="28"/>
      <c r="CI268" s="107">
        <f>CI267/CI$85</f>
        <v>0.38652063261225234</v>
      </c>
      <c r="CJ268" s="22">
        <f t="shared" ref="CJ268" si="4286">CJ267/CJ$85</f>
        <v>0.33467381590705986</v>
      </c>
      <c r="CK268" s="107">
        <f t="shared" ref="CK268" si="4287">CK267/CK$85</f>
        <v>0.33693452296114706</v>
      </c>
      <c r="CL268" s="107">
        <f t="shared" ref="CL268" si="4288">CL267/CL$85</f>
        <v>0.29402926423337417</v>
      </c>
      <c r="CM268" s="22">
        <f t="shared" ref="CM268" si="4289">CM267/CM$85</f>
        <v>0.26923662959012645</v>
      </c>
      <c r="CN268" s="107">
        <f t="shared" ref="CN268" si="4290">CN267/CN$85</f>
        <v>0.26956435708867854</v>
      </c>
      <c r="CO268" s="22">
        <f t="shared" ref="CO268" si="4291">CO267/CO$85</f>
        <v>0.26508254058982839</v>
      </c>
      <c r="CP268" s="107">
        <f t="shared" ref="CP268" si="4292">CP267/CP$85</f>
        <v>0.14197773118195173</v>
      </c>
      <c r="CQ268" s="22">
        <f t="shared" ref="CQ268" si="4293">CQ267/CQ$85</f>
        <v>0.27918214600383312</v>
      </c>
      <c r="CR268" s="107">
        <f t="shared" ref="CR268" si="4294">CR267/CR$85</f>
        <v>0.26063232347762733</v>
      </c>
      <c r="CS268" s="22">
        <f t="shared" ref="CS268" si="4295">CS267/CS$85</f>
        <v>0.26890997602655109</v>
      </c>
      <c r="CT268" s="107">
        <f t="shared" ref="CT268" si="4296">CT267/CT$85</f>
        <v>0.35852615397673421</v>
      </c>
      <c r="CU268" s="22">
        <f t="shared" ref="CU268" si="4297">CU267/CU$85</f>
        <v>0.25642100042329219</v>
      </c>
      <c r="CV268" s="107">
        <f t="shared" ref="CV268" si="4298">CV267/CV$85</f>
        <v>0.28769083225474451</v>
      </c>
      <c r="CW268" s="22">
        <f t="shared" ref="CW268" si="4299">CW267/CW$85</f>
        <v>0.33924735190669497</v>
      </c>
      <c r="CX268" s="107">
        <f t="shared" ref="CX268" si="4300">CX267/CX$85</f>
        <v>0.37565291092058156</v>
      </c>
      <c r="CY268" s="107">
        <f t="shared" ref="CY268:CZ268" si="4301">CY267/CY$85</f>
        <v>0.33071588100943661</v>
      </c>
      <c r="CZ268" s="107">
        <f t="shared" si="4301"/>
        <v>0.33267657144961682</v>
      </c>
      <c r="DA268" s="107">
        <f t="shared" ref="DA268:DB268" si="4302">DA267/DA$85</f>
        <v>0.33899529558532904</v>
      </c>
      <c r="DB268" s="107">
        <f t="shared" si="4302"/>
        <v>0.34644305515402452</v>
      </c>
      <c r="DC268" s="107">
        <f>DC267/DC$85</f>
        <v>0.35544805265539203</v>
      </c>
    </row>
    <row r="269" spans="1:107" x14ac:dyDescent="0.2">
      <c r="A269" s="7" t="s">
        <v>62</v>
      </c>
      <c r="B269" s="25" t="s">
        <v>82</v>
      </c>
      <c r="C269" s="22">
        <f>IF(AND(B267&lt;0,C267&gt;0),"n/a",C267/B267-1)</f>
        <v>-5.8823529411764719E-2</v>
      </c>
      <c r="D269" s="22">
        <f t="shared" ref="D269" si="4303">IF(AND(C267&lt;0,D267&gt;0),"n/a",D267/C267-1)</f>
        <v>0.17771739130434772</v>
      </c>
      <c r="E269" s="22">
        <f t="shared" ref="E269" si="4304">IF(AND(D267&lt;0,E267&gt;0),"n/a",E267/D267-1)</f>
        <v>0.17351176742039676</v>
      </c>
      <c r="F269" s="22">
        <f t="shared" ref="F269" si="4305">IF(AND(E267&lt;0,F267&gt;0),"n/a",F267/E267-1)</f>
        <v>-0.2929610696028313</v>
      </c>
      <c r="G269" s="22">
        <f t="shared" ref="G269" si="4306">IF(AND(F267&lt;0,G267&gt;0),"n/a",G267/F267-1)</f>
        <v>0.39321468298109008</v>
      </c>
      <c r="H269" s="22">
        <f t="shared" ref="H269" si="4307">IF(AND(G267&lt;0,H267&gt;0),"n/a",H267/G267-1)</f>
        <v>8.9421157684630659E-2</v>
      </c>
      <c r="I269" s="22">
        <f t="shared" ref="I269" si="4308">IF(AND(H267&lt;0,I267&gt;0),"n/a",I267/H267-1)</f>
        <v>-8.7944301942103342E-3</v>
      </c>
      <c r="J269" s="22">
        <f t="shared" ref="J269" si="4309">IF(AND(I267&lt;0,J267&gt;0),"n/a",J267/I267-1)</f>
        <v>6.8391866913123822E-2</v>
      </c>
      <c r="K269" s="22">
        <f t="shared" ref="K269" si="4310">IF(AND(J267&lt;0,K267&gt;0),"n/a",K267/J267-1)</f>
        <v>2.7681660899653959E-2</v>
      </c>
      <c r="L269" s="22">
        <f t="shared" ref="L269" si="4311">IF(AND(K267&lt;0,L267&gt;0),"n/a",L267/K267-1)</f>
        <v>-8.3838383838383823E-2</v>
      </c>
      <c r="M269" s="22">
        <f t="shared" ref="M269" si="4312">IF(AND(L267&lt;0,M267&gt;0),"n/a",M267/L267-1)</f>
        <v>0.19037118706357958</v>
      </c>
      <c r="N269" s="22">
        <f t="shared" ref="N269" si="4313">IF(AND(M267&lt;0,N267&gt;0),"n/a",N267/M267-1)</f>
        <v>1.7675208397653686E-2</v>
      </c>
      <c r="O269" s="22">
        <f t="shared" ref="O269" si="4314">IF(AND(N267&lt;0,O267&gt;0),"n/a",O267/N267-1)</f>
        <v>-3.579825559347749E-2</v>
      </c>
      <c r="P269" s="22">
        <f t="shared" ref="P269" si="4315">IF(AND(O267&lt;0,P267&gt;0),"n/a",P267/O267-1)</f>
        <v>-8.1176748210493144E-2</v>
      </c>
      <c r="Q269" s="22">
        <f t="shared" ref="Q269" si="4316">IF(AND(P267&lt;0,Q267&gt;0),"n/a",Q267/P267-1)</f>
        <v>0.13868675627086713</v>
      </c>
      <c r="R269" s="22">
        <f t="shared" ref="R269" si="4317">IF(AND(Q267&lt;0,R267&gt;0),"n/a",R267/Q267-1)</f>
        <v>1.3758364032779413E-2</v>
      </c>
      <c r="S269" s="22">
        <f t="shared" ref="S269" si="4318">IF(AND(R267&lt;0,S267&gt;0),"n/a",S267/R267-1)</f>
        <v>-5.932957579353304E-3</v>
      </c>
      <c r="T269" s="22">
        <f t="shared" ref="T269" si="4319">IF(AND(S267&lt;0,T267&gt;0),"n/a",T267/S267-1)</f>
        <v>-0.18263205013428829</v>
      </c>
      <c r="U269" s="22">
        <f t="shared" ref="U269" si="4320">IF(AND(T267&lt;0,U267&gt;0),"n/a",U267/T267-1)</f>
        <v>0.7068273092369477</v>
      </c>
      <c r="V269" s="22">
        <f t="shared" ref="V269" si="4321">IF(AND(U267&lt;0,V267&gt;0),"n/a",V267/U267-1)</f>
        <v>-0.24812834224598934</v>
      </c>
      <c r="W269" s="22">
        <f t="shared" ref="W269" si="4322">IF(AND(V267&lt;0,W267&gt;0),"n/a",W267/V267-1)</f>
        <v>0.11834992887624463</v>
      </c>
      <c r="X269" s="22">
        <f t="shared" ref="X269" si="4323">IF(AND(W267&lt;0,X267&gt;0),"n/a",X267/W267-1)</f>
        <v>1.2210633426608997E-2</v>
      </c>
      <c r="Y269" s="22">
        <f t="shared" ref="Y269" si="4324">IF(AND(X267&lt;0,Y267&gt;0),"n/a",Y267/X267-1)</f>
        <v>0.23724553908017088</v>
      </c>
      <c r="Z269" s="22">
        <f t="shared" ref="Z269" si="4325">IF(AND(Y267&lt;0,Z267&gt;0),"n/a",Z267/Y267-1)</f>
        <v>-0.14543977249644524</v>
      </c>
      <c r="AA269" s="22">
        <f t="shared" ref="AA269" si="4326">IF(AND(Z267&lt;0,AA267&gt;0),"n/a",AA267/Z267-1)</f>
        <v>0.15925837889232231</v>
      </c>
      <c r="AB269" s="22">
        <f t="shared" ref="AB269" si="4327">IF(AND(AA267&lt;0,AB267&gt;0),"n/a",AB267/AA267-1)</f>
        <v>3.7728111543982035E-2</v>
      </c>
      <c r="AC269" s="22">
        <f t="shared" ref="AC269" si="4328">IF(AND(AB267&lt;0,AC267&gt;0),"n/a",AC267/AB267-1)</f>
        <v>5.3744319304485311E-2</v>
      </c>
      <c r="AD269" s="22">
        <f t="shared" ref="AD269" si="4329">IF(AND(AC267&lt;0,AD267&gt;0),"n/a",AD267/AC267-1)</f>
        <v>1.7438589911869418E-2</v>
      </c>
      <c r="AE269" s="22">
        <f t="shared" ref="AE269" si="4330">IF(AND(AD267&lt;0,AE267&gt;0),"n/a",AE267/AD267-1)</f>
        <v>-0.35053446369332841</v>
      </c>
      <c r="AF269" s="22">
        <f t="shared" ref="AF269" si="4331">IF(AND(AE267&lt;0,AF267&gt;0),"n/a",AF267/AE267-1)</f>
        <v>0.91032917139614078</v>
      </c>
      <c r="AG269" s="22">
        <f t="shared" ref="AG269" si="4332">IF(AND(AF267&lt;0,AG267&gt;0),"n/a",AG267/AF267-1)</f>
        <v>-1.4486036838978016</v>
      </c>
      <c r="AH269" s="22" t="str">
        <f t="shared" ref="AH269" si="4333">IF(AND(AG267&lt;0,AH267&gt;0),"n/a",AH267/AG267-1)</f>
        <v>n/a</v>
      </c>
      <c r="AI269" s="22">
        <f t="shared" ref="AI269" si="4334">IF(AND(AH267&lt;0,AI267&gt;0),"n/a",AI267/AH267-1)</f>
        <v>-0.66014253802786937</v>
      </c>
      <c r="AJ269" s="22">
        <f t="shared" ref="AJ269" si="4335">IF(AND(AI267&lt;0,AJ267&gt;0),"n/a",AJ267/AI267-1)</f>
        <v>1.8769953051643191</v>
      </c>
      <c r="AK269" s="22">
        <f t="shared" ref="AK269" si="4336">IF(AND(AJ267&lt;0,AK267&gt;0),"n/a",AK267/AJ267-1)</f>
        <v>-2.6544821583986078E-2</v>
      </c>
      <c r="AL269" s="22">
        <f t="shared" ref="AL269" si="4337">IF(AND(AK267&lt;0,AL267&gt;0),"n/a",AL267/AK267-1)</f>
        <v>-0.25603486812695575</v>
      </c>
      <c r="AM269" s="22">
        <f t="shared" ref="AM269" si="4338">IF(AND(AL267&lt;0,AM267&gt;0),"n/a",AM267/AL267-1)</f>
        <v>0.49421661409043116</v>
      </c>
      <c r="AN269" s="22">
        <f t="shared" ref="AN269" si="4339">IF(AND(AM267&lt;0,AN267&gt;0),"n/a",AN267/AM267-1)</f>
        <v>-0.28943400020106569</v>
      </c>
      <c r="AO269" s="22">
        <f t="shared" ref="AO269" si="4340">IF(AND(AN267&lt;0,AO267&gt;0),"n/a",AO267/AN267-1)</f>
        <v>0.5097623089983021</v>
      </c>
      <c r="AP269" s="22">
        <f t="shared" ref="AP269" si="4341">IF(AND(AO267&lt;0,AP267&gt;0),"n/a",AP267/AO267-1)</f>
        <v>-0.35938524974229225</v>
      </c>
      <c r="AQ269" s="22">
        <f t="shared" ref="AQ269" si="4342">IF(AND(AP267&lt;0,AQ267&gt;0),"n/a",AQ267/AP267-1)</f>
        <v>1.7992978349912203E-2</v>
      </c>
      <c r="AR269" s="22">
        <f t="shared" ref="AR269" si="4343">IF(AND(AQ267&lt;0,AR267&gt;0),"n/a",AR267/AQ267-1)</f>
        <v>0.61618048570196859</v>
      </c>
      <c r="AS269" s="22">
        <f t="shared" ref="AS269" si="4344">IF(AND(AR267&lt;0,AS267&gt;0),"n/a",AS267/AR267-1)</f>
        <v>0.35387214368275988</v>
      </c>
      <c r="AT269" s="22">
        <f t="shared" ref="AT269" si="4345">IF(AND(AS267&lt;0,AT267&gt;0),"n/a",AT267/AS267-1)</f>
        <v>0.17751362710973928</v>
      </c>
      <c r="AU269" s="22">
        <f t="shared" ref="AU269" si="4346">IF(AND(AT267&lt;0,AU267&gt;0),"n/a",AU267/AT267-1)</f>
        <v>3.3184606804238737E-2</v>
      </c>
      <c r="AV269" s="22">
        <f t="shared" ref="AV269" si="4347">IF(AND(AU267&lt;0,AV267&gt;0),"n/a",AV267/AU267-1)</f>
        <v>2.2186234817813677E-2</v>
      </c>
      <c r="AW269" s="22">
        <f t="shared" ref="AW269" si="4348">IF(AND(AV267&lt;0,AW267&gt;0),"n/a",AW267/AV267-1)</f>
        <v>9.0092944655682405E-2</v>
      </c>
      <c r="AX269" s="22">
        <f t="shared" ref="AX269" si="4349">IF(AND(AW267&lt;0,AX267&gt;0),"n/a",AX267/AW267-1)</f>
        <v>-0.20375932564673971</v>
      </c>
      <c r="AY269" s="22">
        <f t="shared" ref="AY269" si="4350">IF(AND(AX267&lt;0,AY267&gt;0),"n/a",AY267/AX267-1)</f>
        <v>-2.6405451448040851E-2</v>
      </c>
      <c r="AZ269" s="22">
        <f t="shared" ref="AZ269" si="4351">IF(AND(AY267&lt;0,AZ267&gt;0),"n/a",AZ267/AY267-1)</f>
        <v>-0.13073365829271344</v>
      </c>
      <c r="BA269" s="22">
        <f t="shared" ref="BA269" si="4352">IF(AND(AZ267&lt;0,BA267&gt;0),"n/a",BA267/AZ267-1)</f>
        <v>-2.0560747663551426E-2</v>
      </c>
      <c r="BB269" s="28">
        <f t="shared" ref="BB269" si="4353">IF(AND(BA267&lt;0,BB267&gt;0),"n/a",BB267/BA267-1)</f>
        <v>0.10474163241338807</v>
      </c>
      <c r="BC269" s="28">
        <f t="shared" ref="BC269" si="4354">IF(AND(BB267&lt;0,BC267&gt;0),"n/a",BC267/BB267-1)</f>
        <v>0.2203840276393596</v>
      </c>
      <c r="BD269" s="28">
        <f t="shared" ref="BD269:BL269" si="4355">IF(AND(BC267&lt;0,BD267&gt;0),"n/a",BD267/BC267-1)</f>
        <v>7.1918554006968671E-2</v>
      </c>
      <c r="BE269" s="28">
        <f t="shared" si="4355"/>
        <v>5.0688201533851451E-2</v>
      </c>
      <c r="BF269" s="28">
        <f t="shared" si="4355"/>
        <v>0.14381012229902845</v>
      </c>
      <c r="BG269" s="28">
        <f t="shared" si="4355"/>
        <v>-1.8172597413574909E-3</v>
      </c>
      <c r="BH269" s="28">
        <f t="shared" si="4355"/>
        <v>0.11355264829162959</v>
      </c>
      <c r="BI269" s="28">
        <f t="shared" si="4355"/>
        <v>8.9350214820729246E-3</v>
      </c>
      <c r="BJ269" s="28">
        <f t="shared" si="4355"/>
        <v>0.30162797708772993</v>
      </c>
      <c r="BK269" s="28">
        <f t="shared" si="4355"/>
        <v>-0.18367110596409963</v>
      </c>
      <c r="BL269" s="28">
        <f t="shared" si="4355"/>
        <v>0.24056603773584895</v>
      </c>
      <c r="BM269" s="22">
        <f t="shared" ref="BM269" si="4356">IF(AND(BL267&lt;0,BM267&gt;0),"n/a",BM267/BL267-1)</f>
        <v>-0.12931672150661477</v>
      </c>
      <c r="BN269" s="22">
        <f t="shared" ref="BN269" si="4357">IF(AND(BM267&lt;0,BN267&gt;0),"n/a",BN267/BM267-1)</f>
        <v>-3.6522268639888056E-3</v>
      </c>
      <c r="BO269" s="22">
        <f t="shared" ref="BO269" si="4358">IF(AND(BN267&lt;0,BO267&gt;0),"n/a",BO267/BN267-1)</f>
        <v>5.3694260416325301E-2</v>
      </c>
      <c r="BP269" s="22">
        <f t="shared" ref="BP269" si="4359">IF(AND(BO267&lt;0,BP267&gt;0),"n/a",BP267/BO267-1)</f>
        <v>3.1242684145400101E-2</v>
      </c>
      <c r="BQ269" s="22">
        <f t="shared" ref="BQ269" si="4360">IF(AND(BP267&lt;0,BQ267&gt;0),"n/a",BQ267/BP267-1)</f>
        <v>4.0984969232234381E-2</v>
      </c>
      <c r="BR269" s="28">
        <f>IF(AND(BQ267&lt;0,BR267&gt;0),"n/a",BR267/BQ267-1)</f>
        <v>1.6245312090342967E-2</v>
      </c>
      <c r="BS269" s="28">
        <f t="shared" ref="BS269" si="4361">IF(AND(BR267&lt;0,BS267&gt;0),"n/a",BS267/BR267-1)</f>
        <v>5.0849093170079129E-2</v>
      </c>
      <c r="BT269" s="28">
        <f t="shared" ref="BT269" si="4362">IF(AND(BS267&lt;0,BT267&gt;0),"n/a",BT267/BS267-1)</f>
        <v>3.4150187598430692E-2</v>
      </c>
      <c r="BU269" s="28">
        <f t="shared" ref="BU269" si="4363">IF(AND(BT267&lt;0,BU267&gt;0),"n/a",BU267/BT267-1)</f>
        <v>3.8489490871725929E-2</v>
      </c>
      <c r="BV269" s="28">
        <f t="shared" ref="BV269" si="4364">IF(AND(BU267&lt;0,BV267&gt;0),"n/a",BV267/BU267-1)</f>
        <v>2.6641765828303576E-2</v>
      </c>
      <c r="BW269" s="28">
        <f t="shared" ref="BW269" si="4365">IF(AND(BV267&lt;0,BW267&gt;0),"n/a",BW267/BV267-1)</f>
        <v>5.0628576391788638E-2</v>
      </c>
      <c r="BX269" s="28">
        <f t="shared" ref="BX269" si="4366">IF(AND(BW267&lt;0,BX267&gt;0),"n/a",BX267/BW267-1)</f>
        <v>3.2944987501702494E-2</v>
      </c>
      <c r="BY269" s="28">
        <f t="shared" ref="BY269" si="4367">IF(AND(BX267&lt;0,BY267&gt;0),"n/a",BY267/BX267-1)</f>
        <v>3.3621968288390258E-2</v>
      </c>
      <c r="BZ269" s="28">
        <f t="shared" ref="BZ269" si="4368">IF(AND(BY267&lt;0,BZ267&gt;0),"n/a",BZ267/BY267-1)</f>
        <v>2.8950251763454338E-2</v>
      </c>
      <c r="CA269" s="28">
        <f t="shared" ref="CA269" si="4369">IF(AND(BZ267&lt;0,CA267&gt;0),"n/a",CA267/BZ267-1)</f>
        <v>4.7525680925160296E-2</v>
      </c>
      <c r="CB269" s="28">
        <f t="shared" ref="CB269" si="4370">IF(AND(CA267&lt;0,CB267&gt;0),"n/a",CB267/CA267-1)</f>
        <v>3.152482640651777E-2</v>
      </c>
      <c r="CC269" s="28">
        <f t="shared" ref="CC269" si="4371">IF(AND(CB267&lt;0,CC267&gt;0),"n/a",CC267/CB267-1)</f>
        <v>2.9459365599403098E-2</v>
      </c>
      <c r="CD269" s="28">
        <f t="shared" ref="CD269" si="4372">IF(AND(CC267&lt;0,CD267&gt;0),"n/a",CD267/CC267-1)</f>
        <v>2.9979404105608953E-2</v>
      </c>
      <c r="CE269" s="28">
        <f t="shared" ref="CE269" si="4373">IF(AND(CD267&lt;0,CE267&gt;0),"n/a",CE267/CD267-1)</f>
        <v>4.8785931118555004E-2</v>
      </c>
      <c r="CF269" s="28">
        <f t="shared" ref="CF269" si="4374">IF(AND(CE267&lt;0,CF267&gt;0),"n/a",CF267/CE267-1)</f>
        <v>2.84547273956961E-2</v>
      </c>
      <c r="CG269" s="28">
        <f t="shared" ref="CG269" si="4375">IF(AND(CF267&lt;0,CG267&gt;0),"n/a",CG267/CF267-1)</f>
        <v>2.5662644835452664E-2</v>
      </c>
      <c r="CH269" s="28"/>
      <c r="CI269" s="106" t="s">
        <v>82</v>
      </c>
      <c r="CJ269" s="48" t="s">
        <v>82</v>
      </c>
      <c r="CK269" s="106" t="s">
        <v>82</v>
      </c>
      <c r="CL269" s="106" t="s">
        <v>82</v>
      </c>
      <c r="CM269" s="48" t="s">
        <v>82</v>
      </c>
      <c r="CN269" s="106" t="s">
        <v>82</v>
      </c>
      <c r="CO269" s="48" t="s">
        <v>82</v>
      </c>
      <c r="CP269" s="106" t="s">
        <v>82</v>
      </c>
      <c r="CQ269" s="48" t="s">
        <v>82</v>
      </c>
      <c r="CR269" s="106" t="s">
        <v>82</v>
      </c>
      <c r="CS269" s="48" t="s">
        <v>82</v>
      </c>
      <c r="CT269" s="106" t="s">
        <v>82</v>
      </c>
      <c r="CU269" s="48" t="s">
        <v>82</v>
      </c>
      <c r="CV269" s="106" t="s">
        <v>82</v>
      </c>
      <c r="CW269" s="48" t="s">
        <v>82</v>
      </c>
      <c r="CX269" s="106" t="s">
        <v>82</v>
      </c>
      <c r="CY269" s="106" t="s">
        <v>82</v>
      </c>
      <c r="CZ269" s="106" t="s">
        <v>82</v>
      </c>
      <c r="DA269" s="106" t="s">
        <v>82</v>
      </c>
      <c r="DB269" s="106" t="s">
        <v>82</v>
      </c>
      <c r="DC269" s="106" t="s">
        <v>82</v>
      </c>
    </row>
    <row r="270" spans="1:107" x14ac:dyDescent="0.2">
      <c r="A270" s="7" t="s">
        <v>63</v>
      </c>
      <c r="B270" s="25" t="s">
        <v>82</v>
      </c>
      <c r="C270" s="25" t="s">
        <v>82</v>
      </c>
      <c r="D270" s="25" t="s">
        <v>82</v>
      </c>
      <c r="E270" s="25" t="s">
        <v>82</v>
      </c>
      <c r="F270" s="22">
        <f>IF(AND(B267&lt;0,F267&gt;0),"n/a",F267/B267-1)</f>
        <v>-8.0306905370843951E-2</v>
      </c>
      <c r="G270" s="22">
        <f t="shared" ref="G270:R270" si="4376">IF(AND(C267&lt;0,G267&gt;0),"n/a",G267/C267-1)</f>
        <v>0.36141304347826098</v>
      </c>
      <c r="H270" s="22">
        <f t="shared" si="4376"/>
        <v>0.25934471619750799</v>
      </c>
      <c r="I270" s="22">
        <f t="shared" si="4376"/>
        <v>6.3704286276051958E-2</v>
      </c>
      <c r="J270" s="22">
        <f t="shared" si="4376"/>
        <v>0.60734149054505004</v>
      </c>
      <c r="K270" s="22">
        <f t="shared" si="4376"/>
        <v>0.18562874251497008</v>
      </c>
      <c r="L270" s="22">
        <f t="shared" si="4376"/>
        <v>-2.9314767314034818E-3</v>
      </c>
      <c r="M270" s="22">
        <f t="shared" si="4376"/>
        <v>0.1974121996303142</v>
      </c>
      <c r="N270" s="22">
        <f t="shared" si="4376"/>
        <v>0.14057093425605527</v>
      </c>
      <c r="O270" s="22">
        <f t="shared" si="4376"/>
        <v>7.0117845117845023E-2</v>
      </c>
      <c r="P270" s="22">
        <f t="shared" si="4376"/>
        <v>7.3226754869533339E-2</v>
      </c>
      <c r="Q270" s="22">
        <f t="shared" si="4376"/>
        <v>2.6628589070700759E-2</v>
      </c>
      <c r="R270" s="22">
        <f t="shared" si="4376"/>
        <v>2.2677284793325647E-2</v>
      </c>
      <c r="S270" s="22">
        <f t="shared" ref="S270" si="4377">IF(AND(O267&lt;0,S267&gt;0),"n/a",S267/O267-1)</f>
        <v>5.4353811059545398E-2</v>
      </c>
      <c r="T270" s="22">
        <f t="shared" ref="T270" si="4378">IF(AND(P267&lt;0,T267&gt;0),"n/a",T267/P267-1)</f>
        <v>-6.2066603886653526E-2</v>
      </c>
      <c r="U270" s="22">
        <f t="shared" ref="U270" si="4379">IF(AND(Q267&lt;0,U267&gt;0),"n/a",U267/Q267-1)</f>
        <v>0.40590933012555452</v>
      </c>
      <c r="V270" s="22">
        <f t="shared" ref="V270" si="4380">IF(AND(R267&lt;0,V267&gt;0),"n/a",V267/R267-1)</f>
        <v>4.2717294571343878E-2</v>
      </c>
      <c r="W270" s="22">
        <f t="shared" ref="W270" si="4381">IF(AND(S267&lt;0,W267&gt;0),"n/a",W267/S267-1)</f>
        <v>0.17308266189197252</v>
      </c>
      <c r="X270" s="22">
        <f t="shared" ref="X270" si="4382">IF(AND(T267&lt;0,X267&gt;0),"n/a",X267/T267-1)</f>
        <v>0.45271997079226001</v>
      </c>
      <c r="Y270" s="22">
        <f t="shared" ref="Y270" si="4383">IF(AND(U267&lt;0,Y267&gt;0),"n/a",Y267/U267-1)</f>
        <v>5.3048128342245926E-2</v>
      </c>
      <c r="Z270" s="22">
        <f t="shared" ref="Z270" si="4384">IF(AND(V267&lt;0,Z267&gt;0),"n/a",Z267/V267-1)</f>
        <v>0.19687055476529158</v>
      </c>
      <c r="AA270" s="22">
        <f t="shared" ref="AA270" si="4385">IF(AND(W267&lt;0,AA267&gt;0),"n/a",AA267/W267-1)</f>
        <v>0.24065123378275244</v>
      </c>
      <c r="AB270" s="22">
        <f t="shared" ref="AB270" si="4386">IF(AND(X267&lt;0,AB267&gt;0),"n/a",AB267/X267-1)</f>
        <v>0.27192762000502646</v>
      </c>
      <c r="AC270" s="22">
        <f t="shared" ref="AC270" si="4387">IF(AND(Y267&lt;0,AC267&gt;0),"n/a",AC267/Y267-1)</f>
        <v>8.3282551289863838E-2</v>
      </c>
      <c r="AD270" s="22">
        <f t="shared" ref="AD270" si="4388">IF(AND(Z267&lt;0,AD267&gt;0),"n/a",AD267/Z267-1)</f>
        <v>0.28975516995483708</v>
      </c>
      <c r="AE270" s="22">
        <f t="shared" ref="AE270" si="4389">IF(AND(AA267&lt;0,AE267&gt;0),"n/a",AE267/AA267-1)</f>
        <v>-0.27742464629895425</v>
      </c>
      <c r="AF270" s="22">
        <f t="shared" ref="AF270" si="4390">IF(AND(AB267&lt;0,AF267&gt;0),"n/a",AF267/AB267-1)</f>
        <v>0.33017190278601061</v>
      </c>
      <c r="AG270" s="22">
        <f t="shared" ref="AG270" si="4391">IF(AND(AC267&lt;0,AG267&gt;0),"n/a",AG267/AC267-1)</f>
        <v>-1.5662853928370524</v>
      </c>
      <c r="AH270" s="22">
        <f t="shared" ref="AH270" si="4392">IF(AND(AD267&lt;0,AH267&gt;0),"n/a",AH267/AD267-1)</f>
        <v>0.73258385551050487</v>
      </c>
      <c r="AI270" s="22">
        <f t="shared" ref="AI270" si="4393">IF(AND(AE267&lt;0,AI267&gt;0),"n/a",AI267/AE267-1)</f>
        <v>-9.3359818388195182E-2</v>
      </c>
      <c r="AJ270" s="22">
        <f t="shared" ref="AJ270" si="4394">IF(AND(AF267&lt;0,AJ267&gt;0),"n/a",AJ267/AF267-1)</f>
        <v>0.36541889483065959</v>
      </c>
      <c r="AK270" s="22" t="str">
        <f t="shared" ref="AK270" si="4395">IF(AND(AG267&lt;0,AK267&gt;0),"n/a",AK267/AG267-1)</f>
        <v>n/a</v>
      </c>
      <c r="AL270" s="22">
        <f t="shared" ref="AL270" si="4396">IF(AND(AH267&lt;0,AL267&gt;0),"n/a",AL267/AH267-1)</f>
        <v>-0.29188384214445273</v>
      </c>
      <c r="AM270" s="22">
        <f t="shared" ref="AM270" si="4397">IF(AND(AI267&lt;0,AM267&gt;0),"n/a",AM267/AI267-1)</f>
        <v>2.1133020344287949</v>
      </c>
      <c r="AN270" s="22">
        <f t="shared" ref="AN270" si="4398">IF(AND(AJ267&lt;0,AN267&gt;0),"n/a",AN267/AJ267-1)</f>
        <v>-0.2310704960835509</v>
      </c>
      <c r="AO270" s="22">
        <f t="shared" ref="AO270" si="4399">IF(AND(AK267&lt;0,AO267&gt;0),"n/a",AO267/AK267-1)</f>
        <v>0.19255699597675457</v>
      </c>
      <c r="AP270" s="22">
        <f t="shared" ref="AP270" si="4400">IF(AND(AL267&lt;0,AP267&gt;0),"n/a",AP267/AL267-1)</f>
        <v>2.6888989034099531E-2</v>
      </c>
      <c r="AQ270" s="22">
        <f t="shared" ref="AQ270" si="4401">IF(AND(AM267&lt;0,AQ267&gt;0),"n/a",AQ267/AM267-1)</f>
        <v>-0.30039207801347145</v>
      </c>
      <c r="AR270" s="22">
        <f t="shared" ref="AR270" si="4402">IF(AND(AN267&lt;0,AR267&gt;0),"n/a",AR267/AN267-1)</f>
        <v>0.59125636672325976</v>
      </c>
      <c r="AS270" s="22">
        <f t="shared" ref="AS270" si="4403">IF(AND(AO267&lt;0,AS267&gt;0),"n/a",AS267/AO267-1)</f>
        <v>0.42695155093243375</v>
      </c>
      <c r="AT270" s="22">
        <f t="shared" ref="AT270" si="4404">IF(AND(AP267&lt;0,AT267&gt;0),"n/a",AT267/AP267-1)</f>
        <v>1.6228788765359861</v>
      </c>
      <c r="AU270" s="22">
        <f t="shared" ref="AU270" si="4405">IF(AND(AQ267&lt;0,AU267&gt;0),"n/a",AU267/AQ267-1)</f>
        <v>1.6620204052306367</v>
      </c>
      <c r="AV270" s="22">
        <f t="shared" ref="AV270" si="4406">IF(AND(AR267&lt;0,AV267&gt;0),"n/a",AV267/AR267-1)</f>
        <v>0.68364897305948258</v>
      </c>
      <c r="AW270" s="22">
        <f t="shared" ref="AW270" si="4407">IF(AND(AS267&lt;0,AW267&gt;0),"n/a",AW267/AS267-1)</f>
        <v>0.35561830958166407</v>
      </c>
      <c r="AX270" s="22">
        <f t="shared" ref="AX270" si="4408">IF(AND(AT267&lt;0,AX267&gt;0),"n/a",AX267/AT267-1)</f>
        <v>-8.3324037925264882E-2</v>
      </c>
      <c r="AY270" s="22">
        <f t="shared" ref="AY270" si="4409">IF(AND(AU267&lt;0,AY267&gt;0),"n/a",AY267/AU267-1)</f>
        <v>-0.13619433198380571</v>
      </c>
      <c r="AZ270" s="22">
        <f t="shared" ref="AZ270" si="4410">IF(AND(AV267&lt;0,AZ267&gt;0),"n/a",AZ267/AV267-1)</f>
        <v>-0.26542036332910857</v>
      </c>
      <c r="BA270" s="22">
        <f t="shared" ref="BA270" si="4411">IF(AND(AW267&lt;0,BA267&gt;0),"n/a",BA267/AW267-1)</f>
        <v>-0.33998643542292417</v>
      </c>
      <c r="BB270" s="22">
        <f t="shared" ref="BB270" si="4412">IF(AND(AX267&lt;0,BB267&gt;0),"n/a",BB267/AX267-1)</f>
        <v>-8.4266244828425374E-2</v>
      </c>
      <c r="BC270" s="22">
        <f t="shared" ref="BC270" si="4413">IF(AND(AY267&lt;0,BC267&gt;0),"n/a",BC267/AY267-1)</f>
        <v>0.147856517935258</v>
      </c>
      <c r="BD270" s="22">
        <f t="shared" ref="BD270:BL270" si="4414">IF(AND(AZ267&lt;0,BD267&gt;0),"n/a",BD267/AZ267-1)</f>
        <v>0.41545650611071161</v>
      </c>
      <c r="BE270" s="22">
        <f t="shared" si="4414"/>
        <v>0.51842337052260712</v>
      </c>
      <c r="BF270" s="22">
        <f t="shared" si="4414"/>
        <v>0.57212145372400514</v>
      </c>
      <c r="BG270" s="22">
        <f t="shared" si="4414"/>
        <v>0.28587761324041816</v>
      </c>
      <c r="BH270" s="22">
        <f t="shared" si="4414"/>
        <v>0.33582203260703936</v>
      </c>
      <c r="BI270" s="22">
        <f t="shared" si="4414"/>
        <v>0.28273795137042579</v>
      </c>
      <c r="BJ270" s="22">
        <f t="shared" si="4414"/>
        <v>0.45972445270898477</v>
      </c>
      <c r="BK270" s="22">
        <f t="shared" si="4414"/>
        <v>0.19378466488843737</v>
      </c>
      <c r="BL270" s="22">
        <f t="shared" si="4414"/>
        <v>0.32994943158054824</v>
      </c>
      <c r="BM270" s="22">
        <f t="shared" ref="BM270" si="4415">IF(AND(BI267&lt;0,BM267&gt;0),"n/a",BM267/BI267-1)</f>
        <v>0.14770991854160842</v>
      </c>
      <c r="BN270" s="22">
        <f t="shared" ref="BN270" si="4416">IF(AND(BJ267&lt;0,BN267&gt;0),"n/a",BN267/BJ267-1)</f>
        <v>-0.12147077223742631</v>
      </c>
      <c r="BO270" s="22">
        <f t="shared" ref="BO270" si="4417">IF(AND(BK267&lt;0,BO267&gt;0),"n/a",BO267/BK267-1)</f>
        <v>0.1339806929101548</v>
      </c>
      <c r="BP270" s="22">
        <f t="shared" ref="BP270" si="4418">IF(AND(BL267&lt;0,BP267&gt;0),"n/a",BP267/BL267-1)</f>
        <v>-5.7358288108538158E-2</v>
      </c>
      <c r="BQ270" s="22">
        <f t="shared" ref="BQ270" si="4419">IF(AND(BM267&lt;0,BQ267&gt;0),"n/a",BQ267/BM267-1)</f>
        <v>0.12701814504619446</v>
      </c>
      <c r="BR270" s="28">
        <f>IF(AND(BN267&lt;0,BR267&gt;0),"n/a",BR267/BN267-1)</f>
        <v>0.14952523348250724</v>
      </c>
      <c r="BS270" s="28">
        <f t="shared" ref="BS270" si="4420">IF(AND(BO267&lt;0,BS267&gt;0),"n/a",BS267/BO267-1)</f>
        <v>0.14642130507945628</v>
      </c>
      <c r="BT270" s="28">
        <f t="shared" ref="BT270" si="4421">IF(AND(BP267&lt;0,BT267&gt;0),"n/a",BT267/BP267-1)</f>
        <v>0.14965354512769347</v>
      </c>
      <c r="BU270" s="28">
        <f t="shared" ref="BU270" si="4422">IF(AND(BQ267&lt;0,BU267&gt;0),"n/a",BU267/BQ267-1)</f>
        <v>0.14689756340966365</v>
      </c>
      <c r="BV270" s="28">
        <f t="shared" ref="BV270" si="4423">IF(AND(BR267&lt;0,BV267&gt;0),"n/a",BV267/BR267-1)</f>
        <v>0.15863062364454139</v>
      </c>
      <c r="BW270" s="28">
        <f t="shared" ref="BW270" si="4424">IF(AND(BS267&lt;0,BW267&gt;0),"n/a",BW267/BS267-1)</f>
        <v>0.15838748931248992</v>
      </c>
      <c r="BX270" s="28">
        <f t="shared" ref="BX270" si="4425">IF(AND(BT267&lt;0,BX267&gt;0),"n/a",BX267/BT267-1)</f>
        <v>0.15703750288797447</v>
      </c>
      <c r="BY270" s="28">
        <f t="shared" ref="BY270" si="4426">IF(AND(BU267&lt;0,BY267&gt;0),"n/a",BY267/BU267-1)</f>
        <v>0.15161433180672845</v>
      </c>
      <c r="BZ270" s="28">
        <f t="shared" ref="BZ270" si="4427">IF(AND(BV267&lt;0,BZ267&gt;0),"n/a",BZ267/BV267-1)</f>
        <v>0.15420382852913095</v>
      </c>
      <c r="CA270" s="28">
        <f t="shared" ref="CA270" si="4428">IF(AND(BW267&lt;0,CA267&gt;0),"n/a",CA267/BW267-1)</f>
        <v>0.15079503696607643</v>
      </c>
      <c r="CB270" s="28">
        <f t="shared" ref="CB270" si="4429">IF(AND(BX267&lt;0,CB267&gt;0),"n/a",CB267/BX267-1)</f>
        <v>0.14921284782744304</v>
      </c>
      <c r="CC270" s="28">
        <f t="shared" ref="CC270" si="4430">IF(AND(BY267&lt;0,CC267&gt;0),"n/a",CC267/BY267-1)</f>
        <v>0.14458473751501755</v>
      </c>
      <c r="CD270" s="28">
        <f t="shared" ref="CD270" si="4431">IF(AND(BZ267&lt;0,CD267&gt;0),"n/a",CD267/BZ267-1)</f>
        <v>0.14572954705404917</v>
      </c>
      <c r="CE270" s="28">
        <f t="shared" ref="CE270" si="4432">IF(AND(CA267&lt;0,CE267&gt;0),"n/a",CE267/CA267-1)</f>
        <v>0.14710794369820368</v>
      </c>
      <c r="CF270" s="28">
        <f t="shared" ref="CF270" si="4433">IF(AND(CB267&lt;0,CF267&gt;0),"n/a",CF267/CB267-1)</f>
        <v>0.14369383782978562</v>
      </c>
      <c r="CG270" s="28">
        <f t="shared" ref="CG270" si="4434">IF(AND(CC267&lt;0,CG267&gt;0),"n/a",CG267/CC267-1)</f>
        <v>0.1394758120516022</v>
      </c>
      <c r="CH270" s="28"/>
      <c r="CI270" s="106" t="s">
        <v>82</v>
      </c>
      <c r="CJ270" s="22">
        <f>IF(AND(CI267&lt;0,CJ267&gt;0),"n/a",CJ267/CI267-1)</f>
        <v>0.14485596707818926</v>
      </c>
      <c r="CK270" s="107">
        <f t="shared" ref="CK270:CY270" si="4435">IF(AND(CJ267&lt;0,CK267&gt;0),"n/a",CK267/CJ267-1)</f>
        <v>0.21392626065523257</v>
      </c>
      <c r="CL270" s="107">
        <f t="shared" si="4435"/>
        <v>7.6142131979695327E-2</v>
      </c>
      <c r="CM270" s="22">
        <f t="shared" si="4435"/>
        <v>0.11132075471698122</v>
      </c>
      <c r="CN270" s="107">
        <f t="shared" si="4435"/>
        <v>0.15647990945104695</v>
      </c>
      <c r="CO270" s="22">
        <f t="shared" si="4435"/>
        <v>0.1914607291411794</v>
      </c>
      <c r="CP270" s="107">
        <f t="shared" si="4435"/>
        <v>-0.34993325803470587</v>
      </c>
      <c r="CQ270" s="22">
        <f t="shared" si="4435"/>
        <v>1.4274206286526616</v>
      </c>
      <c r="CR270" s="107">
        <f t="shared" si="4435"/>
        <v>0.11735424258198845</v>
      </c>
      <c r="CS270" s="22">
        <f t="shared" si="4435"/>
        <v>0.17255335876306677</v>
      </c>
      <c r="CT270" s="107">
        <f t="shared" si="4435"/>
        <v>0.88812734361419454</v>
      </c>
      <c r="CU270" s="22">
        <f t="shared" si="4435"/>
        <v>-0.21123722594136751</v>
      </c>
      <c r="CV270" s="107">
        <f t="shared" si="4435"/>
        <v>0.23049089575135073</v>
      </c>
      <c r="CW270" s="22">
        <f t="shared" si="4435"/>
        <v>0.35670438376583768</v>
      </c>
      <c r="CX270" s="107">
        <f t="shared" si="4435"/>
        <v>0.28019567308995508</v>
      </c>
      <c r="CY270" s="107">
        <f t="shared" si="4435"/>
        <v>1.1267801831011948E-2</v>
      </c>
      <c r="CZ270" s="107">
        <f>IF(AND(CY267&lt;0,CZ267&gt;0),"n/a",CZ267/CY267-1)</f>
        <v>0.14809634119303294</v>
      </c>
      <c r="DA270" s="107">
        <f>IF(AND(CZ267&lt;0,DA267&gt;0),"n/a",DA267/CZ267-1)</f>
        <v>0.15630882661988532</v>
      </c>
      <c r="DB270" s="107">
        <f>IF(AND(DA267&lt;0,DB267&gt;0),"n/a",DB267/DA267-1)</f>
        <v>0.1495561835578898</v>
      </c>
      <c r="DC270" s="107">
        <f>IF(AND(DB267&lt;0,DC267&gt;0),"n/a",DC267/DB267-1)</f>
        <v>0.14391080059779915</v>
      </c>
    </row>
    <row r="271" spans="1:107" hidden="1" outlineLevel="1" x14ac:dyDescent="0.2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CI271" s="92"/>
      <c r="CK271" s="92"/>
      <c r="CL271" s="92"/>
      <c r="CN271" s="92"/>
      <c r="CP271" s="92"/>
      <c r="CR271" s="92"/>
      <c r="CT271" s="92"/>
      <c r="CV271" s="92"/>
      <c r="CX271" s="92"/>
      <c r="CY271" s="92"/>
      <c r="CZ271" s="92"/>
      <c r="DA271" s="92"/>
      <c r="DB271" s="92"/>
      <c r="DC271" s="92"/>
    </row>
    <row r="272" spans="1:107" hidden="1" outlineLevel="1" x14ac:dyDescent="0.2">
      <c r="A272" s="4" t="s">
        <v>140</v>
      </c>
      <c r="B272" s="36">
        <f>B260/B$282</f>
        <v>0.15149965282944006</v>
      </c>
      <c r="C272" s="36">
        <f t="shared" ref="C272:F272" si="4436">C260/C$282</f>
        <v>0.14264185111911837</v>
      </c>
      <c r="D272" s="36">
        <f t="shared" si="4436"/>
        <v>0.16804858907428261</v>
      </c>
      <c r="E272" s="36">
        <f t="shared" si="4436"/>
        <v>0.19529330089452471</v>
      </c>
      <c r="F272" s="36">
        <f t="shared" si="4436"/>
        <v>0.13772163378607341</v>
      </c>
      <c r="G272" s="36">
        <f t="shared" ref="G272:BQ272" si="4437">G260/G$282</f>
        <v>0.1920800157037873</v>
      </c>
      <c r="H272" s="36">
        <f t="shared" si="4437"/>
        <v>0.20835941961708895</v>
      </c>
      <c r="I272" s="36">
        <f t="shared" si="4437"/>
        <v>0.20554586294308241</v>
      </c>
      <c r="J272" s="36">
        <f t="shared" si="4437"/>
        <v>0.21884920154118301</v>
      </c>
      <c r="K272" s="36">
        <f t="shared" si="4437"/>
        <v>0.22808826063429394</v>
      </c>
      <c r="L272" s="36">
        <f t="shared" si="4437"/>
        <v>0.20273675873200644</v>
      </c>
      <c r="M272" s="36">
        <f t="shared" si="4437"/>
        <v>0.24328576076800687</v>
      </c>
      <c r="N272" s="36">
        <f t="shared" si="4437"/>
        <v>0.25828870413440147</v>
      </c>
      <c r="O272" s="36">
        <f t="shared" si="4437"/>
        <v>0.2012970795390395</v>
      </c>
      <c r="P272" s="36">
        <f t="shared" si="4437"/>
        <v>0.2294316624169086</v>
      </c>
      <c r="Q272" s="36">
        <f t="shared" si="4437"/>
        <v>0.28227390961369841</v>
      </c>
      <c r="R272" s="36">
        <f t="shared" si="4437"/>
        <v>0.26043034856365621</v>
      </c>
      <c r="S272" s="36">
        <f t="shared" si="4437"/>
        <v>0.24906645608810493</v>
      </c>
      <c r="T272" s="36">
        <f t="shared" si="4437"/>
        <v>0.21243361449547016</v>
      </c>
      <c r="U272" s="36">
        <f t="shared" si="4437"/>
        <v>0.26928456581131782</v>
      </c>
      <c r="V272" s="36">
        <f t="shared" si="4437"/>
        <v>0.25489559070512169</v>
      </c>
      <c r="W272" s="36">
        <f t="shared" si="4437"/>
        <v>0.28449306534583529</v>
      </c>
      <c r="X272" s="36">
        <f t="shared" si="4437"/>
        <v>0.28653976054234437</v>
      </c>
      <c r="Y272" s="36">
        <f t="shared" si="4437"/>
        <v>0.35314371794411964</v>
      </c>
      <c r="Z272" s="36">
        <f t="shared" si="4437"/>
        <v>0.30079606927389957</v>
      </c>
      <c r="AA272" s="36">
        <f t="shared" si="4437"/>
        <v>0.34993334261322789</v>
      </c>
      <c r="AB272" s="36">
        <f t="shared" si="4437"/>
        <v>0.36230742798236065</v>
      </c>
      <c r="AC272" s="36">
        <f t="shared" si="4437"/>
        <v>0.38080834479400077</v>
      </c>
      <c r="AD272" s="36">
        <f t="shared" si="4437"/>
        <v>0.38644741865089544</v>
      </c>
      <c r="AE272" s="36">
        <f t="shared" si="4437"/>
        <v>0.25046090777153757</v>
      </c>
      <c r="AF272" s="36">
        <f t="shared" si="4437"/>
        <v>0.47831795781252667</v>
      </c>
      <c r="AG272" s="36">
        <f t="shared" si="4437"/>
        <v>-0.21416039904748266</v>
      </c>
      <c r="AH272" s="36">
        <f t="shared" si="4437"/>
        <v>0.66661088530690615</v>
      </c>
      <c r="AI272" s="36">
        <f t="shared" si="4437"/>
        <v>0.22716058511447615</v>
      </c>
      <c r="AJ272" s="36">
        <f t="shared" si="4437"/>
        <v>0.65297168893201618</v>
      </c>
      <c r="AK272" s="36">
        <f t="shared" si="4437"/>
        <v>0.63832306794559557</v>
      </c>
      <c r="AL272" s="36">
        <f t="shared" si="4437"/>
        <v>0.47490365669395146</v>
      </c>
      <c r="AM272" s="36">
        <f t="shared" si="4437"/>
        <v>0.71054669306840168</v>
      </c>
      <c r="AN272" s="36">
        <f t="shared" si="4437"/>
        <v>0.50615941873305459</v>
      </c>
      <c r="AO272" s="36">
        <f t="shared" si="4437"/>
        <v>0.76748360889190648</v>
      </c>
      <c r="AP272" s="36">
        <f t="shared" si="4437"/>
        <v>0.49374013205887324</v>
      </c>
      <c r="AQ272" s="36">
        <f t="shared" si="4437"/>
        <v>0.50645974521996318</v>
      </c>
      <c r="AR272" s="36">
        <f t="shared" si="4437"/>
        <v>0.81993027640114247</v>
      </c>
      <c r="AS272" s="36">
        <f t="shared" si="4437"/>
        <v>1.1147650918270082</v>
      </c>
      <c r="AT272" s="36">
        <f t="shared" si="4437"/>
        <v>1.3143792948241459</v>
      </c>
      <c r="AU272" s="36">
        <f t="shared" si="4437"/>
        <v>1.3629100133605645</v>
      </c>
      <c r="AV272" s="36">
        <f>AV260/AV$282</f>
        <v>1.3995172345492144</v>
      </c>
      <c r="AW272" s="36">
        <f t="shared" si="4437"/>
        <v>1.5347371645504115</v>
      </c>
      <c r="AX272" s="36">
        <f t="shared" si="4437"/>
        <v>1.2310669896382449</v>
      </c>
      <c r="AY272" s="36">
        <f t="shared" si="4437"/>
        <v>1.2087015635622025</v>
      </c>
      <c r="AZ272" s="36">
        <f t="shared" si="4437"/>
        <v>1.0620752844162786</v>
      </c>
      <c r="BA272" s="36">
        <f t="shared" si="4437"/>
        <v>1.0522901058160192</v>
      </c>
      <c r="BB272" s="36">
        <f t="shared" si="4437"/>
        <v>1.1737502924432659</v>
      </c>
      <c r="BC272" s="36">
        <f t="shared" si="4437"/>
        <v>1.439047320589157</v>
      </c>
      <c r="BD272" s="36">
        <f t="shared" si="4437"/>
        <v>1.5508034026465027</v>
      </c>
      <c r="BE272" s="36">
        <f t="shared" ref="BE272:BF272" si="4438">BE260/BE$282</f>
        <v>1.6415648309792097</v>
      </c>
      <c r="BF272" s="36">
        <f t="shared" si="4438"/>
        <v>1.8888800191586175</v>
      </c>
      <c r="BG272" s="36">
        <f t="shared" ref="BG272:BH272" si="4439">BG260/BG$282</f>
        <v>1.8902761104441776</v>
      </c>
      <c r="BH272" s="36">
        <f t="shared" si="4439"/>
        <v>2.1178033658104516</v>
      </c>
      <c r="BI272" s="36">
        <f t="shared" ref="BI272:BJ272" si="4440">BI260/BI$282</f>
        <v>2.1490119857466796</v>
      </c>
      <c r="BJ272" s="36">
        <f t="shared" si="4440"/>
        <v>2.8101863151899762</v>
      </c>
      <c r="BK272" s="36">
        <f t="shared" ref="BK272:BL272" si="4441">BK260/BK$282</f>
        <v>2.3115264797507789</v>
      </c>
      <c r="BL272" s="36">
        <f t="shared" si="4441"/>
        <v>2.8664262886175531</v>
      </c>
      <c r="BM272" s="36">
        <f t="shared" si="4437"/>
        <v>2.5021751581045799</v>
      </c>
      <c r="BN272" s="36">
        <f t="shared" si="4437"/>
        <v>2.4990542986710818</v>
      </c>
      <c r="BO272" s="36">
        <f t="shared" si="4437"/>
        <v>2.6394341089706748</v>
      </c>
      <c r="BP272" s="36">
        <f t="shared" si="4437"/>
        <v>2.72773571542715</v>
      </c>
      <c r="BQ272" s="36">
        <f t="shared" si="4437"/>
        <v>2.8453081111794183</v>
      </c>
      <c r="BR272" s="243">
        <f>BR260/BR$282</f>
        <v>2.8974522346082372</v>
      </c>
      <c r="BS272" s="243">
        <f t="shared" ref="BS272:BU272" si="4442">BS260/BS$282</f>
        <v>3.0441634352236147</v>
      </c>
      <c r="BT272" s="243">
        <f t="shared" si="4442"/>
        <v>3.1401416270299958</v>
      </c>
      <c r="BU272" s="243">
        <f t="shared" si="4442"/>
        <v>3.2526372256075282</v>
      </c>
      <c r="BV272" s="243">
        <f t="shared" ref="BV272:CC272" si="4443">BV260/BV$282</f>
        <v>3.3311577008718918</v>
      </c>
      <c r="BW272" s="243">
        <f t="shared" si="4443"/>
        <v>3.4914730673634846</v>
      </c>
      <c r="BX272" s="243">
        <f t="shared" si="4443"/>
        <v>3.5975315598199549</v>
      </c>
      <c r="BY272" s="243">
        <f t="shared" si="4443"/>
        <v>3.7091286725616923</v>
      </c>
      <c r="BZ272" s="243">
        <f t="shared" si="4443"/>
        <v>3.8073873303185723</v>
      </c>
      <c r="CA272" s="243">
        <f t="shared" si="4443"/>
        <v>3.9790608928625306</v>
      </c>
      <c r="CB272" s="243">
        <f t="shared" si="4443"/>
        <v>4.0945807745928953</v>
      </c>
      <c r="CC272" s="243">
        <f t="shared" si="4443"/>
        <v>4.2048930367703523</v>
      </c>
      <c r="CD272" s="243">
        <f t="shared" ref="CD272:CG272" si="4444">CD260/CD$282</f>
        <v>4.3208918881466474</v>
      </c>
      <c r="CE272" s="243">
        <f t="shared" si="4444"/>
        <v>4.5214462408041252</v>
      </c>
      <c r="CF272" s="243">
        <f t="shared" si="4444"/>
        <v>4.6391780084233298</v>
      </c>
      <c r="CG272" s="243">
        <f t="shared" si="4444"/>
        <v>4.7469152644411361</v>
      </c>
      <c r="CH272" s="243"/>
      <c r="CI272" s="90">
        <f>SUM(B272:E272)</f>
        <v>0.65748339391736577</v>
      </c>
      <c r="CJ272" s="21">
        <f>SUM(F272:I272)</f>
        <v>0.74370693205003202</v>
      </c>
      <c r="CK272" s="90">
        <f>SUM(J272:M272)</f>
        <v>0.89295998167549029</v>
      </c>
      <c r="CL272" s="90">
        <f>SUM(N272:Q272)</f>
        <v>0.9712913557040479</v>
      </c>
      <c r="CM272" s="21">
        <f>SUM(R272:U272)</f>
        <v>0.99121498495854921</v>
      </c>
      <c r="CN272" s="90">
        <f>SUM(V272:Y272)</f>
        <v>1.1790721345374211</v>
      </c>
      <c r="CO272" s="21">
        <f>SUM(Z272:AC272)</f>
        <v>1.3938451846634887</v>
      </c>
      <c r="CP272" s="90">
        <f>SUM(AD272:AG272)</f>
        <v>0.90106588518747699</v>
      </c>
      <c r="CQ272" s="21">
        <f>SUM(AH272:AK272)</f>
        <v>2.1850662272989938</v>
      </c>
      <c r="CR272" s="119">
        <f>SUM(AL272:AO272)</f>
        <v>2.4590933773873145</v>
      </c>
      <c r="CS272" s="87">
        <f>SUM(AP272:AS272)</f>
        <v>2.9348952455069872</v>
      </c>
      <c r="CT272" s="119">
        <f>SUM(AT272:AW272)</f>
        <v>5.6115437072843362</v>
      </c>
      <c r="CU272" s="87">
        <f>SUM(AX272:BA272)</f>
        <v>4.5541339434327455</v>
      </c>
      <c r="CV272" s="119">
        <f>SUM(BB272:BE272)</f>
        <v>5.8051658466581353</v>
      </c>
      <c r="CW272" s="87">
        <f>SUM(BF272:BI272)</f>
        <v>8.0459714811599277</v>
      </c>
      <c r="CX272" s="119">
        <f>SUM(BJ272:BM272)</f>
        <v>10.490314241662889</v>
      </c>
      <c r="CY272" s="119">
        <f>SUM(BN272:BQ272)</f>
        <v>10.711532234248326</v>
      </c>
      <c r="CZ272" s="119">
        <f>SUM(BR272:BU272)</f>
        <v>12.334394522469378</v>
      </c>
      <c r="DA272" s="119">
        <f>SUM(BV272:BY272)</f>
        <v>14.129291000617023</v>
      </c>
      <c r="DB272" s="119">
        <f>SUM(BZ272:CC272)</f>
        <v>16.085922034544353</v>
      </c>
      <c r="DC272" s="119">
        <f>SUM(CD272:CG272)</f>
        <v>18.228431401815236</v>
      </c>
    </row>
    <row r="273" spans="1:107" hidden="1" outlineLevel="1" x14ac:dyDescent="0.2">
      <c r="A273" s="7" t="s">
        <v>62</v>
      </c>
      <c r="B273" s="25" t="s">
        <v>82</v>
      </c>
      <c r="C273" s="22">
        <f>IF(AND(B272&lt;0,C272&gt;0),"n/a",C272/B272-1)</f>
        <v>-5.8467472003344456E-2</v>
      </c>
      <c r="D273" s="22">
        <f t="shared" ref="D273:F273" si="4445">IF(AND(C272&lt;0,D272&gt;0),"n/a",D272/C272-1)</f>
        <v>0.17811559339584981</v>
      </c>
      <c r="E273" s="22">
        <f t="shared" si="4445"/>
        <v>0.16212401407428123</v>
      </c>
      <c r="F273" s="22">
        <f t="shared" si="4445"/>
        <v>-0.2947959138626316</v>
      </c>
      <c r="G273" s="22">
        <f t="shared" ref="G273" si="4446">IF(AND(F272&lt;0,G272&gt;0),"n/a",G272/F272-1)</f>
        <v>0.39469748087762424</v>
      </c>
      <c r="H273" s="22">
        <f t="shared" ref="H273" si="4447">IF(AND(G272&lt;0,H272&gt;0),"n/a",H272/G272-1)</f>
        <v>8.4753241265903778E-2</v>
      </c>
      <c r="I273" s="22">
        <f t="shared" ref="I273" si="4448">IF(AND(H272&lt;0,I272&gt;0),"n/a",I272/H272-1)</f>
        <v>-1.3503381220667299E-2</v>
      </c>
      <c r="J273" s="22">
        <f t="shared" ref="J273" si="4449">IF(AND(I272&lt;0,J272&gt;0),"n/a",J272/I272-1)</f>
        <v>6.4721996383767744E-2</v>
      </c>
      <c r="K273" s="22">
        <f t="shared" ref="K273" si="4450">IF(AND(J272&lt;0,K272&gt;0),"n/a",K272/J272-1)</f>
        <v>4.2216553809872215E-2</v>
      </c>
      <c r="L273" s="22">
        <f t="shared" ref="L273" si="4451">IF(AND(K272&lt;0,L272&gt;0),"n/a",L272/K272-1)</f>
        <v>-0.11114777162045575</v>
      </c>
      <c r="M273" s="22">
        <f t="shared" ref="M273" si="4452">IF(AND(L272&lt;0,M272&gt;0),"n/a",M272/L272-1)</f>
        <v>0.20000814006107959</v>
      </c>
      <c r="N273" s="22">
        <f t="shared" ref="N273" si="4453">IF(AND(M272&lt;0,N272&gt;0),"n/a",N272/M272-1)</f>
        <v>6.1667987962111592E-2</v>
      </c>
      <c r="O273" s="22">
        <f t="shared" ref="O273" si="4454">IF(AND(N272&lt;0,O272&gt;0),"n/a",O272/N272-1)</f>
        <v>-0.22065085961214226</v>
      </c>
      <c r="P273" s="22">
        <f t="shared" ref="P273" si="4455">IF(AND(O272&lt;0,P272&gt;0),"n/a",P272/O272-1)</f>
        <v>0.13976647322601954</v>
      </c>
      <c r="Q273" s="22">
        <f t="shared" ref="Q273" si="4456">IF(AND(P272&lt;0,Q272&gt;0),"n/a",Q272/P272-1)</f>
        <v>0.23031802428719828</v>
      </c>
      <c r="R273" s="22">
        <f t="shared" ref="R273" si="4457">IF(AND(Q272&lt;0,R272&gt;0),"n/a",R272/Q272-1)</f>
        <v>-7.7384272177105862E-2</v>
      </c>
      <c r="S273" s="22">
        <f t="shared" ref="S273" si="4458">IF(AND(R272&lt;0,S272&gt;0),"n/a",S272/R272-1)</f>
        <v>-4.3635054586480537E-2</v>
      </c>
      <c r="T273" s="22">
        <f t="shared" ref="T273" si="4459">IF(AND(S272&lt;0,T272&gt;0),"n/a",T272/S272-1)</f>
        <v>-0.14708059113217653</v>
      </c>
      <c r="U273" s="22">
        <f t="shared" ref="U273" si="4460">IF(AND(T272&lt;0,U272&gt;0),"n/a",U272/T272-1)</f>
        <v>0.26761749288533587</v>
      </c>
      <c r="V273" s="22">
        <f t="shared" ref="V273" si="4461">IF(AND(U272&lt;0,V272&gt;0),"n/a",V272/U272-1)</f>
        <v>-5.3434087701402788E-2</v>
      </c>
      <c r="W273" s="22">
        <f t="shared" ref="W273" si="4462">IF(AND(V272&lt;0,W272&gt;0),"n/a",W272/V272-1)</f>
        <v>0.11611607152103987</v>
      </c>
      <c r="X273" s="22">
        <f t="shared" ref="X273" si="4463">IF(AND(W272&lt;0,X272&gt;0),"n/a",X272/W272-1)</f>
        <v>7.1941830779638227E-3</v>
      </c>
      <c r="Y273" s="22">
        <f t="shared" ref="Y273" si="4464">IF(AND(X272&lt;0,Y272&gt;0),"n/a",Y272/X272-1)</f>
        <v>0.23244228750562046</v>
      </c>
      <c r="Z273" s="22">
        <f t="shared" ref="Z273" si="4465">IF(AND(Y272&lt;0,Z272&gt;0),"n/a",Z272/Y272-1)</f>
        <v>-0.14823327164070743</v>
      </c>
      <c r="AA273" s="22">
        <f t="shared" ref="AA273" si="4466">IF(AND(Z272&lt;0,AA272&gt;0),"n/a",AA272/Z272-1)</f>
        <v>0.16335743169098671</v>
      </c>
      <c r="AB273" s="22">
        <f t="shared" ref="AB273" si="4467">IF(AND(AA272&lt;0,AB272&gt;0),"n/a",AB272/AA272-1)</f>
        <v>3.5361264167414586E-2</v>
      </c>
      <c r="AC273" s="22">
        <f t="shared" ref="AC273" si="4468">IF(AND(AB272&lt;0,AC272&gt;0),"n/a",AC272/AB272-1)</f>
        <v>5.106413885762473E-2</v>
      </c>
      <c r="AD273" s="22">
        <f t="shared" ref="AD273" si="4469">IF(AND(AC272&lt;0,AD272&gt;0),"n/a",AD272/AC272-1)</f>
        <v>1.4808167767292879E-2</v>
      </c>
      <c r="AE273" s="22">
        <f t="shared" ref="AE273" si="4470">IF(AND(AD272&lt;0,AE272&gt;0),"n/a",AE272/AD272-1)</f>
        <v>-0.35188878050755945</v>
      </c>
      <c r="AF273" s="22">
        <f t="shared" ref="AF273" si="4471">IF(AND(AE272&lt;0,AF272&gt;0),"n/a",AF272/AE272-1)</f>
        <v>0.90975095502262193</v>
      </c>
      <c r="AG273" s="22">
        <f t="shared" ref="AG273" si="4472">IF(AND(AF272&lt;0,AG272&gt;0),"n/a",AG272/AF272-1)</f>
        <v>-1.4477364806182362</v>
      </c>
      <c r="AH273" s="22" t="str">
        <f t="shared" ref="AH273" si="4473">IF(AND(AG272&lt;0,AH272&gt;0),"n/a",AH272/AG272-1)</f>
        <v>n/a</v>
      </c>
      <c r="AI273" s="22">
        <f t="shared" ref="AI273" si="4474">IF(AND(AH272&lt;0,AI272&gt;0),"n/a",AI272/AH272-1)</f>
        <v>-0.65923060945833201</v>
      </c>
      <c r="AJ273" s="22">
        <f t="shared" ref="AJ273" si="4475">IF(AND(AI272&lt;0,AJ272&gt;0),"n/a",AJ272/AI272-1)</f>
        <v>1.8744937798208046</v>
      </c>
      <c r="AK273" s="22">
        <f t="shared" ref="AK273" si="4476">IF(AND(AJ272&lt;0,AK272&gt;0),"n/a",AK272/AJ272-1)</f>
        <v>-2.2433776585903065E-2</v>
      </c>
      <c r="AL273" s="22">
        <f t="shared" ref="AL273" si="4477">IF(AND(AK272&lt;0,AL272&gt;0),"n/a",AL272/AK272-1)</f>
        <v>-0.25601363863850268</v>
      </c>
      <c r="AM273" s="22">
        <f t="shared" ref="AM273" si="4478">IF(AND(AL272&lt;0,AM272&gt;0),"n/a",AM272/AL272-1)</f>
        <v>0.49619124437761242</v>
      </c>
      <c r="AN273" s="22">
        <f t="shared" ref="AN273" si="4479">IF(AND(AM272&lt;0,AN272&gt;0),"n/a",AN272/AM272-1)</f>
        <v>-0.28764791438649551</v>
      </c>
      <c r="AO273" s="22">
        <f t="shared" ref="AO273" si="4480">IF(AND(AN272&lt;0,AO272&gt;0),"n/a",AO272/AN272-1)</f>
        <v>0.51628830855891406</v>
      </c>
      <c r="AP273" s="22">
        <f t="shared" ref="AP273" si="4481">IF(AND(AO272&lt;0,AP272&gt;0),"n/a",AP272/AO272-1)</f>
        <v>-0.35667664255170783</v>
      </c>
      <c r="AQ273" s="22">
        <f t="shared" ref="AQ273" si="4482">IF(AND(AP272&lt;0,AQ272&gt;0),"n/a",AQ272/AP272-1)</f>
        <v>2.5761756712078032E-2</v>
      </c>
      <c r="AR273" s="22">
        <f t="shared" ref="AR273" si="4483">IF(AND(AQ272&lt;0,AR272&gt;0),"n/a",AR272/AQ272-1)</f>
        <v>0.61894461334737327</v>
      </c>
      <c r="AS273" s="22">
        <f t="shared" ref="AS273" si="4484">IF(AND(AR272&lt;0,AS272&gt;0),"n/a",AS272/AR272-1)</f>
        <v>0.35958522805129456</v>
      </c>
      <c r="AT273" s="22">
        <f t="shared" ref="AT273" si="4485">IF(AND(AS272&lt;0,AT272&gt;0),"n/a",AT272/AS272-1)</f>
        <v>0.17906391621035289</v>
      </c>
      <c r="AU273" s="22">
        <f t="shared" ref="AU273" si="4486">IF(AND(AT272&lt;0,AU272&gt;0),"n/a",AU272/AT272-1)</f>
        <v>3.6922917705358049E-2</v>
      </c>
      <c r="AV273" s="22">
        <f t="shared" ref="AV273" si="4487">IF(AND(AU272&lt;0,AV272&gt;0),"n/a",AV272/AU272-1)</f>
        <v>2.6859602490105994E-2</v>
      </c>
      <c r="AW273" s="22">
        <f t="shared" ref="AW273" si="4488">IF(AND(AV272&lt;0,AW272&gt;0),"n/a",AW272/AV272-1)</f>
        <v>9.6618981648162183E-2</v>
      </c>
      <c r="AX273" s="22">
        <f t="shared" ref="AX273" si="4489">IF(AND(AW272&lt;0,AX272&gt;0),"n/a",AX272/AW272-1)</f>
        <v>-0.19786461286426482</v>
      </c>
      <c r="AY273" s="22">
        <f t="shared" ref="AY273" si="4490">IF(AND(AX272&lt;0,AY272&gt;0),"n/a",AY272/AX272-1)</f>
        <v>-1.816751343695322E-2</v>
      </c>
      <c r="AZ273" s="22">
        <f t="shared" ref="AZ273" si="4491">IF(AND(AY272&lt;0,AZ272&gt;0),"n/a",AZ272/AY272-1)</f>
        <v>-0.12130891823602585</v>
      </c>
      <c r="BA273" s="22">
        <f t="shared" ref="BA273" si="4492">IF(AND(AZ272&lt;0,BA272&gt;0),"n/a",BA272/AZ272-1)</f>
        <v>-9.2132626978862486E-3</v>
      </c>
      <c r="BB273" s="22">
        <f t="shared" ref="BB273" si="4493">IF(AND(BA272&lt;0,BB272&gt;0),"n/a",BB272/BA272-1)</f>
        <v>0.11542462098230777</v>
      </c>
      <c r="BC273" s="22">
        <f t="shared" ref="BC273" si="4494">IF(AND(BB272&lt;0,BC272&gt;0),"n/a",BC272/BB272-1)</f>
        <v>0.22602510078498184</v>
      </c>
      <c r="BD273" s="22">
        <f t="shared" ref="BD273:BL273" si="4495">IF(AND(BC272&lt;0,BD272&gt;0),"n/a",BD272/BC272-1)</f>
        <v>7.7659768694466447E-2</v>
      </c>
      <c r="BE273" s="22">
        <f t="shared" si="4495"/>
        <v>5.8525425065368841E-2</v>
      </c>
      <c r="BF273" s="22">
        <f t="shared" si="4495"/>
        <v>0.15065819120398793</v>
      </c>
      <c r="BG273" s="22">
        <f t="shared" si="4495"/>
        <v>7.3911062184994769E-4</v>
      </c>
      <c r="BH273" s="22">
        <f t="shared" si="4495"/>
        <v>0.12036720673193591</v>
      </c>
      <c r="BI273" s="22">
        <f t="shared" si="4495"/>
        <v>1.4736316147219375E-2</v>
      </c>
      <c r="BJ273" s="22">
        <f t="shared" si="4495"/>
        <v>0.30766432845816349</v>
      </c>
      <c r="BK273" s="22">
        <f t="shared" si="4495"/>
        <v>-0.17744725064803635</v>
      </c>
      <c r="BL273" s="22">
        <f t="shared" si="4495"/>
        <v>0.24005773402457486</v>
      </c>
      <c r="BM273" s="22">
        <f t="shared" ref="BM273" si="4496">IF(AND(BL272&lt;0,BM272&gt;0),"n/a",BM272/BL272-1)</f>
        <v>-0.12707500344920697</v>
      </c>
      <c r="BN273" s="22">
        <f t="shared" ref="BN273" si="4497">IF(AND(BM272&lt;0,BN272&gt;0),"n/a",BN272/BM272-1)</f>
        <v>-1.2472585795560986E-3</v>
      </c>
      <c r="BO273" s="22">
        <f t="shared" ref="BO273" si="4498">IF(AND(BN272&lt;0,BO272&gt;0),"n/a",BO272/BN272-1)</f>
        <v>5.6173173337707105E-2</v>
      </c>
      <c r="BP273" s="22">
        <f t="shared" ref="BP273" si="4499">IF(AND(BO272&lt;0,BP272&gt;0),"n/a",BP272/BO272-1)</f>
        <v>3.34547493178039E-2</v>
      </c>
      <c r="BQ273" s="22">
        <f t="shared" ref="BQ273" si="4500">IF(AND(BP272&lt;0,BQ272&gt;0),"n/a",BQ272/BP272-1)</f>
        <v>4.3102561251560534E-2</v>
      </c>
      <c r="BR273" s="28">
        <f>IF(AND(BQ272&lt;0,BR272&gt;0),"n/a",BR272/BQ272-1)</f>
        <v>1.8326353910123494E-2</v>
      </c>
      <c r="BS273" s="28">
        <f t="shared" ref="BS273" si="4501">IF(AND(BR272&lt;0,BS272&gt;0),"n/a",BS272/BR272-1)</f>
        <v>5.0634553647858294E-2</v>
      </c>
      <c r="BT273" s="28">
        <f t="shared" ref="BT273" si="4502">IF(AND(BS272&lt;0,BT272&gt;0),"n/a",BT272/BS272-1)</f>
        <v>3.1528593601720001E-2</v>
      </c>
      <c r="BU273" s="28">
        <f t="shared" ref="BU273" si="4503">IF(AND(BT272&lt;0,BU272&gt;0),"n/a",BU272/BT272-1)</f>
        <v>3.5825007894288108E-2</v>
      </c>
      <c r="BV273" s="28">
        <f t="shared" ref="BV273" si="4504">IF(AND(BU272&lt;0,BV272&gt;0),"n/a",BV272/BU272-1)</f>
        <v>2.4140557282620767E-2</v>
      </c>
      <c r="BW273" s="28">
        <f t="shared" ref="BW273" si="4505">IF(AND(BV272&lt;0,BW272&gt;0),"n/a",BW272/BV272-1)</f>
        <v>4.8126021307737021E-2</v>
      </c>
      <c r="BX273" s="28">
        <f t="shared" ref="BX273" si="4506">IF(AND(BW272&lt;0,BX272&gt;0),"n/a",BX272/BW272-1)</f>
        <v>3.0376431497596501E-2</v>
      </c>
      <c r="BY273" s="28">
        <f t="shared" ref="BY273" si="4507">IF(AND(BX272&lt;0,BY272&gt;0),"n/a",BY272/BX272-1)</f>
        <v>3.1020468030952486E-2</v>
      </c>
      <c r="BZ273" s="28">
        <f t="shared" ref="BZ273" si="4508">IF(AND(BY272&lt;0,BZ272&gt;0),"n/a",BZ272/BY272-1)</f>
        <v>2.6491035073479496E-2</v>
      </c>
      <c r="CA273" s="28">
        <f t="shared" ref="CA273" si="4509">IF(AND(BZ272&lt;0,CA272&gt;0),"n/a",CA272/BZ272-1)</f>
        <v>4.5089597577032903E-2</v>
      </c>
      <c r="CB273" s="28">
        <f t="shared" ref="CB273" si="4510">IF(AND(CA272&lt;0,CB272&gt;0),"n/a",CB272/CA272-1)</f>
        <v>2.9031946190514191E-2</v>
      </c>
      <c r="CC273" s="28">
        <f t="shared" ref="CC273" si="4511">IF(AND(CB272&lt;0,CC272&gt;0),"n/a",CC272/CB272-1)</f>
        <v>2.694103944949644E-2</v>
      </c>
      <c r="CD273" s="28">
        <f t="shared" ref="CD273" si="4512">IF(AND(CC272&lt;0,CD272&gt;0),"n/a",CD272/CC272-1)</f>
        <v>2.7586635465379095E-2</v>
      </c>
      <c r="CE273" s="28">
        <f t="shared" ref="CE273" si="4513">IF(AND(CD272&lt;0,CE272&gt;0),"n/a",CE272/CD272-1)</f>
        <v>4.6415036027087631E-2</v>
      </c>
      <c r="CF273" s="28">
        <f t="shared" ref="CF273" si="4514">IF(AND(CE272&lt;0,CF272&gt;0),"n/a",CF272/CE272-1)</f>
        <v>2.6038519833925244E-2</v>
      </c>
      <c r="CG273" s="28">
        <f t="shared" ref="CG273" si="4515">IF(AND(CF272&lt;0,CG272&gt;0),"n/a",CG272/CF272-1)</f>
        <v>2.3223350305202395E-2</v>
      </c>
      <c r="CH273" s="28"/>
      <c r="CI273" s="106" t="s">
        <v>82</v>
      </c>
      <c r="CJ273" s="48" t="s">
        <v>82</v>
      </c>
      <c r="CK273" s="106" t="s">
        <v>82</v>
      </c>
      <c r="CL273" s="106" t="s">
        <v>82</v>
      </c>
      <c r="CM273" s="48" t="s">
        <v>82</v>
      </c>
      <c r="CN273" s="106" t="s">
        <v>82</v>
      </c>
      <c r="CO273" s="48" t="s">
        <v>82</v>
      </c>
      <c r="CP273" s="106" t="s">
        <v>82</v>
      </c>
      <c r="CQ273" s="48" t="s">
        <v>82</v>
      </c>
      <c r="CR273" s="106" t="s">
        <v>82</v>
      </c>
      <c r="CS273" s="48" t="s">
        <v>82</v>
      </c>
      <c r="CT273" s="106" t="s">
        <v>82</v>
      </c>
      <c r="CU273" s="48" t="s">
        <v>82</v>
      </c>
      <c r="CV273" s="106" t="s">
        <v>82</v>
      </c>
      <c r="CW273" s="48" t="s">
        <v>82</v>
      </c>
      <c r="CX273" s="106" t="s">
        <v>82</v>
      </c>
      <c r="CY273" s="106" t="s">
        <v>82</v>
      </c>
      <c r="CZ273" s="106" t="s">
        <v>82</v>
      </c>
      <c r="DA273" s="106" t="s">
        <v>82</v>
      </c>
      <c r="DB273" s="106" t="s">
        <v>82</v>
      </c>
      <c r="DC273" s="106" t="s">
        <v>82</v>
      </c>
    </row>
    <row r="274" spans="1:107" hidden="1" outlineLevel="1" x14ac:dyDescent="0.2">
      <c r="A274" s="7" t="s">
        <v>63</v>
      </c>
      <c r="B274" s="25" t="s">
        <v>82</v>
      </c>
      <c r="C274" s="25" t="s">
        <v>82</v>
      </c>
      <c r="D274" s="25" t="s">
        <v>82</v>
      </c>
      <c r="E274" s="25" t="s">
        <v>82</v>
      </c>
      <c r="F274" s="22">
        <f>IF(AND(B272&lt;0,F272&gt;0),"n/a",F272/B272-1)</f>
        <v>-9.0944228491916634E-2</v>
      </c>
      <c r="G274" s="22">
        <f t="shared" ref="G274:BQ274" si="4516">IF(AND(C272&lt;0,G272&gt;0),"n/a",G272/C272-1)</f>
        <v>0.3465894770489466</v>
      </c>
      <c r="H274" s="22">
        <f t="shared" si="4516"/>
        <v>0.23987604278538588</v>
      </c>
      <c r="I274" s="22">
        <f t="shared" si="4516"/>
        <v>5.2498278238919172E-2</v>
      </c>
      <c r="J274" s="22">
        <f t="shared" si="4516"/>
        <v>0.58906916455207869</v>
      </c>
      <c r="K274" s="22">
        <f t="shared" si="4516"/>
        <v>0.18746481667325621</v>
      </c>
      <c r="L274" s="22">
        <f t="shared" si="4516"/>
        <v>-2.6985393294987614E-2</v>
      </c>
      <c r="M274" s="22">
        <f t="shared" si="4516"/>
        <v>0.18360816065354224</v>
      </c>
      <c r="N274" s="22">
        <f t="shared" si="4516"/>
        <v>0.18021314364172691</v>
      </c>
      <c r="O274" s="22">
        <f t="shared" si="4516"/>
        <v>-0.11745971064337313</v>
      </c>
      <c r="P274" s="22">
        <f t="shared" si="4516"/>
        <v>0.13167273587612982</v>
      </c>
      <c r="Q274" s="22">
        <f t="shared" si="4516"/>
        <v>0.16025659998601394</v>
      </c>
      <c r="R274" s="22">
        <f t="shared" si="4516"/>
        <v>8.2916689540566413E-3</v>
      </c>
      <c r="S274" s="22">
        <f t="shared" si="4516"/>
        <v>0.23730784698146135</v>
      </c>
      <c r="T274" s="22">
        <f t="shared" si="4516"/>
        <v>-7.4087629154474199E-2</v>
      </c>
      <c r="U274" s="22">
        <f t="shared" si="4516"/>
        <v>-4.6016806229654539E-2</v>
      </c>
      <c r="V274" s="22">
        <f t="shared" si="4516"/>
        <v>-2.1252353610323071E-2</v>
      </c>
      <c r="W274" s="22">
        <f t="shared" si="4516"/>
        <v>0.1422375771276021</v>
      </c>
      <c r="X274" s="22">
        <f t="shared" si="4516"/>
        <v>0.34884378455300635</v>
      </c>
      <c r="Y274" s="22">
        <f t="shared" si="4516"/>
        <v>0.31141462519452445</v>
      </c>
      <c r="Z274" s="22">
        <f t="shared" si="4516"/>
        <v>0.18007560837675807</v>
      </c>
      <c r="AA274" s="22">
        <f t="shared" si="4516"/>
        <v>0.23002415608212501</v>
      </c>
      <c r="AB274" s="22">
        <f t="shared" si="4516"/>
        <v>0.26442287554302424</v>
      </c>
      <c r="AC274" s="22">
        <f t="shared" si="4516"/>
        <v>7.833815368693231E-2</v>
      </c>
      <c r="AD274" s="22">
        <f t="shared" si="4516"/>
        <v>0.28474889842727058</v>
      </c>
      <c r="AE274" s="22">
        <f t="shared" si="4516"/>
        <v>-0.28426109412395884</v>
      </c>
      <c r="AF274" s="22">
        <f t="shared" si="4516"/>
        <v>0.32019914821016071</v>
      </c>
      <c r="AG274" s="22">
        <f t="shared" si="4516"/>
        <v>-1.5623836819104719</v>
      </c>
      <c r="AH274" s="22">
        <f t="shared" si="4516"/>
        <v>0.72497176364658733</v>
      </c>
      <c r="AI274" s="22">
        <f t="shared" si="4516"/>
        <v>-9.3029778037517996E-2</v>
      </c>
      <c r="AJ274" s="22">
        <f t="shared" si="4516"/>
        <v>0.36514148855758366</v>
      </c>
      <c r="AK274" s="22" t="str">
        <f t="shared" si="4516"/>
        <v>n/a</v>
      </c>
      <c r="AL274" s="22">
        <f t="shared" si="4516"/>
        <v>-0.28758490573506479</v>
      </c>
      <c r="AM274" s="22">
        <f t="shared" si="4516"/>
        <v>2.1279488592192441</v>
      </c>
      <c r="AN274" s="22">
        <f t="shared" si="4516"/>
        <v>-0.22483711420794372</v>
      </c>
      <c r="AO274" s="22">
        <f t="shared" si="4516"/>
        <v>0.20234352701995606</v>
      </c>
      <c r="AP274" s="22">
        <f t="shared" si="4516"/>
        <v>3.9663782536551118E-2</v>
      </c>
      <c r="AQ274" s="22">
        <f t="shared" si="4516"/>
        <v>-0.28722524478597755</v>
      </c>
      <c r="AR274" s="22">
        <f t="shared" si="4516"/>
        <v>0.6199052038851196</v>
      </c>
      <c r="AS274" s="22">
        <f t="shared" si="4516"/>
        <v>0.45249368053150607</v>
      </c>
      <c r="AT274" s="22">
        <f t="shared" si="4516"/>
        <v>1.6620872185196811</v>
      </c>
      <c r="AU274" s="22">
        <f t="shared" si="4516"/>
        <v>1.6910529933008434</v>
      </c>
      <c r="AV274" s="22">
        <f t="shared" si="4516"/>
        <v>0.70687346818318364</v>
      </c>
      <c r="AW274" s="22">
        <f t="shared" si="4516"/>
        <v>0.37673593818326667</v>
      </c>
      <c r="AX274" s="22">
        <f t="shared" si="4516"/>
        <v>-6.338528422805656E-2</v>
      </c>
      <c r="AY274" s="22">
        <f t="shared" si="4516"/>
        <v>-0.11314646476044743</v>
      </c>
      <c r="AZ274" s="22">
        <f t="shared" si="4516"/>
        <v>-0.24111310800800967</v>
      </c>
      <c r="BA274" s="22">
        <f t="shared" si="4516"/>
        <v>-0.31435158402235031</v>
      </c>
      <c r="BB274" s="22">
        <f t="shared" si="4516"/>
        <v>-4.6558552603073067E-2</v>
      </c>
      <c r="BC274" s="22">
        <f t="shared" si="4516"/>
        <v>0.19057289571802594</v>
      </c>
      <c r="BD274" s="22">
        <f t="shared" si="4516"/>
        <v>0.4601633475529292</v>
      </c>
      <c r="BE274" s="22">
        <f t="shared" si="4516"/>
        <v>0.55999265022664613</v>
      </c>
      <c r="BF274" s="22">
        <f t="shared" si="4516"/>
        <v>0.60926905093820705</v>
      </c>
      <c r="BG274" s="22">
        <f t="shared" si="4516"/>
        <v>0.31356077274115224</v>
      </c>
      <c r="BH274" s="22">
        <f t="shared" si="4516"/>
        <v>0.36561691971809096</v>
      </c>
      <c r="BI274" s="22">
        <f t="shared" si="4516"/>
        <v>0.30912404139699601</v>
      </c>
      <c r="BJ274" s="22">
        <f t="shared" si="4516"/>
        <v>0.48775268237616554</v>
      </c>
      <c r="BK274" s="22">
        <f t="shared" si="4516"/>
        <v>0.22285123690613418</v>
      </c>
      <c r="BL274" s="22">
        <f t="shared" si="4516"/>
        <v>0.35349028851912068</v>
      </c>
      <c r="BM274" s="22">
        <f t="shared" si="4516"/>
        <v>0.16433746051685838</v>
      </c>
      <c r="BN274" s="22">
        <f t="shared" si="4516"/>
        <v>-0.11071579661359965</v>
      </c>
      <c r="BO274" s="22">
        <f t="shared" si="4516"/>
        <v>0.14185761318003576</v>
      </c>
      <c r="BP274" s="22">
        <f t="shared" si="4516"/>
        <v>-4.8384489683595544E-2</v>
      </c>
      <c r="BQ274" s="22">
        <f t="shared" si="4516"/>
        <v>0.13713386609383682</v>
      </c>
      <c r="BR274" s="28">
        <f>IF(AND(BN272&lt;0,BR272&gt;0),"n/a",BR272/BN272-1)</f>
        <v>0.15941947966037029</v>
      </c>
      <c r="BS274" s="28">
        <f t="shared" ref="BS274" si="4517">IF(AND(BO272&lt;0,BS272&gt;0),"n/a",BS272/BO272-1)</f>
        <v>0.15333943169006625</v>
      </c>
      <c r="BT274" s="28">
        <f t="shared" ref="BT274" si="4518">IF(AND(BP272&lt;0,BT272&gt;0),"n/a",BT272/BP272-1)</f>
        <v>0.15118983458346702</v>
      </c>
      <c r="BU274" s="28">
        <f t="shared" ref="BU274" si="4519">IF(AND(BQ272&lt;0,BU272&gt;0),"n/a",BU272/BQ272-1)</f>
        <v>0.143158174268609</v>
      </c>
      <c r="BV274" s="28">
        <f t="shared" ref="BV274" si="4520">IF(AND(BR272&lt;0,BV272&gt;0),"n/a",BV272/BR272-1)</f>
        <v>0.14968511338455093</v>
      </c>
      <c r="BW274" s="28">
        <f t="shared" ref="BW274" si="4521">IF(AND(BS272&lt;0,BW272&gt;0),"n/a",BW272/BS272-1)</f>
        <v>0.14694008441337569</v>
      </c>
      <c r="BX274" s="28">
        <f t="shared" ref="BX274" si="4522">IF(AND(BT272&lt;0,BX272&gt;0),"n/a",BX272/BT272-1)</f>
        <v>0.14565901386510616</v>
      </c>
      <c r="BY274" s="28">
        <f t="shared" ref="BY274" si="4523">IF(AND(BU272&lt;0,BY272&gt;0),"n/a",BY272/BU272-1)</f>
        <v>0.14034502322001208</v>
      </c>
      <c r="BZ274" s="28">
        <f t="shared" ref="BZ274" si="4524">IF(AND(BV272&lt;0,BZ272&gt;0),"n/a",BZ272/BV272-1)</f>
        <v>0.14296219879414074</v>
      </c>
      <c r="CA274" s="28">
        <f t="shared" ref="CA274" si="4525">IF(AND(BW272&lt;0,CA272&gt;0),"n/a",CA272/BW272-1)</f>
        <v>0.13965103441775595</v>
      </c>
      <c r="CB274" s="28">
        <f t="shared" ref="CB274" si="4526">IF(AND(BX272&lt;0,CB272&gt;0),"n/a",CB272/BX272-1)</f>
        <v>0.13816396229135952</v>
      </c>
      <c r="CC274" s="28">
        <f t="shared" ref="CC274" si="4527">IF(AND(BY272&lt;0,CC272&gt;0),"n/a",CC272/BY272-1)</f>
        <v>0.1336606000962115</v>
      </c>
      <c r="CD274" s="28">
        <f t="shared" ref="CD274" si="4528">IF(AND(BZ272&lt;0,CD272&gt;0),"n/a",CD272/BZ272-1)</f>
        <v>0.13487058533262197</v>
      </c>
      <c r="CE274" s="28">
        <f t="shared" ref="CE274" si="4529">IF(AND(CA272&lt;0,CE272&gt;0),"n/a",CE272/CA272-1)</f>
        <v>0.13630988882690942</v>
      </c>
      <c r="CF274" s="28">
        <f t="shared" ref="CF274" si="4530">IF(AND(CB272&lt;0,CF272&gt;0),"n/a",CF272/CB272-1)</f>
        <v>0.13300439380990881</v>
      </c>
      <c r="CG274" s="28">
        <f t="shared" ref="CG274" si="4531">IF(AND(CC272&lt;0,CG272&gt;0),"n/a",CG272/CC272-1)</f>
        <v>0.12890273853127399</v>
      </c>
      <c r="CH274" s="28"/>
      <c r="CI274" s="106" t="s">
        <v>82</v>
      </c>
      <c r="CJ274" s="22">
        <f>IF(AND(CI272&lt;0,CJ272&gt;0),"n/a",CJ272/CI272-1)</f>
        <v>0.13114177320728349</v>
      </c>
      <c r="CK274" s="107">
        <f t="shared" ref="CK274:CY274" si="4532">IF(AND(CJ272&lt;0,CK272&gt;0),"n/a",CK272/CJ272-1)</f>
        <v>0.20068799038089025</v>
      </c>
      <c r="CL274" s="107">
        <f t="shared" si="4532"/>
        <v>8.7721035249062274E-2</v>
      </c>
      <c r="CM274" s="22">
        <f t="shared" si="4532"/>
        <v>2.0512515773456474E-2</v>
      </c>
      <c r="CN274" s="107">
        <f t="shared" si="4532"/>
        <v>0.18952210411420256</v>
      </c>
      <c r="CO274" s="22">
        <f t="shared" si="4532"/>
        <v>0.18215429220564894</v>
      </c>
      <c r="CP274" s="107">
        <f t="shared" si="4532"/>
        <v>-0.35353947834241128</v>
      </c>
      <c r="CQ274" s="22">
        <f t="shared" si="4532"/>
        <v>1.4249794196174301</v>
      </c>
      <c r="CR274" s="107">
        <f t="shared" si="4532"/>
        <v>0.12540908218926217</v>
      </c>
      <c r="CS274" s="22">
        <f t="shared" si="4532"/>
        <v>0.19348670225170239</v>
      </c>
      <c r="CT274" s="107">
        <f t="shared" si="4532"/>
        <v>0.91200817673987289</v>
      </c>
      <c r="CU274" s="22">
        <f t="shared" si="4532"/>
        <v>-0.18843473721481818</v>
      </c>
      <c r="CV274" s="107">
        <f t="shared" si="4532"/>
        <v>0.27470248323052315</v>
      </c>
      <c r="CW274" s="22">
        <f t="shared" si="4532"/>
        <v>0.38600200126784645</v>
      </c>
      <c r="CX274" s="107">
        <f t="shared" si="4532"/>
        <v>0.30379709476059169</v>
      </c>
      <c r="CY274" s="107">
        <f t="shared" si="4532"/>
        <v>2.1087832784537408E-2</v>
      </c>
      <c r="CZ274" s="107">
        <f>IF(AND(CY272&lt;0,CZ272&gt;0),"n/a",CZ272/CY272-1)</f>
        <v>0.15150608267155485</v>
      </c>
      <c r="DA274" s="107">
        <f>IF(AND(CZ272&lt;0,DA272&gt;0),"n/a",DA272/CZ272-1)</f>
        <v>0.14551962602444002</v>
      </c>
      <c r="DB274" s="107">
        <f>IF(AND(DA272&lt;0,DB272&gt;0),"n/a",DB272/DA272-1)</f>
        <v>0.13848048241358213</v>
      </c>
      <c r="DC274" s="107">
        <f>IF(AND(DB272&lt;0,DC272&gt;0),"n/a",DC272/DB272-1)</f>
        <v>0.1331915797347436</v>
      </c>
    </row>
    <row r="275" spans="1:107" hidden="1" outlineLevel="1" x14ac:dyDescent="0.2">
      <c r="CI275" s="92"/>
      <c r="CK275" s="92"/>
      <c r="CL275" s="92"/>
      <c r="CN275" s="92"/>
      <c r="CP275" s="92"/>
      <c r="CR275" s="92"/>
      <c r="CT275" s="92"/>
      <c r="CV275" s="92"/>
      <c r="CX275" s="92"/>
      <c r="CY275" s="92"/>
      <c r="CZ275" s="92"/>
      <c r="DA275" s="92"/>
      <c r="DB275" s="92"/>
      <c r="DC275" s="92"/>
    </row>
    <row r="276" spans="1:107" hidden="1" outlineLevel="1" x14ac:dyDescent="0.2">
      <c r="A276" s="1" t="s">
        <v>141</v>
      </c>
      <c r="B276" s="37">
        <f>B265/B$282</f>
        <v>0</v>
      </c>
      <c r="C276" s="37">
        <f t="shared" ref="C276:BN276" si="4533">C265/C$282</f>
        <v>0</v>
      </c>
      <c r="D276" s="37">
        <f t="shared" si="4533"/>
        <v>0</v>
      </c>
      <c r="E276" s="37">
        <f t="shared" si="4533"/>
        <v>0</v>
      </c>
      <c r="F276" s="37">
        <f t="shared" si="4533"/>
        <v>0</v>
      </c>
      <c r="G276" s="37">
        <f t="shared" si="4533"/>
        <v>0</v>
      </c>
      <c r="H276" s="37">
        <f t="shared" si="4533"/>
        <v>0</v>
      </c>
      <c r="I276" s="37">
        <f t="shared" si="4533"/>
        <v>0</v>
      </c>
      <c r="J276" s="37">
        <f t="shared" si="4533"/>
        <v>0</v>
      </c>
      <c r="K276" s="37">
        <f t="shared" si="4533"/>
        <v>-3.627646292394337E-3</v>
      </c>
      <c r="L276" s="37">
        <f t="shared" si="4533"/>
        <v>1.3500783045416634E-3</v>
      </c>
      <c r="M276" s="37">
        <f t="shared" si="4533"/>
        <v>-1.5671782135362406E-3</v>
      </c>
      <c r="N276" s="37">
        <f t="shared" si="4533"/>
        <v>-1.3514998678203426E-2</v>
      </c>
      <c r="O276" s="37">
        <f t="shared" si="4533"/>
        <v>3.3546434472138724E-2</v>
      </c>
      <c r="P276" s="37">
        <f t="shared" si="4533"/>
        <v>-1.4223178622488834E-2</v>
      </c>
      <c r="Q276" s="37">
        <f t="shared" si="4533"/>
        <v>-3.8489397453981347E-2</v>
      </c>
      <c r="R276" s="37">
        <f t="shared" si="4533"/>
        <v>-1.4448083220959354E-2</v>
      </c>
      <c r="S276" s="37">
        <f t="shared" si="4533"/>
        <v>-4.9536469768912362E-3</v>
      </c>
      <c r="T276" s="37">
        <f t="shared" si="4533"/>
        <v>-1.3440567264590279E-2</v>
      </c>
      <c r="U276" s="37">
        <f t="shared" si="4533"/>
        <v>7.0226045075389515E-2</v>
      </c>
      <c r="V276" s="37">
        <f t="shared" si="4533"/>
        <v>0</v>
      </c>
      <c r="W276" s="37">
        <f t="shared" si="4533"/>
        <v>0</v>
      </c>
      <c r="X276" s="37">
        <f t="shared" si="4533"/>
        <v>0</v>
      </c>
      <c r="Y276" s="37">
        <f t="shared" si="4533"/>
        <v>0</v>
      </c>
      <c r="Z276" s="37">
        <f t="shared" si="4533"/>
        <v>0</v>
      </c>
      <c r="AA276" s="37">
        <f t="shared" si="4533"/>
        <v>0</v>
      </c>
      <c r="AB276" s="37">
        <f t="shared" si="4533"/>
        <v>0</v>
      </c>
      <c r="AC276" s="37">
        <f t="shared" si="4533"/>
        <v>0</v>
      </c>
      <c r="AD276" s="37">
        <f t="shared" si="4533"/>
        <v>0</v>
      </c>
      <c r="AE276" s="37">
        <f t="shared" si="4533"/>
        <v>0</v>
      </c>
      <c r="AF276" s="37">
        <f t="shared" si="4533"/>
        <v>0</v>
      </c>
      <c r="AG276" s="37">
        <f t="shared" si="4533"/>
        <v>0</v>
      </c>
      <c r="AH276" s="37">
        <f t="shared" si="4533"/>
        <v>0</v>
      </c>
      <c r="AI276" s="37">
        <f t="shared" si="4533"/>
        <v>0</v>
      </c>
      <c r="AJ276" s="37">
        <f t="shared" si="4533"/>
        <v>0</v>
      </c>
      <c r="AK276" s="37">
        <f t="shared" si="4533"/>
        <v>0</v>
      </c>
      <c r="AL276" s="37">
        <f t="shared" si="4533"/>
        <v>0</v>
      </c>
      <c r="AM276" s="37">
        <f t="shared" si="4533"/>
        <v>0</v>
      </c>
      <c r="AN276" s="37">
        <f t="shared" si="4533"/>
        <v>0</v>
      </c>
      <c r="AO276" s="37">
        <f t="shared" si="4533"/>
        <v>0</v>
      </c>
      <c r="AP276" s="37">
        <f t="shared" si="4533"/>
        <v>0</v>
      </c>
      <c r="AQ276" s="37">
        <f t="shared" si="4533"/>
        <v>0</v>
      </c>
      <c r="AR276" s="37">
        <f t="shared" si="4533"/>
        <v>0</v>
      </c>
      <c r="AS276" s="37">
        <f t="shared" si="4533"/>
        <v>0</v>
      </c>
      <c r="AT276" s="37">
        <f t="shared" si="4533"/>
        <v>0</v>
      </c>
      <c r="AU276" s="37">
        <f t="shared" si="4533"/>
        <v>0</v>
      </c>
      <c r="AV276" s="37">
        <f>AV265/AV$282</f>
        <v>0</v>
      </c>
      <c r="AW276" s="37">
        <f t="shared" si="4533"/>
        <v>0</v>
      </c>
      <c r="AX276" s="37">
        <f t="shared" si="4533"/>
        <v>0</v>
      </c>
      <c r="AY276" s="37">
        <f t="shared" si="4533"/>
        <v>0</v>
      </c>
      <c r="AZ276" s="37">
        <f t="shared" si="4533"/>
        <v>0</v>
      </c>
      <c r="BA276" s="37">
        <f t="shared" si="4533"/>
        <v>0</v>
      </c>
      <c r="BB276" s="37">
        <f t="shared" si="4533"/>
        <v>0</v>
      </c>
      <c r="BC276" s="37">
        <f t="shared" si="4533"/>
        <v>0</v>
      </c>
      <c r="BD276" s="37">
        <f t="shared" si="4533"/>
        <v>0</v>
      </c>
      <c r="BE276" s="37">
        <f t="shared" ref="BE276:BF276" si="4534">BE265/BE$282</f>
        <v>0</v>
      </c>
      <c r="BF276" s="37">
        <f t="shared" si="4534"/>
        <v>0</v>
      </c>
      <c r="BG276" s="37">
        <f t="shared" ref="BG276:BH276" si="4535">BG265/BG$282</f>
        <v>0</v>
      </c>
      <c r="BH276" s="37">
        <f t="shared" si="4535"/>
        <v>0</v>
      </c>
      <c r="BI276" s="37">
        <f t="shared" ref="BI276:BJ276" si="4536">BI265/BI$282</f>
        <v>0</v>
      </c>
      <c r="BJ276" s="37">
        <f t="shared" si="4536"/>
        <v>0</v>
      </c>
      <c r="BK276" s="37">
        <f t="shared" ref="BK276:BL276" si="4537">BK265/BK$282</f>
        <v>0</v>
      </c>
      <c r="BL276" s="37">
        <f t="shared" si="4537"/>
        <v>0</v>
      </c>
      <c r="BM276" s="37">
        <f t="shared" si="4533"/>
        <v>0</v>
      </c>
      <c r="BN276" s="37">
        <f t="shared" si="4533"/>
        <v>0</v>
      </c>
      <c r="BO276" s="37">
        <f t="shared" ref="BO276:BQ276" si="4538">BO265/BO$282</f>
        <v>0</v>
      </c>
      <c r="BP276" s="37">
        <f t="shared" si="4538"/>
        <v>0</v>
      </c>
      <c r="BQ276" s="37">
        <f t="shared" si="4538"/>
        <v>0</v>
      </c>
      <c r="BR276" s="244">
        <f>BR265/BR$282</f>
        <v>0</v>
      </c>
      <c r="BS276" s="244">
        <f t="shared" ref="BS276:BU276" si="4539">BS265/BS$282</f>
        <v>0</v>
      </c>
      <c r="BT276" s="244">
        <f t="shared" si="4539"/>
        <v>0</v>
      </c>
      <c r="BU276" s="244">
        <f t="shared" si="4539"/>
        <v>0</v>
      </c>
      <c r="BV276" s="244">
        <f t="shared" ref="BV276:CC276" si="4540">BV265/BV$282</f>
        <v>0</v>
      </c>
      <c r="BW276" s="244">
        <f t="shared" si="4540"/>
        <v>0</v>
      </c>
      <c r="BX276" s="244">
        <f t="shared" si="4540"/>
        <v>0</v>
      </c>
      <c r="BY276" s="244">
        <f t="shared" si="4540"/>
        <v>0</v>
      </c>
      <c r="BZ276" s="244">
        <f t="shared" si="4540"/>
        <v>0</v>
      </c>
      <c r="CA276" s="244">
        <f t="shared" si="4540"/>
        <v>0</v>
      </c>
      <c r="CB276" s="244">
        <f t="shared" si="4540"/>
        <v>0</v>
      </c>
      <c r="CC276" s="244">
        <f t="shared" si="4540"/>
        <v>0</v>
      </c>
      <c r="CD276" s="244">
        <f t="shared" ref="CD276:CG276" si="4541">CD265/CD$282</f>
        <v>0</v>
      </c>
      <c r="CE276" s="244">
        <f t="shared" si="4541"/>
        <v>0</v>
      </c>
      <c r="CF276" s="244">
        <f t="shared" si="4541"/>
        <v>0</v>
      </c>
      <c r="CG276" s="244">
        <f t="shared" si="4541"/>
        <v>0</v>
      </c>
      <c r="CH276" s="244"/>
      <c r="CI276" s="89">
        <f>SUM(B276:E276)</f>
        <v>0</v>
      </c>
      <c r="CJ276" s="20">
        <f>SUM(F276:I276)</f>
        <v>0</v>
      </c>
      <c r="CK276" s="89">
        <f>SUM(J276:M276)</f>
        <v>-3.8447462013889142E-3</v>
      </c>
      <c r="CL276" s="89">
        <f>SUM(N276:Q276)</f>
        <v>-3.2681140282534882E-2</v>
      </c>
      <c r="CM276" s="20">
        <f>SUM(R276:U276)</f>
        <v>3.7383747612948645E-2</v>
      </c>
      <c r="CN276" s="89">
        <f>SUM(V276:Y276)</f>
        <v>0</v>
      </c>
      <c r="CO276" s="20">
        <f>SUM(Z276:AC276)</f>
        <v>0</v>
      </c>
      <c r="CP276" s="89">
        <f>SUM(AD276:AG276)</f>
        <v>0</v>
      </c>
      <c r="CQ276" s="20">
        <f>SUM(AH276:AK276)</f>
        <v>0</v>
      </c>
      <c r="CR276" s="89">
        <f>SUM(AL276:AO276)</f>
        <v>0</v>
      </c>
      <c r="CS276" s="20">
        <f>SUM(AP276:AS276)</f>
        <v>0</v>
      </c>
      <c r="CT276" s="89">
        <f>SUM(AT276:AW276)</f>
        <v>0</v>
      </c>
      <c r="CU276" s="20">
        <f>SUM(AX276:BA276)</f>
        <v>0</v>
      </c>
      <c r="CV276" s="89">
        <f>SUM(BB276:BE276)</f>
        <v>0</v>
      </c>
      <c r="CW276" s="20">
        <f>SUM(BF276:BI276)</f>
        <v>0</v>
      </c>
      <c r="CX276" s="89">
        <f>SUM(BJ276:BM276)</f>
        <v>0</v>
      </c>
      <c r="CY276" s="89">
        <f>SUM(BN276:BQ276)</f>
        <v>0</v>
      </c>
      <c r="CZ276" s="89">
        <f>SUM(BR276:BU276)</f>
        <v>0</v>
      </c>
      <c r="DA276" s="89">
        <f>SUM(BV276:BY276)</f>
        <v>0</v>
      </c>
      <c r="DB276" s="89">
        <f>SUM(BZ276:CC276)</f>
        <v>0</v>
      </c>
      <c r="DC276" s="89">
        <f>SUM(CD276:CG276)</f>
        <v>0</v>
      </c>
    </row>
    <row r="277" spans="1:107" collapsed="1" x14ac:dyDescent="0.2">
      <c r="CI277" s="92"/>
      <c r="CK277" s="92"/>
      <c r="CL277" s="92"/>
      <c r="CN277" s="92"/>
      <c r="CP277" s="92"/>
      <c r="CR277" s="92"/>
      <c r="CT277" s="92"/>
      <c r="CV277" s="92"/>
      <c r="CX277" s="92"/>
      <c r="CY277" s="92"/>
      <c r="CZ277" s="92"/>
      <c r="DA277" s="92"/>
      <c r="DB277" s="92"/>
      <c r="DC277" s="92"/>
    </row>
    <row r="278" spans="1:107" x14ac:dyDescent="0.2">
      <c r="A278" s="4" t="s">
        <v>142</v>
      </c>
      <c r="B278" s="36">
        <f>B267/B$282</f>
        <v>0.15149965282944006</v>
      </c>
      <c r="C278" s="36">
        <f t="shared" ref="C278:F278" si="4542">C267/C$282</f>
        <v>0.14264185111911837</v>
      </c>
      <c r="D278" s="36">
        <f t="shared" si="4542"/>
        <v>0.16804858907428261</v>
      </c>
      <c r="E278" s="36">
        <f t="shared" si="4542"/>
        <v>0.19529330089452471</v>
      </c>
      <c r="F278" s="36">
        <f t="shared" si="4542"/>
        <v>0.13772163378607341</v>
      </c>
      <c r="G278" s="36">
        <f t="shared" ref="G278:BQ278" si="4543">G267/G$282</f>
        <v>0.1920800157037873</v>
      </c>
      <c r="H278" s="36">
        <f t="shared" si="4543"/>
        <v>0.20835941961708895</v>
      </c>
      <c r="I278" s="36">
        <f t="shared" si="4543"/>
        <v>0.20554586294308241</v>
      </c>
      <c r="J278" s="36">
        <f t="shared" si="4543"/>
        <v>0.21884920154118301</v>
      </c>
      <c r="K278" s="36">
        <f t="shared" si="4543"/>
        <v>0.22446061434189959</v>
      </c>
      <c r="L278" s="36">
        <f t="shared" si="4543"/>
        <v>0.20408683703654809</v>
      </c>
      <c r="M278" s="36">
        <f t="shared" si="4543"/>
        <v>0.24171858255447062</v>
      </c>
      <c r="N278" s="36">
        <f t="shared" si="4543"/>
        <v>0.24477370545619803</v>
      </c>
      <c r="O278" s="36">
        <f t="shared" si="4543"/>
        <v>0.2348435140111782</v>
      </c>
      <c r="P278" s="36">
        <f t="shared" si="4543"/>
        <v>0.21520848379441979</v>
      </c>
      <c r="Q278" s="36">
        <f t="shared" si="4543"/>
        <v>0.24378451215971708</v>
      </c>
      <c r="R278" s="36">
        <f t="shared" si="4543"/>
        <v>0.24598226534269688</v>
      </c>
      <c r="S278" s="36">
        <f t="shared" si="4543"/>
        <v>0.24411280911121372</v>
      </c>
      <c r="T278" s="36">
        <f t="shared" si="4543"/>
        <v>0.19899304723087988</v>
      </c>
      <c r="U278" s="36">
        <f t="shared" si="4543"/>
        <v>0.33951061088670731</v>
      </c>
      <c r="V278" s="36">
        <f t="shared" si="4543"/>
        <v>0.25489559070512169</v>
      </c>
      <c r="W278" s="36">
        <f t="shared" si="4543"/>
        <v>0.28449306534583529</v>
      </c>
      <c r="X278" s="36">
        <f t="shared" si="4543"/>
        <v>0.28653976054234437</v>
      </c>
      <c r="Y278" s="36">
        <f t="shared" si="4543"/>
        <v>0.35314371794411964</v>
      </c>
      <c r="Z278" s="36">
        <f t="shared" si="4543"/>
        <v>0.30079606927389957</v>
      </c>
      <c r="AA278" s="36">
        <f t="shared" si="4543"/>
        <v>0.34993334261322789</v>
      </c>
      <c r="AB278" s="36">
        <f t="shared" si="4543"/>
        <v>0.36230742798236065</v>
      </c>
      <c r="AC278" s="36">
        <f t="shared" si="4543"/>
        <v>0.38080834479400077</v>
      </c>
      <c r="AD278" s="36">
        <f t="shared" si="4543"/>
        <v>0.38644741865089544</v>
      </c>
      <c r="AE278" s="36">
        <f t="shared" si="4543"/>
        <v>0.25046090777153757</v>
      </c>
      <c r="AF278" s="36">
        <f t="shared" si="4543"/>
        <v>0.47831795781252667</v>
      </c>
      <c r="AG278" s="36">
        <f t="shared" si="4543"/>
        <v>-0.21416039904748266</v>
      </c>
      <c r="AH278" s="36">
        <f t="shared" si="4543"/>
        <v>0.66661088530690615</v>
      </c>
      <c r="AI278" s="36">
        <f t="shared" si="4543"/>
        <v>0.22716058511447615</v>
      </c>
      <c r="AJ278" s="36">
        <f t="shared" si="4543"/>
        <v>0.65297168893201618</v>
      </c>
      <c r="AK278" s="36">
        <f t="shared" si="4543"/>
        <v>0.63832306794559557</v>
      </c>
      <c r="AL278" s="36">
        <f t="shared" si="4543"/>
        <v>0.47490365669395146</v>
      </c>
      <c r="AM278" s="36">
        <f t="shared" si="4543"/>
        <v>0.71054669306840168</v>
      </c>
      <c r="AN278" s="36">
        <f t="shared" si="4543"/>
        <v>0.50615941873305459</v>
      </c>
      <c r="AO278" s="36">
        <f t="shared" si="4543"/>
        <v>0.76748360889190648</v>
      </c>
      <c r="AP278" s="36">
        <f t="shared" si="4543"/>
        <v>0.49374013205887324</v>
      </c>
      <c r="AQ278" s="36">
        <f t="shared" si="4543"/>
        <v>0.50645974521996318</v>
      </c>
      <c r="AR278" s="36">
        <f t="shared" si="4543"/>
        <v>0.81993027640114247</v>
      </c>
      <c r="AS278" s="36">
        <f t="shared" si="4543"/>
        <v>1.1147650918270082</v>
      </c>
      <c r="AT278" s="36">
        <f t="shared" si="4543"/>
        <v>1.3143792948241459</v>
      </c>
      <c r="AU278" s="36">
        <f t="shared" si="4543"/>
        <v>1.3629100133605645</v>
      </c>
      <c r="AV278" s="36">
        <f>AV267/AV$282</f>
        <v>1.3995172345492144</v>
      </c>
      <c r="AW278" s="36">
        <f t="shared" si="4543"/>
        <v>1.5347371645504115</v>
      </c>
      <c r="AX278" s="36">
        <f t="shared" si="4543"/>
        <v>1.2310669896382449</v>
      </c>
      <c r="AY278" s="36">
        <f t="shared" si="4543"/>
        <v>1.2087015635622025</v>
      </c>
      <c r="AZ278" s="36">
        <f t="shared" si="4543"/>
        <v>1.0620752844162786</v>
      </c>
      <c r="BA278" s="36">
        <f t="shared" si="4543"/>
        <v>1.0522901058160192</v>
      </c>
      <c r="BB278" s="36">
        <f t="shared" si="4543"/>
        <v>1.1737502924432659</v>
      </c>
      <c r="BC278" s="36">
        <f t="shared" si="4543"/>
        <v>1.439047320589157</v>
      </c>
      <c r="BD278" s="36">
        <f t="shared" si="4543"/>
        <v>1.5508034026465027</v>
      </c>
      <c r="BE278" s="36">
        <f t="shared" ref="BE278:BF278" si="4544">BE267/BE$282</f>
        <v>1.6415648309792097</v>
      </c>
      <c r="BF278" s="36">
        <f t="shared" si="4544"/>
        <v>1.8888800191586175</v>
      </c>
      <c r="BG278" s="36">
        <f t="shared" ref="BG278:BH278" si="4545">BG267/BG$282</f>
        <v>1.8902761104441776</v>
      </c>
      <c r="BH278" s="36">
        <f t="shared" si="4545"/>
        <v>2.1178033658104516</v>
      </c>
      <c r="BI278" s="36">
        <f t="shared" ref="BI278:BJ278" si="4546">BI267/BI$282</f>
        <v>2.1490119857466796</v>
      </c>
      <c r="BJ278" s="36">
        <f t="shared" si="4546"/>
        <v>2.8101863151899762</v>
      </c>
      <c r="BK278" s="36">
        <f t="shared" ref="BK278:BL278" si="4547">BK267/BK$282</f>
        <v>2.3115264797507789</v>
      </c>
      <c r="BL278" s="36">
        <f t="shared" si="4547"/>
        <v>2.8664262886175531</v>
      </c>
      <c r="BM278" s="36">
        <f t="shared" si="4543"/>
        <v>2.5021751581045799</v>
      </c>
      <c r="BN278" s="36">
        <f t="shared" si="4543"/>
        <v>2.4990542986710818</v>
      </c>
      <c r="BO278" s="36">
        <f t="shared" si="4543"/>
        <v>2.6394341089706748</v>
      </c>
      <c r="BP278" s="36">
        <f t="shared" si="4543"/>
        <v>2.72773571542715</v>
      </c>
      <c r="BQ278" s="36">
        <f t="shared" si="4543"/>
        <v>2.8453081111794183</v>
      </c>
      <c r="BR278" s="243">
        <f>BR267/BR$282</f>
        <v>2.8974522346082372</v>
      </c>
      <c r="BS278" s="243">
        <f t="shared" ref="BS278:BU278" si="4548">BS267/BS$282</f>
        <v>3.0441634352236147</v>
      </c>
      <c r="BT278" s="243">
        <f t="shared" si="4548"/>
        <v>3.1401416270299958</v>
      </c>
      <c r="BU278" s="243">
        <f t="shared" si="4548"/>
        <v>3.2526372256075282</v>
      </c>
      <c r="BV278" s="243">
        <f t="shared" ref="BV278:CC278" si="4549">BV267/BV$282</f>
        <v>3.3311577008718918</v>
      </c>
      <c r="BW278" s="243">
        <f t="shared" si="4549"/>
        <v>3.4914730673634846</v>
      </c>
      <c r="BX278" s="243">
        <f t="shared" si="4549"/>
        <v>3.5975315598199549</v>
      </c>
      <c r="BY278" s="243">
        <f t="shared" si="4549"/>
        <v>3.7091286725616923</v>
      </c>
      <c r="BZ278" s="243">
        <f t="shared" si="4549"/>
        <v>3.8073873303185723</v>
      </c>
      <c r="CA278" s="243">
        <f t="shared" si="4549"/>
        <v>3.9790608928625306</v>
      </c>
      <c r="CB278" s="243">
        <f t="shared" si="4549"/>
        <v>4.0945807745928953</v>
      </c>
      <c r="CC278" s="243">
        <f t="shared" si="4549"/>
        <v>4.2048930367703523</v>
      </c>
      <c r="CD278" s="243">
        <f>CD267/CD$282</f>
        <v>4.3208918881466474</v>
      </c>
      <c r="CE278" s="243">
        <f t="shared" ref="CE278:CG278" si="4550">CE267/CE$282</f>
        <v>4.5214462408041252</v>
      </c>
      <c r="CF278" s="243">
        <f t="shared" si="4550"/>
        <v>4.6391780084233298</v>
      </c>
      <c r="CG278" s="243">
        <f t="shared" si="4550"/>
        <v>4.7469152644411361</v>
      </c>
      <c r="CH278" s="243"/>
      <c r="CI278" s="119">
        <f>CI267/CI282</f>
        <v>0.65776906080168163</v>
      </c>
      <c r="CJ278" s="119">
        <f t="shared" ref="CJ278:CY278" si="4551">CJ267/CJ282</f>
        <v>0.74392983206760066</v>
      </c>
      <c r="CK278" s="119">
        <f t="shared" si="4551"/>
        <v>0.88922993590322275</v>
      </c>
      <c r="CL278" s="119">
        <f t="shared" si="4551"/>
        <v>0.93858052976672723</v>
      </c>
      <c r="CM278" s="119">
        <f t="shared" si="4551"/>
        <v>1.0287157681474346</v>
      </c>
      <c r="CN278" s="119">
        <f t="shared" si="4551"/>
        <v>1.1796285339067438</v>
      </c>
      <c r="CO278" s="119">
        <f t="shared" si="4551"/>
        <v>1.3938648620894591</v>
      </c>
      <c r="CP278" s="119">
        <f t="shared" si="4551"/>
        <v>0.89982212487927882</v>
      </c>
      <c r="CQ278" s="119">
        <f t="shared" si="4551"/>
        <v>2.1851746394330318</v>
      </c>
      <c r="CR278" s="119">
        <f t="shared" si="4551"/>
        <v>2.4581404653739534</v>
      </c>
      <c r="CS278" s="119">
        <f t="shared" si="4551"/>
        <v>2.9306676477041864</v>
      </c>
      <c r="CT278" s="119">
        <f t="shared" si="4551"/>
        <v>5.6098528237223295</v>
      </c>
      <c r="CU278" s="119">
        <f t="shared" si="4551"/>
        <v>4.5576606157006436</v>
      </c>
      <c r="CV278" s="119">
        <f t="shared" si="4551"/>
        <v>5.8009236513707378</v>
      </c>
      <c r="CW278" s="119">
        <f t="shared" si="4551"/>
        <v>8.0433830765831811</v>
      </c>
      <c r="CX278" s="119">
        <f t="shared" si="4551"/>
        <v>10.492101904599174</v>
      </c>
      <c r="CY278" s="119">
        <f t="shared" si="4551"/>
        <v>10.710306077086669</v>
      </c>
      <c r="CZ278" s="119">
        <f>CZ267/CZ282</f>
        <v>12.335439812714354</v>
      </c>
      <c r="DA278" s="119">
        <f>SUM(BV278:BY278)</f>
        <v>14.129291000617023</v>
      </c>
      <c r="DB278" s="119">
        <f>SUM(BZ278:CC278)</f>
        <v>16.085922034544353</v>
      </c>
      <c r="DC278" s="119">
        <f>SUM(CD278:CG278)</f>
        <v>18.228431401815236</v>
      </c>
    </row>
    <row r="279" spans="1:107" x14ac:dyDescent="0.2">
      <c r="A279" s="7" t="s">
        <v>62</v>
      </c>
      <c r="B279" s="25" t="s">
        <v>82</v>
      </c>
      <c r="C279" s="22">
        <f>IF(AND(B278&lt;0,C278&gt;0),"n/a",C278/B278-1)</f>
        <v>-5.8467472003344456E-2</v>
      </c>
      <c r="D279" s="22">
        <f t="shared" ref="D279" si="4552">IF(AND(C278&lt;0,D278&gt;0),"n/a",D278/C278-1)</f>
        <v>0.17811559339584981</v>
      </c>
      <c r="E279" s="22">
        <f t="shared" ref="E279" si="4553">IF(AND(D278&lt;0,E278&gt;0),"n/a",E278/D278-1)</f>
        <v>0.16212401407428123</v>
      </c>
      <c r="F279" s="22">
        <f t="shared" ref="F279" si="4554">IF(AND(E278&lt;0,F278&gt;0),"n/a",F278/E278-1)</f>
        <v>-0.2947959138626316</v>
      </c>
      <c r="G279" s="22">
        <f t="shared" ref="G279" si="4555">IF(AND(F278&lt;0,G278&gt;0),"n/a",G278/F278-1)</f>
        <v>0.39469748087762424</v>
      </c>
      <c r="H279" s="22">
        <f t="shared" ref="H279" si="4556">IF(AND(G278&lt;0,H278&gt;0),"n/a",H278/G278-1)</f>
        <v>8.4753241265903778E-2</v>
      </c>
      <c r="I279" s="22">
        <f t="shared" ref="I279" si="4557">IF(AND(H278&lt;0,I278&gt;0),"n/a",I278/H278-1)</f>
        <v>-1.3503381220667299E-2</v>
      </c>
      <c r="J279" s="22">
        <f t="shared" ref="J279" si="4558">IF(AND(I278&lt;0,J278&gt;0),"n/a",J278/I278-1)</f>
        <v>6.4721996383767744E-2</v>
      </c>
      <c r="K279" s="22">
        <f t="shared" ref="K279" si="4559">IF(AND(J278&lt;0,K278&gt;0),"n/a",K278/J278-1)</f>
        <v>2.5640545001762938E-2</v>
      </c>
      <c r="L279" s="22">
        <f t="shared" ref="L279" si="4560">IF(AND(K278&lt;0,L278&gt;0),"n/a",L278/K278-1)</f>
        <v>-9.0767716042682078E-2</v>
      </c>
      <c r="M279" s="22">
        <f t="shared" ref="M279" si="4561">IF(AND(L278&lt;0,M278&gt;0),"n/a",M278/L278-1)</f>
        <v>0.18439085079839512</v>
      </c>
      <c r="N279" s="22">
        <f t="shared" ref="N279" si="4562">IF(AND(M278&lt;0,N278&gt;0),"n/a",N278/M278-1)</f>
        <v>1.2639172666995657E-2</v>
      </c>
      <c r="O279" s="22">
        <f t="shared" ref="O279" si="4563">IF(AND(N278&lt;0,O278&gt;0),"n/a",O278/N278-1)</f>
        <v>-4.0568865134073095E-2</v>
      </c>
      <c r="P279" s="22">
        <f t="shared" ref="P279" si="4564">IF(AND(O278&lt;0,P278&gt;0),"n/a",P278/O278-1)</f>
        <v>-8.3608995119293872E-2</v>
      </c>
      <c r="Q279" s="22">
        <f t="shared" ref="Q279" si="4565">IF(AND(P278&lt;0,Q278&gt;0),"n/a",Q278/P278-1)</f>
        <v>0.13278300121567166</v>
      </c>
      <c r="R279" s="22">
        <f t="shared" ref="R279" si="4566">IF(AND(Q278&lt;0,R278&gt;0),"n/a",R278/Q278-1)</f>
        <v>9.0151468750399033E-3</v>
      </c>
      <c r="S279" s="22">
        <f t="shared" ref="S279" si="4567">IF(AND(R278&lt;0,S278&gt;0),"n/a",S278/R278-1)</f>
        <v>-7.5999634724831511E-3</v>
      </c>
      <c r="T279" s="22">
        <f t="shared" ref="T279" si="4568">IF(AND(S278&lt;0,T278&gt;0),"n/a",T278/S278-1)</f>
        <v>-0.18483160324363823</v>
      </c>
      <c r="U279" s="22">
        <f t="shared" ref="U279" si="4569">IF(AND(T278&lt;0,U278&gt;0),"n/a",U278/T278-1)</f>
        <v>0.7061430819378991</v>
      </c>
      <c r="V279" s="22">
        <f t="shared" ref="V279" si="4570">IF(AND(U278&lt;0,V278&gt;0),"n/a",V278/U278-1)</f>
        <v>-0.24922643790305909</v>
      </c>
      <c r="W279" s="22">
        <f t="shared" ref="W279" si="4571">IF(AND(V278&lt;0,W278&gt;0),"n/a",W278/V278-1)</f>
        <v>0.11611607152103987</v>
      </c>
      <c r="X279" s="22">
        <f t="shared" ref="X279" si="4572">IF(AND(W278&lt;0,X278&gt;0),"n/a",X278/W278-1)</f>
        <v>7.1941830779638227E-3</v>
      </c>
      <c r="Y279" s="22">
        <f t="shared" ref="Y279" si="4573">IF(AND(X278&lt;0,Y278&gt;0),"n/a",Y278/X278-1)</f>
        <v>0.23244228750562046</v>
      </c>
      <c r="Z279" s="22">
        <f t="shared" ref="Z279" si="4574">IF(AND(Y278&lt;0,Z278&gt;0),"n/a",Z278/Y278-1)</f>
        <v>-0.14823327164070743</v>
      </c>
      <c r="AA279" s="22">
        <f t="shared" ref="AA279" si="4575">IF(AND(Z278&lt;0,AA278&gt;0),"n/a",AA278/Z278-1)</f>
        <v>0.16335743169098671</v>
      </c>
      <c r="AB279" s="22">
        <f t="shared" ref="AB279" si="4576">IF(AND(AA278&lt;0,AB278&gt;0),"n/a",AB278/AA278-1)</f>
        <v>3.5361264167414586E-2</v>
      </c>
      <c r="AC279" s="22">
        <f t="shared" ref="AC279" si="4577">IF(AND(AB278&lt;0,AC278&gt;0),"n/a",AC278/AB278-1)</f>
        <v>5.106413885762473E-2</v>
      </c>
      <c r="AD279" s="22">
        <f t="shared" ref="AD279" si="4578">IF(AND(AC278&lt;0,AD278&gt;0),"n/a",AD278/AC278-1)</f>
        <v>1.4808167767292879E-2</v>
      </c>
      <c r="AE279" s="22">
        <f t="shared" ref="AE279" si="4579">IF(AND(AD278&lt;0,AE278&gt;0),"n/a",AE278/AD278-1)</f>
        <v>-0.35188878050755945</v>
      </c>
      <c r="AF279" s="22">
        <f t="shared" ref="AF279" si="4580">IF(AND(AE278&lt;0,AF278&gt;0),"n/a",AF278/AE278-1)</f>
        <v>0.90975095502262193</v>
      </c>
      <c r="AG279" s="22">
        <f t="shared" ref="AG279" si="4581">IF(AND(AF278&lt;0,AG278&gt;0),"n/a",AG278/AF278-1)</f>
        <v>-1.4477364806182362</v>
      </c>
      <c r="AH279" s="22" t="str">
        <f t="shared" ref="AH279" si="4582">IF(AND(AG278&lt;0,AH278&gt;0),"n/a",AH278/AG278-1)</f>
        <v>n/a</v>
      </c>
      <c r="AI279" s="22">
        <f t="shared" ref="AI279" si="4583">IF(AND(AH278&lt;0,AI278&gt;0),"n/a",AI278/AH278-1)</f>
        <v>-0.65923060945833201</v>
      </c>
      <c r="AJ279" s="22">
        <f t="shared" ref="AJ279" si="4584">IF(AND(AI278&lt;0,AJ278&gt;0),"n/a",AJ278/AI278-1)</f>
        <v>1.8744937798208046</v>
      </c>
      <c r="AK279" s="22">
        <f t="shared" ref="AK279" si="4585">IF(AND(AJ278&lt;0,AK278&gt;0),"n/a",AK278/AJ278-1)</f>
        <v>-2.2433776585903065E-2</v>
      </c>
      <c r="AL279" s="22">
        <f t="shared" ref="AL279" si="4586">IF(AND(AK278&lt;0,AL278&gt;0),"n/a",AL278/AK278-1)</f>
        <v>-0.25601363863850268</v>
      </c>
      <c r="AM279" s="22">
        <f t="shared" ref="AM279" si="4587">IF(AND(AL278&lt;0,AM278&gt;0),"n/a",AM278/AL278-1)</f>
        <v>0.49619124437761242</v>
      </c>
      <c r="AN279" s="22">
        <f t="shared" ref="AN279" si="4588">IF(AND(AM278&lt;0,AN278&gt;0),"n/a",AN278/AM278-1)</f>
        <v>-0.28764791438649551</v>
      </c>
      <c r="AO279" s="22">
        <f t="shared" ref="AO279" si="4589">IF(AND(AN278&lt;0,AO278&gt;0),"n/a",AO278/AN278-1)</f>
        <v>0.51628830855891406</v>
      </c>
      <c r="AP279" s="22">
        <f t="shared" ref="AP279" si="4590">IF(AND(AO278&lt;0,AP278&gt;0),"n/a",AP278/AO278-1)</f>
        <v>-0.35667664255170783</v>
      </c>
      <c r="AQ279" s="22">
        <f t="shared" ref="AQ279" si="4591">IF(AND(AP278&lt;0,AQ278&gt;0),"n/a",AQ278/AP278-1)</f>
        <v>2.5761756712078032E-2</v>
      </c>
      <c r="AR279" s="22">
        <f t="shared" ref="AR279" si="4592">IF(AND(AQ278&lt;0,AR278&gt;0),"n/a",AR278/AQ278-1)</f>
        <v>0.61894461334737327</v>
      </c>
      <c r="AS279" s="22">
        <f t="shared" ref="AS279" si="4593">IF(AND(AR278&lt;0,AS278&gt;0),"n/a",AS278/AR278-1)</f>
        <v>0.35958522805129456</v>
      </c>
      <c r="AT279" s="22">
        <f t="shared" ref="AT279" si="4594">IF(AND(AS278&lt;0,AT278&gt;0),"n/a",AT278/AS278-1)</f>
        <v>0.17906391621035289</v>
      </c>
      <c r="AU279" s="22">
        <f t="shared" ref="AU279" si="4595">IF(AND(AT278&lt;0,AU278&gt;0),"n/a",AU278/AT278-1)</f>
        <v>3.6922917705358049E-2</v>
      </c>
      <c r="AV279" s="22">
        <f t="shared" ref="AV279" si="4596">IF(AND(AU278&lt;0,AV278&gt;0),"n/a",AV278/AU278-1)</f>
        <v>2.6859602490105994E-2</v>
      </c>
      <c r="AW279" s="22">
        <f t="shared" ref="AW279" si="4597">IF(AND(AV278&lt;0,AW278&gt;0),"n/a",AW278/AV278-1)</f>
        <v>9.6618981648162183E-2</v>
      </c>
      <c r="AX279" s="22">
        <f t="shared" ref="AX279" si="4598">IF(AND(AW278&lt;0,AX278&gt;0),"n/a",AX278/AW278-1)</f>
        <v>-0.19786461286426482</v>
      </c>
      <c r="AY279" s="22">
        <f t="shared" ref="AY279" si="4599">IF(AND(AX278&lt;0,AY278&gt;0),"n/a",AY278/AX278-1)</f>
        <v>-1.816751343695322E-2</v>
      </c>
      <c r="AZ279" s="22">
        <f t="shared" ref="AZ279" si="4600">IF(AND(AY278&lt;0,AZ278&gt;0),"n/a",AZ278/AY278-1)</f>
        <v>-0.12130891823602585</v>
      </c>
      <c r="BA279" s="22">
        <f t="shared" ref="BA279" si="4601">IF(AND(AZ278&lt;0,BA278&gt;0),"n/a",BA278/AZ278-1)</f>
        <v>-9.2132626978862486E-3</v>
      </c>
      <c r="BB279" s="22">
        <f t="shared" ref="BB279" si="4602">IF(AND(BA278&lt;0,BB278&gt;0),"n/a",BB278/BA278-1)</f>
        <v>0.11542462098230777</v>
      </c>
      <c r="BC279" s="22">
        <f t="shared" ref="BC279" si="4603">IF(AND(BB278&lt;0,BC278&gt;0),"n/a",BC278/BB278-1)</f>
        <v>0.22602510078498184</v>
      </c>
      <c r="BD279" s="22">
        <f t="shared" ref="BD279:BL279" si="4604">IF(AND(BC278&lt;0,BD278&gt;0),"n/a",BD278/BC278-1)</f>
        <v>7.7659768694466447E-2</v>
      </c>
      <c r="BE279" s="22">
        <f t="shared" si="4604"/>
        <v>5.8525425065368841E-2</v>
      </c>
      <c r="BF279" s="22">
        <f t="shared" si="4604"/>
        <v>0.15065819120398793</v>
      </c>
      <c r="BG279" s="22">
        <f t="shared" si="4604"/>
        <v>7.3911062184994769E-4</v>
      </c>
      <c r="BH279" s="22">
        <f t="shared" si="4604"/>
        <v>0.12036720673193591</v>
      </c>
      <c r="BI279" s="22">
        <f t="shared" si="4604"/>
        <v>1.4736316147219375E-2</v>
      </c>
      <c r="BJ279" s="22">
        <f t="shared" si="4604"/>
        <v>0.30766432845816349</v>
      </c>
      <c r="BK279" s="22">
        <f t="shared" si="4604"/>
        <v>-0.17744725064803635</v>
      </c>
      <c r="BL279" s="22">
        <f t="shared" si="4604"/>
        <v>0.24005773402457486</v>
      </c>
      <c r="BM279" s="22">
        <f t="shared" ref="BM279" si="4605">IF(AND(BL278&lt;0,BM278&gt;0),"n/a",BM278/BL278-1)</f>
        <v>-0.12707500344920697</v>
      </c>
      <c r="BN279" s="22">
        <f t="shared" ref="BN279" si="4606">IF(AND(BM278&lt;0,BN278&gt;0),"n/a",BN278/BM278-1)</f>
        <v>-1.2472585795560986E-3</v>
      </c>
      <c r="BO279" s="22">
        <f t="shared" ref="BO279" si="4607">IF(AND(BN278&lt;0,BO278&gt;0),"n/a",BO278/BN278-1)</f>
        <v>5.6173173337707105E-2</v>
      </c>
      <c r="BP279" s="22">
        <f t="shared" ref="BP279" si="4608">IF(AND(BO278&lt;0,BP278&gt;0),"n/a",BP278/BO278-1)</f>
        <v>3.34547493178039E-2</v>
      </c>
      <c r="BQ279" s="22">
        <f t="shared" ref="BQ279" si="4609">IF(AND(BP278&lt;0,BQ278&gt;0),"n/a",BQ278/BP278-1)</f>
        <v>4.3102561251560534E-2</v>
      </c>
      <c r="BR279" s="28">
        <f>IF(AND(BQ278&lt;0,BR278&gt;0),"n/a",BR278/BQ278-1)</f>
        <v>1.8326353910123494E-2</v>
      </c>
      <c r="BS279" s="28">
        <f t="shared" ref="BS279" si="4610">IF(AND(BR278&lt;0,BS278&gt;0),"n/a",BS278/BR278-1)</f>
        <v>5.0634553647858294E-2</v>
      </c>
      <c r="BT279" s="28">
        <f t="shared" ref="BT279" si="4611">IF(AND(BS278&lt;0,BT278&gt;0),"n/a",BT278/BS278-1)</f>
        <v>3.1528593601720001E-2</v>
      </c>
      <c r="BU279" s="28">
        <f t="shared" ref="BU279" si="4612">IF(AND(BT278&lt;0,BU278&gt;0),"n/a",BU278/BT278-1)</f>
        <v>3.5825007894288108E-2</v>
      </c>
      <c r="BV279" s="28">
        <f t="shared" ref="BV279" si="4613">IF(AND(BU278&lt;0,BV278&gt;0),"n/a",BV278/BU278-1)</f>
        <v>2.4140557282620767E-2</v>
      </c>
      <c r="BW279" s="28">
        <f t="shared" ref="BW279" si="4614">IF(AND(BV278&lt;0,BW278&gt;0),"n/a",BW278/BV278-1)</f>
        <v>4.8126021307737021E-2</v>
      </c>
      <c r="BX279" s="28">
        <f t="shared" ref="BX279" si="4615">IF(AND(BW278&lt;0,BX278&gt;0),"n/a",BX278/BW278-1)</f>
        <v>3.0376431497596501E-2</v>
      </c>
      <c r="BY279" s="28">
        <f t="shared" ref="BY279" si="4616">IF(AND(BX278&lt;0,BY278&gt;0),"n/a",BY278/BX278-1)</f>
        <v>3.1020468030952486E-2</v>
      </c>
      <c r="BZ279" s="28">
        <f t="shared" ref="BZ279" si="4617">IF(AND(BY278&lt;0,BZ278&gt;0),"n/a",BZ278/BY278-1)</f>
        <v>2.6491035073479496E-2</v>
      </c>
      <c r="CA279" s="28">
        <f t="shared" ref="CA279" si="4618">IF(AND(BZ278&lt;0,CA278&gt;0),"n/a",CA278/BZ278-1)</f>
        <v>4.5089597577032903E-2</v>
      </c>
      <c r="CB279" s="28">
        <f t="shared" ref="CB279" si="4619">IF(AND(CA278&lt;0,CB278&gt;0),"n/a",CB278/CA278-1)</f>
        <v>2.9031946190514191E-2</v>
      </c>
      <c r="CC279" s="28">
        <f t="shared" ref="CC279" si="4620">IF(AND(CB278&lt;0,CC278&gt;0),"n/a",CC278/CB278-1)</f>
        <v>2.694103944949644E-2</v>
      </c>
      <c r="CD279" s="28">
        <f t="shared" ref="CD279" si="4621">IF(AND(CC278&lt;0,CD278&gt;0),"n/a",CD278/CC278-1)</f>
        <v>2.7586635465379095E-2</v>
      </c>
      <c r="CE279" s="28">
        <f t="shared" ref="CE279" si="4622">IF(AND(CD278&lt;0,CE278&gt;0),"n/a",CE278/CD278-1)</f>
        <v>4.6415036027087631E-2</v>
      </c>
      <c r="CF279" s="28">
        <f t="shared" ref="CF279" si="4623">IF(AND(CE278&lt;0,CF278&gt;0),"n/a",CF278/CE278-1)</f>
        <v>2.6038519833925244E-2</v>
      </c>
      <c r="CG279" s="28">
        <f t="shared" ref="CG279" si="4624">IF(AND(CF278&lt;0,CG278&gt;0),"n/a",CG278/CF278-1)</f>
        <v>2.3223350305202395E-2</v>
      </c>
      <c r="CH279" s="28"/>
      <c r="CI279" s="106" t="s">
        <v>82</v>
      </c>
      <c r="CJ279" s="48" t="s">
        <v>82</v>
      </c>
      <c r="CK279" s="106" t="s">
        <v>82</v>
      </c>
      <c r="CL279" s="106" t="s">
        <v>82</v>
      </c>
      <c r="CM279" s="48" t="s">
        <v>82</v>
      </c>
      <c r="CN279" s="106" t="s">
        <v>82</v>
      </c>
      <c r="CO279" s="48" t="s">
        <v>82</v>
      </c>
      <c r="CP279" s="106" t="s">
        <v>82</v>
      </c>
      <c r="CQ279" s="48" t="s">
        <v>82</v>
      </c>
      <c r="CR279" s="106" t="s">
        <v>82</v>
      </c>
      <c r="CS279" s="48" t="s">
        <v>82</v>
      </c>
      <c r="CT279" s="106" t="s">
        <v>82</v>
      </c>
      <c r="CU279" s="48" t="s">
        <v>82</v>
      </c>
      <c r="CV279" s="106" t="s">
        <v>82</v>
      </c>
      <c r="CW279" s="48" t="s">
        <v>82</v>
      </c>
      <c r="CX279" s="106" t="s">
        <v>82</v>
      </c>
      <c r="CY279" s="106" t="s">
        <v>82</v>
      </c>
      <c r="CZ279" s="106" t="s">
        <v>82</v>
      </c>
      <c r="DA279" s="106" t="s">
        <v>82</v>
      </c>
      <c r="DB279" s="106" t="s">
        <v>82</v>
      </c>
      <c r="DC279" s="106" t="s">
        <v>82</v>
      </c>
    </row>
    <row r="280" spans="1:107" x14ac:dyDescent="0.2">
      <c r="A280" s="7" t="s">
        <v>63</v>
      </c>
      <c r="B280" s="25" t="s">
        <v>82</v>
      </c>
      <c r="C280" s="25" t="s">
        <v>82</v>
      </c>
      <c r="D280" s="25" t="s">
        <v>82</v>
      </c>
      <c r="E280" s="25" t="s">
        <v>82</v>
      </c>
      <c r="F280" s="22">
        <f>IF(AND(B278&lt;0,F278&gt;0),"n/a",F278/B278-1)</f>
        <v>-9.0944228491916634E-2</v>
      </c>
      <c r="G280" s="22">
        <f t="shared" ref="G280:BQ280" si="4625">IF(AND(C278&lt;0,G278&gt;0),"n/a",G278/C278-1)</f>
        <v>0.3465894770489466</v>
      </c>
      <c r="H280" s="22">
        <f t="shared" si="4625"/>
        <v>0.23987604278538588</v>
      </c>
      <c r="I280" s="22">
        <f t="shared" si="4625"/>
        <v>5.2498278238919172E-2</v>
      </c>
      <c r="J280" s="22">
        <f t="shared" si="4625"/>
        <v>0.58906916455207869</v>
      </c>
      <c r="K280" s="22">
        <f t="shared" si="4625"/>
        <v>0.16857869632855227</v>
      </c>
      <c r="L280" s="22">
        <f t="shared" si="4625"/>
        <v>-2.0505828766430478E-2</v>
      </c>
      <c r="M280" s="22">
        <f t="shared" si="4625"/>
        <v>0.17598369090700094</v>
      </c>
      <c r="N280" s="22">
        <f t="shared" si="4625"/>
        <v>0.11845829791678053</v>
      </c>
      <c r="O280" s="22">
        <f t="shared" si="4625"/>
        <v>4.6257111519187655E-2</v>
      </c>
      <c r="P280" s="22">
        <f t="shared" si="4625"/>
        <v>5.4494679418643832E-2</v>
      </c>
      <c r="Q280" s="22">
        <f t="shared" si="4625"/>
        <v>8.5468381595399379E-3</v>
      </c>
      <c r="R280" s="22">
        <f t="shared" si="4625"/>
        <v>4.9374579849024158E-3</v>
      </c>
      <c r="S280" s="22">
        <f t="shared" si="4625"/>
        <v>3.9470091984717515E-2</v>
      </c>
      <c r="T280" s="22">
        <f t="shared" si="4625"/>
        <v>-7.5347571237153854E-2</v>
      </c>
      <c r="U280" s="22">
        <f t="shared" si="4625"/>
        <v>0.3926668592641136</v>
      </c>
      <c r="V280" s="22">
        <f t="shared" si="4625"/>
        <v>3.6235642232202991E-2</v>
      </c>
      <c r="W280" s="22">
        <f t="shared" si="4625"/>
        <v>0.16541637606662829</v>
      </c>
      <c r="X280" s="22">
        <f t="shared" si="4625"/>
        <v>0.43994860388207035</v>
      </c>
      <c r="Y280" s="22">
        <f t="shared" si="4625"/>
        <v>4.0155172239849657E-2</v>
      </c>
      <c r="Z280" s="22">
        <f t="shared" si="4625"/>
        <v>0.18007560837675807</v>
      </c>
      <c r="AA280" s="22">
        <f t="shared" si="4625"/>
        <v>0.23002415608212501</v>
      </c>
      <c r="AB280" s="22">
        <f t="shared" si="4625"/>
        <v>0.26442287554302424</v>
      </c>
      <c r="AC280" s="22">
        <f t="shared" si="4625"/>
        <v>7.833815368693231E-2</v>
      </c>
      <c r="AD280" s="22">
        <f t="shared" si="4625"/>
        <v>0.28474889842727058</v>
      </c>
      <c r="AE280" s="22">
        <f t="shared" si="4625"/>
        <v>-0.28426109412395884</v>
      </c>
      <c r="AF280" s="22">
        <f t="shared" si="4625"/>
        <v>0.32019914821016071</v>
      </c>
      <c r="AG280" s="22">
        <f t="shared" si="4625"/>
        <v>-1.5623836819104719</v>
      </c>
      <c r="AH280" s="22">
        <f t="shared" si="4625"/>
        <v>0.72497176364658733</v>
      </c>
      <c r="AI280" s="22">
        <f t="shared" si="4625"/>
        <v>-9.3029778037517996E-2</v>
      </c>
      <c r="AJ280" s="22">
        <f t="shared" si="4625"/>
        <v>0.36514148855758366</v>
      </c>
      <c r="AK280" s="22" t="str">
        <f t="shared" si="4625"/>
        <v>n/a</v>
      </c>
      <c r="AL280" s="22">
        <f t="shared" si="4625"/>
        <v>-0.28758490573506479</v>
      </c>
      <c r="AM280" s="22">
        <f t="shared" si="4625"/>
        <v>2.1279488592192441</v>
      </c>
      <c r="AN280" s="22">
        <f t="shared" si="4625"/>
        <v>-0.22483711420794372</v>
      </c>
      <c r="AO280" s="22">
        <f t="shared" si="4625"/>
        <v>0.20234352701995606</v>
      </c>
      <c r="AP280" s="22">
        <f t="shared" si="4625"/>
        <v>3.9663782536551118E-2</v>
      </c>
      <c r="AQ280" s="22">
        <f t="shared" si="4625"/>
        <v>-0.28722524478597755</v>
      </c>
      <c r="AR280" s="22">
        <f t="shared" si="4625"/>
        <v>0.6199052038851196</v>
      </c>
      <c r="AS280" s="22">
        <f t="shared" si="4625"/>
        <v>0.45249368053150607</v>
      </c>
      <c r="AT280" s="22">
        <f t="shared" si="4625"/>
        <v>1.6620872185196811</v>
      </c>
      <c r="AU280" s="22">
        <f t="shared" si="4625"/>
        <v>1.6910529933008434</v>
      </c>
      <c r="AV280" s="22">
        <f t="shared" si="4625"/>
        <v>0.70687346818318364</v>
      </c>
      <c r="AW280" s="22">
        <f t="shared" si="4625"/>
        <v>0.37673593818326667</v>
      </c>
      <c r="AX280" s="22">
        <f t="shared" si="4625"/>
        <v>-6.338528422805656E-2</v>
      </c>
      <c r="AY280" s="22">
        <f t="shared" si="4625"/>
        <v>-0.11314646476044743</v>
      </c>
      <c r="AZ280" s="22">
        <f t="shared" si="4625"/>
        <v>-0.24111310800800967</v>
      </c>
      <c r="BA280" s="22">
        <f t="shared" si="4625"/>
        <v>-0.31435158402235031</v>
      </c>
      <c r="BB280" s="22">
        <f t="shared" si="4625"/>
        <v>-4.6558552603073067E-2</v>
      </c>
      <c r="BC280" s="22">
        <f t="shared" si="4625"/>
        <v>0.19057289571802594</v>
      </c>
      <c r="BD280" s="22">
        <f t="shared" si="4625"/>
        <v>0.4601633475529292</v>
      </c>
      <c r="BE280" s="22">
        <f t="shared" si="4625"/>
        <v>0.55999265022664613</v>
      </c>
      <c r="BF280" s="22">
        <f t="shared" si="4625"/>
        <v>0.60926905093820705</v>
      </c>
      <c r="BG280" s="22">
        <f t="shared" si="4625"/>
        <v>0.31356077274115224</v>
      </c>
      <c r="BH280" s="22">
        <f t="shared" si="4625"/>
        <v>0.36561691971809096</v>
      </c>
      <c r="BI280" s="22">
        <f t="shared" si="4625"/>
        <v>0.30912404139699601</v>
      </c>
      <c r="BJ280" s="22">
        <f t="shared" si="4625"/>
        <v>0.48775268237616554</v>
      </c>
      <c r="BK280" s="22">
        <f t="shared" si="4625"/>
        <v>0.22285123690613418</v>
      </c>
      <c r="BL280" s="22">
        <f t="shared" si="4625"/>
        <v>0.35349028851912068</v>
      </c>
      <c r="BM280" s="22">
        <f t="shared" si="4625"/>
        <v>0.16433746051685838</v>
      </c>
      <c r="BN280" s="22">
        <f t="shared" si="4625"/>
        <v>-0.11071579661359965</v>
      </c>
      <c r="BO280" s="22">
        <f t="shared" si="4625"/>
        <v>0.14185761318003576</v>
      </c>
      <c r="BP280" s="22">
        <f t="shared" si="4625"/>
        <v>-4.8384489683595544E-2</v>
      </c>
      <c r="BQ280" s="22">
        <f t="shared" si="4625"/>
        <v>0.13713386609383682</v>
      </c>
      <c r="BR280" s="28">
        <f>IF(AND(BN278&lt;0,BR278&gt;0),"n/a",BR278/BN278-1)</f>
        <v>0.15941947966037029</v>
      </c>
      <c r="BS280" s="28">
        <f t="shared" ref="BS280" si="4626">IF(AND(BO278&lt;0,BS278&gt;0),"n/a",BS278/BO278-1)</f>
        <v>0.15333943169006625</v>
      </c>
      <c r="BT280" s="28">
        <f t="shared" ref="BT280" si="4627">IF(AND(BP278&lt;0,BT278&gt;0),"n/a",BT278/BP278-1)</f>
        <v>0.15118983458346702</v>
      </c>
      <c r="BU280" s="28">
        <f t="shared" ref="BU280" si="4628">IF(AND(BQ278&lt;0,BU278&gt;0),"n/a",BU278/BQ278-1)</f>
        <v>0.143158174268609</v>
      </c>
      <c r="BV280" s="28">
        <f t="shared" ref="BV280" si="4629">IF(AND(BR278&lt;0,BV278&gt;0),"n/a",BV278/BR278-1)</f>
        <v>0.14968511338455093</v>
      </c>
      <c r="BW280" s="28">
        <f t="shared" ref="BW280" si="4630">IF(AND(BS278&lt;0,BW278&gt;0),"n/a",BW278/BS278-1)</f>
        <v>0.14694008441337569</v>
      </c>
      <c r="BX280" s="28">
        <f t="shared" ref="BX280" si="4631">IF(AND(BT278&lt;0,BX278&gt;0),"n/a",BX278/BT278-1)</f>
        <v>0.14565901386510616</v>
      </c>
      <c r="BY280" s="28">
        <f t="shared" ref="BY280" si="4632">IF(AND(BU278&lt;0,BY278&gt;0),"n/a",BY278/BU278-1)</f>
        <v>0.14034502322001208</v>
      </c>
      <c r="BZ280" s="28">
        <f t="shared" ref="BZ280" si="4633">IF(AND(BV278&lt;0,BZ278&gt;0),"n/a",BZ278/BV278-1)</f>
        <v>0.14296219879414074</v>
      </c>
      <c r="CA280" s="28">
        <f t="shared" ref="CA280" si="4634">IF(AND(BW278&lt;0,CA278&gt;0),"n/a",CA278/BW278-1)</f>
        <v>0.13965103441775595</v>
      </c>
      <c r="CB280" s="28">
        <f t="shared" ref="CB280" si="4635">IF(AND(BX278&lt;0,CB278&gt;0),"n/a",CB278/BX278-1)</f>
        <v>0.13816396229135952</v>
      </c>
      <c r="CC280" s="28">
        <f t="shared" ref="CC280" si="4636">IF(AND(BY278&lt;0,CC278&gt;0),"n/a",CC278/BY278-1)</f>
        <v>0.1336606000962115</v>
      </c>
      <c r="CD280" s="28">
        <f t="shared" ref="CD280" si="4637">IF(AND(BZ278&lt;0,CD278&gt;0),"n/a",CD278/BZ278-1)</f>
        <v>0.13487058533262197</v>
      </c>
      <c r="CE280" s="28">
        <f t="shared" ref="CE280" si="4638">IF(AND(CA278&lt;0,CE278&gt;0),"n/a",CE278/CA278-1)</f>
        <v>0.13630988882690942</v>
      </c>
      <c r="CF280" s="28">
        <f t="shared" ref="CF280" si="4639">IF(AND(CB278&lt;0,CF278&gt;0),"n/a",CF278/CB278-1)</f>
        <v>0.13300439380990881</v>
      </c>
      <c r="CG280" s="28">
        <f t="shared" ref="CG280" si="4640">IF(AND(CC278&lt;0,CG278&gt;0),"n/a",CG278/CC278-1)</f>
        <v>0.12890273853127399</v>
      </c>
      <c r="CH280" s="28"/>
      <c r="CI280" s="106" t="s">
        <v>82</v>
      </c>
      <c r="CJ280" s="22">
        <f>IF(AND(CI278&lt;0,CJ278&gt;0),"n/a",CJ278/CI278-1)</f>
        <v>0.13098939491150174</v>
      </c>
      <c r="CK280" s="107">
        <f t="shared" ref="CK280:CY280" si="4641">IF(AND(CJ278&lt;0,CK278&gt;0),"n/a",CK278/CJ278-1)</f>
        <v>0.19531425891577725</v>
      </c>
      <c r="CL280" s="107">
        <f t="shared" si="4641"/>
        <v>5.5498124692998863E-2</v>
      </c>
      <c r="CM280" s="22">
        <f t="shared" si="4641"/>
        <v>9.6033569333799695E-2</v>
      </c>
      <c r="CN280" s="107">
        <f t="shared" si="4641"/>
        <v>0.1467001580340126</v>
      </c>
      <c r="CO280" s="22">
        <f t="shared" si="4641"/>
        <v>0.18161338253933068</v>
      </c>
      <c r="CP280" s="107">
        <f t="shared" si="4641"/>
        <v>-0.35444091507521791</v>
      </c>
      <c r="CQ280" s="22">
        <f t="shared" si="4641"/>
        <v>1.4284517784292059</v>
      </c>
      <c r="CR280" s="107">
        <f t="shared" si="4641"/>
        <v>0.12491716726666091</v>
      </c>
      <c r="CS280" s="22">
        <f t="shared" si="4641"/>
        <v>0.19222952837170282</v>
      </c>
      <c r="CT280" s="107">
        <f t="shared" si="4641"/>
        <v>0.91418935822250313</v>
      </c>
      <c r="CU280" s="22">
        <f t="shared" si="4641"/>
        <v>-0.18756146392509465</v>
      </c>
      <c r="CV280" s="107">
        <f t="shared" si="4641"/>
        <v>0.2727853476819202</v>
      </c>
      <c r="CW280" s="22">
        <f t="shared" si="4641"/>
        <v>0.38656937411726799</v>
      </c>
      <c r="CX280" s="107">
        <f t="shared" si="4641"/>
        <v>0.30443891639887011</v>
      </c>
      <c r="CY280" s="107">
        <f t="shared" si="4641"/>
        <v>2.0796993249927009E-2</v>
      </c>
      <c r="CZ280" s="107">
        <f>IF(AND(CY278&lt;0,CZ278&gt;0),"n/a",CZ278/CY278-1)</f>
        <v>0.15173550820405124</v>
      </c>
      <c r="DA280" s="107">
        <f>IF(AND(CZ278&lt;0,DA278&gt;0),"n/a",DA278/CZ278-1)</f>
        <v>0.14542255607730459</v>
      </c>
      <c r="DB280" s="107">
        <f>IF(AND(DA278&lt;0,DB278&gt;0),"n/a",DB278/DA278-1)</f>
        <v>0.13848048241358213</v>
      </c>
      <c r="DC280" s="107">
        <f>IF(AND(DB278&lt;0,DC278&gt;0),"n/a",DC278/DB278-1)</f>
        <v>0.1331915797347436</v>
      </c>
    </row>
    <row r="281" spans="1:107" x14ac:dyDescent="0.2">
      <c r="CI281" s="92"/>
      <c r="CK281" s="92"/>
      <c r="CL281" s="92"/>
      <c r="CN281" s="92"/>
      <c r="CP281" s="92"/>
      <c r="CR281" s="92"/>
      <c r="CT281" s="92"/>
      <c r="CV281" s="92"/>
      <c r="CX281" s="92"/>
      <c r="CY281" s="92"/>
      <c r="CZ281" s="92"/>
      <c r="DA281" s="92"/>
      <c r="DB281" s="92"/>
      <c r="DC281" s="92"/>
    </row>
    <row r="282" spans="1:107" ht="12.75" thickBot="1" x14ac:dyDescent="0.25">
      <c r="A282" s="1" t="s">
        <v>143</v>
      </c>
      <c r="B282" s="75">
        <f>'Shares Outstanding &amp; Corporate'!B9</f>
        <v>12904.32</v>
      </c>
      <c r="C282" s="75">
        <f>'Shares Outstanding &amp; Corporate'!C9</f>
        <v>12899.439999999999</v>
      </c>
      <c r="D282" s="75">
        <f>'Shares Outstanding &amp; Corporate'!D9</f>
        <v>12895.08</v>
      </c>
      <c r="E282" s="75">
        <f>'Shares Outstanding &amp; Corporate'!E9</f>
        <v>13021.44</v>
      </c>
      <c r="F282" s="75">
        <f>'Shares Outstanding &amp; Corporate'!F9</f>
        <v>13055.32</v>
      </c>
      <c r="G282" s="75">
        <f>'Shares Outstanding &amp; Corporate'!G9</f>
        <v>13041.44</v>
      </c>
      <c r="H282" s="75">
        <f>'Shares Outstanding &amp; Corporate'!H9</f>
        <v>13097.560000000001</v>
      </c>
      <c r="I282" s="75">
        <f>'Shares Outstanding &amp; Corporate'!I9</f>
        <v>13160.08</v>
      </c>
      <c r="J282" s="75">
        <f>'Shares Outstanding &amp; Corporate'!J9</f>
        <v>13205.44</v>
      </c>
      <c r="K282" s="75">
        <f>'Shares Outstanding &amp; Corporate'!K9</f>
        <v>13231.720000000001</v>
      </c>
      <c r="L282" s="75">
        <f>'Shares Outstanding &amp; Corporate'!L9</f>
        <v>13332.560000000001</v>
      </c>
      <c r="M282" s="75">
        <f>'Shares Outstanding &amp; Corporate'!M9</f>
        <v>13399.880000000001</v>
      </c>
      <c r="N282" s="75">
        <f>'Shares Outstanding &amp; Corporate'!N9</f>
        <v>13466.52</v>
      </c>
      <c r="O282" s="75">
        <f>'Shares Outstanding &amp; Corporate'!O9</f>
        <v>13533.48</v>
      </c>
      <c r="P282" s="75">
        <f>'Shares Outstanding &amp; Corporate'!P9</f>
        <v>13569.400000000001</v>
      </c>
      <c r="Q282" s="75">
        <f>'Shares Outstanding &amp; Corporate'!Q9</f>
        <v>13640.119999999999</v>
      </c>
      <c r="R282" s="75">
        <f>'Shares Outstanding &amp; Corporate'!R9</f>
        <v>13704.24</v>
      </c>
      <c r="S282" s="75">
        <f>'Shares Outstanding &amp; Corporate'!S9</f>
        <v>13727.260000000002</v>
      </c>
      <c r="T282" s="75">
        <f>'Shares Outstanding &amp; Corporate'!T9</f>
        <v>13764.300000000001</v>
      </c>
      <c r="U282" s="75">
        <f>'Shares Outstanding &amp; Corporate'!U9</f>
        <v>13769.82</v>
      </c>
      <c r="V282" s="75">
        <f>'Shares Outstanding &amp; Corporate'!V9</f>
        <v>13789.960000000001</v>
      </c>
      <c r="W282" s="75">
        <f>'Shares Outstanding &amp; Corporate'!W9</f>
        <v>13817.560000000001</v>
      </c>
      <c r="X282" s="75">
        <f>'Shares Outstanding &amp; Corporate'!X9</f>
        <v>13886.38</v>
      </c>
      <c r="Y282" s="75">
        <f>'Shares Outstanding &amp; Corporate'!Y9</f>
        <v>13940.5</v>
      </c>
      <c r="Z282" s="75">
        <f>'Shares Outstanding &amp; Corporate'!Z9</f>
        <v>13986.220000000001</v>
      </c>
      <c r="AA282" s="75">
        <f>'Shares Outstanding &amp; Corporate'!AA9</f>
        <v>13936.939999999999</v>
      </c>
      <c r="AB282" s="75">
        <f>'Shares Outstanding &amp; Corporate'!AB9</f>
        <v>13968.800000000001</v>
      </c>
      <c r="AC282" s="75">
        <f>'Shares Outstanding &amp; Corporate'!AC9</f>
        <v>14004.42</v>
      </c>
      <c r="AD282" s="75">
        <f>'Shares Outstanding &amp; Corporate'!AD9</f>
        <v>14040.72</v>
      </c>
      <c r="AE282" s="75">
        <f>'Shares Outstanding &amp; Corporate'!AE9</f>
        <v>14070.060000000001</v>
      </c>
      <c r="AF282" s="75">
        <f>'Shares Outstanding &amp; Corporate'!AF9</f>
        <v>14074.32</v>
      </c>
      <c r="AG282" s="75">
        <f>'Shares Outstanding &amp; Corporate'!AG9</f>
        <v>14101.579999999998</v>
      </c>
      <c r="AH282" s="75">
        <f>'Shares Outstanding &amp; Corporate'!AH9</f>
        <v>14102.68</v>
      </c>
      <c r="AI282" s="75">
        <f>'Shares Outstanding &amp; Corporate'!AI9</f>
        <v>14064.939999999999</v>
      </c>
      <c r="AJ282" s="75">
        <f>'Shares Outstanding &amp; Corporate'!AJ9</f>
        <v>14077.18</v>
      </c>
      <c r="AK282" s="75">
        <f>'Shares Outstanding &amp; Corporate'!AK9</f>
        <v>14017.98</v>
      </c>
      <c r="AL282" s="75">
        <f>'Shares Outstanding &amp; Corporate'!AL9</f>
        <v>14017.58</v>
      </c>
      <c r="AM282" s="75">
        <f>'Shares Outstanding &amp; Corporate'!AM9</f>
        <v>13999.079999999998</v>
      </c>
      <c r="AN282" s="75">
        <f>'Shares Outstanding &amp; Corporate'!AN9</f>
        <v>13963.98</v>
      </c>
      <c r="AO282" s="75">
        <f>'Shares Outstanding &amp; Corporate'!AO9</f>
        <v>13903.88</v>
      </c>
      <c r="AP282" s="75">
        <f>'Shares Outstanding &amp; Corporate'!AP9</f>
        <v>13845.34</v>
      </c>
      <c r="AQ282" s="75">
        <f>'Shares Outstanding &amp; Corporate'!AQ9</f>
        <v>13740.48</v>
      </c>
      <c r="AR282" s="75">
        <f>'Shares Outstanding &amp; Corporate'!AR9</f>
        <v>13717.02</v>
      </c>
      <c r="AS282" s="75">
        <f>'Shares Outstanding &amp; Corporate'!AS9</f>
        <v>13659.380000000001</v>
      </c>
      <c r="AT282" s="75">
        <f>'Shares Outstanding &amp; Corporate'!AT9</f>
        <v>13641.42</v>
      </c>
      <c r="AU282" s="75">
        <f>'Shares Outstanding &amp; Corporate'!AU9</f>
        <v>13592.24</v>
      </c>
      <c r="AV282" s="75">
        <f>'Shares Outstanding &amp; Corporate'!AV9</f>
        <v>13530.380000000001</v>
      </c>
      <c r="AW282" s="75">
        <f>'Shares Outstanding &amp; Corporate'!AW9</f>
        <v>13449.86</v>
      </c>
      <c r="AX282" s="75">
        <f>'Shares Outstanding &amp; Corporate'!AX9</f>
        <v>13351.02</v>
      </c>
      <c r="AY282" s="75">
        <f>'Shares Outstanding &amp; Corporate'!AY9</f>
        <v>13239</v>
      </c>
      <c r="AZ282" s="75">
        <f>'Shares Outstanding &amp; Corporate'!AZ9</f>
        <v>13097</v>
      </c>
      <c r="BA282" s="75">
        <f>'Shares Outstanding &amp; Corporate'!BA9</f>
        <v>12947</v>
      </c>
      <c r="BB282" s="75">
        <f>'Shares Outstanding &amp; Corporate'!BB9</f>
        <v>12823</v>
      </c>
      <c r="BC282" s="75">
        <f>'Shares Outstanding &amp; Corporate'!BC9</f>
        <v>12764</v>
      </c>
      <c r="BD282" s="75">
        <f>'Shares Outstanding &amp; Corporate'!BD9</f>
        <v>12696</v>
      </c>
      <c r="BE282" s="75">
        <f>'Shares Outstanding &amp; Corporate'!BE9</f>
        <v>12602</v>
      </c>
      <c r="BF282" s="75">
        <f>'Shares Outstanding &amp; Corporate'!BF9</f>
        <v>12527</v>
      </c>
      <c r="BG282" s="75">
        <f>'Shares Outstanding &amp; Corporate'!BG9</f>
        <v>12495</v>
      </c>
      <c r="BH282" s="75">
        <f>'Shares Outstanding &amp; Corporate'!BH9</f>
        <v>12419</v>
      </c>
      <c r="BI282" s="75">
        <f>'Shares Outstanding &amp; Corporate'!BI9</f>
        <v>12348</v>
      </c>
      <c r="BJ282" s="75">
        <f>'Shares Outstanding &amp; Corporate'!BJ9</f>
        <v>12291</v>
      </c>
      <c r="BK282" s="75">
        <f>'Shares Outstanding &amp; Corporate'!BK9</f>
        <v>12198</v>
      </c>
      <c r="BL282" s="75">
        <f>'Shares Outstanding &amp; Corporate'!BL9</f>
        <v>12203</v>
      </c>
      <c r="BM282" s="75">
        <f>'Shares Outstanding &amp; Corporate'!BM9</f>
        <v>12171.662043631884</v>
      </c>
      <c r="BN282" s="75">
        <f>'Shares Outstanding &amp; Corporate'!BN9</f>
        <v>12142.35302652507</v>
      </c>
      <c r="BO282" s="75">
        <f>'Shares Outstanding &amp; Corporate'!BO9</f>
        <v>12113.854067667489</v>
      </c>
      <c r="BP282" s="75">
        <f>'Shares Outstanding &amp; Corporate'!BP9</f>
        <v>12087.924887212941</v>
      </c>
      <c r="BQ282" s="75">
        <f>'Shares Outstanding &amp; Corporate'!BQ9</f>
        <v>12063.385312465214</v>
      </c>
      <c r="BR282" s="75">
        <f>'Shares Outstanding &amp; Corporate'!BR9</f>
        <v>12038.732695721112</v>
      </c>
      <c r="BS282" s="75">
        <f>'Shares Outstanding &amp; Corporate'!BS9</f>
        <v>12041.191004323013</v>
      </c>
      <c r="BT282" s="75">
        <f>'Shares Outstanding &amp; Corporate'!BT9</f>
        <v>12071.793271914994</v>
      </c>
      <c r="BU282" s="75">
        <f>'Shares Outstanding &amp; Corporate'!BU9</f>
        <v>12102.84589898523</v>
      </c>
      <c r="BV282" s="75">
        <f>'Shares Outstanding &amp; Corporate'!BV9</f>
        <v>12132.404089386306</v>
      </c>
      <c r="BW282" s="75">
        <f>'Shares Outstanding &amp; Corporate'!BW9</f>
        <v>12161.371989160209</v>
      </c>
      <c r="BX282" s="75">
        <f>'Shares Outstanding &amp; Corporate'!BX9</f>
        <v>12191.68825425133</v>
      </c>
      <c r="BY282" s="75">
        <f>'Shares Outstanding &amp; Corporate'!BY9</f>
        <v>12222.450669853621</v>
      </c>
      <c r="BZ282" s="75">
        <f>'Shares Outstanding &amp; Corporate'!BZ9</f>
        <v>12251.73261548459</v>
      </c>
      <c r="CA282" s="75">
        <f>'Shares Outstanding &amp; Corporate'!CA9</f>
        <v>12280.291163842057</v>
      </c>
      <c r="CB282" s="75">
        <f>'Shares Outstanding &amp; Corporate'!CB9</f>
        <v>12310.040769772597</v>
      </c>
      <c r="CC282" s="75">
        <f>'Shares Outstanding &amp; Corporate'!CC9</f>
        <v>12340.228186952412</v>
      </c>
      <c r="CD282" s="75">
        <f>'Shares Outstanding &amp; Corporate'!CD9</f>
        <v>12368.962806496824</v>
      </c>
      <c r="CE282" s="75">
        <f>'Shares Outstanding &amp; Corporate'!CE9</f>
        <v>12396.987550212094</v>
      </c>
      <c r="CF282" s="75">
        <f>'Shares Outstanding &amp; Corporate'!CF9</f>
        <v>12426.181088742062</v>
      </c>
      <c r="CG282" s="75">
        <f>'Shares Outstanding &amp; Corporate'!CG9</f>
        <v>12455.804255133471</v>
      </c>
      <c r="CH282" s="75"/>
      <c r="CI282" s="366">
        <f>'Shares Outstanding &amp; Corporate'!CI9</f>
        <v>12930.07</v>
      </c>
      <c r="CJ282" s="367">
        <f>'Shares Outstanding &amp; Corporate'!CJ9</f>
        <v>13088.600000000002</v>
      </c>
      <c r="CK282" s="366">
        <f>'Shares Outstanding &amp; Corporate'!CK9</f>
        <v>13292.400000000001</v>
      </c>
      <c r="CL282" s="366">
        <f>'Shares Outstanding &amp; Corporate'!CL9</f>
        <v>13552.380000000001</v>
      </c>
      <c r="CM282" s="367">
        <f>'Shares Outstanding &amp; Corporate'!CM9</f>
        <v>13741.405000000001</v>
      </c>
      <c r="CN282" s="366">
        <f>'Shares Outstanding &amp; Corporate'!CN9</f>
        <v>13858.6</v>
      </c>
      <c r="CO282" s="367">
        <f>'Shares Outstanding &amp; Corporate'!CO9</f>
        <v>13974.094999999999</v>
      </c>
      <c r="CP282" s="366">
        <f>'Shares Outstanding &amp; Corporate'!CP9</f>
        <v>14071.669999999998</v>
      </c>
      <c r="CQ282" s="367">
        <f>'Shares Outstanding &amp; Corporate'!CQ9</f>
        <v>14065.695</v>
      </c>
      <c r="CR282" s="366">
        <f>'Shares Outstanding &amp; Corporate'!CR9</f>
        <v>13971.13</v>
      </c>
      <c r="CS282" s="367">
        <f>'Shares Outstanding &amp; Corporate'!CS9</f>
        <v>13740.555</v>
      </c>
      <c r="CT282" s="366">
        <f>'Shares Outstanding &amp; Corporate'!CT9</f>
        <v>13553.475</v>
      </c>
      <c r="CU282" s="367">
        <f>'Shares Outstanding &amp; Corporate'!CU9</f>
        <v>13158.505000000001</v>
      </c>
      <c r="CV282" s="366">
        <f>'Shares Outstanding &amp; Corporate'!CV9</f>
        <v>12721.25</v>
      </c>
      <c r="CW282" s="367">
        <f>'Shares Outstanding &amp; Corporate'!CW9</f>
        <v>12447.25</v>
      </c>
      <c r="CX282" s="366">
        <f>'Shares Outstanding &amp; Corporate'!CX9</f>
        <v>12215.915510907971</v>
      </c>
      <c r="CY282" s="366">
        <f>'Shares Outstanding &amp; Corporate'!CY9</f>
        <v>12101.87932346768</v>
      </c>
      <c r="CZ282" s="366">
        <f>'Shares Outstanding &amp; Corporate'!CZ9</f>
        <v>12063.640717736087</v>
      </c>
      <c r="DA282" s="366">
        <f>'Shares Outstanding &amp; Corporate'!DA9</f>
        <v>12176.978750662865</v>
      </c>
      <c r="DB282" s="366">
        <f>'Shares Outstanding &amp; Corporate'!DB9</f>
        <v>12295.573184012916</v>
      </c>
      <c r="DC282" s="366">
        <f>'Shares Outstanding &amp; Corporate'!DC9</f>
        <v>12411.983925146114</v>
      </c>
    </row>
    <row r="285" spans="1:107" x14ac:dyDescent="0.2">
      <c r="CI285" s="65"/>
    </row>
  </sheetData>
  <pageMargins left="0.7" right="0.7" top="0.75" bottom="0.75" header="0.3" footer="0.3"/>
  <pageSetup orientation="portrait" r:id="rId1"/>
  <customProperties>
    <customPr name="Qube.Worksheet.Visibility" r:id="rId2"/>
  </customPropertie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D102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B2" sqref="BB2"/>
    </sheetView>
  </sheetViews>
  <sheetFormatPr defaultRowHeight="12" outlineLevelRow="1" outlineLevelCol="1" x14ac:dyDescent="0.2"/>
  <cols>
    <col min="1" max="1" width="57.42578125" style="1" customWidth="1"/>
    <col min="2" max="2" width="10" style="1" hidden="1" customWidth="1" outlineLevel="1"/>
    <col min="3" max="37" width="9.140625" style="1" hidden="1" customWidth="1" outlineLevel="1"/>
    <col min="38" max="38" width="10.28515625" style="1" hidden="1" customWidth="1" outlineLevel="1" collapsed="1"/>
    <col min="39" max="53" width="10.28515625" style="1" hidden="1" customWidth="1" outlineLevel="1"/>
    <col min="54" max="54" width="10.28515625" style="1" customWidth="1" collapsed="1"/>
    <col min="55" max="73" width="10.28515625" style="1" customWidth="1"/>
    <col min="74" max="85" width="10.28515625" style="1" hidden="1" customWidth="1" outlineLevel="1"/>
    <col min="86" max="86" width="10.28515625" style="1" customWidth="1" collapsed="1"/>
    <col min="87" max="99" width="11.140625" style="1" hidden="1" customWidth="1" outlineLevel="1"/>
    <col min="100" max="100" width="11.140625" style="1" customWidth="1" collapsed="1"/>
    <col min="101" max="107" width="11.140625" style="1" customWidth="1"/>
    <col min="108" max="16384" width="9.140625" style="1"/>
  </cols>
  <sheetData>
    <row r="1" spans="1:107" s="2" customFormat="1" ht="43.5" customHeight="1" x14ac:dyDescent="0.2">
      <c r="A1" s="6" t="s">
        <v>53</v>
      </c>
      <c r="B1" s="3" t="str">
        <f>'Income Statement'!B1</f>
        <v>1Q10</v>
      </c>
      <c r="C1" s="3" t="str">
        <f>'Income Statement'!C1</f>
        <v>2Q10</v>
      </c>
      <c r="D1" s="3" t="str">
        <f>'Income Statement'!D1</f>
        <v>3Q10</v>
      </c>
      <c r="E1" s="3" t="str">
        <f>'Income Statement'!E1</f>
        <v>4Q10</v>
      </c>
      <c r="F1" s="3" t="str">
        <f>'Income Statement'!F1</f>
        <v>1Q11</v>
      </c>
      <c r="G1" s="3" t="str">
        <f>'Income Statement'!G1</f>
        <v>2Q11</v>
      </c>
      <c r="H1" s="3" t="str">
        <f>'Income Statement'!H1</f>
        <v>3Q11</v>
      </c>
      <c r="I1" s="3" t="str">
        <f>'Income Statement'!I1</f>
        <v>4Q11</v>
      </c>
      <c r="J1" s="3" t="str">
        <f>'Income Statement'!J1</f>
        <v>1Q12</v>
      </c>
      <c r="K1" s="3" t="str">
        <f>'Income Statement'!K1</f>
        <v>2Q12</v>
      </c>
      <c r="L1" s="3" t="str">
        <f>'Income Statement'!L1</f>
        <v>3Q12</v>
      </c>
      <c r="M1" s="3" t="str">
        <f>'Income Statement'!M1</f>
        <v>4Q12</v>
      </c>
      <c r="N1" s="3" t="str">
        <f>'Income Statement'!N1</f>
        <v>1Q13</v>
      </c>
      <c r="O1" s="3" t="str">
        <f>'Income Statement'!O1</f>
        <v>2Q13</v>
      </c>
      <c r="P1" s="3" t="str">
        <f>'Income Statement'!P1</f>
        <v>3Q13</v>
      </c>
      <c r="Q1" s="3" t="str">
        <f>'Income Statement'!Q1</f>
        <v>4Q13</v>
      </c>
      <c r="R1" s="3" t="str">
        <f>'Income Statement'!R1</f>
        <v>1Q14</v>
      </c>
      <c r="S1" s="3" t="str">
        <f>'Income Statement'!S1</f>
        <v>2Q14</v>
      </c>
      <c r="T1" s="3" t="str">
        <f>'Income Statement'!T1</f>
        <v>3Q14</v>
      </c>
      <c r="U1" s="3" t="str">
        <f>'Income Statement'!U1</f>
        <v>4Q14</v>
      </c>
      <c r="V1" s="3" t="str">
        <f>'Income Statement'!V1</f>
        <v>1Q15</v>
      </c>
      <c r="W1" s="3" t="str">
        <f>'Income Statement'!W1</f>
        <v>2Q15</v>
      </c>
      <c r="X1" s="3" t="str">
        <f>'Income Statement'!X1</f>
        <v>3Q15</v>
      </c>
      <c r="Y1" s="3" t="str">
        <f>'Income Statement'!Y1</f>
        <v>4Q15</v>
      </c>
      <c r="Z1" s="3" t="str">
        <f>'Income Statement'!Z1</f>
        <v>1Q16</v>
      </c>
      <c r="AA1" s="3" t="str">
        <f>'Income Statement'!AA1</f>
        <v>2Q16</v>
      </c>
      <c r="AB1" s="3" t="str">
        <f>'Income Statement'!AB1</f>
        <v>3Q16</v>
      </c>
      <c r="AC1" s="3" t="str">
        <f>'Income Statement'!AC1</f>
        <v>4Q16</v>
      </c>
      <c r="AD1" s="3" t="str">
        <f>'Income Statement'!AD1</f>
        <v>1Q17</v>
      </c>
      <c r="AE1" s="3" t="str">
        <f>'Income Statement'!AE1</f>
        <v>2Q17</v>
      </c>
      <c r="AF1" s="3" t="str">
        <f>'Income Statement'!AF1</f>
        <v>3Q17</v>
      </c>
      <c r="AG1" s="3" t="str">
        <f>'Income Statement'!AG1</f>
        <v>4Q17</v>
      </c>
      <c r="AH1" s="3" t="str">
        <f>'Income Statement'!AH1</f>
        <v>1Q18</v>
      </c>
      <c r="AI1" s="3" t="str">
        <f>'Income Statement'!AI1</f>
        <v>2Q18</v>
      </c>
      <c r="AJ1" s="3" t="str">
        <f>'Income Statement'!AJ1</f>
        <v>3Q18</v>
      </c>
      <c r="AK1" s="3" t="str">
        <f>'Income Statement'!AK1</f>
        <v>4Q18</v>
      </c>
      <c r="AL1" s="3" t="str">
        <f>'Income Statement'!AL1</f>
        <v>1Q19</v>
      </c>
      <c r="AM1" s="3" t="str">
        <f>'Income Statement'!AM1</f>
        <v>2Q19</v>
      </c>
      <c r="AN1" s="3" t="str">
        <f>'Income Statement'!AN1</f>
        <v>3Q19</v>
      </c>
      <c r="AO1" s="3" t="str">
        <f>'Income Statement'!AO1</f>
        <v>4Q19</v>
      </c>
      <c r="AP1" s="3" t="str">
        <f>'Income Statement'!AP1</f>
        <v>1Q20</v>
      </c>
      <c r="AQ1" s="3" t="str">
        <f>'Income Statement'!AQ1</f>
        <v>2Q20</v>
      </c>
      <c r="AR1" s="3" t="str">
        <f>'Income Statement'!AR1</f>
        <v>3Q20</v>
      </c>
      <c r="AS1" s="3" t="str">
        <f>'Income Statement'!AS1</f>
        <v>4Q20</v>
      </c>
      <c r="AT1" s="3" t="str">
        <f>'Income Statement'!AT1</f>
        <v>1Q21</v>
      </c>
      <c r="AU1" s="3" t="str">
        <f>'Income Statement'!AU1</f>
        <v>2Q21</v>
      </c>
      <c r="AV1" s="3" t="str">
        <f>'Income Statement'!AV1</f>
        <v>3Q21</v>
      </c>
      <c r="AW1" s="3" t="str">
        <f>'Income Statement'!AW1</f>
        <v>4Q21</v>
      </c>
      <c r="AX1" s="3" t="str">
        <f>'Income Statement'!AX1</f>
        <v>1Q22</v>
      </c>
      <c r="AY1" s="3" t="str">
        <f>'Income Statement'!AY1</f>
        <v>2Q22</v>
      </c>
      <c r="AZ1" s="3" t="str">
        <f>'Income Statement'!AZ1</f>
        <v>3Q22</v>
      </c>
      <c r="BA1" s="3" t="str">
        <f>'Income Statement'!BA1</f>
        <v>4Q22</v>
      </c>
      <c r="BB1" s="3" t="str">
        <f>'Income Statement'!BB1</f>
        <v>1Q23</v>
      </c>
      <c r="BC1" s="3" t="str">
        <f>'Income Statement'!BC1</f>
        <v>2Q23</v>
      </c>
      <c r="BD1" s="3" t="str">
        <f>'Income Statement'!BD1</f>
        <v>3Q23</v>
      </c>
      <c r="BE1" s="3" t="str">
        <f>'Income Statement'!BE1</f>
        <v>4Q23</v>
      </c>
      <c r="BF1" s="3" t="str">
        <f>'Income Statement'!BF1</f>
        <v>1Q24</v>
      </c>
      <c r="BG1" s="3" t="str">
        <f>'Income Statement'!BG1</f>
        <v>2Q24</v>
      </c>
      <c r="BH1" s="3" t="str">
        <f>'Income Statement'!BH1</f>
        <v>3Q24</v>
      </c>
      <c r="BI1" s="3" t="str">
        <f>'Income Statement'!BI1</f>
        <v>4Q24</v>
      </c>
      <c r="BJ1" s="3" t="str">
        <f>'Income Statement'!BJ1</f>
        <v>1Q25</v>
      </c>
      <c r="BK1" s="3" t="str">
        <f>'Income Statement'!BK1</f>
        <v>2Q25</v>
      </c>
      <c r="BL1" s="3" t="str">
        <f>'Income Statement'!BL1</f>
        <v>3Q25</v>
      </c>
      <c r="BM1" s="3" t="str">
        <f>'Income Statement'!BM1</f>
        <v>4Q25E</v>
      </c>
      <c r="BN1" s="3" t="str">
        <f>'Income Statement'!BN1</f>
        <v>1Q26E</v>
      </c>
      <c r="BO1" s="3" t="str">
        <f>'Income Statement'!BO1</f>
        <v>2Q26E</v>
      </c>
      <c r="BP1" s="3" t="str">
        <f>'Income Statement'!BP1</f>
        <v>3Q26E</v>
      </c>
      <c r="BQ1" s="3" t="str">
        <f>'Income Statement'!BQ1</f>
        <v>4Q26E</v>
      </c>
      <c r="BR1" s="3" t="str">
        <f>'Income Statement'!BR1</f>
        <v>1Q27E</v>
      </c>
      <c r="BS1" s="3" t="str">
        <f>'Income Statement'!BS1</f>
        <v>2Q27E</v>
      </c>
      <c r="BT1" s="3" t="str">
        <f>'Income Statement'!BT1</f>
        <v>3Q27E</v>
      </c>
      <c r="BU1" s="3" t="str">
        <f>'Income Statement'!BU1</f>
        <v>4Q27E</v>
      </c>
      <c r="BV1" s="3" t="str">
        <f>'Income Statement'!BV1</f>
        <v>1Q28E</v>
      </c>
      <c r="BW1" s="3" t="str">
        <f>'Income Statement'!BW1</f>
        <v>2Q28E</v>
      </c>
      <c r="BX1" s="3" t="str">
        <f>'Income Statement'!BX1</f>
        <v>3Q28E</v>
      </c>
      <c r="BY1" s="3" t="str">
        <f>'Income Statement'!BY1</f>
        <v>4Q28E</v>
      </c>
      <c r="BZ1" s="3" t="str">
        <f>'Income Statement'!BZ1</f>
        <v>1Q29E</v>
      </c>
      <c r="CA1" s="3" t="str">
        <f>'Income Statement'!CA1</f>
        <v>2Q29E</v>
      </c>
      <c r="CB1" s="3" t="str">
        <f>'Income Statement'!CB1</f>
        <v>3Q29E</v>
      </c>
      <c r="CC1" s="3" t="str">
        <f>'Income Statement'!CC1</f>
        <v>4Q29E</v>
      </c>
      <c r="CD1" s="3" t="str">
        <f>'Income Statement'!CD1</f>
        <v>1Q30E</v>
      </c>
      <c r="CE1" s="3" t="str">
        <f>'Income Statement'!CE1</f>
        <v>2Q30E</v>
      </c>
      <c r="CF1" s="3" t="str">
        <f>'Income Statement'!CF1</f>
        <v>3Q30E</v>
      </c>
      <c r="CG1" s="3" t="str">
        <f>'Income Statement'!CG1</f>
        <v>4Q30E</v>
      </c>
      <c r="CH1" s="256"/>
      <c r="CI1" s="88">
        <f>'Income Statement'!CI1</f>
        <v>2010</v>
      </c>
      <c r="CJ1" s="3">
        <f>'Income Statement'!CJ1</f>
        <v>2011</v>
      </c>
      <c r="CK1" s="88">
        <f>'Income Statement'!CK1</f>
        <v>2012</v>
      </c>
      <c r="CL1" s="3">
        <f>'Income Statement'!CL1</f>
        <v>2013</v>
      </c>
      <c r="CM1" s="88">
        <f>'Income Statement'!CM1</f>
        <v>2014</v>
      </c>
      <c r="CN1" s="3">
        <f>'Income Statement'!CN1</f>
        <v>2015</v>
      </c>
      <c r="CO1" s="88">
        <f>'Income Statement'!CO1</f>
        <v>2016</v>
      </c>
      <c r="CP1" s="3">
        <f>'Income Statement'!CP1</f>
        <v>2017</v>
      </c>
      <c r="CQ1" s="88">
        <f>'Income Statement'!CQ1</f>
        <v>2018</v>
      </c>
      <c r="CR1" s="88">
        <f>'Income Statement'!CR1</f>
        <v>2019</v>
      </c>
      <c r="CS1" s="88">
        <f>'Income Statement'!CS1</f>
        <v>2020</v>
      </c>
      <c r="CT1" s="88">
        <f>'Income Statement'!CT1</f>
        <v>2021</v>
      </c>
      <c r="CU1" s="88">
        <f>'Income Statement'!CU1</f>
        <v>2022</v>
      </c>
      <c r="CV1" s="88">
        <f>'Income Statement'!CV1</f>
        <v>2023</v>
      </c>
      <c r="CW1" s="88">
        <f>'Income Statement'!CW1</f>
        <v>2024</v>
      </c>
      <c r="CX1" s="3" t="str">
        <f>'Income Statement'!CX1</f>
        <v>2025E</v>
      </c>
      <c r="CY1" s="88" t="str">
        <f>'Income Statement'!CY1</f>
        <v>2026E</v>
      </c>
      <c r="CZ1" s="88" t="str">
        <f>'Income Statement'!CZ1</f>
        <v>2027E</v>
      </c>
      <c r="DA1" s="88" t="str">
        <f>'Income Statement'!DA1</f>
        <v>2028E</v>
      </c>
      <c r="DB1" s="88" t="str">
        <f>'Income Statement'!DB1</f>
        <v>2029E</v>
      </c>
      <c r="DC1" s="88" t="str">
        <f>'Income Statement'!DC1</f>
        <v>2030E</v>
      </c>
    </row>
    <row r="2" spans="1:107" x14ac:dyDescent="0.2">
      <c r="CI2" s="92"/>
      <c r="CK2" s="92"/>
      <c r="CM2" s="92"/>
      <c r="CO2" s="92"/>
      <c r="CQ2" s="92"/>
      <c r="CR2" s="92"/>
      <c r="CS2" s="92"/>
      <c r="CT2" s="92"/>
      <c r="CU2" s="92"/>
      <c r="CV2" s="92"/>
      <c r="CW2" s="92"/>
      <c r="CY2" s="92"/>
      <c r="CZ2" s="92"/>
      <c r="DA2" s="92"/>
      <c r="DB2" s="92"/>
      <c r="DC2" s="92"/>
    </row>
    <row r="3" spans="1:107" x14ac:dyDescent="0.2">
      <c r="A3" s="1" t="s">
        <v>135</v>
      </c>
      <c r="B3" s="16">
        <f>'Income Statement'!B260</f>
        <v>1955</v>
      </c>
      <c r="C3" s="16">
        <f>'Income Statement'!C260</f>
        <v>1840</v>
      </c>
      <c r="D3" s="16">
        <f>'Income Statement'!D260</f>
        <v>2167</v>
      </c>
      <c r="E3" s="16">
        <f>'Income Statement'!E260</f>
        <v>2543</v>
      </c>
      <c r="F3" s="16">
        <f>'Income Statement'!F260</f>
        <v>1798</v>
      </c>
      <c r="G3" s="16">
        <f>'Income Statement'!G260</f>
        <v>2505</v>
      </c>
      <c r="H3" s="16">
        <f>'Income Statement'!H260</f>
        <v>2729</v>
      </c>
      <c r="I3" s="16">
        <f>'Income Statement'!I260</f>
        <v>2705</v>
      </c>
      <c r="J3" s="17">
        <v>2890</v>
      </c>
      <c r="K3" s="17">
        <v>2785</v>
      </c>
      <c r="L3" s="17">
        <v>2176</v>
      </c>
      <c r="M3" s="17">
        <v>2886</v>
      </c>
      <c r="N3" s="17">
        <v>3346</v>
      </c>
      <c r="O3" s="17">
        <v>3228</v>
      </c>
      <c r="P3" s="17">
        <v>2970</v>
      </c>
      <c r="Q3" s="17">
        <v>3376</v>
      </c>
      <c r="R3" s="17">
        <v>3371</v>
      </c>
      <c r="S3" s="17">
        <v>3351</v>
      </c>
      <c r="T3" s="17">
        <v>2739</v>
      </c>
      <c r="U3" s="17">
        <v>4675</v>
      </c>
      <c r="V3" s="16">
        <f>'Income Statement'!V260</f>
        <v>3515</v>
      </c>
      <c r="W3" s="16">
        <f>'Income Statement'!W260</f>
        <v>3931</v>
      </c>
      <c r="X3" s="16">
        <f>'Income Statement'!X260</f>
        <v>3979</v>
      </c>
      <c r="Y3" s="16">
        <f>'Income Statement'!Y260</f>
        <v>4923</v>
      </c>
      <c r="Z3" s="16">
        <f>'Income Statement'!Z260</f>
        <v>4207</v>
      </c>
      <c r="AA3" s="16">
        <f>'Income Statement'!AA260</f>
        <v>4877</v>
      </c>
      <c r="AB3" s="16">
        <f>'Income Statement'!AB260</f>
        <v>5061</v>
      </c>
      <c r="AC3" s="16">
        <f>'Income Statement'!AC260</f>
        <v>5333</v>
      </c>
      <c r="AD3" s="16">
        <f>'Income Statement'!AD260</f>
        <v>5426</v>
      </c>
      <c r="AE3" s="16">
        <f>'Income Statement'!AE260</f>
        <v>3524</v>
      </c>
      <c r="AF3" s="16">
        <f>'Income Statement'!AF260</f>
        <v>6732</v>
      </c>
      <c r="AG3" s="16">
        <f>'Income Statement'!AG260</f>
        <v>-3020</v>
      </c>
      <c r="AH3" s="16">
        <f>'Income Statement'!AH260</f>
        <v>9401</v>
      </c>
      <c r="AI3" s="16">
        <f>'Income Statement'!AI260</f>
        <v>3195</v>
      </c>
      <c r="AJ3" s="16">
        <f>'Income Statement'!AJ260</f>
        <v>9192</v>
      </c>
      <c r="AK3" s="16">
        <f>'Income Statement'!AK260</f>
        <v>8948</v>
      </c>
      <c r="AL3" s="16">
        <f>'Income Statement'!AL260</f>
        <v>6657</v>
      </c>
      <c r="AM3" s="16">
        <f>'Income Statement'!AM260</f>
        <v>9947</v>
      </c>
      <c r="AN3" s="16">
        <f>'Income Statement'!AN260</f>
        <v>7068</v>
      </c>
      <c r="AO3" s="16">
        <f>'Income Statement'!AO260</f>
        <v>10671</v>
      </c>
      <c r="AP3" s="16">
        <f>'Income Statement'!AP260</f>
        <v>6836</v>
      </c>
      <c r="AQ3" s="16">
        <f>'Income Statement'!AQ260</f>
        <v>6959</v>
      </c>
      <c r="AR3" s="16">
        <f>'Income Statement'!AR260</f>
        <v>11247</v>
      </c>
      <c r="AS3" s="16">
        <f>'Income Statement'!AS260</f>
        <v>15227</v>
      </c>
      <c r="AT3" s="16">
        <f>'Income Statement'!AT260</f>
        <v>17930</v>
      </c>
      <c r="AU3" s="16">
        <f>'Income Statement'!AU260</f>
        <v>18525</v>
      </c>
      <c r="AV3" s="16">
        <f>'Income Statement'!AV260</f>
        <v>18936</v>
      </c>
      <c r="AW3" s="16">
        <f>'Income Statement'!AW260</f>
        <v>20642</v>
      </c>
      <c r="AX3" s="16">
        <f>'Income Statement'!AX260</f>
        <v>16436</v>
      </c>
      <c r="AY3" s="16">
        <f>'Income Statement'!AY260</f>
        <v>16002</v>
      </c>
      <c r="AZ3" s="16">
        <f>'Income Statement'!AZ260</f>
        <v>13910</v>
      </c>
      <c r="BA3" s="16">
        <f>'Income Statement'!BA260</f>
        <v>13624</v>
      </c>
      <c r="BB3" s="16">
        <f>'Income Statement'!BB260</f>
        <v>15051</v>
      </c>
      <c r="BC3" s="16">
        <f>'Income Statement'!BC260</f>
        <v>18368</v>
      </c>
      <c r="BD3" s="16">
        <f>'Income Statement'!BD260</f>
        <v>19689</v>
      </c>
      <c r="BE3" s="16">
        <f>'Income Statement'!BE260</f>
        <v>20687</v>
      </c>
      <c r="BF3" s="16">
        <f>'Income Statement'!BF260</f>
        <v>23662</v>
      </c>
      <c r="BG3" s="16">
        <f>'Income Statement'!BG260</f>
        <v>23619</v>
      </c>
      <c r="BH3" s="16">
        <f>'Income Statement'!BH260</f>
        <v>26301</v>
      </c>
      <c r="BI3" s="16">
        <f>'Income Statement'!BI260</f>
        <v>26536</v>
      </c>
      <c r="BJ3" s="16">
        <f>'Income Statement'!BJ260</f>
        <v>34540</v>
      </c>
      <c r="BK3" s="16">
        <f>'Income Statement'!BK260</f>
        <v>28196</v>
      </c>
      <c r="BL3" s="16">
        <f>'Income Statement'!BL260</f>
        <v>34979</v>
      </c>
      <c r="BM3" s="16">
        <f>'Income Statement'!BM260</f>
        <v>30455.630398420122</v>
      </c>
      <c r="BN3" s="16">
        <f>'Income Statement'!BN260</f>
        <v>30344.399526919296</v>
      </c>
      <c r="BO3" s="16">
        <f>'Income Statement'!BO260</f>
        <v>31973.719617294722</v>
      </c>
      <c r="BP3" s="16">
        <f>'Income Statement'!BP260</f>
        <v>32972.664440251443</v>
      </c>
      <c r="BQ3" s="16">
        <f>'Income Statement'!BQ260</f>
        <v>34324.048077839936</v>
      </c>
      <c r="BR3" s="72">
        <f>'Income Statement'!BR260</f>
        <v>34881.652951068383</v>
      </c>
      <c r="BS3" s="72">
        <f>'Income Statement'!BS260</f>
        <v>36655.353371903628</v>
      </c>
      <c r="BT3" s="72">
        <f>'Income Statement'!BT260</f>
        <v>37907.140566040907</v>
      </c>
      <c r="BU3" s="72">
        <f>'Income Statement'!BU260</f>
        <v>39366.16710683077</v>
      </c>
      <c r="BV3" s="72">
        <f>'Income Statement'!BV260</f>
        <v>40414.951312448822</v>
      </c>
      <c r="BW3" s="72">
        <f>'Income Statement'!BW260</f>
        <v>42461.102762341558</v>
      </c>
      <c r="BX3" s="72">
        <f>'Income Statement'!BX260</f>
        <v>43859.983262155409</v>
      </c>
      <c r="BY3" s="72">
        <f>'Income Statement'!BY260</f>
        <v>45334.642228524928</v>
      </c>
      <c r="BZ3" s="72">
        <f>'Income Statement'!BZ260</f>
        <v>46647.091534646854</v>
      </c>
      <c r="CA3" s="72">
        <f>'Income Statement'!CA260</f>
        <v>48864.026323009224</v>
      </c>
      <c r="CB3" s="72">
        <f>'Income Statement'!CB260</f>
        <v>50404.456270365605</v>
      </c>
      <c r="CC3" s="72">
        <f>'Income Statement'!CC260</f>
        <v>51889.33957547343</v>
      </c>
      <c r="CD3" s="72">
        <f>'Income Statement'!CD260</f>
        <v>53444.951055379715</v>
      </c>
      <c r="CE3" s="72">
        <f>'Income Statement'!CE260</f>
        <v>56052.312756202009</v>
      </c>
      <c r="CF3" s="72">
        <f>'Income Statement'!CF260</f>
        <v>57647.266035578039</v>
      </c>
      <c r="CG3" s="72">
        <f>'Income Statement'!CG260</f>
        <v>59126.647349583931</v>
      </c>
      <c r="CH3" s="72"/>
      <c r="CI3" s="89">
        <f>SUM(B3:E3)</f>
        <v>8505</v>
      </c>
      <c r="CJ3" s="20">
        <f>SUM(F3:I3)</f>
        <v>9737</v>
      </c>
      <c r="CK3" s="89">
        <f>SUM(J3:M3)</f>
        <v>10737</v>
      </c>
      <c r="CL3" s="20">
        <f>SUM(N3:Q3)</f>
        <v>12920</v>
      </c>
      <c r="CM3" s="89">
        <f>SUM(R3:U3)</f>
        <v>14136</v>
      </c>
      <c r="CN3" s="20">
        <f>SUM(V3:Y3)</f>
        <v>16348</v>
      </c>
      <c r="CO3" s="89">
        <f>SUM(Z3:AC3)</f>
        <v>19478</v>
      </c>
      <c r="CP3" s="20">
        <f>SUM(AD3:AG3)</f>
        <v>12662</v>
      </c>
      <c r="CQ3" s="89">
        <f>SUM(AH3:AK3)</f>
        <v>30736</v>
      </c>
      <c r="CR3" s="89">
        <f>SUM(AL3:AO3)</f>
        <v>34343</v>
      </c>
      <c r="CS3" s="89">
        <f>SUM(AP3:AS3)</f>
        <v>40269</v>
      </c>
      <c r="CT3" s="89">
        <f>SUM(AT3:AW3)</f>
        <v>76033</v>
      </c>
      <c r="CU3" s="89">
        <f>SUM(AX3:BA3)</f>
        <v>59972</v>
      </c>
      <c r="CV3" s="89">
        <f>SUM(BB3:BE3)</f>
        <v>73795</v>
      </c>
      <c r="CW3" s="89">
        <f>SUM(BF3:BI3)</f>
        <v>100118</v>
      </c>
      <c r="CX3" s="20">
        <f>SUM(BJ3:BM3)</f>
        <v>128170.63039842012</v>
      </c>
      <c r="CY3" s="89">
        <f>SUM(BN3:BQ3)</f>
        <v>129614.8316623054</v>
      </c>
      <c r="CZ3" s="89">
        <f>SUM(BR3:BU3)</f>
        <v>148810.3139958437</v>
      </c>
      <c r="DA3" s="89">
        <f>SUM(BV3:BY3)</f>
        <v>172070.67956547072</v>
      </c>
      <c r="DB3" s="89">
        <f>SUM(BZ3:CC3)</f>
        <v>197804.91370349511</v>
      </c>
      <c r="DC3" s="89">
        <f>SUM(CD3:CG3)</f>
        <v>226271.17719674367</v>
      </c>
    </row>
    <row r="4" spans="1:107" x14ac:dyDescent="0.2">
      <c r="CI4" s="92"/>
      <c r="CK4" s="92"/>
      <c r="CM4" s="92"/>
      <c r="CO4" s="92"/>
      <c r="CQ4" s="92"/>
      <c r="CR4" s="92"/>
      <c r="CS4" s="92"/>
      <c r="CT4" s="92"/>
      <c r="CU4" s="92"/>
      <c r="CV4" s="92"/>
      <c r="CW4" s="92"/>
      <c r="CY4" s="92"/>
      <c r="CZ4" s="92"/>
      <c r="DA4" s="92"/>
      <c r="DB4" s="92"/>
      <c r="DC4" s="92"/>
    </row>
    <row r="5" spans="1:107" x14ac:dyDescent="0.2">
      <c r="A5" s="1" t="s">
        <v>150</v>
      </c>
      <c r="B5" s="17">
        <v>264</v>
      </c>
      <c r="C5" s="17">
        <v>266</v>
      </c>
      <c r="D5" s="17">
        <v>257</v>
      </c>
      <c r="E5" s="17">
        <v>280</v>
      </c>
      <c r="F5" s="17">
        <v>301</v>
      </c>
      <c r="G5" s="17">
        <v>347</v>
      </c>
      <c r="H5" s="17">
        <v>363</v>
      </c>
      <c r="I5" s="17">
        <v>385</v>
      </c>
      <c r="J5" s="17">
        <v>378</v>
      </c>
      <c r="K5" s="17">
        <v>473</v>
      </c>
      <c r="L5" s="17">
        <v>507</v>
      </c>
      <c r="M5" s="17">
        <v>630</v>
      </c>
      <c r="N5" s="17">
        <v>584</v>
      </c>
      <c r="O5" s="17">
        <v>747</v>
      </c>
      <c r="P5" s="17">
        <v>693</v>
      </c>
      <c r="Q5" s="17">
        <v>757</v>
      </c>
      <c r="R5" s="17">
        <v>816</v>
      </c>
      <c r="S5" s="17">
        <v>813</v>
      </c>
      <c r="T5" s="17">
        <v>884</v>
      </c>
      <c r="U5" s="17">
        <v>1010</v>
      </c>
      <c r="V5" s="17">
        <v>938</v>
      </c>
      <c r="W5" s="17">
        <v>1011</v>
      </c>
      <c r="X5" s="17">
        <v>1030</v>
      </c>
      <c r="Y5" s="17">
        <v>1153</v>
      </c>
      <c r="Z5" s="17">
        <v>1155</v>
      </c>
      <c r="AA5" s="17">
        <v>1271</v>
      </c>
      <c r="AB5" s="17">
        <v>1377</v>
      </c>
      <c r="AC5" s="17">
        <v>1464</v>
      </c>
      <c r="AD5" s="17">
        <v>1287</v>
      </c>
      <c r="AE5" s="17">
        <v>1424</v>
      </c>
      <c r="AF5" s="17">
        <v>1561</v>
      </c>
      <c r="AG5" s="17">
        <v>1831</v>
      </c>
      <c r="AH5" s="17">
        <v>1791</v>
      </c>
      <c r="AI5" s="17">
        <v>1862</v>
      </c>
      <c r="AJ5" s="17">
        <v>2138</v>
      </c>
      <c r="AK5" s="17">
        <v>2373</v>
      </c>
      <c r="AL5" s="17">
        <v>2416</v>
      </c>
      <c r="AM5" s="17">
        <v>2626</v>
      </c>
      <c r="AN5" s="17">
        <v>2732</v>
      </c>
      <c r="AO5" s="17">
        <v>3082</v>
      </c>
      <c r="AP5" s="17">
        <v>2899</v>
      </c>
      <c r="AQ5" s="17">
        <v>3178</v>
      </c>
      <c r="AR5" s="17">
        <v>3289</v>
      </c>
      <c r="AS5" s="17">
        <v>3539</v>
      </c>
      <c r="AT5" s="17">
        <v>2525</v>
      </c>
      <c r="AU5" s="18">
        <v>2730</v>
      </c>
      <c r="AV5" s="18">
        <v>3085</v>
      </c>
      <c r="AW5" s="18">
        <v>3215</v>
      </c>
      <c r="AX5" s="18">
        <v>3591</v>
      </c>
      <c r="AY5" s="18">
        <v>3698</v>
      </c>
      <c r="AZ5" s="18">
        <v>3933</v>
      </c>
      <c r="BA5" s="18">
        <v>4065</v>
      </c>
      <c r="BB5" s="18">
        <v>3060</v>
      </c>
      <c r="BC5" s="18">
        <v>3279</v>
      </c>
      <c r="BD5" s="18">
        <v>3671</v>
      </c>
      <c r="BE5" s="18">
        <v>3316</v>
      </c>
      <c r="BF5" s="18">
        <v>3413</v>
      </c>
      <c r="BG5" s="18">
        <v>3708</v>
      </c>
      <c r="BH5" s="18">
        <v>3985</v>
      </c>
      <c r="BI5" s="18">
        <v>4205</v>
      </c>
      <c r="BJ5" s="18">
        <v>4487</v>
      </c>
      <c r="BK5" s="18">
        <v>4998</v>
      </c>
      <c r="BL5" s="18">
        <v>5611</v>
      </c>
      <c r="BM5" s="72">
        <f>'Capex &amp; Depreciation'!BM20</f>
        <v>8328.0230604039243</v>
      </c>
      <c r="BN5" s="72">
        <f>'Capex &amp; Depreciation'!BN20</f>
        <v>6782.02622393415</v>
      </c>
      <c r="BO5" s="72">
        <f>'Capex &amp; Depreciation'!BO20</f>
        <v>8852.0881911046072</v>
      </c>
      <c r="BP5" s="72">
        <f>'Capex &amp; Depreciation'!BP20</f>
        <v>9446.407753788144</v>
      </c>
      <c r="BQ5" s="72">
        <f>'Capex &amp; Depreciation'!BQ20</f>
        <v>11260.127507458734</v>
      </c>
      <c r="BR5" s="72">
        <f>'Capex &amp; Depreciation'!BR20</f>
        <v>9434.0322301929682</v>
      </c>
      <c r="BS5" s="72">
        <f>'Capex &amp; Depreciation'!BS20</f>
        <v>12313.559774315949</v>
      </c>
      <c r="BT5" s="72">
        <f>'Capex &amp; Depreciation'!BT20</f>
        <v>13140.278770123407</v>
      </c>
      <c r="BU5" s="72">
        <f>'Capex &amp; Depreciation'!BU20</f>
        <v>15663.225460049405</v>
      </c>
      <c r="BV5" s="72">
        <f>'Capex &amp; Depreciation'!BV20</f>
        <v>12265.70466465672</v>
      </c>
      <c r="BW5" s="72">
        <f>'Capex &amp; Depreciation'!BW20</f>
        <v>16009.536948472682</v>
      </c>
      <c r="BX5" s="72">
        <f>'Capex &amp; Depreciation'!BX20</f>
        <v>17084.399827442136</v>
      </c>
      <c r="BY5" s="72">
        <f>'Capex &amp; Depreciation'!BY20</f>
        <v>20364.621712233449</v>
      </c>
      <c r="BZ5" s="72">
        <f>'Capex &amp; Depreciation'!BZ20</f>
        <v>15181.679414960714</v>
      </c>
      <c r="CA5" s="72">
        <f>'Capex &amp; Depreciation'!CA20</f>
        <v>19815.547836727816</v>
      </c>
      <c r="CB5" s="72">
        <f>'Capex &amp; Depreciation'!CB20</f>
        <v>21145.942142615229</v>
      </c>
      <c r="CC5" s="72">
        <f>'Capex &amp; Depreciation'!CC20</f>
        <v>25205.984221431547</v>
      </c>
      <c r="CD5" s="72">
        <f>'Capex &amp; Depreciation'!CD20</f>
        <v>17894.428075462671</v>
      </c>
      <c r="CE5" s="72">
        <f>'Capex &amp; Depreciation'!CE20</f>
        <v>23356.302412155324</v>
      </c>
      <c r="CF5" s="72">
        <f>'Capex &amp; Depreciation'!CF20</f>
        <v>24924.419124937922</v>
      </c>
      <c r="CG5" s="72">
        <f>'Capex &amp; Depreciation'!CG20</f>
        <v>29709.932570251214</v>
      </c>
      <c r="CH5" s="72"/>
      <c r="CI5" s="89">
        <f t="shared" ref="CI5:CI10" si="0">SUM(B5:E5)</f>
        <v>1067</v>
      </c>
      <c r="CJ5" s="20">
        <f t="shared" ref="CJ5:CJ10" si="1">SUM(F5:I5)</f>
        <v>1396</v>
      </c>
      <c r="CK5" s="89">
        <f t="shared" ref="CK5:CK10" si="2">SUM(J5:M5)</f>
        <v>1988</v>
      </c>
      <c r="CL5" s="20">
        <f t="shared" ref="CL5:CL10" si="3">SUM(N5:Q5)</f>
        <v>2781</v>
      </c>
      <c r="CM5" s="89">
        <f t="shared" ref="CM5:CM10" si="4">SUM(R5:U5)</f>
        <v>3523</v>
      </c>
      <c r="CN5" s="20">
        <f t="shared" ref="CN5:CN10" si="5">SUM(V5:Y5)</f>
        <v>4132</v>
      </c>
      <c r="CO5" s="89">
        <f t="shared" ref="CO5:CO10" si="6">SUM(Z5:AC5)</f>
        <v>5267</v>
      </c>
      <c r="CP5" s="20">
        <f t="shared" ref="CP5:CP10" si="7">SUM(AD5:AG5)</f>
        <v>6103</v>
      </c>
      <c r="CQ5" s="89">
        <f t="shared" ref="CQ5:CQ10" si="8">SUM(AH5:AK5)</f>
        <v>8164</v>
      </c>
      <c r="CR5" s="89">
        <f t="shared" ref="CR5:CR10" si="9">SUM(AL5:AO5)</f>
        <v>10856</v>
      </c>
      <c r="CS5" s="89">
        <f t="shared" ref="CS5:CS10" si="10">SUM(AP5:AS5)</f>
        <v>12905</v>
      </c>
      <c r="CT5" s="89">
        <f t="shared" ref="CT5:CT10" si="11">SUM(AT5:AW5)</f>
        <v>11555</v>
      </c>
      <c r="CU5" s="89">
        <f t="shared" ref="CU5:CU10" si="12">SUM(AX5:BA5)</f>
        <v>15287</v>
      </c>
      <c r="CV5" s="89">
        <f t="shared" ref="CV5:CV10" si="13">SUM(BB5:BE5)</f>
        <v>13326</v>
      </c>
      <c r="CW5" s="89">
        <f t="shared" ref="CW5:CW10" si="14">SUM(BF5:BI5)</f>
        <v>15311</v>
      </c>
      <c r="CX5" s="20">
        <f t="shared" ref="CX5:CX10" si="15">SUM(BJ5:BM5)</f>
        <v>23424.023060403924</v>
      </c>
      <c r="CY5" s="89">
        <f t="shared" ref="CY5:CY10" si="16">SUM(BN5:BQ5)</f>
        <v>36340.649676285633</v>
      </c>
      <c r="CZ5" s="89">
        <f t="shared" ref="CZ5:CZ10" si="17">SUM(BR5:BU5)</f>
        <v>50551.096234681725</v>
      </c>
      <c r="DA5" s="89">
        <f t="shared" ref="DA5:DA10" si="18">SUM(BV5:BY5)</f>
        <v>65724.263152804982</v>
      </c>
      <c r="DB5" s="89">
        <f t="shared" ref="DB5:DB10" si="19">SUM(BZ5:CC5)</f>
        <v>81349.153615735297</v>
      </c>
      <c r="DC5" s="89">
        <f>SUM(CD5:CG5)</f>
        <v>95885.082182807135</v>
      </c>
    </row>
    <row r="6" spans="1:107" x14ac:dyDescent="0.2">
      <c r="A6" s="1" t="s">
        <v>151</v>
      </c>
      <c r="B6" s="17">
        <v>67</v>
      </c>
      <c r="C6" s="17">
        <v>76</v>
      </c>
      <c r="D6" s="17">
        <v>85</v>
      </c>
      <c r="E6" s="17">
        <v>101</v>
      </c>
      <c r="F6" s="17">
        <v>100</v>
      </c>
      <c r="G6" s="17">
        <v>108</v>
      </c>
      <c r="H6" s="17">
        <v>129</v>
      </c>
      <c r="I6" s="17">
        <v>118</v>
      </c>
      <c r="J6" s="17">
        <v>133</v>
      </c>
      <c r="K6" s="17">
        <v>197</v>
      </c>
      <c r="L6" s="17">
        <v>321</v>
      </c>
      <c r="M6" s="17">
        <v>323</v>
      </c>
      <c r="N6" s="17">
        <v>315</v>
      </c>
      <c r="O6" s="17">
        <v>283</v>
      </c>
      <c r="P6" s="17">
        <v>281</v>
      </c>
      <c r="Q6" s="17">
        <v>279</v>
      </c>
      <c r="R6" s="17">
        <v>270</v>
      </c>
      <c r="S6" s="17">
        <v>266</v>
      </c>
      <c r="T6" s="17">
        <v>663</v>
      </c>
      <c r="U6" s="17">
        <v>257</v>
      </c>
      <c r="V6" s="17">
        <v>239</v>
      </c>
      <c r="W6" s="17">
        <v>223</v>
      </c>
      <c r="X6" s="17">
        <v>218</v>
      </c>
      <c r="Y6" s="17">
        <v>251</v>
      </c>
      <c r="Z6" s="17">
        <v>216</v>
      </c>
      <c r="AA6" s="17">
        <v>219</v>
      </c>
      <c r="AB6" s="17">
        <v>219</v>
      </c>
      <c r="AC6" s="17">
        <v>223</v>
      </c>
      <c r="AD6" s="17">
        <v>216</v>
      </c>
      <c r="AE6" s="17">
        <v>201</v>
      </c>
      <c r="AF6" s="17">
        <v>200</v>
      </c>
      <c r="AG6" s="17">
        <v>195</v>
      </c>
      <c r="AH6" s="17">
        <v>195</v>
      </c>
      <c r="AI6" s="17">
        <v>252</v>
      </c>
      <c r="AJ6" s="17">
        <v>217</v>
      </c>
      <c r="AK6" s="17">
        <v>207</v>
      </c>
      <c r="AL6" s="17">
        <v>197</v>
      </c>
      <c r="AM6" s="17">
        <v>209</v>
      </c>
      <c r="AN6" s="17">
        <v>188</v>
      </c>
      <c r="AO6" s="17">
        <v>331</v>
      </c>
      <c r="AP6" s="17">
        <v>209</v>
      </c>
      <c r="AQ6" s="17">
        <v>208</v>
      </c>
      <c r="AR6" s="17">
        <v>189</v>
      </c>
      <c r="AS6" s="17">
        <v>186</v>
      </c>
      <c r="AT6" s="17">
        <v>228</v>
      </c>
      <c r="AU6" s="18">
        <v>215</v>
      </c>
      <c r="AV6" s="18">
        <v>219</v>
      </c>
      <c r="AW6" s="18">
        <v>224</v>
      </c>
      <c r="AX6" s="18">
        <v>191</v>
      </c>
      <c r="AY6" s="18">
        <v>201</v>
      </c>
      <c r="AZ6" s="18">
        <v>113</v>
      </c>
      <c r="BA6" s="18">
        <v>136</v>
      </c>
      <c r="BB6" s="18">
        <v>126</v>
      </c>
      <c r="BC6" s="18">
        <v>118</v>
      </c>
      <c r="BD6" s="18">
        <v>129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72">
        <f>'Capex &amp; Depreciation'!BM33</f>
        <v>0</v>
      </c>
      <c r="BN6" s="72">
        <f>'Capex &amp; Depreciation'!BN33</f>
        <v>0</v>
      </c>
      <c r="BO6" s="72">
        <f>'Capex &amp; Depreciation'!BO33</f>
        <v>0</v>
      </c>
      <c r="BP6" s="72">
        <f>'Capex &amp; Depreciation'!BP33</f>
        <v>0</v>
      </c>
      <c r="BQ6" s="72">
        <f>'Capex &amp; Depreciation'!BQ33</f>
        <v>0</v>
      </c>
      <c r="BR6" s="72">
        <f>'Capex &amp; Depreciation'!BR33</f>
        <v>0</v>
      </c>
      <c r="BS6" s="72">
        <f>'Capex &amp; Depreciation'!BS33</f>
        <v>0</v>
      </c>
      <c r="BT6" s="72">
        <f>'Capex &amp; Depreciation'!BT33</f>
        <v>0</v>
      </c>
      <c r="BU6" s="72">
        <f>'Capex &amp; Depreciation'!BU33</f>
        <v>0</v>
      </c>
      <c r="BV6" s="72">
        <f>'Capex &amp; Depreciation'!BV33</f>
        <v>0</v>
      </c>
      <c r="BW6" s="72">
        <f>'Capex &amp; Depreciation'!BW33</f>
        <v>0</v>
      </c>
      <c r="BX6" s="72">
        <f>'Capex &amp; Depreciation'!BX33</f>
        <v>0</v>
      </c>
      <c r="BY6" s="72">
        <f>'Capex &amp; Depreciation'!BY33</f>
        <v>0</v>
      </c>
      <c r="BZ6" s="72">
        <f>'Capex &amp; Depreciation'!BZ33</f>
        <v>0</v>
      </c>
      <c r="CA6" s="72">
        <f>'Capex &amp; Depreciation'!CA33</f>
        <v>0</v>
      </c>
      <c r="CB6" s="72">
        <f>'Capex &amp; Depreciation'!CB33</f>
        <v>0</v>
      </c>
      <c r="CC6" s="72">
        <f>'Capex &amp; Depreciation'!CC33</f>
        <v>0</v>
      </c>
      <c r="CD6" s="72">
        <f>'Capex &amp; Depreciation'!CD33</f>
        <v>0</v>
      </c>
      <c r="CE6" s="72">
        <f>'Capex &amp; Depreciation'!CE33</f>
        <v>0</v>
      </c>
      <c r="CF6" s="72">
        <f>'Capex &amp; Depreciation'!CF33</f>
        <v>0</v>
      </c>
      <c r="CG6" s="72">
        <f>'Capex &amp; Depreciation'!CG33</f>
        <v>0</v>
      </c>
      <c r="CH6" s="72"/>
      <c r="CI6" s="89">
        <f t="shared" si="0"/>
        <v>329</v>
      </c>
      <c r="CJ6" s="20">
        <f t="shared" si="1"/>
        <v>455</v>
      </c>
      <c r="CK6" s="89">
        <f t="shared" si="2"/>
        <v>974</v>
      </c>
      <c r="CL6" s="20">
        <f t="shared" si="3"/>
        <v>1158</v>
      </c>
      <c r="CM6" s="89">
        <f t="shared" si="4"/>
        <v>1456</v>
      </c>
      <c r="CN6" s="20">
        <f t="shared" si="5"/>
        <v>931</v>
      </c>
      <c r="CO6" s="89">
        <f t="shared" si="6"/>
        <v>877</v>
      </c>
      <c r="CP6" s="20">
        <f t="shared" si="7"/>
        <v>812</v>
      </c>
      <c r="CQ6" s="89">
        <f t="shared" si="8"/>
        <v>871</v>
      </c>
      <c r="CR6" s="89">
        <f t="shared" si="9"/>
        <v>925</v>
      </c>
      <c r="CS6" s="89">
        <f t="shared" si="10"/>
        <v>792</v>
      </c>
      <c r="CT6" s="89">
        <f t="shared" si="11"/>
        <v>886</v>
      </c>
      <c r="CU6" s="89">
        <f t="shared" si="12"/>
        <v>641</v>
      </c>
      <c r="CV6" s="89">
        <f t="shared" si="13"/>
        <v>373</v>
      </c>
      <c r="CW6" s="89">
        <f t="shared" si="14"/>
        <v>0</v>
      </c>
      <c r="CX6" s="20">
        <f t="shared" si="15"/>
        <v>0</v>
      </c>
      <c r="CY6" s="89">
        <f t="shared" si="16"/>
        <v>0</v>
      </c>
      <c r="CZ6" s="89">
        <f t="shared" si="17"/>
        <v>0</v>
      </c>
      <c r="DA6" s="89">
        <f t="shared" si="18"/>
        <v>0</v>
      </c>
      <c r="DB6" s="89">
        <f t="shared" si="19"/>
        <v>0</v>
      </c>
      <c r="DC6" s="89">
        <f t="shared" ref="DC6:DC10" si="20">SUM(CD6:CG6)</f>
        <v>0</v>
      </c>
    </row>
    <row r="7" spans="1:107" x14ac:dyDescent="0.2">
      <c r="A7" s="1" t="s">
        <v>144</v>
      </c>
      <c r="B7" s="16">
        <f>-'Income Statement'!B228</f>
        <v>291</v>
      </c>
      <c r="C7" s="16">
        <f>-'Income Statement'!C228</f>
        <v>309</v>
      </c>
      <c r="D7" s="16">
        <f>-'Income Statement'!D228</f>
        <v>380</v>
      </c>
      <c r="E7" s="16">
        <f>-'Income Statement'!E228</f>
        <v>396</v>
      </c>
      <c r="F7" s="16">
        <f>-'Income Statement'!F228</f>
        <v>432</v>
      </c>
      <c r="G7" s="16">
        <f>-'Income Statement'!G228</f>
        <v>435</v>
      </c>
      <c r="H7" s="16">
        <f>-'Income Statement'!H228</f>
        <v>571</v>
      </c>
      <c r="I7" s="16">
        <f>-'Income Statement'!I228</f>
        <v>536</v>
      </c>
      <c r="J7" s="16">
        <f>-'Income Statement'!J228</f>
        <v>556</v>
      </c>
      <c r="K7" s="16">
        <f>-'Income Statement'!K228</f>
        <v>658</v>
      </c>
      <c r="L7" s="16">
        <f>-'Income Statement'!L228</f>
        <v>762</v>
      </c>
      <c r="M7" s="16">
        <f>-'Income Statement'!M228</f>
        <v>708</v>
      </c>
      <c r="N7" s="16">
        <f>-'Income Statement'!N228</f>
        <v>697</v>
      </c>
      <c r="O7" s="16">
        <f>-'Income Statement'!O228</f>
        <v>783</v>
      </c>
      <c r="P7" s="16">
        <f>-'Income Statement'!P228</f>
        <v>886</v>
      </c>
      <c r="Q7" s="16">
        <f>-'Income Statement'!Q228</f>
        <v>902</v>
      </c>
      <c r="R7" s="16">
        <f>-'Income Statement'!R228</f>
        <v>839</v>
      </c>
      <c r="S7" s="16">
        <f>-'Income Statement'!S228</f>
        <v>880</v>
      </c>
      <c r="T7" s="16">
        <f>-'Income Statement'!T228</f>
        <v>1255</v>
      </c>
      <c r="U7" s="16">
        <f>-'Income Statement'!U228</f>
        <v>1201</v>
      </c>
      <c r="V7" s="16">
        <f>-'Income Statement'!V228</f>
        <v>903</v>
      </c>
      <c r="W7" s="16">
        <f>-'Income Statement'!W228</f>
        <v>1132</v>
      </c>
      <c r="X7" s="16">
        <f>-'Income Statement'!X228</f>
        <v>1432</v>
      </c>
      <c r="Y7" s="16">
        <f>-'Income Statement'!Y228</f>
        <v>1436</v>
      </c>
      <c r="Z7" s="16">
        <f>-'Income Statement'!Z228</f>
        <v>1494</v>
      </c>
      <c r="AA7" s="16">
        <f>-'Income Statement'!AA228</f>
        <v>1503</v>
      </c>
      <c r="AB7" s="16">
        <f>-'Income Statement'!AB228</f>
        <v>1860</v>
      </c>
      <c r="AC7" s="16">
        <f>-'Income Statement'!AC228</f>
        <v>1846</v>
      </c>
      <c r="AD7" s="16">
        <f>-'Income Statement'!AD228</f>
        <v>2009</v>
      </c>
      <c r="AE7" s="16">
        <f>-'Income Statement'!AE228</f>
        <v>2003</v>
      </c>
      <c r="AF7" s="16">
        <f>-'Income Statement'!AF228</f>
        <v>1820</v>
      </c>
      <c r="AG7" s="16">
        <f>-'Income Statement'!AG228</f>
        <v>1847</v>
      </c>
      <c r="AH7" s="16">
        <f>-'Income Statement'!AH228</f>
        <v>2457</v>
      </c>
      <c r="AI7" s="16">
        <f>-'Income Statement'!AI228</f>
        <v>2413</v>
      </c>
      <c r="AJ7" s="16">
        <f>-'Income Statement'!AJ228</f>
        <v>2230</v>
      </c>
      <c r="AK7" s="16">
        <f>-'Income Statement'!AK228</f>
        <v>2253</v>
      </c>
      <c r="AL7" s="16">
        <f>-'Income Statement'!AL228</f>
        <v>2769</v>
      </c>
      <c r="AM7" s="16">
        <f>-'Income Statement'!AM228</f>
        <v>2756</v>
      </c>
      <c r="AN7" s="16">
        <f>-'Income Statement'!AN228</f>
        <v>2624</v>
      </c>
      <c r="AO7" s="16">
        <f>-'Income Statement'!AO228</f>
        <v>2645</v>
      </c>
      <c r="AP7" s="16">
        <f>-'Income Statement'!AP228</f>
        <v>3191</v>
      </c>
      <c r="AQ7" s="16">
        <f>-'Income Statement'!AQ228</f>
        <v>3382</v>
      </c>
      <c r="AR7" s="16">
        <f>-'Income Statement'!AR228</f>
        <v>3195</v>
      </c>
      <c r="AS7" s="16">
        <f>-'Income Statement'!AS228</f>
        <v>3223</v>
      </c>
      <c r="AT7" s="16">
        <f>-'Income Statement'!AT228</f>
        <v>3745</v>
      </c>
      <c r="AU7" s="72">
        <f>-'Income Statement'!AU228</f>
        <v>3803</v>
      </c>
      <c r="AV7" s="72">
        <f>-'Income Statement'!AV228</f>
        <v>3874</v>
      </c>
      <c r="AW7" s="72">
        <f>-'Income Statement'!AW228</f>
        <v>3954</v>
      </c>
      <c r="AX7" s="72">
        <f>-'Income Statement'!AX228</f>
        <v>4504</v>
      </c>
      <c r="AY7" s="72">
        <f>-'Income Statement'!AY228</f>
        <v>4782</v>
      </c>
      <c r="AZ7" s="72">
        <f>-'Income Statement'!AZ228</f>
        <v>4976</v>
      </c>
      <c r="BA7" s="72">
        <f>-'Income Statement'!BA228</f>
        <v>5100</v>
      </c>
      <c r="BB7" s="72">
        <f>-'Income Statement'!BB228</f>
        <v>5284</v>
      </c>
      <c r="BC7" s="72">
        <f>-'Income Statement'!BC228</f>
        <v>5774</v>
      </c>
      <c r="BD7" s="72">
        <f>-'Income Statement'!BD228</f>
        <v>5743</v>
      </c>
      <c r="BE7" s="72">
        <f>-'Income Statement'!BE228</f>
        <v>5659</v>
      </c>
      <c r="BF7" s="72">
        <f>-'Income Statement'!BF228</f>
        <v>5264</v>
      </c>
      <c r="BG7" s="72">
        <f>-'Income Statement'!BG228</f>
        <v>5865</v>
      </c>
      <c r="BH7" s="72">
        <f>-'Income Statement'!BH228</f>
        <v>5846</v>
      </c>
      <c r="BI7" s="72">
        <f>-'Income Statement'!BI228</f>
        <v>5810</v>
      </c>
      <c r="BJ7" s="72">
        <f>-'Income Statement'!BJ228</f>
        <v>5516</v>
      </c>
      <c r="BK7" s="72">
        <f>-'Income Statement'!BK228</f>
        <v>5998</v>
      </c>
      <c r="BL7" s="72">
        <f>-'Income Statement'!BL228</f>
        <v>6368</v>
      </c>
      <c r="BM7" s="16">
        <f>-'Income Statement'!BM228</f>
        <v>6391.0000000000009</v>
      </c>
      <c r="BN7" s="16">
        <f>-'Income Statement'!BN228</f>
        <v>6012.4400000000005</v>
      </c>
      <c r="BO7" s="16">
        <f>-'Income Statement'!BO228</f>
        <v>6537.8200000000006</v>
      </c>
      <c r="BP7" s="16">
        <f>-'Income Statement'!BP228</f>
        <v>6941.1200000000008</v>
      </c>
      <c r="BQ7" s="16">
        <f>-'Income Statement'!BQ228</f>
        <v>6966.1900000000014</v>
      </c>
      <c r="BR7" s="72">
        <f>-'Income Statement'!BR228</f>
        <v>6493.4352000000008</v>
      </c>
      <c r="BS7" s="72">
        <f>-'Income Statement'!BS228</f>
        <v>7060.8456000000015</v>
      </c>
      <c r="BT7" s="72">
        <f>-'Income Statement'!BT228</f>
        <v>7496.4096000000018</v>
      </c>
      <c r="BU7" s="72">
        <f>-'Income Statement'!BU228</f>
        <v>7523.4852000000019</v>
      </c>
      <c r="BV7" s="72">
        <f>-'Income Statement'!BV228</f>
        <v>7012.9100160000016</v>
      </c>
      <c r="BW7" s="72">
        <f>-'Income Statement'!BW228</f>
        <v>7484.496336000002</v>
      </c>
      <c r="BX7" s="72">
        <f>-'Income Statement'!BX228</f>
        <v>7946.1941760000027</v>
      </c>
      <c r="BY7" s="72">
        <f>-'Income Statement'!BY228</f>
        <v>7974.8943120000022</v>
      </c>
      <c r="BZ7" s="72">
        <f>-'Income Statement'!BZ228</f>
        <v>7433.6846169600021</v>
      </c>
      <c r="CA7" s="72">
        <f>-'Income Statement'!CA228</f>
        <v>7858.7211528000025</v>
      </c>
      <c r="CB7" s="72">
        <f>-'Income Statement'!CB228</f>
        <v>8343.503884800004</v>
      </c>
      <c r="CC7" s="72">
        <f>-'Income Statement'!CC228</f>
        <v>8373.639027600002</v>
      </c>
      <c r="CD7" s="72">
        <f>-'Income Statement'!CD228</f>
        <v>7805.368847808003</v>
      </c>
      <c r="CE7" s="72">
        <f>-'Income Statement'!CE228</f>
        <v>8251.6572104400038</v>
      </c>
      <c r="CF7" s="72">
        <f>-'Income Statement'!CF228</f>
        <v>8760.6790790400046</v>
      </c>
      <c r="CG7" s="72">
        <f>-'Income Statement'!CG228</f>
        <v>8792.3209789800021</v>
      </c>
      <c r="CH7" s="72"/>
      <c r="CI7" s="89">
        <f t="shared" si="0"/>
        <v>1376</v>
      </c>
      <c r="CJ7" s="20">
        <f t="shared" si="1"/>
        <v>1974</v>
      </c>
      <c r="CK7" s="89">
        <f t="shared" si="2"/>
        <v>2684</v>
      </c>
      <c r="CL7" s="20">
        <f t="shared" si="3"/>
        <v>3268</v>
      </c>
      <c r="CM7" s="89">
        <f t="shared" si="4"/>
        <v>4175</v>
      </c>
      <c r="CN7" s="20">
        <f t="shared" si="5"/>
        <v>4903</v>
      </c>
      <c r="CO7" s="89">
        <f t="shared" si="6"/>
        <v>6703</v>
      </c>
      <c r="CP7" s="20">
        <f t="shared" si="7"/>
        <v>7679</v>
      </c>
      <c r="CQ7" s="89">
        <f t="shared" si="8"/>
        <v>9353</v>
      </c>
      <c r="CR7" s="89">
        <f t="shared" si="9"/>
        <v>10794</v>
      </c>
      <c r="CS7" s="89">
        <f t="shared" si="10"/>
        <v>12991</v>
      </c>
      <c r="CT7" s="89">
        <f t="shared" si="11"/>
        <v>15376</v>
      </c>
      <c r="CU7" s="89">
        <f>SUM(AX7:BA7)</f>
        <v>19362</v>
      </c>
      <c r="CV7" s="89">
        <f t="shared" si="13"/>
        <v>22460</v>
      </c>
      <c r="CW7" s="89">
        <f t="shared" si="14"/>
        <v>22785</v>
      </c>
      <c r="CX7" s="20">
        <f t="shared" si="15"/>
        <v>24273</v>
      </c>
      <c r="CY7" s="89">
        <f t="shared" si="16"/>
        <v>26457.570000000007</v>
      </c>
      <c r="CZ7" s="89">
        <f t="shared" si="17"/>
        <v>28574.175600000006</v>
      </c>
      <c r="DA7" s="89">
        <f t="shared" si="18"/>
        <v>30418.494840000007</v>
      </c>
      <c r="DB7" s="89">
        <f t="shared" si="19"/>
        <v>32009.54868216001</v>
      </c>
      <c r="DC7" s="89">
        <f t="shared" si="20"/>
        <v>33610.026116268011</v>
      </c>
    </row>
    <row r="8" spans="1:107" x14ac:dyDescent="0.2">
      <c r="A8" s="1" t="s">
        <v>177</v>
      </c>
      <c r="B8" s="17">
        <v>-13</v>
      </c>
      <c r="C8" s="17">
        <v>9</v>
      </c>
      <c r="D8" s="17">
        <v>27</v>
      </c>
      <c r="E8" s="17">
        <v>-14</v>
      </c>
      <c r="F8" s="17">
        <v>289</v>
      </c>
      <c r="G8" s="17">
        <v>175</v>
      </c>
      <c r="H8" s="17">
        <v>62</v>
      </c>
      <c r="I8" s="17">
        <v>-183</v>
      </c>
      <c r="J8" s="17">
        <v>354</v>
      </c>
      <c r="K8" s="17">
        <v>-163</v>
      </c>
      <c r="L8" s="17">
        <v>-168</v>
      </c>
      <c r="M8" s="17">
        <v>-289</v>
      </c>
      <c r="N8" s="17">
        <v>202</v>
      </c>
      <c r="O8" s="17">
        <v>63</v>
      </c>
      <c r="P8" s="17">
        <v>-140</v>
      </c>
      <c r="Q8" s="17">
        <v>-562</v>
      </c>
      <c r="R8" s="17">
        <v>144</v>
      </c>
      <c r="S8" s="17">
        <v>-282</v>
      </c>
      <c r="T8" s="17">
        <v>-360</v>
      </c>
      <c r="U8" s="17">
        <v>394</v>
      </c>
      <c r="V8" s="17">
        <v>71</v>
      </c>
      <c r="W8" s="17">
        <v>-221</v>
      </c>
      <c r="X8" s="17">
        <v>-416</v>
      </c>
      <c r="Y8" s="17">
        <v>387</v>
      </c>
      <c r="Z8" s="17">
        <v>414</v>
      </c>
      <c r="AA8" s="17">
        <v>-50</v>
      </c>
      <c r="AB8" s="17">
        <v>-245</v>
      </c>
      <c r="AC8" s="17">
        <v>-157</v>
      </c>
      <c r="AD8" s="17">
        <v>613</v>
      </c>
      <c r="AE8" s="17">
        <v>-75</v>
      </c>
      <c r="AF8" s="17">
        <v>-296</v>
      </c>
      <c r="AG8" s="17">
        <v>16</v>
      </c>
      <c r="AH8" s="17">
        <v>-18</v>
      </c>
      <c r="AI8" s="17">
        <v>-139</v>
      </c>
      <c r="AJ8" s="17">
        <v>880</v>
      </c>
      <c r="AK8" s="17">
        <v>55</v>
      </c>
      <c r="AL8" s="17">
        <v>-73</v>
      </c>
      <c r="AM8" s="17">
        <v>693</v>
      </c>
      <c r="AN8" s="17">
        <v>-239</v>
      </c>
      <c r="AO8" s="17">
        <v>-208</v>
      </c>
      <c r="AP8" s="17">
        <v>175</v>
      </c>
      <c r="AQ8" s="17">
        <v>-591</v>
      </c>
      <c r="AR8" s="17">
        <v>136</v>
      </c>
      <c r="AS8" s="17">
        <v>1670</v>
      </c>
      <c r="AT8" s="17">
        <v>1100</v>
      </c>
      <c r="AU8" s="18">
        <v>379</v>
      </c>
      <c r="AV8" s="18">
        <v>-1287</v>
      </c>
      <c r="AW8" s="18">
        <v>1616</v>
      </c>
      <c r="AX8" s="18">
        <v>-2090</v>
      </c>
      <c r="AY8" s="18">
        <v>-2147</v>
      </c>
      <c r="AZ8" s="18">
        <v>-1920</v>
      </c>
      <c r="BA8" s="18">
        <v>-1924</v>
      </c>
      <c r="BB8" s="18">
        <v>-1854</v>
      </c>
      <c r="BC8" s="18">
        <v>-2415</v>
      </c>
      <c r="BD8" s="18">
        <v>-1824</v>
      </c>
      <c r="BE8" s="18">
        <v>-1670</v>
      </c>
      <c r="BF8" s="18">
        <v>419</v>
      </c>
      <c r="BG8" s="18">
        <v>-3157</v>
      </c>
      <c r="BH8" s="18">
        <v>-1071</v>
      </c>
      <c r="BI8" s="18">
        <v>-1448</v>
      </c>
      <c r="BJ8" s="18">
        <v>-1152</v>
      </c>
      <c r="BK8" s="18">
        <v>-444</v>
      </c>
      <c r="BL8" s="18">
        <v>8726</v>
      </c>
      <c r="BM8" s="72">
        <f>('Balance Sheet'!BL14-'Balance Sheet'!BM14)+('Balance Sheet'!BM35-'Balance Sheet'!BL35)</f>
        <v>-23794.034987427352</v>
      </c>
      <c r="BN8" s="72">
        <f>('Balance Sheet'!BM14-'Balance Sheet'!BN14)+('Balance Sheet'!BN35-'Balance Sheet'!BM35)</f>
        <v>6334.9003421736707</v>
      </c>
      <c r="BO8" s="72">
        <f>('Balance Sheet'!BN14-'Balance Sheet'!BO14)+('Balance Sheet'!BO35-'Balance Sheet'!BN35)</f>
        <v>-8482.3176573202654</v>
      </c>
      <c r="BP8" s="72">
        <f>('Balance Sheet'!BO14-'Balance Sheet'!BP14)+('Balance Sheet'!BP35-'Balance Sheet'!BO35)</f>
        <v>-2435.2929528637178</v>
      </c>
      <c r="BQ8" s="72">
        <f>('Balance Sheet'!BP14-'Balance Sheet'!BQ14)+('Balance Sheet'!BQ35-'Balance Sheet'!BP35)</f>
        <v>-7431.925872740685</v>
      </c>
      <c r="BR8" s="72">
        <f>('Balance Sheet'!BQ14-'Balance Sheet'!BR14)+('Balance Sheet'!BR35-'Balance Sheet'!BQ35)</f>
        <v>7482.6360079804654</v>
      </c>
      <c r="BS8" s="72">
        <f>('Balance Sheet'!BR14-'Balance Sheet'!BS14)+('Balance Sheet'!BS35-'Balance Sheet'!BR35)</f>
        <v>-11799.196217126162</v>
      </c>
      <c r="BT8" s="72">
        <f>('Balance Sheet'!BS14-'Balance Sheet'!BT14)+('Balance Sheet'!BT35-'Balance Sheet'!BS35)</f>
        <v>-3387.5764334557462</v>
      </c>
      <c r="BU8" s="72">
        <f>('Balance Sheet'!BT14-'Balance Sheet'!BU14)+('Balance Sheet'!BU35-'Balance Sheet'!BT35)</f>
        <v>-10338.065041448499</v>
      </c>
      <c r="BV8" s="72">
        <f>('Balance Sheet'!BU14-'Balance Sheet'!BV14)+('Balance Sheet'!BV35-'Balance Sheet'!BU35)</f>
        <v>13921.733306015136</v>
      </c>
      <c r="BW8" s="72">
        <f>('Balance Sheet'!BV14-'Balance Sheet'!BW14)+('Balance Sheet'!BW35-'Balance Sheet'!BV35)</f>
        <v>-15340.784571036384</v>
      </c>
      <c r="BX8" s="72">
        <f>('Balance Sheet'!BW14-'Balance Sheet'!BX14)+('Balance Sheet'!BX35-'Balance Sheet'!BW35)</f>
        <v>-4404.3746139363502</v>
      </c>
      <c r="BY8" s="72">
        <f>('Balance Sheet'!BX14-'Balance Sheet'!BY14)+('Balance Sheet'!BY35-'Balance Sheet'!BX35)</f>
        <v>-13441.087491369079</v>
      </c>
      <c r="BZ8" s="72">
        <f>('Balance Sheet'!BY14-'Balance Sheet'!BZ14)+('Balance Sheet'!BZ35-'Balance Sheet'!BY35)</f>
        <v>21237.703828316575</v>
      </c>
      <c r="CA8" s="72">
        <f>('Balance Sheet'!BZ14-'Balance Sheet'!CA14)+('Balance Sheet'!CA35-'Balance Sheet'!BZ35)</f>
        <v>-18987.810296993513</v>
      </c>
      <c r="CB8" s="72">
        <f>('Balance Sheet'!CA14-'Balance Sheet'!CB14)+('Balance Sheet'!CB35-'Balance Sheet'!CA35)</f>
        <v>-5451.4441069859604</v>
      </c>
      <c r="CC8" s="72">
        <f>('Balance Sheet'!CB14-'Balance Sheet'!CC14)+('Balance Sheet'!CC35-'Balance Sheet'!CB35)</f>
        <v>-16636.490675533045</v>
      </c>
      <c r="CD8" s="72">
        <f>('Balance Sheet'!CC14-'Balance Sheet'!CD14)+('Balance Sheet'!CD35-'Balance Sheet'!CC35)</f>
        <v>29959.944573163302</v>
      </c>
      <c r="CE8" s="72">
        <f>('Balance Sheet'!CD14-'Balance Sheet'!CE14)+('Balance Sheet'!CE35-'Balance Sheet'!CD35)</f>
        <v>-22380.660029960141</v>
      </c>
      <c r="CF8" s="72">
        <f>('Balance Sheet'!CE14-'Balance Sheet'!CF14)+('Balance Sheet'!CF35-'Balance Sheet'!CE35)</f>
        <v>-6425.5390865212394</v>
      </c>
      <c r="CG8" s="72">
        <f>('Balance Sheet'!CF14-'Balance Sheet'!CG14)+('Balance Sheet'!CG35-'Balance Sheet'!CF35)</f>
        <v>-19609.193270677555</v>
      </c>
      <c r="CH8" s="72"/>
      <c r="CI8" s="89">
        <f t="shared" si="0"/>
        <v>9</v>
      </c>
      <c r="CJ8" s="20">
        <f t="shared" si="1"/>
        <v>343</v>
      </c>
      <c r="CK8" s="89">
        <f t="shared" si="2"/>
        <v>-266</v>
      </c>
      <c r="CL8" s="20">
        <f t="shared" si="3"/>
        <v>-437</v>
      </c>
      <c r="CM8" s="89">
        <f t="shared" si="4"/>
        <v>-104</v>
      </c>
      <c r="CN8" s="20">
        <f t="shared" si="5"/>
        <v>-179</v>
      </c>
      <c r="CO8" s="89">
        <f t="shared" si="6"/>
        <v>-38</v>
      </c>
      <c r="CP8" s="20">
        <f t="shared" si="7"/>
        <v>258</v>
      </c>
      <c r="CQ8" s="89">
        <f t="shared" si="8"/>
        <v>778</v>
      </c>
      <c r="CR8" s="89">
        <f t="shared" si="9"/>
        <v>173</v>
      </c>
      <c r="CS8" s="89">
        <f t="shared" si="10"/>
        <v>1390</v>
      </c>
      <c r="CT8" s="89">
        <f t="shared" si="11"/>
        <v>1808</v>
      </c>
      <c r="CU8" s="89">
        <f t="shared" si="12"/>
        <v>-8081</v>
      </c>
      <c r="CV8" s="89">
        <f t="shared" si="13"/>
        <v>-7763</v>
      </c>
      <c r="CW8" s="89">
        <f t="shared" si="14"/>
        <v>-5257</v>
      </c>
      <c r="CX8" s="20">
        <f t="shared" si="15"/>
        <v>-16664.034987427352</v>
      </c>
      <c r="CY8" s="89">
        <f t="shared" si="16"/>
        <v>-12014.636140750998</v>
      </c>
      <c r="CZ8" s="89">
        <f t="shared" si="17"/>
        <v>-18042.201684049942</v>
      </c>
      <c r="DA8" s="89">
        <f t="shared" si="18"/>
        <v>-19264.513370326677</v>
      </c>
      <c r="DB8" s="89">
        <f t="shared" si="19"/>
        <v>-19838.041251195944</v>
      </c>
      <c r="DC8" s="89">
        <f t="shared" si="20"/>
        <v>-18455.447813995634</v>
      </c>
    </row>
    <row r="9" spans="1:107" x14ac:dyDescent="0.2">
      <c r="A9" s="1" t="s">
        <v>152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-2015</v>
      </c>
      <c r="AS9" s="17">
        <v>-3262</v>
      </c>
      <c r="AT9" s="17">
        <v>-4751</v>
      </c>
      <c r="AU9" s="18">
        <v>-2883</v>
      </c>
      <c r="AV9" s="18">
        <v>-2158</v>
      </c>
      <c r="AW9" s="18">
        <v>-2478</v>
      </c>
      <c r="AX9" s="18">
        <v>1437</v>
      </c>
      <c r="AY9" s="18">
        <v>1041</v>
      </c>
      <c r="AZ9" s="18">
        <v>1378</v>
      </c>
      <c r="BA9" s="18">
        <v>1663</v>
      </c>
      <c r="BB9" s="18">
        <v>-84</v>
      </c>
      <c r="BC9" s="18">
        <v>509</v>
      </c>
      <c r="BD9" s="18">
        <v>869</v>
      </c>
      <c r="BE9" s="18">
        <v>-471</v>
      </c>
      <c r="BF9" s="18">
        <v>-1781</v>
      </c>
      <c r="BG9" s="18">
        <v>1024</v>
      </c>
      <c r="BH9" s="18">
        <v>-1981</v>
      </c>
      <c r="BI9" s="18">
        <v>67</v>
      </c>
      <c r="BJ9" s="18">
        <v>-9960</v>
      </c>
      <c r="BK9" s="18">
        <v>-1451</v>
      </c>
      <c r="BL9" s="18">
        <v>-10855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76">
        <v>0</v>
      </c>
      <c r="BS9" s="76">
        <v>0</v>
      </c>
      <c r="BT9" s="76">
        <v>0</v>
      </c>
      <c r="BU9" s="76">
        <v>0</v>
      </c>
      <c r="BV9" s="76">
        <v>0</v>
      </c>
      <c r="BW9" s="76">
        <v>0</v>
      </c>
      <c r="BX9" s="76">
        <v>0</v>
      </c>
      <c r="BY9" s="76">
        <v>0</v>
      </c>
      <c r="BZ9" s="76">
        <v>0</v>
      </c>
      <c r="CA9" s="76">
        <v>0</v>
      </c>
      <c r="CB9" s="76">
        <v>0</v>
      </c>
      <c r="CC9" s="76">
        <v>0</v>
      </c>
      <c r="CD9" s="76">
        <v>0</v>
      </c>
      <c r="CE9" s="76">
        <v>0</v>
      </c>
      <c r="CF9" s="76">
        <v>0</v>
      </c>
      <c r="CG9" s="76">
        <v>0</v>
      </c>
      <c r="CH9" s="76"/>
      <c r="CI9" s="89">
        <f t="shared" si="0"/>
        <v>0</v>
      </c>
      <c r="CJ9" s="20">
        <f t="shared" si="1"/>
        <v>0</v>
      </c>
      <c r="CK9" s="89">
        <f t="shared" si="2"/>
        <v>0</v>
      </c>
      <c r="CL9" s="20">
        <f t="shared" si="3"/>
        <v>0</v>
      </c>
      <c r="CM9" s="89">
        <f t="shared" si="4"/>
        <v>0</v>
      </c>
      <c r="CN9" s="20">
        <f t="shared" si="5"/>
        <v>0</v>
      </c>
      <c r="CO9" s="89">
        <f t="shared" si="6"/>
        <v>0</v>
      </c>
      <c r="CP9" s="20">
        <f t="shared" si="7"/>
        <v>0</v>
      </c>
      <c r="CQ9" s="89">
        <f t="shared" si="8"/>
        <v>0</v>
      </c>
      <c r="CR9" s="89">
        <f t="shared" si="9"/>
        <v>0</v>
      </c>
      <c r="CS9" s="89">
        <f t="shared" si="10"/>
        <v>-5277</v>
      </c>
      <c r="CT9" s="89">
        <f t="shared" si="11"/>
        <v>-12270</v>
      </c>
      <c r="CU9" s="89">
        <f t="shared" si="12"/>
        <v>5519</v>
      </c>
      <c r="CV9" s="89">
        <f t="shared" si="13"/>
        <v>823</v>
      </c>
      <c r="CW9" s="89">
        <f t="shared" si="14"/>
        <v>-2671</v>
      </c>
      <c r="CX9" s="20">
        <f t="shared" si="15"/>
        <v>-22266</v>
      </c>
      <c r="CY9" s="89">
        <f t="shared" si="16"/>
        <v>0</v>
      </c>
      <c r="CZ9" s="89">
        <f t="shared" si="17"/>
        <v>0</v>
      </c>
      <c r="DA9" s="89">
        <f t="shared" si="18"/>
        <v>0</v>
      </c>
      <c r="DB9" s="89">
        <f t="shared" si="19"/>
        <v>0</v>
      </c>
      <c r="DC9" s="89">
        <f t="shared" si="20"/>
        <v>0</v>
      </c>
    </row>
    <row r="10" spans="1:107" x14ac:dyDescent="0.2">
      <c r="A10" s="1" t="s">
        <v>153</v>
      </c>
      <c r="B10" s="17">
        <v>-10</v>
      </c>
      <c r="C10" s="17">
        <v>-19</v>
      </c>
      <c r="D10" s="17">
        <v>-21</v>
      </c>
      <c r="E10" s="17">
        <v>-56</v>
      </c>
      <c r="F10" s="17">
        <v>12</v>
      </c>
      <c r="G10" s="17">
        <v>10</v>
      </c>
      <c r="H10" s="17">
        <v>-80</v>
      </c>
      <c r="I10" s="17">
        <v>88</v>
      </c>
      <c r="J10" s="17">
        <v>-96</v>
      </c>
      <c r="K10" s="17">
        <v>-203</v>
      </c>
      <c r="L10" s="17">
        <v>-26</v>
      </c>
      <c r="M10" s="17">
        <v>-79</v>
      </c>
      <c r="N10" s="17">
        <v>-57</v>
      </c>
      <c r="O10" s="17">
        <v>-885</v>
      </c>
      <c r="P10" s="17">
        <v>-21</v>
      </c>
      <c r="Q10" s="17">
        <v>-112</v>
      </c>
      <c r="R10" s="17">
        <v>-389</v>
      </c>
      <c r="S10" s="17">
        <v>-177</v>
      </c>
      <c r="T10" s="17">
        <v>-121</v>
      </c>
      <c r="U10" s="17">
        <v>-899</v>
      </c>
      <c r="V10" s="17">
        <v>148</v>
      </c>
      <c r="W10" s="17">
        <v>-39</v>
      </c>
      <c r="X10" s="17">
        <v>-98</v>
      </c>
      <c r="Y10" s="17">
        <v>163</v>
      </c>
      <c r="Z10" s="17">
        <v>344</v>
      </c>
      <c r="AA10" s="17">
        <v>41</v>
      </c>
      <c r="AB10" s="17">
        <v>-64</v>
      </c>
      <c r="AC10" s="17">
        <v>128</v>
      </c>
      <c r="AD10" s="17">
        <v>76</v>
      </c>
      <c r="AE10" s="17">
        <v>42</v>
      </c>
      <c r="AF10" s="17">
        <v>141</v>
      </c>
      <c r="AG10" s="17">
        <v>72</v>
      </c>
      <c r="AH10" s="17">
        <v>-3249</v>
      </c>
      <c r="AI10" s="17">
        <v>-931</v>
      </c>
      <c r="AJ10" s="17">
        <v>-1315</v>
      </c>
      <c r="AK10" s="17">
        <v>-1344</v>
      </c>
      <c r="AL10" s="17">
        <v>-1059</v>
      </c>
      <c r="AM10" s="17">
        <v>-2867</v>
      </c>
      <c r="AN10" s="17">
        <v>1408</v>
      </c>
      <c r="AO10" s="17">
        <v>-872</v>
      </c>
      <c r="AP10" s="17">
        <v>1099</v>
      </c>
      <c r="AQ10" s="17">
        <v>-1470</v>
      </c>
      <c r="AR10" s="17">
        <v>206</v>
      </c>
      <c r="AS10" s="17">
        <v>392</v>
      </c>
      <c r="AT10" s="17">
        <v>-255</v>
      </c>
      <c r="AU10" s="18">
        <v>-8</v>
      </c>
      <c r="AV10" s="18">
        <v>64</v>
      </c>
      <c r="AW10" s="18">
        <v>-14</v>
      </c>
      <c r="AX10" s="18">
        <v>140</v>
      </c>
      <c r="AY10" s="18">
        <v>62</v>
      </c>
      <c r="AZ10" s="18">
        <v>167</v>
      </c>
      <c r="BA10" s="18">
        <v>661</v>
      </c>
      <c r="BB10" s="18">
        <v>553</v>
      </c>
      <c r="BC10" s="18">
        <v>97</v>
      </c>
      <c r="BD10" s="18">
        <v>262</v>
      </c>
      <c r="BE10" s="18">
        <v>1665</v>
      </c>
      <c r="BF10" s="18">
        <v>334</v>
      </c>
      <c r="BG10" s="18">
        <v>851</v>
      </c>
      <c r="BH10" s="18">
        <v>1407</v>
      </c>
      <c r="BI10" s="18">
        <v>827</v>
      </c>
      <c r="BJ10" s="18">
        <v>481</v>
      </c>
      <c r="BK10" s="18">
        <v>560</v>
      </c>
      <c r="BL10" s="18">
        <v>-198</v>
      </c>
      <c r="BM10" s="23">
        <v>0</v>
      </c>
      <c r="BN10" s="23">
        <v>0</v>
      </c>
      <c r="BO10" s="23">
        <v>0</v>
      </c>
      <c r="BP10" s="23">
        <v>0</v>
      </c>
      <c r="BQ10" s="23">
        <v>0</v>
      </c>
      <c r="BR10" s="76">
        <v>0</v>
      </c>
      <c r="BS10" s="76">
        <v>0</v>
      </c>
      <c r="BT10" s="76">
        <v>0</v>
      </c>
      <c r="BU10" s="76">
        <v>0</v>
      </c>
      <c r="BV10" s="76">
        <v>0</v>
      </c>
      <c r="BW10" s="76">
        <v>0</v>
      </c>
      <c r="BX10" s="76">
        <v>0</v>
      </c>
      <c r="BY10" s="76">
        <v>0</v>
      </c>
      <c r="BZ10" s="76">
        <v>0</v>
      </c>
      <c r="CA10" s="76">
        <v>0</v>
      </c>
      <c r="CB10" s="76">
        <v>0</v>
      </c>
      <c r="CC10" s="76">
        <v>0</v>
      </c>
      <c r="CD10" s="76">
        <v>0</v>
      </c>
      <c r="CE10" s="76">
        <v>0</v>
      </c>
      <c r="CF10" s="76">
        <v>0</v>
      </c>
      <c r="CG10" s="76">
        <v>0</v>
      </c>
      <c r="CH10" s="76"/>
      <c r="CI10" s="89">
        <f t="shared" si="0"/>
        <v>-106</v>
      </c>
      <c r="CJ10" s="20">
        <f t="shared" si="1"/>
        <v>30</v>
      </c>
      <c r="CK10" s="89">
        <f t="shared" si="2"/>
        <v>-404</v>
      </c>
      <c r="CL10" s="20">
        <f t="shared" si="3"/>
        <v>-1075</v>
      </c>
      <c r="CM10" s="89">
        <f t="shared" si="4"/>
        <v>-1586</v>
      </c>
      <c r="CN10" s="20">
        <f t="shared" si="5"/>
        <v>174</v>
      </c>
      <c r="CO10" s="89">
        <f t="shared" si="6"/>
        <v>449</v>
      </c>
      <c r="CP10" s="20">
        <f t="shared" si="7"/>
        <v>331</v>
      </c>
      <c r="CQ10" s="89">
        <f t="shared" si="8"/>
        <v>-6839</v>
      </c>
      <c r="CR10" s="89">
        <f t="shared" si="9"/>
        <v>-3390</v>
      </c>
      <c r="CS10" s="89">
        <f t="shared" si="10"/>
        <v>227</v>
      </c>
      <c r="CT10" s="89">
        <f t="shared" si="11"/>
        <v>-213</v>
      </c>
      <c r="CU10" s="89">
        <f t="shared" si="12"/>
        <v>1030</v>
      </c>
      <c r="CV10" s="89">
        <f t="shared" si="13"/>
        <v>2577</v>
      </c>
      <c r="CW10" s="89">
        <f t="shared" si="14"/>
        <v>3419</v>
      </c>
      <c r="CX10" s="20">
        <f t="shared" si="15"/>
        <v>843</v>
      </c>
      <c r="CY10" s="89">
        <f t="shared" si="16"/>
        <v>0</v>
      </c>
      <c r="CZ10" s="89">
        <f t="shared" si="17"/>
        <v>0</v>
      </c>
      <c r="DA10" s="89">
        <f t="shared" si="18"/>
        <v>0</v>
      </c>
      <c r="DB10" s="89">
        <f t="shared" si="19"/>
        <v>0</v>
      </c>
      <c r="DC10" s="89">
        <f t="shared" si="20"/>
        <v>0</v>
      </c>
    </row>
    <row r="11" spans="1:107" x14ac:dyDescent="0.2"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92"/>
      <c r="CK11" s="92"/>
      <c r="CM11" s="92"/>
      <c r="CO11" s="92"/>
      <c r="CQ11" s="92"/>
      <c r="CR11" s="92"/>
      <c r="CS11" s="92"/>
      <c r="CT11" s="92"/>
      <c r="CU11" s="89"/>
      <c r="CV11" s="89"/>
      <c r="CW11" s="89"/>
      <c r="CX11" s="20"/>
      <c r="CY11" s="89"/>
      <c r="CZ11" s="89"/>
      <c r="DA11" s="89"/>
      <c r="DB11" s="89"/>
      <c r="DC11" s="89"/>
    </row>
    <row r="12" spans="1:107" x14ac:dyDescent="0.2">
      <c r="A12" s="1" t="s">
        <v>146</v>
      </c>
      <c r="B12" s="20">
        <f>SUM(B13:B20)</f>
        <v>30</v>
      </c>
      <c r="C12" s="20">
        <f t="shared" ref="C12:BN12" si="21">SUM(C13:C20)</f>
        <v>-396</v>
      </c>
      <c r="D12" s="20">
        <f t="shared" si="21"/>
        <v>-9</v>
      </c>
      <c r="E12" s="20">
        <f t="shared" si="21"/>
        <v>276</v>
      </c>
      <c r="F12" s="20">
        <f t="shared" si="21"/>
        <v>240</v>
      </c>
      <c r="G12" s="20">
        <f t="shared" si="21"/>
        <v>-61</v>
      </c>
      <c r="H12" s="20">
        <f t="shared" si="21"/>
        <v>176</v>
      </c>
      <c r="I12" s="20">
        <f t="shared" si="21"/>
        <v>275</v>
      </c>
      <c r="J12" s="20">
        <f t="shared" si="21"/>
        <v>-521</v>
      </c>
      <c r="K12" s="20">
        <f>SUM(K13:K20)</f>
        <v>505</v>
      </c>
      <c r="L12" s="20">
        <f t="shared" si="21"/>
        <v>432</v>
      </c>
      <c r="M12" s="20">
        <f t="shared" si="21"/>
        <v>482</v>
      </c>
      <c r="N12" s="20">
        <f t="shared" si="21"/>
        <v>-1465</v>
      </c>
      <c r="O12" s="20">
        <f t="shared" si="21"/>
        <v>422</v>
      </c>
      <c r="P12" s="20">
        <f t="shared" si="21"/>
        <v>414</v>
      </c>
      <c r="Q12" s="20">
        <f t="shared" si="21"/>
        <v>598</v>
      </c>
      <c r="R12" s="20">
        <f t="shared" si="21"/>
        <v>-708</v>
      </c>
      <c r="S12" s="20">
        <f t="shared" si="21"/>
        <v>741</v>
      </c>
      <c r="T12" s="20">
        <f t="shared" si="21"/>
        <v>899</v>
      </c>
      <c r="U12" s="20">
        <f t="shared" si="21"/>
        <v>-260</v>
      </c>
      <c r="V12" s="20">
        <f t="shared" si="21"/>
        <v>608</v>
      </c>
      <c r="W12" s="20">
        <f t="shared" si="21"/>
        <v>948</v>
      </c>
      <c r="X12" s="20">
        <f t="shared" si="21"/>
        <v>-138</v>
      </c>
      <c r="Y12" s="20">
        <f t="shared" si="21"/>
        <v>-1898</v>
      </c>
      <c r="Z12" s="20">
        <f t="shared" si="21"/>
        <v>-172</v>
      </c>
      <c r="AA12" s="20">
        <f t="shared" si="21"/>
        <v>1259</v>
      </c>
      <c r="AB12" s="20">
        <f t="shared" si="21"/>
        <v>1637</v>
      </c>
      <c r="AC12" s="20">
        <f t="shared" si="21"/>
        <v>576</v>
      </c>
      <c r="AD12" s="20">
        <f t="shared" si="21"/>
        <v>-79</v>
      </c>
      <c r="AE12" s="20">
        <f t="shared" si="21"/>
        <v>284</v>
      </c>
      <c r="AF12" s="20">
        <f t="shared" si="21"/>
        <v>-286</v>
      </c>
      <c r="AG12" s="20">
        <f t="shared" si="21"/>
        <v>9327</v>
      </c>
      <c r="AH12" s="20">
        <f t="shared" si="21"/>
        <v>1065</v>
      </c>
      <c r="AI12" s="20">
        <f t="shared" si="21"/>
        <v>3480</v>
      </c>
      <c r="AJ12" s="20">
        <f t="shared" si="21"/>
        <v>-132</v>
      </c>
      <c r="AK12" s="20">
        <f t="shared" si="21"/>
        <v>495</v>
      </c>
      <c r="AL12" s="20">
        <f t="shared" si="21"/>
        <v>1093</v>
      </c>
      <c r="AM12" s="20">
        <f t="shared" si="21"/>
        <v>-737</v>
      </c>
      <c r="AN12" s="20">
        <f t="shared" si="21"/>
        <v>1685</v>
      </c>
      <c r="AO12" s="20">
        <f t="shared" si="21"/>
        <v>-1222</v>
      </c>
      <c r="AP12" s="20">
        <f t="shared" si="21"/>
        <v>-2958</v>
      </c>
      <c r="AQ12" s="20">
        <f t="shared" si="21"/>
        <v>2327</v>
      </c>
      <c r="AR12" s="20">
        <f t="shared" si="21"/>
        <v>756</v>
      </c>
      <c r="AS12" s="20">
        <f t="shared" si="21"/>
        <v>1702</v>
      </c>
      <c r="AT12" s="20">
        <f t="shared" si="21"/>
        <v>-1233</v>
      </c>
      <c r="AU12" s="20">
        <f>SUM(AU13:AU20)</f>
        <v>-871</v>
      </c>
      <c r="AV12" s="20">
        <f>SUM(AV13:AV20)</f>
        <v>2806</v>
      </c>
      <c r="AW12" s="20">
        <f t="shared" si="21"/>
        <v>-2225</v>
      </c>
      <c r="AX12" s="20">
        <f t="shared" si="21"/>
        <v>897</v>
      </c>
      <c r="AY12" s="20">
        <f t="shared" si="21"/>
        <v>-4217</v>
      </c>
      <c r="AZ12" s="20">
        <f t="shared" si="21"/>
        <v>796</v>
      </c>
      <c r="BA12" s="20">
        <f t="shared" si="21"/>
        <v>289</v>
      </c>
      <c r="BB12" s="20">
        <f t="shared" si="21"/>
        <v>1373</v>
      </c>
      <c r="BC12" s="20">
        <f t="shared" si="21"/>
        <v>2936</v>
      </c>
      <c r="BD12" s="20">
        <f t="shared" si="21"/>
        <v>2117</v>
      </c>
      <c r="BE12" s="20">
        <f t="shared" si="21"/>
        <v>-10271</v>
      </c>
      <c r="BF12" s="20">
        <f t="shared" si="21"/>
        <v>-2463</v>
      </c>
      <c r="BG12" s="20">
        <f t="shared" si="21"/>
        <v>-5270</v>
      </c>
      <c r="BH12" s="20">
        <f t="shared" si="21"/>
        <v>-3789</v>
      </c>
      <c r="BI12" s="20">
        <f t="shared" si="21"/>
        <v>3116</v>
      </c>
      <c r="BJ12" s="20">
        <f t="shared" si="21"/>
        <v>2238</v>
      </c>
      <c r="BK12" s="20">
        <f t="shared" si="21"/>
        <v>-10110</v>
      </c>
      <c r="BL12" s="20">
        <f t="shared" si="21"/>
        <v>3783</v>
      </c>
      <c r="BM12" s="20">
        <f t="shared" si="21"/>
        <v>6712.9698752953254</v>
      </c>
      <c r="BN12" s="20">
        <f t="shared" si="21"/>
        <v>6604.6636122201326</v>
      </c>
      <c r="BO12" s="20">
        <f t="shared" ref="BO12:BQ12" si="22">SUM(BO13:BO20)</f>
        <v>-11741.8538297341</v>
      </c>
      <c r="BP12" s="20">
        <f t="shared" si="22"/>
        <v>9500.0345949596085</v>
      </c>
      <c r="BQ12" s="20">
        <f t="shared" si="22"/>
        <v>9518.0670397678296</v>
      </c>
      <c r="BR12" s="20">
        <f t="shared" ref="BR12:BU12" si="23">SUM(BR13:BR20)</f>
        <v>7279.656481394597</v>
      </c>
      <c r="BS12" s="20">
        <f t="shared" si="23"/>
        <v>-13576.393953552748</v>
      </c>
      <c r="BT12" s="20">
        <f t="shared" si="23"/>
        <v>11600.575689592248</v>
      </c>
      <c r="BU12" s="20">
        <f t="shared" si="23"/>
        <v>11089.471110145285</v>
      </c>
      <c r="BV12" s="20">
        <f t="shared" ref="BV12:CC12" si="24">SUM(BV13:BV20)</f>
        <v>7688.45459704922</v>
      </c>
      <c r="BW12" s="20">
        <f t="shared" si="24"/>
        <v>-15562.415319668637</v>
      </c>
      <c r="BX12" s="20">
        <f t="shared" si="24"/>
        <v>13957.679153842206</v>
      </c>
      <c r="BY12" s="20">
        <f t="shared" si="24"/>
        <v>12836.018530898817</v>
      </c>
      <c r="BZ12" s="20">
        <f t="shared" si="24"/>
        <v>7089.0291435387253</v>
      </c>
      <c r="CA12" s="20">
        <f t="shared" si="24"/>
        <v>-17542.323341628409</v>
      </c>
      <c r="CB12" s="20">
        <f t="shared" si="24"/>
        <v>16452.567642092246</v>
      </c>
      <c r="CC12" s="20">
        <f t="shared" si="24"/>
        <v>14803.123490771555</v>
      </c>
      <c r="CD12" s="20">
        <f t="shared" ref="CD12:CG12" si="25">SUM(CD13:CD20)</f>
        <v>6884.7944263516147</v>
      </c>
      <c r="CE12" s="20">
        <f t="shared" si="25"/>
        <v>-19728.643367820423</v>
      </c>
      <c r="CF12" s="20">
        <f t="shared" si="25"/>
        <v>19194.993188429016</v>
      </c>
      <c r="CG12" s="20">
        <f t="shared" si="25"/>
        <v>16865.62656131764</v>
      </c>
      <c r="CH12" s="20"/>
      <c r="CI12" s="89">
        <f>SUM(CI13:CI20)</f>
        <v>-99</v>
      </c>
      <c r="CJ12" s="20">
        <f t="shared" ref="CJ12:CY12" si="26">SUM(CJ13:CJ20)</f>
        <v>630</v>
      </c>
      <c r="CK12" s="89">
        <f t="shared" si="26"/>
        <v>898</v>
      </c>
      <c r="CL12" s="20">
        <f t="shared" si="26"/>
        <v>-31</v>
      </c>
      <c r="CM12" s="89">
        <f t="shared" si="26"/>
        <v>672</v>
      </c>
      <c r="CN12" s="20">
        <f t="shared" si="26"/>
        <v>-480</v>
      </c>
      <c r="CO12" s="89">
        <f t="shared" si="26"/>
        <v>3300</v>
      </c>
      <c r="CP12" s="20">
        <f t="shared" si="26"/>
        <v>9246</v>
      </c>
      <c r="CQ12" s="89">
        <f t="shared" si="26"/>
        <v>4908</v>
      </c>
      <c r="CR12" s="89">
        <f t="shared" si="26"/>
        <v>819</v>
      </c>
      <c r="CS12" s="89">
        <f t="shared" si="26"/>
        <v>1827</v>
      </c>
      <c r="CT12" s="89">
        <f>SUM(CT13:CT20)</f>
        <v>-1523</v>
      </c>
      <c r="CU12" s="89">
        <f t="shared" si="26"/>
        <v>-2235</v>
      </c>
      <c r="CV12" s="89">
        <f t="shared" si="26"/>
        <v>-3845</v>
      </c>
      <c r="CW12" s="89">
        <f t="shared" si="26"/>
        <v>-8406</v>
      </c>
      <c r="CX12" s="20">
        <f t="shared" si="26"/>
        <v>2623.9698752953254</v>
      </c>
      <c r="CY12" s="89">
        <f t="shared" si="26"/>
        <v>13880.91141721347</v>
      </c>
      <c r="CZ12" s="89">
        <f t="shared" ref="CZ12" si="27">SUM(CZ13:CZ20)</f>
        <v>16393.30932757938</v>
      </c>
      <c r="DA12" s="89">
        <f>SUM(DA13:DA20)</f>
        <v>18919.736962121606</v>
      </c>
      <c r="DB12" s="89">
        <f t="shared" ref="DB12" si="28">SUM(DB13:DB20)</f>
        <v>20802.396934774119</v>
      </c>
      <c r="DC12" s="89">
        <f>SUM(DC13:DC20)</f>
        <v>23216.770808277844</v>
      </c>
    </row>
    <row r="13" spans="1:107" x14ac:dyDescent="0.2">
      <c r="A13" s="29" t="s">
        <v>154</v>
      </c>
      <c r="B13" s="17">
        <v>46</v>
      </c>
      <c r="C13" s="17">
        <v>-243</v>
      </c>
      <c r="D13" s="17">
        <v>-259</v>
      </c>
      <c r="E13" s="17">
        <v>-673</v>
      </c>
      <c r="F13" s="17">
        <v>181</v>
      </c>
      <c r="G13" s="17">
        <v>-205</v>
      </c>
      <c r="H13" s="17">
        <v>-223</v>
      </c>
      <c r="I13" s="17">
        <v>-909</v>
      </c>
      <c r="J13" s="17">
        <v>301</v>
      </c>
      <c r="K13" s="17">
        <v>-222</v>
      </c>
      <c r="L13" s="17">
        <v>-307</v>
      </c>
      <c r="M13" s="17">
        <v>-559</v>
      </c>
      <c r="N13" s="17">
        <v>256</v>
      </c>
      <c r="O13" s="17">
        <v>-194</v>
      </c>
      <c r="P13" s="17">
        <v>-516</v>
      </c>
      <c r="Q13" s="17">
        <v>-853</v>
      </c>
      <c r="R13" s="17">
        <v>267</v>
      </c>
      <c r="S13" s="17">
        <v>-721</v>
      </c>
      <c r="T13" s="17">
        <v>-36</v>
      </c>
      <c r="U13" s="17">
        <v>-1151</v>
      </c>
      <c r="V13" s="17">
        <v>698</v>
      </c>
      <c r="W13" s="17">
        <v>-767</v>
      </c>
      <c r="X13" s="17">
        <v>-267</v>
      </c>
      <c r="Y13" s="17">
        <v>-1758</v>
      </c>
      <c r="Z13" s="17">
        <v>818</v>
      </c>
      <c r="AA13" s="17">
        <v>-835</v>
      </c>
      <c r="AB13" s="17">
        <v>-282</v>
      </c>
      <c r="AC13" s="17">
        <v>-2279</v>
      </c>
      <c r="AD13" s="17">
        <v>1267</v>
      </c>
      <c r="AE13" s="17">
        <v>-836</v>
      </c>
      <c r="AF13" s="17">
        <v>-1150</v>
      </c>
      <c r="AG13" s="17">
        <v>-3049</v>
      </c>
      <c r="AH13" s="17">
        <v>1700</v>
      </c>
      <c r="AI13" s="17">
        <v>-312</v>
      </c>
      <c r="AJ13" s="17">
        <v>-670</v>
      </c>
      <c r="AK13" s="17">
        <v>-2887</v>
      </c>
      <c r="AL13" s="17">
        <v>1172</v>
      </c>
      <c r="AM13" s="17">
        <v>-1146</v>
      </c>
      <c r="AN13" s="17">
        <v>-1</v>
      </c>
      <c r="AO13" s="17">
        <v>-4365</v>
      </c>
      <c r="AP13" s="17">
        <v>2602</v>
      </c>
      <c r="AQ13" s="17">
        <v>-80</v>
      </c>
      <c r="AR13" s="17">
        <v>-3601</v>
      </c>
      <c r="AS13" s="17">
        <v>-5445</v>
      </c>
      <c r="AT13" s="17">
        <v>2794</v>
      </c>
      <c r="AU13" s="18">
        <v>-3661</v>
      </c>
      <c r="AV13" s="18">
        <v>-2409</v>
      </c>
      <c r="AW13" s="18">
        <v>-5819</v>
      </c>
      <c r="AX13" s="18">
        <v>4364</v>
      </c>
      <c r="AY13" s="18">
        <v>-1969</v>
      </c>
      <c r="AZ13" s="18">
        <v>-97</v>
      </c>
      <c r="BA13" s="18">
        <v>-4615</v>
      </c>
      <c r="BB13" s="18">
        <v>4454</v>
      </c>
      <c r="BC13" s="18">
        <v>-2948</v>
      </c>
      <c r="BD13" s="18">
        <v>-2821</v>
      </c>
      <c r="BE13" s="18">
        <v>-6518</v>
      </c>
      <c r="BF13" s="18">
        <v>3167</v>
      </c>
      <c r="BG13" s="18">
        <v>-3057</v>
      </c>
      <c r="BH13" s="18">
        <v>-1431</v>
      </c>
      <c r="BI13" s="18">
        <v>-4570</v>
      </c>
      <c r="BJ13" s="18">
        <v>1638</v>
      </c>
      <c r="BK13" s="18">
        <v>-2839</v>
      </c>
      <c r="BL13" s="18">
        <v>-2381</v>
      </c>
      <c r="BM13" s="16">
        <f>'Working Capital'!BL11-'Working Capital'!BM11</f>
        <v>1204.5972935328391</v>
      </c>
      <c r="BN13" s="16">
        <f>'Working Capital'!BM11-'Working Capital'!BN11</f>
        <v>1517.9183458656989</v>
      </c>
      <c r="BO13" s="16">
        <f>'Working Capital'!BN11-'Working Capital'!BO11</f>
        <v>-3881.0198072433923</v>
      </c>
      <c r="BP13" s="16">
        <f>'Working Capital'!BO11-'Working Capital'!BP11</f>
        <v>-2757.1515714367852</v>
      </c>
      <c r="BQ13" s="16">
        <f>'Working Capital'!BP11-'Working Capital'!BQ11</f>
        <v>2470.9139434367971</v>
      </c>
      <c r="BR13" s="72">
        <f>'Working Capital'!BQ11-'Working Capital'!BR11</f>
        <v>803.77568801761663</v>
      </c>
      <c r="BS13" s="72">
        <f>'Working Capital'!BR11-'Working Capital'!BS11</f>
        <v>-3929.8396354699944</v>
      </c>
      <c r="BT13" s="72">
        <f>'Working Capital'!BS11-'Working Capital'!BT11</f>
        <v>-2925.4566498644635</v>
      </c>
      <c r="BU13" s="72">
        <f>'Working Capital'!BT11-'Working Capital'!BU11</f>
        <v>3423.0069053404659</v>
      </c>
      <c r="BV13" s="72">
        <f>'Working Capital'!BU11-'Working Capital'!BV11</f>
        <v>602.44704919693322</v>
      </c>
      <c r="BW13" s="72">
        <f>'Working Capital'!BV11-'Working Capital'!BW11</f>
        <v>-3943.7484515275428</v>
      </c>
      <c r="BX13" s="72">
        <f>'Working Capital'!BW11-'Working Capital'!BX11</f>
        <v>-3058.5396527083212</v>
      </c>
      <c r="BY13" s="72">
        <f>'Working Capital'!BX11-'Working Capital'!BY11</f>
        <v>4520.9918991330123</v>
      </c>
      <c r="BZ13" s="72">
        <f>'Working Capital'!BY11-'Working Capital'!BZ11</f>
        <v>533.08461791100854</v>
      </c>
      <c r="CA13" s="72">
        <f>'Working Capital'!BZ11-'Working Capital'!CA11</f>
        <v>-3910.961948006392</v>
      </c>
      <c r="CB13" s="72">
        <f>'Working Capital'!CA11-'Working Capital'!CB11</f>
        <v>-3122.8109956920525</v>
      </c>
      <c r="CC13" s="72">
        <f>'Working Capital'!CB11-'Working Capital'!CC11</f>
        <v>5747.246823674468</v>
      </c>
      <c r="CD13" s="72">
        <f>'Working Capital'!CC11-'Working Capital'!CD11</f>
        <v>406.16459783055325</v>
      </c>
      <c r="CE13" s="72">
        <f>'Working Capital'!CD11-'Working Capital'!CE11</f>
        <v>-3831.7706263634755</v>
      </c>
      <c r="CF13" s="72">
        <f>'Working Capital'!CE11-'Working Capital'!CF11</f>
        <v>-3102.4035153785517</v>
      </c>
      <c r="CG13" s="72">
        <f>'Working Capital'!CF11-'Working Capital'!CG11</f>
        <v>7087.1651734367042</v>
      </c>
      <c r="CH13" s="72"/>
      <c r="CI13" s="89">
        <f t="shared" ref="CI13:CI20" si="29">SUM(B13:E13)</f>
        <v>-1129</v>
      </c>
      <c r="CJ13" s="20">
        <f t="shared" ref="CJ13:CJ20" si="30">SUM(F13:I13)</f>
        <v>-1156</v>
      </c>
      <c r="CK13" s="89">
        <f t="shared" ref="CK13:CK20" si="31">SUM(J13:M13)</f>
        <v>-787</v>
      </c>
      <c r="CL13" s="20">
        <f t="shared" ref="CL13:CL20" si="32">SUM(N13:Q13)</f>
        <v>-1307</v>
      </c>
      <c r="CM13" s="89">
        <f t="shared" ref="CM13:CM20" si="33">SUM(R13:U13)</f>
        <v>-1641</v>
      </c>
      <c r="CN13" s="20">
        <f t="shared" ref="CN13:CN20" si="34">SUM(V13:Y13)</f>
        <v>-2094</v>
      </c>
      <c r="CO13" s="89">
        <f t="shared" ref="CO13:CO20" si="35">SUM(Z13:AC13)</f>
        <v>-2578</v>
      </c>
      <c r="CP13" s="20">
        <f t="shared" ref="CP13:CP20" si="36">SUM(AD13:AG13)</f>
        <v>-3768</v>
      </c>
      <c r="CQ13" s="89">
        <f t="shared" ref="CQ13:CQ20" si="37">SUM(AH13:AK13)</f>
        <v>-2169</v>
      </c>
      <c r="CR13" s="89">
        <f t="shared" ref="CR13:CR20" si="38">SUM(AL13:AO13)</f>
        <v>-4340</v>
      </c>
      <c r="CS13" s="89">
        <f>SUM(AP13:AS13)</f>
        <v>-6524</v>
      </c>
      <c r="CT13" s="89">
        <f t="shared" ref="CT13:CT20" si="39">SUM(AT13:AW13)</f>
        <v>-9095</v>
      </c>
      <c r="CU13" s="89">
        <f t="shared" ref="CU13:CU20" si="40">SUM(AX13:BA13)</f>
        <v>-2317</v>
      </c>
      <c r="CV13" s="89">
        <f t="shared" ref="CV13:CV20" si="41">SUM(BB13:BE13)</f>
        <v>-7833</v>
      </c>
      <c r="CW13" s="89">
        <f t="shared" ref="CW13:CW20" si="42">SUM(BF13:BI13)</f>
        <v>-5891</v>
      </c>
      <c r="CX13" s="20">
        <f t="shared" ref="CX13:CX20" si="43">SUM(BJ13:BM13)</f>
        <v>-2377.4027064671609</v>
      </c>
      <c r="CY13" s="89">
        <f t="shared" ref="CY13:CY20" si="44">SUM(BN13:BQ13)</f>
        <v>-2649.3390893776814</v>
      </c>
      <c r="CZ13" s="89">
        <f t="shared" ref="CZ13:CZ19" si="45">SUM(BR13:BU13)</f>
        <v>-2628.5136919763754</v>
      </c>
      <c r="DA13" s="89">
        <f t="shared" ref="DA13:DA20" si="46">SUM(BV13:BY13)</f>
        <v>-1878.8491559059185</v>
      </c>
      <c r="DB13" s="89">
        <f t="shared" ref="DB13:DB20" si="47">SUM(BZ13:CC13)</f>
        <v>-753.44150211296801</v>
      </c>
      <c r="DC13" s="89">
        <f>SUM(CD13:CG13)</f>
        <v>559.15562952523032</v>
      </c>
    </row>
    <row r="14" spans="1:107" x14ac:dyDescent="0.2">
      <c r="A14" s="29" t="s">
        <v>155</v>
      </c>
      <c r="B14" s="17">
        <v>381</v>
      </c>
      <c r="C14" s="17">
        <v>-545</v>
      </c>
      <c r="D14" s="17">
        <v>-131</v>
      </c>
      <c r="E14" s="17">
        <v>397</v>
      </c>
      <c r="F14" s="17">
        <v>73</v>
      </c>
      <c r="G14" s="17">
        <v>-171</v>
      </c>
      <c r="H14" s="17">
        <v>366</v>
      </c>
      <c r="I14" s="17">
        <v>463</v>
      </c>
      <c r="J14" s="17">
        <v>143</v>
      </c>
      <c r="K14" s="17">
        <v>1026</v>
      </c>
      <c r="L14" s="17">
        <v>167</v>
      </c>
      <c r="M14" s="17">
        <v>156</v>
      </c>
      <c r="N14" s="17">
        <v>-335</v>
      </c>
      <c r="O14" s="17">
        <v>179</v>
      </c>
      <c r="P14" s="17">
        <v>77</v>
      </c>
      <c r="Q14" s="17">
        <v>480</v>
      </c>
      <c r="R14" s="17">
        <v>282</v>
      </c>
      <c r="S14" s="17">
        <v>-192</v>
      </c>
      <c r="T14" s="17">
        <v>487</v>
      </c>
      <c r="U14" s="17">
        <v>14</v>
      </c>
      <c r="V14" s="17">
        <v>756</v>
      </c>
      <c r="W14" s="17">
        <v>1123</v>
      </c>
      <c r="X14" s="17">
        <v>-857</v>
      </c>
      <c r="Y14" s="17">
        <v>-1272</v>
      </c>
      <c r="Z14" s="17">
        <v>271</v>
      </c>
      <c r="AA14" s="17">
        <v>1409</v>
      </c>
      <c r="AB14" s="17">
        <v>473</v>
      </c>
      <c r="AC14" s="17">
        <v>972</v>
      </c>
      <c r="AD14" s="17">
        <v>510</v>
      </c>
      <c r="AE14" s="17">
        <v>-2289</v>
      </c>
      <c r="AF14" s="17">
        <v>914</v>
      </c>
      <c r="AG14" s="17">
        <v>9076</v>
      </c>
      <c r="AH14" s="17">
        <v>782</v>
      </c>
      <c r="AI14" s="17">
        <v>-1438</v>
      </c>
      <c r="AJ14" s="17">
        <v>-1235</v>
      </c>
      <c r="AK14" s="17">
        <v>-360</v>
      </c>
      <c r="AL14" s="17">
        <v>1068</v>
      </c>
      <c r="AM14" s="17">
        <v>-1043</v>
      </c>
      <c r="AN14" s="17">
        <v>185</v>
      </c>
      <c r="AO14" s="17">
        <v>-3338</v>
      </c>
      <c r="AP14" s="17">
        <v>-245</v>
      </c>
      <c r="AQ14" s="17">
        <v>783</v>
      </c>
      <c r="AR14" s="17">
        <v>-69</v>
      </c>
      <c r="AS14" s="17">
        <v>740</v>
      </c>
      <c r="AT14" s="17">
        <v>785</v>
      </c>
      <c r="AU14" s="18">
        <v>-1082</v>
      </c>
      <c r="AV14" s="18">
        <v>3041</v>
      </c>
      <c r="AW14" s="18">
        <v>-3369</v>
      </c>
      <c r="AX14" s="18">
        <v>3820</v>
      </c>
      <c r="AY14" s="18">
        <v>-4073</v>
      </c>
      <c r="AZ14" s="18">
        <v>-609</v>
      </c>
      <c r="BA14" s="18">
        <v>1446</v>
      </c>
      <c r="BB14" s="18">
        <v>4069</v>
      </c>
      <c r="BC14" s="18">
        <v>4451</v>
      </c>
      <c r="BD14" s="18">
        <v>1872</v>
      </c>
      <c r="BE14" s="18">
        <v>-9869</v>
      </c>
      <c r="BF14" s="18">
        <v>3011</v>
      </c>
      <c r="BG14" s="18">
        <v>-3900</v>
      </c>
      <c r="BH14" s="18">
        <v>-1908</v>
      </c>
      <c r="BI14" s="18">
        <v>379</v>
      </c>
      <c r="BJ14" s="18">
        <v>7197</v>
      </c>
      <c r="BK14" s="18">
        <v>-9631</v>
      </c>
      <c r="BL14" s="18">
        <v>-858</v>
      </c>
      <c r="BM14" s="72">
        <f>('Balance Sheet'!BL6-'Balance Sheet'!BM6)+('Balance Sheet'!BM29-'Balance Sheet'!BL29)+('Balance Sheet'!BM34-'Balance Sheet'!BL34)</f>
        <v>0</v>
      </c>
      <c r="BN14" s="72">
        <f>('Balance Sheet'!BM6-'Balance Sheet'!BN6)+('Balance Sheet'!BN29-'Balance Sheet'!BM29)+('Balance Sheet'!BN34-'Balance Sheet'!BM34)</f>
        <v>0</v>
      </c>
      <c r="BO14" s="72">
        <f>('Balance Sheet'!BN6-'Balance Sheet'!BO6)+('Balance Sheet'!BO29-'Balance Sheet'!BN29)+('Balance Sheet'!BO34-'Balance Sheet'!BN34)</f>
        <v>0</v>
      </c>
      <c r="BP14" s="72">
        <f>('Balance Sheet'!BO6-'Balance Sheet'!BP6)+('Balance Sheet'!BP29-'Balance Sheet'!BO29)+('Balance Sheet'!BP34-'Balance Sheet'!BO34)</f>
        <v>0</v>
      </c>
      <c r="BQ14" s="72">
        <f>('Balance Sheet'!BP6-'Balance Sheet'!BQ6)+('Balance Sheet'!BQ29-'Balance Sheet'!BP29)+('Balance Sheet'!BQ34-'Balance Sheet'!BP34)</f>
        <v>0</v>
      </c>
      <c r="BR14" s="72">
        <f>('Balance Sheet'!BQ6-'Balance Sheet'!BR6)+('Balance Sheet'!BR29-'Balance Sheet'!BQ29)+('Balance Sheet'!BR34-'Balance Sheet'!BQ34)</f>
        <v>0</v>
      </c>
      <c r="BS14" s="72">
        <f>('Balance Sheet'!BR6-'Balance Sheet'!BS6)+('Balance Sheet'!BS29-'Balance Sheet'!BR29)+('Balance Sheet'!BS34-'Balance Sheet'!BR34)</f>
        <v>0</v>
      </c>
      <c r="BT14" s="72">
        <f>('Balance Sheet'!BS6-'Balance Sheet'!BT6)+('Balance Sheet'!BT29-'Balance Sheet'!BS29)+('Balance Sheet'!BT34-'Balance Sheet'!BS34)</f>
        <v>0</v>
      </c>
      <c r="BU14" s="72">
        <f>('Balance Sheet'!BT6-'Balance Sheet'!BU6)+('Balance Sheet'!BU29-'Balance Sheet'!BT29)+('Balance Sheet'!BU34-'Balance Sheet'!BT34)</f>
        <v>0</v>
      </c>
      <c r="BV14" s="72">
        <f>('Balance Sheet'!BU6-'Balance Sheet'!BV6)+('Balance Sheet'!BV29-'Balance Sheet'!BU29)+('Balance Sheet'!BV34-'Balance Sheet'!BU34)</f>
        <v>0</v>
      </c>
      <c r="BW14" s="72">
        <f>('Balance Sheet'!BV6-'Balance Sheet'!BW6)+('Balance Sheet'!BW29-'Balance Sheet'!BV29)+('Balance Sheet'!BW34-'Balance Sheet'!BV34)</f>
        <v>0</v>
      </c>
      <c r="BX14" s="72">
        <f>('Balance Sheet'!BW6-'Balance Sheet'!BX6)+('Balance Sheet'!BX29-'Balance Sheet'!BW29)+('Balance Sheet'!BX34-'Balance Sheet'!BW34)</f>
        <v>0</v>
      </c>
      <c r="BY14" s="72">
        <f>('Balance Sheet'!BX6-'Balance Sheet'!BY6)+('Balance Sheet'!BY29-'Balance Sheet'!BX29)+('Balance Sheet'!BY34-'Balance Sheet'!BX34)</f>
        <v>0</v>
      </c>
      <c r="BZ14" s="72">
        <f>('Balance Sheet'!BY6-'Balance Sheet'!BZ6)+('Balance Sheet'!BZ29-'Balance Sheet'!BY29)+('Balance Sheet'!BZ34-'Balance Sheet'!BY34)</f>
        <v>0</v>
      </c>
      <c r="CA14" s="72">
        <f>('Balance Sheet'!BZ6-'Balance Sheet'!CA6)+('Balance Sheet'!CA29-'Balance Sheet'!BZ29)+('Balance Sheet'!CA34-'Balance Sheet'!BZ34)</f>
        <v>0</v>
      </c>
      <c r="CB14" s="72">
        <f>('Balance Sheet'!CA6-'Balance Sheet'!CB6)+('Balance Sheet'!CB29-'Balance Sheet'!CA29)+('Balance Sheet'!CB34-'Balance Sheet'!CA34)</f>
        <v>0</v>
      </c>
      <c r="CC14" s="72">
        <f>('Balance Sheet'!CB6-'Balance Sheet'!CC6)+('Balance Sheet'!CC29-'Balance Sheet'!CB29)+('Balance Sheet'!CC34-'Balance Sheet'!CB34)</f>
        <v>0</v>
      </c>
      <c r="CD14" s="72">
        <f>('Balance Sheet'!CC6-'Balance Sheet'!CD6)+('Balance Sheet'!CD29-'Balance Sheet'!CC29)+('Balance Sheet'!CD34-'Balance Sheet'!CC34)</f>
        <v>0</v>
      </c>
      <c r="CE14" s="72">
        <f>('Balance Sheet'!CD6-'Balance Sheet'!CE6)+('Balance Sheet'!CE29-'Balance Sheet'!CD29)+('Balance Sheet'!CE34-'Balance Sheet'!CD34)</f>
        <v>0</v>
      </c>
      <c r="CF14" s="72">
        <f>('Balance Sheet'!CE6-'Balance Sheet'!CF6)+('Balance Sheet'!CF29-'Balance Sheet'!CE29)+('Balance Sheet'!CF34-'Balance Sheet'!CE34)</f>
        <v>0</v>
      </c>
      <c r="CG14" s="72">
        <f>('Balance Sheet'!CF6-'Balance Sheet'!CG6)+('Balance Sheet'!CG29-'Balance Sheet'!CF29)+('Balance Sheet'!CG34-'Balance Sheet'!CF34)</f>
        <v>0</v>
      </c>
      <c r="CH14" s="72"/>
      <c r="CI14" s="89">
        <f t="shared" si="29"/>
        <v>102</v>
      </c>
      <c r="CJ14" s="20">
        <f t="shared" si="30"/>
        <v>731</v>
      </c>
      <c r="CK14" s="89">
        <f t="shared" si="31"/>
        <v>1492</v>
      </c>
      <c r="CL14" s="20">
        <f t="shared" si="32"/>
        <v>401</v>
      </c>
      <c r="CM14" s="89">
        <f t="shared" si="33"/>
        <v>591</v>
      </c>
      <c r="CN14" s="20">
        <f t="shared" si="34"/>
        <v>-250</v>
      </c>
      <c r="CO14" s="89">
        <f t="shared" si="35"/>
        <v>3125</v>
      </c>
      <c r="CP14" s="20">
        <f t="shared" si="36"/>
        <v>8211</v>
      </c>
      <c r="CQ14" s="89">
        <f t="shared" si="37"/>
        <v>-2251</v>
      </c>
      <c r="CR14" s="89">
        <f t="shared" si="38"/>
        <v>-3128</v>
      </c>
      <c r="CS14" s="89">
        <f t="shared" ref="CS14:CS20" si="48">SUM(AP14:AS14)</f>
        <v>1209</v>
      </c>
      <c r="CT14" s="89">
        <f t="shared" si="39"/>
        <v>-625</v>
      </c>
      <c r="CU14" s="89">
        <f t="shared" si="40"/>
        <v>584</v>
      </c>
      <c r="CV14" s="89">
        <f t="shared" si="41"/>
        <v>523</v>
      </c>
      <c r="CW14" s="89">
        <f t="shared" si="42"/>
        <v>-2418</v>
      </c>
      <c r="CX14" s="20">
        <f t="shared" si="43"/>
        <v>-3292</v>
      </c>
      <c r="CY14" s="89">
        <f t="shared" si="44"/>
        <v>0</v>
      </c>
      <c r="CZ14" s="89">
        <f t="shared" si="45"/>
        <v>0</v>
      </c>
      <c r="DA14" s="89">
        <f t="shared" si="46"/>
        <v>0</v>
      </c>
      <c r="DB14" s="89">
        <f t="shared" si="47"/>
        <v>0</v>
      </c>
      <c r="DC14" s="89">
        <f t="shared" ref="DC14:DC20" si="49">SUM(CD14:CG14)</f>
        <v>0</v>
      </c>
    </row>
    <row r="15" spans="1:107" x14ac:dyDescent="0.2">
      <c r="A15" s="29" t="s">
        <v>238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2</v>
      </c>
      <c r="H15" s="17">
        <v>0</v>
      </c>
      <c r="I15" s="17">
        <v>0</v>
      </c>
      <c r="J15" s="17">
        <v>0</v>
      </c>
      <c r="K15" s="17">
        <v>202</v>
      </c>
      <c r="L15" s="17">
        <v>18</v>
      </c>
      <c r="M15" s="17">
        <v>113</v>
      </c>
      <c r="N15" s="17">
        <v>-142</v>
      </c>
      <c r="O15" s="17">
        <v>-16</v>
      </c>
      <c r="P15" s="17">
        <v>112</v>
      </c>
      <c r="Q15" s="17">
        <v>-188</v>
      </c>
      <c r="R15" s="17">
        <v>26</v>
      </c>
      <c r="S15" s="17">
        <v>-6</v>
      </c>
      <c r="T15" s="17">
        <v>26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72">
        <f>'Working Capital'!BL13-'Working Capital'!BM13</f>
        <v>0</v>
      </c>
      <c r="BN15" s="72">
        <f>'Working Capital'!BM13-'Working Capital'!BN13</f>
        <v>0</v>
      </c>
      <c r="BO15" s="72">
        <f>'Working Capital'!BN13-'Working Capital'!BO13</f>
        <v>0</v>
      </c>
      <c r="BP15" s="72">
        <f>'Working Capital'!BO13-'Working Capital'!BP13</f>
        <v>0</v>
      </c>
      <c r="BQ15" s="72">
        <f>'Working Capital'!BP13-'Working Capital'!BQ13</f>
        <v>0</v>
      </c>
      <c r="BR15" s="72">
        <f>'Working Capital'!BQ13-'Working Capital'!BR13</f>
        <v>0</v>
      </c>
      <c r="BS15" s="72">
        <f>'Working Capital'!BR13-'Working Capital'!BS13</f>
        <v>0</v>
      </c>
      <c r="BT15" s="72">
        <f>'Working Capital'!BS13-'Working Capital'!BT13</f>
        <v>0</v>
      </c>
      <c r="BU15" s="72">
        <f>'Working Capital'!BT13-'Working Capital'!BU13</f>
        <v>0</v>
      </c>
      <c r="BV15" s="72">
        <f>'Working Capital'!BU13-'Working Capital'!BV13</f>
        <v>0</v>
      </c>
      <c r="BW15" s="72">
        <f>'Working Capital'!BV13-'Working Capital'!BW13</f>
        <v>0</v>
      </c>
      <c r="BX15" s="72">
        <f>'Working Capital'!BW13-'Working Capital'!BX13</f>
        <v>0</v>
      </c>
      <c r="BY15" s="72">
        <f>'Working Capital'!BX13-'Working Capital'!BY13</f>
        <v>0</v>
      </c>
      <c r="BZ15" s="72">
        <f>'Working Capital'!BY13-'Working Capital'!BZ13</f>
        <v>0</v>
      </c>
      <c r="CA15" s="72">
        <f>'Working Capital'!BZ13-'Working Capital'!CA13</f>
        <v>0</v>
      </c>
      <c r="CB15" s="72">
        <f>'Working Capital'!CA13-'Working Capital'!CB13</f>
        <v>0</v>
      </c>
      <c r="CC15" s="72">
        <f>'Working Capital'!CB13-'Working Capital'!CC13</f>
        <v>0</v>
      </c>
      <c r="CD15" s="72">
        <f>'Working Capital'!CC13-'Working Capital'!CD13</f>
        <v>0</v>
      </c>
      <c r="CE15" s="72">
        <f>'Working Capital'!CD13-'Working Capital'!CE13</f>
        <v>0</v>
      </c>
      <c r="CF15" s="72">
        <f>'Working Capital'!CE13-'Working Capital'!CF13</f>
        <v>0</v>
      </c>
      <c r="CG15" s="72">
        <f>'Working Capital'!CF13-'Working Capital'!CG13</f>
        <v>0</v>
      </c>
      <c r="CH15" s="72"/>
      <c r="CI15" s="89">
        <f t="shared" si="29"/>
        <v>0</v>
      </c>
      <c r="CJ15" s="20">
        <f t="shared" si="30"/>
        <v>2</v>
      </c>
      <c r="CK15" s="89">
        <f t="shared" si="31"/>
        <v>333</v>
      </c>
      <c r="CL15" s="20">
        <f t="shared" si="32"/>
        <v>-234</v>
      </c>
      <c r="CM15" s="89">
        <f t="shared" si="33"/>
        <v>46</v>
      </c>
      <c r="CN15" s="20">
        <f t="shared" si="34"/>
        <v>0</v>
      </c>
      <c r="CO15" s="89">
        <f t="shared" si="35"/>
        <v>0</v>
      </c>
      <c r="CP15" s="20">
        <f t="shared" si="36"/>
        <v>0</v>
      </c>
      <c r="CQ15" s="89">
        <f t="shared" si="37"/>
        <v>0</v>
      </c>
      <c r="CR15" s="89">
        <f t="shared" si="38"/>
        <v>0</v>
      </c>
      <c r="CS15" s="89">
        <f t="shared" si="48"/>
        <v>0</v>
      </c>
      <c r="CT15" s="89">
        <f t="shared" si="39"/>
        <v>0</v>
      </c>
      <c r="CU15" s="89">
        <f t="shared" si="40"/>
        <v>0</v>
      </c>
      <c r="CV15" s="89">
        <f t="shared" si="41"/>
        <v>0</v>
      </c>
      <c r="CW15" s="89">
        <f t="shared" si="42"/>
        <v>0</v>
      </c>
      <c r="CX15" s="20">
        <f t="shared" si="43"/>
        <v>0</v>
      </c>
      <c r="CY15" s="89">
        <f t="shared" si="44"/>
        <v>0</v>
      </c>
      <c r="CZ15" s="89">
        <f t="shared" si="45"/>
        <v>0</v>
      </c>
      <c r="DA15" s="89">
        <f t="shared" si="46"/>
        <v>0</v>
      </c>
      <c r="DB15" s="89">
        <f t="shared" si="47"/>
        <v>0</v>
      </c>
      <c r="DC15" s="89">
        <f t="shared" si="49"/>
        <v>0</v>
      </c>
    </row>
    <row r="16" spans="1:107" x14ac:dyDescent="0.2">
      <c r="A16" s="29" t="s">
        <v>147</v>
      </c>
      <c r="B16" s="17">
        <v>-157</v>
      </c>
      <c r="C16" s="17">
        <v>-34</v>
      </c>
      <c r="D16" s="17">
        <v>-164</v>
      </c>
      <c r="E16" s="17">
        <v>-59</v>
      </c>
      <c r="F16" s="17">
        <v>-78</v>
      </c>
      <c r="G16" s="18">
        <v>-72</v>
      </c>
      <c r="H16" s="18">
        <v>2</v>
      </c>
      <c r="I16" s="18">
        <v>-116</v>
      </c>
      <c r="J16" s="18">
        <v>-308</v>
      </c>
      <c r="K16" s="18">
        <v>-912</v>
      </c>
      <c r="L16" s="18">
        <v>-27</v>
      </c>
      <c r="M16" s="18">
        <v>382</v>
      </c>
      <c r="N16" s="18">
        <v>-212</v>
      </c>
      <c r="O16" s="18">
        <v>-136</v>
      </c>
      <c r="P16" s="18">
        <v>199</v>
      </c>
      <c r="Q16" s="18">
        <v>-547</v>
      </c>
      <c r="R16" s="18">
        <v>-334</v>
      </c>
      <c r="S16" s="18">
        <v>833</v>
      </c>
      <c r="T16" s="18">
        <v>-39</v>
      </c>
      <c r="U16" s="17">
        <v>-47</v>
      </c>
      <c r="V16" s="17">
        <v>43</v>
      </c>
      <c r="W16" s="17">
        <v>19</v>
      </c>
      <c r="X16" s="17">
        <v>142</v>
      </c>
      <c r="Y16" s="17">
        <v>-522</v>
      </c>
      <c r="Z16" s="17">
        <v>185</v>
      </c>
      <c r="AA16" s="17">
        <v>-24</v>
      </c>
      <c r="AB16" s="17">
        <v>-47</v>
      </c>
      <c r="AC16" s="17">
        <v>198</v>
      </c>
      <c r="AD16" s="17">
        <v>-128</v>
      </c>
      <c r="AE16" s="17">
        <v>-326</v>
      </c>
      <c r="AF16" s="17">
        <v>-1632</v>
      </c>
      <c r="AG16" s="17">
        <v>-78</v>
      </c>
      <c r="AH16" s="17">
        <v>-241</v>
      </c>
      <c r="AI16" s="17">
        <v>-515</v>
      </c>
      <c r="AJ16" s="17">
        <v>-484</v>
      </c>
      <c r="AK16" s="17">
        <v>33</v>
      </c>
      <c r="AL16" s="17">
        <v>-265</v>
      </c>
      <c r="AM16" s="17">
        <v>89</v>
      </c>
      <c r="AN16" s="17">
        <v>-611</v>
      </c>
      <c r="AO16" s="17">
        <v>166</v>
      </c>
      <c r="AP16" s="17">
        <v>-115</v>
      </c>
      <c r="AQ16" s="17">
        <v>-244</v>
      </c>
      <c r="AR16" s="17">
        <v>-233</v>
      </c>
      <c r="AS16" s="17">
        <v>-738</v>
      </c>
      <c r="AT16" s="17">
        <v>7</v>
      </c>
      <c r="AU16" s="18">
        <v>-199</v>
      </c>
      <c r="AV16" s="18">
        <v>-1255</v>
      </c>
      <c r="AW16" s="18">
        <v>-399</v>
      </c>
      <c r="AX16" s="18">
        <v>-776</v>
      </c>
      <c r="AY16" s="18">
        <v>-845</v>
      </c>
      <c r="AZ16" s="18">
        <v>-2647</v>
      </c>
      <c r="BA16" s="18">
        <v>-778</v>
      </c>
      <c r="BB16" s="18">
        <v>-746</v>
      </c>
      <c r="BC16" s="18">
        <v>-513</v>
      </c>
      <c r="BD16" s="18">
        <v>-1624</v>
      </c>
      <c r="BE16" s="18">
        <v>740</v>
      </c>
      <c r="BF16" s="18">
        <v>-1000</v>
      </c>
      <c r="BG16" s="18">
        <v>-532</v>
      </c>
      <c r="BH16" s="18">
        <v>-802</v>
      </c>
      <c r="BI16" s="18">
        <v>937</v>
      </c>
      <c r="BJ16" s="18">
        <v>-1288</v>
      </c>
      <c r="BK16" s="18">
        <v>-1479</v>
      </c>
      <c r="BL16" s="18">
        <v>-1293</v>
      </c>
      <c r="BM16" s="72">
        <f>'Balance Sheet'!BL10-'Balance Sheet'!BM10</f>
        <v>-1683.469173667163</v>
      </c>
      <c r="BN16" s="72">
        <f>'Balance Sheet'!BM10-'Balance Sheet'!BN10</f>
        <v>1354.5082542954406</v>
      </c>
      <c r="BO16" s="72">
        <f>'Balance Sheet'!BN10-'Balance Sheet'!BO10</f>
        <v>-1108.8831916709714</v>
      </c>
      <c r="BP16" s="72">
        <f>'Balance Sheet'!BO10-'Balance Sheet'!BP10</f>
        <v>-1243.736521998806</v>
      </c>
      <c r="BQ16" s="72">
        <f>'Balance Sheet'!BP10-'Balance Sheet'!BQ10</f>
        <v>-1667.2766980145243</v>
      </c>
      <c r="BR16" s="72">
        <f>'Balance Sheet'!BQ10-'Balance Sheet'!BR10</f>
        <v>1317.1396764634883</v>
      </c>
      <c r="BS16" s="72">
        <f>'Balance Sheet'!BR10-'Balance Sheet'!BS10</f>
        <v>-1180.5545500903718</v>
      </c>
      <c r="BT16" s="72">
        <f>'Balance Sheet'!BS10-'Balance Sheet'!BT10</f>
        <v>-1448.9713550717606</v>
      </c>
      <c r="BU16" s="72">
        <f>'Balance Sheet'!BT10-'Balance Sheet'!BU10</f>
        <v>-1821.1179487107474</v>
      </c>
      <c r="BV16" s="72">
        <f>'Balance Sheet'!BU10-'Balance Sheet'!BV10</f>
        <v>1501.7245728946036</v>
      </c>
      <c r="BW16" s="72">
        <f>'Balance Sheet'!BV10-'Balance Sheet'!BW10</f>
        <v>-1247.2950660626557</v>
      </c>
      <c r="BX16" s="72">
        <f>'Balance Sheet'!BW10-'Balance Sheet'!BX10</f>
        <v>-1679.3540251583727</v>
      </c>
      <c r="BY16" s="72">
        <f>'Balance Sheet'!BX10-'Balance Sheet'!BY10</f>
        <v>-1977.5361947308738</v>
      </c>
      <c r="BZ16" s="72">
        <f>'Balance Sheet'!BY10-'Balance Sheet'!BZ10</f>
        <v>1792.7928103635059</v>
      </c>
      <c r="CA16" s="72">
        <f>'Balance Sheet'!BZ10-'Balance Sheet'!CA10</f>
        <v>-1303.8357618162299</v>
      </c>
      <c r="CB16" s="72">
        <f>'Balance Sheet'!CA10-'Balance Sheet'!CB10</f>
        <v>-1925.446551713987</v>
      </c>
      <c r="CC16" s="72">
        <f>'Balance Sheet'!CB10-'Balance Sheet'!CC10</f>
        <v>-2130.0968447660271</v>
      </c>
      <c r="CD16" s="72">
        <f>'Balance Sheet'!CC10-'Balance Sheet'!CD10</f>
        <v>2125.4324610993608</v>
      </c>
      <c r="CE16" s="72">
        <f>'Balance Sheet'!CD10-'Balance Sheet'!CE10</f>
        <v>-1347.8425851294996</v>
      </c>
      <c r="CF16" s="72">
        <f>'Balance Sheet'!CE10-'Balance Sheet'!CF10</f>
        <v>-2183.5107312082982</v>
      </c>
      <c r="CG16" s="72">
        <f>'Balance Sheet'!CF10-'Balance Sheet'!CG10</f>
        <v>-2277.2346444182695</v>
      </c>
      <c r="CH16" s="72"/>
      <c r="CI16" s="89">
        <f t="shared" si="29"/>
        <v>-414</v>
      </c>
      <c r="CJ16" s="20">
        <f t="shared" si="30"/>
        <v>-264</v>
      </c>
      <c r="CK16" s="89">
        <f t="shared" si="31"/>
        <v>-865</v>
      </c>
      <c r="CL16" s="20">
        <f t="shared" si="32"/>
        <v>-696</v>
      </c>
      <c r="CM16" s="89">
        <f t="shared" si="33"/>
        <v>413</v>
      </c>
      <c r="CN16" s="20">
        <f t="shared" si="34"/>
        <v>-318</v>
      </c>
      <c r="CO16" s="89">
        <f t="shared" si="35"/>
        <v>312</v>
      </c>
      <c r="CP16" s="20">
        <f t="shared" si="36"/>
        <v>-2164</v>
      </c>
      <c r="CQ16" s="89">
        <f t="shared" si="37"/>
        <v>-1207</v>
      </c>
      <c r="CR16" s="89">
        <f t="shared" si="38"/>
        <v>-621</v>
      </c>
      <c r="CS16" s="89">
        <f t="shared" si="48"/>
        <v>-1330</v>
      </c>
      <c r="CT16" s="89">
        <f t="shared" si="39"/>
        <v>-1846</v>
      </c>
      <c r="CU16" s="89">
        <f t="shared" si="40"/>
        <v>-5046</v>
      </c>
      <c r="CV16" s="89">
        <f t="shared" si="41"/>
        <v>-2143</v>
      </c>
      <c r="CW16" s="89">
        <f t="shared" si="42"/>
        <v>-1397</v>
      </c>
      <c r="CX16" s="20">
        <f t="shared" si="43"/>
        <v>-5743.469173667163</v>
      </c>
      <c r="CY16" s="89">
        <f t="shared" si="44"/>
        <v>-2665.3881573888611</v>
      </c>
      <c r="CZ16" s="89">
        <f t="shared" si="45"/>
        <v>-3133.5041774093916</v>
      </c>
      <c r="DA16" s="89">
        <f t="shared" si="46"/>
        <v>-3402.4607130572986</v>
      </c>
      <c r="DB16" s="89">
        <f t="shared" si="47"/>
        <v>-3566.5863479327381</v>
      </c>
      <c r="DC16" s="89">
        <f t="shared" si="49"/>
        <v>-3683.1554996567065</v>
      </c>
    </row>
    <row r="17" spans="1:107" x14ac:dyDescent="0.2">
      <c r="A17" s="29" t="s">
        <v>148</v>
      </c>
      <c r="B17" s="17">
        <v>120</v>
      </c>
      <c r="C17" s="17">
        <v>79</v>
      </c>
      <c r="D17" s="17">
        <v>115</v>
      </c>
      <c r="E17" s="17">
        <v>-42</v>
      </c>
      <c r="F17" s="17">
        <v>27</v>
      </c>
      <c r="G17" s="17">
        <v>50</v>
      </c>
      <c r="H17" s="17">
        <v>-5</v>
      </c>
      <c r="I17" s="17">
        <v>29</v>
      </c>
      <c r="J17" s="17">
        <v>169</v>
      </c>
      <c r="K17" s="17">
        <v>-249</v>
      </c>
      <c r="L17" s="17">
        <v>-194</v>
      </c>
      <c r="M17" s="17">
        <v>-225</v>
      </c>
      <c r="N17" s="17">
        <v>87</v>
      </c>
      <c r="O17" s="17">
        <v>-159</v>
      </c>
      <c r="P17" s="17">
        <v>357</v>
      </c>
      <c r="Q17" s="17">
        <v>320</v>
      </c>
      <c r="R17" s="17">
        <v>177</v>
      </c>
      <c r="S17" s="17">
        <v>-163</v>
      </c>
      <c r="T17" s="17">
        <v>-127</v>
      </c>
      <c r="U17" s="17">
        <v>549</v>
      </c>
      <c r="V17" s="17">
        <v>-24</v>
      </c>
      <c r="W17" s="17">
        <v>-374</v>
      </c>
      <c r="X17" s="17">
        <v>230</v>
      </c>
      <c r="Y17" s="17">
        <v>371</v>
      </c>
      <c r="Z17" s="17">
        <v>-269</v>
      </c>
      <c r="AA17" s="17">
        <v>48</v>
      </c>
      <c r="AB17" s="17">
        <v>459</v>
      </c>
      <c r="AC17" s="17">
        <v>-128</v>
      </c>
      <c r="AD17" s="17">
        <v>103</v>
      </c>
      <c r="AE17" s="17">
        <v>16</v>
      </c>
      <c r="AF17" s="17">
        <v>-61</v>
      </c>
      <c r="AG17" s="17">
        <v>673</v>
      </c>
      <c r="AH17" s="17">
        <v>122</v>
      </c>
      <c r="AI17" s="17">
        <v>-145</v>
      </c>
      <c r="AJ17" s="17">
        <v>316</v>
      </c>
      <c r="AK17" s="17">
        <v>774</v>
      </c>
      <c r="AL17" s="17">
        <v>-425</v>
      </c>
      <c r="AM17" s="17">
        <v>-18</v>
      </c>
      <c r="AN17" s="17">
        <v>57</v>
      </c>
      <c r="AO17" s="17">
        <v>814</v>
      </c>
      <c r="AP17" s="17">
        <v>-835</v>
      </c>
      <c r="AQ17" s="17">
        <v>146</v>
      </c>
      <c r="AR17" s="17">
        <v>420</v>
      </c>
      <c r="AS17" s="17">
        <v>963</v>
      </c>
      <c r="AT17" s="17">
        <v>-982</v>
      </c>
      <c r="AU17" s="18">
        <v>-130</v>
      </c>
      <c r="AV17" s="18">
        <v>238</v>
      </c>
      <c r="AW17" s="18">
        <v>1157</v>
      </c>
      <c r="AX17" s="18">
        <v>-2373</v>
      </c>
      <c r="AY17" s="18">
        <v>1201</v>
      </c>
      <c r="AZ17" s="18">
        <v>1907</v>
      </c>
      <c r="BA17" s="18">
        <v>-28</v>
      </c>
      <c r="BB17" s="18">
        <v>-1105</v>
      </c>
      <c r="BC17" s="18">
        <v>1119</v>
      </c>
      <c r="BD17" s="18">
        <v>223</v>
      </c>
      <c r="BE17" s="18">
        <v>427</v>
      </c>
      <c r="BF17" s="18">
        <v>-2124</v>
      </c>
      <c r="BG17" s="18">
        <v>1561</v>
      </c>
      <c r="BH17" s="18">
        <v>521</v>
      </c>
      <c r="BI17" s="18">
        <v>401</v>
      </c>
      <c r="BJ17" s="18">
        <v>-880</v>
      </c>
      <c r="BK17" s="18">
        <v>553</v>
      </c>
      <c r="BL17" s="18">
        <v>-444</v>
      </c>
      <c r="BM17" s="16">
        <f>'Working Capital'!BM18-'Working Capital'!BL18</f>
        <v>824.83170936929127</v>
      </c>
      <c r="BN17" s="16">
        <f>'Working Capital'!BN18-'Working Capital'!BM18</f>
        <v>463.62733984619263</v>
      </c>
      <c r="BO17" s="16">
        <f>'Working Capital'!BO18-'Working Capital'!BN18</f>
        <v>-167.98641670931283</v>
      </c>
      <c r="BP17" s="16">
        <f>'Working Capital'!BP18-'Working Capital'!BO18</f>
        <v>2680.745048847366</v>
      </c>
      <c r="BQ17" s="16">
        <f>'Working Capital'!BQ18-'Working Capital'!BP18</f>
        <v>1068.4273393253297</v>
      </c>
      <c r="BR17" s="72">
        <f>'Working Capital'!BR18-'Working Capital'!BQ18</f>
        <v>377.39535324009557</v>
      </c>
      <c r="BS17" s="72">
        <f>'Working Capital'!BS18-'Working Capital'!BR18</f>
        <v>-143.60269522957606</v>
      </c>
      <c r="BT17" s="72">
        <f>'Working Capital'!BT18-'Working Capital'!BS18</f>
        <v>3324.7339094419822</v>
      </c>
      <c r="BU17" s="72">
        <f>'Working Capital'!BU18-'Working Capital'!BT18</f>
        <v>1476.4398009049874</v>
      </c>
      <c r="BV17" s="72">
        <f>'Working Capital'!BV18-'Working Capital'!BU18</f>
        <v>48.688986220684455</v>
      </c>
      <c r="BW17" s="72">
        <f>'Working Capital'!BW18-'Working Capital'!BV18</f>
        <v>-116.51079203706104</v>
      </c>
      <c r="BX17" s="72">
        <f>'Working Capital'!BX18-'Working Capital'!BW18</f>
        <v>4062.9365882838356</v>
      </c>
      <c r="BY17" s="72">
        <f>'Working Capital'!BY18-'Working Capital'!BX18</f>
        <v>1958.261624345163</v>
      </c>
      <c r="BZ17" s="72">
        <f>'Working Capital'!BZ18-'Working Capital'!BY18</f>
        <v>-635.59613043087666</v>
      </c>
      <c r="CA17" s="72">
        <f>'Working Capital'!CA18-'Working Capital'!BZ18</f>
        <v>-87.731403424546443</v>
      </c>
      <c r="CB17" s="72">
        <f>'Working Capital'!CB18-'Working Capital'!CA18</f>
        <v>4856.5352906531407</v>
      </c>
      <c r="CC17" s="72">
        <f>'Working Capital'!CC18-'Working Capital'!CB18</f>
        <v>2508.2083332726434</v>
      </c>
      <c r="CD17" s="72">
        <f>'Working Capital'!CD18-'Working Capital'!CC18</f>
        <v>-1319.2983312348479</v>
      </c>
      <c r="CE17" s="72">
        <f>'Working Capital'!CE18-'Working Capital'!CD18</f>
        <v>-62.695728004026023</v>
      </c>
      <c r="CF17" s="72">
        <f>'Working Capital'!CF18-'Working Capital'!CE18</f>
        <v>5726.4063243025303</v>
      </c>
      <c r="CG17" s="72">
        <f>'Working Capital'!CG18-'Working Capital'!CF18</f>
        <v>3126.1652858431917</v>
      </c>
      <c r="CH17" s="72"/>
      <c r="CI17" s="89">
        <f t="shared" si="29"/>
        <v>272</v>
      </c>
      <c r="CJ17" s="20">
        <f t="shared" si="30"/>
        <v>101</v>
      </c>
      <c r="CK17" s="89">
        <f t="shared" si="31"/>
        <v>-499</v>
      </c>
      <c r="CL17" s="20">
        <f t="shared" si="32"/>
        <v>605</v>
      </c>
      <c r="CM17" s="89">
        <f t="shared" si="33"/>
        <v>436</v>
      </c>
      <c r="CN17" s="20">
        <f t="shared" si="34"/>
        <v>203</v>
      </c>
      <c r="CO17" s="89">
        <f t="shared" si="35"/>
        <v>110</v>
      </c>
      <c r="CP17" s="20">
        <f t="shared" si="36"/>
        <v>731</v>
      </c>
      <c r="CQ17" s="89">
        <f t="shared" si="37"/>
        <v>1067</v>
      </c>
      <c r="CR17" s="89">
        <f t="shared" si="38"/>
        <v>428</v>
      </c>
      <c r="CS17" s="89">
        <f t="shared" si="48"/>
        <v>694</v>
      </c>
      <c r="CT17" s="89">
        <f t="shared" si="39"/>
        <v>283</v>
      </c>
      <c r="CU17" s="89">
        <f t="shared" si="40"/>
        <v>707</v>
      </c>
      <c r="CV17" s="89">
        <f t="shared" si="41"/>
        <v>664</v>
      </c>
      <c r="CW17" s="89">
        <f t="shared" si="42"/>
        <v>359</v>
      </c>
      <c r="CX17" s="20">
        <f t="shared" si="43"/>
        <v>53.831709369291275</v>
      </c>
      <c r="CY17" s="89">
        <f t="shared" si="44"/>
        <v>4044.8133113095755</v>
      </c>
      <c r="CZ17" s="89">
        <f t="shared" si="45"/>
        <v>5034.966368357489</v>
      </c>
      <c r="DA17" s="89">
        <f t="shared" si="46"/>
        <v>5953.376406812622</v>
      </c>
      <c r="DB17" s="89">
        <f t="shared" si="47"/>
        <v>6641.416090070361</v>
      </c>
      <c r="DC17" s="89">
        <f t="shared" si="49"/>
        <v>7470.577550906848</v>
      </c>
    </row>
    <row r="18" spans="1:107" x14ac:dyDescent="0.2">
      <c r="A18" s="29" t="s">
        <v>156</v>
      </c>
      <c r="B18" s="17">
        <v>-394</v>
      </c>
      <c r="C18" s="17">
        <v>319</v>
      </c>
      <c r="D18" s="17">
        <v>391</v>
      </c>
      <c r="E18" s="17">
        <v>429</v>
      </c>
      <c r="F18" s="17">
        <v>37</v>
      </c>
      <c r="G18" s="17">
        <v>260</v>
      </c>
      <c r="H18" s="17">
        <v>-42</v>
      </c>
      <c r="I18" s="17">
        <v>540</v>
      </c>
      <c r="J18" s="17">
        <v>-855</v>
      </c>
      <c r="K18" s="17">
        <v>612</v>
      </c>
      <c r="L18" s="17">
        <v>727</v>
      </c>
      <c r="M18" s="17">
        <v>278</v>
      </c>
      <c r="N18" s="17">
        <v>-1059</v>
      </c>
      <c r="O18" s="17">
        <v>696</v>
      </c>
      <c r="P18" s="17">
        <v>93</v>
      </c>
      <c r="Q18" s="17">
        <v>983</v>
      </c>
      <c r="R18" s="17">
        <v>-1079</v>
      </c>
      <c r="S18" s="17">
        <v>1011</v>
      </c>
      <c r="T18" s="17">
        <v>484</v>
      </c>
      <c r="U18" s="17">
        <v>341</v>
      </c>
      <c r="V18" s="17">
        <v>-601</v>
      </c>
      <c r="W18" s="17">
        <v>838</v>
      </c>
      <c r="X18" s="17">
        <v>583</v>
      </c>
      <c r="Y18" s="17">
        <v>777</v>
      </c>
      <c r="Z18" s="17">
        <v>-1064</v>
      </c>
      <c r="AA18" s="17">
        <v>593</v>
      </c>
      <c r="AB18" s="17">
        <v>809</v>
      </c>
      <c r="AC18" s="17">
        <v>1177</v>
      </c>
      <c r="AD18" s="17">
        <v>-1868</v>
      </c>
      <c r="AE18" s="17">
        <v>3555</v>
      </c>
      <c r="AF18" s="17">
        <v>1434</v>
      </c>
      <c r="AG18" s="17">
        <v>1770</v>
      </c>
      <c r="AH18" s="17">
        <v>-1142</v>
      </c>
      <c r="AI18" s="17">
        <v>5742</v>
      </c>
      <c r="AJ18" s="17">
        <v>1857</v>
      </c>
      <c r="AK18" s="17">
        <v>2157</v>
      </c>
      <c r="AL18" s="17">
        <v>-229</v>
      </c>
      <c r="AM18" s="17">
        <v>1303</v>
      </c>
      <c r="AN18" s="17">
        <v>1853</v>
      </c>
      <c r="AO18" s="17">
        <v>4243</v>
      </c>
      <c r="AP18" s="17">
        <v>-3531</v>
      </c>
      <c r="AQ18" s="17">
        <v>1432</v>
      </c>
      <c r="AR18" s="17">
        <v>2990</v>
      </c>
      <c r="AS18" s="17">
        <v>4613</v>
      </c>
      <c r="AT18" s="17">
        <v>-3530</v>
      </c>
      <c r="AU18" s="18">
        <v>3731</v>
      </c>
      <c r="AV18" s="18">
        <v>2562</v>
      </c>
      <c r="AW18" s="18">
        <v>4541</v>
      </c>
      <c r="AX18" s="18">
        <v>-3216</v>
      </c>
      <c r="AY18" s="18">
        <v>1497</v>
      </c>
      <c r="AZ18" s="18">
        <v>2210</v>
      </c>
      <c r="BA18" s="18">
        <v>3424</v>
      </c>
      <c r="BB18" s="18">
        <v>-4496</v>
      </c>
      <c r="BC18" s="18">
        <v>459</v>
      </c>
      <c r="BD18" s="18">
        <v>3657</v>
      </c>
      <c r="BE18" s="18">
        <v>4317</v>
      </c>
      <c r="BF18" s="18">
        <v>-5054</v>
      </c>
      <c r="BG18" s="18">
        <v>-122</v>
      </c>
      <c r="BH18" s="18">
        <v>-1190</v>
      </c>
      <c r="BI18" s="18">
        <v>5205</v>
      </c>
      <c r="BJ18" s="18">
        <v>-5045</v>
      </c>
      <c r="BK18" s="18">
        <v>3485</v>
      </c>
      <c r="BL18" s="18">
        <v>7759</v>
      </c>
      <c r="BM18" s="72">
        <f>('Working Capital'!BM20-'Working Capital'!BL20)+('Working Capital'!BM19-'Working Capital'!BL19)</f>
        <v>5246.466975617237</v>
      </c>
      <c r="BN18" s="72">
        <f>('Working Capital'!BN20-'Working Capital'!BM20)+('Working Capital'!BN19-'Working Capital'!BM19)</f>
        <v>3012.5404556474732</v>
      </c>
      <c r="BO18" s="72">
        <f>('Working Capital'!BO20-'Working Capital'!BN20)+('Working Capital'!BO19-'Working Capital'!BN19)</f>
        <v>-6424.7565170247981</v>
      </c>
      <c r="BP18" s="72">
        <f>('Working Capital'!BP20-'Working Capital'!BO20)+('Working Capital'!BP19-'Working Capital'!BO19)</f>
        <v>9412.5577998451772</v>
      </c>
      <c r="BQ18" s="72">
        <f>('Working Capital'!BQ20-'Working Capital'!BP20)+('Working Capital'!BQ19-'Working Capital'!BP19)</f>
        <v>6680.8756407797428</v>
      </c>
      <c r="BR18" s="72">
        <f>('Working Capital'!BR20-'Working Capital'!BQ20)+('Working Capital'!BR19-'Working Capital'!BQ19)</f>
        <v>4288.1795981017476</v>
      </c>
      <c r="BS18" s="72">
        <f>('Working Capital'!BS20-'Working Capital'!BR20)+('Working Capital'!BS19-'Working Capital'!BR19)</f>
        <v>-8087.1085034628522</v>
      </c>
      <c r="BT18" s="72">
        <f>('Working Capital'!BT20-'Working Capital'!BS20)+('Working Capital'!BT19-'Working Capital'!BS19)</f>
        <v>11080.491788621481</v>
      </c>
      <c r="BU18" s="72">
        <f>('Working Capital'!BU20-'Working Capital'!BT20)+('Working Capital'!BU19-'Working Capital'!BT19)</f>
        <v>6995.7322148788699</v>
      </c>
      <c r="BV18" s="72">
        <f>('Working Capital'!BV20-'Working Capital'!BU20)+('Working Capital'!BV19-'Working Capital'!BU19)</f>
        <v>4913.0266235292383</v>
      </c>
      <c r="BW18" s="72">
        <f>('Working Capital'!BW20-'Working Capital'!BV20)+('Working Capital'!BW19-'Working Capital'!BV19)</f>
        <v>-9932.0591472315227</v>
      </c>
      <c r="BX18" s="72">
        <f>('Working Capital'!BX20-'Working Capital'!BW20)+('Working Capital'!BX19-'Working Capital'!BW19)</f>
        <v>12891.378483090923</v>
      </c>
      <c r="BY18" s="72">
        <f>('Working Capital'!BY20-'Working Capital'!BX20)+('Working Capital'!BY19-'Working Capital'!BX19)</f>
        <v>7271.7902018871919</v>
      </c>
      <c r="BZ18" s="72">
        <f>('Working Capital'!BZ20-'Working Capital'!BY20)+('Working Capital'!BZ19-'Working Capital'!BY19)</f>
        <v>4642.0905865350123</v>
      </c>
      <c r="CA18" s="72">
        <f>('Working Capital'!CA20-'Working Capital'!BZ20)+('Working Capital'!CA19-'Working Capital'!BZ19)</f>
        <v>-11818.671710348221</v>
      </c>
      <c r="CB18" s="72">
        <f>('Working Capital'!CB20-'Working Capital'!CA20)+('Working Capital'!CB19-'Working Capital'!CA19)</f>
        <v>14726.954302864866</v>
      </c>
      <c r="CC18" s="72">
        <f>('Working Capital'!CC20-'Working Capital'!CB20)+('Working Capital'!CC19-'Working Capital'!CB19)</f>
        <v>7573.8636698153095</v>
      </c>
      <c r="CD18" s="72">
        <f>('Working Capital'!CD20-'Working Capital'!CC20)+('Working Capital'!CD19-'Working Capital'!CC19)</f>
        <v>4739.9829795418536</v>
      </c>
      <c r="CE18" s="72">
        <f>('Working Capital'!CE20-'Working Capital'!CD20)+('Working Capital'!CE19-'Working Capital'!CD19)</f>
        <v>-13955.324304029253</v>
      </c>
      <c r="CF18" s="72">
        <f>('Working Capital'!CF20-'Working Capital'!CE20)+('Working Capital'!CF19-'Working Capital'!CE19)</f>
        <v>16657.203509380855</v>
      </c>
      <c r="CG18" s="72">
        <f>('Working Capital'!CG20-'Working Capital'!CF20)+('Working Capital'!CG19-'Working Capital'!CF19)</f>
        <v>7789.4453475053997</v>
      </c>
      <c r="CH18" s="72"/>
      <c r="CI18" s="89">
        <f t="shared" si="29"/>
        <v>745</v>
      </c>
      <c r="CJ18" s="20">
        <f t="shared" si="30"/>
        <v>795</v>
      </c>
      <c r="CK18" s="89">
        <f t="shared" si="31"/>
        <v>762</v>
      </c>
      <c r="CL18" s="20">
        <f t="shared" si="32"/>
        <v>713</v>
      </c>
      <c r="CM18" s="89">
        <f t="shared" si="33"/>
        <v>757</v>
      </c>
      <c r="CN18" s="20">
        <f t="shared" si="34"/>
        <v>1597</v>
      </c>
      <c r="CO18" s="89">
        <f t="shared" si="35"/>
        <v>1515</v>
      </c>
      <c r="CP18" s="20">
        <f t="shared" si="36"/>
        <v>4891</v>
      </c>
      <c r="CQ18" s="89">
        <f t="shared" si="37"/>
        <v>8614</v>
      </c>
      <c r="CR18" s="89">
        <f t="shared" si="38"/>
        <v>7170</v>
      </c>
      <c r="CS18" s="89">
        <f t="shared" si="48"/>
        <v>5504</v>
      </c>
      <c r="CT18" s="89">
        <f t="shared" si="39"/>
        <v>7304</v>
      </c>
      <c r="CU18" s="89">
        <f t="shared" si="40"/>
        <v>3915</v>
      </c>
      <c r="CV18" s="89">
        <f t="shared" si="41"/>
        <v>3937</v>
      </c>
      <c r="CW18" s="89">
        <f t="shared" si="42"/>
        <v>-1161</v>
      </c>
      <c r="CX18" s="20">
        <f t="shared" si="43"/>
        <v>11445.466975617237</v>
      </c>
      <c r="CY18" s="89">
        <f t="shared" si="44"/>
        <v>12681.217379247595</v>
      </c>
      <c r="CZ18" s="89">
        <f t="shared" si="45"/>
        <v>14277.295098139246</v>
      </c>
      <c r="DA18" s="89">
        <f t="shared" si="46"/>
        <v>15144.13616127583</v>
      </c>
      <c r="DB18" s="89">
        <f t="shared" si="47"/>
        <v>15124.236848866967</v>
      </c>
      <c r="DC18" s="89">
        <f t="shared" si="49"/>
        <v>15231.307532398856</v>
      </c>
    </row>
    <row r="19" spans="1:107" x14ac:dyDescent="0.2">
      <c r="A19" s="29" t="s">
        <v>157</v>
      </c>
      <c r="B19" s="17">
        <v>23</v>
      </c>
      <c r="C19" s="17">
        <v>11</v>
      </c>
      <c r="D19" s="17">
        <v>35</v>
      </c>
      <c r="E19" s="17">
        <v>145</v>
      </c>
      <c r="F19" s="17">
        <v>-33</v>
      </c>
      <c r="G19" s="17">
        <v>39</v>
      </c>
      <c r="H19" s="17">
        <v>64</v>
      </c>
      <c r="I19" s="17">
        <v>189</v>
      </c>
      <c r="J19" s="17">
        <v>-11</v>
      </c>
      <c r="K19" s="17">
        <v>34</v>
      </c>
      <c r="L19" s="17">
        <v>-80</v>
      </c>
      <c r="M19" s="17">
        <v>356</v>
      </c>
      <c r="N19" s="17">
        <v>-27</v>
      </c>
      <c r="O19" s="17">
        <v>35</v>
      </c>
      <c r="P19" s="17">
        <v>0</v>
      </c>
      <c r="Q19" s="17">
        <v>246</v>
      </c>
      <c r="R19" s="17">
        <v>-70</v>
      </c>
      <c r="S19" s="17">
        <v>2</v>
      </c>
      <c r="T19" s="17">
        <v>104</v>
      </c>
      <c r="U19" s="17">
        <v>209</v>
      </c>
      <c r="V19" s="17">
        <v>-205</v>
      </c>
      <c r="W19" s="17">
        <v>84</v>
      </c>
      <c r="X19" s="17">
        <v>52</v>
      </c>
      <c r="Y19" s="17">
        <v>408</v>
      </c>
      <c r="Z19" s="17">
        <v>-131</v>
      </c>
      <c r="AA19" s="17">
        <v>83</v>
      </c>
      <c r="AB19" s="17">
        <v>186</v>
      </c>
      <c r="AC19" s="17">
        <v>455</v>
      </c>
      <c r="AD19" s="17">
        <v>-74</v>
      </c>
      <c r="AE19" s="17">
        <v>80</v>
      </c>
      <c r="AF19" s="17">
        <v>176</v>
      </c>
      <c r="AG19" s="17">
        <v>773</v>
      </c>
      <c r="AH19" s="17">
        <v>-286</v>
      </c>
      <c r="AI19" s="17">
        <v>-17</v>
      </c>
      <c r="AJ19" s="17">
        <v>107</v>
      </c>
      <c r="AK19" s="17">
        <v>679</v>
      </c>
      <c r="AL19" s="17">
        <v>-147</v>
      </c>
      <c r="AM19" s="17">
        <v>87</v>
      </c>
      <c r="AN19" s="17">
        <v>261</v>
      </c>
      <c r="AO19" s="17">
        <v>1072</v>
      </c>
      <c r="AP19" s="17">
        <v>-871</v>
      </c>
      <c r="AQ19" s="17">
        <v>179</v>
      </c>
      <c r="AR19" s="17">
        <v>969</v>
      </c>
      <c r="AS19" s="17">
        <v>1362</v>
      </c>
      <c r="AT19" s="17">
        <v>-444</v>
      </c>
      <c r="AU19" s="18">
        <v>473</v>
      </c>
      <c r="AV19" s="18">
        <v>357</v>
      </c>
      <c r="AW19" s="18">
        <v>1296</v>
      </c>
      <c r="AX19" s="18">
        <v>-828</v>
      </c>
      <c r="AY19" s="18">
        <v>-114</v>
      </c>
      <c r="AZ19" s="18">
        <v>-80</v>
      </c>
      <c r="BA19" s="18">
        <v>577</v>
      </c>
      <c r="BB19" s="18">
        <v>-602</v>
      </c>
      <c r="BC19" s="18">
        <v>184</v>
      </c>
      <c r="BD19" s="18">
        <v>103</v>
      </c>
      <c r="BE19" s="18">
        <v>797</v>
      </c>
      <c r="BF19" s="18">
        <v>-322</v>
      </c>
      <c r="BG19" s="18">
        <v>419</v>
      </c>
      <c r="BH19" s="18">
        <v>381</v>
      </c>
      <c r="BI19" s="18">
        <v>581</v>
      </c>
      <c r="BJ19" s="18">
        <v>116</v>
      </c>
      <c r="BK19" s="18">
        <v>-335</v>
      </c>
      <c r="BL19" s="18">
        <v>319</v>
      </c>
      <c r="BM19" s="16">
        <f>'Working Capital'!BM21-'Working Capital'!BL21</f>
        <v>906.39108593749916</v>
      </c>
      <c r="BN19" s="16">
        <f>'Working Capital'!BN21-'Working Capital'!BM21</f>
        <v>-326.01184120128528</v>
      </c>
      <c r="BO19" s="16">
        <f>'Working Capital'!BO21-'Working Capital'!BN21</f>
        <v>-316.20700085817953</v>
      </c>
      <c r="BP19" s="16">
        <f>'Working Capital'!BP21-'Working Capital'!BO21</f>
        <v>626.84622821266748</v>
      </c>
      <c r="BQ19" s="16">
        <f>'Working Capital'!BQ21-'Working Capital'!BP21</f>
        <v>722.41560006688997</v>
      </c>
      <c r="BR19" s="72">
        <f>'Working Capital'!BR21-'Working Capital'!BQ21</f>
        <v>-173.35171052724581</v>
      </c>
      <c r="BS19" s="72">
        <f>'Working Capital'!BS21-'Working Capital'!BR21</f>
        <v>-414.35272367180187</v>
      </c>
      <c r="BT19" s="72">
        <f>'Working Capital'!BT21-'Working Capital'!BS21</f>
        <v>678.14002104060091</v>
      </c>
      <c r="BU19" s="72">
        <f>'Working Capital'!BU21-'Working Capital'!BT21</f>
        <v>739.12390176622284</v>
      </c>
      <c r="BV19" s="72">
        <f>'Working Capital'!BV21-'Working Capital'!BU21</f>
        <v>-136.07769287526571</v>
      </c>
      <c r="BW19" s="72">
        <f>'Working Capital'!BW21-'Working Capital'!BV21</f>
        <v>-525.84958560162158</v>
      </c>
      <c r="BX19" s="72">
        <f>'Working Capital'!BX21-'Working Capital'!BW21</f>
        <v>728.84423335794963</v>
      </c>
      <c r="BY19" s="72">
        <f>'Working Capital'!BY21-'Working Capital'!BX21</f>
        <v>749.76791403817879</v>
      </c>
      <c r="BZ19" s="72">
        <f>'Working Capital'!BZ21-'Working Capital'!BY21</f>
        <v>-99.190805689382614</v>
      </c>
      <c r="CA19" s="72">
        <f>'Working Capital'!CA21-'Working Capital'!BZ21</f>
        <v>-649.36484070685583</v>
      </c>
      <c r="CB19" s="72">
        <f>'Working Capital'!CB21-'Working Capital'!CA21</f>
        <v>777.8963628210422</v>
      </c>
      <c r="CC19" s="72">
        <f>'Working Capital'!CC21-'Working Capital'!CB21</f>
        <v>752.94299101462821</v>
      </c>
      <c r="CD19" s="72">
        <f>'Working Capital'!CD21-'Working Capital'!CC21</f>
        <v>-24.367068719328017</v>
      </c>
      <c r="CE19" s="72">
        <f>'Working Capital'!CE21-'Working Capital'!CD21</f>
        <v>-785.32203963757092</v>
      </c>
      <c r="CF19" s="72">
        <f>'Working Capital'!CF21-'Working Capital'!CE21</f>
        <v>826.29370370823744</v>
      </c>
      <c r="CG19" s="72">
        <f>'Working Capital'!CG21-'Working Capital'!CF21</f>
        <v>749.66242888284251</v>
      </c>
      <c r="CH19" s="72"/>
      <c r="CI19" s="89">
        <f t="shared" si="29"/>
        <v>214</v>
      </c>
      <c r="CJ19" s="20">
        <f t="shared" si="30"/>
        <v>259</v>
      </c>
      <c r="CK19" s="89">
        <f t="shared" si="31"/>
        <v>299</v>
      </c>
      <c r="CL19" s="20">
        <f t="shared" si="32"/>
        <v>254</v>
      </c>
      <c r="CM19" s="89">
        <f t="shared" si="33"/>
        <v>245</v>
      </c>
      <c r="CN19" s="20">
        <f t="shared" si="34"/>
        <v>339</v>
      </c>
      <c r="CO19" s="89">
        <f t="shared" si="35"/>
        <v>593</v>
      </c>
      <c r="CP19" s="20">
        <f t="shared" si="36"/>
        <v>955</v>
      </c>
      <c r="CQ19" s="89">
        <f t="shared" si="37"/>
        <v>483</v>
      </c>
      <c r="CR19" s="89">
        <f t="shared" si="38"/>
        <v>1273</v>
      </c>
      <c r="CS19" s="89">
        <f t="shared" si="48"/>
        <v>1639</v>
      </c>
      <c r="CT19" s="89">
        <f t="shared" si="39"/>
        <v>1682</v>
      </c>
      <c r="CU19" s="89">
        <f t="shared" si="40"/>
        <v>-445</v>
      </c>
      <c r="CV19" s="89">
        <f t="shared" si="41"/>
        <v>482</v>
      </c>
      <c r="CW19" s="89">
        <f t="shared" si="42"/>
        <v>1059</v>
      </c>
      <c r="CX19" s="20">
        <f t="shared" si="43"/>
        <v>1006.3910859374992</v>
      </c>
      <c r="CY19" s="89">
        <f t="shared" si="44"/>
        <v>707.04298622009264</v>
      </c>
      <c r="CZ19" s="89">
        <f t="shared" si="45"/>
        <v>829.55948860777607</v>
      </c>
      <c r="DA19" s="89">
        <f t="shared" si="46"/>
        <v>816.68486891924113</v>
      </c>
      <c r="DB19" s="89">
        <f t="shared" si="47"/>
        <v>782.28370743943196</v>
      </c>
      <c r="DC19" s="89">
        <f t="shared" si="49"/>
        <v>766.26702423418101</v>
      </c>
    </row>
    <row r="20" spans="1:107" x14ac:dyDescent="0.2">
      <c r="A20" s="29" t="s">
        <v>158</v>
      </c>
      <c r="B20" s="17">
        <v>11</v>
      </c>
      <c r="C20" s="17">
        <v>17</v>
      </c>
      <c r="D20" s="17">
        <v>4</v>
      </c>
      <c r="E20" s="17">
        <v>79</v>
      </c>
      <c r="F20" s="17">
        <v>33</v>
      </c>
      <c r="G20" s="17">
        <v>36</v>
      </c>
      <c r="H20" s="17">
        <v>14</v>
      </c>
      <c r="I20" s="17">
        <v>79</v>
      </c>
      <c r="J20" s="17">
        <v>40</v>
      </c>
      <c r="K20" s="17">
        <v>14</v>
      </c>
      <c r="L20" s="17">
        <v>128</v>
      </c>
      <c r="M20" s="17">
        <v>-19</v>
      </c>
      <c r="N20" s="17">
        <v>-33</v>
      </c>
      <c r="O20" s="17">
        <v>17</v>
      </c>
      <c r="P20" s="17">
        <v>92</v>
      </c>
      <c r="Q20" s="17">
        <v>157</v>
      </c>
      <c r="R20" s="17">
        <v>23</v>
      </c>
      <c r="S20" s="17">
        <v>-23</v>
      </c>
      <c r="T20" s="17">
        <v>0</v>
      </c>
      <c r="U20" s="17">
        <v>-175</v>
      </c>
      <c r="V20" s="17">
        <v>-59</v>
      </c>
      <c r="W20" s="17">
        <v>25</v>
      </c>
      <c r="X20" s="17">
        <v>-21</v>
      </c>
      <c r="Y20" s="17">
        <v>98</v>
      </c>
      <c r="Z20" s="17">
        <v>18</v>
      </c>
      <c r="AA20" s="17">
        <v>-15</v>
      </c>
      <c r="AB20" s="17">
        <v>39</v>
      </c>
      <c r="AC20" s="17">
        <v>181</v>
      </c>
      <c r="AD20" s="17">
        <v>111</v>
      </c>
      <c r="AE20" s="17">
        <v>84</v>
      </c>
      <c r="AF20" s="17">
        <v>33</v>
      </c>
      <c r="AG20" s="17">
        <v>162</v>
      </c>
      <c r="AH20" s="17">
        <v>130</v>
      </c>
      <c r="AI20" s="17">
        <v>165</v>
      </c>
      <c r="AJ20" s="17">
        <v>-23</v>
      </c>
      <c r="AK20" s="17">
        <v>99</v>
      </c>
      <c r="AL20" s="17">
        <v>-81</v>
      </c>
      <c r="AM20" s="17">
        <v>-9</v>
      </c>
      <c r="AN20" s="17">
        <v>-59</v>
      </c>
      <c r="AO20" s="17">
        <v>186</v>
      </c>
      <c r="AP20" s="17">
        <v>37</v>
      </c>
      <c r="AQ20" s="17">
        <v>111</v>
      </c>
      <c r="AR20" s="17">
        <v>280</v>
      </c>
      <c r="AS20" s="17">
        <v>207</v>
      </c>
      <c r="AT20" s="17">
        <v>137</v>
      </c>
      <c r="AU20" s="18">
        <v>-3</v>
      </c>
      <c r="AV20" s="18">
        <v>272</v>
      </c>
      <c r="AW20" s="18">
        <v>368</v>
      </c>
      <c r="AX20" s="18">
        <v>-94</v>
      </c>
      <c r="AY20" s="18">
        <v>86</v>
      </c>
      <c r="AZ20" s="18">
        <v>112</v>
      </c>
      <c r="BA20" s="18">
        <v>263</v>
      </c>
      <c r="BB20" s="18">
        <v>-201</v>
      </c>
      <c r="BC20" s="18">
        <v>184</v>
      </c>
      <c r="BD20" s="18">
        <v>707</v>
      </c>
      <c r="BE20" s="18">
        <v>-165</v>
      </c>
      <c r="BF20" s="18">
        <v>-141</v>
      </c>
      <c r="BG20" s="18">
        <v>361</v>
      </c>
      <c r="BH20" s="18">
        <v>640</v>
      </c>
      <c r="BI20" s="18">
        <v>183</v>
      </c>
      <c r="BJ20" s="18">
        <v>500</v>
      </c>
      <c r="BK20" s="18">
        <v>136</v>
      </c>
      <c r="BL20" s="18">
        <v>681</v>
      </c>
      <c r="BM20" s="16">
        <f>BM91*'Income Statement'!BM85</f>
        <v>214.15198450562153</v>
      </c>
      <c r="BN20" s="16">
        <f>BN91*'Income Statement'!BN85</f>
        <v>582.0810577666125</v>
      </c>
      <c r="BO20" s="16">
        <f>BO91*'Income Statement'!BO85</f>
        <v>156.99910377255475</v>
      </c>
      <c r="BP20" s="16">
        <f>BP91*'Income Statement'!BP85</f>
        <v>780.77361148998864</v>
      </c>
      <c r="BQ20" s="16">
        <f>BQ91*'Income Statement'!BQ85</f>
        <v>242.71121417359367</v>
      </c>
      <c r="BR20" s="72">
        <f>BR91*'Income Statement'!BR85</f>
        <v>666.51787609889436</v>
      </c>
      <c r="BS20" s="72">
        <f>BS91*'Income Statement'!BS85</f>
        <v>179.06415437184771</v>
      </c>
      <c r="BT20" s="72">
        <f>BT91*'Income Statement'!BT85</f>
        <v>891.63797542440739</v>
      </c>
      <c r="BU20" s="72">
        <f>BU91*'Income Statement'!BU85</f>
        <v>276.28623596548687</v>
      </c>
      <c r="BV20" s="72">
        <f>BV91*'Income Statement'!BV85</f>
        <v>758.64505808302647</v>
      </c>
      <c r="BW20" s="72">
        <f>BW91*'Income Statement'!BW85</f>
        <v>203.04772279176746</v>
      </c>
      <c r="BX20" s="72">
        <f>BX91*'Income Statement'!BX85</f>
        <v>1012.4135269761921</v>
      </c>
      <c r="BY20" s="72">
        <f>BY91*'Income Statement'!BY85</f>
        <v>312.74308622614444</v>
      </c>
      <c r="BZ20" s="72">
        <f>BZ91*'Income Statement'!BZ85</f>
        <v>855.84806484945761</v>
      </c>
      <c r="CA20" s="72">
        <f>CA91*'Income Statement'!CA85</f>
        <v>228.24232267383735</v>
      </c>
      <c r="CB20" s="72">
        <f>CB91*'Income Statement'!CB85</f>
        <v>1139.4392331592362</v>
      </c>
      <c r="CC20" s="72">
        <f>CC91*'Income Statement'!CC85</f>
        <v>350.95851776053343</v>
      </c>
      <c r="CD20" s="72">
        <f>CD91*'Income Statement'!CD85</f>
        <v>956.87978783402264</v>
      </c>
      <c r="CE20" s="72">
        <f>CE91*'Income Statement'!CE85</f>
        <v>254.31191534339831</v>
      </c>
      <c r="CF20" s="72">
        <f>CF91*'Income Statement'!CF85</f>
        <v>1271.0038976242442</v>
      </c>
      <c r="CG20" s="72">
        <f>CG91*'Income Statement'!CG85</f>
        <v>390.42297006777176</v>
      </c>
      <c r="CH20" s="72"/>
      <c r="CI20" s="89">
        <f t="shared" si="29"/>
        <v>111</v>
      </c>
      <c r="CJ20" s="20">
        <f t="shared" si="30"/>
        <v>162</v>
      </c>
      <c r="CK20" s="89">
        <f t="shared" si="31"/>
        <v>163</v>
      </c>
      <c r="CL20" s="20">
        <f t="shared" si="32"/>
        <v>233</v>
      </c>
      <c r="CM20" s="89">
        <f t="shared" si="33"/>
        <v>-175</v>
      </c>
      <c r="CN20" s="20">
        <f t="shared" si="34"/>
        <v>43</v>
      </c>
      <c r="CO20" s="89">
        <f t="shared" si="35"/>
        <v>223</v>
      </c>
      <c r="CP20" s="20">
        <f t="shared" si="36"/>
        <v>390</v>
      </c>
      <c r="CQ20" s="89">
        <f t="shared" si="37"/>
        <v>371</v>
      </c>
      <c r="CR20" s="89">
        <f t="shared" si="38"/>
        <v>37</v>
      </c>
      <c r="CS20" s="89">
        <f t="shared" si="48"/>
        <v>635</v>
      </c>
      <c r="CT20" s="89">
        <f t="shared" si="39"/>
        <v>774</v>
      </c>
      <c r="CU20" s="89">
        <f t="shared" si="40"/>
        <v>367</v>
      </c>
      <c r="CV20" s="89">
        <f t="shared" si="41"/>
        <v>525</v>
      </c>
      <c r="CW20" s="89">
        <f t="shared" si="42"/>
        <v>1043</v>
      </c>
      <c r="CX20" s="20">
        <f t="shared" si="43"/>
        <v>1531.1519845056216</v>
      </c>
      <c r="CY20" s="89">
        <f t="shared" si="44"/>
        <v>1762.5649872027495</v>
      </c>
      <c r="CZ20" s="89">
        <f>SUM(BR20:BU20)</f>
        <v>2013.5062418606362</v>
      </c>
      <c r="DA20" s="89">
        <f t="shared" si="46"/>
        <v>2286.8493940771305</v>
      </c>
      <c r="DB20" s="89">
        <f t="shared" si="47"/>
        <v>2574.4881384430651</v>
      </c>
      <c r="DC20" s="89">
        <f t="shared" si="49"/>
        <v>2872.6185708694366</v>
      </c>
    </row>
    <row r="21" spans="1:107" x14ac:dyDescent="0.2">
      <c r="CI21" s="92"/>
      <c r="CK21" s="92"/>
      <c r="CM21" s="92"/>
      <c r="CO21" s="92"/>
      <c r="CQ21" s="92"/>
      <c r="CR21" s="92"/>
      <c r="CS21" s="92"/>
      <c r="CT21" s="92"/>
      <c r="CU21" s="92"/>
      <c r="CV21" s="92"/>
      <c r="CW21" s="92"/>
      <c r="CY21" s="92"/>
      <c r="CZ21" s="92"/>
      <c r="DA21" s="92"/>
      <c r="DB21" s="92"/>
      <c r="DC21" s="92"/>
    </row>
    <row r="22" spans="1:107" x14ac:dyDescent="0.2">
      <c r="A22" s="4" t="s">
        <v>149</v>
      </c>
      <c r="B22" s="21">
        <f t="shared" ref="B22:AG22" si="50">B3+SUM(B5:B10)+B12</f>
        <v>2584</v>
      </c>
      <c r="C22" s="21">
        <f t="shared" si="50"/>
        <v>2085</v>
      </c>
      <c r="D22" s="21">
        <f t="shared" si="50"/>
        <v>2886</v>
      </c>
      <c r="E22" s="21">
        <f t="shared" si="50"/>
        <v>3526</v>
      </c>
      <c r="F22" s="21">
        <f t="shared" si="50"/>
        <v>3172</v>
      </c>
      <c r="G22" s="21">
        <f t="shared" si="50"/>
        <v>3519</v>
      </c>
      <c r="H22" s="21">
        <f t="shared" si="50"/>
        <v>3950</v>
      </c>
      <c r="I22" s="21">
        <f t="shared" si="50"/>
        <v>3924</v>
      </c>
      <c r="J22" s="21">
        <f t="shared" si="50"/>
        <v>3694</v>
      </c>
      <c r="K22" s="21">
        <f t="shared" si="50"/>
        <v>4252</v>
      </c>
      <c r="L22" s="21">
        <f t="shared" si="50"/>
        <v>4004</v>
      </c>
      <c r="M22" s="21">
        <f t="shared" si="50"/>
        <v>4661</v>
      </c>
      <c r="N22" s="21">
        <f t="shared" si="50"/>
        <v>3622</v>
      </c>
      <c r="O22" s="21">
        <f t="shared" si="50"/>
        <v>4641</v>
      </c>
      <c r="P22" s="21">
        <f t="shared" si="50"/>
        <v>5083</v>
      </c>
      <c r="Q22" s="21">
        <f t="shared" si="50"/>
        <v>5238</v>
      </c>
      <c r="R22" s="21">
        <f t="shared" si="50"/>
        <v>4343</v>
      </c>
      <c r="S22" s="21">
        <f t="shared" si="50"/>
        <v>5592</v>
      </c>
      <c r="T22" s="21">
        <f t="shared" si="50"/>
        <v>5959</v>
      </c>
      <c r="U22" s="21">
        <f t="shared" si="50"/>
        <v>6378</v>
      </c>
      <c r="V22" s="21">
        <f t="shared" si="50"/>
        <v>6422</v>
      </c>
      <c r="W22" s="21">
        <f t="shared" si="50"/>
        <v>6985</v>
      </c>
      <c r="X22" s="21">
        <f t="shared" si="50"/>
        <v>6007</v>
      </c>
      <c r="Y22" s="21">
        <f t="shared" si="50"/>
        <v>6415</v>
      </c>
      <c r="Z22" s="21">
        <f t="shared" si="50"/>
        <v>7658</v>
      </c>
      <c r="AA22" s="21">
        <f t="shared" si="50"/>
        <v>9120</v>
      </c>
      <c r="AB22" s="21">
        <f t="shared" si="50"/>
        <v>9845</v>
      </c>
      <c r="AC22" s="21">
        <f t="shared" si="50"/>
        <v>9413</v>
      </c>
      <c r="AD22" s="21">
        <f t="shared" si="50"/>
        <v>9548</v>
      </c>
      <c r="AE22" s="21">
        <f t="shared" si="50"/>
        <v>7403</v>
      </c>
      <c r="AF22" s="21">
        <f t="shared" si="50"/>
        <v>9872</v>
      </c>
      <c r="AG22" s="21">
        <f t="shared" si="50"/>
        <v>10268</v>
      </c>
      <c r="AH22" s="21">
        <f t="shared" ref="AH22:BQ22" si="51">AH3+SUM(AH5:AH10)+AH12</f>
        <v>11642</v>
      </c>
      <c r="AI22" s="21">
        <f t="shared" si="51"/>
        <v>10132</v>
      </c>
      <c r="AJ22" s="21">
        <f t="shared" si="51"/>
        <v>13210</v>
      </c>
      <c r="AK22" s="21">
        <f t="shared" si="51"/>
        <v>12987</v>
      </c>
      <c r="AL22" s="21">
        <f t="shared" si="51"/>
        <v>12000</v>
      </c>
      <c r="AM22" s="21">
        <f t="shared" si="51"/>
        <v>12627</v>
      </c>
      <c r="AN22" s="21">
        <f t="shared" si="51"/>
        <v>15466</v>
      </c>
      <c r="AO22" s="21">
        <f t="shared" si="51"/>
        <v>14427</v>
      </c>
      <c r="AP22" s="21">
        <f t="shared" si="51"/>
        <v>11451</v>
      </c>
      <c r="AQ22" s="21">
        <f t="shared" si="51"/>
        <v>13993</v>
      </c>
      <c r="AR22" s="21">
        <f t="shared" si="51"/>
        <v>17003</v>
      </c>
      <c r="AS22" s="21">
        <f t="shared" si="51"/>
        <v>22677</v>
      </c>
      <c r="AT22" s="21">
        <f t="shared" si="51"/>
        <v>19289</v>
      </c>
      <c r="AU22" s="21">
        <f>AU3+SUM(AU5:AU10)+AU12</f>
        <v>21890</v>
      </c>
      <c r="AV22" s="21">
        <f>AV3+SUM(AV5:AV10)+AV12</f>
        <v>25539</v>
      </c>
      <c r="AW22" s="21">
        <f t="shared" si="51"/>
        <v>24934</v>
      </c>
      <c r="AX22" s="21">
        <f t="shared" si="51"/>
        <v>25106</v>
      </c>
      <c r="AY22" s="21">
        <f>AY3+SUM(AY5:AY10)+AY12</f>
        <v>19422</v>
      </c>
      <c r="AZ22" s="21">
        <f t="shared" si="51"/>
        <v>23353</v>
      </c>
      <c r="BA22" s="21">
        <f t="shared" si="51"/>
        <v>23614</v>
      </c>
      <c r="BB22" s="21">
        <f t="shared" si="51"/>
        <v>23509</v>
      </c>
      <c r="BC22" s="21">
        <f t="shared" si="51"/>
        <v>28666</v>
      </c>
      <c r="BD22" s="21">
        <f>BD3+SUM(BD5:BD10)+BD12</f>
        <v>30656</v>
      </c>
      <c r="BE22" s="21">
        <f t="shared" si="51"/>
        <v>18915</v>
      </c>
      <c r="BF22" s="21">
        <f t="shared" si="51"/>
        <v>28848</v>
      </c>
      <c r="BG22" s="21">
        <f t="shared" si="51"/>
        <v>26640</v>
      </c>
      <c r="BH22" s="21">
        <f t="shared" si="51"/>
        <v>30698</v>
      </c>
      <c r="BI22" s="21">
        <f t="shared" si="51"/>
        <v>39113</v>
      </c>
      <c r="BJ22" s="21">
        <f t="shared" si="51"/>
        <v>36150</v>
      </c>
      <c r="BK22" s="21">
        <f t="shared" si="51"/>
        <v>27747</v>
      </c>
      <c r="BL22" s="21">
        <f t="shared" si="51"/>
        <v>48414</v>
      </c>
      <c r="BM22" s="21">
        <f t="shared" si="51"/>
        <v>28093.58834669202</v>
      </c>
      <c r="BN22" s="21">
        <f t="shared" si="51"/>
        <v>56078.429705247247</v>
      </c>
      <c r="BO22" s="21">
        <f t="shared" si="51"/>
        <v>27139.456321344966</v>
      </c>
      <c r="BP22" s="21">
        <f t="shared" si="51"/>
        <v>56424.933836135475</v>
      </c>
      <c r="BQ22" s="21">
        <f t="shared" si="51"/>
        <v>54636.506752325819</v>
      </c>
      <c r="BR22" s="21">
        <f t="shared" ref="BR22:BU22" si="52">BR3+SUM(BR5:BR10)+BR12</f>
        <v>65571.412870636414</v>
      </c>
      <c r="BS22" s="21">
        <f t="shared" si="52"/>
        <v>30654.168575540665</v>
      </c>
      <c r="BT22" s="21">
        <f t="shared" si="52"/>
        <v>66756.828192300818</v>
      </c>
      <c r="BU22" s="21">
        <f t="shared" si="52"/>
        <v>63304.283835576964</v>
      </c>
      <c r="BV22" s="21">
        <f t="shared" ref="BV22:CC22" si="53">BV3+SUM(BV5:BV10)+BV12</f>
        <v>81303.753896169888</v>
      </c>
      <c r="BW22" s="21">
        <f t="shared" si="53"/>
        <v>35051.936156109223</v>
      </c>
      <c r="BX22" s="21">
        <f t="shared" si="53"/>
        <v>78443.881805503406</v>
      </c>
      <c r="BY22" s="21">
        <f t="shared" si="53"/>
        <v>73069.089292288118</v>
      </c>
      <c r="BZ22" s="21">
        <f t="shared" si="53"/>
        <v>97589.188538422866</v>
      </c>
      <c r="CA22" s="21">
        <f t="shared" si="53"/>
        <v>40008.161673915121</v>
      </c>
      <c r="CB22" s="21">
        <f t="shared" si="53"/>
        <v>90895.025832887128</v>
      </c>
      <c r="CC22" s="21">
        <f t="shared" si="53"/>
        <v>83635.595639743478</v>
      </c>
      <c r="CD22" s="21">
        <f t="shared" ref="CD22:CG22" si="54">CD3+SUM(CD5:CD10)+CD12</f>
        <v>115989.48697816531</v>
      </c>
      <c r="CE22" s="21">
        <f t="shared" si="54"/>
        <v>45550.968981016777</v>
      </c>
      <c r="CF22" s="21">
        <f t="shared" si="54"/>
        <v>104101.81834146375</v>
      </c>
      <c r="CG22" s="21">
        <f t="shared" si="54"/>
        <v>94885.334189455229</v>
      </c>
      <c r="CH22" s="21"/>
      <c r="CI22" s="90">
        <f>CI3+SUM(CI5:CI10)+CI12</f>
        <v>11081</v>
      </c>
      <c r="CJ22" s="21">
        <f t="shared" ref="CJ22:CY22" si="55">CJ3+SUM(CJ5:CJ10)+CJ12</f>
        <v>14565</v>
      </c>
      <c r="CK22" s="90">
        <f t="shared" si="55"/>
        <v>16611</v>
      </c>
      <c r="CL22" s="21">
        <f t="shared" si="55"/>
        <v>18584</v>
      </c>
      <c r="CM22" s="90">
        <f t="shared" si="55"/>
        <v>22272</v>
      </c>
      <c r="CN22" s="21">
        <f t="shared" si="55"/>
        <v>25829</v>
      </c>
      <c r="CO22" s="90">
        <f t="shared" si="55"/>
        <v>36036</v>
      </c>
      <c r="CP22" s="21">
        <f t="shared" si="55"/>
        <v>37091</v>
      </c>
      <c r="CQ22" s="90">
        <f t="shared" si="55"/>
        <v>47971</v>
      </c>
      <c r="CR22" s="90">
        <f t="shared" si="55"/>
        <v>54520</v>
      </c>
      <c r="CS22" s="90">
        <f t="shared" si="55"/>
        <v>65124</v>
      </c>
      <c r="CT22" s="90">
        <f>CT3+SUM(CT5:CT10)+CT12</f>
        <v>91652</v>
      </c>
      <c r="CU22" s="90">
        <f t="shared" si="55"/>
        <v>91495</v>
      </c>
      <c r="CV22" s="90">
        <f t="shared" si="55"/>
        <v>101746</v>
      </c>
      <c r="CW22" s="90">
        <f t="shared" si="55"/>
        <v>125299</v>
      </c>
      <c r="CX22" s="21">
        <f t="shared" si="55"/>
        <v>140404.58834669201</v>
      </c>
      <c r="CY22" s="90">
        <f t="shared" si="55"/>
        <v>194279.32661505352</v>
      </c>
      <c r="CZ22" s="90">
        <f>CZ3+SUM(CZ5:CZ10)+CZ12</f>
        <v>226286.69347405486</v>
      </c>
      <c r="DA22" s="90">
        <f>DA3+SUM(DA5:DA10)+DA12</f>
        <v>267868.66115007066</v>
      </c>
      <c r="DB22" s="90">
        <f>DB3+SUM(DB5:DB10)+DB12</f>
        <v>312127.97168496856</v>
      </c>
      <c r="DC22" s="90">
        <f>DC3+SUM(DC5:DC10)+DC12</f>
        <v>360527.608490101</v>
      </c>
    </row>
    <row r="23" spans="1:107" x14ac:dyDescent="0.2">
      <c r="CI23" s="92"/>
      <c r="CK23" s="92"/>
      <c r="CM23" s="92"/>
      <c r="CO23" s="92"/>
      <c r="CQ23" s="92"/>
      <c r="CR23" s="92"/>
      <c r="CS23" s="92"/>
      <c r="CT23" s="92"/>
      <c r="CU23" s="118"/>
      <c r="CV23" s="118"/>
      <c r="CW23" s="118"/>
      <c r="CX23" s="77"/>
      <c r="CY23" s="118"/>
      <c r="CZ23" s="118"/>
      <c r="DA23" s="118"/>
      <c r="DB23" s="118"/>
      <c r="DC23" s="118"/>
    </row>
    <row r="24" spans="1:107" x14ac:dyDescent="0.2">
      <c r="A24" s="38" t="s">
        <v>159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CI24" s="92"/>
      <c r="CK24" s="92"/>
      <c r="CM24" s="92"/>
      <c r="CO24" s="92"/>
      <c r="CQ24" s="92"/>
      <c r="CR24" s="92"/>
      <c r="CS24" s="92"/>
      <c r="CT24" s="92"/>
      <c r="CU24" s="92"/>
      <c r="CV24" s="92"/>
      <c r="CW24" s="92"/>
      <c r="CY24" s="92"/>
      <c r="CZ24" s="92"/>
      <c r="DA24" s="92"/>
      <c r="DB24" s="92"/>
      <c r="DC24" s="92"/>
    </row>
    <row r="25" spans="1:107" x14ac:dyDescent="0.2">
      <c r="A25" s="1" t="s">
        <v>166</v>
      </c>
      <c r="B25" s="17">
        <v>-239</v>
      </c>
      <c r="C25" s="17">
        <v>-476</v>
      </c>
      <c r="D25" s="17">
        <v>-758</v>
      </c>
      <c r="E25" s="17">
        <v>-2545</v>
      </c>
      <c r="F25" s="17">
        <v>-890</v>
      </c>
      <c r="G25" s="17">
        <v>-917</v>
      </c>
      <c r="H25" s="17">
        <v>-680</v>
      </c>
      <c r="I25" s="17">
        <v>-951</v>
      </c>
      <c r="J25" s="17">
        <v>-607</v>
      </c>
      <c r="K25" s="17">
        <v>-774</v>
      </c>
      <c r="L25" s="17">
        <v>-872</v>
      </c>
      <c r="M25" s="17">
        <v>-1020</v>
      </c>
      <c r="N25" s="17">
        <v>-1203</v>
      </c>
      <c r="O25" s="17">
        <v>-1611</v>
      </c>
      <c r="P25" s="17">
        <v>-2289</v>
      </c>
      <c r="Q25" s="17">
        <v>-2255</v>
      </c>
      <c r="R25" s="17">
        <v>-2345</v>
      </c>
      <c r="S25" s="17">
        <v>-2646</v>
      </c>
      <c r="T25" s="17">
        <v>-2417</v>
      </c>
      <c r="U25" s="17">
        <v>-3551</v>
      </c>
      <c r="V25" s="17">
        <v>-2927</v>
      </c>
      <c r="W25" s="17">
        <v>-2515</v>
      </c>
      <c r="X25" s="17">
        <v>-2373</v>
      </c>
      <c r="Y25" s="17">
        <v>-2100</v>
      </c>
      <c r="Z25" s="17">
        <v>-2428</v>
      </c>
      <c r="AA25" s="17">
        <v>-2123</v>
      </c>
      <c r="AB25" s="17">
        <v>-2554</v>
      </c>
      <c r="AC25" s="17">
        <v>-3078</v>
      </c>
      <c r="AD25" s="17">
        <v>-2508</v>
      </c>
      <c r="AE25" s="17">
        <v>-2831</v>
      </c>
      <c r="AF25" s="17">
        <v>-3538</v>
      </c>
      <c r="AG25" s="17">
        <v>-4307</v>
      </c>
      <c r="AH25" s="17">
        <v>-7299</v>
      </c>
      <c r="AI25" s="17">
        <v>-5477</v>
      </c>
      <c r="AJ25" s="17">
        <v>-5282</v>
      </c>
      <c r="AK25" s="17">
        <v>-7081</v>
      </c>
      <c r="AL25" s="17">
        <v>-4638</v>
      </c>
      <c r="AM25" s="17">
        <v>-6126</v>
      </c>
      <c r="AN25" s="17">
        <v>-6732</v>
      </c>
      <c r="AO25" s="17">
        <v>-6052</v>
      </c>
      <c r="AP25" s="17">
        <v>-6005</v>
      </c>
      <c r="AQ25" s="17">
        <v>-5391</v>
      </c>
      <c r="AR25" s="17">
        <v>-5406</v>
      </c>
      <c r="AS25" s="17">
        <v>-5479</v>
      </c>
      <c r="AT25" s="17">
        <v>-5942</v>
      </c>
      <c r="AU25" s="18">
        <v>-5496</v>
      </c>
      <c r="AV25" s="18">
        <v>-6819</v>
      </c>
      <c r="AW25" s="18">
        <v>-6383</v>
      </c>
      <c r="AX25" s="18">
        <v>-9786</v>
      </c>
      <c r="AY25" s="18">
        <v>-6828</v>
      </c>
      <c r="AZ25" s="18">
        <v>-7276</v>
      </c>
      <c r="BA25" s="18">
        <v>-7595</v>
      </c>
      <c r="BB25" s="18">
        <v>-6289</v>
      </c>
      <c r="BC25" s="18">
        <v>-6888</v>
      </c>
      <c r="BD25" s="18">
        <v>-8055</v>
      </c>
      <c r="BE25" s="18">
        <v>-11019</v>
      </c>
      <c r="BF25" s="18">
        <v>-12012</v>
      </c>
      <c r="BG25" s="18">
        <v>-13186</v>
      </c>
      <c r="BH25" s="18">
        <v>-13061</v>
      </c>
      <c r="BI25" s="18">
        <v>-14276</v>
      </c>
      <c r="BJ25" s="18">
        <v>-17197</v>
      </c>
      <c r="BK25" s="18">
        <v>-22446</v>
      </c>
      <c r="BL25" s="18">
        <v>-23953</v>
      </c>
      <c r="BM25" s="16">
        <f>'Capex &amp; Depreciation'!BM4</f>
        <v>-28552</v>
      </c>
      <c r="BN25" s="16">
        <f>'Capex &amp; Depreciation'!BN4</f>
        <v>-22700.04</v>
      </c>
      <c r="BO25" s="16">
        <f>'Capex &amp; Depreciation'!BO4</f>
        <v>-29628.720000000001</v>
      </c>
      <c r="BP25" s="16">
        <f>'Capex &amp; Depreciation'!BP4</f>
        <v>-31617.960000000003</v>
      </c>
      <c r="BQ25" s="16">
        <f>'Capex &amp; Depreciation'!BQ4</f>
        <v>-37688.639999999999</v>
      </c>
      <c r="BR25" s="72">
        <f>'Capex &amp; Depreciation'!BR4</f>
        <v>-26105.045999999998</v>
      </c>
      <c r="BS25" s="72">
        <f>'Capex &amp; Depreciation'!BS4</f>
        <v>-34073.027999999998</v>
      </c>
      <c r="BT25" s="72">
        <f>'Capex &amp; Depreciation'!BT4</f>
        <v>-36360.654000000002</v>
      </c>
      <c r="BU25" s="72">
        <f>'Capex &amp; Depreciation'!BU4</f>
        <v>-43341.935999999994</v>
      </c>
      <c r="BV25" s="72">
        <f>'Capex &amp; Depreciation'!BV4</f>
        <v>-28715.550600000002</v>
      </c>
      <c r="BW25" s="72">
        <f>'Capex &amp; Depreciation'!BW4</f>
        <v>-37480.330800000003</v>
      </c>
      <c r="BX25" s="72">
        <f>'Capex &amp; Depreciation'!BX4</f>
        <v>-39996.719400000009</v>
      </c>
      <c r="BY25" s="72">
        <f>'Capex &amp; Depreciation'!BY4</f>
        <v>-47676.1296</v>
      </c>
      <c r="BZ25" s="72">
        <f>'Capex &amp; Depreciation'!BZ4</f>
        <v>-31012.794648000003</v>
      </c>
      <c r="CA25" s="72">
        <f>'Capex &amp; Depreciation'!CA4</f>
        <v>-40478.757264000007</v>
      </c>
      <c r="CB25" s="72">
        <f>'Capex &amp; Depreciation'!CB4</f>
        <v>-43196.456952000015</v>
      </c>
      <c r="CC25" s="72">
        <f>'Capex &amp; Depreciation'!CC4</f>
        <v>-51490.219968000005</v>
      </c>
      <c r="CD25" s="72">
        <f>'Capex &amp; Depreciation'!CD4</f>
        <v>-32873.562326880005</v>
      </c>
      <c r="CE25" s="72">
        <f>'Capex &amp; Depreciation'!CE4</f>
        <v>-42907.482699840009</v>
      </c>
      <c r="CF25" s="72">
        <f>'Capex &amp; Depreciation'!CF4</f>
        <v>-45788.244369120017</v>
      </c>
      <c r="CG25" s="72">
        <f>'Capex &amp; Depreciation'!CG4</f>
        <v>-54579.633166080006</v>
      </c>
      <c r="CH25" s="72"/>
      <c r="CI25" s="89">
        <f t="shared" ref="CI25:CI31" si="56">SUM(B25:E25)</f>
        <v>-4018</v>
      </c>
      <c r="CJ25" s="20">
        <f t="shared" ref="CJ25:CJ31" si="57">SUM(F25:I25)</f>
        <v>-3438</v>
      </c>
      <c r="CK25" s="89">
        <f t="shared" ref="CK25:CK31" si="58">SUM(J25:M25)</f>
        <v>-3273</v>
      </c>
      <c r="CL25" s="20">
        <f t="shared" ref="CL25:CL31" si="59">SUM(N25:Q25)</f>
        <v>-7358</v>
      </c>
      <c r="CM25" s="89">
        <f t="shared" ref="CM25:CM31" si="60">SUM(R25:U25)</f>
        <v>-10959</v>
      </c>
      <c r="CN25" s="20">
        <f t="shared" ref="CN25:CN31" si="61">SUM(V25:Y25)</f>
        <v>-9915</v>
      </c>
      <c r="CO25" s="89">
        <f t="shared" ref="CO25:CO31" si="62">SUM(Z25:AC25)</f>
        <v>-10183</v>
      </c>
      <c r="CP25" s="20">
        <f t="shared" ref="CP25:CP31" si="63">SUM(AD25:AG25)</f>
        <v>-13184</v>
      </c>
      <c r="CQ25" s="89">
        <f t="shared" ref="CQ25:CQ31" si="64">SUM(AH25:AK25)</f>
        <v>-25139</v>
      </c>
      <c r="CR25" s="89">
        <f t="shared" ref="CR25:CR31" si="65">SUM(AL25:AO25)</f>
        <v>-23548</v>
      </c>
      <c r="CS25" s="89">
        <f t="shared" ref="CS25:CS31" si="66">SUM(AP25:AS25)</f>
        <v>-22281</v>
      </c>
      <c r="CT25" s="89">
        <f t="shared" ref="CT25:CT31" si="67">SUM(AT25:AW25)</f>
        <v>-24640</v>
      </c>
      <c r="CU25" s="89">
        <f t="shared" ref="CU25:CU31" si="68">SUM(AX25:BA25)</f>
        <v>-31485</v>
      </c>
      <c r="CV25" s="89">
        <f t="shared" ref="CV25:CV31" si="69">SUM(BB25:BE25)</f>
        <v>-32251</v>
      </c>
      <c r="CW25" s="89">
        <f t="shared" ref="CW25:CW31" si="70">SUM(BF25:BI25)</f>
        <v>-52535</v>
      </c>
      <c r="CX25" s="20">
        <f t="shared" ref="CX25:CX31" si="71">SUM(BJ25:BM25)</f>
        <v>-92148</v>
      </c>
      <c r="CY25" s="89">
        <f t="shared" ref="CY25:CY31" si="72">SUM(BN25:BQ25)</f>
        <v>-121635.36</v>
      </c>
      <c r="CZ25" s="89">
        <f t="shared" ref="CZ25:CZ31" si="73">SUM(BR25:BU25)</f>
        <v>-139880.66399999999</v>
      </c>
      <c r="DA25" s="89">
        <f t="shared" ref="DA25:DA31" si="74">SUM(BV25:BY25)</f>
        <v>-153868.7304</v>
      </c>
      <c r="DB25" s="89">
        <f t="shared" ref="DB25:DB31" si="75">SUM(BZ25:CC25)</f>
        <v>-166178.22883200005</v>
      </c>
      <c r="DC25" s="89">
        <f>SUM(CD25:CG25)</f>
        <v>-176148.92256192002</v>
      </c>
    </row>
    <row r="26" spans="1:107" x14ac:dyDescent="0.2">
      <c r="A26" s="1" t="s">
        <v>167</v>
      </c>
      <c r="B26" s="17">
        <v>-12487</v>
      </c>
      <c r="C26" s="17">
        <v>-12934</v>
      </c>
      <c r="D26" s="17">
        <v>-12168</v>
      </c>
      <c r="E26" s="17">
        <v>-6396</v>
      </c>
      <c r="F26" s="17">
        <v>-7591</v>
      </c>
      <c r="G26" s="17">
        <v>-13364</v>
      </c>
      <c r="H26" s="17">
        <v>-22738</v>
      </c>
      <c r="I26" s="17">
        <v>-17979</v>
      </c>
      <c r="J26" s="17">
        <v>-8688</v>
      </c>
      <c r="K26" s="17">
        <v>-6854</v>
      </c>
      <c r="L26" s="17">
        <v>-8704</v>
      </c>
      <c r="M26" s="17">
        <v>-9164</v>
      </c>
      <c r="N26" s="17">
        <v>-7834</v>
      </c>
      <c r="O26" s="17">
        <v>-14948</v>
      </c>
      <c r="P26" s="17">
        <v>-8964</v>
      </c>
      <c r="Q26" s="17">
        <v>-13698</v>
      </c>
      <c r="R26" s="17">
        <v>-12082</v>
      </c>
      <c r="S26" s="17">
        <v>-12775</v>
      </c>
      <c r="T26" s="17">
        <v>-18335</v>
      </c>
      <c r="U26" s="17">
        <v>-13118</v>
      </c>
      <c r="V26" s="17">
        <v>-12558</v>
      </c>
      <c r="W26" s="17">
        <v>-20568</v>
      </c>
      <c r="X26" s="17">
        <v>-23091</v>
      </c>
      <c r="Y26" s="17">
        <v>-18151</v>
      </c>
      <c r="Z26" s="17">
        <v>-20748</v>
      </c>
      <c r="AA26" s="17">
        <v>-24840</v>
      </c>
      <c r="AB26" s="17">
        <v>-25371</v>
      </c>
      <c r="AC26" s="17">
        <v>-13550</v>
      </c>
      <c r="AD26" s="17">
        <v>-20119</v>
      </c>
      <c r="AE26" s="17">
        <v>-19557</v>
      </c>
      <c r="AF26" s="17">
        <v>-39033</v>
      </c>
      <c r="AG26" s="17">
        <v>-13486</v>
      </c>
      <c r="AH26" s="17">
        <v>-8849</v>
      </c>
      <c r="AI26" s="17">
        <v>-14192</v>
      </c>
      <c r="AJ26" s="17">
        <v>-14299</v>
      </c>
      <c r="AK26" s="17">
        <v>-12818</v>
      </c>
      <c r="AL26" s="17">
        <v>-20883</v>
      </c>
      <c r="AM26" s="17">
        <v>-23841</v>
      </c>
      <c r="AN26" s="17">
        <v>-36244</v>
      </c>
      <c r="AO26" s="17">
        <v>-19347</v>
      </c>
      <c r="AP26" s="17">
        <v>-37563</v>
      </c>
      <c r="AQ26" s="17">
        <v>-26548</v>
      </c>
      <c r="AR26" s="17">
        <v>-40821</v>
      </c>
      <c r="AS26" s="17">
        <v>-31644</v>
      </c>
      <c r="AT26" s="17">
        <v>-36426</v>
      </c>
      <c r="AU26" s="18">
        <v>-24183</v>
      </c>
      <c r="AV26" s="18">
        <v>-34497</v>
      </c>
      <c r="AW26" s="18">
        <v>-40090</v>
      </c>
      <c r="AX26" s="18">
        <v>-28462</v>
      </c>
      <c r="AY26" s="18">
        <v>-21737</v>
      </c>
      <c r="AZ26" s="18">
        <v>-17054</v>
      </c>
      <c r="BA26" s="18">
        <v>-11621</v>
      </c>
      <c r="BB26" s="18">
        <v>-14227</v>
      </c>
      <c r="BC26" s="18">
        <v>-21362</v>
      </c>
      <c r="BD26" s="18">
        <v>-13833</v>
      </c>
      <c r="BE26" s="18">
        <v>-28436</v>
      </c>
      <c r="BF26" s="18">
        <v>-20684</v>
      </c>
      <c r="BG26" s="18">
        <v>-22327</v>
      </c>
      <c r="BH26" s="18">
        <v>-22023</v>
      </c>
      <c r="BI26" s="18">
        <v>-21645</v>
      </c>
      <c r="BJ26" s="18">
        <v>-18453</v>
      </c>
      <c r="BK26" s="18">
        <v>-21417</v>
      </c>
      <c r="BL26" s="18">
        <v>-20964</v>
      </c>
      <c r="BM26" s="16">
        <f>BM93*'Balance Sheet'!BL$4</f>
        <v>-18851.5</v>
      </c>
      <c r="BN26" s="16">
        <f>BN93*'Balance Sheet'!BM$4</f>
        <v>-18851.5</v>
      </c>
      <c r="BO26" s="16">
        <f>BO93*'Balance Sheet'!BN$4</f>
        <v>-18851.5</v>
      </c>
      <c r="BP26" s="16">
        <f>BP93*'Balance Sheet'!BO$4</f>
        <v>-18851.5</v>
      </c>
      <c r="BQ26" s="16">
        <f>BQ93*'Balance Sheet'!BP$4</f>
        <v>-18851.5</v>
      </c>
      <c r="BR26" s="72">
        <f>BR93*'Balance Sheet'!BQ$4</f>
        <v>-18851.5</v>
      </c>
      <c r="BS26" s="72">
        <f>BS93*'Balance Sheet'!BR$4</f>
        <v>-18851.5</v>
      </c>
      <c r="BT26" s="72">
        <f>BT93*'Balance Sheet'!BS$4</f>
        <v>-18851.5</v>
      </c>
      <c r="BU26" s="72">
        <f>BU93*'Balance Sheet'!BT$4</f>
        <v>-18851.5</v>
      </c>
      <c r="BV26" s="72">
        <f>BV93*'Balance Sheet'!BU$4</f>
        <v>-18851.5</v>
      </c>
      <c r="BW26" s="72">
        <f>BW93*'Balance Sheet'!BV$4</f>
        <v>-18851.5</v>
      </c>
      <c r="BX26" s="72">
        <f>BX93*'Balance Sheet'!BW$4</f>
        <v>-18851.5</v>
      </c>
      <c r="BY26" s="72">
        <f>BY93*'Balance Sheet'!BX$4</f>
        <v>-18851.5</v>
      </c>
      <c r="BZ26" s="72">
        <f>BZ93*'Balance Sheet'!BY$4</f>
        <v>-18851.5</v>
      </c>
      <c r="CA26" s="72">
        <f>CA93*'Balance Sheet'!BZ$4</f>
        <v>-18851.5</v>
      </c>
      <c r="CB26" s="72">
        <f>CB93*'Balance Sheet'!CA$4</f>
        <v>-18851.5</v>
      </c>
      <c r="CC26" s="72">
        <f>CC93*'Balance Sheet'!CB$4</f>
        <v>-18851.5</v>
      </c>
      <c r="CD26" s="72">
        <f>CD93*'Balance Sheet'!CC$4</f>
        <v>-18851.5</v>
      </c>
      <c r="CE26" s="72">
        <f>CE93*'Balance Sheet'!CD$4</f>
        <v>-18851.5</v>
      </c>
      <c r="CF26" s="72">
        <f>CF93*'Balance Sheet'!CE$4</f>
        <v>-18851.5</v>
      </c>
      <c r="CG26" s="72">
        <f>CG93*'Balance Sheet'!CF$4</f>
        <v>-18851.5</v>
      </c>
      <c r="CH26" s="72"/>
      <c r="CI26" s="89">
        <f t="shared" si="56"/>
        <v>-43985</v>
      </c>
      <c r="CJ26" s="20">
        <f t="shared" si="57"/>
        <v>-61672</v>
      </c>
      <c r="CK26" s="89">
        <f t="shared" si="58"/>
        <v>-33410</v>
      </c>
      <c r="CL26" s="20">
        <f t="shared" si="59"/>
        <v>-45444</v>
      </c>
      <c r="CM26" s="89">
        <f t="shared" si="60"/>
        <v>-56310</v>
      </c>
      <c r="CN26" s="20">
        <f t="shared" si="61"/>
        <v>-74368</v>
      </c>
      <c r="CO26" s="89">
        <f t="shared" si="62"/>
        <v>-84509</v>
      </c>
      <c r="CP26" s="20">
        <f t="shared" si="63"/>
        <v>-92195</v>
      </c>
      <c r="CQ26" s="89">
        <f t="shared" si="64"/>
        <v>-50158</v>
      </c>
      <c r="CR26" s="89">
        <f t="shared" si="65"/>
        <v>-100315</v>
      </c>
      <c r="CS26" s="89">
        <f t="shared" si="66"/>
        <v>-136576</v>
      </c>
      <c r="CT26" s="89">
        <f t="shared" si="67"/>
        <v>-135196</v>
      </c>
      <c r="CU26" s="89">
        <f t="shared" si="68"/>
        <v>-78874</v>
      </c>
      <c r="CV26" s="89">
        <f t="shared" si="69"/>
        <v>-77858</v>
      </c>
      <c r="CW26" s="89">
        <f t="shared" si="70"/>
        <v>-86679</v>
      </c>
      <c r="CX26" s="20">
        <f t="shared" si="71"/>
        <v>-79685.5</v>
      </c>
      <c r="CY26" s="89">
        <f t="shared" si="72"/>
        <v>-75406</v>
      </c>
      <c r="CZ26" s="89">
        <f>SUM(BR26:BU26)</f>
        <v>-75406</v>
      </c>
      <c r="DA26" s="89">
        <f t="shared" si="74"/>
        <v>-75406</v>
      </c>
      <c r="DB26" s="89">
        <f t="shared" si="75"/>
        <v>-75406</v>
      </c>
      <c r="DC26" s="89">
        <f t="shared" ref="DC26:DC31" si="76">SUM(CD26:CG26)</f>
        <v>-75406</v>
      </c>
    </row>
    <row r="27" spans="1:107" x14ac:dyDescent="0.2">
      <c r="A27" s="1" t="s">
        <v>168</v>
      </c>
      <c r="B27" s="17">
        <v>9495</v>
      </c>
      <c r="C27" s="17">
        <v>11135</v>
      </c>
      <c r="D27" s="17">
        <v>9739</v>
      </c>
      <c r="E27" s="17">
        <v>6730</v>
      </c>
      <c r="F27" s="17">
        <v>4645</v>
      </c>
      <c r="G27" s="17">
        <v>8982</v>
      </c>
      <c r="H27" s="17">
        <v>19480</v>
      </c>
      <c r="I27" s="17">
        <v>15639</v>
      </c>
      <c r="J27" s="17">
        <v>17201</v>
      </c>
      <c r="K27" s="17">
        <v>5456</v>
      </c>
      <c r="L27" s="17">
        <v>7143</v>
      </c>
      <c r="M27" s="17">
        <v>5380</v>
      </c>
      <c r="N27" s="17">
        <v>6319</v>
      </c>
      <c r="O27" s="17">
        <v>10687</v>
      </c>
      <c r="P27" s="17">
        <v>6235</v>
      </c>
      <c r="Q27" s="17">
        <v>15073</v>
      </c>
      <c r="R27" s="17">
        <v>9406</v>
      </c>
      <c r="S27" s="17">
        <v>14199</v>
      </c>
      <c r="T27" s="17">
        <v>13045</v>
      </c>
      <c r="U27" s="17">
        <v>14665</v>
      </c>
      <c r="V27" s="17">
        <v>10389</v>
      </c>
      <c r="W27" s="17">
        <v>17197</v>
      </c>
      <c r="X27" s="17">
        <v>19274</v>
      </c>
      <c r="Y27" s="17">
        <v>16045</v>
      </c>
      <c r="Z27" s="17">
        <v>17443</v>
      </c>
      <c r="AA27" s="17">
        <v>20346</v>
      </c>
      <c r="AB27" s="17">
        <v>16590</v>
      </c>
      <c r="AC27" s="17">
        <v>12516</v>
      </c>
      <c r="AD27" s="17">
        <v>19362</v>
      </c>
      <c r="AE27" s="17">
        <v>14876</v>
      </c>
      <c r="AF27" s="17">
        <v>28350</v>
      </c>
      <c r="AG27" s="17">
        <v>11371</v>
      </c>
      <c r="AH27" s="17">
        <v>9351</v>
      </c>
      <c r="AI27" s="17">
        <v>16172</v>
      </c>
      <c r="AJ27" s="17">
        <v>9403</v>
      </c>
      <c r="AK27" s="17">
        <v>13581</v>
      </c>
      <c r="AL27" s="17">
        <v>21006</v>
      </c>
      <c r="AM27" s="17">
        <v>19686</v>
      </c>
      <c r="AN27" s="17">
        <v>34091</v>
      </c>
      <c r="AO27" s="17">
        <v>23042</v>
      </c>
      <c r="AP27" s="17">
        <v>41811</v>
      </c>
      <c r="AQ27" s="17">
        <v>24063</v>
      </c>
      <c r="AR27" s="17">
        <v>31877</v>
      </c>
      <c r="AS27" s="17">
        <v>35155</v>
      </c>
      <c r="AT27" s="17">
        <v>39248</v>
      </c>
      <c r="AU27" s="18">
        <v>21419</v>
      </c>
      <c r="AV27" s="18">
        <v>31459</v>
      </c>
      <c r="AW27" s="18">
        <v>36168</v>
      </c>
      <c r="AX27" s="18">
        <v>29779</v>
      </c>
      <c r="AY27" s="18">
        <v>25595</v>
      </c>
      <c r="AZ27" s="18">
        <v>28713</v>
      </c>
      <c r="BA27" s="18">
        <v>13735</v>
      </c>
      <c r="BB27" s="18">
        <v>18327</v>
      </c>
      <c r="BC27" s="18">
        <v>18722</v>
      </c>
      <c r="BD27" s="18">
        <v>15593</v>
      </c>
      <c r="BE27" s="18">
        <v>34030</v>
      </c>
      <c r="BF27" s="18">
        <v>24985</v>
      </c>
      <c r="BG27" s="18">
        <v>33592</v>
      </c>
      <c r="BH27" s="18">
        <v>23202</v>
      </c>
      <c r="BI27" s="18">
        <v>21649</v>
      </c>
      <c r="BJ27" s="18">
        <v>20345</v>
      </c>
      <c r="BK27" s="18">
        <v>20585</v>
      </c>
      <c r="BL27" s="18">
        <v>20371</v>
      </c>
      <c r="BM27" s="16">
        <f>BM92*'Balance Sheet'!BL$4</f>
        <v>18851.5</v>
      </c>
      <c r="BN27" s="16">
        <f>BN92*'Balance Sheet'!BM$4</f>
        <v>18851.5</v>
      </c>
      <c r="BO27" s="16">
        <f>BO92*'Balance Sheet'!BN$4</f>
        <v>18851.5</v>
      </c>
      <c r="BP27" s="16">
        <f>BP92*'Balance Sheet'!BO$4</f>
        <v>18851.5</v>
      </c>
      <c r="BQ27" s="16">
        <f>BQ92*'Balance Sheet'!BP$4</f>
        <v>18851.5</v>
      </c>
      <c r="BR27" s="72">
        <f>BR92*'Balance Sheet'!BQ$4</f>
        <v>18851.5</v>
      </c>
      <c r="BS27" s="72">
        <f>BS92*'Balance Sheet'!BR$4</f>
        <v>18851.5</v>
      </c>
      <c r="BT27" s="72">
        <f>BT92*'Balance Sheet'!BS$4</f>
        <v>18851.5</v>
      </c>
      <c r="BU27" s="72">
        <f>BU92*'Balance Sheet'!BT$4</f>
        <v>18851.5</v>
      </c>
      <c r="BV27" s="72">
        <f>BV92*'Balance Sheet'!BU$4</f>
        <v>18851.5</v>
      </c>
      <c r="BW27" s="72">
        <f>BW92*'Balance Sheet'!BV$4</f>
        <v>18851.5</v>
      </c>
      <c r="BX27" s="72">
        <f>BX92*'Balance Sheet'!BW$4</f>
        <v>18851.5</v>
      </c>
      <c r="BY27" s="72">
        <f>BY92*'Balance Sheet'!BX$4</f>
        <v>18851.5</v>
      </c>
      <c r="BZ27" s="72">
        <f>BZ92*'Balance Sheet'!BY$4</f>
        <v>18851.5</v>
      </c>
      <c r="CA27" s="72">
        <f>CA92*'Balance Sheet'!BZ$4</f>
        <v>18851.5</v>
      </c>
      <c r="CB27" s="72">
        <f>CB92*'Balance Sheet'!CA$4</f>
        <v>18851.5</v>
      </c>
      <c r="CC27" s="72">
        <f>CC92*'Balance Sheet'!CB$4</f>
        <v>18851.5</v>
      </c>
      <c r="CD27" s="72">
        <f>CD92*'Balance Sheet'!CC$4</f>
        <v>18851.5</v>
      </c>
      <c r="CE27" s="72">
        <f>CE92*'Balance Sheet'!CD$4</f>
        <v>18851.5</v>
      </c>
      <c r="CF27" s="72">
        <f>CF92*'Balance Sheet'!CE$4</f>
        <v>18851.5</v>
      </c>
      <c r="CG27" s="72">
        <f>CG92*'Balance Sheet'!CF$4</f>
        <v>18851.5</v>
      </c>
      <c r="CH27" s="72"/>
      <c r="CI27" s="89">
        <f t="shared" si="56"/>
        <v>37099</v>
      </c>
      <c r="CJ27" s="20">
        <f t="shared" si="57"/>
        <v>48746</v>
      </c>
      <c r="CK27" s="89">
        <f t="shared" si="58"/>
        <v>35180</v>
      </c>
      <c r="CL27" s="20">
        <f t="shared" si="59"/>
        <v>38314</v>
      </c>
      <c r="CM27" s="89">
        <f t="shared" si="60"/>
        <v>51315</v>
      </c>
      <c r="CN27" s="20">
        <f t="shared" si="61"/>
        <v>62905</v>
      </c>
      <c r="CO27" s="89">
        <f t="shared" si="62"/>
        <v>66895</v>
      </c>
      <c r="CP27" s="20">
        <f t="shared" si="63"/>
        <v>73959</v>
      </c>
      <c r="CQ27" s="89">
        <f t="shared" si="64"/>
        <v>48507</v>
      </c>
      <c r="CR27" s="89">
        <f t="shared" si="65"/>
        <v>97825</v>
      </c>
      <c r="CS27" s="89">
        <f t="shared" si="66"/>
        <v>132906</v>
      </c>
      <c r="CT27" s="89">
        <f t="shared" si="67"/>
        <v>128294</v>
      </c>
      <c r="CU27" s="89">
        <f t="shared" si="68"/>
        <v>97822</v>
      </c>
      <c r="CV27" s="89">
        <f t="shared" si="69"/>
        <v>86672</v>
      </c>
      <c r="CW27" s="89">
        <f t="shared" si="70"/>
        <v>103428</v>
      </c>
      <c r="CX27" s="20">
        <f t="shared" si="71"/>
        <v>80152.5</v>
      </c>
      <c r="CY27" s="89">
        <f t="shared" si="72"/>
        <v>75406</v>
      </c>
      <c r="CZ27" s="89">
        <f t="shared" si="73"/>
        <v>75406</v>
      </c>
      <c r="DA27" s="89">
        <f t="shared" si="74"/>
        <v>75406</v>
      </c>
      <c r="DB27" s="89">
        <f t="shared" si="75"/>
        <v>75406</v>
      </c>
      <c r="DC27" s="89">
        <f t="shared" si="76"/>
        <v>75406</v>
      </c>
    </row>
    <row r="28" spans="1:107" x14ac:dyDescent="0.2">
      <c r="A28" s="1" t="s">
        <v>169</v>
      </c>
      <c r="B28" s="17">
        <v>-3</v>
      </c>
      <c r="C28" s="17">
        <v>-227</v>
      </c>
      <c r="D28" s="17">
        <v>-35</v>
      </c>
      <c r="E28" s="17">
        <v>-55</v>
      </c>
      <c r="F28" s="17">
        <v>-131</v>
      </c>
      <c r="G28" s="17">
        <v>-212</v>
      </c>
      <c r="H28" s="17">
        <v>-15</v>
      </c>
      <c r="I28" s="17">
        <v>-70</v>
      </c>
      <c r="J28" s="17">
        <v>-103</v>
      </c>
      <c r="K28" s="17">
        <v>-99</v>
      </c>
      <c r="L28" s="17">
        <v>-44</v>
      </c>
      <c r="M28" s="17">
        <v>-450</v>
      </c>
      <c r="N28" s="17">
        <v>-36</v>
      </c>
      <c r="O28" s="17">
        <v>-136</v>
      </c>
      <c r="P28" s="17">
        <v>-299</v>
      </c>
      <c r="Q28" s="17">
        <v>-98</v>
      </c>
      <c r="R28" s="17">
        <v>-168</v>
      </c>
      <c r="S28" s="17">
        <v>-299</v>
      </c>
      <c r="T28" s="17">
        <v>-69</v>
      </c>
      <c r="U28" s="17">
        <v>-691</v>
      </c>
      <c r="V28" s="17">
        <v>-1074</v>
      </c>
      <c r="W28" s="17">
        <v>-375</v>
      </c>
      <c r="X28" s="17">
        <v>-322</v>
      </c>
      <c r="Y28" s="17">
        <v>-401</v>
      </c>
      <c r="Z28" s="17">
        <v>-321</v>
      </c>
      <c r="AA28" s="17">
        <v>-262</v>
      </c>
      <c r="AB28" s="17">
        <v>-90</v>
      </c>
      <c r="AC28" s="17">
        <v>-247</v>
      </c>
      <c r="AD28" s="17">
        <v>-235</v>
      </c>
      <c r="AE28" s="17">
        <v>-287</v>
      </c>
      <c r="AF28" s="17">
        <v>-80</v>
      </c>
      <c r="AG28" s="17">
        <v>-874</v>
      </c>
      <c r="AH28" s="17">
        <v>171</v>
      </c>
      <c r="AI28" s="17">
        <v>288</v>
      </c>
      <c r="AJ28" s="17">
        <v>-232</v>
      </c>
      <c r="AK28" s="17">
        <v>-955</v>
      </c>
      <c r="AL28" s="17">
        <v>-808</v>
      </c>
      <c r="AM28" s="17">
        <v>-81</v>
      </c>
      <c r="AN28" s="17">
        <v>-313</v>
      </c>
      <c r="AO28" s="17">
        <v>-433</v>
      </c>
      <c r="AP28" s="17">
        <v>-312</v>
      </c>
      <c r="AQ28" s="17">
        <v>-526</v>
      </c>
      <c r="AR28" s="17">
        <v>-553</v>
      </c>
      <c r="AS28" s="17">
        <v>-5311</v>
      </c>
      <c r="AT28" s="17">
        <v>-627</v>
      </c>
      <c r="AU28" s="18">
        <v>-766</v>
      </c>
      <c r="AV28" s="18">
        <v>-656</v>
      </c>
      <c r="AW28" s="18">
        <v>-770</v>
      </c>
      <c r="AX28" s="18">
        <v>-776</v>
      </c>
      <c r="AY28" s="18">
        <v>-488</v>
      </c>
      <c r="AZ28" s="18">
        <v>-364</v>
      </c>
      <c r="BA28" s="18">
        <v>-903</v>
      </c>
      <c r="BB28" s="18">
        <v>-626</v>
      </c>
      <c r="BC28" s="18">
        <v>-887</v>
      </c>
      <c r="BD28" s="18">
        <v>-663</v>
      </c>
      <c r="BE28" s="18">
        <v>-851</v>
      </c>
      <c r="BF28" s="18">
        <v>-1206</v>
      </c>
      <c r="BG28" s="18">
        <v>-993</v>
      </c>
      <c r="BH28" s="18">
        <v>-1035</v>
      </c>
      <c r="BI28" s="18">
        <v>-1800</v>
      </c>
      <c r="BJ28" s="18">
        <v>-958</v>
      </c>
      <c r="BK28" s="18">
        <v>-1354</v>
      </c>
      <c r="BL28" s="18">
        <v>-1000</v>
      </c>
      <c r="BM28" s="16">
        <f>BM95*'Balance Sheet'!BL13</f>
        <v>0</v>
      </c>
      <c r="BN28" s="16">
        <f>BN95*'Balance Sheet'!BM13</f>
        <v>0</v>
      </c>
      <c r="BO28" s="16">
        <f>BO95*'Balance Sheet'!BN13</f>
        <v>0</v>
      </c>
      <c r="BP28" s="16">
        <f>BP95*'Balance Sheet'!BO13</f>
        <v>0</v>
      </c>
      <c r="BQ28" s="16">
        <f>BQ95*'Balance Sheet'!BP13</f>
        <v>0</v>
      </c>
      <c r="BR28" s="72">
        <f>BR95*'Balance Sheet'!BQ13</f>
        <v>0</v>
      </c>
      <c r="BS28" s="72">
        <f>BS95*'Balance Sheet'!BR13</f>
        <v>0</v>
      </c>
      <c r="BT28" s="72">
        <f>BT95*'Balance Sheet'!BS13</f>
        <v>0</v>
      </c>
      <c r="BU28" s="72">
        <f>BU95*'Balance Sheet'!BT13</f>
        <v>0</v>
      </c>
      <c r="BV28" s="72">
        <f>BV95*'Balance Sheet'!BU13</f>
        <v>0</v>
      </c>
      <c r="BW28" s="72">
        <f>BW95*'Balance Sheet'!BV13</f>
        <v>0</v>
      </c>
      <c r="BX28" s="72">
        <f>BX95*'Balance Sheet'!BW13</f>
        <v>0</v>
      </c>
      <c r="BY28" s="72">
        <f>BY95*'Balance Sheet'!BX13</f>
        <v>0</v>
      </c>
      <c r="BZ28" s="72">
        <f>BZ95*'Balance Sheet'!BY13</f>
        <v>0</v>
      </c>
      <c r="CA28" s="72">
        <f>CA95*'Balance Sheet'!BZ13</f>
        <v>0</v>
      </c>
      <c r="CB28" s="72">
        <f>CB95*'Balance Sheet'!CA13</f>
        <v>0</v>
      </c>
      <c r="CC28" s="72">
        <f>CC95*'Balance Sheet'!CB13</f>
        <v>0</v>
      </c>
      <c r="CD28" s="72">
        <f>CD95*'Balance Sheet'!CC13</f>
        <v>0</v>
      </c>
      <c r="CE28" s="72">
        <f>CE95*'Balance Sheet'!CD13</f>
        <v>0</v>
      </c>
      <c r="CF28" s="72">
        <f>CF95*'Balance Sheet'!CE13</f>
        <v>0</v>
      </c>
      <c r="CG28" s="72">
        <f>CG95*'Balance Sheet'!CF13</f>
        <v>0</v>
      </c>
      <c r="CH28" s="72"/>
      <c r="CI28" s="89">
        <f t="shared" si="56"/>
        <v>-320</v>
      </c>
      <c r="CJ28" s="20">
        <f t="shared" si="57"/>
        <v>-428</v>
      </c>
      <c r="CK28" s="89">
        <f t="shared" si="58"/>
        <v>-696</v>
      </c>
      <c r="CL28" s="20">
        <f t="shared" si="59"/>
        <v>-569</v>
      </c>
      <c r="CM28" s="89">
        <f t="shared" si="60"/>
        <v>-1227</v>
      </c>
      <c r="CN28" s="20">
        <f t="shared" si="61"/>
        <v>-2172</v>
      </c>
      <c r="CO28" s="89">
        <f t="shared" si="62"/>
        <v>-920</v>
      </c>
      <c r="CP28" s="20">
        <f t="shared" si="63"/>
        <v>-1476</v>
      </c>
      <c r="CQ28" s="89">
        <f t="shared" si="64"/>
        <v>-728</v>
      </c>
      <c r="CR28" s="89">
        <f t="shared" si="65"/>
        <v>-1635</v>
      </c>
      <c r="CS28" s="89">
        <f t="shared" si="66"/>
        <v>-6702</v>
      </c>
      <c r="CT28" s="89">
        <f t="shared" si="67"/>
        <v>-2819</v>
      </c>
      <c r="CU28" s="89">
        <f t="shared" si="68"/>
        <v>-2531</v>
      </c>
      <c r="CV28" s="89">
        <f t="shared" si="69"/>
        <v>-3027</v>
      </c>
      <c r="CW28" s="89">
        <f t="shared" si="70"/>
        <v>-5034</v>
      </c>
      <c r="CX28" s="20">
        <f t="shared" si="71"/>
        <v>-3312</v>
      </c>
      <c r="CY28" s="89">
        <f t="shared" si="72"/>
        <v>0</v>
      </c>
      <c r="CZ28" s="89">
        <f t="shared" si="73"/>
        <v>0</v>
      </c>
      <c r="DA28" s="89">
        <f t="shared" si="74"/>
        <v>0</v>
      </c>
      <c r="DB28" s="89">
        <f t="shared" si="75"/>
        <v>0</v>
      </c>
      <c r="DC28" s="89">
        <f t="shared" si="76"/>
        <v>0</v>
      </c>
    </row>
    <row r="29" spans="1:107" x14ac:dyDescent="0.2">
      <c r="A29" s="1" t="s">
        <v>170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125</v>
      </c>
      <c r="AS29" s="17">
        <v>425</v>
      </c>
      <c r="AT29" s="17">
        <v>0</v>
      </c>
      <c r="AU29" s="18">
        <v>237</v>
      </c>
      <c r="AV29" s="18">
        <v>334</v>
      </c>
      <c r="AW29" s="18">
        <v>344</v>
      </c>
      <c r="AX29" s="18">
        <v>12</v>
      </c>
      <c r="AY29" s="18">
        <v>113</v>
      </c>
      <c r="AZ29" s="18">
        <v>6</v>
      </c>
      <c r="BA29" s="18">
        <v>19</v>
      </c>
      <c r="BB29" s="18">
        <v>36</v>
      </c>
      <c r="BC29" s="18">
        <v>145</v>
      </c>
      <c r="BD29" s="18">
        <v>562</v>
      </c>
      <c r="BE29" s="18">
        <v>204</v>
      </c>
      <c r="BF29" s="18">
        <v>313</v>
      </c>
      <c r="BG29" s="18">
        <v>292</v>
      </c>
      <c r="BH29" s="18">
        <v>127</v>
      </c>
      <c r="BI29" s="18">
        <v>150</v>
      </c>
      <c r="BJ29" s="18">
        <v>259</v>
      </c>
      <c r="BK29" s="18">
        <v>614</v>
      </c>
      <c r="BL29" s="18">
        <v>323</v>
      </c>
      <c r="BM29" s="16">
        <f>BM94*'Balance Sheet'!BL$13</f>
        <v>0</v>
      </c>
      <c r="BN29" s="16">
        <f>BN94*'Balance Sheet'!BM$13</f>
        <v>0</v>
      </c>
      <c r="BO29" s="16">
        <f>BO94*'Balance Sheet'!BN$13</f>
        <v>0</v>
      </c>
      <c r="BP29" s="16">
        <f>BP94*'Balance Sheet'!BO$13</f>
        <v>0</v>
      </c>
      <c r="BQ29" s="16">
        <f>BQ94*'Balance Sheet'!BP$13</f>
        <v>0</v>
      </c>
      <c r="BR29" s="72">
        <f>BR94*'Balance Sheet'!BQ$13</f>
        <v>0</v>
      </c>
      <c r="BS29" s="72">
        <f>BS94*'Balance Sheet'!BR$13</f>
        <v>0</v>
      </c>
      <c r="BT29" s="72">
        <f>BT94*'Balance Sheet'!BS$13</f>
        <v>0</v>
      </c>
      <c r="BU29" s="72">
        <f>BU94*'Balance Sheet'!BT$13</f>
        <v>0</v>
      </c>
      <c r="BV29" s="72">
        <f>BV94*'Balance Sheet'!BU$13</f>
        <v>0</v>
      </c>
      <c r="BW29" s="72">
        <f>BW94*'Balance Sheet'!BV$13</f>
        <v>0</v>
      </c>
      <c r="BX29" s="72">
        <f>BX94*'Balance Sheet'!BW$13</f>
        <v>0</v>
      </c>
      <c r="BY29" s="72">
        <f>BY94*'Balance Sheet'!BX$13</f>
        <v>0</v>
      </c>
      <c r="BZ29" s="72">
        <f>BZ94*'Balance Sheet'!BY$13</f>
        <v>0</v>
      </c>
      <c r="CA29" s="72">
        <f>CA94*'Balance Sheet'!BZ$13</f>
        <v>0</v>
      </c>
      <c r="CB29" s="72">
        <f>CB94*'Balance Sheet'!CA$13</f>
        <v>0</v>
      </c>
      <c r="CC29" s="72">
        <f>CC94*'Balance Sheet'!CB$13</f>
        <v>0</v>
      </c>
      <c r="CD29" s="72">
        <f>CD94*'Balance Sheet'!CC$13</f>
        <v>0</v>
      </c>
      <c r="CE29" s="72">
        <f>CE94*'Balance Sheet'!CD$13</f>
        <v>0</v>
      </c>
      <c r="CF29" s="72">
        <f>CF94*'Balance Sheet'!CE$13</f>
        <v>0</v>
      </c>
      <c r="CG29" s="72">
        <f>CG94*'Balance Sheet'!CF$13</f>
        <v>0</v>
      </c>
      <c r="CH29" s="72"/>
      <c r="CI29" s="89">
        <f t="shared" si="56"/>
        <v>0</v>
      </c>
      <c r="CJ29" s="20">
        <f t="shared" si="57"/>
        <v>0</v>
      </c>
      <c r="CK29" s="89">
        <f t="shared" si="58"/>
        <v>0</v>
      </c>
      <c r="CL29" s="20">
        <f t="shared" si="59"/>
        <v>0</v>
      </c>
      <c r="CM29" s="89">
        <f t="shared" si="60"/>
        <v>0</v>
      </c>
      <c r="CN29" s="20">
        <f t="shared" si="61"/>
        <v>0</v>
      </c>
      <c r="CO29" s="89">
        <f t="shared" si="62"/>
        <v>0</v>
      </c>
      <c r="CP29" s="20">
        <f t="shared" si="63"/>
        <v>0</v>
      </c>
      <c r="CQ29" s="89">
        <f t="shared" si="64"/>
        <v>0</v>
      </c>
      <c r="CR29" s="89">
        <f t="shared" si="65"/>
        <v>0</v>
      </c>
      <c r="CS29" s="89">
        <f t="shared" si="66"/>
        <v>550</v>
      </c>
      <c r="CT29" s="89">
        <f t="shared" si="67"/>
        <v>915</v>
      </c>
      <c r="CU29" s="89">
        <f t="shared" si="68"/>
        <v>150</v>
      </c>
      <c r="CV29" s="89">
        <f t="shared" si="69"/>
        <v>947</v>
      </c>
      <c r="CW29" s="89">
        <f t="shared" si="70"/>
        <v>882</v>
      </c>
      <c r="CX29" s="20">
        <f t="shared" si="71"/>
        <v>1196</v>
      </c>
      <c r="CY29" s="89">
        <f t="shared" si="72"/>
        <v>0</v>
      </c>
      <c r="CZ29" s="89">
        <f t="shared" si="73"/>
        <v>0</v>
      </c>
      <c r="DA29" s="89">
        <f t="shared" si="74"/>
        <v>0</v>
      </c>
      <c r="DB29" s="89">
        <f t="shared" si="75"/>
        <v>0</v>
      </c>
      <c r="DC29" s="89">
        <f t="shared" si="76"/>
        <v>0</v>
      </c>
    </row>
    <row r="30" spans="1:107" x14ac:dyDescent="0.2">
      <c r="A30" s="1" t="s">
        <v>171</v>
      </c>
      <c r="B30" s="17">
        <v>-190</v>
      </c>
      <c r="C30" s="17">
        <v>-229</v>
      </c>
      <c r="D30" s="17">
        <v>-440</v>
      </c>
      <c r="E30" s="17">
        <v>-208</v>
      </c>
      <c r="F30" s="17">
        <v>-148</v>
      </c>
      <c r="G30" s="17">
        <v>-445</v>
      </c>
      <c r="H30" s="17">
        <v>-488</v>
      </c>
      <c r="I30" s="17">
        <v>-550</v>
      </c>
      <c r="J30" s="17">
        <v>-92</v>
      </c>
      <c r="K30" s="17">
        <v>-9854</v>
      </c>
      <c r="L30" s="17">
        <v>-525</v>
      </c>
      <c r="M30" s="17">
        <v>-97</v>
      </c>
      <c r="N30" s="17">
        <v>-251</v>
      </c>
      <c r="O30" s="17">
        <v>1301</v>
      </c>
      <c r="P30" s="17">
        <v>844</v>
      </c>
      <c r="Q30" s="17">
        <v>-120</v>
      </c>
      <c r="R30" s="17">
        <v>-2947</v>
      </c>
      <c r="S30" s="17">
        <v>-543</v>
      </c>
      <c r="T30" s="17">
        <v>-1142</v>
      </c>
      <c r="U30" s="17">
        <v>-256</v>
      </c>
      <c r="V30" s="17">
        <v>50</v>
      </c>
      <c r="W30" s="17">
        <v>-78</v>
      </c>
      <c r="X30" s="17">
        <v>-102</v>
      </c>
      <c r="Y30" s="17">
        <v>8</v>
      </c>
      <c r="Z30" s="17">
        <v>-34</v>
      </c>
      <c r="AA30" s="17">
        <v>-38</v>
      </c>
      <c r="AB30" s="17">
        <v>-252</v>
      </c>
      <c r="AC30" s="17">
        <v>-662</v>
      </c>
      <c r="AD30" s="17">
        <v>-101</v>
      </c>
      <c r="AE30" s="17">
        <v>-42</v>
      </c>
      <c r="AF30" s="17">
        <v>-130</v>
      </c>
      <c r="AG30" s="17">
        <v>-14</v>
      </c>
      <c r="AH30" s="17">
        <v>-1250</v>
      </c>
      <c r="AI30" s="17">
        <v>-184</v>
      </c>
      <c r="AJ30" s="17">
        <v>-18</v>
      </c>
      <c r="AK30" s="17">
        <v>-39</v>
      </c>
      <c r="AL30" s="17">
        <v>-99</v>
      </c>
      <c r="AM30" s="17">
        <v>-148</v>
      </c>
      <c r="AN30" s="17">
        <v>-126</v>
      </c>
      <c r="AO30" s="17">
        <v>-2142</v>
      </c>
      <c r="AP30" s="17">
        <v>-190</v>
      </c>
      <c r="AQ30" s="17">
        <v>-165</v>
      </c>
      <c r="AR30" s="17">
        <v>-13</v>
      </c>
      <c r="AS30" s="17">
        <v>-370</v>
      </c>
      <c r="AT30" s="17">
        <v>-1666</v>
      </c>
      <c r="AU30" s="18">
        <v>-308</v>
      </c>
      <c r="AV30" s="18">
        <v>-259</v>
      </c>
      <c r="AW30" s="18">
        <v>-385</v>
      </c>
      <c r="AX30" s="18">
        <v>-173</v>
      </c>
      <c r="AY30" s="18">
        <v>-1063</v>
      </c>
      <c r="AZ30" s="18">
        <v>-5649</v>
      </c>
      <c r="BA30" s="18">
        <v>-84</v>
      </c>
      <c r="BB30" s="18">
        <v>-42</v>
      </c>
      <c r="BC30" s="18">
        <v>-298</v>
      </c>
      <c r="BD30" s="18">
        <v>-126</v>
      </c>
      <c r="BE30" s="18">
        <v>-29</v>
      </c>
      <c r="BF30" s="18">
        <v>-61</v>
      </c>
      <c r="BG30" s="18">
        <v>-26</v>
      </c>
      <c r="BH30" s="18">
        <v>-2753</v>
      </c>
      <c r="BI30" s="18">
        <v>-91</v>
      </c>
      <c r="BJ30" s="18">
        <v>-340</v>
      </c>
      <c r="BK30" s="18">
        <v>-13</v>
      </c>
      <c r="BL30" s="18">
        <v>-1072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76">
        <v>0</v>
      </c>
      <c r="BS30" s="76">
        <v>0</v>
      </c>
      <c r="BT30" s="76">
        <v>0</v>
      </c>
      <c r="BU30" s="76">
        <v>0</v>
      </c>
      <c r="BV30" s="76">
        <v>0</v>
      </c>
      <c r="BW30" s="76">
        <v>0</v>
      </c>
      <c r="BX30" s="76">
        <v>0</v>
      </c>
      <c r="BY30" s="76">
        <v>0</v>
      </c>
      <c r="BZ30" s="76">
        <v>0</v>
      </c>
      <c r="CA30" s="76">
        <v>0</v>
      </c>
      <c r="CB30" s="76">
        <v>0</v>
      </c>
      <c r="CC30" s="76">
        <v>0</v>
      </c>
      <c r="CD30" s="76">
        <v>0</v>
      </c>
      <c r="CE30" s="76">
        <v>0</v>
      </c>
      <c r="CF30" s="76">
        <v>0</v>
      </c>
      <c r="CG30" s="76">
        <v>0</v>
      </c>
      <c r="CH30" s="76"/>
      <c r="CI30" s="89">
        <f t="shared" si="56"/>
        <v>-1067</v>
      </c>
      <c r="CJ30" s="20">
        <f t="shared" si="57"/>
        <v>-1631</v>
      </c>
      <c r="CK30" s="89">
        <f t="shared" si="58"/>
        <v>-10568</v>
      </c>
      <c r="CL30" s="20">
        <f t="shared" si="59"/>
        <v>1774</v>
      </c>
      <c r="CM30" s="89">
        <f t="shared" si="60"/>
        <v>-4888</v>
      </c>
      <c r="CN30" s="20">
        <f t="shared" si="61"/>
        <v>-122</v>
      </c>
      <c r="CO30" s="89">
        <f t="shared" si="62"/>
        <v>-986</v>
      </c>
      <c r="CP30" s="20">
        <f t="shared" si="63"/>
        <v>-287</v>
      </c>
      <c r="CQ30" s="89">
        <f t="shared" si="64"/>
        <v>-1491</v>
      </c>
      <c r="CR30" s="89">
        <f t="shared" si="65"/>
        <v>-2515</v>
      </c>
      <c r="CS30" s="89">
        <f t="shared" si="66"/>
        <v>-738</v>
      </c>
      <c r="CT30" s="89">
        <f t="shared" si="67"/>
        <v>-2618</v>
      </c>
      <c r="CU30" s="89">
        <f t="shared" si="68"/>
        <v>-6969</v>
      </c>
      <c r="CV30" s="89">
        <f t="shared" si="69"/>
        <v>-495</v>
      </c>
      <c r="CW30" s="89">
        <f t="shared" si="70"/>
        <v>-2931</v>
      </c>
      <c r="CX30" s="20">
        <f t="shared" si="71"/>
        <v>-1425</v>
      </c>
      <c r="CY30" s="89">
        <f t="shared" si="72"/>
        <v>0</v>
      </c>
      <c r="CZ30" s="89">
        <f t="shared" si="73"/>
        <v>0</v>
      </c>
      <c r="DA30" s="89">
        <f t="shared" si="74"/>
        <v>0</v>
      </c>
      <c r="DB30" s="89">
        <f t="shared" si="75"/>
        <v>0</v>
      </c>
      <c r="DC30" s="89">
        <f t="shared" si="76"/>
        <v>0</v>
      </c>
    </row>
    <row r="31" spans="1:107" x14ac:dyDescent="0.2">
      <c r="A31" s="1" t="s">
        <v>172</v>
      </c>
      <c r="B31" s="17">
        <v>0</v>
      </c>
      <c r="C31" s="17">
        <v>2870</v>
      </c>
      <c r="D31" s="17">
        <v>-884</v>
      </c>
      <c r="E31" s="17">
        <v>-375</v>
      </c>
      <c r="F31" s="17">
        <v>-306</v>
      </c>
      <c r="G31" s="17">
        <v>-658</v>
      </c>
      <c r="H31" s="17">
        <v>994</v>
      </c>
      <c r="I31" s="17">
        <v>-648</v>
      </c>
      <c r="J31" s="17">
        <v>440</v>
      </c>
      <c r="K31" s="17">
        <v>-261</v>
      </c>
      <c r="L31" s="17">
        <v>-305</v>
      </c>
      <c r="M31" s="17">
        <v>-163</v>
      </c>
      <c r="N31" s="17">
        <v>564</v>
      </c>
      <c r="O31" s="17">
        <v>904</v>
      </c>
      <c r="P31" s="17">
        <v>-1345</v>
      </c>
      <c r="Q31" s="17">
        <v>-519</v>
      </c>
      <c r="R31" s="17">
        <v>669</v>
      </c>
      <c r="S31" s="17">
        <v>884</v>
      </c>
      <c r="T31" s="17">
        <v>-409</v>
      </c>
      <c r="U31" s="17">
        <v>-290</v>
      </c>
      <c r="V31" s="17">
        <v>-1184</v>
      </c>
      <c r="W31" s="17">
        <v>1236</v>
      </c>
      <c r="X31" s="17">
        <v>797</v>
      </c>
      <c r="Y31" s="17">
        <v>-888</v>
      </c>
      <c r="Z31" s="17">
        <v>-157</v>
      </c>
      <c r="AA31" s="17">
        <v>-256</v>
      </c>
      <c r="AB31" s="17">
        <v>-1368</v>
      </c>
      <c r="AC31" s="17">
        <v>319</v>
      </c>
      <c r="AD31" s="17">
        <v>750</v>
      </c>
      <c r="AE31" s="17">
        <v>669</v>
      </c>
      <c r="AF31" s="17">
        <v>27</v>
      </c>
      <c r="AG31" s="17">
        <v>336</v>
      </c>
      <c r="AH31" s="17">
        <v>30</v>
      </c>
      <c r="AI31" s="17">
        <v>19</v>
      </c>
      <c r="AJ31" s="17">
        <v>20</v>
      </c>
      <c r="AK31" s="17">
        <v>436</v>
      </c>
      <c r="AL31" s="17">
        <v>34</v>
      </c>
      <c r="AM31" s="17">
        <v>55</v>
      </c>
      <c r="AN31" s="17">
        <v>379</v>
      </c>
      <c r="AO31" s="17">
        <v>229</v>
      </c>
      <c r="AP31" s="17">
        <v>412</v>
      </c>
      <c r="AQ31" s="17">
        <v>119</v>
      </c>
      <c r="AR31" s="17">
        <v>-406</v>
      </c>
      <c r="AS31" s="17">
        <v>-57</v>
      </c>
      <c r="AT31" s="17">
        <v>30</v>
      </c>
      <c r="AU31" s="18">
        <v>23</v>
      </c>
      <c r="AV31" s="18">
        <v>388</v>
      </c>
      <c r="AW31" s="18">
        <v>100</v>
      </c>
      <c r="AX31" s="18">
        <v>355</v>
      </c>
      <c r="AY31" s="18">
        <v>221</v>
      </c>
      <c r="AZ31" s="18">
        <v>791</v>
      </c>
      <c r="BA31" s="18">
        <v>222</v>
      </c>
      <c r="BB31" s="18">
        <v>-125</v>
      </c>
      <c r="BC31" s="18">
        <v>-232</v>
      </c>
      <c r="BD31" s="18">
        <v>-628</v>
      </c>
      <c r="BE31" s="18">
        <v>-66</v>
      </c>
      <c r="BF31" s="18">
        <v>101</v>
      </c>
      <c r="BG31" s="18">
        <v>-133</v>
      </c>
      <c r="BH31" s="18">
        <v>-2468</v>
      </c>
      <c r="BI31" s="18">
        <v>-167</v>
      </c>
      <c r="BJ31" s="18">
        <v>150</v>
      </c>
      <c r="BK31" s="18">
        <v>-513</v>
      </c>
      <c r="BL31" s="18">
        <v>-1482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76">
        <v>0</v>
      </c>
      <c r="BS31" s="76">
        <v>0</v>
      </c>
      <c r="BT31" s="76">
        <v>0</v>
      </c>
      <c r="BU31" s="76">
        <v>0</v>
      </c>
      <c r="BV31" s="76">
        <v>0</v>
      </c>
      <c r="BW31" s="76">
        <v>0</v>
      </c>
      <c r="BX31" s="76">
        <v>0</v>
      </c>
      <c r="BY31" s="76">
        <v>0</v>
      </c>
      <c r="BZ31" s="76">
        <v>0</v>
      </c>
      <c r="CA31" s="76">
        <v>0</v>
      </c>
      <c r="CB31" s="76">
        <v>0</v>
      </c>
      <c r="CC31" s="76">
        <v>0</v>
      </c>
      <c r="CD31" s="76">
        <v>0</v>
      </c>
      <c r="CE31" s="76">
        <v>0</v>
      </c>
      <c r="CF31" s="76">
        <v>0</v>
      </c>
      <c r="CG31" s="76">
        <v>0</v>
      </c>
      <c r="CH31" s="76"/>
      <c r="CI31" s="89">
        <f t="shared" si="56"/>
        <v>1611</v>
      </c>
      <c r="CJ31" s="20">
        <f t="shared" si="57"/>
        <v>-618</v>
      </c>
      <c r="CK31" s="89">
        <f t="shared" si="58"/>
        <v>-289</v>
      </c>
      <c r="CL31" s="20">
        <f t="shared" si="59"/>
        <v>-396</v>
      </c>
      <c r="CM31" s="89">
        <f t="shared" si="60"/>
        <v>854</v>
      </c>
      <c r="CN31" s="20">
        <f t="shared" si="61"/>
        <v>-39</v>
      </c>
      <c r="CO31" s="89">
        <f t="shared" si="62"/>
        <v>-1462</v>
      </c>
      <c r="CP31" s="20">
        <f t="shared" si="63"/>
        <v>1782</v>
      </c>
      <c r="CQ31" s="89">
        <f t="shared" si="64"/>
        <v>505</v>
      </c>
      <c r="CR31" s="89">
        <f t="shared" si="65"/>
        <v>697</v>
      </c>
      <c r="CS31" s="89">
        <f t="shared" si="66"/>
        <v>68</v>
      </c>
      <c r="CT31" s="89">
        <f t="shared" si="67"/>
        <v>541</v>
      </c>
      <c r="CU31" s="89">
        <f t="shared" si="68"/>
        <v>1589</v>
      </c>
      <c r="CV31" s="89">
        <f t="shared" si="69"/>
        <v>-1051</v>
      </c>
      <c r="CW31" s="89">
        <f t="shared" si="70"/>
        <v>-2667</v>
      </c>
      <c r="CX31" s="20">
        <f t="shared" si="71"/>
        <v>-1845</v>
      </c>
      <c r="CY31" s="89">
        <f t="shared" si="72"/>
        <v>0</v>
      </c>
      <c r="CZ31" s="89">
        <f t="shared" si="73"/>
        <v>0</v>
      </c>
      <c r="DA31" s="89">
        <f t="shared" si="74"/>
        <v>0</v>
      </c>
      <c r="DB31" s="89">
        <f t="shared" si="75"/>
        <v>0</v>
      </c>
      <c r="DC31" s="89">
        <f t="shared" si="76"/>
        <v>0</v>
      </c>
    </row>
    <row r="32" spans="1:107" x14ac:dyDescent="0.2">
      <c r="CI32" s="92"/>
      <c r="CK32" s="92"/>
      <c r="CM32" s="92"/>
      <c r="CO32" s="92"/>
      <c r="CQ32" s="92"/>
      <c r="CR32" s="92"/>
      <c r="CS32" s="92"/>
      <c r="CT32" s="92"/>
      <c r="CU32" s="92"/>
      <c r="CV32" s="92"/>
      <c r="CW32" s="92"/>
      <c r="CY32" s="92"/>
      <c r="CZ32" s="92"/>
      <c r="DA32" s="92"/>
      <c r="DB32" s="92"/>
      <c r="DC32" s="92"/>
    </row>
    <row r="33" spans="1:107" x14ac:dyDescent="0.2">
      <c r="A33" s="39" t="s">
        <v>160</v>
      </c>
      <c r="B33" s="21">
        <f t="shared" ref="B33:AG33" si="77">SUM(B25:B31)</f>
        <v>-3424</v>
      </c>
      <c r="C33" s="21">
        <f t="shared" si="77"/>
        <v>139</v>
      </c>
      <c r="D33" s="21">
        <f t="shared" si="77"/>
        <v>-4546</v>
      </c>
      <c r="E33" s="21">
        <f t="shared" si="77"/>
        <v>-2849</v>
      </c>
      <c r="F33" s="21">
        <f t="shared" si="77"/>
        <v>-4421</v>
      </c>
      <c r="G33" s="21">
        <f t="shared" si="77"/>
        <v>-6614</v>
      </c>
      <c r="H33" s="21">
        <f t="shared" si="77"/>
        <v>-3447</v>
      </c>
      <c r="I33" s="21">
        <f t="shared" si="77"/>
        <v>-4559</v>
      </c>
      <c r="J33" s="21">
        <f t="shared" si="77"/>
        <v>8151</v>
      </c>
      <c r="K33" s="21">
        <f t="shared" si="77"/>
        <v>-12386</v>
      </c>
      <c r="L33" s="21">
        <f t="shared" si="77"/>
        <v>-3307</v>
      </c>
      <c r="M33" s="21">
        <f t="shared" si="77"/>
        <v>-5514</v>
      </c>
      <c r="N33" s="21">
        <f t="shared" si="77"/>
        <v>-2441</v>
      </c>
      <c r="O33" s="21">
        <f t="shared" si="77"/>
        <v>-3803</v>
      </c>
      <c r="P33" s="21">
        <f t="shared" si="77"/>
        <v>-5818</v>
      </c>
      <c r="Q33" s="21">
        <f t="shared" si="77"/>
        <v>-1617</v>
      </c>
      <c r="R33" s="21">
        <f t="shared" si="77"/>
        <v>-7467</v>
      </c>
      <c r="S33" s="21">
        <f t="shared" si="77"/>
        <v>-1180</v>
      </c>
      <c r="T33" s="21">
        <f t="shared" si="77"/>
        <v>-9327</v>
      </c>
      <c r="U33" s="21">
        <f t="shared" si="77"/>
        <v>-3241</v>
      </c>
      <c r="V33" s="21">
        <f t="shared" si="77"/>
        <v>-7304</v>
      </c>
      <c r="W33" s="21">
        <f t="shared" si="77"/>
        <v>-5103</v>
      </c>
      <c r="X33" s="21">
        <f t="shared" si="77"/>
        <v>-5817</v>
      </c>
      <c r="Y33" s="21">
        <f t="shared" si="77"/>
        <v>-5487</v>
      </c>
      <c r="Z33" s="21">
        <f t="shared" si="77"/>
        <v>-6245</v>
      </c>
      <c r="AA33" s="21">
        <f t="shared" si="77"/>
        <v>-7173</v>
      </c>
      <c r="AB33" s="21">
        <f t="shared" si="77"/>
        <v>-13045</v>
      </c>
      <c r="AC33" s="21">
        <f t="shared" si="77"/>
        <v>-4702</v>
      </c>
      <c r="AD33" s="21">
        <f t="shared" si="77"/>
        <v>-2851</v>
      </c>
      <c r="AE33" s="21">
        <f t="shared" si="77"/>
        <v>-7172</v>
      </c>
      <c r="AF33" s="21">
        <f t="shared" si="77"/>
        <v>-14404</v>
      </c>
      <c r="AG33" s="21">
        <f t="shared" si="77"/>
        <v>-6974</v>
      </c>
      <c r="AH33" s="21">
        <f t="shared" ref="AH33:BM33" si="78">SUM(AH25:AH31)</f>
        <v>-7846</v>
      </c>
      <c r="AI33" s="21">
        <f t="shared" si="78"/>
        <v>-3374</v>
      </c>
      <c r="AJ33" s="21">
        <f t="shared" si="78"/>
        <v>-10408</v>
      </c>
      <c r="AK33" s="21">
        <f t="shared" si="78"/>
        <v>-6876</v>
      </c>
      <c r="AL33" s="21">
        <f t="shared" si="78"/>
        <v>-5388</v>
      </c>
      <c r="AM33" s="21">
        <f t="shared" si="78"/>
        <v>-10455</v>
      </c>
      <c r="AN33" s="21">
        <f t="shared" si="78"/>
        <v>-8945</v>
      </c>
      <c r="AO33" s="21">
        <f t="shared" si="78"/>
        <v>-4703</v>
      </c>
      <c r="AP33" s="21">
        <f t="shared" si="78"/>
        <v>-1847</v>
      </c>
      <c r="AQ33" s="21">
        <f t="shared" si="78"/>
        <v>-8448</v>
      </c>
      <c r="AR33" s="21">
        <f t="shared" si="78"/>
        <v>-15197</v>
      </c>
      <c r="AS33" s="21">
        <f t="shared" si="78"/>
        <v>-7281</v>
      </c>
      <c r="AT33" s="21">
        <f t="shared" si="78"/>
        <v>-5383</v>
      </c>
      <c r="AU33" s="21">
        <f t="shared" si="78"/>
        <v>-9074</v>
      </c>
      <c r="AV33" s="21">
        <f t="shared" si="78"/>
        <v>-10050</v>
      </c>
      <c r="AW33" s="21">
        <f t="shared" si="78"/>
        <v>-11016</v>
      </c>
      <c r="AX33" s="21">
        <f t="shared" si="78"/>
        <v>-9051</v>
      </c>
      <c r="AY33" s="21">
        <f t="shared" si="78"/>
        <v>-4187</v>
      </c>
      <c r="AZ33" s="21">
        <f t="shared" si="78"/>
        <v>-833</v>
      </c>
      <c r="BA33" s="21">
        <f t="shared" si="78"/>
        <v>-6227</v>
      </c>
      <c r="BB33" s="21">
        <f t="shared" si="78"/>
        <v>-2946</v>
      </c>
      <c r="BC33" s="21">
        <f t="shared" si="78"/>
        <v>-10800</v>
      </c>
      <c r="BD33" s="21">
        <f t="shared" si="78"/>
        <v>-7150</v>
      </c>
      <c r="BE33" s="21">
        <f t="shared" si="78"/>
        <v>-6167</v>
      </c>
      <c r="BF33" s="21">
        <f t="shared" si="78"/>
        <v>-8564</v>
      </c>
      <c r="BG33" s="21">
        <f t="shared" si="78"/>
        <v>-2781</v>
      </c>
      <c r="BH33" s="21">
        <f t="shared" si="78"/>
        <v>-18011</v>
      </c>
      <c r="BI33" s="21">
        <f t="shared" si="78"/>
        <v>-16180</v>
      </c>
      <c r="BJ33" s="21">
        <f t="shared" si="78"/>
        <v>-16194</v>
      </c>
      <c r="BK33" s="21">
        <f t="shared" si="78"/>
        <v>-24544</v>
      </c>
      <c r="BL33" s="21">
        <f t="shared" si="78"/>
        <v>-27777</v>
      </c>
      <c r="BM33" s="21">
        <f t="shared" si="78"/>
        <v>-28552</v>
      </c>
      <c r="BN33" s="21">
        <f t="shared" ref="BN33:CC33" si="79">SUM(BN25:BN31)</f>
        <v>-22700.04</v>
      </c>
      <c r="BO33" s="21">
        <f t="shared" si="79"/>
        <v>-29628.720000000001</v>
      </c>
      <c r="BP33" s="21">
        <f t="shared" si="79"/>
        <v>-31617.960000000006</v>
      </c>
      <c r="BQ33" s="21">
        <f t="shared" si="79"/>
        <v>-37688.639999999999</v>
      </c>
      <c r="BR33" s="21">
        <f t="shared" si="79"/>
        <v>-26105.046000000002</v>
      </c>
      <c r="BS33" s="21">
        <f t="shared" si="79"/>
        <v>-34073.027999999998</v>
      </c>
      <c r="BT33" s="21">
        <f t="shared" si="79"/>
        <v>-36360.654000000002</v>
      </c>
      <c r="BU33" s="21">
        <f t="shared" si="79"/>
        <v>-43341.935999999994</v>
      </c>
      <c r="BV33" s="21">
        <f t="shared" si="79"/>
        <v>-28715.550600000002</v>
      </c>
      <c r="BW33" s="21">
        <f t="shared" si="79"/>
        <v>-37480.330800000003</v>
      </c>
      <c r="BX33" s="21">
        <f t="shared" si="79"/>
        <v>-39996.719400000009</v>
      </c>
      <c r="BY33" s="21">
        <f t="shared" si="79"/>
        <v>-47676.1296</v>
      </c>
      <c r="BZ33" s="21">
        <f t="shared" si="79"/>
        <v>-31012.794648000003</v>
      </c>
      <c r="CA33" s="21">
        <f t="shared" si="79"/>
        <v>-40478.757264000007</v>
      </c>
      <c r="CB33" s="21">
        <f t="shared" si="79"/>
        <v>-43196.456952000015</v>
      </c>
      <c r="CC33" s="21">
        <f t="shared" si="79"/>
        <v>-51490.219968000005</v>
      </c>
      <c r="CD33" s="21">
        <f t="shared" ref="CD33:CG33" si="80">SUM(CD25:CD31)</f>
        <v>-32873.562326880005</v>
      </c>
      <c r="CE33" s="21">
        <f t="shared" si="80"/>
        <v>-42907.482699840009</v>
      </c>
      <c r="CF33" s="21">
        <f t="shared" si="80"/>
        <v>-45788.244369120017</v>
      </c>
      <c r="CG33" s="21">
        <f t="shared" si="80"/>
        <v>-54579.633166080006</v>
      </c>
      <c r="CH33" s="21"/>
      <c r="CI33" s="90">
        <f t="shared" ref="CI33:DB33" si="81">SUM(CI25:CI31)</f>
        <v>-10680</v>
      </c>
      <c r="CJ33" s="21">
        <f t="shared" si="81"/>
        <v>-19041</v>
      </c>
      <c r="CK33" s="90">
        <f t="shared" si="81"/>
        <v>-13056</v>
      </c>
      <c r="CL33" s="21">
        <f t="shared" si="81"/>
        <v>-13679</v>
      </c>
      <c r="CM33" s="90">
        <f t="shared" si="81"/>
        <v>-21215</v>
      </c>
      <c r="CN33" s="21">
        <f t="shared" si="81"/>
        <v>-23711</v>
      </c>
      <c r="CO33" s="90">
        <f t="shared" si="81"/>
        <v>-31165</v>
      </c>
      <c r="CP33" s="21">
        <f t="shared" si="81"/>
        <v>-31401</v>
      </c>
      <c r="CQ33" s="90">
        <f t="shared" si="81"/>
        <v>-28504</v>
      </c>
      <c r="CR33" s="90">
        <f t="shared" si="81"/>
        <v>-29491</v>
      </c>
      <c r="CS33" s="90">
        <f t="shared" si="81"/>
        <v>-32773</v>
      </c>
      <c r="CT33" s="90">
        <f t="shared" si="81"/>
        <v>-35523</v>
      </c>
      <c r="CU33" s="90">
        <f t="shared" si="81"/>
        <v>-20298</v>
      </c>
      <c r="CV33" s="90">
        <f t="shared" si="81"/>
        <v>-27063</v>
      </c>
      <c r="CW33" s="90">
        <f t="shared" si="81"/>
        <v>-45536</v>
      </c>
      <c r="CX33" s="21">
        <f t="shared" si="81"/>
        <v>-97067</v>
      </c>
      <c r="CY33" s="90">
        <f t="shared" si="81"/>
        <v>-121635.35999999999</v>
      </c>
      <c r="CZ33" s="90">
        <f t="shared" si="81"/>
        <v>-139880.66399999999</v>
      </c>
      <c r="DA33" s="90">
        <f t="shared" si="81"/>
        <v>-153868.7304</v>
      </c>
      <c r="DB33" s="90">
        <f t="shared" si="81"/>
        <v>-166178.22883200005</v>
      </c>
      <c r="DC33" s="90">
        <f>SUM(DC25:DC31)</f>
        <v>-176148.92256192002</v>
      </c>
    </row>
    <row r="34" spans="1:107" x14ac:dyDescent="0.2">
      <c r="BA34" s="20"/>
      <c r="BB34" s="20"/>
      <c r="BC34" s="20"/>
      <c r="CI34" s="92"/>
      <c r="CK34" s="92"/>
      <c r="CM34" s="92"/>
      <c r="CO34" s="92"/>
      <c r="CQ34" s="92"/>
      <c r="CR34" s="92"/>
      <c r="CS34" s="92"/>
      <c r="CT34" s="92"/>
      <c r="CU34" s="92"/>
      <c r="CV34" s="92"/>
      <c r="CW34" s="92"/>
      <c r="CY34" s="92"/>
      <c r="CZ34" s="92"/>
      <c r="DA34" s="92"/>
      <c r="DB34" s="92"/>
      <c r="DC34" s="92"/>
    </row>
    <row r="35" spans="1:107" x14ac:dyDescent="0.2">
      <c r="A35" s="38" t="s">
        <v>161</v>
      </c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CH35" s="20"/>
      <c r="CI35" s="92"/>
      <c r="CK35" s="92"/>
      <c r="CM35" s="92"/>
      <c r="CO35" s="92"/>
      <c r="CQ35" s="92"/>
      <c r="CR35" s="92"/>
      <c r="CS35" s="92"/>
      <c r="CT35" s="92"/>
      <c r="CU35" s="92"/>
      <c r="CV35" s="92"/>
      <c r="CW35" s="92"/>
      <c r="CY35" s="92"/>
      <c r="CZ35" s="92"/>
      <c r="DA35" s="92"/>
      <c r="DB35" s="92"/>
      <c r="DC35" s="92"/>
    </row>
    <row r="36" spans="1:107" x14ac:dyDescent="0.2">
      <c r="A36" s="1" t="s">
        <v>173</v>
      </c>
      <c r="B36" s="17">
        <v>-38</v>
      </c>
      <c r="C36" s="17">
        <v>39</v>
      </c>
      <c r="D36" s="17">
        <v>-66</v>
      </c>
      <c r="E36" s="17">
        <v>359</v>
      </c>
      <c r="F36" s="17">
        <v>116</v>
      </c>
      <c r="G36" s="17">
        <v>-28</v>
      </c>
      <c r="H36" s="17">
        <v>-108</v>
      </c>
      <c r="I36" s="17">
        <v>15</v>
      </c>
      <c r="J36" s="17">
        <v>-47</v>
      </c>
      <c r="K36" s="17">
        <v>-137</v>
      </c>
      <c r="L36" s="17">
        <v>-5</v>
      </c>
      <c r="M36" s="17">
        <v>-98</v>
      </c>
      <c r="N36" s="17">
        <v>-210</v>
      </c>
      <c r="O36" s="17">
        <v>-58</v>
      </c>
      <c r="P36" s="17">
        <v>-369</v>
      </c>
      <c r="Q36" s="17">
        <v>-144</v>
      </c>
      <c r="R36" s="17">
        <v>-326</v>
      </c>
      <c r="S36" s="17">
        <v>-595</v>
      </c>
      <c r="T36" s="17">
        <v>-627</v>
      </c>
      <c r="U36" s="17">
        <v>-521</v>
      </c>
      <c r="V36" s="17">
        <v>-493</v>
      </c>
      <c r="W36" s="17">
        <v>-511</v>
      </c>
      <c r="X36" s="17">
        <v>-606</v>
      </c>
      <c r="Y36" s="17">
        <v>-765</v>
      </c>
      <c r="Z36" s="17">
        <v>-807</v>
      </c>
      <c r="AA36" s="17">
        <v>-803</v>
      </c>
      <c r="AB36" s="17">
        <v>-815</v>
      </c>
      <c r="AC36" s="17">
        <v>-879</v>
      </c>
      <c r="AD36" s="17">
        <v>-1009</v>
      </c>
      <c r="AE36" s="17">
        <v>-1084</v>
      </c>
      <c r="AF36" s="17">
        <v>-1018</v>
      </c>
      <c r="AG36" s="17">
        <v>-1055</v>
      </c>
      <c r="AH36" s="17">
        <v>-1158</v>
      </c>
      <c r="AI36" s="17">
        <v>-1541</v>
      </c>
      <c r="AJ36" s="17">
        <v>-1253</v>
      </c>
      <c r="AK36" s="17">
        <v>-1041</v>
      </c>
      <c r="AL36" s="17">
        <v>-1175</v>
      </c>
      <c r="AM36" s="17">
        <v>-1260</v>
      </c>
      <c r="AN36" s="17">
        <v>-1131</v>
      </c>
      <c r="AO36" s="17">
        <v>-1199</v>
      </c>
      <c r="AP36" s="17">
        <v>-1241</v>
      </c>
      <c r="AQ36" s="17">
        <v>-1475</v>
      </c>
      <c r="AR36" s="17">
        <v>-1357</v>
      </c>
      <c r="AS36" s="17">
        <v>-1647</v>
      </c>
      <c r="AT36" s="17">
        <v>-2184</v>
      </c>
      <c r="AU36" s="18">
        <v>-2453</v>
      </c>
      <c r="AV36" s="18">
        <v>-2602</v>
      </c>
      <c r="AW36" s="18">
        <v>-2923</v>
      </c>
      <c r="AX36" s="18">
        <v>-2916</v>
      </c>
      <c r="AY36" s="18">
        <v>-2264</v>
      </c>
      <c r="AZ36" s="18">
        <v>-2041</v>
      </c>
      <c r="BA36" s="18">
        <v>-2079</v>
      </c>
      <c r="BB36" s="18">
        <v>-1989</v>
      </c>
      <c r="BC36" s="18">
        <v>-2736</v>
      </c>
      <c r="BD36" s="18">
        <v>-2432</v>
      </c>
      <c r="BE36" s="18">
        <v>-2680</v>
      </c>
      <c r="BF36" s="18">
        <v>-2929</v>
      </c>
      <c r="BG36" s="18">
        <v>-3209</v>
      </c>
      <c r="BH36" s="18">
        <v>-3003</v>
      </c>
      <c r="BI36" s="18">
        <v>-3049</v>
      </c>
      <c r="BJ36" s="18">
        <v>-3110</v>
      </c>
      <c r="BK36" s="18">
        <v>-2621</v>
      </c>
      <c r="BL36" s="18">
        <v>-3270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76">
        <v>0</v>
      </c>
      <c r="BS36" s="76">
        <v>0</v>
      </c>
      <c r="BT36" s="76">
        <v>0</v>
      </c>
      <c r="BU36" s="76">
        <v>0</v>
      </c>
      <c r="BV36" s="76">
        <v>0</v>
      </c>
      <c r="BW36" s="76">
        <v>0</v>
      </c>
      <c r="BX36" s="76">
        <v>0</v>
      </c>
      <c r="BY36" s="76">
        <v>0</v>
      </c>
      <c r="BZ36" s="76">
        <v>0</v>
      </c>
      <c r="CA36" s="76">
        <v>0</v>
      </c>
      <c r="CB36" s="76">
        <v>0</v>
      </c>
      <c r="CC36" s="76">
        <v>0</v>
      </c>
      <c r="CD36" s="76">
        <v>0</v>
      </c>
      <c r="CE36" s="76">
        <v>0</v>
      </c>
      <c r="CF36" s="76">
        <v>0</v>
      </c>
      <c r="CG36" s="76">
        <v>0</v>
      </c>
      <c r="CH36" s="76"/>
      <c r="CI36" s="89">
        <f t="shared" ref="CI36:CI41" si="82">SUM(B36:E36)</f>
        <v>294</v>
      </c>
      <c r="CJ36" s="20">
        <f t="shared" ref="CJ36:CJ41" si="83">SUM(F36:I36)</f>
        <v>-5</v>
      </c>
      <c r="CK36" s="89">
        <f t="shared" ref="CK36:CK41" si="84">SUM(J36:M36)</f>
        <v>-287</v>
      </c>
      <c r="CL36" s="20">
        <f t="shared" ref="CL36:CL41" si="85">SUM(N36:Q36)</f>
        <v>-781</v>
      </c>
      <c r="CM36" s="89">
        <f t="shared" ref="CM36:CM41" si="86">SUM(R36:U36)</f>
        <v>-2069</v>
      </c>
      <c r="CN36" s="20">
        <f t="shared" ref="CN36:CN41" si="87">SUM(V36:Y36)</f>
        <v>-2375</v>
      </c>
      <c r="CO36" s="89">
        <f t="shared" ref="CO36:CO41" si="88">SUM(Z36:AC36)</f>
        <v>-3304</v>
      </c>
      <c r="CP36" s="20">
        <f t="shared" ref="CP36:CP41" si="89">SUM(AD36:AG36)</f>
        <v>-4166</v>
      </c>
      <c r="CQ36" s="89">
        <f t="shared" ref="CQ36:CQ41" si="90">SUM(AH36:AK36)</f>
        <v>-4993</v>
      </c>
      <c r="CR36" s="89">
        <f t="shared" ref="CR36:CR41" si="91">SUM(AL36:AO36)</f>
        <v>-4765</v>
      </c>
      <c r="CS36" s="89">
        <f t="shared" ref="CS36:CS41" si="92">SUM(AP36:AS36)</f>
        <v>-5720</v>
      </c>
      <c r="CT36" s="89">
        <f t="shared" ref="CT36:CT41" si="93">SUM(AT36:AW36)</f>
        <v>-10162</v>
      </c>
      <c r="CU36" s="89">
        <f t="shared" ref="CU36:CU41" si="94">SUM(AX36:BA36)</f>
        <v>-9300</v>
      </c>
      <c r="CV36" s="89">
        <f t="shared" ref="CV36:CV41" si="95">SUM(BB36:BE36)</f>
        <v>-9837</v>
      </c>
      <c r="CW36" s="89">
        <f t="shared" ref="CW36:CW41" si="96">SUM(BF36:BI36)</f>
        <v>-12190</v>
      </c>
      <c r="CX36" s="20">
        <f t="shared" ref="CX36:CX41" si="97">SUM(BJ36:BM36)</f>
        <v>-9001</v>
      </c>
      <c r="CY36" s="89">
        <f t="shared" ref="CY36:CY41" si="98">SUM(BN36:BQ36)</f>
        <v>0</v>
      </c>
      <c r="CZ36" s="89">
        <f t="shared" ref="CZ36:CZ41" si="99">SUM(BR36:BU36)</f>
        <v>0</v>
      </c>
      <c r="DA36" s="89">
        <f t="shared" ref="DA36:DA41" si="100">SUM(BV36:BY36)</f>
        <v>0</v>
      </c>
      <c r="DB36" s="89">
        <f t="shared" ref="DB36:DB41" si="101">SUM(BZ36:CC36)</f>
        <v>0</v>
      </c>
      <c r="DC36" s="89">
        <f>SUM(CD36:CG36)</f>
        <v>0</v>
      </c>
    </row>
    <row r="37" spans="1:107" x14ac:dyDescent="0.2">
      <c r="A37" s="1" t="s">
        <v>174</v>
      </c>
      <c r="B37" s="17">
        <v>-97</v>
      </c>
      <c r="C37" s="17">
        <v>-704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-47</v>
      </c>
      <c r="X37" s="17">
        <v>0</v>
      </c>
      <c r="Y37" s="17">
        <v>-1780</v>
      </c>
      <c r="Z37" s="17">
        <v>-2098</v>
      </c>
      <c r="AA37" s="17">
        <v>-1595</v>
      </c>
      <c r="AB37" s="17">
        <v>0</v>
      </c>
      <c r="AC37" s="17">
        <v>0</v>
      </c>
      <c r="AD37" s="17">
        <v>-1127</v>
      </c>
      <c r="AE37" s="17">
        <v>-1618</v>
      </c>
      <c r="AF37" s="17">
        <v>0</v>
      </c>
      <c r="AG37" s="17">
        <v>-2101</v>
      </c>
      <c r="AH37" s="17">
        <v>-2173</v>
      </c>
      <c r="AI37" s="17">
        <v>-2052</v>
      </c>
      <c r="AJ37" s="17">
        <v>-2200</v>
      </c>
      <c r="AK37" s="17">
        <v>-2650</v>
      </c>
      <c r="AL37" s="17">
        <v>-3025</v>
      </c>
      <c r="AM37" s="17">
        <v>-3577</v>
      </c>
      <c r="AN37" s="17">
        <v>-5696</v>
      </c>
      <c r="AO37" s="17">
        <v>-6098</v>
      </c>
      <c r="AP37" s="17">
        <v>-8496</v>
      </c>
      <c r="AQ37" s="17">
        <v>-6852</v>
      </c>
      <c r="AR37" s="17">
        <v>-7897</v>
      </c>
      <c r="AS37" s="17">
        <v>-7904</v>
      </c>
      <c r="AT37" s="17">
        <v>-11395</v>
      </c>
      <c r="AU37" s="18">
        <v>-12796</v>
      </c>
      <c r="AV37" s="18">
        <v>-12610</v>
      </c>
      <c r="AW37" s="18">
        <v>-13473</v>
      </c>
      <c r="AX37" s="18">
        <v>-13300</v>
      </c>
      <c r="AY37" s="18">
        <v>-15197</v>
      </c>
      <c r="AZ37" s="18">
        <v>-15392</v>
      </c>
      <c r="BA37" s="18">
        <v>-15407</v>
      </c>
      <c r="BB37" s="18">
        <v>-14557</v>
      </c>
      <c r="BC37" s="18">
        <v>-14969</v>
      </c>
      <c r="BD37" s="18">
        <v>-15787</v>
      </c>
      <c r="BE37" s="18">
        <v>-16191</v>
      </c>
      <c r="BF37" s="18">
        <v>-15696</v>
      </c>
      <c r="BG37" s="18">
        <v>-15684</v>
      </c>
      <c r="BH37" s="18">
        <v>-15291</v>
      </c>
      <c r="BI37" s="18">
        <v>-15551</v>
      </c>
      <c r="BJ37" s="18">
        <v>-15068</v>
      </c>
      <c r="BK37" s="18">
        <v>-13638</v>
      </c>
      <c r="BL37" s="18">
        <v>-11504</v>
      </c>
      <c r="BM37" s="76">
        <v>-12500</v>
      </c>
      <c r="BN37" s="76">
        <v>-12500</v>
      </c>
      <c r="BO37" s="76">
        <v>-12500</v>
      </c>
      <c r="BP37" s="76">
        <v>-12500</v>
      </c>
      <c r="BQ37" s="76">
        <v>-12500</v>
      </c>
      <c r="BR37" s="76">
        <v>-12296</v>
      </c>
      <c r="BS37" s="76">
        <v>0</v>
      </c>
      <c r="BT37" s="76">
        <v>0</v>
      </c>
      <c r="BU37" s="76">
        <v>0</v>
      </c>
      <c r="BV37" s="76">
        <v>0</v>
      </c>
      <c r="BW37" s="76">
        <v>0</v>
      </c>
      <c r="BX37" s="76">
        <v>0</v>
      </c>
      <c r="BY37" s="76">
        <v>0</v>
      </c>
      <c r="BZ37" s="76">
        <v>0</v>
      </c>
      <c r="CA37" s="76">
        <v>0</v>
      </c>
      <c r="CB37" s="76">
        <v>0</v>
      </c>
      <c r="CC37" s="76">
        <v>0</v>
      </c>
      <c r="CD37" s="76">
        <v>0</v>
      </c>
      <c r="CE37" s="76">
        <v>0</v>
      </c>
      <c r="CF37" s="76">
        <v>0</v>
      </c>
      <c r="CG37" s="76">
        <v>0</v>
      </c>
      <c r="CH37" s="76"/>
      <c r="CI37" s="89">
        <f t="shared" si="82"/>
        <v>-801</v>
      </c>
      <c r="CJ37" s="20">
        <f t="shared" si="83"/>
        <v>0</v>
      </c>
      <c r="CK37" s="89">
        <f t="shared" si="84"/>
        <v>0</v>
      </c>
      <c r="CL37" s="20">
        <f t="shared" si="85"/>
        <v>0</v>
      </c>
      <c r="CM37" s="89">
        <f t="shared" si="86"/>
        <v>0</v>
      </c>
      <c r="CN37" s="20">
        <f t="shared" si="87"/>
        <v>-1827</v>
      </c>
      <c r="CO37" s="89">
        <f t="shared" si="88"/>
        <v>-3693</v>
      </c>
      <c r="CP37" s="20">
        <f t="shared" si="89"/>
        <v>-4846</v>
      </c>
      <c r="CQ37" s="89">
        <f t="shared" si="90"/>
        <v>-9075</v>
      </c>
      <c r="CR37" s="89">
        <f t="shared" si="91"/>
        <v>-18396</v>
      </c>
      <c r="CS37" s="89">
        <f t="shared" si="92"/>
        <v>-31149</v>
      </c>
      <c r="CT37" s="89">
        <f t="shared" si="93"/>
        <v>-50274</v>
      </c>
      <c r="CU37" s="89">
        <f t="shared" si="94"/>
        <v>-59296</v>
      </c>
      <c r="CV37" s="89">
        <f t="shared" si="95"/>
        <v>-61504</v>
      </c>
      <c r="CW37" s="89">
        <f t="shared" si="96"/>
        <v>-62222</v>
      </c>
      <c r="CX37" s="20">
        <f t="shared" si="97"/>
        <v>-52710</v>
      </c>
      <c r="CY37" s="89">
        <f t="shared" si="98"/>
        <v>-50000</v>
      </c>
      <c r="CZ37" s="89">
        <f t="shared" si="99"/>
        <v>-12296</v>
      </c>
      <c r="DA37" s="89">
        <f t="shared" si="100"/>
        <v>0</v>
      </c>
      <c r="DB37" s="89">
        <f t="shared" si="101"/>
        <v>0</v>
      </c>
      <c r="DC37" s="89">
        <f t="shared" ref="DC37:DC41" si="102">SUM(CD37:CG37)</f>
        <v>0</v>
      </c>
    </row>
    <row r="38" spans="1:107" x14ac:dyDescent="0.2">
      <c r="A38" s="1" t="s">
        <v>451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-2466</v>
      </c>
      <c r="BH38" s="18">
        <v>-2455</v>
      </c>
      <c r="BI38" s="18">
        <v>-2442</v>
      </c>
      <c r="BJ38" s="18">
        <v>-2434</v>
      </c>
      <c r="BK38" s="18">
        <v>-2543</v>
      </c>
      <c r="BL38" s="18">
        <v>-2537</v>
      </c>
      <c r="BM38" s="342">
        <f t="shared" ref="BM38:CC38" si="103">-BM102</f>
        <v>-2531.4790291626955</v>
      </c>
      <c r="BN38" s="342">
        <f t="shared" si="103"/>
        <v>-2525.3241355702648</v>
      </c>
      <c r="BO38" s="342">
        <f t="shared" si="103"/>
        <v>-2519.3393542101726</v>
      </c>
      <c r="BP38" s="342">
        <f t="shared" si="103"/>
        <v>-2513.8942263147173</v>
      </c>
      <c r="BQ38" s="342">
        <f t="shared" si="103"/>
        <v>-2508.740915617695</v>
      </c>
      <c r="BR38" s="342">
        <f t="shared" si="103"/>
        <v>-2503.5638661014332</v>
      </c>
      <c r="BS38" s="342">
        <f t="shared" si="103"/>
        <v>-2504.0801109078325</v>
      </c>
      <c r="BT38" s="342">
        <f t="shared" si="103"/>
        <v>-2510.5065871021488</v>
      </c>
      <c r="BU38" s="342">
        <f t="shared" si="103"/>
        <v>-2517.027638786898</v>
      </c>
      <c r="BV38" s="342">
        <f t="shared" si="103"/>
        <v>-2523.234858771124</v>
      </c>
      <c r="BW38" s="342">
        <f t="shared" si="103"/>
        <v>-2529.3181177236438</v>
      </c>
      <c r="BX38" s="342">
        <f t="shared" si="103"/>
        <v>-2535.6845333927795</v>
      </c>
      <c r="BY38" s="342">
        <f t="shared" si="103"/>
        <v>-2542.1446406692603</v>
      </c>
      <c r="BZ38" s="342">
        <f t="shared" si="103"/>
        <v>-2548.2938492517637</v>
      </c>
      <c r="CA38" s="342">
        <f t="shared" si="103"/>
        <v>-2554.2911444068318</v>
      </c>
      <c r="CB38" s="342">
        <f t="shared" si="103"/>
        <v>-2560.5385616522453</v>
      </c>
      <c r="CC38" s="342">
        <f t="shared" si="103"/>
        <v>-2566.8779192600064</v>
      </c>
      <c r="CD38" s="342">
        <f t="shared" ref="CD38:CG38" si="104">-CD102</f>
        <v>-2572.9121893643328</v>
      </c>
      <c r="CE38" s="342">
        <f t="shared" si="104"/>
        <v>-2578.7973855445398</v>
      </c>
      <c r="CF38" s="342">
        <f t="shared" si="104"/>
        <v>-2584.928028635833</v>
      </c>
      <c r="CG38" s="342">
        <f t="shared" si="104"/>
        <v>-2591.1488935780289</v>
      </c>
      <c r="CH38" s="342"/>
      <c r="CI38" s="89">
        <f t="shared" ref="CI38" si="105">SUM(B38:E38)</f>
        <v>0</v>
      </c>
      <c r="CJ38" s="20">
        <f t="shared" ref="CJ38" si="106">SUM(F38:I38)</f>
        <v>0</v>
      </c>
      <c r="CK38" s="89">
        <f t="shared" ref="CK38" si="107">SUM(J38:M38)</f>
        <v>0</v>
      </c>
      <c r="CL38" s="20">
        <f t="shared" ref="CL38" si="108">SUM(N38:Q38)</f>
        <v>0</v>
      </c>
      <c r="CM38" s="89">
        <f t="shared" ref="CM38" si="109">SUM(R38:U38)</f>
        <v>0</v>
      </c>
      <c r="CN38" s="20">
        <f t="shared" ref="CN38" si="110">SUM(V38:Y38)</f>
        <v>0</v>
      </c>
      <c r="CO38" s="89">
        <f t="shared" ref="CO38" si="111">SUM(Z38:AC38)</f>
        <v>0</v>
      </c>
      <c r="CP38" s="20">
        <f t="shared" ref="CP38" si="112">SUM(AD38:AG38)</f>
        <v>0</v>
      </c>
      <c r="CQ38" s="89">
        <f t="shared" ref="CQ38" si="113">SUM(AH38:AK38)</f>
        <v>0</v>
      </c>
      <c r="CR38" s="89">
        <f t="shared" ref="CR38" si="114">SUM(AL38:AO38)</f>
        <v>0</v>
      </c>
      <c r="CS38" s="89">
        <f t="shared" ref="CS38" si="115">SUM(AP38:AS38)</f>
        <v>0</v>
      </c>
      <c r="CT38" s="89">
        <f t="shared" si="93"/>
        <v>0</v>
      </c>
      <c r="CU38" s="89">
        <f t="shared" ref="CU38" si="116">SUM(AX38:BA38)</f>
        <v>0</v>
      </c>
      <c r="CV38" s="89">
        <f t="shared" ref="CV38" si="117">SUM(BB38:BE38)</f>
        <v>0</v>
      </c>
      <c r="CW38" s="89">
        <f t="shared" ref="CW38" si="118">SUM(BF38:BI38)</f>
        <v>-7363</v>
      </c>
      <c r="CX38" s="20">
        <f t="shared" ref="CX38" si="119">SUM(BJ38:BM38)</f>
        <v>-10045.479029162696</v>
      </c>
      <c r="CY38" s="89">
        <f t="shared" ref="CY38" si="120">SUM(BN38:BQ38)</f>
        <v>-10067.298631712851</v>
      </c>
      <c r="CZ38" s="89">
        <f t="shared" ref="CZ38" si="121">SUM(BR38:BU38)</f>
        <v>-10035.178202898313</v>
      </c>
      <c r="DA38" s="89">
        <f t="shared" ref="DA38" si="122">SUM(BV38:BY38)</f>
        <v>-10130.382150556808</v>
      </c>
      <c r="DB38" s="89">
        <f t="shared" ref="DB38" si="123">SUM(BZ38:CC38)</f>
        <v>-10230.001474570847</v>
      </c>
      <c r="DC38" s="89">
        <f t="shared" si="102"/>
        <v>-10327.786497122735</v>
      </c>
    </row>
    <row r="39" spans="1:107" x14ac:dyDescent="0.2">
      <c r="A39" s="1" t="s">
        <v>175</v>
      </c>
      <c r="B39" s="17">
        <v>0</v>
      </c>
      <c r="C39" s="17">
        <v>0</v>
      </c>
      <c r="D39" s="17">
        <v>2121</v>
      </c>
      <c r="E39" s="17">
        <v>1342</v>
      </c>
      <c r="F39" s="17">
        <v>-251</v>
      </c>
      <c r="G39" s="17">
        <v>977</v>
      </c>
      <c r="H39" s="17">
        <v>0</v>
      </c>
      <c r="I39" s="17">
        <v>0</v>
      </c>
      <c r="J39" s="17">
        <v>1249</v>
      </c>
      <c r="K39" s="17">
        <v>749</v>
      </c>
      <c r="L39" s="17">
        <v>-1</v>
      </c>
      <c r="M39" s="17">
        <v>-669</v>
      </c>
      <c r="N39" s="17">
        <v>-401</v>
      </c>
      <c r="O39" s="17">
        <v>-151</v>
      </c>
      <c r="P39" s="17">
        <v>-2</v>
      </c>
      <c r="Q39" s="17">
        <v>-3</v>
      </c>
      <c r="R39" s="17">
        <v>993</v>
      </c>
      <c r="S39" s="17">
        <v>-1004</v>
      </c>
      <c r="T39" s="17">
        <v>-3</v>
      </c>
      <c r="U39" s="17">
        <v>-4</v>
      </c>
      <c r="V39" s="17">
        <v>-3</v>
      </c>
      <c r="W39" s="17">
        <v>-3</v>
      </c>
      <c r="X39" s="17">
        <v>-3</v>
      </c>
      <c r="Y39" s="17">
        <v>-14</v>
      </c>
      <c r="Z39" s="17">
        <v>-6</v>
      </c>
      <c r="AA39" s="17">
        <v>-1042</v>
      </c>
      <c r="AB39" s="17">
        <v>-274</v>
      </c>
      <c r="AC39" s="17">
        <v>0</v>
      </c>
      <c r="AD39" s="17">
        <v>-18</v>
      </c>
      <c r="AE39" s="17">
        <v>-38</v>
      </c>
      <c r="AF39" s="17">
        <v>-8</v>
      </c>
      <c r="AG39" s="17">
        <v>-22</v>
      </c>
      <c r="AH39" s="17">
        <v>1313</v>
      </c>
      <c r="AI39" s="17">
        <v>-1344</v>
      </c>
      <c r="AJ39" s="17">
        <v>-25</v>
      </c>
      <c r="AK39" s="17">
        <v>-5</v>
      </c>
      <c r="AL39" s="17">
        <v>-30</v>
      </c>
      <c r="AM39" s="17">
        <v>-46</v>
      </c>
      <c r="AN39" s="17">
        <v>-145</v>
      </c>
      <c r="AO39" s="17">
        <v>-47</v>
      </c>
      <c r="AP39" s="17">
        <v>-49</v>
      </c>
      <c r="AQ39" s="17">
        <v>-35</v>
      </c>
      <c r="AR39" s="17">
        <v>9863</v>
      </c>
      <c r="AS39" s="17">
        <v>-57</v>
      </c>
      <c r="AT39" s="17">
        <v>-37</v>
      </c>
      <c r="AU39" s="18">
        <v>6699</v>
      </c>
      <c r="AV39" s="18">
        <v>6350</v>
      </c>
      <c r="AW39" s="18">
        <v>6250</v>
      </c>
      <c r="AX39" s="18">
        <v>16422</v>
      </c>
      <c r="AY39" s="18">
        <v>12806</v>
      </c>
      <c r="AZ39" s="18">
        <v>15094</v>
      </c>
      <c r="BA39" s="18">
        <v>8550</v>
      </c>
      <c r="BB39" s="18">
        <v>6927</v>
      </c>
      <c r="BC39" s="18">
        <v>1123</v>
      </c>
      <c r="BD39" s="18">
        <v>1248</v>
      </c>
      <c r="BE39" s="18">
        <v>1492</v>
      </c>
      <c r="BF39" s="18">
        <v>1982</v>
      </c>
      <c r="BG39" s="18">
        <v>2893</v>
      </c>
      <c r="BH39" s="18">
        <v>3819</v>
      </c>
      <c r="BI39" s="18">
        <v>4895</v>
      </c>
      <c r="BJ39" s="18">
        <v>4532</v>
      </c>
      <c r="BK39" s="18">
        <v>26846</v>
      </c>
      <c r="BL39" s="18">
        <v>6624</v>
      </c>
      <c r="BM39" s="16">
        <f>'Debt &amp; Interest'!BM12</f>
        <v>0</v>
      </c>
      <c r="BN39" s="16">
        <f>'Debt &amp; Interest'!BN12</f>
        <v>0</v>
      </c>
      <c r="BO39" s="16">
        <f>'Debt &amp; Interest'!BO12</f>
        <v>0</v>
      </c>
      <c r="BP39" s="16">
        <f>'Debt &amp; Interest'!BP12</f>
        <v>0</v>
      </c>
      <c r="BQ39" s="16">
        <f>'Debt &amp; Interest'!BQ12</f>
        <v>0</v>
      </c>
      <c r="BR39" s="72">
        <f>'Debt &amp; Interest'!BR12</f>
        <v>0</v>
      </c>
      <c r="BS39" s="72">
        <f>'Debt &amp; Interest'!BS12</f>
        <v>0</v>
      </c>
      <c r="BT39" s="72">
        <f>'Debt &amp; Interest'!BT12</f>
        <v>0</v>
      </c>
      <c r="BU39" s="72">
        <f>'Debt &amp; Interest'!BU12</f>
        <v>0</v>
      </c>
      <c r="BV39" s="72">
        <f>'Debt &amp; Interest'!BV12</f>
        <v>0</v>
      </c>
      <c r="BW39" s="72">
        <f>'Debt &amp; Interest'!BW12</f>
        <v>0</v>
      </c>
      <c r="BX39" s="72">
        <f>'Debt &amp; Interest'!BX12</f>
        <v>0</v>
      </c>
      <c r="BY39" s="72">
        <f>'Debt &amp; Interest'!BY12</f>
        <v>0</v>
      </c>
      <c r="BZ39" s="72">
        <f>'Debt &amp; Interest'!BZ12</f>
        <v>0</v>
      </c>
      <c r="CA39" s="72">
        <f>'Debt &amp; Interest'!CA12</f>
        <v>0</v>
      </c>
      <c r="CB39" s="72">
        <f>'Debt &amp; Interest'!CB12</f>
        <v>0</v>
      </c>
      <c r="CC39" s="72">
        <f>'Debt &amp; Interest'!CC12</f>
        <v>0</v>
      </c>
      <c r="CD39" s="72">
        <f>'Debt &amp; Interest'!CD12</f>
        <v>0</v>
      </c>
      <c r="CE39" s="72">
        <f>'Debt &amp; Interest'!CE12</f>
        <v>0</v>
      </c>
      <c r="CF39" s="72">
        <f>'Debt &amp; Interest'!CF12</f>
        <v>0</v>
      </c>
      <c r="CG39" s="72">
        <f>'Debt &amp; Interest'!CG12</f>
        <v>0</v>
      </c>
      <c r="CH39" s="72"/>
      <c r="CI39" s="89">
        <f t="shared" si="82"/>
        <v>3463</v>
      </c>
      <c r="CJ39" s="20">
        <f t="shared" si="83"/>
        <v>726</v>
      </c>
      <c r="CK39" s="89">
        <f t="shared" si="84"/>
        <v>1328</v>
      </c>
      <c r="CL39" s="20">
        <f t="shared" si="85"/>
        <v>-557</v>
      </c>
      <c r="CM39" s="89">
        <f t="shared" si="86"/>
        <v>-18</v>
      </c>
      <c r="CN39" s="20">
        <f t="shared" si="87"/>
        <v>-23</v>
      </c>
      <c r="CO39" s="89">
        <f t="shared" si="88"/>
        <v>-1322</v>
      </c>
      <c r="CP39" s="20">
        <f t="shared" si="89"/>
        <v>-86</v>
      </c>
      <c r="CQ39" s="89">
        <f t="shared" si="90"/>
        <v>-61</v>
      </c>
      <c r="CR39" s="89">
        <f t="shared" si="91"/>
        <v>-268</v>
      </c>
      <c r="CS39" s="89">
        <f t="shared" si="92"/>
        <v>9722</v>
      </c>
      <c r="CT39" s="89">
        <f t="shared" si="93"/>
        <v>19262</v>
      </c>
      <c r="CU39" s="89">
        <f t="shared" si="94"/>
        <v>52872</v>
      </c>
      <c r="CV39" s="89">
        <f t="shared" si="95"/>
        <v>10790</v>
      </c>
      <c r="CW39" s="89">
        <f t="shared" si="96"/>
        <v>13589</v>
      </c>
      <c r="CX39" s="20">
        <f t="shared" si="97"/>
        <v>38002</v>
      </c>
      <c r="CY39" s="89">
        <f t="shared" si="98"/>
        <v>0</v>
      </c>
      <c r="CZ39" s="89">
        <f t="shared" si="99"/>
        <v>0</v>
      </c>
      <c r="DA39" s="89">
        <f t="shared" si="100"/>
        <v>0</v>
      </c>
      <c r="DB39" s="89">
        <f t="shared" si="101"/>
        <v>0</v>
      </c>
      <c r="DC39" s="89">
        <f t="shared" si="102"/>
        <v>0</v>
      </c>
    </row>
    <row r="40" spans="1:107" x14ac:dyDescent="0.2">
      <c r="A40" s="1" t="s">
        <v>176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-61</v>
      </c>
      <c r="AS40" s="17">
        <v>0</v>
      </c>
      <c r="AT40" s="17">
        <v>0</v>
      </c>
      <c r="AU40" s="18">
        <v>-7741</v>
      </c>
      <c r="AV40" s="18">
        <v>-6392</v>
      </c>
      <c r="AW40" s="18">
        <v>-6365</v>
      </c>
      <c r="AX40" s="18">
        <v>-16420</v>
      </c>
      <c r="AY40" s="18">
        <v>-13162</v>
      </c>
      <c r="AZ40" s="18">
        <v>-15768</v>
      </c>
      <c r="BA40" s="18">
        <v>-8718</v>
      </c>
      <c r="BB40" s="18">
        <v>-6952</v>
      </c>
      <c r="BC40" s="18">
        <v>-1255</v>
      </c>
      <c r="BD40" s="18">
        <v>-1414</v>
      </c>
      <c r="BE40" s="18">
        <v>-1929</v>
      </c>
      <c r="BF40" s="18">
        <v>-3079</v>
      </c>
      <c r="BG40" s="18">
        <v>-2423</v>
      </c>
      <c r="BH40" s="18">
        <v>-3449</v>
      </c>
      <c r="BI40" s="18">
        <v>-3750</v>
      </c>
      <c r="BJ40" s="18">
        <v>-4521</v>
      </c>
      <c r="BK40" s="18">
        <v>-13876</v>
      </c>
      <c r="BL40" s="18">
        <v>-7696</v>
      </c>
      <c r="BM40" s="16">
        <f>'Debt &amp; Interest'!BM13</f>
        <v>0</v>
      </c>
      <c r="BN40" s="16">
        <f>'Debt &amp; Interest'!BN13</f>
        <v>0</v>
      </c>
      <c r="BO40" s="16">
        <f>'Debt &amp; Interest'!BO13</f>
        <v>0</v>
      </c>
      <c r="BP40" s="16">
        <f>'Debt &amp; Interest'!BP13</f>
        <v>0</v>
      </c>
      <c r="BQ40" s="16">
        <f>'Debt &amp; Interest'!BQ13</f>
        <v>0</v>
      </c>
      <c r="BR40" s="72">
        <f>'Debt &amp; Interest'!BR13</f>
        <v>0</v>
      </c>
      <c r="BS40" s="72">
        <f>'Debt &amp; Interest'!BS13</f>
        <v>0</v>
      </c>
      <c r="BT40" s="72">
        <f>'Debt &amp; Interest'!BT13</f>
        <v>0</v>
      </c>
      <c r="BU40" s="72">
        <f>'Debt &amp; Interest'!BU13</f>
        <v>0</v>
      </c>
      <c r="BV40" s="72">
        <f>'Debt &amp; Interest'!BV13</f>
        <v>0</v>
      </c>
      <c r="BW40" s="72">
        <f>'Debt &amp; Interest'!BW13</f>
        <v>0</v>
      </c>
      <c r="BX40" s="72">
        <f>'Debt &amp; Interest'!BX13</f>
        <v>0</v>
      </c>
      <c r="BY40" s="72">
        <f>'Debt &amp; Interest'!BY13</f>
        <v>0</v>
      </c>
      <c r="BZ40" s="72">
        <f>'Debt &amp; Interest'!BZ13</f>
        <v>0</v>
      </c>
      <c r="CA40" s="72">
        <f>'Debt &amp; Interest'!CA13</f>
        <v>0</v>
      </c>
      <c r="CB40" s="72">
        <f>'Debt &amp; Interest'!CB13</f>
        <v>0</v>
      </c>
      <c r="CC40" s="72">
        <f>'Debt &amp; Interest'!CC13</f>
        <v>0</v>
      </c>
      <c r="CD40" s="72">
        <f>'Debt &amp; Interest'!CD13</f>
        <v>0</v>
      </c>
      <c r="CE40" s="72">
        <f>'Debt &amp; Interest'!CE13</f>
        <v>0</v>
      </c>
      <c r="CF40" s="72">
        <f>'Debt &amp; Interest'!CF13</f>
        <v>0</v>
      </c>
      <c r="CG40" s="72">
        <f>'Debt &amp; Interest'!CG13</f>
        <v>0</v>
      </c>
      <c r="CH40" s="72"/>
      <c r="CI40" s="89">
        <f t="shared" si="82"/>
        <v>0</v>
      </c>
      <c r="CJ40" s="20">
        <f t="shared" si="83"/>
        <v>0</v>
      </c>
      <c r="CK40" s="89">
        <f t="shared" si="84"/>
        <v>0</v>
      </c>
      <c r="CL40" s="20">
        <f t="shared" si="85"/>
        <v>0</v>
      </c>
      <c r="CM40" s="89">
        <f t="shared" si="86"/>
        <v>0</v>
      </c>
      <c r="CN40" s="20">
        <f t="shared" si="87"/>
        <v>0</v>
      </c>
      <c r="CO40" s="89">
        <f t="shared" si="88"/>
        <v>0</v>
      </c>
      <c r="CP40" s="20">
        <f t="shared" si="89"/>
        <v>0</v>
      </c>
      <c r="CQ40" s="89">
        <f t="shared" si="90"/>
        <v>0</v>
      </c>
      <c r="CR40" s="89">
        <f t="shared" si="91"/>
        <v>0</v>
      </c>
      <c r="CS40" s="89">
        <f t="shared" si="92"/>
        <v>-61</v>
      </c>
      <c r="CT40" s="89">
        <f t="shared" si="93"/>
        <v>-20498</v>
      </c>
      <c r="CU40" s="89">
        <f t="shared" si="94"/>
        <v>-54068</v>
      </c>
      <c r="CV40" s="89">
        <f t="shared" si="95"/>
        <v>-11550</v>
      </c>
      <c r="CW40" s="89">
        <f t="shared" si="96"/>
        <v>-12701</v>
      </c>
      <c r="CX40" s="20">
        <f t="shared" si="97"/>
        <v>-26093</v>
      </c>
      <c r="CY40" s="89">
        <f t="shared" si="98"/>
        <v>0</v>
      </c>
      <c r="CZ40" s="89">
        <f t="shared" si="99"/>
        <v>0</v>
      </c>
      <c r="DA40" s="89">
        <f t="shared" si="100"/>
        <v>0</v>
      </c>
      <c r="DB40" s="89">
        <f t="shared" si="101"/>
        <v>0</v>
      </c>
      <c r="DC40" s="89">
        <f t="shared" si="102"/>
        <v>0</v>
      </c>
    </row>
    <row r="41" spans="1:107" x14ac:dyDescent="0.2">
      <c r="A41" s="1" t="s">
        <v>153</v>
      </c>
      <c r="B41" s="17">
        <v>12.4</v>
      </c>
      <c r="C41" s="17">
        <v>19</v>
      </c>
      <c r="D41" s="17">
        <v>12</v>
      </c>
      <c r="E41" s="17">
        <v>51</v>
      </c>
      <c r="F41" s="17">
        <v>24</v>
      </c>
      <c r="G41" s="17">
        <v>9</v>
      </c>
      <c r="H41" s="17">
        <v>28</v>
      </c>
      <c r="I41" s="17">
        <v>25</v>
      </c>
      <c r="J41" s="17">
        <v>28</v>
      </c>
      <c r="K41" s="17">
        <v>27</v>
      </c>
      <c r="L41" s="17">
        <v>58</v>
      </c>
      <c r="M41" s="17">
        <v>75.013686000000206</v>
      </c>
      <c r="N41" s="17">
        <v>94</v>
      </c>
      <c r="O41" s="17">
        <v>104</v>
      </c>
      <c r="P41" s="17">
        <v>104</v>
      </c>
      <c r="Q41" s="17">
        <v>179</v>
      </c>
      <c r="R41" s="17">
        <v>155</v>
      </c>
      <c r="S41" s="17">
        <v>137</v>
      </c>
      <c r="T41" s="17">
        <v>175</v>
      </c>
      <c r="U41" s="17">
        <v>181</v>
      </c>
      <c r="V41" s="17">
        <v>0</v>
      </c>
      <c r="W41" s="17">
        <v>111</v>
      </c>
      <c r="X41" s="17">
        <v>138</v>
      </c>
      <c r="Y41" s="17">
        <v>194</v>
      </c>
      <c r="Z41" s="17">
        <v>0</v>
      </c>
      <c r="AA41" s="17">
        <v>0</v>
      </c>
      <c r="AB41" s="17">
        <v>0</v>
      </c>
      <c r="AC41" s="17">
        <v>-13</v>
      </c>
      <c r="AD41" s="17">
        <v>480</v>
      </c>
      <c r="AE41" s="17">
        <v>0</v>
      </c>
      <c r="AF41" s="17">
        <v>320</v>
      </c>
      <c r="AG41" s="17">
        <v>0</v>
      </c>
      <c r="AH41" s="17">
        <v>0</v>
      </c>
      <c r="AI41" s="17">
        <v>0</v>
      </c>
      <c r="AJ41" s="17">
        <v>0</v>
      </c>
      <c r="AK41" s="17">
        <v>950</v>
      </c>
      <c r="AL41" s="17">
        <v>47</v>
      </c>
      <c r="AM41" s="17">
        <v>137</v>
      </c>
      <c r="AN41" s="17">
        <v>18</v>
      </c>
      <c r="AO41" s="17">
        <v>18</v>
      </c>
      <c r="AP41" s="17">
        <v>1600</v>
      </c>
      <c r="AQ41" s="17">
        <v>864</v>
      </c>
      <c r="AR41" s="17">
        <v>-2</v>
      </c>
      <c r="AS41" s="17">
        <v>338</v>
      </c>
      <c r="AT41" s="17">
        <v>10</v>
      </c>
      <c r="AU41" s="18">
        <v>300</v>
      </c>
      <c r="AV41" s="18">
        <v>0</v>
      </c>
      <c r="AW41" s="18">
        <v>0</v>
      </c>
      <c r="AX41" s="18">
        <v>0</v>
      </c>
      <c r="AY41" s="18">
        <v>0</v>
      </c>
      <c r="AZ41" s="18">
        <v>10</v>
      </c>
      <c r="BA41" s="18">
        <v>25</v>
      </c>
      <c r="BB41" s="18">
        <v>3</v>
      </c>
      <c r="BC41" s="18">
        <v>2</v>
      </c>
      <c r="BD41" s="18">
        <v>3</v>
      </c>
      <c r="BE41" s="18">
        <v>0</v>
      </c>
      <c r="BF41" s="18">
        <v>8</v>
      </c>
      <c r="BG41" s="18">
        <v>0</v>
      </c>
      <c r="BH41" s="18">
        <v>285</v>
      </c>
      <c r="BI41" s="18">
        <v>861</v>
      </c>
      <c r="BJ41" s="18">
        <v>400</v>
      </c>
      <c r="BK41" s="18">
        <v>0</v>
      </c>
      <c r="BL41" s="18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76">
        <v>0</v>
      </c>
      <c r="BS41" s="76">
        <v>0</v>
      </c>
      <c r="BT41" s="76">
        <v>0</v>
      </c>
      <c r="BU41" s="76">
        <v>0</v>
      </c>
      <c r="BV41" s="76">
        <v>0</v>
      </c>
      <c r="BW41" s="76">
        <v>0</v>
      </c>
      <c r="BX41" s="76">
        <v>0</v>
      </c>
      <c r="BY41" s="76">
        <v>0</v>
      </c>
      <c r="BZ41" s="76">
        <v>0</v>
      </c>
      <c r="CA41" s="76">
        <v>0</v>
      </c>
      <c r="CB41" s="76">
        <v>0</v>
      </c>
      <c r="CC41" s="76">
        <v>0</v>
      </c>
      <c r="CD41" s="76">
        <v>0</v>
      </c>
      <c r="CE41" s="76">
        <v>0</v>
      </c>
      <c r="CF41" s="76">
        <v>0</v>
      </c>
      <c r="CG41" s="76">
        <v>0</v>
      </c>
      <c r="CH41" s="76"/>
      <c r="CI41" s="89">
        <f t="shared" si="82"/>
        <v>94.4</v>
      </c>
      <c r="CJ41" s="20">
        <f t="shared" si="83"/>
        <v>86</v>
      </c>
      <c r="CK41" s="89">
        <f t="shared" si="84"/>
        <v>188.01368600000021</v>
      </c>
      <c r="CL41" s="20">
        <f t="shared" si="85"/>
        <v>481</v>
      </c>
      <c r="CM41" s="89">
        <f t="shared" si="86"/>
        <v>648</v>
      </c>
      <c r="CN41" s="20">
        <f t="shared" si="87"/>
        <v>443</v>
      </c>
      <c r="CO41" s="89">
        <f t="shared" si="88"/>
        <v>-13</v>
      </c>
      <c r="CP41" s="20">
        <f t="shared" si="89"/>
        <v>800</v>
      </c>
      <c r="CQ41" s="89">
        <f t="shared" si="90"/>
        <v>950</v>
      </c>
      <c r="CR41" s="89">
        <f t="shared" si="91"/>
        <v>220</v>
      </c>
      <c r="CS41" s="89">
        <f t="shared" si="92"/>
        <v>2800</v>
      </c>
      <c r="CT41" s="89">
        <f t="shared" si="93"/>
        <v>310</v>
      </c>
      <c r="CU41" s="89">
        <f t="shared" si="94"/>
        <v>35</v>
      </c>
      <c r="CV41" s="89">
        <f t="shared" si="95"/>
        <v>8</v>
      </c>
      <c r="CW41" s="89">
        <f t="shared" si="96"/>
        <v>1154</v>
      </c>
      <c r="CX41" s="20">
        <f t="shared" si="97"/>
        <v>400</v>
      </c>
      <c r="CY41" s="89">
        <f t="shared" si="98"/>
        <v>0</v>
      </c>
      <c r="CZ41" s="89">
        <f t="shared" si="99"/>
        <v>0</v>
      </c>
      <c r="DA41" s="89">
        <f t="shared" si="100"/>
        <v>0</v>
      </c>
      <c r="DB41" s="89">
        <f t="shared" si="101"/>
        <v>0</v>
      </c>
      <c r="DC41" s="89">
        <f t="shared" si="102"/>
        <v>0</v>
      </c>
    </row>
    <row r="42" spans="1:107" x14ac:dyDescent="0.2">
      <c r="CI42" s="92"/>
      <c r="CK42" s="92"/>
      <c r="CM42" s="92"/>
      <c r="CO42" s="92"/>
      <c r="CQ42" s="92"/>
      <c r="CR42" s="92"/>
      <c r="CS42" s="92"/>
      <c r="CT42" s="92"/>
      <c r="CU42" s="92"/>
      <c r="CV42" s="92"/>
      <c r="CW42" s="92"/>
      <c r="CY42" s="92"/>
      <c r="CZ42" s="92"/>
      <c r="DA42" s="92"/>
      <c r="DB42" s="92"/>
      <c r="DC42" s="92"/>
    </row>
    <row r="43" spans="1:107" x14ac:dyDescent="0.2">
      <c r="A43" s="4" t="s">
        <v>162</v>
      </c>
      <c r="B43" s="21">
        <f t="shared" ref="B43:AG43" si="124">SUM(B36:B41)</f>
        <v>-122.6</v>
      </c>
      <c r="C43" s="21">
        <f t="shared" si="124"/>
        <v>-646</v>
      </c>
      <c r="D43" s="21">
        <f t="shared" si="124"/>
        <v>2067</v>
      </c>
      <c r="E43" s="21">
        <f t="shared" si="124"/>
        <v>1752</v>
      </c>
      <c r="F43" s="21">
        <f t="shared" si="124"/>
        <v>-111</v>
      </c>
      <c r="G43" s="21">
        <f t="shared" si="124"/>
        <v>958</v>
      </c>
      <c r="H43" s="21">
        <f t="shared" si="124"/>
        <v>-80</v>
      </c>
      <c r="I43" s="21">
        <f t="shared" si="124"/>
        <v>40</v>
      </c>
      <c r="J43" s="21">
        <f t="shared" si="124"/>
        <v>1230</v>
      </c>
      <c r="K43" s="21">
        <f t="shared" si="124"/>
        <v>639</v>
      </c>
      <c r="L43" s="21">
        <f t="shared" si="124"/>
        <v>52</v>
      </c>
      <c r="M43" s="21">
        <f t="shared" si="124"/>
        <v>-691.98631399999977</v>
      </c>
      <c r="N43" s="21">
        <f t="shared" si="124"/>
        <v>-517</v>
      </c>
      <c r="O43" s="21">
        <f t="shared" si="124"/>
        <v>-105</v>
      </c>
      <c r="P43" s="21">
        <f t="shared" si="124"/>
        <v>-267</v>
      </c>
      <c r="Q43" s="21">
        <f t="shared" si="124"/>
        <v>32</v>
      </c>
      <c r="R43" s="21">
        <f t="shared" si="124"/>
        <v>822</v>
      </c>
      <c r="S43" s="21">
        <f t="shared" si="124"/>
        <v>-1462</v>
      </c>
      <c r="T43" s="21">
        <f t="shared" si="124"/>
        <v>-455</v>
      </c>
      <c r="U43" s="21">
        <f t="shared" si="124"/>
        <v>-344</v>
      </c>
      <c r="V43" s="21">
        <f t="shared" si="124"/>
        <v>-496</v>
      </c>
      <c r="W43" s="21">
        <f t="shared" si="124"/>
        <v>-450</v>
      </c>
      <c r="X43" s="21">
        <f t="shared" si="124"/>
        <v>-471</v>
      </c>
      <c r="Y43" s="21">
        <f t="shared" si="124"/>
        <v>-2365</v>
      </c>
      <c r="Z43" s="21">
        <f t="shared" si="124"/>
        <v>-2911</v>
      </c>
      <c r="AA43" s="21">
        <f t="shared" si="124"/>
        <v>-3440</v>
      </c>
      <c r="AB43" s="21">
        <f t="shared" si="124"/>
        <v>-1089</v>
      </c>
      <c r="AC43" s="21">
        <f t="shared" si="124"/>
        <v>-892</v>
      </c>
      <c r="AD43" s="21">
        <f t="shared" si="124"/>
        <v>-1674</v>
      </c>
      <c r="AE43" s="21">
        <f t="shared" si="124"/>
        <v>-2740</v>
      </c>
      <c r="AF43" s="21">
        <f t="shared" si="124"/>
        <v>-706</v>
      </c>
      <c r="AG43" s="21">
        <f t="shared" si="124"/>
        <v>-3178</v>
      </c>
      <c r="AH43" s="21">
        <f t="shared" ref="AH43:BM43" si="125">SUM(AH36:AH41)</f>
        <v>-2018</v>
      </c>
      <c r="AI43" s="21">
        <f t="shared" si="125"/>
        <v>-4937</v>
      </c>
      <c r="AJ43" s="21">
        <f t="shared" si="125"/>
        <v>-3478</v>
      </c>
      <c r="AK43" s="21">
        <f t="shared" si="125"/>
        <v>-2746</v>
      </c>
      <c r="AL43" s="21">
        <f t="shared" si="125"/>
        <v>-4183</v>
      </c>
      <c r="AM43" s="21">
        <f t="shared" si="125"/>
        <v>-4746</v>
      </c>
      <c r="AN43" s="21">
        <f t="shared" si="125"/>
        <v>-6954</v>
      </c>
      <c r="AO43" s="21">
        <f t="shared" si="125"/>
        <v>-7326</v>
      </c>
      <c r="AP43" s="21">
        <f t="shared" si="125"/>
        <v>-8186</v>
      </c>
      <c r="AQ43" s="21">
        <f t="shared" si="125"/>
        <v>-7498</v>
      </c>
      <c r="AR43" s="21">
        <f t="shared" si="125"/>
        <v>546</v>
      </c>
      <c r="AS43" s="21">
        <f t="shared" si="125"/>
        <v>-9270</v>
      </c>
      <c r="AT43" s="21">
        <f t="shared" si="125"/>
        <v>-13606</v>
      </c>
      <c r="AU43" s="21">
        <f t="shared" si="125"/>
        <v>-15991</v>
      </c>
      <c r="AV43" s="21">
        <f t="shared" si="125"/>
        <v>-15254</v>
      </c>
      <c r="AW43" s="21">
        <f t="shared" si="125"/>
        <v>-16511</v>
      </c>
      <c r="AX43" s="21">
        <f t="shared" si="125"/>
        <v>-16214</v>
      </c>
      <c r="AY43" s="21">
        <f t="shared" si="125"/>
        <v>-17817</v>
      </c>
      <c r="AZ43" s="21">
        <f t="shared" si="125"/>
        <v>-18097</v>
      </c>
      <c r="BA43" s="21">
        <f t="shared" si="125"/>
        <v>-17629</v>
      </c>
      <c r="BB43" s="21">
        <f t="shared" si="125"/>
        <v>-16568</v>
      </c>
      <c r="BC43" s="21">
        <f t="shared" si="125"/>
        <v>-17835</v>
      </c>
      <c r="BD43" s="21">
        <f t="shared" si="125"/>
        <v>-18382</v>
      </c>
      <c r="BE43" s="21">
        <f t="shared" si="125"/>
        <v>-19308</v>
      </c>
      <c r="BF43" s="21">
        <f t="shared" si="125"/>
        <v>-19714</v>
      </c>
      <c r="BG43" s="21">
        <f t="shared" si="125"/>
        <v>-20889</v>
      </c>
      <c r="BH43" s="21">
        <f t="shared" si="125"/>
        <v>-20094</v>
      </c>
      <c r="BI43" s="21">
        <f t="shared" si="125"/>
        <v>-19036</v>
      </c>
      <c r="BJ43" s="21">
        <f t="shared" si="125"/>
        <v>-20201</v>
      </c>
      <c r="BK43" s="21">
        <f t="shared" si="125"/>
        <v>-5832</v>
      </c>
      <c r="BL43" s="21">
        <f t="shared" si="125"/>
        <v>-18383</v>
      </c>
      <c r="BM43" s="21">
        <f t="shared" si="125"/>
        <v>-15031.479029162696</v>
      </c>
      <c r="BN43" s="21">
        <f t="shared" ref="BN43:CC43" si="126">SUM(BN36:BN41)</f>
        <v>-15025.324135570265</v>
      </c>
      <c r="BO43" s="21">
        <f t="shared" si="126"/>
        <v>-15019.339354210173</v>
      </c>
      <c r="BP43" s="21">
        <f t="shared" si="126"/>
        <v>-15013.894226314718</v>
      </c>
      <c r="BQ43" s="21">
        <f t="shared" si="126"/>
        <v>-15008.740915617695</v>
      </c>
      <c r="BR43" s="21">
        <f t="shared" si="126"/>
        <v>-14799.563866101433</v>
      </c>
      <c r="BS43" s="21">
        <f t="shared" si="126"/>
        <v>-2504.0801109078325</v>
      </c>
      <c r="BT43" s="21">
        <f t="shared" si="126"/>
        <v>-2510.5065871021488</v>
      </c>
      <c r="BU43" s="21">
        <f t="shared" si="126"/>
        <v>-2517.027638786898</v>
      </c>
      <c r="BV43" s="21">
        <f t="shared" si="126"/>
        <v>-2523.234858771124</v>
      </c>
      <c r="BW43" s="21">
        <f t="shared" si="126"/>
        <v>-2529.3181177236438</v>
      </c>
      <c r="BX43" s="21">
        <f t="shared" si="126"/>
        <v>-2535.6845333927795</v>
      </c>
      <c r="BY43" s="21">
        <f t="shared" si="126"/>
        <v>-2542.1446406692603</v>
      </c>
      <c r="BZ43" s="21">
        <f t="shared" si="126"/>
        <v>-2548.2938492517637</v>
      </c>
      <c r="CA43" s="21">
        <f t="shared" si="126"/>
        <v>-2554.2911444068318</v>
      </c>
      <c r="CB43" s="21">
        <f t="shared" si="126"/>
        <v>-2560.5385616522453</v>
      </c>
      <c r="CC43" s="21">
        <f t="shared" si="126"/>
        <v>-2566.8779192600064</v>
      </c>
      <c r="CD43" s="21">
        <f t="shared" ref="CD43:CG43" si="127">SUM(CD36:CD41)</f>
        <v>-2572.9121893643328</v>
      </c>
      <c r="CE43" s="21">
        <f t="shared" si="127"/>
        <v>-2578.7973855445398</v>
      </c>
      <c r="CF43" s="21">
        <f t="shared" si="127"/>
        <v>-2584.928028635833</v>
      </c>
      <c r="CG43" s="21">
        <f t="shared" si="127"/>
        <v>-2591.1488935780289</v>
      </c>
      <c r="CH43" s="21"/>
      <c r="CI43" s="90">
        <f t="shared" ref="CI43:DB43" si="128">SUM(CI36:CI41)</f>
        <v>3050.4</v>
      </c>
      <c r="CJ43" s="21">
        <f t="shared" si="128"/>
        <v>807</v>
      </c>
      <c r="CK43" s="90">
        <f t="shared" si="128"/>
        <v>1229.0136860000002</v>
      </c>
      <c r="CL43" s="21">
        <f t="shared" si="128"/>
        <v>-857</v>
      </c>
      <c r="CM43" s="90">
        <f t="shared" si="128"/>
        <v>-1439</v>
      </c>
      <c r="CN43" s="21">
        <f t="shared" si="128"/>
        <v>-3782</v>
      </c>
      <c r="CO43" s="90">
        <f t="shared" si="128"/>
        <v>-8332</v>
      </c>
      <c r="CP43" s="21">
        <f t="shared" si="128"/>
        <v>-8298</v>
      </c>
      <c r="CQ43" s="90">
        <f t="shared" si="128"/>
        <v>-13179</v>
      </c>
      <c r="CR43" s="90">
        <f t="shared" si="128"/>
        <v>-23209</v>
      </c>
      <c r="CS43" s="90">
        <f t="shared" si="128"/>
        <v>-24408</v>
      </c>
      <c r="CT43" s="90">
        <f t="shared" si="128"/>
        <v>-61362</v>
      </c>
      <c r="CU43" s="90">
        <f t="shared" si="128"/>
        <v>-69757</v>
      </c>
      <c r="CV43" s="90">
        <f t="shared" si="128"/>
        <v>-72093</v>
      </c>
      <c r="CW43" s="90">
        <f t="shared" si="128"/>
        <v>-79733</v>
      </c>
      <c r="CX43" s="21">
        <f t="shared" si="128"/>
        <v>-59447.4790291627</v>
      </c>
      <c r="CY43" s="90">
        <f t="shared" si="128"/>
        <v>-60067.298631712853</v>
      </c>
      <c r="CZ43" s="90">
        <f t="shared" si="128"/>
        <v>-22331.178202898314</v>
      </c>
      <c r="DA43" s="90">
        <f t="shared" si="128"/>
        <v>-10130.382150556808</v>
      </c>
      <c r="DB43" s="90">
        <f t="shared" si="128"/>
        <v>-10230.001474570847</v>
      </c>
      <c r="DC43" s="90">
        <f>SUM(DC36:DC41)</f>
        <v>-10327.786497122735</v>
      </c>
    </row>
    <row r="44" spans="1:107" x14ac:dyDescent="0.2"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CI44" s="92"/>
      <c r="CK44" s="92"/>
      <c r="CM44" s="92"/>
      <c r="CO44" s="92"/>
      <c r="CQ44" s="92"/>
      <c r="CR44" s="92"/>
      <c r="CS44" s="92"/>
      <c r="CT44" s="92"/>
      <c r="CU44" s="92"/>
      <c r="CV44" s="92"/>
      <c r="CW44" s="92"/>
      <c r="CY44" s="92"/>
      <c r="CZ44" s="92"/>
      <c r="DA44" s="92"/>
      <c r="DB44" s="92"/>
      <c r="DC44" s="92"/>
    </row>
    <row r="45" spans="1:107" x14ac:dyDescent="0.2">
      <c r="A45" s="1" t="s">
        <v>163</v>
      </c>
      <c r="B45" s="17">
        <v>-43</v>
      </c>
      <c r="C45" s="17">
        <v>-57</v>
      </c>
      <c r="D45" s="17">
        <v>137</v>
      </c>
      <c r="E45" s="17">
        <v>-56</v>
      </c>
      <c r="F45" s="17">
        <v>145</v>
      </c>
      <c r="G45" s="17">
        <v>42</v>
      </c>
      <c r="H45" s="17">
        <v>-113</v>
      </c>
      <c r="I45" s="17">
        <v>-52</v>
      </c>
      <c r="J45" s="17">
        <v>50</v>
      </c>
      <c r="K45" s="17">
        <v>-176</v>
      </c>
      <c r="L45" s="17">
        <v>74</v>
      </c>
      <c r="M45" s="17">
        <v>55</v>
      </c>
      <c r="N45" s="17">
        <v>-78</v>
      </c>
      <c r="O45" s="17">
        <v>-8</v>
      </c>
      <c r="P45" s="17">
        <v>80</v>
      </c>
      <c r="Q45" s="17">
        <v>3</v>
      </c>
      <c r="R45" s="17">
        <v>-5</v>
      </c>
      <c r="S45" s="17">
        <v>-4</v>
      </c>
      <c r="T45" s="17">
        <v>-227</v>
      </c>
      <c r="U45" s="17">
        <v>-37</v>
      </c>
      <c r="V45" s="17">
        <v>-293</v>
      </c>
      <c r="W45" s="17">
        <v>45</v>
      </c>
      <c r="X45" s="17">
        <v>-104</v>
      </c>
      <c r="Y45" s="17">
        <v>-82</v>
      </c>
      <c r="Z45" s="17">
        <v>60</v>
      </c>
      <c r="AA45" s="17">
        <v>9</v>
      </c>
      <c r="AB45" s="17">
        <v>68</v>
      </c>
      <c r="AC45" s="17">
        <v>-307</v>
      </c>
      <c r="AD45" s="17">
        <v>191</v>
      </c>
      <c r="AE45" s="17">
        <v>88</v>
      </c>
      <c r="AF45" s="17">
        <v>108</v>
      </c>
      <c r="AG45" s="17">
        <v>18</v>
      </c>
      <c r="AH45" s="17">
        <v>165</v>
      </c>
      <c r="AI45" s="17">
        <v>-331</v>
      </c>
      <c r="AJ45" s="17">
        <v>-29</v>
      </c>
      <c r="AK45" s="17">
        <v>-107</v>
      </c>
      <c r="AL45" s="17">
        <v>18</v>
      </c>
      <c r="AM45" s="17">
        <v>13</v>
      </c>
      <c r="AN45" s="17">
        <v>-122</v>
      </c>
      <c r="AO45" s="17">
        <v>68</v>
      </c>
      <c r="AP45" s="17">
        <v>-272</v>
      </c>
      <c r="AQ45" s="17">
        <v>51</v>
      </c>
      <c r="AR45" s="17">
        <v>35</v>
      </c>
      <c r="AS45" s="17">
        <v>210</v>
      </c>
      <c r="AT45" s="17">
        <v>-143</v>
      </c>
      <c r="AU45" s="18">
        <v>183</v>
      </c>
      <c r="AV45" s="18">
        <v>-146</v>
      </c>
      <c r="AW45" s="18">
        <v>-181</v>
      </c>
      <c r="AX45" s="18">
        <v>100</v>
      </c>
      <c r="AY45" s="18">
        <v>-368</v>
      </c>
      <c r="AZ45" s="18">
        <v>-375</v>
      </c>
      <c r="BA45" s="18">
        <v>137</v>
      </c>
      <c r="BB45" s="18">
        <v>50</v>
      </c>
      <c r="BC45" s="18">
        <v>-26</v>
      </c>
      <c r="BD45" s="18">
        <v>-351</v>
      </c>
      <c r="BE45" s="18">
        <v>-94</v>
      </c>
      <c r="BF45" s="18">
        <v>-125</v>
      </c>
      <c r="BG45" s="18">
        <v>-238</v>
      </c>
      <c r="BH45" s="18">
        <v>141</v>
      </c>
      <c r="BI45" s="18">
        <v>-390</v>
      </c>
      <c r="BJ45" s="18">
        <v>43</v>
      </c>
      <c r="BK45" s="18">
        <v>401</v>
      </c>
      <c r="BL45" s="18">
        <v>-200</v>
      </c>
      <c r="BM45" s="23">
        <v>0</v>
      </c>
      <c r="BN45" s="23">
        <v>0</v>
      </c>
      <c r="BO45" s="23">
        <v>0</v>
      </c>
      <c r="BP45" s="23">
        <v>0</v>
      </c>
      <c r="BQ45" s="23">
        <v>0</v>
      </c>
      <c r="BR45" s="76">
        <v>0</v>
      </c>
      <c r="BS45" s="76">
        <v>0</v>
      </c>
      <c r="BT45" s="76">
        <v>0</v>
      </c>
      <c r="BU45" s="76">
        <v>0</v>
      </c>
      <c r="BV45" s="76">
        <v>0</v>
      </c>
      <c r="BW45" s="76">
        <v>0</v>
      </c>
      <c r="BX45" s="76">
        <v>0</v>
      </c>
      <c r="BY45" s="76">
        <v>0</v>
      </c>
      <c r="BZ45" s="76">
        <v>0</v>
      </c>
      <c r="CA45" s="76">
        <v>0</v>
      </c>
      <c r="CB45" s="76">
        <v>0</v>
      </c>
      <c r="CC45" s="76">
        <v>0</v>
      </c>
      <c r="CD45" s="76">
        <v>0</v>
      </c>
      <c r="CE45" s="76">
        <v>0</v>
      </c>
      <c r="CF45" s="76">
        <v>0</v>
      </c>
      <c r="CG45" s="76">
        <v>0</v>
      </c>
      <c r="CH45" s="76"/>
      <c r="CI45" s="89">
        <f t="shared" ref="CI45" si="129">SUM(B45:E45)</f>
        <v>-19</v>
      </c>
      <c r="CJ45" s="20">
        <f t="shared" ref="CJ45" si="130">SUM(F45:I45)</f>
        <v>22</v>
      </c>
      <c r="CK45" s="89">
        <f t="shared" ref="CK45" si="131">SUM(J45:M45)</f>
        <v>3</v>
      </c>
      <c r="CL45" s="20">
        <f t="shared" ref="CL45" si="132">SUM(N45:Q45)</f>
        <v>-3</v>
      </c>
      <c r="CM45" s="89">
        <f t="shared" ref="CM45" si="133">SUM(R45:U45)</f>
        <v>-273</v>
      </c>
      <c r="CN45" s="20">
        <f t="shared" ref="CN45" si="134">SUM(V45:Y45)</f>
        <v>-434</v>
      </c>
      <c r="CO45" s="89">
        <f t="shared" ref="CO45" si="135">SUM(Z45:AC45)</f>
        <v>-170</v>
      </c>
      <c r="CP45" s="20">
        <f t="shared" ref="CP45" si="136">SUM(AD45:AG45)</f>
        <v>405</v>
      </c>
      <c r="CQ45" s="89">
        <f t="shared" ref="CQ45" si="137">SUM(AH45:AK45)</f>
        <v>-302</v>
      </c>
      <c r="CR45" s="89">
        <f t="shared" ref="CR45" si="138">SUM(AL45:AO45)</f>
        <v>-23</v>
      </c>
      <c r="CS45" s="89">
        <f t="shared" ref="CS45" si="139">SUM(AP45:AS45)</f>
        <v>24</v>
      </c>
      <c r="CT45" s="89">
        <f>SUM(AT45:AW45)</f>
        <v>-287</v>
      </c>
      <c r="CU45" s="89">
        <f t="shared" ref="CU45" si="140">SUM(AX45:BA45)</f>
        <v>-506</v>
      </c>
      <c r="CV45" s="89">
        <f t="shared" ref="CV45" si="141">SUM(BB45:BE45)</f>
        <v>-421</v>
      </c>
      <c r="CW45" s="89">
        <f t="shared" ref="CW45" si="142">SUM(BF45:BI45)</f>
        <v>-612</v>
      </c>
      <c r="CX45" s="20">
        <f t="shared" ref="CX45" si="143">SUM(BJ45:BM45)</f>
        <v>244</v>
      </c>
      <c r="CY45" s="89">
        <f t="shared" ref="CY45" si="144">SUM(BN45:BQ45)</f>
        <v>0</v>
      </c>
      <c r="CZ45" s="89">
        <f t="shared" ref="CZ45" si="145">SUM(BR45:BU45)</f>
        <v>0</v>
      </c>
      <c r="DA45" s="89">
        <f t="shared" ref="DA45" si="146">SUM(BV45:BY45)</f>
        <v>0</v>
      </c>
      <c r="DB45" s="89">
        <f t="shared" ref="DB45" si="147">SUM(BZ45:CC45)</f>
        <v>0</v>
      </c>
      <c r="DC45" s="89">
        <f>SUM(CD45:CG45)</f>
        <v>0</v>
      </c>
    </row>
    <row r="46" spans="1:107" x14ac:dyDescent="0.2">
      <c r="CI46" s="92"/>
      <c r="CK46" s="92"/>
      <c r="CM46" s="92"/>
      <c r="CO46" s="92"/>
      <c r="CQ46" s="92"/>
      <c r="CR46" s="92"/>
      <c r="CS46" s="92"/>
      <c r="CT46" s="92"/>
      <c r="CU46" s="92"/>
      <c r="CV46" s="92"/>
      <c r="CW46" s="92"/>
      <c r="CY46" s="92"/>
      <c r="CZ46" s="92"/>
      <c r="DA46" s="92"/>
      <c r="DB46" s="92"/>
      <c r="DC46" s="92"/>
    </row>
    <row r="47" spans="1:107" x14ac:dyDescent="0.2">
      <c r="A47" s="4" t="s">
        <v>164</v>
      </c>
      <c r="B47" s="21">
        <f t="shared" ref="B47:AG47" si="148">SUM(B22,B33,B43,B45)</f>
        <v>-1005.6</v>
      </c>
      <c r="C47" s="21">
        <f t="shared" si="148"/>
        <v>1521</v>
      </c>
      <c r="D47" s="21">
        <f t="shared" si="148"/>
        <v>544</v>
      </c>
      <c r="E47" s="21">
        <f t="shared" si="148"/>
        <v>2373</v>
      </c>
      <c r="F47" s="21">
        <f t="shared" si="148"/>
        <v>-1215</v>
      </c>
      <c r="G47" s="21">
        <f t="shared" si="148"/>
        <v>-2095</v>
      </c>
      <c r="H47" s="21">
        <f t="shared" si="148"/>
        <v>310</v>
      </c>
      <c r="I47" s="21">
        <f t="shared" si="148"/>
        <v>-647</v>
      </c>
      <c r="J47" s="21">
        <f t="shared" si="148"/>
        <v>13125</v>
      </c>
      <c r="K47" s="21">
        <f t="shared" si="148"/>
        <v>-7671</v>
      </c>
      <c r="L47" s="21">
        <f t="shared" si="148"/>
        <v>823</v>
      </c>
      <c r="M47" s="21">
        <f t="shared" si="148"/>
        <v>-1489.9863139999998</v>
      </c>
      <c r="N47" s="21">
        <f t="shared" si="148"/>
        <v>586</v>
      </c>
      <c r="O47" s="21">
        <f t="shared" si="148"/>
        <v>725</v>
      </c>
      <c r="P47" s="21">
        <f t="shared" si="148"/>
        <v>-922</v>
      </c>
      <c r="Q47" s="21">
        <f t="shared" si="148"/>
        <v>3656</v>
      </c>
      <c r="R47" s="21">
        <f t="shared" si="148"/>
        <v>-2307</v>
      </c>
      <c r="S47" s="21">
        <f t="shared" si="148"/>
        <v>2946</v>
      </c>
      <c r="T47" s="21">
        <f t="shared" si="148"/>
        <v>-4050</v>
      </c>
      <c r="U47" s="21">
        <f t="shared" si="148"/>
        <v>2756</v>
      </c>
      <c r="V47" s="21">
        <f t="shared" si="148"/>
        <v>-1671</v>
      </c>
      <c r="W47" s="21">
        <f t="shared" si="148"/>
        <v>1477</v>
      </c>
      <c r="X47" s="21">
        <f t="shared" si="148"/>
        <v>-385</v>
      </c>
      <c r="Y47" s="21">
        <f t="shared" si="148"/>
        <v>-1519</v>
      </c>
      <c r="Z47" s="21">
        <f t="shared" si="148"/>
        <v>-1438</v>
      </c>
      <c r="AA47" s="21">
        <f t="shared" si="148"/>
        <v>-1484</v>
      </c>
      <c r="AB47" s="21">
        <f t="shared" si="148"/>
        <v>-4221</v>
      </c>
      <c r="AC47" s="21">
        <f t="shared" si="148"/>
        <v>3512</v>
      </c>
      <c r="AD47" s="21">
        <f t="shared" si="148"/>
        <v>5214</v>
      </c>
      <c r="AE47" s="21">
        <f t="shared" si="148"/>
        <v>-2421</v>
      </c>
      <c r="AF47" s="21">
        <f t="shared" si="148"/>
        <v>-5130</v>
      </c>
      <c r="AG47" s="21">
        <f t="shared" si="148"/>
        <v>134</v>
      </c>
      <c r="AH47" s="21">
        <f t="shared" ref="AH47:BM47" si="149">SUM(AH22,AH33,AH43,AH45)</f>
        <v>1943</v>
      </c>
      <c r="AI47" s="21">
        <f t="shared" si="149"/>
        <v>1490</v>
      </c>
      <c r="AJ47" s="21">
        <f t="shared" si="149"/>
        <v>-705</v>
      </c>
      <c r="AK47" s="21">
        <f t="shared" si="149"/>
        <v>3258</v>
      </c>
      <c r="AL47" s="21">
        <f t="shared" si="149"/>
        <v>2447</v>
      </c>
      <c r="AM47" s="21">
        <f t="shared" si="149"/>
        <v>-2561</v>
      </c>
      <c r="AN47" s="21">
        <f t="shared" si="149"/>
        <v>-555</v>
      </c>
      <c r="AO47" s="21">
        <f t="shared" si="149"/>
        <v>2466</v>
      </c>
      <c r="AP47" s="21">
        <f t="shared" si="149"/>
        <v>1146</v>
      </c>
      <c r="AQ47" s="21">
        <f t="shared" si="149"/>
        <v>-1902</v>
      </c>
      <c r="AR47" s="21">
        <f t="shared" si="149"/>
        <v>2387</v>
      </c>
      <c r="AS47" s="21">
        <f t="shared" si="149"/>
        <v>6336</v>
      </c>
      <c r="AT47" s="21">
        <f t="shared" si="149"/>
        <v>157</v>
      </c>
      <c r="AU47" s="21">
        <f t="shared" si="149"/>
        <v>-2992</v>
      </c>
      <c r="AV47" s="21">
        <f t="shared" si="149"/>
        <v>89</v>
      </c>
      <c r="AW47" s="21">
        <f t="shared" si="149"/>
        <v>-2774</v>
      </c>
      <c r="AX47" s="21">
        <f t="shared" si="149"/>
        <v>-59</v>
      </c>
      <c r="AY47" s="21">
        <f t="shared" si="149"/>
        <v>-2950</v>
      </c>
      <c r="AZ47" s="21">
        <f t="shared" si="149"/>
        <v>4048</v>
      </c>
      <c r="BA47" s="21">
        <f t="shared" si="149"/>
        <v>-105</v>
      </c>
      <c r="BB47" s="21">
        <f t="shared" si="149"/>
        <v>4045</v>
      </c>
      <c r="BC47" s="21">
        <f t="shared" si="149"/>
        <v>5</v>
      </c>
      <c r="BD47" s="21">
        <f t="shared" si="149"/>
        <v>4773</v>
      </c>
      <c r="BE47" s="21">
        <f t="shared" si="149"/>
        <v>-6654</v>
      </c>
      <c r="BF47" s="21">
        <f t="shared" si="149"/>
        <v>445</v>
      </c>
      <c r="BG47" s="21">
        <f t="shared" ref="BG47:BH47" si="150">SUM(BG22,BG33,BG43,BG45)</f>
        <v>2732</v>
      </c>
      <c r="BH47" s="21">
        <f t="shared" si="150"/>
        <v>-7266</v>
      </c>
      <c r="BI47" s="21">
        <f t="shared" ref="BI47:BJ47" si="151">SUM(BI22,BI33,BI43,BI45)</f>
        <v>3507</v>
      </c>
      <c r="BJ47" s="21">
        <f t="shared" si="151"/>
        <v>-202</v>
      </c>
      <c r="BK47" s="21">
        <f t="shared" ref="BK47:BL47" si="152">SUM(BK22,BK33,BK43,BK45)</f>
        <v>-2228</v>
      </c>
      <c r="BL47" s="21">
        <f t="shared" si="152"/>
        <v>2054</v>
      </c>
      <c r="BM47" s="21">
        <f t="shared" si="149"/>
        <v>-15489.890682470676</v>
      </c>
      <c r="BN47" s="21">
        <f t="shared" ref="BN47:CC47" si="153">SUM(BN22,BN33,BN43,BN45)</f>
        <v>18353.065569676983</v>
      </c>
      <c r="BO47" s="21">
        <f t="shared" si="153"/>
        <v>-17508.603032865209</v>
      </c>
      <c r="BP47" s="21">
        <f t="shared" si="153"/>
        <v>9793.0796098207502</v>
      </c>
      <c r="BQ47" s="21">
        <f t="shared" si="153"/>
        <v>1939.1258367081246</v>
      </c>
      <c r="BR47" s="21">
        <f t="shared" si="153"/>
        <v>24666.803004534981</v>
      </c>
      <c r="BS47" s="21">
        <f t="shared" si="153"/>
        <v>-5922.9395353671662</v>
      </c>
      <c r="BT47" s="21">
        <f t="shared" si="153"/>
        <v>27885.667605198665</v>
      </c>
      <c r="BU47" s="21">
        <f t="shared" si="153"/>
        <v>17445.320196790071</v>
      </c>
      <c r="BV47" s="21">
        <f t="shared" si="153"/>
        <v>50064.968437398762</v>
      </c>
      <c r="BW47" s="21">
        <f t="shared" si="153"/>
        <v>-4957.7127616144244</v>
      </c>
      <c r="BX47" s="21">
        <f t="shared" si="153"/>
        <v>35911.47787211062</v>
      </c>
      <c r="BY47" s="21">
        <f t="shared" si="153"/>
        <v>22850.815051618858</v>
      </c>
      <c r="BZ47" s="21">
        <f t="shared" si="153"/>
        <v>64028.100041171092</v>
      </c>
      <c r="CA47" s="21">
        <f t="shared" si="153"/>
        <v>-3024.8867344917176</v>
      </c>
      <c r="CB47" s="21">
        <f t="shared" si="153"/>
        <v>45138.030319234866</v>
      </c>
      <c r="CC47" s="21">
        <f t="shared" si="153"/>
        <v>29578.497752483469</v>
      </c>
      <c r="CD47" s="21">
        <f t="shared" ref="CD47:CG47" si="154">SUM(CD22,CD33,CD43,CD45)</f>
        <v>80543.012461920982</v>
      </c>
      <c r="CE47" s="21">
        <f t="shared" si="154"/>
        <v>64.688895632227286</v>
      </c>
      <c r="CF47" s="21">
        <f t="shared" si="154"/>
        <v>55728.645943707896</v>
      </c>
      <c r="CG47" s="21">
        <f t="shared" si="154"/>
        <v>37714.552129797194</v>
      </c>
      <c r="CH47" s="21"/>
      <c r="CI47" s="90">
        <f t="shared" ref="CI47:DB47" si="155">SUM(CI22,CI33,CI43,CI45)</f>
        <v>3432.4</v>
      </c>
      <c r="CJ47" s="21">
        <f t="shared" si="155"/>
        <v>-3647</v>
      </c>
      <c r="CK47" s="90">
        <f t="shared" si="155"/>
        <v>4787.0136860000002</v>
      </c>
      <c r="CL47" s="21">
        <f t="shared" si="155"/>
        <v>4045</v>
      </c>
      <c r="CM47" s="90">
        <f t="shared" si="155"/>
        <v>-655</v>
      </c>
      <c r="CN47" s="21">
        <f t="shared" si="155"/>
        <v>-2098</v>
      </c>
      <c r="CO47" s="90">
        <f t="shared" si="155"/>
        <v>-3631</v>
      </c>
      <c r="CP47" s="21">
        <f t="shared" si="155"/>
        <v>-2203</v>
      </c>
      <c r="CQ47" s="90">
        <f t="shared" si="155"/>
        <v>5986</v>
      </c>
      <c r="CR47" s="90">
        <f t="shared" si="155"/>
        <v>1797</v>
      </c>
      <c r="CS47" s="90">
        <f t="shared" si="155"/>
        <v>7967</v>
      </c>
      <c r="CT47" s="90">
        <f t="shared" si="155"/>
        <v>-5520</v>
      </c>
      <c r="CU47" s="90">
        <f t="shared" si="155"/>
        <v>934</v>
      </c>
      <c r="CV47" s="90">
        <f t="shared" si="155"/>
        <v>2169</v>
      </c>
      <c r="CW47" s="90">
        <f t="shared" si="155"/>
        <v>-582</v>
      </c>
      <c r="CX47" s="21">
        <f t="shared" si="155"/>
        <v>-15865.890682470694</v>
      </c>
      <c r="CY47" s="90">
        <f t="shared" si="155"/>
        <v>12576.667983340682</v>
      </c>
      <c r="CZ47" s="90">
        <f t="shared" si="155"/>
        <v>64074.851271156556</v>
      </c>
      <c r="DA47" s="90">
        <f t="shared" si="155"/>
        <v>103869.54859951386</v>
      </c>
      <c r="DB47" s="90">
        <f t="shared" si="155"/>
        <v>135719.74137839768</v>
      </c>
      <c r="DC47" s="90">
        <f>SUM(DC22,DC33,DC43,DC45)</f>
        <v>174050.89943105826</v>
      </c>
    </row>
    <row r="48" spans="1:107" x14ac:dyDescent="0.2">
      <c r="CI48" s="92"/>
      <c r="CK48" s="92"/>
      <c r="CM48" s="92"/>
      <c r="CO48" s="92"/>
      <c r="CQ48" s="92"/>
      <c r="CR48" s="92"/>
      <c r="CS48" s="92"/>
      <c r="CT48" s="92"/>
      <c r="CU48" s="92"/>
      <c r="CV48" s="92"/>
      <c r="CW48" s="92"/>
      <c r="CY48" s="92"/>
      <c r="CZ48" s="92"/>
      <c r="DA48" s="92"/>
      <c r="DB48" s="92"/>
      <c r="DC48" s="92"/>
    </row>
    <row r="49" spans="1:108" x14ac:dyDescent="0.2">
      <c r="A49" s="4" t="s">
        <v>165</v>
      </c>
      <c r="B49" s="40">
        <v>9192</v>
      </c>
      <c r="C49" s="20">
        <f t="shared" ref="C49:J49" si="156">B49+C47</f>
        <v>10713</v>
      </c>
      <c r="D49" s="20">
        <f t="shared" si="156"/>
        <v>11257</v>
      </c>
      <c r="E49" s="20">
        <f t="shared" si="156"/>
        <v>13630</v>
      </c>
      <c r="F49" s="20">
        <f t="shared" si="156"/>
        <v>12415</v>
      </c>
      <c r="G49" s="20">
        <f t="shared" si="156"/>
        <v>10320</v>
      </c>
      <c r="H49" s="20">
        <f t="shared" si="156"/>
        <v>10630</v>
      </c>
      <c r="I49" s="20">
        <f t="shared" si="156"/>
        <v>9983</v>
      </c>
      <c r="J49" s="20">
        <f t="shared" si="156"/>
        <v>23108</v>
      </c>
      <c r="K49" s="40">
        <v>15437</v>
      </c>
      <c r="L49" s="40">
        <v>16260</v>
      </c>
      <c r="M49" s="40">
        <v>14778</v>
      </c>
      <c r="N49" s="40">
        <v>15375</v>
      </c>
      <c r="O49" s="40">
        <v>16164</v>
      </c>
      <c r="P49" s="40">
        <v>15287</v>
      </c>
      <c r="Q49" s="40">
        <v>18898</v>
      </c>
      <c r="R49" s="40">
        <v>16639</v>
      </c>
      <c r="S49" s="40">
        <v>19620</v>
      </c>
      <c r="T49" s="40">
        <v>15605</v>
      </c>
      <c r="U49" s="40">
        <v>18347</v>
      </c>
      <c r="V49" s="40">
        <v>16976</v>
      </c>
      <c r="W49" s="20">
        <f t="shared" ref="W49:BQ49" si="157">V49+W47</f>
        <v>18453</v>
      </c>
      <c r="X49" s="20">
        <f t="shared" si="157"/>
        <v>18068</v>
      </c>
      <c r="Y49" s="20">
        <f t="shared" si="157"/>
        <v>16549</v>
      </c>
      <c r="Z49" s="20">
        <f t="shared" si="157"/>
        <v>15111</v>
      </c>
      <c r="AA49" s="20">
        <f t="shared" si="157"/>
        <v>13627</v>
      </c>
      <c r="AB49" s="20">
        <f t="shared" si="157"/>
        <v>9406</v>
      </c>
      <c r="AC49" s="20">
        <f t="shared" si="157"/>
        <v>12918</v>
      </c>
      <c r="AD49" s="20">
        <f t="shared" si="157"/>
        <v>18132</v>
      </c>
      <c r="AE49" s="20">
        <f t="shared" si="157"/>
        <v>15711</v>
      </c>
      <c r="AF49" s="20">
        <f t="shared" si="157"/>
        <v>10581</v>
      </c>
      <c r="AG49" s="20">
        <f t="shared" si="157"/>
        <v>10715</v>
      </c>
      <c r="AH49" s="20">
        <f t="shared" si="157"/>
        <v>12658</v>
      </c>
      <c r="AI49" s="20">
        <f t="shared" si="157"/>
        <v>14148</v>
      </c>
      <c r="AJ49" s="20">
        <f t="shared" si="157"/>
        <v>13443</v>
      </c>
      <c r="AK49" s="20">
        <f t="shared" si="157"/>
        <v>16701</v>
      </c>
      <c r="AL49" s="20">
        <f t="shared" si="157"/>
        <v>19148</v>
      </c>
      <c r="AM49" s="20">
        <f t="shared" si="157"/>
        <v>16587</v>
      </c>
      <c r="AN49" s="20">
        <f t="shared" si="157"/>
        <v>16032</v>
      </c>
      <c r="AO49" s="20">
        <f t="shared" si="157"/>
        <v>18498</v>
      </c>
      <c r="AP49" s="20">
        <f t="shared" si="157"/>
        <v>19644</v>
      </c>
      <c r="AQ49" s="20">
        <f t="shared" si="157"/>
        <v>17742</v>
      </c>
      <c r="AR49" s="20">
        <f t="shared" si="157"/>
        <v>20129</v>
      </c>
      <c r="AS49" s="20">
        <f t="shared" si="157"/>
        <v>26465</v>
      </c>
      <c r="AT49" s="20">
        <f t="shared" si="157"/>
        <v>26622</v>
      </c>
      <c r="AU49" s="20">
        <f t="shared" si="157"/>
        <v>23630</v>
      </c>
      <c r="AV49" s="20">
        <f t="shared" si="157"/>
        <v>23719</v>
      </c>
      <c r="AW49" s="20">
        <f t="shared" si="157"/>
        <v>20945</v>
      </c>
      <c r="AX49" s="20">
        <f t="shared" si="157"/>
        <v>20886</v>
      </c>
      <c r="AY49" s="20">
        <f t="shared" si="157"/>
        <v>17936</v>
      </c>
      <c r="AZ49" s="20">
        <f t="shared" si="157"/>
        <v>21984</v>
      </c>
      <c r="BA49" s="20">
        <f t="shared" si="157"/>
        <v>21879</v>
      </c>
      <c r="BB49" s="20">
        <f t="shared" si="157"/>
        <v>25924</v>
      </c>
      <c r="BC49" s="20">
        <f t="shared" si="157"/>
        <v>25929</v>
      </c>
      <c r="BD49" s="20">
        <f t="shared" si="157"/>
        <v>30702</v>
      </c>
      <c r="BE49" s="20">
        <f t="shared" si="157"/>
        <v>24048</v>
      </c>
      <c r="BF49" s="20">
        <f t="shared" si="157"/>
        <v>24493</v>
      </c>
      <c r="BG49" s="20">
        <f t="shared" si="157"/>
        <v>27225</v>
      </c>
      <c r="BH49" s="20">
        <f t="shared" si="157"/>
        <v>19959</v>
      </c>
      <c r="BI49" s="20">
        <f t="shared" si="157"/>
        <v>23466</v>
      </c>
      <c r="BJ49" s="20">
        <f t="shared" si="157"/>
        <v>23264</v>
      </c>
      <c r="BK49" s="20">
        <f t="shared" si="157"/>
        <v>21036</v>
      </c>
      <c r="BL49" s="20">
        <f t="shared" si="157"/>
        <v>23090</v>
      </c>
      <c r="BM49" s="20">
        <f t="shared" si="157"/>
        <v>7600.1093175293245</v>
      </c>
      <c r="BN49" s="20">
        <f t="shared" si="157"/>
        <v>25953.174887206307</v>
      </c>
      <c r="BO49" s="20">
        <f t="shared" si="157"/>
        <v>8444.5718543410985</v>
      </c>
      <c r="BP49" s="20">
        <f t="shared" si="157"/>
        <v>18237.651464161849</v>
      </c>
      <c r="BQ49" s="20">
        <f t="shared" si="157"/>
        <v>20176.777300869973</v>
      </c>
      <c r="BR49" s="20">
        <f>BQ49+BR47</f>
        <v>44843.580305404954</v>
      </c>
      <c r="BS49" s="20">
        <f t="shared" ref="BS49" si="158">BR49+BS47</f>
        <v>38920.640770037789</v>
      </c>
      <c r="BT49" s="20">
        <f t="shared" ref="BT49" si="159">BS49+BT47</f>
        <v>66806.308375236462</v>
      </c>
      <c r="BU49" s="20">
        <f t="shared" ref="BU49" si="160">BT49+BU47</f>
        <v>84251.62857202653</v>
      </c>
      <c r="BV49" s="20">
        <f t="shared" ref="BV49" si="161">BU49+BV47</f>
        <v>134316.59700942528</v>
      </c>
      <c r="BW49" s="20">
        <f t="shared" ref="BW49" si="162">BV49+BW47</f>
        <v>129358.88424781086</v>
      </c>
      <c r="BX49" s="20">
        <f t="shared" ref="BX49" si="163">BW49+BX47</f>
        <v>165270.36211992148</v>
      </c>
      <c r="BY49" s="20">
        <f t="shared" ref="BY49" si="164">BX49+BY47</f>
        <v>188121.17717154033</v>
      </c>
      <c r="BZ49" s="20">
        <f t="shared" ref="BZ49" si="165">BY49+BZ47</f>
        <v>252149.27721271143</v>
      </c>
      <c r="CA49" s="20">
        <f t="shared" ref="CA49" si="166">BZ49+CA47</f>
        <v>249124.39047821972</v>
      </c>
      <c r="CB49" s="20">
        <f t="shared" ref="CB49" si="167">CA49+CB47</f>
        <v>294262.4207974546</v>
      </c>
      <c r="CC49" s="20">
        <f t="shared" ref="CC49" si="168">CB49+CC47</f>
        <v>323840.91854993807</v>
      </c>
      <c r="CD49" s="20">
        <f t="shared" ref="CD49" si="169">CC49+CD47</f>
        <v>404383.93101185904</v>
      </c>
      <c r="CE49" s="20">
        <f t="shared" ref="CE49" si="170">CD49+CE47</f>
        <v>404448.61990749126</v>
      </c>
      <c r="CF49" s="20">
        <f t="shared" ref="CF49" si="171">CE49+CF47</f>
        <v>460177.26585119916</v>
      </c>
      <c r="CG49" s="20">
        <f t="shared" ref="CG49" si="172">CF49+CG47</f>
        <v>497891.81798099633</v>
      </c>
      <c r="CH49" s="20"/>
      <c r="CI49" s="90">
        <f>E49</f>
        <v>13630</v>
      </c>
      <c r="CJ49" s="21">
        <f>I49</f>
        <v>9983</v>
      </c>
      <c r="CK49" s="90">
        <f>M49</f>
        <v>14778</v>
      </c>
      <c r="CL49" s="21">
        <f>Q49</f>
        <v>18898</v>
      </c>
      <c r="CM49" s="90">
        <f>U49</f>
        <v>18347</v>
      </c>
      <c r="CN49" s="21">
        <f>Y49</f>
        <v>16549</v>
      </c>
      <c r="CO49" s="90">
        <f>AC49</f>
        <v>12918</v>
      </c>
      <c r="CP49" s="21">
        <f>AG49</f>
        <v>10715</v>
      </c>
      <c r="CQ49" s="90">
        <f>AK49</f>
        <v>16701</v>
      </c>
      <c r="CR49" s="90">
        <f>AO49</f>
        <v>18498</v>
      </c>
      <c r="CS49" s="90">
        <f>AS49</f>
        <v>26465</v>
      </c>
      <c r="CT49" s="90">
        <f>AW49</f>
        <v>20945</v>
      </c>
      <c r="CU49" s="90">
        <f>BA49</f>
        <v>21879</v>
      </c>
      <c r="CV49" s="90">
        <f>BE49</f>
        <v>24048</v>
      </c>
      <c r="CW49" s="90">
        <f>BI49</f>
        <v>23466</v>
      </c>
      <c r="CX49" s="21">
        <f>BM49</f>
        <v>7600.1093175293245</v>
      </c>
      <c r="CY49" s="90">
        <f>BQ49</f>
        <v>20176.777300869973</v>
      </c>
      <c r="CZ49" s="90">
        <f>BU49</f>
        <v>84251.62857202653</v>
      </c>
      <c r="DA49" s="90">
        <f>BY49</f>
        <v>188121.17717154033</v>
      </c>
      <c r="DB49" s="90">
        <f>CC49</f>
        <v>323840.91854993807</v>
      </c>
      <c r="DC49" s="90">
        <f>CG49</f>
        <v>497891.81798099633</v>
      </c>
    </row>
    <row r="50" spans="1:108" x14ac:dyDescent="0.2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CI50" s="92"/>
      <c r="CK50" s="92"/>
      <c r="CM50" s="92"/>
      <c r="CO50" s="92"/>
      <c r="CQ50" s="92"/>
      <c r="CR50" s="92"/>
      <c r="CS50" s="92"/>
      <c r="CT50" s="92"/>
      <c r="CU50" s="92"/>
      <c r="CV50" s="92"/>
      <c r="CW50" s="92"/>
      <c r="CY50" s="92"/>
      <c r="CZ50" s="92"/>
      <c r="DA50" s="92"/>
      <c r="DB50" s="92"/>
      <c r="DC50" s="92"/>
    </row>
    <row r="51" spans="1:108" x14ac:dyDescent="0.2">
      <c r="A51" s="1" t="s">
        <v>180</v>
      </c>
      <c r="B51" s="20">
        <f t="shared" ref="B51:AG51" si="173">SUM(B5:B6)</f>
        <v>331</v>
      </c>
      <c r="C51" s="20">
        <f t="shared" si="173"/>
        <v>342</v>
      </c>
      <c r="D51" s="20">
        <f t="shared" si="173"/>
        <v>342</v>
      </c>
      <c r="E51" s="20">
        <f t="shared" si="173"/>
        <v>381</v>
      </c>
      <c r="F51" s="20">
        <f t="shared" si="173"/>
        <v>401</v>
      </c>
      <c r="G51" s="20">
        <f t="shared" si="173"/>
        <v>455</v>
      </c>
      <c r="H51" s="20">
        <f t="shared" si="173"/>
        <v>492</v>
      </c>
      <c r="I51" s="20">
        <f t="shared" si="173"/>
        <v>503</v>
      </c>
      <c r="J51" s="20">
        <f t="shared" si="173"/>
        <v>511</v>
      </c>
      <c r="K51" s="20">
        <f t="shared" si="173"/>
        <v>670</v>
      </c>
      <c r="L51" s="20">
        <f t="shared" si="173"/>
        <v>828</v>
      </c>
      <c r="M51" s="20">
        <f t="shared" si="173"/>
        <v>953</v>
      </c>
      <c r="N51" s="20">
        <f t="shared" si="173"/>
        <v>899</v>
      </c>
      <c r="O51" s="20">
        <f t="shared" si="173"/>
        <v>1030</v>
      </c>
      <c r="P51" s="20">
        <f t="shared" si="173"/>
        <v>974</v>
      </c>
      <c r="Q51" s="20">
        <f t="shared" si="173"/>
        <v>1036</v>
      </c>
      <c r="R51" s="20">
        <f t="shared" si="173"/>
        <v>1086</v>
      </c>
      <c r="S51" s="20">
        <f t="shared" si="173"/>
        <v>1079</v>
      </c>
      <c r="T51" s="20">
        <f t="shared" si="173"/>
        <v>1547</v>
      </c>
      <c r="U51" s="20">
        <f t="shared" si="173"/>
        <v>1267</v>
      </c>
      <c r="V51" s="20">
        <f t="shared" si="173"/>
        <v>1177</v>
      </c>
      <c r="W51" s="20">
        <f t="shared" si="173"/>
        <v>1234</v>
      </c>
      <c r="X51" s="20">
        <f t="shared" si="173"/>
        <v>1248</v>
      </c>
      <c r="Y51" s="20">
        <f t="shared" si="173"/>
        <v>1404</v>
      </c>
      <c r="Z51" s="20">
        <f t="shared" si="173"/>
        <v>1371</v>
      </c>
      <c r="AA51" s="20">
        <f t="shared" si="173"/>
        <v>1490</v>
      </c>
      <c r="AB51" s="20">
        <f t="shared" si="173"/>
        <v>1596</v>
      </c>
      <c r="AC51" s="20">
        <f t="shared" si="173"/>
        <v>1687</v>
      </c>
      <c r="AD51" s="20">
        <f t="shared" si="173"/>
        <v>1503</v>
      </c>
      <c r="AE51" s="20">
        <f t="shared" si="173"/>
        <v>1625</v>
      </c>
      <c r="AF51" s="20">
        <f t="shared" si="173"/>
        <v>1761</v>
      </c>
      <c r="AG51" s="20">
        <f t="shared" si="173"/>
        <v>2026</v>
      </c>
      <c r="AH51" s="20">
        <f t="shared" ref="AH51:BM51" si="174">SUM(AH5:AH6)</f>
        <v>1986</v>
      </c>
      <c r="AI51" s="20">
        <f t="shared" si="174"/>
        <v>2114</v>
      </c>
      <c r="AJ51" s="20">
        <f t="shared" si="174"/>
        <v>2355</v>
      </c>
      <c r="AK51" s="20">
        <f t="shared" si="174"/>
        <v>2580</v>
      </c>
      <c r="AL51" s="20">
        <f t="shared" si="174"/>
        <v>2613</v>
      </c>
      <c r="AM51" s="20">
        <f t="shared" si="174"/>
        <v>2835</v>
      </c>
      <c r="AN51" s="20">
        <f t="shared" si="174"/>
        <v>2920</v>
      </c>
      <c r="AO51" s="20">
        <f t="shared" si="174"/>
        <v>3413</v>
      </c>
      <c r="AP51" s="20">
        <f t="shared" si="174"/>
        <v>3108</v>
      </c>
      <c r="AQ51" s="20">
        <f t="shared" si="174"/>
        <v>3386</v>
      </c>
      <c r="AR51" s="20">
        <f t="shared" si="174"/>
        <v>3478</v>
      </c>
      <c r="AS51" s="20">
        <f t="shared" si="174"/>
        <v>3725</v>
      </c>
      <c r="AT51" s="20">
        <f t="shared" si="174"/>
        <v>2753</v>
      </c>
      <c r="AU51" s="20">
        <f t="shared" si="174"/>
        <v>2945</v>
      </c>
      <c r="AV51" s="20">
        <f t="shared" si="174"/>
        <v>3304</v>
      </c>
      <c r="AW51" s="20">
        <f t="shared" si="174"/>
        <v>3439</v>
      </c>
      <c r="AX51" s="20">
        <f t="shared" si="174"/>
        <v>3782</v>
      </c>
      <c r="AY51" s="20">
        <f t="shared" si="174"/>
        <v>3899</v>
      </c>
      <c r="AZ51" s="20">
        <f t="shared" si="174"/>
        <v>4046</v>
      </c>
      <c r="BA51" s="20">
        <f t="shared" si="174"/>
        <v>4201</v>
      </c>
      <c r="BB51" s="20">
        <f t="shared" si="174"/>
        <v>3186</v>
      </c>
      <c r="BC51" s="20">
        <f t="shared" si="174"/>
        <v>3397</v>
      </c>
      <c r="BD51" s="20">
        <f t="shared" si="174"/>
        <v>3800</v>
      </c>
      <c r="BE51" s="20">
        <f t="shared" si="174"/>
        <v>3316</v>
      </c>
      <c r="BF51" s="20">
        <f t="shared" si="174"/>
        <v>3413</v>
      </c>
      <c r="BG51" s="20">
        <f t="shared" ref="BG51:BH51" si="175">SUM(BG5:BG6)</f>
        <v>3708</v>
      </c>
      <c r="BH51" s="20">
        <f t="shared" si="175"/>
        <v>3985</v>
      </c>
      <c r="BI51" s="20">
        <f t="shared" ref="BI51:BJ51" si="176">SUM(BI5:BI6)</f>
        <v>4205</v>
      </c>
      <c r="BJ51" s="20">
        <f t="shared" si="176"/>
        <v>4487</v>
      </c>
      <c r="BK51" s="20">
        <f t="shared" ref="BK51:BL51" si="177">SUM(BK5:BK6)</f>
        <v>4998</v>
      </c>
      <c r="BL51" s="20">
        <f t="shared" si="177"/>
        <v>5611</v>
      </c>
      <c r="BM51" s="20">
        <f t="shared" si="174"/>
        <v>8328.0230604039243</v>
      </c>
      <c r="BN51" s="20">
        <f t="shared" ref="BN51:CC51" si="178">SUM(BN5:BN6)</f>
        <v>6782.02622393415</v>
      </c>
      <c r="BO51" s="20">
        <f t="shared" si="178"/>
        <v>8852.0881911046072</v>
      </c>
      <c r="BP51" s="20">
        <f t="shared" si="178"/>
        <v>9446.407753788144</v>
      </c>
      <c r="BQ51" s="20">
        <f t="shared" si="178"/>
        <v>11260.127507458734</v>
      </c>
      <c r="BR51" s="20">
        <f t="shared" si="178"/>
        <v>9434.0322301929682</v>
      </c>
      <c r="BS51" s="20">
        <f t="shared" si="178"/>
        <v>12313.559774315949</v>
      </c>
      <c r="BT51" s="20">
        <f t="shared" si="178"/>
        <v>13140.278770123407</v>
      </c>
      <c r="BU51" s="20">
        <f t="shared" si="178"/>
        <v>15663.225460049405</v>
      </c>
      <c r="BV51" s="20">
        <f t="shared" si="178"/>
        <v>12265.70466465672</v>
      </c>
      <c r="BW51" s="20">
        <f t="shared" si="178"/>
        <v>16009.536948472682</v>
      </c>
      <c r="BX51" s="20">
        <f t="shared" si="178"/>
        <v>17084.399827442136</v>
      </c>
      <c r="BY51" s="20">
        <f t="shared" si="178"/>
        <v>20364.621712233449</v>
      </c>
      <c r="BZ51" s="20">
        <f t="shared" si="178"/>
        <v>15181.679414960714</v>
      </c>
      <c r="CA51" s="20">
        <f t="shared" si="178"/>
        <v>19815.547836727816</v>
      </c>
      <c r="CB51" s="20">
        <f t="shared" si="178"/>
        <v>21145.942142615229</v>
      </c>
      <c r="CC51" s="20">
        <f t="shared" si="178"/>
        <v>25205.984221431547</v>
      </c>
      <c r="CD51" s="20">
        <f t="shared" ref="CD51:CG51" si="179">SUM(CD5:CD6)</f>
        <v>17894.428075462671</v>
      </c>
      <c r="CE51" s="20">
        <f t="shared" si="179"/>
        <v>23356.302412155324</v>
      </c>
      <c r="CF51" s="20">
        <f t="shared" si="179"/>
        <v>24924.419124937922</v>
      </c>
      <c r="CG51" s="20">
        <f t="shared" si="179"/>
        <v>29709.932570251214</v>
      </c>
      <c r="CH51" s="20"/>
      <c r="CI51" s="112"/>
      <c r="CJ51" s="19"/>
      <c r="CK51" s="112"/>
      <c r="CL51" s="32"/>
      <c r="CM51" s="112"/>
      <c r="CN51" s="19"/>
      <c r="CO51" s="112"/>
      <c r="CP51" s="19"/>
      <c r="CQ51" s="112"/>
      <c r="CR51" s="112"/>
      <c r="CS51" s="112"/>
      <c r="CT51" s="112"/>
      <c r="CU51" s="112"/>
      <c r="CV51" s="112"/>
      <c r="CW51" s="112"/>
      <c r="CX51" s="19"/>
      <c r="CY51" s="112"/>
      <c r="CZ51" s="112"/>
      <c r="DA51" s="112"/>
      <c r="DB51" s="112"/>
      <c r="DC51" s="112"/>
    </row>
    <row r="52" spans="1:108" x14ac:dyDescent="0.2">
      <c r="A52" s="7" t="s">
        <v>179</v>
      </c>
      <c r="B52" s="22">
        <f>B51/'Income Statement'!B$85</f>
        <v>6.5363349131121642E-2</v>
      </c>
      <c r="C52" s="22">
        <f>C51/'Income Statement'!C$85</f>
        <v>6.7216981132075471E-2</v>
      </c>
      <c r="D52" s="22">
        <f>D51/'Income Statement'!D$85</f>
        <v>6.2397372742200329E-2</v>
      </c>
      <c r="E52" s="22">
        <f>E51/'Income Statement'!E$85</f>
        <v>5.9802228849474177E-2</v>
      </c>
      <c r="F52" s="22">
        <f>F51/'Income Statement'!F$85</f>
        <v>6.1352509179926559E-2</v>
      </c>
      <c r="G52" s="22">
        <f>G51/'Income Statement'!G$85</f>
        <v>6.5808504483656355E-2</v>
      </c>
      <c r="H52" s="22">
        <f>H51/'Income Statement'!H$85</f>
        <v>6.5495207667731634E-2</v>
      </c>
      <c r="I52" s="22">
        <f>I51/'Income Statement'!I$85</f>
        <v>6.1854402361042796E-2</v>
      </c>
      <c r="J52" s="22">
        <f>J51/'Income Statement'!J$85</f>
        <v>6.2807276302851531E-2</v>
      </c>
      <c r="K52" s="22">
        <f>K51/'Income Statement'!K$85</f>
        <v>8.0133955268508555E-2</v>
      </c>
      <c r="L52" s="22">
        <f>L51/'Income Statement'!L$85</f>
        <v>9.4606946983546616E-2</v>
      </c>
      <c r="M52" s="22">
        <f>M51/'Income Statement'!M$85</f>
        <v>9.6928397070789263E-2</v>
      </c>
      <c r="N52" s="22">
        <f>N51/'Income Statement'!N$85</f>
        <v>9.0044070512820512E-2</v>
      </c>
      <c r="O52" s="22">
        <f>O51/'Income Statement'!O$85</f>
        <v>0.10207115251213952</v>
      </c>
      <c r="P52" s="22">
        <f>P51/'Income Statement'!P$85</f>
        <v>9.0369270736685839E-2</v>
      </c>
      <c r="Q52" s="22">
        <f>Q51/'Income Statement'!Q$85</f>
        <v>8.3494519664732425E-2</v>
      </c>
      <c r="R52" s="22">
        <f>R51/'Income Statement'!R$85</f>
        <v>8.9096726556731481E-2</v>
      </c>
      <c r="S52" s="22">
        <f>S51/'Income Statement'!S$85</f>
        <v>8.5222336308348468E-2</v>
      </c>
      <c r="T52" s="22">
        <f>T51/'Income Statement'!T$85</f>
        <v>0.11741935483870967</v>
      </c>
      <c r="U52" s="22">
        <f>U51/'Income Statement'!U$85</f>
        <v>8.7506043235030043E-2</v>
      </c>
      <c r="V52" s="22">
        <f>V51/'Income Statement'!V$85</f>
        <v>8.4597139366060517E-2</v>
      </c>
      <c r="W52" s="22">
        <f>W51/'Income Statement'!W$85</f>
        <v>8.5993031358885016E-2</v>
      </c>
      <c r="X52" s="22">
        <f>X51/'Income Statement'!X$85</f>
        <v>8.2599774968561787E-2</v>
      </c>
      <c r="Y52" s="22">
        <f>Y51/'Income Statement'!Y$85</f>
        <v>8.1278221604723866E-2</v>
      </c>
      <c r="Z52" s="22">
        <f>Z51/'Income Statement'!Z$85</f>
        <v>8.3247313133766473E-2</v>
      </c>
      <c r="AA52" s="22">
        <f>AA51/'Income Statement'!AA$85</f>
        <v>8.5021398002853063E-2</v>
      </c>
      <c r="AB52" s="22">
        <f>AB51/'Income Statement'!AB$85</f>
        <v>8.7361103508675902E-2</v>
      </c>
      <c r="AC52" s="22">
        <f>AC51/'Income Statement'!AC$85</f>
        <v>7.9515460030165908E-2</v>
      </c>
      <c r="AD52" s="22">
        <f>AD51/'Income Statement'!AD$85</f>
        <v>7.4698076636350086E-2</v>
      </c>
      <c r="AE52" s="22">
        <f>AE51/'Income Statement'!AE$85</f>
        <v>7.7680577465462017E-2</v>
      </c>
      <c r="AF52" s="22">
        <f>AF51/'Income Statement'!AF$85</f>
        <v>7.9074988774135602E-2</v>
      </c>
      <c r="AG52" s="22">
        <f>AG51/'Income Statement'!AG$85</f>
        <v>7.8305569512619327E-2</v>
      </c>
      <c r="AH52" s="22">
        <f>AH51/'Income Statement'!AH$85</f>
        <v>7.9893796765628772E-2</v>
      </c>
      <c r="AI52" s="22">
        <f>AI51/'Income Statement'!AI$85</f>
        <v>8.0573236269390558E-2</v>
      </c>
      <c r="AJ52" s="22">
        <f>AJ51/'Income Statement'!AJ$85</f>
        <v>8.6714780175270637E-2</v>
      </c>
      <c r="AK52" s="22">
        <f>AK51/'Income Statement'!AK$85</f>
        <v>8.1030150753768848E-2</v>
      </c>
      <c r="AL52" s="22">
        <f>AL51/'Income Statement'!AL$85</f>
        <v>8.8639370399267281E-2</v>
      </c>
      <c r="AM52" s="22">
        <f>AM51/'Income Statement'!AM$85</f>
        <v>8.9415252633570932E-2</v>
      </c>
      <c r="AN52" s="22">
        <f>AN51/'Income Statement'!AN$85</f>
        <v>8.8460722833166708E-2</v>
      </c>
      <c r="AO52" s="22">
        <f>AO51/'Income Statement'!AO$85</f>
        <v>9.0834087400862296E-2</v>
      </c>
      <c r="AP52" s="22">
        <f>AP51/'Income Statement'!AP$85</f>
        <v>9.2206366630076836E-2</v>
      </c>
      <c r="AQ52" s="22">
        <f>AQ51/'Income Statement'!AQ$85</f>
        <v>0.10714172705122932</v>
      </c>
      <c r="AR52" s="22">
        <f>AR51/'Income Statement'!AR$85</f>
        <v>9.1509458783908232E-2</v>
      </c>
      <c r="AS52" s="22">
        <f>AS51/'Income Statement'!AS$85</f>
        <v>8.0224844934527917E-2</v>
      </c>
      <c r="AT52" s="22">
        <f>AT51/'Income Statement'!AT$85</f>
        <v>6.0370159203543702E-2</v>
      </c>
      <c r="AU52" s="22">
        <f>AU51/'Income Statement'!AU$85</f>
        <v>5.7800631979745248E-2</v>
      </c>
      <c r="AV52" s="22">
        <f>AV51/'Income Statement'!AV$85</f>
        <v>6.1618798955613577E-2</v>
      </c>
      <c r="AW52" s="22">
        <f>AW51/'Income Statement'!AW$85</f>
        <v>5.5559145691298585E-2</v>
      </c>
      <c r="AX52" s="22">
        <f>AX51/'Income Statement'!AX$85</f>
        <v>6.751039788650684E-2</v>
      </c>
      <c r="AY52" s="22">
        <f>AY51/'Income Statement'!AY$85</f>
        <v>6.7842912077395554E-2</v>
      </c>
      <c r="AZ52" s="22">
        <f>AZ51/'Income Statement'!AZ$85</f>
        <v>7.065274333810638E-2</v>
      </c>
      <c r="BA52" s="22">
        <f>BA51/'Income Statement'!BA$85</f>
        <v>6.6552603646848216E-2</v>
      </c>
      <c r="BB52" s="22">
        <f>BB51/'Income Statement'!BB$85</f>
        <v>5.4868597802500606E-2</v>
      </c>
      <c r="BC52" s="22">
        <f>BC51/'Income Statement'!BC$85</f>
        <v>5.473117759840173E-2</v>
      </c>
      <c r="BD52" s="28">
        <f>BD51/'Income Statement'!BD$85</f>
        <v>5.9327723220558619E-2</v>
      </c>
      <c r="BE52" s="28">
        <f>BE51/'Income Statement'!BE$85</f>
        <v>4.5849234002544106E-2</v>
      </c>
      <c r="BF52" s="28">
        <f>BF51/'Income Statement'!BF$85</f>
        <v>5.0493394286390603E-2</v>
      </c>
      <c r="BG52" s="28">
        <f>BG51/'Income Statement'!BG$85</f>
        <v>5.1965524490224929E-2</v>
      </c>
      <c r="BH52" s="28">
        <f>BH51/'Income Statement'!BH$85</f>
        <v>5.3454774711934432E-2</v>
      </c>
      <c r="BI52" s="28">
        <f>BI51/'Income Statement'!BI$85</f>
        <v>5.1518604280761077E-2</v>
      </c>
      <c r="BJ52" s="28">
        <f>BJ51/'Income Statement'!BJ$85</f>
        <v>5.8664330727191905E-2</v>
      </c>
      <c r="BK52" s="28">
        <f>BK51/'Income Statement'!BK$85</f>
        <v>6.1157813589809477E-2</v>
      </c>
      <c r="BL52" s="28">
        <f>BL51/'Income Statement'!BL$85</f>
        <v>6.4147707785526462E-2</v>
      </c>
      <c r="BM52" s="22">
        <f>BM51/'Income Statement'!BM$85</f>
        <v>8.7190465072521803E-2</v>
      </c>
      <c r="BN52" s="22">
        <f>BN51/'Income Statement'!BN$85</f>
        <v>7.6166509461487203E-2</v>
      </c>
      <c r="BO52" s="22">
        <f>BO51/'Income Statement'!BO$85</f>
        <v>9.3830313254642819E-2</v>
      </c>
      <c r="BP52" s="22">
        <f>BP51/'Income Statement'!BP$85</f>
        <v>9.4195367896008853E-2</v>
      </c>
      <c r="BQ52" s="22">
        <f>BQ51/'Income Statement'!BQ$85</f>
        <v>0.1040165976324984</v>
      </c>
      <c r="BR52" s="28">
        <f>BR51/'Income Statement'!BR$85</f>
        <v>9.2528092488262964E-2</v>
      </c>
      <c r="BS52" s="28">
        <f>BS51/'Income Statement'!BS$85</f>
        <v>0.11443781953078346</v>
      </c>
      <c r="BT52" s="28">
        <f>BT51/'Income Statement'!BT$85</f>
        <v>0.11473713654868695</v>
      </c>
      <c r="BU52" s="28">
        <f>BU51/'Income Statement'!BU$85</f>
        <v>0.12710748566177391</v>
      </c>
      <c r="BV52" s="28">
        <f>BV51/'Income Statement'!BV$85</f>
        <v>0.10569195362712655</v>
      </c>
      <c r="BW52" s="28">
        <f>BW51/'Income Statement'!BW$85</f>
        <v>0.13121251354775723</v>
      </c>
      <c r="BX52" s="28">
        <f>BX51/'Income Statement'!BX$85</f>
        <v>0.13138015590650201</v>
      </c>
      <c r="BY52" s="28">
        <f>BY51/'Income Statement'!BY$85</f>
        <v>0.14599494135443947</v>
      </c>
      <c r="BZ52" s="28">
        <f>BZ51/'Income Statement'!BZ$85</f>
        <v>0.11596079885046581</v>
      </c>
      <c r="CA52" s="28">
        <f>CA51/'Income Statement'!CA$85</f>
        <v>0.14447892876910531</v>
      </c>
      <c r="CB52" s="28">
        <f>CB51/'Income Statement'!CB$85</f>
        <v>0.14448536386443414</v>
      </c>
      <c r="CC52" s="28">
        <f>CC51/'Income Statement'!CC$85</f>
        <v>0.16102638797001143</v>
      </c>
      <c r="CD52" s="28">
        <f>CD51/'Income Statement'!CD$85</f>
        <v>0.12224989549764009</v>
      </c>
      <c r="CE52" s="28">
        <f>CE51/'Income Statement'!CE$85</f>
        <v>0.15283822609342043</v>
      </c>
      <c r="CF52" s="28">
        <f>CF51/'Income Statement'!CF$85</f>
        <v>0.15267437426038277</v>
      </c>
      <c r="CG52" s="28">
        <f>CG51/'Income Statement'!CG$85</f>
        <v>0.17061432157829781</v>
      </c>
      <c r="CH52" s="28"/>
      <c r="CI52" s="112"/>
      <c r="CJ52" s="19"/>
      <c r="CK52" s="112"/>
      <c r="CL52" s="19"/>
      <c r="CM52" s="112"/>
      <c r="CN52" s="19"/>
      <c r="CO52" s="112"/>
      <c r="CP52" s="19"/>
      <c r="CQ52" s="112"/>
      <c r="CR52" s="112"/>
      <c r="CS52" s="112"/>
      <c r="CT52" s="112"/>
      <c r="CU52" s="112"/>
      <c r="CV52" s="112"/>
      <c r="CW52" s="112"/>
      <c r="CX52" s="19"/>
      <c r="CY52" s="112"/>
      <c r="CZ52" s="112"/>
      <c r="DA52" s="112"/>
      <c r="DB52" s="112"/>
      <c r="DC52" s="112"/>
    </row>
    <row r="53" spans="1:108" hidden="1" outlineLevel="1" x14ac:dyDescent="0.2">
      <c r="A53" s="29" t="s">
        <v>189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0">
        <v>1214</v>
      </c>
      <c r="V53" s="40">
        <v>1137</v>
      </c>
      <c r="W53" s="40">
        <v>1189</v>
      </c>
      <c r="X53" s="40">
        <v>1200</v>
      </c>
      <c r="Y53" s="40">
        <v>1313</v>
      </c>
      <c r="Z53" s="40">
        <v>1317</v>
      </c>
      <c r="AA53" s="40">
        <v>1409</v>
      </c>
      <c r="AB53" s="40">
        <v>1488</v>
      </c>
      <c r="AC53" s="40">
        <v>1586</v>
      </c>
      <c r="AD53" s="40">
        <v>1416</v>
      </c>
      <c r="AE53" s="40">
        <v>1564</v>
      </c>
      <c r="AF53" s="40">
        <v>1693</v>
      </c>
      <c r="AG53" s="40">
        <v>1935</v>
      </c>
      <c r="AH53" s="40">
        <v>1901</v>
      </c>
      <c r="AI53" s="40">
        <v>2031</v>
      </c>
      <c r="AJ53" s="40">
        <v>2277</v>
      </c>
      <c r="AK53" s="40">
        <v>2249</v>
      </c>
      <c r="AL53" s="40">
        <v>2529</v>
      </c>
      <c r="AM53" s="40">
        <v>2756</v>
      </c>
      <c r="AN53" s="40">
        <v>2837</v>
      </c>
      <c r="AO53" s="40">
        <v>3036</v>
      </c>
      <c r="AP53" s="40">
        <v>3013</v>
      </c>
      <c r="AQ53" s="40">
        <v>3292</v>
      </c>
      <c r="AR53" s="40">
        <v>3383</v>
      </c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I53" s="112"/>
      <c r="CJ53" s="19"/>
      <c r="CK53" s="112"/>
      <c r="CL53" s="19"/>
      <c r="CM53" s="112"/>
      <c r="CN53" s="19"/>
      <c r="CO53" s="112"/>
      <c r="CP53" s="19"/>
      <c r="CQ53" s="112"/>
      <c r="CR53" s="112"/>
      <c r="CS53" s="112"/>
      <c r="CT53" s="112"/>
      <c r="CU53" s="112"/>
      <c r="CV53" s="112"/>
      <c r="CW53" s="112"/>
      <c r="CX53" s="19"/>
      <c r="CY53" s="112"/>
      <c r="CZ53" s="112"/>
      <c r="DA53" s="112"/>
      <c r="DB53" s="112"/>
      <c r="DC53" s="112"/>
    </row>
    <row r="54" spans="1:108" hidden="1" outlineLevel="1" x14ac:dyDescent="0.2">
      <c r="A54" s="29" t="s">
        <v>190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0">
        <v>51</v>
      </c>
      <c r="V54" s="40">
        <v>40</v>
      </c>
      <c r="W54" s="40">
        <v>45</v>
      </c>
      <c r="X54" s="40">
        <v>58</v>
      </c>
      <c r="Y54" s="40">
        <v>70</v>
      </c>
      <c r="Z54" s="40">
        <v>54</v>
      </c>
      <c r="AA54" s="40">
        <v>81</v>
      </c>
      <c r="AB54" s="40">
        <v>104</v>
      </c>
      <c r="AC54" s="40">
        <v>101</v>
      </c>
      <c r="AD54" s="40">
        <v>87</v>
      </c>
      <c r="AE54" s="40">
        <v>61</v>
      </c>
      <c r="AF54" s="40">
        <v>68</v>
      </c>
      <c r="AG54" s="40">
        <v>91</v>
      </c>
      <c r="AH54" s="40">
        <v>85</v>
      </c>
      <c r="AI54" s="40">
        <v>93</v>
      </c>
      <c r="AJ54" s="40">
        <v>78</v>
      </c>
      <c r="AK54" s="40">
        <v>81</v>
      </c>
      <c r="AL54" s="40">
        <v>84</v>
      </c>
      <c r="AM54" s="40">
        <v>79</v>
      </c>
      <c r="AN54" s="40">
        <v>83</v>
      </c>
      <c r="AO54" s="40">
        <v>320</v>
      </c>
      <c r="AP54" s="40">
        <v>92</v>
      </c>
      <c r="AQ54" s="40">
        <v>94</v>
      </c>
      <c r="AR54" s="40">
        <v>95</v>
      </c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I54" s="112"/>
      <c r="CJ54" s="19"/>
      <c r="CK54" s="112"/>
      <c r="CL54" s="19"/>
      <c r="CM54" s="112"/>
      <c r="CN54" s="19"/>
      <c r="CO54" s="112"/>
      <c r="CP54" s="19"/>
      <c r="CQ54" s="112"/>
      <c r="CR54" s="112"/>
      <c r="CS54" s="112"/>
      <c r="CT54" s="112"/>
      <c r="CU54" s="112"/>
      <c r="CV54" s="112"/>
      <c r="CW54" s="112"/>
      <c r="CX54" s="19"/>
      <c r="CY54" s="112"/>
      <c r="CZ54" s="112"/>
      <c r="DA54" s="112"/>
      <c r="DB54" s="112"/>
      <c r="DC54" s="112"/>
    </row>
    <row r="55" spans="1:108" hidden="1" outlineLevel="1" x14ac:dyDescent="0.2">
      <c r="A55" s="29" t="s">
        <v>193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0">
        <v>2</v>
      </c>
      <c r="V55" s="40">
        <v>0</v>
      </c>
      <c r="W55" s="40">
        <v>0</v>
      </c>
      <c r="X55" s="40">
        <v>0</v>
      </c>
      <c r="Y55" s="40">
        <v>21</v>
      </c>
      <c r="Z55" s="40">
        <v>0</v>
      </c>
      <c r="AA55" s="40">
        <v>0</v>
      </c>
      <c r="AB55" s="40">
        <v>4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57</v>
      </c>
      <c r="AP55" s="40">
        <v>3</v>
      </c>
      <c r="AQ55" s="40">
        <v>0</v>
      </c>
      <c r="AR55" s="40">
        <v>0</v>
      </c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I55" s="112"/>
      <c r="CJ55" s="19"/>
      <c r="CK55" s="112"/>
      <c r="CL55" s="19"/>
      <c r="CM55" s="112"/>
      <c r="CN55" s="19"/>
      <c r="CO55" s="112"/>
      <c r="CP55" s="19"/>
      <c r="CQ55" s="112"/>
      <c r="CR55" s="112"/>
      <c r="CS55" s="112"/>
      <c r="CT55" s="112"/>
      <c r="CU55" s="112"/>
      <c r="CV55" s="112"/>
      <c r="CW55" s="112"/>
      <c r="CX55" s="19"/>
      <c r="CY55" s="112"/>
      <c r="CZ55" s="112"/>
      <c r="DA55" s="112"/>
      <c r="DB55" s="112"/>
      <c r="DC55" s="112"/>
    </row>
    <row r="56" spans="1:108" collapsed="1" x14ac:dyDescent="0.2">
      <c r="CI56" s="92"/>
      <c r="CK56" s="92"/>
      <c r="CM56" s="92"/>
      <c r="CO56" s="92"/>
      <c r="CQ56" s="92"/>
      <c r="CR56" s="92"/>
      <c r="CS56" s="92"/>
      <c r="CT56" s="92"/>
      <c r="CU56" s="92"/>
      <c r="CV56" s="92"/>
      <c r="CW56" s="92"/>
      <c r="CY56" s="92"/>
      <c r="CZ56" s="92"/>
      <c r="DA56" s="92"/>
      <c r="DB56" s="92"/>
      <c r="DC56" s="92"/>
    </row>
    <row r="57" spans="1:108" x14ac:dyDescent="0.2">
      <c r="A57" s="1" t="s">
        <v>114</v>
      </c>
      <c r="B57" s="20">
        <f>'Income Statement'!B201</f>
        <v>2488</v>
      </c>
      <c r="C57" s="20">
        <f>'Income Statement'!C201</f>
        <v>2365</v>
      </c>
      <c r="D57" s="20">
        <f>'Income Statement'!D201</f>
        <v>2547</v>
      </c>
      <c r="E57" s="20">
        <f>'Income Statement'!E201</f>
        <v>2982</v>
      </c>
      <c r="F57" s="20">
        <f>'Income Statement'!F201</f>
        <v>2296</v>
      </c>
      <c r="G57" s="20">
        <f>'Income Statement'!G201</f>
        <v>2881</v>
      </c>
      <c r="H57" s="20">
        <f>'Income Statement'!H201</f>
        <v>3058</v>
      </c>
      <c r="I57" s="20">
        <f>'Income Statement'!I201</f>
        <v>3507</v>
      </c>
      <c r="J57" s="20">
        <f>'Income Statement'!J201</f>
        <v>3389</v>
      </c>
      <c r="K57" s="20">
        <f>'Income Statement'!K201</f>
        <v>3436</v>
      </c>
      <c r="L57" s="20">
        <f>'Income Statement'!L201</f>
        <v>3263</v>
      </c>
      <c r="M57" s="20">
        <f>'Income Statement'!M201</f>
        <v>3747</v>
      </c>
      <c r="N57" s="20">
        <f>'Income Statement'!N201</f>
        <v>3745</v>
      </c>
      <c r="O57" s="20">
        <f>'Income Statement'!O201</f>
        <v>3462</v>
      </c>
      <c r="P57" s="20">
        <f>'Income Statement'!P201</f>
        <v>3758</v>
      </c>
      <c r="Q57" s="20">
        <f>'Income Statement'!Q201</f>
        <v>4438</v>
      </c>
      <c r="R57" s="20">
        <f>'Income Statement'!R201</f>
        <v>4115</v>
      </c>
      <c r="S57" s="20">
        <f>'Income Statement'!S201</f>
        <v>4258</v>
      </c>
      <c r="T57" s="20">
        <f>'Income Statement'!T201</f>
        <v>3724</v>
      </c>
      <c r="U57" s="20">
        <f>'Income Statement'!U201</f>
        <v>4399</v>
      </c>
      <c r="V57" s="20">
        <f>'Income Statement'!V201</f>
        <v>4447</v>
      </c>
      <c r="W57" s="20">
        <f>'Income Statement'!W201</f>
        <v>4825</v>
      </c>
      <c r="X57" s="20">
        <f>'Income Statement'!X201</f>
        <v>4708</v>
      </c>
      <c r="Y57" s="20">
        <f>'Income Statement'!Y201</f>
        <v>5380</v>
      </c>
      <c r="Z57" s="20">
        <f>'Income Statement'!Z201</f>
        <v>5342</v>
      </c>
      <c r="AA57" s="20">
        <f>'Income Statement'!AA201</f>
        <v>5968</v>
      </c>
      <c r="AB57" s="20">
        <f>'Income Statement'!AB201</f>
        <v>5767</v>
      </c>
      <c r="AC57" s="20">
        <f>'Income Statement'!AC201</f>
        <v>6639</v>
      </c>
      <c r="AD57" s="20">
        <f>'Income Statement'!AD201</f>
        <v>6568</v>
      </c>
      <c r="AE57" s="20">
        <f>'Income Statement'!AE201</f>
        <v>4132</v>
      </c>
      <c r="AF57" s="20">
        <f>'Income Statement'!AF201</f>
        <v>7782</v>
      </c>
      <c r="AG57" s="20">
        <f>'Income Statement'!AG201</f>
        <v>7664</v>
      </c>
      <c r="AH57" s="20">
        <f>'Income Statement'!AH201</f>
        <v>7633</v>
      </c>
      <c r="AI57" s="20">
        <f>'Income Statement'!AI201</f>
        <v>2807</v>
      </c>
      <c r="AJ57" s="20">
        <f>'Income Statement'!AJ201</f>
        <v>8310</v>
      </c>
      <c r="AK57" s="20">
        <f>'Income Statement'!AK201</f>
        <v>8203</v>
      </c>
      <c r="AL57" s="20">
        <f>'Income Statement'!AL201</f>
        <v>6608</v>
      </c>
      <c r="AM57" s="20">
        <f>'Income Statement'!AM201</f>
        <v>9180</v>
      </c>
      <c r="AN57" s="20">
        <f>'Income Statement'!AN201</f>
        <v>9177</v>
      </c>
      <c r="AO57" s="20">
        <f>'Income Statement'!AO201</f>
        <v>9266</v>
      </c>
      <c r="AP57" s="20">
        <f>'Income Statement'!AP201</f>
        <v>7977</v>
      </c>
      <c r="AQ57" s="20">
        <f>'Income Statement'!AQ201</f>
        <v>6383</v>
      </c>
      <c r="AR57" s="20">
        <f>'Income Statement'!AR201</f>
        <v>11213</v>
      </c>
      <c r="AS57" s="20">
        <f>'Income Statement'!AS201</f>
        <v>15651</v>
      </c>
      <c r="AT57" s="20">
        <f>'Income Statement'!AT201</f>
        <v>16437</v>
      </c>
      <c r="AU57" s="20">
        <f>'Income Statement'!AU201</f>
        <v>19361</v>
      </c>
      <c r="AV57" s="20">
        <f>'Income Statement'!AV201</f>
        <v>21031</v>
      </c>
      <c r="AW57" s="20">
        <f>'Income Statement'!AW201</f>
        <v>21885</v>
      </c>
      <c r="AX57" s="20">
        <f>'Income Statement'!AX201</f>
        <v>20094</v>
      </c>
      <c r="AY57" s="20">
        <f>'Income Statement'!AY201</f>
        <v>19453</v>
      </c>
      <c r="AZ57" s="20">
        <f>'Income Statement'!AZ201</f>
        <v>17135</v>
      </c>
      <c r="BA57" s="20">
        <f>'Income Statement'!BA201</f>
        <v>18160</v>
      </c>
      <c r="BB57" s="20">
        <f>'Income Statement'!BB201</f>
        <v>17415</v>
      </c>
      <c r="BC57" s="20">
        <f>'Income Statement'!BC201</f>
        <v>21838</v>
      </c>
      <c r="BD57" s="20">
        <f>'Income Statement'!BD201</f>
        <v>21343</v>
      </c>
      <c r="BE57" s="20">
        <f>'Income Statement'!BE201</f>
        <v>23697</v>
      </c>
      <c r="BF57" s="20">
        <f>'Income Statement'!BF201</f>
        <v>25472</v>
      </c>
      <c r="BG57" s="20">
        <f>'Income Statement'!BG201</f>
        <v>27425</v>
      </c>
      <c r="BH57" s="20">
        <f>'Income Statement'!BH201</f>
        <v>28521</v>
      </c>
      <c r="BI57" s="20">
        <f>'Income Statement'!BI201</f>
        <v>30972</v>
      </c>
      <c r="BJ57" s="20">
        <f>'Income Statement'!BJ201</f>
        <v>30606</v>
      </c>
      <c r="BK57" s="20">
        <f>'Income Statement'!BK201</f>
        <v>31271</v>
      </c>
      <c r="BL57" s="20">
        <f>'Income Statement'!BL201</f>
        <v>31228</v>
      </c>
      <c r="BM57" s="20">
        <f>'Income Statement'!BM201</f>
        <v>36700.00172280144</v>
      </c>
      <c r="BN57" s="20">
        <f>'Income Statement'!BN201</f>
        <v>36202.689355512994</v>
      </c>
      <c r="BO57" s="20">
        <f>'Income Statement'!BO201</f>
        <v>37984.285400243301</v>
      </c>
      <c r="BP57" s="20">
        <f>'Income Statement'!BP201</f>
        <v>39492.141410223456</v>
      </c>
      <c r="BQ57" s="20">
        <f>'Income Statement'!BQ201</f>
        <v>41058.516586387064</v>
      </c>
      <c r="BR57" s="20">
        <f>'Income Statement'!BR201</f>
        <v>41633.728495942982</v>
      </c>
      <c r="BS57" s="20">
        <f>'Income Statement'!BS201</f>
        <v>43486.27382994142</v>
      </c>
      <c r="BT57" s="20">
        <f>'Income Statement'!BT201</f>
        <v>45284.675517412928</v>
      </c>
      <c r="BU57" s="20">
        <f>'Income Statement'!BU201</f>
        <v>46833.415743163758</v>
      </c>
      <c r="BV57" s="20">
        <f>'Income Statement'!BV201</f>
        <v>47812.363237961457</v>
      </c>
      <c r="BW57" s="20">
        <f>'Income Statement'!BW201</f>
        <v>49727.919133510237</v>
      </c>
      <c r="BX57" s="20">
        <f>'Income Statement'!BX201</f>
        <v>51882.109486838533</v>
      </c>
      <c r="BY57" s="20">
        <f>'Income Statement'!BY201</f>
        <v>53400.986459264604</v>
      </c>
      <c r="BZ57" s="20">
        <f>'Income Statement'!BZ201</f>
        <v>54566.395817811099</v>
      </c>
      <c r="CA57" s="20">
        <f>'Income Statement'!CA201</f>
        <v>56531.251213931107</v>
      </c>
      <c r="CB57" s="20">
        <f>'Income Statement'!CB201</f>
        <v>59079.398336839251</v>
      </c>
      <c r="CC57" s="20">
        <f>'Income Statement'!CC201</f>
        <v>60563.433275271294</v>
      </c>
      <c r="CD57" s="20">
        <f>'Income Statement'!CD201</f>
        <v>61856.90231978114</v>
      </c>
      <c r="CE57" s="20">
        <f>'Income Statement'!CE201</f>
        <v>64111.873565746013</v>
      </c>
      <c r="CF57" s="20">
        <f>'Income Statement'!CF201</f>
        <v>67011.31259050552</v>
      </c>
      <c r="CG57" s="20">
        <f>'Income Statement'!CG201</f>
        <v>68442.289162879926</v>
      </c>
      <c r="CH57" s="20"/>
      <c r="CI57" s="92"/>
      <c r="CK57" s="92"/>
      <c r="CM57" s="92"/>
      <c r="CO57" s="92"/>
      <c r="CQ57" s="92"/>
      <c r="CR57" s="92"/>
      <c r="CS57" s="92"/>
      <c r="CT57" s="92"/>
      <c r="CU57" s="92"/>
      <c r="CV57" s="92"/>
      <c r="CW57" s="92"/>
      <c r="CY57" s="92"/>
      <c r="CZ57" s="92"/>
      <c r="DA57" s="92"/>
      <c r="DB57" s="92"/>
      <c r="DC57" s="92"/>
    </row>
    <row r="58" spans="1:108" hidden="1" outlineLevel="1" x14ac:dyDescent="0.2">
      <c r="A58" s="29" t="s">
        <v>192</v>
      </c>
      <c r="B58" s="20">
        <f>'Income Statement'!B207</f>
        <v>2488</v>
      </c>
      <c r="C58" s="20">
        <f>'Income Statement'!C207</f>
        <v>2365</v>
      </c>
      <c r="D58" s="20">
        <f>'Income Statement'!D207</f>
        <v>2547</v>
      </c>
      <c r="E58" s="20">
        <f>'Income Statement'!E207</f>
        <v>2982</v>
      </c>
      <c r="F58" s="20">
        <f>'Income Statement'!F207</f>
        <v>2296</v>
      </c>
      <c r="G58" s="20">
        <f>'Income Statement'!G207</f>
        <v>2881</v>
      </c>
      <c r="H58" s="20">
        <f>'Income Statement'!H207</f>
        <v>3058</v>
      </c>
      <c r="I58" s="20">
        <f>'Income Statement'!I207</f>
        <v>3507</v>
      </c>
      <c r="J58" s="20">
        <f>'Income Statement'!J207</f>
        <v>3389</v>
      </c>
      <c r="K58" s="20">
        <f>'Income Statement'!K207</f>
        <v>3436</v>
      </c>
      <c r="L58" s="20">
        <f>'Income Statement'!L207</f>
        <v>3263</v>
      </c>
      <c r="M58" s="20">
        <f>'Income Statement'!M207</f>
        <v>3747</v>
      </c>
      <c r="N58" s="20">
        <f>'Income Statement'!N207</f>
        <v>3748</v>
      </c>
      <c r="O58" s="20">
        <f>'Income Statement'!O207</f>
        <v>3465</v>
      </c>
      <c r="P58" s="20">
        <f>'Income Statement'!P207</f>
        <v>3761</v>
      </c>
      <c r="Q58" s="20">
        <f>'Income Statement'!Q207</f>
        <v>4429</v>
      </c>
      <c r="R58" s="20">
        <f>'Income Statement'!R207</f>
        <v>4115</v>
      </c>
      <c r="S58" s="20">
        <f>'Income Statement'!S207</f>
        <v>4258</v>
      </c>
      <c r="T58" s="20">
        <f>'Income Statement'!T207</f>
        <v>3724</v>
      </c>
      <c r="U58" s="20">
        <f>'Income Statement'!U207</f>
        <v>5223</v>
      </c>
      <c r="V58" s="20">
        <f>'Income Statement'!V207</f>
        <v>5188</v>
      </c>
      <c r="W58" s="20">
        <f>'Income Statement'!W207</f>
        <v>5630</v>
      </c>
      <c r="X58" s="20">
        <f>'Income Statement'!X207</f>
        <v>5835</v>
      </c>
      <c r="Y58" s="20">
        <f>'Income Statement'!Y207</f>
        <v>6744</v>
      </c>
      <c r="Z58" s="20">
        <f>'Income Statement'!Z207</f>
        <v>6272</v>
      </c>
      <c r="AA58" s="20">
        <f>'Income Statement'!AA207</f>
        <v>6994</v>
      </c>
      <c r="AB58" s="20">
        <f>'Income Statement'!AB207</f>
        <v>6778</v>
      </c>
      <c r="AC58" s="20">
        <f>'Income Statement'!AC207</f>
        <v>7883</v>
      </c>
      <c r="AD58" s="20">
        <f>'Income Statement'!AD207</f>
        <v>7446</v>
      </c>
      <c r="AE58" s="20">
        <f>'Income Statement'!AE207</f>
        <v>7664</v>
      </c>
      <c r="AF58" s="20">
        <f>'Income Statement'!AF207</f>
        <v>8582</v>
      </c>
      <c r="AG58" s="20">
        <f>'Income Statement'!AG207</f>
        <v>8595</v>
      </c>
      <c r="AH58" s="20">
        <f>'Income Statement'!AH207</f>
        <v>8368</v>
      </c>
      <c r="AI58" s="20">
        <f>'Income Statement'!AI207</f>
        <v>8959</v>
      </c>
      <c r="AJ58" s="20">
        <f>'Income Statement'!AJ207</f>
        <v>9490</v>
      </c>
      <c r="AK58" s="20">
        <f>'Income Statement'!AK207</f>
        <v>9700</v>
      </c>
      <c r="AL58" s="20">
        <f>'Income Statement'!AL207</f>
        <v>9325</v>
      </c>
      <c r="AM58" s="20">
        <f>'Income Statement'!AM207</f>
        <v>10388</v>
      </c>
      <c r="AN58" s="20">
        <f>'Income Statement'!AN207</f>
        <v>10865</v>
      </c>
      <c r="AO58" s="20">
        <f>'Income Statement'!AO207</f>
        <v>13488</v>
      </c>
      <c r="AP58" s="20">
        <f>'Income Statement'!AP207</f>
        <v>11548</v>
      </c>
      <c r="AQ58" s="20">
        <f>'Income Statement'!AQ207</f>
        <v>9539</v>
      </c>
      <c r="AR58" s="20">
        <f>'Income Statement'!AR207</f>
        <v>14453</v>
      </c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I58" s="112"/>
      <c r="CJ58" s="19"/>
      <c r="CK58" s="112"/>
      <c r="CL58" s="19"/>
      <c r="CM58" s="112"/>
      <c r="CN58" s="19"/>
      <c r="CO58" s="112"/>
      <c r="CP58" s="19"/>
      <c r="CQ58" s="112"/>
      <c r="CR58" s="112"/>
      <c r="CS58" s="112"/>
      <c r="CT58" s="112"/>
      <c r="CU58" s="112"/>
      <c r="CV58" s="112"/>
      <c r="CW58" s="112"/>
      <c r="CX58" s="19"/>
      <c r="CY58" s="112"/>
      <c r="CZ58" s="112"/>
      <c r="DA58" s="112"/>
      <c r="DB58" s="112"/>
      <c r="DC58" s="112"/>
    </row>
    <row r="59" spans="1:108" hidden="1" outlineLevel="1" x14ac:dyDescent="0.2">
      <c r="A59" s="29" t="s">
        <v>191</v>
      </c>
      <c r="B59" s="20">
        <f>'Income Statement'!B218</f>
        <v>0</v>
      </c>
      <c r="C59" s="20">
        <f>'Income Statement'!C218</f>
        <v>0</v>
      </c>
      <c r="D59" s="20">
        <f>'Income Statement'!D218</f>
        <v>0</v>
      </c>
      <c r="E59" s="20">
        <f>'Income Statement'!E218</f>
        <v>0</v>
      </c>
      <c r="F59" s="20">
        <f>'Income Statement'!F218</f>
        <v>0</v>
      </c>
      <c r="G59" s="20">
        <f>'Income Statement'!G218</f>
        <v>0</v>
      </c>
      <c r="H59" s="20">
        <f>'Income Statement'!H218</f>
        <v>0</v>
      </c>
      <c r="I59" s="20">
        <f>'Income Statement'!I218</f>
        <v>0</v>
      </c>
      <c r="J59" s="20">
        <f>'Income Statement'!J218</f>
        <v>0</v>
      </c>
      <c r="K59" s="20">
        <f>'Income Statement'!K218</f>
        <v>0</v>
      </c>
      <c r="L59" s="20">
        <f>'Income Statement'!L218</f>
        <v>0</v>
      </c>
      <c r="M59" s="20">
        <f>'Income Statement'!M218</f>
        <v>0</v>
      </c>
      <c r="N59" s="20">
        <f>'Income Statement'!N218</f>
        <v>0</v>
      </c>
      <c r="O59" s="20">
        <f>'Income Statement'!O218</f>
        <v>0</v>
      </c>
      <c r="P59" s="20">
        <f>'Income Statement'!P218</f>
        <v>0</v>
      </c>
      <c r="Q59" s="20">
        <f>'Income Statement'!Q218</f>
        <v>0</v>
      </c>
      <c r="R59" s="20">
        <f>'Income Statement'!R218</f>
        <v>0</v>
      </c>
      <c r="S59" s="20">
        <f>'Income Statement'!S218</f>
        <v>0</v>
      </c>
      <c r="T59" s="20">
        <f>'Income Statement'!T218</f>
        <v>0</v>
      </c>
      <c r="U59" s="20">
        <f>'Income Statement'!U218</f>
        <v>-634</v>
      </c>
      <c r="V59" s="20">
        <f>'Income Statement'!V218</f>
        <v>-633</v>
      </c>
      <c r="W59" s="20">
        <f>'Income Statement'!W218</f>
        <v>-683</v>
      </c>
      <c r="X59" s="20">
        <f>'Income Statement'!X218</f>
        <v>-1009</v>
      </c>
      <c r="Y59" s="20">
        <f>'Income Statement'!Y218</f>
        <v>-1213</v>
      </c>
      <c r="Z59" s="20">
        <f>'Income Statement'!Z218</f>
        <v>-802</v>
      </c>
      <c r="AA59" s="20">
        <f>'Income Statement'!AA218</f>
        <v>-859</v>
      </c>
      <c r="AB59" s="20">
        <f>'Income Statement'!AB218</f>
        <v>-865</v>
      </c>
      <c r="AC59" s="20">
        <f>'Income Statement'!AC218</f>
        <v>-1088</v>
      </c>
      <c r="AD59" s="20">
        <f>'Income Statement'!AD218</f>
        <v>-703</v>
      </c>
      <c r="AE59" s="20">
        <f>'Income Statement'!AE218</f>
        <v>-633</v>
      </c>
      <c r="AF59" s="20">
        <f>'Income Statement'!AF218</f>
        <v>-650</v>
      </c>
      <c r="AG59" s="20">
        <f>'Income Statement'!AG218</f>
        <v>-748</v>
      </c>
      <c r="AH59" s="20">
        <f>'Income Statement'!AH218</f>
        <v>-571</v>
      </c>
      <c r="AI59" s="20">
        <f>'Income Statement'!AI218</f>
        <v>-732</v>
      </c>
      <c r="AJ59" s="20">
        <f>'Income Statement'!AJ218</f>
        <v>-727</v>
      </c>
      <c r="AK59" s="20">
        <f>'Income Statement'!AK218</f>
        <v>-1328</v>
      </c>
      <c r="AL59" s="20">
        <f>'Income Statement'!AL218</f>
        <v>-868</v>
      </c>
      <c r="AM59" s="20">
        <f>'Income Statement'!AM218</f>
        <v>-989</v>
      </c>
      <c r="AN59" s="20">
        <f>'Income Statement'!AN218</f>
        <v>-941</v>
      </c>
      <c r="AO59" s="20">
        <f>'Income Statement'!AO218</f>
        <v>-2026</v>
      </c>
      <c r="AP59" s="20">
        <f>'Income Statement'!AP218</f>
        <v>-1121</v>
      </c>
      <c r="AQ59" s="20">
        <f>'Income Statement'!AQ218</f>
        <v>-1116</v>
      </c>
      <c r="AR59" s="20">
        <f>'Income Statement'!AR218</f>
        <v>-1103</v>
      </c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I59" s="112"/>
      <c r="CJ59" s="19"/>
      <c r="CK59" s="112"/>
      <c r="CL59" s="19"/>
      <c r="CM59" s="112"/>
      <c r="CN59" s="19"/>
      <c r="CO59" s="112"/>
      <c r="CP59" s="19"/>
      <c r="CQ59" s="112"/>
      <c r="CR59" s="112"/>
      <c r="CS59" s="112"/>
      <c r="CT59" s="112"/>
      <c r="CU59" s="112"/>
      <c r="CV59" s="112"/>
      <c r="CW59" s="112"/>
      <c r="CX59" s="19"/>
      <c r="CY59" s="112"/>
      <c r="CZ59" s="112"/>
      <c r="DA59" s="112"/>
      <c r="DB59" s="112"/>
      <c r="DC59" s="112"/>
    </row>
    <row r="60" spans="1:108" collapsed="1" x14ac:dyDescent="0.2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CI60" s="92"/>
      <c r="CK60" s="92"/>
      <c r="CM60" s="92"/>
      <c r="CO60" s="92"/>
      <c r="CQ60" s="92"/>
      <c r="CR60" s="92"/>
      <c r="CS60" s="92"/>
      <c r="CT60" s="92"/>
      <c r="CU60" s="115"/>
      <c r="CV60" s="115"/>
      <c r="CW60" s="115"/>
      <c r="CX60" s="33"/>
      <c r="CY60" s="115"/>
      <c r="CZ60" s="115"/>
      <c r="DA60" s="115"/>
      <c r="DB60" s="115"/>
      <c r="DC60" s="115"/>
    </row>
    <row r="61" spans="1:108" x14ac:dyDescent="0.2">
      <c r="A61" s="4" t="s">
        <v>181</v>
      </c>
      <c r="B61" s="21">
        <f>B51+B57</f>
        <v>2819</v>
      </c>
      <c r="C61" s="21">
        <f t="shared" ref="C61:BN61" si="180">C51+C57</f>
        <v>2707</v>
      </c>
      <c r="D61" s="21">
        <f t="shared" si="180"/>
        <v>2889</v>
      </c>
      <c r="E61" s="21">
        <f t="shared" si="180"/>
        <v>3363</v>
      </c>
      <c r="F61" s="21">
        <f t="shared" si="180"/>
        <v>2697</v>
      </c>
      <c r="G61" s="21">
        <f t="shared" si="180"/>
        <v>3336</v>
      </c>
      <c r="H61" s="21">
        <f t="shared" si="180"/>
        <v>3550</v>
      </c>
      <c r="I61" s="21">
        <f t="shared" si="180"/>
        <v>4010</v>
      </c>
      <c r="J61" s="21">
        <f t="shared" si="180"/>
        <v>3900</v>
      </c>
      <c r="K61" s="21">
        <f t="shared" si="180"/>
        <v>4106</v>
      </c>
      <c r="L61" s="21">
        <f t="shared" si="180"/>
        <v>4091</v>
      </c>
      <c r="M61" s="21">
        <f t="shared" si="180"/>
        <v>4700</v>
      </c>
      <c r="N61" s="21">
        <f t="shared" si="180"/>
        <v>4644</v>
      </c>
      <c r="O61" s="21">
        <f t="shared" si="180"/>
        <v>4492</v>
      </c>
      <c r="P61" s="21">
        <f t="shared" si="180"/>
        <v>4732</v>
      </c>
      <c r="Q61" s="21">
        <f t="shared" si="180"/>
        <v>5474</v>
      </c>
      <c r="R61" s="21">
        <f t="shared" si="180"/>
        <v>5201</v>
      </c>
      <c r="S61" s="21">
        <f t="shared" si="180"/>
        <v>5337</v>
      </c>
      <c r="T61" s="21">
        <f t="shared" si="180"/>
        <v>5271</v>
      </c>
      <c r="U61" s="21">
        <f t="shared" si="180"/>
        <v>5666</v>
      </c>
      <c r="V61" s="21">
        <f t="shared" si="180"/>
        <v>5624</v>
      </c>
      <c r="W61" s="21">
        <f t="shared" si="180"/>
        <v>6059</v>
      </c>
      <c r="X61" s="21">
        <f t="shared" si="180"/>
        <v>5956</v>
      </c>
      <c r="Y61" s="21">
        <f t="shared" si="180"/>
        <v>6784</v>
      </c>
      <c r="Z61" s="21">
        <f t="shared" si="180"/>
        <v>6713</v>
      </c>
      <c r="AA61" s="21">
        <f t="shared" si="180"/>
        <v>7458</v>
      </c>
      <c r="AB61" s="21">
        <f t="shared" si="180"/>
        <v>7363</v>
      </c>
      <c r="AC61" s="21">
        <f t="shared" si="180"/>
        <v>8326</v>
      </c>
      <c r="AD61" s="21">
        <f t="shared" si="180"/>
        <v>8071</v>
      </c>
      <c r="AE61" s="21">
        <f t="shared" si="180"/>
        <v>5757</v>
      </c>
      <c r="AF61" s="21">
        <f t="shared" si="180"/>
        <v>9543</v>
      </c>
      <c r="AG61" s="21">
        <f t="shared" si="180"/>
        <v>9690</v>
      </c>
      <c r="AH61" s="21">
        <f t="shared" si="180"/>
        <v>9619</v>
      </c>
      <c r="AI61" s="21">
        <f t="shared" si="180"/>
        <v>4921</v>
      </c>
      <c r="AJ61" s="21">
        <f t="shared" si="180"/>
        <v>10665</v>
      </c>
      <c r="AK61" s="21">
        <f t="shared" si="180"/>
        <v>10783</v>
      </c>
      <c r="AL61" s="21">
        <f t="shared" si="180"/>
        <v>9221</v>
      </c>
      <c r="AM61" s="21">
        <f t="shared" si="180"/>
        <v>12015</v>
      </c>
      <c r="AN61" s="21">
        <f t="shared" si="180"/>
        <v>12097</v>
      </c>
      <c r="AO61" s="21">
        <f t="shared" si="180"/>
        <v>12679</v>
      </c>
      <c r="AP61" s="21">
        <f t="shared" si="180"/>
        <v>11085</v>
      </c>
      <c r="AQ61" s="21">
        <f t="shared" si="180"/>
        <v>9769</v>
      </c>
      <c r="AR61" s="21">
        <f t="shared" si="180"/>
        <v>14691</v>
      </c>
      <c r="AS61" s="21">
        <f t="shared" si="180"/>
        <v>19376</v>
      </c>
      <c r="AT61" s="21">
        <f t="shared" si="180"/>
        <v>19190</v>
      </c>
      <c r="AU61" s="21">
        <f t="shared" si="180"/>
        <v>22306</v>
      </c>
      <c r="AV61" s="21">
        <f>AV51+AV57</f>
        <v>24335</v>
      </c>
      <c r="AW61" s="21">
        <f>AW51+AW57</f>
        <v>25324</v>
      </c>
      <c r="AX61" s="21">
        <f t="shared" si="180"/>
        <v>23876</v>
      </c>
      <c r="AY61" s="21">
        <f t="shared" si="180"/>
        <v>23352</v>
      </c>
      <c r="AZ61" s="21">
        <f t="shared" si="180"/>
        <v>21181</v>
      </c>
      <c r="BA61" s="21">
        <f t="shared" si="180"/>
        <v>22361</v>
      </c>
      <c r="BB61" s="21">
        <f t="shared" si="180"/>
        <v>20601</v>
      </c>
      <c r="BC61" s="21">
        <f t="shared" si="180"/>
        <v>25235</v>
      </c>
      <c r="BD61" s="21">
        <f t="shared" si="180"/>
        <v>25143</v>
      </c>
      <c r="BE61" s="21">
        <f t="shared" si="180"/>
        <v>27013</v>
      </c>
      <c r="BF61" s="21">
        <f t="shared" ref="BF61:BG61" si="181">BF51+BF57</f>
        <v>28885</v>
      </c>
      <c r="BG61" s="21">
        <f t="shared" si="181"/>
        <v>31133</v>
      </c>
      <c r="BH61" s="21">
        <f t="shared" ref="BH61:BI61" si="182">BH51+BH57</f>
        <v>32506</v>
      </c>
      <c r="BI61" s="21">
        <f t="shared" si="182"/>
        <v>35177</v>
      </c>
      <c r="BJ61" s="21">
        <f t="shared" ref="BJ61:BK61" si="183">BJ51+BJ57</f>
        <v>35093</v>
      </c>
      <c r="BK61" s="21">
        <f t="shared" si="183"/>
        <v>36269</v>
      </c>
      <c r="BL61" s="21">
        <f t="shared" ref="BL61" si="184">BL51+BL57</f>
        <v>36839</v>
      </c>
      <c r="BM61" s="21">
        <f t="shared" si="180"/>
        <v>45028.024783205365</v>
      </c>
      <c r="BN61" s="21">
        <f t="shared" si="180"/>
        <v>42984.715579447147</v>
      </c>
      <c r="BO61" s="21">
        <f t="shared" ref="BO61:BP61" si="185">BO51+BO57</f>
        <v>46836.37359134791</v>
      </c>
      <c r="BP61" s="21">
        <f t="shared" si="185"/>
        <v>48938.549164011602</v>
      </c>
      <c r="BQ61" s="21">
        <f>BQ51+BQ57</f>
        <v>52318.644093845796</v>
      </c>
      <c r="BR61" s="21">
        <f>BR51+BR57</f>
        <v>51067.760726135952</v>
      </c>
      <c r="BS61" s="21">
        <f t="shared" ref="BS61:BU61" si="186">BS51+BS57</f>
        <v>55799.833604257365</v>
      </c>
      <c r="BT61" s="21">
        <f t="shared" si="186"/>
        <v>58424.954287536333</v>
      </c>
      <c r="BU61" s="21">
        <f t="shared" si="186"/>
        <v>62496.641203213163</v>
      </c>
      <c r="BV61" s="21">
        <f t="shared" ref="BV61:CC61" si="187">BV51+BV57</f>
        <v>60078.067902618175</v>
      </c>
      <c r="BW61" s="21">
        <f t="shared" si="187"/>
        <v>65737.45608198292</v>
      </c>
      <c r="BX61" s="21">
        <f t="shared" si="187"/>
        <v>68966.509314280673</v>
      </c>
      <c r="BY61" s="21">
        <f t="shared" si="187"/>
        <v>73765.608171498054</v>
      </c>
      <c r="BZ61" s="21">
        <f t="shared" si="187"/>
        <v>69748.075232771807</v>
      </c>
      <c r="CA61" s="21">
        <f t="shared" si="187"/>
        <v>76346.799050658927</v>
      </c>
      <c r="CB61" s="21">
        <f t="shared" si="187"/>
        <v>80225.340479454477</v>
      </c>
      <c r="CC61" s="21">
        <f t="shared" si="187"/>
        <v>85769.417496702838</v>
      </c>
      <c r="CD61" s="21">
        <f t="shared" ref="CD61:CG61" si="188">CD51+CD57</f>
        <v>79751.330395243815</v>
      </c>
      <c r="CE61" s="21">
        <f t="shared" si="188"/>
        <v>87468.175977901337</v>
      </c>
      <c r="CF61" s="21">
        <f t="shared" si="188"/>
        <v>91935.731715443442</v>
      </c>
      <c r="CG61" s="21">
        <f t="shared" si="188"/>
        <v>98152.22173313114</v>
      </c>
      <c r="CH61" s="21"/>
      <c r="CI61" s="90">
        <f t="shared" ref="CI61" si="189">SUM(B61:E61)</f>
        <v>11778</v>
      </c>
      <c r="CJ61" s="21">
        <f t="shared" ref="CJ61" si="190">SUM(F61:I61)</f>
        <v>13593</v>
      </c>
      <c r="CK61" s="90">
        <f t="shared" ref="CK61" si="191">SUM(J61:M61)</f>
        <v>16797</v>
      </c>
      <c r="CL61" s="21">
        <f t="shared" ref="CL61" si="192">SUM(N61:Q61)</f>
        <v>19342</v>
      </c>
      <c r="CM61" s="90">
        <f t="shared" ref="CM61" si="193">SUM(R61:U61)</f>
        <v>21475</v>
      </c>
      <c r="CN61" s="21">
        <f t="shared" ref="CN61" si="194">SUM(V61:Y61)</f>
        <v>24423</v>
      </c>
      <c r="CO61" s="90">
        <f t="shared" ref="CO61" si="195">SUM(Z61:AC61)</f>
        <v>29860</v>
      </c>
      <c r="CP61" s="21">
        <f t="shared" ref="CP61" si="196">SUM(AD61:AG61)</f>
        <v>33061</v>
      </c>
      <c r="CQ61" s="90">
        <f t="shared" ref="CQ61" si="197">SUM(AH61:AK61)</f>
        <v>35988</v>
      </c>
      <c r="CR61" s="90">
        <f t="shared" ref="CR61" si="198">SUM(AL61:AO61)</f>
        <v>46012</v>
      </c>
      <c r="CS61" s="90">
        <f t="shared" ref="CS61" si="199">SUM(AP61:AS61)</f>
        <v>54921</v>
      </c>
      <c r="CT61" s="90">
        <f>SUM(AT61:AW61)</f>
        <v>91155</v>
      </c>
      <c r="CU61" s="90">
        <f t="shared" ref="CU61" si="200">SUM(AX61:BA61)</f>
        <v>90770</v>
      </c>
      <c r="CV61" s="90">
        <f t="shared" ref="CV61" si="201">SUM(BB61:BE61)</f>
        <v>97992</v>
      </c>
      <c r="CW61" s="90">
        <f t="shared" ref="CW61" si="202">SUM(BF61:BI61)</f>
        <v>127701</v>
      </c>
      <c r="CX61" s="21">
        <f t="shared" ref="CX61" si="203">SUM(BJ61:BM61)</f>
        <v>153229.02478320536</v>
      </c>
      <c r="CY61" s="90">
        <f t="shared" ref="CY61" si="204">SUM(BN61:BQ61)</f>
        <v>191078.28242865246</v>
      </c>
      <c r="CZ61" s="90">
        <f>SUM(BR61:BU61)</f>
        <v>227789.18982114282</v>
      </c>
      <c r="DA61" s="90">
        <f t="shared" ref="DA61" si="205">SUM(BV61:BY61)</f>
        <v>268547.64147037984</v>
      </c>
      <c r="DB61" s="90">
        <f t="shared" ref="DB61" si="206">SUM(BZ61:CC61)</f>
        <v>312089.63225958811</v>
      </c>
      <c r="DC61" s="90">
        <f>SUM(CD61:CG61)</f>
        <v>357307.45982171973</v>
      </c>
      <c r="DD61" s="21"/>
    </row>
    <row r="62" spans="1:108" x14ac:dyDescent="0.2">
      <c r="A62" s="41" t="s">
        <v>182</v>
      </c>
      <c r="B62" s="44">
        <f>B61/'Income Statement'!B$85</f>
        <v>0.55667456556082151</v>
      </c>
      <c r="C62" s="44">
        <f>C61/'Income Statement'!C$85</f>
        <v>0.53203616352201255</v>
      </c>
      <c r="D62" s="44">
        <f>D61/'Income Statement'!D$85</f>
        <v>0.52709359605911332</v>
      </c>
      <c r="E62" s="44">
        <f>E61/'Income Statement'!E$85</f>
        <v>0.52786061842724852</v>
      </c>
      <c r="F62" s="44">
        <f>F61/'Income Statement'!F$85</f>
        <v>0.41263769889840879</v>
      </c>
      <c r="G62" s="44">
        <f>G61/'Income Statement'!G$85</f>
        <v>0.48249927682962107</v>
      </c>
      <c r="H62" s="44">
        <f>H61/'Income Statement'!H$85</f>
        <v>0.47257720979765711</v>
      </c>
      <c r="I62" s="44">
        <f>I61/'Income Statement'!I$85</f>
        <v>0.49311362518445645</v>
      </c>
      <c r="J62" s="44">
        <f>J61/'Income Statement'!J$85</f>
        <v>0.47935103244837757</v>
      </c>
      <c r="K62" s="44">
        <f>K61/'Income Statement'!K$85</f>
        <v>0.49108958258581509</v>
      </c>
      <c r="L62" s="44">
        <f>L61/'Income Statement'!L$85</f>
        <v>0.46743601462522855</v>
      </c>
      <c r="M62" s="44">
        <f>M61/'Income Statement'!M$85</f>
        <v>0.47803091944670462</v>
      </c>
      <c r="N62" s="44">
        <f>N61/'Income Statement'!N$85</f>
        <v>0.46514423076923078</v>
      </c>
      <c r="O62" s="44">
        <f>O61/'Income Statement'!O$85</f>
        <v>0.44514914280051532</v>
      </c>
      <c r="P62" s="44">
        <f>P61/'Income Statement'!P$85</f>
        <v>0.43904249396919653</v>
      </c>
      <c r="Q62" s="44">
        <f>Q61/'Income Statement'!Q$85</f>
        <v>0.44116698903932944</v>
      </c>
      <c r="R62" s="44">
        <f>R61/'Income Statement'!R$85</f>
        <v>0.42669620149314957</v>
      </c>
      <c r="S62" s="44">
        <f>S61/'Income Statement'!S$85</f>
        <v>0.42153068478003319</v>
      </c>
      <c r="T62" s="44">
        <f>T61/'Income Statement'!T$85</f>
        <v>0.40007590132827325</v>
      </c>
      <c r="U62" s="44">
        <f>U61/'Income Statement'!U$85</f>
        <v>0.39132536777401755</v>
      </c>
      <c r="V62" s="44">
        <f>V61/'Income Statement'!V$85</f>
        <v>0.4042262632070725</v>
      </c>
      <c r="W62" s="44">
        <f>W61/'Income Statement'!W$85</f>
        <v>0.42222996515679445</v>
      </c>
      <c r="X62" s="44">
        <f>X61/'Income Statement'!X$85</f>
        <v>0.39420213118009134</v>
      </c>
      <c r="Y62" s="44">
        <f>Y61/'Income Statement'!Y$85</f>
        <v>0.39272895681370845</v>
      </c>
      <c r="Z62" s="44">
        <f>Z61/'Income Statement'!Z$85</f>
        <v>0.40761430566518914</v>
      </c>
      <c r="AA62" s="44">
        <f>AA61/'Income Statement'!AA$85</f>
        <v>0.42556348074179745</v>
      </c>
      <c r="AB62" s="44">
        <f>AB61/'Income Statement'!AB$85</f>
        <v>0.40303245935738136</v>
      </c>
      <c r="AC62" s="44">
        <f>AC61/'Income Statement'!AC$85</f>
        <v>0.39243966817496229</v>
      </c>
      <c r="AD62" s="44">
        <f>AD61/'Income Statement'!AD$85</f>
        <v>0.40112320461209683</v>
      </c>
      <c r="AE62" s="44">
        <f>AE61/'Income Statement'!AE$85</f>
        <v>0.27520435967302453</v>
      </c>
      <c r="AF62" s="44">
        <f>AF61/'Income Statement'!AF$85</f>
        <v>0.42851369555455771</v>
      </c>
      <c r="AG62" s="44">
        <f>AG61/'Income Statement'!AG$85</f>
        <v>0.37452170216055347</v>
      </c>
      <c r="AH62" s="44">
        <f>AH61/'Income Statement'!AH$85</f>
        <v>0.38695792099123016</v>
      </c>
      <c r="AI62" s="44">
        <f>AI61/'Income Statement'!AI$85</f>
        <v>0.18755955330258794</v>
      </c>
      <c r="AJ62" s="44">
        <f>AJ61/'Income Statement'!AJ$85</f>
        <v>0.39270196627144854</v>
      </c>
      <c r="AK62" s="44">
        <f>AK61/'Income Statement'!AK$85</f>
        <v>0.33866206030150753</v>
      </c>
      <c r="AL62" s="44">
        <f>AL61/'Income Statement'!AL$85</f>
        <v>0.31279894161945793</v>
      </c>
      <c r="AM62" s="44">
        <f>AM61/'Income Statement'!AM$85</f>
        <v>0.37895035639941965</v>
      </c>
      <c r="AN62" s="44">
        <f>AN61/'Income Statement'!AN$85</f>
        <v>0.36647580962767728</v>
      </c>
      <c r="AO62" s="44">
        <f>AO61/'Income Statement'!AO$85</f>
        <v>0.33744078352051948</v>
      </c>
      <c r="AP62" s="44">
        <f>AP61/'Income Statement'!AP$85</f>
        <v>0.32886344082831459</v>
      </c>
      <c r="AQ62" s="44">
        <f>AQ61/'Income Statement'!AQ$85</f>
        <v>0.30911622314337245</v>
      </c>
      <c r="AR62" s="44">
        <f>AR61/'Income Statement'!AR$85</f>
        <v>0.38653405951535241</v>
      </c>
      <c r="AS62" s="44">
        <f>AS61/'Income Statement'!AS$85</f>
        <v>0.41729841488628533</v>
      </c>
      <c r="AT62" s="44">
        <f>AT61/'Income Statement'!AT$85</f>
        <v>0.42081487654050259</v>
      </c>
      <c r="AU62" s="44">
        <f>AU61/'Income Statement'!AU$85</f>
        <v>0.43779317383368332</v>
      </c>
      <c r="AV62" s="44">
        <f>AV61/'Income Statement'!AV$85</f>
        <v>0.45384185005594929</v>
      </c>
      <c r="AW62" s="44">
        <f>AW61/'Income Statement'!AW$85</f>
        <v>0.40912468900449128</v>
      </c>
      <c r="AX62" s="44">
        <f>AX61/'Income Statement'!AX$85</f>
        <v>0.4261973188625694</v>
      </c>
      <c r="AY62" s="44">
        <f>AY61/'Income Statement'!AY$85</f>
        <v>0.4063266691026779</v>
      </c>
      <c r="AZ62" s="44">
        <f>AZ61/'Income Statement'!AZ$85</f>
        <v>0.36987042922502006</v>
      </c>
      <c r="BA62" s="44">
        <f>BA61/'Income Statement'!BA$85</f>
        <v>0.3542448869667158</v>
      </c>
      <c r="BB62" s="44">
        <f>BB61/'Income Statement'!BB$85</f>
        <v>0.35478593324837254</v>
      </c>
      <c r="BC62" s="44">
        <f>BC61/'Income Statement'!BC$85</f>
        <v>0.40657676381974317</v>
      </c>
      <c r="BD62" s="85">
        <f>BD61/'Income Statement'!BD$85</f>
        <v>0.39254656445644875</v>
      </c>
      <c r="BE62" s="85">
        <f>BE61/'Income Statement'!BE$85</f>
        <v>0.37349980642663572</v>
      </c>
      <c r="BF62" s="85">
        <f>BF61/'Income Statement'!BF$85</f>
        <v>0.42733715029662833</v>
      </c>
      <c r="BG62" s="85">
        <f>BG61/'Income Statement'!BG$85</f>
        <v>0.43631140074276503</v>
      </c>
      <c r="BH62" s="85">
        <f>BH61/'Income Statement'!BH$85</f>
        <v>0.43603535929388726</v>
      </c>
      <c r="BI62" s="85">
        <f>BI61/'Income Statement'!BI$85</f>
        <v>0.43097977236250473</v>
      </c>
      <c r="BJ62" s="85">
        <f>BJ61/'Income Statement'!BJ$85</f>
        <v>0.45881599246921007</v>
      </c>
      <c r="BK62" s="85">
        <f>BK61/'Income Statement'!BK$85</f>
        <v>0.44380406984569826</v>
      </c>
      <c r="BL62" s="85">
        <f>BL61/'Income Statement'!BL$85</f>
        <v>0.42116154109980564</v>
      </c>
      <c r="BM62" s="44">
        <f>BM61/'Income Statement'!BM$85</f>
        <v>0.47142213628240059</v>
      </c>
      <c r="BN62" s="44">
        <f>BN61/'Income Statement'!BN$85</f>
        <v>0.48274595788603464</v>
      </c>
      <c r="BO62" s="44">
        <f>BO61/'Income Statement'!BO$85</f>
        <v>0.49645592214092776</v>
      </c>
      <c r="BP62" s="44">
        <f>BP61/'Income Statement'!BP$85</f>
        <v>0.48799340055508406</v>
      </c>
      <c r="BQ62" s="44">
        <f>BQ61/'Income Statement'!BQ$85</f>
        <v>0.48329891005076536</v>
      </c>
      <c r="BR62" s="85">
        <f>BR61/'Income Statement'!BR$85</f>
        <v>0.50086774905365561</v>
      </c>
      <c r="BS62" s="85">
        <f>BS61/'Income Statement'!BS$85</f>
        <v>0.51858369187203535</v>
      </c>
      <c r="BT62" s="85">
        <f>BT61/'Income Statement'!BT$85</f>
        <v>0.51014990436743168</v>
      </c>
      <c r="BU62" s="85">
        <f>BU61/'Income Statement'!BU$85</f>
        <v>0.50716188347718449</v>
      </c>
      <c r="BV62" s="85">
        <f>BV61/'Income Statement'!BV$85</f>
        <v>0.51768475928395363</v>
      </c>
      <c r="BW62" s="85">
        <f>BW61/'Income Statement'!BW$85</f>
        <v>0.53877740964738929</v>
      </c>
      <c r="BX62" s="85">
        <f>BX61/'Income Statement'!BX$85</f>
        <v>0.53035698283549237</v>
      </c>
      <c r="BY62" s="85">
        <f>BY61/'Income Statement'!BY$85</f>
        <v>0.5288291523973172</v>
      </c>
      <c r="BZ62" s="85">
        <f>BZ61/'Income Statement'!BZ$85</f>
        <v>0.5327501853519766</v>
      </c>
      <c r="CA62" s="85">
        <f>CA61/'Income Statement'!CA$85</f>
        <v>0.5566590352523324</v>
      </c>
      <c r="CB62" s="85">
        <f>CB61/'Income Statement'!CB$85</f>
        <v>0.54816131776706589</v>
      </c>
      <c r="CC62" s="85">
        <f>CC61/'Income Statement'!CC$85</f>
        <v>0.54793097450417938</v>
      </c>
      <c r="CD62" s="85">
        <f>CD61/'Income Statement'!CD$85</f>
        <v>0.54483953136145391</v>
      </c>
      <c r="CE62" s="85">
        <f>CE61/'Income Statement'!CE$85</f>
        <v>0.57237145761275166</v>
      </c>
      <c r="CF62" s="85">
        <f>CF61/'Income Statement'!CF$85</f>
        <v>0.56315175256308858</v>
      </c>
      <c r="CG62" s="85">
        <f>CG61/'Income Statement'!CG$85</f>
        <v>0.56365576336477119</v>
      </c>
      <c r="CH62" s="85"/>
      <c r="CI62" s="120">
        <f>CI61/'Income Statement'!CI$85</f>
        <v>0.53526631521541534</v>
      </c>
      <c r="CJ62" s="44">
        <f>CJ61/'Income Statement'!CJ$85</f>
        <v>0.46720973396576615</v>
      </c>
      <c r="CK62" s="120">
        <f>CK61/'Income Statement'!CK$85</f>
        <v>0.47880619138565034</v>
      </c>
      <c r="CL62" s="44">
        <f>CL61/'Income Statement'!CL$85</f>
        <v>0.44710015949700654</v>
      </c>
      <c r="CM62" s="120">
        <f>CM61/'Income Statement'!CM$85</f>
        <v>0.40901645588907509</v>
      </c>
      <c r="CN62" s="44">
        <f>CN61/'Income Statement'!CN$85</f>
        <v>0.40271411140058699</v>
      </c>
      <c r="CO62" s="120">
        <f>CO61/'Income Statement'!CO$85</f>
        <v>0.40637461043291279</v>
      </c>
      <c r="CP62" s="44">
        <f>CP61/'Income Statement'!CP$85</f>
        <v>0.37070966439792336</v>
      </c>
      <c r="CQ62" s="120">
        <f>CQ61/'Income Statement'!CQ$85</f>
        <v>0.32688726803702323</v>
      </c>
      <c r="CR62" s="120">
        <f>CR61/'Income Statement'!CR$85</f>
        <v>0.34918948454860055</v>
      </c>
      <c r="CS62" s="120">
        <f>CS61/'Income Statement'!CS$85</f>
        <v>0.36675370119333017</v>
      </c>
      <c r="CT62" s="120">
        <f>CT61/'Income Statement'!CT$85</f>
        <v>0.42983246176987894</v>
      </c>
      <c r="CU62" s="120">
        <f>CU61/'Income Statement'!CU$85</f>
        <v>0.38810335170449928</v>
      </c>
      <c r="CV62" s="120">
        <f>CV61/'Income Statement'!CV$85</f>
        <v>0.38202317276654141</v>
      </c>
      <c r="CW62" s="120">
        <f>CW61/'Income Statement'!CW$85</f>
        <v>0.43271166109827258</v>
      </c>
      <c r="CX62" s="44">
        <f>CX61/'Income Statement'!CX$85</f>
        <v>0.44909609181451404</v>
      </c>
      <c r="CY62" s="120">
        <f>CY61/'Income Statement'!CY$85</f>
        <v>0.48754160079304748</v>
      </c>
      <c r="CZ62" s="120">
        <f>CZ61/'Income Statement'!CZ$85</f>
        <v>0.50923974722007714</v>
      </c>
      <c r="DA62" s="120">
        <f>DA61/'Income Statement'!DA$85</f>
        <v>0.52906391332264247</v>
      </c>
      <c r="DB62" s="120">
        <f>DB61/'Income Statement'!DB$85</f>
        <v>0.5466056613941298</v>
      </c>
      <c r="DC62" s="120">
        <f>DC61/'Income Statement'!DC$85</f>
        <v>0.56129217325123271</v>
      </c>
      <c r="DD62" s="123"/>
    </row>
    <row r="63" spans="1:108" x14ac:dyDescent="0.2">
      <c r="A63" s="7" t="s">
        <v>62</v>
      </c>
      <c r="B63" s="25" t="s">
        <v>82</v>
      </c>
      <c r="C63" s="22">
        <f>IF(AND(B61&lt;0,C61&gt;0),"n/a",C61/B61-1)</f>
        <v>-3.9730400851365699E-2</v>
      </c>
      <c r="D63" s="22">
        <f t="shared" ref="D63:F63" si="207">IF(AND(C61&lt;0,D61&gt;0),"n/a",D61/C61-1)</f>
        <v>6.7233099371998506E-2</v>
      </c>
      <c r="E63" s="22">
        <f t="shared" si="207"/>
        <v>0.16407061266874345</v>
      </c>
      <c r="F63" s="22">
        <f t="shared" si="207"/>
        <v>-0.19803746654772525</v>
      </c>
      <c r="G63" s="22">
        <f t="shared" ref="G63" si="208">IF(AND(F61&lt;0,G61&gt;0),"n/a",G61/F61-1)</f>
        <v>0.23692992213570641</v>
      </c>
      <c r="H63" s="22">
        <f t="shared" ref="H63" si="209">IF(AND(G61&lt;0,H61&gt;0),"n/a",H61/G61-1)</f>
        <v>6.4148681055155921E-2</v>
      </c>
      <c r="I63" s="22">
        <f t="shared" ref="I63" si="210">IF(AND(H61&lt;0,I61&gt;0),"n/a",I61/H61-1)</f>
        <v>0.12957746478873244</v>
      </c>
      <c r="J63" s="22">
        <f t="shared" ref="J63" si="211">IF(AND(I61&lt;0,J61&gt;0),"n/a",J61/I61-1)</f>
        <v>-2.7431421446383997E-2</v>
      </c>
      <c r="K63" s="22">
        <f t="shared" ref="K63" si="212">IF(AND(J61&lt;0,K61&gt;0),"n/a",K61/J61-1)</f>
        <v>5.282051282051281E-2</v>
      </c>
      <c r="L63" s="22">
        <f t="shared" ref="L63" si="213">IF(AND(K61&lt;0,L61&gt;0),"n/a",L61/K61-1)</f>
        <v>-3.6531904529956138E-3</v>
      </c>
      <c r="M63" s="22">
        <f t="shared" ref="M63" si="214">IF(AND(L61&lt;0,M61&gt;0),"n/a",M61/L61-1)</f>
        <v>0.14886335859203137</v>
      </c>
      <c r="N63" s="22">
        <f t="shared" ref="N63" si="215">IF(AND(M61&lt;0,N61&gt;0),"n/a",N61/M61-1)</f>
        <v>-1.1914893617021249E-2</v>
      </c>
      <c r="O63" s="22">
        <f t="shared" ref="O63" si="216">IF(AND(N61&lt;0,O61&gt;0),"n/a",O61/N61-1)</f>
        <v>-3.2730404823428039E-2</v>
      </c>
      <c r="P63" s="22">
        <f t="shared" ref="P63" si="217">IF(AND(O61&lt;0,P61&gt;0),"n/a",P61/O61-1)</f>
        <v>5.3428317008014314E-2</v>
      </c>
      <c r="Q63" s="22">
        <f t="shared" ref="Q63" si="218">IF(AND(P61&lt;0,Q61&gt;0),"n/a",Q61/P61-1)</f>
        <v>0.15680473372781067</v>
      </c>
      <c r="R63" s="22">
        <f t="shared" ref="R63" si="219">IF(AND(Q61&lt;0,R61&gt;0),"n/a",R61/Q61-1)</f>
        <v>-4.9872122762148363E-2</v>
      </c>
      <c r="S63" s="22">
        <f t="shared" ref="S63" si="220">IF(AND(R61&lt;0,S61&gt;0),"n/a",S61/R61-1)</f>
        <v>2.6148817535089464E-2</v>
      </c>
      <c r="T63" s="22">
        <f t="shared" ref="T63" si="221">IF(AND(S61&lt;0,T61&gt;0),"n/a",T61/S61-1)</f>
        <v>-1.2366498032602591E-2</v>
      </c>
      <c r="U63" s="22">
        <f t="shared" ref="U63" si="222">IF(AND(T61&lt;0,U61&gt;0),"n/a",U61/T61-1)</f>
        <v>7.4938341870612879E-2</v>
      </c>
      <c r="V63" s="22">
        <f t="shared" ref="V63" si="223">IF(AND(U61&lt;0,V61&gt;0),"n/a",V61/U61-1)</f>
        <v>-7.4126367807977322E-3</v>
      </c>
      <c r="W63" s="22">
        <f t="shared" ref="W63" si="224">IF(AND(V61&lt;0,W61&gt;0),"n/a",W61/V61-1)</f>
        <v>7.734708392603129E-2</v>
      </c>
      <c r="X63" s="22">
        <f t="shared" ref="X63" si="225">IF(AND(W61&lt;0,X61&gt;0),"n/a",X61/W61-1)</f>
        <v>-1.6999504868790205E-2</v>
      </c>
      <c r="Y63" s="22">
        <f t="shared" ref="Y63" si="226">IF(AND(X61&lt;0,Y61&gt;0),"n/a",Y61/X61-1)</f>
        <v>0.13901947615849553</v>
      </c>
      <c r="Z63" s="22">
        <f t="shared" ref="Z63" si="227">IF(AND(Y61&lt;0,Z61&gt;0),"n/a",Z61/Y61-1)</f>
        <v>-1.046580188679247E-2</v>
      </c>
      <c r="AA63" s="22">
        <f t="shared" ref="AA63" si="228">IF(AND(Z61&lt;0,AA61&gt;0),"n/a",AA61/Z61-1)</f>
        <v>0.11097869804856253</v>
      </c>
      <c r="AB63" s="22">
        <f t="shared" ref="AB63" si="229">IF(AND(AA61&lt;0,AB61&gt;0),"n/a",AB61/AA61-1)</f>
        <v>-1.2737999463663163E-2</v>
      </c>
      <c r="AC63" s="22">
        <f t="shared" ref="AC63" si="230">IF(AND(AB61&lt;0,AC61&gt;0),"n/a",AC61/AB61-1)</f>
        <v>0.13078908053782423</v>
      </c>
      <c r="AD63" s="22">
        <f t="shared" ref="AD63" si="231">IF(AND(AC61&lt;0,AD61&gt;0),"n/a",AD61/AC61-1)</f>
        <v>-3.0626951717511397E-2</v>
      </c>
      <c r="AE63" s="22">
        <f t="shared" ref="AE63" si="232">IF(AND(AD61&lt;0,AE61&gt;0),"n/a",AE61/AD61-1)</f>
        <v>-0.28670548878701529</v>
      </c>
      <c r="AF63" s="22">
        <f t="shared" ref="AF63" si="233">IF(AND(AE61&lt;0,AF61&gt;0),"n/a",AF61/AE61-1)</f>
        <v>0.65763418447107869</v>
      </c>
      <c r="AG63" s="22">
        <f t="shared" ref="AG63" si="234">IF(AND(AF61&lt;0,AG61&gt;0),"n/a",AG61/AF61-1)</f>
        <v>1.5403961018547685E-2</v>
      </c>
      <c r="AH63" s="22">
        <f t="shared" ref="AH63" si="235">IF(AND(AG61&lt;0,AH61&gt;0),"n/a",AH61/AG61-1)</f>
        <v>-7.3271413828689402E-3</v>
      </c>
      <c r="AI63" s="22">
        <f t="shared" ref="AI63" si="236">IF(AND(AH61&lt;0,AI61&gt;0),"n/a",AI61/AH61-1)</f>
        <v>-0.48840835845722008</v>
      </c>
      <c r="AJ63" s="22">
        <f t="shared" ref="AJ63" si="237">IF(AND(AI61&lt;0,AJ61&gt;0),"n/a",AJ61/AI61-1)</f>
        <v>1.167242430400325</v>
      </c>
      <c r="AK63" s="22">
        <f t="shared" ref="AK63" si="238">IF(AND(AJ61&lt;0,AK61&gt;0),"n/a",AK61/AJ61-1)</f>
        <v>1.1064228785747865E-2</v>
      </c>
      <c r="AL63" s="22">
        <f t="shared" ref="AL63" si="239">IF(AND(AK61&lt;0,AL61&gt;0),"n/a",AL61/AK61-1)</f>
        <v>-0.14485764629509412</v>
      </c>
      <c r="AM63" s="22">
        <f t="shared" ref="AM63" si="240">IF(AND(AL61&lt;0,AM61&gt;0),"n/a",AM61/AL61-1)</f>
        <v>0.30300401257998044</v>
      </c>
      <c r="AN63" s="22">
        <f t="shared" ref="AN63" si="241">IF(AND(AM61&lt;0,AN61&gt;0),"n/a",AN61/AM61-1)</f>
        <v>6.8248023304202654E-3</v>
      </c>
      <c r="AO63" s="22">
        <f t="shared" ref="AO63" si="242">IF(AND(AN61&lt;0,AO61&gt;0),"n/a",AO61/AN61-1)</f>
        <v>4.8111101926097355E-2</v>
      </c>
      <c r="AP63" s="22">
        <f t="shared" ref="AP63" si="243">IF(AND(AO61&lt;0,AP61&gt;0),"n/a",AP61/AO61-1)</f>
        <v>-0.1257196939821752</v>
      </c>
      <c r="AQ63" s="22">
        <f t="shared" ref="AQ63" si="244">IF(AND(AP61&lt;0,AQ61&gt;0),"n/a",AQ61/AP61-1)</f>
        <v>-0.11871898962562022</v>
      </c>
      <c r="AR63" s="22">
        <f t="shared" ref="AR63" si="245">IF(AND(AQ61&lt;0,AR61&gt;0),"n/a",AR61/AQ61-1)</f>
        <v>0.50383867335448862</v>
      </c>
      <c r="AS63" s="22">
        <f t="shared" ref="AS63" si="246">IF(AND(AR61&lt;0,AS61&gt;0),"n/a",AS61/AR61-1)</f>
        <v>0.31890272956231702</v>
      </c>
      <c r="AT63" s="22">
        <f t="shared" ref="AT63" si="247">IF(AND(AS61&lt;0,AT61&gt;0),"n/a",AT61/AS61-1)</f>
        <v>-9.5995045417011093E-3</v>
      </c>
      <c r="AU63" s="22">
        <f t="shared" ref="AU63" si="248">IF(AND(AT61&lt;0,AU61&gt;0),"n/a",AU61/AT61-1)</f>
        <v>0.1623762376237623</v>
      </c>
      <c r="AV63" s="22">
        <f t="shared" ref="AV63" si="249">IF(AND(AU61&lt;0,AV61&gt;0),"n/a",AV61/AU61-1)</f>
        <v>9.0962072984847042E-2</v>
      </c>
      <c r="AW63" s="22">
        <f t="shared" ref="AW63" si="250">IF(AND(AV61&lt;0,AW61&gt;0),"n/a",AW61/AV61-1)</f>
        <v>4.0641051982740928E-2</v>
      </c>
      <c r="AX63" s="22">
        <f t="shared" ref="AX63" si="251">IF(AND(AW61&lt;0,AX61&gt;0),"n/a",AX61/AW61-1)</f>
        <v>-5.7178960669720391E-2</v>
      </c>
      <c r="AY63" s="22">
        <f t="shared" ref="AY63" si="252">IF(AND(AX61&lt;0,AY61&gt;0),"n/a",AY61/AX61-1)</f>
        <v>-2.1946724744513313E-2</v>
      </c>
      <c r="AZ63" s="22">
        <f t="shared" ref="AZ63" si="253">IF(AND(AY61&lt;0,AZ61&gt;0),"n/a",AZ61/AY61-1)</f>
        <v>-9.2968482356971527E-2</v>
      </c>
      <c r="BA63" s="22">
        <f t="shared" ref="BA63" si="254">IF(AND(AZ61&lt;0,BA61&gt;0),"n/a",BA61/AZ61-1)</f>
        <v>5.5710306406685284E-2</v>
      </c>
      <c r="BB63" s="22">
        <f t="shared" ref="BB63" si="255">IF(AND(BA61&lt;0,BB61&gt;0),"n/a",BB61/BA61-1)</f>
        <v>-7.8708465632127411E-2</v>
      </c>
      <c r="BC63" s="22">
        <f t="shared" ref="BC63" si="256">IF(AND(BB61&lt;0,BC61&gt;0),"n/a",BC61/BB61-1)</f>
        <v>0.22494053686714244</v>
      </c>
      <c r="BD63" s="28">
        <f t="shared" ref="BD63" si="257">IF(AND(BC61&lt;0,BD61&gt;0),"n/a",BD61/BC61-1)</f>
        <v>-3.6457301367148753E-3</v>
      </c>
      <c r="BE63" s="28">
        <f t="shared" ref="BE63:BL63" si="258">IF(AND(BD61&lt;0,BE61&gt;0),"n/a",BE61/BD61-1)</f>
        <v>7.4374577417173793E-2</v>
      </c>
      <c r="BF63" s="28">
        <f t="shared" si="258"/>
        <v>6.9299966682708325E-2</v>
      </c>
      <c r="BG63" s="28">
        <f t="shared" si="258"/>
        <v>7.7825861173619559E-2</v>
      </c>
      <c r="BH63" s="28">
        <f t="shared" si="258"/>
        <v>4.4101114572961064E-2</v>
      </c>
      <c r="BI63" s="28">
        <f t="shared" si="258"/>
        <v>8.2169445640804861E-2</v>
      </c>
      <c r="BJ63" s="28">
        <f t="shared" si="258"/>
        <v>-2.38792392756626E-3</v>
      </c>
      <c r="BK63" s="28">
        <f t="shared" si="258"/>
        <v>3.351095660103165E-2</v>
      </c>
      <c r="BL63" s="28">
        <f t="shared" si="258"/>
        <v>1.5715900631393165E-2</v>
      </c>
      <c r="BM63" s="22">
        <f t="shared" ref="BM63" si="259">IF(AND(BL61&lt;0,BM61&gt;0),"n/a",BM61/BL61-1)</f>
        <v>0.2222922658922708</v>
      </c>
      <c r="BN63" s="22">
        <f t="shared" ref="BN63" si="260">IF(AND(BM61&lt;0,BN61&gt;0),"n/a",BN61/BM61-1)</f>
        <v>-4.5378610622963333E-2</v>
      </c>
      <c r="BO63" s="22">
        <f t="shared" ref="BO63" si="261">IF(AND(BN61&lt;0,BO61&gt;0),"n/a",BO61/BN61-1)</f>
        <v>8.9605292485462229E-2</v>
      </c>
      <c r="BP63" s="22">
        <f t="shared" ref="BP63" si="262">IF(AND(BO61&lt;0,BP61&gt;0),"n/a",BP61/BO61-1)</f>
        <v>4.4883397485155241E-2</v>
      </c>
      <c r="BQ63" s="22">
        <f t="shared" ref="BQ63" si="263">IF(AND(BP61&lt;0,BQ61&gt;0),"n/a",BQ61/BP61-1)</f>
        <v>6.9068147453783757E-2</v>
      </c>
      <c r="BR63" s="28">
        <f>IF(AND(BQ61&lt;0,BR61&gt;0),"n/a",BR61/BQ61-1)</f>
        <v>-2.3908940863721417E-2</v>
      </c>
      <c r="BS63" s="28">
        <f t="shared" ref="BS63" si="264">IF(AND(BR61&lt;0,BS61&gt;0),"n/a",BS61/BR61-1)</f>
        <v>9.2662627278653931E-2</v>
      </c>
      <c r="BT63" s="28">
        <f t="shared" ref="BT63" si="265">IF(AND(BS61&lt;0,BT61&gt;0),"n/a",BT61/BS61-1)</f>
        <v>4.7045313824711554E-2</v>
      </c>
      <c r="BU63" s="28">
        <f t="shared" ref="BU63" si="266">IF(AND(BT61&lt;0,BU61&gt;0),"n/a",BU61/BT61-1)</f>
        <v>6.9690887486846265E-2</v>
      </c>
      <c r="BV63" s="28">
        <f t="shared" ref="BV63" si="267">IF(AND(BU61&lt;0,BV61&gt;0),"n/a",BV61/BU61-1)</f>
        <v>-3.8699252536321005E-2</v>
      </c>
      <c r="BW63" s="28">
        <f t="shared" ref="BW63" si="268">IF(AND(BV61&lt;0,BW61&gt;0),"n/a",BW61/BV61-1)</f>
        <v>9.4200568975323362E-2</v>
      </c>
      <c r="BX63" s="28">
        <f t="shared" ref="BX63" si="269">IF(AND(BW61&lt;0,BX61&gt;0),"n/a",BX61/BW61-1)</f>
        <v>4.9120447074658902E-2</v>
      </c>
      <c r="BY63" s="28">
        <f t="shared" ref="BY63" si="270">IF(AND(BX61&lt;0,BY61&gt;0),"n/a",BY61/BX61-1)</f>
        <v>6.9585932432042696E-2</v>
      </c>
      <c r="BZ63" s="28">
        <f t="shared" ref="BZ63" si="271">IF(AND(BY61&lt;0,BZ61&gt;0),"n/a",BZ61/BY61-1)</f>
        <v>-5.4463496449264848E-2</v>
      </c>
      <c r="CA63" s="28">
        <f t="shared" ref="CA63" si="272">IF(AND(BZ61&lt;0,CA61&gt;0),"n/a",CA61/BZ61-1)</f>
        <v>9.4607970124839236E-2</v>
      </c>
      <c r="CB63" s="28">
        <f t="shared" ref="CB63" si="273">IF(AND(CA61&lt;0,CB61&gt;0),"n/a",CB61/CA61-1)</f>
        <v>5.0801624652554223E-2</v>
      </c>
      <c r="CC63" s="28">
        <f t="shared" ref="CC63" si="274">IF(AND(CB61&lt;0,CC61&gt;0),"n/a",CC61/CB61-1)</f>
        <v>6.910630711088328E-2</v>
      </c>
      <c r="CD63" s="28">
        <f t="shared" ref="CD63" si="275">IF(AND(CC61&lt;0,CD61&gt;0),"n/a",CD61/CC61-1)</f>
        <v>-7.0165885196671329E-2</v>
      </c>
      <c r="CE63" s="28">
        <f t="shared" ref="CE63" si="276">IF(AND(CD61&lt;0,CE61&gt;0),"n/a",CE61/CD61-1)</f>
        <v>9.6761339834874338E-2</v>
      </c>
      <c r="CF63" s="28">
        <f t="shared" ref="CF63" si="277">IF(AND(CE61&lt;0,CF61&gt;0),"n/a",CF61/CE61-1)</f>
        <v>5.1076356487310681E-2</v>
      </c>
      <c r="CG63" s="28">
        <f t="shared" ref="CG63" si="278">IF(AND(CF61&lt;0,CG61&gt;0),"n/a",CG61/CF61-1)</f>
        <v>6.7617779308362769E-2</v>
      </c>
      <c r="CH63" s="28"/>
      <c r="CI63" s="106" t="s">
        <v>82</v>
      </c>
      <c r="CJ63" s="48" t="s">
        <v>82</v>
      </c>
      <c r="CK63" s="106" t="s">
        <v>82</v>
      </c>
      <c r="CL63" s="48" t="s">
        <v>82</v>
      </c>
      <c r="CM63" s="106" t="s">
        <v>82</v>
      </c>
      <c r="CN63" s="48" t="s">
        <v>82</v>
      </c>
      <c r="CO63" s="106" t="s">
        <v>82</v>
      </c>
      <c r="CP63" s="48" t="s">
        <v>82</v>
      </c>
      <c r="CQ63" s="106" t="s">
        <v>82</v>
      </c>
      <c r="CR63" s="106" t="s">
        <v>82</v>
      </c>
      <c r="CS63" s="106" t="s">
        <v>82</v>
      </c>
      <c r="CT63" s="106" t="s">
        <v>82</v>
      </c>
      <c r="CU63" s="106" t="s">
        <v>82</v>
      </c>
      <c r="CV63" s="106" t="s">
        <v>82</v>
      </c>
      <c r="CW63" s="106" t="s">
        <v>82</v>
      </c>
      <c r="CX63" s="48" t="s">
        <v>82</v>
      </c>
      <c r="CY63" s="106" t="s">
        <v>82</v>
      </c>
      <c r="CZ63" s="106" t="s">
        <v>82</v>
      </c>
      <c r="DA63" s="106" t="s">
        <v>82</v>
      </c>
      <c r="DB63" s="106" t="s">
        <v>82</v>
      </c>
      <c r="DC63" s="106" t="s">
        <v>82</v>
      </c>
    </row>
    <row r="64" spans="1:108" x14ac:dyDescent="0.2">
      <c r="A64" s="7" t="s">
        <v>63</v>
      </c>
      <c r="B64" s="25" t="s">
        <v>82</v>
      </c>
      <c r="C64" s="25" t="s">
        <v>82</v>
      </c>
      <c r="D64" s="25" t="s">
        <v>82</v>
      </c>
      <c r="E64" s="25" t="s">
        <v>82</v>
      </c>
      <c r="F64" s="22">
        <f>IF(AND(B61&lt;0,F61&gt;0),"n/a",F61/B61-1)</f>
        <v>-4.3277758070237704E-2</v>
      </c>
      <c r="G64" s="22">
        <f t="shared" ref="G64:BQ64" si="279">IF(AND(C61&lt;0,G61&gt;0),"n/a",G61/C61-1)</f>
        <v>0.23236054673069817</v>
      </c>
      <c r="H64" s="22">
        <f t="shared" si="279"/>
        <v>0.22879889235029416</v>
      </c>
      <c r="I64" s="22">
        <f t="shared" si="279"/>
        <v>0.19238774903360101</v>
      </c>
      <c r="J64" s="22">
        <f t="shared" si="279"/>
        <v>0.4460511679644048</v>
      </c>
      <c r="K64" s="22">
        <f t="shared" si="279"/>
        <v>0.23081534772182244</v>
      </c>
      <c r="L64" s="22">
        <f t="shared" si="279"/>
        <v>0.15239436619718316</v>
      </c>
      <c r="M64" s="22">
        <f t="shared" si="279"/>
        <v>0.17206982543640903</v>
      </c>
      <c r="N64" s="22">
        <f t="shared" si="279"/>
        <v>0.1907692307692308</v>
      </c>
      <c r="O64" s="22">
        <f t="shared" si="279"/>
        <v>9.40087676570871E-2</v>
      </c>
      <c r="P64" s="22">
        <f t="shared" si="279"/>
        <v>0.15668540699095579</v>
      </c>
      <c r="Q64" s="22">
        <f t="shared" si="279"/>
        <v>0.16468085106382979</v>
      </c>
      <c r="R64" s="22">
        <f t="shared" si="279"/>
        <v>0.11993970714900937</v>
      </c>
      <c r="S64" s="22">
        <f t="shared" si="279"/>
        <v>0.18811219946571689</v>
      </c>
      <c r="T64" s="22">
        <f t="shared" si="279"/>
        <v>0.11390532544378695</v>
      </c>
      <c r="U64" s="22">
        <f t="shared" si="279"/>
        <v>3.5074899525027403E-2</v>
      </c>
      <c r="V64" s="22">
        <f t="shared" si="279"/>
        <v>8.1330513362814827E-2</v>
      </c>
      <c r="W64" s="22">
        <f t="shared" si="279"/>
        <v>0.13528199362937987</v>
      </c>
      <c r="X64" s="22">
        <f t="shared" si="279"/>
        <v>0.12995636501612595</v>
      </c>
      <c r="Y64" s="22">
        <f t="shared" si="279"/>
        <v>0.1973173314507588</v>
      </c>
      <c r="Z64" s="22">
        <f t="shared" si="279"/>
        <v>0.19363442389758179</v>
      </c>
      <c r="AA64" s="22">
        <f t="shared" si="279"/>
        <v>0.23089618748968466</v>
      </c>
      <c r="AB64" s="22">
        <f t="shared" si="279"/>
        <v>0.23623237071860315</v>
      </c>
      <c r="AC64" s="22">
        <f t="shared" si="279"/>
        <v>0.22729952830188682</v>
      </c>
      <c r="AD64" s="22">
        <f t="shared" si="279"/>
        <v>0.20229405630865482</v>
      </c>
      <c r="AE64" s="22">
        <f t="shared" si="279"/>
        <v>-0.22807723250201128</v>
      </c>
      <c r="AF64" s="22">
        <f t="shared" si="279"/>
        <v>0.29607496944180367</v>
      </c>
      <c r="AG64" s="22">
        <f t="shared" si="279"/>
        <v>0.16382416526543353</v>
      </c>
      <c r="AH64" s="22">
        <f t="shared" si="279"/>
        <v>0.19179779457316326</v>
      </c>
      <c r="AI64" s="22">
        <f t="shared" si="279"/>
        <v>-0.1452145214521452</v>
      </c>
      <c r="AJ64" s="22">
        <f t="shared" si="279"/>
        <v>0.11757309022320017</v>
      </c>
      <c r="AK64" s="22">
        <f t="shared" si="279"/>
        <v>0.11279669762641897</v>
      </c>
      <c r="AL64" s="22">
        <f t="shared" si="279"/>
        <v>-4.1376442457635942E-2</v>
      </c>
      <c r="AM64" s="22">
        <f t="shared" si="279"/>
        <v>1.441576915261126</v>
      </c>
      <c r="AN64" s="22">
        <f t="shared" si="279"/>
        <v>0.1342709798406001</v>
      </c>
      <c r="AO64" s="22">
        <f t="shared" si="279"/>
        <v>0.17583232866549192</v>
      </c>
      <c r="AP64" s="22">
        <f t="shared" si="279"/>
        <v>0.20214727253009435</v>
      </c>
      <c r="AQ64" s="22">
        <f t="shared" si="279"/>
        <v>-0.18693300041614647</v>
      </c>
      <c r="AR64" s="22">
        <f t="shared" si="279"/>
        <v>0.21443333057782921</v>
      </c>
      <c r="AS64" s="22">
        <f t="shared" si="279"/>
        <v>0.5281962299865921</v>
      </c>
      <c r="AT64" s="22">
        <f t="shared" si="279"/>
        <v>0.73116824537663505</v>
      </c>
      <c r="AU64" s="22">
        <f t="shared" si="279"/>
        <v>1.2833452758726582</v>
      </c>
      <c r="AV64" s="22">
        <f t="shared" si="279"/>
        <v>0.6564563338098155</v>
      </c>
      <c r="AW64" s="22">
        <f t="shared" si="279"/>
        <v>0.30697770437654825</v>
      </c>
      <c r="AX64" s="22">
        <f t="shared" si="279"/>
        <v>0.24418968212610737</v>
      </c>
      <c r="AY64" s="22">
        <f t="shared" si="279"/>
        <v>4.6893212588541289E-2</v>
      </c>
      <c r="AZ64" s="22">
        <f t="shared" si="279"/>
        <v>-0.12960756112595029</v>
      </c>
      <c r="BA64" s="22">
        <f t="shared" si="279"/>
        <v>-0.11700363291739058</v>
      </c>
      <c r="BB64" s="22">
        <f t="shared" si="279"/>
        <v>-0.13716702965320826</v>
      </c>
      <c r="BC64" s="22">
        <f t="shared" si="279"/>
        <v>8.0635491606714682E-2</v>
      </c>
      <c r="BD64" s="28">
        <f t="shared" si="279"/>
        <v>0.18705443557905665</v>
      </c>
      <c r="BE64" s="28">
        <f t="shared" si="279"/>
        <v>0.20804078529582748</v>
      </c>
      <c r="BF64" s="28">
        <f t="shared" si="279"/>
        <v>0.40211640211640209</v>
      </c>
      <c r="BG64" s="28">
        <f t="shared" si="279"/>
        <v>0.23372300376461275</v>
      </c>
      <c r="BH64" s="28">
        <f t="shared" si="279"/>
        <v>0.29284492701746023</v>
      </c>
      <c r="BI64" s="28">
        <f t="shared" si="279"/>
        <v>0.30222485469958915</v>
      </c>
      <c r="BJ64" s="28">
        <f t="shared" si="279"/>
        <v>0.21492123939761121</v>
      </c>
      <c r="BK64" s="28">
        <f t="shared" si="279"/>
        <v>0.16496964635595668</v>
      </c>
      <c r="BL64" s="28">
        <f t="shared" si="279"/>
        <v>0.133298467975143</v>
      </c>
      <c r="BM64" s="22">
        <f t="shared" si="279"/>
        <v>0.28004164036743795</v>
      </c>
      <c r="BN64" s="22">
        <f t="shared" si="279"/>
        <v>0.22488004956678398</v>
      </c>
      <c r="BO64" s="22">
        <f t="shared" si="279"/>
        <v>0.29136104087093417</v>
      </c>
      <c r="BP64" s="22">
        <f t="shared" si="279"/>
        <v>0.3284440175903689</v>
      </c>
      <c r="BQ64" s="22">
        <f t="shared" si="279"/>
        <v>0.16191292746555708</v>
      </c>
      <c r="BR64" s="28">
        <f>IF(AND(BN61&lt;0,BR61&gt;0),"n/a",BR61/BN61-1)</f>
        <v>0.18804463488304801</v>
      </c>
      <c r="BS64" s="28">
        <f t="shared" ref="BS64" si="280">IF(AND(BO61&lt;0,BS61&gt;0),"n/a",BS61/BO61-1)</f>
        <v>0.19137818164823228</v>
      </c>
      <c r="BT64" s="28">
        <f t="shared" ref="BT64" si="281">IF(AND(BP61&lt;0,BT61&gt;0),"n/a",BT61/BP61-1)</f>
        <v>0.19384320306946989</v>
      </c>
      <c r="BU64" s="28">
        <f t="shared" ref="BU64" si="282">IF(AND(BQ61&lt;0,BU61&gt;0),"n/a",BU61/BQ61-1)</f>
        <v>0.19453862548713485</v>
      </c>
      <c r="BV64" s="28">
        <f t="shared" ref="BV64" si="283">IF(AND(BR61&lt;0,BV61&gt;0),"n/a",BV61/BR61-1)</f>
        <v>0.17643826649855132</v>
      </c>
      <c r="BW64" s="28">
        <f t="shared" ref="BW64" si="284">IF(AND(BS61&lt;0,BW61&gt;0),"n/a",BW61/BS61-1)</f>
        <v>0.17809412386791323</v>
      </c>
      <c r="BX64" s="28">
        <f t="shared" ref="BX64" si="285">IF(AND(BT61&lt;0,BX61&gt;0),"n/a",BX61/BT61-1)</f>
        <v>0.18042898202135427</v>
      </c>
      <c r="BY64" s="28">
        <f t="shared" ref="BY64" si="286">IF(AND(BU61&lt;0,BY61&gt;0),"n/a",BY61/BU61-1)</f>
        <v>0.1803131616568463</v>
      </c>
      <c r="BZ64" s="28">
        <f t="shared" ref="BZ64" si="287">IF(AND(BV61&lt;0,BZ61&gt;0),"n/a",BZ61/BV61-1)</f>
        <v>0.16095736210804845</v>
      </c>
      <c r="CA64" s="28">
        <f t="shared" ref="CA64" si="288">IF(AND(BW61&lt;0,CA61&gt;0),"n/a",CA61/BW61-1)</f>
        <v>0.16138961865887858</v>
      </c>
      <c r="CB64" s="28">
        <f t="shared" ref="CB64" si="289">IF(AND(BX61&lt;0,CB61&gt;0),"n/a",CB61/BX61-1)</f>
        <v>0.16325070352433335</v>
      </c>
      <c r="CC64" s="28">
        <f t="shared" ref="CC64" si="290">IF(AND(BY61&lt;0,CC61&gt;0),"n/a",CC61/BY61-1)</f>
        <v>0.16272907690664007</v>
      </c>
      <c r="CD64" s="28">
        <f t="shared" ref="CD64" si="291">IF(AND(BZ61&lt;0,CD61&gt;0),"n/a",CD61/BZ61-1)</f>
        <v>0.14341980232555418</v>
      </c>
      <c r="CE64" s="28">
        <f t="shared" ref="CE64" si="292">IF(AND(CA61&lt;0,CE61&gt;0),"n/a",CE61/CA61-1)</f>
        <v>0.14566919720973459</v>
      </c>
      <c r="CF64" s="28">
        <f t="shared" ref="CF64" si="293">IF(AND(CB61&lt;0,CF61&gt;0),"n/a",CF61/CB61-1)</f>
        <v>0.14596873214876505</v>
      </c>
      <c r="CG64" s="28">
        <f t="shared" ref="CG64" si="294">IF(AND(CC61&lt;0,CG61&gt;0),"n/a",CG61/CC61-1)</f>
        <v>0.1443731879944774</v>
      </c>
      <c r="CH64" s="28"/>
      <c r="CI64" s="106" t="s">
        <v>82</v>
      </c>
      <c r="CJ64" s="22">
        <f>IF(AND(CI61&lt;0,CJ61&gt;0),"n/a",CJ61/CI61-1)</f>
        <v>0.15410086602139583</v>
      </c>
      <c r="CK64" s="107">
        <f t="shared" ref="CK64:CY64" si="295">IF(AND(CJ61&lt;0,CK61&gt;0),"n/a",CK61/CJ61-1)</f>
        <v>0.23570955638931812</v>
      </c>
      <c r="CL64" s="22">
        <f t="shared" si="295"/>
        <v>0.1515151515151516</v>
      </c>
      <c r="CM64" s="107">
        <f t="shared" si="295"/>
        <v>0.11027815117361173</v>
      </c>
      <c r="CN64" s="22">
        <f t="shared" si="295"/>
        <v>0.13727590221187436</v>
      </c>
      <c r="CO64" s="107">
        <f t="shared" si="295"/>
        <v>0.22261802399377628</v>
      </c>
      <c r="CP64" s="22">
        <f t="shared" si="295"/>
        <v>0.1072002679169457</v>
      </c>
      <c r="CQ64" s="107">
        <f t="shared" si="295"/>
        <v>8.8533317201536565E-2</v>
      </c>
      <c r="CR64" s="107">
        <f t="shared" si="295"/>
        <v>0.27853729020784712</v>
      </c>
      <c r="CS64" s="107">
        <f t="shared" si="295"/>
        <v>0.19362340259062849</v>
      </c>
      <c r="CT64" s="107">
        <f t="shared" si="295"/>
        <v>0.65974763751570431</v>
      </c>
      <c r="CU64" s="107">
        <f t="shared" si="295"/>
        <v>-4.2235752290055162E-3</v>
      </c>
      <c r="CV64" s="107">
        <f t="shared" si="295"/>
        <v>7.9563732510741447E-2</v>
      </c>
      <c r="CW64" s="107">
        <f t="shared" si="295"/>
        <v>0.30317781043350478</v>
      </c>
      <c r="CX64" s="22">
        <f t="shared" si="295"/>
        <v>0.19990465840678895</v>
      </c>
      <c r="CY64" s="107">
        <f t="shared" si="295"/>
        <v>0.24701101960935778</v>
      </c>
      <c r="CZ64" s="107">
        <f>IF(AND(CY61&lt;0,CZ61&gt;0),"n/a",CZ61/CY61-1)</f>
        <v>0.19212496012569091</v>
      </c>
      <c r="DA64" s="107">
        <f>IF(AND(CZ61&lt;0,DA61&gt;0),"n/a",DA61/CZ61-1)</f>
        <v>0.17893057910799026</v>
      </c>
      <c r="DB64" s="107">
        <f>IF(AND(DA61&lt;0,DB61&gt;0),"n/a",DB61/DA61-1)</f>
        <v>0.16213879425938238</v>
      </c>
      <c r="DC64" s="107">
        <f>IF(AND(DB61&lt;0,DC61&gt;0),"n/a",DC61/DB61-1)</f>
        <v>0.14488731084959783</v>
      </c>
    </row>
    <row r="65" spans="1:107" hidden="1" outlineLevel="1" x14ac:dyDescent="0.2">
      <c r="A65" s="7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CI65" s="92"/>
      <c r="CK65" s="92"/>
      <c r="CM65" s="92"/>
      <c r="CO65" s="92"/>
      <c r="CQ65" s="92"/>
      <c r="CR65" s="92"/>
      <c r="CS65" s="92"/>
      <c r="CT65" s="92"/>
      <c r="CU65" s="115"/>
      <c r="CV65" s="115"/>
      <c r="CW65" s="115"/>
      <c r="CX65" s="33"/>
      <c r="CY65" s="115"/>
      <c r="CZ65" s="115"/>
      <c r="DA65" s="115"/>
      <c r="DB65" s="115"/>
      <c r="DC65" s="115"/>
    </row>
    <row r="66" spans="1:107" hidden="1" outlineLevel="1" x14ac:dyDescent="0.2">
      <c r="A66" s="9" t="s">
        <v>187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1">
        <f>U58+U51</f>
        <v>6490</v>
      </c>
      <c r="V66" s="21">
        <f t="shared" ref="V66:AR66" si="296">V58+V51</f>
        <v>6365</v>
      </c>
      <c r="W66" s="21">
        <f t="shared" si="296"/>
        <v>6864</v>
      </c>
      <c r="X66" s="21">
        <f t="shared" si="296"/>
        <v>7083</v>
      </c>
      <c r="Y66" s="21">
        <f t="shared" si="296"/>
        <v>8148</v>
      </c>
      <c r="Z66" s="21">
        <f t="shared" si="296"/>
        <v>7643</v>
      </c>
      <c r="AA66" s="21">
        <f t="shared" si="296"/>
        <v>8484</v>
      </c>
      <c r="AB66" s="21">
        <f t="shared" si="296"/>
        <v>8374</v>
      </c>
      <c r="AC66" s="21">
        <f t="shared" si="296"/>
        <v>9570</v>
      </c>
      <c r="AD66" s="21">
        <f t="shared" si="296"/>
        <v>8949</v>
      </c>
      <c r="AE66" s="21">
        <f t="shared" si="296"/>
        <v>9289</v>
      </c>
      <c r="AF66" s="21">
        <f t="shared" si="296"/>
        <v>10343</v>
      </c>
      <c r="AG66" s="21">
        <f t="shared" si="296"/>
        <v>10621</v>
      </c>
      <c r="AH66" s="21">
        <f t="shared" si="296"/>
        <v>10354</v>
      </c>
      <c r="AI66" s="21">
        <f t="shared" si="296"/>
        <v>11073</v>
      </c>
      <c r="AJ66" s="21">
        <f t="shared" si="296"/>
        <v>11845</v>
      </c>
      <c r="AK66" s="21">
        <f t="shared" si="296"/>
        <v>12280</v>
      </c>
      <c r="AL66" s="21">
        <f t="shared" si="296"/>
        <v>11938</v>
      </c>
      <c r="AM66" s="21">
        <f t="shared" si="296"/>
        <v>13223</v>
      </c>
      <c r="AN66" s="21">
        <f t="shared" si="296"/>
        <v>13785</v>
      </c>
      <c r="AO66" s="21">
        <f t="shared" si="296"/>
        <v>16901</v>
      </c>
      <c r="AP66" s="21">
        <f t="shared" si="296"/>
        <v>14656</v>
      </c>
      <c r="AQ66" s="21">
        <f t="shared" si="296"/>
        <v>12925</v>
      </c>
      <c r="AR66" s="21">
        <f t="shared" si="296"/>
        <v>17931</v>
      </c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21"/>
      <c r="CI66" s="108"/>
      <c r="CJ66" s="45"/>
      <c r="CK66" s="108"/>
      <c r="CL66" s="45"/>
      <c r="CM66" s="90">
        <f t="shared" ref="CM66" si="297">SUM(R66:U66)</f>
        <v>6490</v>
      </c>
      <c r="CN66" s="21">
        <f t="shared" ref="CN66" si="298">SUM(V66:Y66)</f>
        <v>28460</v>
      </c>
      <c r="CO66" s="90">
        <f t="shared" ref="CO66" si="299">SUM(Z66:AC66)</f>
        <v>34071</v>
      </c>
      <c r="CP66" s="21">
        <f t="shared" ref="CP66" si="300">SUM(AD66:AG66)</f>
        <v>39202</v>
      </c>
      <c r="CQ66" s="90">
        <f t="shared" ref="CQ66" si="301">SUM(AH66:AK66)</f>
        <v>45552</v>
      </c>
      <c r="CR66" s="90">
        <f t="shared" ref="CR66" si="302">SUM(AL66:AO66)</f>
        <v>55847</v>
      </c>
      <c r="CS66" s="108"/>
      <c r="CT66" s="108"/>
      <c r="CU66" s="108"/>
      <c r="CV66" s="108"/>
      <c r="CW66" s="108"/>
      <c r="CX66" s="45"/>
      <c r="CY66" s="108"/>
      <c r="CZ66" s="108"/>
      <c r="DA66" s="108"/>
      <c r="DB66" s="108"/>
      <c r="DC66" s="108"/>
    </row>
    <row r="67" spans="1:107" hidden="1" outlineLevel="1" x14ac:dyDescent="0.2">
      <c r="A67" s="42" t="s">
        <v>182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44">
        <f>U66/'Income Statement'!U$80</f>
        <v>0.45154108397690113</v>
      </c>
      <c r="V67" s="44">
        <f>V66/'Income Statement'!V$80</f>
        <v>0.46013156943540806</v>
      </c>
      <c r="W67" s="44">
        <f>W66/'Income Statement'!W$80</f>
        <v>0.48080694872513308</v>
      </c>
      <c r="X67" s="44">
        <f>X66/'Income Statement'!X$80</f>
        <v>0.47324113048707156</v>
      </c>
      <c r="Y67" s="44">
        <f>Y66/'Income Statement'!Y$80</f>
        <v>0.47585119430006423</v>
      </c>
      <c r="Z67" s="44">
        <f>Z66/'Income Statement'!Z$80</f>
        <v>0.46880942157885053</v>
      </c>
      <c r="AA67" s="44">
        <f>AA66/'Income Statement'!AA$80</f>
        <v>0.48927335640138409</v>
      </c>
      <c r="AB67" s="44">
        <f>AB66/'Income Statement'!AB$80</f>
        <v>0.46336874723328908</v>
      </c>
      <c r="AC67" s="44">
        <f>AC66/'Income Statement'!AC$80</f>
        <v>0.45671470840889566</v>
      </c>
      <c r="AD67" s="44">
        <f>AD66/'Income Statement'!AD$80</f>
        <v>0.44769623292811045</v>
      </c>
      <c r="AE67" s="44">
        <f>AE66/'Income Statement'!AE$80</f>
        <v>0.44611468638939583</v>
      </c>
      <c r="AF67" s="44">
        <f>AF66/'Income Statement'!AF$80</f>
        <v>0.46688936035751366</v>
      </c>
      <c r="AG67" s="44">
        <f>AG66/'Income Statement'!AG$80</f>
        <v>0.41259420402455133</v>
      </c>
      <c r="AH67" s="44">
        <f>AH66/'Income Statement'!AH$80</f>
        <v>0.41905455722842805</v>
      </c>
      <c r="AI67" s="44">
        <f>AI66/'Income Statement'!AI$80</f>
        <v>0.42438295262915837</v>
      </c>
      <c r="AJ67" s="44">
        <f>AJ66/'Income Statement'!AJ$80</f>
        <v>0.43850881089885979</v>
      </c>
      <c r="AK67" s="44">
        <f>AK66/'Income Statement'!AK$80</f>
        <v>0.38907547050250302</v>
      </c>
      <c r="AL67" s="44">
        <f>AL66/'Income Statement'!AL$80</f>
        <v>0.40922802687508569</v>
      </c>
      <c r="AM67" s="44">
        <f>AM66/'Income Statement'!AM$80</f>
        <v>0.42063239597913221</v>
      </c>
      <c r="AN67" s="44">
        <f>AN66/'Income Statement'!AN$80</f>
        <v>0.42110890484191232</v>
      </c>
      <c r="AO67" s="44">
        <f>AO66/'Income Statement'!AO$80</f>
        <v>0.45297633405698051</v>
      </c>
      <c r="AP67" s="44">
        <f>AP66/'Income Statement'!AP$80</f>
        <v>0.43719237538406469</v>
      </c>
      <c r="AQ67" s="44">
        <f>AQ66/'Income Statement'!AQ$80</f>
        <v>0.41288653207257858</v>
      </c>
      <c r="AR67" s="44">
        <f>AR66/'Income Statement'!AR$80</f>
        <v>0.47372592533882857</v>
      </c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I67" s="112"/>
      <c r="CJ67" s="19"/>
      <c r="CK67" s="112"/>
      <c r="CL67" s="19"/>
      <c r="CM67" s="120">
        <f>CM66/'Income Statement'!CM$80</f>
        <v>0.12385968930111836</v>
      </c>
      <c r="CN67" s="44">
        <f>CN66/'Income Statement'!CN$80</f>
        <v>0.47276532832771306</v>
      </c>
      <c r="CO67" s="120">
        <f>CO66/'Income Statement'!CO$80</f>
        <v>0.46885191759897615</v>
      </c>
      <c r="CP67" s="44">
        <f>CP66/'Income Statement'!CP$80</f>
        <v>0.44193177462629357</v>
      </c>
      <c r="CQ67" s="120">
        <f>CQ66/'Income Statement'!CQ$80</f>
        <v>0.41647923638158979</v>
      </c>
      <c r="CR67" s="120">
        <f>CR66/'Income Statement'!CR$80</f>
        <v>0.42744194590291917</v>
      </c>
      <c r="CS67" s="261"/>
      <c r="CT67" s="261"/>
      <c r="CU67" s="112"/>
      <c r="CV67" s="112"/>
      <c r="CW67" s="112"/>
      <c r="CX67" s="19"/>
      <c r="CY67" s="112"/>
      <c r="CZ67" s="112"/>
      <c r="DA67" s="112"/>
      <c r="DB67" s="112"/>
      <c r="DC67" s="112"/>
    </row>
    <row r="68" spans="1:107" hidden="1" outlineLevel="1" x14ac:dyDescent="0.2">
      <c r="A68" s="8" t="s">
        <v>62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25" t="s">
        <v>82</v>
      </c>
      <c r="V68" s="22">
        <f>IF(AND(U66&lt;0,V66&gt;0),"n/a",V66/U66-1)</f>
        <v>-1.9260400616332829E-2</v>
      </c>
      <c r="W68" s="22">
        <f t="shared" ref="W68" si="303">IF(AND(V66&lt;0,W66&gt;0),"n/a",W66/V66-1)</f>
        <v>7.8397486252945736E-2</v>
      </c>
      <c r="X68" s="22">
        <f t="shared" ref="X68" si="304">IF(AND(W66&lt;0,X66&gt;0),"n/a",X66/W66-1)</f>
        <v>3.1905594405594373E-2</v>
      </c>
      <c r="Y68" s="22">
        <f t="shared" ref="Y68" si="305">IF(AND(X66&lt;0,Y66&gt;0),"n/a",Y66/X66-1)</f>
        <v>0.15036001694197365</v>
      </c>
      <c r="Z68" s="22">
        <f t="shared" ref="Z68" si="306">IF(AND(Y66&lt;0,Z66&gt;0),"n/a",Z66/Y66-1)</f>
        <v>-6.1978399607265589E-2</v>
      </c>
      <c r="AA68" s="22">
        <f t="shared" ref="AA68" si="307">IF(AND(Z66&lt;0,AA66&gt;0),"n/a",AA66/Z66-1)</f>
        <v>0.11003532644249647</v>
      </c>
      <c r="AB68" s="22">
        <f t="shared" ref="AB68" si="308">IF(AND(AA66&lt;0,AB66&gt;0),"n/a",AB66/AA66-1)</f>
        <v>-1.2965582272512988E-2</v>
      </c>
      <c r="AC68" s="22">
        <f t="shared" ref="AC68" si="309">IF(AND(AB66&lt;0,AC66&gt;0),"n/a",AC66/AB66-1)</f>
        <v>0.14282302364461419</v>
      </c>
      <c r="AD68" s="22">
        <f t="shared" ref="AD68" si="310">IF(AND(AC66&lt;0,AD66&gt;0),"n/a",AD66/AC66-1)</f>
        <v>-6.4890282131661481E-2</v>
      </c>
      <c r="AE68" s="22">
        <f t="shared" ref="AE68" si="311">IF(AND(AD66&lt;0,AE66&gt;0),"n/a",AE66/AD66-1)</f>
        <v>3.7993071851603499E-2</v>
      </c>
      <c r="AF68" s="22">
        <f t="shared" ref="AF68" si="312">IF(AND(AE66&lt;0,AF66&gt;0),"n/a",AF66/AE66-1)</f>
        <v>0.11346754225427924</v>
      </c>
      <c r="AG68" s="22">
        <f t="shared" ref="AG68" si="313">IF(AND(AF66&lt;0,AG66&gt;0),"n/a",AG66/AF66-1)</f>
        <v>2.6878081794450281E-2</v>
      </c>
      <c r="AH68" s="22">
        <f t="shared" ref="AH68" si="314">IF(AND(AG66&lt;0,AH66&gt;0),"n/a",AH66/AG66-1)</f>
        <v>-2.5138875812070416E-2</v>
      </c>
      <c r="AI68" s="22">
        <f t="shared" ref="AI68" si="315">IF(AND(AH66&lt;0,AI66&gt;0),"n/a",AI66/AH66-1)</f>
        <v>6.9441761638014299E-2</v>
      </c>
      <c r="AJ68" s="22">
        <f t="shared" ref="AJ68" si="316">IF(AND(AI66&lt;0,AJ66&gt;0),"n/a",AJ66/AI66-1)</f>
        <v>6.9719136638670687E-2</v>
      </c>
      <c r="AK68" s="22">
        <f t="shared" ref="AK68" si="317">IF(AND(AJ66&lt;0,AK66&gt;0),"n/a",AK66/AJ66-1)</f>
        <v>3.6724356268467817E-2</v>
      </c>
      <c r="AL68" s="22">
        <f t="shared" ref="AL68" si="318">IF(AND(AK66&lt;0,AL66&gt;0),"n/a",AL66/AK66-1)</f>
        <v>-2.7850162866449479E-2</v>
      </c>
      <c r="AM68" s="22">
        <f t="shared" ref="AM68" si="319">IF(AND(AL66&lt;0,AM66&gt;0),"n/a",AM66/AL66-1)</f>
        <v>0.10763947059809009</v>
      </c>
      <c r="AN68" s="22">
        <f t="shared" ref="AN68" si="320">IF(AND(AM66&lt;0,AN66&gt;0),"n/a",AN66/AM66-1)</f>
        <v>4.250170158057931E-2</v>
      </c>
      <c r="AO68" s="22">
        <f t="shared" ref="AO68" si="321">IF(AND(AN66&lt;0,AO66&gt;0),"n/a",AO66/AN66-1)</f>
        <v>0.22604280014508515</v>
      </c>
      <c r="AP68" s="22">
        <f t="shared" ref="AP68" si="322">IF(AND(AO66&lt;0,AP66&gt;0),"n/a",AP66/AO66-1)</f>
        <v>-0.13283237678243887</v>
      </c>
      <c r="AQ68" s="22">
        <f t="shared" ref="AQ68" si="323">IF(AND(AP66&lt;0,AQ66&gt;0),"n/a",AQ66/AP66-1)</f>
        <v>-0.11810862445414849</v>
      </c>
      <c r="AR68" s="22">
        <f t="shared" ref="AR68" si="324">IF(AND(AQ66&lt;0,AR66&gt;0),"n/a",AR66/AQ66-1)</f>
        <v>0.38731141199226315</v>
      </c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I68" s="109"/>
      <c r="CJ68" s="59"/>
      <c r="CK68" s="109"/>
      <c r="CL68" s="59"/>
      <c r="CM68" s="106" t="s">
        <v>82</v>
      </c>
      <c r="CN68" s="48" t="s">
        <v>82</v>
      </c>
      <c r="CO68" s="106" t="s">
        <v>82</v>
      </c>
      <c r="CP68" s="48" t="s">
        <v>82</v>
      </c>
      <c r="CQ68" s="106" t="s">
        <v>82</v>
      </c>
      <c r="CR68" s="106" t="s">
        <v>82</v>
      </c>
      <c r="CS68" s="109"/>
      <c r="CT68" s="109"/>
      <c r="CU68" s="109"/>
      <c r="CV68" s="109"/>
      <c r="CW68" s="109"/>
      <c r="CX68" s="59"/>
      <c r="CY68" s="109"/>
      <c r="CZ68" s="109"/>
      <c r="DA68" s="109"/>
      <c r="DB68" s="109"/>
      <c r="DC68" s="109"/>
    </row>
    <row r="69" spans="1:107" hidden="1" outlineLevel="1" x14ac:dyDescent="0.2">
      <c r="A69" s="8" t="s">
        <v>63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25" t="s">
        <v>82</v>
      </c>
      <c r="V69" s="25" t="s">
        <v>82</v>
      </c>
      <c r="W69" s="25" t="s">
        <v>82</v>
      </c>
      <c r="X69" s="25" t="s">
        <v>82</v>
      </c>
      <c r="Y69" s="22">
        <f t="shared" ref="Y69" si="325">IF(AND(U66&lt;0,Y66&gt;0),"n/a",Y66/U66-1)</f>
        <v>0.25546995377503845</v>
      </c>
      <c r="Z69" s="22">
        <f t="shared" ref="Z69" si="326">IF(AND(V66&lt;0,Z66&gt;0),"n/a",Z66/V66-1)</f>
        <v>0.20078554595443832</v>
      </c>
      <c r="AA69" s="22">
        <f t="shared" ref="AA69" si="327">IF(AND(W66&lt;0,AA66&gt;0),"n/a",AA66/W66-1)</f>
        <v>0.23601398601398604</v>
      </c>
      <c r="AB69" s="22">
        <f t="shared" ref="AB69" si="328">IF(AND(X66&lt;0,AB66&gt;0),"n/a",AB66/X66-1)</f>
        <v>0.18226740081886206</v>
      </c>
      <c r="AC69" s="22">
        <f t="shared" ref="AC69" si="329">IF(AND(Y66&lt;0,AC66&gt;0),"n/a",AC66/Y66-1)</f>
        <v>0.17452135493372611</v>
      </c>
      <c r="AD69" s="22">
        <f t="shared" ref="AD69" si="330">IF(AND(Z66&lt;0,AD66&gt;0),"n/a",AD66/Z66-1)</f>
        <v>0.17087531074185525</v>
      </c>
      <c r="AE69" s="22">
        <f t="shared" ref="AE69" si="331">IF(AND(AA66&lt;0,AE66&gt;0),"n/a",AE66/AA66-1)</f>
        <v>9.4884488448844895E-2</v>
      </c>
      <c r="AF69" s="22">
        <f t="shared" ref="AF69" si="332">IF(AND(AB66&lt;0,AF66&gt;0),"n/a",AF66/AB66-1)</f>
        <v>0.23513255314067361</v>
      </c>
      <c r="AG69" s="22">
        <f t="shared" ref="AG69" si="333">IF(AND(AC66&lt;0,AG66&gt;0),"n/a",AG66/AC66-1)</f>
        <v>0.10982236154649949</v>
      </c>
      <c r="AH69" s="22">
        <f t="shared" ref="AH69" si="334">IF(AND(AD66&lt;0,AH66&gt;0),"n/a",AH66/AD66-1)</f>
        <v>0.15700078221030278</v>
      </c>
      <c r="AI69" s="22">
        <f t="shared" ref="AI69" si="335">IF(AND(AE66&lt;0,AI66&gt;0),"n/a",AI66/AE66-1)</f>
        <v>0.19205511895790717</v>
      </c>
      <c r="AJ69" s="22">
        <f t="shared" ref="AJ69" si="336">IF(AND(AF66&lt;0,AJ66&gt;0),"n/a",AJ66/AF66-1)</f>
        <v>0.14521898868800154</v>
      </c>
      <c r="AK69" s="22">
        <f t="shared" ref="AK69" si="337">IF(AND(AG66&lt;0,AK66&gt;0),"n/a",AK66/AG66-1)</f>
        <v>0.1561999811693815</v>
      </c>
      <c r="AL69" s="22">
        <f t="shared" ref="AL69" si="338">IF(AND(AH66&lt;0,AL66&gt;0),"n/a",AL66/AH66-1)</f>
        <v>0.15298435387289944</v>
      </c>
      <c r="AM69" s="22">
        <f t="shared" ref="AM69" si="339">IF(AND(AI66&lt;0,AM66&gt;0),"n/a",AM66/AI66-1)</f>
        <v>0.19416598934344798</v>
      </c>
      <c r="AN69" s="22">
        <f t="shared" ref="AN69" si="340">IF(AND(AJ66&lt;0,AN66&gt;0),"n/a",AN66/AJ66-1)</f>
        <v>0.1637821865766147</v>
      </c>
      <c r="AO69" s="22">
        <f t="shared" ref="AO69" si="341">IF(AND(AK66&lt;0,AO66&gt;0),"n/a",AO66/AK66-1)</f>
        <v>0.37630293159609129</v>
      </c>
      <c r="AP69" s="22">
        <f t="shared" ref="AP69" si="342">IF(AND(AL66&lt;0,AP66&gt;0),"n/a",AP66/AL66-1)</f>
        <v>0.22767632769308088</v>
      </c>
      <c r="AQ69" s="22">
        <f t="shared" ref="AQ69" si="343">IF(AND(AM66&lt;0,AQ66&gt;0),"n/a",AQ66/AM66-1)</f>
        <v>-2.253648945020037E-2</v>
      </c>
      <c r="AR69" s="22">
        <f t="shared" ref="AR69" si="344">IF(AND(AN66&lt;0,AR66&gt;0),"n/a",AR66/AN66-1)</f>
        <v>0.30076169749727955</v>
      </c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I69" s="109"/>
      <c r="CJ69" s="30"/>
      <c r="CK69" s="110"/>
      <c r="CL69" s="30"/>
      <c r="CM69" s="106" t="s">
        <v>82</v>
      </c>
      <c r="CN69" s="22">
        <f t="shared" ref="CN69:CR69" si="345">IF(AND(CM66&lt;0,CN66&gt;0),"n/a",CN66/CM66-1)</f>
        <v>3.3852080123266566</v>
      </c>
      <c r="CO69" s="107">
        <f t="shared" si="345"/>
        <v>0.19715390021082224</v>
      </c>
      <c r="CP69" s="22">
        <f t="shared" si="345"/>
        <v>0.15059728214610657</v>
      </c>
      <c r="CQ69" s="107">
        <f t="shared" si="345"/>
        <v>0.16198153155451256</v>
      </c>
      <c r="CR69" s="107">
        <f t="shared" si="345"/>
        <v>0.22600544432736203</v>
      </c>
      <c r="CS69" s="110"/>
      <c r="CT69" s="110"/>
      <c r="CU69" s="110"/>
      <c r="CV69" s="110"/>
      <c r="CW69" s="110"/>
      <c r="CX69" s="30"/>
      <c r="CY69" s="110"/>
      <c r="CZ69" s="110"/>
      <c r="DA69" s="110"/>
      <c r="DB69" s="110"/>
      <c r="DC69" s="110"/>
    </row>
    <row r="70" spans="1:107" hidden="1" outlineLevel="1" x14ac:dyDescent="0.2">
      <c r="A70" s="7"/>
      <c r="CI70" s="92"/>
      <c r="CK70" s="92"/>
      <c r="CM70" s="92"/>
      <c r="CO70" s="92"/>
      <c r="CQ70" s="92"/>
      <c r="CR70" s="92"/>
      <c r="CS70" s="92"/>
      <c r="CT70" s="92"/>
      <c r="CU70" s="92"/>
      <c r="CV70" s="92"/>
      <c r="CW70" s="92"/>
      <c r="CY70" s="92"/>
      <c r="CZ70" s="92"/>
      <c r="DA70" s="92"/>
      <c r="DB70" s="92"/>
      <c r="DC70" s="92"/>
    </row>
    <row r="71" spans="1:107" hidden="1" outlineLevel="1" x14ac:dyDescent="0.2">
      <c r="A71" s="9" t="s">
        <v>188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21">
        <f>U59+U54</f>
        <v>-583</v>
      </c>
      <c r="V71" s="21">
        <f t="shared" ref="V71:AR71" si="346">V59+V54</f>
        <v>-593</v>
      </c>
      <c r="W71" s="21">
        <f t="shared" si="346"/>
        <v>-638</v>
      </c>
      <c r="X71" s="21">
        <f t="shared" si="346"/>
        <v>-951</v>
      </c>
      <c r="Y71" s="21">
        <f t="shared" si="346"/>
        <v>-1143</v>
      </c>
      <c r="Z71" s="21">
        <f t="shared" si="346"/>
        <v>-748</v>
      </c>
      <c r="AA71" s="21">
        <f t="shared" si="346"/>
        <v>-778</v>
      </c>
      <c r="AB71" s="21">
        <f t="shared" si="346"/>
        <v>-761</v>
      </c>
      <c r="AC71" s="21">
        <f t="shared" si="346"/>
        <v>-987</v>
      </c>
      <c r="AD71" s="21">
        <f t="shared" si="346"/>
        <v>-616</v>
      </c>
      <c r="AE71" s="21">
        <f t="shared" si="346"/>
        <v>-572</v>
      </c>
      <c r="AF71" s="21">
        <f t="shared" si="346"/>
        <v>-582</v>
      </c>
      <c r="AG71" s="21">
        <f t="shared" si="346"/>
        <v>-657</v>
      </c>
      <c r="AH71" s="21">
        <f t="shared" si="346"/>
        <v>-486</v>
      </c>
      <c r="AI71" s="21">
        <f t="shared" si="346"/>
        <v>-639</v>
      </c>
      <c r="AJ71" s="21">
        <f t="shared" si="346"/>
        <v>-649</v>
      </c>
      <c r="AK71" s="21">
        <f t="shared" si="346"/>
        <v>-1247</v>
      </c>
      <c r="AL71" s="21">
        <f t="shared" si="346"/>
        <v>-784</v>
      </c>
      <c r="AM71" s="21">
        <f t="shared" si="346"/>
        <v>-910</v>
      </c>
      <c r="AN71" s="21">
        <f t="shared" si="346"/>
        <v>-858</v>
      </c>
      <c r="AO71" s="21">
        <f t="shared" si="346"/>
        <v>-1706</v>
      </c>
      <c r="AP71" s="21">
        <f t="shared" si="346"/>
        <v>-1029</v>
      </c>
      <c r="AQ71" s="21">
        <f t="shared" si="346"/>
        <v>-1022</v>
      </c>
      <c r="AR71" s="21">
        <f t="shared" si="346"/>
        <v>-1008</v>
      </c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I71" s="108"/>
      <c r="CJ71" s="45"/>
      <c r="CK71" s="108"/>
      <c r="CL71" s="45"/>
      <c r="CM71" s="90">
        <f t="shared" ref="CM71" si="347">SUM(R71:U71)</f>
        <v>-583</v>
      </c>
      <c r="CN71" s="21">
        <f t="shared" ref="CN71" si="348">SUM(V71:Y71)</f>
        <v>-3325</v>
      </c>
      <c r="CO71" s="90">
        <f t="shared" ref="CO71" si="349">SUM(Z71:AC71)</f>
        <v>-3274</v>
      </c>
      <c r="CP71" s="21">
        <f t="shared" ref="CP71" si="350">SUM(AD71:AG71)</f>
        <v>-2427</v>
      </c>
      <c r="CQ71" s="90">
        <f t="shared" ref="CQ71" si="351">SUM(AH71:AK71)</f>
        <v>-3021</v>
      </c>
      <c r="CR71" s="90">
        <f t="shared" ref="CR71" si="352">SUM(AL71:AO71)</f>
        <v>-4258</v>
      </c>
      <c r="CS71" s="108"/>
      <c r="CT71" s="108"/>
      <c r="CU71" s="108"/>
      <c r="CV71" s="108"/>
      <c r="CW71" s="108"/>
      <c r="CX71" s="45"/>
      <c r="CY71" s="108"/>
      <c r="CZ71" s="108"/>
      <c r="DA71" s="108"/>
      <c r="DB71" s="108"/>
      <c r="DC71" s="108"/>
    </row>
    <row r="72" spans="1:107" hidden="1" outlineLevel="1" x14ac:dyDescent="0.2">
      <c r="A72" s="42" t="s">
        <v>182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44">
        <f>U71/'Income Statement'!U$53</f>
        <v>-5.5</v>
      </c>
      <c r="V72" s="44">
        <f>V71/'Income Statement'!V$53</f>
        <v>-7.4124999999999996</v>
      </c>
      <c r="W72" s="44">
        <f>W71/'Income Statement'!W$53</f>
        <v>-8.621621621621621</v>
      </c>
      <c r="X72" s="44">
        <f>X71/'Income Statement'!X$53</f>
        <v>-6.697183098591549</v>
      </c>
      <c r="Y72" s="44">
        <f>Y71/'Income Statement'!Y$53</f>
        <v>-7.5695364238410594</v>
      </c>
      <c r="Z72" s="44">
        <f>Z71/'Income Statement'!Z$53</f>
        <v>-4.5060240963855422</v>
      </c>
      <c r="AA72" s="44">
        <f>AA71/'Income Statement'!AA$53</f>
        <v>-4.2054054054054051</v>
      </c>
      <c r="AB72" s="44">
        <f>AB71/'Income Statement'!AB$53</f>
        <v>-3.8629441624365484</v>
      </c>
      <c r="AC72" s="44">
        <f>AC71/'Income Statement'!AC$53</f>
        <v>-3.7671755725190841</v>
      </c>
      <c r="AD72" s="44">
        <f>AD71/'Income Statement'!AD$53</f>
        <v>-4.666666666666667</v>
      </c>
      <c r="AE72" s="44">
        <f>AE71/'Income Statement'!AE$53</f>
        <v>-5.8969072164948457</v>
      </c>
      <c r="AF72" s="44">
        <f>AF71/'Income Statement'!AF$53</f>
        <v>-4.9743589743589745</v>
      </c>
      <c r="AG72" s="44">
        <f>AG71/'Income Statement'!AG$53</f>
        <v>-5.0152671755725189</v>
      </c>
      <c r="AH72" s="44">
        <f>AH71/'Income Statement'!AH$53</f>
        <v>-3.24</v>
      </c>
      <c r="AI72" s="44">
        <f>AI71/'Income Statement'!AI$53</f>
        <v>-4.4068965517241381</v>
      </c>
      <c r="AJ72" s="44">
        <f>AJ71/'Income Statement'!AJ$53</f>
        <v>-4.4452054794520546</v>
      </c>
      <c r="AK72" s="44">
        <f>AK71/'Income Statement'!AK$53</f>
        <v>-8.0974025974025974</v>
      </c>
      <c r="AL72" s="44">
        <f>AL71/'Income Statement'!AL$53</f>
        <v>-4.6117647058823525</v>
      </c>
      <c r="AM72" s="44">
        <f>AM71/'Income Statement'!AM$53</f>
        <v>-5.617283950617284</v>
      </c>
      <c r="AN72" s="44">
        <f>AN71/'Income Statement'!AN$53</f>
        <v>-5.5354838709677416</v>
      </c>
      <c r="AO72" s="44">
        <f>AO71/'Income Statement'!AO$53</f>
        <v>-9.9186046511627914</v>
      </c>
      <c r="AP72" s="44">
        <f>AP71/'Income Statement'!AP$53</f>
        <v>-7.6222222222222218</v>
      </c>
      <c r="AQ72" s="44">
        <f>AQ71/'Income Statement'!AQ$53</f>
        <v>-6.9054054054054053</v>
      </c>
      <c r="AR72" s="44">
        <f>AR71/'Income Statement'!AR$53</f>
        <v>-5.6629213483146064</v>
      </c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I72" s="112"/>
      <c r="CJ72" s="19"/>
      <c r="CK72" s="112"/>
      <c r="CL72" s="19"/>
      <c r="CM72" s="120">
        <f>CM71/'Income Statement'!CM$53</f>
        <v>-1.782874617737003</v>
      </c>
      <c r="CN72" s="44">
        <f>CN71/'Income Statement'!CN$53</f>
        <v>-7.4384787472035798</v>
      </c>
      <c r="CO72" s="120">
        <f>CO71/'Income Statement'!CO$53</f>
        <v>-4.041975308641975</v>
      </c>
      <c r="CP72" s="44">
        <f>CP71/'Income Statement'!CP$53</f>
        <v>-5.0880503144654092</v>
      </c>
      <c r="CQ72" s="120">
        <f>CQ71/'Income Statement'!CQ$53</f>
        <v>-5.0773109243697476</v>
      </c>
      <c r="CR72" s="120">
        <f>CR71/'Income Statement'!CR$53</f>
        <v>-6.4613050075872538</v>
      </c>
      <c r="CS72" s="261"/>
      <c r="CT72" s="261"/>
      <c r="CU72" s="112"/>
      <c r="CV72" s="112"/>
      <c r="CW72" s="112"/>
      <c r="CX72" s="19"/>
      <c r="CY72" s="112"/>
      <c r="CZ72" s="112"/>
      <c r="DA72" s="112"/>
      <c r="DB72" s="112"/>
      <c r="DC72" s="112"/>
    </row>
    <row r="73" spans="1:107" hidden="1" outlineLevel="1" x14ac:dyDescent="0.2">
      <c r="A73" s="8" t="s">
        <v>62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25" t="s">
        <v>82</v>
      </c>
      <c r="V73" s="22">
        <f>IF(AND(U71&lt;0,V71&gt;0),"n/a",V71/U71-1)</f>
        <v>1.7152658662092701E-2</v>
      </c>
      <c r="W73" s="22">
        <f t="shared" ref="W73" si="353">IF(AND(V71&lt;0,W71&gt;0),"n/a",W71/V71-1)</f>
        <v>7.5885328836424959E-2</v>
      </c>
      <c r="X73" s="22">
        <f t="shared" ref="X73" si="354">IF(AND(W71&lt;0,X71&gt;0),"n/a",X71/W71-1)</f>
        <v>0.49059561128526652</v>
      </c>
      <c r="Y73" s="22">
        <f t="shared" ref="Y73" si="355">IF(AND(X71&lt;0,Y71&gt;0),"n/a",Y71/X71-1)</f>
        <v>0.20189274447949535</v>
      </c>
      <c r="Z73" s="22">
        <f t="shared" ref="Z73" si="356">IF(AND(Y71&lt;0,Z71&gt;0),"n/a",Z71/Y71-1)</f>
        <v>-0.34558180227471569</v>
      </c>
      <c r="AA73" s="22">
        <f t="shared" ref="AA73" si="357">IF(AND(Z71&lt;0,AA71&gt;0),"n/a",AA71/Z71-1)</f>
        <v>4.0106951871657692E-2</v>
      </c>
      <c r="AB73" s="22">
        <f t="shared" ref="AB73" si="358">IF(AND(AA71&lt;0,AB71&gt;0),"n/a",AB71/AA71-1)</f>
        <v>-2.1850899742930641E-2</v>
      </c>
      <c r="AC73" s="22">
        <f t="shared" ref="AC73" si="359">IF(AND(AB71&lt;0,AC71&gt;0),"n/a",AC71/AB71-1)</f>
        <v>0.29697766097240463</v>
      </c>
      <c r="AD73" s="22">
        <f t="shared" ref="AD73" si="360">IF(AND(AC71&lt;0,AD71&gt;0),"n/a",AD71/AC71-1)</f>
        <v>-0.37588652482269502</v>
      </c>
      <c r="AE73" s="22">
        <f t="shared" ref="AE73" si="361">IF(AND(AD71&lt;0,AE71&gt;0),"n/a",AE71/AD71-1)</f>
        <v>-7.1428571428571397E-2</v>
      </c>
      <c r="AF73" s="22">
        <f t="shared" ref="AF73" si="362">IF(AND(AE71&lt;0,AF71&gt;0),"n/a",AF71/AE71-1)</f>
        <v>1.7482517482517501E-2</v>
      </c>
      <c r="AG73" s="22">
        <f t="shared" ref="AG73" si="363">IF(AND(AF71&lt;0,AG71&gt;0),"n/a",AG71/AF71-1)</f>
        <v>0.12886597938144329</v>
      </c>
      <c r="AH73" s="22">
        <f t="shared" ref="AH73" si="364">IF(AND(AG71&lt;0,AH71&gt;0),"n/a",AH71/AG71-1)</f>
        <v>-0.26027397260273977</v>
      </c>
      <c r="AI73" s="22">
        <f t="shared" ref="AI73" si="365">IF(AND(AH71&lt;0,AI71&gt;0),"n/a",AI71/AH71-1)</f>
        <v>0.31481481481481488</v>
      </c>
      <c r="AJ73" s="22">
        <f t="shared" ref="AJ73" si="366">IF(AND(AI71&lt;0,AJ71&gt;0),"n/a",AJ71/AI71-1)</f>
        <v>1.5649452269170583E-2</v>
      </c>
      <c r="AK73" s="22">
        <f t="shared" ref="AK73" si="367">IF(AND(AJ71&lt;0,AK71&gt;0),"n/a",AK71/AJ71-1)</f>
        <v>0.92141756548536202</v>
      </c>
      <c r="AL73" s="22">
        <f t="shared" ref="AL73" si="368">IF(AND(AK71&lt;0,AL71&gt;0),"n/a",AL71/AK71-1)</f>
        <v>-0.37129109863672816</v>
      </c>
      <c r="AM73" s="22">
        <f t="shared" ref="AM73" si="369">IF(AND(AL71&lt;0,AM71&gt;0),"n/a",AM71/AL71-1)</f>
        <v>0.16071428571428581</v>
      </c>
      <c r="AN73" s="22">
        <f t="shared" ref="AN73" si="370">IF(AND(AM71&lt;0,AN71&gt;0),"n/a",AN71/AM71-1)</f>
        <v>-5.7142857142857162E-2</v>
      </c>
      <c r="AO73" s="22">
        <f t="shared" ref="AO73" si="371">IF(AND(AN71&lt;0,AO71&gt;0),"n/a",AO71/AN71-1)</f>
        <v>0.98834498834498841</v>
      </c>
      <c r="AP73" s="22">
        <f t="shared" ref="AP73" si="372">IF(AND(AO71&lt;0,AP71&gt;0),"n/a",AP71/AO71-1)</f>
        <v>-0.39683470105509966</v>
      </c>
      <c r="AQ73" s="22">
        <f t="shared" ref="AQ73" si="373">IF(AND(AP71&lt;0,AQ71&gt;0),"n/a",AQ71/AP71-1)</f>
        <v>-6.8027210884353817E-3</v>
      </c>
      <c r="AR73" s="22">
        <f t="shared" ref="AR73" si="374">IF(AND(AQ71&lt;0,AR71&gt;0),"n/a",AR71/AQ71-1)</f>
        <v>-1.3698630136986356E-2</v>
      </c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I73" s="109"/>
      <c r="CJ73" s="59"/>
      <c r="CK73" s="109"/>
      <c r="CL73" s="59"/>
      <c r="CM73" s="106" t="s">
        <v>82</v>
      </c>
      <c r="CN73" s="48" t="s">
        <v>82</v>
      </c>
      <c r="CO73" s="106" t="s">
        <v>82</v>
      </c>
      <c r="CP73" s="48" t="s">
        <v>82</v>
      </c>
      <c r="CQ73" s="106" t="s">
        <v>82</v>
      </c>
      <c r="CR73" s="106" t="s">
        <v>82</v>
      </c>
      <c r="CS73" s="109"/>
      <c r="CT73" s="109"/>
      <c r="CU73" s="109"/>
      <c r="CV73" s="109"/>
      <c r="CW73" s="109"/>
      <c r="CX73" s="59"/>
      <c r="CY73" s="109"/>
      <c r="CZ73" s="109"/>
      <c r="DA73" s="109"/>
      <c r="DB73" s="109"/>
      <c r="DC73" s="109"/>
    </row>
    <row r="74" spans="1:107" hidden="1" outlineLevel="1" x14ac:dyDescent="0.2">
      <c r="A74" s="8" t="s">
        <v>63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25" t="s">
        <v>82</v>
      </c>
      <c r="V74" s="25" t="s">
        <v>82</v>
      </c>
      <c r="W74" s="25" t="s">
        <v>82</v>
      </c>
      <c r="X74" s="25" t="s">
        <v>82</v>
      </c>
      <c r="Y74" s="22">
        <f t="shared" ref="Y74" si="375">IF(AND(U71&lt;0,Y71&gt;0),"n/a",Y71/U71-1)</f>
        <v>0.96054888507718705</v>
      </c>
      <c r="Z74" s="22">
        <f t="shared" ref="Z74" si="376">IF(AND(V71&lt;0,Z71&gt;0),"n/a",Z71/V71-1)</f>
        <v>0.26138279932546382</v>
      </c>
      <c r="AA74" s="22">
        <f t="shared" ref="AA74" si="377">IF(AND(W71&lt;0,AA71&gt;0),"n/a",AA71/W71-1)</f>
        <v>0.21943573667711602</v>
      </c>
      <c r="AB74" s="22">
        <f t="shared" ref="AB74" si="378">IF(AND(X71&lt;0,AB71&gt;0),"n/a",AB71/X71-1)</f>
        <v>-0.19978969505783384</v>
      </c>
      <c r="AC74" s="22">
        <f t="shared" ref="AC74" si="379">IF(AND(Y71&lt;0,AC71&gt;0),"n/a",AC71/Y71-1)</f>
        <v>-0.13648293963254599</v>
      </c>
      <c r="AD74" s="22">
        <f t="shared" ref="AD74" si="380">IF(AND(Z71&lt;0,AD71&gt;0),"n/a",AD71/Z71-1)</f>
        <v>-0.17647058823529416</v>
      </c>
      <c r="AE74" s="22">
        <f t="shared" ref="AE74" si="381">IF(AND(AA71&lt;0,AE71&gt;0),"n/a",AE71/AA71-1)</f>
        <v>-0.26478149100257065</v>
      </c>
      <c r="AF74" s="22">
        <f t="shared" ref="AF74" si="382">IF(AND(AB71&lt;0,AF71&gt;0),"n/a",AF71/AB71-1)</f>
        <v>-0.23521681997371879</v>
      </c>
      <c r="AG74" s="22">
        <f t="shared" ref="AG74" si="383">IF(AND(AC71&lt;0,AG71&gt;0),"n/a",AG71/AC71-1)</f>
        <v>-0.33434650455927051</v>
      </c>
      <c r="AH74" s="22">
        <f t="shared" ref="AH74" si="384">IF(AND(AD71&lt;0,AH71&gt;0),"n/a",AH71/AD71-1)</f>
        <v>-0.21103896103896103</v>
      </c>
      <c r="AI74" s="22">
        <f t="shared" ref="AI74" si="385">IF(AND(AE71&lt;0,AI71&gt;0),"n/a",AI71/AE71-1)</f>
        <v>0.11713286713286708</v>
      </c>
      <c r="AJ74" s="22">
        <f t="shared" ref="AJ74" si="386">IF(AND(AF71&lt;0,AJ71&gt;0),"n/a",AJ71/AF71-1)</f>
        <v>0.11512027491408938</v>
      </c>
      <c r="AK74" s="22">
        <f t="shared" ref="AK74" si="387">IF(AND(AG71&lt;0,AK71&gt;0),"n/a",AK71/AG71-1)</f>
        <v>0.89802130898021315</v>
      </c>
      <c r="AL74" s="22">
        <f t="shared" ref="AL74" si="388">IF(AND(AH71&lt;0,AL71&gt;0),"n/a",AL71/AH71-1)</f>
        <v>0.61316872427983538</v>
      </c>
      <c r="AM74" s="22">
        <f t="shared" ref="AM74" si="389">IF(AND(AI71&lt;0,AM71&gt;0),"n/a",AM71/AI71-1)</f>
        <v>0.4241001564945226</v>
      </c>
      <c r="AN74" s="22">
        <f t="shared" ref="AN74" si="390">IF(AND(AJ71&lt;0,AN71&gt;0),"n/a",AN71/AJ71-1)</f>
        <v>0.32203389830508478</v>
      </c>
      <c r="AO74" s="22">
        <f t="shared" ref="AO74" si="391">IF(AND(AK71&lt;0,AO71&gt;0),"n/a",AO71/AK71-1)</f>
        <v>0.36808340016038499</v>
      </c>
      <c r="AP74" s="22">
        <f t="shared" ref="AP74" si="392">IF(AND(AL71&lt;0,AP71&gt;0),"n/a",AP71/AL71-1)</f>
        <v>0.3125</v>
      </c>
      <c r="AQ74" s="22">
        <f t="shared" ref="AQ74" si="393">IF(AND(AM71&lt;0,AQ71&gt;0),"n/a",AQ71/AM71-1)</f>
        <v>0.12307692307692308</v>
      </c>
      <c r="AR74" s="22">
        <f t="shared" ref="AR74" si="394">IF(AND(AN71&lt;0,AR71&gt;0),"n/a",AR71/AN71-1)</f>
        <v>0.17482517482517479</v>
      </c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I74" s="109"/>
      <c r="CJ74" s="30"/>
      <c r="CK74" s="110"/>
      <c r="CL74" s="30"/>
      <c r="CM74" s="106" t="s">
        <v>82</v>
      </c>
      <c r="CN74" s="22">
        <f t="shared" ref="CN74:CR74" si="395">IF(AND(CM71&lt;0,CN71&gt;0),"n/a",CN71/CM71-1)</f>
        <v>4.7032590051457976</v>
      </c>
      <c r="CO74" s="107">
        <f t="shared" si="395"/>
        <v>-1.5338345864661651E-2</v>
      </c>
      <c r="CP74" s="22">
        <f t="shared" si="395"/>
        <v>-0.25870494807574829</v>
      </c>
      <c r="CQ74" s="107">
        <f t="shared" si="395"/>
        <v>0.24474660074165633</v>
      </c>
      <c r="CR74" s="107">
        <f t="shared" si="395"/>
        <v>0.40946706388613041</v>
      </c>
      <c r="CS74" s="110"/>
      <c r="CT74" s="110"/>
      <c r="CU74" s="110"/>
      <c r="CV74" s="110"/>
      <c r="CW74" s="110"/>
      <c r="CX74" s="30"/>
      <c r="CY74" s="110"/>
      <c r="CZ74" s="110"/>
      <c r="DA74" s="110"/>
      <c r="DB74" s="110"/>
      <c r="DC74" s="110"/>
    </row>
    <row r="75" spans="1:107" collapsed="1" x14ac:dyDescent="0.2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CI75" s="92"/>
      <c r="CK75" s="92"/>
      <c r="CM75" s="92"/>
      <c r="CO75" s="92"/>
      <c r="CQ75" s="92"/>
      <c r="CR75" s="92"/>
      <c r="CS75" s="92"/>
      <c r="CT75" s="92"/>
      <c r="CU75" s="115"/>
      <c r="CV75" s="115"/>
      <c r="CW75" s="115"/>
      <c r="CX75" s="33"/>
      <c r="CY75" s="115"/>
      <c r="CZ75" s="115"/>
      <c r="DA75" s="115"/>
      <c r="DB75" s="115"/>
      <c r="DC75" s="115"/>
    </row>
    <row r="76" spans="1:107" x14ac:dyDescent="0.2">
      <c r="A76" s="4" t="s">
        <v>53</v>
      </c>
      <c r="B76" s="21">
        <f t="shared" ref="B76:AG76" si="396">B22+B25</f>
        <v>2345</v>
      </c>
      <c r="C76" s="21">
        <f t="shared" si="396"/>
        <v>1609</v>
      </c>
      <c r="D76" s="21">
        <f t="shared" si="396"/>
        <v>2128</v>
      </c>
      <c r="E76" s="21">
        <f t="shared" si="396"/>
        <v>981</v>
      </c>
      <c r="F76" s="21">
        <f t="shared" si="396"/>
        <v>2282</v>
      </c>
      <c r="G76" s="21">
        <f t="shared" si="396"/>
        <v>2602</v>
      </c>
      <c r="H76" s="21">
        <f t="shared" si="396"/>
        <v>3270</v>
      </c>
      <c r="I76" s="21">
        <f t="shared" si="396"/>
        <v>2973</v>
      </c>
      <c r="J76" s="21">
        <f t="shared" si="396"/>
        <v>3087</v>
      </c>
      <c r="K76" s="21">
        <f t="shared" si="396"/>
        <v>3478</v>
      </c>
      <c r="L76" s="21">
        <f t="shared" si="396"/>
        <v>3132</v>
      </c>
      <c r="M76" s="21">
        <f t="shared" si="396"/>
        <v>3641</v>
      </c>
      <c r="N76" s="21">
        <f t="shared" si="396"/>
        <v>2419</v>
      </c>
      <c r="O76" s="21">
        <f t="shared" si="396"/>
        <v>3030</v>
      </c>
      <c r="P76" s="21">
        <f t="shared" si="396"/>
        <v>2794</v>
      </c>
      <c r="Q76" s="21">
        <f t="shared" si="396"/>
        <v>2983</v>
      </c>
      <c r="R76" s="21">
        <f t="shared" si="396"/>
        <v>1998</v>
      </c>
      <c r="S76" s="21">
        <f t="shared" si="396"/>
        <v>2946</v>
      </c>
      <c r="T76" s="21">
        <f t="shared" si="396"/>
        <v>3542</v>
      </c>
      <c r="U76" s="21">
        <f t="shared" si="396"/>
        <v>2827</v>
      </c>
      <c r="V76" s="21">
        <f t="shared" si="396"/>
        <v>3495</v>
      </c>
      <c r="W76" s="21">
        <f t="shared" si="396"/>
        <v>4470</v>
      </c>
      <c r="X76" s="21">
        <f t="shared" si="396"/>
        <v>3634</v>
      </c>
      <c r="Y76" s="21">
        <f t="shared" si="396"/>
        <v>4315</v>
      </c>
      <c r="Z76" s="21">
        <f t="shared" si="396"/>
        <v>5230</v>
      </c>
      <c r="AA76" s="21">
        <f t="shared" si="396"/>
        <v>6997</v>
      </c>
      <c r="AB76" s="21">
        <f t="shared" si="396"/>
        <v>7291</v>
      </c>
      <c r="AC76" s="21">
        <f t="shared" si="396"/>
        <v>6335</v>
      </c>
      <c r="AD76" s="21">
        <f t="shared" si="396"/>
        <v>7040</v>
      </c>
      <c r="AE76" s="21">
        <f t="shared" si="396"/>
        <v>4572</v>
      </c>
      <c r="AF76" s="21">
        <f t="shared" si="396"/>
        <v>6334</v>
      </c>
      <c r="AG76" s="21">
        <f t="shared" si="396"/>
        <v>5961</v>
      </c>
      <c r="AH76" s="21">
        <f t="shared" ref="AH76:BM76" si="397">AH22+AH25</f>
        <v>4343</v>
      </c>
      <c r="AI76" s="21">
        <f t="shared" si="397"/>
        <v>4655</v>
      </c>
      <c r="AJ76" s="21">
        <f t="shared" si="397"/>
        <v>7928</v>
      </c>
      <c r="AK76" s="21">
        <f t="shared" si="397"/>
        <v>5906</v>
      </c>
      <c r="AL76" s="21">
        <f t="shared" si="397"/>
        <v>7362</v>
      </c>
      <c r="AM76" s="21">
        <f t="shared" si="397"/>
        <v>6501</v>
      </c>
      <c r="AN76" s="21">
        <f t="shared" si="397"/>
        <v>8734</v>
      </c>
      <c r="AO76" s="21">
        <f t="shared" si="397"/>
        <v>8375</v>
      </c>
      <c r="AP76" s="21">
        <f t="shared" si="397"/>
        <v>5446</v>
      </c>
      <c r="AQ76" s="21">
        <f t="shared" si="397"/>
        <v>8602</v>
      </c>
      <c r="AR76" s="21">
        <f t="shared" si="397"/>
        <v>11597</v>
      </c>
      <c r="AS76" s="21">
        <f t="shared" si="397"/>
        <v>17198</v>
      </c>
      <c r="AT76" s="21">
        <f t="shared" si="397"/>
        <v>13347</v>
      </c>
      <c r="AU76" s="21">
        <f t="shared" si="397"/>
        <v>16394</v>
      </c>
      <c r="AV76" s="21">
        <f t="shared" si="397"/>
        <v>18720</v>
      </c>
      <c r="AW76" s="21">
        <f t="shared" si="397"/>
        <v>18551</v>
      </c>
      <c r="AX76" s="21">
        <f t="shared" si="397"/>
        <v>15320</v>
      </c>
      <c r="AY76" s="21">
        <f t="shared" si="397"/>
        <v>12594</v>
      </c>
      <c r="AZ76" s="21">
        <f t="shared" si="397"/>
        <v>16077</v>
      </c>
      <c r="BA76" s="21">
        <f t="shared" si="397"/>
        <v>16019</v>
      </c>
      <c r="BB76" s="21">
        <f t="shared" si="397"/>
        <v>17220</v>
      </c>
      <c r="BC76" s="21">
        <f t="shared" si="397"/>
        <v>21778</v>
      </c>
      <c r="BD76" s="21">
        <f t="shared" si="397"/>
        <v>22601</v>
      </c>
      <c r="BE76" s="21">
        <f t="shared" si="397"/>
        <v>7896</v>
      </c>
      <c r="BF76" s="21">
        <f t="shared" si="397"/>
        <v>16836</v>
      </c>
      <c r="BG76" s="21">
        <f t="shared" ref="BG76:BH76" si="398">BG22+BG25</f>
        <v>13454</v>
      </c>
      <c r="BH76" s="21">
        <f t="shared" si="398"/>
        <v>17637</v>
      </c>
      <c r="BI76" s="21">
        <f t="shared" ref="BI76:BJ76" si="399">BI22+BI25</f>
        <v>24837</v>
      </c>
      <c r="BJ76" s="21">
        <f t="shared" si="399"/>
        <v>18953</v>
      </c>
      <c r="BK76" s="21">
        <f t="shared" ref="BK76:BL76" si="400">BK22+BK25</f>
        <v>5301</v>
      </c>
      <c r="BL76" s="21">
        <f t="shared" si="400"/>
        <v>24461</v>
      </c>
      <c r="BM76" s="21">
        <f t="shared" si="397"/>
        <v>-458.41165330797958</v>
      </c>
      <c r="BN76" s="21">
        <f t="shared" ref="BN76:CC76" si="401">BN22+BN25</f>
        <v>33378.389705247246</v>
      </c>
      <c r="BO76" s="21">
        <f t="shared" si="401"/>
        <v>-2489.2636786550356</v>
      </c>
      <c r="BP76" s="21">
        <f t="shared" si="401"/>
        <v>24806.973836135472</v>
      </c>
      <c r="BQ76" s="21">
        <f t="shared" si="401"/>
        <v>16947.866752325819</v>
      </c>
      <c r="BR76" s="21">
        <f t="shared" si="401"/>
        <v>39466.366870636411</v>
      </c>
      <c r="BS76" s="21">
        <f t="shared" si="401"/>
        <v>-3418.8594244593332</v>
      </c>
      <c r="BT76" s="21">
        <f t="shared" si="401"/>
        <v>30396.174192300816</v>
      </c>
      <c r="BU76" s="21">
        <f t="shared" si="401"/>
        <v>19962.347835576969</v>
      </c>
      <c r="BV76" s="21">
        <f t="shared" si="401"/>
        <v>52588.203296169886</v>
      </c>
      <c r="BW76" s="21">
        <f t="shared" si="401"/>
        <v>-2428.3946438907806</v>
      </c>
      <c r="BX76" s="21">
        <f t="shared" si="401"/>
        <v>38447.162405503397</v>
      </c>
      <c r="BY76" s="21">
        <f t="shared" si="401"/>
        <v>25392.959692288117</v>
      </c>
      <c r="BZ76" s="21">
        <f t="shared" si="401"/>
        <v>66576.393890422856</v>
      </c>
      <c r="CA76" s="21">
        <f t="shared" si="401"/>
        <v>-470.59559008488577</v>
      </c>
      <c r="CB76" s="21">
        <f t="shared" si="401"/>
        <v>47698.568880887113</v>
      </c>
      <c r="CC76" s="21">
        <f t="shared" si="401"/>
        <v>32145.375671743474</v>
      </c>
      <c r="CD76" s="21">
        <f t="shared" ref="CD76:CG76" si="402">CD22+CD25</f>
        <v>83115.924651285313</v>
      </c>
      <c r="CE76" s="21">
        <f t="shared" si="402"/>
        <v>2643.4862811767671</v>
      </c>
      <c r="CF76" s="21">
        <f t="shared" si="402"/>
        <v>58313.573972343729</v>
      </c>
      <c r="CG76" s="21">
        <f t="shared" si="402"/>
        <v>40305.701023375223</v>
      </c>
      <c r="CH76" s="21"/>
      <c r="CI76" s="90">
        <f t="shared" ref="CI76" si="403">SUM(B76:E76)</f>
        <v>7063</v>
      </c>
      <c r="CJ76" s="21">
        <f t="shared" ref="CJ76" si="404">SUM(F76:I76)</f>
        <v>11127</v>
      </c>
      <c r="CK76" s="90">
        <f t="shared" ref="CK76" si="405">SUM(J76:M76)</f>
        <v>13338</v>
      </c>
      <c r="CL76" s="21">
        <f t="shared" ref="CL76" si="406">SUM(N76:Q76)</f>
        <v>11226</v>
      </c>
      <c r="CM76" s="90">
        <f t="shared" ref="CM76" si="407">SUM(R76:U76)</f>
        <v>11313</v>
      </c>
      <c r="CN76" s="21">
        <f t="shared" ref="CN76" si="408">SUM(V76:Y76)</f>
        <v>15914</v>
      </c>
      <c r="CO76" s="90">
        <f t="shared" ref="CO76" si="409">SUM(Z76:AC76)</f>
        <v>25853</v>
      </c>
      <c r="CP76" s="21">
        <f t="shared" ref="CP76" si="410">SUM(AD76:AG76)</f>
        <v>23907</v>
      </c>
      <c r="CQ76" s="90">
        <f t="shared" ref="CQ76" si="411">SUM(AH76:AK76)</f>
        <v>22832</v>
      </c>
      <c r="CR76" s="90">
        <f t="shared" ref="CR76" si="412">SUM(AL76:AO76)</f>
        <v>30972</v>
      </c>
      <c r="CS76" s="90">
        <f t="shared" ref="CS76" si="413">SUM(AP76:AS76)</f>
        <v>42843</v>
      </c>
      <c r="CT76" s="90">
        <f>SUM(AT76:AW76)</f>
        <v>67012</v>
      </c>
      <c r="CU76" s="90">
        <f t="shared" ref="CU76" si="414">SUM(AX76:BA76)</f>
        <v>60010</v>
      </c>
      <c r="CV76" s="90">
        <f t="shared" ref="CV76" si="415">SUM(BB76:BE76)</f>
        <v>69495</v>
      </c>
      <c r="CW76" s="90">
        <f t="shared" ref="CW76" si="416">SUM(BF76:BI76)</f>
        <v>72764</v>
      </c>
      <c r="CX76" s="21">
        <f t="shared" ref="CX76" si="417">SUM(BJ76:BM76)</f>
        <v>48256.58834669202</v>
      </c>
      <c r="CY76" s="90">
        <f t="shared" ref="CY76" si="418">SUM(BN76:BQ76)</f>
        <v>72643.966615053505</v>
      </c>
      <c r="CZ76" s="90">
        <f>SUM(BR76:BU76)</f>
        <v>86406.029474054871</v>
      </c>
      <c r="DA76" s="90">
        <f t="shared" ref="DA76" si="419">SUM(BV76:BY76)</f>
        <v>113999.93075007062</v>
      </c>
      <c r="DB76" s="90">
        <f t="shared" ref="DB76" si="420">SUM(BZ76:CC76)</f>
        <v>145949.74285296857</v>
      </c>
      <c r="DC76" s="90">
        <f>SUM(CD76:CG76)</f>
        <v>184378.68592818105</v>
      </c>
    </row>
    <row r="77" spans="1:107" x14ac:dyDescent="0.2">
      <c r="A77" s="41" t="s">
        <v>183</v>
      </c>
      <c r="B77" s="44">
        <f>B76/'Income Statement'!B$85</f>
        <v>0.4630726698262243</v>
      </c>
      <c r="C77" s="44">
        <f>C76/'Income Statement'!C$85</f>
        <v>0.31623427672955973</v>
      </c>
      <c r="D77" s="44">
        <f>D76/'Income Statement'!D$85</f>
        <v>0.38825031928480203</v>
      </c>
      <c r="E77" s="44">
        <f>E76/'Income Statement'!E$85</f>
        <v>0.15397896719510282</v>
      </c>
      <c r="F77" s="44">
        <f>F76/'Income Statement'!F$85</f>
        <v>0.34914320685434519</v>
      </c>
      <c r="G77" s="44">
        <f>G76/'Income Statement'!G$85</f>
        <v>0.37633786520104134</v>
      </c>
      <c r="H77" s="44">
        <f>H76/'Income Statement'!H$85</f>
        <v>0.43530351437699683</v>
      </c>
      <c r="I77" s="44">
        <f>I76/'Income Statement'!I$85</f>
        <v>0.36559272011805216</v>
      </c>
      <c r="J77" s="44">
        <f>J76/'Income Statement'!J$85</f>
        <v>0.37942477876106195</v>
      </c>
      <c r="K77" s="44">
        <f>K76/'Income Statement'!K$85</f>
        <v>0.41597894988637724</v>
      </c>
      <c r="L77" s="44">
        <f>L76/'Income Statement'!L$85</f>
        <v>0.35786106032906762</v>
      </c>
      <c r="M77" s="44">
        <f>M76/'Income Statement'!M$85</f>
        <v>0.37032139951179821</v>
      </c>
      <c r="N77" s="44">
        <f>N76/'Income Statement'!N$85</f>
        <v>0.24228766025641027</v>
      </c>
      <c r="O77" s="44">
        <f>O76/'Income Statement'!O$85</f>
        <v>0.30026756515707065</v>
      </c>
      <c r="P77" s="44">
        <f>P76/'Income Statement'!P$85</f>
        <v>0.25923176841714601</v>
      </c>
      <c r="Q77" s="44">
        <f>Q76/'Income Statement'!Q$85</f>
        <v>0.24040941328175372</v>
      </c>
      <c r="R77" s="44">
        <f>R76/'Income Statement'!R$85</f>
        <v>0.163918286980064</v>
      </c>
      <c r="S77" s="44">
        <f>S76/'Income Statement'!S$85</f>
        <v>0.23268304241371141</v>
      </c>
      <c r="T77" s="44">
        <f>T76/'Income Statement'!T$85</f>
        <v>0.26884250474383303</v>
      </c>
      <c r="U77" s="44">
        <f>U76/'Income Statement'!U$85</f>
        <v>0.1952482906278058</v>
      </c>
      <c r="V77" s="44">
        <f>V76/'Income Statement'!V$85</f>
        <v>0.25120391001221881</v>
      </c>
      <c r="W77" s="44">
        <f>W76/'Income Statement'!W$85</f>
        <v>0.31149825783972124</v>
      </c>
      <c r="X77" s="44">
        <f>X76/'Income Statement'!X$85</f>
        <v>0.24051889602223839</v>
      </c>
      <c r="Y77" s="44">
        <f>Y76/'Income Statement'!Y$85</f>
        <v>0.24979738335070048</v>
      </c>
      <c r="Z77" s="44">
        <f>Z76/'Income Statement'!Z$85</f>
        <v>0.31756633675390128</v>
      </c>
      <c r="AA77" s="44">
        <f>AA76/'Income Statement'!AA$85</f>
        <v>0.39925820256776035</v>
      </c>
      <c r="AB77" s="44">
        <f>AB76/'Income Statement'!AB$85</f>
        <v>0.39909135694345615</v>
      </c>
      <c r="AC77" s="44">
        <f>AC76/'Income Statement'!AC$85</f>
        <v>0.29859539969834087</v>
      </c>
      <c r="AD77" s="44">
        <f>AD76/'Income Statement'!AD$85</f>
        <v>0.34988320660006955</v>
      </c>
      <c r="AE77" s="44">
        <f>AE76/'Income Statement'!AE$85</f>
        <v>0.21855729241359528</v>
      </c>
      <c r="AF77" s="44">
        <f>AF76/'Income Statement'!AF$85</f>
        <v>0.28441850022451731</v>
      </c>
      <c r="AG77" s="44">
        <f>AG76/'Income Statement'!AG$85</f>
        <v>0.23039461987399992</v>
      </c>
      <c r="AH77" s="44">
        <f>AH76/'Income Statement'!AH$85</f>
        <v>0.17471236624024458</v>
      </c>
      <c r="AI77" s="44">
        <f>AI76/'Income Statement'!AI$85</f>
        <v>0.17742119907001563</v>
      </c>
      <c r="AJ77" s="44">
        <f>AJ76/'Income Statement'!AJ$85</f>
        <v>0.29192134914205758</v>
      </c>
      <c r="AK77" s="44">
        <f>AK76/'Income Statement'!AK$85</f>
        <v>0.18548994974874372</v>
      </c>
      <c r="AL77" s="44">
        <f>AL76/'Income Statement'!AL$85</f>
        <v>0.24973710098714338</v>
      </c>
      <c r="AM77" s="44">
        <f>AM76/'Income Statement'!AM$85</f>
        <v>0.2050400555099981</v>
      </c>
      <c r="AN77" s="44">
        <f>AN76/'Income Statement'!AN$85</f>
        <v>0.26459450452906785</v>
      </c>
      <c r="AO77" s="44">
        <f>AO76/'Income Statement'!AO$85</f>
        <v>0.22289349017937934</v>
      </c>
      <c r="AP77" s="44">
        <f>AP76/'Income Statement'!AP$85</f>
        <v>0.16156881359954905</v>
      </c>
      <c r="AQ77" s="44">
        <f>AQ76/'Income Statement'!AQ$85</f>
        <v>0.27218934911242604</v>
      </c>
      <c r="AR77" s="44">
        <f>AR76/'Income Statement'!AR$85</f>
        <v>0.30512800273633806</v>
      </c>
      <c r="AS77" s="44">
        <f>AS76/'Income Statement'!AS$85</f>
        <v>0.37039110957960025</v>
      </c>
      <c r="AT77" s="44">
        <f>AT76/'Income Statement'!AT$85</f>
        <v>0.29268453138020262</v>
      </c>
      <c r="AU77" s="44">
        <f>AU76/'Income Statement'!AU$85</f>
        <v>0.32176012247060903</v>
      </c>
      <c r="AV77" s="44">
        <f>AV76/'Income Statement'!AV$85</f>
        <v>0.34912346139500189</v>
      </c>
      <c r="AW77" s="44">
        <f>AW76/'Income Statement'!AW$85</f>
        <v>0.29970273676047693</v>
      </c>
      <c r="AX77" s="44">
        <f>AX76/'Income Statement'!AX$85</f>
        <v>0.27346887774227524</v>
      </c>
      <c r="AY77" s="44">
        <f>AY76/'Income Statement'!AY$85</f>
        <v>0.21913660802839693</v>
      </c>
      <c r="AZ77" s="44">
        <f>AZ76/'Income Statement'!AZ$85</f>
        <v>0.28074249991268818</v>
      </c>
      <c r="BA77" s="44">
        <f>BA76/'Income Statement'!BA$85</f>
        <v>0.25377437700996469</v>
      </c>
      <c r="BB77" s="44">
        <f>BB76/'Income Statement'!BB$85</f>
        <v>0.29655908793441943</v>
      </c>
      <c r="BC77" s="44">
        <f>BC76/'Income Statement'!BC$85</f>
        <v>0.35087888894259428</v>
      </c>
      <c r="BD77" s="44">
        <f>BD76/'Income Statement'!BD$85</f>
        <v>0.35285944013364351</v>
      </c>
      <c r="BE77" s="44">
        <f>BE76/'Income Statement'!BE$85</f>
        <v>0.1091753774680604</v>
      </c>
      <c r="BF77" s="44">
        <f>BF76/'Income Statement'!BF$85</f>
        <v>0.24907904664684213</v>
      </c>
      <c r="BG77" s="44">
        <f>BG76/'Income Statement'!BG$85</f>
        <v>0.18855020671291431</v>
      </c>
      <c r="BH77" s="44">
        <f>BH76/'Income Statement'!BH$85</f>
        <v>0.236582650337362</v>
      </c>
      <c r="BI77" s="44">
        <f>BI76/'Income Statement'!BI$85</f>
        <v>0.30429668835226231</v>
      </c>
      <c r="BJ77" s="44">
        <f>BJ76/'Income Statement'!BJ$85</f>
        <v>0.24779698245430537</v>
      </c>
      <c r="BK77" s="44">
        <f>BK76/'Income Statement'!BK$85</f>
        <v>6.4865460151976806E-2</v>
      </c>
      <c r="BL77" s="44">
        <f>BL76/'Income Statement'!BL$85</f>
        <v>0.27965016577112151</v>
      </c>
      <c r="BM77" s="44">
        <f>BM76/'Income Statement'!BM$85</f>
        <v>-4.7993533347214096E-3</v>
      </c>
      <c r="BN77" s="44">
        <f>BN76/'Income Statement'!BN$85</f>
        <v>0.37486074977444767</v>
      </c>
      <c r="BO77" s="44">
        <f>BO76/'Income Statement'!BO$85</f>
        <v>-2.6385682756337375E-2</v>
      </c>
      <c r="BP77" s="44">
        <f>BP76/'Income Statement'!BP$85</f>
        <v>0.2473640867285658</v>
      </c>
      <c r="BQ77" s="44">
        <f>BQ76/'Income Statement'!BQ$85</f>
        <v>0.15655767978987362</v>
      </c>
      <c r="BR77" s="85">
        <f>BR76/'Income Statement'!BR$85</f>
        <v>0.38708237950415275</v>
      </c>
      <c r="BS77" s="85">
        <f>BS76/'Income Statement'!BS$85</f>
        <v>-3.1773656439583915E-2</v>
      </c>
      <c r="BT77" s="85">
        <f>BT76/'Income Statement'!BT$85</f>
        <v>0.26541065451284479</v>
      </c>
      <c r="BU77" s="85">
        <f>BU76/'Income Statement'!BU$85</f>
        <v>0.16199497656199477</v>
      </c>
      <c r="BV77" s="85">
        <f>BV76/'Income Statement'!BV$85</f>
        <v>0.4531455873161811</v>
      </c>
      <c r="BW77" s="85">
        <f>BW76/'Income Statement'!BW$85</f>
        <v>-1.9902872027864501E-2</v>
      </c>
      <c r="BX77" s="85">
        <f>BX76/'Income Statement'!BX$85</f>
        <v>0.29566120215028358</v>
      </c>
      <c r="BY77" s="85">
        <f>BY76/'Income Statement'!BY$85</f>
        <v>0.1820433354214594</v>
      </c>
      <c r="BZ77" s="85">
        <f>BZ76/'Income Statement'!BZ$85</f>
        <v>0.50852422904601846</v>
      </c>
      <c r="CA77" s="85">
        <f>CA76/'Income Statement'!CA$85</f>
        <v>-3.4312019682296514E-3</v>
      </c>
      <c r="CB77" s="85">
        <f>CB76/'Income Statement'!CB$85</f>
        <v>0.32591336125331</v>
      </c>
      <c r="CC77" s="85">
        <f>CC76/'Income Statement'!CC$85</f>
        <v>0.20535812800988701</v>
      </c>
      <c r="CD77" s="85">
        <f>CD76/'Income Statement'!CD$85</f>
        <v>0.56782552982189349</v>
      </c>
      <c r="CE77" s="85">
        <f>CE76/'Income Statement'!CE$85</f>
        <v>1.7298361135582946E-2</v>
      </c>
      <c r="CF77" s="85">
        <f>CF76/'Income Statement'!CF$85</f>
        <v>0.35719943451786645</v>
      </c>
      <c r="CG77" s="85">
        <f>CG76/'Income Statement'!CG$85</f>
        <v>0.23146231717558963</v>
      </c>
      <c r="CH77" s="85"/>
      <c r="CI77" s="120">
        <f>CI76/'Income Statement'!CI$85</f>
        <v>0.32098709325577168</v>
      </c>
      <c r="CJ77" s="44">
        <f>CJ76/'Income Statement'!CJ$85</f>
        <v>0.38244998968859556</v>
      </c>
      <c r="CK77" s="120">
        <f>CK76/'Income Statement'!CK$85</f>
        <v>0.38020580941250248</v>
      </c>
      <c r="CL77" s="44">
        <f>CL76/'Income Statement'!CL$85</f>
        <v>0.25949469499086936</v>
      </c>
      <c r="CM77" s="120">
        <f>CM76/'Income Statement'!CM$85</f>
        <v>0.21546929757732744</v>
      </c>
      <c r="CN77" s="44">
        <f>CN76/'Income Statement'!CN$85</f>
        <v>0.26240807307984038</v>
      </c>
      <c r="CO77" s="120">
        <f>CO76/'Income Statement'!CO$85</f>
        <v>0.351842022890894</v>
      </c>
      <c r="CP77" s="44">
        <f>CP76/'Income Statement'!CP$85</f>
        <v>0.26806678402834622</v>
      </c>
      <c r="CQ77" s="120">
        <f>CQ76/'Income Statement'!CQ$85</f>
        <v>0.2073882989835866</v>
      </c>
      <c r="CR77" s="120">
        <f>CR76/'Income Statement'!CR$85</f>
        <v>0.2350494809058345</v>
      </c>
      <c r="CS77" s="120">
        <f>CS76/'Income Statement'!CS$85</f>
        <v>0.28609873855585011</v>
      </c>
      <c r="CT77" s="120">
        <f>CT76/'Income Statement'!CT$85</f>
        <v>0.31598851328092947</v>
      </c>
      <c r="CU77" s="121">
        <f>CU76/'Income Statement'!CU$85</f>
        <v>0.2565834762122618</v>
      </c>
      <c r="CV77" s="121">
        <f>CV76/'Income Statement'!CV$85</f>
        <v>0.27092722254276669</v>
      </c>
      <c r="CW77" s="120">
        <f>CW76/'Income Statement'!CW$85</f>
        <v>0.24655900351723717</v>
      </c>
      <c r="CX77" s="44">
        <f>CX76/'Income Statement'!CX$85</f>
        <v>0.14143433505149181</v>
      </c>
      <c r="CY77" s="120">
        <f>CY76/'Income Statement'!CY$85</f>
        <v>0.185353119785784</v>
      </c>
      <c r="CZ77" s="120">
        <f>CZ76/'Income Statement'!CZ$85</f>
        <v>0.19316713247984932</v>
      </c>
      <c r="DA77" s="120">
        <f>DA76/'Income Statement'!DA$85</f>
        <v>0.22459050152482909</v>
      </c>
      <c r="DB77" s="120">
        <f>DB76/'Income Statement'!DB$85</f>
        <v>0.25562193509873993</v>
      </c>
      <c r="DC77" s="120">
        <f>DC76/'Income Statement'!DC$85</f>
        <v>0.28963938613952311</v>
      </c>
    </row>
    <row r="78" spans="1:107" x14ac:dyDescent="0.2">
      <c r="A78" s="7" t="s">
        <v>62</v>
      </c>
      <c r="B78" s="25" t="s">
        <v>82</v>
      </c>
      <c r="C78" s="22">
        <f>IF(AND(B76&lt;0,C76&gt;0),"n/a",C76/B76-1)</f>
        <v>-0.31385927505330491</v>
      </c>
      <c r="D78" s="22">
        <f t="shared" ref="D78" si="421">IF(AND(C76&lt;0,D76&gt;0),"n/a",D76/C76-1)</f>
        <v>0.32256059664387826</v>
      </c>
      <c r="E78" s="22">
        <f t="shared" ref="E78" si="422">IF(AND(D76&lt;0,E76&gt;0),"n/a",E76/D76-1)</f>
        <v>-0.53900375939849621</v>
      </c>
      <c r="F78" s="22">
        <f t="shared" ref="F78" si="423">IF(AND(E76&lt;0,F76&gt;0),"n/a",F76/E76-1)</f>
        <v>1.326197757390418</v>
      </c>
      <c r="G78" s="22">
        <f t="shared" ref="G78" si="424">IF(AND(F76&lt;0,G76&gt;0),"n/a",G76/F76-1)</f>
        <v>0.1402278702892199</v>
      </c>
      <c r="H78" s="22">
        <f t="shared" ref="H78" si="425">IF(AND(G76&lt;0,H76&gt;0),"n/a",H76/G76-1)</f>
        <v>0.2567255956956187</v>
      </c>
      <c r="I78" s="22">
        <f t="shared" ref="I78" si="426">IF(AND(H76&lt;0,I76&gt;0),"n/a",I76/H76-1)</f>
        <v>-9.0825688073394528E-2</v>
      </c>
      <c r="J78" s="22">
        <f t="shared" ref="J78" si="427">IF(AND(I76&lt;0,J76&gt;0),"n/a",J76/I76-1)</f>
        <v>3.8345105953582204E-2</v>
      </c>
      <c r="K78" s="22">
        <f t="shared" ref="K78" si="428">IF(AND(J76&lt;0,K76&gt;0),"n/a",K76/J76-1)</f>
        <v>0.12666018788467759</v>
      </c>
      <c r="L78" s="22">
        <f t="shared" ref="L78" si="429">IF(AND(K76&lt;0,L76&gt;0),"n/a",L76/K76-1)</f>
        <v>-9.9482461184588811E-2</v>
      </c>
      <c r="M78" s="22">
        <f t="shared" ref="M78" si="430">IF(AND(L76&lt;0,M76&gt;0),"n/a",M76/L76-1)</f>
        <v>0.16251596424010217</v>
      </c>
      <c r="N78" s="22">
        <f t="shared" ref="N78" si="431">IF(AND(M76&lt;0,N76&gt;0),"n/a",N76/M76-1)</f>
        <v>-0.33562208184564679</v>
      </c>
      <c r="O78" s="22">
        <f t="shared" ref="O78" si="432">IF(AND(N76&lt;0,O76&gt;0),"n/a",O76/N76-1)</f>
        <v>0.25258371227780074</v>
      </c>
      <c r="P78" s="22">
        <f t="shared" ref="P78" si="433">IF(AND(O76&lt;0,P76&gt;0),"n/a",P76/O76-1)</f>
        <v>-7.788778877887792E-2</v>
      </c>
      <c r="Q78" s="22">
        <f t="shared" ref="Q78" si="434">IF(AND(P76&lt;0,Q76&gt;0),"n/a",Q76/P76-1)</f>
        <v>6.7644953471725167E-2</v>
      </c>
      <c r="R78" s="22">
        <f t="shared" ref="R78" si="435">IF(AND(Q76&lt;0,R76&gt;0),"n/a",R76/Q76-1)</f>
        <v>-0.33020449212202485</v>
      </c>
      <c r="S78" s="22">
        <f t="shared" ref="S78" si="436">IF(AND(R76&lt;0,S76&gt;0),"n/a",S76/R76-1)</f>
        <v>0.47447447447447444</v>
      </c>
      <c r="T78" s="22">
        <f t="shared" ref="T78" si="437">IF(AND(S76&lt;0,T76&gt;0),"n/a",T76/S76-1)</f>
        <v>0.20230821452817382</v>
      </c>
      <c r="U78" s="22">
        <f t="shared" ref="U78" si="438">IF(AND(T76&lt;0,U76&gt;0),"n/a",U76/T76-1)</f>
        <v>-0.20186335403726707</v>
      </c>
      <c r="V78" s="22">
        <f t="shared" ref="V78" si="439">IF(AND(U76&lt;0,V76&gt;0),"n/a",V76/U76-1)</f>
        <v>0.23629288998938813</v>
      </c>
      <c r="W78" s="22">
        <f t="shared" ref="W78" si="440">IF(AND(V76&lt;0,W76&gt;0),"n/a",W76/V76-1)</f>
        <v>0.27896995708154515</v>
      </c>
      <c r="X78" s="22">
        <f t="shared" ref="X78" si="441">IF(AND(W76&lt;0,X76&gt;0),"n/a",X76/W76-1)</f>
        <v>-0.18702460850111857</v>
      </c>
      <c r="Y78" s="22">
        <f t="shared" ref="Y78" si="442">IF(AND(X76&lt;0,Y76&gt;0),"n/a",Y76/X76-1)</f>
        <v>0.18739680792515134</v>
      </c>
      <c r="Z78" s="22">
        <f t="shared" ref="Z78" si="443">IF(AND(Y76&lt;0,Z76&gt;0),"n/a",Z76/Y76-1)</f>
        <v>0.21205098493626884</v>
      </c>
      <c r="AA78" s="22">
        <f t="shared" ref="AA78" si="444">IF(AND(Z76&lt;0,AA76&gt;0),"n/a",AA76/Z76-1)</f>
        <v>0.33785850860420652</v>
      </c>
      <c r="AB78" s="22">
        <f t="shared" ref="AB78" si="445">IF(AND(AA76&lt;0,AB76&gt;0),"n/a",AB76/AA76-1)</f>
        <v>4.2018007717593342E-2</v>
      </c>
      <c r="AC78" s="22">
        <f t="shared" ref="AC78" si="446">IF(AND(AB76&lt;0,AC76&gt;0),"n/a",AC76/AB76-1)</f>
        <v>-0.13112055959402003</v>
      </c>
      <c r="AD78" s="22">
        <f t="shared" ref="AD78" si="447">IF(AND(AC76&lt;0,AD76&gt;0),"n/a",AD76/AC76-1)</f>
        <v>0.111286503551697</v>
      </c>
      <c r="AE78" s="22">
        <f t="shared" ref="AE78" si="448">IF(AND(AD76&lt;0,AE76&gt;0),"n/a",AE76/AD76-1)</f>
        <v>-0.35056818181818183</v>
      </c>
      <c r="AF78" s="22">
        <f t="shared" ref="AF78" si="449">IF(AND(AE76&lt;0,AF76&gt;0),"n/a",AF76/AE76-1)</f>
        <v>0.3853893263342083</v>
      </c>
      <c r="AG78" s="22">
        <f t="shared" ref="AG78" si="450">IF(AND(AF76&lt;0,AG76&gt;0),"n/a",AG76/AF76-1)</f>
        <v>-5.8888538048626482E-2</v>
      </c>
      <c r="AH78" s="22">
        <f t="shared" ref="AH78" si="451">IF(AND(AG76&lt;0,AH76&gt;0),"n/a",AH76/AG76-1)</f>
        <v>-0.27143096795839627</v>
      </c>
      <c r="AI78" s="22">
        <f t="shared" ref="AI78" si="452">IF(AND(AH76&lt;0,AI76&gt;0),"n/a",AI76/AH76-1)</f>
        <v>7.1839742113746219E-2</v>
      </c>
      <c r="AJ78" s="22">
        <f t="shared" ref="AJ78" si="453">IF(AND(AI76&lt;0,AJ76&gt;0),"n/a",AJ76/AI76-1)</f>
        <v>0.70311493018259941</v>
      </c>
      <c r="AK78" s="22">
        <f t="shared" ref="AK78" si="454">IF(AND(AJ76&lt;0,AK76&gt;0),"n/a",AK76/AJ76-1)</f>
        <v>-0.25504540867810288</v>
      </c>
      <c r="AL78" s="22">
        <f t="shared" ref="AL78" si="455">IF(AND(AK76&lt;0,AL76&gt;0),"n/a",AL76/AK76-1)</f>
        <v>0.24652895360650184</v>
      </c>
      <c r="AM78" s="22">
        <f t="shared" ref="AM78" si="456">IF(AND(AL76&lt;0,AM76&gt;0),"n/a",AM76/AL76-1)</f>
        <v>-0.11695191524042381</v>
      </c>
      <c r="AN78" s="22">
        <f t="shared" ref="AN78" si="457">IF(AND(AM76&lt;0,AN76&gt;0),"n/a",AN76/AM76-1)</f>
        <v>0.34348561759729268</v>
      </c>
      <c r="AO78" s="22">
        <f t="shared" ref="AO78" si="458">IF(AND(AN76&lt;0,AO76&gt;0),"n/a",AO76/AN76-1)</f>
        <v>-4.1103732539500837E-2</v>
      </c>
      <c r="AP78" s="22">
        <f t="shared" ref="AP78" si="459">IF(AND(AO76&lt;0,AP76&gt;0),"n/a",AP76/AO76-1)</f>
        <v>-0.34973134328358213</v>
      </c>
      <c r="AQ78" s="22">
        <f t="shared" ref="AQ78" si="460">IF(AND(AP76&lt;0,AQ76&gt;0),"n/a",AQ76/AP76-1)</f>
        <v>0.57950789570326844</v>
      </c>
      <c r="AR78" s="22">
        <f t="shared" ref="AR78" si="461">IF(AND(AQ76&lt;0,AR76&gt;0),"n/a",AR76/AQ76-1)</f>
        <v>0.34817484305975355</v>
      </c>
      <c r="AS78" s="22">
        <f t="shared" ref="AS78" si="462">IF(AND(AR76&lt;0,AS76&gt;0),"n/a",AS76/AR76-1)</f>
        <v>0.48296973355178063</v>
      </c>
      <c r="AT78" s="22">
        <f t="shared" ref="AT78" si="463">IF(AND(AS76&lt;0,AT76&gt;0),"n/a",AT76/AS76-1)</f>
        <v>-0.22392138620769853</v>
      </c>
      <c r="AU78" s="22">
        <f t="shared" ref="AU78" si="464">IF(AND(AT76&lt;0,AU76&gt;0),"n/a",AU76/AT76-1)</f>
        <v>0.22829100172323358</v>
      </c>
      <c r="AV78" s="22">
        <f t="shared" ref="AV78" si="465">IF(AND(AU76&lt;0,AV76&gt;0),"n/a",AV76/AU76-1)</f>
        <v>0.14188117604001471</v>
      </c>
      <c r="AW78" s="22">
        <f t="shared" ref="AW78" si="466">IF(AND(AV76&lt;0,AW76&gt;0),"n/a",AW76/AV76-1)</f>
        <v>-9.0277777777777457E-3</v>
      </c>
      <c r="AX78" s="22">
        <f t="shared" ref="AX78" si="467">IF(AND(AW76&lt;0,AX76&gt;0),"n/a",AX76/AW76-1)</f>
        <v>-0.17416850843620291</v>
      </c>
      <c r="AY78" s="22">
        <f t="shared" ref="AY78" si="468">IF(AND(AX76&lt;0,AY76&gt;0),"n/a",AY76/AX76-1)</f>
        <v>-0.17793733681462143</v>
      </c>
      <c r="AZ78" s="22">
        <f t="shared" ref="AZ78" si="469">IF(AND(AY76&lt;0,AZ76&gt;0),"n/a",AZ76/AY76-1)</f>
        <v>0.27656026679371126</v>
      </c>
      <c r="BA78" s="22">
        <f t="shared" ref="BA78" si="470">IF(AND(AZ76&lt;0,BA76&gt;0),"n/a",BA76/AZ76-1)</f>
        <v>-3.6076382409653274E-3</v>
      </c>
      <c r="BB78" s="22">
        <f t="shared" ref="BB78" si="471">IF(AND(BA76&lt;0,BB76&gt;0),"n/a",BB76/BA76-1)</f>
        <v>7.4973469005555904E-2</v>
      </c>
      <c r="BC78" s="22">
        <f t="shared" ref="BC78" si="472">IF(AND(BB76&lt;0,BC76&gt;0),"n/a",BC76/BB76-1)</f>
        <v>0.26469221835075496</v>
      </c>
      <c r="BD78" s="22">
        <f t="shared" ref="BD78" si="473">IF(AND(BC76&lt;0,BD76&gt;0),"n/a",BD76/BC76-1)</f>
        <v>3.7790430709890632E-2</v>
      </c>
      <c r="BE78" s="22">
        <f t="shared" ref="BE78:BL78" si="474">IF(AND(BD76&lt;0,BE76&gt;0),"n/a",BE76/BD76-1)</f>
        <v>-0.6506349276580683</v>
      </c>
      <c r="BF78" s="22">
        <f t="shared" si="474"/>
        <v>1.1322188449848025</v>
      </c>
      <c r="BG78" s="22">
        <f t="shared" si="474"/>
        <v>-0.20087906866239014</v>
      </c>
      <c r="BH78" s="22">
        <f t="shared" si="474"/>
        <v>0.31091125315891177</v>
      </c>
      <c r="BI78" s="22">
        <f t="shared" si="474"/>
        <v>0.40823269263480189</v>
      </c>
      <c r="BJ78" s="22">
        <f t="shared" si="474"/>
        <v>-0.23690461811007768</v>
      </c>
      <c r="BK78" s="22">
        <f t="shared" si="474"/>
        <v>-0.72030813063894894</v>
      </c>
      <c r="BL78" s="22">
        <f t="shared" si="474"/>
        <v>3.6144123750235808</v>
      </c>
      <c r="BM78" s="22">
        <f t="shared" ref="BM78" si="475">IF(AND(BL76&lt;0,BM76&gt;0),"n/a",BM76/BL76-1)</f>
        <v>-1.0187405115615871</v>
      </c>
      <c r="BN78" s="22" t="str">
        <f t="shared" ref="BN78" si="476">IF(AND(BM76&lt;0,BN76&gt;0),"n/a",BN76/BM76-1)</f>
        <v>n/a</v>
      </c>
      <c r="BO78" s="22">
        <f t="shared" ref="BO78" si="477">IF(AND(BN76&lt;0,BO76&gt;0),"n/a",BO76/BN76-1)</f>
        <v>-1.0745771051460793</v>
      </c>
      <c r="BP78" s="22" t="str">
        <f t="shared" ref="BP78" si="478">IF(AND(BO76&lt;0,BP76&gt;0),"n/a",BP76/BO76-1)</f>
        <v>n/a</v>
      </c>
      <c r="BQ78" s="22">
        <f t="shared" ref="BQ78" si="479">IF(AND(BP76&lt;0,BQ76&gt;0),"n/a",BQ76/BP76-1)</f>
        <v>-0.31681039113128584</v>
      </c>
      <c r="BR78" s="28">
        <f>IF(AND(BQ76&lt;0,BR76&gt;0),"n/a",BR76/BQ76-1)</f>
        <v>1.3286923037213692</v>
      </c>
      <c r="BS78" s="28">
        <f t="shared" ref="BS78" si="480">IF(AND(BR76&lt;0,BS76&gt;0),"n/a",BS76/BR76-1)</f>
        <v>-1.0866271637231197</v>
      </c>
      <c r="BT78" s="28" t="str">
        <f t="shared" ref="BT78" si="481">IF(AND(BS76&lt;0,BT76&gt;0),"n/a",BT76/BS76-1)</f>
        <v>n/a</v>
      </c>
      <c r="BU78" s="28">
        <f t="shared" ref="BU78" si="482">IF(AND(BT76&lt;0,BU76&gt;0),"n/a",BU76/BT76-1)</f>
        <v>-0.34326117131433853</v>
      </c>
      <c r="BV78" s="28">
        <f t="shared" ref="BV78" si="483">IF(AND(BU76&lt;0,BV76&gt;0),"n/a",BV76/BU76-1)</f>
        <v>1.6343696507705872</v>
      </c>
      <c r="BW78" s="28">
        <f t="shared" ref="BW78" si="484">IF(AND(BV76&lt;0,BW76&gt;0),"n/a",BW76/BV76-1)</f>
        <v>-1.0461775548826868</v>
      </c>
      <c r="BX78" s="28" t="str">
        <f t="shared" ref="BX78" si="485">IF(AND(BW76&lt;0,BX76&gt;0),"n/a",BX76/BW76-1)</f>
        <v>n/a</v>
      </c>
      <c r="BY78" s="28">
        <f t="shared" ref="BY78" si="486">IF(AND(BX76&lt;0,BY76&gt;0),"n/a",BY76/BX76-1)</f>
        <v>-0.33953618151405307</v>
      </c>
      <c r="BZ78" s="28">
        <f t="shared" ref="BZ78" si="487">IF(AND(BY76&lt;0,BZ76&gt;0),"n/a",BZ76/BY76-1)</f>
        <v>1.6218445859480575</v>
      </c>
      <c r="CA78" s="28">
        <f t="shared" ref="CA78" si="488">IF(AND(BZ76&lt;0,CA76&gt;0),"n/a",CA76/BZ76-1)</f>
        <v>-1.0070685052551724</v>
      </c>
      <c r="CB78" s="28" t="str">
        <f t="shared" ref="CB78" si="489">IF(AND(CA76&lt;0,CB76&gt;0),"n/a",CB76/CA76-1)</f>
        <v>n/a</v>
      </c>
      <c r="CC78" s="28">
        <f t="shared" ref="CC78" si="490">IF(AND(CB76&lt;0,CC76&gt;0),"n/a",CC76/CB76-1)</f>
        <v>-0.32607253370605482</v>
      </c>
      <c r="CD78" s="28">
        <f t="shared" ref="CD78" si="491">IF(AND(CC76&lt;0,CD76&gt;0),"n/a",CD76/CC76-1)</f>
        <v>1.5856261721758669</v>
      </c>
      <c r="CE78" s="28">
        <f t="shared" ref="CE78" si="492">IF(AND(CD76&lt;0,CE76&gt;0),"n/a",CE76/CD76-1)</f>
        <v>-0.96819518892116552</v>
      </c>
      <c r="CF78" s="28">
        <f t="shared" ref="CF78" si="493">IF(AND(CE76&lt;0,CF76&gt;0),"n/a",CF76/CE76-1)</f>
        <v>21.059344278641394</v>
      </c>
      <c r="CG78" s="28">
        <f t="shared" ref="CG78" si="494">IF(AND(CF76&lt;0,CG76&gt;0),"n/a",CG76/CF76-1)</f>
        <v>-0.30881099754765617</v>
      </c>
      <c r="CH78" s="28"/>
      <c r="CI78" s="106" t="s">
        <v>82</v>
      </c>
      <c r="CJ78" s="48" t="s">
        <v>82</v>
      </c>
      <c r="CK78" s="106" t="s">
        <v>82</v>
      </c>
      <c r="CL78" s="48" t="s">
        <v>82</v>
      </c>
      <c r="CM78" s="106" t="s">
        <v>82</v>
      </c>
      <c r="CN78" s="48" t="s">
        <v>82</v>
      </c>
      <c r="CO78" s="106" t="s">
        <v>82</v>
      </c>
      <c r="CP78" s="48" t="s">
        <v>82</v>
      </c>
      <c r="CQ78" s="106" t="s">
        <v>82</v>
      </c>
      <c r="CR78" s="106" t="s">
        <v>82</v>
      </c>
      <c r="CS78" s="106" t="s">
        <v>82</v>
      </c>
      <c r="CT78" s="106" t="s">
        <v>82</v>
      </c>
      <c r="CU78" s="106" t="s">
        <v>82</v>
      </c>
      <c r="CV78" s="106" t="s">
        <v>82</v>
      </c>
      <c r="CW78" s="106" t="s">
        <v>82</v>
      </c>
      <c r="CX78" s="48" t="s">
        <v>82</v>
      </c>
      <c r="CY78" s="106" t="s">
        <v>82</v>
      </c>
      <c r="CZ78" s="106" t="s">
        <v>82</v>
      </c>
      <c r="DA78" s="106" t="s">
        <v>82</v>
      </c>
      <c r="DB78" s="106" t="s">
        <v>82</v>
      </c>
      <c r="DC78" s="106" t="s">
        <v>82</v>
      </c>
    </row>
    <row r="79" spans="1:107" x14ac:dyDescent="0.2">
      <c r="A79" s="7" t="s">
        <v>63</v>
      </c>
      <c r="B79" s="25" t="s">
        <v>82</v>
      </c>
      <c r="C79" s="25" t="s">
        <v>82</v>
      </c>
      <c r="D79" s="25" t="s">
        <v>82</v>
      </c>
      <c r="E79" s="25" t="s">
        <v>82</v>
      </c>
      <c r="F79" s="22">
        <f>IF(AND(B76&lt;0,F76&gt;0),"n/a",F76/B76-1)</f>
        <v>-2.68656716417911E-2</v>
      </c>
      <c r="G79" s="22">
        <f t="shared" ref="G79:BQ79" si="495">IF(AND(C76&lt;0,G76&gt;0),"n/a",G76/C76-1)</f>
        <v>0.61715351149782482</v>
      </c>
      <c r="H79" s="22">
        <f t="shared" si="495"/>
        <v>0.53665413533834583</v>
      </c>
      <c r="I79" s="22">
        <f t="shared" si="495"/>
        <v>2.0305810397553516</v>
      </c>
      <c r="J79" s="22">
        <f t="shared" si="495"/>
        <v>0.35276073619631898</v>
      </c>
      <c r="K79" s="22">
        <f t="shared" si="495"/>
        <v>0.3366641045349732</v>
      </c>
      <c r="L79" s="22">
        <f t="shared" si="495"/>
        <v>-4.2201834862385268E-2</v>
      </c>
      <c r="M79" s="22">
        <f t="shared" si="495"/>
        <v>0.22468886646485031</v>
      </c>
      <c r="N79" s="22">
        <f t="shared" si="495"/>
        <v>-0.21639131843213477</v>
      </c>
      <c r="O79" s="22">
        <f t="shared" si="495"/>
        <v>-0.12880966072455435</v>
      </c>
      <c r="P79" s="22">
        <f t="shared" si="495"/>
        <v>-0.10791826309067687</v>
      </c>
      <c r="Q79" s="22">
        <f t="shared" si="495"/>
        <v>-0.18071958253227138</v>
      </c>
      <c r="R79" s="22">
        <f t="shared" si="495"/>
        <v>-0.17403885903265814</v>
      </c>
      <c r="S79" s="22">
        <f t="shared" si="495"/>
        <v>-2.7722772277227747E-2</v>
      </c>
      <c r="T79" s="22">
        <f t="shared" si="495"/>
        <v>0.26771653543307083</v>
      </c>
      <c r="U79" s="22">
        <f t="shared" si="495"/>
        <v>-5.2296345960442525E-2</v>
      </c>
      <c r="V79" s="22">
        <f t="shared" si="495"/>
        <v>0.74924924924924929</v>
      </c>
      <c r="W79" s="22">
        <f t="shared" si="495"/>
        <v>0.51731160896130346</v>
      </c>
      <c r="X79" s="22">
        <f t="shared" si="495"/>
        <v>2.5974025974025983E-2</v>
      </c>
      <c r="Y79" s="22">
        <f t="shared" si="495"/>
        <v>0.5263530244074992</v>
      </c>
      <c r="Z79" s="22">
        <f t="shared" si="495"/>
        <v>0.49642346208869803</v>
      </c>
      <c r="AA79" s="22">
        <f t="shared" si="495"/>
        <v>0.56532438478747205</v>
      </c>
      <c r="AB79" s="22">
        <f t="shared" si="495"/>
        <v>1.0063291139240507</v>
      </c>
      <c r="AC79" s="22">
        <f t="shared" si="495"/>
        <v>0.46813441483198148</v>
      </c>
      <c r="AD79" s="22">
        <f t="shared" si="495"/>
        <v>0.34608030592734229</v>
      </c>
      <c r="AE79" s="22">
        <f t="shared" si="495"/>
        <v>-0.34657710447334567</v>
      </c>
      <c r="AF79" s="22">
        <f t="shared" si="495"/>
        <v>-0.13125771499108485</v>
      </c>
      <c r="AG79" s="22">
        <f t="shared" si="495"/>
        <v>-5.9037095501183856E-2</v>
      </c>
      <c r="AH79" s="22">
        <f t="shared" si="495"/>
        <v>-0.38309659090909087</v>
      </c>
      <c r="AI79" s="22">
        <f t="shared" si="495"/>
        <v>1.815398075240604E-2</v>
      </c>
      <c r="AJ79" s="22">
        <f t="shared" si="495"/>
        <v>0.25165772023997479</v>
      </c>
      <c r="AK79" s="22">
        <f t="shared" si="495"/>
        <v>-9.2266398255326232E-3</v>
      </c>
      <c r="AL79" s="22">
        <f t="shared" si="495"/>
        <v>0.69514160718397422</v>
      </c>
      <c r="AM79" s="22">
        <f t="shared" si="495"/>
        <v>0.39656283566057993</v>
      </c>
      <c r="AN79" s="22">
        <f t="shared" si="495"/>
        <v>0.10166498486377407</v>
      </c>
      <c r="AO79" s="22">
        <f t="shared" si="495"/>
        <v>0.41804944124619037</v>
      </c>
      <c r="AP79" s="22">
        <f t="shared" si="495"/>
        <v>-0.26025536538983973</v>
      </c>
      <c r="AQ79" s="22">
        <f t="shared" si="495"/>
        <v>0.32318104906937384</v>
      </c>
      <c r="AR79" s="22">
        <f t="shared" si="495"/>
        <v>0.3277994046256012</v>
      </c>
      <c r="AS79" s="22">
        <f t="shared" si="495"/>
        <v>1.0534925373134327</v>
      </c>
      <c r="AT79" s="22">
        <f t="shared" si="495"/>
        <v>1.4507895703268452</v>
      </c>
      <c r="AU79" s="22">
        <f t="shared" si="495"/>
        <v>0.90583585212741213</v>
      </c>
      <c r="AV79" s="22">
        <f t="shared" si="495"/>
        <v>0.61421057169957738</v>
      </c>
      <c r="AW79" s="22">
        <f t="shared" si="495"/>
        <v>7.8671938597511426E-2</v>
      </c>
      <c r="AX79" s="22">
        <f t="shared" si="495"/>
        <v>0.14782348093204467</v>
      </c>
      <c r="AY79" s="22">
        <f t="shared" si="495"/>
        <v>-0.23179211906795172</v>
      </c>
      <c r="AZ79" s="22">
        <f t="shared" si="495"/>
        <v>-0.14118589743589749</v>
      </c>
      <c r="BA79" s="22">
        <f t="shared" si="495"/>
        <v>-0.13648859899735866</v>
      </c>
      <c r="BB79" s="22">
        <f t="shared" si="495"/>
        <v>0.12402088772845943</v>
      </c>
      <c r="BC79" s="22">
        <f t="shared" si="495"/>
        <v>0.72923614419564875</v>
      </c>
      <c r="BD79" s="22">
        <f t="shared" si="495"/>
        <v>0.40579710144927539</v>
      </c>
      <c r="BE79" s="22">
        <f t="shared" si="495"/>
        <v>-0.50708533616330609</v>
      </c>
      <c r="BF79" s="22">
        <f t="shared" si="495"/>
        <v>-2.2299651567944223E-2</v>
      </c>
      <c r="BG79" s="22">
        <f t="shared" si="495"/>
        <v>-0.3822205895858205</v>
      </c>
      <c r="BH79" s="22">
        <f t="shared" si="495"/>
        <v>-0.21963629927879302</v>
      </c>
      <c r="BI79" s="22">
        <f t="shared" si="495"/>
        <v>2.1455167173252279</v>
      </c>
      <c r="BJ79" s="22">
        <f t="shared" si="495"/>
        <v>0.1257424566405323</v>
      </c>
      <c r="BK79" s="22">
        <f t="shared" si="495"/>
        <v>-0.60599078341013823</v>
      </c>
      <c r="BL79" s="22">
        <f t="shared" si="495"/>
        <v>0.38691387424165113</v>
      </c>
      <c r="BM79" s="22">
        <f t="shared" si="495"/>
        <v>-1.0184568044976439</v>
      </c>
      <c r="BN79" s="22">
        <f t="shared" si="495"/>
        <v>0.76111379228867437</v>
      </c>
      <c r="BO79" s="22">
        <f t="shared" si="495"/>
        <v>-1.4695837914836891</v>
      </c>
      <c r="BP79" s="22">
        <f t="shared" si="495"/>
        <v>1.4143895839723308E-2</v>
      </c>
      <c r="BQ79" s="22" t="str">
        <f t="shared" si="495"/>
        <v>n/a</v>
      </c>
      <c r="BR79" s="28">
        <f>IF(AND(BN76&lt;0,BR76&gt;0),"n/a",BR76/BN76-1)</f>
        <v>0.1823927762588291</v>
      </c>
      <c r="BS79" s="28">
        <f t="shared" ref="BS79" si="496">IF(AND(BO76&lt;0,BS76&gt;0),"n/a",BS76/BO76-1)</f>
        <v>0.37344205588801427</v>
      </c>
      <c r="BT79" s="28">
        <f t="shared" ref="BT79" si="497">IF(AND(BP76&lt;0,BT76&gt;0),"n/a",BT76/BP76-1)</f>
        <v>0.22530762490762757</v>
      </c>
      <c r="BU79" s="28">
        <f t="shared" ref="BU79" si="498">IF(AND(BQ76&lt;0,BU76&gt;0),"n/a",BU76/BQ76-1)</f>
        <v>0.17786787725584774</v>
      </c>
      <c r="BV79" s="28">
        <f t="shared" ref="BV79" si="499">IF(AND(BR76&lt;0,BV76&gt;0),"n/a",BV76/BR76-1)</f>
        <v>0.33248148907510222</v>
      </c>
      <c r="BW79" s="28">
        <f t="shared" ref="BW79" si="500">IF(AND(BS76&lt;0,BW76&gt;0),"n/a",BW76/BS76-1)</f>
        <v>-0.28970620244942868</v>
      </c>
      <c r="BX79" s="28">
        <f t="shared" ref="BX79" si="501">IF(AND(BT76&lt;0,BX76&gt;0),"n/a",BX76/BT76-1)</f>
        <v>0.2648684720079626</v>
      </c>
      <c r="BY79" s="28">
        <f t="shared" ref="BY79" si="502">IF(AND(BU76&lt;0,BY76&gt;0),"n/a",BY76/BU76-1)</f>
        <v>0.27204274273954354</v>
      </c>
      <c r="BZ79" s="28">
        <f t="shared" ref="BZ79" si="503">IF(AND(BV76&lt;0,BZ76&gt;0),"n/a",BZ76/BV76-1)</f>
        <v>0.26599483757741837</v>
      </c>
      <c r="CA79" s="28">
        <f t="shared" ref="CA79" si="504">IF(AND(BW76&lt;0,CA76&gt;0),"n/a",CA76/BW76-1)</f>
        <v>-0.80621123865975253</v>
      </c>
      <c r="CB79" s="28">
        <f t="shared" ref="CB79" si="505">IF(AND(BX76&lt;0,CB76&gt;0),"n/a",CB76/BX76-1)</f>
        <v>0.24062650912462269</v>
      </c>
      <c r="CC79" s="28">
        <f t="shared" ref="CC79" si="506">IF(AND(BY76&lt;0,CC76&gt;0),"n/a",CC76/BY76-1)</f>
        <v>0.26591685495826933</v>
      </c>
      <c r="CD79" s="28">
        <f t="shared" ref="CD79" si="507">IF(AND(BZ76&lt;0,CD76&gt;0),"n/a",CD76/BZ76-1)</f>
        <v>0.24842935753000739</v>
      </c>
      <c r="CE79" s="28" t="str">
        <f t="shared" ref="CE79" si="508">IF(AND(CA76&lt;0,CE76&gt;0),"n/a",CE76/CA76-1)</f>
        <v>n/a</v>
      </c>
      <c r="CF79" s="28">
        <f t="shared" ref="CF79" si="509">IF(AND(CB76&lt;0,CF76&gt;0),"n/a",CF76/CB76-1)</f>
        <v>0.22254347123001561</v>
      </c>
      <c r="CG79" s="28">
        <f t="shared" ref="CG79" si="510">IF(AND(CC76&lt;0,CG76&gt;0),"n/a",CG76/CC76-1)</f>
        <v>0.2538568979551501</v>
      </c>
      <c r="CH79" s="28"/>
      <c r="CI79" s="106" t="s">
        <v>82</v>
      </c>
      <c r="CJ79" s="22">
        <f>IF(AND(CI76&lt;0,CJ76&gt;0),"n/a",CJ76/CI76-1)</f>
        <v>0.57539289253858139</v>
      </c>
      <c r="CK79" s="107">
        <f t="shared" ref="CK79:CY79" si="511">IF(AND(CJ76&lt;0,CK76&gt;0),"n/a",CK76/CJ76-1)</f>
        <v>0.19870585063359392</v>
      </c>
      <c r="CL79" s="22">
        <f t="shared" si="511"/>
        <v>-0.15834457939721103</v>
      </c>
      <c r="CM79" s="107">
        <f t="shared" si="511"/>
        <v>7.7498663816140123E-3</v>
      </c>
      <c r="CN79" s="22">
        <f t="shared" si="511"/>
        <v>0.40670025634226104</v>
      </c>
      <c r="CO79" s="107">
        <f t="shared" si="511"/>
        <v>0.62454442629131579</v>
      </c>
      <c r="CP79" s="22">
        <f t="shared" si="511"/>
        <v>-7.5271728619502598E-2</v>
      </c>
      <c r="CQ79" s="107">
        <f t="shared" si="511"/>
        <v>-4.4965909566235807E-2</v>
      </c>
      <c r="CR79" s="107">
        <f t="shared" si="511"/>
        <v>0.35651716888577445</v>
      </c>
      <c r="CS79" s="107">
        <f t="shared" si="511"/>
        <v>0.38328167376985656</v>
      </c>
      <c r="CT79" s="107">
        <f t="shared" si="511"/>
        <v>0.56412949606703555</v>
      </c>
      <c r="CU79" s="107">
        <f t="shared" si="511"/>
        <v>-0.10448874828388943</v>
      </c>
      <c r="CV79" s="107">
        <f t="shared" si="511"/>
        <v>0.15805699050158317</v>
      </c>
      <c r="CW79" s="107">
        <f t="shared" si="511"/>
        <v>4.7039355349305811E-2</v>
      </c>
      <c r="CX79" s="22">
        <f t="shared" si="511"/>
        <v>-0.33680682278747709</v>
      </c>
      <c r="CY79" s="107">
        <f t="shared" si="511"/>
        <v>0.50536888544946712</v>
      </c>
      <c r="CZ79" s="107">
        <f>IF(AND(CY76&lt;0,CZ76&gt;0),"n/a",CZ76/CY76-1)</f>
        <v>0.18944536621916175</v>
      </c>
      <c r="DA79" s="107">
        <f>IF(AND(CZ76&lt;0,DA76&gt;0),"n/a",DA76/CZ76-1)</f>
        <v>0.31935157122688262</v>
      </c>
      <c r="DB79" s="107">
        <f>IF(AND(DA76&lt;0,DB76&gt;0),"n/a",DB76/DA76-1)</f>
        <v>0.28026167992104822</v>
      </c>
      <c r="DC79" s="107">
        <f>IF(AND(DB76&lt;0,DC76&gt;0),"n/a",DC76/DB76-1)</f>
        <v>0.26330257473578578</v>
      </c>
    </row>
    <row r="80" spans="1:107" x14ac:dyDescent="0.2">
      <c r="A80" s="7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CI80" s="92"/>
      <c r="CK80" s="92"/>
      <c r="CM80" s="92"/>
      <c r="CO80" s="92"/>
      <c r="CQ80" s="92"/>
      <c r="CR80" s="92"/>
      <c r="CS80" s="92"/>
      <c r="CT80" s="92"/>
      <c r="CU80" s="115"/>
      <c r="CV80" s="115"/>
      <c r="CW80" s="115"/>
      <c r="CX80" s="33"/>
      <c r="CY80" s="115"/>
      <c r="CZ80" s="115"/>
      <c r="DA80" s="115"/>
      <c r="DB80" s="115"/>
      <c r="DC80" s="115"/>
    </row>
    <row r="81" spans="1:107" x14ac:dyDescent="0.2">
      <c r="A81" s="1" t="s">
        <v>184</v>
      </c>
      <c r="B81" s="20">
        <f t="shared" ref="B81:AG81" si="512">B7</f>
        <v>291</v>
      </c>
      <c r="C81" s="20">
        <f t="shared" si="512"/>
        <v>309</v>
      </c>
      <c r="D81" s="20">
        <f t="shared" si="512"/>
        <v>380</v>
      </c>
      <c r="E81" s="20">
        <f t="shared" si="512"/>
        <v>396</v>
      </c>
      <c r="F81" s="20">
        <f t="shared" si="512"/>
        <v>432</v>
      </c>
      <c r="G81" s="20">
        <f t="shared" si="512"/>
        <v>435</v>
      </c>
      <c r="H81" s="20">
        <f t="shared" si="512"/>
        <v>571</v>
      </c>
      <c r="I81" s="20">
        <f t="shared" si="512"/>
        <v>536</v>
      </c>
      <c r="J81" s="20">
        <f t="shared" si="512"/>
        <v>556</v>
      </c>
      <c r="K81" s="20">
        <f t="shared" si="512"/>
        <v>658</v>
      </c>
      <c r="L81" s="20">
        <f t="shared" si="512"/>
        <v>762</v>
      </c>
      <c r="M81" s="20">
        <f t="shared" si="512"/>
        <v>708</v>
      </c>
      <c r="N81" s="20">
        <f t="shared" si="512"/>
        <v>697</v>
      </c>
      <c r="O81" s="20">
        <f t="shared" si="512"/>
        <v>783</v>
      </c>
      <c r="P81" s="20">
        <f t="shared" si="512"/>
        <v>886</v>
      </c>
      <c r="Q81" s="20">
        <f t="shared" si="512"/>
        <v>902</v>
      </c>
      <c r="R81" s="20">
        <f t="shared" si="512"/>
        <v>839</v>
      </c>
      <c r="S81" s="20">
        <f t="shared" si="512"/>
        <v>880</v>
      </c>
      <c r="T81" s="20">
        <f t="shared" si="512"/>
        <v>1255</v>
      </c>
      <c r="U81" s="20">
        <f t="shared" si="512"/>
        <v>1201</v>
      </c>
      <c r="V81" s="20">
        <f t="shared" si="512"/>
        <v>903</v>
      </c>
      <c r="W81" s="20">
        <f t="shared" si="512"/>
        <v>1132</v>
      </c>
      <c r="X81" s="20">
        <f t="shared" si="512"/>
        <v>1432</v>
      </c>
      <c r="Y81" s="20">
        <f t="shared" si="512"/>
        <v>1436</v>
      </c>
      <c r="Z81" s="20">
        <f t="shared" si="512"/>
        <v>1494</v>
      </c>
      <c r="AA81" s="20">
        <f t="shared" si="512"/>
        <v>1503</v>
      </c>
      <c r="AB81" s="20">
        <f t="shared" si="512"/>
        <v>1860</v>
      </c>
      <c r="AC81" s="20">
        <f t="shared" si="512"/>
        <v>1846</v>
      </c>
      <c r="AD81" s="20">
        <f t="shared" si="512"/>
        <v>2009</v>
      </c>
      <c r="AE81" s="20">
        <f t="shared" si="512"/>
        <v>2003</v>
      </c>
      <c r="AF81" s="20">
        <f t="shared" si="512"/>
        <v>1820</v>
      </c>
      <c r="AG81" s="20">
        <f t="shared" si="512"/>
        <v>1847</v>
      </c>
      <c r="AH81" s="20">
        <f t="shared" ref="AH81:BM81" si="513">AH7</f>
        <v>2457</v>
      </c>
      <c r="AI81" s="20">
        <f t="shared" si="513"/>
        <v>2413</v>
      </c>
      <c r="AJ81" s="20">
        <f t="shared" si="513"/>
        <v>2230</v>
      </c>
      <c r="AK81" s="20">
        <f t="shared" si="513"/>
        <v>2253</v>
      </c>
      <c r="AL81" s="20">
        <f t="shared" si="513"/>
        <v>2769</v>
      </c>
      <c r="AM81" s="20">
        <f t="shared" si="513"/>
        <v>2756</v>
      </c>
      <c r="AN81" s="20">
        <f t="shared" si="513"/>
        <v>2624</v>
      </c>
      <c r="AO81" s="20">
        <f t="shared" si="513"/>
        <v>2645</v>
      </c>
      <c r="AP81" s="20">
        <f t="shared" si="513"/>
        <v>3191</v>
      </c>
      <c r="AQ81" s="20">
        <f t="shared" si="513"/>
        <v>3382</v>
      </c>
      <c r="AR81" s="20">
        <f t="shared" si="513"/>
        <v>3195</v>
      </c>
      <c r="AS81" s="20">
        <f t="shared" si="513"/>
        <v>3223</v>
      </c>
      <c r="AT81" s="20">
        <f t="shared" si="513"/>
        <v>3745</v>
      </c>
      <c r="AU81" s="20">
        <f t="shared" si="513"/>
        <v>3803</v>
      </c>
      <c r="AV81" s="20">
        <f t="shared" si="513"/>
        <v>3874</v>
      </c>
      <c r="AW81" s="20">
        <f t="shared" si="513"/>
        <v>3954</v>
      </c>
      <c r="AX81" s="20">
        <f t="shared" si="513"/>
        <v>4504</v>
      </c>
      <c r="AY81" s="20">
        <f t="shared" si="513"/>
        <v>4782</v>
      </c>
      <c r="AZ81" s="20">
        <f t="shared" si="513"/>
        <v>4976</v>
      </c>
      <c r="BA81" s="20">
        <f t="shared" si="513"/>
        <v>5100</v>
      </c>
      <c r="BB81" s="20">
        <f t="shared" si="513"/>
        <v>5284</v>
      </c>
      <c r="BC81" s="20">
        <f t="shared" si="513"/>
        <v>5774</v>
      </c>
      <c r="BD81" s="20">
        <f t="shared" si="513"/>
        <v>5743</v>
      </c>
      <c r="BE81" s="20">
        <f t="shared" si="513"/>
        <v>5659</v>
      </c>
      <c r="BF81" s="20">
        <f t="shared" si="513"/>
        <v>5264</v>
      </c>
      <c r="BG81" s="20">
        <f t="shared" ref="BG81:BH81" si="514">BG7</f>
        <v>5865</v>
      </c>
      <c r="BH81" s="20">
        <f t="shared" si="514"/>
        <v>5846</v>
      </c>
      <c r="BI81" s="20">
        <f t="shared" ref="BI81:BJ81" si="515">BI7</f>
        <v>5810</v>
      </c>
      <c r="BJ81" s="20">
        <f t="shared" si="515"/>
        <v>5516</v>
      </c>
      <c r="BK81" s="20">
        <f t="shared" ref="BK81:BL81" si="516">BK7</f>
        <v>5998</v>
      </c>
      <c r="BL81" s="20">
        <f t="shared" si="516"/>
        <v>6368</v>
      </c>
      <c r="BM81" s="20">
        <f t="shared" si="513"/>
        <v>6391.0000000000009</v>
      </c>
      <c r="BN81" s="20">
        <f t="shared" ref="BN81:CC81" si="517">BN7</f>
        <v>6012.4400000000005</v>
      </c>
      <c r="BO81" s="20">
        <f t="shared" si="517"/>
        <v>6537.8200000000006</v>
      </c>
      <c r="BP81" s="20">
        <f t="shared" si="517"/>
        <v>6941.1200000000008</v>
      </c>
      <c r="BQ81" s="20">
        <f t="shared" si="517"/>
        <v>6966.1900000000014</v>
      </c>
      <c r="BR81" s="20">
        <f t="shared" si="517"/>
        <v>6493.4352000000008</v>
      </c>
      <c r="BS81" s="20">
        <f t="shared" si="517"/>
        <v>7060.8456000000015</v>
      </c>
      <c r="BT81" s="20">
        <f t="shared" si="517"/>
        <v>7496.4096000000018</v>
      </c>
      <c r="BU81" s="20">
        <f t="shared" si="517"/>
        <v>7523.4852000000019</v>
      </c>
      <c r="BV81" s="20">
        <f t="shared" si="517"/>
        <v>7012.9100160000016</v>
      </c>
      <c r="BW81" s="20">
        <f t="shared" si="517"/>
        <v>7484.496336000002</v>
      </c>
      <c r="BX81" s="20">
        <f t="shared" si="517"/>
        <v>7946.1941760000027</v>
      </c>
      <c r="BY81" s="20">
        <f t="shared" si="517"/>
        <v>7974.8943120000022</v>
      </c>
      <c r="BZ81" s="20">
        <f t="shared" si="517"/>
        <v>7433.6846169600021</v>
      </c>
      <c r="CA81" s="20">
        <f t="shared" si="517"/>
        <v>7858.7211528000025</v>
      </c>
      <c r="CB81" s="20">
        <f t="shared" si="517"/>
        <v>8343.503884800004</v>
      </c>
      <c r="CC81" s="20">
        <f t="shared" si="517"/>
        <v>8373.639027600002</v>
      </c>
      <c r="CD81" s="20">
        <f t="shared" ref="CD81:CG81" si="518">CD7</f>
        <v>7805.368847808003</v>
      </c>
      <c r="CE81" s="20">
        <f t="shared" si="518"/>
        <v>8251.6572104400038</v>
      </c>
      <c r="CF81" s="20">
        <f t="shared" si="518"/>
        <v>8760.6790790400046</v>
      </c>
      <c r="CG81" s="20">
        <f t="shared" si="518"/>
        <v>8792.3209789800021</v>
      </c>
      <c r="CH81" s="20"/>
      <c r="CI81" s="89">
        <f t="shared" ref="CI81" si="519">SUM(B81:E81)</f>
        <v>1376</v>
      </c>
      <c r="CJ81" s="20">
        <f t="shared" ref="CJ81" si="520">SUM(F81:I81)</f>
        <v>1974</v>
      </c>
      <c r="CK81" s="89">
        <f t="shared" ref="CK81" si="521">SUM(J81:M81)</f>
        <v>2684</v>
      </c>
      <c r="CL81" s="20">
        <f t="shared" ref="CL81" si="522">SUM(N81:Q81)</f>
        <v>3268</v>
      </c>
      <c r="CM81" s="89">
        <f t="shared" ref="CM81" si="523">SUM(R81:U81)</f>
        <v>4175</v>
      </c>
      <c r="CN81" s="20">
        <f t="shared" ref="CN81" si="524">SUM(V81:Y81)</f>
        <v>4903</v>
      </c>
      <c r="CO81" s="89">
        <f t="shared" ref="CO81" si="525">SUM(Z81:AC81)</f>
        <v>6703</v>
      </c>
      <c r="CP81" s="20">
        <f t="shared" ref="CP81" si="526">SUM(AD81:AG81)</f>
        <v>7679</v>
      </c>
      <c r="CQ81" s="89">
        <f t="shared" ref="CQ81" si="527">SUM(AH81:AK81)</f>
        <v>9353</v>
      </c>
      <c r="CR81" s="89">
        <f t="shared" ref="CR81" si="528">SUM(AL81:AO81)</f>
        <v>10794</v>
      </c>
      <c r="CS81" s="89">
        <f t="shared" ref="CS81" si="529">SUM(AP81:AS81)</f>
        <v>12991</v>
      </c>
      <c r="CT81" s="89">
        <f>SUM(AT81:AW81)</f>
        <v>15376</v>
      </c>
      <c r="CU81" s="89">
        <f t="shared" ref="CU81" si="530">SUM(AX81:BA81)</f>
        <v>19362</v>
      </c>
      <c r="CV81" s="89">
        <f t="shared" ref="CV81" si="531">SUM(BB81:BE81)</f>
        <v>22460</v>
      </c>
      <c r="CW81" s="89">
        <f>SUM(BF81:BI81)</f>
        <v>22785</v>
      </c>
      <c r="CX81" s="20">
        <f t="shared" ref="CX81" si="532">SUM(BJ81:BM81)</f>
        <v>24273</v>
      </c>
      <c r="CY81" s="89">
        <f t="shared" ref="CY81" si="533">SUM(BN81:BQ81)</f>
        <v>26457.570000000007</v>
      </c>
      <c r="CZ81" s="89">
        <f>SUM(BR81:BU81)</f>
        <v>28574.175600000006</v>
      </c>
      <c r="DA81" s="89">
        <f t="shared" ref="DA81" si="534">SUM(BV81:BY81)</f>
        <v>30418.494840000007</v>
      </c>
      <c r="DB81" s="89">
        <f>SUM(BZ81:CC81)</f>
        <v>32009.54868216001</v>
      </c>
      <c r="DC81" s="89">
        <f>SUM(CD81:CG81)</f>
        <v>33610.026116268011</v>
      </c>
    </row>
    <row r="82" spans="1:107" x14ac:dyDescent="0.2">
      <c r="CI82" s="92"/>
      <c r="CK82" s="92"/>
      <c r="CM82" s="92"/>
      <c r="CO82" s="92"/>
      <c r="CQ82" s="92"/>
      <c r="CR82" s="92"/>
      <c r="CS82" s="92"/>
      <c r="CT82" s="92"/>
      <c r="CU82" s="115"/>
      <c r="CV82" s="115"/>
      <c r="CW82" s="115"/>
      <c r="CX82" s="33"/>
      <c r="CY82" s="115"/>
      <c r="CZ82" s="115"/>
      <c r="DA82" s="115"/>
      <c r="DB82" s="115"/>
      <c r="DC82" s="115"/>
    </row>
    <row r="83" spans="1:107" x14ac:dyDescent="0.2">
      <c r="A83" s="4" t="s">
        <v>185</v>
      </c>
      <c r="B83" s="21">
        <f>B76-B81</f>
        <v>2054</v>
      </c>
      <c r="C83" s="21">
        <f t="shared" ref="C83:BN83" si="535">C76-C81</f>
        <v>1300</v>
      </c>
      <c r="D83" s="21">
        <f t="shared" si="535"/>
        <v>1748</v>
      </c>
      <c r="E83" s="21">
        <f t="shared" si="535"/>
        <v>585</v>
      </c>
      <c r="F83" s="21">
        <f t="shared" si="535"/>
        <v>1850</v>
      </c>
      <c r="G83" s="21">
        <f t="shared" si="535"/>
        <v>2167</v>
      </c>
      <c r="H83" s="21">
        <f t="shared" si="535"/>
        <v>2699</v>
      </c>
      <c r="I83" s="21">
        <f t="shared" si="535"/>
        <v>2437</v>
      </c>
      <c r="J83" s="21">
        <f t="shared" si="535"/>
        <v>2531</v>
      </c>
      <c r="K83" s="21">
        <f t="shared" si="535"/>
        <v>2820</v>
      </c>
      <c r="L83" s="21">
        <f t="shared" si="535"/>
        <v>2370</v>
      </c>
      <c r="M83" s="21">
        <f t="shared" si="535"/>
        <v>2933</v>
      </c>
      <c r="N83" s="21">
        <f t="shared" si="535"/>
        <v>1722</v>
      </c>
      <c r="O83" s="21">
        <f t="shared" si="535"/>
        <v>2247</v>
      </c>
      <c r="P83" s="21">
        <f t="shared" si="535"/>
        <v>1908</v>
      </c>
      <c r="Q83" s="21">
        <f t="shared" si="535"/>
        <v>2081</v>
      </c>
      <c r="R83" s="21">
        <f t="shared" si="535"/>
        <v>1159</v>
      </c>
      <c r="S83" s="21">
        <f t="shared" si="535"/>
        <v>2066</v>
      </c>
      <c r="T83" s="21">
        <f t="shared" si="535"/>
        <v>2287</v>
      </c>
      <c r="U83" s="21">
        <f t="shared" si="535"/>
        <v>1626</v>
      </c>
      <c r="V83" s="21">
        <f t="shared" si="535"/>
        <v>2592</v>
      </c>
      <c r="W83" s="21">
        <f t="shared" si="535"/>
        <v>3338</v>
      </c>
      <c r="X83" s="21">
        <f t="shared" si="535"/>
        <v>2202</v>
      </c>
      <c r="Y83" s="21">
        <f t="shared" si="535"/>
        <v>2879</v>
      </c>
      <c r="Z83" s="21">
        <f t="shared" si="535"/>
        <v>3736</v>
      </c>
      <c r="AA83" s="21">
        <f t="shared" si="535"/>
        <v>5494</v>
      </c>
      <c r="AB83" s="21">
        <f t="shared" si="535"/>
        <v>5431</v>
      </c>
      <c r="AC83" s="21">
        <f t="shared" si="535"/>
        <v>4489</v>
      </c>
      <c r="AD83" s="21">
        <f t="shared" si="535"/>
        <v>5031</v>
      </c>
      <c r="AE83" s="21">
        <f t="shared" si="535"/>
        <v>2569</v>
      </c>
      <c r="AF83" s="21">
        <f t="shared" si="535"/>
        <v>4514</v>
      </c>
      <c r="AG83" s="21">
        <f t="shared" si="535"/>
        <v>4114</v>
      </c>
      <c r="AH83" s="21">
        <f t="shared" si="535"/>
        <v>1886</v>
      </c>
      <c r="AI83" s="21">
        <f t="shared" si="535"/>
        <v>2242</v>
      </c>
      <c r="AJ83" s="21">
        <f t="shared" si="535"/>
        <v>5698</v>
      </c>
      <c r="AK83" s="21">
        <f t="shared" si="535"/>
        <v>3653</v>
      </c>
      <c r="AL83" s="21">
        <f t="shared" si="535"/>
        <v>4593</v>
      </c>
      <c r="AM83" s="21">
        <f t="shared" si="535"/>
        <v>3745</v>
      </c>
      <c r="AN83" s="21">
        <f t="shared" si="535"/>
        <v>6110</v>
      </c>
      <c r="AO83" s="21">
        <f t="shared" si="535"/>
        <v>5730</v>
      </c>
      <c r="AP83" s="21">
        <f t="shared" si="535"/>
        <v>2255</v>
      </c>
      <c r="AQ83" s="21">
        <f t="shared" si="535"/>
        <v>5220</v>
      </c>
      <c r="AR83" s="21">
        <f t="shared" si="535"/>
        <v>8402</v>
      </c>
      <c r="AS83" s="21">
        <f t="shared" si="535"/>
        <v>13975</v>
      </c>
      <c r="AT83" s="21">
        <f t="shared" si="535"/>
        <v>9602</v>
      </c>
      <c r="AU83" s="21">
        <f t="shared" si="535"/>
        <v>12591</v>
      </c>
      <c r="AV83" s="21">
        <f>AV76-AV81</f>
        <v>14846</v>
      </c>
      <c r="AW83" s="21">
        <f t="shared" si="535"/>
        <v>14597</v>
      </c>
      <c r="AX83" s="21">
        <f t="shared" si="535"/>
        <v>10816</v>
      </c>
      <c r="AY83" s="21">
        <f t="shared" si="535"/>
        <v>7812</v>
      </c>
      <c r="AZ83" s="21">
        <f t="shared" si="535"/>
        <v>11101</v>
      </c>
      <c r="BA83" s="21">
        <f t="shared" si="535"/>
        <v>10919</v>
      </c>
      <c r="BB83" s="21">
        <f t="shared" si="535"/>
        <v>11936</v>
      </c>
      <c r="BC83" s="21">
        <f>BC76-BC81</f>
        <v>16004</v>
      </c>
      <c r="BD83" s="21">
        <f t="shared" si="535"/>
        <v>16858</v>
      </c>
      <c r="BE83" s="21">
        <f t="shared" si="535"/>
        <v>2237</v>
      </c>
      <c r="BF83" s="21">
        <f t="shared" ref="BF83:BG83" si="536">BF76-BF81</f>
        <v>11572</v>
      </c>
      <c r="BG83" s="21">
        <f t="shared" si="536"/>
        <v>7589</v>
      </c>
      <c r="BH83" s="21">
        <f t="shared" ref="BH83:BI83" si="537">BH76-BH81</f>
        <v>11791</v>
      </c>
      <c r="BI83" s="21">
        <f t="shared" si="537"/>
        <v>19027</v>
      </c>
      <c r="BJ83" s="21">
        <f t="shared" ref="BJ83:BK83" si="538">BJ76-BJ81</f>
        <v>13437</v>
      </c>
      <c r="BK83" s="21">
        <f t="shared" si="538"/>
        <v>-697</v>
      </c>
      <c r="BL83" s="21">
        <f t="shared" ref="BL83" si="539">BL76-BL81</f>
        <v>18093</v>
      </c>
      <c r="BM83" s="21">
        <f t="shared" si="535"/>
        <v>-6849.4116533079805</v>
      </c>
      <c r="BN83" s="21">
        <f t="shared" si="535"/>
        <v>27365.949705247243</v>
      </c>
      <c r="BO83" s="21">
        <f t="shared" ref="BO83:BQ83" si="540">BO76-BO81</f>
        <v>-9027.0836786550353</v>
      </c>
      <c r="BP83" s="21">
        <f t="shared" si="540"/>
        <v>17865.853836135473</v>
      </c>
      <c r="BQ83" s="21">
        <f t="shared" si="540"/>
        <v>9981.6767523258168</v>
      </c>
      <c r="BR83" s="21">
        <f>BR76-BR81</f>
        <v>32972.931670636412</v>
      </c>
      <c r="BS83" s="21">
        <f t="shared" ref="BS83:BU83" si="541">BS76-BS81</f>
        <v>-10479.705024459334</v>
      </c>
      <c r="BT83" s="21">
        <f t="shared" si="541"/>
        <v>22899.764592300813</v>
      </c>
      <c r="BU83" s="21">
        <f t="shared" si="541"/>
        <v>12438.862635576967</v>
      </c>
      <c r="BV83" s="21">
        <f t="shared" ref="BV83:CC83" si="542">BV76-BV81</f>
        <v>45575.293280169884</v>
      </c>
      <c r="BW83" s="21">
        <f t="shared" si="542"/>
        <v>-9912.8909798907825</v>
      </c>
      <c r="BX83" s="21">
        <f t="shared" si="542"/>
        <v>30500.968229503393</v>
      </c>
      <c r="BY83" s="21">
        <f t="shared" si="542"/>
        <v>17418.065380288113</v>
      </c>
      <c r="BZ83" s="21">
        <f t="shared" si="542"/>
        <v>59142.709273462853</v>
      </c>
      <c r="CA83" s="21">
        <f t="shared" si="542"/>
        <v>-8329.3167428848883</v>
      </c>
      <c r="CB83" s="21">
        <f t="shared" si="542"/>
        <v>39355.064996087109</v>
      </c>
      <c r="CC83" s="21">
        <f t="shared" si="542"/>
        <v>23771.736644143471</v>
      </c>
      <c r="CD83" s="21">
        <f t="shared" ref="CD83:CG83" si="543">CD76-CD81</f>
        <v>75310.555803477313</v>
      </c>
      <c r="CE83" s="21">
        <f t="shared" si="543"/>
        <v>-5608.1709292632368</v>
      </c>
      <c r="CF83" s="21">
        <f t="shared" si="543"/>
        <v>49552.894893303725</v>
      </c>
      <c r="CG83" s="21">
        <f t="shared" si="543"/>
        <v>31513.38004439522</v>
      </c>
      <c r="CH83" s="21"/>
      <c r="CI83" s="90">
        <f t="shared" ref="CI83" si="544">SUM(B83:E83)</f>
        <v>5687</v>
      </c>
      <c r="CJ83" s="21">
        <f t="shared" ref="CJ83" si="545">SUM(F83:I83)</f>
        <v>9153</v>
      </c>
      <c r="CK83" s="90">
        <f t="shared" ref="CK83" si="546">SUM(J83:M83)</f>
        <v>10654</v>
      </c>
      <c r="CL83" s="21">
        <f t="shared" ref="CL83" si="547">SUM(N83:Q83)</f>
        <v>7958</v>
      </c>
      <c r="CM83" s="90">
        <f t="shared" ref="CM83" si="548">SUM(R83:U83)</f>
        <v>7138</v>
      </c>
      <c r="CN83" s="21">
        <f t="shared" ref="CN83" si="549">SUM(V83:Y83)</f>
        <v>11011</v>
      </c>
      <c r="CO83" s="90">
        <f t="shared" ref="CO83" si="550">SUM(Z83:AC83)</f>
        <v>19150</v>
      </c>
      <c r="CP83" s="21">
        <f t="shared" ref="CP83" si="551">SUM(AD83:AG83)</f>
        <v>16228</v>
      </c>
      <c r="CQ83" s="90">
        <f t="shared" ref="CQ83" si="552">SUM(AH83:AK83)</f>
        <v>13479</v>
      </c>
      <c r="CR83" s="90">
        <f t="shared" ref="CR83" si="553">SUM(AL83:AO83)</f>
        <v>20178</v>
      </c>
      <c r="CS83" s="90">
        <f t="shared" ref="CS83" si="554">SUM(AP83:AS83)</f>
        <v>29852</v>
      </c>
      <c r="CT83" s="90">
        <f>SUM(AT83:AW83)</f>
        <v>51636</v>
      </c>
      <c r="CU83" s="90">
        <f t="shared" ref="CU83" si="555">SUM(AX83:BA83)</f>
        <v>40648</v>
      </c>
      <c r="CV83" s="90">
        <f t="shared" ref="CV83" si="556">SUM(BB83:BE83)</f>
        <v>47035</v>
      </c>
      <c r="CW83" s="90">
        <f>SUM(BF83:BI83)</f>
        <v>49979</v>
      </c>
      <c r="CX83" s="21">
        <f t="shared" ref="CX83" si="557">SUM(BJ83:BM83)</f>
        <v>23983.58834669202</v>
      </c>
      <c r="CY83" s="90">
        <f t="shared" ref="CY83" si="558">SUM(BN83:BQ83)</f>
        <v>46186.396615053498</v>
      </c>
      <c r="CZ83" s="90">
        <f>SUM(BR83:BU83)</f>
        <v>57831.853874054854</v>
      </c>
      <c r="DA83" s="90">
        <f t="shared" ref="DA83" si="559">SUM(BV83:BY83)</f>
        <v>83581.435910070606</v>
      </c>
      <c r="DB83" s="90">
        <f t="shared" ref="DB83" si="560">SUM(BZ83:CC83)</f>
        <v>113940.19417080854</v>
      </c>
      <c r="DC83" s="90">
        <f>SUM(CD83:CG83)</f>
        <v>150768.65981191301</v>
      </c>
    </row>
    <row r="84" spans="1:107" x14ac:dyDescent="0.2">
      <c r="A84" s="41" t="s">
        <v>186</v>
      </c>
      <c r="B84" s="44">
        <f>B83/'Income Statement'!B$85</f>
        <v>0.40560821484992099</v>
      </c>
      <c r="C84" s="44">
        <f>C83/'Income Statement'!C$85</f>
        <v>0.25550314465408808</v>
      </c>
      <c r="D84" s="44">
        <f>D83/'Income Statement'!D$85</f>
        <v>0.31891990512680168</v>
      </c>
      <c r="E84" s="44">
        <f>E83/'Income Statement'!E$85</f>
        <v>9.1822319886987913E-2</v>
      </c>
      <c r="F84" s="44">
        <f>F83/'Income Statement'!F$85</f>
        <v>0.28304773561811508</v>
      </c>
      <c r="G84" s="44">
        <f>G83/'Income Statement'!G$85</f>
        <v>0.31342204223315012</v>
      </c>
      <c r="H84" s="44">
        <f>H83/'Income Statement'!H$85</f>
        <v>0.35929179978700748</v>
      </c>
      <c r="I84" s="44">
        <f>I83/'Income Statement'!I$85</f>
        <v>0.2996802754549926</v>
      </c>
      <c r="J84" s="44">
        <f>J83/'Income Statement'!J$85</f>
        <v>0.31108652900688299</v>
      </c>
      <c r="K84" s="44">
        <f>K83/'Income Statement'!K$85</f>
        <v>0.33728022963760318</v>
      </c>
      <c r="L84" s="44">
        <f>L83/'Income Statement'!L$85</f>
        <v>0.27079524680073125</v>
      </c>
      <c r="M84" s="44">
        <f>M83/'Income Statement'!M$85</f>
        <v>0.29831163547599676</v>
      </c>
      <c r="N84" s="44">
        <f>N83/'Income Statement'!N$85</f>
        <v>0.17247596153846154</v>
      </c>
      <c r="O84" s="44">
        <f>O83/'Income Statement'!O$85</f>
        <v>0.22267366960658011</v>
      </c>
      <c r="P84" s="44">
        <f>P83/'Income Statement'!P$85</f>
        <v>0.17702727778808686</v>
      </c>
      <c r="Q84" s="44">
        <f>Q83/'Income Statement'!Q$85</f>
        <v>0.16771437782076079</v>
      </c>
      <c r="R84" s="44">
        <f>R83/'Income Statement'!R$85</f>
        <v>9.5085733037985065E-2</v>
      </c>
      <c r="S84" s="44">
        <f>S83/'Income Statement'!S$85</f>
        <v>0.16317826396019272</v>
      </c>
      <c r="T84" s="44">
        <f>T83/'Income Statement'!T$85</f>
        <v>0.17358633776091081</v>
      </c>
      <c r="U84" s="44">
        <f>U83/'Income Statement'!U$85</f>
        <v>0.11230057324400856</v>
      </c>
      <c r="V84" s="44">
        <f>V83/'Income Statement'!V$85</f>
        <v>0.18630058218931933</v>
      </c>
      <c r="W84" s="44">
        <f>W83/'Income Statement'!W$85</f>
        <v>0.23261324041811846</v>
      </c>
      <c r="X84" s="44">
        <f>X83/'Income Statement'!X$85</f>
        <v>0.14574094910318353</v>
      </c>
      <c r="Y84" s="44">
        <f>Y83/'Income Statement'!Y$85</f>
        <v>0.16666666666666666</v>
      </c>
      <c r="Z84" s="44">
        <f>Z83/'Income Statement'!Z$85</f>
        <v>0.22685044629303541</v>
      </c>
      <c r="AA84" s="44">
        <f>AA83/'Income Statement'!AA$85</f>
        <v>0.31349500713266759</v>
      </c>
      <c r="AB84" s="44">
        <f>AB83/'Income Statement'!AB$85</f>
        <v>0.29727954458372108</v>
      </c>
      <c r="AC84" s="44">
        <f>AC83/'Income Statement'!AC$85</f>
        <v>0.21158559577677225</v>
      </c>
      <c r="AD84" s="44">
        <f>AD83/'Income Statement'!AD$85</f>
        <v>0.25003727448933949</v>
      </c>
      <c r="AE84" s="44">
        <f>AE83/'Income Statement'!AE$85</f>
        <v>0.12280701754385964</v>
      </c>
      <c r="AF84" s="44">
        <f>AF83/'Income Statement'!AF$85</f>
        <v>0.20269420745397396</v>
      </c>
      <c r="AG84" s="44">
        <f>AG83/'Income Statement'!AG$85</f>
        <v>0.15900745951377884</v>
      </c>
      <c r="AH84" s="44">
        <f>AH83/'Income Statement'!AH$85</f>
        <v>7.5870946978839809E-2</v>
      </c>
      <c r="AI84" s="44">
        <f>AI83/'Income Statement'!AI$85</f>
        <v>8.5451842817395277E-2</v>
      </c>
      <c r="AJ84" s="44">
        <f>AJ83/'Income Statement'!AJ$85</f>
        <v>0.2098092643051771</v>
      </c>
      <c r="AK84" s="44">
        <f>AK83/'Income Statement'!AK$85</f>
        <v>0.11472989949748744</v>
      </c>
      <c r="AL84" s="44">
        <f>AL83/'Income Statement'!AL$85</f>
        <v>0.1558058278774721</v>
      </c>
      <c r="AM84" s="44">
        <f>AM83/'Income Statement'!AM$85</f>
        <v>0.11811644483693938</v>
      </c>
      <c r="AN84" s="44">
        <f>AN83/'Income Statement'!AN$85</f>
        <v>0.18510103305159198</v>
      </c>
      <c r="AO84" s="44">
        <f>AO83/'Income Statement'!AO$85</f>
        <v>0.15249906850481715</v>
      </c>
      <c r="AP84" s="44">
        <f>AP83/'Income Statement'!AP$85</f>
        <v>6.6900050434627822E-2</v>
      </c>
      <c r="AQ84" s="44">
        <f>AQ83/'Income Statement'!AQ$85</f>
        <v>0.1651741923235136</v>
      </c>
      <c r="AR84" s="44">
        <f>AR83/'Income Statement'!AR$85</f>
        <v>0.22106454074249479</v>
      </c>
      <c r="AS84" s="44">
        <f>AS83/'Income Statement'!AS$85</f>
        <v>0.30097777394900072</v>
      </c>
      <c r="AT84" s="44">
        <f>AT83/'Income Statement'!AT$85</f>
        <v>0.21056094030963554</v>
      </c>
      <c r="AU84" s="44">
        <f>AU83/'Income Statement'!AU$85</f>
        <v>0.2471197817510942</v>
      </c>
      <c r="AV84" s="44">
        <f>AV83/'Income Statement'!AV$85</f>
        <v>0.27687430063409174</v>
      </c>
      <c r="AW84" s="44">
        <f>AW83/'Income Statement'!AW$85</f>
        <v>0.23582345148470063</v>
      </c>
      <c r="AX84" s="44">
        <f>AX83/'Income Statement'!AX$85</f>
        <v>0.19307045572196141</v>
      </c>
      <c r="AY84" s="44">
        <f>AY83/'Income Statement'!AY$85</f>
        <v>0.13592942527535626</v>
      </c>
      <c r="AZ84" s="44">
        <f>AZ83/'Income Statement'!AZ$85</f>
        <v>0.19384975378060279</v>
      </c>
      <c r="BA84" s="44">
        <f>BA83/'Income Statement'!BA$85</f>
        <v>0.17297973797189614</v>
      </c>
      <c r="BB84" s="44">
        <f>BB83/'Income Statement'!BB$85</f>
        <v>0.2055591912651121</v>
      </c>
      <c r="BC84" s="44">
        <f>BC83/'Income Statement'!BC$85</f>
        <v>0.25785038748449257</v>
      </c>
      <c r="BD84" s="44">
        <f>BD83/'Income Statement'!BD$85</f>
        <v>0.26319651527688875</v>
      </c>
      <c r="BE84" s="44">
        <f>BE83/'Income Statement'!BE$85</f>
        <v>3.0930258282174657E-2</v>
      </c>
      <c r="BF84" s="44">
        <f>BF83/'Income Statement'!BF$85</f>
        <v>0.17120115988341988</v>
      </c>
      <c r="BG84" s="44">
        <f>BG83/'Income Statement'!BG$85</f>
        <v>0.10635554621259898</v>
      </c>
      <c r="BH84" s="44">
        <f>BH83/'Income Statement'!BH$85</f>
        <v>0.15816442876497339</v>
      </c>
      <c r="BI84" s="44">
        <f>BI83/'Income Statement'!BI$85</f>
        <v>0.23311402702735814</v>
      </c>
      <c r="BJ84" s="44">
        <f>BJ83/'Income Statement'!BJ$85</f>
        <v>0.17567920926705541</v>
      </c>
      <c r="BK84" s="44">
        <f>BK83/'Income Statement'!BK$85</f>
        <v>-8.5288107387149273E-3</v>
      </c>
      <c r="BL84" s="44">
        <f>BL83/'Income Statement'!BL$85</f>
        <v>0.20684806219275181</v>
      </c>
      <c r="BM84" s="44">
        <f>BM83/'Income Statement'!BM$85</f>
        <v>-7.1710102528955752E-2</v>
      </c>
      <c r="BN84" s="44">
        <f>BN83/'Income Statement'!BN$85</f>
        <v>0.30733718778488983</v>
      </c>
      <c r="BO84" s="44">
        <f>BO83/'Income Statement'!BO$85</f>
        <v>-9.5685229412336079E-2</v>
      </c>
      <c r="BP84" s="44">
        <f>BP83/'Income Statement'!BP$85</f>
        <v>0.17815033171696859</v>
      </c>
      <c r="BQ84" s="44">
        <f>BQ83/'Income Statement'!BQ$85</f>
        <v>9.2206775967376226E-2</v>
      </c>
      <c r="BR84" s="85">
        <f>BR83/'Income Statement'!BR$85</f>
        <v>0.32339538352069164</v>
      </c>
      <c r="BS84" s="85">
        <f>BS83/'Income Statement'!BS$85</f>
        <v>-9.7394629522683643E-2</v>
      </c>
      <c r="BT84" s="85">
        <f>BT83/'Income Statement'!BT$85</f>
        <v>0.19995416101320118</v>
      </c>
      <c r="BU84" s="85">
        <f>BU83/'Income Statement'!BU$85</f>
        <v>0.10094169672351683</v>
      </c>
      <c r="BV84" s="85">
        <f>BV83/'Income Statement'!BV$85</f>
        <v>0.39271626992538711</v>
      </c>
      <c r="BW84" s="85">
        <f>BW83/'Income Statement'!BW$85</f>
        <v>-8.1245032019520519E-2</v>
      </c>
      <c r="BX84" s="85">
        <f>BX83/'Income Statement'!BX$85</f>
        <v>0.23455444743541681</v>
      </c>
      <c r="BY84" s="85">
        <f>BY83/'Income Statement'!BY$85</f>
        <v>0.12487093890751494</v>
      </c>
      <c r="BZ84" s="85">
        <f>BZ83/'Income Statement'!BZ$85</f>
        <v>0.45174421261808423</v>
      </c>
      <c r="CA84" s="85">
        <f>CA83/'Income Statement'!CA$85</f>
        <v>-6.0730632849831108E-2</v>
      </c>
      <c r="CB84" s="85">
        <f>CB83/'Income Statement'!CB$85</f>
        <v>0.26890411633202621</v>
      </c>
      <c r="CC84" s="85">
        <f>CC83/'Income Statement'!CC$85</f>
        <v>0.1518638135275078</v>
      </c>
      <c r="CD84" s="85">
        <f>CD83/'Income Statement'!CD$85</f>
        <v>0.51450135975392164</v>
      </c>
      <c r="CE84" s="85">
        <f>CE83/'Income Statement'!CE$85</f>
        <v>-3.6698569890549086E-2</v>
      </c>
      <c r="CF84" s="85">
        <f>CF83/'Income Statement'!CF$85</f>
        <v>0.30353594933155759</v>
      </c>
      <c r="CG84" s="85">
        <f>CG83/'Income Statement'!CG$85</f>
        <v>0.18097092425908851</v>
      </c>
      <c r="CH84" s="85"/>
      <c r="CI84" s="120">
        <f>CI83/'Income Statement'!CI$85</f>
        <v>0.25845300854390113</v>
      </c>
      <c r="CJ84" s="44">
        <f>CJ83/'Income Statement'!CJ$85</f>
        <v>0.31460094864920601</v>
      </c>
      <c r="CK84" s="120">
        <f>CK83/'Income Statement'!CK$85</f>
        <v>0.30369715800575808</v>
      </c>
      <c r="CL84" s="44">
        <f>CL83/'Income Statement'!CL$85</f>
        <v>0.18395321421141445</v>
      </c>
      <c r="CM84" s="120">
        <f>CM83/'Income Statement'!CM$85</f>
        <v>0.13595154654883437</v>
      </c>
      <c r="CN84" s="44">
        <f>CN83/'Income Statement'!CN$85</f>
        <v>0.1815618507403621</v>
      </c>
      <c r="CO84" s="120">
        <f>CO83/'Income Statement'!CO$85</f>
        <v>0.26061868016712259</v>
      </c>
      <c r="CP84" s="44">
        <f>CP83/'Income Statement'!CP$85</f>
        <v>0.18196293015485013</v>
      </c>
      <c r="CQ84" s="120">
        <f>CQ83/'Income Statement'!CQ$85</f>
        <v>0.12243285222493711</v>
      </c>
      <c r="CR84" s="120">
        <f>CR83/'Income Statement'!CR$85</f>
        <v>0.15313277882338655</v>
      </c>
      <c r="CS84" s="120">
        <f>CS83/'Income Statement'!CS$85</f>
        <v>0.19934690715797768</v>
      </c>
      <c r="CT84" s="120">
        <f>CT83/'Income Statement'!CT$85</f>
        <v>0.243484493400795</v>
      </c>
      <c r="CU84" s="120">
        <f>CU83/'Income Statement'!CU$85</f>
        <v>0.17379778605359136</v>
      </c>
      <c r="CV84" s="120">
        <f>CV83/'Income Statement'!CV$85</f>
        <v>0.18336660065183152</v>
      </c>
      <c r="CW84" s="120">
        <f>CW83/'Income Statement'!CW$85</f>
        <v>0.16935259794387331</v>
      </c>
      <c r="CX84" s="44">
        <f>CX83/'Income Statement'!CX$85</f>
        <v>7.0293051916415092E-2</v>
      </c>
      <c r="CY84" s="120">
        <f>CY83/'Income Statement'!CY$85</f>
        <v>0.11784588732094024</v>
      </c>
      <c r="CZ84" s="120">
        <f>CZ83/'Income Statement'!CZ$85</f>
        <v>0.12928742874592125</v>
      </c>
      <c r="DA84" s="120">
        <f>DA83/'Income Statement'!DA$85</f>
        <v>0.16466322817653545</v>
      </c>
      <c r="DB84" s="120">
        <f>DB83/'Income Statement'!DB$85</f>
        <v>0.19955919311765916</v>
      </c>
      <c r="DC84" s="120">
        <f>DC83/'Income Statement'!DC$85</f>
        <v>0.23684159509635938</v>
      </c>
    </row>
    <row r="85" spans="1:107" x14ac:dyDescent="0.2">
      <c r="A85" s="7" t="s">
        <v>62</v>
      </c>
      <c r="B85" s="25" t="s">
        <v>82</v>
      </c>
      <c r="C85" s="22">
        <f>IF(AND(B83&lt;0,C83&gt;0),"n/a",C83/B83-1)</f>
        <v>-0.36708860759493667</v>
      </c>
      <c r="D85" s="22">
        <f t="shared" ref="D85" si="561">IF(AND(C83&lt;0,D83&gt;0),"n/a",D83/C83-1)</f>
        <v>0.34461538461538455</v>
      </c>
      <c r="E85" s="22">
        <f t="shared" ref="E85" si="562">IF(AND(D83&lt;0,E83&gt;0),"n/a",E83/D83-1)</f>
        <v>-0.66533180778032031</v>
      </c>
      <c r="F85" s="22">
        <f t="shared" ref="F85" si="563">IF(AND(E83&lt;0,F83&gt;0),"n/a",F83/E83-1)</f>
        <v>2.1623931623931623</v>
      </c>
      <c r="G85" s="22">
        <f t="shared" ref="G85" si="564">IF(AND(F83&lt;0,G83&gt;0),"n/a",G83/F83-1)</f>
        <v>0.17135135135135138</v>
      </c>
      <c r="H85" s="22">
        <f t="shared" ref="H85" si="565">IF(AND(G83&lt;0,H83&gt;0),"n/a",H83/G83-1)</f>
        <v>0.24550069220119974</v>
      </c>
      <c r="I85" s="22">
        <f t="shared" ref="I85" si="566">IF(AND(H83&lt;0,I83&gt;0),"n/a",I83/H83-1)</f>
        <v>-9.7072989996294878E-2</v>
      </c>
      <c r="J85" s="22">
        <f t="shared" ref="J85" si="567">IF(AND(I83&lt;0,J83&gt;0),"n/a",J83/I83-1)</f>
        <v>3.8572014772261021E-2</v>
      </c>
      <c r="K85" s="22">
        <f t="shared" ref="K85" si="568">IF(AND(J83&lt;0,K83&gt;0),"n/a",K83/J83-1)</f>
        <v>0.11418411694982211</v>
      </c>
      <c r="L85" s="22">
        <f t="shared" ref="L85" si="569">IF(AND(K83&lt;0,L83&gt;0),"n/a",L83/K83-1)</f>
        <v>-0.15957446808510634</v>
      </c>
      <c r="M85" s="22">
        <f t="shared" ref="M85" si="570">IF(AND(L83&lt;0,M83&gt;0),"n/a",M83/L83-1)</f>
        <v>0.23755274261603376</v>
      </c>
      <c r="N85" s="22">
        <f t="shared" ref="N85" si="571">IF(AND(M83&lt;0,N83&gt;0),"n/a",N83/M83-1)</f>
        <v>-0.41288782816229119</v>
      </c>
      <c r="O85" s="22">
        <f t="shared" ref="O85" si="572">IF(AND(N83&lt;0,O83&gt;0),"n/a",O83/N83-1)</f>
        <v>0.30487804878048785</v>
      </c>
      <c r="P85" s="22">
        <f t="shared" ref="P85" si="573">IF(AND(O83&lt;0,P83&gt;0),"n/a",P83/O83-1)</f>
        <v>-0.15086782376502006</v>
      </c>
      <c r="Q85" s="22">
        <f t="shared" ref="Q85" si="574">IF(AND(P83&lt;0,Q83&gt;0),"n/a",Q83/P83-1)</f>
        <v>9.0670859538784176E-2</v>
      </c>
      <c r="R85" s="22">
        <f t="shared" ref="R85" si="575">IF(AND(Q83&lt;0,R83&gt;0),"n/a",R83/Q83-1)</f>
        <v>-0.44305622296972613</v>
      </c>
      <c r="S85" s="22">
        <f t="shared" ref="S85" si="576">IF(AND(R83&lt;0,S83&gt;0),"n/a",S83/R83-1)</f>
        <v>0.78257118205349441</v>
      </c>
      <c r="T85" s="22">
        <f t="shared" ref="T85" si="577">IF(AND(S83&lt;0,T83&gt;0),"n/a",T83/S83-1)</f>
        <v>0.10696999031945786</v>
      </c>
      <c r="U85" s="22">
        <f t="shared" ref="U85" si="578">IF(AND(T83&lt;0,U83&gt;0),"n/a",U83/T83-1)</f>
        <v>-0.28902492348054221</v>
      </c>
      <c r="V85" s="22">
        <f t="shared" ref="V85" si="579">IF(AND(U83&lt;0,V83&gt;0),"n/a",V83/U83-1)</f>
        <v>0.59409594095940954</v>
      </c>
      <c r="W85" s="22">
        <f t="shared" ref="W85" si="580">IF(AND(V83&lt;0,W83&gt;0),"n/a",W83/V83-1)</f>
        <v>0.28780864197530853</v>
      </c>
      <c r="X85" s="22">
        <f t="shared" ref="X85" si="581">IF(AND(W83&lt;0,X83&gt;0),"n/a",X83/W83-1)</f>
        <v>-0.34032354703415224</v>
      </c>
      <c r="Y85" s="22">
        <f t="shared" ref="Y85" si="582">IF(AND(X83&lt;0,Y83&gt;0),"n/a",Y83/X83-1)</f>
        <v>0.30744777475022711</v>
      </c>
      <c r="Z85" s="22">
        <f t="shared" ref="Z85" si="583">IF(AND(Y83&lt;0,Z83&gt;0),"n/a",Z83/Y83-1)</f>
        <v>0.29767280305661692</v>
      </c>
      <c r="AA85" s="22">
        <f t="shared" ref="AA85" si="584">IF(AND(Z83&lt;0,AA83&gt;0),"n/a",AA83/Z83-1)</f>
        <v>0.47055674518201296</v>
      </c>
      <c r="AB85" s="22">
        <f t="shared" ref="AB85" si="585">IF(AND(AA83&lt;0,AB83&gt;0),"n/a",AB83/AA83-1)</f>
        <v>-1.14670549690572E-2</v>
      </c>
      <c r="AC85" s="22">
        <f t="shared" ref="AC85" si="586">IF(AND(AB83&lt;0,AC83&gt;0),"n/a",AC83/AB83-1)</f>
        <v>-0.17344872030933534</v>
      </c>
      <c r="AD85" s="22">
        <f t="shared" ref="AD85" si="587">IF(AND(AC83&lt;0,AD83&gt;0),"n/a",AD83/AC83-1)</f>
        <v>0.12073958565382048</v>
      </c>
      <c r="AE85" s="22">
        <f t="shared" ref="AE85" si="588">IF(AND(AD83&lt;0,AE83&gt;0),"n/a",AE83/AD83-1)</f>
        <v>-0.48936593122639638</v>
      </c>
      <c r="AF85" s="22">
        <f t="shared" ref="AF85" si="589">IF(AND(AE83&lt;0,AF83&gt;0),"n/a",AF83/AE83-1)</f>
        <v>0.75710393149085253</v>
      </c>
      <c r="AG85" s="22">
        <f t="shared" ref="AG85" si="590">IF(AND(AF83&lt;0,AG83&gt;0),"n/a",AG83/AF83-1)</f>
        <v>-8.8613203367301718E-2</v>
      </c>
      <c r="AH85" s="22">
        <f t="shared" ref="AH85" si="591">IF(AND(AG83&lt;0,AH83&gt;0),"n/a",AH83/AG83-1)</f>
        <v>-0.54156538648517261</v>
      </c>
      <c r="AI85" s="22">
        <f t="shared" ref="AI85" si="592">IF(AND(AH83&lt;0,AI83&gt;0),"n/a",AI83/AH83-1)</f>
        <v>0.18875927889713684</v>
      </c>
      <c r="AJ85" s="22">
        <f t="shared" ref="AJ85" si="593">IF(AND(AI83&lt;0,AJ83&gt;0),"n/a",AJ83/AI83-1)</f>
        <v>1.5414808206958073</v>
      </c>
      <c r="AK85" s="22">
        <f t="shared" ref="AK85" si="594">IF(AND(AJ83&lt;0,AK83&gt;0),"n/a",AK83/AJ83-1)</f>
        <v>-0.35889785889785886</v>
      </c>
      <c r="AL85" s="22">
        <f t="shared" ref="AL85" si="595">IF(AND(AK83&lt;0,AL83&gt;0),"n/a",AL83/AK83-1)</f>
        <v>0.25732274842595126</v>
      </c>
      <c r="AM85" s="22">
        <f t="shared" ref="AM85" si="596">IF(AND(AL83&lt;0,AM83&gt;0),"n/a",AM83/AL83-1)</f>
        <v>-0.18462878293054652</v>
      </c>
      <c r="AN85" s="22">
        <f t="shared" ref="AN85" si="597">IF(AND(AM83&lt;0,AN83&gt;0),"n/a",AN83/AM83-1)</f>
        <v>0.63150867823765022</v>
      </c>
      <c r="AO85" s="22">
        <f t="shared" ref="AO85" si="598">IF(AND(AN83&lt;0,AO83&gt;0),"n/a",AO83/AN83-1)</f>
        <v>-6.219312602291327E-2</v>
      </c>
      <c r="AP85" s="22">
        <f t="shared" ref="AP85" si="599">IF(AND(AO83&lt;0,AP83&gt;0),"n/a",AP83/AO83-1)</f>
        <v>-0.60645724258289702</v>
      </c>
      <c r="AQ85" s="22">
        <f t="shared" ref="AQ85" si="600">IF(AND(AP83&lt;0,AQ83&gt;0),"n/a",AQ83/AP83-1)</f>
        <v>1.3148558758314857</v>
      </c>
      <c r="AR85" s="22">
        <f t="shared" ref="AR85" si="601">IF(AND(AQ83&lt;0,AR83&gt;0),"n/a",AR83/AQ83-1)</f>
        <v>0.60957854406130263</v>
      </c>
      <c r="AS85" s="22">
        <f t="shared" ref="AS85" si="602">IF(AND(AR83&lt;0,AS83&gt;0),"n/a",AS83/AR83-1)</f>
        <v>0.66329445370149975</v>
      </c>
      <c r="AT85" s="22">
        <f t="shared" ref="AT85" si="603">IF(AND(AS83&lt;0,AT83&gt;0),"n/a",AT83/AS83-1)</f>
        <v>-0.31291592128801426</v>
      </c>
      <c r="AU85" s="22">
        <f t="shared" ref="AU85" si="604">IF(AND(AT83&lt;0,AU83&gt;0),"n/a",AU83/AT83-1)</f>
        <v>0.31128931472609866</v>
      </c>
      <c r="AV85" s="22">
        <f t="shared" ref="AV85" si="605">IF(AND(AU83&lt;0,AV83&gt;0),"n/a",AV83/AU83-1)</f>
        <v>0.17909617981097603</v>
      </c>
      <c r="AW85" s="22">
        <f t="shared" ref="AW85" si="606">IF(AND(AV83&lt;0,AW83&gt;0),"n/a",AW83/AV83-1)</f>
        <v>-1.6772194530513262E-2</v>
      </c>
      <c r="AX85" s="22">
        <f t="shared" ref="AX85" si="607">IF(AND(AW83&lt;0,AX83&gt;0),"n/a",AX83/AW83-1)</f>
        <v>-0.25902582722477219</v>
      </c>
      <c r="AY85" s="22">
        <f t="shared" ref="AY85" si="608">IF(AND(AX83&lt;0,AY83&gt;0),"n/a",AY83/AX83-1)</f>
        <v>-0.27773668639053251</v>
      </c>
      <c r="AZ85" s="22">
        <f t="shared" ref="AZ85" si="609">IF(AND(AY83&lt;0,AZ83&gt;0),"n/a",AZ83/AY83-1)</f>
        <v>0.4210189452124935</v>
      </c>
      <c r="BA85" s="22">
        <f t="shared" ref="BA85" si="610">IF(AND(AZ83&lt;0,BA83&gt;0),"n/a",BA83/AZ83-1)</f>
        <v>-1.6394919376632733E-2</v>
      </c>
      <c r="BB85" s="22">
        <f t="shared" ref="BB85" si="611">IF(AND(BA83&lt;0,BB83&gt;0),"n/a",BB83/BA83-1)</f>
        <v>9.3140397472295966E-2</v>
      </c>
      <c r="BC85" s="22">
        <f t="shared" ref="BC85" si="612">IF(AND(BB83&lt;0,BC83&gt;0),"n/a",BC83/BB83-1)</f>
        <v>0.34081769436997322</v>
      </c>
      <c r="BD85" s="22">
        <f t="shared" ref="BD85" si="613">IF(AND(BC83&lt;0,BD83&gt;0),"n/a",BD83/BC83-1)</f>
        <v>5.3361659585103638E-2</v>
      </c>
      <c r="BE85" s="22">
        <f t="shared" ref="BE85:BL85" si="614">IF(AND(BD83&lt;0,BE83&gt;0),"n/a",BE83/BD83-1)</f>
        <v>-0.86730335745640053</v>
      </c>
      <c r="BF85" s="22">
        <f t="shared" si="614"/>
        <v>4.1729995529727315</v>
      </c>
      <c r="BG85" s="22">
        <f t="shared" si="614"/>
        <v>-0.34419287936398202</v>
      </c>
      <c r="BH85" s="22">
        <f t="shared" si="614"/>
        <v>0.55369613914876803</v>
      </c>
      <c r="BI85" s="22">
        <f t="shared" si="614"/>
        <v>0.61368840641166988</v>
      </c>
      <c r="BJ85" s="22">
        <f t="shared" si="614"/>
        <v>-0.29379303095600984</v>
      </c>
      <c r="BK85" s="22">
        <f t="shared" si="614"/>
        <v>-1.0518716975515368</v>
      </c>
      <c r="BL85" s="22" t="str">
        <f t="shared" si="614"/>
        <v>n/a</v>
      </c>
      <c r="BM85" s="22">
        <f t="shared" ref="BM85" si="615">IF(AND(BL83&lt;0,BM83&gt;0),"n/a",BM83/BL83-1)</f>
        <v>-1.3785669404359686</v>
      </c>
      <c r="BN85" s="22" t="str">
        <f t="shared" ref="BN85" si="616">IF(AND(BM83&lt;0,BN83&gt;0),"n/a",BN83/BM83-1)</f>
        <v>n/a</v>
      </c>
      <c r="BO85" s="22">
        <f t="shared" ref="BO85" si="617">IF(AND(BN83&lt;0,BO83&gt;0),"n/a",BO83/BN83-1)</f>
        <v>-1.3298655364013969</v>
      </c>
      <c r="BP85" s="22" t="str">
        <f t="shared" ref="BP85" si="618">IF(AND(BO83&lt;0,BP83&gt;0),"n/a",BP83/BO83-1)</f>
        <v>n/a</v>
      </c>
      <c r="BQ85" s="22">
        <f t="shared" ref="BQ85" si="619">IF(AND(BP83&lt;0,BQ83&gt;0),"n/a",BQ83/BP83-1)</f>
        <v>-0.44129864467284075</v>
      </c>
      <c r="BR85" s="28">
        <f>IF(AND(BQ83&lt;0,BR83&gt;0),"n/a",BR83/BQ83-1)</f>
        <v>2.3033459696992726</v>
      </c>
      <c r="BS85" s="28">
        <f t="shared" ref="BS85" si="620">IF(AND(BR83&lt;0,BS83&gt;0),"n/a",BS83/BR83-1)</f>
        <v>-1.3178275177087724</v>
      </c>
      <c r="BT85" s="28" t="str">
        <f t="shared" ref="BT85" si="621">IF(AND(BS83&lt;0,BT83&gt;0),"n/a",BT83/BS83-1)</f>
        <v>n/a</v>
      </c>
      <c r="BU85" s="28">
        <f t="shared" ref="BU85" si="622">IF(AND(BT83&lt;0,BU83&gt;0),"n/a",BU83/BT83-1)</f>
        <v>-0.45681264165662783</v>
      </c>
      <c r="BV85" s="28">
        <f t="shared" ref="BV85" si="623">IF(AND(BU83&lt;0,BV83&gt;0),"n/a",BV83/BU83-1)</f>
        <v>2.6639437716610743</v>
      </c>
      <c r="BW85" s="28">
        <f t="shared" ref="BW85" si="624">IF(AND(BV83&lt;0,BW83&gt;0),"n/a",BW83/BV83-1)</f>
        <v>-1.2175058077838843</v>
      </c>
      <c r="BX85" s="28" t="str">
        <f t="shared" ref="BX85" si="625">IF(AND(BW83&lt;0,BX83&gt;0),"n/a",BX83/BW83-1)</f>
        <v>n/a</v>
      </c>
      <c r="BY85" s="28">
        <f t="shared" ref="BY85" si="626">IF(AND(BX83&lt;0,BY83&gt;0),"n/a",BY83/BX83-1)</f>
        <v>-0.42893401779161455</v>
      </c>
      <c r="BZ85" s="28">
        <f t="shared" ref="BZ85" si="627">IF(AND(BY83&lt;0,BZ83&gt;0),"n/a",BZ83/BY83-1)</f>
        <v>2.3954809551004552</v>
      </c>
      <c r="CA85" s="28">
        <f t="shared" ref="CA85" si="628">IF(AND(BZ83&lt;0,CA83&gt;0),"n/a",CA83/BZ83-1)</f>
        <v>-1.1408342100861826</v>
      </c>
      <c r="CB85" s="28" t="str">
        <f t="shared" ref="CB85" si="629">IF(AND(CA83&lt;0,CB83&gt;0),"n/a",CB83/CA83-1)</f>
        <v>n/a</v>
      </c>
      <c r="CC85" s="28">
        <f t="shared" ref="CC85" si="630">IF(AND(CB83&lt;0,CC83&gt;0),"n/a",CC83/CB83-1)</f>
        <v>-0.39596754200489859</v>
      </c>
      <c r="CD85" s="28">
        <f t="shared" ref="CD85" si="631">IF(AND(CC83&lt;0,CD83&gt;0),"n/a",CD83/CC83-1)</f>
        <v>2.1680712659262618</v>
      </c>
      <c r="CE85" s="28">
        <f t="shared" ref="CE85" si="632">IF(AND(CD83&lt;0,CE83&gt;0),"n/a",CE83/CD83-1)</f>
        <v>-1.0744672625162632</v>
      </c>
      <c r="CF85" s="28" t="str">
        <f t="shared" ref="CF85" si="633">IF(AND(CE83&lt;0,CF83&gt;0),"n/a",CF83/CE83-1)</f>
        <v>n/a</v>
      </c>
      <c r="CG85" s="28">
        <f t="shared" ref="CG85" si="634">IF(AND(CF83&lt;0,CG83&gt;0),"n/a",CG83/CF83-1)</f>
        <v>-0.36404563018469083</v>
      </c>
      <c r="CH85" s="28"/>
      <c r="CI85" s="106" t="s">
        <v>82</v>
      </c>
      <c r="CJ85" s="48" t="s">
        <v>82</v>
      </c>
      <c r="CK85" s="106" t="s">
        <v>82</v>
      </c>
      <c r="CL85" s="48" t="s">
        <v>82</v>
      </c>
      <c r="CM85" s="106" t="s">
        <v>82</v>
      </c>
      <c r="CN85" s="48" t="s">
        <v>82</v>
      </c>
      <c r="CO85" s="106" t="s">
        <v>82</v>
      </c>
      <c r="CP85" s="48" t="s">
        <v>82</v>
      </c>
      <c r="CQ85" s="106" t="s">
        <v>82</v>
      </c>
      <c r="CR85" s="106" t="s">
        <v>82</v>
      </c>
      <c r="CS85" s="106" t="s">
        <v>82</v>
      </c>
      <c r="CT85" s="106" t="s">
        <v>82</v>
      </c>
      <c r="CU85" s="106" t="s">
        <v>82</v>
      </c>
      <c r="CV85" s="106" t="s">
        <v>82</v>
      </c>
      <c r="CW85" s="106" t="s">
        <v>82</v>
      </c>
      <c r="CX85" s="48" t="s">
        <v>82</v>
      </c>
      <c r="CY85" s="106" t="s">
        <v>82</v>
      </c>
      <c r="CZ85" s="106" t="s">
        <v>82</v>
      </c>
      <c r="DA85" s="106" t="s">
        <v>82</v>
      </c>
      <c r="DB85" s="106" t="s">
        <v>82</v>
      </c>
      <c r="DC85" s="106" t="s">
        <v>82</v>
      </c>
    </row>
    <row r="86" spans="1:107" x14ac:dyDescent="0.2">
      <c r="A86" s="7" t="s">
        <v>63</v>
      </c>
      <c r="B86" s="25" t="s">
        <v>82</v>
      </c>
      <c r="C86" s="25" t="s">
        <v>82</v>
      </c>
      <c r="D86" s="25" t="s">
        <v>82</v>
      </c>
      <c r="E86" s="25" t="s">
        <v>82</v>
      </c>
      <c r="F86" s="22">
        <f>IF(AND(B83&lt;0,F83&gt;0),"n/a",F83/B83-1)</f>
        <v>-9.9318403115871479E-2</v>
      </c>
      <c r="G86" s="22">
        <f t="shared" ref="G86" si="635">IF(AND(C83&lt;0,G83&gt;0),"n/a",G83/C83-1)</f>
        <v>0.66692307692307695</v>
      </c>
      <c r="H86" s="22">
        <f t="shared" ref="H86" si="636">IF(AND(D83&lt;0,H83&gt;0),"n/a",H83/D83-1)</f>
        <v>0.54405034324942791</v>
      </c>
      <c r="I86" s="22">
        <f t="shared" ref="I86" si="637">IF(AND(E83&lt;0,I83&gt;0),"n/a",I83/E83-1)</f>
        <v>3.1658119658119661</v>
      </c>
      <c r="J86" s="22">
        <f t="shared" ref="J86" si="638">IF(AND(F83&lt;0,J83&gt;0),"n/a",J83/F83-1)</f>
        <v>0.36810810810810812</v>
      </c>
      <c r="K86" s="22">
        <f t="shared" ref="K86" si="639">IF(AND(G83&lt;0,K83&gt;0),"n/a",K83/G83-1)</f>
        <v>0.30133825565297645</v>
      </c>
      <c r="L86" s="22">
        <f t="shared" ref="L86" si="640">IF(AND(H83&lt;0,L83&gt;0),"n/a",L83/H83-1)</f>
        <v>-0.12189699888847716</v>
      </c>
      <c r="M86" s="22">
        <f t="shared" ref="M86" si="641">IF(AND(I83&lt;0,M83&gt;0),"n/a",M83/I83-1)</f>
        <v>0.20352892901107911</v>
      </c>
      <c r="N86" s="22">
        <f t="shared" ref="N86" si="642">IF(AND(J83&lt;0,N83&gt;0),"n/a",N83/J83-1)</f>
        <v>-0.31963650730936388</v>
      </c>
      <c r="O86" s="22">
        <f t="shared" ref="O86" si="643">IF(AND(K83&lt;0,O83&gt;0),"n/a",O83/K83-1)</f>
        <v>-0.20319148936170217</v>
      </c>
      <c r="P86" s="22">
        <f t="shared" ref="P86" si="644">IF(AND(L83&lt;0,P83&gt;0),"n/a",P83/L83-1)</f>
        <v>-0.19493670886075953</v>
      </c>
      <c r="Q86" s="22">
        <f t="shared" ref="Q86" si="645">IF(AND(M83&lt;0,Q83&gt;0),"n/a",Q83/M83-1)</f>
        <v>-0.29048755540402316</v>
      </c>
      <c r="R86" s="22">
        <f t="shared" ref="R86" si="646">IF(AND(N83&lt;0,R83&gt;0),"n/a",R83/N83-1)</f>
        <v>-0.32694541231126595</v>
      </c>
      <c r="S86" s="22">
        <f t="shared" ref="S86" si="647">IF(AND(O83&lt;0,S83&gt;0),"n/a",S83/O83-1)</f>
        <v>-8.0551846906987135E-2</v>
      </c>
      <c r="T86" s="22">
        <f t="shared" ref="T86" si="648">IF(AND(P83&lt;0,T83&gt;0),"n/a",T83/P83-1)</f>
        <v>0.19863731656184491</v>
      </c>
      <c r="U86" s="22">
        <f t="shared" ref="U86" si="649">IF(AND(Q83&lt;0,U83&gt;0),"n/a",U83/Q83-1)</f>
        <v>-0.21864488226814027</v>
      </c>
      <c r="V86" s="22">
        <f t="shared" ref="V86" si="650">IF(AND(R83&lt;0,V83&gt;0),"n/a",V83/R83-1)</f>
        <v>1.2364106988783434</v>
      </c>
      <c r="W86" s="22">
        <f t="shared" ref="W86" si="651">IF(AND(S83&lt;0,W83&gt;0),"n/a",W83/S83-1)</f>
        <v>0.61568247821878019</v>
      </c>
      <c r="X86" s="22">
        <f t="shared" ref="X86" si="652">IF(AND(T83&lt;0,X83&gt;0),"n/a",X83/T83-1)</f>
        <v>-3.7166593790992519E-2</v>
      </c>
      <c r="Y86" s="22">
        <f t="shared" ref="Y86" si="653">IF(AND(U83&lt;0,Y83&gt;0),"n/a",Y83/U83-1)</f>
        <v>0.77060270602706038</v>
      </c>
      <c r="Z86" s="22">
        <f t="shared" ref="Z86" si="654">IF(AND(V83&lt;0,Z83&gt;0),"n/a",Z83/V83-1)</f>
        <v>0.44135802469135799</v>
      </c>
      <c r="AA86" s="22">
        <f t="shared" ref="AA86" si="655">IF(AND(W83&lt;0,AA83&gt;0),"n/a",AA83/W83-1)</f>
        <v>0.64589574595566202</v>
      </c>
      <c r="AB86" s="22">
        <f t="shared" ref="AB86" si="656">IF(AND(X83&lt;0,AB83&gt;0),"n/a",AB83/X83-1)</f>
        <v>1.466394187102634</v>
      </c>
      <c r="AC86" s="22">
        <f t="shared" ref="AC86" si="657">IF(AND(Y83&lt;0,AC83&gt;0),"n/a",AC83/Y83-1)</f>
        <v>0.5592219520666899</v>
      </c>
      <c r="AD86" s="22">
        <f t="shared" ref="AD86" si="658">IF(AND(Z83&lt;0,AD83&gt;0),"n/a",AD83/Z83-1)</f>
        <v>0.34662740899357591</v>
      </c>
      <c r="AE86" s="22">
        <f t="shared" ref="AE86" si="659">IF(AND(AA83&lt;0,AE83&gt;0),"n/a",AE83/AA83-1)</f>
        <v>-0.53239898070622504</v>
      </c>
      <c r="AF86" s="22">
        <f t="shared" ref="AF86" si="660">IF(AND(AB83&lt;0,AF83&gt;0),"n/a",AF83/AB83-1)</f>
        <v>-0.16884551647946966</v>
      </c>
      <c r="AG86" s="22">
        <f t="shared" ref="AG86" si="661">IF(AND(AC83&lt;0,AG83&gt;0),"n/a",AG83/AC83-1)</f>
        <v>-8.3537536199599027E-2</v>
      </c>
      <c r="AH86" s="22">
        <f t="shared" ref="AH86" si="662">IF(AND(AD83&lt;0,AH83&gt;0),"n/a",AH83/AD83-1)</f>
        <v>-0.6251242297753925</v>
      </c>
      <c r="AI86" s="22">
        <f t="shared" ref="AI86" si="663">IF(AND(AE83&lt;0,AI83&gt;0),"n/a",AI83/AE83-1)</f>
        <v>-0.12728688205527439</v>
      </c>
      <c r="AJ86" s="22">
        <f t="shared" ref="AJ86" si="664">IF(AND(AF83&lt;0,AJ83&gt;0),"n/a",AJ83/AF83-1)</f>
        <v>0.26229508196721318</v>
      </c>
      <c r="AK86" s="22">
        <f t="shared" ref="AK86" si="665">IF(AND(AG83&lt;0,AK83&gt;0),"n/a",AK83/AG83-1)</f>
        <v>-0.11205639280505586</v>
      </c>
      <c r="AL86" s="22">
        <f t="shared" ref="AL86" si="666">IF(AND(AH83&lt;0,AL83&gt;0),"n/a",AL83/AH83-1)</f>
        <v>1.4353128313891834</v>
      </c>
      <c r="AM86" s="22">
        <f t="shared" ref="AM86" si="667">IF(AND(AI83&lt;0,AM83&gt;0),"n/a",AM83/AI83-1)</f>
        <v>0.67038358608385362</v>
      </c>
      <c r="AN86" s="22">
        <f t="shared" ref="AN86" si="668">IF(AND(AJ83&lt;0,AN83&gt;0),"n/a",AN83/AJ83-1)</f>
        <v>7.2306072306072222E-2</v>
      </c>
      <c r="AO86" s="22">
        <f t="shared" ref="AO86" si="669">IF(AND(AK83&lt;0,AO83&gt;0),"n/a",AO83/AK83-1)</f>
        <v>0.56857377497946904</v>
      </c>
      <c r="AP86" s="22">
        <f t="shared" ref="AP86" si="670">IF(AND(AL83&lt;0,AP83&gt;0),"n/a",AP83/AL83-1)</f>
        <v>-0.509035488787285</v>
      </c>
      <c r="AQ86" s="22">
        <f t="shared" ref="AQ86" si="671">IF(AND(AM83&lt;0,AQ83&gt;0),"n/a",AQ83/AM83-1)</f>
        <v>0.39385847797062756</v>
      </c>
      <c r="AR86" s="22">
        <f t="shared" ref="AR86" si="672">IF(AND(AN83&lt;0,AR83&gt;0),"n/a",AR83/AN83-1)</f>
        <v>0.37512274959083469</v>
      </c>
      <c r="AS86" s="22">
        <f t="shared" ref="AS86" si="673">IF(AND(AO83&lt;0,AS83&gt;0),"n/a",AS83/AO83-1)</f>
        <v>1.4389179755671901</v>
      </c>
      <c r="AT86" s="22">
        <f t="shared" ref="AT86" si="674">IF(AND(AP83&lt;0,AT83&gt;0),"n/a",AT83/AP83-1)</f>
        <v>3.2580931263858091</v>
      </c>
      <c r="AU86" s="22">
        <f t="shared" ref="AU86" si="675">IF(AND(AQ83&lt;0,AU83&gt;0),"n/a",AU83/AQ83-1)</f>
        <v>1.4120689655172414</v>
      </c>
      <c r="AV86" s="22">
        <f t="shared" ref="AV86" si="676">IF(AND(AR83&lt;0,AV83&gt;0),"n/a",AV83/AR83-1)</f>
        <v>0.76696024756010472</v>
      </c>
      <c r="AW86" s="22">
        <f t="shared" ref="AW86" si="677">IF(AND(AS83&lt;0,AW83&gt;0),"n/a",AW83/AS83-1)</f>
        <v>4.4508050089445472E-2</v>
      </c>
      <c r="AX86" s="22">
        <f t="shared" ref="AX86" si="678">IF(AND(AT83&lt;0,AX83&gt;0),"n/a",AX83/AT83-1)</f>
        <v>0.12643199333472199</v>
      </c>
      <c r="AY86" s="22">
        <f t="shared" ref="AY86" si="679">IF(AND(AU83&lt;0,AY83&gt;0),"n/a",AY83/AU83-1)</f>
        <v>-0.37955682630450327</v>
      </c>
      <c r="AZ86" s="22">
        <f t="shared" ref="AZ86" si="680">IF(AND(AV83&lt;0,AZ83&gt;0),"n/a",AZ83/AV83-1)</f>
        <v>-0.25225650006735822</v>
      </c>
      <c r="BA86" s="22">
        <f t="shared" ref="BA86" si="681">IF(AND(AW83&lt;0,BA83&gt;0),"n/a",BA83/AW83-1)</f>
        <v>-0.25196958279098447</v>
      </c>
      <c r="BB86" s="22">
        <f t="shared" ref="BB86" si="682">IF(AND(AX83&lt;0,BB83&gt;0),"n/a",BB83/AX83-1)</f>
        <v>0.10355029585798814</v>
      </c>
      <c r="BC86" s="22">
        <f t="shared" ref="BC86" si="683">IF(AND(AY83&lt;0,BC83&gt;0),"n/a",BC83/AY83-1)</f>
        <v>1.0486431131592422</v>
      </c>
      <c r="BD86" s="22">
        <f t="shared" ref="BD86" si="684">IF(AND(AZ83&lt;0,BD83&gt;0),"n/a",BD83/AZ83-1)</f>
        <v>0.5186019277542564</v>
      </c>
      <c r="BE86" s="22">
        <f t="shared" ref="BE86:BL86" si="685">IF(AND(BA83&lt;0,BE83&gt;0),"n/a",BE83/BA83-1)</f>
        <v>-0.79512775895228505</v>
      </c>
      <c r="BF86" s="22">
        <f t="shared" si="685"/>
        <v>-3.0495978552278813E-2</v>
      </c>
      <c r="BG86" s="22">
        <f t="shared" si="685"/>
        <v>-0.52580604848787804</v>
      </c>
      <c r="BH86" s="22">
        <f t="shared" si="685"/>
        <v>-0.30056946256969985</v>
      </c>
      <c r="BI86" s="22">
        <f t="shared" si="685"/>
        <v>7.5055878408582917</v>
      </c>
      <c r="BJ86" s="22">
        <f t="shared" si="685"/>
        <v>0.16116488074662971</v>
      </c>
      <c r="BK86" s="22">
        <f t="shared" si="685"/>
        <v>-1.0918434576360523</v>
      </c>
      <c r="BL86" s="22">
        <f t="shared" si="685"/>
        <v>0.53447544737511654</v>
      </c>
      <c r="BM86" s="22">
        <f t="shared" ref="BM86" si="686">IF(AND(BI83&lt;0,BM83&gt;0),"n/a",BM83/BI83-1)</f>
        <v>-1.359983794255951</v>
      </c>
      <c r="BN86" s="22">
        <f t="shared" ref="BN86" si="687">IF(AND(BJ83&lt;0,BN83&gt;0),"n/a",BN83/BJ83-1)</f>
        <v>1.0366115729141359</v>
      </c>
      <c r="BO86" s="22">
        <f t="shared" ref="BO86" si="688">IF(AND(BK83&lt;0,BO83&gt;0),"n/a",BO83/BK83-1)</f>
        <v>11.951339567654284</v>
      </c>
      <c r="BP86" s="22">
        <f t="shared" ref="BP86" si="689">IF(AND(BL83&lt;0,BP83&gt;0),"n/a",BP83/BL83-1)</f>
        <v>-1.2554367095812036E-2</v>
      </c>
      <c r="BQ86" s="22" t="str">
        <f t="shared" ref="BQ86" si="690">IF(AND(BM83&lt;0,BQ83&gt;0),"n/a",BQ83/BM83-1)</f>
        <v>n/a</v>
      </c>
      <c r="BR86" s="28">
        <f>IF(AND(BN83&lt;0,BR83&gt;0),"n/a",BR83/BN83-1)</f>
        <v>0.20488899620808931</v>
      </c>
      <c r="BS86" s="28">
        <f t="shared" ref="BS86" si="691">IF(AND(BO83&lt;0,BS83&gt;0),"n/a",BS83/BO83-1)</f>
        <v>0.16091812123544291</v>
      </c>
      <c r="BT86" s="28">
        <f t="shared" ref="BT86" si="692">IF(AND(BP83&lt;0,BT83&gt;0),"n/a",BT83/BP83-1)</f>
        <v>0.28176155488207089</v>
      </c>
      <c r="BU86" s="28">
        <f t="shared" ref="BU86" si="693">IF(AND(BQ83&lt;0,BU83&gt;0),"n/a",BU83/BQ83-1)</f>
        <v>0.2461696510737641</v>
      </c>
      <c r="BV86" s="28">
        <f t="shared" ref="BV86" si="694">IF(AND(BR83&lt;0,BV83&gt;0),"n/a",BV83/BR83-1)</f>
        <v>0.38220324887751289</v>
      </c>
      <c r="BW86" s="28">
        <f t="shared" ref="BW86" si="695">IF(AND(BS83&lt;0,BW83&gt;0),"n/a",BW83/BS83-1)</f>
        <v>-5.4086831952390169E-2</v>
      </c>
      <c r="BX86" s="28">
        <f t="shared" ref="BX86" si="696">IF(AND(BT83&lt;0,BX83&gt;0),"n/a",BX83/BT83-1)</f>
        <v>0.33193370205029082</v>
      </c>
      <c r="BY86" s="28">
        <f t="shared" ref="BY86" si="697">IF(AND(BU83&lt;0,BY83&gt;0),"n/a",BY83/BU83-1)</f>
        <v>0.40029405345066671</v>
      </c>
      <c r="BZ86" s="28">
        <f t="shared" ref="BZ86" si="698">IF(AND(BV83&lt;0,BZ83&gt;0),"n/a",BZ83/BV83-1)</f>
        <v>0.29769234637479003</v>
      </c>
      <c r="CA86" s="28">
        <f t="shared" ref="CA86" si="699">IF(AND(BW83&lt;0,CA83&gt;0),"n/a",CA83/BW83-1)</f>
        <v>-0.15974898142411953</v>
      </c>
      <c r="CB86" s="28">
        <f t="shared" ref="CB86" si="700">IF(AND(BX83&lt;0,CB83&gt;0),"n/a",CB83/BX83-1)</f>
        <v>0.29028903934987893</v>
      </c>
      <c r="CC86" s="28">
        <f t="shared" ref="CC86" si="701">IF(AND(BY83&lt;0,CC83&gt;0),"n/a",CC83/BY83-1)</f>
        <v>0.36477479703605642</v>
      </c>
      <c r="CD86" s="28">
        <f t="shared" ref="CD86" si="702">IF(AND(BZ83&lt;0,CD83&gt;0),"n/a",CD83/BZ83-1)</f>
        <v>0.27337006925499296</v>
      </c>
      <c r="CE86" s="28">
        <f t="shared" ref="CE86" si="703">IF(AND(CA83&lt;0,CE83&gt;0),"n/a",CE83/CA83-1)</f>
        <v>-0.32669496161808498</v>
      </c>
      <c r="CF86" s="28">
        <f t="shared" ref="CF86" si="704">IF(AND(CB83&lt;0,CF83&gt;0),"n/a",CF83/CB83-1)</f>
        <v>0.25912369597739304</v>
      </c>
      <c r="CG86" s="28">
        <f t="shared" ref="CG86" si="705">IF(AND(CC83&lt;0,CG83&gt;0),"n/a",CG83/CC83-1)</f>
        <v>0.32566587440127215</v>
      </c>
      <c r="CH86" s="28"/>
      <c r="CI86" s="106" t="s">
        <v>82</v>
      </c>
      <c r="CJ86" s="345">
        <f>IF(AND(CI83&lt;0,CJ83&gt;0),"n/a",CJ83/CI83-1)</f>
        <v>0.60946017232284166</v>
      </c>
      <c r="CK86" s="107">
        <f t="shared" ref="CK86:DB86" si="706">IF(AND(CJ83&lt;0,CK83&gt;0),"n/a",CK83/CJ83-1)</f>
        <v>0.1639899486507157</v>
      </c>
      <c r="CL86" s="345">
        <f t="shared" si="706"/>
        <v>-0.2530504974657406</v>
      </c>
      <c r="CM86" s="107">
        <f t="shared" si="706"/>
        <v>-0.10304096506659965</v>
      </c>
      <c r="CN86" s="345">
        <f t="shared" si="706"/>
        <v>0.54258896049313532</v>
      </c>
      <c r="CO86" s="107">
        <f t="shared" si="706"/>
        <v>0.73916992098810286</v>
      </c>
      <c r="CP86" s="345">
        <f t="shared" si="706"/>
        <v>-0.15258485639686681</v>
      </c>
      <c r="CQ86" s="107">
        <f t="shared" si="706"/>
        <v>-0.16939857037219619</v>
      </c>
      <c r="CR86" s="107">
        <f t="shared" si="706"/>
        <v>0.4969953260627642</v>
      </c>
      <c r="CS86" s="107">
        <f t="shared" si="706"/>
        <v>0.47943304589156499</v>
      </c>
      <c r="CT86" s="107">
        <f t="shared" si="706"/>
        <v>0.72973335119924965</v>
      </c>
      <c r="CU86" s="107">
        <f t="shared" si="706"/>
        <v>-0.2127972732202339</v>
      </c>
      <c r="CV86" s="107">
        <f t="shared" si="706"/>
        <v>0.15712950206652243</v>
      </c>
      <c r="CW86" s="107">
        <f t="shared" si="706"/>
        <v>6.2591687041564814E-2</v>
      </c>
      <c r="CX86" s="345">
        <f t="shared" si="706"/>
        <v>-0.52012668627439484</v>
      </c>
      <c r="CY86" s="107">
        <f t="shared" si="706"/>
        <v>0.92575005655581299</v>
      </c>
      <c r="CZ86" s="107">
        <f t="shared" si="706"/>
        <v>0.25214041606367199</v>
      </c>
      <c r="DA86" s="107">
        <f>IF(AND(CZ83&lt;0,DA83&gt;0),"n/a",DA83/CZ83-1)</f>
        <v>0.44524911983787896</v>
      </c>
      <c r="DB86" s="107">
        <f t="shared" si="706"/>
        <v>0.36322369830308276</v>
      </c>
      <c r="DC86" s="107">
        <f>IF(AND(DB83&lt;0,DC83&gt;0),"n/a",DC83/DB83-1)</f>
        <v>0.32322628471121151</v>
      </c>
    </row>
    <row r="87" spans="1:107" x14ac:dyDescent="0.2">
      <c r="CI87" s="92"/>
      <c r="CK87" s="92"/>
      <c r="CM87" s="92"/>
      <c r="CO87" s="92"/>
      <c r="CQ87" s="92"/>
      <c r="CR87" s="92"/>
      <c r="CS87" s="92"/>
      <c r="CT87" s="92"/>
      <c r="CU87" s="115"/>
      <c r="CV87" s="115"/>
      <c r="CW87" s="115"/>
      <c r="CX87" s="33"/>
      <c r="CY87" s="115"/>
      <c r="CZ87" s="115"/>
      <c r="DA87" s="115"/>
      <c r="DB87" s="115"/>
      <c r="DC87" s="115"/>
    </row>
    <row r="88" spans="1:107" x14ac:dyDescent="0.2">
      <c r="CI88" s="92"/>
      <c r="CK88" s="92"/>
      <c r="CM88" s="92"/>
      <c r="CO88" s="92"/>
      <c r="CQ88" s="92"/>
      <c r="CR88" s="92"/>
      <c r="CS88" s="92"/>
      <c r="CT88" s="92"/>
      <c r="CU88" s="115"/>
      <c r="CV88" s="115"/>
      <c r="CW88" s="115"/>
      <c r="CX88" s="33"/>
      <c r="CY88" s="115"/>
      <c r="CZ88" s="115"/>
      <c r="DA88" s="115"/>
      <c r="DB88" s="115"/>
      <c r="DC88" s="115"/>
    </row>
    <row r="89" spans="1:107" x14ac:dyDescent="0.2">
      <c r="CI89" s="92"/>
      <c r="CK89" s="92"/>
      <c r="CM89" s="92"/>
      <c r="CO89" s="92"/>
      <c r="CQ89" s="92"/>
      <c r="CR89" s="92"/>
      <c r="CS89" s="92"/>
      <c r="CT89" s="92"/>
      <c r="CU89" s="115"/>
      <c r="CV89" s="115"/>
      <c r="CW89" s="115"/>
      <c r="CX89" s="33"/>
      <c r="CY89" s="115"/>
      <c r="CZ89" s="115"/>
      <c r="DA89" s="115"/>
      <c r="DB89" s="115"/>
      <c r="DC89" s="115"/>
    </row>
    <row r="90" spans="1:107" x14ac:dyDescent="0.2">
      <c r="A90" s="4" t="s">
        <v>194</v>
      </c>
      <c r="CI90" s="92"/>
      <c r="CK90" s="92"/>
      <c r="CM90" s="92"/>
      <c r="CO90" s="92"/>
      <c r="CQ90" s="92"/>
      <c r="CR90" s="92"/>
      <c r="CS90" s="92"/>
      <c r="CT90" s="92"/>
      <c r="CU90" s="115"/>
      <c r="CV90" s="115"/>
      <c r="CW90" s="115"/>
      <c r="CX90" s="33"/>
      <c r="CY90" s="115"/>
      <c r="CZ90" s="115"/>
      <c r="DA90" s="115"/>
      <c r="DB90" s="115"/>
      <c r="DC90" s="115"/>
    </row>
    <row r="91" spans="1:107" hidden="1" outlineLevel="1" x14ac:dyDescent="0.2">
      <c r="A91" s="1" t="s">
        <v>195</v>
      </c>
      <c r="B91" s="60">
        <f>B20/'Income Statement'!B$85</f>
        <v>2.1721958925750395E-3</v>
      </c>
      <c r="C91" s="60">
        <f>C20/'Income Statement'!C$85</f>
        <v>3.3411949685534592E-3</v>
      </c>
      <c r="D91" s="60">
        <f>D20/'Income Statement'!D$85</f>
        <v>7.2979383324210906E-4</v>
      </c>
      <c r="E91" s="60">
        <f>E20/'Income Statement'!E$85</f>
        <v>1.2399937215507769E-2</v>
      </c>
      <c r="F91" s="60">
        <f>F20/'Income Statement'!F$85</f>
        <v>5.0489596083231336E-3</v>
      </c>
      <c r="G91" s="60">
        <f>G20/'Income Statement'!G$85</f>
        <v>5.2068267283772052E-3</v>
      </c>
      <c r="H91" s="60">
        <f>H20/'Income Statement'!H$85</f>
        <v>1.8636847710330139E-3</v>
      </c>
      <c r="I91" s="60">
        <f>I20/'Income Statement'!I$85</f>
        <v>9.7147073290703399E-3</v>
      </c>
      <c r="J91" s="60">
        <f>J20/'Income Statement'!J$85</f>
        <v>4.9164208456243851E-3</v>
      </c>
      <c r="K91" s="60">
        <f>K20/'Income Statement'!K$85</f>
        <v>1.674440856356895E-3</v>
      </c>
      <c r="L91" s="60">
        <f>L20/'Income Statement'!L$85</f>
        <v>1.4625228519195612E-2</v>
      </c>
      <c r="M91" s="60">
        <f>M20/'Income Statement'!M$85</f>
        <v>-1.9324654190398698E-3</v>
      </c>
      <c r="N91" s="60">
        <f>N20/'Income Statement'!N$85</f>
        <v>-3.3052884615384615E-3</v>
      </c>
      <c r="O91" s="60">
        <f>O20/'Income Statement'!O$85</f>
        <v>1.6846695074819145E-3</v>
      </c>
      <c r="P91" s="60">
        <f>P20/'Income Statement'!P$85</f>
        <v>8.5359064761551303E-3</v>
      </c>
      <c r="Q91" s="60">
        <f>Q20/'Income Statement'!Q$85</f>
        <v>1.2653127014829143E-2</v>
      </c>
      <c r="R91" s="60">
        <f>R20/'Income Statement'!R$85</f>
        <v>1.8869472475182541E-3</v>
      </c>
      <c r="S91" s="60">
        <f>S20/'Income Statement'!S$85</f>
        <v>-1.8166021641260563E-3</v>
      </c>
      <c r="T91" s="60">
        <f>T20/'Income Statement'!T$85</f>
        <v>0</v>
      </c>
      <c r="U91" s="60">
        <f>U20/'Income Statement'!U$85</f>
        <v>-1.2086470060087022E-2</v>
      </c>
      <c r="V91" s="60">
        <f>V20/'Income Statement'!V$85</f>
        <v>-4.2406382519945378E-3</v>
      </c>
      <c r="W91" s="60">
        <f>W20/'Income Statement'!W$85</f>
        <v>1.7421602787456446E-3</v>
      </c>
      <c r="X91" s="60">
        <f>X20/'Income Statement'!X$85</f>
        <v>-1.3899000595671454E-3</v>
      </c>
      <c r="Y91" s="60">
        <f>Y20/'Income Statement'!Y$85</f>
        <v>5.6732661803867088E-3</v>
      </c>
      <c r="Z91" s="60">
        <f>Z20/'Income Statement'!Z$85</f>
        <v>1.0929625356730828E-3</v>
      </c>
      <c r="AA91" s="60">
        <f>AA20/'Income Statement'!AA$85</f>
        <v>-8.5592011412268193E-4</v>
      </c>
      <c r="AB91" s="60">
        <f>AB20/'Income Statement'!AB$85</f>
        <v>2.1347638075428321E-3</v>
      </c>
      <c r="AC91" s="60">
        <f>AC20/'Income Statement'!AC$85</f>
        <v>8.5312971342383099E-3</v>
      </c>
      <c r="AD91" s="60">
        <f>AD20/'Income Statement'!AD$85</f>
        <v>5.5166244222454152E-3</v>
      </c>
      <c r="AE91" s="60">
        <f>AE20/'Income Statement'!AE$85</f>
        <v>4.0154883120608062E-3</v>
      </c>
      <c r="AF91" s="60">
        <f>AF20/'Income Statement'!AF$85</f>
        <v>1.4818140996856759E-3</v>
      </c>
      <c r="AG91" s="60">
        <f>AG20/'Income Statement'!AG$85</f>
        <v>6.2613535345727202E-3</v>
      </c>
      <c r="AH91" s="60">
        <f>AH20/'Income Statement'!AH$85</f>
        <v>5.22970472282565E-3</v>
      </c>
      <c r="AI91" s="60">
        <f>AI20/'Income Statement'!AI$85</f>
        <v>6.288828753287342E-3</v>
      </c>
      <c r="AJ91" s="60">
        <f>AJ20/'Income Statement'!AJ$85</f>
        <v>-8.4689594226378963E-4</v>
      </c>
      <c r="AK91" s="60">
        <f>AK20/'Income Statement'!AK$85</f>
        <v>3.1092964824120605E-3</v>
      </c>
      <c r="AL91" s="60">
        <f>AL20/'Income Statement'!AL$85</f>
        <v>-2.7477187150174703E-3</v>
      </c>
      <c r="AM91" s="60">
        <f>AM20/'Income Statement'!AM$85</f>
        <v>-2.8385794486847913E-4</v>
      </c>
      <c r="AN91" s="60">
        <f>AN20/'Income Statement'!AN$85</f>
        <v>-1.7873913175194644E-3</v>
      </c>
      <c r="AO91" s="60">
        <f>AO20/'Income Statement'!AO$85</f>
        <v>4.9502315430883055E-3</v>
      </c>
      <c r="AP91" s="60">
        <f>AP20/'Income Statement'!AP$85</f>
        <v>1.0976948408342481E-3</v>
      </c>
      <c r="AQ91" s="60">
        <f>AQ20/'Income Statement'!AQ$85</f>
        <v>3.5123247792931051E-3</v>
      </c>
      <c r="AR91" s="60">
        <f>AR20/'Income Statement'!AR$85</f>
        <v>7.3670639619017545E-3</v>
      </c>
      <c r="AS91" s="60">
        <f>AS20/'Income Statement'!AS$85</f>
        <v>4.4581323225361819E-3</v>
      </c>
      <c r="AT91" s="60">
        <f>AT20/'Income Statement'!AT$85</f>
        <v>3.0042541993772205E-3</v>
      </c>
      <c r="AU91" s="60">
        <f>AU20/'Income Statement'!AU$85</f>
        <v>-5.8880100488704833E-5</v>
      </c>
      <c r="AV91" s="60">
        <f>AV20/'Income Statement'!AV$85</f>
        <v>5.0727340544572917E-3</v>
      </c>
      <c r="AW91" s="60">
        <f>AW20/'Income Statement'!AW$85</f>
        <v>5.9452647904617278E-3</v>
      </c>
      <c r="AX91" s="60">
        <f>AX20/'Income Statement'!AX$85</f>
        <v>-1.6779422002463362E-3</v>
      </c>
      <c r="AY91" s="60">
        <f>AY20/'Income Statement'!AY$85</f>
        <v>1.4964068834716639E-3</v>
      </c>
      <c r="AZ91" s="60">
        <f>AZ20/'Income Statement'!AZ$85</f>
        <v>1.9557852827157478E-3</v>
      </c>
      <c r="BA91" s="60">
        <f>BA20/'Income Statement'!BA$85</f>
        <v>4.1664686405905932E-3</v>
      </c>
      <c r="BB91" s="60">
        <f>BB20/'Income Statement'!BB$85</f>
        <v>-3.4615782041125614E-3</v>
      </c>
      <c r="BC91" s="60">
        <f>BC20/'Income Statement'!BC$85</f>
        <v>2.9645383214912916E-3</v>
      </c>
      <c r="BD91" s="60">
        <f>BD20/'Income Statement'!BD$85</f>
        <v>1.1038079030772353E-2</v>
      </c>
      <c r="BE91" s="60">
        <f>BE20/'Income Statement'!BE$85</f>
        <v>-2.2814003650240586E-3</v>
      </c>
      <c r="BF91" s="60">
        <f>BF20/'Income Statement'!BF$85</f>
        <v>-2.0860148240202389E-3</v>
      </c>
      <c r="BG91" s="60">
        <f>BG20/'Income Statement'!BG$85</f>
        <v>5.0592109873169363E-3</v>
      </c>
      <c r="BH91" s="60">
        <f>BH20/'Income Statement'!BH$85</f>
        <v>8.5849575447021417E-3</v>
      </c>
      <c r="BI91" s="60">
        <f>BI20/'Income Statement'!BI$85</f>
        <v>2.2420700555004225E-3</v>
      </c>
      <c r="BJ91" s="60">
        <f>BJ20/'Income Statement'!BJ$85</f>
        <v>6.5371440525063412E-3</v>
      </c>
      <c r="BK91" s="60">
        <f>BK20/'Income Statement'!BK$85</f>
        <v>1.6641581929199858E-3</v>
      </c>
      <c r="BL91" s="60">
        <f>BL20/'Income Statement'!BL$85</f>
        <v>7.7855264662169887E-3</v>
      </c>
      <c r="BM91" s="61">
        <f t="shared" ref="BM91:BQ91" si="707">BI91</f>
        <v>2.2420700555004225E-3</v>
      </c>
      <c r="BN91" s="61">
        <f t="shared" si="707"/>
        <v>6.5371440525063412E-3</v>
      </c>
      <c r="BO91" s="61">
        <f t="shared" si="707"/>
        <v>1.6641581929199858E-3</v>
      </c>
      <c r="BP91" s="61">
        <f t="shared" si="707"/>
        <v>7.7855264662169887E-3</v>
      </c>
      <c r="BQ91" s="61">
        <f t="shared" si="707"/>
        <v>2.2420700555004225E-3</v>
      </c>
      <c r="BR91" s="61">
        <f t="shared" ref="BR91" si="708">BN91</f>
        <v>6.5371440525063412E-3</v>
      </c>
      <c r="BS91" s="61">
        <f t="shared" ref="BS91" si="709">BO91</f>
        <v>1.6641581929199858E-3</v>
      </c>
      <c r="BT91" s="61">
        <f t="shared" ref="BT91" si="710">BP91</f>
        <v>7.7855264662169887E-3</v>
      </c>
      <c r="BU91" s="61">
        <f t="shared" ref="BU91" si="711">BQ91</f>
        <v>2.2420700555004225E-3</v>
      </c>
      <c r="BV91" s="61">
        <f t="shared" ref="BV91" si="712">BR91</f>
        <v>6.5371440525063412E-3</v>
      </c>
      <c r="BW91" s="61">
        <f t="shared" ref="BW91" si="713">BS91</f>
        <v>1.6641581929199858E-3</v>
      </c>
      <c r="BX91" s="61">
        <f t="shared" ref="BX91" si="714">BT91</f>
        <v>7.7855264662169887E-3</v>
      </c>
      <c r="BY91" s="61">
        <f t="shared" ref="BY91" si="715">BU91</f>
        <v>2.2420700555004225E-3</v>
      </c>
      <c r="BZ91" s="61">
        <f t="shared" ref="BZ91" si="716">BV91</f>
        <v>6.5371440525063412E-3</v>
      </c>
      <c r="CA91" s="61">
        <f t="shared" ref="CA91" si="717">BW91</f>
        <v>1.6641581929199858E-3</v>
      </c>
      <c r="CB91" s="61">
        <f t="shared" ref="CB91" si="718">BX91</f>
        <v>7.7855264662169887E-3</v>
      </c>
      <c r="CC91" s="61">
        <f t="shared" ref="CC91" si="719">BY91</f>
        <v>2.2420700555004225E-3</v>
      </c>
      <c r="CD91" s="61">
        <f t="shared" ref="CD91" si="720">BZ91</f>
        <v>6.5371440525063412E-3</v>
      </c>
      <c r="CE91" s="61">
        <f t="shared" ref="CE91" si="721">CA91</f>
        <v>1.6641581929199858E-3</v>
      </c>
      <c r="CF91" s="61">
        <f t="shared" ref="CF91" si="722">CB91</f>
        <v>7.7855264662169887E-3</v>
      </c>
      <c r="CG91" s="61">
        <f t="shared" ref="CG91" si="723">CC91</f>
        <v>2.2420700555004225E-3</v>
      </c>
      <c r="CH91" s="61"/>
      <c r="CI91" s="92"/>
      <c r="CK91" s="92"/>
      <c r="CM91" s="92"/>
      <c r="CO91" s="92"/>
      <c r="CQ91" s="92"/>
      <c r="CR91" s="92"/>
      <c r="CS91" s="92"/>
      <c r="CT91" s="92"/>
      <c r="CU91" s="115"/>
      <c r="CV91" s="115"/>
      <c r="CW91" s="115"/>
      <c r="CX91" s="33"/>
      <c r="CY91" s="115"/>
      <c r="CZ91" s="115"/>
      <c r="DA91" s="115"/>
      <c r="DB91" s="115"/>
      <c r="DC91" s="115"/>
    </row>
    <row r="92" spans="1:107" hidden="1" outlineLevel="1" x14ac:dyDescent="0.2">
      <c r="A92" s="1" t="s">
        <v>197</v>
      </c>
      <c r="B92" s="48" t="s">
        <v>82</v>
      </c>
      <c r="C92" s="60">
        <f>C27/'Balance Sheet'!B$4</f>
        <v>0.64282415425470496</v>
      </c>
      <c r="D92" s="60">
        <f>D27/'Balance Sheet'!C$4</f>
        <v>0.50341155794479475</v>
      </c>
      <c r="E92" s="60">
        <f>E27/'Balance Sheet'!D$4</f>
        <v>0.30420829001491662</v>
      </c>
      <c r="F92" s="60">
        <f>F27/'Balance Sheet'!E$4</f>
        <v>0.21761536659639261</v>
      </c>
      <c r="G92" s="60">
        <f>G27/'Balance Sheet'!F$4</f>
        <v>0.37023907666941469</v>
      </c>
      <c r="H92" s="60">
        <f>H27/'Balance Sheet'!G$4</f>
        <v>0.67643586360163899</v>
      </c>
      <c r="I92" s="60">
        <f>I27/'Balance Sheet'!H$4</f>
        <v>0.48979016598809899</v>
      </c>
      <c r="J92" s="60">
        <f>J27/'Balance Sheet'!I$4</f>
        <v>0.49652166382819041</v>
      </c>
      <c r="K92" s="60">
        <f>K27/'Balance Sheet'!J$4</f>
        <v>0.20818070818070819</v>
      </c>
      <c r="L92" s="60">
        <f>L27/'Balance Sheet'!K$4</f>
        <v>0.25800975257359582</v>
      </c>
      <c r="M92" s="60">
        <f>M27/'Balance Sheet'!L$4</f>
        <v>0.18259571001900624</v>
      </c>
      <c r="N92" s="60">
        <f>N27/'Balance Sheet'!M$4</f>
        <v>0.18970279195436807</v>
      </c>
      <c r="O92" s="60">
        <f>O27/'Balance Sheet'!N$4</f>
        <v>0.30777870575699107</v>
      </c>
      <c r="P92" s="60">
        <f>P27/'Balance Sheet'!O$4</f>
        <v>0.16292986307097312</v>
      </c>
      <c r="Q92" s="60">
        <f>Q27/'Balance Sheet'!P$4</f>
        <v>0.36513165863230057</v>
      </c>
      <c r="R92" s="60">
        <f>R27/'Balance Sheet'!Q$4</f>
        <v>0.23621889047941938</v>
      </c>
      <c r="S92" s="60">
        <f>S27/'Balance Sheet'!R$4</f>
        <v>0.33221806270472626</v>
      </c>
      <c r="T92" s="60">
        <f>T27/'Balance Sheet'!S$4</f>
        <v>0.31370238553289725</v>
      </c>
      <c r="U92" s="60">
        <f>U27/'Balance Sheet'!T$4</f>
        <v>0.31502405911668674</v>
      </c>
      <c r="V92" s="60">
        <f>V27/'Balance Sheet'!U$4</f>
        <v>0.225612404447533</v>
      </c>
      <c r="W92" s="60">
        <f>W27/'Balance Sheet'!V$4</f>
        <v>0.35486999587288487</v>
      </c>
      <c r="X92" s="60">
        <f>X27/'Balance Sheet'!W$4</f>
        <v>0.37551386209986948</v>
      </c>
      <c r="Y92" s="60">
        <f>Y27/'Balance Sheet'!X$4</f>
        <v>0.29333260205853856</v>
      </c>
      <c r="Z92" s="60">
        <f>Z27/'Balance Sheet'!Y$4</f>
        <v>0.30863280075021676</v>
      </c>
      <c r="AA92" s="60">
        <f>AA27/'Balance Sheet'!Z$4</f>
        <v>0.33823749438930728</v>
      </c>
      <c r="AB92" s="60">
        <f>AB27/'Balance Sheet'!AA$4</f>
        <v>0.25588820508074589</v>
      </c>
      <c r="AC92" s="60">
        <f>AC27/'Balance Sheet'!AB$4</f>
        <v>0.16993890020366598</v>
      </c>
      <c r="AD92" s="60">
        <f>AD27/'Balance Sheet'!AC$4</f>
        <v>0.26373356943403936</v>
      </c>
      <c r="AE92" s="60">
        <f>AE27/'Balance Sheet'!AD$4</f>
        <v>0.20019648216184208</v>
      </c>
      <c r="AF92" s="60">
        <f>AF27/'Balance Sheet'!AE$4</f>
        <v>0.35885167464114831</v>
      </c>
      <c r="AG92" s="60">
        <f>AG27/'Balance Sheet'!AF$4</f>
        <v>0.12696232777293942</v>
      </c>
      <c r="AH92" s="60">
        <f>AH27/'Balance Sheet'!AG$4</f>
        <v>0.10258238623897495</v>
      </c>
      <c r="AI92" s="60">
        <f>AI27/'Balance Sheet'!AH$4</f>
        <v>0.1792368138140468</v>
      </c>
      <c r="AJ92" s="60">
        <f>AJ27/'Balance Sheet'!AI$4</f>
        <v>0.10672371915647061</v>
      </c>
      <c r="AK92" s="60">
        <f>AK27/'Balance Sheet'!AJ$4</f>
        <v>0.14607466683875964</v>
      </c>
      <c r="AL92" s="60">
        <f>AL27/'Balance Sheet'!AK$4</f>
        <v>0.22724174861259858</v>
      </c>
      <c r="AM92" s="60">
        <f>AM27/'Balance Sheet'!AL$4</f>
        <v>0.20867076531693873</v>
      </c>
      <c r="AN92" s="60">
        <f>AN27/'Balance Sheet'!AM$4</f>
        <v>0.32632647005331727</v>
      </c>
      <c r="AO92" s="60">
        <f>AO27/'Balance Sheet'!AN$4</f>
        <v>0.21914499025155737</v>
      </c>
      <c r="AP92" s="60">
        <f>AP27/'Balance Sheet'!AO$4</f>
        <v>0.41324609347974339</v>
      </c>
      <c r="AQ92" s="60">
        <f>AQ27/'Balance Sheet'!AP$4</f>
        <v>0.24658502843674746</v>
      </c>
      <c r="AR92" s="60">
        <f>AR27/'Balance Sheet'!AQ$4</f>
        <v>0.30847316572799938</v>
      </c>
      <c r="AS92" s="60">
        <f>AS27/'Balance Sheet'!AR$4</f>
        <v>0.31258057919211857</v>
      </c>
      <c r="AT92" s="60">
        <f>AT27/'Balance Sheet'!AS$4</f>
        <v>0.35605875041958107</v>
      </c>
      <c r="AU92" s="60">
        <f>AU27/'Balance Sheet'!AT$4</f>
        <v>0.19744289375195884</v>
      </c>
      <c r="AV92" s="60">
        <f>AV27/'Balance Sheet'!AU$4</f>
        <v>0.28030080279418712</v>
      </c>
      <c r="AW92" s="60">
        <f>AW27/'Balance Sheet'!AV$4</f>
        <v>0.30577254742822357</v>
      </c>
      <c r="AX92" s="60">
        <f>AX27/'Balance Sheet'!AW$4</f>
        <v>0.25086770454239116</v>
      </c>
      <c r="AY92" s="60">
        <f>AY27/'Balance Sheet'!AX$4</f>
        <v>0.22633617487885113</v>
      </c>
      <c r="AZ92" s="60">
        <f>AZ27/'Balance Sheet'!AY$4</f>
        <v>0.26819289937512258</v>
      </c>
      <c r="BA92" s="60">
        <f>BA27/'Balance Sheet'!AZ$4</f>
        <v>0.14569079819676478</v>
      </c>
      <c r="BB92" s="60">
        <f>BB27/'Balance Sheet'!BA$4</f>
        <v>0.1994601830588901</v>
      </c>
      <c r="BC92" s="60">
        <f>BC27/'Balance Sheet'!BB$4</f>
        <v>0.20993967121935903</v>
      </c>
      <c r="BD92" s="60">
        <f>BD27/'Balance Sheet'!BC$4</f>
        <v>0.1687499323615034</v>
      </c>
      <c r="BE92" s="60">
        <f>BE27/'Balance Sheet'!BD$4</f>
        <v>0.38136115562628176</v>
      </c>
      <c r="BF92" s="60">
        <f>BF27/'Balance Sheet'!BE$4</f>
        <v>0.28762029746281714</v>
      </c>
      <c r="BG92" s="60">
        <f>BG27/'Balance Sheet'!BF$4</f>
        <v>0.40183260164838452</v>
      </c>
      <c r="BH92" s="60">
        <f>BH27/'Balance Sheet'!BG$4</f>
        <v>0.31567346938775509</v>
      </c>
      <c r="BI92" s="60">
        <f>BI27/'Balance Sheet'!BH$4</f>
        <v>0.29546478142785004</v>
      </c>
      <c r="BJ92" s="60">
        <f>BJ27/'Balance Sheet'!BI$4</f>
        <v>0.28182183374658892</v>
      </c>
      <c r="BK92" s="60">
        <f>BK27/'Balance Sheet'!BJ$4</f>
        <v>0.28564886767317937</v>
      </c>
      <c r="BL92" s="60">
        <f>BL27/'Balance Sheet'!BK$4</f>
        <v>0.27486776770293608</v>
      </c>
      <c r="BM92" s="61">
        <v>0.25</v>
      </c>
      <c r="BN92" s="61">
        <v>0.25</v>
      </c>
      <c r="BO92" s="61">
        <v>0.25</v>
      </c>
      <c r="BP92" s="61">
        <v>0.25</v>
      </c>
      <c r="BQ92" s="61">
        <v>0.25</v>
      </c>
      <c r="BR92" s="61">
        <v>0.25</v>
      </c>
      <c r="BS92" s="61">
        <v>0.25</v>
      </c>
      <c r="BT92" s="61">
        <v>0.25</v>
      </c>
      <c r="BU92" s="61">
        <v>0.25</v>
      </c>
      <c r="BV92" s="61">
        <v>0.25</v>
      </c>
      <c r="BW92" s="61">
        <v>0.25</v>
      </c>
      <c r="BX92" s="61">
        <v>0.25</v>
      </c>
      <c r="BY92" s="61">
        <v>0.25</v>
      </c>
      <c r="BZ92" s="61">
        <v>0.25</v>
      </c>
      <c r="CA92" s="61">
        <v>0.25</v>
      </c>
      <c r="CB92" s="61">
        <v>0.25</v>
      </c>
      <c r="CC92" s="61">
        <v>0.25</v>
      </c>
      <c r="CD92" s="61">
        <v>0.25</v>
      </c>
      <c r="CE92" s="61">
        <v>0.25</v>
      </c>
      <c r="CF92" s="61">
        <v>0.25</v>
      </c>
      <c r="CG92" s="61">
        <v>0.25</v>
      </c>
      <c r="CH92" s="61"/>
      <c r="CI92" s="92"/>
      <c r="CK92" s="92"/>
      <c r="CM92" s="92"/>
      <c r="CO92" s="92"/>
      <c r="CQ92" s="92"/>
      <c r="CR92" s="92"/>
      <c r="CS92" s="92"/>
      <c r="CT92" s="92"/>
      <c r="CU92" s="115"/>
      <c r="CV92" s="115"/>
      <c r="CW92" s="115"/>
      <c r="CX92" s="33"/>
      <c r="CY92" s="115"/>
      <c r="CZ92" s="115"/>
      <c r="DA92" s="115"/>
      <c r="DB92" s="115"/>
      <c r="DC92" s="115"/>
    </row>
    <row r="93" spans="1:107" hidden="1" outlineLevel="1" x14ac:dyDescent="0.2">
      <c r="A93" s="1" t="s">
        <v>196</v>
      </c>
      <c r="B93" s="48" t="s">
        <v>82</v>
      </c>
      <c r="C93" s="60">
        <f>C26/'Balance Sheet'!B$4</f>
        <v>-0.74668052187969058</v>
      </c>
      <c r="D93" s="60">
        <f>D26/'Balance Sheet'!C$4</f>
        <v>-0.6289672283676212</v>
      </c>
      <c r="E93" s="60">
        <f>E26/'Balance Sheet'!D$4</f>
        <v>-0.28911088007955521</v>
      </c>
      <c r="F93" s="60">
        <f>F26/'Balance Sheet'!E$4</f>
        <v>-0.35563363785429841</v>
      </c>
      <c r="G93" s="60">
        <f>G26/'Balance Sheet'!F$4</f>
        <v>-0.55086562242374282</v>
      </c>
      <c r="H93" s="60">
        <f>H26/'Balance Sheet'!G$4</f>
        <v>-0.78956872005000345</v>
      </c>
      <c r="I93" s="60">
        <f>I26/'Balance Sheet'!H$4</f>
        <v>-0.56307547760726584</v>
      </c>
      <c r="J93" s="60">
        <f>J26/'Balance Sheet'!I$4</f>
        <v>-0.25078659469445486</v>
      </c>
      <c r="K93" s="60">
        <f>K26/'Balance Sheet'!J$4</f>
        <v>-0.26152319902319904</v>
      </c>
      <c r="L93" s="60">
        <f>L26/'Balance Sheet'!K$4</f>
        <v>-0.31439407621455662</v>
      </c>
      <c r="M93" s="60">
        <f>M26/'Balance Sheet'!L$4</f>
        <v>-0.3110236220472441</v>
      </c>
      <c r="N93" s="60">
        <f>N26/'Balance Sheet'!M$4</f>
        <v>-0.23518462924046832</v>
      </c>
      <c r="O93" s="60">
        <f>O26/'Balance Sheet'!N$4</f>
        <v>-0.43049275696224404</v>
      </c>
      <c r="P93" s="60">
        <f>P26/'Balance Sheet'!O$4</f>
        <v>-0.23424270931326435</v>
      </c>
      <c r="Q93" s="60">
        <f>Q26/'Balance Sheet'!P$4</f>
        <v>-0.33182335699232091</v>
      </c>
      <c r="R93" s="60">
        <f>R26/'Balance Sheet'!Q$4</f>
        <v>-0.30342298902533965</v>
      </c>
      <c r="S93" s="60">
        <f>S26/'Balance Sheet'!R$4</f>
        <v>-0.2989003275620028</v>
      </c>
      <c r="T93" s="60">
        <f>T26/'Balance Sheet'!S$4</f>
        <v>-0.44091477491342823</v>
      </c>
      <c r="U93" s="60">
        <f>U26/'Balance Sheet'!T$4</f>
        <v>-0.28179240419316032</v>
      </c>
      <c r="V93" s="60">
        <f>V26/'Balance Sheet'!U$4</f>
        <v>-0.27271542738012511</v>
      </c>
      <c r="W93" s="60">
        <f>W26/'Balance Sheet'!V$4</f>
        <v>-0.42443252166735451</v>
      </c>
      <c r="X93" s="60">
        <f>X26/'Balance Sheet'!W$4</f>
        <v>-0.44988018002221053</v>
      </c>
      <c r="Y93" s="60">
        <f>Y26/'Balance Sheet'!X$4</f>
        <v>-0.33183422000402202</v>
      </c>
      <c r="Z93" s="60">
        <f>Z26/'Balance Sheet'!Y$4</f>
        <v>-0.36711078082700782</v>
      </c>
      <c r="AA93" s="60">
        <f>AA26/'Balance Sheet'!Z$4</f>
        <v>-0.41294698518777118</v>
      </c>
      <c r="AB93" s="60">
        <f>AB26/'Balance Sheet'!AA$4</f>
        <v>-0.39132849012077181</v>
      </c>
      <c r="AC93" s="60">
        <f>AC26/'Balance Sheet'!AB$4</f>
        <v>-0.18397827562797012</v>
      </c>
      <c r="AD93" s="60">
        <f>AD26/'Balance Sheet'!AC$4</f>
        <v>-0.27404481373016415</v>
      </c>
      <c r="AE93" s="60">
        <f>AE26/'Balance Sheet'!AD$4</f>
        <v>-0.26319189309217167</v>
      </c>
      <c r="AF93" s="60">
        <f>AF26/'Balance Sheet'!AE$4</f>
        <v>-0.49407609933925722</v>
      </c>
      <c r="AG93" s="60">
        <f>AG26/'Balance Sheet'!AF$4</f>
        <v>-0.15057725374600836</v>
      </c>
      <c r="AH93" s="60">
        <f>AH26/'Balance Sheet'!AG$4</f>
        <v>-9.7075343367414108E-2</v>
      </c>
      <c r="AI93" s="60">
        <f>AI26/'Balance Sheet'!AH$4</f>
        <v>-0.15729216309973734</v>
      </c>
      <c r="AJ93" s="60">
        <f>AJ26/'Balance Sheet'!AI$4</f>
        <v>-0.16229314689124463</v>
      </c>
      <c r="AK93" s="60">
        <f>AK26/'Balance Sheet'!AJ$4</f>
        <v>-0.13786798317791188</v>
      </c>
      <c r="AL93" s="60">
        <f>AL26/'Balance Sheet'!AK$4</f>
        <v>-0.22591114140135657</v>
      </c>
      <c r="AM93" s="60">
        <f>AM26/'Balance Sheet'!AL$4</f>
        <v>-0.2527135891456434</v>
      </c>
      <c r="AN93" s="60">
        <f>AN26/'Balance Sheet'!AM$4</f>
        <v>-0.34693545453675251</v>
      </c>
      <c r="AO93" s="60">
        <f>AO26/'Balance Sheet'!AN$4</f>
        <v>-0.18400304341623472</v>
      </c>
      <c r="AP93" s="60">
        <f>AP26/'Balance Sheet'!AO$4</f>
        <v>-0.37126026666139539</v>
      </c>
      <c r="AQ93" s="60">
        <f>AQ26/'Balance Sheet'!AP$4</f>
        <v>-0.27205000768560744</v>
      </c>
      <c r="AR93" s="60">
        <f>AR26/'Balance Sheet'!AQ$4</f>
        <v>-0.39502409568600128</v>
      </c>
      <c r="AS93" s="60">
        <f>AS26/'Balance Sheet'!AR$4</f>
        <v>-0.28136253300968284</v>
      </c>
      <c r="AT93" s="60">
        <f>AT26/'Balance Sheet'!AS$4</f>
        <v>-0.33045750210924529</v>
      </c>
      <c r="AU93" s="60">
        <f>AU26/'Balance Sheet'!AT$4</f>
        <v>-0.22292177504102062</v>
      </c>
      <c r="AV93" s="60">
        <f>AV26/'Balance Sheet'!AU$4</f>
        <v>-0.30736949025687632</v>
      </c>
      <c r="AW93" s="60">
        <f>AW26/'Balance Sheet'!AV$4</f>
        <v>-0.33893003280240774</v>
      </c>
      <c r="AX93" s="60">
        <f>AX26/'Balance Sheet'!AW$4</f>
        <v>-0.23977288044210809</v>
      </c>
      <c r="AY93" s="60">
        <f>AY26/'Balance Sheet'!AX$4</f>
        <v>-0.19221994269746384</v>
      </c>
      <c r="AZ93" s="60">
        <f>AZ26/'Balance Sheet'!AY$4</f>
        <v>-0.15929236603431687</v>
      </c>
      <c r="BA93" s="60">
        <f>BA26/'Balance Sheet'!AZ$4</f>
        <v>-0.12326703792097587</v>
      </c>
      <c r="BB93" s="60">
        <f>BB26/'Balance Sheet'!BA$4</f>
        <v>-0.15483821816875809</v>
      </c>
      <c r="BC93" s="60">
        <f>BC26/'Balance Sheet'!BB$4</f>
        <v>-0.2395433851398327</v>
      </c>
      <c r="BD93" s="60">
        <f>BD26/'Balance Sheet'!BC$4</f>
        <v>-0.14970293172299601</v>
      </c>
      <c r="BE93" s="60">
        <f>BE26/'Balance Sheet'!BD$4</f>
        <v>-0.31867134356123855</v>
      </c>
      <c r="BF93" s="60">
        <f>BF26/'Balance Sheet'!BE$4</f>
        <v>-0.23810839434544367</v>
      </c>
      <c r="BG93" s="60">
        <f>BG26/'Balance Sheet'!BF$4</f>
        <v>-0.26707896216371402</v>
      </c>
      <c r="BH93" s="60">
        <f>BH26/'Balance Sheet'!BG$4</f>
        <v>-0.2996326530612245</v>
      </c>
      <c r="BI93" s="60">
        <f>BI26/'Balance Sheet'!BH$4</f>
        <v>-0.29541018957022558</v>
      </c>
      <c r="BJ93" s="60">
        <f>BJ26/'Balance Sheet'!BI$4</f>
        <v>-0.25561358064024603</v>
      </c>
      <c r="BK93" s="60">
        <f>BK26/'Balance Sheet'!BJ$4</f>
        <v>-0.29719416074600358</v>
      </c>
      <c r="BL93" s="60">
        <f>BL26/'Balance Sheet'!BK$4</f>
        <v>-0.28286917098445596</v>
      </c>
      <c r="BM93" s="61">
        <v>-0.25</v>
      </c>
      <c r="BN93" s="61">
        <v>-0.25</v>
      </c>
      <c r="BO93" s="61">
        <v>-0.25</v>
      </c>
      <c r="BP93" s="61">
        <v>-0.25</v>
      </c>
      <c r="BQ93" s="61">
        <v>-0.25</v>
      </c>
      <c r="BR93" s="61">
        <v>-0.25</v>
      </c>
      <c r="BS93" s="61">
        <v>-0.25</v>
      </c>
      <c r="BT93" s="61">
        <v>-0.25</v>
      </c>
      <c r="BU93" s="61">
        <v>-0.25</v>
      </c>
      <c r="BV93" s="61">
        <v>-0.25</v>
      </c>
      <c r="BW93" s="61">
        <v>-0.25</v>
      </c>
      <c r="BX93" s="61">
        <v>-0.25</v>
      </c>
      <c r="BY93" s="61">
        <v>-0.25</v>
      </c>
      <c r="BZ93" s="61">
        <v>-0.25</v>
      </c>
      <c r="CA93" s="61">
        <v>-0.25</v>
      </c>
      <c r="CB93" s="61">
        <v>-0.25</v>
      </c>
      <c r="CC93" s="61">
        <v>-0.25</v>
      </c>
      <c r="CD93" s="61">
        <v>-0.25</v>
      </c>
      <c r="CE93" s="61">
        <v>-0.25</v>
      </c>
      <c r="CF93" s="61">
        <v>-0.25</v>
      </c>
      <c r="CG93" s="61">
        <v>-0.25</v>
      </c>
      <c r="CH93" s="61"/>
      <c r="CI93" s="92"/>
      <c r="CK93" s="92"/>
      <c r="CM93" s="92"/>
      <c r="CO93" s="92"/>
      <c r="CQ93" s="92"/>
      <c r="CR93" s="92"/>
      <c r="CS93" s="92"/>
      <c r="CT93" s="92"/>
      <c r="CU93" s="115"/>
      <c r="CV93" s="115"/>
      <c r="CW93" s="115"/>
      <c r="CX93" s="33"/>
      <c r="CY93" s="115"/>
      <c r="CZ93" s="115"/>
      <c r="DA93" s="115"/>
      <c r="DB93" s="115"/>
      <c r="DC93" s="115"/>
    </row>
    <row r="94" spans="1:107" hidden="1" outlineLevel="1" x14ac:dyDescent="0.2">
      <c r="A94" s="1" t="s">
        <v>307</v>
      </c>
      <c r="B94" s="48" t="s">
        <v>82</v>
      </c>
      <c r="C94" s="60">
        <f>C29/'Balance Sheet'!B$13</f>
        <v>0</v>
      </c>
      <c r="D94" s="60">
        <f>D29/'Balance Sheet'!C$13</f>
        <v>0</v>
      </c>
      <c r="E94" s="60">
        <f>E29/'Balance Sheet'!D$13</f>
        <v>0</v>
      </c>
      <c r="F94" s="60">
        <f>F29/'Balance Sheet'!E$13</f>
        <v>0</v>
      </c>
      <c r="G94" s="60">
        <f>G29/'Balance Sheet'!F$13</f>
        <v>0</v>
      </c>
      <c r="H94" s="60">
        <f>H29/'Balance Sheet'!G$13</f>
        <v>0</v>
      </c>
      <c r="I94" s="60">
        <f>I29/'Balance Sheet'!H$13</f>
        <v>0</v>
      </c>
      <c r="J94" s="60">
        <f>J29/'Balance Sheet'!I$13</f>
        <v>0</v>
      </c>
      <c r="K94" s="60">
        <f>K29/'Balance Sheet'!J$13</f>
        <v>0</v>
      </c>
      <c r="L94" s="60">
        <f>L29/'Balance Sheet'!K$13</f>
        <v>0</v>
      </c>
      <c r="M94" s="60">
        <f>M29/'Balance Sheet'!L$13</f>
        <v>0</v>
      </c>
      <c r="N94" s="60">
        <f>N29/'Balance Sheet'!M$13</f>
        <v>0</v>
      </c>
      <c r="O94" s="60">
        <f>O29/'Balance Sheet'!N$13</f>
        <v>0</v>
      </c>
      <c r="P94" s="60">
        <f>P29/'Balance Sheet'!O$13</f>
        <v>0</v>
      </c>
      <c r="Q94" s="60">
        <f>Q29/'Balance Sheet'!P$13</f>
        <v>0</v>
      </c>
      <c r="R94" s="60">
        <f>R29/'Balance Sheet'!Q$13</f>
        <v>0</v>
      </c>
      <c r="S94" s="60">
        <f>S29/'Balance Sheet'!R$13</f>
        <v>0</v>
      </c>
      <c r="T94" s="60">
        <f>T29/'Balance Sheet'!S$13</f>
        <v>0</v>
      </c>
      <c r="U94" s="60">
        <f>U29/'Balance Sheet'!T$13</f>
        <v>0</v>
      </c>
      <c r="V94" s="60">
        <f>V29/'Balance Sheet'!U$13</f>
        <v>0</v>
      </c>
      <c r="W94" s="60">
        <f>W29/'Balance Sheet'!V$13</f>
        <v>0</v>
      </c>
      <c r="X94" s="60">
        <f>X29/'Balance Sheet'!W$13</f>
        <v>0</v>
      </c>
      <c r="Y94" s="60">
        <f>Y29/'Balance Sheet'!X$13</f>
        <v>0</v>
      </c>
      <c r="Z94" s="60">
        <f>Z29/'Balance Sheet'!Y$13</f>
        <v>0</v>
      </c>
      <c r="AA94" s="60">
        <f>AA29/'Balance Sheet'!Z$13</f>
        <v>0</v>
      </c>
      <c r="AB94" s="60">
        <f>AB29/'Balance Sheet'!AA$13</f>
        <v>0</v>
      </c>
      <c r="AC94" s="60">
        <f>AC29/'Balance Sheet'!AB$13</f>
        <v>0</v>
      </c>
      <c r="AD94" s="60">
        <f>AD29/'Balance Sheet'!AC$13</f>
        <v>0</v>
      </c>
      <c r="AE94" s="60">
        <f>AE29/'Balance Sheet'!AD$13</f>
        <v>0</v>
      </c>
      <c r="AF94" s="60">
        <f>AF29/'Balance Sheet'!AE$13</f>
        <v>0</v>
      </c>
      <c r="AG94" s="60">
        <f>AG29/'Balance Sheet'!AF$13</f>
        <v>0</v>
      </c>
      <c r="AH94" s="60">
        <f>AH29/'Balance Sheet'!AG$13</f>
        <v>0</v>
      </c>
      <c r="AI94" s="60">
        <f>AI29/'Balance Sheet'!AH$13</f>
        <v>0</v>
      </c>
      <c r="AJ94" s="60">
        <f>AJ29/'Balance Sheet'!AI$13</f>
        <v>0</v>
      </c>
      <c r="AK94" s="60">
        <f>AK29/'Balance Sheet'!AJ$13</f>
        <v>0</v>
      </c>
      <c r="AL94" s="60">
        <f>AL29/'Balance Sheet'!AK$13</f>
        <v>0</v>
      </c>
      <c r="AM94" s="60">
        <f>AM29/'Balance Sheet'!AL$13</f>
        <v>0</v>
      </c>
      <c r="AN94" s="60">
        <f>AN29/'Balance Sheet'!AM$13</f>
        <v>0</v>
      </c>
      <c r="AO94" s="60">
        <f>AO29/'Balance Sheet'!AN$13</f>
        <v>0</v>
      </c>
      <c r="AP94" s="60">
        <f>AP29/'Balance Sheet'!AO$13</f>
        <v>0</v>
      </c>
      <c r="AQ94" s="60">
        <f>AQ29/'Balance Sheet'!AP$13</f>
        <v>0</v>
      </c>
      <c r="AR94" s="60">
        <f>AR29/'Balance Sheet'!AQ$13</f>
        <v>9.6443175680888827E-3</v>
      </c>
      <c r="AS94" s="60">
        <f>AS29/'Balance Sheet'!AR$13</f>
        <v>2.8998362445414847E-2</v>
      </c>
      <c r="AT94" s="60">
        <f>AT29/'Balance Sheet'!AS$13</f>
        <v>0</v>
      </c>
      <c r="AU94" s="60">
        <f>AU29/'Balance Sheet'!AT$13</f>
        <v>9.3698110223768491E-3</v>
      </c>
      <c r="AV94" s="60">
        <f>AV29/'Balance Sheet'!AU$13</f>
        <v>1.3081623061256462E-2</v>
      </c>
      <c r="AW94" s="60">
        <f>AW29/'Balance Sheet'!AV$13</f>
        <v>1.3179571663920923E-2</v>
      </c>
      <c r="AX94" s="60">
        <f>AX29/'Balance Sheet'!AW$13</f>
        <v>4.0610511354022131E-4</v>
      </c>
      <c r="AY94" s="60">
        <f>AY29/'Balance Sheet'!AX$13</f>
        <v>3.6995809324253536E-3</v>
      </c>
      <c r="AZ94" s="60">
        <f>AZ29/'Balance Sheet'!AY$13</f>
        <v>1.9566280776129138E-4</v>
      </c>
      <c r="BA94" s="60">
        <f>BA29/'Balance Sheet'!AZ$13</f>
        <v>6.2460961898813238E-4</v>
      </c>
      <c r="BB94" s="60">
        <f>BB29/'Balance Sheet'!BA$13</f>
        <v>1.1806375442739079E-3</v>
      </c>
      <c r="BC94" s="60">
        <f>BC29/'Balance Sheet'!BB$13</f>
        <v>4.6455002723224297E-3</v>
      </c>
      <c r="BD94" s="60">
        <f>BD29/'Balance Sheet'!BC$13</f>
        <v>1.7998975147322571E-2</v>
      </c>
      <c r="BE94" s="60">
        <f>BE29/'Balance Sheet'!BD$13</f>
        <v>6.600446500792701E-3</v>
      </c>
      <c r="BF94" s="60">
        <f>BF29/'Balance Sheet'!BE$13</f>
        <v>1.0094169246646027E-2</v>
      </c>
      <c r="BG94" s="60">
        <f>BG29/'Balance Sheet'!BF$13</f>
        <v>8.5897511325528034E-3</v>
      </c>
      <c r="BH94" s="60">
        <f>BH29/'Balance Sheet'!BG$13</f>
        <v>3.7164930352335244E-3</v>
      </c>
      <c r="BI94" s="60">
        <f>BI29/'Balance Sheet'!BH$13</f>
        <v>4.1462807861348374E-3</v>
      </c>
      <c r="BJ94" s="60">
        <f>BJ29/'Balance Sheet'!BI$13</f>
        <v>6.8190195355694802E-3</v>
      </c>
      <c r="BK94" s="60">
        <f>BK29/'Balance Sheet'!BJ$13</f>
        <v>1.2032373748260793E-2</v>
      </c>
      <c r="BL94" s="60">
        <f>BL29/'Balance Sheet'!BK$13</f>
        <v>6.1437212310267433E-3</v>
      </c>
      <c r="BM94" s="61">
        <v>0</v>
      </c>
      <c r="BN94" s="61">
        <v>0</v>
      </c>
      <c r="BO94" s="61">
        <v>0</v>
      </c>
      <c r="BP94" s="61">
        <v>0</v>
      </c>
      <c r="BQ94" s="61">
        <v>0</v>
      </c>
      <c r="BR94" s="61">
        <v>0</v>
      </c>
      <c r="BS94" s="61">
        <v>0</v>
      </c>
      <c r="BT94" s="61">
        <v>0</v>
      </c>
      <c r="BU94" s="61">
        <v>0</v>
      </c>
      <c r="BV94" s="61">
        <v>0</v>
      </c>
      <c r="BW94" s="61">
        <v>0</v>
      </c>
      <c r="BX94" s="61">
        <v>0</v>
      </c>
      <c r="BY94" s="61">
        <v>0</v>
      </c>
      <c r="BZ94" s="61">
        <v>0</v>
      </c>
      <c r="CA94" s="61">
        <v>0</v>
      </c>
      <c r="CB94" s="61">
        <v>0</v>
      </c>
      <c r="CC94" s="61">
        <v>0</v>
      </c>
      <c r="CD94" s="61">
        <v>0</v>
      </c>
      <c r="CE94" s="61">
        <v>0</v>
      </c>
      <c r="CF94" s="61">
        <v>0</v>
      </c>
      <c r="CG94" s="61">
        <v>0</v>
      </c>
      <c r="CH94" s="61"/>
      <c r="CI94" s="92"/>
      <c r="CK94" s="92"/>
      <c r="CM94" s="92"/>
      <c r="CO94" s="92"/>
      <c r="CQ94" s="92"/>
      <c r="CR94" s="92"/>
      <c r="CS94" s="92"/>
      <c r="CT94" s="92"/>
      <c r="CU94" s="115"/>
      <c r="CV94" s="115"/>
      <c r="CW94" s="115"/>
      <c r="CX94" s="33"/>
      <c r="CY94" s="115"/>
      <c r="CZ94" s="115"/>
      <c r="DA94" s="115"/>
      <c r="DB94" s="115"/>
      <c r="DC94" s="115"/>
    </row>
    <row r="95" spans="1:107" hidden="1" outlineLevel="1" x14ac:dyDescent="0.2">
      <c r="A95" s="1" t="s">
        <v>198</v>
      </c>
      <c r="B95" s="48" t="s">
        <v>82</v>
      </c>
      <c r="C95" s="60">
        <f>C28/'Balance Sheet'!B$13</f>
        <v>-1.474025974025974</v>
      </c>
      <c r="D95" s="60">
        <f>D28/'Balance Sheet'!C$13</f>
        <v>-9.2838196286472149E-2</v>
      </c>
      <c r="E95" s="60">
        <f>E28/'Balance Sheet'!D$13</f>
        <v>-0.1134020618556701</v>
      </c>
      <c r="F95" s="60">
        <f>F28/'Balance Sheet'!E$13</f>
        <v>-0.25047801147227533</v>
      </c>
      <c r="G95" s="60">
        <f>G28/'Balance Sheet'!F$13</f>
        <v>-0.31831831831831831</v>
      </c>
      <c r="H95" s="60">
        <f>H28/'Balance Sheet'!G$13</f>
        <v>-1.6797312430011199E-2</v>
      </c>
      <c r="I95" s="60">
        <f>I28/'Balance Sheet'!H$13</f>
        <v>-7.8563411896745233E-2</v>
      </c>
      <c r="J95" s="60">
        <f>J28/'Balance Sheet'!I$13</f>
        <v>-0.13037974683544304</v>
      </c>
      <c r="K95" s="60">
        <f>K28/'Balance Sheet'!J$13</f>
        <v>-0.1125</v>
      </c>
      <c r="L95" s="60">
        <f>L28/'Balance Sheet'!K$13</f>
        <v>-4.230769230769231E-2</v>
      </c>
      <c r="M95" s="60">
        <f>M28/'Balance Sheet'!L$13</f>
        <v>-0.42333019755409218</v>
      </c>
      <c r="N95" s="60">
        <f>N28/'Balance Sheet'!M$13</f>
        <v>-2.4506466984343091E-2</v>
      </c>
      <c r="O95" s="60">
        <f>O28/'Balance Sheet'!N$13</f>
        <v>-9.2517006802721083E-2</v>
      </c>
      <c r="P95" s="60">
        <f>P28/'Balance Sheet'!O$13</f>
        <v>-0.19117647058823528</v>
      </c>
      <c r="Q95" s="60">
        <f>Q28/'Balance Sheet'!P$13</f>
        <v>-5.3174172544763969E-2</v>
      </c>
      <c r="R95" s="60">
        <f>R28/'Balance Sheet'!Q$13</f>
        <v>-8.5020242914979755E-2</v>
      </c>
      <c r="S95" s="60">
        <f>S28/'Balance Sheet'!R$13</f>
        <v>-0.14083843617522374</v>
      </c>
      <c r="T95" s="60">
        <f>T28/'Balance Sheet'!S$13</f>
        <v>-2.8571428571428571E-2</v>
      </c>
      <c r="U95" s="60">
        <f>U28/'Balance Sheet'!T$13</f>
        <v>-0.27975708502024293</v>
      </c>
      <c r="V95" s="60">
        <f>V28/'Balance Sheet'!U$13</f>
        <v>-0.34881455017862945</v>
      </c>
      <c r="W95" s="60">
        <f>W28/'Balance Sheet'!V$13</f>
        <v>-9.1687041564792182E-2</v>
      </c>
      <c r="X95" s="60">
        <f>X28/'Balance Sheet'!W$13</f>
        <v>-7.3032433658425946E-2</v>
      </c>
      <c r="Y95" s="60">
        <f>Y28/'Balance Sheet'!X$13</f>
        <v>-8.3316019114897152E-2</v>
      </c>
      <c r="Z95" s="60">
        <f>Z28/'Balance Sheet'!Y$13</f>
        <v>-6.1933243295388768E-2</v>
      </c>
      <c r="AA95" s="60">
        <f>AA28/'Balance Sheet'!Z$13</f>
        <v>-4.6978662363277746E-2</v>
      </c>
      <c r="AB95" s="60">
        <f>AB28/'Balance Sheet'!AA$13</f>
        <v>-1.5463917525773196E-2</v>
      </c>
      <c r="AC95" s="60">
        <f>AC28/'Balance Sheet'!AB$13</f>
        <v>-4.329535495179667E-2</v>
      </c>
      <c r="AD95" s="60">
        <f>AD28/'Balance Sheet'!AC$13</f>
        <v>-3.9979584892820684E-2</v>
      </c>
      <c r="AE95" s="60">
        <f>AE28/'Balance Sheet'!AD$13</f>
        <v>-4.6811286902626002E-2</v>
      </c>
      <c r="AF95" s="60">
        <f>AF28/'Balance Sheet'!AE$13</f>
        <v>-1.2044564890093345E-2</v>
      </c>
      <c r="AG95" s="60">
        <f>AG28/'Balance Sheet'!AF$13</f>
        <v>-0.12023662126840005</v>
      </c>
      <c r="AH95" s="60">
        <f>AH28/'Balance Sheet'!AG$13</f>
        <v>2.1886599257647511E-2</v>
      </c>
      <c r="AI95" s="60">
        <f>AI28/'Balance Sheet'!AH$13</f>
        <v>2.6239067055393587E-2</v>
      </c>
      <c r="AJ95" s="60">
        <f>AJ28/'Balance Sheet'!AI$13</f>
        <v>-2.0196744145555844E-2</v>
      </c>
      <c r="AK95" s="60">
        <f>AK28/'Balance Sheet'!AJ$13</f>
        <v>-7.5357058312948783E-2</v>
      </c>
      <c r="AL95" s="60">
        <f>AL28/'Balance Sheet'!AK$13</f>
        <v>-5.830146475214662E-2</v>
      </c>
      <c r="AM95" s="60">
        <f>AM28/'Balance Sheet'!AL$13</f>
        <v>-5.5962415365482937E-3</v>
      </c>
      <c r="AN95" s="60">
        <f>AN28/'Balance Sheet'!AM$13</f>
        <v>-2.5842140026420081E-2</v>
      </c>
      <c r="AO95" s="60">
        <f>AO28/'Balance Sheet'!AN$13</f>
        <v>-3.4673286354900704E-2</v>
      </c>
      <c r="AP95" s="60">
        <f>AP28/'Balance Sheet'!AO$13</f>
        <v>-2.3856858846918488E-2</v>
      </c>
      <c r="AQ95" s="60">
        <f>AQ28/'Balance Sheet'!AP$13</f>
        <v>-4.2532546292552764E-2</v>
      </c>
      <c r="AR95" s="60">
        <f>AR28/'Balance Sheet'!AQ$13</f>
        <v>-4.2666460921225217E-2</v>
      </c>
      <c r="AS95" s="60">
        <f>AS28/'Balance Sheet'!AR$13</f>
        <v>-0.36237718340611352</v>
      </c>
      <c r="AT95" s="60">
        <f>AT28/'Balance Sheet'!AS$13</f>
        <v>-3.028546587451094E-2</v>
      </c>
      <c r="AU95" s="60">
        <f>AU28/'Balance Sheet'!AT$13</f>
        <v>-3.0283861785403654E-2</v>
      </c>
      <c r="AV95" s="60">
        <f>AV28/'Balance Sheet'!AU$13</f>
        <v>-2.5693247689174369E-2</v>
      </c>
      <c r="AW95" s="60">
        <f>AW28/'Balance Sheet'!AV$13</f>
        <v>-2.9500785410520671E-2</v>
      </c>
      <c r="AX95" s="60">
        <f>AX28/'Balance Sheet'!AW$13</f>
        <v>-2.6261464008934313E-2</v>
      </c>
      <c r="AY95" s="60">
        <f>AY28/'Balance Sheet'!AX$13</f>
        <v>-1.5976951283394446E-2</v>
      </c>
      <c r="AZ95" s="60">
        <f>AZ28/'Balance Sheet'!AY$13</f>
        <v>-1.1870210337518344E-2</v>
      </c>
      <c r="BA95" s="60">
        <f>BA28/'Balance Sheet'!AZ$13</f>
        <v>-2.9685393997172821E-2</v>
      </c>
      <c r="BB95" s="60">
        <f>BB28/'Balance Sheet'!BA$13</f>
        <v>-2.052997507542962E-2</v>
      </c>
      <c r="BC95" s="60">
        <f>BC28/'Balance Sheet'!BB$13</f>
        <v>-2.8417646493448242E-2</v>
      </c>
      <c r="BD95" s="60">
        <f>BD28/'Balance Sheet'!BC$13</f>
        <v>-2.1233666410453496E-2</v>
      </c>
      <c r="BE95" s="60">
        <f>BE28/'Balance Sheet'!BD$13</f>
        <v>-2.7534215549875434E-2</v>
      </c>
      <c r="BF95" s="60">
        <f>BF28/'Balance Sheet'!BE$13</f>
        <v>-3.8893188854489162E-2</v>
      </c>
      <c r="BG95" s="60">
        <f>BG28/'Balance Sheet'!BF$13</f>
        <v>-2.9211037241866213E-2</v>
      </c>
      <c r="BH95" s="60">
        <f>BH28/'Balance Sheet'!BG$13</f>
        <v>-3.0287955050918882E-2</v>
      </c>
      <c r="BI95" s="60">
        <f>BI28/'Balance Sheet'!BH$13</f>
        <v>-4.9755369433618045E-2</v>
      </c>
      <c r="BJ95" s="60">
        <f>BJ28/'Balance Sheet'!BI$13</f>
        <v>-2.5222473803380548E-2</v>
      </c>
      <c r="BK95" s="60">
        <f>BK28/'Balance Sheet'!BJ$13</f>
        <v>-2.6533931685904094E-2</v>
      </c>
      <c r="BL95" s="60">
        <f>BL28/'Balance Sheet'!BK$13</f>
        <v>-1.902080876478868E-2</v>
      </c>
      <c r="BM95" s="61">
        <v>0</v>
      </c>
      <c r="BN95" s="61">
        <v>0</v>
      </c>
      <c r="BO95" s="61">
        <v>0</v>
      </c>
      <c r="BP95" s="61">
        <v>0</v>
      </c>
      <c r="BQ95" s="61">
        <v>0</v>
      </c>
      <c r="BR95" s="61">
        <v>0</v>
      </c>
      <c r="BS95" s="61">
        <v>0</v>
      </c>
      <c r="BT95" s="61">
        <v>0</v>
      </c>
      <c r="BU95" s="61">
        <v>0</v>
      </c>
      <c r="BV95" s="61">
        <v>0</v>
      </c>
      <c r="BW95" s="61">
        <v>0</v>
      </c>
      <c r="BX95" s="61">
        <v>0</v>
      </c>
      <c r="BY95" s="61">
        <v>0</v>
      </c>
      <c r="BZ95" s="61">
        <v>0</v>
      </c>
      <c r="CA95" s="61">
        <v>0</v>
      </c>
      <c r="CB95" s="61">
        <v>0</v>
      </c>
      <c r="CC95" s="61">
        <v>0</v>
      </c>
      <c r="CD95" s="61">
        <v>0</v>
      </c>
      <c r="CE95" s="61">
        <v>0</v>
      </c>
      <c r="CF95" s="61">
        <v>0</v>
      </c>
      <c r="CG95" s="61">
        <v>0</v>
      </c>
      <c r="CH95" s="61"/>
      <c r="CI95" s="92"/>
      <c r="CK95" s="92"/>
      <c r="CM95" s="92"/>
      <c r="CO95" s="92"/>
      <c r="CQ95" s="92"/>
      <c r="CR95" s="92"/>
      <c r="CS95" s="92"/>
      <c r="CT95" s="92"/>
      <c r="CU95" s="115"/>
      <c r="CV95" s="115"/>
      <c r="CW95" s="115"/>
      <c r="CX95" s="33"/>
      <c r="CY95" s="115"/>
      <c r="CZ95" s="115"/>
      <c r="DA95" s="115"/>
      <c r="DB95" s="115"/>
      <c r="DC95" s="115"/>
    </row>
    <row r="96" spans="1:107" hidden="1" outlineLevel="1" x14ac:dyDescent="0.2">
      <c r="A96" s="1" t="s">
        <v>199</v>
      </c>
      <c r="B96" s="60">
        <f>B16/'Income Statement'!B$85</f>
        <v>-3.1003159557661926E-2</v>
      </c>
      <c r="C96" s="60">
        <f>C16/'Income Statement'!C$85</f>
        <v>-6.6823899371069185E-3</v>
      </c>
      <c r="D96" s="60">
        <f>D16/'Income Statement'!D$85</f>
        <v>-2.9921547162926474E-2</v>
      </c>
      <c r="E96" s="60">
        <f>E16/'Income Statement'!E$85</f>
        <v>-9.2607126039868145E-3</v>
      </c>
      <c r="F96" s="60">
        <f>F16/'Income Statement'!F$85</f>
        <v>-1.1933904528763769E-2</v>
      </c>
      <c r="G96" s="60">
        <f>G16/'Income Statement'!G$85</f>
        <v>-1.041365345675441E-2</v>
      </c>
      <c r="H96" s="60">
        <f>H16/'Income Statement'!H$85</f>
        <v>2.6624068157614486E-4</v>
      </c>
      <c r="I96" s="60">
        <f>I16/'Income Statement'!I$85</f>
        <v>-1.4264633546483029E-2</v>
      </c>
      <c r="J96" s="60">
        <f>J16/'Income Statement'!J$85</f>
        <v>-3.7856440511307765E-2</v>
      </c>
      <c r="K96" s="60">
        <f>K16/'Income Statement'!K$85</f>
        <v>-0.1090778614998206</v>
      </c>
      <c r="L96" s="60">
        <f>L16/'Income Statement'!L$85</f>
        <v>-3.0850091407678246E-3</v>
      </c>
      <c r="M96" s="60">
        <f>M16/'Income Statement'!M$85</f>
        <v>3.8852725793327908E-2</v>
      </c>
      <c r="N96" s="60">
        <f>N16/'Income Statement'!N$85</f>
        <v>-2.123397435897436E-2</v>
      </c>
      <c r="O96" s="60">
        <f>O16/'Income Statement'!O$85</f>
        <v>-1.3477356059855316E-2</v>
      </c>
      <c r="P96" s="60">
        <f>P16/'Income Statement'!P$85</f>
        <v>1.8463536834292076E-2</v>
      </c>
      <c r="Q96" s="60">
        <f>Q16/'Income Statement'!Q$85</f>
        <v>-4.408446163765313E-2</v>
      </c>
      <c r="R96" s="60">
        <f>R16/'Income Statement'!R$85</f>
        <v>-2.7401755681352037E-2</v>
      </c>
      <c r="S96" s="60">
        <f>S16/'Income Statement'!S$85</f>
        <v>6.579259142247848E-2</v>
      </c>
      <c r="T96" s="60">
        <f>T16/'Income Statement'!T$85</f>
        <v>-2.9601518026565465E-3</v>
      </c>
      <c r="U96" s="60">
        <f>U16/'Income Statement'!U$85</f>
        <v>-3.2460805304233716E-3</v>
      </c>
      <c r="V96" s="60">
        <f>V16/'Income Statement'!V$85</f>
        <v>3.0906346582333069E-3</v>
      </c>
      <c r="W96" s="60">
        <f>W16/'Income Statement'!W$85</f>
        <v>1.3240418118466899E-3</v>
      </c>
      <c r="X96" s="60">
        <f>X16/'Income Statement'!X$85</f>
        <v>9.3983718313587934E-3</v>
      </c>
      <c r="Y96" s="60">
        <f>Y16/'Income Statement'!Y$85</f>
        <v>-3.0218825981243487E-2</v>
      </c>
      <c r="Z96" s="60">
        <f>Z16/'Income Statement'!Z$85</f>
        <v>1.1233226061084461E-2</v>
      </c>
      <c r="AA96" s="60">
        <f>AA16/'Income Statement'!AA$85</f>
        <v>-1.369472182596291E-3</v>
      </c>
      <c r="AB96" s="60">
        <f>AB16/'Income Statement'!AB$85</f>
        <v>-2.5726640757567465E-3</v>
      </c>
      <c r="AC96" s="60">
        <f>AC16/'Income Statement'!AC$85</f>
        <v>9.3325791855203618E-3</v>
      </c>
      <c r="AD96" s="60">
        <f>AD16/'Income Statement'!AD$85</f>
        <v>-6.361512847273992E-3</v>
      </c>
      <c r="AE96" s="60">
        <f>AE16/'Income Statement'!AE$85</f>
        <v>-1.5583918925378842E-2</v>
      </c>
      <c r="AF96" s="60">
        <f>AF16/'Income Statement'!AF$85</f>
        <v>-7.3282442748091606E-2</v>
      </c>
      <c r="AG96" s="60">
        <f>AG16/'Income Statement'!AG$85</f>
        <v>-3.014725775905384E-3</v>
      </c>
      <c r="AH96" s="60">
        <f>AH16/'Income Statement'!AH$85</f>
        <v>-9.6950679861613973E-3</v>
      </c>
      <c r="AI96" s="60">
        <f>AI16/'Income Statement'!AI$85</f>
        <v>-1.9628768532987766E-2</v>
      </c>
      <c r="AJ96" s="60">
        <f>AJ16/'Income Statement'!AJ$85</f>
        <v>-1.7821636350246705E-2</v>
      </c>
      <c r="AK96" s="60">
        <f>AK16/'Income Statement'!AK$85</f>
        <v>1.0364321608040202E-3</v>
      </c>
      <c r="AL96" s="60">
        <f>AL16/'Income Statement'!AL$85</f>
        <v>-8.9894501170324631E-3</v>
      </c>
      <c r="AM96" s="60">
        <f>AM16/'Income Statement'!AM$85</f>
        <v>2.8070396770327384E-3</v>
      </c>
      <c r="AN96" s="60">
        <f>AN16/'Income Statement'!AN$85</f>
        <v>-1.85101033051592E-2</v>
      </c>
      <c r="AO96" s="60">
        <f>AO16/'Income Statement'!AO$85</f>
        <v>4.4179485814659072E-3</v>
      </c>
      <c r="AP96" s="60">
        <f>AP16/'Income Statement'!AP$85</f>
        <v>-3.4117542350253658E-3</v>
      </c>
      <c r="AQ96" s="60">
        <f>AQ16/'Income Statement'!AQ$85</f>
        <v>-7.7207860013289876E-3</v>
      </c>
      <c r="AR96" s="60">
        <f>AR16/'Income Statement'!AR$85</f>
        <v>-6.1304496540111036E-3</v>
      </c>
      <c r="AS96" s="60">
        <f>AS16/'Income Statement'!AS$85</f>
        <v>-1.589421088904204E-2</v>
      </c>
      <c r="AT96" s="60">
        <f>AT16/'Income Statement'!AT$85</f>
        <v>1.5350203938423754E-4</v>
      </c>
      <c r="AU96" s="60">
        <f>AU16/'Income Statement'!AU$85</f>
        <v>-3.9057133324174207E-3</v>
      </c>
      <c r="AV96" s="60">
        <f>AV16/'Income Statement'!AV$85</f>
        <v>-2.3405445729205519E-2</v>
      </c>
      <c r="AW96" s="60">
        <f>AW16/'Income Statement'!AW$85</f>
        <v>-6.4460887266147536E-3</v>
      </c>
      <c r="AX96" s="60">
        <f>AX16/'Income Statement'!AX$85</f>
        <v>-1.3851948376501669E-2</v>
      </c>
      <c r="AY96" s="60">
        <f>AY16/'Income Statement'!AY$85</f>
        <v>-1.4703067634111116E-2</v>
      </c>
      <c r="AZ96" s="60">
        <f>AZ16/'Income Statement'!AZ$85</f>
        <v>-4.6222889672755216E-2</v>
      </c>
      <c r="BA96" s="60">
        <f>BA16/'Income Statement'!BA$85</f>
        <v>-1.2325142974826925E-2</v>
      </c>
      <c r="BB96" s="60">
        <f>BB16/'Income Statement'!BB$85</f>
        <v>-1.2847449454069506E-2</v>
      </c>
      <c r="BC96" s="60">
        <f>BC16/'Income Statement'!BC$85</f>
        <v>-8.2652617332882213E-3</v>
      </c>
      <c r="BD96" s="60">
        <f>BD16/'Income Statement'!BD$85</f>
        <v>-2.5354795397417682E-2</v>
      </c>
      <c r="BE96" s="60">
        <f>BE16/'Income Statement'!BE$85</f>
        <v>1.0231734970410928E-2</v>
      </c>
      <c r="BF96" s="60">
        <f>BF16/'Income Statement'!BF$85</f>
        <v>-1.4794431376030062E-2</v>
      </c>
      <c r="BG96" s="60">
        <f>BG16/'Income Statement'!BG$85</f>
        <v>-7.455679349730222E-3</v>
      </c>
      <c r="BH96" s="60">
        <f>BH16/'Income Statement'!BH$85</f>
        <v>-1.0758024923204872E-2</v>
      </c>
      <c r="BI96" s="60">
        <f>BI16/'Income Statement'!BI$85</f>
        <v>1.1479888754119651E-2</v>
      </c>
      <c r="BJ96" s="60">
        <f>BJ16/'Income Statement'!BJ$85</f>
        <v>-1.6839683079256335E-2</v>
      </c>
      <c r="BK96" s="60">
        <f>BK16/'Income Statement'!BK$85</f>
        <v>-1.8097720348004845E-2</v>
      </c>
      <c r="BL96" s="60">
        <f>BL16/'Income Statement'!BL$85</f>
        <v>-1.4782211043786441E-2</v>
      </c>
      <c r="BM96" s="61">
        <f t="shared" ref="BM96:BQ96" si="724">BI96</f>
        <v>1.1479888754119651E-2</v>
      </c>
      <c r="BN96" s="61">
        <f t="shared" si="724"/>
        <v>-1.6839683079256335E-2</v>
      </c>
      <c r="BO96" s="61">
        <f t="shared" si="724"/>
        <v>-1.8097720348004845E-2</v>
      </c>
      <c r="BP96" s="61">
        <f t="shared" si="724"/>
        <v>-1.4782211043786441E-2</v>
      </c>
      <c r="BQ96" s="61">
        <f t="shared" si="724"/>
        <v>1.1479888754119651E-2</v>
      </c>
      <c r="BR96" s="61">
        <f t="shared" ref="BR96" si="725">BN96</f>
        <v>-1.6839683079256335E-2</v>
      </c>
      <c r="BS96" s="61">
        <f t="shared" ref="BS96" si="726">BO96</f>
        <v>-1.8097720348004845E-2</v>
      </c>
      <c r="BT96" s="61">
        <f t="shared" ref="BT96" si="727">BP96</f>
        <v>-1.4782211043786441E-2</v>
      </c>
      <c r="BU96" s="61">
        <f t="shared" ref="BU96" si="728">BQ96</f>
        <v>1.1479888754119651E-2</v>
      </c>
      <c r="BV96" s="61">
        <f t="shared" ref="BV96" si="729">BR96</f>
        <v>-1.6839683079256335E-2</v>
      </c>
      <c r="BW96" s="61">
        <f t="shared" ref="BW96" si="730">BS96</f>
        <v>-1.8097720348004845E-2</v>
      </c>
      <c r="BX96" s="61">
        <f t="shared" ref="BX96" si="731">BT96</f>
        <v>-1.4782211043786441E-2</v>
      </c>
      <c r="BY96" s="61">
        <f t="shared" ref="BY96" si="732">BU96</f>
        <v>1.1479888754119651E-2</v>
      </c>
      <c r="BZ96" s="61">
        <f t="shared" ref="BZ96" si="733">BV96</f>
        <v>-1.6839683079256335E-2</v>
      </c>
      <c r="CA96" s="61">
        <f t="shared" ref="CA96" si="734">BW96</f>
        <v>-1.8097720348004845E-2</v>
      </c>
      <c r="CB96" s="61">
        <f t="shared" ref="CB96" si="735">BX96</f>
        <v>-1.4782211043786441E-2</v>
      </c>
      <c r="CC96" s="61">
        <f t="shared" ref="CC96" si="736">BY96</f>
        <v>1.1479888754119651E-2</v>
      </c>
      <c r="CD96" s="61">
        <f t="shared" ref="CD96" si="737">BZ96</f>
        <v>-1.6839683079256335E-2</v>
      </c>
      <c r="CE96" s="61">
        <f t="shared" ref="CE96" si="738">CA96</f>
        <v>-1.8097720348004845E-2</v>
      </c>
      <c r="CF96" s="61">
        <f t="shared" ref="CF96" si="739">CB96</f>
        <v>-1.4782211043786441E-2</v>
      </c>
      <c r="CG96" s="61">
        <f t="shared" ref="CG96" si="740">CC96</f>
        <v>1.1479888754119651E-2</v>
      </c>
      <c r="CH96" s="61"/>
      <c r="CI96" s="92"/>
      <c r="CK96" s="92"/>
      <c r="CM96" s="92"/>
      <c r="CO96" s="92"/>
      <c r="CQ96" s="92"/>
      <c r="CR96" s="92"/>
      <c r="CS96" s="92"/>
      <c r="CT96" s="92"/>
      <c r="CU96" s="115"/>
      <c r="CV96" s="115"/>
      <c r="CW96" s="115"/>
      <c r="CX96" s="33"/>
      <c r="CY96" s="115"/>
      <c r="CZ96" s="115"/>
      <c r="DA96" s="115"/>
      <c r="DB96" s="115"/>
      <c r="DC96" s="115"/>
    </row>
    <row r="97" spans="1:107" collapsed="1" x14ac:dyDescent="0.2">
      <c r="CI97" s="92"/>
      <c r="CK97" s="92"/>
      <c r="CM97" s="92"/>
      <c r="CO97" s="92"/>
      <c r="CQ97" s="92"/>
      <c r="CR97" s="92"/>
      <c r="CS97" s="92"/>
      <c r="CT97" s="92"/>
      <c r="CU97" s="115"/>
      <c r="CV97" s="115"/>
      <c r="CW97" s="115"/>
      <c r="CX97" s="33"/>
      <c r="CY97" s="115"/>
      <c r="CZ97" s="115"/>
      <c r="DA97" s="115"/>
      <c r="DB97" s="115"/>
      <c r="DC97" s="115"/>
    </row>
    <row r="98" spans="1:107" x14ac:dyDescent="0.2">
      <c r="CI98" s="92"/>
      <c r="CK98" s="92"/>
      <c r="CM98" s="92"/>
      <c r="CO98" s="92"/>
      <c r="CQ98" s="92"/>
      <c r="CR98" s="92"/>
      <c r="CS98" s="92"/>
      <c r="CT98" s="92"/>
      <c r="CU98" s="115"/>
      <c r="CV98" s="115"/>
      <c r="CW98" s="115"/>
      <c r="CX98" s="33"/>
      <c r="CY98" s="115"/>
      <c r="CZ98" s="115"/>
      <c r="DA98" s="115"/>
      <c r="DB98" s="115"/>
      <c r="DC98" s="115"/>
    </row>
    <row r="99" spans="1:107" x14ac:dyDescent="0.2">
      <c r="A99" s="4" t="s">
        <v>448</v>
      </c>
      <c r="CI99" s="92"/>
      <c r="CK99" s="92"/>
      <c r="CM99" s="92"/>
      <c r="CO99" s="92"/>
      <c r="CQ99" s="92"/>
      <c r="CR99" s="92"/>
      <c r="CS99" s="92"/>
      <c r="CT99" s="92"/>
      <c r="CU99" s="115"/>
      <c r="CV99" s="115"/>
      <c r="CW99" s="115"/>
      <c r="CX99" s="33"/>
      <c r="CY99" s="115"/>
      <c r="CZ99" s="115"/>
      <c r="DA99" s="115"/>
      <c r="DB99" s="115"/>
      <c r="DC99" s="115"/>
    </row>
    <row r="100" spans="1:107" x14ac:dyDescent="0.2">
      <c r="A100" s="343" t="s">
        <v>326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355">
        <f>'Shares Outstanding &amp; Corporate'!BG7</f>
        <v>12343</v>
      </c>
      <c r="BH100" s="355">
        <f>'Shares Outstanding &amp; Corporate'!BH7</f>
        <v>12290</v>
      </c>
      <c r="BI100" s="355">
        <f>'Shares Outstanding &amp; Corporate'!BI7</f>
        <v>12228</v>
      </c>
      <c r="BJ100" s="355">
        <f>'Shares Outstanding &amp; Corporate'!BJ7</f>
        <v>12183</v>
      </c>
      <c r="BK100" s="355">
        <f>'Shares Outstanding &amp; Corporate'!BK7</f>
        <v>12122</v>
      </c>
      <c r="BL100" s="355">
        <f>'Shares Outstanding &amp; Corporate'!BL7</f>
        <v>12086</v>
      </c>
      <c r="BM100" s="355">
        <f>'Shares Outstanding &amp; Corporate'!BM7</f>
        <v>12054.662043631884</v>
      </c>
      <c r="BN100" s="355">
        <f>'Shares Outstanding &amp; Corporate'!BN7</f>
        <v>12025.35302652507</v>
      </c>
      <c r="BO100" s="355">
        <f>'Shares Outstanding &amp; Corporate'!BO7</f>
        <v>11996.854067667489</v>
      </c>
      <c r="BP100" s="355">
        <f>'Shares Outstanding &amp; Corporate'!BP7</f>
        <v>11970.924887212941</v>
      </c>
      <c r="BQ100" s="355">
        <f>'Shares Outstanding &amp; Corporate'!BQ7</f>
        <v>11946.385312465214</v>
      </c>
      <c r="BR100" s="355">
        <f>'Shares Outstanding &amp; Corporate'!BR7</f>
        <v>11921.732695721112</v>
      </c>
      <c r="BS100" s="355">
        <f>'Shares Outstanding &amp; Corporate'!BS7</f>
        <v>11924.191004323013</v>
      </c>
      <c r="BT100" s="355">
        <f>'Shares Outstanding &amp; Corporate'!BT7</f>
        <v>11954.793271914994</v>
      </c>
      <c r="BU100" s="355">
        <f>'Shares Outstanding &amp; Corporate'!BU7</f>
        <v>11985.84589898523</v>
      </c>
      <c r="BV100" s="355">
        <f>'Shares Outstanding &amp; Corporate'!BV7</f>
        <v>12015.404089386306</v>
      </c>
      <c r="BW100" s="355">
        <f>'Shares Outstanding &amp; Corporate'!BW7</f>
        <v>12044.371989160209</v>
      </c>
      <c r="BX100" s="355">
        <f>'Shares Outstanding &amp; Corporate'!BX7</f>
        <v>12074.68825425133</v>
      </c>
      <c r="BY100" s="355">
        <f>'Shares Outstanding &amp; Corporate'!BY7</f>
        <v>12105.450669853621</v>
      </c>
      <c r="BZ100" s="355">
        <f>'Shares Outstanding &amp; Corporate'!BZ7</f>
        <v>12134.73261548459</v>
      </c>
      <c r="CA100" s="355">
        <f>'Shares Outstanding &amp; Corporate'!CA7</f>
        <v>12163.291163842057</v>
      </c>
      <c r="CB100" s="355">
        <f>'Shares Outstanding &amp; Corporate'!CB7</f>
        <v>12193.040769772597</v>
      </c>
      <c r="CC100" s="355">
        <f>'Shares Outstanding &amp; Corporate'!CC7</f>
        <v>12223.228186952412</v>
      </c>
      <c r="CD100" s="355">
        <f>'Shares Outstanding &amp; Corporate'!CD7</f>
        <v>12251.962806496824</v>
      </c>
      <c r="CE100" s="355">
        <f>'Shares Outstanding &amp; Corporate'!CE7</f>
        <v>12279.987550212094</v>
      </c>
      <c r="CF100" s="355">
        <f>'Shares Outstanding &amp; Corporate'!CF7</f>
        <v>12309.181088742062</v>
      </c>
      <c r="CG100" s="355">
        <f>'Shares Outstanding &amp; Corporate'!CG7</f>
        <v>12338.804255133471</v>
      </c>
      <c r="CH100" s="355"/>
      <c r="CI100" s="112"/>
      <c r="CJ100" s="19"/>
      <c r="CK100" s="112"/>
      <c r="CL100" s="19"/>
      <c r="CM100" s="112"/>
      <c r="CN100" s="19"/>
      <c r="CO100" s="112"/>
      <c r="CP100" s="19"/>
      <c r="CQ100" s="112"/>
      <c r="CR100" s="112"/>
      <c r="CS100" s="112"/>
      <c r="CT100" s="112"/>
      <c r="CU100" s="350"/>
      <c r="CV100" s="350"/>
      <c r="CW100" s="346">
        <f>'Shares Outstanding &amp; Corporate'!CW7</f>
        <v>12319</v>
      </c>
      <c r="CX100" s="347">
        <f>'Shares Outstanding &amp; Corporate'!CX7</f>
        <v>12111.415510907971</v>
      </c>
      <c r="CY100" s="346">
        <f>'Shares Outstanding &amp; Corporate'!CY7</f>
        <v>11984.87932346768</v>
      </c>
      <c r="CZ100" s="346">
        <f>'Shares Outstanding &amp; Corporate'!CZ7</f>
        <v>11946.640717736087</v>
      </c>
      <c r="DA100" s="346">
        <f>'Shares Outstanding &amp; Corporate'!DA7</f>
        <v>12059.978750662865</v>
      </c>
      <c r="DB100" s="346">
        <f>'Shares Outstanding &amp; Corporate'!DB7</f>
        <v>12178.573184012916</v>
      </c>
      <c r="DC100" s="346">
        <f>'Shares Outstanding &amp; Corporate'!DC7</f>
        <v>12294.983925146114</v>
      </c>
    </row>
    <row r="101" spans="1:107" x14ac:dyDescent="0.2">
      <c r="A101" s="343" t="s">
        <v>449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359">
        <f t="shared" ref="BG101:BL101" si="741">BG102/BG100</f>
        <v>0.1997893542898809</v>
      </c>
      <c r="BH101" s="359">
        <f t="shared" si="741"/>
        <v>0.19975589910496339</v>
      </c>
      <c r="BI101" s="359">
        <f t="shared" si="741"/>
        <v>0.19970559371933269</v>
      </c>
      <c r="BJ101" s="359">
        <f t="shared" si="741"/>
        <v>0.19978658786834114</v>
      </c>
      <c r="BK101" s="359">
        <f t="shared" si="741"/>
        <v>0.20978386404883684</v>
      </c>
      <c r="BL101" s="359">
        <f t="shared" si="741"/>
        <v>0.20991229521760715</v>
      </c>
      <c r="BM101" s="344">
        <v>0.21</v>
      </c>
      <c r="BN101" s="344">
        <v>0.21</v>
      </c>
      <c r="BO101" s="344">
        <v>0.21</v>
      </c>
      <c r="BP101" s="344">
        <v>0.21</v>
      </c>
      <c r="BQ101" s="344">
        <v>0.21</v>
      </c>
      <c r="BR101" s="344">
        <v>0.21</v>
      </c>
      <c r="BS101" s="344">
        <v>0.21</v>
      </c>
      <c r="BT101" s="344">
        <v>0.21</v>
      </c>
      <c r="BU101" s="344">
        <v>0.21</v>
      </c>
      <c r="BV101" s="344">
        <v>0.21</v>
      </c>
      <c r="BW101" s="344">
        <v>0.21</v>
      </c>
      <c r="BX101" s="344">
        <v>0.21</v>
      </c>
      <c r="BY101" s="344">
        <v>0.21</v>
      </c>
      <c r="BZ101" s="344">
        <v>0.21</v>
      </c>
      <c r="CA101" s="344">
        <v>0.21</v>
      </c>
      <c r="CB101" s="344">
        <v>0.21</v>
      </c>
      <c r="CC101" s="344">
        <v>0.21</v>
      </c>
      <c r="CD101" s="344">
        <v>0.21</v>
      </c>
      <c r="CE101" s="344">
        <v>0.21</v>
      </c>
      <c r="CF101" s="344">
        <v>0.21</v>
      </c>
      <c r="CG101" s="344">
        <v>0.21</v>
      </c>
      <c r="CH101" s="344"/>
      <c r="CI101" s="112"/>
      <c r="CJ101" s="19"/>
      <c r="CK101" s="112"/>
      <c r="CL101" s="19"/>
      <c r="CM101" s="112"/>
      <c r="CN101" s="19"/>
      <c r="CO101" s="112"/>
      <c r="CP101" s="19"/>
      <c r="CQ101" s="112"/>
      <c r="CR101" s="112"/>
      <c r="CS101" s="112"/>
      <c r="CT101" s="112"/>
      <c r="CU101" s="350"/>
      <c r="CV101" s="350"/>
      <c r="CW101" s="348">
        <f>SUM(BF101:BI101)</f>
        <v>0.59925084711417698</v>
      </c>
      <c r="CX101" s="349">
        <f t="shared" ref="CX101:CX102" si="742">SUM(BJ101:BM101)</f>
        <v>0.82948274713478509</v>
      </c>
      <c r="CY101" s="348">
        <f t="shared" ref="CY101:CY102" si="743">SUM(BN101:BQ101)</f>
        <v>0.84</v>
      </c>
      <c r="CZ101" s="348">
        <f>SUM(BR101:BU101)</f>
        <v>0.84</v>
      </c>
      <c r="DA101" s="348">
        <f t="shared" ref="DA101:DA102" si="744">SUM(BV101:BY101)</f>
        <v>0.84</v>
      </c>
      <c r="DB101" s="348">
        <f>SUM(BZ101:CC101)</f>
        <v>0.84</v>
      </c>
      <c r="DC101" s="348">
        <f>SUM(CD101:CG101)</f>
        <v>0.84</v>
      </c>
    </row>
    <row r="102" spans="1:107" ht="12.75" thickBot="1" x14ac:dyDescent="0.25">
      <c r="A102" s="343" t="s">
        <v>450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72">
        <f t="shared" ref="BG102:BL102" si="745">-BG38</f>
        <v>2466</v>
      </c>
      <c r="BH102" s="72">
        <f t="shared" si="745"/>
        <v>2455</v>
      </c>
      <c r="BI102" s="72">
        <f t="shared" si="745"/>
        <v>2442</v>
      </c>
      <c r="BJ102" s="72">
        <f t="shared" si="745"/>
        <v>2434</v>
      </c>
      <c r="BK102" s="72">
        <f t="shared" si="745"/>
        <v>2543</v>
      </c>
      <c r="BL102" s="72">
        <f t="shared" si="745"/>
        <v>2537</v>
      </c>
      <c r="BM102" s="72">
        <f t="shared" ref="BM102:CC102" si="746">BM100*BM101</f>
        <v>2531.4790291626955</v>
      </c>
      <c r="BN102" s="72">
        <f t="shared" si="746"/>
        <v>2525.3241355702648</v>
      </c>
      <c r="BO102" s="72">
        <f t="shared" si="746"/>
        <v>2519.3393542101726</v>
      </c>
      <c r="BP102" s="72">
        <f t="shared" si="746"/>
        <v>2513.8942263147173</v>
      </c>
      <c r="BQ102" s="72">
        <f t="shared" si="746"/>
        <v>2508.740915617695</v>
      </c>
      <c r="BR102" s="72">
        <f t="shared" si="746"/>
        <v>2503.5638661014332</v>
      </c>
      <c r="BS102" s="72">
        <f t="shared" si="746"/>
        <v>2504.0801109078325</v>
      </c>
      <c r="BT102" s="72">
        <f t="shared" si="746"/>
        <v>2510.5065871021488</v>
      </c>
      <c r="BU102" s="72">
        <f t="shared" si="746"/>
        <v>2517.027638786898</v>
      </c>
      <c r="BV102" s="72">
        <f t="shared" si="746"/>
        <v>2523.234858771124</v>
      </c>
      <c r="BW102" s="72">
        <f t="shared" si="746"/>
        <v>2529.3181177236438</v>
      </c>
      <c r="BX102" s="72">
        <f t="shared" si="746"/>
        <v>2535.6845333927795</v>
      </c>
      <c r="BY102" s="72">
        <f t="shared" si="746"/>
        <v>2542.1446406692603</v>
      </c>
      <c r="BZ102" s="72">
        <f t="shared" si="746"/>
        <v>2548.2938492517637</v>
      </c>
      <c r="CA102" s="72">
        <f t="shared" si="746"/>
        <v>2554.2911444068318</v>
      </c>
      <c r="CB102" s="72">
        <f t="shared" si="746"/>
        <v>2560.5385616522453</v>
      </c>
      <c r="CC102" s="72">
        <f t="shared" si="746"/>
        <v>2566.8779192600064</v>
      </c>
      <c r="CD102" s="72">
        <f t="shared" ref="CD102:CG102" si="747">CD100*CD101</f>
        <v>2572.9121893643328</v>
      </c>
      <c r="CE102" s="72">
        <f t="shared" si="747"/>
        <v>2578.7973855445398</v>
      </c>
      <c r="CF102" s="72">
        <f t="shared" si="747"/>
        <v>2584.928028635833</v>
      </c>
      <c r="CG102" s="72">
        <f t="shared" si="747"/>
        <v>2591.1488935780289</v>
      </c>
      <c r="CH102" s="72"/>
      <c r="CI102" s="351"/>
      <c r="CJ102" s="352"/>
      <c r="CK102" s="351"/>
      <c r="CL102" s="352"/>
      <c r="CM102" s="351"/>
      <c r="CN102" s="352"/>
      <c r="CO102" s="351"/>
      <c r="CP102" s="352"/>
      <c r="CQ102" s="351"/>
      <c r="CR102" s="351"/>
      <c r="CS102" s="351"/>
      <c r="CT102" s="351"/>
      <c r="CU102" s="353"/>
      <c r="CV102" s="353"/>
      <c r="CW102" s="130">
        <f>SUM(BF102:BI102)</f>
        <v>7363</v>
      </c>
      <c r="CX102" s="130">
        <f t="shared" si="742"/>
        <v>10045.479029162696</v>
      </c>
      <c r="CY102" s="130">
        <f t="shared" si="743"/>
        <v>10067.298631712851</v>
      </c>
      <c r="CZ102" s="130">
        <f>SUM(BR102:BU102)</f>
        <v>10035.178202898313</v>
      </c>
      <c r="DA102" s="130">
        <f t="shared" si="744"/>
        <v>10130.382150556808</v>
      </c>
      <c r="DB102" s="130">
        <f>SUM(BZ102:CC102)</f>
        <v>10230.001474570847</v>
      </c>
      <c r="DC102" s="130">
        <f>SUM(CD102:CG102)</f>
        <v>10327.786497122735</v>
      </c>
    </row>
  </sheetData>
  <pageMargins left="0.7" right="0.7" top="0.75" bottom="0.75" header="0.3" footer="0.3"/>
  <pageSetup orientation="portrait" r:id="rId1"/>
  <customProperties>
    <customPr name="Qube.Worksheet.Visibility" r:id="rId2"/>
  </customProperties>
  <ignoredErrors>
    <ignoredError sqref="CW101:DB101" formulaRange="1"/>
  </ignoredError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C62"/>
  <sheetViews>
    <sheetView workbookViewId="0">
      <pane xSplit="1" ySplit="1" topLeftCell="BB2" activePane="bottomRight" state="frozen"/>
      <selection pane="topRight" activeCell="B1" sqref="B1"/>
      <selection pane="bottomLeft" activeCell="A3" sqref="A3"/>
      <selection pane="bottomRight" activeCell="BB2" sqref="BB2"/>
    </sheetView>
  </sheetViews>
  <sheetFormatPr defaultRowHeight="12" outlineLevelRow="1" outlineLevelCol="1" x14ac:dyDescent="0.2"/>
  <cols>
    <col min="1" max="1" width="44.28515625" style="1" customWidth="1"/>
    <col min="2" max="2" width="10.140625" style="1" hidden="1" customWidth="1" outlineLevel="1"/>
    <col min="3" max="37" width="9.28515625" style="1" hidden="1" customWidth="1" outlineLevel="1"/>
    <col min="38" max="38" width="10.28515625" style="1" hidden="1" customWidth="1" outlineLevel="1" collapsed="1"/>
    <col min="39" max="41" width="10.28515625" style="1" hidden="1" customWidth="1" outlineLevel="1"/>
    <col min="42" max="42" width="10.28515625" style="1" hidden="1" customWidth="1" outlineLevel="1" collapsed="1"/>
    <col min="43" max="53" width="10.28515625" style="1" hidden="1" customWidth="1" outlineLevel="1"/>
    <col min="54" max="54" width="10.28515625" style="1" customWidth="1" collapsed="1"/>
    <col min="55" max="73" width="10.28515625" style="1" customWidth="1"/>
    <col min="74" max="85" width="10.28515625" style="1" hidden="1" customWidth="1" outlineLevel="1"/>
    <col min="86" max="86" width="10.28515625" style="1" customWidth="1" collapsed="1"/>
    <col min="87" max="99" width="10.28515625" style="1" hidden="1" customWidth="1" outlineLevel="1"/>
    <col min="100" max="100" width="10.28515625" style="1" customWidth="1" collapsed="1"/>
    <col min="101" max="104" width="10.28515625" style="1" customWidth="1"/>
    <col min="105" max="107" width="11" style="1" bestFit="1" customWidth="1"/>
    <col min="108" max="16384" width="9.140625" style="1"/>
  </cols>
  <sheetData>
    <row r="1" spans="1:107" s="2" customFormat="1" ht="43.5" customHeight="1" x14ac:dyDescent="0.2">
      <c r="A1" s="6" t="s">
        <v>54</v>
      </c>
      <c r="B1" s="3" t="str">
        <f>'Income Statement'!B1</f>
        <v>1Q10</v>
      </c>
      <c r="C1" s="3" t="str">
        <f>'Income Statement'!C1</f>
        <v>2Q10</v>
      </c>
      <c r="D1" s="3" t="str">
        <f>'Income Statement'!D1</f>
        <v>3Q10</v>
      </c>
      <c r="E1" s="3" t="str">
        <f>'Income Statement'!E1</f>
        <v>4Q10</v>
      </c>
      <c r="F1" s="3" t="str">
        <f>'Income Statement'!F1</f>
        <v>1Q11</v>
      </c>
      <c r="G1" s="3" t="str">
        <f>'Income Statement'!G1</f>
        <v>2Q11</v>
      </c>
      <c r="H1" s="3" t="str">
        <f>'Income Statement'!H1</f>
        <v>3Q11</v>
      </c>
      <c r="I1" s="3" t="str">
        <f>'Income Statement'!I1</f>
        <v>4Q11</v>
      </c>
      <c r="J1" s="3" t="str">
        <f>'Income Statement'!J1</f>
        <v>1Q12</v>
      </c>
      <c r="K1" s="3" t="str">
        <f>'Income Statement'!K1</f>
        <v>2Q12</v>
      </c>
      <c r="L1" s="3" t="str">
        <f>'Income Statement'!L1</f>
        <v>3Q12</v>
      </c>
      <c r="M1" s="3" t="str">
        <f>'Income Statement'!M1</f>
        <v>4Q12</v>
      </c>
      <c r="N1" s="3" t="str">
        <f>'Income Statement'!N1</f>
        <v>1Q13</v>
      </c>
      <c r="O1" s="3" t="str">
        <f>'Income Statement'!O1</f>
        <v>2Q13</v>
      </c>
      <c r="P1" s="3" t="str">
        <f>'Income Statement'!P1</f>
        <v>3Q13</v>
      </c>
      <c r="Q1" s="3" t="str">
        <f>'Income Statement'!Q1</f>
        <v>4Q13</v>
      </c>
      <c r="R1" s="3" t="str">
        <f>'Income Statement'!R1</f>
        <v>1Q14</v>
      </c>
      <c r="S1" s="3" t="str">
        <f>'Income Statement'!S1</f>
        <v>2Q14</v>
      </c>
      <c r="T1" s="3" t="str">
        <f>'Income Statement'!T1</f>
        <v>3Q14</v>
      </c>
      <c r="U1" s="3" t="str">
        <f>'Income Statement'!U1</f>
        <v>4Q14</v>
      </c>
      <c r="V1" s="3" t="str">
        <f>'Income Statement'!V1</f>
        <v>1Q15</v>
      </c>
      <c r="W1" s="3" t="str">
        <f>'Income Statement'!W1</f>
        <v>2Q15</v>
      </c>
      <c r="X1" s="3" t="str">
        <f>'Income Statement'!X1</f>
        <v>3Q15</v>
      </c>
      <c r="Y1" s="3" t="str">
        <f>'Income Statement'!Y1</f>
        <v>4Q15</v>
      </c>
      <c r="Z1" s="3" t="str">
        <f>'Income Statement'!Z1</f>
        <v>1Q16</v>
      </c>
      <c r="AA1" s="3" t="str">
        <f>'Income Statement'!AA1</f>
        <v>2Q16</v>
      </c>
      <c r="AB1" s="3" t="str">
        <f>'Income Statement'!AB1</f>
        <v>3Q16</v>
      </c>
      <c r="AC1" s="3" t="str">
        <f>'Income Statement'!AC1</f>
        <v>4Q16</v>
      </c>
      <c r="AD1" s="3" t="str">
        <f>'Income Statement'!AD1</f>
        <v>1Q17</v>
      </c>
      <c r="AE1" s="3" t="str">
        <f>'Income Statement'!AE1</f>
        <v>2Q17</v>
      </c>
      <c r="AF1" s="3" t="str">
        <f>'Income Statement'!AF1</f>
        <v>3Q17</v>
      </c>
      <c r="AG1" s="3" t="str">
        <f>'Income Statement'!AG1</f>
        <v>4Q17</v>
      </c>
      <c r="AH1" s="3" t="str">
        <f>'Income Statement'!AH1</f>
        <v>1Q18</v>
      </c>
      <c r="AI1" s="3" t="str">
        <f>'Income Statement'!AI1</f>
        <v>2Q18</v>
      </c>
      <c r="AJ1" s="3" t="str">
        <f>'Income Statement'!AJ1</f>
        <v>3Q18</v>
      </c>
      <c r="AK1" s="3" t="str">
        <f>'Income Statement'!AK1</f>
        <v>4Q18</v>
      </c>
      <c r="AL1" s="3" t="str">
        <f>'Income Statement'!AL1</f>
        <v>1Q19</v>
      </c>
      <c r="AM1" s="3" t="str">
        <f>'Income Statement'!AM1</f>
        <v>2Q19</v>
      </c>
      <c r="AN1" s="3" t="str">
        <f>'Income Statement'!AN1</f>
        <v>3Q19</v>
      </c>
      <c r="AO1" s="3" t="str">
        <f>'Income Statement'!AO1</f>
        <v>4Q19</v>
      </c>
      <c r="AP1" s="3" t="str">
        <f>'Income Statement'!AP1</f>
        <v>1Q20</v>
      </c>
      <c r="AQ1" s="3" t="str">
        <f>'Income Statement'!AQ1</f>
        <v>2Q20</v>
      </c>
      <c r="AR1" s="3" t="str">
        <f>'Income Statement'!AR1</f>
        <v>3Q20</v>
      </c>
      <c r="AS1" s="3" t="str">
        <f>'Income Statement'!AS1</f>
        <v>4Q20</v>
      </c>
      <c r="AT1" s="3" t="str">
        <f>'Income Statement'!AT1</f>
        <v>1Q21</v>
      </c>
      <c r="AU1" s="3" t="str">
        <f>'Income Statement'!AU1</f>
        <v>2Q21</v>
      </c>
      <c r="AV1" s="3" t="str">
        <f>'Income Statement'!AV1</f>
        <v>3Q21</v>
      </c>
      <c r="AW1" s="3" t="str">
        <f>'Income Statement'!AW1</f>
        <v>4Q21</v>
      </c>
      <c r="AX1" s="3" t="str">
        <f>'Income Statement'!AX1</f>
        <v>1Q22</v>
      </c>
      <c r="AY1" s="3" t="str">
        <f>'Income Statement'!AY1</f>
        <v>2Q22</v>
      </c>
      <c r="AZ1" s="3" t="str">
        <f>'Income Statement'!AZ1</f>
        <v>3Q22</v>
      </c>
      <c r="BA1" s="3" t="str">
        <f>'Income Statement'!BA1</f>
        <v>4Q22</v>
      </c>
      <c r="BB1" s="3" t="str">
        <f>'Income Statement'!BB1</f>
        <v>1Q23</v>
      </c>
      <c r="BC1" s="3" t="str">
        <f>'Income Statement'!BC1</f>
        <v>2Q23</v>
      </c>
      <c r="BD1" s="3" t="str">
        <f>'Income Statement'!BD1</f>
        <v>3Q23</v>
      </c>
      <c r="BE1" s="3" t="str">
        <f>'Income Statement'!BE1</f>
        <v>4Q23</v>
      </c>
      <c r="BF1" s="3" t="str">
        <f>'Income Statement'!BF1</f>
        <v>1Q24</v>
      </c>
      <c r="BG1" s="3" t="str">
        <f>'Income Statement'!BG1</f>
        <v>2Q24</v>
      </c>
      <c r="BH1" s="3" t="str">
        <f>'Income Statement'!BH1</f>
        <v>3Q24</v>
      </c>
      <c r="BI1" s="3" t="str">
        <f>'Income Statement'!BI1</f>
        <v>4Q24</v>
      </c>
      <c r="BJ1" s="3" t="str">
        <f>'Income Statement'!BJ1</f>
        <v>1Q25</v>
      </c>
      <c r="BK1" s="3" t="str">
        <f>'Income Statement'!BK1</f>
        <v>2Q25</v>
      </c>
      <c r="BL1" s="3" t="str">
        <f>'Income Statement'!BL1</f>
        <v>3Q25</v>
      </c>
      <c r="BM1" s="3" t="str">
        <f>'Income Statement'!BM1</f>
        <v>4Q25E</v>
      </c>
      <c r="BN1" s="3" t="str">
        <f>'Income Statement'!BN1</f>
        <v>1Q26E</v>
      </c>
      <c r="BO1" s="3" t="str">
        <f>'Income Statement'!BO1</f>
        <v>2Q26E</v>
      </c>
      <c r="BP1" s="3" t="str">
        <f>'Income Statement'!BP1</f>
        <v>3Q26E</v>
      </c>
      <c r="BQ1" s="3" t="str">
        <f>'Income Statement'!BQ1</f>
        <v>4Q26E</v>
      </c>
      <c r="BR1" s="3" t="str">
        <f>'Income Statement'!BR1</f>
        <v>1Q27E</v>
      </c>
      <c r="BS1" s="3" t="str">
        <f>'Income Statement'!BS1</f>
        <v>2Q27E</v>
      </c>
      <c r="BT1" s="3" t="str">
        <f>'Income Statement'!BT1</f>
        <v>3Q27E</v>
      </c>
      <c r="BU1" s="3" t="str">
        <f>'Income Statement'!BU1</f>
        <v>4Q27E</v>
      </c>
      <c r="BV1" s="3" t="str">
        <f>'Income Statement'!BV1</f>
        <v>1Q28E</v>
      </c>
      <c r="BW1" s="3" t="str">
        <f>'Income Statement'!BW1</f>
        <v>2Q28E</v>
      </c>
      <c r="BX1" s="3" t="str">
        <f>'Income Statement'!BX1</f>
        <v>3Q28E</v>
      </c>
      <c r="BY1" s="3" t="str">
        <f>'Income Statement'!BY1</f>
        <v>4Q28E</v>
      </c>
      <c r="BZ1" s="3" t="str">
        <f>'Income Statement'!BZ1</f>
        <v>1Q29E</v>
      </c>
      <c r="CA1" s="3" t="str">
        <f>'Income Statement'!CA1</f>
        <v>2Q29E</v>
      </c>
      <c r="CB1" s="3" t="str">
        <f>'Income Statement'!CB1</f>
        <v>3Q29E</v>
      </c>
      <c r="CC1" s="3" t="str">
        <f>'Income Statement'!CC1</f>
        <v>4Q29E</v>
      </c>
      <c r="CD1" s="3" t="str">
        <f>'Income Statement'!CD1</f>
        <v>1Q30E</v>
      </c>
      <c r="CE1" s="3" t="str">
        <f>'Income Statement'!CE1</f>
        <v>2Q30E</v>
      </c>
      <c r="CF1" s="3" t="str">
        <f>'Income Statement'!CF1</f>
        <v>3Q30E</v>
      </c>
      <c r="CG1" s="3" t="str">
        <f>'Income Statement'!CG1</f>
        <v>4Q30E</v>
      </c>
      <c r="CH1" s="256"/>
      <c r="CI1" s="88">
        <f>'Income Statement'!CI1</f>
        <v>2010</v>
      </c>
      <c r="CJ1" s="93">
        <f>'Income Statement'!CJ1</f>
        <v>2011</v>
      </c>
      <c r="CK1" s="88">
        <f>'Income Statement'!CK1</f>
        <v>2012</v>
      </c>
      <c r="CL1" s="88">
        <f>'Income Statement'!CL1</f>
        <v>2013</v>
      </c>
      <c r="CM1" s="3">
        <f>'Income Statement'!CM1</f>
        <v>2014</v>
      </c>
      <c r="CN1" s="88">
        <f>'Income Statement'!CN1</f>
        <v>2015</v>
      </c>
      <c r="CO1" s="3">
        <f>'Income Statement'!CO1</f>
        <v>2016</v>
      </c>
      <c r="CP1" s="88">
        <f>'Income Statement'!CP1</f>
        <v>2017</v>
      </c>
      <c r="CQ1" s="88">
        <f>'Income Statement'!CQ1</f>
        <v>2018</v>
      </c>
      <c r="CR1" s="88">
        <f>'Income Statement'!CR1</f>
        <v>2019</v>
      </c>
      <c r="CS1" s="88">
        <f>'Income Statement'!CS1</f>
        <v>2020</v>
      </c>
      <c r="CT1" s="3">
        <f>'Income Statement'!CT1</f>
        <v>2021</v>
      </c>
      <c r="CU1" s="88">
        <f>'Income Statement'!CU1</f>
        <v>2022</v>
      </c>
      <c r="CV1" s="88">
        <f>'Income Statement'!CV1</f>
        <v>2023</v>
      </c>
      <c r="CW1" s="88">
        <f>'Income Statement'!CW1</f>
        <v>2024</v>
      </c>
      <c r="CX1" s="88" t="str">
        <f>'Income Statement'!CX1</f>
        <v>2025E</v>
      </c>
      <c r="CY1" s="94" t="str">
        <f>'Income Statement'!CY1</f>
        <v>2026E</v>
      </c>
      <c r="CZ1" s="94" t="str">
        <f>'Income Statement'!CZ1</f>
        <v>2027E</v>
      </c>
      <c r="DA1" s="94" t="str">
        <f>'Income Statement'!DA1</f>
        <v>2028E</v>
      </c>
      <c r="DB1" s="94" t="str">
        <f>'Income Statement'!DB1</f>
        <v>2029E</v>
      </c>
      <c r="DC1" s="94" t="str">
        <f>'Income Statement'!DC1</f>
        <v>2030E</v>
      </c>
    </row>
    <row r="2" spans="1:107" x14ac:dyDescent="0.2">
      <c r="BD2" s="20"/>
      <c r="BE2" s="20"/>
      <c r="BF2" s="20"/>
      <c r="BG2" s="20"/>
      <c r="BH2" s="20"/>
      <c r="BI2" s="20"/>
      <c r="BJ2" s="20"/>
      <c r="BK2" s="20"/>
      <c r="BL2" s="20"/>
      <c r="CH2" s="20"/>
      <c r="CI2" s="92"/>
      <c r="CJ2" s="57"/>
      <c r="CK2" s="92"/>
      <c r="CL2" s="92"/>
      <c r="CN2" s="92"/>
      <c r="CP2" s="92"/>
      <c r="CQ2" s="92"/>
      <c r="CR2" s="92"/>
      <c r="CS2" s="92"/>
      <c r="CU2" s="92"/>
      <c r="CV2" s="92"/>
      <c r="CW2" s="92"/>
      <c r="CX2" s="92"/>
      <c r="CY2" s="101"/>
      <c r="CZ2" s="101"/>
      <c r="DA2" s="101"/>
      <c r="DB2" s="101"/>
      <c r="DC2" s="101"/>
    </row>
    <row r="3" spans="1:107" x14ac:dyDescent="0.2">
      <c r="A3" s="1" t="s">
        <v>200</v>
      </c>
      <c r="B3" s="16">
        <f>'Cash Flow Statement'!B49</f>
        <v>9192</v>
      </c>
      <c r="C3" s="16">
        <f>'Cash Flow Statement'!C49</f>
        <v>10713</v>
      </c>
      <c r="D3" s="16">
        <f>'Cash Flow Statement'!D49</f>
        <v>11257</v>
      </c>
      <c r="E3" s="16">
        <f>'Cash Flow Statement'!E49</f>
        <v>13630</v>
      </c>
      <c r="F3" s="16">
        <f>'Cash Flow Statement'!F49</f>
        <v>12415</v>
      </c>
      <c r="G3" s="16">
        <f>'Cash Flow Statement'!G49</f>
        <v>10320</v>
      </c>
      <c r="H3" s="16">
        <f>'Cash Flow Statement'!H49</f>
        <v>10630</v>
      </c>
      <c r="I3" s="16">
        <f>'Cash Flow Statement'!I49</f>
        <v>9983</v>
      </c>
      <c r="J3" s="16">
        <f>'Cash Flow Statement'!J49</f>
        <v>23108</v>
      </c>
      <c r="K3" s="16">
        <f>'Cash Flow Statement'!K49</f>
        <v>15437</v>
      </c>
      <c r="L3" s="16">
        <f>'Cash Flow Statement'!L49</f>
        <v>16260</v>
      </c>
      <c r="M3" s="16">
        <f>'Cash Flow Statement'!M49</f>
        <v>14778</v>
      </c>
      <c r="N3" s="16">
        <f>'Cash Flow Statement'!N49</f>
        <v>15375</v>
      </c>
      <c r="O3" s="16">
        <f>'Cash Flow Statement'!O49</f>
        <v>16164</v>
      </c>
      <c r="P3" s="16">
        <f>'Cash Flow Statement'!P49</f>
        <v>15287</v>
      </c>
      <c r="Q3" s="16">
        <f>'Cash Flow Statement'!Q49</f>
        <v>18898</v>
      </c>
      <c r="R3" s="16">
        <f>'Cash Flow Statement'!R49</f>
        <v>16639</v>
      </c>
      <c r="S3" s="16">
        <f>'Cash Flow Statement'!S49</f>
        <v>19620</v>
      </c>
      <c r="T3" s="16">
        <f>'Cash Flow Statement'!T49</f>
        <v>15605</v>
      </c>
      <c r="U3" s="16">
        <f>'Cash Flow Statement'!U49</f>
        <v>18347</v>
      </c>
      <c r="V3" s="16">
        <f>'Cash Flow Statement'!V49</f>
        <v>16976</v>
      </c>
      <c r="W3" s="16">
        <f>'Cash Flow Statement'!W49</f>
        <v>18453</v>
      </c>
      <c r="X3" s="16">
        <f>'Cash Flow Statement'!X49</f>
        <v>18068</v>
      </c>
      <c r="Y3" s="16">
        <f>'Cash Flow Statement'!Y49</f>
        <v>16549</v>
      </c>
      <c r="Z3" s="16">
        <f>'Cash Flow Statement'!Z49</f>
        <v>15111</v>
      </c>
      <c r="AA3" s="16">
        <f>'Cash Flow Statement'!AA49</f>
        <v>13627</v>
      </c>
      <c r="AB3" s="16">
        <f>'Cash Flow Statement'!AB49</f>
        <v>9406</v>
      </c>
      <c r="AC3" s="16">
        <f>'Cash Flow Statement'!AC49</f>
        <v>12918</v>
      </c>
      <c r="AD3" s="16">
        <f>'Cash Flow Statement'!AD49</f>
        <v>18132</v>
      </c>
      <c r="AE3" s="16">
        <f>'Cash Flow Statement'!AE49</f>
        <v>15711</v>
      </c>
      <c r="AF3" s="16">
        <f>'Cash Flow Statement'!AF49</f>
        <v>10581</v>
      </c>
      <c r="AG3" s="16">
        <f>'Cash Flow Statement'!AG49</f>
        <v>10715</v>
      </c>
      <c r="AH3" s="16">
        <f>'Cash Flow Statement'!AH49</f>
        <v>12658</v>
      </c>
      <c r="AI3" s="16">
        <f>'Cash Flow Statement'!AI49</f>
        <v>14148</v>
      </c>
      <c r="AJ3" s="16">
        <f>'Cash Flow Statement'!AJ49</f>
        <v>13443</v>
      </c>
      <c r="AK3" s="16">
        <f>'Cash Flow Statement'!AK49</f>
        <v>16701</v>
      </c>
      <c r="AL3" s="16">
        <f>'Cash Flow Statement'!AL49</f>
        <v>19148</v>
      </c>
      <c r="AM3" s="16">
        <f>'Cash Flow Statement'!AM49</f>
        <v>16587</v>
      </c>
      <c r="AN3" s="16">
        <f>'Cash Flow Statement'!AN49</f>
        <v>16032</v>
      </c>
      <c r="AO3" s="16">
        <f>'Cash Flow Statement'!AO49</f>
        <v>18498</v>
      </c>
      <c r="AP3" s="16">
        <f>'Cash Flow Statement'!AP49</f>
        <v>19644</v>
      </c>
      <c r="AQ3" s="16">
        <f>'Cash Flow Statement'!AQ49</f>
        <v>17742</v>
      </c>
      <c r="AR3" s="16">
        <f>'Cash Flow Statement'!AR49</f>
        <v>20129</v>
      </c>
      <c r="AS3" s="16">
        <f>'Cash Flow Statement'!AS49</f>
        <v>26465</v>
      </c>
      <c r="AT3" s="16">
        <f>'Cash Flow Statement'!AT49</f>
        <v>26622</v>
      </c>
      <c r="AU3" s="16">
        <f>'Cash Flow Statement'!AU49</f>
        <v>23630</v>
      </c>
      <c r="AV3" s="16">
        <f>'Cash Flow Statement'!AV49</f>
        <v>23719</v>
      </c>
      <c r="AW3" s="16">
        <f>'Cash Flow Statement'!AW49</f>
        <v>20945</v>
      </c>
      <c r="AX3" s="16">
        <f>'Cash Flow Statement'!AX49</f>
        <v>20886</v>
      </c>
      <c r="AY3" s="16">
        <f>'Cash Flow Statement'!AY49</f>
        <v>17936</v>
      </c>
      <c r="AZ3" s="16">
        <f>'Cash Flow Statement'!AZ49</f>
        <v>21984</v>
      </c>
      <c r="BA3" s="16">
        <f>'Cash Flow Statement'!BA49</f>
        <v>21879</v>
      </c>
      <c r="BB3" s="72">
        <f>'Cash Flow Statement'!BB49</f>
        <v>25924</v>
      </c>
      <c r="BC3" s="72">
        <f>'Cash Flow Statement'!BC49</f>
        <v>25929</v>
      </c>
      <c r="BD3" s="72">
        <f>'Cash Flow Statement'!BD49</f>
        <v>30702</v>
      </c>
      <c r="BE3" s="72">
        <f>'Cash Flow Statement'!BE49</f>
        <v>24048</v>
      </c>
      <c r="BF3" s="72">
        <f>'Cash Flow Statement'!BF49</f>
        <v>24493</v>
      </c>
      <c r="BG3" s="72">
        <f>'Cash Flow Statement'!BG49</f>
        <v>27225</v>
      </c>
      <c r="BH3" s="72">
        <f>'Cash Flow Statement'!BH49</f>
        <v>19959</v>
      </c>
      <c r="BI3" s="72">
        <f>'Cash Flow Statement'!BI49</f>
        <v>23466</v>
      </c>
      <c r="BJ3" s="72">
        <f>'Cash Flow Statement'!BJ49</f>
        <v>23264</v>
      </c>
      <c r="BK3" s="72">
        <f>'Cash Flow Statement'!BK49</f>
        <v>21036</v>
      </c>
      <c r="BL3" s="72">
        <f>'Cash Flow Statement'!BL49</f>
        <v>23090</v>
      </c>
      <c r="BM3" s="16">
        <f>'Cash Flow Statement'!BM49</f>
        <v>7600.1093175293245</v>
      </c>
      <c r="BN3" s="16">
        <f>'Cash Flow Statement'!BN49</f>
        <v>25953.174887206307</v>
      </c>
      <c r="BO3" s="16">
        <f>'Cash Flow Statement'!BO49</f>
        <v>8444.5718543410985</v>
      </c>
      <c r="BP3" s="16">
        <f>'Cash Flow Statement'!BP49</f>
        <v>18237.651464161849</v>
      </c>
      <c r="BQ3" s="16">
        <f>'Cash Flow Statement'!BQ49</f>
        <v>20176.777300869973</v>
      </c>
      <c r="BR3" s="72">
        <f>'Cash Flow Statement'!BR49</f>
        <v>44843.580305404954</v>
      </c>
      <c r="BS3" s="72">
        <f>'Cash Flow Statement'!BS49</f>
        <v>38920.640770037789</v>
      </c>
      <c r="BT3" s="72">
        <f>'Cash Flow Statement'!BT49</f>
        <v>66806.308375236462</v>
      </c>
      <c r="BU3" s="72">
        <f>'Cash Flow Statement'!BU49</f>
        <v>84251.62857202653</v>
      </c>
      <c r="BV3" s="72">
        <f>'Cash Flow Statement'!BV49</f>
        <v>134316.59700942528</v>
      </c>
      <c r="BW3" s="72">
        <f>'Cash Flow Statement'!BW49</f>
        <v>129358.88424781086</v>
      </c>
      <c r="BX3" s="72">
        <f>'Cash Flow Statement'!BX49</f>
        <v>165270.36211992148</v>
      </c>
      <c r="BY3" s="72">
        <f>'Cash Flow Statement'!BY49</f>
        <v>188121.17717154033</v>
      </c>
      <c r="BZ3" s="72">
        <f>'Cash Flow Statement'!BZ49</f>
        <v>252149.27721271143</v>
      </c>
      <c r="CA3" s="72">
        <f>'Cash Flow Statement'!CA49</f>
        <v>249124.39047821972</v>
      </c>
      <c r="CB3" s="72">
        <f>'Cash Flow Statement'!CB49</f>
        <v>294262.4207974546</v>
      </c>
      <c r="CC3" s="72">
        <f>'Cash Flow Statement'!CC49</f>
        <v>323840.91854993807</v>
      </c>
      <c r="CD3" s="72">
        <f>'Cash Flow Statement'!CD49</f>
        <v>404383.93101185904</v>
      </c>
      <c r="CE3" s="72">
        <f>'Cash Flow Statement'!CE49</f>
        <v>404448.61990749126</v>
      </c>
      <c r="CF3" s="72">
        <f>'Cash Flow Statement'!CF49</f>
        <v>460177.26585119916</v>
      </c>
      <c r="CG3" s="72">
        <f>'Cash Flow Statement'!CG49</f>
        <v>497891.81798099633</v>
      </c>
      <c r="CH3" s="72"/>
      <c r="CI3" s="89">
        <f>E3</f>
        <v>13630</v>
      </c>
      <c r="CJ3" s="95">
        <f>I3</f>
        <v>9983</v>
      </c>
      <c r="CK3" s="89">
        <f>M3</f>
        <v>14778</v>
      </c>
      <c r="CL3" s="89">
        <f>Q3</f>
        <v>18898</v>
      </c>
      <c r="CM3" s="20">
        <f>U3</f>
        <v>18347</v>
      </c>
      <c r="CN3" s="89">
        <f>Y3</f>
        <v>16549</v>
      </c>
      <c r="CO3" s="20">
        <f>AC3</f>
        <v>12918</v>
      </c>
      <c r="CP3" s="89">
        <f>AG3</f>
        <v>10715</v>
      </c>
      <c r="CQ3" s="89">
        <f>AK3</f>
        <v>16701</v>
      </c>
      <c r="CR3" s="89">
        <f>AO3</f>
        <v>18498</v>
      </c>
      <c r="CS3" s="89">
        <f>AS3</f>
        <v>26465</v>
      </c>
      <c r="CT3" s="20">
        <f>AW3</f>
        <v>20945</v>
      </c>
      <c r="CU3" s="89">
        <f>BA3</f>
        <v>21879</v>
      </c>
      <c r="CV3" s="89">
        <f>BE3</f>
        <v>24048</v>
      </c>
      <c r="CW3" s="89">
        <f>BI3</f>
        <v>23466</v>
      </c>
      <c r="CX3" s="89">
        <f>BM3</f>
        <v>7600.1093175293245</v>
      </c>
      <c r="CY3" s="96">
        <f>BQ3</f>
        <v>20176.777300869973</v>
      </c>
      <c r="CZ3" s="96">
        <f>BU3</f>
        <v>84251.62857202653</v>
      </c>
      <c r="DA3" s="96">
        <f>BY3</f>
        <v>188121.17717154033</v>
      </c>
      <c r="DB3" s="96">
        <f>CC3</f>
        <v>323840.91854993807</v>
      </c>
      <c r="DC3" s="96">
        <f>CG3</f>
        <v>497891.81798099633</v>
      </c>
    </row>
    <row r="4" spans="1:107" x14ac:dyDescent="0.2">
      <c r="A4" s="1" t="s">
        <v>201</v>
      </c>
      <c r="B4" s="17">
        <v>17322</v>
      </c>
      <c r="C4" s="17">
        <v>19346</v>
      </c>
      <c r="D4" s="17">
        <v>22123</v>
      </c>
      <c r="E4" s="17">
        <v>21345</v>
      </c>
      <c r="F4" s="17">
        <v>24260</v>
      </c>
      <c r="G4" s="17">
        <v>28798</v>
      </c>
      <c r="H4" s="17">
        <v>31930</v>
      </c>
      <c r="I4" s="17">
        <v>34643</v>
      </c>
      <c r="J4" s="17">
        <v>26208</v>
      </c>
      <c r="K4" s="17">
        <v>27685</v>
      </c>
      <c r="L4" s="17">
        <v>29464</v>
      </c>
      <c r="M4" s="17">
        <v>33310</v>
      </c>
      <c r="N4" s="17">
        <v>34723</v>
      </c>
      <c r="O4" s="17">
        <v>38268</v>
      </c>
      <c r="P4" s="17">
        <v>41281</v>
      </c>
      <c r="Q4" s="17">
        <v>39819</v>
      </c>
      <c r="R4" s="17">
        <v>42740</v>
      </c>
      <c r="S4" s="17">
        <v>41584</v>
      </c>
      <c r="T4" s="17">
        <v>46552</v>
      </c>
      <c r="U4" s="17">
        <v>46048</v>
      </c>
      <c r="V4" s="17">
        <v>48460</v>
      </c>
      <c r="W4" s="17">
        <v>51327</v>
      </c>
      <c r="X4" s="17">
        <v>54699</v>
      </c>
      <c r="Y4" s="17">
        <v>56517</v>
      </c>
      <c r="Z4" s="17">
        <v>60153</v>
      </c>
      <c r="AA4" s="17">
        <v>64833</v>
      </c>
      <c r="AB4" s="17">
        <v>73650</v>
      </c>
      <c r="AC4" s="17">
        <v>73415</v>
      </c>
      <c r="AD4" s="17">
        <v>74307</v>
      </c>
      <c r="AE4" s="17">
        <v>79002</v>
      </c>
      <c r="AF4" s="17">
        <v>89562</v>
      </c>
      <c r="AG4" s="17">
        <v>91156</v>
      </c>
      <c r="AH4" s="17">
        <v>90227</v>
      </c>
      <c r="AI4" s="17">
        <v>88106</v>
      </c>
      <c r="AJ4" s="17">
        <v>92973</v>
      </c>
      <c r="AK4" s="17">
        <v>92439</v>
      </c>
      <c r="AL4" s="17">
        <v>94340</v>
      </c>
      <c r="AM4" s="17">
        <v>104469</v>
      </c>
      <c r="AN4" s="17">
        <v>105145</v>
      </c>
      <c r="AO4" s="17">
        <v>101177</v>
      </c>
      <c r="AP4" s="17">
        <v>97585</v>
      </c>
      <c r="AQ4" s="17">
        <v>103338</v>
      </c>
      <c r="AR4" s="17">
        <v>112467</v>
      </c>
      <c r="AS4" s="17">
        <v>110229</v>
      </c>
      <c r="AT4" s="17">
        <v>108482</v>
      </c>
      <c r="AU4" s="18">
        <v>112233</v>
      </c>
      <c r="AV4" s="18">
        <v>118284</v>
      </c>
      <c r="AW4" s="18">
        <v>118704</v>
      </c>
      <c r="AX4" s="18">
        <v>113084</v>
      </c>
      <c r="AY4" s="18">
        <v>107061</v>
      </c>
      <c r="AZ4" s="18">
        <v>94275</v>
      </c>
      <c r="BA4" s="18">
        <v>91883</v>
      </c>
      <c r="BB4" s="18">
        <v>89178</v>
      </c>
      <c r="BC4" s="18">
        <v>92403</v>
      </c>
      <c r="BD4" s="18">
        <v>89233</v>
      </c>
      <c r="BE4" s="18">
        <v>86868</v>
      </c>
      <c r="BF4" s="18">
        <v>83597</v>
      </c>
      <c r="BG4" s="18">
        <v>73500</v>
      </c>
      <c r="BH4" s="18">
        <v>73271</v>
      </c>
      <c r="BI4" s="18">
        <v>72191</v>
      </c>
      <c r="BJ4" s="18">
        <v>72064</v>
      </c>
      <c r="BK4" s="18">
        <v>74112</v>
      </c>
      <c r="BL4" s="18">
        <v>75406</v>
      </c>
      <c r="BM4" s="16">
        <f>(-'Cash Flow Statement'!BM26-'Cash Flow Statement'!BM27)+BL4</f>
        <v>75406</v>
      </c>
      <c r="BN4" s="16">
        <f>(-'Cash Flow Statement'!BN26-'Cash Flow Statement'!BN27)+BM4</f>
        <v>75406</v>
      </c>
      <c r="BO4" s="16">
        <f>(-'Cash Flow Statement'!BO26-'Cash Flow Statement'!BO27)+BN4</f>
        <v>75406</v>
      </c>
      <c r="BP4" s="16">
        <f>(-'Cash Flow Statement'!BP26-'Cash Flow Statement'!BP27)+BO4</f>
        <v>75406</v>
      </c>
      <c r="BQ4" s="16">
        <f>(-'Cash Flow Statement'!BQ26-'Cash Flow Statement'!BQ27)+BP4</f>
        <v>75406</v>
      </c>
      <c r="BR4" s="72">
        <f>(-'Cash Flow Statement'!BR26-'Cash Flow Statement'!BR27)+BQ4</f>
        <v>75406</v>
      </c>
      <c r="BS4" s="72">
        <f>(-'Cash Flow Statement'!BS26-'Cash Flow Statement'!BS27)+BR4</f>
        <v>75406</v>
      </c>
      <c r="BT4" s="72">
        <f>(-'Cash Flow Statement'!BT26-'Cash Flow Statement'!BT27)+BS4</f>
        <v>75406</v>
      </c>
      <c r="BU4" s="72">
        <f>(-'Cash Flow Statement'!BU26-'Cash Flow Statement'!BU27)+BT4</f>
        <v>75406</v>
      </c>
      <c r="BV4" s="72">
        <f>(-'Cash Flow Statement'!BV26-'Cash Flow Statement'!BV27)+BU4</f>
        <v>75406</v>
      </c>
      <c r="BW4" s="72">
        <f>(-'Cash Flow Statement'!BW26-'Cash Flow Statement'!BW27)+BV4</f>
        <v>75406</v>
      </c>
      <c r="BX4" s="72">
        <f>(-'Cash Flow Statement'!BX26-'Cash Flow Statement'!BX27)+BW4</f>
        <v>75406</v>
      </c>
      <c r="BY4" s="72">
        <f>(-'Cash Flow Statement'!BY26-'Cash Flow Statement'!BY27)+BX4</f>
        <v>75406</v>
      </c>
      <c r="BZ4" s="72">
        <f>(-'Cash Flow Statement'!BZ26-'Cash Flow Statement'!BZ27)+BY4</f>
        <v>75406</v>
      </c>
      <c r="CA4" s="72">
        <f>(-'Cash Flow Statement'!CA26-'Cash Flow Statement'!CA27)+BZ4</f>
        <v>75406</v>
      </c>
      <c r="CB4" s="72">
        <f>(-'Cash Flow Statement'!CB26-'Cash Flow Statement'!CB27)+CA4</f>
        <v>75406</v>
      </c>
      <c r="CC4" s="72">
        <f>(-'Cash Flow Statement'!CC26-'Cash Flow Statement'!CC27)+CB4</f>
        <v>75406</v>
      </c>
      <c r="CD4" s="72">
        <f>(-'Cash Flow Statement'!CD26-'Cash Flow Statement'!CD27)+CC4</f>
        <v>75406</v>
      </c>
      <c r="CE4" s="72">
        <f>(-'Cash Flow Statement'!CE26-'Cash Flow Statement'!CE27)+CD4</f>
        <v>75406</v>
      </c>
      <c r="CF4" s="72">
        <f>(-'Cash Flow Statement'!CF26-'Cash Flow Statement'!CF27)+CE4</f>
        <v>75406</v>
      </c>
      <c r="CG4" s="72">
        <f>(-'Cash Flow Statement'!CG26-'Cash Flow Statement'!CG27)+CF4</f>
        <v>75406</v>
      </c>
      <c r="CH4" s="72"/>
      <c r="CI4" s="89">
        <f t="shared" ref="CI4:CI10" si="0">E4</f>
        <v>21345</v>
      </c>
      <c r="CJ4" s="95">
        <f t="shared" ref="CJ4:CJ10" si="1">I4</f>
        <v>34643</v>
      </c>
      <c r="CK4" s="89">
        <f t="shared" ref="CK4:CK10" si="2">M4</f>
        <v>33310</v>
      </c>
      <c r="CL4" s="89">
        <f t="shared" ref="CL4:CL10" si="3">Q4</f>
        <v>39819</v>
      </c>
      <c r="CM4" s="20">
        <f t="shared" ref="CM4:CM10" si="4">U4</f>
        <v>46048</v>
      </c>
      <c r="CN4" s="89">
        <f t="shared" ref="CN4:CN10" si="5">Y4</f>
        <v>56517</v>
      </c>
      <c r="CO4" s="20">
        <f t="shared" ref="CO4:CO10" si="6">AC4</f>
        <v>73415</v>
      </c>
      <c r="CP4" s="89">
        <f t="shared" ref="CP4:CP10" si="7">AG4</f>
        <v>91156</v>
      </c>
      <c r="CQ4" s="89">
        <f t="shared" ref="CQ4:CQ10" si="8">AK4</f>
        <v>92439</v>
      </c>
      <c r="CR4" s="89">
        <f t="shared" ref="CR4:CR10" si="9">AO4</f>
        <v>101177</v>
      </c>
      <c r="CS4" s="89">
        <f>AS4</f>
        <v>110229</v>
      </c>
      <c r="CT4" s="20">
        <f t="shared" ref="CT4:CT10" si="10">AW4</f>
        <v>118704</v>
      </c>
      <c r="CU4" s="89">
        <f t="shared" ref="CU4:CU10" si="11">BA4</f>
        <v>91883</v>
      </c>
      <c r="CV4" s="89">
        <f t="shared" ref="CV4:CV10" si="12">BE4</f>
        <v>86868</v>
      </c>
      <c r="CW4" s="89">
        <f t="shared" ref="CW4:CW10" si="13">BI4</f>
        <v>72191</v>
      </c>
      <c r="CX4" s="89">
        <f t="shared" ref="CX4:CX10" si="14">BM4</f>
        <v>75406</v>
      </c>
      <c r="CY4" s="96">
        <f t="shared" ref="CY4:CY10" si="15">BQ4</f>
        <v>75406</v>
      </c>
      <c r="CZ4" s="96">
        <f t="shared" ref="CZ4:CZ10" si="16">BU4</f>
        <v>75406</v>
      </c>
      <c r="DA4" s="96">
        <f t="shared" ref="DA4:DA10" si="17">BY4</f>
        <v>75406</v>
      </c>
      <c r="DB4" s="96">
        <f t="shared" ref="DB4:DB10" si="18">CC4</f>
        <v>75406</v>
      </c>
      <c r="DC4" s="96">
        <f t="shared" ref="DC4:DC10" si="19">CG4</f>
        <v>75406</v>
      </c>
    </row>
    <row r="5" spans="1:107" x14ac:dyDescent="0.2">
      <c r="A5" s="1" t="s">
        <v>202</v>
      </c>
      <c r="B5" s="17">
        <v>3084</v>
      </c>
      <c r="C5" s="17">
        <v>3308</v>
      </c>
      <c r="D5" s="17">
        <v>3616</v>
      </c>
      <c r="E5" s="17">
        <v>4252</v>
      </c>
      <c r="F5" s="17">
        <v>4216</v>
      </c>
      <c r="G5" s="17">
        <v>4476</v>
      </c>
      <c r="H5" s="17">
        <v>4583</v>
      </c>
      <c r="I5" s="17">
        <v>5427</v>
      </c>
      <c r="J5" s="17">
        <v>5163</v>
      </c>
      <c r="K5" s="17">
        <v>6866</v>
      </c>
      <c r="L5" s="17">
        <v>7259</v>
      </c>
      <c r="M5" s="17">
        <v>7885</v>
      </c>
      <c r="N5" s="17">
        <v>7612</v>
      </c>
      <c r="O5" s="17">
        <v>7321</v>
      </c>
      <c r="P5" s="17">
        <v>7921</v>
      </c>
      <c r="Q5" s="17">
        <v>8882</v>
      </c>
      <c r="R5" s="17">
        <v>7827</v>
      </c>
      <c r="S5" s="17">
        <v>8321</v>
      </c>
      <c r="T5" s="17">
        <v>8237</v>
      </c>
      <c r="U5" s="17">
        <v>9383</v>
      </c>
      <c r="V5" s="17">
        <v>8584</v>
      </c>
      <c r="W5" s="17">
        <v>9394</v>
      </c>
      <c r="X5" s="17">
        <v>9749</v>
      </c>
      <c r="Y5" s="17">
        <v>11556</v>
      </c>
      <c r="Z5" s="17">
        <v>10818</v>
      </c>
      <c r="AA5" s="17">
        <v>11686</v>
      </c>
      <c r="AB5" s="17">
        <v>11979</v>
      </c>
      <c r="AC5" s="17">
        <v>14137</v>
      </c>
      <c r="AD5" s="17">
        <v>12913</v>
      </c>
      <c r="AE5" s="17">
        <v>14003</v>
      </c>
      <c r="AF5" s="17">
        <v>15295</v>
      </c>
      <c r="AG5" s="17">
        <v>18336</v>
      </c>
      <c r="AH5" s="17">
        <v>16777</v>
      </c>
      <c r="AI5" s="17">
        <v>17043</v>
      </c>
      <c r="AJ5" s="17">
        <v>17897</v>
      </c>
      <c r="AK5" s="17">
        <v>20838</v>
      </c>
      <c r="AL5" s="17">
        <v>19149</v>
      </c>
      <c r="AM5" s="17">
        <v>20965</v>
      </c>
      <c r="AN5" s="17">
        <v>20889</v>
      </c>
      <c r="AO5" s="17">
        <v>25326</v>
      </c>
      <c r="AP5" s="17">
        <v>21825</v>
      </c>
      <c r="AQ5" s="17">
        <v>21201</v>
      </c>
      <c r="AR5" s="17">
        <v>24925</v>
      </c>
      <c r="AS5" s="17">
        <v>30930</v>
      </c>
      <c r="AT5" s="17">
        <v>28006</v>
      </c>
      <c r="AU5" s="18">
        <v>31967</v>
      </c>
      <c r="AV5" s="18">
        <v>34047</v>
      </c>
      <c r="AW5" s="18">
        <v>39304</v>
      </c>
      <c r="AX5" s="18">
        <v>34703</v>
      </c>
      <c r="AY5" s="18">
        <v>35707</v>
      </c>
      <c r="AZ5" s="18">
        <v>34697</v>
      </c>
      <c r="BA5" s="18">
        <v>40258</v>
      </c>
      <c r="BB5" s="18">
        <v>36036</v>
      </c>
      <c r="BC5" s="18">
        <v>38804</v>
      </c>
      <c r="BD5" s="18">
        <v>41020</v>
      </c>
      <c r="BE5" s="18">
        <v>47964</v>
      </c>
      <c r="BF5" s="18">
        <v>44552</v>
      </c>
      <c r="BG5" s="18">
        <v>47087</v>
      </c>
      <c r="BH5" s="18">
        <v>49104</v>
      </c>
      <c r="BI5" s="18">
        <v>52340</v>
      </c>
      <c r="BJ5" s="18">
        <v>51000</v>
      </c>
      <c r="BK5" s="18">
        <v>55048</v>
      </c>
      <c r="BL5" s="18">
        <v>57148</v>
      </c>
      <c r="BM5" s="16">
        <f>'Working Capital'!BM11</f>
        <v>55943.402706467161</v>
      </c>
      <c r="BN5" s="16">
        <f>'Working Capital'!BN11</f>
        <v>54425.484360601462</v>
      </c>
      <c r="BO5" s="16">
        <f>'Working Capital'!BO11</f>
        <v>58306.504167844854</v>
      </c>
      <c r="BP5" s="16">
        <f>'Working Capital'!BP11</f>
        <v>61063.655739281639</v>
      </c>
      <c r="BQ5" s="16">
        <f>'Working Capital'!BQ11</f>
        <v>58592.741795844842</v>
      </c>
      <c r="BR5" s="72">
        <f>'Working Capital'!BR11</f>
        <v>57788.966107827226</v>
      </c>
      <c r="BS5" s="72">
        <f>'Working Capital'!BS11</f>
        <v>61718.80574329722</v>
      </c>
      <c r="BT5" s="72">
        <f>'Working Capital'!BT11</f>
        <v>64644.262393161684</v>
      </c>
      <c r="BU5" s="72">
        <f>'Working Capital'!BU11</f>
        <v>61221.255487821218</v>
      </c>
      <c r="BV5" s="72">
        <f>'Working Capital'!BV11</f>
        <v>60618.808438624284</v>
      </c>
      <c r="BW5" s="72">
        <f>'Working Capital'!BW11</f>
        <v>64562.556890151827</v>
      </c>
      <c r="BX5" s="72">
        <f>'Working Capital'!BX11</f>
        <v>67621.096542860148</v>
      </c>
      <c r="BY5" s="72">
        <f>'Working Capital'!BY11</f>
        <v>63100.104643727136</v>
      </c>
      <c r="BZ5" s="72">
        <f>'Working Capital'!BZ11</f>
        <v>62567.020025816128</v>
      </c>
      <c r="CA5" s="72">
        <f>'Working Capital'!CA11</f>
        <v>66477.98197382252</v>
      </c>
      <c r="CB5" s="72">
        <f>'Working Capital'!CB11</f>
        <v>69600.792969514572</v>
      </c>
      <c r="CC5" s="72">
        <f>'Working Capital'!CC11</f>
        <v>63853.546145840104</v>
      </c>
      <c r="CD5" s="72">
        <f>'Working Capital'!CD11</f>
        <v>63447.381548009551</v>
      </c>
      <c r="CE5" s="72">
        <f>'Working Capital'!CE11</f>
        <v>67279.152174373026</v>
      </c>
      <c r="CF5" s="72">
        <f>'Working Capital'!CF11</f>
        <v>70381.555689751578</v>
      </c>
      <c r="CG5" s="72">
        <f>'Working Capital'!CG11</f>
        <v>63294.390516314874</v>
      </c>
      <c r="CH5" s="72"/>
      <c r="CI5" s="89">
        <f t="shared" si="0"/>
        <v>4252</v>
      </c>
      <c r="CJ5" s="95">
        <f t="shared" si="1"/>
        <v>5427</v>
      </c>
      <c r="CK5" s="89">
        <f t="shared" si="2"/>
        <v>7885</v>
      </c>
      <c r="CL5" s="89">
        <f t="shared" si="3"/>
        <v>8882</v>
      </c>
      <c r="CM5" s="20">
        <f t="shared" si="4"/>
        <v>9383</v>
      </c>
      <c r="CN5" s="89">
        <f t="shared" si="5"/>
        <v>11556</v>
      </c>
      <c r="CO5" s="20">
        <f t="shared" si="6"/>
        <v>14137</v>
      </c>
      <c r="CP5" s="89">
        <f t="shared" si="7"/>
        <v>18336</v>
      </c>
      <c r="CQ5" s="89">
        <f t="shared" si="8"/>
        <v>20838</v>
      </c>
      <c r="CR5" s="89">
        <f t="shared" si="9"/>
        <v>25326</v>
      </c>
      <c r="CS5" s="89">
        <f>AS5</f>
        <v>30930</v>
      </c>
      <c r="CT5" s="20">
        <f t="shared" si="10"/>
        <v>39304</v>
      </c>
      <c r="CU5" s="89">
        <f t="shared" si="11"/>
        <v>40258</v>
      </c>
      <c r="CV5" s="89">
        <f t="shared" si="12"/>
        <v>47964</v>
      </c>
      <c r="CW5" s="89">
        <f t="shared" si="13"/>
        <v>52340</v>
      </c>
      <c r="CX5" s="89">
        <f t="shared" si="14"/>
        <v>55943.402706467161</v>
      </c>
      <c r="CY5" s="96">
        <f t="shared" si="15"/>
        <v>58592.741795844842</v>
      </c>
      <c r="CZ5" s="96">
        <f t="shared" si="16"/>
        <v>61221.255487821218</v>
      </c>
      <c r="DA5" s="96">
        <f t="shared" si="17"/>
        <v>63100.104643727136</v>
      </c>
      <c r="DB5" s="96">
        <f t="shared" si="18"/>
        <v>63853.546145840104</v>
      </c>
      <c r="DC5" s="96">
        <f t="shared" si="19"/>
        <v>63294.390516314874</v>
      </c>
    </row>
    <row r="6" spans="1:107" x14ac:dyDescent="0.2">
      <c r="A6" s="1" t="s">
        <v>203</v>
      </c>
      <c r="B6" s="17">
        <v>0</v>
      </c>
      <c r="C6" s="17">
        <v>309</v>
      </c>
      <c r="D6" s="17">
        <v>228</v>
      </c>
      <c r="E6" s="17">
        <v>0</v>
      </c>
      <c r="F6" s="17">
        <v>27</v>
      </c>
      <c r="G6" s="17">
        <v>347</v>
      </c>
      <c r="H6" s="17">
        <v>133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358</v>
      </c>
      <c r="O6" s="17">
        <v>72</v>
      </c>
      <c r="P6" s="17">
        <v>571</v>
      </c>
      <c r="Q6" s="17">
        <v>408</v>
      </c>
      <c r="R6" s="17">
        <v>544</v>
      </c>
      <c r="S6" s="17">
        <v>1118</v>
      </c>
      <c r="T6" s="17">
        <v>957</v>
      </c>
      <c r="U6" s="17">
        <v>591</v>
      </c>
      <c r="V6" s="17">
        <v>901</v>
      </c>
      <c r="W6" s="17">
        <v>0</v>
      </c>
      <c r="X6" s="17">
        <v>287</v>
      </c>
      <c r="Y6" s="17">
        <v>1903</v>
      </c>
      <c r="Z6" s="17">
        <v>1804</v>
      </c>
      <c r="AA6" s="17">
        <v>576</v>
      </c>
      <c r="AB6" s="17">
        <v>416</v>
      </c>
      <c r="AC6" s="17">
        <v>95</v>
      </c>
      <c r="AD6" s="17">
        <v>56</v>
      </c>
      <c r="AE6" s="17">
        <v>874</v>
      </c>
      <c r="AF6" s="17">
        <v>282</v>
      </c>
      <c r="AG6" s="17">
        <v>369</v>
      </c>
      <c r="AH6" s="17">
        <v>37</v>
      </c>
      <c r="AI6" s="17">
        <v>201</v>
      </c>
      <c r="AJ6" s="17">
        <v>170</v>
      </c>
      <c r="AK6" s="17">
        <v>355</v>
      </c>
      <c r="AL6" s="17">
        <v>111</v>
      </c>
      <c r="AM6" s="17">
        <v>352</v>
      </c>
      <c r="AN6" s="17">
        <v>192</v>
      </c>
      <c r="AO6" s="17">
        <v>2166</v>
      </c>
      <c r="AP6" s="17">
        <v>1910</v>
      </c>
      <c r="AQ6" s="17">
        <v>394</v>
      </c>
      <c r="AR6" s="17">
        <v>588</v>
      </c>
      <c r="AS6" s="17">
        <v>454</v>
      </c>
      <c r="AT6" s="17">
        <v>493</v>
      </c>
      <c r="AU6" s="18">
        <v>884</v>
      </c>
      <c r="AV6" s="18">
        <v>753</v>
      </c>
      <c r="AW6" s="18">
        <v>966</v>
      </c>
      <c r="AX6" s="18">
        <v>919</v>
      </c>
      <c r="AY6" s="18">
        <v>1366</v>
      </c>
      <c r="AZ6" s="18">
        <v>1479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76">
        <f t="shared" ref="BM6:CC6" si="20">BL6</f>
        <v>0</v>
      </c>
      <c r="BN6" s="76">
        <f t="shared" si="20"/>
        <v>0</v>
      </c>
      <c r="BO6" s="76">
        <f t="shared" si="20"/>
        <v>0</v>
      </c>
      <c r="BP6" s="76">
        <f t="shared" si="20"/>
        <v>0</v>
      </c>
      <c r="BQ6" s="76">
        <f t="shared" si="20"/>
        <v>0</v>
      </c>
      <c r="BR6" s="76">
        <f t="shared" si="20"/>
        <v>0</v>
      </c>
      <c r="BS6" s="76">
        <f t="shared" si="20"/>
        <v>0</v>
      </c>
      <c r="BT6" s="76">
        <f t="shared" si="20"/>
        <v>0</v>
      </c>
      <c r="BU6" s="76">
        <f t="shared" si="20"/>
        <v>0</v>
      </c>
      <c r="BV6" s="76">
        <f t="shared" si="20"/>
        <v>0</v>
      </c>
      <c r="BW6" s="76">
        <f t="shared" si="20"/>
        <v>0</v>
      </c>
      <c r="BX6" s="76">
        <f t="shared" si="20"/>
        <v>0</v>
      </c>
      <c r="BY6" s="76">
        <f t="shared" si="20"/>
        <v>0</v>
      </c>
      <c r="BZ6" s="76">
        <f t="shared" si="20"/>
        <v>0</v>
      </c>
      <c r="CA6" s="76">
        <f t="shared" si="20"/>
        <v>0</v>
      </c>
      <c r="CB6" s="76">
        <f t="shared" si="20"/>
        <v>0</v>
      </c>
      <c r="CC6" s="76">
        <f t="shared" si="20"/>
        <v>0</v>
      </c>
      <c r="CD6" s="76">
        <f t="shared" ref="CD6" si="21">CC6</f>
        <v>0</v>
      </c>
      <c r="CE6" s="76">
        <f t="shared" ref="CE6" si="22">CD6</f>
        <v>0</v>
      </c>
      <c r="CF6" s="76">
        <f t="shared" ref="CF6" si="23">CE6</f>
        <v>0</v>
      </c>
      <c r="CG6" s="76">
        <f t="shared" ref="CG6" si="24">CF6</f>
        <v>0</v>
      </c>
      <c r="CH6" s="76"/>
      <c r="CI6" s="89">
        <f t="shared" si="0"/>
        <v>0</v>
      </c>
      <c r="CJ6" s="95">
        <f t="shared" si="1"/>
        <v>0</v>
      </c>
      <c r="CK6" s="89">
        <f t="shared" si="2"/>
        <v>0</v>
      </c>
      <c r="CL6" s="89">
        <f t="shared" si="3"/>
        <v>408</v>
      </c>
      <c r="CM6" s="20">
        <f t="shared" si="4"/>
        <v>591</v>
      </c>
      <c r="CN6" s="89">
        <f t="shared" si="5"/>
        <v>1903</v>
      </c>
      <c r="CO6" s="20">
        <f t="shared" si="6"/>
        <v>95</v>
      </c>
      <c r="CP6" s="89">
        <f t="shared" si="7"/>
        <v>369</v>
      </c>
      <c r="CQ6" s="89">
        <f t="shared" si="8"/>
        <v>355</v>
      </c>
      <c r="CR6" s="89">
        <f t="shared" si="9"/>
        <v>2166</v>
      </c>
      <c r="CS6" s="89">
        <f>AS6</f>
        <v>454</v>
      </c>
      <c r="CT6" s="20">
        <f t="shared" si="10"/>
        <v>966</v>
      </c>
      <c r="CU6" s="89">
        <f t="shared" si="11"/>
        <v>0</v>
      </c>
      <c r="CV6" s="89">
        <f t="shared" si="12"/>
        <v>0</v>
      </c>
      <c r="CW6" s="89">
        <f t="shared" si="13"/>
        <v>0</v>
      </c>
      <c r="CX6" s="89">
        <f t="shared" si="14"/>
        <v>0</v>
      </c>
      <c r="CY6" s="96">
        <f t="shared" si="15"/>
        <v>0</v>
      </c>
      <c r="CZ6" s="96">
        <f t="shared" si="16"/>
        <v>0</v>
      </c>
      <c r="DA6" s="96">
        <f t="shared" si="17"/>
        <v>0</v>
      </c>
      <c r="DB6" s="96">
        <f t="shared" si="18"/>
        <v>0</v>
      </c>
      <c r="DC6" s="96">
        <f t="shared" si="19"/>
        <v>0</v>
      </c>
    </row>
    <row r="7" spans="1:107" x14ac:dyDescent="0.2">
      <c r="A7" s="1" t="s">
        <v>204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634</v>
      </c>
      <c r="L7" s="17">
        <v>618</v>
      </c>
      <c r="M7" s="17">
        <v>505</v>
      </c>
      <c r="N7" s="17">
        <v>648</v>
      </c>
      <c r="O7" s="17">
        <v>342</v>
      </c>
      <c r="P7" s="17">
        <v>235</v>
      </c>
      <c r="Q7" s="17">
        <v>426</v>
      </c>
      <c r="R7" s="17">
        <v>337</v>
      </c>
      <c r="S7" s="17">
        <v>293</v>
      </c>
      <c r="T7" s="17">
        <v>279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559</v>
      </c>
      <c r="AC7" s="17">
        <v>268</v>
      </c>
      <c r="AD7" s="17">
        <v>280</v>
      </c>
      <c r="AE7" s="17">
        <v>398</v>
      </c>
      <c r="AF7" s="17">
        <v>765</v>
      </c>
      <c r="AG7" s="17">
        <v>749</v>
      </c>
      <c r="AH7" s="17">
        <v>636</v>
      </c>
      <c r="AI7" s="17">
        <v>698</v>
      </c>
      <c r="AJ7" s="17">
        <v>1212</v>
      </c>
      <c r="AK7" s="17">
        <v>1107</v>
      </c>
      <c r="AL7" s="17">
        <v>1053</v>
      </c>
      <c r="AM7" s="17">
        <v>964</v>
      </c>
      <c r="AN7" s="17">
        <v>1401</v>
      </c>
      <c r="AO7" s="17">
        <v>999</v>
      </c>
      <c r="AP7" s="17">
        <v>889</v>
      </c>
      <c r="AQ7" s="17">
        <v>815</v>
      </c>
      <c r="AR7" s="17">
        <v>835</v>
      </c>
      <c r="AS7" s="17">
        <v>728</v>
      </c>
      <c r="AT7" s="17">
        <v>888</v>
      </c>
      <c r="AU7" s="18">
        <v>907</v>
      </c>
      <c r="AV7" s="18">
        <v>1278</v>
      </c>
      <c r="AW7" s="18">
        <v>1170</v>
      </c>
      <c r="AX7" s="18">
        <v>1369</v>
      </c>
      <c r="AY7" s="18">
        <v>1980</v>
      </c>
      <c r="AZ7" s="18">
        <v>3156</v>
      </c>
      <c r="BA7" s="18">
        <v>2670</v>
      </c>
      <c r="BB7" s="18">
        <v>2315</v>
      </c>
      <c r="BC7" s="18">
        <v>2231</v>
      </c>
      <c r="BD7" s="18">
        <v>2957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72">
        <f>'Working Capital'!BM13</f>
        <v>0</v>
      </c>
      <c r="BN7" s="72">
        <f>'Working Capital'!BN13</f>
        <v>0</v>
      </c>
      <c r="BO7" s="72">
        <f>'Working Capital'!BO13</f>
        <v>0</v>
      </c>
      <c r="BP7" s="72">
        <f>'Working Capital'!BP13</f>
        <v>0</v>
      </c>
      <c r="BQ7" s="72">
        <f>'Working Capital'!BQ13</f>
        <v>0</v>
      </c>
      <c r="BR7" s="72">
        <f>'Working Capital'!BR13</f>
        <v>0</v>
      </c>
      <c r="BS7" s="72">
        <f>'Working Capital'!BS13</f>
        <v>0</v>
      </c>
      <c r="BT7" s="72">
        <f>'Working Capital'!BT13</f>
        <v>0</v>
      </c>
      <c r="BU7" s="72">
        <f>'Working Capital'!BU13</f>
        <v>0</v>
      </c>
      <c r="BV7" s="72">
        <f>'Working Capital'!BV13</f>
        <v>0</v>
      </c>
      <c r="BW7" s="72">
        <f>'Working Capital'!BW13</f>
        <v>0</v>
      </c>
      <c r="BX7" s="72">
        <f>'Working Capital'!BX13</f>
        <v>0</v>
      </c>
      <c r="BY7" s="72">
        <f>'Working Capital'!BY13</f>
        <v>0</v>
      </c>
      <c r="BZ7" s="72">
        <f>'Working Capital'!BZ13</f>
        <v>0</v>
      </c>
      <c r="CA7" s="72">
        <f>'Working Capital'!CA13</f>
        <v>0</v>
      </c>
      <c r="CB7" s="72">
        <f>'Working Capital'!CB13</f>
        <v>0</v>
      </c>
      <c r="CC7" s="72">
        <f>'Working Capital'!CC13</f>
        <v>0</v>
      </c>
      <c r="CD7" s="72">
        <f>'Working Capital'!CD13</f>
        <v>0</v>
      </c>
      <c r="CE7" s="72">
        <f>'Working Capital'!CE13</f>
        <v>0</v>
      </c>
      <c r="CF7" s="72">
        <f>'Working Capital'!CF13</f>
        <v>0</v>
      </c>
      <c r="CG7" s="72">
        <f>'Working Capital'!CG13</f>
        <v>0</v>
      </c>
      <c r="CH7" s="72"/>
      <c r="CI7" s="89">
        <f t="shared" si="0"/>
        <v>0</v>
      </c>
      <c r="CJ7" s="95">
        <f t="shared" si="1"/>
        <v>0</v>
      </c>
      <c r="CK7" s="89">
        <f t="shared" si="2"/>
        <v>505</v>
      </c>
      <c r="CL7" s="89">
        <f t="shared" si="3"/>
        <v>426</v>
      </c>
      <c r="CM7" s="20">
        <f t="shared" si="4"/>
        <v>0</v>
      </c>
      <c r="CN7" s="89">
        <f t="shared" si="5"/>
        <v>0</v>
      </c>
      <c r="CO7" s="20">
        <f t="shared" si="6"/>
        <v>268</v>
      </c>
      <c r="CP7" s="89">
        <f t="shared" si="7"/>
        <v>749</v>
      </c>
      <c r="CQ7" s="89">
        <f t="shared" si="8"/>
        <v>1107</v>
      </c>
      <c r="CR7" s="89">
        <f t="shared" si="9"/>
        <v>999</v>
      </c>
      <c r="CS7" s="89">
        <f>AS7</f>
        <v>728</v>
      </c>
      <c r="CT7" s="20">
        <f t="shared" si="10"/>
        <v>1170</v>
      </c>
      <c r="CU7" s="89">
        <f t="shared" si="11"/>
        <v>2670</v>
      </c>
      <c r="CV7" s="89">
        <f t="shared" si="12"/>
        <v>0</v>
      </c>
      <c r="CW7" s="89">
        <f t="shared" si="13"/>
        <v>0</v>
      </c>
      <c r="CX7" s="89">
        <f t="shared" si="14"/>
        <v>0</v>
      </c>
      <c r="CY7" s="96">
        <f t="shared" si="15"/>
        <v>0</v>
      </c>
      <c r="CZ7" s="96">
        <f t="shared" si="16"/>
        <v>0</v>
      </c>
      <c r="DA7" s="96">
        <f t="shared" si="17"/>
        <v>0</v>
      </c>
      <c r="DB7" s="96">
        <f t="shared" si="18"/>
        <v>0</v>
      </c>
      <c r="DC7" s="96">
        <f t="shared" si="19"/>
        <v>0</v>
      </c>
    </row>
    <row r="8" spans="1:107" x14ac:dyDescent="0.2">
      <c r="A8" s="1" t="s">
        <v>205</v>
      </c>
      <c r="B8" s="17">
        <v>0</v>
      </c>
      <c r="C8" s="17">
        <v>0</v>
      </c>
      <c r="D8" s="17">
        <v>875</v>
      </c>
      <c r="E8" s="17">
        <v>750</v>
      </c>
      <c r="F8" s="17">
        <v>575</v>
      </c>
      <c r="G8" s="17">
        <v>1020</v>
      </c>
      <c r="H8" s="17">
        <v>1145</v>
      </c>
      <c r="I8" s="17">
        <v>745</v>
      </c>
      <c r="J8" s="17">
        <v>550</v>
      </c>
      <c r="K8" s="17">
        <v>475</v>
      </c>
      <c r="L8" s="17">
        <v>550</v>
      </c>
      <c r="M8" s="17">
        <v>700</v>
      </c>
      <c r="N8" s="17">
        <v>700</v>
      </c>
      <c r="O8" s="17">
        <v>770</v>
      </c>
      <c r="P8" s="17">
        <v>100</v>
      </c>
      <c r="Q8" s="17">
        <v>100</v>
      </c>
      <c r="R8" s="17">
        <v>50</v>
      </c>
      <c r="S8" s="17">
        <v>100</v>
      </c>
      <c r="T8" s="17">
        <v>825</v>
      </c>
      <c r="U8" s="17">
        <v>875</v>
      </c>
      <c r="V8" s="17">
        <v>825</v>
      </c>
      <c r="W8" s="17">
        <v>625</v>
      </c>
      <c r="X8" s="17">
        <v>400</v>
      </c>
      <c r="Y8" s="17">
        <v>450</v>
      </c>
      <c r="Z8" s="17">
        <v>350</v>
      </c>
      <c r="AA8" s="17">
        <v>500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76">
        <f t="shared" ref="BM8:CC9" si="25">BL8</f>
        <v>0</v>
      </c>
      <c r="BN8" s="76">
        <f t="shared" si="25"/>
        <v>0</v>
      </c>
      <c r="BO8" s="76">
        <f t="shared" si="25"/>
        <v>0</v>
      </c>
      <c r="BP8" s="76">
        <f t="shared" si="25"/>
        <v>0</v>
      </c>
      <c r="BQ8" s="76">
        <f t="shared" si="25"/>
        <v>0</v>
      </c>
      <c r="BR8" s="76">
        <f t="shared" si="25"/>
        <v>0</v>
      </c>
      <c r="BS8" s="76">
        <f t="shared" si="25"/>
        <v>0</v>
      </c>
      <c r="BT8" s="76">
        <f t="shared" si="25"/>
        <v>0</v>
      </c>
      <c r="BU8" s="76">
        <f t="shared" si="25"/>
        <v>0</v>
      </c>
      <c r="BV8" s="76">
        <f t="shared" si="25"/>
        <v>0</v>
      </c>
      <c r="BW8" s="76">
        <f t="shared" si="25"/>
        <v>0</v>
      </c>
      <c r="BX8" s="76">
        <f t="shared" si="25"/>
        <v>0</v>
      </c>
      <c r="BY8" s="76">
        <f t="shared" si="25"/>
        <v>0</v>
      </c>
      <c r="BZ8" s="76">
        <f t="shared" si="25"/>
        <v>0</v>
      </c>
      <c r="CA8" s="76">
        <f t="shared" si="25"/>
        <v>0</v>
      </c>
      <c r="CB8" s="76">
        <f t="shared" si="25"/>
        <v>0</v>
      </c>
      <c r="CC8" s="76">
        <f t="shared" si="25"/>
        <v>0</v>
      </c>
      <c r="CD8" s="76">
        <f t="shared" ref="CD8:CD9" si="26">CC8</f>
        <v>0</v>
      </c>
      <c r="CE8" s="76">
        <f t="shared" ref="CE8:CE9" si="27">CD8</f>
        <v>0</v>
      </c>
      <c r="CF8" s="76">
        <f t="shared" ref="CF8:CF9" si="28">CE8</f>
        <v>0</v>
      </c>
      <c r="CG8" s="76">
        <f t="shared" ref="CG8:CG9" si="29">CF8</f>
        <v>0</v>
      </c>
      <c r="CH8" s="76"/>
      <c r="CI8" s="89">
        <f t="shared" si="0"/>
        <v>750</v>
      </c>
      <c r="CJ8" s="95">
        <f t="shared" si="1"/>
        <v>745</v>
      </c>
      <c r="CK8" s="89">
        <f t="shared" si="2"/>
        <v>700</v>
      </c>
      <c r="CL8" s="89">
        <f t="shared" si="3"/>
        <v>100</v>
      </c>
      <c r="CM8" s="20">
        <f t="shared" si="4"/>
        <v>875</v>
      </c>
      <c r="CN8" s="89">
        <f t="shared" si="5"/>
        <v>450</v>
      </c>
      <c r="CO8" s="20">
        <f t="shared" si="6"/>
        <v>0</v>
      </c>
      <c r="CP8" s="89">
        <f t="shared" si="7"/>
        <v>0</v>
      </c>
      <c r="CQ8" s="89">
        <f t="shared" si="8"/>
        <v>0</v>
      </c>
      <c r="CR8" s="89">
        <f t="shared" si="9"/>
        <v>0</v>
      </c>
      <c r="CS8" s="89">
        <f t="shared" ref="CS8:CS10" si="30">AS8</f>
        <v>0</v>
      </c>
      <c r="CT8" s="20">
        <f t="shared" si="10"/>
        <v>0</v>
      </c>
      <c r="CU8" s="89">
        <f t="shared" si="11"/>
        <v>0</v>
      </c>
      <c r="CV8" s="89">
        <f t="shared" si="12"/>
        <v>0</v>
      </c>
      <c r="CW8" s="89">
        <f t="shared" si="13"/>
        <v>0</v>
      </c>
      <c r="CX8" s="89">
        <f t="shared" si="14"/>
        <v>0</v>
      </c>
      <c r="CY8" s="96">
        <f t="shared" si="15"/>
        <v>0</v>
      </c>
      <c r="CZ8" s="96">
        <f t="shared" si="16"/>
        <v>0</v>
      </c>
      <c r="DA8" s="96">
        <f t="shared" si="17"/>
        <v>0</v>
      </c>
      <c r="DB8" s="96">
        <f t="shared" si="18"/>
        <v>0</v>
      </c>
      <c r="DC8" s="96">
        <f t="shared" si="19"/>
        <v>0</v>
      </c>
    </row>
    <row r="9" spans="1:107" x14ac:dyDescent="0.2">
      <c r="A9" s="1" t="s">
        <v>206</v>
      </c>
      <c r="B9" s="17">
        <v>399</v>
      </c>
      <c r="C9" s="17">
        <v>66</v>
      </c>
      <c r="D9" s="17">
        <v>138</v>
      </c>
      <c r="E9" s="17">
        <v>259</v>
      </c>
      <c r="F9" s="17">
        <v>320</v>
      </c>
      <c r="G9" s="17">
        <v>153</v>
      </c>
      <c r="H9" s="17">
        <v>215</v>
      </c>
      <c r="I9" s="17">
        <v>215</v>
      </c>
      <c r="J9" s="17">
        <v>51</v>
      </c>
      <c r="K9" s="17">
        <v>146</v>
      </c>
      <c r="L9" s="17">
        <v>230</v>
      </c>
      <c r="M9" s="17">
        <v>1144</v>
      </c>
      <c r="N9" s="17">
        <v>1017</v>
      </c>
      <c r="O9" s="17">
        <v>1148</v>
      </c>
      <c r="P9" s="17">
        <v>1154</v>
      </c>
      <c r="Q9" s="17">
        <v>1526</v>
      </c>
      <c r="R9" s="17">
        <v>1166</v>
      </c>
      <c r="S9" s="17">
        <v>1158</v>
      </c>
      <c r="T9" s="17">
        <v>1372</v>
      </c>
      <c r="U9" s="17">
        <v>1322</v>
      </c>
      <c r="V9" s="17">
        <v>847</v>
      </c>
      <c r="W9" s="17">
        <v>1316</v>
      </c>
      <c r="X9" s="17">
        <v>2212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76">
        <f t="shared" si="25"/>
        <v>0</v>
      </c>
      <c r="BN9" s="76">
        <f t="shared" si="25"/>
        <v>0</v>
      </c>
      <c r="BO9" s="76">
        <f t="shared" si="25"/>
        <v>0</v>
      </c>
      <c r="BP9" s="76">
        <f t="shared" si="25"/>
        <v>0</v>
      </c>
      <c r="BQ9" s="76">
        <f t="shared" si="25"/>
        <v>0</v>
      </c>
      <c r="BR9" s="76">
        <f t="shared" si="25"/>
        <v>0</v>
      </c>
      <c r="BS9" s="76">
        <f t="shared" si="25"/>
        <v>0</v>
      </c>
      <c r="BT9" s="76">
        <f t="shared" si="25"/>
        <v>0</v>
      </c>
      <c r="BU9" s="76">
        <f t="shared" si="25"/>
        <v>0</v>
      </c>
      <c r="BV9" s="76">
        <f t="shared" si="25"/>
        <v>0</v>
      </c>
      <c r="BW9" s="76">
        <f t="shared" si="25"/>
        <v>0</v>
      </c>
      <c r="BX9" s="76">
        <f t="shared" si="25"/>
        <v>0</v>
      </c>
      <c r="BY9" s="76">
        <f t="shared" si="25"/>
        <v>0</v>
      </c>
      <c r="BZ9" s="76">
        <f t="shared" si="25"/>
        <v>0</v>
      </c>
      <c r="CA9" s="76">
        <f t="shared" si="25"/>
        <v>0</v>
      </c>
      <c r="CB9" s="76">
        <f t="shared" si="25"/>
        <v>0</v>
      </c>
      <c r="CC9" s="76">
        <f t="shared" si="25"/>
        <v>0</v>
      </c>
      <c r="CD9" s="76">
        <f t="shared" si="26"/>
        <v>0</v>
      </c>
      <c r="CE9" s="76">
        <f t="shared" si="27"/>
        <v>0</v>
      </c>
      <c r="CF9" s="76">
        <f t="shared" si="28"/>
        <v>0</v>
      </c>
      <c r="CG9" s="76">
        <f t="shared" si="29"/>
        <v>0</v>
      </c>
      <c r="CH9" s="76"/>
      <c r="CI9" s="89">
        <f t="shared" si="0"/>
        <v>259</v>
      </c>
      <c r="CJ9" s="95">
        <f t="shared" si="1"/>
        <v>215</v>
      </c>
      <c r="CK9" s="89">
        <f t="shared" si="2"/>
        <v>1144</v>
      </c>
      <c r="CL9" s="89">
        <f t="shared" si="3"/>
        <v>1526</v>
      </c>
      <c r="CM9" s="20">
        <f t="shared" si="4"/>
        <v>1322</v>
      </c>
      <c r="CN9" s="89">
        <f t="shared" si="5"/>
        <v>0</v>
      </c>
      <c r="CO9" s="20">
        <f t="shared" si="6"/>
        <v>0</v>
      </c>
      <c r="CP9" s="89">
        <f t="shared" si="7"/>
        <v>0</v>
      </c>
      <c r="CQ9" s="89">
        <f t="shared" si="8"/>
        <v>0</v>
      </c>
      <c r="CR9" s="89">
        <f t="shared" si="9"/>
        <v>0</v>
      </c>
      <c r="CS9" s="89">
        <f t="shared" si="30"/>
        <v>0</v>
      </c>
      <c r="CT9" s="20">
        <f t="shared" si="10"/>
        <v>0</v>
      </c>
      <c r="CU9" s="89">
        <f t="shared" si="11"/>
        <v>0</v>
      </c>
      <c r="CV9" s="89">
        <f t="shared" si="12"/>
        <v>0</v>
      </c>
      <c r="CW9" s="89">
        <f t="shared" si="13"/>
        <v>0</v>
      </c>
      <c r="CX9" s="89">
        <f t="shared" si="14"/>
        <v>0</v>
      </c>
      <c r="CY9" s="96">
        <f t="shared" si="15"/>
        <v>0</v>
      </c>
      <c r="CZ9" s="96">
        <f t="shared" si="16"/>
        <v>0</v>
      </c>
      <c r="DA9" s="96">
        <f t="shared" si="17"/>
        <v>0</v>
      </c>
      <c r="DB9" s="96">
        <f t="shared" si="18"/>
        <v>0</v>
      </c>
      <c r="DC9" s="96">
        <f t="shared" si="19"/>
        <v>0</v>
      </c>
    </row>
    <row r="10" spans="1:107" x14ac:dyDescent="0.2">
      <c r="A10" s="1" t="s">
        <v>207</v>
      </c>
      <c r="B10" s="17">
        <v>1135</v>
      </c>
      <c r="C10" s="17">
        <v>1419</v>
      </c>
      <c r="D10" s="17">
        <v>1210</v>
      </c>
      <c r="E10" s="17">
        <v>1326</v>
      </c>
      <c r="F10" s="17">
        <v>1497</v>
      </c>
      <c r="G10" s="17">
        <v>1328</v>
      </c>
      <c r="H10" s="17">
        <v>1406</v>
      </c>
      <c r="I10" s="17">
        <v>1745</v>
      </c>
      <c r="J10" s="17">
        <v>1779</v>
      </c>
      <c r="K10" s="17">
        <v>2614</v>
      </c>
      <c r="L10" s="17">
        <v>2440</v>
      </c>
      <c r="M10" s="17">
        <v>2132</v>
      </c>
      <c r="N10" s="17">
        <v>2375</v>
      </c>
      <c r="O10" s="17">
        <v>2776</v>
      </c>
      <c r="P10" s="17">
        <v>2354</v>
      </c>
      <c r="Q10" s="17">
        <v>2827</v>
      </c>
      <c r="R10" s="17">
        <v>6011</v>
      </c>
      <c r="S10" s="17">
        <v>5711</v>
      </c>
      <c r="T10" s="17">
        <v>6288</v>
      </c>
      <c r="U10" s="17">
        <v>3412</v>
      </c>
      <c r="V10" s="17">
        <v>3720</v>
      </c>
      <c r="W10" s="17">
        <v>3049</v>
      </c>
      <c r="X10" s="17">
        <v>2688</v>
      </c>
      <c r="Y10" s="17">
        <v>3139</v>
      </c>
      <c r="Z10" s="17">
        <v>2719</v>
      </c>
      <c r="AA10" s="17">
        <v>3016</v>
      </c>
      <c r="AB10" s="17">
        <v>2536</v>
      </c>
      <c r="AC10" s="17">
        <v>4575</v>
      </c>
      <c r="AD10" s="17">
        <v>3106</v>
      </c>
      <c r="AE10" s="17">
        <v>2398</v>
      </c>
      <c r="AF10" s="17">
        <v>2860</v>
      </c>
      <c r="AG10" s="17">
        <v>2983</v>
      </c>
      <c r="AH10" s="17">
        <v>3426</v>
      </c>
      <c r="AI10" s="17">
        <v>3961</v>
      </c>
      <c r="AJ10" s="17">
        <v>4007</v>
      </c>
      <c r="AK10" s="17">
        <v>4236</v>
      </c>
      <c r="AL10" s="17">
        <v>4406</v>
      </c>
      <c r="AM10" s="17">
        <v>4100</v>
      </c>
      <c r="AN10" s="17">
        <v>4699</v>
      </c>
      <c r="AO10" s="17">
        <v>4412</v>
      </c>
      <c r="AP10" s="17">
        <v>5165</v>
      </c>
      <c r="AQ10" s="17">
        <v>5579</v>
      </c>
      <c r="AR10" s="17">
        <v>5425</v>
      </c>
      <c r="AS10" s="17">
        <v>5490</v>
      </c>
      <c r="AT10" s="17">
        <v>7646</v>
      </c>
      <c r="AU10" s="18">
        <v>6076</v>
      </c>
      <c r="AV10" s="18">
        <v>6029</v>
      </c>
      <c r="AW10" s="18">
        <v>7054</v>
      </c>
      <c r="AX10" s="18">
        <v>6892</v>
      </c>
      <c r="AY10" s="18">
        <v>8321</v>
      </c>
      <c r="AZ10" s="18">
        <v>10518</v>
      </c>
      <c r="BA10" s="18">
        <v>8105</v>
      </c>
      <c r="BB10" s="18">
        <v>8532</v>
      </c>
      <c r="BC10" s="18">
        <v>9421</v>
      </c>
      <c r="BD10" s="18">
        <v>12398</v>
      </c>
      <c r="BE10" s="18">
        <v>12650</v>
      </c>
      <c r="BF10" s="18">
        <v>12829</v>
      </c>
      <c r="BG10" s="18">
        <v>14183</v>
      </c>
      <c r="BH10" s="18">
        <v>15207</v>
      </c>
      <c r="BI10" s="18">
        <v>15714</v>
      </c>
      <c r="BJ10" s="18">
        <v>15724</v>
      </c>
      <c r="BK10" s="18">
        <v>16020</v>
      </c>
      <c r="BL10" s="18">
        <v>18303</v>
      </c>
      <c r="BM10" s="72">
        <f>'Working Capital'!BM15</f>
        <v>19986.469173667163</v>
      </c>
      <c r="BN10" s="72">
        <f>'Working Capital'!BN15</f>
        <v>18631.960919371722</v>
      </c>
      <c r="BO10" s="72">
        <f>'Working Capital'!BO15</f>
        <v>19740.844111042694</v>
      </c>
      <c r="BP10" s="72">
        <f>'Working Capital'!BP15</f>
        <v>20984.5806330415</v>
      </c>
      <c r="BQ10" s="72">
        <f>'Working Capital'!BQ15</f>
        <v>22651.857331056024</v>
      </c>
      <c r="BR10" s="72">
        <f>'Working Capital'!BR15</f>
        <v>21334.717654592536</v>
      </c>
      <c r="BS10" s="72">
        <f>'Working Capital'!BS15</f>
        <v>22515.272204682908</v>
      </c>
      <c r="BT10" s="72">
        <f>'Working Capital'!BT15</f>
        <v>23964.243559754668</v>
      </c>
      <c r="BU10" s="72">
        <f>'Working Capital'!BU15</f>
        <v>25785.361508465416</v>
      </c>
      <c r="BV10" s="72">
        <f>'Working Capital'!BV15</f>
        <v>24283.636935570812</v>
      </c>
      <c r="BW10" s="72">
        <f>'Working Capital'!BW15</f>
        <v>25530.932001633468</v>
      </c>
      <c r="BX10" s="72">
        <f>'Working Capital'!BX15</f>
        <v>27210.28602679184</v>
      </c>
      <c r="BY10" s="72">
        <f>'Working Capital'!BY15</f>
        <v>29187.822221522714</v>
      </c>
      <c r="BZ10" s="72">
        <f>'Working Capital'!BZ15</f>
        <v>27395.029411159208</v>
      </c>
      <c r="CA10" s="72">
        <f>'Working Capital'!CA15</f>
        <v>28698.865172975438</v>
      </c>
      <c r="CB10" s="72">
        <f>'Working Capital'!CB15</f>
        <v>30624.311724689425</v>
      </c>
      <c r="CC10" s="72">
        <f>'Working Capital'!CC15</f>
        <v>32754.408569455452</v>
      </c>
      <c r="CD10" s="72">
        <f>'Working Capital'!CD15</f>
        <v>30628.976108356092</v>
      </c>
      <c r="CE10" s="72">
        <f>'Working Capital'!CE15</f>
        <v>31976.818693485591</v>
      </c>
      <c r="CF10" s="72">
        <f>'Working Capital'!CF15</f>
        <v>34160.329424693889</v>
      </c>
      <c r="CG10" s="72">
        <f>'Working Capital'!CG15</f>
        <v>36437.564069112159</v>
      </c>
      <c r="CH10" s="72"/>
      <c r="CI10" s="89">
        <f t="shared" si="0"/>
        <v>1326</v>
      </c>
      <c r="CJ10" s="95">
        <f t="shared" si="1"/>
        <v>1745</v>
      </c>
      <c r="CK10" s="89">
        <f t="shared" si="2"/>
        <v>2132</v>
      </c>
      <c r="CL10" s="89">
        <f t="shared" si="3"/>
        <v>2827</v>
      </c>
      <c r="CM10" s="20">
        <f t="shared" si="4"/>
        <v>3412</v>
      </c>
      <c r="CN10" s="89">
        <f t="shared" si="5"/>
        <v>3139</v>
      </c>
      <c r="CO10" s="20">
        <f t="shared" si="6"/>
        <v>4575</v>
      </c>
      <c r="CP10" s="89">
        <f t="shared" si="7"/>
        <v>2983</v>
      </c>
      <c r="CQ10" s="89">
        <f t="shared" si="8"/>
        <v>4236</v>
      </c>
      <c r="CR10" s="89">
        <f t="shared" si="9"/>
        <v>4412</v>
      </c>
      <c r="CS10" s="89">
        <f t="shared" si="30"/>
        <v>5490</v>
      </c>
      <c r="CT10" s="20">
        <f t="shared" si="10"/>
        <v>7054</v>
      </c>
      <c r="CU10" s="89">
        <f t="shared" si="11"/>
        <v>8105</v>
      </c>
      <c r="CV10" s="89">
        <f t="shared" si="12"/>
        <v>12650</v>
      </c>
      <c r="CW10" s="89">
        <f t="shared" si="13"/>
        <v>15714</v>
      </c>
      <c r="CX10" s="89">
        <f t="shared" si="14"/>
        <v>19986.469173667163</v>
      </c>
      <c r="CY10" s="96">
        <f t="shared" si="15"/>
        <v>22651.857331056024</v>
      </c>
      <c r="CZ10" s="96">
        <f t="shared" si="16"/>
        <v>25785.361508465416</v>
      </c>
      <c r="DA10" s="96">
        <f t="shared" si="17"/>
        <v>29187.822221522714</v>
      </c>
      <c r="DB10" s="96">
        <f t="shared" si="18"/>
        <v>32754.408569455452</v>
      </c>
      <c r="DC10" s="96">
        <f t="shared" si="19"/>
        <v>36437.564069112159</v>
      </c>
    </row>
    <row r="11" spans="1:107" x14ac:dyDescent="0.2">
      <c r="A11" s="4" t="s">
        <v>208</v>
      </c>
      <c r="B11" s="21">
        <f>SUM(B3:B10)</f>
        <v>31132</v>
      </c>
      <c r="C11" s="21">
        <f t="shared" ref="C11:BN11" si="31">SUM(C3:C10)</f>
        <v>35161</v>
      </c>
      <c r="D11" s="21">
        <f t="shared" si="31"/>
        <v>39447</v>
      </c>
      <c r="E11" s="21">
        <f t="shared" si="31"/>
        <v>41562</v>
      </c>
      <c r="F11" s="21">
        <f t="shared" si="31"/>
        <v>43310</v>
      </c>
      <c r="G11" s="21">
        <f t="shared" si="31"/>
        <v>46442</v>
      </c>
      <c r="H11" s="21">
        <f t="shared" si="31"/>
        <v>50042</v>
      </c>
      <c r="I11" s="21">
        <f t="shared" si="31"/>
        <v>52758</v>
      </c>
      <c r="J11" s="21">
        <f t="shared" si="31"/>
        <v>56859</v>
      </c>
      <c r="K11" s="21">
        <f t="shared" si="31"/>
        <v>53857</v>
      </c>
      <c r="L11" s="21">
        <f t="shared" si="31"/>
        <v>56821</v>
      </c>
      <c r="M11" s="21">
        <f t="shared" si="31"/>
        <v>60454</v>
      </c>
      <c r="N11" s="21">
        <f t="shared" si="31"/>
        <v>62808</v>
      </c>
      <c r="O11" s="21">
        <f t="shared" si="31"/>
        <v>66861</v>
      </c>
      <c r="P11" s="21">
        <f t="shared" si="31"/>
        <v>68903</v>
      </c>
      <c r="Q11" s="21">
        <f t="shared" si="31"/>
        <v>72886</v>
      </c>
      <c r="R11" s="21">
        <f t="shared" si="31"/>
        <v>75314</v>
      </c>
      <c r="S11" s="21">
        <f t="shared" si="31"/>
        <v>77905</v>
      </c>
      <c r="T11" s="21">
        <f t="shared" si="31"/>
        <v>80115</v>
      </c>
      <c r="U11" s="21">
        <f t="shared" si="31"/>
        <v>79978</v>
      </c>
      <c r="V11" s="21">
        <f t="shared" si="31"/>
        <v>80313</v>
      </c>
      <c r="W11" s="21">
        <f t="shared" si="31"/>
        <v>84164</v>
      </c>
      <c r="X11" s="21">
        <f t="shared" si="31"/>
        <v>88103</v>
      </c>
      <c r="Y11" s="21">
        <f t="shared" si="31"/>
        <v>90114</v>
      </c>
      <c r="Z11" s="21">
        <f t="shared" si="31"/>
        <v>90955</v>
      </c>
      <c r="AA11" s="21">
        <f t="shared" si="31"/>
        <v>94238</v>
      </c>
      <c r="AB11" s="21">
        <f t="shared" si="31"/>
        <v>98546</v>
      </c>
      <c r="AC11" s="21">
        <f t="shared" si="31"/>
        <v>105408</v>
      </c>
      <c r="AD11" s="21">
        <f t="shared" si="31"/>
        <v>108794</v>
      </c>
      <c r="AE11" s="21">
        <f t="shared" si="31"/>
        <v>112386</v>
      </c>
      <c r="AF11" s="21">
        <f t="shared" si="31"/>
        <v>119345</v>
      </c>
      <c r="AG11" s="21">
        <f t="shared" si="31"/>
        <v>124308</v>
      </c>
      <c r="AH11" s="21">
        <f t="shared" si="31"/>
        <v>123761</v>
      </c>
      <c r="AI11" s="21">
        <f t="shared" si="31"/>
        <v>124157</v>
      </c>
      <c r="AJ11" s="21">
        <f t="shared" si="31"/>
        <v>129702</v>
      </c>
      <c r="AK11" s="21">
        <f t="shared" si="31"/>
        <v>135676</v>
      </c>
      <c r="AL11" s="21">
        <f t="shared" si="31"/>
        <v>138207</v>
      </c>
      <c r="AM11" s="21">
        <f t="shared" si="31"/>
        <v>147437</v>
      </c>
      <c r="AN11" s="21">
        <f t="shared" si="31"/>
        <v>148358</v>
      </c>
      <c r="AO11" s="21">
        <f t="shared" si="31"/>
        <v>152578</v>
      </c>
      <c r="AP11" s="21">
        <f t="shared" si="31"/>
        <v>147018</v>
      </c>
      <c r="AQ11" s="21">
        <f t="shared" si="31"/>
        <v>149069</v>
      </c>
      <c r="AR11" s="21">
        <f t="shared" si="31"/>
        <v>164369</v>
      </c>
      <c r="AS11" s="21">
        <f t="shared" si="31"/>
        <v>174296</v>
      </c>
      <c r="AT11" s="21">
        <f t="shared" si="31"/>
        <v>172137</v>
      </c>
      <c r="AU11" s="21">
        <f t="shared" si="31"/>
        <v>175697</v>
      </c>
      <c r="AV11" s="21">
        <f t="shared" si="31"/>
        <v>184110</v>
      </c>
      <c r="AW11" s="21">
        <f>SUM(AW3:AW10)</f>
        <v>188143</v>
      </c>
      <c r="AX11" s="21">
        <f t="shared" si="31"/>
        <v>177853</v>
      </c>
      <c r="AY11" s="21">
        <f t="shared" si="31"/>
        <v>172371</v>
      </c>
      <c r="AZ11" s="21">
        <f t="shared" si="31"/>
        <v>166109</v>
      </c>
      <c r="BA11" s="21">
        <f t="shared" si="31"/>
        <v>164795</v>
      </c>
      <c r="BB11" s="21">
        <f t="shared" si="31"/>
        <v>161985</v>
      </c>
      <c r="BC11" s="21">
        <f t="shared" si="31"/>
        <v>168788</v>
      </c>
      <c r="BD11" s="21">
        <f t="shared" si="31"/>
        <v>176310</v>
      </c>
      <c r="BE11" s="21">
        <f>SUM(BE3:BE10)</f>
        <v>171530</v>
      </c>
      <c r="BF11" s="21">
        <f t="shared" si="31"/>
        <v>165471</v>
      </c>
      <c r="BG11" s="21">
        <f t="shared" si="31"/>
        <v>161995</v>
      </c>
      <c r="BH11" s="21">
        <f t="shared" si="31"/>
        <v>157541</v>
      </c>
      <c r="BI11" s="21">
        <f t="shared" si="31"/>
        <v>163711</v>
      </c>
      <c r="BJ11" s="21">
        <f t="shared" si="31"/>
        <v>162052</v>
      </c>
      <c r="BK11" s="21">
        <f t="shared" si="31"/>
        <v>166216</v>
      </c>
      <c r="BL11" s="21">
        <f t="shared" si="31"/>
        <v>173947</v>
      </c>
      <c r="BM11" s="21">
        <f t="shared" si="31"/>
        <v>158935.98119766364</v>
      </c>
      <c r="BN11" s="21">
        <f t="shared" si="31"/>
        <v>174416.62016717947</v>
      </c>
      <c r="BO11" s="21">
        <f t="shared" ref="BO11:BQ11" si="32">SUM(BO3:BO10)</f>
        <v>161897.92013322865</v>
      </c>
      <c r="BP11" s="21">
        <f t="shared" si="32"/>
        <v>175691.887836485</v>
      </c>
      <c r="BQ11" s="21">
        <f t="shared" si="32"/>
        <v>176827.37642777085</v>
      </c>
      <c r="BR11" s="21">
        <f t="shared" ref="BR11:BU11" si="33">SUM(BR3:BR10)</f>
        <v>199373.26406782473</v>
      </c>
      <c r="BS11" s="21">
        <f t="shared" si="33"/>
        <v>198560.71871801792</v>
      </c>
      <c r="BT11" s="21">
        <f t="shared" si="33"/>
        <v>230820.8143281528</v>
      </c>
      <c r="BU11" s="21">
        <f t="shared" si="33"/>
        <v>246664.24556831317</v>
      </c>
      <c r="BV11" s="21">
        <f t="shared" ref="BV11:CC11" si="34">SUM(BV3:BV10)</f>
        <v>294625.04238362034</v>
      </c>
      <c r="BW11" s="21">
        <f t="shared" si="34"/>
        <v>294858.37313959614</v>
      </c>
      <c r="BX11" s="21">
        <f t="shared" si="34"/>
        <v>335507.74468957348</v>
      </c>
      <c r="BY11" s="21">
        <f t="shared" si="34"/>
        <v>355815.1040367902</v>
      </c>
      <c r="BZ11" s="21">
        <f t="shared" si="34"/>
        <v>417517.32664968673</v>
      </c>
      <c r="CA11" s="21">
        <f t="shared" si="34"/>
        <v>419707.2376250177</v>
      </c>
      <c r="CB11" s="21">
        <f t="shared" si="34"/>
        <v>469893.5254916586</v>
      </c>
      <c r="CC11" s="21">
        <f t="shared" si="34"/>
        <v>495854.87326523359</v>
      </c>
      <c r="CD11" s="21">
        <f t="shared" ref="CD11:CG11" si="35">SUM(CD3:CD10)</f>
        <v>573866.2886682247</v>
      </c>
      <c r="CE11" s="21">
        <f t="shared" si="35"/>
        <v>579110.59077534988</v>
      </c>
      <c r="CF11" s="21">
        <f t="shared" si="35"/>
        <v>640125.15096564475</v>
      </c>
      <c r="CG11" s="21">
        <f t="shared" si="35"/>
        <v>673029.7725664234</v>
      </c>
      <c r="CH11" s="21"/>
      <c r="CI11" s="90">
        <f>SUM(CI3:CI10)</f>
        <v>41562</v>
      </c>
      <c r="CJ11" s="97">
        <f t="shared" ref="CJ11:CY11" si="36">SUM(CJ3:CJ10)</f>
        <v>52758</v>
      </c>
      <c r="CK11" s="90">
        <f t="shared" si="36"/>
        <v>60454</v>
      </c>
      <c r="CL11" s="90">
        <f t="shared" si="36"/>
        <v>72886</v>
      </c>
      <c r="CM11" s="21">
        <f t="shared" si="36"/>
        <v>79978</v>
      </c>
      <c r="CN11" s="90">
        <f t="shared" si="36"/>
        <v>90114</v>
      </c>
      <c r="CO11" s="21">
        <f t="shared" si="36"/>
        <v>105408</v>
      </c>
      <c r="CP11" s="90">
        <f t="shared" si="36"/>
        <v>124308</v>
      </c>
      <c r="CQ11" s="90">
        <f t="shared" si="36"/>
        <v>135676</v>
      </c>
      <c r="CR11" s="90">
        <f t="shared" si="36"/>
        <v>152578</v>
      </c>
      <c r="CS11" s="90">
        <f t="shared" si="36"/>
        <v>174296</v>
      </c>
      <c r="CT11" s="21">
        <f t="shared" si="36"/>
        <v>188143</v>
      </c>
      <c r="CU11" s="90">
        <f t="shared" si="36"/>
        <v>164795</v>
      </c>
      <c r="CV11" s="90">
        <f t="shared" si="36"/>
        <v>171530</v>
      </c>
      <c r="CW11" s="90">
        <f t="shared" si="36"/>
        <v>163711</v>
      </c>
      <c r="CX11" s="90">
        <f t="shared" si="36"/>
        <v>158935.98119766364</v>
      </c>
      <c r="CY11" s="98">
        <f t="shared" si="36"/>
        <v>176827.37642777085</v>
      </c>
      <c r="CZ11" s="98">
        <f t="shared" ref="CZ11" si="37">SUM(CZ3:CZ10)</f>
        <v>246664.24556831317</v>
      </c>
      <c r="DA11" s="98">
        <f>SUM(DA3:DA10)</f>
        <v>355815.1040367902</v>
      </c>
      <c r="DB11" s="98">
        <f t="shared" ref="DB11" si="38">SUM(DB3:DB10)</f>
        <v>495854.87326523359</v>
      </c>
      <c r="DC11" s="98">
        <f>SUM(DC3:DC10)</f>
        <v>673029.7725664234</v>
      </c>
    </row>
    <row r="12" spans="1:107" x14ac:dyDescent="0.2">
      <c r="CI12" s="92"/>
      <c r="CJ12" s="57"/>
      <c r="CK12" s="92"/>
      <c r="CL12" s="92"/>
      <c r="CN12" s="92"/>
      <c r="CP12" s="92"/>
      <c r="CQ12" s="92"/>
      <c r="CR12" s="92"/>
      <c r="CS12" s="92"/>
      <c r="CU12" s="92"/>
      <c r="CV12" s="92"/>
      <c r="CW12" s="92"/>
      <c r="CX12" s="92"/>
      <c r="CY12" s="101"/>
      <c r="CZ12" s="101"/>
      <c r="DA12" s="101"/>
      <c r="DB12" s="101"/>
      <c r="DC12" s="101"/>
    </row>
    <row r="13" spans="1:107" x14ac:dyDescent="0.2">
      <c r="A13" s="1" t="s">
        <v>209</v>
      </c>
      <c r="B13" s="17">
        <v>154</v>
      </c>
      <c r="C13" s="17">
        <v>377</v>
      </c>
      <c r="D13" s="17">
        <v>485</v>
      </c>
      <c r="E13" s="17">
        <v>523</v>
      </c>
      <c r="F13" s="17">
        <v>666</v>
      </c>
      <c r="G13" s="17">
        <v>893</v>
      </c>
      <c r="H13" s="17">
        <v>891</v>
      </c>
      <c r="I13" s="17">
        <v>790</v>
      </c>
      <c r="J13" s="17">
        <v>880</v>
      </c>
      <c r="K13" s="17">
        <v>1040</v>
      </c>
      <c r="L13" s="17">
        <v>1063</v>
      </c>
      <c r="M13" s="17">
        <v>1469</v>
      </c>
      <c r="N13" s="17">
        <v>1470</v>
      </c>
      <c r="O13" s="17">
        <v>1564</v>
      </c>
      <c r="P13" s="17">
        <v>1843</v>
      </c>
      <c r="Q13" s="17">
        <v>1976</v>
      </c>
      <c r="R13" s="17">
        <v>2123</v>
      </c>
      <c r="S13" s="17">
        <v>2415</v>
      </c>
      <c r="T13" s="17">
        <v>2470</v>
      </c>
      <c r="U13" s="17">
        <v>3079</v>
      </c>
      <c r="V13" s="17">
        <v>4090</v>
      </c>
      <c r="W13" s="17">
        <v>4409</v>
      </c>
      <c r="X13" s="17">
        <v>4813</v>
      </c>
      <c r="Y13" s="17">
        <v>5183</v>
      </c>
      <c r="Z13" s="17">
        <v>5577</v>
      </c>
      <c r="AA13" s="17">
        <v>5820</v>
      </c>
      <c r="AB13" s="17">
        <v>5705</v>
      </c>
      <c r="AC13" s="17">
        <v>5878</v>
      </c>
      <c r="AD13" s="17">
        <v>6131</v>
      </c>
      <c r="AE13" s="17">
        <v>6642</v>
      </c>
      <c r="AF13" s="17">
        <v>7269</v>
      </c>
      <c r="AG13" s="17">
        <v>7813</v>
      </c>
      <c r="AH13" s="17">
        <v>10976</v>
      </c>
      <c r="AI13" s="17">
        <v>11487</v>
      </c>
      <c r="AJ13" s="17">
        <v>12673</v>
      </c>
      <c r="AK13" s="17">
        <v>13859</v>
      </c>
      <c r="AL13" s="17">
        <v>14474</v>
      </c>
      <c r="AM13" s="17">
        <v>12112</v>
      </c>
      <c r="AN13" s="17">
        <v>12488</v>
      </c>
      <c r="AO13" s="17">
        <v>13078</v>
      </c>
      <c r="AP13" s="17">
        <v>12367</v>
      </c>
      <c r="AQ13" s="17">
        <v>12961</v>
      </c>
      <c r="AR13" s="18">
        <v>14656</v>
      </c>
      <c r="AS13" s="18">
        <v>20703</v>
      </c>
      <c r="AT13" s="18">
        <v>25294</v>
      </c>
      <c r="AU13" s="18">
        <v>25532</v>
      </c>
      <c r="AV13" s="18">
        <v>26101</v>
      </c>
      <c r="AW13" s="18">
        <v>29549</v>
      </c>
      <c r="AX13" s="18">
        <v>30544</v>
      </c>
      <c r="AY13" s="18">
        <v>30665</v>
      </c>
      <c r="AZ13" s="18">
        <v>30419</v>
      </c>
      <c r="BA13" s="18">
        <v>30492</v>
      </c>
      <c r="BB13" s="18">
        <v>31213</v>
      </c>
      <c r="BC13" s="18">
        <v>31224</v>
      </c>
      <c r="BD13" s="18">
        <v>30907</v>
      </c>
      <c r="BE13" s="18">
        <v>31008</v>
      </c>
      <c r="BF13" s="18">
        <v>33994</v>
      </c>
      <c r="BG13" s="18">
        <v>34172</v>
      </c>
      <c r="BH13" s="18">
        <v>36177</v>
      </c>
      <c r="BI13" s="18">
        <v>37982</v>
      </c>
      <c r="BJ13" s="18">
        <v>51029</v>
      </c>
      <c r="BK13" s="18">
        <v>52574</v>
      </c>
      <c r="BL13" s="18">
        <v>63800</v>
      </c>
      <c r="BM13" s="20">
        <f>BL13-'Cash Flow Statement'!BM28-'Cash Flow Statement'!BM29</f>
        <v>63800</v>
      </c>
      <c r="BN13" s="20">
        <f>BM13-'Cash Flow Statement'!BN28-'Cash Flow Statement'!BN29</f>
        <v>63800</v>
      </c>
      <c r="BO13" s="20">
        <f>BN13-'Cash Flow Statement'!BO28-'Cash Flow Statement'!BO29</f>
        <v>63800</v>
      </c>
      <c r="BP13" s="20">
        <f>BO13-'Cash Flow Statement'!BP28-'Cash Flow Statement'!BP29</f>
        <v>63800</v>
      </c>
      <c r="BQ13" s="20">
        <f>BP13-'Cash Flow Statement'!BQ28-'Cash Flow Statement'!BQ29</f>
        <v>63800</v>
      </c>
      <c r="BR13" s="20">
        <f>BQ13-'Cash Flow Statement'!BR28-'Cash Flow Statement'!BR29</f>
        <v>63800</v>
      </c>
      <c r="BS13" s="20">
        <f>BR13-'Cash Flow Statement'!BS28-'Cash Flow Statement'!BS29</f>
        <v>63800</v>
      </c>
      <c r="BT13" s="20">
        <f>BS13-'Cash Flow Statement'!BT28-'Cash Flow Statement'!BT29</f>
        <v>63800</v>
      </c>
      <c r="BU13" s="20">
        <f>BT13-'Cash Flow Statement'!BU28-'Cash Flow Statement'!BU29</f>
        <v>63800</v>
      </c>
      <c r="BV13" s="20">
        <f>BU13-'Cash Flow Statement'!BV28-'Cash Flow Statement'!BV29</f>
        <v>63800</v>
      </c>
      <c r="BW13" s="20">
        <f>BV13-'Cash Flow Statement'!BW28-'Cash Flow Statement'!BW29</f>
        <v>63800</v>
      </c>
      <c r="BX13" s="20">
        <f>BW13-'Cash Flow Statement'!BX28-'Cash Flow Statement'!BX29</f>
        <v>63800</v>
      </c>
      <c r="BY13" s="20">
        <f>BX13-'Cash Flow Statement'!BY28-'Cash Flow Statement'!BY29</f>
        <v>63800</v>
      </c>
      <c r="BZ13" s="20">
        <f>BY13-'Cash Flow Statement'!BZ28-'Cash Flow Statement'!BZ29</f>
        <v>63800</v>
      </c>
      <c r="CA13" s="20">
        <f>BZ13-'Cash Flow Statement'!CA28-'Cash Flow Statement'!CA29</f>
        <v>63800</v>
      </c>
      <c r="CB13" s="20">
        <f>CA13-'Cash Flow Statement'!CB28-'Cash Flow Statement'!CB29</f>
        <v>63800</v>
      </c>
      <c r="CC13" s="20">
        <f>CB13-'Cash Flow Statement'!CC28-'Cash Flow Statement'!CC29</f>
        <v>63800</v>
      </c>
      <c r="CD13" s="20">
        <f>CC13-'Cash Flow Statement'!CD28-'Cash Flow Statement'!CD29</f>
        <v>63800</v>
      </c>
      <c r="CE13" s="20">
        <f>CD13-'Cash Flow Statement'!CE28-'Cash Flow Statement'!CE29</f>
        <v>63800</v>
      </c>
      <c r="CF13" s="20">
        <f>CE13-'Cash Flow Statement'!CF28-'Cash Flow Statement'!CF29</f>
        <v>63800</v>
      </c>
      <c r="CG13" s="20">
        <f>CF13-'Cash Flow Statement'!CG28-'Cash Flow Statement'!CG29</f>
        <v>63800</v>
      </c>
      <c r="CH13" s="20"/>
      <c r="CI13" s="89">
        <f t="shared" ref="CI13:CI19" si="39">E13</f>
        <v>523</v>
      </c>
      <c r="CJ13" s="95">
        <f t="shared" ref="CJ13:CJ19" si="40">I13</f>
        <v>790</v>
      </c>
      <c r="CK13" s="89">
        <f t="shared" ref="CK13:CK19" si="41">M13</f>
        <v>1469</v>
      </c>
      <c r="CL13" s="89">
        <f t="shared" ref="CL13:CL19" si="42">Q13</f>
        <v>1976</v>
      </c>
      <c r="CM13" s="20">
        <f t="shared" ref="CM13:CM19" si="43">U13</f>
        <v>3079</v>
      </c>
      <c r="CN13" s="89">
        <f t="shared" ref="CN13:CN19" si="44">Y13</f>
        <v>5183</v>
      </c>
      <c r="CO13" s="20">
        <f t="shared" ref="CO13:CO19" si="45">AC13</f>
        <v>5878</v>
      </c>
      <c r="CP13" s="89">
        <f t="shared" ref="CP13:CP19" si="46">AG13</f>
        <v>7813</v>
      </c>
      <c r="CQ13" s="89">
        <f t="shared" ref="CQ13:CQ19" si="47">AK13</f>
        <v>13859</v>
      </c>
      <c r="CR13" s="89">
        <f t="shared" ref="CR13:CR19" si="48">AO13</f>
        <v>13078</v>
      </c>
      <c r="CS13" s="89">
        <f t="shared" ref="CS13:CS19" si="49">AS13</f>
        <v>20703</v>
      </c>
      <c r="CT13" s="20">
        <f t="shared" ref="CT13:CT19" si="50">AW13</f>
        <v>29549</v>
      </c>
      <c r="CU13" s="89">
        <f t="shared" ref="CU13:CU19" si="51">BA13</f>
        <v>30492</v>
      </c>
      <c r="CV13" s="89">
        <f t="shared" ref="CV13:CV19" si="52">BE13</f>
        <v>31008</v>
      </c>
      <c r="CW13" s="89">
        <f t="shared" ref="CW13:CW19" si="53">BI13</f>
        <v>37982</v>
      </c>
      <c r="CX13" s="89">
        <f t="shared" ref="CX13:CX19" si="54">BM13</f>
        <v>63800</v>
      </c>
      <c r="CY13" s="96">
        <f t="shared" ref="CY13:CY19" si="55">BQ13</f>
        <v>63800</v>
      </c>
      <c r="CZ13" s="96">
        <f t="shared" ref="CZ13:CZ19" si="56">BU13</f>
        <v>63800</v>
      </c>
      <c r="DA13" s="96">
        <f t="shared" ref="DA13:DA19" si="57">BY13</f>
        <v>63800</v>
      </c>
      <c r="DB13" s="96">
        <f t="shared" ref="DB13:DB19" si="58">CC13</f>
        <v>63800</v>
      </c>
      <c r="DC13" s="96">
        <f>CG13</f>
        <v>63800</v>
      </c>
    </row>
    <row r="14" spans="1:107" x14ac:dyDescent="0.2">
      <c r="A14" s="1" t="s">
        <v>145</v>
      </c>
      <c r="B14" s="17">
        <v>446</v>
      </c>
      <c r="C14" s="17">
        <v>443</v>
      </c>
      <c r="D14" s="17">
        <v>406</v>
      </c>
      <c r="E14" s="17">
        <v>265</v>
      </c>
      <c r="F14" s="17">
        <v>21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251</v>
      </c>
      <c r="Z14" s="17">
        <v>233</v>
      </c>
      <c r="AA14" s="17">
        <v>253</v>
      </c>
      <c r="AB14" s="17">
        <v>273</v>
      </c>
      <c r="AC14" s="17">
        <v>383</v>
      </c>
      <c r="AD14" s="17">
        <v>365</v>
      </c>
      <c r="AE14" s="17">
        <v>376</v>
      </c>
      <c r="AF14" s="17">
        <v>505</v>
      </c>
      <c r="AG14" s="17">
        <v>680</v>
      </c>
      <c r="AH14" s="17">
        <v>678</v>
      </c>
      <c r="AI14" s="17">
        <v>685</v>
      </c>
      <c r="AJ14" s="17">
        <v>682</v>
      </c>
      <c r="AK14" s="17">
        <v>737</v>
      </c>
      <c r="AL14" s="17">
        <v>750</v>
      </c>
      <c r="AM14" s="17">
        <v>585</v>
      </c>
      <c r="AN14" s="17">
        <v>564</v>
      </c>
      <c r="AO14" s="17">
        <v>721</v>
      </c>
      <c r="AP14" s="17">
        <v>730</v>
      </c>
      <c r="AQ14" s="17">
        <v>895</v>
      </c>
      <c r="AR14" s="17">
        <v>972</v>
      </c>
      <c r="AS14" s="17">
        <v>1084</v>
      </c>
      <c r="AT14" s="17">
        <v>1129</v>
      </c>
      <c r="AU14" s="18">
        <v>1153</v>
      </c>
      <c r="AV14" s="18">
        <v>1195</v>
      </c>
      <c r="AW14" s="18">
        <v>1284</v>
      </c>
      <c r="AX14" s="18">
        <v>1388</v>
      </c>
      <c r="AY14" s="18">
        <v>1490</v>
      </c>
      <c r="AZ14" s="18">
        <v>2991</v>
      </c>
      <c r="BA14" s="18">
        <v>5261</v>
      </c>
      <c r="BB14" s="18">
        <v>6885</v>
      </c>
      <c r="BC14" s="18">
        <v>9357</v>
      </c>
      <c r="BD14" s="18">
        <v>10983</v>
      </c>
      <c r="BE14" s="18">
        <v>12169</v>
      </c>
      <c r="BF14" s="18">
        <v>11687</v>
      </c>
      <c r="BG14" s="18">
        <v>14958</v>
      </c>
      <c r="BH14" s="18">
        <v>15915</v>
      </c>
      <c r="BI14" s="18">
        <v>17180</v>
      </c>
      <c r="BJ14" s="18">
        <v>18386</v>
      </c>
      <c r="BK14" s="18">
        <v>19289</v>
      </c>
      <c r="BL14" s="18">
        <v>10331</v>
      </c>
      <c r="BM14" s="72">
        <f>BM55*'Cash Flow Statement'!BM$51</f>
        <v>34125.034987427352</v>
      </c>
      <c r="BN14" s="72">
        <f>BN55*'Cash Flow Statement'!BN$51</f>
        <v>27790.134645253682</v>
      </c>
      <c r="BO14" s="72">
        <f>BO55*'Cash Flow Statement'!BO$51</f>
        <v>36272.452302573947</v>
      </c>
      <c r="BP14" s="72">
        <f>BP55*'Cash Flow Statement'!BP$51</f>
        <v>38707.745255437665</v>
      </c>
      <c r="BQ14" s="72">
        <f>BQ55*'Cash Flow Statement'!BQ$51</f>
        <v>46139.67112817835</v>
      </c>
      <c r="BR14" s="72">
        <f>BR55*'Cash Flow Statement'!BR$51</f>
        <v>38657.035120197885</v>
      </c>
      <c r="BS14" s="72">
        <f>BS55*'Cash Flow Statement'!BS$51</f>
        <v>50456.231337324047</v>
      </c>
      <c r="BT14" s="72">
        <f>BT55*'Cash Flow Statement'!BT$51</f>
        <v>53843.807770779793</v>
      </c>
      <c r="BU14" s="72">
        <f>BU55*'Cash Flow Statement'!BU$51</f>
        <v>64181.872812228292</v>
      </c>
      <c r="BV14" s="72">
        <f>BV55*'Cash Flow Statement'!BV$51</f>
        <v>50260.139506213156</v>
      </c>
      <c r="BW14" s="72">
        <f>BW55*'Cash Flow Statement'!BW$51</f>
        <v>65600.92407724954</v>
      </c>
      <c r="BX14" s="72">
        <f>BX55*'Cash Flow Statement'!BX$51</f>
        <v>70005.29869118589</v>
      </c>
      <c r="BY14" s="72">
        <f>BY55*'Cash Flow Statement'!BY$51</f>
        <v>83446.386182554968</v>
      </c>
      <c r="BZ14" s="72">
        <f>BZ55*'Cash Flow Statement'!BZ$51</f>
        <v>62208.682354238394</v>
      </c>
      <c r="CA14" s="72">
        <f>CA55*'Cash Flow Statement'!CA$51</f>
        <v>81196.492651231907</v>
      </c>
      <c r="CB14" s="72">
        <f>CB55*'Cash Flow Statement'!CB$51</f>
        <v>86647.936758217867</v>
      </c>
      <c r="CC14" s="72">
        <f>CC55*'Cash Flow Statement'!CC$51</f>
        <v>103284.42743375091</v>
      </c>
      <c r="CD14" s="72">
        <f>CD55*'Cash Flow Statement'!CD$51</f>
        <v>73324.48286058761</v>
      </c>
      <c r="CE14" s="72">
        <f>CE55*'Cash Flow Statement'!CE$51</f>
        <v>95705.142890547751</v>
      </c>
      <c r="CF14" s="72">
        <f>CF55*'Cash Flow Statement'!CF$51</f>
        <v>102130.68197706899</v>
      </c>
      <c r="CG14" s="72">
        <f>CG55*'Cash Flow Statement'!CG$51</f>
        <v>121739.87524774655</v>
      </c>
      <c r="CH14" s="72"/>
      <c r="CI14" s="89">
        <f t="shared" si="39"/>
        <v>265</v>
      </c>
      <c r="CJ14" s="95">
        <f t="shared" si="40"/>
        <v>0</v>
      </c>
      <c r="CK14" s="89">
        <f t="shared" si="41"/>
        <v>0</v>
      </c>
      <c r="CL14" s="89">
        <f t="shared" si="42"/>
        <v>0</v>
      </c>
      <c r="CM14" s="20">
        <f t="shared" si="43"/>
        <v>0</v>
      </c>
      <c r="CN14" s="89">
        <f t="shared" si="44"/>
        <v>251</v>
      </c>
      <c r="CO14" s="20">
        <f t="shared" si="45"/>
        <v>383</v>
      </c>
      <c r="CP14" s="89">
        <f t="shared" si="46"/>
        <v>680</v>
      </c>
      <c r="CQ14" s="89">
        <f t="shared" si="47"/>
        <v>737</v>
      </c>
      <c r="CR14" s="89">
        <f t="shared" si="48"/>
        <v>721</v>
      </c>
      <c r="CS14" s="89">
        <f t="shared" si="49"/>
        <v>1084</v>
      </c>
      <c r="CT14" s="20">
        <f t="shared" si="50"/>
        <v>1284</v>
      </c>
      <c r="CU14" s="89">
        <f t="shared" si="51"/>
        <v>5261</v>
      </c>
      <c r="CV14" s="89">
        <f t="shared" si="52"/>
        <v>12169</v>
      </c>
      <c r="CW14" s="89">
        <f t="shared" si="53"/>
        <v>17180</v>
      </c>
      <c r="CX14" s="89">
        <f t="shared" si="54"/>
        <v>34125.034987427352</v>
      </c>
      <c r="CY14" s="96">
        <f t="shared" si="55"/>
        <v>46139.67112817835</v>
      </c>
      <c r="CZ14" s="96">
        <f t="shared" si="56"/>
        <v>64181.872812228292</v>
      </c>
      <c r="DA14" s="96">
        <f t="shared" si="57"/>
        <v>83446.386182554968</v>
      </c>
      <c r="DB14" s="96">
        <f t="shared" si="58"/>
        <v>103284.42743375091</v>
      </c>
      <c r="DC14" s="96">
        <f t="shared" ref="DC14:DC19" si="59">CG14</f>
        <v>121739.87524774655</v>
      </c>
    </row>
    <row r="15" spans="1:107" x14ac:dyDescent="0.2">
      <c r="A15" s="1" t="s">
        <v>210</v>
      </c>
      <c r="B15" s="17">
        <v>4773</v>
      </c>
      <c r="C15" s="17">
        <v>4920</v>
      </c>
      <c r="D15" s="17">
        <v>5506</v>
      </c>
      <c r="E15" s="17">
        <v>7759</v>
      </c>
      <c r="F15" s="17">
        <v>8249</v>
      </c>
      <c r="G15" s="17">
        <v>9003</v>
      </c>
      <c r="H15" s="17">
        <v>9204</v>
      </c>
      <c r="I15" s="17">
        <v>9603</v>
      </c>
      <c r="J15" s="17">
        <v>9875</v>
      </c>
      <c r="K15" s="17">
        <v>10909</v>
      </c>
      <c r="L15" s="17">
        <v>11401</v>
      </c>
      <c r="M15" s="17">
        <v>11854</v>
      </c>
      <c r="N15" s="17">
        <v>12300</v>
      </c>
      <c r="O15" s="17">
        <v>12912</v>
      </c>
      <c r="P15" s="17">
        <v>14867</v>
      </c>
      <c r="Q15" s="17">
        <v>16524</v>
      </c>
      <c r="R15" s="17">
        <v>17877</v>
      </c>
      <c r="S15" s="17">
        <v>19486</v>
      </c>
      <c r="T15" s="17">
        <v>20981</v>
      </c>
      <c r="U15" s="17">
        <v>23883</v>
      </c>
      <c r="V15" s="17">
        <v>25448</v>
      </c>
      <c r="W15" s="17">
        <v>27008</v>
      </c>
      <c r="X15" s="17">
        <v>28338</v>
      </c>
      <c r="Y15" s="17">
        <v>29016</v>
      </c>
      <c r="Z15" s="17">
        <v>30162</v>
      </c>
      <c r="AA15" s="17">
        <v>31413</v>
      </c>
      <c r="AB15" s="17">
        <v>32753</v>
      </c>
      <c r="AC15" s="17">
        <v>34234</v>
      </c>
      <c r="AD15" s="17">
        <v>35936</v>
      </c>
      <c r="AE15" s="17">
        <v>37676</v>
      </c>
      <c r="AF15" s="17">
        <v>40120</v>
      </c>
      <c r="AG15" s="17">
        <v>42383</v>
      </c>
      <c r="AH15" s="17">
        <v>48845</v>
      </c>
      <c r="AI15" s="17">
        <v>51672</v>
      </c>
      <c r="AJ15" s="17">
        <v>55300</v>
      </c>
      <c r="AK15" s="17">
        <v>59719</v>
      </c>
      <c r="AL15" s="17">
        <v>60528</v>
      </c>
      <c r="AM15" s="17">
        <v>64891</v>
      </c>
      <c r="AN15" s="17">
        <v>69252</v>
      </c>
      <c r="AO15" s="17">
        <v>73646</v>
      </c>
      <c r="AP15" s="17">
        <v>76747</v>
      </c>
      <c r="AQ15" s="17">
        <v>78748</v>
      </c>
      <c r="AR15" s="17">
        <v>81636</v>
      </c>
      <c r="AS15" s="17">
        <v>84749</v>
      </c>
      <c r="AT15" s="17">
        <v>87606</v>
      </c>
      <c r="AU15" s="18">
        <v>91697</v>
      </c>
      <c r="AV15" s="18">
        <v>94631</v>
      </c>
      <c r="AW15" s="18">
        <v>97599</v>
      </c>
      <c r="AX15" s="18">
        <v>104218</v>
      </c>
      <c r="AY15" s="18">
        <v>106223</v>
      </c>
      <c r="AZ15" s="18">
        <v>108363</v>
      </c>
      <c r="BA15" s="18">
        <v>112668</v>
      </c>
      <c r="BB15" s="18">
        <v>117560</v>
      </c>
      <c r="BC15" s="18">
        <v>121208</v>
      </c>
      <c r="BD15" s="18">
        <v>125705</v>
      </c>
      <c r="BE15" s="18">
        <v>134345</v>
      </c>
      <c r="BF15" s="18">
        <v>143182</v>
      </c>
      <c r="BG15" s="18">
        <v>151155</v>
      </c>
      <c r="BH15" s="18">
        <v>161270</v>
      </c>
      <c r="BI15" s="18">
        <v>171036</v>
      </c>
      <c r="BJ15" s="18">
        <v>185062</v>
      </c>
      <c r="BK15" s="18">
        <v>203231</v>
      </c>
      <c r="BL15" s="18">
        <v>223787</v>
      </c>
      <c r="BM15" s="20">
        <f>'Capex &amp; Depreciation'!BM31</f>
        <v>244010.97693959606</v>
      </c>
      <c r="BN15" s="20">
        <f>'Capex &amp; Depreciation'!BN31</f>
        <v>259928.9907156619</v>
      </c>
      <c r="BO15" s="20">
        <f>'Capex &amp; Depreciation'!BO31</f>
        <v>280705.62252455729</v>
      </c>
      <c r="BP15" s="20">
        <f>'Capex &amp; Depreciation'!BP31</f>
        <v>302877.17477076914</v>
      </c>
      <c r="BQ15" s="20">
        <f>'Capex &amp; Depreciation'!BQ31</f>
        <v>329305.68726331042</v>
      </c>
      <c r="BR15" s="20">
        <f>'Capex &amp; Depreciation'!BR31</f>
        <v>345976.70103311742</v>
      </c>
      <c r="BS15" s="20">
        <f>'Capex &amp; Depreciation'!BS31</f>
        <v>367736.16925880144</v>
      </c>
      <c r="BT15" s="20">
        <f>'Capex &amp; Depreciation'!BT31</f>
        <v>390956.54448867799</v>
      </c>
      <c r="BU15" s="20">
        <f>'Capex &amp; Depreciation'!BU31</f>
        <v>418635.25502862857</v>
      </c>
      <c r="BV15" s="20">
        <f>'Capex &amp; Depreciation'!BV31</f>
        <v>435085.10096397187</v>
      </c>
      <c r="BW15" s="20">
        <f>'Capex &amp; Depreciation'!BW31</f>
        <v>456555.8948154992</v>
      </c>
      <c r="BX15" s="20">
        <f>'Capex &amp; Depreciation'!BX31</f>
        <v>479468.21438805707</v>
      </c>
      <c r="BY15" s="20">
        <f>'Capex &amp; Depreciation'!BY31</f>
        <v>506779.72227582365</v>
      </c>
      <c r="BZ15" s="20">
        <f>'Capex &amp; Depreciation'!BZ31</f>
        <v>522610.8375088629</v>
      </c>
      <c r="CA15" s="20">
        <f>'Capex &amp; Depreciation'!CA31</f>
        <v>543274.04693613504</v>
      </c>
      <c r="CB15" s="20">
        <f>'Capex &amp; Depreciation'!CB31</f>
        <v>565324.56174551987</v>
      </c>
      <c r="CC15" s="20">
        <f>'Capex &amp; Depreciation'!CC31</f>
        <v>591608.79749208828</v>
      </c>
      <c r="CD15" s="20">
        <f>'Capex &amp; Depreciation'!CD31</f>
        <v>606587.93174350564</v>
      </c>
      <c r="CE15" s="20">
        <f>'Capex &amp; Depreciation'!CE31</f>
        <v>626139.11203119031</v>
      </c>
      <c r="CF15" s="20">
        <f>'Capex &amp; Depreciation'!CF31</f>
        <v>647002.93727537233</v>
      </c>
      <c r="CG15" s="20">
        <f>'Capex &amp; Depreciation'!CG31</f>
        <v>671872.63787120115</v>
      </c>
      <c r="CH15" s="20"/>
      <c r="CI15" s="89">
        <f t="shared" si="39"/>
        <v>7759</v>
      </c>
      <c r="CJ15" s="95">
        <f t="shared" si="40"/>
        <v>9603</v>
      </c>
      <c r="CK15" s="89">
        <f t="shared" si="41"/>
        <v>11854</v>
      </c>
      <c r="CL15" s="89">
        <f t="shared" si="42"/>
        <v>16524</v>
      </c>
      <c r="CM15" s="20">
        <f t="shared" si="43"/>
        <v>23883</v>
      </c>
      <c r="CN15" s="89">
        <f t="shared" si="44"/>
        <v>29016</v>
      </c>
      <c r="CO15" s="20">
        <f t="shared" si="45"/>
        <v>34234</v>
      </c>
      <c r="CP15" s="89">
        <f t="shared" si="46"/>
        <v>42383</v>
      </c>
      <c r="CQ15" s="89">
        <f t="shared" si="47"/>
        <v>59719</v>
      </c>
      <c r="CR15" s="89">
        <f t="shared" si="48"/>
        <v>73646</v>
      </c>
      <c r="CS15" s="89">
        <f t="shared" si="49"/>
        <v>84749</v>
      </c>
      <c r="CT15" s="20">
        <f t="shared" si="50"/>
        <v>97599</v>
      </c>
      <c r="CU15" s="89">
        <f t="shared" si="51"/>
        <v>112668</v>
      </c>
      <c r="CV15" s="89">
        <f t="shared" si="52"/>
        <v>134345</v>
      </c>
      <c r="CW15" s="89">
        <f t="shared" si="53"/>
        <v>171036</v>
      </c>
      <c r="CX15" s="89">
        <f t="shared" si="54"/>
        <v>244010.97693959606</v>
      </c>
      <c r="CY15" s="96">
        <f t="shared" si="55"/>
        <v>329305.68726331042</v>
      </c>
      <c r="CZ15" s="96">
        <f t="shared" si="56"/>
        <v>418635.25502862857</v>
      </c>
      <c r="DA15" s="96">
        <f t="shared" si="57"/>
        <v>506779.72227582365</v>
      </c>
      <c r="DB15" s="96">
        <f t="shared" si="58"/>
        <v>591608.79749208828</v>
      </c>
      <c r="DC15" s="96">
        <f t="shared" si="59"/>
        <v>671872.63787120115</v>
      </c>
    </row>
    <row r="16" spans="1:107" x14ac:dyDescent="0.2">
      <c r="A16" s="1" t="s">
        <v>211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8837</v>
      </c>
      <c r="AM16" s="17">
        <v>9713</v>
      </c>
      <c r="AN16" s="17">
        <v>10341</v>
      </c>
      <c r="AO16" s="17">
        <v>10941</v>
      </c>
      <c r="AP16" s="17">
        <v>11219</v>
      </c>
      <c r="AQ16" s="17">
        <v>11567</v>
      </c>
      <c r="AR16" s="17">
        <v>11946</v>
      </c>
      <c r="AS16" s="17">
        <v>12211</v>
      </c>
      <c r="AT16" s="17">
        <v>12598</v>
      </c>
      <c r="AU16" s="18">
        <v>12978</v>
      </c>
      <c r="AV16" s="18">
        <v>12918</v>
      </c>
      <c r="AW16" s="18">
        <v>12959</v>
      </c>
      <c r="AX16" s="18">
        <v>12992</v>
      </c>
      <c r="AY16" s="18">
        <v>13398</v>
      </c>
      <c r="AZ16" s="18">
        <v>13677</v>
      </c>
      <c r="BA16" s="18">
        <v>14381</v>
      </c>
      <c r="BB16" s="18">
        <v>14447</v>
      </c>
      <c r="BC16" s="18">
        <v>14469</v>
      </c>
      <c r="BD16" s="18">
        <v>14199</v>
      </c>
      <c r="BE16" s="18">
        <v>14091</v>
      </c>
      <c r="BF16" s="18">
        <v>13768</v>
      </c>
      <c r="BG16" s="18">
        <v>13606</v>
      </c>
      <c r="BH16" s="18">
        <v>13561</v>
      </c>
      <c r="BI16" s="18">
        <v>13588</v>
      </c>
      <c r="BJ16" s="18">
        <v>13722</v>
      </c>
      <c r="BK16" s="18">
        <v>14255</v>
      </c>
      <c r="BL16" s="18">
        <v>14524</v>
      </c>
      <c r="BM16" s="35">
        <f t="shared" ref="BM16:CC16" si="60">BL16</f>
        <v>14524</v>
      </c>
      <c r="BN16" s="35">
        <f t="shared" si="60"/>
        <v>14524</v>
      </c>
      <c r="BO16" s="35">
        <f t="shared" si="60"/>
        <v>14524</v>
      </c>
      <c r="BP16" s="35">
        <f t="shared" si="60"/>
        <v>14524</v>
      </c>
      <c r="BQ16" s="35">
        <f t="shared" si="60"/>
        <v>14524</v>
      </c>
      <c r="BR16" s="35">
        <f t="shared" si="60"/>
        <v>14524</v>
      </c>
      <c r="BS16" s="35">
        <f t="shared" si="60"/>
        <v>14524</v>
      </c>
      <c r="BT16" s="35">
        <f t="shared" si="60"/>
        <v>14524</v>
      </c>
      <c r="BU16" s="35">
        <f t="shared" si="60"/>
        <v>14524</v>
      </c>
      <c r="BV16" s="35">
        <f t="shared" si="60"/>
        <v>14524</v>
      </c>
      <c r="BW16" s="35">
        <f t="shared" si="60"/>
        <v>14524</v>
      </c>
      <c r="BX16" s="35">
        <f t="shared" si="60"/>
        <v>14524</v>
      </c>
      <c r="BY16" s="35">
        <f t="shared" si="60"/>
        <v>14524</v>
      </c>
      <c r="BZ16" s="35">
        <f t="shared" si="60"/>
        <v>14524</v>
      </c>
      <c r="CA16" s="35">
        <f t="shared" si="60"/>
        <v>14524</v>
      </c>
      <c r="CB16" s="35">
        <f t="shared" si="60"/>
        <v>14524</v>
      </c>
      <c r="CC16" s="35">
        <f t="shared" si="60"/>
        <v>14524</v>
      </c>
      <c r="CD16" s="35">
        <f t="shared" ref="CD16" si="61">CC16</f>
        <v>14524</v>
      </c>
      <c r="CE16" s="35">
        <f t="shared" ref="CE16" si="62">CD16</f>
        <v>14524</v>
      </c>
      <c r="CF16" s="35">
        <f t="shared" ref="CF16" si="63">CE16</f>
        <v>14524</v>
      </c>
      <c r="CG16" s="35">
        <f t="shared" ref="CG16" si="64">CF16</f>
        <v>14524</v>
      </c>
      <c r="CH16" s="35"/>
      <c r="CI16" s="89">
        <f t="shared" si="39"/>
        <v>0</v>
      </c>
      <c r="CJ16" s="95">
        <f t="shared" si="40"/>
        <v>0</v>
      </c>
      <c r="CK16" s="89">
        <f t="shared" si="41"/>
        <v>0</v>
      </c>
      <c r="CL16" s="89">
        <f t="shared" si="42"/>
        <v>0</v>
      </c>
      <c r="CM16" s="20">
        <f t="shared" si="43"/>
        <v>0</v>
      </c>
      <c r="CN16" s="89">
        <f t="shared" si="44"/>
        <v>0</v>
      </c>
      <c r="CO16" s="20">
        <f t="shared" si="45"/>
        <v>0</v>
      </c>
      <c r="CP16" s="89">
        <f t="shared" si="46"/>
        <v>0</v>
      </c>
      <c r="CQ16" s="89">
        <f t="shared" si="47"/>
        <v>0</v>
      </c>
      <c r="CR16" s="89">
        <f t="shared" si="48"/>
        <v>10941</v>
      </c>
      <c r="CS16" s="89">
        <f t="shared" si="49"/>
        <v>12211</v>
      </c>
      <c r="CT16" s="20">
        <f t="shared" si="50"/>
        <v>12959</v>
      </c>
      <c r="CU16" s="89">
        <f t="shared" si="51"/>
        <v>14381</v>
      </c>
      <c r="CV16" s="89">
        <f t="shared" si="52"/>
        <v>14091</v>
      </c>
      <c r="CW16" s="89">
        <f t="shared" si="53"/>
        <v>13588</v>
      </c>
      <c r="CX16" s="89">
        <f t="shared" si="54"/>
        <v>14524</v>
      </c>
      <c r="CY16" s="96">
        <f t="shared" si="55"/>
        <v>14524</v>
      </c>
      <c r="CZ16" s="96">
        <f t="shared" si="56"/>
        <v>14524</v>
      </c>
      <c r="DA16" s="96">
        <f t="shared" si="57"/>
        <v>14524</v>
      </c>
      <c r="DB16" s="96">
        <f t="shared" si="58"/>
        <v>14524</v>
      </c>
      <c r="DC16" s="96">
        <f t="shared" si="59"/>
        <v>14524</v>
      </c>
    </row>
    <row r="17" spans="1:107" x14ac:dyDescent="0.2">
      <c r="A17" s="1" t="s">
        <v>212</v>
      </c>
      <c r="B17" s="17">
        <v>790</v>
      </c>
      <c r="C17" s="17">
        <v>904</v>
      </c>
      <c r="D17" s="17">
        <v>993</v>
      </c>
      <c r="E17" s="17">
        <v>1044</v>
      </c>
      <c r="F17" s="17">
        <v>1016</v>
      </c>
      <c r="G17" s="17">
        <v>1381</v>
      </c>
      <c r="H17" s="17">
        <v>1474</v>
      </c>
      <c r="I17" s="17">
        <v>1578</v>
      </c>
      <c r="J17" s="17">
        <v>1541</v>
      </c>
      <c r="K17" s="17">
        <v>7862</v>
      </c>
      <c r="L17" s="17">
        <v>7754</v>
      </c>
      <c r="M17" s="17">
        <v>7473</v>
      </c>
      <c r="N17" s="17">
        <v>7324</v>
      </c>
      <c r="O17" s="17">
        <v>6558</v>
      </c>
      <c r="P17" s="17">
        <v>6290</v>
      </c>
      <c r="Q17" s="17">
        <v>6066</v>
      </c>
      <c r="R17" s="17">
        <v>5317</v>
      </c>
      <c r="S17" s="17">
        <v>5234</v>
      </c>
      <c r="T17" s="17">
        <v>4744</v>
      </c>
      <c r="U17" s="17">
        <v>4607</v>
      </c>
      <c r="V17" s="17">
        <v>4380</v>
      </c>
      <c r="W17" s="17">
        <v>4213</v>
      </c>
      <c r="X17" s="17">
        <v>4023</v>
      </c>
      <c r="Y17" s="17">
        <v>3847</v>
      </c>
      <c r="Z17" s="17">
        <v>3657</v>
      </c>
      <c r="AA17" s="17">
        <v>3452</v>
      </c>
      <c r="AB17" s="17">
        <v>3367</v>
      </c>
      <c r="AC17" s="17">
        <v>3307</v>
      </c>
      <c r="AD17" s="17">
        <v>3137</v>
      </c>
      <c r="AE17" s="17">
        <v>2933</v>
      </c>
      <c r="AF17" s="17">
        <v>2883</v>
      </c>
      <c r="AG17" s="17">
        <v>2692</v>
      </c>
      <c r="AH17" s="17">
        <v>2809</v>
      </c>
      <c r="AI17" s="17">
        <v>2662</v>
      </c>
      <c r="AJ17" s="17">
        <v>2448</v>
      </c>
      <c r="AK17" s="17">
        <v>2220</v>
      </c>
      <c r="AL17" s="17">
        <v>2063</v>
      </c>
      <c r="AM17" s="17">
        <v>1902</v>
      </c>
      <c r="AN17" s="17">
        <v>1747</v>
      </c>
      <c r="AO17" s="17">
        <v>1979</v>
      </c>
      <c r="AP17" s="17">
        <v>1840</v>
      </c>
      <c r="AQ17" s="17">
        <v>1697</v>
      </c>
      <c r="AR17" s="17">
        <v>1520</v>
      </c>
      <c r="AS17" s="17">
        <v>1445</v>
      </c>
      <c r="AT17" s="17">
        <v>1823</v>
      </c>
      <c r="AU17" s="18">
        <v>1626</v>
      </c>
      <c r="AV17" s="18">
        <v>1549</v>
      </c>
      <c r="AW17" s="18">
        <v>1417</v>
      </c>
      <c r="AX17" s="18">
        <v>1313</v>
      </c>
      <c r="AY17" s="18">
        <v>1377</v>
      </c>
      <c r="AZ17" s="18">
        <v>2192</v>
      </c>
      <c r="BA17" s="18">
        <v>2084</v>
      </c>
      <c r="BB17" s="18">
        <v>1968</v>
      </c>
      <c r="BC17" s="18">
        <v>1966</v>
      </c>
      <c r="BD17" s="18">
        <v>1833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20">
        <f>'Capex &amp; Depreciation'!BM39</f>
        <v>0</v>
      </c>
      <c r="BN17" s="20">
        <f>'Capex &amp; Depreciation'!BN39</f>
        <v>0</v>
      </c>
      <c r="BO17" s="20">
        <f>'Capex &amp; Depreciation'!BO39</f>
        <v>0</v>
      </c>
      <c r="BP17" s="20">
        <f>'Capex &amp; Depreciation'!BP39</f>
        <v>0</v>
      </c>
      <c r="BQ17" s="20">
        <f>'Capex &amp; Depreciation'!BQ39</f>
        <v>0</v>
      </c>
      <c r="BR17" s="20">
        <f>'Capex &amp; Depreciation'!BR39</f>
        <v>0</v>
      </c>
      <c r="BS17" s="20">
        <f>'Capex &amp; Depreciation'!BS39</f>
        <v>0</v>
      </c>
      <c r="BT17" s="20">
        <f>'Capex &amp; Depreciation'!BT39</f>
        <v>0</v>
      </c>
      <c r="BU17" s="20">
        <f>'Capex &amp; Depreciation'!BU39</f>
        <v>0</v>
      </c>
      <c r="BV17" s="20">
        <f>'Capex &amp; Depreciation'!BV39</f>
        <v>0</v>
      </c>
      <c r="BW17" s="20">
        <f>'Capex &amp; Depreciation'!BW39</f>
        <v>0</v>
      </c>
      <c r="BX17" s="20">
        <f>'Capex &amp; Depreciation'!BX39</f>
        <v>0</v>
      </c>
      <c r="BY17" s="20">
        <f>'Capex &amp; Depreciation'!BY39</f>
        <v>0</v>
      </c>
      <c r="BZ17" s="20">
        <f>'Capex &amp; Depreciation'!BZ39</f>
        <v>0</v>
      </c>
      <c r="CA17" s="20">
        <f>'Capex &amp; Depreciation'!CA39</f>
        <v>0</v>
      </c>
      <c r="CB17" s="20">
        <f>'Capex &amp; Depreciation'!CB39</f>
        <v>0</v>
      </c>
      <c r="CC17" s="20">
        <f>'Capex &amp; Depreciation'!CC39</f>
        <v>0</v>
      </c>
      <c r="CD17" s="20">
        <f>'Capex &amp; Depreciation'!CD39</f>
        <v>0</v>
      </c>
      <c r="CE17" s="20">
        <f>'Capex &amp; Depreciation'!CE39</f>
        <v>0</v>
      </c>
      <c r="CF17" s="20">
        <f>'Capex &amp; Depreciation'!CF39</f>
        <v>0</v>
      </c>
      <c r="CG17" s="20">
        <f>'Capex &amp; Depreciation'!CG39</f>
        <v>0</v>
      </c>
      <c r="CH17" s="20"/>
      <c r="CI17" s="89">
        <f t="shared" si="39"/>
        <v>1044</v>
      </c>
      <c r="CJ17" s="95">
        <f t="shared" si="40"/>
        <v>1578</v>
      </c>
      <c r="CK17" s="89">
        <f t="shared" si="41"/>
        <v>7473</v>
      </c>
      <c r="CL17" s="89">
        <f t="shared" si="42"/>
        <v>6066</v>
      </c>
      <c r="CM17" s="20">
        <f t="shared" si="43"/>
        <v>4607</v>
      </c>
      <c r="CN17" s="89">
        <f t="shared" si="44"/>
        <v>3847</v>
      </c>
      <c r="CO17" s="20">
        <f t="shared" si="45"/>
        <v>3307</v>
      </c>
      <c r="CP17" s="89">
        <f t="shared" si="46"/>
        <v>2692</v>
      </c>
      <c r="CQ17" s="89">
        <f t="shared" si="47"/>
        <v>2220</v>
      </c>
      <c r="CR17" s="89">
        <f t="shared" si="48"/>
        <v>1979</v>
      </c>
      <c r="CS17" s="89">
        <f t="shared" si="49"/>
        <v>1445</v>
      </c>
      <c r="CT17" s="20">
        <f t="shared" si="50"/>
        <v>1417</v>
      </c>
      <c r="CU17" s="89">
        <f t="shared" si="51"/>
        <v>2084</v>
      </c>
      <c r="CV17" s="89">
        <f t="shared" si="52"/>
        <v>0</v>
      </c>
      <c r="CW17" s="89">
        <f t="shared" si="53"/>
        <v>0</v>
      </c>
      <c r="CX17" s="89">
        <f t="shared" si="54"/>
        <v>0</v>
      </c>
      <c r="CY17" s="96">
        <f t="shared" si="55"/>
        <v>0</v>
      </c>
      <c r="CZ17" s="96">
        <f t="shared" si="56"/>
        <v>0</v>
      </c>
      <c r="DA17" s="96">
        <f t="shared" si="57"/>
        <v>0</v>
      </c>
      <c r="DB17" s="96">
        <f t="shared" si="58"/>
        <v>0</v>
      </c>
      <c r="DC17" s="96">
        <f t="shared" si="59"/>
        <v>0</v>
      </c>
    </row>
    <row r="18" spans="1:107" x14ac:dyDescent="0.2">
      <c r="A18" s="1" t="s">
        <v>213</v>
      </c>
      <c r="B18" s="17">
        <v>5122</v>
      </c>
      <c r="C18" s="17">
        <v>5788</v>
      </c>
      <c r="D18" s="17">
        <v>6099</v>
      </c>
      <c r="E18" s="17">
        <v>6256</v>
      </c>
      <c r="F18" s="17">
        <v>6308</v>
      </c>
      <c r="G18" s="17">
        <v>6677</v>
      </c>
      <c r="H18" s="17">
        <v>6989</v>
      </c>
      <c r="I18" s="17">
        <v>7346</v>
      </c>
      <c r="J18" s="17">
        <v>7325</v>
      </c>
      <c r="K18" s="17">
        <v>10120</v>
      </c>
      <c r="L18" s="17">
        <v>10485</v>
      </c>
      <c r="M18" s="17">
        <v>10537</v>
      </c>
      <c r="N18" s="17">
        <v>10595</v>
      </c>
      <c r="O18" s="17">
        <v>11396</v>
      </c>
      <c r="P18" s="17">
        <v>11426</v>
      </c>
      <c r="Q18" s="17">
        <v>11492</v>
      </c>
      <c r="R18" s="17">
        <v>14177</v>
      </c>
      <c r="S18" s="17">
        <v>14586</v>
      </c>
      <c r="T18" s="17">
        <v>15461</v>
      </c>
      <c r="U18" s="17">
        <v>15599</v>
      </c>
      <c r="V18" s="17">
        <v>15573</v>
      </c>
      <c r="W18" s="17">
        <v>15610</v>
      </c>
      <c r="X18" s="17">
        <v>15675</v>
      </c>
      <c r="Y18" s="17">
        <v>15869</v>
      </c>
      <c r="Z18" s="17">
        <v>15866</v>
      </c>
      <c r="AA18" s="17">
        <v>15841</v>
      </c>
      <c r="AB18" s="17">
        <v>16028</v>
      </c>
      <c r="AC18" s="17">
        <v>16468</v>
      </c>
      <c r="AD18" s="17">
        <v>16547</v>
      </c>
      <c r="AE18" s="17">
        <v>16604</v>
      </c>
      <c r="AF18" s="17">
        <v>16731</v>
      </c>
      <c r="AG18" s="17">
        <v>16747</v>
      </c>
      <c r="AH18" s="17">
        <v>17862</v>
      </c>
      <c r="AI18" s="17">
        <v>17895</v>
      </c>
      <c r="AJ18" s="17">
        <v>17895</v>
      </c>
      <c r="AK18" s="17">
        <v>17888</v>
      </c>
      <c r="AL18" s="17">
        <v>17943</v>
      </c>
      <c r="AM18" s="17">
        <v>18000</v>
      </c>
      <c r="AN18" s="17">
        <v>18069</v>
      </c>
      <c r="AO18" s="17">
        <v>20624</v>
      </c>
      <c r="AP18" s="17">
        <v>20734</v>
      </c>
      <c r="AQ18" s="17">
        <v>20824</v>
      </c>
      <c r="AR18" s="17">
        <v>20870</v>
      </c>
      <c r="AS18" s="17">
        <v>21175</v>
      </c>
      <c r="AT18" s="17">
        <v>22341</v>
      </c>
      <c r="AU18" s="18">
        <v>22406</v>
      </c>
      <c r="AV18" s="18">
        <v>22623</v>
      </c>
      <c r="AW18" s="18">
        <v>22956</v>
      </c>
      <c r="AX18" s="18">
        <v>23010</v>
      </c>
      <c r="AY18" s="18">
        <v>23949</v>
      </c>
      <c r="AZ18" s="18">
        <v>28834</v>
      </c>
      <c r="BA18" s="18">
        <v>28960</v>
      </c>
      <c r="BB18" s="18">
        <v>28994</v>
      </c>
      <c r="BC18" s="18">
        <v>29210</v>
      </c>
      <c r="BD18" s="18">
        <v>29146</v>
      </c>
      <c r="BE18" s="18">
        <v>29198</v>
      </c>
      <c r="BF18" s="18">
        <v>29183</v>
      </c>
      <c r="BG18" s="18">
        <v>29185</v>
      </c>
      <c r="BH18" s="18">
        <v>31935</v>
      </c>
      <c r="BI18" s="18">
        <v>31885</v>
      </c>
      <c r="BJ18" s="18">
        <v>32173</v>
      </c>
      <c r="BK18" s="18">
        <v>32335</v>
      </c>
      <c r="BL18" s="18">
        <v>33269</v>
      </c>
      <c r="BM18" s="76">
        <f t="shared" ref="BM18:CC19" si="65">BL18</f>
        <v>33269</v>
      </c>
      <c r="BN18" s="76">
        <f t="shared" si="65"/>
        <v>33269</v>
      </c>
      <c r="BO18" s="76">
        <f t="shared" si="65"/>
        <v>33269</v>
      </c>
      <c r="BP18" s="76">
        <f t="shared" si="65"/>
        <v>33269</v>
      </c>
      <c r="BQ18" s="76">
        <f t="shared" si="65"/>
        <v>33269</v>
      </c>
      <c r="BR18" s="76">
        <f t="shared" si="65"/>
        <v>33269</v>
      </c>
      <c r="BS18" s="76">
        <f t="shared" si="65"/>
        <v>33269</v>
      </c>
      <c r="BT18" s="76">
        <f t="shared" si="65"/>
        <v>33269</v>
      </c>
      <c r="BU18" s="76">
        <f t="shared" si="65"/>
        <v>33269</v>
      </c>
      <c r="BV18" s="76">
        <f t="shared" si="65"/>
        <v>33269</v>
      </c>
      <c r="BW18" s="76">
        <f t="shared" si="65"/>
        <v>33269</v>
      </c>
      <c r="BX18" s="76">
        <f t="shared" si="65"/>
        <v>33269</v>
      </c>
      <c r="BY18" s="76">
        <f t="shared" si="65"/>
        <v>33269</v>
      </c>
      <c r="BZ18" s="76">
        <f t="shared" si="65"/>
        <v>33269</v>
      </c>
      <c r="CA18" s="76">
        <f t="shared" si="65"/>
        <v>33269</v>
      </c>
      <c r="CB18" s="76">
        <f t="shared" si="65"/>
        <v>33269</v>
      </c>
      <c r="CC18" s="76">
        <f t="shared" si="65"/>
        <v>33269</v>
      </c>
      <c r="CD18" s="76">
        <f t="shared" ref="CD18:CD19" si="66">CC18</f>
        <v>33269</v>
      </c>
      <c r="CE18" s="76">
        <f t="shared" ref="CE18:CE19" si="67">CD18</f>
        <v>33269</v>
      </c>
      <c r="CF18" s="76">
        <f t="shared" ref="CF18:CF19" si="68">CE18</f>
        <v>33269</v>
      </c>
      <c r="CG18" s="76">
        <f t="shared" ref="CG18:CG19" si="69">CF18</f>
        <v>33269</v>
      </c>
      <c r="CH18" s="76"/>
      <c r="CI18" s="89">
        <f t="shared" si="39"/>
        <v>6256</v>
      </c>
      <c r="CJ18" s="95">
        <f t="shared" si="40"/>
        <v>7346</v>
      </c>
      <c r="CK18" s="89">
        <f t="shared" si="41"/>
        <v>10537</v>
      </c>
      <c r="CL18" s="89">
        <f t="shared" si="42"/>
        <v>11492</v>
      </c>
      <c r="CM18" s="20">
        <f t="shared" si="43"/>
        <v>15599</v>
      </c>
      <c r="CN18" s="89">
        <f t="shared" si="44"/>
        <v>15869</v>
      </c>
      <c r="CO18" s="20">
        <f t="shared" si="45"/>
        <v>16468</v>
      </c>
      <c r="CP18" s="89">
        <f t="shared" si="46"/>
        <v>16747</v>
      </c>
      <c r="CQ18" s="89">
        <f t="shared" si="47"/>
        <v>17888</v>
      </c>
      <c r="CR18" s="89">
        <f t="shared" si="48"/>
        <v>20624</v>
      </c>
      <c r="CS18" s="89">
        <f t="shared" si="49"/>
        <v>21175</v>
      </c>
      <c r="CT18" s="20">
        <f t="shared" si="50"/>
        <v>22956</v>
      </c>
      <c r="CU18" s="89">
        <f t="shared" si="51"/>
        <v>28960</v>
      </c>
      <c r="CV18" s="89">
        <f t="shared" si="52"/>
        <v>29198</v>
      </c>
      <c r="CW18" s="89">
        <f t="shared" si="53"/>
        <v>31885</v>
      </c>
      <c r="CX18" s="89">
        <f t="shared" si="54"/>
        <v>33269</v>
      </c>
      <c r="CY18" s="96">
        <f t="shared" si="55"/>
        <v>33269</v>
      </c>
      <c r="CZ18" s="96">
        <f t="shared" si="56"/>
        <v>33269</v>
      </c>
      <c r="DA18" s="96">
        <f t="shared" si="57"/>
        <v>33269</v>
      </c>
      <c r="DB18" s="96">
        <f t="shared" si="58"/>
        <v>33269</v>
      </c>
      <c r="DC18" s="96">
        <f t="shared" si="59"/>
        <v>33269</v>
      </c>
    </row>
    <row r="19" spans="1:107" x14ac:dyDescent="0.2">
      <c r="A19" s="1" t="s">
        <v>147</v>
      </c>
      <c r="B19" s="17">
        <v>454</v>
      </c>
      <c r="C19" s="17">
        <v>452</v>
      </c>
      <c r="D19" s="17">
        <v>406</v>
      </c>
      <c r="E19" s="17">
        <v>442</v>
      </c>
      <c r="F19" s="17">
        <v>390</v>
      </c>
      <c r="G19" s="17">
        <v>465</v>
      </c>
      <c r="H19" s="17">
        <v>488</v>
      </c>
      <c r="I19" s="17">
        <v>499</v>
      </c>
      <c r="J19" s="17">
        <v>664</v>
      </c>
      <c r="K19" s="17">
        <v>2263</v>
      </c>
      <c r="L19" s="17">
        <v>2206</v>
      </c>
      <c r="M19" s="17">
        <v>2011</v>
      </c>
      <c r="N19" s="17">
        <v>2195</v>
      </c>
      <c r="O19" s="17">
        <v>1891</v>
      </c>
      <c r="P19" s="17">
        <v>1784</v>
      </c>
      <c r="Q19" s="17">
        <v>1976</v>
      </c>
      <c r="R19" s="17">
        <v>1718</v>
      </c>
      <c r="S19" s="17">
        <v>1982</v>
      </c>
      <c r="T19" s="17">
        <v>2010</v>
      </c>
      <c r="U19" s="17">
        <v>3280</v>
      </c>
      <c r="V19" s="17">
        <v>3596</v>
      </c>
      <c r="W19" s="17">
        <v>3403</v>
      </c>
      <c r="X19" s="17">
        <v>3329</v>
      </c>
      <c r="Y19" s="17">
        <v>3181</v>
      </c>
      <c r="Z19" s="17">
        <v>3297</v>
      </c>
      <c r="AA19" s="17">
        <v>3275</v>
      </c>
      <c r="AB19" s="17">
        <v>3276</v>
      </c>
      <c r="AC19" s="17">
        <v>1819</v>
      </c>
      <c r="AD19" s="17">
        <v>1846</v>
      </c>
      <c r="AE19" s="17">
        <v>2004</v>
      </c>
      <c r="AF19" s="17">
        <v>2683</v>
      </c>
      <c r="AG19" s="17">
        <v>2672</v>
      </c>
      <c r="AH19" s="17">
        <v>2004</v>
      </c>
      <c r="AI19" s="17">
        <v>3052</v>
      </c>
      <c r="AJ19" s="17">
        <v>2838</v>
      </c>
      <c r="AK19" s="17">
        <v>2693</v>
      </c>
      <c r="AL19" s="17">
        <v>2547</v>
      </c>
      <c r="AM19" s="17">
        <v>2461</v>
      </c>
      <c r="AN19" s="17">
        <v>2225</v>
      </c>
      <c r="AO19" s="17">
        <v>2342</v>
      </c>
      <c r="AP19" s="17">
        <v>2748</v>
      </c>
      <c r="AQ19" s="17">
        <v>2731</v>
      </c>
      <c r="AR19" s="17">
        <v>3274</v>
      </c>
      <c r="AS19" s="17">
        <v>3953</v>
      </c>
      <c r="AT19" s="17">
        <v>4167</v>
      </c>
      <c r="AU19" s="18">
        <v>4298</v>
      </c>
      <c r="AV19" s="18">
        <v>4276</v>
      </c>
      <c r="AW19" s="18">
        <v>5361</v>
      </c>
      <c r="AX19" s="18">
        <v>5778</v>
      </c>
      <c r="AY19" s="18">
        <v>5712</v>
      </c>
      <c r="AZ19" s="18">
        <v>5670</v>
      </c>
      <c r="BA19" s="18">
        <v>6623</v>
      </c>
      <c r="BB19" s="18">
        <v>6439</v>
      </c>
      <c r="BC19" s="18">
        <v>6822</v>
      </c>
      <c r="BD19" s="18">
        <v>7628</v>
      </c>
      <c r="BE19" s="18">
        <v>10051</v>
      </c>
      <c r="BF19" s="18">
        <v>10065</v>
      </c>
      <c r="BG19" s="18">
        <v>9699</v>
      </c>
      <c r="BH19" s="18">
        <v>13867</v>
      </c>
      <c r="BI19" s="18">
        <v>14874</v>
      </c>
      <c r="BJ19" s="18">
        <v>12950</v>
      </c>
      <c r="BK19" s="18">
        <v>14153</v>
      </c>
      <c r="BL19" s="18">
        <v>16811</v>
      </c>
      <c r="BM19" s="76">
        <f t="shared" si="65"/>
        <v>16811</v>
      </c>
      <c r="BN19" s="76">
        <f t="shared" si="65"/>
        <v>16811</v>
      </c>
      <c r="BO19" s="76">
        <f t="shared" si="65"/>
        <v>16811</v>
      </c>
      <c r="BP19" s="76">
        <f t="shared" si="65"/>
        <v>16811</v>
      </c>
      <c r="BQ19" s="76">
        <f t="shared" si="65"/>
        <v>16811</v>
      </c>
      <c r="BR19" s="76">
        <f t="shared" si="65"/>
        <v>16811</v>
      </c>
      <c r="BS19" s="76">
        <f t="shared" si="65"/>
        <v>16811</v>
      </c>
      <c r="BT19" s="76">
        <f t="shared" si="65"/>
        <v>16811</v>
      </c>
      <c r="BU19" s="76">
        <f t="shared" si="65"/>
        <v>16811</v>
      </c>
      <c r="BV19" s="76">
        <f t="shared" si="65"/>
        <v>16811</v>
      </c>
      <c r="BW19" s="76">
        <f t="shared" si="65"/>
        <v>16811</v>
      </c>
      <c r="BX19" s="76">
        <f t="shared" si="65"/>
        <v>16811</v>
      </c>
      <c r="BY19" s="76">
        <f t="shared" si="65"/>
        <v>16811</v>
      </c>
      <c r="BZ19" s="76">
        <f t="shared" si="65"/>
        <v>16811</v>
      </c>
      <c r="CA19" s="76">
        <f t="shared" si="65"/>
        <v>16811</v>
      </c>
      <c r="CB19" s="76">
        <f t="shared" si="65"/>
        <v>16811</v>
      </c>
      <c r="CC19" s="76">
        <f t="shared" si="65"/>
        <v>16811</v>
      </c>
      <c r="CD19" s="76">
        <f t="shared" si="66"/>
        <v>16811</v>
      </c>
      <c r="CE19" s="76">
        <f t="shared" si="67"/>
        <v>16811</v>
      </c>
      <c r="CF19" s="76">
        <f t="shared" si="68"/>
        <v>16811</v>
      </c>
      <c r="CG19" s="76">
        <f t="shared" si="69"/>
        <v>16811</v>
      </c>
      <c r="CH19" s="76"/>
      <c r="CI19" s="89">
        <f t="shared" si="39"/>
        <v>442</v>
      </c>
      <c r="CJ19" s="95">
        <f t="shared" si="40"/>
        <v>499</v>
      </c>
      <c r="CK19" s="89">
        <f t="shared" si="41"/>
        <v>2011</v>
      </c>
      <c r="CL19" s="89">
        <f t="shared" si="42"/>
        <v>1976</v>
      </c>
      <c r="CM19" s="20">
        <f t="shared" si="43"/>
        <v>3280</v>
      </c>
      <c r="CN19" s="89">
        <f t="shared" si="44"/>
        <v>3181</v>
      </c>
      <c r="CO19" s="20">
        <f t="shared" si="45"/>
        <v>1819</v>
      </c>
      <c r="CP19" s="89">
        <f t="shared" si="46"/>
        <v>2672</v>
      </c>
      <c r="CQ19" s="89">
        <f t="shared" si="47"/>
        <v>2693</v>
      </c>
      <c r="CR19" s="89">
        <f t="shared" si="48"/>
        <v>2342</v>
      </c>
      <c r="CS19" s="89">
        <f t="shared" si="49"/>
        <v>3953</v>
      </c>
      <c r="CT19" s="20">
        <f t="shared" si="50"/>
        <v>5361</v>
      </c>
      <c r="CU19" s="89">
        <f t="shared" si="51"/>
        <v>6623</v>
      </c>
      <c r="CV19" s="89">
        <f t="shared" si="52"/>
        <v>10051</v>
      </c>
      <c r="CW19" s="89">
        <f t="shared" si="53"/>
        <v>14874</v>
      </c>
      <c r="CX19" s="89">
        <f t="shared" si="54"/>
        <v>16811</v>
      </c>
      <c r="CY19" s="96">
        <f t="shared" si="55"/>
        <v>16811</v>
      </c>
      <c r="CZ19" s="96">
        <f t="shared" si="56"/>
        <v>16811</v>
      </c>
      <c r="DA19" s="96">
        <f t="shared" si="57"/>
        <v>16811</v>
      </c>
      <c r="DB19" s="96">
        <f t="shared" si="58"/>
        <v>16811</v>
      </c>
      <c r="DC19" s="96">
        <f t="shared" si="59"/>
        <v>16811</v>
      </c>
    </row>
    <row r="20" spans="1:107" ht="14.25" x14ac:dyDescent="0.35">
      <c r="A20" s="5" t="s">
        <v>214</v>
      </c>
      <c r="B20" s="24">
        <f>B11+SUM(B13:B19)</f>
        <v>42871</v>
      </c>
      <c r="C20" s="24">
        <f t="shared" ref="C20:BN20" si="70">C11+SUM(C13:C19)</f>
        <v>48045</v>
      </c>
      <c r="D20" s="24">
        <f t="shared" si="70"/>
        <v>53342</v>
      </c>
      <c r="E20" s="24">
        <f t="shared" si="70"/>
        <v>57851</v>
      </c>
      <c r="F20" s="24">
        <f t="shared" si="70"/>
        <v>59960</v>
      </c>
      <c r="G20" s="24">
        <f t="shared" si="70"/>
        <v>64861</v>
      </c>
      <c r="H20" s="24">
        <f t="shared" si="70"/>
        <v>69088</v>
      </c>
      <c r="I20" s="24">
        <f t="shared" si="70"/>
        <v>72574</v>
      </c>
      <c r="J20" s="24">
        <f t="shared" si="70"/>
        <v>77144</v>
      </c>
      <c r="K20" s="24">
        <f t="shared" si="70"/>
        <v>86051</v>
      </c>
      <c r="L20" s="24">
        <f t="shared" si="70"/>
        <v>89730</v>
      </c>
      <c r="M20" s="24">
        <f t="shared" si="70"/>
        <v>93798</v>
      </c>
      <c r="N20" s="24">
        <f t="shared" si="70"/>
        <v>96692</v>
      </c>
      <c r="O20" s="24">
        <f t="shared" si="70"/>
        <v>101182</v>
      </c>
      <c r="P20" s="24">
        <f t="shared" si="70"/>
        <v>105113</v>
      </c>
      <c r="Q20" s="24">
        <f t="shared" si="70"/>
        <v>110920</v>
      </c>
      <c r="R20" s="24">
        <f t="shared" si="70"/>
        <v>116526</v>
      </c>
      <c r="S20" s="24">
        <f t="shared" si="70"/>
        <v>121608</v>
      </c>
      <c r="T20" s="24">
        <f t="shared" si="70"/>
        <v>125781</v>
      </c>
      <c r="U20" s="24">
        <f t="shared" si="70"/>
        <v>130426</v>
      </c>
      <c r="V20" s="24">
        <f t="shared" si="70"/>
        <v>133400</v>
      </c>
      <c r="W20" s="24">
        <f t="shared" si="70"/>
        <v>138807</v>
      </c>
      <c r="X20" s="24">
        <f t="shared" si="70"/>
        <v>144281</v>
      </c>
      <c r="Y20" s="24">
        <f t="shared" si="70"/>
        <v>147461</v>
      </c>
      <c r="Z20" s="24">
        <f t="shared" si="70"/>
        <v>149747</v>
      </c>
      <c r="AA20" s="24">
        <f t="shared" si="70"/>
        <v>154292</v>
      </c>
      <c r="AB20" s="24">
        <f t="shared" si="70"/>
        <v>159948</v>
      </c>
      <c r="AC20" s="24">
        <f t="shared" si="70"/>
        <v>167497</v>
      </c>
      <c r="AD20" s="24">
        <f t="shared" si="70"/>
        <v>172756</v>
      </c>
      <c r="AE20" s="24">
        <f t="shared" si="70"/>
        <v>178621</v>
      </c>
      <c r="AF20" s="24">
        <f t="shared" si="70"/>
        <v>189536</v>
      </c>
      <c r="AG20" s="24">
        <f t="shared" si="70"/>
        <v>197295</v>
      </c>
      <c r="AH20" s="24">
        <f t="shared" si="70"/>
        <v>206935</v>
      </c>
      <c r="AI20" s="24">
        <f t="shared" si="70"/>
        <v>211610</v>
      </c>
      <c r="AJ20" s="24">
        <f t="shared" si="70"/>
        <v>221538</v>
      </c>
      <c r="AK20" s="24">
        <f t="shared" si="70"/>
        <v>232792</v>
      </c>
      <c r="AL20" s="24">
        <f t="shared" si="70"/>
        <v>245349</v>
      </c>
      <c r="AM20" s="24">
        <f t="shared" si="70"/>
        <v>257101</v>
      </c>
      <c r="AN20" s="24">
        <f t="shared" si="70"/>
        <v>263044</v>
      </c>
      <c r="AO20" s="24">
        <f t="shared" si="70"/>
        <v>275909</v>
      </c>
      <c r="AP20" s="24">
        <f t="shared" si="70"/>
        <v>273403</v>
      </c>
      <c r="AQ20" s="24">
        <f t="shared" si="70"/>
        <v>278492</v>
      </c>
      <c r="AR20" s="24">
        <f t="shared" si="70"/>
        <v>299243</v>
      </c>
      <c r="AS20" s="24">
        <f t="shared" si="70"/>
        <v>319616</v>
      </c>
      <c r="AT20" s="24">
        <f t="shared" si="70"/>
        <v>327095</v>
      </c>
      <c r="AU20" s="24">
        <f t="shared" si="70"/>
        <v>335387</v>
      </c>
      <c r="AV20" s="24">
        <f t="shared" si="70"/>
        <v>347403</v>
      </c>
      <c r="AW20" s="24">
        <f>AW11+SUM(AW13:AW19)</f>
        <v>359268</v>
      </c>
      <c r="AX20" s="24">
        <f t="shared" si="70"/>
        <v>357096</v>
      </c>
      <c r="AY20" s="24">
        <f t="shared" si="70"/>
        <v>355185</v>
      </c>
      <c r="AZ20" s="24">
        <f t="shared" si="70"/>
        <v>358255</v>
      </c>
      <c r="BA20" s="24">
        <f t="shared" si="70"/>
        <v>365264</v>
      </c>
      <c r="BB20" s="24">
        <f t="shared" si="70"/>
        <v>369491</v>
      </c>
      <c r="BC20" s="24">
        <f t="shared" si="70"/>
        <v>383044</v>
      </c>
      <c r="BD20" s="24">
        <f t="shared" si="70"/>
        <v>396711</v>
      </c>
      <c r="BE20" s="24">
        <f>BE11+SUM(BE13:BE19)</f>
        <v>402392</v>
      </c>
      <c r="BF20" s="24">
        <f t="shared" si="70"/>
        <v>407350</v>
      </c>
      <c r="BG20" s="24">
        <f t="shared" si="70"/>
        <v>414770</v>
      </c>
      <c r="BH20" s="24">
        <f t="shared" si="70"/>
        <v>430266</v>
      </c>
      <c r="BI20" s="24">
        <f t="shared" si="70"/>
        <v>450256</v>
      </c>
      <c r="BJ20" s="24">
        <f t="shared" si="70"/>
        <v>475374</v>
      </c>
      <c r="BK20" s="24">
        <f t="shared" si="70"/>
        <v>502053</v>
      </c>
      <c r="BL20" s="24">
        <f t="shared" si="70"/>
        <v>536469</v>
      </c>
      <c r="BM20" s="24">
        <f t="shared" si="70"/>
        <v>565475.99312468711</v>
      </c>
      <c r="BN20" s="24">
        <f t="shared" si="70"/>
        <v>590539.74552809505</v>
      </c>
      <c r="BO20" s="24">
        <f t="shared" ref="BO20:CY20" si="71">BO11+SUM(BO13:BO19)</f>
        <v>607279.99496035988</v>
      </c>
      <c r="BP20" s="24">
        <f t="shared" si="71"/>
        <v>645680.80786269181</v>
      </c>
      <c r="BQ20" s="24">
        <f t="shared" si="71"/>
        <v>680676.73481925961</v>
      </c>
      <c r="BR20" s="24">
        <f t="shared" ref="BR20:BU20" si="72">BR11+SUM(BR13:BR19)</f>
        <v>712411.00022113998</v>
      </c>
      <c r="BS20" s="24">
        <f t="shared" si="72"/>
        <v>745157.11931414343</v>
      </c>
      <c r="BT20" s="24">
        <f t="shared" si="72"/>
        <v>804025.16658761061</v>
      </c>
      <c r="BU20" s="24">
        <f t="shared" si="72"/>
        <v>857885.37340917008</v>
      </c>
      <c r="BV20" s="24">
        <f t="shared" ref="BV20:CC20" si="73">BV11+SUM(BV13:BV19)</f>
        <v>908374.28285380546</v>
      </c>
      <c r="BW20" s="24">
        <f t="shared" si="73"/>
        <v>945419.19203234487</v>
      </c>
      <c r="BX20" s="24">
        <f t="shared" si="73"/>
        <v>1013385.2577688165</v>
      </c>
      <c r="BY20" s="24">
        <f t="shared" si="73"/>
        <v>1074445.2124951687</v>
      </c>
      <c r="BZ20" s="24">
        <f t="shared" si="73"/>
        <v>1130740.846512788</v>
      </c>
      <c r="CA20" s="24">
        <f t="shared" si="73"/>
        <v>1172581.7772123846</v>
      </c>
      <c r="CB20" s="24">
        <f t="shared" si="73"/>
        <v>1250270.0239953962</v>
      </c>
      <c r="CC20" s="24">
        <f t="shared" si="73"/>
        <v>1319152.0981910727</v>
      </c>
      <c r="CD20" s="24">
        <f t="shared" ref="CD20:CG20" si="74">CD11+SUM(CD13:CD19)</f>
        <v>1382182.703272318</v>
      </c>
      <c r="CE20" s="24">
        <f t="shared" si="74"/>
        <v>1429358.8456970879</v>
      </c>
      <c r="CF20" s="24">
        <f t="shared" si="74"/>
        <v>1517662.770218086</v>
      </c>
      <c r="CG20" s="24">
        <f t="shared" si="74"/>
        <v>1595046.2856853711</v>
      </c>
      <c r="CH20" s="24"/>
      <c r="CI20" s="91">
        <f t="shared" si="71"/>
        <v>57851</v>
      </c>
      <c r="CJ20" s="99">
        <f t="shared" si="71"/>
        <v>72574</v>
      </c>
      <c r="CK20" s="91">
        <f t="shared" si="71"/>
        <v>93798</v>
      </c>
      <c r="CL20" s="91">
        <f t="shared" si="71"/>
        <v>110920</v>
      </c>
      <c r="CM20" s="24">
        <f t="shared" si="71"/>
        <v>130426</v>
      </c>
      <c r="CN20" s="91">
        <f t="shared" si="71"/>
        <v>147461</v>
      </c>
      <c r="CO20" s="24">
        <f t="shared" si="71"/>
        <v>167497</v>
      </c>
      <c r="CP20" s="91">
        <f t="shared" si="71"/>
        <v>197295</v>
      </c>
      <c r="CQ20" s="91">
        <f t="shared" si="71"/>
        <v>232792</v>
      </c>
      <c r="CR20" s="91">
        <f t="shared" si="71"/>
        <v>275909</v>
      </c>
      <c r="CS20" s="91">
        <f t="shared" si="71"/>
        <v>319616</v>
      </c>
      <c r="CT20" s="24">
        <f t="shared" si="71"/>
        <v>359268</v>
      </c>
      <c r="CU20" s="91">
        <f t="shared" si="71"/>
        <v>365264</v>
      </c>
      <c r="CV20" s="91">
        <f t="shared" si="71"/>
        <v>402392</v>
      </c>
      <c r="CW20" s="91">
        <f t="shared" si="71"/>
        <v>450256</v>
      </c>
      <c r="CX20" s="91">
        <f t="shared" si="71"/>
        <v>565475.99312468711</v>
      </c>
      <c r="CY20" s="100">
        <f t="shared" si="71"/>
        <v>680676.73481925961</v>
      </c>
      <c r="CZ20" s="100">
        <f t="shared" ref="CZ20" si="75">CZ11+SUM(CZ13:CZ19)</f>
        <v>857885.37340917008</v>
      </c>
      <c r="DA20" s="100">
        <f>DA11+SUM(DA13:DA19)</f>
        <v>1074445.2124951687</v>
      </c>
      <c r="DB20" s="100">
        <f t="shared" ref="DB20" si="76">DB11+SUM(DB13:DB19)</f>
        <v>1319152.0981910727</v>
      </c>
      <c r="DC20" s="100">
        <f>DC11+SUM(DC13:DC19)</f>
        <v>1595046.2856853711</v>
      </c>
    </row>
    <row r="21" spans="1:107" x14ac:dyDescent="0.2">
      <c r="CI21" s="92"/>
      <c r="CJ21" s="57"/>
      <c r="CK21" s="92"/>
      <c r="CL21" s="92"/>
      <c r="CN21" s="92"/>
      <c r="CP21" s="92"/>
      <c r="CQ21" s="92"/>
      <c r="CR21" s="92"/>
      <c r="CS21" s="92"/>
      <c r="CU21" s="92"/>
      <c r="CV21" s="92"/>
      <c r="CW21" s="92"/>
      <c r="CX21" s="92"/>
      <c r="CY21" s="101"/>
      <c r="CZ21" s="101"/>
      <c r="DA21" s="101"/>
      <c r="DB21" s="101"/>
      <c r="DC21" s="101"/>
    </row>
    <row r="22" spans="1:107" x14ac:dyDescent="0.2">
      <c r="A22" s="1" t="s">
        <v>148</v>
      </c>
      <c r="B22" s="17">
        <v>329</v>
      </c>
      <c r="C22" s="17">
        <v>397</v>
      </c>
      <c r="D22" s="17">
        <v>528</v>
      </c>
      <c r="E22" s="17">
        <v>483</v>
      </c>
      <c r="F22" s="17">
        <v>516</v>
      </c>
      <c r="G22" s="17">
        <v>567</v>
      </c>
      <c r="H22" s="17">
        <v>563</v>
      </c>
      <c r="I22" s="17">
        <v>588</v>
      </c>
      <c r="J22" s="17">
        <v>760</v>
      </c>
      <c r="K22" s="17">
        <v>2419</v>
      </c>
      <c r="L22" s="17">
        <v>2233</v>
      </c>
      <c r="M22" s="17">
        <v>2012</v>
      </c>
      <c r="N22" s="17">
        <v>2094</v>
      </c>
      <c r="O22" s="17">
        <v>1758</v>
      </c>
      <c r="P22" s="17">
        <v>2124</v>
      </c>
      <c r="Q22" s="17">
        <v>2453</v>
      </c>
      <c r="R22" s="17">
        <v>1623</v>
      </c>
      <c r="S22" s="17">
        <v>1345</v>
      </c>
      <c r="T22" s="17">
        <v>1368</v>
      </c>
      <c r="U22" s="17">
        <v>1715</v>
      </c>
      <c r="V22" s="17">
        <v>1688</v>
      </c>
      <c r="W22" s="17">
        <v>1315</v>
      </c>
      <c r="X22" s="17">
        <v>1549</v>
      </c>
      <c r="Y22" s="17">
        <v>1931</v>
      </c>
      <c r="Z22" s="17">
        <v>1667</v>
      </c>
      <c r="AA22" s="17">
        <v>1716</v>
      </c>
      <c r="AB22" s="17">
        <v>2175</v>
      </c>
      <c r="AC22" s="17">
        <v>2041</v>
      </c>
      <c r="AD22" s="17">
        <v>2306</v>
      </c>
      <c r="AE22" s="17">
        <v>2488</v>
      </c>
      <c r="AF22" s="17">
        <v>2674</v>
      </c>
      <c r="AG22" s="17">
        <v>3137</v>
      </c>
      <c r="AH22" s="17">
        <v>3526</v>
      </c>
      <c r="AI22" s="17">
        <v>3369</v>
      </c>
      <c r="AJ22" s="17">
        <v>3789</v>
      </c>
      <c r="AK22" s="17">
        <v>4378</v>
      </c>
      <c r="AL22" s="17">
        <v>3710</v>
      </c>
      <c r="AM22" s="17">
        <v>3925</v>
      </c>
      <c r="AN22" s="17">
        <v>4142</v>
      </c>
      <c r="AO22" s="17">
        <v>5561</v>
      </c>
      <c r="AP22" s="17">
        <v>4099</v>
      </c>
      <c r="AQ22" s="17">
        <v>4064</v>
      </c>
      <c r="AR22" s="17">
        <v>4391</v>
      </c>
      <c r="AS22" s="17">
        <v>5589</v>
      </c>
      <c r="AT22" s="17">
        <v>4801</v>
      </c>
      <c r="AU22" s="18">
        <v>4708</v>
      </c>
      <c r="AV22" s="18">
        <v>4616</v>
      </c>
      <c r="AW22" s="18">
        <v>6037</v>
      </c>
      <c r="AX22" s="18">
        <v>3436</v>
      </c>
      <c r="AY22" s="18">
        <v>4409</v>
      </c>
      <c r="AZ22" s="18">
        <v>6303</v>
      </c>
      <c r="BA22" s="18">
        <v>5128</v>
      </c>
      <c r="BB22" s="18">
        <v>4184</v>
      </c>
      <c r="BC22" s="18">
        <v>5313</v>
      </c>
      <c r="BD22" s="18">
        <v>5803</v>
      </c>
      <c r="BE22" s="18">
        <v>7493</v>
      </c>
      <c r="BF22" s="18">
        <v>6198</v>
      </c>
      <c r="BG22" s="18">
        <v>6092</v>
      </c>
      <c r="BH22" s="18">
        <v>7049</v>
      </c>
      <c r="BI22" s="18">
        <v>7987</v>
      </c>
      <c r="BJ22" s="18">
        <v>8497</v>
      </c>
      <c r="BK22" s="18">
        <v>8347</v>
      </c>
      <c r="BL22" s="18">
        <v>10546</v>
      </c>
      <c r="BM22" s="72">
        <f>'Working Capital'!BM18</f>
        <v>11370.831709369291</v>
      </c>
      <c r="BN22" s="72">
        <f>'Working Capital'!BN18</f>
        <v>11834.459049215484</v>
      </c>
      <c r="BO22" s="72">
        <f>'Working Capital'!BO18</f>
        <v>11666.472632506171</v>
      </c>
      <c r="BP22" s="72">
        <f>'Working Capital'!BP18</f>
        <v>14347.217681353537</v>
      </c>
      <c r="BQ22" s="72">
        <f>'Working Capital'!BQ18</f>
        <v>15415.645020678867</v>
      </c>
      <c r="BR22" s="72">
        <f>'Working Capital'!BR18</f>
        <v>15793.040373918962</v>
      </c>
      <c r="BS22" s="72">
        <f>'Working Capital'!BS18</f>
        <v>15649.437678689386</v>
      </c>
      <c r="BT22" s="72">
        <f>'Working Capital'!BT18</f>
        <v>18974.171588131368</v>
      </c>
      <c r="BU22" s="72">
        <f>'Working Capital'!BU18</f>
        <v>20450.611389036356</v>
      </c>
      <c r="BV22" s="72">
        <f>'Working Capital'!BV18</f>
        <v>20499.30037525704</v>
      </c>
      <c r="BW22" s="72">
        <f>'Working Capital'!BW18</f>
        <v>20382.789583219979</v>
      </c>
      <c r="BX22" s="72">
        <f>'Working Capital'!BX18</f>
        <v>24445.726171503815</v>
      </c>
      <c r="BY22" s="72">
        <f>'Working Capital'!BY18</f>
        <v>26403.987795848978</v>
      </c>
      <c r="BZ22" s="72">
        <f>'Working Capital'!BZ18</f>
        <v>25768.391665418101</v>
      </c>
      <c r="CA22" s="72">
        <f>'Working Capital'!CA18</f>
        <v>25680.660261993555</v>
      </c>
      <c r="CB22" s="72">
        <f>'Working Capital'!CB18</f>
        <v>30537.195552646695</v>
      </c>
      <c r="CC22" s="72">
        <f>'Working Capital'!CC18</f>
        <v>33045.403885919339</v>
      </c>
      <c r="CD22" s="72">
        <f>'Working Capital'!CD18</f>
        <v>31726.105554684491</v>
      </c>
      <c r="CE22" s="72">
        <f>'Working Capital'!CE18</f>
        <v>31663.409826680465</v>
      </c>
      <c r="CF22" s="72">
        <f>'Working Capital'!CF18</f>
        <v>37389.816150982995</v>
      </c>
      <c r="CG22" s="72">
        <f>'Working Capital'!CG18</f>
        <v>40515.981436826187</v>
      </c>
      <c r="CH22" s="72"/>
      <c r="CI22" s="89">
        <f t="shared" ref="CI22:CI29" si="77">E22</f>
        <v>483</v>
      </c>
      <c r="CJ22" s="95">
        <f t="shared" ref="CJ22:CJ29" si="78">I22</f>
        <v>588</v>
      </c>
      <c r="CK22" s="89">
        <f t="shared" ref="CK22:CK29" si="79">M22</f>
        <v>2012</v>
      </c>
      <c r="CL22" s="89">
        <f t="shared" ref="CL22:CL29" si="80">Q22</f>
        <v>2453</v>
      </c>
      <c r="CM22" s="20">
        <f t="shared" ref="CM22:CM29" si="81">U22</f>
        <v>1715</v>
      </c>
      <c r="CN22" s="89">
        <f t="shared" ref="CN22:CN29" si="82">Y22</f>
        <v>1931</v>
      </c>
      <c r="CO22" s="20">
        <f t="shared" ref="CO22:CO29" si="83">AC22</f>
        <v>2041</v>
      </c>
      <c r="CP22" s="89">
        <f t="shared" ref="CP22:CP29" si="84">AG22</f>
        <v>3137</v>
      </c>
      <c r="CQ22" s="89">
        <f t="shared" ref="CQ22:CQ29" si="85">AK22</f>
        <v>4378</v>
      </c>
      <c r="CR22" s="89">
        <f t="shared" ref="CR22:CR29" si="86">AO22</f>
        <v>5561</v>
      </c>
      <c r="CS22" s="89">
        <f t="shared" ref="CS22:CS29" si="87">AS22</f>
        <v>5589</v>
      </c>
      <c r="CT22" s="20">
        <f t="shared" ref="CT22:CT29" si="88">AW22</f>
        <v>6037</v>
      </c>
      <c r="CU22" s="89">
        <f t="shared" ref="CU22:CU29" si="89">BA22</f>
        <v>5128</v>
      </c>
      <c r="CV22" s="89">
        <f t="shared" ref="CV22:CV29" si="90">BE22</f>
        <v>7493</v>
      </c>
      <c r="CW22" s="89">
        <f t="shared" ref="CW22:CW29" si="91">BI22</f>
        <v>7987</v>
      </c>
      <c r="CX22" s="89">
        <f t="shared" ref="CX22:CX29" si="92">BM22</f>
        <v>11370.831709369291</v>
      </c>
      <c r="CY22" s="96">
        <f t="shared" ref="CY22:CY29" si="93">BQ22</f>
        <v>15415.645020678867</v>
      </c>
      <c r="CZ22" s="96">
        <f t="shared" ref="CZ22:CZ29" si="94">BU22</f>
        <v>20450.611389036356</v>
      </c>
      <c r="DA22" s="96">
        <f t="shared" ref="DA22:DA29" si="95">BY22</f>
        <v>26403.987795848978</v>
      </c>
      <c r="DB22" s="96">
        <f t="shared" ref="DB22:DB29" si="96">CC22</f>
        <v>33045.403885919339</v>
      </c>
      <c r="DC22" s="96">
        <f>CG22</f>
        <v>40515.981436826187</v>
      </c>
    </row>
    <row r="23" spans="1:107" x14ac:dyDescent="0.2">
      <c r="A23" s="1" t="s">
        <v>215</v>
      </c>
      <c r="B23" s="17">
        <v>578</v>
      </c>
      <c r="C23" s="17">
        <v>748</v>
      </c>
      <c r="D23" s="17">
        <v>1104</v>
      </c>
      <c r="E23" s="17">
        <v>1410</v>
      </c>
      <c r="F23" s="17">
        <v>945</v>
      </c>
      <c r="G23" s="17">
        <v>1180</v>
      </c>
      <c r="H23" s="17">
        <v>1446</v>
      </c>
      <c r="I23" s="17">
        <v>1818</v>
      </c>
      <c r="J23" s="17">
        <v>1017</v>
      </c>
      <c r="K23" s="17">
        <v>1626</v>
      </c>
      <c r="L23" s="17">
        <v>1926</v>
      </c>
      <c r="M23" s="17">
        <v>2239</v>
      </c>
      <c r="N23" s="17">
        <v>1445</v>
      </c>
      <c r="O23" s="17">
        <v>1803</v>
      </c>
      <c r="P23" s="17">
        <v>1999</v>
      </c>
      <c r="Q23" s="17">
        <v>2502</v>
      </c>
      <c r="R23" s="17">
        <v>1531</v>
      </c>
      <c r="S23" s="17">
        <v>2102</v>
      </c>
      <c r="T23" s="17">
        <v>2428</v>
      </c>
      <c r="U23" s="17">
        <v>3069</v>
      </c>
      <c r="V23" s="17">
        <v>1911</v>
      </c>
      <c r="W23" s="17">
        <v>2466</v>
      </c>
      <c r="X23" s="17">
        <v>2988</v>
      </c>
      <c r="Y23" s="17">
        <v>3539</v>
      </c>
      <c r="Z23" s="17">
        <v>2618</v>
      </c>
      <c r="AA23" s="17">
        <v>3409</v>
      </c>
      <c r="AB23" s="17">
        <v>3672</v>
      </c>
      <c r="AC23" s="17">
        <v>3976</v>
      </c>
      <c r="AD23" s="17">
        <v>2673</v>
      </c>
      <c r="AE23" s="17">
        <v>3271</v>
      </c>
      <c r="AF23" s="17">
        <v>4022</v>
      </c>
      <c r="AG23" s="17">
        <v>4581</v>
      </c>
      <c r="AH23" s="17">
        <v>3812</v>
      </c>
      <c r="AI23" s="17">
        <v>4642</v>
      </c>
      <c r="AJ23" s="17">
        <v>5946</v>
      </c>
      <c r="AK23" s="17">
        <v>6839</v>
      </c>
      <c r="AL23" s="17">
        <v>5072</v>
      </c>
      <c r="AM23" s="17">
        <v>6432</v>
      </c>
      <c r="AN23" s="17">
        <v>7399</v>
      </c>
      <c r="AO23" s="17">
        <v>8495</v>
      </c>
      <c r="AP23" s="17">
        <v>5656</v>
      </c>
      <c r="AQ23" s="17">
        <v>7127</v>
      </c>
      <c r="AR23" s="17">
        <v>8747</v>
      </c>
      <c r="AS23" s="17">
        <v>11086</v>
      </c>
      <c r="AT23" s="17">
        <v>8375</v>
      </c>
      <c r="AU23" s="18">
        <v>10088</v>
      </c>
      <c r="AV23" s="18">
        <v>12170</v>
      </c>
      <c r="AW23" s="18">
        <v>13889</v>
      </c>
      <c r="AX23" s="18">
        <v>9803</v>
      </c>
      <c r="AY23" s="18">
        <v>10852</v>
      </c>
      <c r="AZ23" s="18">
        <v>12366</v>
      </c>
      <c r="BA23" s="18">
        <v>14028</v>
      </c>
      <c r="BB23" s="18">
        <v>9954</v>
      </c>
      <c r="BC23" s="18">
        <v>11260</v>
      </c>
      <c r="BD23" s="18">
        <v>12562</v>
      </c>
      <c r="BE23" s="18">
        <v>15140</v>
      </c>
      <c r="BF23" s="18">
        <v>9703</v>
      </c>
      <c r="BG23" s="18">
        <v>11373</v>
      </c>
      <c r="BH23" s="18">
        <v>12908</v>
      </c>
      <c r="BI23" s="18">
        <v>15069</v>
      </c>
      <c r="BJ23" s="18">
        <v>9984</v>
      </c>
      <c r="BK23" s="18">
        <v>12168</v>
      </c>
      <c r="BL23" s="18">
        <v>13944</v>
      </c>
      <c r="BM23" s="72">
        <f>'Working Capital'!BM19</f>
        <v>16779.843812088089</v>
      </c>
      <c r="BN23" s="72">
        <f>'Working Capital'!BN19</f>
        <v>10899.792880904284</v>
      </c>
      <c r="BO23" s="72">
        <f>'Working Capital'!BO19</f>
        <v>12619.259117849759</v>
      </c>
      <c r="BP23" s="72">
        <f>'Working Capital'!BP19</f>
        <v>13670.29468688023</v>
      </c>
      <c r="BQ23" s="72">
        <f>'Working Capital'!BQ19</f>
        <v>18522.616354762096</v>
      </c>
      <c r="BR23" s="72">
        <f>'Working Capital'!BR19</f>
        <v>11966.398658219796</v>
      </c>
      <c r="BS23" s="72">
        <f>'Working Capital'!BS19</f>
        <v>13815.296675844244</v>
      </c>
      <c r="BT23" s="72">
        <f>'Working Capital'!BT19</f>
        <v>14987.897042882112</v>
      </c>
      <c r="BU23" s="72">
        <f>'Working Capital'!BU19</f>
        <v>20281.061062713718</v>
      </c>
      <c r="BV23" s="72">
        <f>'Working Capital'!BV19</f>
        <v>13065.005515830662</v>
      </c>
      <c r="BW23" s="72">
        <f>'Working Capital'!BW19</f>
        <v>15045.017200115781</v>
      </c>
      <c r="BX23" s="72">
        <f>'Working Capital'!BX19</f>
        <v>16343.689416291234</v>
      </c>
      <c r="BY23" s="72">
        <f>'Working Capital'!BY19</f>
        <v>22088.875378228906</v>
      </c>
      <c r="BZ23" s="72">
        <f>'Working Capital'!BZ19</f>
        <v>14272.894728700308</v>
      </c>
      <c r="CA23" s="72">
        <f>'Working Capital'!CA19</f>
        <v>16393.297362041034</v>
      </c>
      <c r="CB23" s="72">
        <f>'Working Capital'!CB19</f>
        <v>17831.850331100624</v>
      </c>
      <c r="CC23" s="72">
        <f>'Working Capital'!CC19</f>
        <v>24070.401031068177</v>
      </c>
      <c r="CD23" s="72">
        <f>'Working Capital'!CD19</f>
        <v>15436.446599423221</v>
      </c>
      <c r="CE23" s="72">
        <f>'Working Capital'!CE19</f>
        <v>17564.225868681835</v>
      </c>
      <c r="CF23" s="72">
        <f>'Working Capital'!CF19</f>
        <v>19179.050929971418</v>
      </c>
      <c r="CG23" s="72">
        <f>'Working Capital'!CG19</f>
        <v>25866.296058426404</v>
      </c>
      <c r="CH23" s="72"/>
      <c r="CI23" s="89">
        <f t="shared" si="77"/>
        <v>1410</v>
      </c>
      <c r="CJ23" s="95">
        <f t="shared" si="78"/>
        <v>1818</v>
      </c>
      <c r="CK23" s="89">
        <f t="shared" si="79"/>
        <v>2239</v>
      </c>
      <c r="CL23" s="89">
        <f t="shared" si="80"/>
        <v>2502</v>
      </c>
      <c r="CM23" s="20">
        <f t="shared" si="81"/>
        <v>3069</v>
      </c>
      <c r="CN23" s="89">
        <f t="shared" si="82"/>
        <v>3539</v>
      </c>
      <c r="CO23" s="20">
        <f t="shared" si="83"/>
        <v>3976</v>
      </c>
      <c r="CP23" s="89">
        <f t="shared" si="84"/>
        <v>4581</v>
      </c>
      <c r="CQ23" s="89">
        <f t="shared" si="85"/>
        <v>6839</v>
      </c>
      <c r="CR23" s="89">
        <f t="shared" si="86"/>
        <v>8495</v>
      </c>
      <c r="CS23" s="89">
        <f t="shared" si="87"/>
        <v>11086</v>
      </c>
      <c r="CT23" s="20">
        <f t="shared" si="88"/>
        <v>13889</v>
      </c>
      <c r="CU23" s="89">
        <f t="shared" si="89"/>
        <v>14028</v>
      </c>
      <c r="CV23" s="89">
        <f t="shared" si="90"/>
        <v>15140</v>
      </c>
      <c r="CW23" s="89">
        <f t="shared" si="91"/>
        <v>15069</v>
      </c>
      <c r="CX23" s="89">
        <f t="shared" si="92"/>
        <v>16779.843812088089</v>
      </c>
      <c r="CY23" s="96">
        <f t="shared" si="93"/>
        <v>18522.616354762096</v>
      </c>
      <c r="CZ23" s="96">
        <f t="shared" si="94"/>
        <v>20281.061062713718</v>
      </c>
      <c r="DA23" s="96">
        <f t="shared" si="95"/>
        <v>22088.875378228906</v>
      </c>
      <c r="DB23" s="96">
        <f t="shared" si="96"/>
        <v>24070.401031068177</v>
      </c>
      <c r="DC23" s="96">
        <f t="shared" ref="DC23:DC29" si="97">CG23</f>
        <v>25866.296058426404</v>
      </c>
    </row>
    <row r="24" spans="1:107" x14ac:dyDescent="0.2">
      <c r="A24" s="1" t="s">
        <v>216</v>
      </c>
      <c r="B24" s="17">
        <v>0</v>
      </c>
      <c r="C24" s="17">
        <v>0</v>
      </c>
      <c r="D24" s="17">
        <v>2122</v>
      </c>
      <c r="E24" s="17">
        <v>3465</v>
      </c>
      <c r="F24" s="17">
        <v>3216</v>
      </c>
      <c r="G24" s="17">
        <v>1217</v>
      </c>
      <c r="H24" s="17">
        <v>1218</v>
      </c>
      <c r="I24" s="17">
        <v>1218</v>
      </c>
      <c r="J24" s="17">
        <v>2468</v>
      </c>
      <c r="K24" s="17">
        <v>3218</v>
      </c>
      <c r="L24" s="17">
        <v>3218</v>
      </c>
      <c r="M24" s="17">
        <v>2549</v>
      </c>
      <c r="N24" s="17">
        <v>2150</v>
      </c>
      <c r="O24" s="17">
        <v>3000</v>
      </c>
      <c r="P24" s="17">
        <v>3009</v>
      </c>
      <c r="Q24" s="17">
        <v>3009</v>
      </c>
      <c r="R24" s="17">
        <v>3009</v>
      </c>
      <c r="S24" s="17">
        <v>2009</v>
      </c>
      <c r="T24" s="17">
        <v>2009</v>
      </c>
      <c r="U24" s="17">
        <v>2009</v>
      </c>
      <c r="V24" s="17">
        <v>2009</v>
      </c>
      <c r="W24" s="17">
        <v>3008</v>
      </c>
      <c r="X24" s="17">
        <v>3237</v>
      </c>
      <c r="Y24" s="17">
        <v>3225</v>
      </c>
      <c r="Z24" s="17">
        <v>3221</v>
      </c>
      <c r="AA24" s="17">
        <v>2219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1329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76">
        <f t="shared" ref="BM24:CC24" si="98">BL24</f>
        <v>0</v>
      </c>
      <c r="BN24" s="76">
        <f t="shared" si="98"/>
        <v>0</v>
      </c>
      <c r="BO24" s="76">
        <f t="shared" si="98"/>
        <v>0</v>
      </c>
      <c r="BP24" s="76">
        <f t="shared" si="98"/>
        <v>0</v>
      </c>
      <c r="BQ24" s="76">
        <f t="shared" si="98"/>
        <v>0</v>
      </c>
      <c r="BR24" s="76">
        <f t="shared" si="98"/>
        <v>0</v>
      </c>
      <c r="BS24" s="76">
        <f t="shared" si="98"/>
        <v>0</v>
      </c>
      <c r="BT24" s="76">
        <f t="shared" si="98"/>
        <v>0</v>
      </c>
      <c r="BU24" s="76">
        <f t="shared" si="98"/>
        <v>0</v>
      </c>
      <c r="BV24" s="76">
        <f t="shared" si="98"/>
        <v>0</v>
      </c>
      <c r="BW24" s="76">
        <f t="shared" si="98"/>
        <v>0</v>
      </c>
      <c r="BX24" s="76">
        <f t="shared" si="98"/>
        <v>0</v>
      </c>
      <c r="BY24" s="76">
        <f t="shared" si="98"/>
        <v>0</v>
      </c>
      <c r="BZ24" s="76">
        <f t="shared" si="98"/>
        <v>0</v>
      </c>
      <c r="CA24" s="76">
        <f t="shared" si="98"/>
        <v>0</v>
      </c>
      <c r="CB24" s="76">
        <f t="shared" si="98"/>
        <v>0</v>
      </c>
      <c r="CC24" s="76">
        <f t="shared" si="98"/>
        <v>0</v>
      </c>
      <c r="CD24" s="76">
        <f t="shared" ref="CD24" si="99">CC24</f>
        <v>0</v>
      </c>
      <c r="CE24" s="76">
        <f t="shared" ref="CE24" si="100">CD24</f>
        <v>0</v>
      </c>
      <c r="CF24" s="76">
        <f t="shared" ref="CF24" si="101">CE24</f>
        <v>0</v>
      </c>
      <c r="CG24" s="76">
        <f t="shared" ref="CG24" si="102">CF24</f>
        <v>0</v>
      </c>
      <c r="CH24" s="76"/>
      <c r="CI24" s="89">
        <f t="shared" si="77"/>
        <v>3465</v>
      </c>
      <c r="CJ24" s="95">
        <f t="shared" si="78"/>
        <v>1218</v>
      </c>
      <c r="CK24" s="89">
        <f t="shared" si="79"/>
        <v>2549</v>
      </c>
      <c r="CL24" s="89">
        <f t="shared" si="80"/>
        <v>3009</v>
      </c>
      <c r="CM24" s="20">
        <f t="shared" si="81"/>
        <v>2009</v>
      </c>
      <c r="CN24" s="89">
        <f t="shared" si="82"/>
        <v>3225</v>
      </c>
      <c r="CO24" s="20">
        <f t="shared" si="83"/>
        <v>0</v>
      </c>
      <c r="CP24" s="89">
        <f t="shared" si="84"/>
        <v>0</v>
      </c>
      <c r="CQ24" s="89">
        <f t="shared" si="85"/>
        <v>0</v>
      </c>
      <c r="CR24" s="89">
        <f t="shared" si="86"/>
        <v>0</v>
      </c>
      <c r="CS24" s="89">
        <f t="shared" si="87"/>
        <v>0</v>
      </c>
      <c r="CT24" s="20">
        <f t="shared" si="88"/>
        <v>0</v>
      </c>
      <c r="CU24" s="89">
        <f t="shared" si="89"/>
        <v>0</v>
      </c>
      <c r="CV24" s="89">
        <f t="shared" si="90"/>
        <v>0</v>
      </c>
      <c r="CW24" s="89">
        <f t="shared" si="91"/>
        <v>0</v>
      </c>
      <c r="CX24" s="89">
        <f t="shared" si="92"/>
        <v>0</v>
      </c>
      <c r="CY24" s="96">
        <f t="shared" si="93"/>
        <v>0</v>
      </c>
      <c r="CZ24" s="96">
        <f t="shared" si="94"/>
        <v>0</v>
      </c>
      <c r="DA24" s="96">
        <f t="shared" si="95"/>
        <v>0</v>
      </c>
      <c r="DB24" s="96">
        <f t="shared" si="96"/>
        <v>0</v>
      </c>
      <c r="DC24" s="96">
        <f t="shared" si="97"/>
        <v>0</v>
      </c>
    </row>
    <row r="25" spans="1:107" x14ac:dyDescent="0.2">
      <c r="A25" s="1" t="s">
        <v>217</v>
      </c>
      <c r="B25" s="17">
        <v>576</v>
      </c>
      <c r="C25" s="17">
        <v>753</v>
      </c>
      <c r="D25" s="17">
        <v>841</v>
      </c>
      <c r="E25" s="17">
        <v>961</v>
      </c>
      <c r="F25" s="17">
        <v>1464</v>
      </c>
      <c r="G25" s="17">
        <v>1493</v>
      </c>
      <c r="H25" s="17">
        <v>1155</v>
      </c>
      <c r="I25" s="17">
        <v>1370</v>
      </c>
      <c r="J25" s="17">
        <v>1248</v>
      </c>
      <c r="K25" s="17">
        <v>2750</v>
      </c>
      <c r="L25" s="17">
        <v>3313</v>
      </c>
      <c r="M25" s="17">
        <v>3258</v>
      </c>
      <c r="N25" s="17">
        <v>3007</v>
      </c>
      <c r="O25" s="17">
        <v>3300</v>
      </c>
      <c r="P25" s="17">
        <v>3071</v>
      </c>
      <c r="Q25" s="17">
        <v>3755</v>
      </c>
      <c r="R25" s="17">
        <v>3305</v>
      </c>
      <c r="S25" s="17">
        <v>5987</v>
      </c>
      <c r="T25" s="17">
        <v>6132</v>
      </c>
      <c r="U25" s="17">
        <v>4434</v>
      </c>
      <c r="V25" s="17">
        <v>4494</v>
      </c>
      <c r="W25" s="17">
        <v>4396</v>
      </c>
      <c r="X25" s="17">
        <v>4598</v>
      </c>
      <c r="Y25" s="17">
        <v>4768</v>
      </c>
      <c r="Z25" s="17">
        <v>4517</v>
      </c>
      <c r="AA25" s="17">
        <v>4502</v>
      </c>
      <c r="AB25" s="17">
        <v>4840</v>
      </c>
      <c r="AC25" s="17">
        <v>6144</v>
      </c>
      <c r="AD25" s="17">
        <v>5438</v>
      </c>
      <c r="AE25" s="17">
        <v>8560</v>
      </c>
      <c r="AF25" s="17">
        <v>9307</v>
      </c>
      <c r="AG25" s="17">
        <v>10177</v>
      </c>
      <c r="AH25" s="17">
        <v>10065</v>
      </c>
      <c r="AI25" s="17">
        <v>15261</v>
      </c>
      <c r="AJ25" s="17">
        <v>15936</v>
      </c>
      <c r="AK25" s="17">
        <v>16958</v>
      </c>
      <c r="AL25" s="17">
        <v>19382</v>
      </c>
      <c r="AM25" s="17">
        <v>19823</v>
      </c>
      <c r="AN25" s="17">
        <v>21038</v>
      </c>
      <c r="AO25" s="17">
        <v>23067</v>
      </c>
      <c r="AP25" s="17">
        <v>22601</v>
      </c>
      <c r="AQ25" s="17">
        <v>24426</v>
      </c>
      <c r="AR25" s="17">
        <v>25631</v>
      </c>
      <c r="AS25" s="17">
        <v>28631</v>
      </c>
      <c r="AT25" s="17">
        <v>30732</v>
      </c>
      <c r="AU25" s="18">
        <v>28981</v>
      </c>
      <c r="AV25" s="18">
        <v>30113</v>
      </c>
      <c r="AW25" s="18">
        <v>31236</v>
      </c>
      <c r="AX25" s="18">
        <v>33051</v>
      </c>
      <c r="AY25" s="18">
        <v>32976</v>
      </c>
      <c r="AZ25" s="18">
        <v>35038</v>
      </c>
      <c r="BA25" s="18">
        <v>37866</v>
      </c>
      <c r="BB25" s="18">
        <v>43185</v>
      </c>
      <c r="BC25" s="18">
        <v>49300</v>
      </c>
      <c r="BD25" s="18">
        <v>55602</v>
      </c>
      <c r="BE25" s="18">
        <v>46168</v>
      </c>
      <c r="BF25" s="18">
        <v>48603</v>
      </c>
      <c r="BG25" s="18">
        <v>47298</v>
      </c>
      <c r="BH25" s="18">
        <v>46585</v>
      </c>
      <c r="BI25" s="18">
        <v>51228</v>
      </c>
      <c r="BJ25" s="18">
        <v>58300</v>
      </c>
      <c r="BK25" s="18">
        <v>52039</v>
      </c>
      <c r="BL25" s="18">
        <v>59437</v>
      </c>
      <c r="BM25" s="72">
        <f>'Working Capital'!BM20</f>
        <v>61847.623163529148</v>
      </c>
      <c r="BN25" s="72">
        <f>'Working Capital'!BN20</f>
        <v>70740.214550360426</v>
      </c>
      <c r="BO25" s="72">
        <f>'Working Capital'!BO20</f>
        <v>62595.991796390153</v>
      </c>
      <c r="BP25" s="72">
        <f>'Working Capital'!BP20</f>
        <v>70957.514027204859</v>
      </c>
      <c r="BQ25" s="72">
        <f>'Working Capital'!BQ20</f>
        <v>72786.068000102736</v>
      </c>
      <c r="BR25" s="72">
        <f>'Working Capital'!BR20</f>
        <v>83630.465294746784</v>
      </c>
      <c r="BS25" s="72">
        <f>'Working Capital'!BS20</f>
        <v>73694.458773659484</v>
      </c>
      <c r="BT25" s="72">
        <f>'Working Capital'!BT20</f>
        <v>83602.350195243096</v>
      </c>
      <c r="BU25" s="72">
        <f>'Working Capital'!BU20</f>
        <v>85304.918390290361</v>
      </c>
      <c r="BV25" s="72">
        <f>'Working Capital'!BV20</f>
        <v>97434.000560702654</v>
      </c>
      <c r="BW25" s="72">
        <f>'Working Capital'!BW20</f>
        <v>85521.929729186013</v>
      </c>
      <c r="BX25" s="72">
        <f>'Working Capital'!BX20</f>
        <v>97114.635996101482</v>
      </c>
      <c r="BY25" s="72">
        <f>'Working Capital'!BY20</f>
        <v>98641.240236051002</v>
      </c>
      <c r="BZ25" s="72">
        <f>'Working Capital'!BZ20</f>
        <v>111099.31147211461</v>
      </c>
      <c r="CA25" s="72">
        <f>'Working Capital'!CA20</f>
        <v>97160.237128425666</v>
      </c>
      <c r="CB25" s="72">
        <f>'Working Capital'!CB20</f>
        <v>110448.63846223094</v>
      </c>
      <c r="CC25" s="72">
        <f>'Working Capital'!CC20</f>
        <v>111783.9514320787</v>
      </c>
      <c r="CD25" s="72">
        <f>'Working Capital'!CD20</f>
        <v>125157.88884326551</v>
      </c>
      <c r="CE25" s="72">
        <f>'Working Capital'!CE20</f>
        <v>109074.78526997764</v>
      </c>
      <c r="CF25" s="72">
        <f>'Working Capital'!CF20</f>
        <v>124117.16371806891</v>
      </c>
      <c r="CG25" s="72">
        <f>'Working Capital'!CG20</f>
        <v>125219.36393711933</v>
      </c>
      <c r="CH25" s="72"/>
      <c r="CI25" s="89">
        <f t="shared" si="77"/>
        <v>961</v>
      </c>
      <c r="CJ25" s="95">
        <f t="shared" si="78"/>
        <v>1370</v>
      </c>
      <c r="CK25" s="89">
        <f t="shared" si="79"/>
        <v>3258</v>
      </c>
      <c r="CL25" s="89">
        <f t="shared" si="80"/>
        <v>3755</v>
      </c>
      <c r="CM25" s="20">
        <f t="shared" si="81"/>
        <v>4434</v>
      </c>
      <c r="CN25" s="89">
        <f t="shared" si="82"/>
        <v>4768</v>
      </c>
      <c r="CO25" s="20">
        <f t="shared" si="83"/>
        <v>6144</v>
      </c>
      <c r="CP25" s="89">
        <f t="shared" si="84"/>
        <v>10177</v>
      </c>
      <c r="CQ25" s="89">
        <f t="shared" si="85"/>
        <v>16958</v>
      </c>
      <c r="CR25" s="89">
        <f t="shared" si="86"/>
        <v>23067</v>
      </c>
      <c r="CS25" s="89">
        <f t="shared" si="87"/>
        <v>28631</v>
      </c>
      <c r="CT25" s="20">
        <f t="shared" si="88"/>
        <v>31236</v>
      </c>
      <c r="CU25" s="89">
        <f t="shared" si="89"/>
        <v>37866</v>
      </c>
      <c r="CV25" s="89">
        <f t="shared" si="90"/>
        <v>46168</v>
      </c>
      <c r="CW25" s="89">
        <f t="shared" si="91"/>
        <v>51228</v>
      </c>
      <c r="CX25" s="89">
        <f t="shared" si="92"/>
        <v>61847.623163529148</v>
      </c>
      <c r="CY25" s="96">
        <f t="shared" si="93"/>
        <v>72786.068000102736</v>
      </c>
      <c r="CZ25" s="96">
        <f t="shared" si="94"/>
        <v>85304.918390290361</v>
      </c>
      <c r="DA25" s="96">
        <f t="shared" si="95"/>
        <v>98641.240236051002</v>
      </c>
      <c r="DB25" s="96">
        <f t="shared" si="96"/>
        <v>111783.9514320787</v>
      </c>
      <c r="DC25" s="96">
        <f t="shared" si="97"/>
        <v>125219.36393711933</v>
      </c>
    </row>
    <row r="26" spans="1:107" x14ac:dyDescent="0.2">
      <c r="A26" s="1" t="s">
        <v>218</v>
      </c>
      <c r="B26" s="17">
        <v>0</v>
      </c>
      <c r="C26" s="17">
        <v>2870</v>
      </c>
      <c r="D26" s="17">
        <v>2861</v>
      </c>
      <c r="E26" s="17">
        <v>2361</v>
      </c>
      <c r="F26" s="17">
        <v>1880</v>
      </c>
      <c r="G26" s="17">
        <v>1936</v>
      </c>
      <c r="H26" s="17">
        <v>3055</v>
      </c>
      <c r="I26" s="17">
        <v>2007</v>
      </c>
      <c r="J26" s="17">
        <v>2252</v>
      </c>
      <c r="K26" s="17">
        <v>1916</v>
      </c>
      <c r="L26" s="17">
        <v>1686</v>
      </c>
      <c r="M26" s="17">
        <v>1673</v>
      </c>
      <c r="N26" s="17">
        <v>2237</v>
      </c>
      <c r="O26" s="17">
        <v>3211</v>
      </c>
      <c r="P26" s="17">
        <v>1893</v>
      </c>
      <c r="Q26" s="17">
        <v>1374</v>
      </c>
      <c r="R26" s="17">
        <v>2153</v>
      </c>
      <c r="S26" s="17">
        <v>3086</v>
      </c>
      <c r="T26" s="17">
        <v>3402</v>
      </c>
      <c r="U26" s="17">
        <v>2778</v>
      </c>
      <c r="V26" s="17">
        <v>1657</v>
      </c>
      <c r="W26" s="17">
        <v>2694</v>
      </c>
      <c r="X26" s="17">
        <v>3266</v>
      </c>
      <c r="Y26" s="17">
        <v>2428</v>
      </c>
      <c r="Z26" s="17">
        <v>2171</v>
      </c>
      <c r="AA26" s="17">
        <v>2065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35">
        <f t="shared" ref="BM26:BQ26" si="103">BL26</f>
        <v>0</v>
      </c>
      <c r="BN26" s="35">
        <f t="shared" si="103"/>
        <v>0</v>
      </c>
      <c r="BO26" s="35">
        <f t="shared" si="103"/>
        <v>0</v>
      </c>
      <c r="BP26" s="35">
        <f t="shared" si="103"/>
        <v>0</v>
      </c>
      <c r="BQ26" s="35">
        <f t="shared" si="103"/>
        <v>0</v>
      </c>
      <c r="BR26" s="35">
        <f t="shared" ref="BR26" si="104">BQ26</f>
        <v>0</v>
      </c>
      <c r="BS26" s="35">
        <f t="shared" ref="BS26" si="105">BR26</f>
        <v>0</v>
      </c>
      <c r="BT26" s="35">
        <f t="shared" ref="BT26" si="106">BS26</f>
        <v>0</v>
      </c>
      <c r="BU26" s="35">
        <f t="shared" ref="BU26" si="107">BT26</f>
        <v>0</v>
      </c>
      <c r="BV26" s="35">
        <f t="shared" ref="BV26" si="108">BU26</f>
        <v>0</v>
      </c>
      <c r="BW26" s="35">
        <f t="shared" ref="BW26" si="109">BV26</f>
        <v>0</v>
      </c>
      <c r="BX26" s="35">
        <f t="shared" ref="BX26" si="110">BW26</f>
        <v>0</v>
      </c>
      <c r="BY26" s="35">
        <f t="shared" ref="BY26" si="111">BX26</f>
        <v>0</v>
      </c>
      <c r="BZ26" s="35">
        <f t="shared" ref="BZ26" si="112">BY26</f>
        <v>0</v>
      </c>
      <c r="CA26" s="35">
        <f t="shared" ref="CA26" si="113">BZ26</f>
        <v>0</v>
      </c>
      <c r="CB26" s="35">
        <f t="shared" ref="CB26" si="114">CA26</f>
        <v>0</v>
      </c>
      <c r="CC26" s="35">
        <f t="shared" ref="CC26" si="115">CB26</f>
        <v>0</v>
      </c>
      <c r="CD26" s="35">
        <f t="shared" ref="CD26" si="116">CC26</f>
        <v>0</v>
      </c>
      <c r="CE26" s="35">
        <f t="shared" ref="CE26" si="117">CD26</f>
        <v>0</v>
      </c>
      <c r="CF26" s="35">
        <f t="shared" ref="CF26" si="118">CE26</f>
        <v>0</v>
      </c>
      <c r="CG26" s="35">
        <f t="shared" ref="CG26" si="119">CF26</f>
        <v>0</v>
      </c>
      <c r="CH26" s="35"/>
      <c r="CI26" s="89">
        <f t="shared" si="77"/>
        <v>2361</v>
      </c>
      <c r="CJ26" s="95">
        <f t="shared" si="78"/>
        <v>2007</v>
      </c>
      <c r="CK26" s="89">
        <f t="shared" si="79"/>
        <v>1673</v>
      </c>
      <c r="CL26" s="89">
        <f t="shared" si="80"/>
        <v>1374</v>
      </c>
      <c r="CM26" s="20">
        <f t="shared" si="81"/>
        <v>2778</v>
      </c>
      <c r="CN26" s="89">
        <f t="shared" si="82"/>
        <v>2428</v>
      </c>
      <c r="CO26" s="20">
        <f t="shared" si="83"/>
        <v>0</v>
      </c>
      <c r="CP26" s="89">
        <f t="shared" si="84"/>
        <v>0</v>
      </c>
      <c r="CQ26" s="89">
        <f t="shared" si="85"/>
        <v>0</v>
      </c>
      <c r="CR26" s="89">
        <f t="shared" si="86"/>
        <v>0</v>
      </c>
      <c r="CS26" s="89">
        <f t="shared" si="87"/>
        <v>0</v>
      </c>
      <c r="CT26" s="20">
        <f t="shared" si="88"/>
        <v>0</v>
      </c>
      <c r="CU26" s="89">
        <f t="shared" si="89"/>
        <v>0</v>
      </c>
      <c r="CV26" s="89">
        <f t="shared" si="90"/>
        <v>0</v>
      </c>
      <c r="CW26" s="89">
        <f t="shared" si="91"/>
        <v>0</v>
      </c>
      <c r="CX26" s="89">
        <f t="shared" si="92"/>
        <v>0</v>
      </c>
      <c r="CY26" s="96">
        <f t="shared" si="93"/>
        <v>0</v>
      </c>
      <c r="CZ26" s="96">
        <f t="shared" si="94"/>
        <v>0</v>
      </c>
      <c r="DA26" s="96">
        <f t="shared" si="95"/>
        <v>0</v>
      </c>
      <c r="DB26" s="96">
        <f t="shared" si="96"/>
        <v>0</v>
      </c>
      <c r="DC26" s="96">
        <f t="shared" si="97"/>
        <v>0</v>
      </c>
    </row>
    <row r="27" spans="1:107" x14ac:dyDescent="0.2">
      <c r="A27" s="1" t="s">
        <v>219</v>
      </c>
      <c r="B27" s="17">
        <v>696</v>
      </c>
      <c r="C27" s="17">
        <v>677</v>
      </c>
      <c r="D27" s="17">
        <v>752</v>
      </c>
      <c r="E27" s="17">
        <v>885</v>
      </c>
      <c r="F27" s="17">
        <v>871</v>
      </c>
      <c r="G27" s="17">
        <v>916</v>
      </c>
      <c r="H27" s="17">
        <v>962</v>
      </c>
      <c r="I27" s="17">
        <v>1168</v>
      </c>
      <c r="J27" s="17">
        <v>1164</v>
      </c>
      <c r="K27" s="17">
        <v>1175</v>
      </c>
      <c r="L27" s="17">
        <v>1108</v>
      </c>
      <c r="M27" s="17">
        <v>1471</v>
      </c>
      <c r="N27" s="17">
        <v>1437</v>
      </c>
      <c r="O27" s="17">
        <v>1458</v>
      </c>
      <c r="P27" s="17">
        <v>1472</v>
      </c>
      <c r="Q27" s="17">
        <v>1729</v>
      </c>
      <c r="R27" s="17">
        <v>1674</v>
      </c>
      <c r="S27" s="17">
        <v>1686</v>
      </c>
      <c r="T27" s="17">
        <v>1761</v>
      </c>
      <c r="U27" s="17">
        <v>1952</v>
      </c>
      <c r="V27" s="17">
        <v>1755</v>
      </c>
      <c r="W27" s="17">
        <v>1823</v>
      </c>
      <c r="X27" s="17">
        <v>1899</v>
      </c>
      <c r="Y27" s="17">
        <v>2329</v>
      </c>
      <c r="Z27" s="17">
        <v>2227</v>
      </c>
      <c r="AA27" s="17">
        <v>2345</v>
      </c>
      <c r="AB27" s="17">
        <v>2542</v>
      </c>
      <c r="AC27" s="17">
        <v>2942</v>
      </c>
      <c r="AD27" s="17">
        <v>2888</v>
      </c>
      <c r="AE27" s="17">
        <v>3007</v>
      </c>
      <c r="AF27" s="17">
        <v>3200</v>
      </c>
      <c r="AG27" s="17">
        <v>3975</v>
      </c>
      <c r="AH27" s="17">
        <v>3723</v>
      </c>
      <c r="AI27" s="17">
        <v>3728</v>
      </c>
      <c r="AJ27" s="17">
        <v>3878</v>
      </c>
      <c r="AK27" s="17">
        <v>4592</v>
      </c>
      <c r="AL27" s="17">
        <v>4318</v>
      </c>
      <c r="AM27" s="17">
        <v>4567</v>
      </c>
      <c r="AN27" s="17">
        <v>4835</v>
      </c>
      <c r="AO27" s="17">
        <v>5916</v>
      </c>
      <c r="AP27" s="17">
        <v>4982</v>
      </c>
      <c r="AQ27" s="17">
        <v>5005</v>
      </c>
      <c r="AR27" s="17">
        <v>6030</v>
      </c>
      <c r="AS27" s="17">
        <v>7500</v>
      </c>
      <c r="AT27" s="17">
        <v>6962</v>
      </c>
      <c r="AU27" s="18">
        <v>7438</v>
      </c>
      <c r="AV27" s="18">
        <v>7745</v>
      </c>
      <c r="AW27" s="18">
        <v>8996</v>
      </c>
      <c r="AX27" s="18">
        <v>8116</v>
      </c>
      <c r="AY27" s="18">
        <v>7889</v>
      </c>
      <c r="AZ27" s="18">
        <v>7662</v>
      </c>
      <c r="BA27" s="18">
        <v>8370</v>
      </c>
      <c r="BB27" s="18">
        <v>7816</v>
      </c>
      <c r="BC27" s="18">
        <v>7990</v>
      </c>
      <c r="BD27" s="18">
        <v>8025</v>
      </c>
      <c r="BE27" s="18">
        <v>8876</v>
      </c>
      <c r="BF27" s="18">
        <v>8520</v>
      </c>
      <c r="BG27" s="18">
        <v>8899</v>
      </c>
      <c r="BH27" s="18">
        <v>9365</v>
      </c>
      <c r="BI27" s="18">
        <v>9802</v>
      </c>
      <c r="BJ27" s="18">
        <v>9965</v>
      </c>
      <c r="BK27" s="18">
        <v>9787</v>
      </c>
      <c r="BL27" s="18">
        <v>10081</v>
      </c>
      <c r="BM27" s="72">
        <f>'Working Capital'!BM21</f>
        <v>10987.391085937499</v>
      </c>
      <c r="BN27" s="72">
        <f>'Working Capital'!BN21</f>
        <v>10661.379244736214</v>
      </c>
      <c r="BO27" s="72">
        <f>'Working Capital'!BO21</f>
        <v>10345.172243878034</v>
      </c>
      <c r="BP27" s="72">
        <f>'Working Capital'!BP21</f>
        <v>10972.018472090702</v>
      </c>
      <c r="BQ27" s="72">
        <f>'Working Capital'!BQ21</f>
        <v>11694.434072157592</v>
      </c>
      <c r="BR27" s="72">
        <f>'Working Capital'!BR21</f>
        <v>11521.082361630346</v>
      </c>
      <c r="BS27" s="72">
        <f>'Working Capital'!BS21</f>
        <v>11106.729637958544</v>
      </c>
      <c r="BT27" s="72">
        <f>'Working Capital'!BT21</f>
        <v>11784.869658999145</v>
      </c>
      <c r="BU27" s="72">
        <f>'Working Capital'!BU21</f>
        <v>12523.993560765368</v>
      </c>
      <c r="BV27" s="72">
        <f>'Working Capital'!BV21</f>
        <v>12387.915867890102</v>
      </c>
      <c r="BW27" s="72">
        <f>'Working Capital'!BW21</f>
        <v>11862.066282288481</v>
      </c>
      <c r="BX27" s="72">
        <f>'Working Capital'!BX21</f>
        <v>12590.91051564643</v>
      </c>
      <c r="BY27" s="72">
        <f>'Working Capital'!BY21</f>
        <v>13340.678429684609</v>
      </c>
      <c r="BZ27" s="72">
        <f>'Working Capital'!BZ21</f>
        <v>13241.487623995226</v>
      </c>
      <c r="CA27" s="72">
        <f>'Working Capital'!CA21</f>
        <v>12592.122783288371</v>
      </c>
      <c r="CB27" s="72">
        <f>'Working Capital'!CB21</f>
        <v>13370.019146109413</v>
      </c>
      <c r="CC27" s="72">
        <f>'Working Capital'!CC21</f>
        <v>14122.962137124041</v>
      </c>
      <c r="CD27" s="72">
        <f>'Working Capital'!CD21</f>
        <v>14098.595068404713</v>
      </c>
      <c r="CE27" s="72">
        <f>'Working Capital'!CE21</f>
        <v>13313.273028767142</v>
      </c>
      <c r="CF27" s="72">
        <f>'Working Capital'!CF21</f>
        <v>14139.566732475379</v>
      </c>
      <c r="CG27" s="72">
        <f>'Working Capital'!CG21</f>
        <v>14889.229161358222</v>
      </c>
      <c r="CH27" s="72"/>
      <c r="CI27" s="89">
        <f t="shared" si="77"/>
        <v>885</v>
      </c>
      <c r="CJ27" s="95">
        <f t="shared" si="78"/>
        <v>1168</v>
      </c>
      <c r="CK27" s="89">
        <f t="shared" si="79"/>
        <v>1471</v>
      </c>
      <c r="CL27" s="89">
        <f t="shared" si="80"/>
        <v>1729</v>
      </c>
      <c r="CM27" s="20">
        <f t="shared" si="81"/>
        <v>1952</v>
      </c>
      <c r="CN27" s="89">
        <f t="shared" si="82"/>
        <v>2329</v>
      </c>
      <c r="CO27" s="20">
        <f t="shared" si="83"/>
        <v>2942</v>
      </c>
      <c r="CP27" s="89">
        <f t="shared" si="84"/>
        <v>3975</v>
      </c>
      <c r="CQ27" s="89">
        <f t="shared" si="85"/>
        <v>4592</v>
      </c>
      <c r="CR27" s="89">
        <f t="shared" si="86"/>
        <v>5916</v>
      </c>
      <c r="CS27" s="89">
        <f t="shared" si="87"/>
        <v>7500</v>
      </c>
      <c r="CT27" s="20">
        <f t="shared" si="88"/>
        <v>8996</v>
      </c>
      <c r="CU27" s="89">
        <f t="shared" si="89"/>
        <v>8370</v>
      </c>
      <c r="CV27" s="89">
        <f t="shared" si="90"/>
        <v>8876</v>
      </c>
      <c r="CW27" s="89">
        <f t="shared" si="91"/>
        <v>9802</v>
      </c>
      <c r="CX27" s="89">
        <f t="shared" si="92"/>
        <v>10987.391085937499</v>
      </c>
      <c r="CY27" s="96">
        <f t="shared" si="93"/>
        <v>11694.434072157592</v>
      </c>
      <c r="CZ27" s="96">
        <f t="shared" si="94"/>
        <v>12523.993560765368</v>
      </c>
      <c r="DA27" s="96">
        <f t="shared" si="95"/>
        <v>13340.678429684609</v>
      </c>
      <c r="DB27" s="96">
        <f t="shared" si="96"/>
        <v>14122.962137124041</v>
      </c>
      <c r="DC27" s="96">
        <f t="shared" si="97"/>
        <v>14889.229161358222</v>
      </c>
    </row>
    <row r="28" spans="1:107" x14ac:dyDescent="0.2">
      <c r="A28" s="1" t="s">
        <v>220</v>
      </c>
      <c r="B28" s="17">
        <v>293</v>
      </c>
      <c r="C28" s="17">
        <v>302</v>
      </c>
      <c r="D28" s="17">
        <v>322</v>
      </c>
      <c r="E28" s="17">
        <v>394</v>
      </c>
      <c r="F28" s="17">
        <v>440</v>
      </c>
      <c r="G28" s="17">
        <v>489</v>
      </c>
      <c r="H28" s="17">
        <v>489</v>
      </c>
      <c r="I28" s="17">
        <v>547</v>
      </c>
      <c r="J28" s="17">
        <v>594</v>
      </c>
      <c r="K28" s="17">
        <v>767</v>
      </c>
      <c r="L28" s="17">
        <v>905</v>
      </c>
      <c r="M28" s="17">
        <v>895</v>
      </c>
      <c r="N28" s="17">
        <v>882</v>
      </c>
      <c r="O28" s="17">
        <v>799</v>
      </c>
      <c r="P28" s="17">
        <v>907</v>
      </c>
      <c r="Q28" s="17">
        <v>1062</v>
      </c>
      <c r="R28" s="17">
        <v>947</v>
      </c>
      <c r="S28" s="17">
        <v>882</v>
      </c>
      <c r="T28" s="17">
        <v>820</v>
      </c>
      <c r="U28" s="17">
        <v>752</v>
      </c>
      <c r="V28" s="17">
        <v>699</v>
      </c>
      <c r="W28" s="17">
        <v>712</v>
      </c>
      <c r="X28" s="17">
        <v>705</v>
      </c>
      <c r="Y28" s="17">
        <v>788</v>
      </c>
      <c r="Z28" s="17">
        <v>933</v>
      </c>
      <c r="AA28" s="17">
        <v>900</v>
      </c>
      <c r="AB28" s="17">
        <v>923</v>
      </c>
      <c r="AC28" s="17">
        <v>1099</v>
      </c>
      <c r="AD28" s="17">
        <v>1148</v>
      </c>
      <c r="AE28" s="17">
        <v>1226</v>
      </c>
      <c r="AF28" s="17">
        <v>1269</v>
      </c>
      <c r="AG28" s="17">
        <v>1432</v>
      </c>
      <c r="AH28" s="17">
        <v>1596</v>
      </c>
      <c r="AI28" s="17">
        <v>1714</v>
      </c>
      <c r="AJ28" s="17">
        <v>1752</v>
      </c>
      <c r="AK28" s="17">
        <v>1784</v>
      </c>
      <c r="AL28" s="17">
        <v>1667</v>
      </c>
      <c r="AM28" s="17">
        <v>1717</v>
      </c>
      <c r="AN28" s="17">
        <v>1679</v>
      </c>
      <c r="AO28" s="17">
        <v>1908</v>
      </c>
      <c r="AP28" s="17">
        <v>1938</v>
      </c>
      <c r="AQ28" s="17">
        <v>2061</v>
      </c>
      <c r="AR28" s="17">
        <v>2302</v>
      </c>
      <c r="AS28" s="17">
        <v>2543</v>
      </c>
      <c r="AT28" s="17">
        <v>2690</v>
      </c>
      <c r="AU28" s="18">
        <v>2715</v>
      </c>
      <c r="AV28" s="18">
        <v>2968</v>
      </c>
      <c r="AW28" s="18">
        <v>3288</v>
      </c>
      <c r="AX28" s="18">
        <v>3198</v>
      </c>
      <c r="AY28" s="18">
        <v>3272</v>
      </c>
      <c r="AZ28" s="18">
        <v>3585</v>
      </c>
      <c r="BA28" s="18">
        <v>3908</v>
      </c>
      <c r="BB28" s="18">
        <v>3715</v>
      </c>
      <c r="BC28" s="18">
        <v>3846</v>
      </c>
      <c r="BD28" s="18">
        <v>4303</v>
      </c>
      <c r="BE28" s="18">
        <v>4137</v>
      </c>
      <c r="BF28" s="18">
        <v>3973</v>
      </c>
      <c r="BG28" s="18">
        <v>4251</v>
      </c>
      <c r="BH28" s="18">
        <v>4896</v>
      </c>
      <c r="BI28" s="18">
        <v>5036</v>
      </c>
      <c r="BJ28" s="18">
        <v>4908</v>
      </c>
      <c r="BK28" s="18">
        <v>4969</v>
      </c>
      <c r="BL28" s="18">
        <v>5542</v>
      </c>
      <c r="BM28" s="72">
        <f>BL28+('Cash Flow Statement'!BM$20*BM59)</f>
        <v>5756.1519845056218</v>
      </c>
      <c r="BN28" s="72">
        <f>BM28+('Cash Flow Statement'!BN$20*BN59)</f>
        <v>6338.2330422722343</v>
      </c>
      <c r="BO28" s="72">
        <f>BN28+('Cash Flow Statement'!BO$20*BO59)</f>
        <v>6495.2321460447893</v>
      </c>
      <c r="BP28" s="72">
        <f>BO28+('Cash Flow Statement'!BP$20*BP59)</f>
        <v>7276.0057575347782</v>
      </c>
      <c r="BQ28" s="72">
        <f>BP28+('Cash Flow Statement'!BQ$20*BQ59)</f>
        <v>7518.7169717083716</v>
      </c>
      <c r="BR28" s="72">
        <f>BQ28+('Cash Flow Statement'!BR$20*BR59)</f>
        <v>8185.2348478072663</v>
      </c>
      <c r="BS28" s="72">
        <f>BR28+('Cash Flow Statement'!BS$20*BS59)</f>
        <v>8364.2990021791138</v>
      </c>
      <c r="BT28" s="72">
        <f>BS28+('Cash Flow Statement'!BT$20*BT59)</f>
        <v>9255.9369776035219</v>
      </c>
      <c r="BU28" s="72">
        <f>BT28+('Cash Flow Statement'!BU$20*BU59)</f>
        <v>9532.2232135690083</v>
      </c>
      <c r="BV28" s="72">
        <f>BU28+('Cash Flow Statement'!BV$20*BV59)</f>
        <v>10290.868271652034</v>
      </c>
      <c r="BW28" s="72">
        <f>BV28+('Cash Flow Statement'!BW$20*BW59)</f>
        <v>10493.915994443802</v>
      </c>
      <c r="BX28" s="72">
        <f>BW28+('Cash Flow Statement'!BX$20*BX59)</f>
        <v>11506.329521419993</v>
      </c>
      <c r="BY28" s="72">
        <f>BX28+('Cash Flow Statement'!BY$20*BY59)</f>
        <v>11819.072607646138</v>
      </c>
      <c r="BZ28" s="72">
        <f>BY28+('Cash Flow Statement'!BZ$20*BZ59)</f>
        <v>12674.920672495595</v>
      </c>
      <c r="CA28" s="72">
        <f>BZ28+('Cash Flow Statement'!CA$20*CA59)</f>
        <v>12903.162995169432</v>
      </c>
      <c r="CB28" s="72">
        <f>CA28+('Cash Flow Statement'!CB$20*CB59)</f>
        <v>14042.602228328669</v>
      </c>
      <c r="CC28" s="72">
        <f>CB28+('Cash Flow Statement'!CC$20*CC59)</f>
        <v>14393.560746089202</v>
      </c>
      <c r="CD28" s="72">
        <f>CC28+('Cash Flow Statement'!CD$20*CD59)</f>
        <v>15350.440533923225</v>
      </c>
      <c r="CE28" s="72">
        <f>CD28+('Cash Flow Statement'!CE$20*CE59)</f>
        <v>15604.752449266623</v>
      </c>
      <c r="CF28" s="72">
        <f>CE28+('Cash Flow Statement'!CF$20*CF59)</f>
        <v>16875.756346890867</v>
      </c>
      <c r="CG28" s="72">
        <f>CF28+('Cash Flow Statement'!CG$20*CG59)</f>
        <v>17266.179316958638</v>
      </c>
      <c r="CH28" s="72"/>
      <c r="CI28" s="89">
        <f t="shared" si="77"/>
        <v>394</v>
      </c>
      <c r="CJ28" s="95">
        <f t="shared" si="78"/>
        <v>547</v>
      </c>
      <c r="CK28" s="89">
        <f t="shared" si="79"/>
        <v>895</v>
      </c>
      <c r="CL28" s="89">
        <f t="shared" si="80"/>
        <v>1062</v>
      </c>
      <c r="CM28" s="20">
        <f t="shared" si="81"/>
        <v>752</v>
      </c>
      <c r="CN28" s="89">
        <f t="shared" si="82"/>
        <v>788</v>
      </c>
      <c r="CO28" s="20">
        <f t="shared" si="83"/>
        <v>1099</v>
      </c>
      <c r="CP28" s="89">
        <f t="shared" si="84"/>
        <v>1432</v>
      </c>
      <c r="CQ28" s="89">
        <f t="shared" si="85"/>
        <v>1784</v>
      </c>
      <c r="CR28" s="89">
        <f t="shared" si="86"/>
        <v>1908</v>
      </c>
      <c r="CS28" s="89">
        <f t="shared" si="87"/>
        <v>2543</v>
      </c>
      <c r="CT28" s="20">
        <f t="shared" si="88"/>
        <v>3288</v>
      </c>
      <c r="CU28" s="89">
        <f t="shared" si="89"/>
        <v>3908</v>
      </c>
      <c r="CV28" s="89">
        <f t="shared" si="90"/>
        <v>4137</v>
      </c>
      <c r="CW28" s="89">
        <f t="shared" si="91"/>
        <v>5036</v>
      </c>
      <c r="CX28" s="89">
        <f t="shared" si="92"/>
        <v>5756.1519845056218</v>
      </c>
      <c r="CY28" s="96">
        <f t="shared" si="93"/>
        <v>7518.7169717083716</v>
      </c>
      <c r="CZ28" s="96">
        <f t="shared" si="94"/>
        <v>9532.2232135690083</v>
      </c>
      <c r="DA28" s="96">
        <f t="shared" si="95"/>
        <v>11819.072607646138</v>
      </c>
      <c r="DB28" s="96">
        <f t="shared" si="96"/>
        <v>14393.560746089202</v>
      </c>
      <c r="DC28" s="96">
        <f t="shared" si="97"/>
        <v>17266.179316958638</v>
      </c>
    </row>
    <row r="29" spans="1:107" x14ac:dyDescent="0.2">
      <c r="A29" s="1" t="s">
        <v>221</v>
      </c>
      <c r="B29" s="17">
        <v>450</v>
      </c>
      <c r="C29" s="17">
        <v>0</v>
      </c>
      <c r="D29" s="17">
        <v>0</v>
      </c>
      <c r="E29" s="17">
        <v>37</v>
      </c>
      <c r="F29" s="17">
        <v>0</v>
      </c>
      <c r="G29" s="17">
        <v>0</v>
      </c>
      <c r="H29" s="17">
        <v>0</v>
      </c>
      <c r="I29" s="17">
        <v>197</v>
      </c>
      <c r="J29" s="17">
        <v>239</v>
      </c>
      <c r="K29" s="17">
        <v>157</v>
      </c>
      <c r="L29" s="17">
        <v>45</v>
      </c>
      <c r="M29" s="17">
        <v>240</v>
      </c>
      <c r="N29" s="17">
        <v>0</v>
      </c>
      <c r="O29" s="17">
        <v>0</v>
      </c>
      <c r="P29" s="17">
        <v>0</v>
      </c>
      <c r="Q29" s="17">
        <v>24</v>
      </c>
      <c r="R29" s="17">
        <v>2028</v>
      </c>
      <c r="S29" s="17">
        <v>0</v>
      </c>
      <c r="T29" s="17">
        <v>0</v>
      </c>
      <c r="U29" s="17">
        <v>96</v>
      </c>
      <c r="V29" s="17">
        <v>123</v>
      </c>
      <c r="W29" s="17">
        <v>948</v>
      </c>
      <c r="X29" s="17">
        <v>215</v>
      </c>
      <c r="Y29" s="17">
        <v>302</v>
      </c>
      <c r="Z29" s="17">
        <v>330</v>
      </c>
      <c r="AA29" s="17">
        <v>185</v>
      </c>
      <c r="AB29" s="17">
        <v>171</v>
      </c>
      <c r="AC29" s="17">
        <v>554</v>
      </c>
      <c r="AD29" s="17">
        <v>803</v>
      </c>
      <c r="AE29" s="17">
        <v>133</v>
      </c>
      <c r="AF29" s="17">
        <v>221</v>
      </c>
      <c r="AG29" s="17">
        <v>881</v>
      </c>
      <c r="AH29" s="17">
        <v>1343</v>
      </c>
      <c r="AI29" s="17">
        <v>1189</v>
      </c>
      <c r="AJ29" s="17">
        <v>0</v>
      </c>
      <c r="AK29" s="17">
        <v>69</v>
      </c>
      <c r="AL29" s="17">
        <v>761</v>
      </c>
      <c r="AM29" s="17">
        <v>536</v>
      </c>
      <c r="AN29" s="17">
        <v>131</v>
      </c>
      <c r="AO29" s="17">
        <v>274</v>
      </c>
      <c r="AP29" s="17">
        <v>913</v>
      </c>
      <c r="AQ29" s="17">
        <v>975</v>
      </c>
      <c r="AR29" s="17">
        <v>1099</v>
      </c>
      <c r="AS29" s="17">
        <v>1485</v>
      </c>
      <c r="AT29" s="17">
        <v>1893</v>
      </c>
      <c r="AU29" s="18">
        <v>1811</v>
      </c>
      <c r="AV29" s="18">
        <v>4170</v>
      </c>
      <c r="AW29" s="18">
        <v>808</v>
      </c>
      <c r="AX29" s="18">
        <v>4344</v>
      </c>
      <c r="AY29" s="18">
        <v>1956</v>
      </c>
      <c r="AZ29" s="18">
        <v>1025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76">
        <f t="shared" ref="BM29:CC29" si="120">BL29</f>
        <v>0</v>
      </c>
      <c r="BN29" s="76">
        <f t="shared" si="120"/>
        <v>0</v>
      </c>
      <c r="BO29" s="76">
        <f t="shared" si="120"/>
        <v>0</v>
      </c>
      <c r="BP29" s="76">
        <f t="shared" si="120"/>
        <v>0</v>
      </c>
      <c r="BQ29" s="76">
        <f t="shared" si="120"/>
        <v>0</v>
      </c>
      <c r="BR29" s="76">
        <f t="shared" si="120"/>
        <v>0</v>
      </c>
      <c r="BS29" s="76">
        <f t="shared" si="120"/>
        <v>0</v>
      </c>
      <c r="BT29" s="76">
        <f t="shared" si="120"/>
        <v>0</v>
      </c>
      <c r="BU29" s="76">
        <f t="shared" si="120"/>
        <v>0</v>
      </c>
      <c r="BV29" s="76">
        <f t="shared" si="120"/>
        <v>0</v>
      </c>
      <c r="BW29" s="76">
        <f t="shared" si="120"/>
        <v>0</v>
      </c>
      <c r="BX29" s="76">
        <f t="shared" si="120"/>
        <v>0</v>
      </c>
      <c r="BY29" s="76">
        <f t="shared" si="120"/>
        <v>0</v>
      </c>
      <c r="BZ29" s="76">
        <f t="shared" si="120"/>
        <v>0</v>
      </c>
      <c r="CA29" s="76">
        <f t="shared" si="120"/>
        <v>0</v>
      </c>
      <c r="CB29" s="76">
        <f t="shared" si="120"/>
        <v>0</v>
      </c>
      <c r="CC29" s="76">
        <f t="shared" si="120"/>
        <v>0</v>
      </c>
      <c r="CD29" s="76">
        <f t="shared" ref="CD29" si="121">CC29</f>
        <v>0</v>
      </c>
      <c r="CE29" s="76">
        <f t="shared" ref="CE29" si="122">CD29</f>
        <v>0</v>
      </c>
      <c r="CF29" s="76">
        <f t="shared" ref="CF29" si="123">CE29</f>
        <v>0</v>
      </c>
      <c r="CG29" s="76">
        <f t="shared" ref="CG29" si="124">CF29</f>
        <v>0</v>
      </c>
      <c r="CH29" s="76"/>
      <c r="CI29" s="89">
        <f t="shared" si="77"/>
        <v>37</v>
      </c>
      <c r="CJ29" s="95">
        <f t="shared" si="78"/>
        <v>197</v>
      </c>
      <c r="CK29" s="89">
        <f t="shared" si="79"/>
        <v>240</v>
      </c>
      <c r="CL29" s="89">
        <f t="shared" si="80"/>
        <v>24</v>
      </c>
      <c r="CM29" s="20">
        <f t="shared" si="81"/>
        <v>96</v>
      </c>
      <c r="CN29" s="89">
        <f t="shared" si="82"/>
        <v>302</v>
      </c>
      <c r="CO29" s="20">
        <f t="shared" si="83"/>
        <v>554</v>
      </c>
      <c r="CP29" s="89">
        <f t="shared" si="84"/>
        <v>881</v>
      </c>
      <c r="CQ29" s="89">
        <f t="shared" si="85"/>
        <v>69</v>
      </c>
      <c r="CR29" s="89">
        <f t="shared" si="86"/>
        <v>274</v>
      </c>
      <c r="CS29" s="89">
        <f t="shared" si="87"/>
        <v>1485</v>
      </c>
      <c r="CT29" s="20">
        <f t="shared" si="88"/>
        <v>808</v>
      </c>
      <c r="CU29" s="89">
        <f t="shared" si="89"/>
        <v>0</v>
      </c>
      <c r="CV29" s="89">
        <f t="shared" si="90"/>
        <v>0</v>
      </c>
      <c r="CW29" s="89">
        <f t="shared" si="91"/>
        <v>0</v>
      </c>
      <c r="CX29" s="89">
        <f t="shared" si="92"/>
        <v>0</v>
      </c>
      <c r="CY29" s="96">
        <f t="shared" si="93"/>
        <v>0</v>
      </c>
      <c r="CZ29" s="96">
        <f t="shared" si="94"/>
        <v>0</v>
      </c>
      <c r="DA29" s="96">
        <f t="shared" si="95"/>
        <v>0</v>
      </c>
      <c r="DB29" s="96">
        <f t="shared" si="96"/>
        <v>0</v>
      </c>
      <c r="DC29" s="96">
        <f t="shared" si="97"/>
        <v>0</v>
      </c>
    </row>
    <row r="30" spans="1:107" x14ac:dyDescent="0.2">
      <c r="A30" s="4" t="s">
        <v>222</v>
      </c>
      <c r="B30" s="21">
        <f>SUM(B22:B29)</f>
        <v>2922</v>
      </c>
      <c r="C30" s="21">
        <f t="shared" ref="C30:BN30" si="125">SUM(C22:C29)</f>
        <v>5747</v>
      </c>
      <c r="D30" s="21">
        <f t="shared" si="125"/>
        <v>8530</v>
      </c>
      <c r="E30" s="21">
        <f t="shared" si="125"/>
        <v>9996</v>
      </c>
      <c r="F30" s="21">
        <f t="shared" si="125"/>
        <v>9332</v>
      </c>
      <c r="G30" s="21">
        <f t="shared" si="125"/>
        <v>7798</v>
      </c>
      <c r="H30" s="21">
        <f t="shared" si="125"/>
        <v>8888</v>
      </c>
      <c r="I30" s="21">
        <f t="shared" si="125"/>
        <v>8913</v>
      </c>
      <c r="J30" s="21">
        <f t="shared" si="125"/>
        <v>9742</v>
      </c>
      <c r="K30" s="21">
        <f t="shared" si="125"/>
        <v>14028</v>
      </c>
      <c r="L30" s="21">
        <f t="shared" si="125"/>
        <v>14434</v>
      </c>
      <c r="M30" s="21">
        <f t="shared" si="125"/>
        <v>14337</v>
      </c>
      <c r="N30" s="21">
        <f t="shared" si="125"/>
        <v>13252</v>
      </c>
      <c r="O30" s="21">
        <f t="shared" si="125"/>
        <v>15329</v>
      </c>
      <c r="P30" s="21">
        <f t="shared" si="125"/>
        <v>14475</v>
      </c>
      <c r="Q30" s="21">
        <f t="shared" si="125"/>
        <v>15908</v>
      </c>
      <c r="R30" s="21">
        <f t="shared" si="125"/>
        <v>16270</v>
      </c>
      <c r="S30" s="21">
        <f t="shared" si="125"/>
        <v>17097</v>
      </c>
      <c r="T30" s="21">
        <f t="shared" si="125"/>
        <v>17920</v>
      </c>
      <c r="U30" s="21">
        <f t="shared" si="125"/>
        <v>16805</v>
      </c>
      <c r="V30" s="21">
        <f t="shared" si="125"/>
        <v>14336</v>
      </c>
      <c r="W30" s="21">
        <f t="shared" si="125"/>
        <v>17362</v>
      </c>
      <c r="X30" s="21">
        <f t="shared" si="125"/>
        <v>18457</v>
      </c>
      <c r="Y30" s="21">
        <f t="shared" si="125"/>
        <v>19310</v>
      </c>
      <c r="Z30" s="21">
        <f t="shared" si="125"/>
        <v>17684</v>
      </c>
      <c r="AA30" s="21">
        <f t="shared" si="125"/>
        <v>17341</v>
      </c>
      <c r="AB30" s="21">
        <f t="shared" si="125"/>
        <v>14323</v>
      </c>
      <c r="AC30" s="21">
        <f t="shared" si="125"/>
        <v>16756</v>
      </c>
      <c r="AD30" s="21">
        <f t="shared" si="125"/>
        <v>15256</v>
      </c>
      <c r="AE30" s="21">
        <f t="shared" si="125"/>
        <v>18685</v>
      </c>
      <c r="AF30" s="21">
        <f t="shared" si="125"/>
        <v>20693</v>
      </c>
      <c r="AG30" s="21">
        <f t="shared" si="125"/>
        <v>24183</v>
      </c>
      <c r="AH30" s="21">
        <f t="shared" si="125"/>
        <v>25394</v>
      </c>
      <c r="AI30" s="21">
        <f t="shared" si="125"/>
        <v>29903</v>
      </c>
      <c r="AJ30" s="21">
        <f t="shared" si="125"/>
        <v>31301</v>
      </c>
      <c r="AK30" s="21">
        <f t="shared" si="125"/>
        <v>34620</v>
      </c>
      <c r="AL30" s="21">
        <f t="shared" si="125"/>
        <v>34910</v>
      </c>
      <c r="AM30" s="21">
        <f t="shared" si="125"/>
        <v>37000</v>
      </c>
      <c r="AN30" s="21">
        <f t="shared" si="125"/>
        <v>39224</v>
      </c>
      <c r="AO30" s="21">
        <f t="shared" si="125"/>
        <v>45221</v>
      </c>
      <c r="AP30" s="21">
        <f t="shared" si="125"/>
        <v>40189</v>
      </c>
      <c r="AQ30" s="21">
        <f t="shared" si="125"/>
        <v>43658</v>
      </c>
      <c r="AR30" s="21">
        <f t="shared" si="125"/>
        <v>48200</v>
      </c>
      <c r="AS30" s="21">
        <f t="shared" si="125"/>
        <v>56834</v>
      </c>
      <c r="AT30" s="21">
        <f t="shared" si="125"/>
        <v>55453</v>
      </c>
      <c r="AU30" s="21">
        <f t="shared" si="125"/>
        <v>55741</v>
      </c>
      <c r="AV30" s="21">
        <f t="shared" si="125"/>
        <v>61782</v>
      </c>
      <c r="AW30" s="21">
        <f>SUM(AW22:AW29)</f>
        <v>64254</v>
      </c>
      <c r="AX30" s="21">
        <f t="shared" si="125"/>
        <v>61948</v>
      </c>
      <c r="AY30" s="21">
        <f t="shared" si="125"/>
        <v>61354</v>
      </c>
      <c r="AZ30" s="21">
        <f t="shared" si="125"/>
        <v>65979</v>
      </c>
      <c r="BA30" s="21">
        <f t="shared" si="125"/>
        <v>69300</v>
      </c>
      <c r="BB30" s="21">
        <f t="shared" si="125"/>
        <v>68854</v>
      </c>
      <c r="BC30" s="21">
        <f t="shared" si="125"/>
        <v>77709</v>
      </c>
      <c r="BD30" s="21">
        <f t="shared" si="125"/>
        <v>86295</v>
      </c>
      <c r="BE30" s="21">
        <f t="shared" si="125"/>
        <v>81814</v>
      </c>
      <c r="BF30" s="21">
        <f t="shared" si="125"/>
        <v>76997</v>
      </c>
      <c r="BG30" s="21">
        <f t="shared" si="125"/>
        <v>77913</v>
      </c>
      <c r="BH30" s="21">
        <f t="shared" si="125"/>
        <v>80803</v>
      </c>
      <c r="BI30" s="21">
        <f t="shared" si="125"/>
        <v>89122</v>
      </c>
      <c r="BJ30" s="21">
        <f t="shared" si="125"/>
        <v>91654</v>
      </c>
      <c r="BK30" s="21">
        <f t="shared" si="125"/>
        <v>87310</v>
      </c>
      <c r="BL30" s="21">
        <f t="shared" si="125"/>
        <v>99550</v>
      </c>
      <c r="BM30" s="21">
        <f t="shared" si="125"/>
        <v>106741.84175542965</v>
      </c>
      <c r="BN30" s="21">
        <f t="shared" si="125"/>
        <v>110474.07876748864</v>
      </c>
      <c r="BO30" s="21">
        <f t="shared" ref="BO30:CY30" si="126">SUM(BO22:BO29)</f>
        <v>103722.1279366689</v>
      </c>
      <c r="BP30" s="21">
        <f t="shared" si="126"/>
        <v>117223.05062506409</v>
      </c>
      <c r="BQ30" s="21">
        <f t="shared" si="126"/>
        <v>125937.48041940965</v>
      </c>
      <c r="BR30" s="21">
        <f t="shared" ref="BR30:BU30" si="127">SUM(BR22:BR29)</f>
        <v>131096.22153632317</v>
      </c>
      <c r="BS30" s="21">
        <f t="shared" si="127"/>
        <v>122630.22176833078</v>
      </c>
      <c r="BT30" s="21">
        <f t="shared" si="127"/>
        <v>138605.22546285923</v>
      </c>
      <c r="BU30" s="21">
        <f t="shared" si="127"/>
        <v>148092.8076163748</v>
      </c>
      <c r="BV30" s="21">
        <f t="shared" ref="BV30:CC30" si="128">SUM(BV22:BV29)</f>
        <v>153677.0905913325</v>
      </c>
      <c r="BW30" s="21">
        <f t="shared" si="128"/>
        <v>143305.71878925408</v>
      </c>
      <c r="BX30" s="21">
        <f t="shared" si="128"/>
        <v>162001.29162096296</v>
      </c>
      <c r="BY30" s="21">
        <f t="shared" si="128"/>
        <v>172293.85444745963</v>
      </c>
      <c r="BZ30" s="21">
        <f t="shared" si="128"/>
        <v>177057.00616272385</v>
      </c>
      <c r="CA30" s="21">
        <f t="shared" si="128"/>
        <v>164729.48053091805</v>
      </c>
      <c r="CB30" s="21">
        <f t="shared" si="128"/>
        <v>186230.30572041633</v>
      </c>
      <c r="CC30" s="21">
        <f t="shared" si="128"/>
        <v>197416.27923227946</v>
      </c>
      <c r="CD30" s="21">
        <f t="shared" ref="CD30:CG30" si="129">SUM(CD22:CD29)</f>
        <v>201769.47659970116</v>
      </c>
      <c r="CE30" s="21">
        <f t="shared" si="129"/>
        <v>187220.44644337369</v>
      </c>
      <c r="CF30" s="21">
        <f t="shared" si="129"/>
        <v>211701.35387838961</v>
      </c>
      <c r="CG30" s="21">
        <f t="shared" si="129"/>
        <v>223757.0499106888</v>
      </c>
      <c r="CH30" s="21"/>
      <c r="CI30" s="90">
        <f>SUM(CI22:CI29)</f>
        <v>9996</v>
      </c>
      <c r="CJ30" s="97">
        <f t="shared" si="126"/>
        <v>8913</v>
      </c>
      <c r="CK30" s="90">
        <f t="shared" si="126"/>
        <v>14337</v>
      </c>
      <c r="CL30" s="90">
        <f t="shared" si="126"/>
        <v>15908</v>
      </c>
      <c r="CM30" s="21">
        <f t="shared" si="126"/>
        <v>16805</v>
      </c>
      <c r="CN30" s="90">
        <f t="shared" si="126"/>
        <v>19310</v>
      </c>
      <c r="CO30" s="21">
        <f t="shared" si="126"/>
        <v>16756</v>
      </c>
      <c r="CP30" s="90">
        <f t="shared" si="126"/>
        <v>24183</v>
      </c>
      <c r="CQ30" s="90">
        <f t="shared" si="126"/>
        <v>34620</v>
      </c>
      <c r="CR30" s="90">
        <f t="shared" si="126"/>
        <v>45221</v>
      </c>
      <c r="CS30" s="90">
        <f t="shared" si="126"/>
        <v>56834</v>
      </c>
      <c r="CT30" s="21">
        <f t="shared" si="126"/>
        <v>64254</v>
      </c>
      <c r="CU30" s="90">
        <f t="shared" si="126"/>
        <v>69300</v>
      </c>
      <c r="CV30" s="90">
        <f t="shared" si="126"/>
        <v>81814</v>
      </c>
      <c r="CW30" s="90">
        <f t="shared" si="126"/>
        <v>89122</v>
      </c>
      <c r="CX30" s="90">
        <f t="shared" si="126"/>
        <v>106741.84175542965</v>
      </c>
      <c r="CY30" s="98">
        <f t="shared" si="126"/>
        <v>125937.48041940965</v>
      </c>
      <c r="CZ30" s="98">
        <f t="shared" ref="CZ30" si="130">SUM(CZ22:CZ29)</f>
        <v>148092.8076163748</v>
      </c>
      <c r="DA30" s="98">
        <f>SUM(DA22:DA29)</f>
        <v>172293.85444745963</v>
      </c>
      <c r="DB30" s="98">
        <f t="shared" ref="DB30" si="131">SUM(DB22:DB29)</f>
        <v>197416.27923227946</v>
      </c>
      <c r="DC30" s="98">
        <f>SUM(DC22:DC29)</f>
        <v>223757.0499106888</v>
      </c>
    </row>
    <row r="31" spans="1:107" x14ac:dyDescent="0.2">
      <c r="BM31" s="20"/>
      <c r="BN31" s="20"/>
      <c r="CI31" s="92"/>
      <c r="CJ31" s="57"/>
      <c r="CK31" s="92"/>
      <c r="CL31" s="92"/>
      <c r="CN31" s="92"/>
      <c r="CP31" s="92"/>
      <c r="CQ31" s="92"/>
      <c r="CR31" s="92"/>
      <c r="CS31" s="92"/>
      <c r="CU31" s="92"/>
      <c r="CV31" s="92"/>
      <c r="CW31" s="92"/>
      <c r="CX31" s="92"/>
      <c r="CY31" s="101"/>
      <c r="CZ31" s="101"/>
      <c r="DA31" s="101"/>
      <c r="DB31" s="101"/>
      <c r="DC31" s="101"/>
    </row>
    <row r="32" spans="1:107" x14ac:dyDescent="0.2">
      <c r="A32" s="1" t="s">
        <v>223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2985</v>
      </c>
      <c r="H32" s="17">
        <v>2986</v>
      </c>
      <c r="I32" s="17">
        <v>2986</v>
      </c>
      <c r="J32" s="17">
        <v>2987</v>
      </c>
      <c r="K32" s="17">
        <v>2987</v>
      </c>
      <c r="L32" s="17">
        <v>2988</v>
      </c>
      <c r="M32" s="17">
        <v>2988</v>
      </c>
      <c r="N32" s="17">
        <v>2989</v>
      </c>
      <c r="O32" s="17">
        <v>1989</v>
      </c>
      <c r="P32" s="17">
        <v>2238</v>
      </c>
      <c r="Q32" s="17">
        <v>2236</v>
      </c>
      <c r="R32" s="17">
        <v>3234</v>
      </c>
      <c r="S32" s="17">
        <v>3232</v>
      </c>
      <c r="T32" s="17">
        <v>3230</v>
      </c>
      <c r="U32" s="17">
        <v>3228</v>
      </c>
      <c r="V32" s="17">
        <v>3226</v>
      </c>
      <c r="W32" s="17">
        <v>2225</v>
      </c>
      <c r="X32" s="17">
        <v>1994</v>
      </c>
      <c r="Y32" s="17">
        <v>1995</v>
      </c>
      <c r="Z32" s="17">
        <v>1987</v>
      </c>
      <c r="AA32" s="17">
        <v>1984</v>
      </c>
      <c r="AB32" s="17">
        <v>3938</v>
      </c>
      <c r="AC32" s="17">
        <v>3935</v>
      </c>
      <c r="AD32" s="17">
        <v>3937</v>
      </c>
      <c r="AE32" s="17">
        <v>3955</v>
      </c>
      <c r="AF32" s="17">
        <v>3964</v>
      </c>
      <c r="AG32" s="17">
        <v>3969</v>
      </c>
      <c r="AH32" s="17">
        <v>3973</v>
      </c>
      <c r="AI32" s="17">
        <v>3981</v>
      </c>
      <c r="AJ32" s="17">
        <v>3986</v>
      </c>
      <c r="AK32" s="17">
        <v>4012</v>
      </c>
      <c r="AL32" s="17">
        <v>4066</v>
      </c>
      <c r="AM32" s="17">
        <v>4074</v>
      </c>
      <c r="AN32" s="17">
        <v>4082</v>
      </c>
      <c r="AO32" s="17">
        <v>4554</v>
      </c>
      <c r="AP32" s="17">
        <v>5016</v>
      </c>
      <c r="AQ32" s="17">
        <v>4018</v>
      </c>
      <c r="AR32" s="17">
        <v>13902</v>
      </c>
      <c r="AS32" s="17">
        <v>13932</v>
      </c>
      <c r="AT32" s="17">
        <v>13887</v>
      </c>
      <c r="AU32" s="18">
        <v>14328</v>
      </c>
      <c r="AV32" s="18">
        <v>14288</v>
      </c>
      <c r="AW32" s="18">
        <v>14817</v>
      </c>
      <c r="AX32" s="18">
        <v>14791</v>
      </c>
      <c r="AY32" s="18">
        <v>14734</v>
      </c>
      <c r="AZ32" s="18">
        <v>14653</v>
      </c>
      <c r="BA32" s="18">
        <v>14701</v>
      </c>
      <c r="BB32" s="18">
        <v>13697</v>
      </c>
      <c r="BC32" s="18">
        <v>13705</v>
      </c>
      <c r="BD32" s="18">
        <v>13781</v>
      </c>
      <c r="BE32" s="18">
        <v>13253</v>
      </c>
      <c r="BF32" s="18">
        <v>13228</v>
      </c>
      <c r="BG32" s="18">
        <v>13238</v>
      </c>
      <c r="BH32" s="18">
        <v>12297</v>
      </c>
      <c r="BI32" s="18">
        <v>10883</v>
      </c>
      <c r="BJ32" s="18">
        <v>10886</v>
      </c>
      <c r="BK32" s="18">
        <v>23607</v>
      </c>
      <c r="BL32" s="18">
        <v>21607</v>
      </c>
      <c r="BM32" s="16">
        <f>'Debt &amp; Interest'!BM15</f>
        <v>21607</v>
      </c>
      <c r="BN32" s="16">
        <f>'Debt &amp; Interest'!BN15</f>
        <v>21607</v>
      </c>
      <c r="BO32" s="16">
        <f>'Debt &amp; Interest'!BO15</f>
        <v>21607</v>
      </c>
      <c r="BP32" s="16">
        <f>'Debt &amp; Interest'!BP15</f>
        <v>21607</v>
      </c>
      <c r="BQ32" s="16">
        <f>'Debt &amp; Interest'!BQ15</f>
        <v>21607</v>
      </c>
      <c r="BR32" s="16">
        <f>'Debt &amp; Interest'!BR15</f>
        <v>21607</v>
      </c>
      <c r="BS32" s="16">
        <f>'Debt &amp; Interest'!BS15</f>
        <v>21607</v>
      </c>
      <c r="BT32" s="16">
        <f>'Debt &amp; Interest'!BT15</f>
        <v>21607</v>
      </c>
      <c r="BU32" s="16">
        <f>'Debt &amp; Interest'!BU15</f>
        <v>21607</v>
      </c>
      <c r="BV32" s="16">
        <f>'Debt &amp; Interest'!BV15</f>
        <v>21607</v>
      </c>
      <c r="BW32" s="16">
        <f>'Debt &amp; Interest'!BW15</f>
        <v>21607</v>
      </c>
      <c r="BX32" s="16">
        <f>'Debt &amp; Interest'!BX15</f>
        <v>21607</v>
      </c>
      <c r="BY32" s="16">
        <f>'Debt &amp; Interest'!BY15</f>
        <v>21607</v>
      </c>
      <c r="BZ32" s="16">
        <f>'Debt &amp; Interest'!BZ15</f>
        <v>21607</v>
      </c>
      <c r="CA32" s="16">
        <f>'Debt &amp; Interest'!CA15</f>
        <v>21607</v>
      </c>
      <c r="CB32" s="16">
        <f>'Debt &amp; Interest'!CB15</f>
        <v>21607</v>
      </c>
      <c r="CC32" s="16">
        <f>'Debt &amp; Interest'!CC15</f>
        <v>21607</v>
      </c>
      <c r="CD32" s="16">
        <f>'Debt &amp; Interest'!CD15</f>
        <v>21607</v>
      </c>
      <c r="CE32" s="16">
        <f>'Debt &amp; Interest'!CE15</f>
        <v>21607</v>
      </c>
      <c r="CF32" s="16">
        <f>'Debt &amp; Interest'!CF15</f>
        <v>21607</v>
      </c>
      <c r="CG32" s="16">
        <f>'Debt &amp; Interest'!CG15</f>
        <v>21607</v>
      </c>
      <c r="CH32" s="72"/>
      <c r="CI32" s="89">
        <f t="shared" ref="CI32:CI37" si="132">E32</f>
        <v>0</v>
      </c>
      <c r="CJ32" s="95">
        <f t="shared" ref="CJ32:CJ37" si="133">I32</f>
        <v>2986</v>
      </c>
      <c r="CK32" s="89">
        <f t="shared" ref="CK32:CK37" si="134">M32</f>
        <v>2988</v>
      </c>
      <c r="CL32" s="89">
        <f t="shared" ref="CL32:CL37" si="135">Q32</f>
        <v>2236</v>
      </c>
      <c r="CM32" s="20">
        <f t="shared" ref="CM32:CM37" si="136">U32</f>
        <v>3228</v>
      </c>
      <c r="CN32" s="89">
        <f t="shared" ref="CN32:CN37" si="137">Y32</f>
        <v>1995</v>
      </c>
      <c r="CO32" s="20">
        <f t="shared" ref="CO32:CO37" si="138">AC32</f>
        <v>3935</v>
      </c>
      <c r="CP32" s="89">
        <f t="shared" ref="CP32:CP37" si="139">AG32</f>
        <v>3969</v>
      </c>
      <c r="CQ32" s="89">
        <f t="shared" ref="CQ32:CQ37" si="140">AK32</f>
        <v>4012</v>
      </c>
      <c r="CR32" s="89">
        <f t="shared" ref="CR32:CR37" si="141">AO32</f>
        <v>4554</v>
      </c>
      <c r="CS32" s="89">
        <f t="shared" ref="CS32:CS37" si="142">AS32</f>
        <v>13932</v>
      </c>
      <c r="CT32" s="20">
        <f t="shared" ref="CT32:CT37" si="143">AW32</f>
        <v>14817</v>
      </c>
      <c r="CU32" s="89">
        <f t="shared" ref="CU32:CU37" si="144">BA32</f>
        <v>14701</v>
      </c>
      <c r="CV32" s="89">
        <f t="shared" ref="CV32:CV37" si="145">BE32</f>
        <v>13253</v>
      </c>
      <c r="CW32" s="89">
        <f t="shared" ref="CW32:CW37" si="146">BI32</f>
        <v>10883</v>
      </c>
      <c r="CX32" s="89">
        <f t="shared" ref="CX32:CX37" si="147">BM32</f>
        <v>21607</v>
      </c>
      <c r="CY32" s="96">
        <f t="shared" ref="CY32:CY37" si="148">BQ32</f>
        <v>21607</v>
      </c>
      <c r="CZ32" s="96">
        <f t="shared" ref="CZ32:CZ36" si="149">BU32</f>
        <v>21607</v>
      </c>
      <c r="DA32" s="96">
        <f t="shared" ref="DA32:DA37" si="150">BY32</f>
        <v>21607</v>
      </c>
      <c r="DB32" s="96">
        <f t="shared" ref="DB32:DB37" si="151">CC32</f>
        <v>21607</v>
      </c>
      <c r="DC32" s="96">
        <f>CG32</f>
        <v>21607</v>
      </c>
    </row>
    <row r="33" spans="1:107" x14ac:dyDescent="0.2">
      <c r="A33" s="1" t="s">
        <v>224</v>
      </c>
      <c r="B33" s="17">
        <v>36</v>
      </c>
      <c r="C33" s="17">
        <v>31</v>
      </c>
      <c r="D33" s="17">
        <v>33</v>
      </c>
      <c r="E33" s="17">
        <v>35</v>
      </c>
      <c r="F33" s="17">
        <v>32</v>
      </c>
      <c r="G33" s="17">
        <v>28</v>
      </c>
      <c r="H33" s="17">
        <v>31</v>
      </c>
      <c r="I33" s="17">
        <v>44</v>
      </c>
      <c r="J33" s="17">
        <v>42</v>
      </c>
      <c r="K33" s="17">
        <v>97</v>
      </c>
      <c r="L33" s="17">
        <v>100</v>
      </c>
      <c r="M33" s="17">
        <v>100</v>
      </c>
      <c r="N33" s="17">
        <v>79</v>
      </c>
      <c r="O33" s="17">
        <v>132</v>
      </c>
      <c r="P33" s="17">
        <v>125</v>
      </c>
      <c r="Q33" s="17">
        <v>139</v>
      </c>
      <c r="R33" s="17">
        <v>103</v>
      </c>
      <c r="S33" s="17">
        <v>93</v>
      </c>
      <c r="T33" s="17">
        <v>154</v>
      </c>
      <c r="U33" s="17">
        <v>104</v>
      </c>
      <c r="V33" s="17">
        <v>93</v>
      </c>
      <c r="W33" s="17">
        <v>108</v>
      </c>
      <c r="X33" s="17">
        <v>133</v>
      </c>
      <c r="Y33" s="17">
        <v>151</v>
      </c>
      <c r="Z33" s="17">
        <v>131</v>
      </c>
      <c r="AA33" s="17">
        <v>151</v>
      </c>
      <c r="AB33" s="17">
        <v>169</v>
      </c>
      <c r="AC33" s="17">
        <v>202</v>
      </c>
      <c r="AD33" s="17">
        <v>323</v>
      </c>
      <c r="AE33" s="17">
        <v>345</v>
      </c>
      <c r="AF33" s="17">
        <v>346</v>
      </c>
      <c r="AG33" s="17">
        <v>340</v>
      </c>
      <c r="AH33" s="17">
        <v>315</v>
      </c>
      <c r="AI33" s="17">
        <v>358</v>
      </c>
      <c r="AJ33" s="17">
        <v>317</v>
      </c>
      <c r="AK33" s="17">
        <v>396</v>
      </c>
      <c r="AL33" s="17">
        <v>391</v>
      </c>
      <c r="AM33" s="17">
        <v>387</v>
      </c>
      <c r="AN33" s="17">
        <v>364</v>
      </c>
      <c r="AO33" s="17">
        <v>358</v>
      </c>
      <c r="AP33" s="17">
        <v>350</v>
      </c>
      <c r="AQ33" s="17">
        <v>397</v>
      </c>
      <c r="AR33" s="17">
        <v>454</v>
      </c>
      <c r="AS33" s="17">
        <v>481</v>
      </c>
      <c r="AT33" s="17">
        <v>530</v>
      </c>
      <c r="AU33" s="18">
        <v>510</v>
      </c>
      <c r="AV33" s="18">
        <v>510</v>
      </c>
      <c r="AW33" s="18">
        <v>535</v>
      </c>
      <c r="AX33" s="18">
        <v>499</v>
      </c>
      <c r="AY33" s="18">
        <v>472</v>
      </c>
      <c r="AZ33" s="18">
        <v>594</v>
      </c>
      <c r="BA33" s="18">
        <v>599</v>
      </c>
      <c r="BB33" s="18">
        <v>610</v>
      </c>
      <c r="BC33" s="18">
        <v>667</v>
      </c>
      <c r="BD33" s="18">
        <v>884</v>
      </c>
      <c r="BE33" s="18">
        <v>911</v>
      </c>
      <c r="BF33" s="18">
        <v>921</v>
      </c>
      <c r="BG33" s="18">
        <v>985</v>
      </c>
      <c r="BH33" s="18">
        <v>1015</v>
      </c>
      <c r="BI33" s="18">
        <v>0</v>
      </c>
      <c r="BJ33" s="18">
        <v>0</v>
      </c>
      <c r="BK33" s="18">
        <v>0</v>
      </c>
      <c r="BL33" s="18">
        <v>0</v>
      </c>
      <c r="BM33" s="72">
        <f>BL33+('Cash Flow Statement'!BM$20*BM60)</f>
        <v>0</v>
      </c>
      <c r="BN33" s="72">
        <f>BM33+('Cash Flow Statement'!BN$20*BN60)</f>
        <v>0</v>
      </c>
      <c r="BO33" s="72">
        <f>BN33+('Cash Flow Statement'!BO$20*BO60)</f>
        <v>0</v>
      </c>
      <c r="BP33" s="72">
        <f>BO33+('Cash Flow Statement'!BP$20*BP60)</f>
        <v>0</v>
      </c>
      <c r="BQ33" s="72">
        <f>BP33+('Cash Flow Statement'!BQ$20*BQ60)</f>
        <v>0</v>
      </c>
      <c r="BR33" s="72">
        <f>BQ33+('Cash Flow Statement'!BR$20*BR60)</f>
        <v>0</v>
      </c>
      <c r="BS33" s="72">
        <f>BR33+('Cash Flow Statement'!BS$20*BS60)</f>
        <v>0</v>
      </c>
      <c r="BT33" s="72">
        <f>BS33+('Cash Flow Statement'!BT$20*BT60)</f>
        <v>0</v>
      </c>
      <c r="BU33" s="72">
        <f>BT33+('Cash Flow Statement'!BU$20*BU60)</f>
        <v>0</v>
      </c>
      <c r="BV33" s="72">
        <f>BU33+('Cash Flow Statement'!BV$20*BV60)</f>
        <v>0</v>
      </c>
      <c r="BW33" s="72">
        <f>BV33+('Cash Flow Statement'!BW$20*BW60)</f>
        <v>0</v>
      </c>
      <c r="BX33" s="72">
        <f>BW33+('Cash Flow Statement'!BX$20*BX60)</f>
        <v>0</v>
      </c>
      <c r="BY33" s="72">
        <f>BX33+('Cash Flow Statement'!BY$20*BY60)</f>
        <v>0</v>
      </c>
      <c r="BZ33" s="72">
        <f>BY33+('Cash Flow Statement'!BZ$20*BZ60)</f>
        <v>0</v>
      </c>
      <c r="CA33" s="72">
        <f>BZ33+('Cash Flow Statement'!CA$20*CA60)</f>
        <v>0</v>
      </c>
      <c r="CB33" s="72">
        <f>CA33+('Cash Flow Statement'!CB$20*CB60)</f>
        <v>0</v>
      </c>
      <c r="CC33" s="72">
        <f>CB33+('Cash Flow Statement'!CC$20*CC60)</f>
        <v>0</v>
      </c>
      <c r="CD33" s="72">
        <f>CC33+('Cash Flow Statement'!CD$20*CD60)</f>
        <v>0</v>
      </c>
      <c r="CE33" s="72">
        <f>CD33+('Cash Flow Statement'!CE$20*CE60)</f>
        <v>0</v>
      </c>
      <c r="CF33" s="72">
        <f>CE33+('Cash Flow Statement'!CF$20*CF60)</f>
        <v>0</v>
      </c>
      <c r="CG33" s="72">
        <f>CF33+('Cash Flow Statement'!CG$20*CG60)</f>
        <v>0</v>
      </c>
      <c r="CH33" s="72"/>
      <c r="CI33" s="89">
        <f t="shared" si="132"/>
        <v>35</v>
      </c>
      <c r="CJ33" s="95">
        <f t="shared" si="133"/>
        <v>44</v>
      </c>
      <c r="CK33" s="89">
        <f t="shared" si="134"/>
        <v>100</v>
      </c>
      <c r="CL33" s="89">
        <f t="shared" si="135"/>
        <v>139</v>
      </c>
      <c r="CM33" s="20">
        <f t="shared" si="136"/>
        <v>104</v>
      </c>
      <c r="CN33" s="89">
        <f t="shared" si="137"/>
        <v>151</v>
      </c>
      <c r="CO33" s="20">
        <f t="shared" si="138"/>
        <v>202</v>
      </c>
      <c r="CP33" s="89">
        <f t="shared" si="139"/>
        <v>340</v>
      </c>
      <c r="CQ33" s="89">
        <f t="shared" si="140"/>
        <v>396</v>
      </c>
      <c r="CR33" s="89">
        <f t="shared" si="141"/>
        <v>358</v>
      </c>
      <c r="CS33" s="89">
        <f t="shared" si="142"/>
        <v>481</v>
      </c>
      <c r="CT33" s="20">
        <f t="shared" si="143"/>
        <v>535</v>
      </c>
      <c r="CU33" s="89">
        <f t="shared" si="144"/>
        <v>599</v>
      </c>
      <c r="CV33" s="89">
        <f t="shared" si="145"/>
        <v>911</v>
      </c>
      <c r="CW33" s="89">
        <f t="shared" si="146"/>
        <v>0</v>
      </c>
      <c r="CX33" s="89">
        <f t="shared" si="147"/>
        <v>0</v>
      </c>
      <c r="CY33" s="96">
        <f t="shared" si="148"/>
        <v>0</v>
      </c>
      <c r="CZ33" s="96">
        <f t="shared" si="149"/>
        <v>0</v>
      </c>
      <c r="DA33" s="96">
        <f t="shared" si="150"/>
        <v>0</v>
      </c>
      <c r="DB33" s="96">
        <f t="shared" si="151"/>
        <v>0</v>
      </c>
      <c r="DC33" s="96">
        <f t="shared" ref="DC33:DC37" si="152">CG33</f>
        <v>0</v>
      </c>
    </row>
    <row r="34" spans="1:107" x14ac:dyDescent="0.2">
      <c r="A34" s="1" t="s">
        <v>225</v>
      </c>
      <c r="B34" s="17">
        <v>1300</v>
      </c>
      <c r="C34" s="17">
        <v>1318</v>
      </c>
      <c r="D34" s="17">
        <v>1098</v>
      </c>
      <c r="E34" s="17">
        <v>1200</v>
      </c>
      <c r="F34" s="17">
        <v>1322</v>
      </c>
      <c r="G34" s="17">
        <v>1469</v>
      </c>
      <c r="H34" s="17">
        <v>1594</v>
      </c>
      <c r="I34" s="17">
        <v>1693</v>
      </c>
      <c r="J34" s="17">
        <v>1787</v>
      </c>
      <c r="K34" s="17">
        <v>1898</v>
      </c>
      <c r="L34" s="17">
        <v>2034</v>
      </c>
      <c r="M34" s="17">
        <v>2046</v>
      </c>
      <c r="N34" s="17">
        <v>2184</v>
      </c>
      <c r="O34" s="17">
        <v>2271</v>
      </c>
      <c r="P34" s="17">
        <v>2434</v>
      </c>
      <c r="Q34" s="17">
        <v>2638</v>
      </c>
      <c r="R34" s="17">
        <v>2826</v>
      </c>
      <c r="S34" s="17">
        <v>3002</v>
      </c>
      <c r="T34" s="17">
        <v>3117</v>
      </c>
      <c r="U34" s="17">
        <v>3340</v>
      </c>
      <c r="V34" s="17">
        <v>3717</v>
      </c>
      <c r="W34" s="17">
        <v>3615</v>
      </c>
      <c r="X34" s="17">
        <v>3596</v>
      </c>
      <c r="Y34" s="17">
        <v>3663</v>
      </c>
      <c r="Z34" s="17">
        <v>3812</v>
      </c>
      <c r="AA34" s="17">
        <v>4135</v>
      </c>
      <c r="AB34" s="17">
        <v>4461</v>
      </c>
      <c r="AC34" s="17">
        <v>4677</v>
      </c>
      <c r="AD34" s="17">
        <v>4924</v>
      </c>
      <c r="AE34" s="17">
        <v>4128</v>
      </c>
      <c r="AF34" s="17">
        <v>4358</v>
      </c>
      <c r="AG34" s="17">
        <v>12812</v>
      </c>
      <c r="AH34" s="17">
        <v>12885</v>
      </c>
      <c r="AI34" s="17">
        <v>11652</v>
      </c>
      <c r="AJ34" s="17">
        <v>11562</v>
      </c>
      <c r="AK34" s="17">
        <v>11327</v>
      </c>
      <c r="AL34" s="17">
        <v>11605</v>
      </c>
      <c r="AM34" s="17">
        <v>10969</v>
      </c>
      <c r="AN34" s="17">
        <v>11355</v>
      </c>
      <c r="AO34" s="17">
        <v>9885</v>
      </c>
      <c r="AP34" s="17">
        <v>9207</v>
      </c>
      <c r="AQ34" s="17">
        <v>8599</v>
      </c>
      <c r="AR34" s="17">
        <v>8616</v>
      </c>
      <c r="AS34" s="17">
        <v>8849</v>
      </c>
      <c r="AT34" s="17">
        <v>9278</v>
      </c>
      <c r="AU34" s="18">
        <v>8651</v>
      </c>
      <c r="AV34" s="18">
        <v>8984</v>
      </c>
      <c r="AW34" s="18">
        <v>9176</v>
      </c>
      <c r="AX34" s="18">
        <v>9406</v>
      </c>
      <c r="AY34" s="18">
        <v>8163</v>
      </c>
      <c r="AZ34" s="18">
        <v>8572</v>
      </c>
      <c r="BA34" s="18">
        <v>9258</v>
      </c>
      <c r="BB34" s="18">
        <v>9722</v>
      </c>
      <c r="BC34" s="18">
        <v>8753</v>
      </c>
      <c r="BD34" s="18">
        <v>8038</v>
      </c>
      <c r="BE34" s="18">
        <v>8474</v>
      </c>
      <c r="BF34" s="18">
        <v>9234</v>
      </c>
      <c r="BG34" s="18">
        <v>7703</v>
      </c>
      <c r="BH34" s="18">
        <v>8219</v>
      </c>
      <c r="BI34" s="18">
        <v>8782</v>
      </c>
      <c r="BJ34" s="18">
        <v>9773</v>
      </c>
      <c r="BK34" s="18">
        <v>10027</v>
      </c>
      <c r="BL34" s="18">
        <v>10072</v>
      </c>
      <c r="BM34" s="35">
        <f t="shared" ref="BM34:CC34" si="153">BL34</f>
        <v>10072</v>
      </c>
      <c r="BN34" s="35">
        <f t="shared" si="153"/>
        <v>10072</v>
      </c>
      <c r="BO34" s="35">
        <f t="shared" si="153"/>
        <v>10072</v>
      </c>
      <c r="BP34" s="35">
        <f t="shared" si="153"/>
        <v>10072</v>
      </c>
      <c r="BQ34" s="35">
        <f t="shared" si="153"/>
        <v>10072</v>
      </c>
      <c r="BR34" s="35">
        <f t="shared" si="153"/>
        <v>10072</v>
      </c>
      <c r="BS34" s="35">
        <f t="shared" si="153"/>
        <v>10072</v>
      </c>
      <c r="BT34" s="35">
        <f t="shared" si="153"/>
        <v>10072</v>
      </c>
      <c r="BU34" s="35">
        <f t="shared" si="153"/>
        <v>10072</v>
      </c>
      <c r="BV34" s="35">
        <f t="shared" si="153"/>
        <v>10072</v>
      </c>
      <c r="BW34" s="35">
        <f t="shared" si="153"/>
        <v>10072</v>
      </c>
      <c r="BX34" s="35">
        <f t="shared" si="153"/>
        <v>10072</v>
      </c>
      <c r="BY34" s="35">
        <f t="shared" si="153"/>
        <v>10072</v>
      </c>
      <c r="BZ34" s="35">
        <f t="shared" si="153"/>
        <v>10072</v>
      </c>
      <c r="CA34" s="35">
        <f t="shared" si="153"/>
        <v>10072</v>
      </c>
      <c r="CB34" s="35">
        <f t="shared" si="153"/>
        <v>10072</v>
      </c>
      <c r="CC34" s="35">
        <f t="shared" si="153"/>
        <v>10072</v>
      </c>
      <c r="CD34" s="35">
        <f t="shared" ref="CD34" si="154">CC34</f>
        <v>10072</v>
      </c>
      <c r="CE34" s="35">
        <f t="shared" ref="CE34" si="155">CD34</f>
        <v>10072</v>
      </c>
      <c r="CF34" s="35">
        <f t="shared" ref="CF34" si="156">CE34</f>
        <v>10072</v>
      </c>
      <c r="CG34" s="35">
        <f t="shared" ref="CG34" si="157">CF34</f>
        <v>10072</v>
      </c>
      <c r="CH34" s="35"/>
      <c r="CI34" s="89">
        <f t="shared" si="132"/>
        <v>1200</v>
      </c>
      <c r="CJ34" s="95">
        <f t="shared" si="133"/>
        <v>1693</v>
      </c>
      <c r="CK34" s="89">
        <f t="shared" si="134"/>
        <v>2046</v>
      </c>
      <c r="CL34" s="89">
        <f t="shared" si="135"/>
        <v>2638</v>
      </c>
      <c r="CM34" s="20">
        <f t="shared" si="136"/>
        <v>3340</v>
      </c>
      <c r="CN34" s="89">
        <f t="shared" si="137"/>
        <v>3663</v>
      </c>
      <c r="CO34" s="20">
        <f t="shared" si="138"/>
        <v>4677</v>
      </c>
      <c r="CP34" s="89">
        <f t="shared" si="139"/>
        <v>12812</v>
      </c>
      <c r="CQ34" s="89">
        <f t="shared" si="140"/>
        <v>11327</v>
      </c>
      <c r="CR34" s="89">
        <f t="shared" si="141"/>
        <v>9885</v>
      </c>
      <c r="CS34" s="89">
        <f t="shared" si="142"/>
        <v>8849</v>
      </c>
      <c r="CT34" s="20">
        <f t="shared" si="143"/>
        <v>9176</v>
      </c>
      <c r="CU34" s="89">
        <f t="shared" si="144"/>
        <v>9258</v>
      </c>
      <c r="CV34" s="89">
        <f t="shared" si="145"/>
        <v>8474</v>
      </c>
      <c r="CW34" s="89">
        <f t="shared" si="146"/>
        <v>8782</v>
      </c>
      <c r="CX34" s="89">
        <f t="shared" si="147"/>
        <v>10072</v>
      </c>
      <c r="CY34" s="96">
        <f t="shared" si="148"/>
        <v>10072</v>
      </c>
      <c r="CZ34" s="96">
        <f t="shared" si="149"/>
        <v>10072</v>
      </c>
      <c r="DA34" s="96">
        <f t="shared" si="150"/>
        <v>10072</v>
      </c>
      <c r="DB34" s="96">
        <f t="shared" si="151"/>
        <v>10072</v>
      </c>
      <c r="DC34" s="96">
        <f t="shared" si="152"/>
        <v>10072</v>
      </c>
    </row>
    <row r="35" spans="1:107" x14ac:dyDescent="0.2">
      <c r="A35" s="1" t="s">
        <v>145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129</v>
      </c>
      <c r="H35" s="17">
        <v>263</v>
      </c>
      <c r="I35" s="17">
        <v>287</v>
      </c>
      <c r="J35" s="17">
        <v>384</v>
      </c>
      <c r="K35" s="17">
        <v>1509</v>
      </c>
      <c r="L35" s="17">
        <v>1461</v>
      </c>
      <c r="M35" s="17">
        <v>1872</v>
      </c>
      <c r="N35" s="17">
        <v>1978</v>
      </c>
      <c r="O35" s="17">
        <v>1905</v>
      </c>
      <c r="P35" s="17">
        <v>2097</v>
      </c>
      <c r="Q35" s="17">
        <v>1947</v>
      </c>
      <c r="R35" s="17">
        <v>1848</v>
      </c>
      <c r="S35" s="17">
        <v>1625</v>
      </c>
      <c r="T35" s="17">
        <v>1554</v>
      </c>
      <c r="U35" s="17">
        <v>1971</v>
      </c>
      <c r="V35" s="17">
        <v>1845</v>
      </c>
      <c r="W35" s="17">
        <v>1754</v>
      </c>
      <c r="X35" s="17">
        <v>1976</v>
      </c>
      <c r="Y35" s="17">
        <v>189</v>
      </c>
      <c r="Z35" s="17">
        <v>599</v>
      </c>
      <c r="AA35" s="17">
        <v>651</v>
      </c>
      <c r="AB35" s="17">
        <v>393</v>
      </c>
      <c r="AC35" s="17">
        <v>226</v>
      </c>
      <c r="AD35" s="17">
        <v>604</v>
      </c>
      <c r="AE35" s="17">
        <v>369</v>
      </c>
      <c r="AF35" s="17">
        <v>151</v>
      </c>
      <c r="AG35" s="17">
        <v>430</v>
      </c>
      <c r="AH35" s="17">
        <v>394</v>
      </c>
      <c r="AI35" s="17">
        <v>479</v>
      </c>
      <c r="AJ35" s="17">
        <v>1318</v>
      </c>
      <c r="AK35" s="17">
        <v>1264</v>
      </c>
      <c r="AL35" s="17">
        <v>1282</v>
      </c>
      <c r="AM35" s="17">
        <v>1892</v>
      </c>
      <c r="AN35" s="17">
        <v>1747</v>
      </c>
      <c r="AO35" s="17">
        <v>1701</v>
      </c>
      <c r="AP35" s="17">
        <v>2079</v>
      </c>
      <c r="AQ35" s="17">
        <v>1797</v>
      </c>
      <c r="AR35" s="17">
        <v>1973</v>
      </c>
      <c r="AS35" s="17">
        <v>3561</v>
      </c>
      <c r="AT35" s="17">
        <v>4406</v>
      </c>
      <c r="AU35" s="18">
        <v>4703</v>
      </c>
      <c r="AV35" s="18">
        <v>3551</v>
      </c>
      <c r="AW35" s="18">
        <v>5257</v>
      </c>
      <c r="AX35" s="18">
        <v>2843</v>
      </c>
      <c r="AY35" s="18">
        <v>924</v>
      </c>
      <c r="AZ35" s="18">
        <v>476</v>
      </c>
      <c r="BA35" s="18">
        <v>514</v>
      </c>
      <c r="BB35" s="18">
        <v>542</v>
      </c>
      <c r="BC35" s="18">
        <v>558</v>
      </c>
      <c r="BD35" s="18">
        <v>528</v>
      </c>
      <c r="BE35" s="18">
        <v>485</v>
      </c>
      <c r="BF35" s="18">
        <v>486</v>
      </c>
      <c r="BG35" s="18">
        <v>717</v>
      </c>
      <c r="BH35" s="18">
        <v>706</v>
      </c>
      <c r="BI35" s="18">
        <v>0</v>
      </c>
      <c r="BJ35" s="18">
        <v>0</v>
      </c>
      <c r="BK35" s="18">
        <v>0</v>
      </c>
      <c r="BL35" s="18">
        <v>0</v>
      </c>
      <c r="BM35" s="16">
        <f>BM56*'Cash Flow Statement'!BM$51</f>
        <v>0</v>
      </c>
      <c r="BN35" s="16">
        <f>BN56*'Cash Flow Statement'!BN$51</f>
        <v>0</v>
      </c>
      <c r="BO35" s="16">
        <f>BO56*'Cash Flow Statement'!BO$51</f>
        <v>0</v>
      </c>
      <c r="BP35" s="16">
        <f>BP56*'Cash Flow Statement'!BP$51</f>
        <v>0</v>
      </c>
      <c r="BQ35" s="16">
        <f>BQ56*'Cash Flow Statement'!BQ$51</f>
        <v>0</v>
      </c>
      <c r="BR35" s="72">
        <f>BR56*'Cash Flow Statement'!BR$51</f>
        <v>0</v>
      </c>
      <c r="BS35" s="72">
        <f>BS56*'Cash Flow Statement'!BS$51</f>
        <v>0</v>
      </c>
      <c r="BT35" s="72">
        <f>BT56*'Cash Flow Statement'!BT$51</f>
        <v>0</v>
      </c>
      <c r="BU35" s="72">
        <f>BU56*'Cash Flow Statement'!BU$51</f>
        <v>0</v>
      </c>
      <c r="BV35" s="72">
        <f>BV56*'Cash Flow Statement'!BV$51</f>
        <v>0</v>
      </c>
      <c r="BW35" s="72">
        <f>BW56*'Cash Flow Statement'!BW$51</f>
        <v>0</v>
      </c>
      <c r="BX35" s="72">
        <f>BX56*'Cash Flow Statement'!BX$51</f>
        <v>0</v>
      </c>
      <c r="BY35" s="72">
        <f>BY56*'Cash Flow Statement'!BY$51</f>
        <v>0</v>
      </c>
      <c r="BZ35" s="72">
        <f>BZ56*'Cash Flow Statement'!BZ$51</f>
        <v>0</v>
      </c>
      <c r="CA35" s="72">
        <f>CA56*'Cash Flow Statement'!CA$51</f>
        <v>0</v>
      </c>
      <c r="CB35" s="72">
        <f>CB56*'Cash Flow Statement'!CB$51</f>
        <v>0</v>
      </c>
      <c r="CC35" s="72">
        <f>CC56*'Cash Flow Statement'!CC$51</f>
        <v>0</v>
      </c>
      <c r="CD35" s="72">
        <f>CD56*'Cash Flow Statement'!CD$51</f>
        <v>0</v>
      </c>
      <c r="CE35" s="72">
        <f>CE56*'Cash Flow Statement'!CE$51</f>
        <v>0</v>
      </c>
      <c r="CF35" s="72">
        <f>CF56*'Cash Flow Statement'!CF$51</f>
        <v>0</v>
      </c>
      <c r="CG35" s="72">
        <f>CG56*'Cash Flow Statement'!CG$51</f>
        <v>0</v>
      </c>
      <c r="CH35" s="72"/>
      <c r="CI35" s="89">
        <f t="shared" si="132"/>
        <v>0</v>
      </c>
      <c r="CJ35" s="95">
        <f t="shared" si="133"/>
        <v>287</v>
      </c>
      <c r="CK35" s="89">
        <f t="shared" si="134"/>
        <v>1872</v>
      </c>
      <c r="CL35" s="89">
        <f t="shared" si="135"/>
        <v>1947</v>
      </c>
      <c r="CM35" s="20">
        <f t="shared" si="136"/>
        <v>1971</v>
      </c>
      <c r="CN35" s="89">
        <f t="shared" si="137"/>
        <v>189</v>
      </c>
      <c r="CO35" s="20">
        <f t="shared" si="138"/>
        <v>226</v>
      </c>
      <c r="CP35" s="89">
        <f t="shared" si="139"/>
        <v>430</v>
      </c>
      <c r="CQ35" s="89">
        <f t="shared" si="140"/>
        <v>1264</v>
      </c>
      <c r="CR35" s="89">
        <f t="shared" si="141"/>
        <v>1701</v>
      </c>
      <c r="CS35" s="89">
        <f t="shared" si="142"/>
        <v>3561</v>
      </c>
      <c r="CT35" s="20">
        <f t="shared" si="143"/>
        <v>5257</v>
      </c>
      <c r="CU35" s="89">
        <f t="shared" si="144"/>
        <v>514</v>
      </c>
      <c r="CV35" s="89">
        <f t="shared" si="145"/>
        <v>485</v>
      </c>
      <c r="CW35" s="89">
        <f t="shared" si="146"/>
        <v>0</v>
      </c>
      <c r="CX35" s="89">
        <f t="shared" si="147"/>
        <v>0</v>
      </c>
      <c r="CY35" s="96">
        <f t="shared" si="148"/>
        <v>0</v>
      </c>
      <c r="CZ35" s="96">
        <f t="shared" si="149"/>
        <v>0</v>
      </c>
      <c r="DA35" s="96">
        <f t="shared" si="150"/>
        <v>0</v>
      </c>
      <c r="DB35" s="96">
        <f t="shared" si="151"/>
        <v>0</v>
      </c>
      <c r="DC35" s="96">
        <f t="shared" si="152"/>
        <v>0</v>
      </c>
    </row>
    <row r="36" spans="1:107" x14ac:dyDescent="0.2">
      <c r="A36" s="1" t="s">
        <v>226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8206</v>
      </c>
      <c r="AM36" s="17">
        <v>9088</v>
      </c>
      <c r="AN36" s="17">
        <v>9666</v>
      </c>
      <c r="AO36" s="17">
        <v>10214</v>
      </c>
      <c r="AP36" s="17">
        <v>10476</v>
      </c>
      <c r="AQ36" s="17">
        <v>10709</v>
      </c>
      <c r="AR36" s="17">
        <v>10984</v>
      </c>
      <c r="AS36" s="17">
        <v>11146</v>
      </c>
      <c r="AT36" s="17">
        <v>11382</v>
      </c>
      <c r="AU36" s="18">
        <v>11619</v>
      </c>
      <c r="AV36" s="18">
        <v>11471</v>
      </c>
      <c r="AW36" s="18">
        <v>11389</v>
      </c>
      <c r="AX36" s="18">
        <v>11363</v>
      </c>
      <c r="AY36" s="18">
        <v>11697</v>
      </c>
      <c r="AZ36" s="18">
        <v>11984</v>
      </c>
      <c r="BA36" s="18">
        <v>12501</v>
      </c>
      <c r="BB36" s="18">
        <v>12799</v>
      </c>
      <c r="BC36" s="18">
        <v>12746</v>
      </c>
      <c r="BD36" s="18">
        <v>12550</v>
      </c>
      <c r="BE36" s="18">
        <v>12460</v>
      </c>
      <c r="BF36" s="18">
        <v>11957</v>
      </c>
      <c r="BG36" s="18">
        <v>11708</v>
      </c>
      <c r="BH36" s="18">
        <v>11654</v>
      </c>
      <c r="BI36" s="18">
        <v>11691</v>
      </c>
      <c r="BJ36" s="18">
        <v>11678</v>
      </c>
      <c r="BK36" s="18">
        <v>11952</v>
      </c>
      <c r="BL36" s="18">
        <v>12106</v>
      </c>
      <c r="BM36" s="35">
        <f t="shared" ref="BM36:CC37" si="158">BL36</f>
        <v>12106</v>
      </c>
      <c r="BN36" s="35">
        <f t="shared" si="158"/>
        <v>12106</v>
      </c>
      <c r="BO36" s="35">
        <f t="shared" si="158"/>
        <v>12106</v>
      </c>
      <c r="BP36" s="35">
        <f t="shared" si="158"/>
        <v>12106</v>
      </c>
      <c r="BQ36" s="35">
        <f t="shared" si="158"/>
        <v>12106</v>
      </c>
      <c r="BR36" s="35">
        <f t="shared" si="158"/>
        <v>12106</v>
      </c>
      <c r="BS36" s="35">
        <f t="shared" si="158"/>
        <v>12106</v>
      </c>
      <c r="BT36" s="35">
        <f t="shared" si="158"/>
        <v>12106</v>
      </c>
      <c r="BU36" s="35">
        <f t="shared" si="158"/>
        <v>12106</v>
      </c>
      <c r="BV36" s="35">
        <f t="shared" si="158"/>
        <v>12106</v>
      </c>
      <c r="BW36" s="35">
        <f t="shared" si="158"/>
        <v>12106</v>
      </c>
      <c r="BX36" s="35">
        <f t="shared" si="158"/>
        <v>12106</v>
      </c>
      <c r="BY36" s="35">
        <f t="shared" si="158"/>
        <v>12106</v>
      </c>
      <c r="BZ36" s="35">
        <f t="shared" si="158"/>
        <v>12106</v>
      </c>
      <c r="CA36" s="35">
        <f t="shared" si="158"/>
        <v>12106</v>
      </c>
      <c r="CB36" s="35">
        <f t="shared" si="158"/>
        <v>12106</v>
      </c>
      <c r="CC36" s="35">
        <f t="shared" si="158"/>
        <v>12106</v>
      </c>
      <c r="CD36" s="35">
        <f t="shared" ref="CD36:CD37" si="159">CC36</f>
        <v>12106</v>
      </c>
      <c r="CE36" s="35">
        <f t="shared" ref="CE36:CE37" si="160">CD36</f>
        <v>12106</v>
      </c>
      <c r="CF36" s="35">
        <f t="shared" ref="CF36:CF37" si="161">CE36</f>
        <v>12106</v>
      </c>
      <c r="CG36" s="35">
        <f t="shared" ref="CG36:CG37" si="162">CF36</f>
        <v>12106</v>
      </c>
      <c r="CH36" s="35"/>
      <c r="CI36" s="89">
        <f t="shared" si="132"/>
        <v>0</v>
      </c>
      <c r="CJ36" s="95">
        <f t="shared" si="133"/>
        <v>0</v>
      </c>
      <c r="CK36" s="89">
        <f t="shared" si="134"/>
        <v>0</v>
      </c>
      <c r="CL36" s="89">
        <f t="shared" si="135"/>
        <v>0</v>
      </c>
      <c r="CM36" s="20">
        <f t="shared" si="136"/>
        <v>0</v>
      </c>
      <c r="CN36" s="89">
        <f t="shared" si="137"/>
        <v>0</v>
      </c>
      <c r="CO36" s="20">
        <f t="shared" si="138"/>
        <v>0</v>
      </c>
      <c r="CP36" s="89">
        <f t="shared" si="139"/>
        <v>0</v>
      </c>
      <c r="CQ36" s="89">
        <f t="shared" si="140"/>
        <v>0</v>
      </c>
      <c r="CR36" s="89">
        <f t="shared" si="141"/>
        <v>10214</v>
      </c>
      <c r="CS36" s="89">
        <f t="shared" si="142"/>
        <v>11146</v>
      </c>
      <c r="CT36" s="20">
        <f t="shared" si="143"/>
        <v>11389</v>
      </c>
      <c r="CU36" s="89">
        <f t="shared" si="144"/>
        <v>12501</v>
      </c>
      <c r="CV36" s="89">
        <f t="shared" si="145"/>
        <v>12460</v>
      </c>
      <c r="CW36" s="89">
        <f t="shared" si="146"/>
        <v>11691</v>
      </c>
      <c r="CX36" s="89">
        <f t="shared" si="147"/>
        <v>12106</v>
      </c>
      <c r="CY36" s="96">
        <f t="shared" si="148"/>
        <v>12106</v>
      </c>
      <c r="CZ36" s="96">
        <f t="shared" si="149"/>
        <v>12106</v>
      </c>
      <c r="DA36" s="96">
        <f t="shared" si="150"/>
        <v>12106</v>
      </c>
      <c r="DB36" s="96">
        <f t="shared" si="151"/>
        <v>12106</v>
      </c>
      <c r="DC36" s="96">
        <f t="shared" si="152"/>
        <v>12106</v>
      </c>
    </row>
    <row r="37" spans="1:107" x14ac:dyDescent="0.2">
      <c r="A37" s="1" t="s">
        <v>452</v>
      </c>
      <c r="B37" s="18">
        <v>330</v>
      </c>
      <c r="C37" s="18">
        <v>336</v>
      </c>
      <c r="D37" s="18">
        <v>391</v>
      </c>
      <c r="E37" s="18">
        <v>379</v>
      </c>
      <c r="F37" s="18">
        <v>423</v>
      </c>
      <c r="G37" s="18">
        <v>461</v>
      </c>
      <c r="H37" s="18">
        <v>496</v>
      </c>
      <c r="I37" s="18">
        <v>506</v>
      </c>
      <c r="J37" s="18">
        <v>490</v>
      </c>
      <c r="K37" s="18">
        <v>811</v>
      </c>
      <c r="L37" s="18">
        <v>685</v>
      </c>
      <c r="M37" s="18">
        <v>740</v>
      </c>
      <c r="N37" s="18">
        <v>737</v>
      </c>
      <c r="O37" s="18">
        <v>704</v>
      </c>
      <c r="P37" s="18">
        <v>710</v>
      </c>
      <c r="Q37" s="18">
        <v>743</v>
      </c>
      <c r="R37" s="18">
        <v>534</v>
      </c>
      <c r="S37" s="18">
        <v>810</v>
      </c>
      <c r="T37" s="18">
        <v>991</v>
      </c>
      <c r="U37" s="18">
        <v>1118</v>
      </c>
      <c r="V37" s="18">
        <v>1735</v>
      </c>
      <c r="W37" s="18">
        <v>1960</v>
      </c>
      <c r="X37" s="18">
        <v>1884</v>
      </c>
      <c r="Y37" s="18">
        <v>1822</v>
      </c>
      <c r="Z37" s="18">
        <v>1965</v>
      </c>
      <c r="AA37" s="18">
        <v>2151</v>
      </c>
      <c r="AB37" s="18">
        <v>2561</v>
      </c>
      <c r="AC37" s="18">
        <v>2665</v>
      </c>
      <c r="AD37" s="18">
        <v>2763</v>
      </c>
      <c r="AE37" s="18">
        <v>2853</v>
      </c>
      <c r="AF37" s="18">
        <v>2924</v>
      </c>
      <c r="AG37" s="18">
        <v>3059</v>
      </c>
      <c r="AH37" s="18">
        <v>3149</v>
      </c>
      <c r="AI37" s="18">
        <v>3237</v>
      </c>
      <c r="AJ37" s="18">
        <v>3214</v>
      </c>
      <c r="AK37" s="18">
        <v>3545</v>
      </c>
      <c r="AL37" s="18">
        <v>1417</v>
      </c>
      <c r="AM37" s="18">
        <v>1499</v>
      </c>
      <c r="AN37" s="18">
        <v>1637</v>
      </c>
      <c r="AO37" s="18">
        <v>2534</v>
      </c>
      <c r="AP37" s="18">
        <v>2427</v>
      </c>
      <c r="AQ37" s="18">
        <v>1992</v>
      </c>
      <c r="AR37" s="18">
        <v>2194</v>
      </c>
      <c r="AS37" s="18">
        <v>2269</v>
      </c>
      <c r="AT37" s="18">
        <v>2146</v>
      </c>
      <c r="AU37" s="18">
        <v>2270</v>
      </c>
      <c r="AV37" s="18">
        <v>2250</v>
      </c>
      <c r="AW37" s="18">
        <v>2205</v>
      </c>
      <c r="AX37" s="18">
        <v>2242</v>
      </c>
      <c r="AY37" s="18">
        <v>2422</v>
      </c>
      <c r="AZ37" s="18">
        <v>2371</v>
      </c>
      <c r="BA37" s="18">
        <v>2247</v>
      </c>
      <c r="BB37" s="18">
        <v>2373</v>
      </c>
      <c r="BC37" s="18">
        <v>1765</v>
      </c>
      <c r="BD37" s="18">
        <v>1433</v>
      </c>
      <c r="BE37" s="18">
        <v>1616</v>
      </c>
      <c r="BF37" s="18">
        <v>1683</v>
      </c>
      <c r="BG37" s="18">
        <v>1753</v>
      </c>
      <c r="BH37" s="18">
        <v>1453</v>
      </c>
      <c r="BI37" s="18">
        <v>4694</v>
      </c>
      <c r="BJ37" s="18">
        <v>6116</v>
      </c>
      <c r="BK37" s="18">
        <v>6241</v>
      </c>
      <c r="BL37" s="18">
        <v>6267</v>
      </c>
      <c r="BM37" s="35">
        <f t="shared" si="158"/>
        <v>6267</v>
      </c>
      <c r="BN37" s="35">
        <f t="shared" si="158"/>
        <v>6267</v>
      </c>
      <c r="BO37" s="35">
        <f t="shared" si="158"/>
        <v>6267</v>
      </c>
      <c r="BP37" s="35">
        <f t="shared" si="158"/>
        <v>6267</v>
      </c>
      <c r="BQ37" s="35">
        <f t="shared" si="158"/>
        <v>6267</v>
      </c>
      <c r="BR37" s="35">
        <f t="shared" si="158"/>
        <v>6267</v>
      </c>
      <c r="BS37" s="35">
        <f t="shared" si="158"/>
        <v>6267</v>
      </c>
      <c r="BT37" s="35">
        <f t="shared" si="158"/>
        <v>6267</v>
      </c>
      <c r="BU37" s="35">
        <f t="shared" si="158"/>
        <v>6267</v>
      </c>
      <c r="BV37" s="35">
        <f t="shared" si="158"/>
        <v>6267</v>
      </c>
      <c r="BW37" s="35">
        <f t="shared" si="158"/>
        <v>6267</v>
      </c>
      <c r="BX37" s="35">
        <f t="shared" si="158"/>
        <v>6267</v>
      </c>
      <c r="BY37" s="35">
        <f t="shared" si="158"/>
        <v>6267</v>
      </c>
      <c r="BZ37" s="35">
        <f t="shared" si="158"/>
        <v>6267</v>
      </c>
      <c r="CA37" s="35">
        <f t="shared" si="158"/>
        <v>6267</v>
      </c>
      <c r="CB37" s="35">
        <f t="shared" si="158"/>
        <v>6267</v>
      </c>
      <c r="CC37" s="35">
        <f t="shared" si="158"/>
        <v>6267</v>
      </c>
      <c r="CD37" s="35">
        <f t="shared" si="159"/>
        <v>6267</v>
      </c>
      <c r="CE37" s="35">
        <f t="shared" si="160"/>
        <v>6267</v>
      </c>
      <c r="CF37" s="35">
        <f t="shared" si="161"/>
        <v>6267</v>
      </c>
      <c r="CG37" s="35">
        <f t="shared" si="162"/>
        <v>6267</v>
      </c>
      <c r="CH37" s="35"/>
      <c r="CI37" s="89">
        <f t="shared" si="132"/>
        <v>379</v>
      </c>
      <c r="CJ37" s="95">
        <f t="shared" si="133"/>
        <v>506</v>
      </c>
      <c r="CK37" s="89">
        <f t="shared" si="134"/>
        <v>740</v>
      </c>
      <c r="CL37" s="89">
        <f t="shared" si="135"/>
        <v>743</v>
      </c>
      <c r="CM37" s="20">
        <f t="shared" si="136"/>
        <v>1118</v>
      </c>
      <c r="CN37" s="89">
        <f t="shared" si="137"/>
        <v>1822</v>
      </c>
      <c r="CO37" s="20">
        <f t="shared" si="138"/>
        <v>2665</v>
      </c>
      <c r="CP37" s="89">
        <f t="shared" si="139"/>
        <v>3059</v>
      </c>
      <c r="CQ37" s="89">
        <f t="shared" si="140"/>
        <v>3545</v>
      </c>
      <c r="CR37" s="89">
        <f t="shared" si="141"/>
        <v>2534</v>
      </c>
      <c r="CS37" s="89">
        <f t="shared" si="142"/>
        <v>2269</v>
      </c>
      <c r="CT37" s="20">
        <f t="shared" si="143"/>
        <v>2205</v>
      </c>
      <c r="CU37" s="89">
        <f t="shared" si="144"/>
        <v>2247</v>
      </c>
      <c r="CV37" s="89">
        <f t="shared" si="145"/>
        <v>1616</v>
      </c>
      <c r="CW37" s="89">
        <f t="shared" si="146"/>
        <v>4694</v>
      </c>
      <c r="CX37" s="89">
        <f t="shared" si="147"/>
        <v>6267</v>
      </c>
      <c r="CY37" s="96">
        <f t="shared" si="148"/>
        <v>6267</v>
      </c>
      <c r="CZ37" s="96">
        <f>BU37</f>
        <v>6267</v>
      </c>
      <c r="DA37" s="96">
        <f t="shared" si="150"/>
        <v>6267</v>
      </c>
      <c r="DB37" s="96">
        <f t="shared" si="151"/>
        <v>6267</v>
      </c>
      <c r="DC37" s="96">
        <f t="shared" si="152"/>
        <v>6267</v>
      </c>
    </row>
    <row r="38" spans="1:107" ht="14.25" x14ac:dyDescent="0.35">
      <c r="A38" s="5" t="s">
        <v>227</v>
      </c>
      <c r="B38" s="24">
        <f>B30+SUM(B32:B37)</f>
        <v>4588</v>
      </c>
      <c r="C38" s="24">
        <f t="shared" ref="C38:BN38" si="163">C30+SUM(C32:C37)</f>
        <v>7432</v>
      </c>
      <c r="D38" s="24">
        <f t="shared" si="163"/>
        <v>10052</v>
      </c>
      <c r="E38" s="24">
        <f t="shared" si="163"/>
        <v>11610</v>
      </c>
      <c r="F38" s="24">
        <f t="shared" si="163"/>
        <v>11109</v>
      </c>
      <c r="G38" s="24">
        <f t="shared" si="163"/>
        <v>12870</v>
      </c>
      <c r="H38" s="24">
        <f t="shared" si="163"/>
        <v>14258</v>
      </c>
      <c r="I38" s="24">
        <f t="shared" si="163"/>
        <v>14429</v>
      </c>
      <c r="J38" s="24">
        <f t="shared" si="163"/>
        <v>15432</v>
      </c>
      <c r="K38" s="24">
        <f t="shared" si="163"/>
        <v>21330</v>
      </c>
      <c r="L38" s="24">
        <f t="shared" si="163"/>
        <v>21702</v>
      </c>
      <c r="M38" s="24">
        <f t="shared" si="163"/>
        <v>22083</v>
      </c>
      <c r="N38" s="24">
        <f t="shared" si="163"/>
        <v>21219</v>
      </c>
      <c r="O38" s="24">
        <f t="shared" si="163"/>
        <v>22330</v>
      </c>
      <c r="P38" s="24">
        <f t="shared" si="163"/>
        <v>22079</v>
      </c>
      <c r="Q38" s="24">
        <f t="shared" si="163"/>
        <v>23611</v>
      </c>
      <c r="R38" s="24">
        <f t="shared" si="163"/>
        <v>24815</v>
      </c>
      <c r="S38" s="24">
        <f t="shared" si="163"/>
        <v>25859</v>
      </c>
      <c r="T38" s="24">
        <f t="shared" si="163"/>
        <v>26966</v>
      </c>
      <c r="U38" s="24">
        <f t="shared" si="163"/>
        <v>26566</v>
      </c>
      <c r="V38" s="24">
        <f t="shared" si="163"/>
        <v>24952</v>
      </c>
      <c r="W38" s="24">
        <f t="shared" si="163"/>
        <v>27024</v>
      </c>
      <c r="X38" s="24">
        <f t="shared" si="163"/>
        <v>28040</v>
      </c>
      <c r="Y38" s="24">
        <f t="shared" si="163"/>
        <v>27130</v>
      </c>
      <c r="Z38" s="24">
        <f t="shared" si="163"/>
        <v>26178</v>
      </c>
      <c r="AA38" s="24">
        <f t="shared" si="163"/>
        <v>26413</v>
      </c>
      <c r="AB38" s="24">
        <f t="shared" si="163"/>
        <v>25845</v>
      </c>
      <c r="AC38" s="24">
        <f t="shared" si="163"/>
        <v>28461</v>
      </c>
      <c r="AD38" s="24">
        <f t="shared" si="163"/>
        <v>27807</v>
      </c>
      <c r="AE38" s="24">
        <f t="shared" si="163"/>
        <v>30335</v>
      </c>
      <c r="AF38" s="24">
        <f t="shared" si="163"/>
        <v>32436</v>
      </c>
      <c r="AG38" s="24">
        <f t="shared" si="163"/>
        <v>44793</v>
      </c>
      <c r="AH38" s="24">
        <f t="shared" si="163"/>
        <v>46110</v>
      </c>
      <c r="AI38" s="24">
        <f t="shared" si="163"/>
        <v>49610</v>
      </c>
      <c r="AJ38" s="24">
        <f t="shared" si="163"/>
        <v>51698</v>
      </c>
      <c r="AK38" s="24">
        <f t="shared" si="163"/>
        <v>55164</v>
      </c>
      <c r="AL38" s="24">
        <f t="shared" si="163"/>
        <v>61877</v>
      </c>
      <c r="AM38" s="24">
        <f t="shared" si="163"/>
        <v>64909</v>
      </c>
      <c r="AN38" s="24">
        <f t="shared" si="163"/>
        <v>68075</v>
      </c>
      <c r="AO38" s="24">
        <f t="shared" si="163"/>
        <v>74467</v>
      </c>
      <c r="AP38" s="24">
        <f t="shared" si="163"/>
        <v>69744</v>
      </c>
      <c r="AQ38" s="24">
        <f t="shared" si="163"/>
        <v>71170</v>
      </c>
      <c r="AR38" s="24">
        <f t="shared" si="163"/>
        <v>86323</v>
      </c>
      <c r="AS38" s="24">
        <f t="shared" si="163"/>
        <v>97072</v>
      </c>
      <c r="AT38" s="24">
        <f t="shared" si="163"/>
        <v>97082</v>
      </c>
      <c r="AU38" s="24">
        <f t="shared" si="163"/>
        <v>97822</v>
      </c>
      <c r="AV38" s="24">
        <f t="shared" si="163"/>
        <v>102836</v>
      </c>
      <c r="AW38" s="24">
        <f>AW30+SUM(AW32:AW37)</f>
        <v>107633</v>
      </c>
      <c r="AX38" s="24">
        <f t="shared" si="163"/>
        <v>103092</v>
      </c>
      <c r="AY38" s="24">
        <f t="shared" si="163"/>
        <v>99766</v>
      </c>
      <c r="AZ38" s="24">
        <f t="shared" si="163"/>
        <v>104629</v>
      </c>
      <c r="BA38" s="24">
        <f t="shared" si="163"/>
        <v>109120</v>
      </c>
      <c r="BB38" s="24">
        <f t="shared" si="163"/>
        <v>108597</v>
      </c>
      <c r="BC38" s="24">
        <f t="shared" si="163"/>
        <v>115903</v>
      </c>
      <c r="BD38" s="24">
        <f t="shared" si="163"/>
        <v>123509</v>
      </c>
      <c r="BE38" s="24">
        <f>BE30+SUM(BE32:BE37)</f>
        <v>119013</v>
      </c>
      <c r="BF38" s="24">
        <f t="shared" si="163"/>
        <v>114506</v>
      </c>
      <c r="BG38" s="24">
        <f t="shared" si="163"/>
        <v>114017</v>
      </c>
      <c r="BH38" s="24">
        <f t="shared" si="163"/>
        <v>116147</v>
      </c>
      <c r="BI38" s="24">
        <f t="shared" si="163"/>
        <v>125172</v>
      </c>
      <c r="BJ38" s="24">
        <f t="shared" si="163"/>
        <v>130107</v>
      </c>
      <c r="BK38" s="24">
        <f t="shared" si="163"/>
        <v>139137</v>
      </c>
      <c r="BL38" s="24">
        <f t="shared" si="163"/>
        <v>149602</v>
      </c>
      <c r="BM38" s="24">
        <f t="shared" si="163"/>
        <v>156793.84175542963</v>
      </c>
      <c r="BN38" s="24">
        <f t="shared" si="163"/>
        <v>160526.07876748865</v>
      </c>
      <c r="BO38" s="24">
        <f t="shared" ref="BO38:CY38" si="164">BO30+SUM(BO32:BO37)</f>
        <v>153774.1279366689</v>
      </c>
      <c r="BP38" s="24">
        <f t="shared" si="164"/>
        <v>167275.05062506409</v>
      </c>
      <c r="BQ38" s="24">
        <f t="shared" si="164"/>
        <v>175989.48041940964</v>
      </c>
      <c r="BR38" s="24">
        <f t="shared" ref="BR38:BU38" si="165">BR30+SUM(BR32:BR37)</f>
        <v>181148.22153632317</v>
      </c>
      <c r="BS38" s="24">
        <f t="shared" si="165"/>
        <v>172682.22176833078</v>
      </c>
      <c r="BT38" s="24">
        <f t="shared" si="165"/>
        <v>188657.22546285923</v>
      </c>
      <c r="BU38" s="24">
        <f t="shared" si="165"/>
        <v>198144.8076163748</v>
      </c>
      <c r="BV38" s="24">
        <f t="shared" ref="BV38:CC38" si="166">BV30+SUM(BV32:BV37)</f>
        <v>203729.0905913325</v>
      </c>
      <c r="BW38" s="24">
        <f t="shared" si="166"/>
        <v>193357.71878925408</v>
      </c>
      <c r="BX38" s="24">
        <f t="shared" si="166"/>
        <v>212053.29162096296</v>
      </c>
      <c r="BY38" s="24">
        <f t="shared" si="166"/>
        <v>222345.85444745963</v>
      </c>
      <c r="BZ38" s="24">
        <f t="shared" si="166"/>
        <v>227109.00616272385</v>
      </c>
      <c r="CA38" s="24">
        <f t="shared" si="166"/>
        <v>214781.48053091805</v>
      </c>
      <c r="CB38" s="24">
        <f t="shared" si="166"/>
        <v>236282.30572041633</v>
      </c>
      <c r="CC38" s="24">
        <f t="shared" si="166"/>
        <v>247468.27923227946</v>
      </c>
      <c r="CD38" s="24">
        <f t="shared" ref="CD38:CG38" si="167">CD30+SUM(CD32:CD37)</f>
        <v>251821.47659970116</v>
      </c>
      <c r="CE38" s="24">
        <f t="shared" si="167"/>
        <v>237272.44644337369</v>
      </c>
      <c r="CF38" s="24">
        <f t="shared" si="167"/>
        <v>261753.35387838961</v>
      </c>
      <c r="CG38" s="24">
        <f t="shared" si="167"/>
        <v>273809.04991068877</v>
      </c>
      <c r="CH38" s="24"/>
      <c r="CI38" s="91">
        <f t="shared" si="164"/>
        <v>11610</v>
      </c>
      <c r="CJ38" s="99">
        <f t="shared" si="164"/>
        <v>14429</v>
      </c>
      <c r="CK38" s="91">
        <f t="shared" si="164"/>
        <v>22083</v>
      </c>
      <c r="CL38" s="91">
        <f t="shared" si="164"/>
        <v>23611</v>
      </c>
      <c r="CM38" s="24">
        <f t="shared" si="164"/>
        <v>26566</v>
      </c>
      <c r="CN38" s="91">
        <f t="shared" si="164"/>
        <v>27130</v>
      </c>
      <c r="CO38" s="24">
        <f t="shared" si="164"/>
        <v>28461</v>
      </c>
      <c r="CP38" s="91">
        <f t="shared" si="164"/>
        <v>44793</v>
      </c>
      <c r="CQ38" s="91">
        <f t="shared" si="164"/>
        <v>55164</v>
      </c>
      <c r="CR38" s="91">
        <f t="shared" si="164"/>
        <v>74467</v>
      </c>
      <c r="CS38" s="91">
        <f t="shared" si="164"/>
        <v>97072</v>
      </c>
      <c r="CT38" s="24">
        <f t="shared" si="164"/>
        <v>107633</v>
      </c>
      <c r="CU38" s="91">
        <f t="shared" si="164"/>
        <v>109120</v>
      </c>
      <c r="CV38" s="91">
        <f t="shared" si="164"/>
        <v>119013</v>
      </c>
      <c r="CW38" s="91">
        <f t="shared" si="164"/>
        <v>125172</v>
      </c>
      <c r="CX38" s="91">
        <f t="shared" si="164"/>
        <v>156793.84175542963</v>
      </c>
      <c r="CY38" s="100">
        <f t="shared" si="164"/>
        <v>175989.48041940964</v>
      </c>
      <c r="CZ38" s="100">
        <f>CZ30+SUM(CZ32:CZ37)</f>
        <v>198144.8076163748</v>
      </c>
      <c r="DA38" s="100">
        <f>DA30+SUM(DA32:DA37)</f>
        <v>222345.85444745963</v>
      </c>
      <c r="DB38" s="100">
        <f>DB30+SUM(DB32:DB37)</f>
        <v>247468.27923227946</v>
      </c>
      <c r="DC38" s="100">
        <f>DC30+SUM(DC32:DC37)</f>
        <v>273809.04991068877</v>
      </c>
    </row>
    <row r="39" spans="1:107" x14ac:dyDescent="0.2">
      <c r="CI39" s="92"/>
      <c r="CJ39" s="57"/>
      <c r="CK39" s="92"/>
      <c r="CL39" s="92"/>
      <c r="CN39" s="92"/>
      <c r="CP39" s="92"/>
      <c r="CQ39" s="92"/>
      <c r="CR39" s="92"/>
      <c r="CS39" s="92"/>
      <c r="CU39" s="92"/>
      <c r="CV39" s="92"/>
      <c r="CW39" s="92"/>
      <c r="CX39" s="92"/>
      <c r="CY39" s="101"/>
      <c r="CZ39" s="101"/>
      <c r="DA39" s="101"/>
      <c r="DB39" s="101"/>
      <c r="DC39" s="101"/>
    </row>
    <row r="40" spans="1:107" x14ac:dyDescent="0.2">
      <c r="A40" s="4" t="s">
        <v>230</v>
      </c>
      <c r="B40" s="21">
        <f>SUM(B41:B42)</f>
        <v>16333.682000000001</v>
      </c>
      <c r="C40" s="21">
        <f t="shared" ref="C40:AY40" si="168">SUM(C41:C42)</f>
        <v>17455</v>
      </c>
      <c r="D40" s="21">
        <f t="shared" si="168"/>
        <v>17966</v>
      </c>
      <c r="E40" s="21">
        <f t="shared" si="168"/>
        <v>18373</v>
      </c>
      <c r="F40" s="21">
        <f t="shared" si="168"/>
        <v>19185</v>
      </c>
      <c r="G40" s="21">
        <f t="shared" si="168"/>
        <v>19819</v>
      </c>
      <c r="H40" s="21">
        <f t="shared" si="168"/>
        <v>19929</v>
      </c>
      <c r="I40" s="21">
        <f t="shared" si="168"/>
        <v>20540</v>
      </c>
      <c r="J40" s="21">
        <f t="shared" si="168"/>
        <v>21217</v>
      </c>
      <c r="K40" s="21">
        <f t="shared" si="168"/>
        <v>21441</v>
      </c>
      <c r="L40" s="21">
        <f t="shared" si="168"/>
        <v>22572</v>
      </c>
      <c r="M40" s="21">
        <f t="shared" si="168"/>
        <v>23373</v>
      </c>
      <c r="N40" s="21">
        <f t="shared" si="168"/>
        <v>23785</v>
      </c>
      <c r="O40" s="21">
        <f t="shared" si="168"/>
        <v>23936</v>
      </c>
      <c r="P40" s="21">
        <f t="shared" si="168"/>
        <v>25103</v>
      </c>
      <c r="Q40" s="21">
        <f t="shared" si="168"/>
        <v>26047</v>
      </c>
      <c r="R40" s="21">
        <f t="shared" si="168"/>
        <v>26997</v>
      </c>
      <c r="S40" s="21">
        <f t="shared" si="168"/>
        <v>27613</v>
      </c>
      <c r="T40" s="21">
        <f t="shared" si="168"/>
        <v>27866</v>
      </c>
      <c r="U40" s="21">
        <f t="shared" si="168"/>
        <v>28794</v>
      </c>
      <c r="V40" s="21">
        <f t="shared" si="168"/>
        <v>29156</v>
      </c>
      <c r="W40" s="21">
        <f t="shared" si="168"/>
        <v>29793</v>
      </c>
      <c r="X40" s="21">
        <f t="shared" si="168"/>
        <v>30272</v>
      </c>
      <c r="Y40" s="21">
        <f t="shared" si="168"/>
        <v>31108</v>
      </c>
      <c r="Z40" s="21">
        <f t="shared" si="168"/>
        <v>32401</v>
      </c>
      <c r="AA40" s="21">
        <f t="shared" si="168"/>
        <v>33142</v>
      </c>
      <c r="AB40" s="21">
        <f t="shared" si="168"/>
        <v>34305</v>
      </c>
      <c r="AC40" s="21">
        <f t="shared" si="168"/>
        <v>33905</v>
      </c>
      <c r="AD40" s="21">
        <f t="shared" si="168"/>
        <v>35529</v>
      </c>
      <c r="AE40" s="21">
        <f t="shared" si="168"/>
        <v>36781</v>
      </c>
      <c r="AF40" s="21">
        <f t="shared" si="168"/>
        <v>38863</v>
      </c>
      <c r="AG40" s="21">
        <f t="shared" si="168"/>
        <v>39255</v>
      </c>
      <c r="AH40" s="21">
        <f t="shared" si="168"/>
        <v>40817</v>
      </c>
      <c r="AI40" s="21">
        <f t="shared" si="168"/>
        <v>40718</v>
      </c>
      <c r="AJ40" s="21">
        <f t="shared" si="168"/>
        <v>41435</v>
      </c>
      <c r="AK40" s="21">
        <f t="shared" si="168"/>
        <v>42743</v>
      </c>
      <c r="AL40" s="21">
        <f t="shared" si="168"/>
        <v>44752</v>
      </c>
      <c r="AM40" s="21">
        <f t="shared" si="168"/>
        <v>46846</v>
      </c>
      <c r="AN40" s="21">
        <f t="shared" si="168"/>
        <v>47844</v>
      </c>
      <c r="AO40" s="21">
        <f t="shared" si="168"/>
        <v>49320</v>
      </c>
      <c r="AP40" s="21">
        <f t="shared" si="168"/>
        <v>52591</v>
      </c>
      <c r="AQ40" s="21">
        <f t="shared" si="168"/>
        <v>55641</v>
      </c>
      <c r="AR40" s="21">
        <f t="shared" si="168"/>
        <v>57353</v>
      </c>
      <c r="AS40" s="21">
        <f t="shared" si="168"/>
        <v>59143</v>
      </c>
      <c r="AT40" s="21">
        <f t="shared" si="168"/>
        <v>59433</v>
      </c>
      <c r="AU40" s="21">
        <f t="shared" si="168"/>
        <v>60626</v>
      </c>
      <c r="AV40" s="21">
        <f t="shared" si="168"/>
        <v>60785</v>
      </c>
      <c r="AW40" s="21">
        <f t="shared" si="168"/>
        <v>60151</v>
      </c>
      <c r="AX40" s="21">
        <f t="shared" si="168"/>
        <v>58783</v>
      </c>
      <c r="AY40" s="21">
        <f t="shared" si="168"/>
        <v>58574</v>
      </c>
      <c r="AZ40" s="21">
        <f t="shared" ref="AZ40:BE40" si="169">SUM(AZ41:AZ42)</f>
        <v>57406</v>
      </c>
      <c r="BA40" s="21">
        <f t="shared" si="169"/>
        <v>60581</v>
      </c>
      <c r="BB40" s="21">
        <f t="shared" si="169"/>
        <v>64269</v>
      </c>
      <c r="BC40" s="21">
        <f t="shared" si="169"/>
        <v>66257</v>
      </c>
      <c r="BD40" s="21">
        <f t="shared" si="169"/>
        <v>67555</v>
      </c>
      <c r="BE40" s="21">
        <f t="shared" si="169"/>
        <v>72132</v>
      </c>
      <c r="BF40" s="21">
        <f t="shared" ref="BF40:CC40" si="170">SUM(BF41:BF42)</f>
        <v>73074</v>
      </c>
      <c r="BG40" s="21">
        <f t="shared" si="170"/>
        <v>74720</v>
      </c>
      <c r="BH40" s="21">
        <f t="shared" si="170"/>
        <v>78802</v>
      </c>
      <c r="BI40" s="21">
        <f t="shared" si="170"/>
        <v>80000</v>
      </c>
      <c r="BJ40" s="21">
        <f t="shared" si="170"/>
        <v>82639</v>
      </c>
      <c r="BK40" s="21">
        <f t="shared" si="170"/>
        <v>87156</v>
      </c>
      <c r="BL40" s="21">
        <f t="shared" si="170"/>
        <v>89641</v>
      </c>
      <c r="BM40" s="21">
        <f t="shared" si="170"/>
        <v>83532</v>
      </c>
      <c r="BN40" s="21">
        <f t="shared" si="170"/>
        <v>77044.44</v>
      </c>
      <c r="BO40" s="21">
        <f t="shared" si="170"/>
        <v>71082.260000000009</v>
      </c>
      <c r="BP40" s="21">
        <f t="shared" si="170"/>
        <v>65523.380000000005</v>
      </c>
      <c r="BQ40" s="21">
        <f t="shared" si="170"/>
        <v>59989.570000000007</v>
      </c>
      <c r="BR40" s="21">
        <f t="shared" si="170"/>
        <v>54187.005200000014</v>
      </c>
      <c r="BS40" s="21">
        <f t="shared" si="170"/>
        <v>61247.850800000015</v>
      </c>
      <c r="BT40" s="21">
        <f t="shared" si="170"/>
        <v>68744.260400000014</v>
      </c>
      <c r="BU40" s="21">
        <f t="shared" si="170"/>
        <v>76267.745600000009</v>
      </c>
      <c r="BV40" s="21">
        <f t="shared" si="170"/>
        <v>83280.655616000004</v>
      </c>
      <c r="BW40" s="21">
        <f t="shared" si="170"/>
        <v>90765.151952</v>
      </c>
      <c r="BX40" s="21">
        <f t="shared" si="170"/>
        <v>98711.346128000005</v>
      </c>
      <c r="BY40" s="21">
        <f t="shared" si="170"/>
        <v>106686.24044000001</v>
      </c>
      <c r="BZ40" s="21">
        <f t="shared" si="170"/>
        <v>114119.92505696001</v>
      </c>
      <c r="CA40" s="21">
        <f t="shared" si="170"/>
        <v>121978.64620976002</v>
      </c>
      <c r="CB40" s="21">
        <f t="shared" si="170"/>
        <v>130322.15009456003</v>
      </c>
      <c r="CC40" s="21">
        <f t="shared" si="170"/>
        <v>138695.78912216003</v>
      </c>
      <c r="CD40" s="21">
        <f t="shared" ref="CD40:CG40" si="171">SUM(CD41:CD42)</f>
        <v>146501.15796996804</v>
      </c>
      <c r="CE40" s="21">
        <f t="shared" si="171"/>
        <v>154752.81518040804</v>
      </c>
      <c r="CF40" s="21">
        <f t="shared" si="171"/>
        <v>163513.49425944805</v>
      </c>
      <c r="CG40" s="21">
        <f t="shared" si="171"/>
        <v>172305.81523842807</v>
      </c>
      <c r="CH40" s="21"/>
      <c r="CI40" s="90">
        <f t="shared" ref="CI40:CQ40" si="172">SUM(CI41:CI42)</f>
        <v>18373</v>
      </c>
      <c r="CJ40" s="97">
        <f t="shared" si="172"/>
        <v>20540</v>
      </c>
      <c r="CK40" s="90">
        <f t="shared" si="172"/>
        <v>23373</v>
      </c>
      <c r="CL40" s="90">
        <f t="shared" si="172"/>
        <v>26047</v>
      </c>
      <c r="CM40" s="21">
        <f t="shared" si="172"/>
        <v>28794</v>
      </c>
      <c r="CN40" s="90">
        <f t="shared" si="172"/>
        <v>31108</v>
      </c>
      <c r="CO40" s="21">
        <f t="shared" si="172"/>
        <v>33905</v>
      </c>
      <c r="CP40" s="90">
        <f t="shared" si="172"/>
        <v>39255</v>
      </c>
      <c r="CQ40" s="90">
        <f t="shared" si="172"/>
        <v>42743</v>
      </c>
      <c r="CR40" s="90">
        <f t="shared" ref="CR40" si="173">AO40</f>
        <v>49320</v>
      </c>
      <c r="CS40" s="90">
        <f t="shared" ref="CS40" si="174">AS40</f>
        <v>59143</v>
      </c>
      <c r="CT40" s="21">
        <f t="shared" ref="CT40" si="175">AW40</f>
        <v>60151</v>
      </c>
      <c r="CU40" s="90">
        <f t="shared" ref="CU40" si="176">BA40</f>
        <v>60581</v>
      </c>
      <c r="CV40" s="90">
        <f t="shared" ref="CV40" si="177">BE40</f>
        <v>72132</v>
      </c>
      <c r="CW40" s="90">
        <f t="shared" ref="CW40" si="178">BI40</f>
        <v>80000</v>
      </c>
      <c r="CX40" s="90">
        <f t="shared" ref="CX40" si="179">BM40</f>
        <v>83532</v>
      </c>
      <c r="CY40" s="98">
        <f t="shared" ref="CY40" si="180">BQ40</f>
        <v>59989.570000000007</v>
      </c>
      <c r="CZ40" s="98">
        <f>BU40</f>
        <v>76267.745600000009</v>
      </c>
      <c r="DA40" s="98">
        <f>BY40</f>
        <v>106686.24044000001</v>
      </c>
      <c r="DB40" s="98">
        <f t="shared" ref="DB40" si="181">CC40</f>
        <v>138695.78912216003</v>
      </c>
      <c r="DC40" s="98">
        <f>CG40</f>
        <v>172305.81523842807</v>
      </c>
    </row>
    <row r="41" spans="1:107" x14ac:dyDescent="0.2">
      <c r="A41" s="1" t="s">
        <v>228</v>
      </c>
      <c r="B41" s="17">
        <v>16171</v>
      </c>
      <c r="C41" s="17">
        <v>17109</v>
      </c>
      <c r="D41" s="17">
        <v>17435</v>
      </c>
      <c r="E41" s="17">
        <v>18235</v>
      </c>
      <c r="F41" s="17">
        <v>18804</v>
      </c>
      <c r="G41" s="17">
        <v>19216</v>
      </c>
      <c r="H41" s="17">
        <v>19697</v>
      </c>
      <c r="I41" s="17">
        <v>20264</v>
      </c>
      <c r="J41" s="17">
        <v>20795</v>
      </c>
      <c r="K41" s="17">
        <v>21357</v>
      </c>
      <c r="L41" s="17">
        <v>22204</v>
      </c>
      <c r="M41" s="17">
        <v>22835</v>
      </c>
      <c r="N41" s="17">
        <v>23429</v>
      </c>
      <c r="O41" s="17">
        <v>24334</v>
      </c>
      <c r="P41" s="17">
        <v>25004</v>
      </c>
      <c r="Q41" s="17">
        <v>25922</v>
      </c>
      <c r="R41" s="17">
        <v>26652</v>
      </c>
      <c r="S41" s="17">
        <v>27111</v>
      </c>
      <c r="T41" s="17">
        <v>27948</v>
      </c>
      <c r="U41" s="17">
        <v>28767</v>
      </c>
      <c r="V41" s="17">
        <v>29527</v>
      </c>
      <c r="W41" s="17">
        <v>30722</v>
      </c>
      <c r="X41" s="17">
        <v>31864</v>
      </c>
      <c r="Y41" s="17">
        <v>32982</v>
      </c>
      <c r="Z41" s="17">
        <v>33695</v>
      </c>
      <c r="AA41" s="17">
        <v>34293</v>
      </c>
      <c r="AB41" s="17">
        <v>35337</v>
      </c>
      <c r="AC41" s="17">
        <v>36307</v>
      </c>
      <c r="AD41" s="17">
        <v>37698</v>
      </c>
      <c r="AE41" s="17">
        <v>38509</v>
      </c>
      <c r="AF41" s="17">
        <v>39609</v>
      </c>
      <c r="AG41" s="17">
        <v>40247</v>
      </c>
      <c r="AH41" s="17">
        <v>41487</v>
      </c>
      <c r="AI41" s="17">
        <v>42243</v>
      </c>
      <c r="AJ41" s="17">
        <v>43111</v>
      </c>
      <c r="AK41" s="17">
        <v>45049</v>
      </c>
      <c r="AL41" s="17">
        <v>46532</v>
      </c>
      <c r="AM41" s="17">
        <v>47937</v>
      </c>
      <c r="AN41" s="17">
        <v>49040</v>
      </c>
      <c r="AO41" s="17">
        <v>50552</v>
      </c>
      <c r="AP41" s="17">
        <v>53688</v>
      </c>
      <c r="AQ41" s="17">
        <v>55937</v>
      </c>
      <c r="AR41" s="17">
        <v>57307</v>
      </c>
      <c r="AS41" s="17">
        <v>58510</v>
      </c>
      <c r="AT41" s="17">
        <v>59436</v>
      </c>
      <c r="AU41" s="18">
        <v>60436</v>
      </c>
      <c r="AV41" s="18">
        <v>61193</v>
      </c>
      <c r="AW41" s="18">
        <v>61774</v>
      </c>
      <c r="AX41" s="18">
        <v>62832</v>
      </c>
      <c r="AY41" s="18">
        <v>64402</v>
      </c>
      <c r="AZ41" s="18">
        <v>66258</v>
      </c>
      <c r="BA41" s="18">
        <v>68184</v>
      </c>
      <c r="BB41" s="18">
        <v>70269</v>
      </c>
      <c r="BC41" s="18">
        <v>72248</v>
      </c>
      <c r="BD41" s="18">
        <v>74591</v>
      </c>
      <c r="BE41" s="18">
        <v>76534</v>
      </c>
      <c r="BF41" s="18">
        <v>77913</v>
      </c>
      <c r="BG41" s="18">
        <v>79732</v>
      </c>
      <c r="BH41" s="18">
        <v>82030</v>
      </c>
      <c r="BI41" s="18">
        <v>84800</v>
      </c>
      <c r="BJ41" s="18">
        <v>86725</v>
      </c>
      <c r="BK41" s="18">
        <v>89283</v>
      </c>
      <c r="BL41" s="18">
        <v>91695</v>
      </c>
      <c r="BM41" s="20">
        <f>BL41-'Income Statement'!BM228+'Cash Flow Statement'!BM37</f>
        <v>85586</v>
      </c>
      <c r="BN41" s="20">
        <f>BM41-'Income Statement'!BN228+'Cash Flow Statement'!BN37</f>
        <v>79098.44</v>
      </c>
      <c r="BO41" s="20">
        <f>BN41-'Income Statement'!BO228+'Cash Flow Statement'!BO37</f>
        <v>73136.260000000009</v>
      </c>
      <c r="BP41" s="20">
        <f>BO41-'Income Statement'!BP228+'Cash Flow Statement'!BP37</f>
        <v>67577.38</v>
      </c>
      <c r="BQ41" s="20">
        <f>BP41-'Income Statement'!BQ228+'Cash Flow Statement'!BQ37</f>
        <v>62043.570000000007</v>
      </c>
      <c r="BR41" s="20">
        <f>BQ41-'Income Statement'!BR228+'Cash Flow Statement'!BR37</f>
        <v>56241.005200000014</v>
      </c>
      <c r="BS41" s="20">
        <f>BR41-'Income Statement'!BS228+'Cash Flow Statement'!BS37</f>
        <v>63301.850800000015</v>
      </c>
      <c r="BT41" s="20">
        <f>BS41-'Income Statement'!BT228+'Cash Flow Statement'!BT37</f>
        <v>70798.260400000014</v>
      </c>
      <c r="BU41" s="20">
        <f>BT41-'Income Statement'!BU228+'Cash Flow Statement'!BU37</f>
        <v>78321.745600000009</v>
      </c>
      <c r="BV41" s="20">
        <f>BU41-'Income Statement'!BV228+'Cash Flow Statement'!BV37</f>
        <v>85334.655616000004</v>
      </c>
      <c r="BW41" s="20">
        <f>BV41-'Income Statement'!BW228+'Cash Flow Statement'!BW37</f>
        <v>92819.151952</v>
      </c>
      <c r="BX41" s="20">
        <f>BW41-'Income Statement'!BX228+'Cash Flow Statement'!BX37</f>
        <v>100765.346128</v>
      </c>
      <c r="BY41" s="20">
        <f>BX41-'Income Statement'!BY228+'Cash Flow Statement'!BY37</f>
        <v>108740.24044000001</v>
      </c>
      <c r="BZ41" s="20">
        <f>BY41-'Income Statement'!BZ228+'Cash Flow Statement'!BZ37</f>
        <v>116173.92505696001</v>
      </c>
      <c r="CA41" s="20">
        <f>BZ41-'Income Statement'!CA228+'Cash Flow Statement'!CA37</f>
        <v>124032.64620976002</v>
      </c>
      <c r="CB41" s="20">
        <f>CA41-'Income Statement'!CB228+'Cash Flow Statement'!CB37</f>
        <v>132376.15009456003</v>
      </c>
      <c r="CC41" s="20">
        <f>CB41-'Income Statement'!CC228+'Cash Flow Statement'!CC37</f>
        <v>140749.78912216003</v>
      </c>
      <c r="CD41" s="20">
        <f>CC41-'Income Statement'!CD228+'Cash Flow Statement'!CD37</f>
        <v>148555.15796996804</v>
      </c>
      <c r="CE41" s="20">
        <f>CD41-'Income Statement'!CE228+'Cash Flow Statement'!CE37</f>
        <v>156806.81518040804</v>
      </c>
      <c r="CF41" s="20">
        <f>CE41-'Income Statement'!CF228+'Cash Flow Statement'!CF37</f>
        <v>165567.49425944805</v>
      </c>
      <c r="CG41" s="20">
        <f>CF41-'Income Statement'!CG228+'Cash Flow Statement'!CG37</f>
        <v>174359.81523842807</v>
      </c>
      <c r="CH41" s="20"/>
      <c r="CI41" s="89">
        <f t="shared" ref="CI41:CI43" si="182">E41</f>
        <v>18235</v>
      </c>
      <c r="CJ41" s="95">
        <f t="shared" ref="CJ41:CJ43" si="183">I41</f>
        <v>20264</v>
      </c>
      <c r="CK41" s="89">
        <f t="shared" ref="CK41:CK43" si="184">M41</f>
        <v>22835</v>
      </c>
      <c r="CL41" s="89">
        <f t="shared" ref="CL41:CL43" si="185">Q41</f>
        <v>25922</v>
      </c>
      <c r="CM41" s="20">
        <f t="shared" ref="CM41:CM43" si="186">U41</f>
        <v>28767</v>
      </c>
      <c r="CN41" s="89">
        <f t="shared" ref="CN41:CN43" si="187">Y41</f>
        <v>32982</v>
      </c>
      <c r="CO41" s="20">
        <f t="shared" ref="CO41:CO43" si="188">AC41</f>
        <v>36307</v>
      </c>
      <c r="CP41" s="89">
        <f t="shared" ref="CP41:CP43" si="189">AG41</f>
        <v>40247</v>
      </c>
      <c r="CQ41" s="89">
        <f t="shared" ref="CQ41:CQ43" si="190">AK41</f>
        <v>45049</v>
      </c>
      <c r="CR41" s="89">
        <f t="shared" ref="CR41:CR43" si="191">AO41</f>
        <v>50552</v>
      </c>
      <c r="CS41" s="89">
        <f t="shared" ref="CS41:CS43" si="192">AS41</f>
        <v>58510</v>
      </c>
      <c r="CT41" s="20"/>
      <c r="CU41" s="89"/>
      <c r="CV41" s="89"/>
      <c r="CW41" s="89"/>
      <c r="CX41" s="89"/>
      <c r="CY41" s="96"/>
      <c r="CZ41" s="96"/>
      <c r="DA41" s="96"/>
      <c r="DB41" s="96"/>
      <c r="DC41" s="96"/>
    </row>
    <row r="42" spans="1:107" x14ac:dyDescent="0.2">
      <c r="A42" s="1" t="s">
        <v>229</v>
      </c>
      <c r="B42" s="17">
        <v>162.6820000000007</v>
      </c>
      <c r="C42" s="17">
        <v>346</v>
      </c>
      <c r="D42" s="17">
        <v>531</v>
      </c>
      <c r="E42" s="17">
        <v>138</v>
      </c>
      <c r="F42" s="17">
        <v>381</v>
      </c>
      <c r="G42" s="17">
        <v>603</v>
      </c>
      <c r="H42" s="17">
        <v>232</v>
      </c>
      <c r="I42" s="17">
        <v>276</v>
      </c>
      <c r="J42" s="17">
        <v>422</v>
      </c>
      <c r="K42" s="17">
        <v>84</v>
      </c>
      <c r="L42" s="17">
        <v>368</v>
      </c>
      <c r="M42" s="17">
        <v>538</v>
      </c>
      <c r="N42" s="17">
        <v>356</v>
      </c>
      <c r="O42" s="17">
        <v>-398</v>
      </c>
      <c r="P42" s="17">
        <v>99</v>
      </c>
      <c r="Q42" s="17">
        <v>125</v>
      </c>
      <c r="R42" s="17">
        <v>345</v>
      </c>
      <c r="S42" s="17">
        <v>502</v>
      </c>
      <c r="T42" s="17">
        <v>-82</v>
      </c>
      <c r="U42" s="17">
        <v>27</v>
      </c>
      <c r="V42" s="17">
        <v>-371</v>
      </c>
      <c r="W42" s="17">
        <v>-929</v>
      </c>
      <c r="X42" s="17">
        <v>-1592</v>
      </c>
      <c r="Y42" s="17">
        <v>-1874</v>
      </c>
      <c r="Z42" s="17">
        <v>-1294</v>
      </c>
      <c r="AA42" s="17">
        <v>-1151</v>
      </c>
      <c r="AB42" s="17">
        <v>-1032</v>
      </c>
      <c r="AC42" s="17">
        <v>-2402</v>
      </c>
      <c r="AD42" s="17">
        <v>-2169</v>
      </c>
      <c r="AE42" s="17">
        <v>-1728</v>
      </c>
      <c r="AF42" s="17">
        <v>-746</v>
      </c>
      <c r="AG42" s="17">
        <v>-992</v>
      </c>
      <c r="AH42" s="17">
        <v>-670</v>
      </c>
      <c r="AI42" s="17">
        <v>-1525</v>
      </c>
      <c r="AJ42" s="17">
        <v>-1676</v>
      </c>
      <c r="AK42" s="17">
        <v>-2306</v>
      </c>
      <c r="AL42" s="17">
        <v>-1780</v>
      </c>
      <c r="AM42" s="17">
        <v>-1091</v>
      </c>
      <c r="AN42" s="17">
        <v>-1196</v>
      </c>
      <c r="AO42" s="17">
        <v>-1232</v>
      </c>
      <c r="AP42" s="17">
        <v>-1097</v>
      </c>
      <c r="AQ42" s="17">
        <v>-296</v>
      </c>
      <c r="AR42" s="17">
        <v>46</v>
      </c>
      <c r="AS42" s="17">
        <v>633</v>
      </c>
      <c r="AT42" s="17">
        <v>-3</v>
      </c>
      <c r="AU42" s="18">
        <v>190</v>
      </c>
      <c r="AV42" s="18">
        <v>-408</v>
      </c>
      <c r="AW42" s="18">
        <v>-1623</v>
      </c>
      <c r="AX42" s="18">
        <v>-4049</v>
      </c>
      <c r="AY42" s="18">
        <v>-5828</v>
      </c>
      <c r="AZ42" s="18">
        <v>-8852</v>
      </c>
      <c r="BA42" s="18">
        <v>-7603</v>
      </c>
      <c r="BB42" s="18">
        <v>-6000</v>
      </c>
      <c r="BC42" s="18">
        <v>-5991</v>
      </c>
      <c r="BD42" s="18">
        <v>-7036</v>
      </c>
      <c r="BE42" s="18">
        <v>-4402</v>
      </c>
      <c r="BF42" s="18">
        <v>-4839</v>
      </c>
      <c r="BG42" s="18">
        <v>-5012</v>
      </c>
      <c r="BH42" s="18">
        <v>-3228</v>
      </c>
      <c r="BI42" s="18">
        <v>-4800</v>
      </c>
      <c r="BJ42" s="18">
        <v>-4086</v>
      </c>
      <c r="BK42" s="18">
        <v>-2127</v>
      </c>
      <c r="BL42" s="18">
        <v>-2054</v>
      </c>
      <c r="BM42" s="20">
        <f>BL42+'Cash Flow Statement'!BM45</f>
        <v>-2054</v>
      </c>
      <c r="BN42" s="20">
        <f>BM42+'Cash Flow Statement'!BN45</f>
        <v>-2054</v>
      </c>
      <c r="BO42" s="20">
        <f>BN42+'Cash Flow Statement'!BO45</f>
        <v>-2054</v>
      </c>
      <c r="BP42" s="20">
        <f>BO42+'Cash Flow Statement'!BP45</f>
        <v>-2054</v>
      </c>
      <c r="BQ42" s="20">
        <f>BP42+'Cash Flow Statement'!BQ45</f>
        <v>-2054</v>
      </c>
      <c r="BR42" s="20">
        <f>BQ42+'Cash Flow Statement'!BR45</f>
        <v>-2054</v>
      </c>
      <c r="BS42" s="20">
        <f>BR42+'Cash Flow Statement'!BS45</f>
        <v>-2054</v>
      </c>
      <c r="BT42" s="20">
        <f>BS42+'Cash Flow Statement'!BT45</f>
        <v>-2054</v>
      </c>
      <c r="BU42" s="20">
        <f>BT42+'Cash Flow Statement'!BU45</f>
        <v>-2054</v>
      </c>
      <c r="BV42" s="20">
        <f>BU42+'Cash Flow Statement'!BV45</f>
        <v>-2054</v>
      </c>
      <c r="BW42" s="20">
        <f>BV42+'Cash Flow Statement'!BW45</f>
        <v>-2054</v>
      </c>
      <c r="BX42" s="20">
        <f>BW42+'Cash Flow Statement'!BX45</f>
        <v>-2054</v>
      </c>
      <c r="BY42" s="20">
        <f>BX42+'Cash Flow Statement'!BY45</f>
        <v>-2054</v>
      </c>
      <c r="BZ42" s="20">
        <f>BY42+'Cash Flow Statement'!BZ45</f>
        <v>-2054</v>
      </c>
      <c r="CA42" s="20">
        <f>BZ42+'Cash Flow Statement'!CA45</f>
        <v>-2054</v>
      </c>
      <c r="CB42" s="20">
        <f>CA42+'Cash Flow Statement'!CB45</f>
        <v>-2054</v>
      </c>
      <c r="CC42" s="20">
        <f>CB42+'Cash Flow Statement'!CC45</f>
        <v>-2054</v>
      </c>
      <c r="CD42" s="20">
        <f>CC42+'Cash Flow Statement'!CD45</f>
        <v>-2054</v>
      </c>
      <c r="CE42" s="20">
        <f>CD42+'Cash Flow Statement'!CE45</f>
        <v>-2054</v>
      </c>
      <c r="CF42" s="20">
        <f>CE42+'Cash Flow Statement'!CF45</f>
        <v>-2054</v>
      </c>
      <c r="CG42" s="20">
        <f>CF42+'Cash Flow Statement'!CG45</f>
        <v>-2054</v>
      </c>
      <c r="CH42" s="20"/>
      <c r="CI42" s="89">
        <f t="shared" si="182"/>
        <v>138</v>
      </c>
      <c r="CJ42" s="95">
        <f t="shared" si="183"/>
        <v>276</v>
      </c>
      <c r="CK42" s="89">
        <f t="shared" si="184"/>
        <v>538</v>
      </c>
      <c r="CL42" s="89">
        <f t="shared" si="185"/>
        <v>125</v>
      </c>
      <c r="CM42" s="20">
        <f t="shared" si="186"/>
        <v>27</v>
      </c>
      <c r="CN42" s="89">
        <f t="shared" si="187"/>
        <v>-1874</v>
      </c>
      <c r="CO42" s="20">
        <f t="shared" si="188"/>
        <v>-2402</v>
      </c>
      <c r="CP42" s="89">
        <f t="shared" si="189"/>
        <v>-992</v>
      </c>
      <c r="CQ42" s="89">
        <f t="shared" si="190"/>
        <v>-2306</v>
      </c>
      <c r="CR42" s="89">
        <f t="shared" si="191"/>
        <v>-1232</v>
      </c>
      <c r="CS42" s="89">
        <f t="shared" si="192"/>
        <v>633</v>
      </c>
      <c r="CT42" s="20"/>
      <c r="CU42" s="89"/>
      <c r="CV42" s="89"/>
      <c r="CW42" s="89"/>
      <c r="CX42" s="89"/>
      <c r="CY42" s="96"/>
      <c r="CZ42" s="96"/>
      <c r="DA42" s="96"/>
      <c r="DB42" s="96"/>
      <c r="DC42" s="96"/>
    </row>
    <row r="43" spans="1:107" x14ac:dyDescent="0.2">
      <c r="A43" s="4" t="s">
        <v>231</v>
      </c>
      <c r="B43" s="46">
        <v>21949</v>
      </c>
      <c r="C43" s="46">
        <v>23158</v>
      </c>
      <c r="D43" s="46">
        <v>25324</v>
      </c>
      <c r="E43" s="46">
        <v>27868</v>
      </c>
      <c r="F43" s="46">
        <v>29666</v>
      </c>
      <c r="G43" s="46">
        <v>32172</v>
      </c>
      <c r="H43" s="46">
        <v>34901</v>
      </c>
      <c r="I43" s="46">
        <v>37605</v>
      </c>
      <c r="J43" s="46">
        <v>40495</v>
      </c>
      <c r="K43" s="46">
        <v>43280</v>
      </c>
      <c r="L43" s="46">
        <v>45456</v>
      </c>
      <c r="M43" s="46">
        <v>48342</v>
      </c>
      <c r="N43" s="46">
        <v>51688</v>
      </c>
      <c r="O43" s="46">
        <v>54916</v>
      </c>
      <c r="P43" s="47">
        <v>57931</v>
      </c>
      <c r="Q43" s="46">
        <v>61262</v>
      </c>
      <c r="R43" s="46">
        <v>64714</v>
      </c>
      <c r="S43" s="46">
        <v>68136</v>
      </c>
      <c r="T43" s="46">
        <v>70949</v>
      </c>
      <c r="U43" s="46">
        <v>75066</v>
      </c>
      <c r="V43" s="46">
        <v>79292</v>
      </c>
      <c r="W43" s="46">
        <v>81990</v>
      </c>
      <c r="X43" s="46">
        <v>85969</v>
      </c>
      <c r="Y43" s="46">
        <v>89223</v>
      </c>
      <c r="Z43" s="46">
        <v>91168</v>
      </c>
      <c r="AA43" s="46">
        <v>94737</v>
      </c>
      <c r="AB43" s="46">
        <v>99798</v>
      </c>
      <c r="AC43" s="46">
        <v>105131</v>
      </c>
      <c r="AD43" s="46">
        <v>109420</v>
      </c>
      <c r="AE43" s="46">
        <v>111505</v>
      </c>
      <c r="AF43" s="46">
        <v>118237</v>
      </c>
      <c r="AG43" s="46">
        <v>113247</v>
      </c>
      <c r="AH43" s="46">
        <v>120008</v>
      </c>
      <c r="AI43" s="46">
        <v>121282</v>
      </c>
      <c r="AJ43" s="46">
        <v>128405</v>
      </c>
      <c r="AK43" s="46">
        <v>134885</v>
      </c>
      <c r="AL43" s="46">
        <v>138720</v>
      </c>
      <c r="AM43" s="46">
        <v>145346</v>
      </c>
      <c r="AN43" s="46">
        <v>147125</v>
      </c>
      <c r="AO43" s="46">
        <v>152122</v>
      </c>
      <c r="AP43" s="46">
        <v>151068</v>
      </c>
      <c r="AQ43" s="46">
        <v>151681</v>
      </c>
      <c r="AR43" s="46">
        <v>155567</v>
      </c>
      <c r="AS43" s="46">
        <v>163401</v>
      </c>
      <c r="AT43" s="46">
        <v>170580</v>
      </c>
      <c r="AU43" s="47">
        <v>176939</v>
      </c>
      <c r="AV43" s="47">
        <v>183782</v>
      </c>
      <c r="AW43" s="47">
        <v>191484</v>
      </c>
      <c r="AX43" s="47">
        <v>195221</v>
      </c>
      <c r="AY43" s="47">
        <v>196845</v>
      </c>
      <c r="AZ43" s="47">
        <v>196220</v>
      </c>
      <c r="BA43" s="47">
        <v>195563</v>
      </c>
      <c r="BB43" s="47">
        <v>196625</v>
      </c>
      <c r="BC43" s="47">
        <v>200884</v>
      </c>
      <c r="BD43" s="47">
        <v>205647</v>
      </c>
      <c r="BE43" s="47">
        <v>211247</v>
      </c>
      <c r="BF43" s="47">
        <v>219770</v>
      </c>
      <c r="BG43" s="47">
        <v>226033</v>
      </c>
      <c r="BH43" s="47">
        <v>235317</v>
      </c>
      <c r="BI43" s="47">
        <v>245084</v>
      </c>
      <c r="BJ43" s="47">
        <v>262628</v>
      </c>
      <c r="BK43" s="47">
        <v>275760</v>
      </c>
      <c r="BL43" s="47">
        <v>297226</v>
      </c>
      <c r="BM43" s="21">
        <f>BL43+'Income Statement'!BM267-'Cash Flow Statement'!BM102</f>
        <v>325150.15136925748</v>
      </c>
      <c r="BN43" s="21">
        <f>BM43+'Income Statement'!BN267-'Cash Flow Statement'!BN102</f>
        <v>352969.22676060651</v>
      </c>
      <c r="BO43" s="21">
        <f>BN43+'Income Statement'!BO267-'Cash Flow Statement'!BO102</f>
        <v>382423.60702369106</v>
      </c>
      <c r="BP43" s="21">
        <f>BO43+'Income Statement'!BP267-'Cash Flow Statement'!BP102</f>
        <v>412882.37723762775</v>
      </c>
      <c r="BQ43" s="21">
        <f>BP43+'Income Statement'!BQ267-'Cash Flow Statement'!BQ102</f>
        <v>444697.68439985003</v>
      </c>
      <c r="BR43" s="21">
        <f>BQ43+'Income Statement'!BR267-'Cash Flow Statement'!BR102</f>
        <v>477075.77348481695</v>
      </c>
      <c r="BS43" s="21">
        <f>BR43+'Income Statement'!BS267-'Cash Flow Statement'!BS102</f>
        <v>511227.04674581275</v>
      </c>
      <c r="BT43" s="21">
        <f>BS43+'Income Statement'!BT267-'Cash Flow Statement'!BT102</f>
        <v>546623.68072475144</v>
      </c>
      <c r="BU43" s="21">
        <f>BT43+'Income Statement'!BU267-'Cash Flow Statement'!BU102</f>
        <v>583472.82019279525</v>
      </c>
      <c r="BV43" s="21">
        <f>BU43+'Income Statement'!BV267-'Cash Flow Statement'!BV102</f>
        <v>621364.53664647299</v>
      </c>
      <c r="BW43" s="21">
        <f>BV43+'Income Statement'!BW267-'Cash Flow Statement'!BW102</f>
        <v>661296.3212910908</v>
      </c>
      <c r="BX43" s="21">
        <f>BW43+'Income Statement'!BX267-'Cash Flow Statement'!BX102</f>
        <v>702620.62001985346</v>
      </c>
      <c r="BY43" s="21">
        <f>BX43+'Income Statement'!BY267-'Cash Flow Statement'!BY102</f>
        <v>745413.11760770914</v>
      </c>
      <c r="BZ43" s="21">
        <f>BY43+'Income Statement'!BZ267-'Cash Flow Statement'!BZ102</f>
        <v>789511.91529310413</v>
      </c>
      <c r="CA43" s="21">
        <f>BZ43+'Income Statement'!CA267-'Cash Flow Statement'!CA102</f>
        <v>835821.65047170641</v>
      </c>
      <c r="CB43" s="21">
        <f>CA43+'Income Statement'!CB267-'Cash Flow Statement'!CB102</f>
        <v>883665.56818041974</v>
      </c>
      <c r="CC43" s="21">
        <f>CB43+'Income Statement'!CC267-'Cash Flow Statement'!CC102</f>
        <v>932988.02983663313</v>
      </c>
      <c r="CD43" s="21">
        <f>CC43+'Income Statement'!CD267-'Cash Flow Statement'!CD102</f>
        <v>983860.06870264851</v>
      </c>
      <c r="CE43" s="21">
        <f>CD43+'Income Statement'!CE267-'Cash Flow Statement'!CE102</f>
        <v>1037333.5840733061</v>
      </c>
      <c r="CF43" s="21">
        <f>CE43+'Income Statement'!CF267-'Cash Flow Statement'!CF102</f>
        <v>1092395.9220802481</v>
      </c>
      <c r="CG43" s="21">
        <f>CF43+'Income Statement'!CG267-'Cash Flow Statement'!CG102</f>
        <v>1148931.4205362541</v>
      </c>
      <c r="CH43" s="21"/>
      <c r="CI43" s="90">
        <f t="shared" si="182"/>
        <v>27868</v>
      </c>
      <c r="CJ43" s="97">
        <f t="shared" si="183"/>
        <v>37605</v>
      </c>
      <c r="CK43" s="90">
        <f t="shared" si="184"/>
        <v>48342</v>
      </c>
      <c r="CL43" s="90">
        <f t="shared" si="185"/>
        <v>61262</v>
      </c>
      <c r="CM43" s="21">
        <f t="shared" si="186"/>
        <v>75066</v>
      </c>
      <c r="CN43" s="90">
        <f t="shared" si="187"/>
        <v>89223</v>
      </c>
      <c r="CO43" s="21">
        <f t="shared" si="188"/>
        <v>105131</v>
      </c>
      <c r="CP43" s="90">
        <f t="shared" si="189"/>
        <v>113247</v>
      </c>
      <c r="CQ43" s="90">
        <f t="shared" si="190"/>
        <v>134885</v>
      </c>
      <c r="CR43" s="90">
        <f t="shared" si="191"/>
        <v>152122</v>
      </c>
      <c r="CS43" s="90">
        <f t="shared" si="192"/>
        <v>163401</v>
      </c>
      <c r="CT43" s="21">
        <f t="shared" ref="CT43" si="193">AW43</f>
        <v>191484</v>
      </c>
      <c r="CU43" s="90">
        <f t="shared" ref="CU43" si="194">BA43</f>
        <v>195563</v>
      </c>
      <c r="CV43" s="90">
        <f t="shared" ref="CV43" si="195">BE43</f>
        <v>211247</v>
      </c>
      <c r="CW43" s="90">
        <f t="shared" ref="CW43" si="196">BI43</f>
        <v>245084</v>
      </c>
      <c r="CX43" s="90">
        <f t="shared" ref="CX43" si="197">BM43</f>
        <v>325150.15136925748</v>
      </c>
      <c r="CY43" s="98">
        <f t="shared" ref="CY43" si="198">BQ43</f>
        <v>444697.68439985003</v>
      </c>
      <c r="CZ43" s="98">
        <f>BU43</f>
        <v>583472.82019279525</v>
      </c>
      <c r="DA43" s="98">
        <f>BY43</f>
        <v>745413.11760770914</v>
      </c>
      <c r="DB43" s="98">
        <f t="shared" ref="DB43" si="199">CC43</f>
        <v>932988.02983663313</v>
      </c>
      <c r="DC43" s="98">
        <f>CG43</f>
        <v>1148931.4205362541</v>
      </c>
    </row>
    <row r="44" spans="1:107" x14ac:dyDescent="0.2">
      <c r="CI44" s="92"/>
      <c r="CJ44" s="57"/>
      <c r="CK44" s="92"/>
      <c r="CL44" s="92"/>
      <c r="CN44" s="92"/>
      <c r="CP44" s="92"/>
      <c r="CQ44" s="92"/>
      <c r="CR44" s="92"/>
      <c r="CS44" s="92"/>
      <c r="CU44" s="92"/>
      <c r="CV44" s="92"/>
      <c r="CW44" s="92"/>
      <c r="CX44" s="92"/>
      <c r="CY44" s="101"/>
      <c r="CZ44" s="101"/>
      <c r="DA44" s="101"/>
      <c r="DB44" s="101"/>
      <c r="DC44" s="101"/>
    </row>
    <row r="45" spans="1:107" x14ac:dyDescent="0.2">
      <c r="A45" s="4" t="s">
        <v>232</v>
      </c>
      <c r="B45" s="21">
        <f>B40+B43</f>
        <v>38282.682000000001</v>
      </c>
      <c r="C45" s="21">
        <f t="shared" ref="C45:BN45" si="200">C40+C43</f>
        <v>40613</v>
      </c>
      <c r="D45" s="21">
        <f t="shared" si="200"/>
        <v>43290</v>
      </c>
      <c r="E45" s="21">
        <f t="shared" si="200"/>
        <v>46241</v>
      </c>
      <c r="F45" s="21">
        <f t="shared" si="200"/>
        <v>48851</v>
      </c>
      <c r="G45" s="21">
        <f t="shared" si="200"/>
        <v>51991</v>
      </c>
      <c r="H45" s="21">
        <f t="shared" si="200"/>
        <v>54830</v>
      </c>
      <c r="I45" s="21">
        <f t="shared" si="200"/>
        <v>58145</v>
      </c>
      <c r="J45" s="21">
        <f t="shared" si="200"/>
        <v>61712</v>
      </c>
      <c r="K45" s="21">
        <f t="shared" si="200"/>
        <v>64721</v>
      </c>
      <c r="L45" s="21">
        <f t="shared" si="200"/>
        <v>68028</v>
      </c>
      <c r="M45" s="21">
        <f t="shared" si="200"/>
        <v>71715</v>
      </c>
      <c r="N45" s="21">
        <f t="shared" si="200"/>
        <v>75473</v>
      </c>
      <c r="O45" s="21">
        <f t="shared" si="200"/>
        <v>78852</v>
      </c>
      <c r="P45" s="21">
        <f t="shared" si="200"/>
        <v>83034</v>
      </c>
      <c r="Q45" s="21">
        <f t="shared" si="200"/>
        <v>87309</v>
      </c>
      <c r="R45" s="21">
        <f t="shared" si="200"/>
        <v>91711</v>
      </c>
      <c r="S45" s="21">
        <f t="shared" si="200"/>
        <v>95749</v>
      </c>
      <c r="T45" s="21">
        <f t="shared" si="200"/>
        <v>98815</v>
      </c>
      <c r="U45" s="21">
        <f t="shared" si="200"/>
        <v>103860</v>
      </c>
      <c r="V45" s="21">
        <f t="shared" si="200"/>
        <v>108448</v>
      </c>
      <c r="W45" s="21">
        <f t="shared" si="200"/>
        <v>111783</v>
      </c>
      <c r="X45" s="21">
        <f t="shared" si="200"/>
        <v>116241</v>
      </c>
      <c r="Y45" s="21">
        <f t="shared" si="200"/>
        <v>120331</v>
      </c>
      <c r="Z45" s="21">
        <f t="shared" si="200"/>
        <v>123569</v>
      </c>
      <c r="AA45" s="21">
        <f t="shared" si="200"/>
        <v>127879</v>
      </c>
      <c r="AB45" s="21">
        <f t="shared" si="200"/>
        <v>134103</v>
      </c>
      <c r="AC45" s="21">
        <f t="shared" si="200"/>
        <v>139036</v>
      </c>
      <c r="AD45" s="21">
        <f t="shared" si="200"/>
        <v>144949</v>
      </c>
      <c r="AE45" s="21">
        <f t="shared" si="200"/>
        <v>148286</v>
      </c>
      <c r="AF45" s="21">
        <f t="shared" si="200"/>
        <v>157100</v>
      </c>
      <c r="AG45" s="21">
        <f t="shared" si="200"/>
        <v>152502</v>
      </c>
      <c r="AH45" s="21">
        <f t="shared" si="200"/>
        <v>160825</v>
      </c>
      <c r="AI45" s="21">
        <f t="shared" si="200"/>
        <v>162000</v>
      </c>
      <c r="AJ45" s="21">
        <f t="shared" si="200"/>
        <v>169840</v>
      </c>
      <c r="AK45" s="21">
        <f t="shared" si="200"/>
        <v>177628</v>
      </c>
      <c r="AL45" s="21">
        <f t="shared" si="200"/>
        <v>183472</v>
      </c>
      <c r="AM45" s="21">
        <f t="shared" si="200"/>
        <v>192192</v>
      </c>
      <c r="AN45" s="21">
        <f t="shared" si="200"/>
        <v>194969</v>
      </c>
      <c r="AO45" s="21">
        <f t="shared" si="200"/>
        <v>201442</v>
      </c>
      <c r="AP45" s="21">
        <f t="shared" si="200"/>
        <v>203659</v>
      </c>
      <c r="AQ45" s="21">
        <f t="shared" si="200"/>
        <v>207322</v>
      </c>
      <c r="AR45" s="21">
        <f t="shared" si="200"/>
        <v>212920</v>
      </c>
      <c r="AS45" s="21">
        <f t="shared" si="200"/>
        <v>222544</v>
      </c>
      <c r="AT45" s="21">
        <f t="shared" si="200"/>
        <v>230013</v>
      </c>
      <c r="AU45" s="21">
        <f t="shared" si="200"/>
        <v>237565</v>
      </c>
      <c r="AV45" s="21">
        <f t="shared" si="200"/>
        <v>244567</v>
      </c>
      <c r="AW45" s="21">
        <f t="shared" si="200"/>
        <v>251635</v>
      </c>
      <c r="AX45" s="21">
        <f t="shared" si="200"/>
        <v>254004</v>
      </c>
      <c r="AY45" s="21">
        <f t="shared" si="200"/>
        <v>255419</v>
      </c>
      <c r="AZ45" s="21">
        <f t="shared" si="200"/>
        <v>253626</v>
      </c>
      <c r="BA45" s="21">
        <f t="shared" si="200"/>
        <v>256144</v>
      </c>
      <c r="BB45" s="21">
        <f t="shared" si="200"/>
        <v>260894</v>
      </c>
      <c r="BC45" s="21">
        <f t="shared" si="200"/>
        <v>267141</v>
      </c>
      <c r="BD45" s="21">
        <f t="shared" si="200"/>
        <v>273202</v>
      </c>
      <c r="BE45" s="21">
        <f>BE40+BE43</f>
        <v>283379</v>
      </c>
      <c r="BF45" s="21">
        <f t="shared" si="200"/>
        <v>292844</v>
      </c>
      <c r="BG45" s="21">
        <f t="shared" ref="BG45:BH45" si="201">BG40+BG43</f>
        <v>300753</v>
      </c>
      <c r="BH45" s="21">
        <f t="shared" si="201"/>
        <v>314119</v>
      </c>
      <c r="BI45" s="21">
        <f t="shared" ref="BI45:BJ45" si="202">BI40+BI43</f>
        <v>325084</v>
      </c>
      <c r="BJ45" s="21">
        <f t="shared" si="202"/>
        <v>345267</v>
      </c>
      <c r="BK45" s="21">
        <f t="shared" ref="BK45:BL45" si="203">BK40+BK43</f>
        <v>362916</v>
      </c>
      <c r="BL45" s="21">
        <f t="shared" si="203"/>
        <v>386867</v>
      </c>
      <c r="BM45" s="21">
        <f t="shared" si="200"/>
        <v>408682.15136925748</v>
      </c>
      <c r="BN45" s="21">
        <f t="shared" si="200"/>
        <v>430013.66676060652</v>
      </c>
      <c r="BO45" s="21">
        <f t="shared" ref="BO45:BQ45" si="204">BO40+BO43</f>
        <v>453505.86702369107</v>
      </c>
      <c r="BP45" s="21">
        <f t="shared" si="204"/>
        <v>478405.75723762775</v>
      </c>
      <c r="BQ45" s="21">
        <f t="shared" si="204"/>
        <v>504687.25439985003</v>
      </c>
      <c r="BR45" s="21">
        <f t="shared" ref="BR45:BU45" si="205">BR40+BR43</f>
        <v>531262.77868481702</v>
      </c>
      <c r="BS45" s="21">
        <f t="shared" si="205"/>
        <v>572474.89754581277</v>
      </c>
      <c r="BT45" s="21">
        <f t="shared" si="205"/>
        <v>615367.94112475147</v>
      </c>
      <c r="BU45" s="21">
        <f t="shared" si="205"/>
        <v>659740.56579279527</v>
      </c>
      <c r="BV45" s="21">
        <f t="shared" ref="BV45:CC45" si="206">BV40+BV43</f>
        <v>704645.19226247305</v>
      </c>
      <c r="BW45" s="21">
        <f t="shared" si="206"/>
        <v>752061.47324309079</v>
      </c>
      <c r="BX45" s="21">
        <f t="shared" si="206"/>
        <v>801331.96614785353</v>
      </c>
      <c r="BY45" s="21">
        <f t="shared" si="206"/>
        <v>852099.3580477091</v>
      </c>
      <c r="BZ45" s="21">
        <f t="shared" si="206"/>
        <v>903631.8403500641</v>
      </c>
      <c r="CA45" s="21">
        <f t="shared" si="206"/>
        <v>957800.2966814664</v>
      </c>
      <c r="CB45" s="21">
        <f t="shared" si="206"/>
        <v>1013987.7182749797</v>
      </c>
      <c r="CC45" s="21">
        <f t="shared" si="206"/>
        <v>1071683.8189587931</v>
      </c>
      <c r="CD45" s="21">
        <f t="shared" ref="CD45:CG45" si="207">CD40+CD43</f>
        <v>1130361.2266726166</v>
      </c>
      <c r="CE45" s="21">
        <f t="shared" si="207"/>
        <v>1192086.3992537141</v>
      </c>
      <c r="CF45" s="21">
        <f t="shared" si="207"/>
        <v>1255909.4163396962</v>
      </c>
      <c r="CG45" s="21">
        <f t="shared" si="207"/>
        <v>1321237.2357746821</v>
      </c>
      <c r="CH45" s="21"/>
      <c r="CI45" s="90">
        <f t="shared" ref="CI45:CY45" si="208">CI40+CI43</f>
        <v>46241</v>
      </c>
      <c r="CJ45" s="97">
        <f t="shared" si="208"/>
        <v>58145</v>
      </c>
      <c r="CK45" s="90">
        <f t="shared" si="208"/>
        <v>71715</v>
      </c>
      <c r="CL45" s="90">
        <f t="shared" si="208"/>
        <v>87309</v>
      </c>
      <c r="CM45" s="21">
        <f t="shared" si="208"/>
        <v>103860</v>
      </c>
      <c r="CN45" s="90">
        <f t="shared" si="208"/>
        <v>120331</v>
      </c>
      <c r="CO45" s="21">
        <f t="shared" si="208"/>
        <v>139036</v>
      </c>
      <c r="CP45" s="90">
        <f t="shared" si="208"/>
        <v>152502</v>
      </c>
      <c r="CQ45" s="90">
        <f t="shared" si="208"/>
        <v>177628</v>
      </c>
      <c r="CR45" s="90">
        <f t="shared" si="208"/>
        <v>201442</v>
      </c>
      <c r="CS45" s="90">
        <f t="shared" si="208"/>
        <v>222544</v>
      </c>
      <c r="CT45" s="21">
        <f t="shared" si="208"/>
        <v>251635</v>
      </c>
      <c r="CU45" s="90">
        <f t="shared" si="208"/>
        <v>256144</v>
      </c>
      <c r="CV45" s="90">
        <f t="shared" si="208"/>
        <v>283379</v>
      </c>
      <c r="CW45" s="90">
        <f t="shared" si="208"/>
        <v>325084</v>
      </c>
      <c r="CX45" s="90">
        <f t="shared" si="208"/>
        <v>408682.15136925748</v>
      </c>
      <c r="CY45" s="98">
        <f t="shared" si="208"/>
        <v>504687.25439985003</v>
      </c>
      <c r="CZ45" s="98">
        <f>CZ40+CZ43</f>
        <v>659740.56579279527</v>
      </c>
      <c r="DA45" s="98">
        <f>BY45</f>
        <v>852099.3580477091</v>
      </c>
      <c r="DB45" s="98">
        <f t="shared" ref="DB45" si="209">CC45</f>
        <v>1071683.8189587931</v>
      </c>
      <c r="DC45" s="98">
        <f>CG45</f>
        <v>1321237.2357746821</v>
      </c>
    </row>
    <row r="46" spans="1:107" x14ac:dyDescent="0.2">
      <c r="CI46" s="92"/>
      <c r="CJ46" s="57"/>
      <c r="CK46" s="92"/>
      <c r="CL46" s="92"/>
      <c r="CN46" s="92"/>
      <c r="CP46" s="92"/>
      <c r="CQ46" s="92"/>
      <c r="CR46" s="92"/>
      <c r="CS46" s="92"/>
      <c r="CU46" s="92"/>
      <c r="CV46" s="92"/>
      <c r="CW46" s="92"/>
      <c r="CX46" s="92"/>
      <c r="CY46" s="101"/>
      <c r="CZ46" s="101"/>
      <c r="DA46" s="101"/>
      <c r="DB46" s="101"/>
      <c r="DC46" s="101"/>
    </row>
    <row r="47" spans="1:107" ht="14.25" x14ac:dyDescent="0.35">
      <c r="A47" s="5" t="s">
        <v>233</v>
      </c>
      <c r="B47" s="24">
        <f>SUM(B38,B45)</f>
        <v>42870.682000000001</v>
      </c>
      <c r="C47" s="24">
        <f t="shared" ref="C47:BN47" si="210">SUM(C38,C45)</f>
        <v>48045</v>
      </c>
      <c r="D47" s="24">
        <f t="shared" si="210"/>
        <v>53342</v>
      </c>
      <c r="E47" s="24">
        <f t="shared" si="210"/>
        <v>57851</v>
      </c>
      <c r="F47" s="24">
        <f t="shared" si="210"/>
        <v>59960</v>
      </c>
      <c r="G47" s="24">
        <f t="shared" si="210"/>
        <v>64861</v>
      </c>
      <c r="H47" s="24">
        <f t="shared" si="210"/>
        <v>69088</v>
      </c>
      <c r="I47" s="24">
        <f t="shared" si="210"/>
        <v>72574</v>
      </c>
      <c r="J47" s="24">
        <f t="shared" si="210"/>
        <v>77144</v>
      </c>
      <c r="K47" s="24">
        <f t="shared" si="210"/>
        <v>86051</v>
      </c>
      <c r="L47" s="24">
        <f t="shared" si="210"/>
        <v>89730</v>
      </c>
      <c r="M47" s="24">
        <f t="shared" si="210"/>
        <v>93798</v>
      </c>
      <c r="N47" s="24">
        <f t="shared" si="210"/>
        <v>96692</v>
      </c>
      <c r="O47" s="24">
        <f t="shared" si="210"/>
        <v>101182</v>
      </c>
      <c r="P47" s="24">
        <f t="shared" si="210"/>
        <v>105113</v>
      </c>
      <c r="Q47" s="24">
        <f t="shared" si="210"/>
        <v>110920</v>
      </c>
      <c r="R47" s="24">
        <f t="shared" si="210"/>
        <v>116526</v>
      </c>
      <c r="S47" s="24">
        <f t="shared" si="210"/>
        <v>121608</v>
      </c>
      <c r="T47" s="24">
        <f t="shared" si="210"/>
        <v>125781</v>
      </c>
      <c r="U47" s="24">
        <f t="shared" si="210"/>
        <v>130426</v>
      </c>
      <c r="V47" s="24">
        <f t="shared" si="210"/>
        <v>133400</v>
      </c>
      <c r="W47" s="24">
        <f t="shared" si="210"/>
        <v>138807</v>
      </c>
      <c r="X47" s="24">
        <f t="shared" si="210"/>
        <v>144281</v>
      </c>
      <c r="Y47" s="24">
        <f t="shared" si="210"/>
        <v>147461</v>
      </c>
      <c r="Z47" s="24">
        <f t="shared" si="210"/>
        <v>149747</v>
      </c>
      <c r="AA47" s="24">
        <f t="shared" si="210"/>
        <v>154292</v>
      </c>
      <c r="AB47" s="24">
        <f t="shared" si="210"/>
        <v>159948</v>
      </c>
      <c r="AC47" s="24">
        <f t="shared" si="210"/>
        <v>167497</v>
      </c>
      <c r="AD47" s="24">
        <f t="shared" si="210"/>
        <v>172756</v>
      </c>
      <c r="AE47" s="24">
        <f t="shared" si="210"/>
        <v>178621</v>
      </c>
      <c r="AF47" s="24">
        <f t="shared" si="210"/>
        <v>189536</v>
      </c>
      <c r="AG47" s="24">
        <f t="shared" si="210"/>
        <v>197295</v>
      </c>
      <c r="AH47" s="24">
        <f t="shared" si="210"/>
        <v>206935</v>
      </c>
      <c r="AI47" s="24">
        <f t="shared" si="210"/>
        <v>211610</v>
      </c>
      <c r="AJ47" s="24">
        <f t="shared" si="210"/>
        <v>221538</v>
      </c>
      <c r="AK47" s="24">
        <f t="shared" si="210"/>
        <v>232792</v>
      </c>
      <c r="AL47" s="24">
        <f t="shared" si="210"/>
        <v>245349</v>
      </c>
      <c r="AM47" s="24">
        <f t="shared" si="210"/>
        <v>257101</v>
      </c>
      <c r="AN47" s="24">
        <f t="shared" si="210"/>
        <v>263044</v>
      </c>
      <c r="AO47" s="24">
        <f t="shared" si="210"/>
        <v>275909</v>
      </c>
      <c r="AP47" s="24">
        <f t="shared" si="210"/>
        <v>273403</v>
      </c>
      <c r="AQ47" s="24">
        <f t="shared" si="210"/>
        <v>278492</v>
      </c>
      <c r="AR47" s="24">
        <f t="shared" si="210"/>
        <v>299243</v>
      </c>
      <c r="AS47" s="24">
        <f t="shared" si="210"/>
        <v>319616</v>
      </c>
      <c r="AT47" s="24">
        <f t="shared" si="210"/>
        <v>327095</v>
      </c>
      <c r="AU47" s="24">
        <f t="shared" si="210"/>
        <v>335387</v>
      </c>
      <c r="AV47" s="24">
        <f t="shared" si="210"/>
        <v>347403</v>
      </c>
      <c r="AW47" s="24">
        <f t="shared" si="210"/>
        <v>359268</v>
      </c>
      <c r="AX47" s="24">
        <f t="shared" si="210"/>
        <v>357096</v>
      </c>
      <c r="AY47" s="24">
        <f t="shared" si="210"/>
        <v>355185</v>
      </c>
      <c r="AZ47" s="24">
        <f t="shared" si="210"/>
        <v>358255</v>
      </c>
      <c r="BA47" s="24">
        <f t="shared" si="210"/>
        <v>365264</v>
      </c>
      <c r="BB47" s="24">
        <f t="shared" si="210"/>
        <v>369491</v>
      </c>
      <c r="BC47" s="24">
        <f t="shared" si="210"/>
        <v>383044</v>
      </c>
      <c r="BD47" s="24">
        <f t="shared" si="210"/>
        <v>396711</v>
      </c>
      <c r="BE47" s="24">
        <f>SUM(BE38,BE45)</f>
        <v>402392</v>
      </c>
      <c r="BF47" s="24">
        <f t="shared" si="210"/>
        <v>407350</v>
      </c>
      <c r="BG47" s="24">
        <f t="shared" ref="BG47:BH47" si="211">SUM(BG38,BG45)</f>
        <v>414770</v>
      </c>
      <c r="BH47" s="24">
        <f t="shared" si="211"/>
        <v>430266</v>
      </c>
      <c r="BI47" s="24">
        <f t="shared" ref="BI47:BJ47" si="212">SUM(BI38,BI45)</f>
        <v>450256</v>
      </c>
      <c r="BJ47" s="24">
        <f t="shared" si="212"/>
        <v>475374</v>
      </c>
      <c r="BK47" s="24">
        <f t="shared" ref="BK47:BL47" si="213">SUM(BK38,BK45)</f>
        <v>502053</v>
      </c>
      <c r="BL47" s="24">
        <f t="shared" si="213"/>
        <v>536469</v>
      </c>
      <c r="BM47" s="24">
        <f t="shared" si="210"/>
        <v>565475.99312468711</v>
      </c>
      <c r="BN47" s="24">
        <f t="shared" si="210"/>
        <v>590539.74552809517</v>
      </c>
      <c r="BO47" s="24">
        <f t="shared" ref="BO47:BQ47" si="214">SUM(BO38,BO45)</f>
        <v>607279.99496036</v>
      </c>
      <c r="BP47" s="24">
        <f t="shared" si="214"/>
        <v>645680.80786269181</v>
      </c>
      <c r="BQ47" s="24">
        <f t="shared" si="214"/>
        <v>680676.73481925973</v>
      </c>
      <c r="BR47" s="24">
        <f t="shared" ref="BR47:BU47" si="215">SUM(BR38,BR45)</f>
        <v>712411.00022114022</v>
      </c>
      <c r="BS47" s="24">
        <f t="shared" si="215"/>
        <v>745157.11931414355</v>
      </c>
      <c r="BT47" s="24">
        <f t="shared" si="215"/>
        <v>804025.16658761073</v>
      </c>
      <c r="BU47" s="24">
        <f t="shared" si="215"/>
        <v>857885.37340917008</v>
      </c>
      <c r="BV47" s="24">
        <f t="shared" ref="BV47:CC47" si="216">SUM(BV38,BV45)</f>
        <v>908374.28285380558</v>
      </c>
      <c r="BW47" s="24">
        <f t="shared" si="216"/>
        <v>945419.19203234487</v>
      </c>
      <c r="BX47" s="24">
        <f t="shared" si="216"/>
        <v>1013385.2577688165</v>
      </c>
      <c r="BY47" s="24">
        <f t="shared" si="216"/>
        <v>1074445.2124951687</v>
      </c>
      <c r="BZ47" s="24">
        <f t="shared" si="216"/>
        <v>1130740.846512788</v>
      </c>
      <c r="CA47" s="24">
        <f t="shared" si="216"/>
        <v>1172581.7772123844</v>
      </c>
      <c r="CB47" s="24">
        <f t="shared" si="216"/>
        <v>1250270.023995396</v>
      </c>
      <c r="CC47" s="24">
        <f t="shared" si="216"/>
        <v>1319152.0981910725</v>
      </c>
      <c r="CD47" s="24">
        <f t="shared" ref="CD47:CG47" si="217">SUM(CD38,CD45)</f>
        <v>1382182.7032723178</v>
      </c>
      <c r="CE47" s="24">
        <f t="shared" si="217"/>
        <v>1429358.8456970877</v>
      </c>
      <c r="CF47" s="24">
        <f t="shared" si="217"/>
        <v>1517662.7702180857</v>
      </c>
      <c r="CG47" s="24">
        <f t="shared" si="217"/>
        <v>1595046.2856853709</v>
      </c>
      <c r="CH47" s="24"/>
      <c r="CI47" s="91">
        <f t="shared" ref="CI47:CY47" si="218">SUM(CI38,CI45)</f>
        <v>57851</v>
      </c>
      <c r="CJ47" s="99">
        <f t="shared" si="218"/>
        <v>72574</v>
      </c>
      <c r="CK47" s="91">
        <f t="shared" si="218"/>
        <v>93798</v>
      </c>
      <c r="CL47" s="91">
        <f t="shared" si="218"/>
        <v>110920</v>
      </c>
      <c r="CM47" s="24">
        <f t="shared" si="218"/>
        <v>130426</v>
      </c>
      <c r="CN47" s="91">
        <f t="shared" si="218"/>
        <v>147461</v>
      </c>
      <c r="CO47" s="24">
        <f t="shared" si="218"/>
        <v>167497</v>
      </c>
      <c r="CP47" s="91">
        <f t="shared" si="218"/>
        <v>197295</v>
      </c>
      <c r="CQ47" s="91">
        <f t="shared" si="218"/>
        <v>232792</v>
      </c>
      <c r="CR47" s="91">
        <f t="shared" si="218"/>
        <v>275909</v>
      </c>
      <c r="CS47" s="91">
        <f t="shared" si="218"/>
        <v>319616</v>
      </c>
      <c r="CT47" s="24">
        <f t="shared" si="218"/>
        <v>359268</v>
      </c>
      <c r="CU47" s="91">
        <f t="shared" si="218"/>
        <v>365264</v>
      </c>
      <c r="CV47" s="91">
        <f t="shared" si="218"/>
        <v>402392</v>
      </c>
      <c r="CW47" s="91">
        <f t="shared" si="218"/>
        <v>450256</v>
      </c>
      <c r="CX47" s="91">
        <f t="shared" si="218"/>
        <v>565475.99312468711</v>
      </c>
      <c r="CY47" s="100">
        <f t="shared" si="218"/>
        <v>680676.73481925973</v>
      </c>
      <c r="CZ47" s="100">
        <f>SUM(CZ38,CZ45)</f>
        <v>857885.37340917008</v>
      </c>
      <c r="DA47" s="100">
        <f>SUM(DA38,DA45)</f>
        <v>1074445.2124951687</v>
      </c>
      <c r="DB47" s="100">
        <f>SUM(DB38,DB45)</f>
        <v>1319152.0981910725</v>
      </c>
      <c r="DC47" s="100">
        <f>SUM(DC38,DC45)</f>
        <v>1595046.2856853709</v>
      </c>
    </row>
    <row r="48" spans="1:107" x14ac:dyDescent="0.2">
      <c r="CI48" s="92"/>
      <c r="CJ48" s="57"/>
      <c r="CK48" s="92"/>
      <c r="CL48" s="92"/>
      <c r="CN48" s="92"/>
      <c r="CP48" s="92"/>
      <c r="CQ48" s="92"/>
      <c r="CR48" s="92"/>
      <c r="CS48" s="92"/>
      <c r="CU48" s="92"/>
      <c r="CV48" s="92"/>
      <c r="CW48" s="92"/>
      <c r="CX48" s="92"/>
      <c r="CY48" s="101"/>
      <c r="CZ48" s="101"/>
      <c r="DA48" s="101"/>
      <c r="DB48" s="101"/>
      <c r="DC48" s="101"/>
    </row>
    <row r="49" spans="1:107" x14ac:dyDescent="0.2">
      <c r="A49" s="7" t="s">
        <v>234</v>
      </c>
      <c r="B49" s="241">
        <f>B47-B20</f>
        <v>-0.31799999999930151</v>
      </c>
      <c r="C49" s="241">
        <f t="shared" ref="C49:BN49" si="219">C47-C20</f>
        <v>0</v>
      </c>
      <c r="D49" s="241">
        <f t="shared" si="219"/>
        <v>0</v>
      </c>
      <c r="E49" s="241">
        <f t="shared" si="219"/>
        <v>0</v>
      </c>
      <c r="F49" s="241">
        <f t="shared" si="219"/>
        <v>0</v>
      </c>
      <c r="G49" s="241">
        <f t="shared" si="219"/>
        <v>0</v>
      </c>
      <c r="H49" s="241">
        <f t="shared" si="219"/>
        <v>0</v>
      </c>
      <c r="I49" s="241">
        <f t="shared" si="219"/>
        <v>0</v>
      </c>
      <c r="J49" s="241">
        <f t="shared" si="219"/>
        <v>0</v>
      </c>
      <c r="K49" s="241">
        <f t="shared" si="219"/>
        <v>0</v>
      </c>
      <c r="L49" s="241">
        <f t="shared" si="219"/>
        <v>0</v>
      </c>
      <c r="M49" s="241">
        <f t="shared" si="219"/>
        <v>0</v>
      </c>
      <c r="N49" s="241">
        <f t="shared" si="219"/>
        <v>0</v>
      </c>
      <c r="O49" s="241">
        <f t="shared" si="219"/>
        <v>0</v>
      </c>
      <c r="P49" s="241">
        <f t="shared" si="219"/>
        <v>0</v>
      </c>
      <c r="Q49" s="241">
        <f t="shared" si="219"/>
        <v>0</v>
      </c>
      <c r="R49" s="241">
        <f t="shared" si="219"/>
        <v>0</v>
      </c>
      <c r="S49" s="241">
        <f t="shared" si="219"/>
        <v>0</v>
      </c>
      <c r="T49" s="241">
        <f t="shared" si="219"/>
        <v>0</v>
      </c>
      <c r="U49" s="241">
        <f t="shared" si="219"/>
        <v>0</v>
      </c>
      <c r="V49" s="241">
        <f t="shared" si="219"/>
        <v>0</v>
      </c>
      <c r="W49" s="241">
        <f t="shared" si="219"/>
        <v>0</v>
      </c>
      <c r="X49" s="241">
        <f t="shared" si="219"/>
        <v>0</v>
      </c>
      <c r="Y49" s="241">
        <f t="shared" si="219"/>
        <v>0</v>
      </c>
      <c r="Z49" s="241">
        <f t="shared" si="219"/>
        <v>0</v>
      </c>
      <c r="AA49" s="241">
        <f t="shared" si="219"/>
        <v>0</v>
      </c>
      <c r="AB49" s="241">
        <f t="shared" si="219"/>
        <v>0</v>
      </c>
      <c r="AC49" s="241">
        <f t="shared" si="219"/>
        <v>0</v>
      </c>
      <c r="AD49" s="241">
        <f t="shared" si="219"/>
        <v>0</v>
      </c>
      <c r="AE49" s="241">
        <f t="shared" si="219"/>
        <v>0</v>
      </c>
      <c r="AF49" s="241">
        <f t="shared" si="219"/>
        <v>0</v>
      </c>
      <c r="AG49" s="241">
        <f t="shared" si="219"/>
        <v>0</v>
      </c>
      <c r="AH49" s="241">
        <f t="shared" si="219"/>
        <v>0</v>
      </c>
      <c r="AI49" s="241">
        <f t="shared" si="219"/>
        <v>0</v>
      </c>
      <c r="AJ49" s="241">
        <f t="shared" si="219"/>
        <v>0</v>
      </c>
      <c r="AK49" s="241">
        <f t="shared" si="219"/>
        <v>0</v>
      </c>
      <c r="AL49" s="241">
        <f t="shared" si="219"/>
        <v>0</v>
      </c>
      <c r="AM49" s="241">
        <f t="shared" si="219"/>
        <v>0</v>
      </c>
      <c r="AN49" s="241">
        <f t="shared" si="219"/>
        <v>0</v>
      </c>
      <c r="AO49" s="241">
        <f t="shared" si="219"/>
        <v>0</v>
      </c>
      <c r="AP49" s="241">
        <f t="shared" si="219"/>
        <v>0</v>
      </c>
      <c r="AQ49" s="241">
        <f t="shared" si="219"/>
        <v>0</v>
      </c>
      <c r="AR49" s="241">
        <f t="shared" si="219"/>
        <v>0</v>
      </c>
      <c r="AS49" s="241">
        <f t="shared" si="219"/>
        <v>0</v>
      </c>
      <c r="AT49" s="241">
        <f t="shared" si="219"/>
        <v>0</v>
      </c>
      <c r="AU49" s="241">
        <f t="shared" si="219"/>
        <v>0</v>
      </c>
      <c r="AV49" s="241">
        <f t="shared" si="219"/>
        <v>0</v>
      </c>
      <c r="AW49" s="241">
        <f t="shared" si="219"/>
        <v>0</v>
      </c>
      <c r="AX49" s="241">
        <f t="shared" si="219"/>
        <v>0</v>
      </c>
      <c r="AY49" s="241">
        <f t="shared" si="219"/>
        <v>0</v>
      </c>
      <c r="AZ49" s="241">
        <f t="shared" si="219"/>
        <v>0</v>
      </c>
      <c r="BA49" s="241">
        <f t="shared" si="219"/>
        <v>0</v>
      </c>
      <c r="BB49" s="241">
        <f t="shared" si="219"/>
        <v>0</v>
      </c>
      <c r="BC49" s="241">
        <f t="shared" si="219"/>
        <v>0</v>
      </c>
      <c r="BD49" s="241">
        <f t="shared" si="219"/>
        <v>0</v>
      </c>
      <c r="BE49" s="241">
        <f>BE47-BE20</f>
        <v>0</v>
      </c>
      <c r="BF49" s="241">
        <f t="shared" si="219"/>
        <v>0</v>
      </c>
      <c r="BG49" s="241">
        <f t="shared" ref="BG49:BH49" si="220">BG47-BG20</f>
        <v>0</v>
      </c>
      <c r="BH49" s="241">
        <f t="shared" si="220"/>
        <v>0</v>
      </c>
      <c r="BI49" s="241">
        <f t="shared" ref="BI49:BJ49" si="221">BI47-BI20</f>
        <v>0</v>
      </c>
      <c r="BJ49" s="241">
        <f t="shared" si="221"/>
        <v>0</v>
      </c>
      <c r="BK49" s="241">
        <f t="shared" ref="BK49:BL49" si="222">BK47-BK20</f>
        <v>0</v>
      </c>
      <c r="BL49" s="241">
        <f t="shared" si="222"/>
        <v>0</v>
      </c>
      <c r="BM49" s="241">
        <f t="shared" si="219"/>
        <v>0</v>
      </c>
      <c r="BN49" s="241">
        <f t="shared" si="219"/>
        <v>0</v>
      </c>
      <c r="BO49" s="241">
        <f t="shared" ref="BO49:BQ49" si="223">BO47-BO20</f>
        <v>0</v>
      </c>
      <c r="BP49" s="241">
        <f t="shared" si="223"/>
        <v>0</v>
      </c>
      <c r="BQ49" s="241">
        <f t="shared" si="223"/>
        <v>0</v>
      </c>
      <c r="BR49" s="241">
        <f t="shared" ref="BR49:BU49" si="224">BR47-BR20</f>
        <v>0</v>
      </c>
      <c r="BS49" s="241">
        <f t="shared" si="224"/>
        <v>0</v>
      </c>
      <c r="BT49" s="241">
        <f t="shared" si="224"/>
        <v>0</v>
      </c>
      <c r="BU49" s="241">
        <f t="shared" si="224"/>
        <v>0</v>
      </c>
      <c r="BV49" s="241">
        <f t="shared" ref="BV49:CC49" si="225">BV47-BV20</f>
        <v>0</v>
      </c>
      <c r="BW49" s="241">
        <f t="shared" si="225"/>
        <v>0</v>
      </c>
      <c r="BX49" s="241">
        <f t="shared" si="225"/>
        <v>0</v>
      </c>
      <c r="BY49" s="241">
        <f t="shared" si="225"/>
        <v>0</v>
      </c>
      <c r="BZ49" s="241">
        <f t="shared" si="225"/>
        <v>0</v>
      </c>
      <c r="CA49" s="241">
        <f t="shared" si="225"/>
        <v>0</v>
      </c>
      <c r="CB49" s="241">
        <f t="shared" si="225"/>
        <v>0</v>
      </c>
      <c r="CC49" s="241">
        <f t="shared" si="225"/>
        <v>0</v>
      </c>
      <c r="CD49" s="241">
        <f t="shared" ref="CD49:CG49" si="226">CD47-CD20</f>
        <v>0</v>
      </c>
      <c r="CE49" s="241">
        <f t="shared" si="226"/>
        <v>0</v>
      </c>
      <c r="CF49" s="241">
        <f t="shared" si="226"/>
        <v>0</v>
      </c>
      <c r="CG49" s="241">
        <f t="shared" si="226"/>
        <v>0</v>
      </c>
      <c r="CH49" s="241"/>
      <c r="CI49" s="327">
        <f>CI47-CI20</f>
        <v>0</v>
      </c>
      <c r="CJ49" s="328">
        <f t="shared" ref="CJ49:CY49" si="227">CJ47-CJ20</f>
        <v>0</v>
      </c>
      <c r="CK49" s="327">
        <f t="shared" si="227"/>
        <v>0</v>
      </c>
      <c r="CL49" s="327">
        <f t="shared" si="227"/>
        <v>0</v>
      </c>
      <c r="CM49" s="241">
        <f t="shared" si="227"/>
        <v>0</v>
      </c>
      <c r="CN49" s="327">
        <f t="shared" si="227"/>
        <v>0</v>
      </c>
      <c r="CO49" s="241">
        <f t="shared" si="227"/>
        <v>0</v>
      </c>
      <c r="CP49" s="327">
        <f t="shared" si="227"/>
        <v>0</v>
      </c>
      <c r="CQ49" s="327">
        <f t="shared" si="227"/>
        <v>0</v>
      </c>
      <c r="CR49" s="327">
        <f t="shared" si="227"/>
        <v>0</v>
      </c>
      <c r="CS49" s="327">
        <f t="shared" si="227"/>
        <v>0</v>
      </c>
      <c r="CT49" s="241">
        <f t="shared" si="227"/>
        <v>0</v>
      </c>
      <c r="CU49" s="327">
        <f t="shared" si="227"/>
        <v>0</v>
      </c>
      <c r="CV49" s="327">
        <f t="shared" si="227"/>
        <v>0</v>
      </c>
      <c r="CW49" s="327">
        <f t="shared" si="227"/>
        <v>0</v>
      </c>
      <c r="CX49" s="327">
        <f t="shared" si="227"/>
        <v>0</v>
      </c>
      <c r="CY49" s="329">
        <f t="shared" si="227"/>
        <v>0</v>
      </c>
      <c r="CZ49" s="329">
        <f>CZ47-CZ20</f>
        <v>0</v>
      </c>
      <c r="DA49" s="329">
        <f>DA47-DA20</f>
        <v>0</v>
      </c>
      <c r="DB49" s="329">
        <f>DB47-DB20</f>
        <v>0</v>
      </c>
      <c r="DC49" s="329">
        <f>DC47-DC20</f>
        <v>0</v>
      </c>
    </row>
    <row r="50" spans="1:107" x14ac:dyDescent="0.2">
      <c r="CI50" s="92"/>
      <c r="CJ50" s="57"/>
      <c r="CK50" s="92"/>
      <c r="CL50" s="92"/>
      <c r="CN50" s="92"/>
      <c r="CP50" s="92"/>
      <c r="CQ50" s="92"/>
      <c r="CR50" s="92"/>
      <c r="CS50" s="92"/>
      <c r="CU50" s="92"/>
      <c r="CV50" s="92"/>
      <c r="CW50" s="92"/>
      <c r="CX50" s="92"/>
      <c r="CY50" s="101"/>
      <c r="CZ50" s="101"/>
      <c r="DA50" s="101"/>
      <c r="DB50" s="101"/>
      <c r="DC50" s="101"/>
    </row>
    <row r="51" spans="1:107" ht="12.75" thickBot="1" x14ac:dyDescent="0.25">
      <c r="A51" s="1" t="s">
        <v>235</v>
      </c>
      <c r="B51" s="20">
        <f>(B24+B32)-(B3+B4)</f>
        <v>-26514</v>
      </c>
      <c r="C51" s="20">
        <f t="shared" ref="C51:BN51" si="228">(C24+C32)-(C3+C4)</f>
        <v>-30059</v>
      </c>
      <c r="D51" s="20">
        <f t="shared" si="228"/>
        <v>-31258</v>
      </c>
      <c r="E51" s="20">
        <f t="shared" si="228"/>
        <v>-31510</v>
      </c>
      <c r="F51" s="20">
        <f t="shared" si="228"/>
        <v>-33459</v>
      </c>
      <c r="G51" s="20">
        <f t="shared" si="228"/>
        <v>-34916</v>
      </c>
      <c r="H51" s="20">
        <f t="shared" si="228"/>
        <v>-38356</v>
      </c>
      <c r="I51" s="20">
        <f t="shared" si="228"/>
        <v>-40422</v>
      </c>
      <c r="J51" s="20">
        <f t="shared" si="228"/>
        <v>-43861</v>
      </c>
      <c r="K51" s="20">
        <f t="shared" si="228"/>
        <v>-36917</v>
      </c>
      <c r="L51" s="20">
        <f t="shared" si="228"/>
        <v>-39518</v>
      </c>
      <c r="M51" s="20">
        <f t="shared" si="228"/>
        <v>-42551</v>
      </c>
      <c r="N51" s="20">
        <f t="shared" si="228"/>
        <v>-44959</v>
      </c>
      <c r="O51" s="20">
        <f t="shared" si="228"/>
        <v>-49443</v>
      </c>
      <c r="P51" s="20">
        <f t="shared" si="228"/>
        <v>-51321</v>
      </c>
      <c r="Q51" s="20">
        <f t="shared" si="228"/>
        <v>-53472</v>
      </c>
      <c r="R51" s="20">
        <f t="shared" si="228"/>
        <v>-53136</v>
      </c>
      <c r="S51" s="20">
        <f t="shared" si="228"/>
        <v>-55963</v>
      </c>
      <c r="T51" s="20">
        <f t="shared" si="228"/>
        <v>-56918</v>
      </c>
      <c r="U51" s="20">
        <f t="shared" si="228"/>
        <v>-59158</v>
      </c>
      <c r="V51" s="20">
        <f t="shared" si="228"/>
        <v>-60201</v>
      </c>
      <c r="W51" s="20">
        <f t="shared" si="228"/>
        <v>-64547</v>
      </c>
      <c r="X51" s="20">
        <f t="shared" si="228"/>
        <v>-67536</v>
      </c>
      <c r="Y51" s="20">
        <f t="shared" si="228"/>
        <v>-67846</v>
      </c>
      <c r="Z51" s="20">
        <f t="shared" si="228"/>
        <v>-70056</v>
      </c>
      <c r="AA51" s="20">
        <f t="shared" si="228"/>
        <v>-74257</v>
      </c>
      <c r="AB51" s="20">
        <f t="shared" si="228"/>
        <v>-79118</v>
      </c>
      <c r="AC51" s="20">
        <f t="shared" si="228"/>
        <v>-82398</v>
      </c>
      <c r="AD51" s="20">
        <f t="shared" si="228"/>
        <v>-88502</v>
      </c>
      <c r="AE51" s="20">
        <f t="shared" si="228"/>
        <v>-90758</v>
      </c>
      <c r="AF51" s="20">
        <f t="shared" si="228"/>
        <v>-96179</v>
      </c>
      <c r="AG51" s="20">
        <f t="shared" si="228"/>
        <v>-97902</v>
      </c>
      <c r="AH51" s="20">
        <f t="shared" si="228"/>
        <v>-97583</v>
      </c>
      <c r="AI51" s="20">
        <f t="shared" si="228"/>
        <v>-98273</v>
      </c>
      <c r="AJ51" s="20">
        <f t="shared" si="228"/>
        <v>-102430</v>
      </c>
      <c r="AK51" s="20">
        <f t="shared" si="228"/>
        <v>-105128</v>
      </c>
      <c r="AL51" s="20">
        <f t="shared" si="228"/>
        <v>-109422</v>
      </c>
      <c r="AM51" s="20">
        <f t="shared" si="228"/>
        <v>-116982</v>
      </c>
      <c r="AN51" s="20">
        <f t="shared" si="228"/>
        <v>-117095</v>
      </c>
      <c r="AO51" s="20">
        <f t="shared" si="228"/>
        <v>-115121</v>
      </c>
      <c r="AP51" s="20">
        <f t="shared" si="228"/>
        <v>-112213</v>
      </c>
      <c r="AQ51" s="20">
        <f t="shared" si="228"/>
        <v>-117062</v>
      </c>
      <c r="AR51" s="20">
        <f t="shared" si="228"/>
        <v>-118694</v>
      </c>
      <c r="AS51" s="20">
        <f t="shared" si="228"/>
        <v>-122762</v>
      </c>
      <c r="AT51" s="20">
        <f t="shared" si="228"/>
        <v>-121217</v>
      </c>
      <c r="AU51" s="20">
        <f>(AU24+AU32)-(AU3+AU4)</f>
        <v>-121535</v>
      </c>
      <c r="AV51" s="20">
        <f>(AV24+AV32)-(AV3+AV4)</f>
        <v>-127715</v>
      </c>
      <c r="AW51" s="20">
        <f t="shared" si="228"/>
        <v>-124832</v>
      </c>
      <c r="AX51" s="20">
        <f t="shared" si="228"/>
        <v>-119179</v>
      </c>
      <c r="AY51" s="20">
        <f t="shared" si="228"/>
        <v>-110263</v>
      </c>
      <c r="AZ51" s="20">
        <f t="shared" si="228"/>
        <v>-101606</v>
      </c>
      <c r="BA51" s="20">
        <f t="shared" si="228"/>
        <v>-99061</v>
      </c>
      <c r="BB51" s="20">
        <f t="shared" si="228"/>
        <v>-101405</v>
      </c>
      <c r="BC51" s="20">
        <f t="shared" si="228"/>
        <v>-104627</v>
      </c>
      <c r="BD51" s="20">
        <f t="shared" si="228"/>
        <v>-106154</v>
      </c>
      <c r="BE51" s="20">
        <f t="shared" si="228"/>
        <v>-97663</v>
      </c>
      <c r="BF51" s="20">
        <f t="shared" ref="BF51:BK51" si="229">(BF24+BF32)-(BF3+BF4)</f>
        <v>-94862</v>
      </c>
      <c r="BG51" s="20">
        <f t="shared" si="229"/>
        <v>-87487</v>
      </c>
      <c r="BH51" s="20">
        <f t="shared" si="229"/>
        <v>-80933</v>
      </c>
      <c r="BI51" s="20">
        <f t="shared" si="229"/>
        <v>-84774</v>
      </c>
      <c r="BJ51" s="20">
        <f t="shared" si="229"/>
        <v>-84442</v>
      </c>
      <c r="BK51" s="20">
        <f t="shared" si="229"/>
        <v>-71541</v>
      </c>
      <c r="BL51" s="20">
        <f t="shared" ref="BL51" si="230">(BL24+BL32)-(BL3+BL4)</f>
        <v>-76889</v>
      </c>
      <c r="BM51" s="20">
        <f t="shared" si="228"/>
        <v>-61399.109317529321</v>
      </c>
      <c r="BN51" s="20">
        <f t="shared" si="228"/>
        <v>-79752.174887206304</v>
      </c>
      <c r="BO51" s="20">
        <f t="shared" ref="BO51:BQ51" si="231">(BO24+BO32)-(BO3+BO4)</f>
        <v>-62243.571854341106</v>
      </c>
      <c r="BP51" s="20">
        <f t="shared" si="231"/>
        <v>-72036.651464161841</v>
      </c>
      <c r="BQ51" s="20">
        <f t="shared" si="231"/>
        <v>-73975.777300869973</v>
      </c>
      <c r="BR51" s="20">
        <f t="shared" ref="BR51:BU51" si="232">(BR24+BR32)-(BR3+BR4)</f>
        <v>-98642.580305404961</v>
      </c>
      <c r="BS51" s="20">
        <f t="shared" si="232"/>
        <v>-92719.640770037789</v>
      </c>
      <c r="BT51" s="20">
        <f t="shared" si="232"/>
        <v>-120605.30837523646</v>
      </c>
      <c r="BU51" s="20">
        <f t="shared" si="232"/>
        <v>-138050.62857202653</v>
      </c>
      <c r="BV51" s="20">
        <f t="shared" ref="BV51:CC51" si="233">(BV24+BV32)-(BV3+BV4)</f>
        <v>-188115.59700942528</v>
      </c>
      <c r="BW51" s="20">
        <f t="shared" si="233"/>
        <v>-183157.88424781087</v>
      </c>
      <c r="BX51" s="20">
        <f t="shared" si="233"/>
        <v>-219069.36211992148</v>
      </c>
      <c r="BY51" s="20">
        <f t="shared" si="233"/>
        <v>-241920.17717154033</v>
      </c>
      <c r="BZ51" s="20">
        <f t="shared" si="233"/>
        <v>-305948.2772127114</v>
      </c>
      <c r="CA51" s="20">
        <f t="shared" si="233"/>
        <v>-302923.39047821972</v>
      </c>
      <c r="CB51" s="20">
        <f t="shared" si="233"/>
        <v>-348061.4207974546</v>
      </c>
      <c r="CC51" s="20">
        <f t="shared" si="233"/>
        <v>-377639.91854993807</v>
      </c>
      <c r="CD51" s="20">
        <f t="shared" ref="CD51:CG51" si="234">(CD24+CD32)-(CD3+CD4)</f>
        <v>-458182.93101185904</v>
      </c>
      <c r="CE51" s="20">
        <f t="shared" si="234"/>
        <v>-458247.61990749126</v>
      </c>
      <c r="CF51" s="20">
        <f t="shared" si="234"/>
        <v>-513976.26585119916</v>
      </c>
      <c r="CG51" s="20">
        <f t="shared" si="234"/>
        <v>-551690.81798099633</v>
      </c>
      <c r="CH51" s="20"/>
      <c r="CI51" s="130">
        <f t="shared" ref="CI51" si="235">E51</f>
        <v>-31510</v>
      </c>
      <c r="CJ51" s="131">
        <f t="shared" ref="CJ51" si="236">I51</f>
        <v>-40422</v>
      </c>
      <c r="CK51" s="130">
        <f t="shared" ref="CK51" si="237">M51</f>
        <v>-42551</v>
      </c>
      <c r="CL51" s="130">
        <f t="shared" ref="CL51" si="238">Q51</f>
        <v>-53472</v>
      </c>
      <c r="CM51" s="132">
        <f t="shared" ref="CM51" si="239">U51</f>
        <v>-59158</v>
      </c>
      <c r="CN51" s="130">
        <f t="shared" ref="CN51" si="240">Y51</f>
        <v>-67846</v>
      </c>
      <c r="CO51" s="132">
        <f t="shared" ref="CO51" si="241">AC51</f>
        <v>-82398</v>
      </c>
      <c r="CP51" s="130">
        <f t="shared" ref="CP51" si="242">AG51</f>
        <v>-97902</v>
      </c>
      <c r="CQ51" s="130">
        <f t="shared" ref="CQ51" si="243">AK51</f>
        <v>-105128</v>
      </c>
      <c r="CR51" s="130">
        <f t="shared" ref="CR51" si="244">AO51</f>
        <v>-115121</v>
      </c>
      <c r="CS51" s="130">
        <f t="shared" ref="CS51" si="245">AS51</f>
        <v>-122762</v>
      </c>
      <c r="CT51" s="132">
        <f t="shared" ref="CT51" si="246">AW51</f>
        <v>-124832</v>
      </c>
      <c r="CU51" s="130">
        <f t="shared" ref="CU51" si="247">BA51</f>
        <v>-99061</v>
      </c>
      <c r="CV51" s="130">
        <f t="shared" ref="CV51" si="248">BE51</f>
        <v>-97663</v>
      </c>
      <c r="CW51" s="130">
        <f t="shared" ref="CW51" si="249">BI51</f>
        <v>-84774</v>
      </c>
      <c r="CX51" s="130">
        <f t="shared" ref="CX51" si="250">BM51</f>
        <v>-61399.109317529321</v>
      </c>
      <c r="CY51" s="133">
        <f t="shared" ref="CY51" si="251">BQ51</f>
        <v>-73975.777300869973</v>
      </c>
      <c r="CZ51" s="133">
        <f>BU51</f>
        <v>-138050.62857202653</v>
      </c>
      <c r="DA51" s="133">
        <f>BY51</f>
        <v>-241920.17717154033</v>
      </c>
      <c r="DB51" s="133">
        <f>CC51</f>
        <v>-377639.91854993807</v>
      </c>
      <c r="DC51" s="133">
        <f>CG51</f>
        <v>-551690.81798099633</v>
      </c>
    </row>
    <row r="54" spans="1:107" x14ac:dyDescent="0.2">
      <c r="A54" s="4" t="s">
        <v>194</v>
      </c>
    </row>
    <row r="55" spans="1:107" hidden="1" outlineLevel="1" x14ac:dyDescent="0.2">
      <c r="A55" s="1" t="s">
        <v>335</v>
      </c>
      <c r="B55" s="48" t="s">
        <v>82</v>
      </c>
      <c r="C55" s="48" t="s">
        <v>82</v>
      </c>
      <c r="D55" s="48" t="s">
        <v>82</v>
      </c>
      <c r="E55" s="48" t="s">
        <v>82</v>
      </c>
      <c r="F55" s="48" t="s">
        <v>82</v>
      </c>
      <c r="G55" s="48" t="s">
        <v>82</v>
      </c>
      <c r="H55" s="48" t="s">
        <v>82</v>
      </c>
      <c r="I55" s="48" t="s">
        <v>82</v>
      </c>
      <c r="J55" s="48" t="s">
        <v>82</v>
      </c>
      <c r="K55" s="48" t="s">
        <v>82</v>
      </c>
      <c r="L55" s="48" t="s">
        <v>82</v>
      </c>
      <c r="M55" s="48" t="s">
        <v>82</v>
      </c>
      <c r="N55" s="48" t="s">
        <v>82</v>
      </c>
      <c r="O55" s="48" t="s">
        <v>82</v>
      </c>
      <c r="P55" s="48" t="s">
        <v>82</v>
      </c>
      <c r="Q55" s="48" t="s">
        <v>82</v>
      </c>
      <c r="R55" s="48" t="s">
        <v>82</v>
      </c>
      <c r="S55" s="48" t="s">
        <v>82</v>
      </c>
      <c r="T55" s="48" t="s">
        <v>82</v>
      </c>
      <c r="U55" s="48" t="s">
        <v>82</v>
      </c>
      <c r="V55" s="48" t="s">
        <v>82</v>
      </c>
      <c r="W55" s="48" t="s">
        <v>82</v>
      </c>
      <c r="X55" s="48" t="s">
        <v>82</v>
      </c>
      <c r="Y55" s="22">
        <f>Y14/'Cash Flow Statement'!Y$51</f>
        <v>0.17877492877492879</v>
      </c>
      <c r="Z55" s="22">
        <f>Z14/'Cash Flow Statement'!Z$51</f>
        <v>0.1699489423778264</v>
      </c>
      <c r="AA55" s="22">
        <f>AA14/'Cash Flow Statement'!AA$51</f>
        <v>0.1697986577181208</v>
      </c>
      <c r="AB55" s="22">
        <f>AB14/'Cash Flow Statement'!AB$51</f>
        <v>0.17105263157894737</v>
      </c>
      <c r="AC55" s="22">
        <f>AC14/'Cash Flow Statement'!AC$51</f>
        <v>0.22703023117960877</v>
      </c>
      <c r="AD55" s="22">
        <f>AD14/'Cash Flow Statement'!AD$51</f>
        <v>0.2428476380572189</v>
      </c>
      <c r="AE55" s="22">
        <f>AE14/'Cash Flow Statement'!AE$51</f>
        <v>0.23138461538461538</v>
      </c>
      <c r="AF55" s="22">
        <f>AF14/'Cash Flow Statement'!AF$51</f>
        <v>0.28676888131743328</v>
      </c>
      <c r="AG55" s="22">
        <f>AG14/'Cash Flow Statement'!AG$51</f>
        <v>0.33563672260612043</v>
      </c>
      <c r="AH55" s="22">
        <f>AH14/'Cash Flow Statement'!AH$51</f>
        <v>0.34138972809667673</v>
      </c>
      <c r="AI55" s="22">
        <f>AI14/'Cash Flow Statement'!AI$51</f>
        <v>0.32403027436140019</v>
      </c>
      <c r="AJ55" s="22">
        <f>AJ14/'Cash Flow Statement'!AJ$51</f>
        <v>0.28959660297239914</v>
      </c>
      <c r="AK55" s="22">
        <f>AK14/'Cash Flow Statement'!AK$51</f>
        <v>0.28565891472868216</v>
      </c>
      <c r="AL55" s="22">
        <f>AL14/'Cash Flow Statement'!AL$51</f>
        <v>0.28702640642939148</v>
      </c>
      <c r="AM55" s="22">
        <f>AM14/'Cash Flow Statement'!AM$51</f>
        <v>0.20634920634920634</v>
      </c>
      <c r="AN55" s="22">
        <f>AN14/'Cash Flow Statement'!AN$51</f>
        <v>0.19315068493150686</v>
      </c>
      <c r="AO55" s="22">
        <f>AO14/'Cash Flow Statement'!AO$51</f>
        <v>0.21125109874011133</v>
      </c>
      <c r="AP55" s="22">
        <f>AP14/'Cash Flow Statement'!AP$51</f>
        <v>0.23487773487773489</v>
      </c>
      <c r="AQ55" s="22">
        <f>AQ14/'Cash Flow Statement'!AQ$51</f>
        <v>0.26432368576491433</v>
      </c>
      <c r="AR55" s="22">
        <f>AR14/'Cash Flow Statement'!AR$51</f>
        <v>0.27947096032202418</v>
      </c>
      <c r="AS55" s="22">
        <f>AS14/'Cash Flow Statement'!AS$51</f>
        <v>0.29100671140939599</v>
      </c>
      <c r="AT55" s="22">
        <f>AT14/'Cash Flow Statement'!AT$51</f>
        <v>0.41009807482746097</v>
      </c>
      <c r="AU55" s="22">
        <f>AU14/'Cash Flow Statement'!AU$51</f>
        <v>0.39151103565365025</v>
      </c>
      <c r="AV55" s="22">
        <f>AV14/'Cash Flow Statement'!AV$51</f>
        <v>0.36168280871670705</v>
      </c>
      <c r="AW55" s="22">
        <f>AW14/'Cash Flow Statement'!AW$51</f>
        <v>0.37336435010177377</v>
      </c>
      <c r="AX55" s="22">
        <f>AX14/'Cash Flow Statement'!AX$51</f>
        <v>0.36700158646218933</v>
      </c>
      <c r="AY55" s="22">
        <f>AY14/'Cash Flow Statement'!AY$51</f>
        <v>0.38214926904334445</v>
      </c>
      <c r="AZ55" s="22">
        <f>AZ14/'Cash Flow Statement'!AZ$51</f>
        <v>0.73924864063272366</v>
      </c>
      <c r="BA55" s="22">
        <f>BA14/'Cash Flow Statement'!BA$51</f>
        <v>1.2523208759819091</v>
      </c>
      <c r="BB55" s="22">
        <f>BB14/'Cash Flow Statement'!BB$51</f>
        <v>2.1610169491525424</v>
      </c>
      <c r="BC55" s="22">
        <f>BC14/'Cash Flow Statement'!BC$51</f>
        <v>2.7544892552251987</v>
      </c>
      <c r="BD55" s="22">
        <f>BD14/'Cash Flow Statement'!BD$51</f>
        <v>2.8902631578947369</v>
      </c>
      <c r="BE55" s="22">
        <f>BE14/'Cash Flow Statement'!BE$51</f>
        <v>3.66978287092883</v>
      </c>
      <c r="BF55" s="22">
        <f>BF14/'Cash Flow Statement'!BF$51</f>
        <v>3.4242601816583651</v>
      </c>
      <c r="BG55" s="22">
        <f>BG14/'Cash Flow Statement'!BG$51</f>
        <v>4.0339805825242721</v>
      </c>
      <c r="BH55" s="22">
        <f>BH14/'Cash Flow Statement'!BH$51</f>
        <v>3.9937264742785445</v>
      </c>
      <c r="BI55" s="22">
        <f>BI14/'Cash Flow Statement'!BI$51</f>
        <v>4.085612366230678</v>
      </c>
      <c r="BJ55" s="22">
        <f>BJ14/'Cash Flow Statement'!BJ$51</f>
        <v>4.0976153331847556</v>
      </c>
      <c r="BK55" s="22">
        <f t="shared" ref="BK55:BQ55" si="252">BJ55</f>
        <v>4.0976153331847556</v>
      </c>
      <c r="BL55" s="22">
        <f t="shared" si="252"/>
        <v>4.0976153331847556</v>
      </c>
      <c r="BM55" s="34">
        <f t="shared" si="252"/>
        <v>4.0976153331847556</v>
      </c>
      <c r="BN55" s="34">
        <f t="shared" si="252"/>
        <v>4.0976153331847556</v>
      </c>
      <c r="BO55" s="34">
        <f t="shared" si="252"/>
        <v>4.0976153331847556</v>
      </c>
      <c r="BP55" s="34">
        <f t="shared" si="252"/>
        <v>4.0976153331847556</v>
      </c>
      <c r="BQ55" s="34">
        <f t="shared" si="252"/>
        <v>4.0976153331847556</v>
      </c>
      <c r="BR55" s="26">
        <f t="shared" ref="BR55:BR61" si="253">BQ55</f>
        <v>4.0976153331847556</v>
      </c>
      <c r="BS55" s="26">
        <f t="shared" ref="BS55:BS61" si="254">BR55</f>
        <v>4.0976153331847556</v>
      </c>
      <c r="BT55" s="26">
        <f t="shared" ref="BT55:BT61" si="255">BS55</f>
        <v>4.0976153331847556</v>
      </c>
      <c r="BU55" s="26">
        <f t="shared" ref="BU55:BU61" si="256">BT55</f>
        <v>4.0976153331847556</v>
      </c>
      <c r="BV55" s="26">
        <f t="shared" ref="BV55:BV61" si="257">BU55</f>
        <v>4.0976153331847556</v>
      </c>
      <c r="BW55" s="26">
        <f t="shared" ref="BW55:BW61" si="258">BV55</f>
        <v>4.0976153331847556</v>
      </c>
      <c r="BX55" s="26">
        <f t="shared" ref="BX55:BX61" si="259">BW55</f>
        <v>4.0976153331847556</v>
      </c>
      <c r="BY55" s="26">
        <f t="shared" ref="BY55:BY61" si="260">BX55</f>
        <v>4.0976153331847556</v>
      </c>
      <c r="BZ55" s="26">
        <f t="shared" ref="BZ55:BZ61" si="261">BY55</f>
        <v>4.0976153331847556</v>
      </c>
      <c r="CA55" s="26">
        <f t="shared" ref="CA55:CA61" si="262">BZ55</f>
        <v>4.0976153331847556</v>
      </c>
      <c r="CB55" s="26">
        <f t="shared" ref="CB55:CB61" si="263">CA55</f>
        <v>4.0976153331847556</v>
      </c>
      <c r="CC55" s="26">
        <f t="shared" ref="CC55:CC61" si="264">CB55</f>
        <v>4.0976153331847556</v>
      </c>
      <c r="CD55" s="26">
        <f t="shared" ref="CD55:CD61" si="265">CC55</f>
        <v>4.0976153331847556</v>
      </c>
      <c r="CE55" s="26">
        <f t="shared" ref="CE55:CE61" si="266">CD55</f>
        <v>4.0976153331847556</v>
      </c>
      <c r="CF55" s="26">
        <f t="shared" ref="CF55:CF61" si="267">CE55</f>
        <v>4.0976153331847556</v>
      </c>
      <c r="CG55" s="26">
        <f t="shared" ref="CG55:CG61" si="268">CF55</f>
        <v>4.0976153331847556</v>
      </c>
      <c r="CH55" s="26"/>
    </row>
    <row r="56" spans="1:107" hidden="1" outlineLevel="1" x14ac:dyDescent="0.2">
      <c r="A56" s="1" t="s">
        <v>336</v>
      </c>
      <c r="B56" s="48" t="s">
        <v>82</v>
      </c>
      <c r="C56" s="48" t="s">
        <v>82</v>
      </c>
      <c r="D56" s="48" t="s">
        <v>82</v>
      </c>
      <c r="E56" s="48" t="s">
        <v>82</v>
      </c>
      <c r="F56" s="48" t="s">
        <v>82</v>
      </c>
      <c r="G56" s="48" t="s">
        <v>82</v>
      </c>
      <c r="H56" s="48" t="s">
        <v>82</v>
      </c>
      <c r="I56" s="48" t="s">
        <v>82</v>
      </c>
      <c r="J56" s="48" t="s">
        <v>82</v>
      </c>
      <c r="K56" s="48" t="s">
        <v>82</v>
      </c>
      <c r="L56" s="48" t="s">
        <v>82</v>
      </c>
      <c r="M56" s="48" t="s">
        <v>82</v>
      </c>
      <c r="N56" s="48" t="s">
        <v>82</v>
      </c>
      <c r="O56" s="48" t="s">
        <v>82</v>
      </c>
      <c r="P56" s="48" t="s">
        <v>82</v>
      </c>
      <c r="Q56" s="48" t="s">
        <v>82</v>
      </c>
      <c r="R56" s="48" t="s">
        <v>82</v>
      </c>
      <c r="S56" s="48" t="s">
        <v>82</v>
      </c>
      <c r="T56" s="48" t="s">
        <v>82</v>
      </c>
      <c r="U56" s="48" t="s">
        <v>82</v>
      </c>
      <c r="V56" s="48" t="s">
        <v>82</v>
      </c>
      <c r="W56" s="48" t="s">
        <v>82</v>
      </c>
      <c r="X56" s="48" t="s">
        <v>82</v>
      </c>
      <c r="Y56" s="22">
        <f>Y35/'Cash Flow Statement'!Y$51</f>
        <v>0.13461538461538461</v>
      </c>
      <c r="Z56" s="22">
        <f>Z35/'Cash Flow Statement'!Z$51</f>
        <v>0.43690736688548504</v>
      </c>
      <c r="AA56" s="22">
        <f>AA35/'Cash Flow Statement'!AA$51</f>
        <v>0.43691275167785237</v>
      </c>
      <c r="AB56" s="22">
        <f>AB35/'Cash Flow Statement'!AB$51</f>
        <v>0.2462406015037594</v>
      </c>
      <c r="AC56" s="22">
        <f>AC35/'Cash Flow Statement'!AC$51</f>
        <v>0.13396561944279786</v>
      </c>
      <c r="AD56" s="22">
        <f>AD35/'Cash Flow Statement'!AD$51</f>
        <v>0.40186294078509649</v>
      </c>
      <c r="AE56" s="22">
        <f>AE35/'Cash Flow Statement'!AE$51</f>
        <v>0.22707692307692307</v>
      </c>
      <c r="AF56" s="22">
        <f>AF35/'Cash Flow Statement'!AF$51</f>
        <v>8.5746734809767175E-2</v>
      </c>
      <c r="AG56" s="22">
        <f>AG35/'Cash Flow Statement'!AG$51</f>
        <v>0.21224086870681144</v>
      </c>
      <c r="AH56" s="22">
        <f>AH35/'Cash Flow Statement'!AH$51</f>
        <v>0.19838872104733132</v>
      </c>
      <c r="AI56" s="22">
        <f>AI35/'Cash Flow Statement'!AI$51</f>
        <v>0.22658467360454115</v>
      </c>
      <c r="AJ56" s="22">
        <f>AJ35/'Cash Flow Statement'!AJ$51</f>
        <v>0.55966029723991506</v>
      </c>
      <c r="AK56" s="22">
        <f>AK35/'Cash Flow Statement'!AK$51</f>
        <v>0.48992248062015503</v>
      </c>
      <c r="AL56" s="22">
        <f>AL35/'Cash Flow Statement'!AL$51</f>
        <v>0.49062380405663986</v>
      </c>
      <c r="AM56" s="22">
        <f>AM35/'Cash Flow Statement'!AM$51</f>
        <v>0.66737213403880069</v>
      </c>
      <c r="AN56" s="22">
        <f>AN35/'Cash Flow Statement'!AN$51</f>
        <v>0.59828767123287674</v>
      </c>
      <c r="AO56" s="22">
        <f>AO35/'Cash Flow Statement'!AO$51</f>
        <v>0.49838851450336946</v>
      </c>
      <c r="AP56" s="22">
        <f>AP35/'Cash Flow Statement'!AP$51</f>
        <v>0.66891891891891897</v>
      </c>
      <c r="AQ56" s="22">
        <f>AQ35/'Cash Flow Statement'!AQ$51</f>
        <v>0.53071470761961015</v>
      </c>
      <c r="AR56" s="22">
        <f>AR35/'Cash Flow Statement'!AR$51</f>
        <v>0.56728004600345028</v>
      </c>
      <c r="AS56" s="22">
        <f>AS35/'Cash Flow Statement'!AS$51</f>
        <v>0.95597315436241614</v>
      </c>
      <c r="AT56" s="22">
        <f>AT35/'Cash Flow Statement'!AT$51</f>
        <v>1.6004358881220486</v>
      </c>
      <c r="AU56" s="22">
        <f>AU35/'Cash Flow Statement'!AU$51</f>
        <v>1.5969439728353141</v>
      </c>
      <c r="AV56" s="22">
        <f>AV35/'Cash Flow Statement'!AV$51</f>
        <v>1.0747578692493946</v>
      </c>
      <c r="AW56" s="22">
        <f>AW35/'Cash Flow Statement'!AW$51</f>
        <v>1.528642047106717</v>
      </c>
      <c r="AX56" s="22">
        <f>AX35/'Cash Flow Statement'!AX$51</f>
        <v>0.75171866737176096</v>
      </c>
      <c r="AY56" s="22">
        <f>AY35/'Cash Flow Statement'!AY$51</f>
        <v>0.23698384201077199</v>
      </c>
      <c r="AZ56" s="22">
        <f>AZ35/'Cash Flow Statement'!AZ$51</f>
        <v>0.11764705882352941</v>
      </c>
      <c r="BA56" s="22">
        <f>BA35/'Cash Flow Statement'!BA$51</f>
        <v>0.12235182099500119</v>
      </c>
      <c r="BB56" s="22">
        <f>BB35/'Cash Flow Statement'!BB$51</f>
        <v>0.17011927181418707</v>
      </c>
      <c r="BC56" s="22">
        <f>BC35/'Cash Flow Statement'!BC$51</f>
        <v>0.16426258463350016</v>
      </c>
      <c r="BD56" s="22">
        <f>BD35/'Cash Flow Statement'!BD$51</f>
        <v>0.13894736842105262</v>
      </c>
      <c r="BE56" s="22">
        <f>BE35/'Cash Flow Statement'!BE$51</f>
        <v>0.1462605548854041</v>
      </c>
      <c r="BF56" s="22">
        <f>BF35/'Cash Flow Statement'!BF$51</f>
        <v>0.14239671842953414</v>
      </c>
      <c r="BG56" s="22">
        <f>BG35/'Cash Flow Statement'!BG$51</f>
        <v>0.19336569579288027</v>
      </c>
      <c r="BH56" s="22">
        <f>BH35/'Cash Flow Statement'!BH$51</f>
        <v>0.17716436637390212</v>
      </c>
      <c r="BI56" s="22">
        <f>BI35/'Cash Flow Statement'!BI$51</f>
        <v>0</v>
      </c>
      <c r="BJ56" s="22">
        <f>BJ35/'Cash Flow Statement'!BJ$51</f>
        <v>0</v>
      </c>
      <c r="BK56" s="22">
        <f t="shared" ref="BK56:BQ56" si="269">BJ56</f>
        <v>0</v>
      </c>
      <c r="BL56" s="22">
        <f t="shared" si="269"/>
        <v>0</v>
      </c>
      <c r="BM56" s="34">
        <f t="shared" si="269"/>
        <v>0</v>
      </c>
      <c r="BN56" s="34">
        <f t="shared" si="269"/>
        <v>0</v>
      </c>
      <c r="BO56" s="34">
        <f t="shared" si="269"/>
        <v>0</v>
      </c>
      <c r="BP56" s="34">
        <f t="shared" si="269"/>
        <v>0</v>
      </c>
      <c r="BQ56" s="34">
        <f t="shared" si="269"/>
        <v>0</v>
      </c>
      <c r="BR56" s="26">
        <f t="shared" si="253"/>
        <v>0</v>
      </c>
      <c r="BS56" s="26">
        <f t="shared" si="254"/>
        <v>0</v>
      </c>
      <c r="BT56" s="26">
        <f t="shared" si="255"/>
        <v>0</v>
      </c>
      <c r="BU56" s="26">
        <f t="shared" si="256"/>
        <v>0</v>
      </c>
      <c r="BV56" s="26">
        <f t="shared" si="257"/>
        <v>0</v>
      </c>
      <c r="BW56" s="26">
        <f t="shared" si="258"/>
        <v>0</v>
      </c>
      <c r="BX56" s="26">
        <f t="shared" si="259"/>
        <v>0</v>
      </c>
      <c r="BY56" s="26">
        <f t="shared" si="260"/>
        <v>0</v>
      </c>
      <c r="BZ56" s="26">
        <f t="shared" si="261"/>
        <v>0</v>
      </c>
      <c r="CA56" s="26">
        <f t="shared" si="262"/>
        <v>0</v>
      </c>
      <c r="CB56" s="26">
        <f t="shared" si="263"/>
        <v>0</v>
      </c>
      <c r="CC56" s="26">
        <f t="shared" si="264"/>
        <v>0</v>
      </c>
      <c r="CD56" s="26">
        <f t="shared" si="265"/>
        <v>0</v>
      </c>
      <c r="CE56" s="26">
        <f t="shared" si="266"/>
        <v>0</v>
      </c>
      <c r="CF56" s="26">
        <f t="shared" si="267"/>
        <v>0</v>
      </c>
      <c r="CG56" s="26">
        <f t="shared" si="268"/>
        <v>0</v>
      </c>
      <c r="CH56" s="26"/>
    </row>
    <row r="57" spans="1:107" hidden="1" outlineLevel="1" x14ac:dyDescent="0.2">
      <c r="A57" s="1" t="s">
        <v>237</v>
      </c>
      <c r="B57" s="22">
        <f>B10/'Income Statement'!B$85</f>
        <v>0.22413112164296997</v>
      </c>
      <c r="C57" s="22">
        <f>C10/'Income Statement'!C$85</f>
        <v>0.27889150943396224</v>
      </c>
      <c r="D57" s="22">
        <f>D10/'Income Statement'!D$85</f>
        <v>0.220762634555738</v>
      </c>
      <c r="E57" s="22">
        <f>E10/'Income Statement'!E$85</f>
        <v>0.20813059174383927</v>
      </c>
      <c r="F57" s="22">
        <f>F10/'Income Statement'!F$85</f>
        <v>0.2290391676866585</v>
      </c>
      <c r="G57" s="22">
        <f>G10/'Income Statement'!G$85</f>
        <v>0.19207405264680358</v>
      </c>
      <c r="H57" s="22">
        <f>H10/'Income Statement'!H$85</f>
        <v>0.18716719914802982</v>
      </c>
      <c r="I57" s="22">
        <f>I10/'Income Statement'!I$85</f>
        <v>0.2145843580914904</v>
      </c>
      <c r="J57" s="22">
        <f>J10/'Income Statement'!J$85</f>
        <v>0.21865781710914453</v>
      </c>
      <c r="K57" s="22">
        <f>K10/'Income Statement'!K$85</f>
        <v>0.31264202846549455</v>
      </c>
      <c r="L57" s="22">
        <f>L10/'Income Statement'!L$85</f>
        <v>0.27879341864716634</v>
      </c>
      <c r="M57" s="22">
        <f>M10/'Income Statement'!M$85</f>
        <v>0.21684296175752643</v>
      </c>
      <c r="N57" s="22">
        <f>N10/'Income Statement'!N$85</f>
        <v>0.23788060897435898</v>
      </c>
      <c r="O57" s="22">
        <f>O10/'Income Statement'!O$85</f>
        <v>0.27509662075116442</v>
      </c>
      <c r="P57" s="22">
        <f>P10/'Income Statement'!P$85</f>
        <v>0.21840786787901281</v>
      </c>
      <c r="Q57" s="22">
        <f>Q10/'Income Statement'!Q$85</f>
        <v>0.22783687943262412</v>
      </c>
      <c r="R57" s="22">
        <f>R10/'Income Statement'!R$85</f>
        <v>0.49314956107966201</v>
      </c>
      <c r="S57" s="22">
        <f>S10/'Income Statement'!S$85</f>
        <v>0.4510702156227786</v>
      </c>
      <c r="T57" s="22">
        <f>T10/'Income Statement'!T$85</f>
        <v>0.47726755218216321</v>
      </c>
      <c r="U57" s="22">
        <f>U10/'Income Statement'!U$85</f>
        <v>0.23565163340009671</v>
      </c>
      <c r="V57" s="22">
        <f>V10/'Income Statement'!V$85</f>
        <v>0.26737583554948607</v>
      </c>
      <c r="W57" s="22">
        <f>W10/'Income Statement'!W$85</f>
        <v>0.21247386759581882</v>
      </c>
      <c r="X57" s="22">
        <f>X10/'Income Statement'!X$85</f>
        <v>0.17790720762459461</v>
      </c>
      <c r="Y57" s="22">
        <f>Y10/'Income Statement'!Y$85</f>
        <v>0.18171818918605998</v>
      </c>
      <c r="Z57" s="22">
        <f>Z10/'Income Statement'!Z$85</f>
        <v>0.16509806302750624</v>
      </c>
      <c r="AA57" s="22">
        <f>AA10/'Income Statement'!AA$85</f>
        <v>0.17209700427960056</v>
      </c>
      <c r="AB57" s="22">
        <f>AB10/'Income Statement'!AB$85</f>
        <v>0.13881438502381083</v>
      </c>
      <c r="AC57" s="22">
        <f>AC10/'Income Statement'!AC$85</f>
        <v>0.21563914027149322</v>
      </c>
      <c r="AD57" s="22">
        <f>AD10/'Income Statement'!AD$85</f>
        <v>0.15436608518463296</v>
      </c>
      <c r="AE57" s="22">
        <f>AE10/'Income Statement'!AE$85</f>
        <v>0.11463263062287872</v>
      </c>
      <c r="AF57" s="22">
        <f>AF10/'Income Statement'!AF$85</f>
        <v>0.12842388863942525</v>
      </c>
      <c r="AG57" s="22">
        <f>AG10/'Income Statement'!AG$85</f>
        <v>0.11529393576315078</v>
      </c>
      <c r="AH57" s="22">
        <f>AH10/'Income Statement'!AH$85</f>
        <v>0.13782283369538981</v>
      </c>
      <c r="AI57" s="22">
        <f>AI10/'Income Statement'!AI$85</f>
        <v>0.15097000419255249</v>
      </c>
      <c r="AJ57" s="22">
        <f>AJ10/'Income Statement'!AJ$85</f>
        <v>0.14754400176743501</v>
      </c>
      <c r="AK57" s="22">
        <f>AK10/'Income Statement'!AK$85</f>
        <v>0.13304020100502512</v>
      </c>
      <c r="AL57" s="22">
        <f>AL10/'Income Statement'!AL$85</f>
        <v>0.14946232911564164</v>
      </c>
      <c r="AM57" s="22">
        <f>AM10/'Income Statement'!AM$85</f>
        <v>0.12931306377341828</v>
      </c>
      <c r="AN57" s="22">
        <f>AN10/'Income Statement'!AN$85</f>
        <v>0.14235511527159259</v>
      </c>
      <c r="AO57" s="22">
        <f>AO10/'Income Statement'!AO$85</f>
        <v>0.11742162133390111</v>
      </c>
      <c r="AP57" s="22">
        <f>AP10/'Income Statement'!AP$85</f>
        <v>0.15323226629483491</v>
      </c>
      <c r="AQ57" s="22">
        <f>AQ10/'Income Statement'!AQ$85</f>
        <v>0.17653387336645254</v>
      </c>
      <c r="AR57" s="22">
        <f>AR10/'Income Statement'!AR$85</f>
        <v>0.14273686426184651</v>
      </c>
      <c r="AS57" s="22">
        <f>AS10/'Income Statement'!AS$85</f>
        <v>0.11823742246726396</v>
      </c>
      <c r="AT57" s="22">
        <f>AT10/'Income Statement'!AT$85</f>
        <v>0.16766808473312575</v>
      </c>
      <c r="AU57" s="22">
        <f>AU10/'Income Statement'!AU$85</f>
        <v>0.11925183018979019</v>
      </c>
      <c r="AV57" s="22">
        <f>AV10/'Income Statement'!AV$85</f>
        <v>0.11243938828795226</v>
      </c>
      <c r="AW57" s="22">
        <f>AW10/'Income Statement'!AW$85</f>
        <v>0.11396167889107887</v>
      </c>
      <c r="AX57" s="22">
        <f>AX10/'Income Statement'!AX$85</f>
        <v>0.12302529408614626</v>
      </c>
      <c r="AY57" s="22">
        <f>AY10/'Income Statement'!AY$85</f>
        <v>0.14478606601590369</v>
      </c>
      <c r="AZ57" s="22">
        <f>AZ10/'Income Statement'!AZ$85</f>
        <v>0.18366919288932351</v>
      </c>
      <c r="BA57" s="22">
        <f>BA10/'Income Statement'!BA$85</f>
        <v>0.12840010772618538</v>
      </c>
      <c r="BB57" s="22">
        <f>BB10/'Income Statement'!BB$85</f>
        <v>0.14693624496262872</v>
      </c>
      <c r="BC57" s="22">
        <f>BC10/'Income Statement'!BC$85</f>
        <v>0.15178758438461662</v>
      </c>
      <c r="BD57" s="22">
        <f>BD10/'Income Statement'!BD$85</f>
        <v>0.19356450328644362</v>
      </c>
      <c r="BE57" s="22">
        <f>BE10/'Income Statement'!BE$85</f>
        <v>0.17490736131851115</v>
      </c>
      <c r="BF57" s="22">
        <f>BF10/'Income Statement'!BF$85</f>
        <v>0.18979776012308966</v>
      </c>
      <c r="BG57" s="22">
        <f>BG10/'Income Statement'!BG$85</f>
        <v>0.19876672973162357</v>
      </c>
      <c r="BH57" s="22">
        <f>BH10/'Income Statement'!BH$85</f>
        <v>0.20398663965982106</v>
      </c>
      <c r="BI57" s="22">
        <f>BI10/'Income Statement'!BI$85</f>
        <v>0.19252398279854449</v>
      </c>
      <c r="BJ57" s="22">
        <f>BJ10/'Income Statement'!BJ$85</f>
        <v>0.20558010616321942</v>
      </c>
      <c r="BK57" s="22">
        <f t="shared" ref="BK57:BQ61" si="270">BJ57</f>
        <v>0.20558010616321942</v>
      </c>
      <c r="BL57" s="22">
        <f t="shared" si="270"/>
        <v>0.20558010616321942</v>
      </c>
      <c r="BM57" s="49">
        <f t="shared" si="270"/>
        <v>0.20558010616321942</v>
      </c>
      <c r="BN57" s="49">
        <f t="shared" si="270"/>
        <v>0.20558010616321942</v>
      </c>
      <c r="BO57" s="49">
        <f t="shared" si="270"/>
        <v>0.20558010616321942</v>
      </c>
      <c r="BP57" s="49">
        <f t="shared" si="270"/>
        <v>0.20558010616321942</v>
      </c>
      <c r="BQ57" s="49">
        <f t="shared" si="270"/>
        <v>0.20558010616321942</v>
      </c>
      <c r="BR57" s="49">
        <f t="shared" si="253"/>
        <v>0.20558010616321942</v>
      </c>
      <c r="BS57" s="49">
        <f t="shared" si="254"/>
        <v>0.20558010616321942</v>
      </c>
      <c r="BT57" s="49">
        <f t="shared" si="255"/>
        <v>0.20558010616321942</v>
      </c>
      <c r="BU57" s="49">
        <f t="shared" si="256"/>
        <v>0.20558010616321942</v>
      </c>
      <c r="BV57" s="49">
        <f t="shared" si="257"/>
        <v>0.20558010616321942</v>
      </c>
      <c r="BW57" s="49">
        <f t="shared" si="258"/>
        <v>0.20558010616321942</v>
      </c>
      <c r="BX57" s="49">
        <f t="shared" si="259"/>
        <v>0.20558010616321942</v>
      </c>
      <c r="BY57" s="49">
        <f t="shared" si="260"/>
        <v>0.20558010616321942</v>
      </c>
      <c r="BZ57" s="49">
        <f t="shared" si="261"/>
        <v>0.20558010616321942</v>
      </c>
      <c r="CA57" s="49">
        <f t="shared" si="262"/>
        <v>0.20558010616321942</v>
      </c>
      <c r="CB57" s="49">
        <f t="shared" si="263"/>
        <v>0.20558010616321942</v>
      </c>
      <c r="CC57" s="49">
        <f t="shared" si="264"/>
        <v>0.20558010616321942</v>
      </c>
      <c r="CD57" s="49">
        <f t="shared" si="265"/>
        <v>0.20558010616321942</v>
      </c>
      <c r="CE57" s="49">
        <f t="shared" si="266"/>
        <v>0.20558010616321942</v>
      </c>
      <c r="CF57" s="49">
        <f t="shared" si="267"/>
        <v>0.20558010616321942</v>
      </c>
      <c r="CG57" s="49">
        <f t="shared" si="268"/>
        <v>0.20558010616321942</v>
      </c>
      <c r="CH57" s="49"/>
    </row>
    <row r="58" spans="1:107" hidden="1" outlineLevel="1" x14ac:dyDescent="0.2">
      <c r="A58" s="1" t="s">
        <v>236</v>
      </c>
      <c r="B58" s="22">
        <f>B19/'Income Statement'!B$85</f>
        <v>8.9652448657187994E-2</v>
      </c>
      <c r="C58" s="22">
        <f>C19/'Income Statement'!C$85</f>
        <v>8.8836477987421378E-2</v>
      </c>
      <c r="D58" s="22">
        <f>D19/'Income Statement'!D$85</f>
        <v>7.407407407407407E-2</v>
      </c>
      <c r="E58" s="22">
        <f>E19/'Income Statement'!E$85</f>
        <v>6.9376863914613091E-2</v>
      </c>
      <c r="F58" s="22">
        <f>F19/'Income Statement'!F$85</f>
        <v>5.9669522643818848E-2</v>
      </c>
      <c r="G58" s="22">
        <f>G19/'Income Statement'!G$85</f>
        <v>6.7254845241538908E-2</v>
      </c>
      <c r="H58" s="22">
        <f>H19/'Income Statement'!H$85</f>
        <v>6.4962726304579346E-2</v>
      </c>
      <c r="I58" s="22">
        <f>I19/'Income Statement'!I$85</f>
        <v>6.136251844564683E-2</v>
      </c>
      <c r="J58" s="22">
        <f>J19/'Income Statement'!J$85</f>
        <v>8.1612586037364793E-2</v>
      </c>
      <c r="K58" s="22">
        <f>K19/'Income Statement'!K$85</f>
        <v>0.27066140413826095</v>
      </c>
      <c r="L58" s="22">
        <f>L19/'Income Statement'!L$85</f>
        <v>0.25205667276051186</v>
      </c>
      <c r="M58" s="22">
        <f>M19/'Income Statement'!M$85</f>
        <v>0.20453620829943042</v>
      </c>
      <c r="N58" s="22">
        <f>N19/'Income Statement'!N$85</f>
        <v>0.21985176282051283</v>
      </c>
      <c r="O58" s="22">
        <f>O19/'Income Statement'!O$85</f>
        <v>0.18739470815578238</v>
      </c>
      <c r="P58" s="22">
        <f>P19/'Income Statement'!P$85</f>
        <v>0.16552236036370385</v>
      </c>
      <c r="Q58" s="22">
        <f>Q19/'Income Statement'!Q$85</f>
        <v>0.1592520954223082</v>
      </c>
      <c r="R58" s="22">
        <f>R19/'Income Statement'!R$85</f>
        <v>0.14094675527114611</v>
      </c>
      <c r="S58" s="22">
        <f>S19/'Income Statement'!S$85</f>
        <v>0.1565437169259932</v>
      </c>
      <c r="T58" s="22">
        <f>T19/'Income Statement'!T$85</f>
        <v>0.15256166982922201</v>
      </c>
      <c r="U58" s="22">
        <f>U19/'Income Statement'!U$85</f>
        <v>0.22653498169763106</v>
      </c>
      <c r="V58" s="22">
        <f>V19/'Income Statement'!V$85</f>
        <v>0.25846330769783654</v>
      </c>
      <c r="W58" s="22">
        <f>W19/'Income Statement'!W$85</f>
        <v>0.23714285714285716</v>
      </c>
      <c r="X58" s="22">
        <f>X19/'Income Statement'!X$85</f>
        <v>0.22033225229995368</v>
      </c>
      <c r="Y58" s="22">
        <f>Y19/'Income Statement'!Y$85</f>
        <v>0.18414958897765427</v>
      </c>
      <c r="Z58" s="22">
        <f>Z19/'Income Statement'!Z$85</f>
        <v>0.20019430445078631</v>
      </c>
      <c r="AA58" s="22">
        <f>AA19/'Income Statement'!AA$85</f>
        <v>0.18687589158345222</v>
      </c>
      <c r="AB58" s="22">
        <f>AB19/'Income Statement'!AB$85</f>
        <v>0.17932015983359789</v>
      </c>
      <c r="AC58" s="22">
        <f>AC19/'Income Statement'!AC$85</f>
        <v>8.5737179487179488E-2</v>
      </c>
      <c r="AD58" s="22">
        <f>AD19/'Income Statement'!AD$85</f>
        <v>9.1744943094279607E-2</v>
      </c>
      <c r="AE58" s="22">
        <f>AE19/'Income Statement'!AE$85</f>
        <v>9.5798078302022083E-2</v>
      </c>
      <c r="AF58" s="22">
        <f>AF19/'Income Statement'!AF$85</f>
        <v>0.12047597665020207</v>
      </c>
      <c r="AG58" s="22">
        <f>AG19/'Income Statement'!AG$85</f>
        <v>0.10327368298998957</v>
      </c>
      <c r="AH58" s="22">
        <f>AH19/'Income Statement'!AH$85</f>
        <v>8.0617909727250789E-2</v>
      </c>
      <c r="AI58" s="22">
        <f>AI19/'Income Statement'!AI$85</f>
        <v>0.11632427487898769</v>
      </c>
      <c r="AJ58" s="22">
        <f>AJ19/'Income Statement'!AJ$85</f>
        <v>0.10449959496281022</v>
      </c>
      <c r="AK58" s="22">
        <f>AK19/'Income Statement'!AK$85</f>
        <v>8.457914572864321E-2</v>
      </c>
      <c r="AL58" s="22">
        <f>AL19/'Income Statement'!AL$85</f>
        <v>8.6400488483327112E-2</v>
      </c>
      <c r="AM58" s="22">
        <f>AM19/'Income Statement'!AM$85</f>
        <v>7.7619378035703027E-2</v>
      </c>
      <c r="AN58" s="22">
        <f>AN19/'Income Statement'!AN$85</f>
        <v>6.7405859008149299E-2</v>
      </c>
      <c r="AO58" s="22">
        <f>AO19/'Income Statement'!AO$85</f>
        <v>6.2330334805982858E-2</v>
      </c>
      <c r="AP58" s="22">
        <f>AP19/'Income Statement'!AP$85</f>
        <v>8.1526092503040909E-2</v>
      </c>
      <c r="AQ58" s="22">
        <f>AQ19/'Income Statement'!AQ$85</f>
        <v>8.6415846596842066E-2</v>
      </c>
      <c r="AR58" s="22">
        <f>AR19/'Income Statement'!AR$85</f>
        <v>8.6142026468808378E-2</v>
      </c>
      <c r="AS58" s="22">
        <f>AS19/'Income Statement'!AS$85</f>
        <v>8.5135251550654725E-2</v>
      </c>
      <c r="AT58" s="22">
        <f>AT19/'Income Statement'!AT$85</f>
        <v>9.137757115915969E-2</v>
      </c>
      <c r="AU58" s="22">
        <f>AU19/'Income Statement'!AU$85</f>
        <v>8.4355557300151124E-2</v>
      </c>
      <c r="AV58" s="22">
        <f>AV19/'Income Statement'!AV$85</f>
        <v>7.9746363297277134E-2</v>
      </c>
      <c r="AW58" s="22">
        <f>AW19/'Income Statement'!AW$85</f>
        <v>8.661022973278619E-2</v>
      </c>
      <c r="AX58" s="22">
        <f>AX19/'Income Statement'!AX$85</f>
        <v>0.1031398939683333</v>
      </c>
      <c r="AY58" s="22">
        <f>AY19/'Income Statement'!AY$85</f>
        <v>9.9389257190583072E-2</v>
      </c>
      <c r="AZ58" s="22">
        <f>AZ19/'Income Statement'!AZ$85</f>
        <v>9.9011629937484719E-2</v>
      </c>
      <c r="BA58" s="22">
        <f>BA19/'Income Statement'!BA$85</f>
        <v>0.10492213614688782</v>
      </c>
      <c r="BB58" s="22">
        <f>BB19/'Income Statement'!BB$85</f>
        <v>0.11089105500637206</v>
      </c>
      <c r="BC58" s="22">
        <f>BC19/'Income Statement'!BC$85</f>
        <v>0.10991348059355213</v>
      </c>
      <c r="BD58" s="22">
        <f>BD19/'Income Statement'!BD$85</f>
        <v>0.11909259808590029</v>
      </c>
      <c r="BE58" s="22">
        <f>BE19/'Income Statement'!BE$85</f>
        <v>0.13897184890216249</v>
      </c>
      <c r="BF58" s="22">
        <f>BF19/'Income Statement'!BF$85</f>
        <v>0.14890595179974259</v>
      </c>
      <c r="BG58" s="22">
        <f>BG19/'Income Statement'!BG$85</f>
        <v>0.13592600378389741</v>
      </c>
      <c r="BH58" s="22">
        <f>BH19/'Income Statement'!BH$85</f>
        <v>0.18601188480060094</v>
      </c>
      <c r="BI58" s="22">
        <f>BI19/'Income Statement'!BI$85</f>
        <v>0.18223251369132945</v>
      </c>
      <c r="BJ58" s="22">
        <f>BJ19/'Income Statement'!BJ$85</f>
        <v>0.16931203095991423</v>
      </c>
      <c r="BK58" s="22">
        <f t="shared" si="270"/>
        <v>0.16931203095991423</v>
      </c>
      <c r="BL58" s="22">
        <f t="shared" si="270"/>
        <v>0.16931203095991423</v>
      </c>
      <c r="BM58" s="49">
        <f t="shared" si="270"/>
        <v>0.16931203095991423</v>
      </c>
      <c r="BN58" s="49">
        <f t="shared" si="270"/>
        <v>0.16931203095991423</v>
      </c>
      <c r="BO58" s="49">
        <f t="shared" si="270"/>
        <v>0.16931203095991423</v>
      </c>
      <c r="BP58" s="49">
        <f t="shared" si="270"/>
        <v>0.16931203095991423</v>
      </c>
      <c r="BQ58" s="49">
        <f t="shared" si="270"/>
        <v>0.16931203095991423</v>
      </c>
      <c r="BR58" s="49">
        <f t="shared" si="253"/>
        <v>0.16931203095991423</v>
      </c>
      <c r="BS58" s="49">
        <f t="shared" si="254"/>
        <v>0.16931203095991423</v>
      </c>
      <c r="BT58" s="49">
        <f t="shared" si="255"/>
        <v>0.16931203095991423</v>
      </c>
      <c r="BU58" s="49">
        <f t="shared" si="256"/>
        <v>0.16931203095991423</v>
      </c>
      <c r="BV58" s="49">
        <f t="shared" si="257"/>
        <v>0.16931203095991423</v>
      </c>
      <c r="BW58" s="49">
        <f t="shared" si="258"/>
        <v>0.16931203095991423</v>
      </c>
      <c r="BX58" s="49">
        <f t="shared" si="259"/>
        <v>0.16931203095991423</v>
      </c>
      <c r="BY58" s="49">
        <f t="shared" si="260"/>
        <v>0.16931203095991423</v>
      </c>
      <c r="BZ58" s="49">
        <f t="shared" si="261"/>
        <v>0.16931203095991423</v>
      </c>
      <c r="CA58" s="49">
        <f t="shared" si="262"/>
        <v>0.16931203095991423</v>
      </c>
      <c r="CB58" s="49">
        <f t="shared" si="263"/>
        <v>0.16931203095991423</v>
      </c>
      <c r="CC58" s="49">
        <f t="shared" si="264"/>
        <v>0.16931203095991423</v>
      </c>
      <c r="CD58" s="49">
        <f t="shared" si="265"/>
        <v>0.16931203095991423</v>
      </c>
      <c r="CE58" s="49">
        <f t="shared" si="266"/>
        <v>0.16931203095991423</v>
      </c>
      <c r="CF58" s="49">
        <f t="shared" si="267"/>
        <v>0.16931203095991423</v>
      </c>
      <c r="CG58" s="49">
        <f t="shared" si="268"/>
        <v>0.16931203095991423</v>
      </c>
      <c r="CH58" s="49"/>
    </row>
    <row r="59" spans="1:107" hidden="1" outlineLevel="1" x14ac:dyDescent="0.2">
      <c r="A59" s="323" t="s">
        <v>437</v>
      </c>
      <c r="B59" s="22">
        <f t="shared" ref="B59:AG59" si="271">B28/SUM(B28,B33)</f>
        <v>0.89057750759878418</v>
      </c>
      <c r="C59" s="22">
        <f t="shared" si="271"/>
        <v>0.9069069069069069</v>
      </c>
      <c r="D59" s="22">
        <f t="shared" si="271"/>
        <v>0.90704225352112677</v>
      </c>
      <c r="E59" s="22">
        <f t="shared" si="271"/>
        <v>0.9184149184149184</v>
      </c>
      <c r="F59" s="22">
        <f t="shared" si="271"/>
        <v>0.93220338983050843</v>
      </c>
      <c r="G59" s="22">
        <f t="shared" si="271"/>
        <v>0.9458413926499033</v>
      </c>
      <c r="H59" s="22">
        <f t="shared" si="271"/>
        <v>0.94038461538461537</v>
      </c>
      <c r="I59" s="22">
        <f t="shared" si="271"/>
        <v>0.9255499153976311</v>
      </c>
      <c r="J59" s="22">
        <f t="shared" si="271"/>
        <v>0.93396226415094341</v>
      </c>
      <c r="K59" s="22">
        <f t="shared" si="271"/>
        <v>0.88773148148148151</v>
      </c>
      <c r="L59" s="22">
        <f t="shared" si="271"/>
        <v>0.90049751243781095</v>
      </c>
      <c r="M59" s="22">
        <f t="shared" si="271"/>
        <v>0.89949748743718594</v>
      </c>
      <c r="N59" s="22">
        <f t="shared" si="271"/>
        <v>0.91779396462018725</v>
      </c>
      <c r="O59" s="22">
        <f t="shared" si="271"/>
        <v>0.85821697099892591</v>
      </c>
      <c r="P59" s="22">
        <f t="shared" si="271"/>
        <v>0.87887596899224807</v>
      </c>
      <c r="Q59" s="22">
        <f t="shared" si="271"/>
        <v>0.88426311407160696</v>
      </c>
      <c r="R59" s="22">
        <f t="shared" si="271"/>
        <v>0.90190476190476188</v>
      </c>
      <c r="S59" s="22">
        <f t="shared" si="271"/>
        <v>0.9046153846153846</v>
      </c>
      <c r="T59" s="22">
        <f t="shared" si="271"/>
        <v>0.84188911704312119</v>
      </c>
      <c r="U59" s="22">
        <f t="shared" si="271"/>
        <v>0.87850467289719625</v>
      </c>
      <c r="V59" s="22">
        <f t="shared" si="271"/>
        <v>0.88257575757575757</v>
      </c>
      <c r="W59" s="22">
        <f t="shared" si="271"/>
        <v>0.86829268292682926</v>
      </c>
      <c r="X59" s="22">
        <f t="shared" si="271"/>
        <v>0.8412887828162291</v>
      </c>
      <c r="Y59" s="22">
        <f t="shared" si="271"/>
        <v>0.8391906283280085</v>
      </c>
      <c r="Z59" s="22">
        <f t="shared" si="271"/>
        <v>0.87687969924812026</v>
      </c>
      <c r="AA59" s="22">
        <f t="shared" si="271"/>
        <v>0.85632730732635587</v>
      </c>
      <c r="AB59" s="22">
        <f t="shared" si="271"/>
        <v>0.84523809523809523</v>
      </c>
      <c r="AC59" s="22">
        <f t="shared" si="271"/>
        <v>0.84473481936971562</v>
      </c>
      <c r="AD59" s="22">
        <f t="shared" si="271"/>
        <v>0.78042148198504424</v>
      </c>
      <c r="AE59" s="22">
        <f t="shared" si="271"/>
        <v>0.78039465308720557</v>
      </c>
      <c r="AF59" s="22">
        <f t="shared" si="271"/>
        <v>0.78575851393188856</v>
      </c>
      <c r="AG59" s="22">
        <f t="shared" si="271"/>
        <v>0.80812641083521441</v>
      </c>
      <c r="AH59" s="22">
        <f t="shared" ref="AH59:BD59" si="272">AH28/SUM(AH28,AH33)</f>
        <v>0.8351648351648352</v>
      </c>
      <c r="AI59" s="22">
        <f t="shared" si="272"/>
        <v>0.82722007722007718</v>
      </c>
      <c r="AJ59" s="22">
        <f t="shared" si="272"/>
        <v>0.84678588690188494</v>
      </c>
      <c r="AK59" s="22">
        <f t="shared" si="272"/>
        <v>0.81834862385321105</v>
      </c>
      <c r="AL59" s="22">
        <f t="shared" si="272"/>
        <v>0.81000971817298351</v>
      </c>
      <c r="AM59" s="22">
        <f t="shared" si="272"/>
        <v>0.81606463878326996</v>
      </c>
      <c r="AN59" s="22">
        <f t="shared" si="272"/>
        <v>0.82183064121390115</v>
      </c>
      <c r="AO59" s="22">
        <f t="shared" si="272"/>
        <v>0.84201235657546336</v>
      </c>
      <c r="AP59" s="22">
        <f t="shared" si="272"/>
        <v>0.84702797202797198</v>
      </c>
      <c r="AQ59" s="22">
        <f t="shared" si="272"/>
        <v>0.83848657445077301</v>
      </c>
      <c r="AR59" s="22">
        <f t="shared" si="272"/>
        <v>0.83526850507982586</v>
      </c>
      <c r="AS59" s="22">
        <f t="shared" si="272"/>
        <v>0.84093915343915349</v>
      </c>
      <c r="AT59" s="22">
        <f t="shared" si="272"/>
        <v>0.8354037267080745</v>
      </c>
      <c r="AU59" s="22">
        <f t="shared" si="272"/>
        <v>0.8418604651162791</v>
      </c>
      <c r="AV59" s="22">
        <f t="shared" si="272"/>
        <v>0.85336400230017251</v>
      </c>
      <c r="AW59" s="22">
        <f t="shared" si="272"/>
        <v>0.8600575464295056</v>
      </c>
      <c r="AX59" s="22">
        <f t="shared" si="272"/>
        <v>0.86502569651068428</v>
      </c>
      <c r="AY59" s="22">
        <f t="shared" si="272"/>
        <v>0.87393162393162394</v>
      </c>
      <c r="AZ59" s="22">
        <f t="shared" si="272"/>
        <v>0.85786073223259152</v>
      </c>
      <c r="BA59" s="22">
        <f t="shared" si="272"/>
        <v>0.86709562902152204</v>
      </c>
      <c r="BB59" s="22">
        <f t="shared" si="272"/>
        <v>0.85895953757225429</v>
      </c>
      <c r="BC59" s="22">
        <f t="shared" si="272"/>
        <v>0.85220474185685802</v>
      </c>
      <c r="BD59" s="22">
        <f t="shared" si="272"/>
        <v>0.82957393483709274</v>
      </c>
      <c r="BE59" s="22">
        <f t="shared" ref="BE59:BF59" si="273">BE28/SUM(BE28,BE33)</f>
        <v>0.81953248811410462</v>
      </c>
      <c r="BF59" s="22">
        <f t="shared" si="273"/>
        <v>0.81181038005721295</v>
      </c>
      <c r="BG59" s="22">
        <f t="shared" ref="BG59:BH59" si="274">BG28/SUM(BG28,BG33)</f>
        <v>0.81187929717341478</v>
      </c>
      <c r="BH59" s="22">
        <f t="shared" si="274"/>
        <v>0.82828624598206735</v>
      </c>
      <c r="BI59" s="22">
        <f t="shared" ref="BI59:BJ59" si="275">BI28/SUM(BI28,BI33)</f>
        <v>1</v>
      </c>
      <c r="BJ59" s="22">
        <f t="shared" si="275"/>
        <v>1</v>
      </c>
      <c r="BK59" s="22">
        <f t="shared" si="270"/>
        <v>1</v>
      </c>
      <c r="BL59" s="22">
        <f t="shared" si="270"/>
        <v>1</v>
      </c>
      <c r="BM59" s="49">
        <f t="shared" si="270"/>
        <v>1</v>
      </c>
      <c r="BN59" s="49">
        <f t="shared" si="270"/>
        <v>1</v>
      </c>
      <c r="BO59" s="49">
        <f t="shared" si="270"/>
        <v>1</v>
      </c>
      <c r="BP59" s="49">
        <f t="shared" si="270"/>
        <v>1</v>
      </c>
      <c r="BQ59" s="49">
        <f t="shared" si="270"/>
        <v>1</v>
      </c>
      <c r="BR59" s="49">
        <f t="shared" si="253"/>
        <v>1</v>
      </c>
      <c r="BS59" s="49">
        <f t="shared" si="254"/>
        <v>1</v>
      </c>
      <c r="BT59" s="49">
        <f t="shared" si="255"/>
        <v>1</v>
      </c>
      <c r="BU59" s="49">
        <f t="shared" si="256"/>
        <v>1</v>
      </c>
      <c r="BV59" s="49">
        <f t="shared" si="257"/>
        <v>1</v>
      </c>
      <c r="BW59" s="49">
        <f t="shared" si="258"/>
        <v>1</v>
      </c>
      <c r="BX59" s="49">
        <f t="shared" si="259"/>
        <v>1</v>
      </c>
      <c r="BY59" s="49">
        <f t="shared" si="260"/>
        <v>1</v>
      </c>
      <c r="BZ59" s="49">
        <f t="shared" si="261"/>
        <v>1</v>
      </c>
      <c r="CA59" s="49">
        <f t="shared" si="262"/>
        <v>1</v>
      </c>
      <c r="CB59" s="49">
        <f t="shared" si="263"/>
        <v>1</v>
      </c>
      <c r="CC59" s="49">
        <f t="shared" si="264"/>
        <v>1</v>
      </c>
      <c r="CD59" s="49">
        <f t="shared" si="265"/>
        <v>1</v>
      </c>
      <c r="CE59" s="49">
        <f t="shared" si="266"/>
        <v>1</v>
      </c>
      <c r="CF59" s="49">
        <f t="shared" si="267"/>
        <v>1</v>
      </c>
      <c r="CG59" s="49">
        <f t="shared" si="268"/>
        <v>1</v>
      </c>
      <c r="CH59" s="49"/>
    </row>
    <row r="60" spans="1:107" hidden="1" outlineLevel="1" x14ac:dyDescent="0.2">
      <c r="A60" s="323" t="s">
        <v>438</v>
      </c>
      <c r="B60" s="22">
        <f>1-B59</f>
        <v>0.10942249240121582</v>
      </c>
      <c r="C60" s="22">
        <f t="shared" ref="C60:BD60" si="276">1-C59</f>
        <v>9.3093093093093104E-2</v>
      </c>
      <c r="D60" s="22">
        <f t="shared" si="276"/>
        <v>9.2957746478873227E-2</v>
      </c>
      <c r="E60" s="22">
        <f t="shared" si="276"/>
        <v>8.1585081585081598E-2</v>
      </c>
      <c r="F60" s="22">
        <f t="shared" si="276"/>
        <v>6.7796610169491567E-2</v>
      </c>
      <c r="G60" s="22">
        <f t="shared" si="276"/>
        <v>5.4158607350096699E-2</v>
      </c>
      <c r="H60" s="22">
        <f t="shared" si="276"/>
        <v>5.9615384615384626E-2</v>
      </c>
      <c r="I60" s="22">
        <f t="shared" si="276"/>
        <v>7.4450084602368904E-2</v>
      </c>
      <c r="J60" s="22">
        <f t="shared" si="276"/>
        <v>6.6037735849056589E-2</v>
      </c>
      <c r="K60" s="22">
        <f t="shared" si="276"/>
        <v>0.11226851851851849</v>
      </c>
      <c r="L60" s="22">
        <f t="shared" si="276"/>
        <v>9.9502487562189046E-2</v>
      </c>
      <c r="M60" s="22">
        <f t="shared" si="276"/>
        <v>0.10050251256281406</v>
      </c>
      <c r="N60" s="22">
        <f t="shared" si="276"/>
        <v>8.2206035379812747E-2</v>
      </c>
      <c r="O60" s="22">
        <f t="shared" si="276"/>
        <v>0.14178302900107409</v>
      </c>
      <c r="P60" s="22">
        <f t="shared" si="276"/>
        <v>0.12112403100775193</v>
      </c>
      <c r="Q60" s="22">
        <f t="shared" si="276"/>
        <v>0.11573688592839304</v>
      </c>
      <c r="R60" s="22">
        <f t="shared" si="276"/>
        <v>9.8095238095238124E-2</v>
      </c>
      <c r="S60" s="22">
        <f t="shared" si="276"/>
        <v>9.5384615384615401E-2</v>
      </c>
      <c r="T60" s="22">
        <f t="shared" si="276"/>
        <v>0.15811088295687881</v>
      </c>
      <c r="U60" s="22">
        <f t="shared" si="276"/>
        <v>0.12149532710280375</v>
      </c>
      <c r="V60" s="22">
        <f t="shared" si="276"/>
        <v>0.11742424242424243</v>
      </c>
      <c r="W60" s="22">
        <f t="shared" si="276"/>
        <v>0.13170731707317074</v>
      </c>
      <c r="X60" s="22">
        <f t="shared" si="276"/>
        <v>0.1587112171837709</v>
      </c>
      <c r="Y60" s="22">
        <f t="shared" si="276"/>
        <v>0.1608093716719915</v>
      </c>
      <c r="Z60" s="22">
        <f t="shared" si="276"/>
        <v>0.12312030075187974</v>
      </c>
      <c r="AA60" s="22">
        <f t="shared" si="276"/>
        <v>0.14367269267364413</v>
      </c>
      <c r="AB60" s="22">
        <f t="shared" si="276"/>
        <v>0.15476190476190477</v>
      </c>
      <c r="AC60" s="22">
        <f t="shared" si="276"/>
        <v>0.15526518063028438</v>
      </c>
      <c r="AD60" s="22">
        <f t="shared" si="276"/>
        <v>0.21957851801495576</v>
      </c>
      <c r="AE60" s="22">
        <f t="shared" si="276"/>
        <v>0.21960534691279443</v>
      </c>
      <c r="AF60" s="22">
        <f t="shared" si="276"/>
        <v>0.21424148606811144</v>
      </c>
      <c r="AG60" s="22">
        <f t="shared" si="276"/>
        <v>0.19187358916478559</v>
      </c>
      <c r="AH60" s="22">
        <f t="shared" si="276"/>
        <v>0.1648351648351648</v>
      </c>
      <c r="AI60" s="22">
        <f t="shared" si="276"/>
        <v>0.17277992277992282</v>
      </c>
      <c r="AJ60" s="22">
        <f t="shared" si="276"/>
        <v>0.15321411309811506</v>
      </c>
      <c r="AK60" s="22">
        <f t="shared" si="276"/>
        <v>0.18165137614678895</v>
      </c>
      <c r="AL60" s="22">
        <f t="shared" si="276"/>
        <v>0.18999028182701649</v>
      </c>
      <c r="AM60" s="22">
        <f t="shared" si="276"/>
        <v>0.18393536121673004</v>
      </c>
      <c r="AN60" s="22">
        <f t="shared" si="276"/>
        <v>0.17816935878609885</v>
      </c>
      <c r="AO60" s="22">
        <f t="shared" si="276"/>
        <v>0.15798764342453664</v>
      </c>
      <c r="AP60" s="22">
        <f t="shared" si="276"/>
        <v>0.15297202797202802</v>
      </c>
      <c r="AQ60" s="22">
        <f t="shared" si="276"/>
        <v>0.16151342554922699</v>
      </c>
      <c r="AR60" s="22">
        <f t="shared" si="276"/>
        <v>0.16473149492017414</v>
      </c>
      <c r="AS60" s="22">
        <f t="shared" si="276"/>
        <v>0.15906084656084651</v>
      </c>
      <c r="AT60" s="22">
        <f t="shared" si="276"/>
        <v>0.1645962732919255</v>
      </c>
      <c r="AU60" s="22">
        <f t="shared" si="276"/>
        <v>0.1581395348837209</v>
      </c>
      <c r="AV60" s="22">
        <f t="shared" si="276"/>
        <v>0.14663599769982749</v>
      </c>
      <c r="AW60" s="22">
        <f t="shared" si="276"/>
        <v>0.1399424535704944</v>
      </c>
      <c r="AX60" s="22">
        <f t="shared" si="276"/>
        <v>0.13497430348931572</v>
      </c>
      <c r="AY60" s="22">
        <f t="shared" si="276"/>
        <v>0.12606837606837606</v>
      </c>
      <c r="AZ60" s="22">
        <f t="shared" si="276"/>
        <v>0.14213926776740848</v>
      </c>
      <c r="BA60" s="22">
        <f t="shared" si="276"/>
        <v>0.13290437097847796</v>
      </c>
      <c r="BB60" s="22">
        <f t="shared" si="276"/>
        <v>0.14104046242774571</v>
      </c>
      <c r="BC60" s="22">
        <f t="shared" si="276"/>
        <v>0.14779525814314198</v>
      </c>
      <c r="BD60" s="22">
        <f t="shared" si="276"/>
        <v>0.17042606516290726</v>
      </c>
      <c r="BE60" s="22">
        <f t="shared" ref="BE60:BF60" si="277">1-BE59</f>
        <v>0.18046751188589538</v>
      </c>
      <c r="BF60" s="22">
        <f t="shared" si="277"/>
        <v>0.18818961994278705</v>
      </c>
      <c r="BG60" s="22">
        <f t="shared" ref="BG60:BH60" si="278">1-BG59</f>
        <v>0.18812070282658522</v>
      </c>
      <c r="BH60" s="22">
        <f t="shared" si="278"/>
        <v>0.17171375401793265</v>
      </c>
      <c r="BI60" s="22">
        <f t="shared" ref="BI60:BJ60" si="279">1-BI59</f>
        <v>0</v>
      </c>
      <c r="BJ60" s="22">
        <f t="shared" si="279"/>
        <v>0</v>
      </c>
      <c r="BK60" s="22">
        <f t="shared" si="270"/>
        <v>0</v>
      </c>
      <c r="BL60" s="22">
        <f t="shared" si="270"/>
        <v>0</v>
      </c>
      <c r="BM60" s="49">
        <f t="shared" si="270"/>
        <v>0</v>
      </c>
      <c r="BN60" s="49">
        <f t="shared" si="270"/>
        <v>0</v>
      </c>
      <c r="BO60" s="49">
        <f t="shared" si="270"/>
        <v>0</v>
      </c>
      <c r="BP60" s="49">
        <f t="shared" si="270"/>
        <v>0</v>
      </c>
      <c r="BQ60" s="49">
        <f t="shared" si="270"/>
        <v>0</v>
      </c>
      <c r="BR60" s="49">
        <f t="shared" si="253"/>
        <v>0</v>
      </c>
      <c r="BS60" s="49">
        <f t="shared" si="254"/>
        <v>0</v>
      </c>
      <c r="BT60" s="49">
        <f t="shared" si="255"/>
        <v>0</v>
      </c>
      <c r="BU60" s="49">
        <f t="shared" si="256"/>
        <v>0</v>
      </c>
      <c r="BV60" s="49">
        <f t="shared" si="257"/>
        <v>0</v>
      </c>
      <c r="BW60" s="49">
        <f t="shared" si="258"/>
        <v>0</v>
      </c>
      <c r="BX60" s="49">
        <f t="shared" si="259"/>
        <v>0</v>
      </c>
      <c r="BY60" s="49">
        <f t="shared" si="260"/>
        <v>0</v>
      </c>
      <c r="BZ60" s="49">
        <f t="shared" si="261"/>
        <v>0</v>
      </c>
      <c r="CA60" s="49">
        <f t="shared" si="262"/>
        <v>0</v>
      </c>
      <c r="CB60" s="49">
        <f t="shared" si="263"/>
        <v>0</v>
      </c>
      <c r="CC60" s="49">
        <f t="shared" si="264"/>
        <v>0</v>
      </c>
      <c r="CD60" s="49">
        <f t="shared" si="265"/>
        <v>0</v>
      </c>
      <c r="CE60" s="49">
        <f t="shared" si="266"/>
        <v>0</v>
      </c>
      <c r="CF60" s="49">
        <f t="shared" si="267"/>
        <v>0</v>
      </c>
      <c r="CG60" s="49">
        <f t="shared" si="268"/>
        <v>0</v>
      </c>
      <c r="CH60" s="49"/>
    </row>
    <row r="61" spans="1:107" hidden="1" outlineLevel="1" x14ac:dyDescent="0.2">
      <c r="A61" s="1" t="s">
        <v>239</v>
      </c>
      <c r="B61" s="22">
        <f t="shared" ref="B61:AG61" si="280">B37/SUM(B32:B36)</f>
        <v>0.2470059880239521</v>
      </c>
      <c r="C61" s="22">
        <f t="shared" si="280"/>
        <v>0.24907338769458859</v>
      </c>
      <c r="D61" s="22">
        <f t="shared" si="280"/>
        <v>0.34571175950486294</v>
      </c>
      <c r="E61" s="22">
        <f t="shared" si="280"/>
        <v>0.30688259109311739</v>
      </c>
      <c r="F61" s="22">
        <f t="shared" si="280"/>
        <v>0.3124076809453471</v>
      </c>
      <c r="G61" s="22">
        <f t="shared" si="280"/>
        <v>9.9978312730427232E-2</v>
      </c>
      <c r="H61" s="22">
        <f t="shared" si="280"/>
        <v>0.1017644645055396</v>
      </c>
      <c r="I61" s="22">
        <f t="shared" si="280"/>
        <v>0.10099800399201597</v>
      </c>
      <c r="J61" s="22">
        <f t="shared" si="280"/>
        <v>9.4230769230769229E-2</v>
      </c>
      <c r="K61" s="22">
        <f t="shared" si="280"/>
        <v>0.12494222769989216</v>
      </c>
      <c r="L61" s="22">
        <f t="shared" si="280"/>
        <v>0.10405590156463618</v>
      </c>
      <c r="M61" s="22">
        <f t="shared" si="280"/>
        <v>0.10562375107051099</v>
      </c>
      <c r="N61" s="22">
        <f t="shared" si="280"/>
        <v>0.10193637621023513</v>
      </c>
      <c r="O61" s="22">
        <f t="shared" si="280"/>
        <v>0.11179926949340956</v>
      </c>
      <c r="P61" s="22">
        <f t="shared" si="280"/>
        <v>0.10298810559907165</v>
      </c>
      <c r="Q61" s="22">
        <f t="shared" si="280"/>
        <v>0.10675287356321839</v>
      </c>
      <c r="R61" s="22">
        <f t="shared" si="280"/>
        <v>6.665834477593309E-2</v>
      </c>
      <c r="S61" s="22">
        <f t="shared" si="280"/>
        <v>0.10186116700201207</v>
      </c>
      <c r="T61" s="22">
        <f t="shared" si="280"/>
        <v>0.12302917442582247</v>
      </c>
      <c r="U61" s="22">
        <f t="shared" si="280"/>
        <v>0.12935323383084577</v>
      </c>
      <c r="V61" s="22">
        <f t="shared" si="280"/>
        <v>0.19536088278347033</v>
      </c>
      <c r="W61" s="22">
        <f t="shared" si="280"/>
        <v>0.25447935601142563</v>
      </c>
      <c r="X61" s="22">
        <f t="shared" si="280"/>
        <v>0.24470710481880764</v>
      </c>
      <c r="Y61" s="22">
        <f t="shared" si="280"/>
        <v>0.30376792264088032</v>
      </c>
      <c r="Z61" s="22">
        <f t="shared" si="280"/>
        <v>0.30096492571603617</v>
      </c>
      <c r="AA61" s="22">
        <f t="shared" si="280"/>
        <v>0.31079323797139141</v>
      </c>
      <c r="AB61" s="22">
        <f t="shared" si="280"/>
        <v>0.28579399620578061</v>
      </c>
      <c r="AC61" s="22">
        <f t="shared" si="280"/>
        <v>0.29480088495575218</v>
      </c>
      <c r="AD61" s="22">
        <f t="shared" si="280"/>
        <v>0.28228442991418062</v>
      </c>
      <c r="AE61" s="22">
        <f t="shared" si="280"/>
        <v>0.32431510742298508</v>
      </c>
      <c r="AF61" s="22">
        <f t="shared" si="280"/>
        <v>0.33155686585780703</v>
      </c>
      <c r="AG61" s="22">
        <f t="shared" si="280"/>
        <v>0.17429206313030596</v>
      </c>
      <c r="AH61" s="22">
        <f t="shared" ref="AH61:BD61" si="281">AH37/SUM(AH32:AH36)</f>
        <v>0.17925656059657313</v>
      </c>
      <c r="AI61" s="22">
        <f t="shared" si="281"/>
        <v>0.1965391621129326</v>
      </c>
      <c r="AJ61" s="22">
        <f t="shared" si="281"/>
        <v>0.1870453355060234</v>
      </c>
      <c r="AK61" s="22">
        <f t="shared" si="281"/>
        <v>0.20854167892228956</v>
      </c>
      <c r="AL61" s="22">
        <f t="shared" si="281"/>
        <v>5.5459882583170257E-2</v>
      </c>
      <c r="AM61" s="22">
        <f t="shared" si="281"/>
        <v>5.6758803483528963E-2</v>
      </c>
      <c r="AN61" s="22">
        <f t="shared" si="281"/>
        <v>6.0152862497244067E-2</v>
      </c>
      <c r="AO61" s="22">
        <f t="shared" si="281"/>
        <v>9.4863731656184488E-2</v>
      </c>
      <c r="AP61" s="22">
        <f t="shared" si="281"/>
        <v>8.9464759657918017E-2</v>
      </c>
      <c r="AQ61" s="22">
        <f t="shared" si="281"/>
        <v>7.8056426332288403E-2</v>
      </c>
      <c r="AR61" s="22">
        <f t="shared" si="281"/>
        <v>6.1064877953742103E-2</v>
      </c>
      <c r="AS61" s="22">
        <f t="shared" si="281"/>
        <v>5.9759277305170007E-2</v>
      </c>
      <c r="AT61" s="22">
        <f t="shared" si="281"/>
        <v>5.4352506141883847E-2</v>
      </c>
      <c r="AU61" s="22">
        <f t="shared" si="281"/>
        <v>5.7019416744115946E-2</v>
      </c>
      <c r="AV61" s="22">
        <f t="shared" si="281"/>
        <v>5.7983713019276364E-2</v>
      </c>
      <c r="AW61" s="22">
        <f t="shared" si="281"/>
        <v>5.355321319279157E-2</v>
      </c>
      <c r="AX61" s="22">
        <f t="shared" si="281"/>
        <v>5.7631998354840369E-2</v>
      </c>
      <c r="AY61" s="22">
        <f t="shared" si="281"/>
        <v>6.7296471242011671E-2</v>
      </c>
      <c r="AZ61" s="22">
        <f t="shared" si="281"/>
        <v>6.5354612861434985E-2</v>
      </c>
      <c r="BA61" s="22">
        <f t="shared" si="281"/>
        <v>5.9803582359673167E-2</v>
      </c>
      <c r="BB61" s="22">
        <f t="shared" si="281"/>
        <v>6.3500133797163502E-2</v>
      </c>
      <c r="BC61" s="22">
        <f t="shared" si="281"/>
        <v>4.8450410387328779E-2</v>
      </c>
      <c r="BD61" s="22">
        <f t="shared" si="281"/>
        <v>4.0049188116598196E-2</v>
      </c>
      <c r="BE61" s="22">
        <f t="shared" ref="BE61:BF61" si="282">BE37/SUM(BE32:BE36)</f>
        <v>4.5414945339066405E-2</v>
      </c>
      <c r="BF61" s="22">
        <f t="shared" si="282"/>
        <v>4.6977055769552842E-2</v>
      </c>
      <c r="BG61" s="22">
        <f t="shared" ref="BG61:BH61" si="283">BG37/SUM(BG32:BG36)</f>
        <v>5.1031993246193709E-2</v>
      </c>
      <c r="BH61" s="22">
        <f t="shared" si="283"/>
        <v>4.287273907527072E-2</v>
      </c>
      <c r="BI61" s="22">
        <f t="shared" ref="BI61:BJ61" si="284">BI37/SUM(BI32:BI36)</f>
        <v>0.14970021686439597</v>
      </c>
      <c r="BJ61" s="22">
        <f t="shared" si="284"/>
        <v>0.18913319108142376</v>
      </c>
      <c r="BK61" s="22">
        <f t="shared" si="270"/>
        <v>0.18913319108142376</v>
      </c>
      <c r="BL61" s="22">
        <f t="shared" si="270"/>
        <v>0.18913319108142376</v>
      </c>
      <c r="BM61" s="49">
        <f t="shared" si="270"/>
        <v>0.18913319108142376</v>
      </c>
      <c r="BN61" s="49">
        <f t="shared" si="270"/>
        <v>0.18913319108142376</v>
      </c>
      <c r="BO61" s="49">
        <f t="shared" si="270"/>
        <v>0.18913319108142376</v>
      </c>
      <c r="BP61" s="49">
        <f t="shared" si="270"/>
        <v>0.18913319108142376</v>
      </c>
      <c r="BQ61" s="49">
        <f t="shared" si="270"/>
        <v>0.18913319108142376</v>
      </c>
      <c r="BR61" s="49">
        <f t="shared" si="253"/>
        <v>0.18913319108142376</v>
      </c>
      <c r="BS61" s="49">
        <f t="shared" si="254"/>
        <v>0.18913319108142376</v>
      </c>
      <c r="BT61" s="49">
        <f t="shared" si="255"/>
        <v>0.18913319108142376</v>
      </c>
      <c r="BU61" s="49">
        <f t="shared" si="256"/>
        <v>0.18913319108142376</v>
      </c>
      <c r="BV61" s="49">
        <f t="shared" si="257"/>
        <v>0.18913319108142376</v>
      </c>
      <c r="BW61" s="49">
        <f t="shared" si="258"/>
        <v>0.18913319108142376</v>
      </c>
      <c r="BX61" s="49">
        <f t="shared" si="259"/>
        <v>0.18913319108142376</v>
      </c>
      <c r="BY61" s="49">
        <f t="shared" si="260"/>
        <v>0.18913319108142376</v>
      </c>
      <c r="BZ61" s="49">
        <f t="shared" si="261"/>
        <v>0.18913319108142376</v>
      </c>
      <c r="CA61" s="49">
        <f t="shared" si="262"/>
        <v>0.18913319108142376</v>
      </c>
      <c r="CB61" s="49">
        <f t="shared" si="263"/>
        <v>0.18913319108142376</v>
      </c>
      <c r="CC61" s="49">
        <f t="shared" si="264"/>
        <v>0.18913319108142376</v>
      </c>
      <c r="CD61" s="49">
        <f t="shared" si="265"/>
        <v>0.18913319108142376</v>
      </c>
      <c r="CE61" s="49">
        <f t="shared" si="266"/>
        <v>0.18913319108142376</v>
      </c>
      <c r="CF61" s="49">
        <f t="shared" si="267"/>
        <v>0.18913319108142376</v>
      </c>
      <c r="CG61" s="49">
        <f t="shared" si="268"/>
        <v>0.18913319108142376</v>
      </c>
      <c r="CH61" s="49"/>
    </row>
    <row r="62" spans="1:107" collapsed="1" x14ac:dyDescent="0.2"/>
  </sheetData>
  <pageMargins left="0.7" right="0.7" top="0.75" bottom="0.75" header="0.3" footer="0.3"/>
  <pageSetup orientation="portrait" r:id="rId1"/>
  <customProperties>
    <customPr name="Qube.Worksheet.Visibility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I73"/>
  <sheetViews>
    <sheetView workbookViewId="0">
      <pane xSplit="1" ySplit="1" topLeftCell="BB2" activePane="bottomRight" state="frozen"/>
      <selection pane="topRight" activeCell="B1" sqref="B1"/>
      <selection pane="bottomLeft" activeCell="A3" sqref="A3"/>
      <selection pane="bottomRight" activeCell="BB2" sqref="BB2"/>
    </sheetView>
  </sheetViews>
  <sheetFormatPr defaultRowHeight="12" outlineLevelRow="1" outlineLevelCol="1" x14ac:dyDescent="0.2"/>
  <cols>
    <col min="1" max="1" width="32.140625" style="1" customWidth="1"/>
    <col min="2" max="2" width="10" style="1" hidden="1" customWidth="1" outlineLevel="1"/>
    <col min="3" max="37" width="9.140625" style="1" hidden="1" customWidth="1" outlineLevel="1"/>
    <col min="38" max="38" width="9.140625" style="1" hidden="1" customWidth="1" outlineLevel="1" collapsed="1"/>
    <col min="39" max="49" width="9.140625" style="1" hidden="1" customWidth="1" outlineLevel="1"/>
    <col min="50" max="53" width="9.5703125" style="1" hidden="1" customWidth="1" outlineLevel="1"/>
    <col min="54" max="54" width="9.5703125" style="1" bestFit="1" customWidth="1" collapsed="1"/>
    <col min="55" max="62" width="9.5703125" style="1" bestFit="1" customWidth="1"/>
    <col min="63" max="73" width="9.5703125" style="1" customWidth="1"/>
    <col min="74" max="85" width="9.5703125" style="1" hidden="1" customWidth="1" outlineLevel="1"/>
    <col min="86" max="86" width="9.5703125" style="1" customWidth="1" collapsed="1"/>
    <col min="87" max="99" width="9.5703125" style="1" hidden="1" customWidth="1" outlineLevel="1"/>
    <col min="100" max="100" width="9.5703125" style="1" customWidth="1" collapsed="1"/>
    <col min="101" max="102" width="9.5703125" style="1" customWidth="1"/>
    <col min="103" max="107" width="10.140625" style="1" bestFit="1" customWidth="1"/>
    <col min="108" max="16384" width="9.140625" style="1"/>
  </cols>
  <sheetData>
    <row r="1" spans="1:113" s="2" customFormat="1" ht="43.5" customHeight="1" x14ac:dyDescent="0.2">
      <c r="A1" s="6" t="s">
        <v>55</v>
      </c>
      <c r="B1" s="3" t="str">
        <f>'Income Statement'!B1</f>
        <v>1Q10</v>
      </c>
      <c r="C1" s="3" t="str">
        <f>'Income Statement'!C1</f>
        <v>2Q10</v>
      </c>
      <c r="D1" s="3" t="str">
        <f>'Income Statement'!D1</f>
        <v>3Q10</v>
      </c>
      <c r="E1" s="3" t="str">
        <f>'Income Statement'!E1</f>
        <v>4Q10</v>
      </c>
      <c r="F1" s="3" t="str">
        <f>'Income Statement'!F1</f>
        <v>1Q11</v>
      </c>
      <c r="G1" s="3" t="str">
        <f>'Income Statement'!G1</f>
        <v>2Q11</v>
      </c>
      <c r="H1" s="3" t="str">
        <f>'Income Statement'!H1</f>
        <v>3Q11</v>
      </c>
      <c r="I1" s="3" t="str">
        <f>'Income Statement'!I1</f>
        <v>4Q11</v>
      </c>
      <c r="J1" s="3" t="str">
        <f>'Income Statement'!J1</f>
        <v>1Q12</v>
      </c>
      <c r="K1" s="3" t="str">
        <f>'Income Statement'!K1</f>
        <v>2Q12</v>
      </c>
      <c r="L1" s="3" t="str">
        <f>'Income Statement'!L1</f>
        <v>3Q12</v>
      </c>
      <c r="M1" s="3" t="str">
        <f>'Income Statement'!M1</f>
        <v>4Q12</v>
      </c>
      <c r="N1" s="3" t="str">
        <f>'Income Statement'!N1</f>
        <v>1Q13</v>
      </c>
      <c r="O1" s="3" t="str">
        <f>'Income Statement'!O1</f>
        <v>2Q13</v>
      </c>
      <c r="P1" s="3" t="str">
        <f>'Income Statement'!P1</f>
        <v>3Q13</v>
      </c>
      <c r="Q1" s="3" t="str">
        <f>'Income Statement'!Q1</f>
        <v>4Q13</v>
      </c>
      <c r="R1" s="3" t="str">
        <f>'Income Statement'!R1</f>
        <v>1Q14</v>
      </c>
      <c r="S1" s="3" t="str">
        <f>'Income Statement'!S1</f>
        <v>2Q14</v>
      </c>
      <c r="T1" s="3" t="str">
        <f>'Income Statement'!T1</f>
        <v>3Q14</v>
      </c>
      <c r="U1" s="3" t="str">
        <f>'Income Statement'!U1</f>
        <v>4Q14</v>
      </c>
      <c r="V1" s="3" t="str">
        <f>'Income Statement'!V1</f>
        <v>1Q15</v>
      </c>
      <c r="W1" s="3" t="str">
        <f>'Income Statement'!W1</f>
        <v>2Q15</v>
      </c>
      <c r="X1" s="3" t="str">
        <f>'Income Statement'!X1</f>
        <v>3Q15</v>
      </c>
      <c r="Y1" s="3" t="str">
        <f>'Income Statement'!Y1</f>
        <v>4Q15</v>
      </c>
      <c r="Z1" s="3" t="str">
        <f>'Income Statement'!Z1</f>
        <v>1Q16</v>
      </c>
      <c r="AA1" s="3" t="str">
        <f>'Income Statement'!AA1</f>
        <v>2Q16</v>
      </c>
      <c r="AB1" s="3" t="str">
        <f>'Income Statement'!AB1</f>
        <v>3Q16</v>
      </c>
      <c r="AC1" s="3" t="str">
        <f>'Income Statement'!AC1</f>
        <v>4Q16</v>
      </c>
      <c r="AD1" s="3" t="str">
        <f>'Income Statement'!AD1</f>
        <v>1Q17</v>
      </c>
      <c r="AE1" s="3" t="str">
        <f>'Income Statement'!AE1</f>
        <v>2Q17</v>
      </c>
      <c r="AF1" s="3" t="str">
        <f>'Income Statement'!AF1</f>
        <v>3Q17</v>
      </c>
      <c r="AG1" s="3" t="str">
        <f>'Income Statement'!AG1</f>
        <v>4Q17</v>
      </c>
      <c r="AH1" s="3" t="str">
        <f>'Income Statement'!AH1</f>
        <v>1Q18</v>
      </c>
      <c r="AI1" s="3" t="str">
        <f>'Income Statement'!AI1</f>
        <v>2Q18</v>
      </c>
      <c r="AJ1" s="3" t="str">
        <f>'Income Statement'!AJ1</f>
        <v>3Q18</v>
      </c>
      <c r="AK1" s="3" t="str">
        <f>'Income Statement'!AK1</f>
        <v>4Q18</v>
      </c>
      <c r="AL1" s="3" t="str">
        <f>'Income Statement'!AL1</f>
        <v>1Q19</v>
      </c>
      <c r="AM1" s="3" t="str">
        <f>'Income Statement'!AM1</f>
        <v>2Q19</v>
      </c>
      <c r="AN1" s="3" t="str">
        <f>'Income Statement'!AN1</f>
        <v>3Q19</v>
      </c>
      <c r="AO1" s="3" t="str">
        <f>'Income Statement'!AO1</f>
        <v>4Q19</v>
      </c>
      <c r="AP1" s="3" t="str">
        <f>'Income Statement'!AP1</f>
        <v>1Q20</v>
      </c>
      <c r="AQ1" s="3" t="str">
        <f>'Income Statement'!AQ1</f>
        <v>2Q20</v>
      </c>
      <c r="AR1" s="3" t="str">
        <f>'Income Statement'!AR1</f>
        <v>3Q20</v>
      </c>
      <c r="AS1" s="3" t="str">
        <f>'Income Statement'!AS1</f>
        <v>4Q20</v>
      </c>
      <c r="AT1" s="3" t="str">
        <f>'Income Statement'!AT1</f>
        <v>1Q21</v>
      </c>
      <c r="AU1" s="3" t="str">
        <f>'Income Statement'!AU1</f>
        <v>2Q21</v>
      </c>
      <c r="AV1" s="3" t="str">
        <f>'Income Statement'!AV1</f>
        <v>3Q21</v>
      </c>
      <c r="AW1" s="3" t="str">
        <f>'Income Statement'!AW1</f>
        <v>4Q21</v>
      </c>
      <c r="AX1" s="3" t="str">
        <f>'Income Statement'!AX1</f>
        <v>1Q22</v>
      </c>
      <c r="AY1" s="3" t="str">
        <f>'Income Statement'!AY1</f>
        <v>2Q22</v>
      </c>
      <c r="AZ1" s="3" t="str">
        <f>'Income Statement'!AZ1</f>
        <v>3Q22</v>
      </c>
      <c r="BA1" s="3" t="str">
        <f>'Income Statement'!BA1</f>
        <v>4Q22</v>
      </c>
      <c r="BB1" s="3" t="str">
        <f>'Income Statement'!BB1</f>
        <v>1Q23</v>
      </c>
      <c r="BC1" s="3" t="str">
        <f>'Income Statement'!BC1</f>
        <v>2Q23</v>
      </c>
      <c r="BD1" s="3" t="str">
        <f>'Income Statement'!BD1</f>
        <v>3Q23</v>
      </c>
      <c r="BE1" s="3" t="str">
        <f>'Income Statement'!BE1</f>
        <v>4Q23</v>
      </c>
      <c r="BF1" s="3" t="str">
        <f>'Income Statement'!BF1</f>
        <v>1Q24</v>
      </c>
      <c r="BG1" s="3" t="str">
        <f>'Income Statement'!BG1</f>
        <v>2Q24</v>
      </c>
      <c r="BH1" s="3" t="str">
        <f>'Income Statement'!BH1</f>
        <v>3Q24</v>
      </c>
      <c r="BI1" s="3" t="str">
        <f>'Income Statement'!BI1</f>
        <v>4Q24</v>
      </c>
      <c r="BJ1" s="3" t="str">
        <f>'Income Statement'!BJ1</f>
        <v>1Q25</v>
      </c>
      <c r="BK1" s="3" t="str">
        <f>'Income Statement'!BK1</f>
        <v>2Q25</v>
      </c>
      <c r="BL1" s="3" t="str">
        <f>'Income Statement'!BL1</f>
        <v>3Q25</v>
      </c>
      <c r="BM1" s="3" t="str">
        <f>'Income Statement'!BM1</f>
        <v>4Q25E</v>
      </c>
      <c r="BN1" s="3" t="str">
        <f>'Income Statement'!BN1</f>
        <v>1Q26E</v>
      </c>
      <c r="BO1" s="3" t="str">
        <f>'Income Statement'!BO1</f>
        <v>2Q26E</v>
      </c>
      <c r="BP1" s="3" t="str">
        <f>'Income Statement'!BP1</f>
        <v>3Q26E</v>
      </c>
      <c r="BQ1" s="3" t="str">
        <f>'Income Statement'!BQ1</f>
        <v>4Q26E</v>
      </c>
      <c r="BR1" s="3" t="str">
        <f>'Income Statement'!BR1</f>
        <v>1Q27E</v>
      </c>
      <c r="BS1" s="3" t="str">
        <f>'Income Statement'!BS1</f>
        <v>2Q27E</v>
      </c>
      <c r="BT1" s="3" t="str">
        <f>'Income Statement'!BT1</f>
        <v>3Q27E</v>
      </c>
      <c r="BU1" s="3" t="str">
        <f>'Income Statement'!BU1</f>
        <v>4Q27E</v>
      </c>
      <c r="BV1" s="3" t="str">
        <f>'Income Statement'!BV1</f>
        <v>1Q28E</v>
      </c>
      <c r="BW1" s="3" t="str">
        <f>'Income Statement'!BW1</f>
        <v>2Q28E</v>
      </c>
      <c r="BX1" s="3" t="str">
        <f>'Income Statement'!BX1</f>
        <v>3Q28E</v>
      </c>
      <c r="BY1" s="3" t="str">
        <f>'Income Statement'!BY1</f>
        <v>4Q28E</v>
      </c>
      <c r="BZ1" s="3" t="str">
        <f>'Income Statement'!BZ1</f>
        <v>1Q29E</v>
      </c>
      <c r="CA1" s="3" t="str">
        <f>'Income Statement'!CA1</f>
        <v>2Q29E</v>
      </c>
      <c r="CB1" s="3" t="str">
        <f>'Income Statement'!CB1</f>
        <v>3Q29E</v>
      </c>
      <c r="CC1" s="3" t="str">
        <f>'Income Statement'!CC1</f>
        <v>4Q29E</v>
      </c>
      <c r="CD1" s="3" t="str">
        <f>'Income Statement'!CD1</f>
        <v>1Q30E</v>
      </c>
      <c r="CE1" s="3" t="str">
        <f>'Income Statement'!CE1</f>
        <v>2Q30E</v>
      </c>
      <c r="CF1" s="3" t="str">
        <f>'Income Statement'!CF1</f>
        <v>3Q30E</v>
      </c>
      <c r="CG1" s="3" t="str">
        <f>'Income Statement'!CG1</f>
        <v>4Q30E</v>
      </c>
      <c r="CH1" s="256"/>
      <c r="CI1" s="88">
        <f>'Income Statement'!CI1</f>
        <v>2010</v>
      </c>
      <c r="CJ1" s="3">
        <f>'Income Statement'!CJ1</f>
        <v>2011</v>
      </c>
      <c r="CK1" s="88">
        <f>'Income Statement'!CK1</f>
        <v>2012</v>
      </c>
      <c r="CL1" s="3">
        <f>'Income Statement'!CL1</f>
        <v>2013</v>
      </c>
      <c r="CM1" s="88">
        <f>'Income Statement'!CM1</f>
        <v>2014</v>
      </c>
      <c r="CN1" s="3">
        <f>'Income Statement'!CN1</f>
        <v>2015</v>
      </c>
      <c r="CO1" s="88">
        <f>'Income Statement'!CO1</f>
        <v>2016</v>
      </c>
      <c r="CP1" s="3">
        <f>'Income Statement'!CP1</f>
        <v>2017</v>
      </c>
      <c r="CQ1" s="88">
        <f>'Income Statement'!CQ1</f>
        <v>2018</v>
      </c>
      <c r="CR1" s="88">
        <f>'Income Statement'!CR1</f>
        <v>2019</v>
      </c>
      <c r="CS1" s="88">
        <f>'Income Statement'!CS1</f>
        <v>2020</v>
      </c>
      <c r="CT1" s="88">
        <f>'Income Statement'!CT1</f>
        <v>2021</v>
      </c>
      <c r="CU1" s="88">
        <f>'Income Statement'!CU1</f>
        <v>2022</v>
      </c>
      <c r="CV1" s="88">
        <f>'Income Statement'!CV1</f>
        <v>2023</v>
      </c>
      <c r="CW1" s="88">
        <f>'Income Statement'!CW1</f>
        <v>2024</v>
      </c>
      <c r="CX1" s="3" t="str">
        <f>'Income Statement'!CX1</f>
        <v>2025E</v>
      </c>
      <c r="CY1" s="88" t="str">
        <f>'Income Statement'!CY1</f>
        <v>2026E</v>
      </c>
      <c r="CZ1" s="88" t="str">
        <f>'Income Statement'!CZ1</f>
        <v>2027E</v>
      </c>
      <c r="DA1" s="88" t="str">
        <f>'Income Statement'!DA1</f>
        <v>2028E</v>
      </c>
      <c r="DB1" s="88" t="str">
        <f>'Income Statement'!DB1</f>
        <v>2029E</v>
      </c>
      <c r="DC1" s="88" t="str">
        <f>'Income Statement'!DC1</f>
        <v>2030E</v>
      </c>
    </row>
    <row r="2" spans="1:113" x14ac:dyDescent="0.2">
      <c r="A2" s="1" t="s">
        <v>240</v>
      </c>
      <c r="B2" s="16">
        <f>'Income Statement'!B85</f>
        <v>5064</v>
      </c>
      <c r="C2" s="16">
        <f>'Income Statement'!C85</f>
        <v>5088</v>
      </c>
      <c r="D2" s="16">
        <f>'Income Statement'!D85</f>
        <v>5481</v>
      </c>
      <c r="E2" s="16">
        <f>'Income Statement'!E85</f>
        <v>6371</v>
      </c>
      <c r="F2" s="16">
        <f>'Income Statement'!F85</f>
        <v>6536</v>
      </c>
      <c r="G2" s="16">
        <f>'Income Statement'!G85</f>
        <v>6914</v>
      </c>
      <c r="H2" s="16">
        <f>'Income Statement'!H85</f>
        <v>7512</v>
      </c>
      <c r="I2" s="16">
        <f>'Income Statement'!I85</f>
        <v>8132</v>
      </c>
      <c r="J2" s="16">
        <f>'Income Statement'!J85</f>
        <v>8136</v>
      </c>
      <c r="K2" s="16">
        <f>'Income Statement'!K85</f>
        <v>8361</v>
      </c>
      <c r="L2" s="16">
        <f>'Income Statement'!L85</f>
        <v>8752</v>
      </c>
      <c r="M2" s="16">
        <f>'Income Statement'!M85</f>
        <v>9832</v>
      </c>
      <c r="N2" s="16">
        <f>'Income Statement'!N85</f>
        <v>9984</v>
      </c>
      <c r="O2" s="16">
        <f>'Income Statement'!O85</f>
        <v>10091</v>
      </c>
      <c r="P2" s="16">
        <f>'Income Statement'!P85</f>
        <v>10778</v>
      </c>
      <c r="Q2" s="16">
        <f>'Income Statement'!Q85</f>
        <v>12408</v>
      </c>
      <c r="R2" s="16">
        <f>'Income Statement'!R85</f>
        <v>12189</v>
      </c>
      <c r="S2" s="16">
        <f>'Income Statement'!S85</f>
        <v>12661</v>
      </c>
      <c r="T2" s="16">
        <f>'Income Statement'!T85</f>
        <v>13175</v>
      </c>
      <c r="U2" s="16">
        <f>'Income Statement'!U85</f>
        <v>14479</v>
      </c>
      <c r="V2" s="16">
        <f>'Income Statement'!V85</f>
        <v>13913</v>
      </c>
      <c r="W2" s="16">
        <f>'Income Statement'!W85</f>
        <v>14350</v>
      </c>
      <c r="X2" s="16">
        <f>'Income Statement'!X85</f>
        <v>15109</v>
      </c>
      <c r="Y2" s="16">
        <f>'Income Statement'!Y85</f>
        <v>17274</v>
      </c>
      <c r="Z2" s="16">
        <f>'Income Statement'!Z85</f>
        <v>16469</v>
      </c>
      <c r="AA2" s="16">
        <f>'Income Statement'!AA85</f>
        <v>17525</v>
      </c>
      <c r="AB2" s="16">
        <f>'Income Statement'!AB85</f>
        <v>18269</v>
      </c>
      <c r="AC2" s="16">
        <f>'Income Statement'!AC85</f>
        <v>21216</v>
      </c>
      <c r="AD2" s="16">
        <f>'Income Statement'!AD85</f>
        <v>20121</v>
      </c>
      <c r="AE2" s="16">
        <f>'Income Statement'!AE85</f>
        <v>20919</v>
      </c>
      <c r="AF2" s="16">
        <f>'Income Statement'!AF85</f>
        <v>22270</v>
      </c>
      <c r="AG2" s="16">
        <f>'Income Statement'!AG85</f>
        <v>25873</v>
      </c>
      <c r="AH2" s="16">
        <f>'Income Statement'!AH85</f>
        <v>24858</v>
      </c>
      <c r="AI2" s="16">
        <f>'Income Statement'!AI85</f>
        <v>26237</v>
      </c>
      <c r="AJ2" s="16">
        <f>'Income Statement'!AJ85</f>
        <v>27158</v>
      </c>
      <c r="AK2" s="16">
        <f>'Income Statement'!AK85</f>
        <v>31840</v>
      </c>
      <c r="AL2" s="16">
        <f>'Income Statement'!AL85</f>
        <v>29479</v>
      </c>
      <c r="AM2" s="16">
        <f>'Income Statement'!AM85</f>
        <v>31706</v>
      </c>
      <c r="AN2" s="16">
        <f>'Income Statement'!AN85</f>
        <v>33009</v>
      </c>
      <c r="AO2" s="16">
        <f>'Income Statement'!AO85</f>
        <v>37574</v>
      </c>
      <c r="AP2" s="16">
        <f>'Income Statement'!AP85</f>
        <v>33707</v>
      </c>
      <c r="AQ2" s="16">
        <f>'Income Statement'!AQ85</f>
        <v>31603</v>
      </c>
      <c r="AR2" s="16">
        <f>'Income Statement'!AR85</f>
        <v>38007</v>
      </c>
      <c r="AS2" s="16">
        <f>'Income Statement'!AS85</f>
        <v>46432</v>
      </c>
      <c r="AT2" s="16">
        <f>'Income Statement'!AT85</f>
        <v>45602</v>
      </c>
      <c r="AU2" s="16">
        <f>'Income Statement'!AU85</f>
        <v>50951</v>
      </c>
      <c r="AV2" s="16">
        <f>'Income Statement'!AV85</f>
        <v>53620</v>
      </c>
      <c r="AW2" s="16">
        <f>'Income Statement'!AW85</f>
        <v>61898</v>
      </c>
      <c r="AX2" s="16">
        <f>'Income Statement'!AX85</f>
        <v>56021</v>
      </c>
      <c r="AY2" s="16">
        <f>'Income Statement'!AY85</f>
        <v>57471</v>
      </c>
      <c r="AZ2" s="16">
        <f>'Income Statement'!AZ85</f>
        <v>57266</v>
      </c>
      <c r="BA2" s="16">
        <f>'Income Statement'!BA85</f>
        <v>63123</v>
      </c>
      <c r="BB2" s="16">
        <f>'Income Statement'!BB85</f>
        <v>58066</v>
      </c>
      <c r="BC2" s="16">
        <f>'Income Statement'!BC85</f>
        <v>62067</v>
      </c>
      <c r="BD2" s="16">
        <f>'Income Statement'!BD85</f>
        <v>64051</v>
      </c>
      <c r="BE2" s="16">
        <f>'Income Statement'!BE85</f>
        <v>72324</v>
      </c>
      <c r="BF2" s="16">
        <f>'Income Statement'!BF85</f>
        <v>67593</v>
      </c>
      <c r="BG2" s="16">
        <f>'Income Statement'!BG85</f>
        <v>71355</v>
      </c>
      <c r="BH2" s="16">
        <f>'Income Statement'!BH85</f>
        <v>74549</v>
      </c>
      <c r="BI2" s="16">
        <f>'Income Statement'!BI85</f>
        <v>81621</v>
      </c>
      <c r="BJ2" s="16">
        <f>'Income Statement'!BJ85</f>
        <v>76486</v>
      </c>
      <c r="BK2" s="16">
        <f>'Income Statement'!BK85</f>
        <v>81723</v>
      </c>
      <c r="BL2" s="16">
        <f>'Income Statement'!BL85</f>
        <v>87470</v>
      </c>
      <c r="BM2" s="16">
        <f>'Income Statement'!BM85</f>
        <v>95515.295777777792</v>
      </c>
      <c r="BN2" s="16">
        <f>'Income Statement'!BN85</f>
        <v>89042.10356867424</v>
      </c>
      <c r="BO2" s="16">
        <f>'Income Statement'!BO85</f>
        <v>94341.454100033036</v>
      </c>
      <c r="BP2" s="16">
        <f>'Income Statement'!BP85</f>
        <v>100285.26842441896</v>
      </c>
      <c r="BQ2" s="16">
        <f>'Income Statement'!BQ85</f>
        <v>108253.18039378629</v>
      </c>
      <c r="BR2" s="72">
        <f>'Income Statement'!BR85</f>
        <v>101958.57254260007</v>
      </c>
      <c r="BS2" s="72">
        <f>'Income Statement'!BS85</f>
        <v>107600.44035095963</v>
      </c>
      <c r="BT2" s="72">
        <f>'Income Statement'!BT85</f>
        <v>114525.07152771353</v>
      </c>
      <c r="BU2" s="72">
        <f>'Income Statement'!BU85</f>
        <v>123228.19052316395</v>
      </c>
      <c r="BV2" s="72">
        <f>'Income Statement'!BV85</f>
        <v>116051.45182507671</v>
      </c>
      <c r="BW2" s="72">
        <f>'Income Statement'!BW85</f>
        <v>122012.27242435009</v>
      </c>
      <c r="BX2" s="72">
        <f>'Income Statement'!BX85</f>
        <v>130037.90191572324</v>
      </c>
      <c r="BY2" s="72">
        <f>'Income Statement'!BY85</f>
        <v>139488.5433927002</v>
      </c>
      <c r="BZ2" s="72">
        <f>'Income Statement'!BZ85</f>
        <v>130920.79017615123</v>
      </c>
      <c r="CA2" s="72">
        <f>'Income Statement'!CA85</f>
        <v>137151.81864613242</v>
      </c>
      <c r="CB2" s="72">
        <f>'Income Statement'!CB85</f>
        <v>146353.52382443228</v>
      </c>
      <c r="CC2" s="72">
        <f>'Income Statement'!CC85</f>
        <v>156533.25233952186</v>
      </c>
      <c r="CD2" s="72">
        <f>'Income Statement'!CD85</f>
        <v>146375.8149045461</v>
      </c>
      <c r="CE2" s="72">
        <f>'Income Statement'!CE85</f>
        <v>152817.15189418045</v>
      </c>
      <c r="CF2" s="72">
        <f>'Income Statement'!CF85</f>
        <v>163252.14526460005</v>
      </c>
      <c r="CG2" s="72">
        <f>'Income Statement'!CG85</f>
        <v>174135.0450267847</v>
      </c>
      <c r="CH2" s="72"/>
      <c r="CI2" s="89">
        <f>SUM(B2:E2)</f>
        <v>22004</v>
      </c>
      <c r="CJ2" s="20">
        <f>SUM(F2:I2)</f>
        <v>29094</v>
      </c>
      <c r="CK2" s="89">
        <f>SUM(J2:M2)</f>
        <v>35081</v>
      </c>
      <c r="CL2" s="20">
        <f>SUM(N2:Q2)</f>
        <v>43261</v>
      </c>
      <c r="CM2" s="89">
        <f>SUM(R2:U2)</f>
        <v>52504</v>
      </c>
      <c r="CN2" s="20">
        <f>SUM(V2:Y2)</f>
        <v>60646</v>
      </c>
      <c r="CO2" s="89">
        <f>SUM(Z2:AC2)</f>
        <v>73479</v>
      </c>
      <c r="CP2" s="20">
        <f>SUM(AD2:AG2)</f>
        <v>89183</v>
      </c>
      <c r="CQ2" s="89">
        <f>SUM(AH2:AK2)</f>
        <v>110093</v>
      </c>
      <c r="CR2" s="89">
        <f>SUM(AL2:AO2)</f>
        <v>131768</v>
      </c>
      <c r="CS2" s="89">
        <f>SUM(AP2:AS2)</f>
        <v>149749</v>
      </c>
      <c r="CT2" s="89">
        <f>SUM(AT2:AW2)</f>
        <v>212071</v>
      </c>
      <c r="CU2" s="89">
        <f>SUM(AX2:BA2)</f>
        <v>233881</v>
      </c>
      <c r="CV2" s="89">
        <f>SUM(BB2:BE2)</f>
        <v>256508</v>
      </c>
      <c r="CW2" s="89">
        <f>SUM(BF2:BI2)</f>
        <v>295118</v>
      </c>
      <c r="CX2" s="20">
        <f>SUM(BJ2:BM2)</f>
        <v>341194.29577777779</v>
      </c>
      <c r="CY2" s="89">
        <f>SUM(BN2:BQ2)</f>
        <v>391922.00648691249</v>
      </c>
      <c r="CZ2" s="89">
        <f>SUM(BR2:BU2)</f>
        <v>447312.27494443714</v>
      </c>
      <c r="DA2" s="89">
        <f>SUM(BV2:BY2)</f>
        <v>507590.16955785023</v>
      </c>
      <c r="DB2" s="89">
        <f>SUM(BZ2:CC2)</f>
        <v>570959.38498623786</v>
      </c>
      <c r="DC2" s="89">
        <f>SUM(CD2:CG2)</f>
        <v>636580.1570901114</v>
      </c>
    </row>
    <row r="3" spans="1:113" x14ac:dyDescent="0.2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89"/>
      <c r="CJ3" s="20"/>
      <c r="CK3" s="89"/>
      <c r="CL3" s="20"/>
      <c r="CM3" s="89"/>
      <c r="CN3" s="20"/>
      <c r="CO3" s="89"/>
      <c r="CP3" s="20"/>
      <c r="CQ3" s="89"/>
      <c r="CR3" s="89"/>
      <c r="CS3" s="89"/>
      <c r="CT3" s="90"/>
      <c r="CU3" s="90"/>
      <c r="CV3" s="90"/>
      <c r="CW3" s="90"/>
      <c r="CX3" s="90"/>
      <c r="CY3" s="90"/>
      <c r="CZ3" s="90"/>
      <c r="DA3" s="90"/>
      <c r="DB3" s="90"/>
      <c r="DC3" s="90"/>
    </row>
    <row r="4" spans="1:113" x14ac:dyDescent="0.2">
      <c r="A4" s="1" t="s">
        <v>241</v>
      </c>
      <c r="B4" s="16">
        <f>'Cash Flow Statement'!B25</f>
        <v>-239</v>
      </c>
      <c r="C4" s="16">
        <f>'Cash Flow Statement'!C25</f>
        <v>-476</v>
      </c>
      <c r="D4" s="16">
        <f>'Cash Flow Statement'!D25</f>
        <v>-758</v>
      </c>
      <c r="E4" s="16">
        <f>'Cash Flow Statement'!E25</f>
        <v>-2545</v>
      </c>
      <c r="F4" s="16">
        <f>'Cash Flow Statement'!F25</f>
        <v>-890</v>
      </c>
      <c r="G4" s="16">
        <f>'Cash Flow Statement'!G25</f>
        <v>-917</v>
      </c>
      <c r="H4" s="16">
        <f>'Cash Flow Statement'!H25</f>
        <v>-680</v>
      </c>
      <c r="I4" s="16">
        <f>'Cash Flow Statement'!I25</f>
        <v>-951</v>
      </c>
      <c r="J4" s="16">
        <f>'Cash Flow Statement'!J25</f>
        <v>-607</v>
      </c>
      <c r="K4" s="16">
        <f>'Cash Flow Statement'!K25</f>
        <v>-774</v>
      </c>
      <c r="L4" s="16">
        <f>'Cash Flow Statement'!L25</f>
        <v>-872</v>
      </c>
      <c r="M4" s="16">
        <f>'Cash Flow Statement'!M25</f>
        <v>-1020</v>
      </c>
      <c r="N4" s="16">
        <f>'Cash Flow Statement'!N25</f>
        <v>-1203</v>
      </c>
      <c r="O4" s="16">
        <f>'Cash Flow Statement'!O25</f>
        <v>-1611</v>
      </c>
      <c r="P4" s="16">
        <f>'Cash Flow Statement'!P25</f>
        <v>-2289</v>
      </c>
      <c r="Q4" s="16">
        <f>'Cash Flow Statement'!Q25</f>
        <v>-2255</v>
      </c>
      <c r="R4" s="16">
        <f>'Cash Flow Statement'!R25</f>
        <v>-2345</v>
      </c>
      <c r="S4" s="16">
        <f>'Cash Flow Statement'!S25</f>
        <v>-2646</v>
      </c>
      <c r="T4" s="16">
        <f>'Cash Flow Statement'!T25</f>
        <v>-2417</v>
      </c>
      <c r="U4" s="16">
        <f>'Cash Flow Statement'!U25</f>
        <v>-3551</v>
      </c>
      <c r="V4" s="16">
        <f>'Cash Flow Statement'!V25</f>
        <v>-2927</v>
      </c>
      <c r="W4" s="16">
        <f>'Cash Flow Statement'!W25</f>
        <v>-2515</v>
      </c>
      <c r="X4" s="16">
        <f>'Cash Flow Statement'!X25</f>
        <v>-2373</v>
      </c>
      <c r="Y4" s="16">
        <f>'Cash Flow Statement'!Y25</f>
        <v>-2100</v>
      </c>
      <c r="Z4" s="16">
        <f>'Cash Flow Statement'!Z25</f>
        <v>-2428</v>
      </c>
      <c r="AA4" s="16">
        <f>'Cash Flow Statement'!AA25</f>
        <v>-2123</v>
      </c>
      <c r="AB4" s="16">
        <f>'Cash Flow Statement'!AB25</f>
        <v>-2554</v>
      </c>
      <c r="AC4" s="16">
        <f>'Cash Flow Statement'!AC25</f>
        <v>-3078</v>
      </c>
      <c r="AD4" s="16">
        <f>'Cash Flow Statement'!AD25</f>
        <v>-2508</v>
      </c>
      <c r="AE4" s="16">
        <f>'Cash Flow Statement'!AE25</f>
        <v>-2831</v>
      </c>
      <c r="AF4" s="16">
        <f>'Cash Flow Statement'!AF25</f>
        <v>-3538</v>
      </c>
      <c r="AG4" s="16">
        <f>'Cash Flow Statement'!AG25</f>
        <v>-4307</v>
      </c>
      <c r="AH4" s="16">
        <f>'Cash Flow Statement'!AH25</f>
        <v>-7299</v>
      </c>
      <c r="AI4" s="16">
        <f>'Cash Flow Statement'!AI25</f>
        <v>-5477</v>
      </c>
      <c r="AJ4" s="16">
        <f>'Cash Flow Statement'!AJ25</f>
        <v>-5282</v>
      </c>
      <c r="AK4" s="16">
        <f>'Cash Flow Statement'!AK25</f>
        <v>-7081</v>
      </c>
      <c r="AL4" s="16">
        <f>'Cash Flow Statement'!AL25</f>
        <v>-4638</v>
      </c>
      <c r="AM4" s="16">
        <f>'Cash Flow Statement'!AM25</f>
        <v>-6126</v>
      </c>
      <c r="AN4" s="16">
        <f>'Cash Flow Statement'!AN25</f>
        <v>-6732</v>
      </c>
      <c r="AO4" s="16">
        <f>'Cash Flow Statement'!AO25</f>
        <v>-6052</v>
      </c>
      <c r="AP4" s="16">
        <f>'Cash Flow Statement'!AP25</f>
        <v>-6005</v>
      </c>
      <c r="AQ4" s="16">
        <f>'Cash Flow Statement'!AQ25</f>
        <v>-5391</v>
      </c>
      <c r="AR4" s="16">
        <f>'Cash Flow Statement'!AR25</f>
        <v>-5406</v>
      </c>
      <c r="AS4" s="16">
        <f>'Cash Flow Statement'!AS25</f>
        <v>-5479</v>
      </c>
      <c r="AT4" s="16">
        <f>'Cash Flow Statement'!AT25</f>
        <v>-5942</v>
      </c>
      <c r="AU4" s="16">
        <f>'Cash Flow Statement'!AU25</f>
        <v>-5496</v>
      </c>
      <c r="AV4" s="16">
        <f>'Cash Flow Statement'!AV25</f>
        <v>-6819</v>
      </c>
      <c r="AW4" s="16">
        <f>'Cash Flow Statement'!AW25</f>
        <v>-6383</v>
      </c>
      <c r="AX4" s="16">
        <f>'Cash Flow Statement'!AX25</f>
        <v>-9786</v>
      </c>
      <c r="AY4" s="16">
        <f>'Cash Flow Statement'!AY25</f>
        <v>-6828</v>
      </c>
      <c r="AZ4" s="16">
        <f>'Cash Flow Statement'!AZ25</f>
        <v>-7276</v>
      </c>
      <c r="BA4" s="16">
        <f>'Cash Flow Statement'!BA25</f>
        <v>-7595</v>
      </c>
      <c r="BB4" s="16">
        <f>'Cash Flow Statement'!BB25</f>
        <v>-6289</v>
      </c>
      <c r="BC4" s="72">
        <f>'Cash Flow Statement'!BC25</f>
        <v>-6888</v>
      </c>
      <c r="BD4" s="72">
        <f>'Cash Flow Statement'!BD25</f>
        <v>-8055</v>
      </c>
      <c r="BE4" s="72">
        <f>'Cash Flow Statement'!BE25</f>
        <v>-11019</v>
      </c>
      <c r="BF4" s="72">
        <f>'Cash Flow Statement'!BF25</f>
        <v>-12012</v>
      </c>
      <c r="BG4" s="72">
        <f>'Cash Flow Statement'!BG25</f>
        <v>-13186</v>
      </c>
      <c r="BH4" s="72">
        <f>'Cash Flow Statement'!BH25</f>
        <v>-13061</v>
      </c>
      <c r="BI4" s="72">
        <f>'Cash Flow Statement'!BI25</f>
        <v>-14276</v>
      </c>
      <c r="BJ4" s="72">
        <f>'Cash Flow Statement'!BJ25</f>
        <v>-17197</v>
      </c>
      <c r="BK4" s="72">
        <f>'Cash Flow Statement'!BK25</f>
        <v>-22446</v>
      </c>
      <c r="BL4" s="72">
        <f>'Cash Flow Statement'!BL25</f>
        <v>-23953</v>
      </c>
      <c r="BM4" s="72">
        <f t="shared" ref="BM4:CG4" si="0">BI4*(1+BM6)</f>
        <v>-28552</v>
      </c>
      <c r="BN4" s="72">
        <f t="shared" si="0"/>
        <v>-22700.04</v>
      </c>
      <c r="BO4" s="72">
        <f t="shared" si="0"/>
        <v>-29628.720000000001</v>
      </c>
      <c r="BP4" s="72">
        <f t="shared" si="0"/>
        <v>-31617.960000000003</v>
      </c>
      <c r="BQ4" s="72">
        <f t="shared" si="0"/>
        <v>-37688.639999999999</v>
      </c>
      <c r="BR4" s="72">
        <f t="shared" si="0"/>
        <v>-26105.045999999998</v>
      </c>
      <c r="BS4" s="72">
        <f t="shared" si="0"/>
        <v>-34073.027999999998</v>
      </c>
      <c r="BT4" s="72">
        <f t="shared" si="0"/>
        <v>-36360.654000000002</v>
      </c>
      <c r="BU4" s="72">
        <f t="shared" si="0"/>
        <v>-43341.935999999994</v>
      </c>
      <c r="BV4" s="72">
        <f t="shared" si="0"/>
        <v>-28715.550600000002</v>
      </c>
      <c r="BW4" s="72">
        <f t="shared" si="0"/>
        <v>-37480.330800000003</v>
      </c>
      <c r="BX4" s="72">
        <f t="shared" si="0"/>
        <v>-39996.719400000009</v>
      </c>
      <c r="BY4" s="72">
        <f t="shared" si="0"/>
        <v>-47676.1296</v>
      </c>
      <c r="BZ4" s="72">
        <f t="shared" si="0"/>
        <v>-31012.794648000003</v>
      </c>
      <c r="CA4" s="72">
        <f t="shared" si="0"/>
        <v>-40478.757264000007</v>
      </c>
      <c r="CB4" s="72">
        <f t="shared" si="0"/>
        <v>-43196.456952000015</v>
      </c>
      <c r="CC4" s="72">
        <f t="shared" si="0"/>
        <v>-51490.219968000005</v>
      </c>
      <c r="CD4" s="72">
        <f t="shared" si="0"/>
        <v>-32873.562326880005</v>
      </c>
      <c r="CE4" s="72">
        <f t="shared" si="0"/>
        <v>-42907.482699840009</v>
      </c>
      <c r="CF4" s="72">
        <f t="shared" si="0"/>
        <v>-45788.244369120017</v>
      </c>
      <c r="CG4" s="72">
        <f t="shared" si="0"/>
        <v>-54579.633166080006</v>
      </c>
      <c r="CH4" s="72"/>
      <c r="CI4" s="89">
        <f>SUM(B4:E4)</f>
        <v>-4018</v>
      </c>
      <c r="CJ4" s="20">
        <f>SUM(F4:I4)</f>
        <v>-3438</v>
      </c>
      <c r="CK4" s="89">
        <f>SUM(J4:M4)</f>
        <v>-3273</v>
      </c>
      <c r="CL4" s="20">
        <f>SUM(N4:Q4)</f>
        <v>-7358</v>
      </c>
      <c r="CM4" s="89">
        <f>SUM(R4:U4)</f>
        <v>-10959</v>
      </c>
      <c r="CN4" s="20">
        <f>SUM(V4:Y4)</f>
        <v>-9915</v>
      </c>
      <c r="CO4" s="89">
        <f>SUM(Z4:AC4)</f>
        <v>-10183</v>
      </c>
      <c r="CP4" s="20">
        <f>SUM(AD4:AG4)</f>
        <v>-13184</v>
      </c>
      <c r="CQ4" s="89">
        <f>SUM(AH4:AK4)</f>
        <v>-25139</v>
      </c>
      <c r="CR4" s="89">
        <f>SUM(AL4:AO4)</f>
        <v>-23548</v>
      </c>
      <c r="CS4" s="89">
        <f>SUM(AP4:AS4)</f>
        <v>-22281</v>
      </c>
      <c r="CT4" s="89">
        <f>SUM(AT4:AW4)</f>
        <v>-24640</v>
      </c>
      <c r="CU4" s="89">
        <f>SUM(AX4:BA4)</f>
        <v>-31485</v>
      </c>
      <c r="CV4" s="89">
        <f>SUM(BB4:BE4)</f>
        <v>-32251</v>
      </c>
      <c r="CW4" s="89">
        <f>SUM(BF4:BI4)</f>
        <v>-52535</v>
      </c>
      <c r="CX4" s="20">
        <f>SUM(BJ4:BM4)</f>
        <v>-92148</v>
      </c>
      <c r="CY4" s="89">
        <f>SUM(BN4:BQ4)</f>
        <v>-121635.36</v>
      </c>
      <c r="CZ4" s="89">
        <f>SUM(BR4:BU4)</f>
        <v>-139880.66399999999</v>
      </c>
      <c r="DA4" s="89">
        <f>SUM(BV4:BY4)</f>
        <v>-153868.7304</v>
      </c>
      <c r="DB4" s="89">
        <f>SUM(BZ4:CC4)</f>
        <v>-166178.22883200005</v>
      </c>
      <c r="DC4" s="89">
        <f>SUM(CD4:CG4)</f>
        <v>-176148.92256192002</v>
      </c>
      <c r="DD4" s="20"/>
      <c r="DF4" s="20"/>
      <c r="DG4" s="20"/>
      <c r="DH4" s="20"/>
      <c r="DI4" s="20"/>
    </row>
    <row r="5" spans="1:113" ht="12" customHeight="1" x14ac:dyDescent="0.2">
      <c r="A5" s="14" t="s">
        <v>109</v>
      </c>
      <c r="B5" s="22">
        <f>B4/B$2</f>
        <v>-4.7195892575039491E-2</v>
      </c>
      <c r="C5" s="22">
        <f t="shared" ref="C5:F5" si="1">C4/C$2</f>
        <v>-9.3553459119496848E-2</v>
      </c>
      <c r="D5" s="22">
        <f t="shared" si="1"/>
        <v>-0.13829593139937968</v>
      </c>
      <c r="E5" s="22">
        <f t="shared" si="1"/>
        <v>-0.39946633181604146</v>
      </c>
      <c r="F5" s="22">
        <f t="shared" si="1"/>
        <v>-0.13616891064871481</v>
      </c>
      <c r="G5" s="22">
        <f t="shared" ref="G5" si="2">G4/G$2</f>
        <v>-0.13262944749783048</v>
      </c>
      <c r="H5" s="22">
        <f t="shared" ref="H5" si="3">H4/H$2</f>
        <v>-9.0521831735889249E-2</v>
      </c>
      <c r="I5" s="22">
        <f t="shared" ref="I5" si="4">I4/I$2</f>
        <v>-0.11694540088539104</v>
      </c>
      <c r="J5" s="22">
        <f t="shared" ref="J5" si="5">J4/J$2</f>
        <v>-7.4606686332350056E-2</v>
      </c>
      <c r="K5" s="22">
        <f t="shared" ref="K5" si="6">K4/K$2</f>
        <v>-9.2572658772874059E-2</v>
      </c>
      <c r="L5" s="22">
        <f t="shared" ref="L5" si="7">L4/L$2</f>
        <v>-9.9634369287020116E-2</v>
      </c>
      <c r="M5" s="22">
        <f t="shared" ref="M5" si="8">M4/M$2</f>
        <v>-0.10374288039056143</v>
      </c>
      <c r="N5" s="22">
        <f t="shared" ref="N5" si="9">N4/N$2</f>
        <v>-0.12049278846153846</v>
      </c>
      <c r="O5" s="22">
        <f t="shared" ref="O5" si="10">O4/O$2</f>
        <v>-0.15964721038549201</v>
      </c>
      <c r="P5" s="22">
        <f t="shared" ref="P5" si="11">P4/P$2</f>
        <v>-0.21237706439042495</v>
      </c>
      <c r="Q5" s="22">
        <f t="shared" ref="Q5" si="12">Q4/Q$2</f>
        <v>-0.18173758865248227</v>
      </c>
      <c r="R5" s="22">
        <f t="shared" ref="R5" si="13">R4/R$2</f>
        <v>-0.19238657806218723</v>
      </c>
      <c r="S5" s="22">
        <f t="shared" ref="S5" si="14">S4/S$2</f>
        <v>-0.20898823157728458</v>
      </c>
      <c r="T5" s="22">
        <f t="shared" ref="T5" si="15">T4/T$2</f>
        <v>-0.18345351043643263</v>
      </c>
      <c r="U5" s="22">
        <f t="shared" ref="U5" si="16">U4/U$2</f>
        <v>-0.24525174390496582</v>
      </c>
      <c r="V5" s="22">
        <f t="shared" ref="V5" si="17">V4/V$2</f>
        <v>-0.21037878243369509</v>
      </c>
      <c r="W5" s="22">
        <f t="shared" ref="W5" si="18">W4/W$2</f>
        <v>-0.17526132404181186</v>
      </c>
      <c r="X5" s="22">
        <f t="shared" ref="X5" si="19">X4/X$2</f>
        <v>-0.15705870673108743</v>
      </c>
      <c r="Y5" s="22">
        <f t="shared" ref="Y5" si="20">Y4/Y$2</f>
        <v>-0.12156998957971518</v>
      </c>
      <c r="Z5" s="22">
        <f t="shared" ref="Z5" si="21">Z4/Z$2</f>
        <v>-0.14742850203412472</v>
      </c>
      <c r="AA5" s="22">
        <f t="shared" ref="AA5" si="22">AA4/AA$2</f>
        <v>-0.12114122681883024</v>
      </c>
      <c r="AB5" s="22">
        <f t="shared" ref="AB5" si="23">AB4/AB$2</f>
        <v>-0.13979966062729213</v>
      </c>
      <c r="AC5" s="22">
        <f t="shared" ref="AC5" si="24">AC4/AC$2</f>
        <v>-0.145079185520362</v>
      </c>
      <c r="AD5" s="22">
        <f t="shared" ref="AD5" si="25">AD4/AD$2</f>
        <v>-0.12464589235127478</v>
      </c>
      <c r="AE5" s="22">
        <f t="shared" ref="AE5" si="26">AE4/AE$2</f>
        <v>-0.13533151680290645</v>
      </c>
      <c r="AF5" s="22">
        <f t="shared" ref="AF5" si="27">AF4/AF$2</f>
        <v>-0.15886843286933094</v>
      </c>
      <c r="AG5" s="22">
        <f t="shared" ref="AG5" si="28">AG4/AG$2</f>
        <v>-0.16646697329262164</v>
      </c>
      <c r="AH5" s="22">
        <f t="shared" ref="AH5" si="29">AH4/AH$2</f>
        <v>-0.2936278059377263</v>
      </c>
      <c r="AI5" s="22">
        <f t="shared" ref="AI5" si="30">AI4/AI$2</f>
        <v>-0.20875100049548348</v>
      </c>
      <c r="AJ5" s="22">
        <f t="shared" ref="AJ5" si="31">AJ4/AJ$2</f>
        <v>-0.19449149421901465</v>
      </c>
      <c r="AK5" s="22">
        <f t="shared" ref="AK5" si="32">AK4/AK$2</f>
        <v>-0.22239321608040202</v>
      </c>
      <c r="AL5" s="22">
        <f t="shared" ref="AL5" si="33">AL4/AL$2</f>
        <v>-0.15733233827470403</v>
      </c>
      <c r="AM5" s="22">
        <f t="shared" ref="AM5" si="34">AM4/AM$2</f>
        <v>-0.19321264114047815</v>
      </c>
      <c r="AN5" s="22">
        <f t="shared" ref="AN5" si="35">AN4/AN$2</f>
        <v>-0.20394437880578023</v>
      </c>
      <c r="AO5" s="22">
        <f t="shared" ref="AO5" si="36">AO4/AO$2</f>
        <v>-0.16106882418693777</v>
      </c>
      <c r="AP5" s="22">
        <f t="shared" ref="AP5" si="37">AP4/AP$2</f>
        <v>-0.17815290592458541</v>
      </c>
      <c r="AQ5" s="22">
        <f t="shared" ref="AQ5" si="38">AQ4/AQ$2</f>
        <v>-0.17058507103755974</v>
      </c>
      <c r="AR5" s="22">
        <f t="shared" ref="AR5" si="39">AR4/AR$2</f>
        <v>-0.14223695635014602</v>
      </c>
      <c r="AS5" s="22">
        <f t="shared" ref="AS5" si="40">AS4/AS$2</f>
        <v>-0.11800051688490697</v>
      </c>
      <c r="AT5" s="22">
        <f t="shared" ref="AT5:BB5" si="41">AT4/AT$2</f>
        <v>-0.1303013025744485</v>
      </c>
      <c r="AU5" s="22">
        <f t="shared" si="41"/>
        <v>-0.10786834409530725</v>
      </c>
      <c r="AV5" s="22">
        <f t="shared" si="41"/>
        <v>-0.12717269675494219</v>
      </c>
      <c r="AW5" s="22">
        <f t="shared" si="41"/>
        <v>-0.1031212640149924</v>
      </c>
      <c r="AX5" s="22">
        <f t="shared" si="41"/>
        <v>-0.17468449331500688</v>
      </c>
      <c r="AY5" s="22">
        <f t="shared" si="41"/>
        <v>-0.11880774651563397</v>
      </c>
      <c r="AZ5" s="22">
        <f t="shared" si="41"/>
        <v>-0.12705619390214087</v>
      </c>
      <c r="BA5" s="22">
        <f t="shared" si="41"/>
        <v>-0.12032064382237853</v>
      </c>
      <c r="BB5" s="22">
        <f t="shared" si="41"/>
        <v>-0.10830778768987015</v>
      </c>
      <c r="BC5" s="28">
        <f t="shared" ref="BC5:BD5" si="42">BC4/BC$2</f>
        <v>-0.11097684760017401</v>
      </c>
      <c r="BD5" s="28">
        <f t="shared" si="42"/>
        <v>-0.12575916066884202</v>
      </c>
      <c r="BE5" s="28">
        <f t="shared" ref="BE5:BF5" si="43">BE4/BE$2</f>
        <v>-0.1523560643769703</v>
      </c>
      <c r="BF5" s="28">
        <f t="shared" si="43"/>
        <v>-0.17771070968887312</v>
      </c>
      <c r="BG5" s="28">
        <f t="shared" ref="BG5:BH5" si="44">BG4/BG$2</f>
        <v>-0.18479433816831337</v>
      </c>
      <c r="BH5" s="28">
        <f t="shared" si="44"/>
        <v>-0.17520020389274168</v>
      </c>
      <c r="BI5" s="28">
        <f t="shared" ref="BI5:CG5" si="45">BI4/BI$2</f>
        <v>-0.17490596782690729</v>
      </c>
      <c r="BJ5" s="28">
        <f t="shared" ref="BJ5:BK5" si="46">BJ4/BJ$2</f>
        <v>-0.22483853254190309</v>
      </c>
      <c r="BK5" s="28">
        <f t="shared" si="46"/>
        <v>-0.27465952057560294</v>
      </c>
      <c r="BL5" s="28">
        <f t="shared" ref="BL5" si="47">BL4/BL$2</f>
        <v>-0.2738424602720933</v>
      </c>
      <c r="BM5" s="28">
        <f t="shared" si="45"/>
        <v>-0.29892594445216381</v>
      </c>
      <c r="BN5" s="28">
        <f t="shared" si="45"/>
        <v>-0.25493602565770995</v>
      </c>
      <c r="BO5" s="28">
        <f t="shared" si="45"/>
        <v>-0.31405833504096503</v>
      </c>
      <c r="BP5" s="28">
        <f t="shared" si="45"/>
        <v>-0.31528020512633126</v>
      </c>
      <c r="BQ5" s="28">
        <f t="shared" si="45"/>
        <v>-0.34815272736470404</v>
      </c>
      <c r="BR5" s="28">
        <f t="shared" si="45"/>
        <v>-0.25603581286990706</v>
      </c>
      <c r="BS5" s="28">
        <f t="shared" si="45"/>
        <v>-0.31666253306087067</v>
      </c>
      <c r="BT5" s="28">
        <f t="shared" si="45"/>
        <v>-0.31749077747749943</v>
      </c>
      <c r="BU5" s="28">
        <f t="shared" si="45"/>
        <v>-0.3517209480719653</v>
      </c>
      <c r="BV5" s="28">
        <f t="shared" si="45"/>
        <v>-0.24743809877779632</v>
      </c>
      <c r="BW5" s="28">
        <f t="shared" si="45"/>
        <v>-0.30718492537903119</v>
      </c>
      <c r="BX5" s="28">
        <f t="shared" si="45"/>
        <v>-0.30757739713396509</v>
      </c>
      <c r="BY5" s="28">
        <f t="shared" si="45"/>
        <v>-0.34179244001263992</v>
      </c>
      <c r="BZ5" s="28">
        <f t="shared" si="45"/>
        <v>-0.23688212243657347</v>
      </c>
      <c r="CA5" s="28">
        <f t="shared" si="45"/>
        <v>-0.29513831944467239</v>
      </c>
      <c r="CB5" s="28">
        <f t="shared" si="45"/>
        <v>-0.29515146491326771</v>
      </c>
      <c r="CC5" s="28">
        <f t="shared" si="45"/>
        <v>-0.32894109844672054</v>
      </c>
      <c r="CD5" s="28">
        <f t="shared" si="45"/>
        <v>-0.22458329163405413</v>
      </c>
      <c r="CE5" s="28">
        <f t="shared" si="45"/>
        <v>-0.28077661550420507</v>
      </c>
      <c r="CF5" s="28">
        <f t="shared" si="45"/>
        <v>-0.2804756059707893</v>
      </c>
      <c r="CG5" s="28">
        <f t="shared" si="45"/>
        <v>-0.31343279095649473</v>
      </c>
      <c r="CH5" s="28"/>
      <c r="CI5" s="107">
        <f>CI4/CI$2</f>
        <v>-0.18260316306126159</v>
      </c>
      <c r="CJ5" s="22">
        <f t="shared" ref="CJ5:CY5" si="48">CJ4/CJ$2</f>
        <v>-0.11816869457620127</v>
      </c>
      <c r="CK5" s="107">
        <f t="shared" si="48"/>
        <v>-9.3298366637211028E-2</v>
      </c>
      <c r="CL5" s="22">
        <f t="shared" si="48"/>
        <v>-0.17008390929474584</v>
      </c>
      <c r="CM5" s="107">
        <f t="shared" si="48"/>
        <v>-0.20872695413682768</v>
      </c>
      <c r="CN5" s="22">
        <f t="shared" si="48"/>
        <v>-0.16348976024799658</v>
      </c>
      <c r="CO5" s="107">
        <f t="shared" si="48"/>
        <v>-0.13858381306223547</v>
      </c>
      <c r="CP5" s="22">
        <f t="shared" si="48"/>
        <v>-0.14783086462666653</v>
      </c>
      <c r="CQ5" s="107">
        <f t="shared" si="48"/>
        <v>-0.22834330974721373</v>
      </c>
      <c r="CR5" s="107">
        <f t="shared" si="48"/>
        <v>-0.17870803229919252</v>
      </c>
      <c r="CS5" s="107">
        <f t="shared" si="48"/>
        <v>-0.14878897354907211</v>
      </c>
      <c r="CT5" s="107">
        <f t="shared" si="48"/>
        <v>-0.11618750324183882</v>
      </c>
      <c r="CU5" s="107">
        <f t="shared" si="48"/>
        <v>-0.13461974251863126</v>
      </c>
      <c r="CV5" s="107">
        <f t="shared" si="48"/>
        <v>-0.12573097135371997</v>
      </c>
      <c r="CW5" s="107">
        <f t="shared" si="48"/>
        <v>-0.17801354034657324</v>
      </c>
      <c r="CX5" s="22">
        <f t="shared" si="48"/>
        <v>-0.27007485512013552</v>
      </c>
      <c r="CY5" s="107">
        <f t="shared" si="48"/>
        <v>-0.31035603509562504</v>
      </c>
      <c r="CZ5" s="107">
        <f>CZ4/CZ$2</f>
        <v>-0.31271367193617761</v>
      </c>
      <c r="DA5" s="107">
        <f>DA4/DA$2</f>
        <v>-0.30313575720749558</v>
      </c>
      <c r="DB5" s="107">
        <f>DB4/DB$2</f>
        <v>-0.29105087542436237</v>
      </c>
      <c r="DC5" s="107">
        <f>DC4/DC$2</f>
        <v>-0.27671129959048529</v>
      </c>
    </row>
    <row r="6" spans="1:113" x14ac:dyDescent="0.2">
      <c r="A6" s="14" t="s">
        <v>63</v>
      </c>
      <c r="B6" s="25" t="s">
        <v>82</v>
      </c>
      <c r="C6" s="25" t="s">
        <v>82</v>
      </c>
      <c r="D6" s="25" t="s">
        <v>82</v>
      </c>
      <c r="E6" s="25" t="s">
        <v>82</v>
      </c>
      <c r="F6" s="22">
        <f>IF(AND(B4&lt;0,F4&gt;0),"n/a",F4/B4-1)</f>
        <v>2.7238493723849371</v>
      </c>
      <c r="G6" s="22">
        <f t="shared" ref="G6:BL6" si="49">IF(AND(C4&lt;0,G4&gt;0),"n/a",G4/C4-1)</f>
        <v>0.92647058823529416</v>
      </c>
      <c r="H6" s="22">
        <f t="shared" si="49"/>
        <v>-0.1029023746701847</v>
      </c>
      <c r="I6" s="22">
        <f t="shared" si="49"/>
        <v>-0.62632612966601187</v>
      </c>
      <c r="J6" s="22">
        <f t="shared" si="49"/>
        <v>-0.31797752808988766</v>
      </c>
      <c r="K6" s="22">
        <f t="shared" si="49"/>
        <v>-0.15594329334787349</v>
      </c>
      <c r="L6" s="22">
        <f t="shared" si="49"/>
        <v>0.2823529411764707</v>
      </c>
      <c r="M6" s="22">
        <f t="shared" si="49"/>
        <v>7.2555205047318605E-2</v>
      </c>
      <c r="N6" s="22">
        <f t="shared" si="49"/>
        <v>0.98187808896210882</v>
      </c>
      <c r="O6" s="22">
        <f t="shared" si="49"/>
        <v>1.0813953488372094</v>
      </c>
      <c r="P6" s="22">
        <f t="shared" si="49"/>
        <v>1.625</v>
      </c>
      <c r="Q6" s="22">
        <f t="shared" si="49"/>
        <v>1.2107843137254903</v>
      </c>
      <c r="R6" s="22">
        <f t="shared" si="49"/>
        <v>0.94929343308395686</v>
      </c>
      <c r="S6" s="22">
        <f t="shared" si="49"/>
        <v>0.64245810055865915</v>
      </c>
      <c r="T6" s="22">
        <f t="shared" si="49"/>
        <v>5.5919615552643132E-2</v>
      </c>
      <c r="U6" s="22">
        <f t="shared" si="49"/>
        <v>0.57472283813747227</v>
      </c>
      <c r="V6" s="22">
        <f t="shared" si="49"/>
        <v>0.24818763326226012</v>
      </c>
      <c r="W6" s="22">
        <f t="shared" si="49"/>
        <v>-4.9508692365835216E-2</v>
      </c>
      <c r="X6" s="22">
        <f t="shared" si="49"/>
        <v>-1.8204385601985895E-2</v>
      </c>
      <c r="Y6" s="22">
        <f t="shared" si="49"/>
        <v>-0.4086172909039707</v>
      </c>
      <c r="Z6" s="22">
        <f t="shared" si="49"/>
        <v>-0.1704817218995559</v>
      </c>
      <c r="AA6" s="22">
        <f t="shared" si="49"/>
        <v>-0.15586481113320083</v>
      </c>
      <c r="AB6" s="22">
        <f t="shared" si="49"/>
        <v>7.6274757690686812E-2</v>
      </c>
      <c r="AC6" s="22">
        <f t="shared" si="49"/>
        <v>0.46571428571428575</v>
      </c>
      <c r="AD6" s="22">
        <f t="shared" si="49"/>
        <v>3.2948929159802409E-2</v>
      </c>
      <c r="AE6" s="22">
        <f t="shared" si="49"/>
        <v>0.33349034385303811</v>
      </c>
      <c r="AF6" s="22">
        <f t="shared" si="49"/>
        <v>0.38527799530148776</v>
      </c>
      <c r="AG6" s="22">
        <f t="shared" si="49"/>
        <v>0.39928525016244309</v>
      </c>
      <c r="AH6" s="22">
        <f t="shared" si="49"/>
        <v>1.910287081339713</v>
      </c>
      <c r="AI6" s="22">
        <f t="shared" si="49"/>
        <v>0.93465206640762988</v>
      </c>
      <c r="AJ6" s="22">
        <f t="shared" si="49"/>
        <v>0.49293386093838332</v>
      </c>
      <c r="AK6" s="22">
        <f t="shared" si="49"/>
        <v>0.64406779661016955</v>
      </c>
      <c r="AL6" s="22">
        <f t="shared" si="49"/>
        <v>-0.36457048910809697</v>
      </c>
      <c r="AM6" s="22">
        <f t="shared" si="49"/>
        <v>0.11849552674821973</v>
      </c>
      <c r="AN6" s="22">
        <f t="shared" si="49"/>
        <v>0.27451722832260517</v>
      </c>
      <c r="AO6" s="22">
        <f t="shared" si="49"/>
        <v>-0.14531845784493713</v>
      </c>
      <c r="AP6" s="22">
        <f t="shared" si="49"/>
        <v>0.29473911168607159</v>
      </c>
      <c r="AQ6" s="22">
        <f t="shared" si="49"/>
        <v>-0.11998041136141036</v>
      </c>
      <c r="AR6" s="22">
        <f t="shared" si="49"/>
        <v>-0.19696969696969702</v>
      </c>
      <c r="AS6" s="22">
        <f t="shared" si="49"/>
        <v>-9.4679444811632485E-2</v>
      </c>
      <c r="AT6" s="22">
        <f t="shared" si="49"/>
        <v>-1.0491257285595301E-2</v>
      </c>
      <c r="AU6" s="22">
        <f t="shared" si="49"/>
        <v>1.9476905954368462E-2</v>
      </c>
      <c r="AV6" s="22">
        <f t="shared" si="49"/>
        <v>0.26137624861265252</v>
      </c>
      <c r="AW6" s="22">
        <f t="shared" si="49"/>
        <v>0.16499361197298779</v>
      </c>
      <c r="AX6" s="22">
        <f t="shared" si="49"/>
        <v>0.64692022887916534</v>
      </c>
      <c r="AY6" s="22">
        <f t="shared" si="49"/>
        <v>0.24235807860262004</v>
      </c>
      <c r="AZ6" s="22">
        <f t="shared" si="49"/>
        <v>6.7018624431734786E-2</v>
      </c>
      <c r="BA6" s="22">
        <f t="shared" si="49"/>
        <v>0.18987936706877639</v>
      </c>
      <c r="BB6" s="22">
        <f t="shared" si="49"/>
        <v>-0.35734723073778862</v>
      </c>
      <c r="BC6" s="22">
        <f t="shared" si="49"/>
        <v>8.7873462214411724E-3</v>
      </c>
      <c r="BD6" s="22">
        <f t="shared" si="49"/>
        <v>0.1070643210555251</v>
      </c>
      <c r="BE6" s="22">
        <f t="shared" si="49"/>
        <v>0.45082290980908502</v>
      </c>
      <c r="BF6" s="22">
        <f t="shared" si="49"/>
        <v>0.91000159007791392</v>
      </c>
      <c r="BG6" s="22">
        <f t="shared" si="49"/>
        <v>0.9143437862950059</v>
      </c>
      <c r="BH6" s="22">
        <f t="shared" si="49"/>
        <v>0.62147734326505266</v>
      </c>
      <c r="BI6" s="22">
        <f t="shared" si="49"/>
        <v>0.29558036119430064</v>
      </c>
      <c r="BJ6" s="22">
        <f t="shared" si="49"/>
        <v>0.43165168165168155</v>
      </c>
      <c r="BK6" s="22">
        <f t="shared" si="49"/>
        <v>0.7022599726983163</v>
      </c>
      <c r="BL6" s="22">
        <f t="shared" si="49"/>
        <v>0.83393308322486792</v>
      </c>
      <c r="BM6" s="26">
        <v>1</v>
      </c>
      <c r="BN6" s="26">
        <v>0.32</v>
      </c>
      <c r="BO6" s="26">
        <v>0.32</v>
      </c>
      <c r="BP6" s="26">
        <v>0.32</v>
      </c>
      <c r="BQ6" s="26">
        <v>0.32</v>
      </c>
      <c r="BR6" s="26">
        <v>0.15</v>
      </c>
      <c r="BS6" s="26">
        <v>0.15</v>
      </c>
      <c r="BT6" s="26">
        <v>0.15</v>
      </c>
      <c r="BU6" s="26">
        <v>0.15</v>
      </c>
      <c r="BV6" s="26">
        <v>0.1</v>
      </c>
      <c r="BW6" s="26">
        <v>0.1</v>
      </c>
      <c r="BX6" s="26">
        <v>0.1</v>
      </c>
      <c r="BY6" s="26">
        <v>0.1</v>
      </c>
      <c r="BZ6" s="26">
        <v>0.08</v>
      </c>
      <c r="CA6" s="26">
        <v>0.08</v>
      </c>
      <c r="CB6" s="26">
        <v>0.08</v>
      </c>
      <c r="CC6" s="26">
        <v>0.08</v>
      </c>
      <c r="CD6" s="26">
        <v>0.06</v>
      </c>
      <c r="CE6" s="26">
        <v>0.06</v>
      </c>
      <c r="CF6" s="26">
        <v>0.06</v>
      </c>
      <c r="CG6" s="26">
        <v>0.06</v>
      </c>
      <c r="CH6" s="26"/>
      <c r="CI6" s="106" t="s">
        <v>82</v>
      </c>
      <c r="CJ6" s="22">
        <f>IF(AND(CI4&lt;0,CJ4&gt;0),"n/a",CJ4/CI4-1)</f>
        <v>-0.14435042309606771</v>
      </c>
      <c r="CK6" s="107">
        <f t="shared" ref="CK6:CY6" si="50">IF(AND(CJ4&lt;0,CK4&gt;0),"n/a",CK4/CJ4-1)</f>
        <v>-4.7993019197207665E-2</v>
      </c>
      <c r="CL6" s="22">
        <f t="shared" si="50"/>
        <v>1.2480904369080354</v>
      </c>
      <c r="CM6" s="107">
        <f t="shared" si="50"/>
        <v>0.48939929328621901</v>
      </c>
      <c r="CN6" s="22">
        <f t="shared" si="50"/>
        <v>-9.5264166438543629E-2</v>
      </c>
      <c r="CO6" s="107">
        <f t="shared" si="50"/>
        <v>2.7029752899647042E-2</v>
      </c>
      <c r="CP6" s="22">
        <f t="shared" si="50"/>
        <v>0.29470686438181293</v>
      </c>
      <c r="CQ6" s="107">
        <f t="shared" si="50"/>
        <v>0.90678094660194164</v>
      </c>
      <c r="CR6" s="107">
        <f t="shared" si="50"/>
        <v>-6.3288118063566601E-2</v>
      </c>
      <c r="CS6" s="107">
        <f t="shared" si="50"/>
        <v>-5.3804994054696742E-2</v>
      </c>
      <c r="CT6" s="107">
        <f t="shared" si="50"/>
        <v>0.10587496072887204</v>
      </c>
      <c r="CU6" s="107">
        <f t="shared" si="50"/>
        <v>0.27780032467532467</v>
      </c>
      <c r="CV6" s="107">
        <f t="shared" si="50"/>
        <v>2.4329045577259123E-2</v>
      </c>
      <c r="CW6" s="107">
        <f t="shared" si="50"/>
        <v>0.62894173824067479</v>
      </c>
      <c r="CX6" s="28">
        <f t="shared" si="50"/>
        <v>0.75403064623584282</v>
      </c>
      <c r="CY6" s="107">
        <f t="shared" si="50"/>
        <v>0.32000000000000006</v>
      </c>
      <c r="CZ6" s="107">
        <f>IF(AND(CY4&lt;0,CZ4&gt;0),"n/a",CZ4/CY4-1)</f>
        <v>0.14999999999999991</v>
      </c>
      <c r="DA6" s="107">
        <f>IF(AND(CZ4&lt;0,DA4&gt;0),"n/a",DA4/CZ4-1)</f>
        <v>0.10000000000000009</v>
      </c>
      <c r="DB6" s="107">
        <f>IF(AND(DA4&lt;0,DB4&gt;0),"n/a",DB4/DA4-1)</f>
        <v>8.0000000000000293E-2</v>
      </c>
      <c r="DC6" s="107">
        <f>IF(AND(DB4&lt;0,DC4&gt;0),"n/a",DC4/DB4-1)</f>
        <v>5.9999999999999831E-2</v>
      </c>
    </row>
    <row r="7" spans="1:113" hidden="1" outlineLevel="1" x14ac:dyDescent="0.2">
      <c r="CI7" s="92"/>
      <c r="CK7" s="92"/>
      <c r="CM7" s="92"/>
      <c r="CO7" s="92"/>
      <c r="CQ7" s="92"/>
      <c r="CR7" s="92"/>
      <c r="CS7" s="92"/>
      <c r="CT7" s="92"/>
      <c r="CU7" s="92"/>
      <c r="CV7" s="92"/>
      <c r="CW7" s="92"/>
      <c r="CY7" s="92"/>
      <c r="CZ7" s="92"/>
      <c r="DA7" s="92"/>
      <c r="DB7" s="92"/>
      <c r="DC7" s="92"/>
    </row>
    <row r="8" spans="1:113" hidden="1" outlineLevel="1" x14ac:dyDescent="0.2">
      <c r="A8" s="29" t="s">
        <v>242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7">
        <v>-3755</v>
      </c>
      <c r="V8" s="17">
        <v>-2678</v>
      </c>
      <c r="W8" s="17">
        <v>-2058</v>
      </c>
      <c r="X8" s="17">
        <v>-2340</v>
      </c>
      <c r="Y8" s="17">
        <v>-1781</v>
      </c>
      <c r="Z8" s="17">
        <v>-2036</v>
      </c>
      <c r="AA8" s="17">
        <v>-2056</v>
      </c>
      <c r="AB8" s="17">
        <v>-2434</v>
      </c>
      <c r="AC8" s="17">
        <v>-2888</v>
      </c>
      <c r="AD8" s="17">
        <v>-2409</v>
      </c>
      <c r="AE8" s="17">
        <v>-2838</v>
      </c>
      <c r="AF8" s="17">
        <v>-3536</v>
      </c>
      <c r="AG8" s="17">
        <v>-3809</v>
      </c>
      <c r="AH8" s="17">
        <v>-7669</v>
      </c>
      <c r="AI8" s="17">
        <v>-5299</v>
      </c>
      <c r="AJ8" s="17">
        <v>-5643</v>
      </c>
      <c r="AK8" s="17">
        <v>-6849</v>
      </c>
      <c r="AL8" s="17">
        <v>-4534</v>
      </c>
      <c r="AM8" s="17">
        <v>-6896</v>
      </c>
      <c r="AN8" s="17">
        <v>-7228</v>
      </c>
      <c r="AO8" s="17">
        <v>-6593</v>
      </c>
      <c r="AP8" s="17">
        <v>-5663</v>
      </c>
      <c r="AQ8" s="17">
        <v>-4836</v>
      </c>
      <c r="AR8" s="17">
        <v>-5465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I8" s="112"/>
      <c r="CJ8" s="19"/>
      <c r="CK8" s="112"/>
      <c r="CL8" s="19"/>
      <c r="CM8" s="112"/>
      <c r="CN8" s="20">
        <f>SUM(V8:Y8)</f>
        <v>-8857</v>
      </c>
      <c r="CO8" s="89">
        <f>SUM(Z8:AC8)</f>
        <v>-9414</v>
      </c>
      <c r="CP8" s="20">
        <f>SUM(AD8:AG8)</f>
        <v>-12592</v>
      </c>
      <c r="CQ8" s="89">
        <f>SUM(AH8:AK8)</f>
        <v>-25460</v>
      </c>
      <c r="CR8" s="89">
        <f>SUM(AL8:AO8)</f>
        <v>-25251</v>
      </c>
      <c r="CS8" s="112"/>
      <c r="CT8" s="112"/>
      <c r="CU8" s="112"/>
      <c r="CV8" s="112"/>
      <c r="CW8" s="112"/>
      <c r="CX8" s="19"/>
      <c r="CY8" s="112"/>
      <c r="CZ8" s="112"/>
      <c r="DA8" s="112"/>
      <c r="DB8" s="112"/>
      <c r="DC8" s="112"/>
    </row>
    <row r="9" spans="1:113" hidden="1" outlineLevel="1" x14ac:dyDescent="0.2">
      <c r="A9" s="8" t="s">
        <v>243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22">
        <f>U8/'Income Statement'!U80</f>
        <v>-0.26125373965073401</v>
      </c>
      <c r="V9" s="22">
        <f>V8/'Income Statement'!V80</f>
        <v>-0.19359502638617798</v>
      </c>
      <c r="W9" s="22">
        <f>W8/'Income Statement'!W80</f>
        <v>-0.1441580274586719</v>
      </c>
      <c r="X9" s="22">
        <f>X8/'Income Statement'!X80</f>
        <v>-0.15634395670475046</v>
      </c>
      <c r="Y9" s="22">
        <f>Y8/'Income Statement'!Y80</f>
        <v>-0.10401214740407638</v>
      </c>
      <c r="Z9" s="22">
        <f>Z8/'Income Statement'!Z80</f>
        <v>-0.12488499049254738</v>
      </c>
      <c r="AA9" s="22">
        <f>AA8/'Income Statement'!AA80</f>
        <v>-0.11856978085351788</v>
      </c>
      <c r="AB9" s="22">
        <f>AB8/'Income Statement'!AB80</f>
        <v>-0.13468348826914564</v>
      </c>
      <c r="AC9" s="22">
        <f>AC8/'Income Statement'!AC80</f>
        <v>-0.13782571346759567</v>
      </c>
      <c r="AD9" s="22">
        <f>AD8/'Income Statement'!AD80</f>
        <v>-0.12051628395617589</v>
      </c>
      <c r="AE9" s="22">
        <f>AE8/'Income Statement'!AE80</f>
        <v>-0.13629814619152819</v>
      </c>
      <c r="AF9" s="22">
        <f>AF8/'Income Statement'!AF80</f>
        <v>-0.15961720760167922</v>
      </c>
      <c r="AG9" s="22">
        <f>AG8/'Income Statement'!AG80</f>
        <v>-0.14796830083132623</v>
      </c>
      <c r="AH9" s="22">
        <f>AH8/'Income Statement'!AH80</f>
        <v>-0.3103853003075927</v>
      </c>
      <c r="AI9" s="22">
        <f>AI8/'Income Statement'!AI80</f>
        <v>-0.20308906944657365</v>
      </c>
      <c r="AJ9" s="22">
        <f>AJ8/'Income Statement'!AJ80</f>
        <v>-0.20890715237672144</v>
      </c>
      <c r="AK9" s="22">
        <f>AK8/'Income Statement'!AK80</f>
        <v>-0.21700145744883087</v>
      </c>
      <c r="AL9" s="22">
        <f>AL8/'Income Statement'!AL80</f>
        <v>-0.15542300836418482</v>
      </c>
      <c r="AM9" s="22">
        <f>AM8/'Income Statement'!AM80</f>
        <v>-0.21936633159435043</v>
      </c>
      <c r="AN9" s="22">
        <f>AN8/'Income Statement'!AN80</f>
        <v>-0.22080342141438827</v>
      </c>
      <c r="AO9" s="22">
        <f>AO8/'Income Statement'!AO80</f>
        <v>-0.17670392109565544</v>
      </c>
      <c r="AP9" s="22">
        <f>AP8/'Income Statement'!AP80</f>
        <v>-0.16892879515556483</v>
      </c>
      <c r="AQ9" s="22">
        <f>AQ8/'Income Statement'!AQ80</f>
        <v>-0.15448504983388706</v>
      </c>
      <c r="AR9" s="22">
        <f>AR8/'Income Statement'!AR80</f>
        <v>-0.14438191857546695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I9" s="112"/>
      <c r="CJ9" s="19"/>
      <c r="CK9" s="112"/>
      <c r="CL9" s="19"/>
      <c r="CM9" s="112"/>
      <c r="CN9" s="22">
        <f>CN8/'Income Statement'!CN80</f>
        <v>-0.14712868984534627</v>
      </c>
      <c r="CO9" s="107">
        <f>CO8/'Income Statement'!CO80</f>
        <v>-0.12954629897205136</v>
      </c>
      <c r="CP9" s="22">
        <f>CP8/'Income Statement'!CP80</f>
        <v>-0.14195206637656979</v>
      </c>
      <c r="CQ9" s="107">
        <f>CQ8/'Income Statement'!CQ80</f>
        <v>-0.23277927112476457</v>
      </c>
      <c r="CR9" s="107">
        <f>CR8/'Income Statement'!CR80</f>
        <v>-0.19326618396681311</v>
      </c>
      <c r="CS9" s="112"/>
      <c r="CT9" s="112"/>
      <c r="CU9" s="112"/>
      <c r="CV9" s="112"/>
      <c r="CW9" s="112"/>
      <c r="CX9" s="19"/>
      <c r="CY9" s="112"/>
      <c r="CZ9" s="112"/>
      <c r="DA9" s="112"/>
      <c r="DB9" s="112"/>
      <c r="DC9" s="112"/>
    </row>
    <row r="10" spans="1:113" hidden="1" outlineLevel="1" x14ac:dyDescent="0.2">
      <c r="A10" s="8" t="s">
        <v>63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5" t="s">
        <v>82</v>
      </c>
      <c r="V10" s="25" t="s">
        <v>82</v>
      </c>
      <c r="W10" s="25" t="s">
        <v>82</v>
      </c>
      <c r="X10" s="25" t="s">
        <v>82</v>
      </c>
      <c r="Y10" s="22">
        <f t="shared" ref="Y10" si="51">IF(AND(U8&lt;0,Y8&gt;0),"n/a",Y8/U8-1)</f>
        <v>-0.52569906790945409</v>
      </c>
      <c r="Z10" s="22">
        <f t="shared" ref="Z10" si="52">IF(AND(V8&lt;0,Z8&gt;0),"n/a",Z8/V8-1)</f>
        <v>-0.23973114264376405</v>
      </c>
      <c r="AA10" s="22">
        <f t="shared" ref="AA10" si="53">IF(AND(W8&lt;0,AA8&gt;0),"n/a",AA8/W8-1)</f>
        <v>-9.7181729834794339E-4</v>
      </c>
      <c r="AB10" s="22">
        <f t="shared" ref="AB10" si="54">IF(AND(X8&lt;0,AB8&gt;0),"n/a",AB8/X8-1)</f>
        <v>4.017094017094025E-2</v>
      </c>
      <c r="AC10" s="22">
        <f t="shared" ref="AC10" si="55">IF(AND(Y8&lt;0,AC8&gt;0),"n/a",AC8/Y8-1)</f>
        <v>0.62156092083099379</v>
      </c>
      <c r="AD10" s="22">
        <f t="shared" ref="AD10" si="56">IF(AND(Z8&lt;0,AD8&gt;0),"n/a",AD8/Z8-1)</f>
        <v>0.18320235756385062</v>
      </c>
      <c r="AE10" s="22">
        <f t="shared" ref="AE10" si="57">IF(AND(AA8&lt;0,AE8&gt;0),"n/a",AE8/AA8-1)</f>
        <v>0.38035019455252916</v>
      </c>
      <c r="AF10" s="22">
        <f t="shared" ref="AF10" si="58">IF(AND(AB8&lt;0,AF8&gt;0),"n/a",AF8/AB8-1)</f>
        <v>0.45275267050123258</v>
      </c>
      <c r="AG10" s="22">
        <f t="shared" ref="AG10" si="59">IF(AND(AC8&lt;0,AG8&gt;0),"n/a",AG8/AC8-1)</f>
        <v>0.31890581717451516</v>
      </c>
      <c r="AH10" s="22">
        <f t="shared" ref="AH10" si="60">IF(AND(AD8&lt;0,AH8&gt;0),"n/a",AH8/AD8-1)</f>
        <v>2.1834786218347864</v>
      </c>
      <c r="AI10" s="22">
        <f t="shared" ref="AI10" si="61">IF(AND(AE8&lt;0,AI8&gt;0),"n/a",AI8/AE8-1)</f>
        <v>0.86715997181113469</v>
      </c>
      <c r="AJ10" s="22">
        <f t="shared" ref="AJ10" si="62">IF(AND(AF8&lt;0,AJ8&gt;0),"n/a",AJ8/AF8-1)</f>
        <v>0.595871040723982</v>
      </c>
      <c r="AK10" s="22">
        <f t="shared" ref="AK10" si="63">IF(AND(AG8&lt;0,AK8&gt;0),"n/a",AK8/AG8-1)</f>
        <v>0.79810974008926228</v>
      </c>
      <c r="AL10" s="22">
        <f t="shared" ref="AL10" si="64">IF(AND(AH8&lt;0,AL8&gt;0),"n/a",AL8/AH8-1)</f>
        <v>-0.40878862954752904</v>
      </c>
      <c r="AM10" s="22">
        <f t="shared" ref="AM10" si="65">IF(AND(AI8&lt;0,AM8&gt;0),"n/a",AM8/AI8-1)</f>
        <v>0.30137761841856947</v>
      </c>
      <c r="AN10" s="22">
        <f t="shared" ref="AN10" si="66">IF(AND(AJ8&lt;0,AN8&gt;0),"n/a",AN8/AJ8-1)</f>
        <v>0.28087896508949139</v>
      </c>
      <c r="AO10" s="22">
        <f t="shared" ref="AO10" si="67">IF(AND(AK8&lt;0,AO8&gt;0),"n/a",AO8/AK8-1)</f>
        <v>-3.7377719375091267E-2</v>
      </c>
      <c r="AP10" s="22">
        <f t="shared" ref="AP10" si="68">IF(AND(AL8&lt;0,AP8&gt;0),"n/a",AP8/AL8-1)</f>
        <v>0.24900749889722107</v>
      </c>
      <c r="AQ10" s="22">
        <f t="shared" ref="AQ10" si="69">IF(AND(AM8&lt;0,AQ8&gt;0),"n/a",AQ8/AM8-1)</f>
        <v>-0.29872389791183296</v>
      </c>
      <c r="AR10" s="22">
        <f t="shared" ref="AR10" si="70">IF(AND(AN8&lt;0,AR8&gt;0),"n/a",AR8/AN8-1)</f>
        <v>-0.24391256225788605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I10" s="112"/>
      <c r="CJ10" s="19"/>
      <c r="CK10" s="112"/>
      <c r="CL10" s="19"/>
      <c r="CM10" s="112"/>
      <c r="CN10" s="25" t="s">
        <v>82</v>
      </c>
      <c r="CO10" s="107">
        <f t="shared" ref="CO10:CR10" si="71">IF(AND(CN8&lt;0,CO8&gt;0),"n/a",CO8/CN8-1)</f>
        <v>6.288811109856618E-2</v>
      </c>
      <c r="CP10" s="22">
        <f t="shared" si="71"/>
        <v>0.33758232419800294</v>
      </c>
      <c r="CQ10" s="107">
        <f t="shared" si="71"/>
        <v>1.0219186785260481</v>
      </c>
      <c r="CR10" s="107">
        <f t="shared" si="71"/>
        <v>-8.208955223880543E-3</v>
      </c>
      <c r="CS10" s="112"/>
      <c r="CT10" s="112"/>
      <c r="CU10" s="112"/>
      <c r="CV10" s="112"/>
      <c r="CW10" s="112"/>
      <c r="CX10" s="19"/>
      <c r="CY10" s="112"/>
      <c r="CZ10" s="112"/>
      <c r="DA10" s="112"/>
      <c r="DB10" s="112"/>
      <c r="DC10" s="112"/>
    </row>
    <row r="11" spans="1:113" hidden="1" outlineLevel="1" x14ac:dyDescent="0.2">
      <c r="CI11" s="92"/>
      <c r="CK11" s="92"/>
      <c r="CM11" s="92"/>
      <c r="CO11" s="92"/>
      <c r="CQ11" s="92"/>
      <c r="CR11" s="92"/>
      <c r="CS11" s="92"/>
      <c r="CT11" s="92"/>
      <c r="CU11" s="92"/>
      <c r="CV11" s="92"/>
      <c r="CW11" s="92"/>
      <c r="CY11" s="92"/>
      <c r="CZ11" s="92"/>
      <c r="DA11" s="92"/>
      <c r="DB11" s="92"/>
      <c r="DC11" s="92"/>
    </row>
    <row r="12" spans="1:113" hidden="1" outlineLevel="1" x14ac:dyDescent="0.2">
      <c r="A12" s="29" t="s">
        <v>244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7">
        <v>-142</v>
      </c>
      <c r="V12" s="17">
        <v>-157</v>
      </c>
      <c r="W12" s="17">
        <v>-234</v>
      </c>
      <c r="X12" s="17">
        <v>-271</v>
      </c>
      <c r="Y12" s="17">
        <v>-199</v>
      </c>
      <c r="Z12" s="17">
        <v>-280</v>
      </c>
      <c r="AA12" s="17">
        <v>-280</v>
      </c>
      <c r="AB12" s="17">
        <v>-324</v>
      </c>
      <c r="AC12" s="17">
        <v>-504</v>
      </c>
      <c r="AD12" s="17">
        <v>-167</v>
      </c>
      <c r="AE12" s="17">
        <v>-148</v>
      </c>
      <c r="AF12" s="17">
        <v>-73</v>
      </c>
      <c r="AG12" s="17">
        <v>-105</v>
      </c>
      <c r="AH12" s="17">
        <v>-55</v>
      </c>
      <c r="AI12" s="17">
        <v>-10</v>
      </c>
      <c r="AJ12" s="17">
        <v>-55</v>
      </c>
      <c r="AK12" s="17">
        <v>-61</v>
      </c>
      <c r="AL12" s="17">
        <v>-59</v>
      </c>
      <c r="AM12" s="17">
        <v>-65</v>
      </c>
      <c r="AN12" s="17">
        <v>-71</v>
      </c>
      <c r="AO12" s="17">
        <v>-86</v>
      </c>
      <c r="AP12" s="17">
        <v>-104</v>
      </c>
      <c r="AQ12" s="17">
        <v>-96</v>
      </c>
      <c r="AR12" s="17">
        <v>-120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I12" s="112"/>
      <c r="CJ12" s="19"/>
      <c r="CK12" s="112"/>
      <c r="CL12" s="19"/>
      <c r="CM12" s="112"/>
      <c r="CN12" s="20">
        <f>SUM(V12:Y12)</f>
        <v>-861</v>
      </c>
      <c r="CO12" s="89">
        <f>SUM(Z12:AC12)</f>
        <v>-1388</v>
      </c>
      <c r="CP12" s="20">
        <f>SUM(AD12:AG12)</f>
        <v>-493</v>
      </c>
      <c r="CQ12" s="89">
        <f>SUM(AH12:AK12)</f>
        <v>-181</v>
      </c>
      <c r="CR12" s="89">
        <f>SUM(AL12:AO12)</f>
        <v>-281</v>
      </c>
      <c r="CS12" s="112"/>
      <c r="CT12" s="112"/>
      <c r="CU12" s="112"/>
      <c r="CV12" s="112"/>
      <c r="CW12" s="112"/>
      <c r="CX12" s="19"/>
      <c r="CY12" s="112"/>
      <c r="CZ12" s="112"/>
      <c r="DA12" s="112"/>
      <c r="DB12" s="112"/>
      <c r="DC12" s="112"/>
    </row>
    <row r="13" spans="1:113" hidden="1" outlineLevel="1" x14ac:dyDescent="0.2">
      <c r="A13" s="8" t="s">
        <v>245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2">
        <f>U12/'Income Statement'!U53</f>
        <v>-1.3396226415094339</v>
      </c>
      <c r="V13" s="22">
        <f>V12/'Income Statement'!V53</f>
        <v>-1.9624999999999999</v>
      </c>
      <c r="W13" s="22">
        <f>W12/'Income Statement'!W53</f>
        <v>-3.1621621621621623</v>
      </c>
      <c r="X13" s="22">
        <f>X12/'Income Statement'!X53</f>
        <v>-1.908450704225352</v>
      </c>
      <c r="Y13" s="22">
        <f>Y12/'Income Statement'!Y53</f>
        <v>-1.3178807947019868</v>
      </c>
      <c r="Z13" s="22">
        <f>Z12/'Income Statement'!Z53</f>
        <v>-1.6867469879518073</v>
      </c>
      <c r="AA13" s="22">
        <f>AA12/'Income Statement'!AA53</f>
        <v>-1.5135135135135136</v>
      </c>
      <c r="AB13" s="22">
        <f>AB12/'Income Statement'!AB53</f>
        <v>-1.6446700507614214</v>
      </c>
      <c r="AC13" s="22">
        <f>AC12/'Income Statement'!AC53</f>
        <v>-1.9236641221374047</v>
      </c>
      <c r="AD13" s="22">
        <f>AD12/'Income Statement'!AD53</f>
        <v>-1.2651515151515151</v>
      </c>
      <c r="AE13" s="22">
        <f>AE12/'Income Statement'!AE53</f>
        <v>-1.5257731958762886</v>
      </c>
      <c r="AF13" s="22">
        <f>AF12/'Income Statement'!AF53</f>
        <v>-0.62393162393162394</v>
      </c>
      <c r="AG13" s="22">
        <f>AG12/'Income Statement'!AG53</f>
        <v>-0.80152671755725191</v>
      </c>
      <c r="AH13" s="22">
        <f>AH12/'Income Statement'!AH53</f>
        <v>-0.36666666666666664</v>
      </c>
      <c r="AI13" s="22">
        <f>AI12/'Income Statement'!AI53</f>
        <v>-6.8965517241379309E-2</v>
      </c>
      <c r="AJ13" s="22">
        <f>AJ12/'Income Statement'!AJ53</f>
        <v>-0.37671232876712329</v>
      </c>
      <c r="AK13" s="22">
        <f>AK12/'Income Statement'!AK53</f>
        <v>-0.39610389610389612</v>
      </c>
      <c r="AL13" s="22">
        <f>AL12/'Income Statement'!AL53</f>
        <v>-0.34705882352941175</v>
      </c>
      <c r="AM13" s="22">
        <f>AM12/'Income Statement'!AM53</f>
        <v>-0.40123456790123457</v>
      </c>
      <c r="AN13" s="22">
        <f>AN12/'Income Statement'!AN53</f>
        <v>-0.45806451612903226</v>
      </c>
      <c r="AO13" s="22">
        <f>AO12/'Income Statement'!AO53</f>
        <v>-0.5</v>
      </c>
      <c r="AP13" s="22">
        <f>AP12/'Income Statement'!AP53</f>
        <v>-0.77037037037037037</v>
      </c>
      <c r="AQ13" s="22">
        <f>AQ12/'Income Statement'!AQ53</f>
        <v>-0.64864864864864868</v>
      </c>
      <c r="AR13" s="22">
        <f>AR12/'Income Statement'!AR53</f>
        <v>-0.6741573033707865</v>
      </c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I13" s="112"/>
      <c r="CJ13" s="19"/>
      <c r="CK13" s="112"/>
      <c r="CL13" s="19"/>
      <c r="CM13" s="112"/>
      <c r="CN13" s="22">
        <f>CN12/'Income Statement'!CN$53</f>
        <v>-1.9261744966442953</v>
      </c>
      <c r="CO13" s="107">
        <f>CO12/'Income Statement'!CO$53</f>
        <v>-1.7135802469135804</v>
      </c>
      <c r="CP13" s="22">
        <f>CP12/'Income Statement'!CP$53</f>
        <v>-1.0335429769392033</v>
      </c>
      <c r="CQ13" s="107">
        <f>CQ12/'Income Statement'!CQ$53</f>
        <v>-0.30420168067226888</v>
      </c>
      <c r="CR13" s="107">
        <f>CR12/'Income Statement'!CR$53</f>
        <v>-0.42640364188163887</v>
      </c>
      <c r="CS13" s="112"/>
      <c r="CT13" s="112"/>
      <c r="CU13" s="112"/>
      <c r="CV13" s="112"/>
      <c r="CW13" s="112"/>
      <c r="CX13" s="19"/>
      <c r="CY13" s="112"/>
      <c r="CZ13" s="112"/>
      <c r="DA13" s="112"/>
      <c r="DB13" s="112"/>
      <c r="DC13" s="112"/>
    </row>
    <row r="14" spans="1:113" hidden="1" outlineLevel="1" x14ac:dyDescent="0.2">
      <c r="A14" s="8" t="s">
        <v>63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5" t="s">
        <v>82</v>
      </c>
      <c r="V14" s="25" t="s">
        <v>82</v>
      </c>
      <c r="W14" s="25" t="s">
        <v>82</v>
      </c>
      <c r="X14" s="25" t="s">
        <v>82</v>
      </c>
      <c r="Y14" s="22">
        <f t="shared" ref="Y14" si="72">IF(AND(U12&lt;0,Y12&gt;0),"n/a",Y12/U12-1)</f>
        <v>0.40140845070422526</v>
      </c>
      <c r="Z14" s="22">
        <f t="shared" ref="Z14" si="73">IF(AND(V12&lt;0,Z12&gt;0),"n/a",Z12/V12-1)</f>
        <v>0.78343949044585992</v>
      </c>
      <c r="AA14" s="22">
        <f t="shared" ref="AA14" si="74">IF(AND(W12&lt;0,AA12&gt;0),"n/a",AA12/W12-1)</f>
        <v>0.19658119658119655</v>
      </c>
      <c r="AB14" s="22">
        <f t="shared" ref="AB14" si="75">IF(AND(X12&lt;0,AB12&gt;0),"n/a",AB12/X12-1)</f>
        <v>0.19557195571955721</v>
      </c>
      <c r="AC14" s="22">
        <f t="shared" ref="AC14" si="76">IF(AND(Y12&lt;0,AC12&gt;0),"n/a",AC12/Y12-1)</f>
        <v>1.5326633165829144</v>
      </c>
      <c r="AD14" s="22">
        <f t="shared" ref="AD14" si="77">IF(AND(Z12&lt;0,AD12&gt;0),"n/a",AD12/Z12-1)</f>
        <v>-0.40357142857142858</v>
      </c>
      <c r="AE14" s="22">
        <f t="shared" ref="AE14" si="78">IF(AND(AA12&lt;0,AE12&gt;0),"n/a",AE12/AA12-1)</f>
        <v>-0.47142857142857142</v>
      </c>
      <c r="AF14" s="22">
        <f t="shared" ref="AF14" si="79">IF(AND(AB12&lt;0,AF12&gt;0),"n/a",AF12/AB12-1)</f>
        <v>-0.77469135802469136</v>
      </c>
      <c r="AG14" s="22">
        <f t="shared" ref="AG14" si="80">IF(AND(AC12&lt;0,AG12&gt;0),"n/a",AG12/AC12-1)</f>
        <v>-0.79166666666666663</v>
      </c>
      <c r="AH14" s="22">
        <f t="shared" ref="AH14" si="81">IF(AND(AD12&lt;0,AH12&gt;0),"n/a",AH12/AD12-1)</f>
        <v>-0.6706586826347305</v>
      </c>
      <c r="AI14" s="22">
        <f t="shared" ref="AI14" si="82">IF(AND(AE12&lt;0,AI12&gt;0),"n/a",AI12/AE12-1)</f>
        <v>-0.93243243243243246</v>
      </c>
      <c r="AJ14" s="22">
        <f t="shared" ref="AJ14" si="83">IF(AND(AF12&lt;0,AJ12&gt;0),"n/a",AJ12/AF12-1)</f>
        <v>-0.24657534246575341</v>
      </c>
      <c r="AK14" s="22">
        <f t="shared" ref="AK14" si="84">IF(AND(AG12&lt;0,AK12&gt;0),"n/a",AK12/AG12-1)</f>
        <v>-0.419047619047619</v>
      </c>
      <c r="AL14" s="22">
        <f t="shared" ref="AL14" si="85">IF(AND(AH12&lt;0,AL12&gt;0),"n/a",AL12/AH12-1)</f>
        <v>7.2727272727272751E-2</v>
      </c>
      <c r="AM14" s="22">
        <f t="shared" ref="AM14" si="86">IF(AND(AI12&lt;0,AM12&gt;0),"n/a",AM12/AI12-1)</f>
        <v>5.5</v>
      </c>
      <c r="AN14" s="22">
        <f t="shared" ref="AN14" si="87">IF(AND(AJ12&lt;0,AN12&gt;0),"n/a",AN12/AJ12-1)</f>
        <v>0.29090909090909101</v>
      </c>
      <c r="AO14" s="22">
        <f t="shared" ref="AO14" si="88">IF(AND(AK12&lt;0,AO12&gt;0),"n/a",AO12/AK12-1)</f>
        <v>0.4098360655737705</v>
      </c>
      <c r="AP14" s="22">
        <f t="shared" ref="AP14" si="89">IF(AND(AL12&lt;0,AP12&gt;0),"n/a",AP12/AL12-1)</f>
        <v>0.76271186440677963</v>
      </c>
      <c r="AQ14" s="22">
        <f t="shared" ref="AQ14" si="90">IF(AND(AM12&lt;0,AQ12&gt;0),"n/a",AQ12/AM12-1)</f>
        <v>0.47692307692307701</v>
      </c>
      <c r="AR14" s="22">
        <f t="shared" ref="AR14" si="91">IF(AND(AN12&lt;0,AR12&gt;0),"n/a",AR12/AN12-1)</f>
        <v>0.6901408450704225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I14" s="112"/>
      <c r="CJ14" s="19"/>
      <c r="CK14" s="112"/>
      <c r="CL14" s="19"/>
      <c r="CM14" s="112"/>
      <c r="CN14" s="25" t="s">
        <v>82</v>
      </c>
      <c r="CO14" s="107">
        <f t="shared" ref="CO14:CR14" si="92">IF(AND(CN12&lt;0,CO12&gt;0),"n/a",CO12/CN12-1)</f>
        <v>0.61207897793263655</v>
      </c>
      <c r="CP14" s="22">
        <f t="shared" si="92"/>
        <v>-0.64481268011527382</v>
      </c>
      <c r="CQ14" s="107">
        <f t="shared" si="92"/>
        <v>-0.63286004056795131</v>
      </c>
      <c r="CR14" s="107">
        <f t="shared" si="92"/>
        <v>0.55248618784530379</v>
      </c>
      <c r="CS14" s="112"/>
      <c r="CT14" s="112"/>
      <c r="CU14" s="112"/>
      <c r="CV14" s="112"/>
      <c r="CW14" s="112"/>
      <c r="CX14" s="19"/>
      <c r="CY14" s="112"/>
      <c r="CZ14" s="112"/>
      <c r="DA14" s="112"/>
      <c r="DB14" s="112"/>
      <c r="DC14" s="112"/>
    </row>
    <row r="15" spans="1:113" hidden="1" outlineLevel="1" x14ac:dyDescent="0.2">
      <c r="CI15" s="92"/>
      <c r="CK15" s="92"/>
      <c r="CM15" s="92"/>
      <c r="CO15" s="92"/>
      <c r="CQ15" s="92"/>
      <c r="CR15" s="92"/>
      <c r="CS15" s="92"/>
      <c r="CT15" s="92"/>
      <c r="CU15" s="92"/>
      <c r="CV15" s="92"/>
      <c r="CW15" s="92"/>
      <c r="CY15" s="92"/>
      <c r="CZ15" s="92"/>
      <c r="DA15" s="92"/>
      <c r="DB15" s="92"/>
      <c r="DC15" s="92"/>
    </row>
    <row r="16" spans="1:113" hidden="1" outlineLevel="1" x14ac:dyDescent="0.2">
      <c r="A16" s="29" t="s">
        <v>246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7">
        <v>346</v>
      </c>
      <c r="V16" s="17">
        <v>-92</v>
      </c>
      <c r="W16" s="17">
        <v>-223</v>
      </c>
      <c r="X16" s="17">
        <v>228</v>
      </c>
      <c r="Y16" s="17">
        <v>-120</v>
      </c>
      <c r="Z16" s="17">
        <v>-112</v>
      </c>
      <c r="AA16" s="17">
        <v>213</v>
      </c>
      <c r="AB16" s="17">
        <v>204</v>
      </c>
      <c r="AC16" s="17">
        <v>314</v>
      </c>
      <c r="AD16" s="17">
        <v>68</v>
      </c>
      <c r="AE16" s="17">
        <v>155</v>
      </c>
      <c r="AF16" s="17">
        <v>98</v>
      </c>
      <c r="AG16" s="17">
        <v>-393</v>
      </c>
      <c r="AH16" s="17">
        <v>425</v>
      </c>
      <c r="AI16" s="17">
        <v>-168</v>
      </c>
      <c r="AJ16" s="17">
        <v>416</v>
      </c>
      <c r="AK16" s="17">
        <v>-171</v>
      </c>
      <c r="AL16" s="17">
        <v>-45</v>
      </c>
      <c r="AM16" s="17">
        <v>835</v>
      </c>
      <c r="AN16" s="17">
        <v>567</v>
      </c>
      <c r="AO16" s="17">
        <v>627</v>
      </c>
      <c r="AP16" s="17">
        <v>-238</v>
      </c>
      <c r="AQ16" s="17">
        <v>-459</v>
      </c>
      <c r="AR16" s="17">
        <v>179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I16" s="112"/>
      <c r="CJ16" s="19"/>
      <c r="CK16" s="112"/>
      <c r="CL16" s="19"/>
      <c r="CM16" s="112"/>
      <c r="CN16" s="20">
        <f>SUM(V16:Y16)</f>
        <v>-207</v>
      </c>
      <c r="CO16" s="89">
        <f>SUM(Z16:AC16)</f>
        <v>619</v>
      </c>
      <c r="CP16" s="20">
        <f>SUM(AD16:AG16)</f>
        <v>-72</v>
      </c>
      <c r="CQ16" s="89">
        <f>SUM(AH16:AK16)</f>
        <v>502</v>
      </c>
      <c r="CR16" s="89">
        <f>SUM(AL16:AO16)</f>
        <v>1984</v>
      </c>
      <c r="CS16" s="112"/>
      <c r="CT16" s="112"/>
      <c r="CU16" s="112"/>
      <c r="CV16" s="112"/>
      <c r="CW16" s="112"/>
      <c r="CX16" s="19"/>
      <c r="CY16" s="112"/>
      <c r="CZ16" s="112"/>
      <c r="DA16" s="112"/>
      <c r="DB16" s="112"/>
      <c r="DC16" s="112"/>
    </row>
    <row r="17" spans="1:108" hidden="1" outlineLevel="1" x14ac:dyDescent="0.2">
      <c r="A17" s="8" t="s">
        <v>247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2">
        <f>U16/U8</f>
        <v>-9.2143808255659126E-2</v>
      </c>
      <c r="V17" s="22">
        <f t="shared" ref="V17:AR17" si="93">V16/V8</f>
        <v>3.4353995519044063E-2</v>
      </c>
      <c r="W17" s="22">
        <f t="shared" si="93"/>
        <v>0.10835762876579202</v>
      </c>
      <c r="X17" s="22">
        <f t="shared" si="93"/>
        <v>-9.7435897435897437E-2</v>
      </c>
      <c r="Y17" s="22">
        <f t="shared" si="93"/>
        <v>6.7377877596855693E-2</v>
      </c>
      <c r="Z17" s="22">
        <f t="shared" si="93"/>
        <v>5.50098231827112E-2</v>
      </c>
      <c r="AA17" s="22">
        <f t="shared" si="93"/>
        <v>-0.10359922178988328</v>
      </c>
      <c r="AB17" s="22">
        <f t="shared" si="93"/>
        <v>-8.3812654067378797E-2</v>
      </c>
      <c r="AC17" s="22">
        <f t="shared" si="93"/>
        <v>-0.10872576177285319</v>
      </c>
      <c r="AD17" s="22">
        <f t="shared" si="93"/>
        <v>-2.8227480282274803E-2</v>
      </c>
      <c r="AE17" s="22">
        <f t="shared" si="93"/>
        <v>-5.4615926708949963E-2</v>
      </c>
      <c r="AF17" s="22">
        <f t="shared" si="93"/>
        <v>-2.7714932126696831E-2</v>
      </c>
      <c r="AG17" s="22">
        <f t="shared" si="93"/>
        <v>0.10317668679443423</v>
      </c>
      <c r="AH17" s="22">
        <f t="shared" si="93"/>
        <v>-5.5417916286347631E-2</v>
      </c>
      <c r="AI17" s="22">
        <f t="shared" si="93"/>
        <v>3.1704095112285335E-2</v>
      </c>
      <c r="AJ17" s="22">
        <f t="shared" si="93"/>
        <v>-7.3719652667021088E-2</v>
      </c>
      <c r="AK17" s="22">
        <f t="shared" si="93"/>
        <v>2.4967148488830485E-2</v>
      </c>
      <c r="AL17" s="22">
        <f t="shared" si="93"/>
        <v>9.9250110277900316E-3</v>
      </c>
      <c r="AM17" s="22">
        <f t="shared" si="93"/>
        <v>-0.121084686774942</v>
      </c>
      <c r="AN17" s="22">
        <f t="shared" si="93"/>
        <v>-7.844493635860543E-2</v>
      </c>
      <c r="AO17" s="22">
        <f t="shared" si="93"/>
        <v>-9.5100864553314124E-2</v>
      </c>
      <c r="AP17" s="22">
        <f t="shared" si="93"/>
        <v>4.2027194066749075E-2</v>
      </c>
      <c r="AQ17" s="22">
        <f t="shared" si="93"/>
        <v>9.4913151364764262E-2</v>
      </c>
      <c r="AR17" s="22">
        <f t="shared" si="93"/>
        <v>-3.2753888380603842E-2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I17" s="112"/>
      <c r="CJ17" s="19"/>
      <c r="CK17" s="112"/>
      <c r="CL17" s="19"/>
      <c r="CM17" s="112"/>
      <c r="CN17" s="22">
        <f t="shared" ref="CN17:CR17" si="94">CN16/CN$8</f>
        <v>2.3371344699108051E-2</v>
      </c>
      <c r="CO17" s="107">
        <f t="shared" si="94"/>
        <v>-6.5753133630762697E-2</v>
      </c>
      <c r="CP17" s="22">
        <f t="shared" si="94"/>
        <v>5.7179161372299869E-3</v>
      </c>
      <c r="CQ17" s="107">
        <f t="shared" si="94"/>
        <v>-1.97172034564022E-2</v>
      </c>
      <c r="CR17" s="107">
        <f t="shared" si="94"/>
        <v>-7.8571145697200112E-2</v>
      </c>
      <c r="CS17" s="112"/>
      <c r="CT17" s="112"/>
      <c r="CU17" s="112"/>
      <c r="CV17" s="112"/>
      <c r="CW17" s="112"/>
      <c r="CX17" s="19"/>
      <c r="CY17" s="112"/>
      <c r="CZ17" s="112"/>
      <c r="DA17" s="112"/>
      <c r="DB17" s="112"/>
      <c r="DC17" s="112"/>
    </row>
    <row r="18" spans="1:108" hidden="1" outlineLevel="1" x14ac:dyDescent="0.2">
      <c r="A18" s="8" t="s">
        <v>63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5" t="s">
        <v>82</v>
      </c>
      <c r="V18" s="25" t="s">
        <v>82</v>
      </c>
      <c r="W18" s="25" t="s">
        <v>82</v>
      </c>
      <c r="X18" s="25" t="s">
        <v>82</v>
      </c>
      <c r="Y18" s="22">
        <f t="shared" ref="Y18" si="95">IF(AND(U16&lt;0,Y16&gt;0),"n/a",Y16/U16-1)</f>
        <v>-1.346820809248555</v>
      </c>
      <c r="Z18" s="22">
        <f t="shared" ref="Z18" si="96">IF(AND(V16&lt;0,Z16&gt;0),"n/a",Z16/V16-1)</f>
        <v>0.21739130434782616</v>
      </c>
      <c r="AA18" s="22" t="str">
        <f t="shared" ref="AA18" si="97">IF(AND(W16&lt;0,AA16&gt;0),"n/a",AA16/W16-1)</f>
        <v>n/a</v>
      </c>
      <c r="AB18" s="22">
        <f t="shared" ref="AB18" si="98">IF(AND(X16&lt;0,AB16&gt;0),"n/a",AB16/X16-1)</f>
        <v>-0.10526315789473684</v>
      </c>
      <c r="AC18" s="22" t="str">
        <f t="shared" ref="AC18" si="99">IF(AND(Y16&lt;0,AC16&gt;0),"n/a",AC16/Y16-1)</f>
        <v>n/a</v>
      </c>
      <c r="AD18" s="22" t="str">
        <f t="shared" ref="AD18" si="100">IF(AND(Z16&lt;0,AD16&gt;0),"n/a",AD16/Z16-1)</f>
        <v>n/a</v>
      </c>
      <c r="AE18" s="22">
        <f t="shared" ref="AE18" si="101">IF(AND(AA16&lt;0,AE16&gt;0),"n/a",AE16/AA16-1)</f>
        <v>-0.27230046948356812</v>
      </c>
      <c r="AF18" s="22">
        <f t="shared" ref="AF18" si="102">IF(AND(AB16&lt;0,AF16&gt;0),"n/a",AF16/AB16-1)</f>
        <v>-0.51960784313725483</v>
      </c>
      <c r="AG18" s="22">
        <f t="shared" ref="AG18" si="103">IF(AND(AC16&lt;0,AG16&gt;0),"n/a",AG16/AC16-1)</f>
        <v>-2.2515923566878984</v>
      </c>
      <c r="AH18" s="22">
        <f t="shared" ref="AH18" si="104">IF(AND(AD16&lt;0,AH16&gt;0),"n/a",AH16/AD16-1)</f>
        <v>5.25</v>
      </c>
      <c r="AI18" s="22">
        <f t="shared" ref="AI18" si="105">IF(AND(AE16&lt;0,AI16&gt;0),"n/a",AI16/AE16-1)</f>
        <v>-2.0838709677419356</v>
      </c>
      <c r="AJ18" s="22">
        <f t="shared" ref="AJ18" si="106">IF(AND(AF16&lt;0,AJ16&gt;0),"n/a",AJ16/AF16-1)</f>
        <v>3.2448979591836737</v>
      </c>
      <c r="AK18" s="22">
        <f t="shared" ref="AK18" si="107">IF(AND(AG16&lt;0,AK16&gt;0),"n/a",AK16/AG16-1)</f>
        <v>-0.56488549618320616</v>
      </c>
      <c r="AL18" s="22">
        <f t="shared" ref="AL18" si="108">IF(AND(AH16&lt;0,AL16&gt;0),"n/a",AL16/AH16-1)</f>
        <v>-1.1058823529411765</v>
      </c>
      <c r="AM18" s="22" t="str">
        <f t="shared" ref="AM18" si="109">IF(AND(AI16&lt;0,AM16&gt;0),"n/a",AM16/AI16-1)</f>
        <v>n/a</v>
      </c>
      <c r="AN18" s="22">
        <f t="shared" ref="AN18" si="110">IF(AND(AJ16&lt;0,AN16&gt;0),"n/a",AN16/AJ16-1)</f>
        <v>0.36298076923076916</v>
      </c>
      <c r="AO18" s="22" t="str">
        <f t="shared" ref="AO18" si="111">IF(AND(AK16&lt;0,AO16&gt;0),"n/a",AO16/AK16-1)</f>
        <v>n/a</v>
      </c>
      <c r="AP18" s="22">
        <f t="shared" ref="AP18" si="112">IF(AND(AL16&lt;0,AP16&gt;0),"n/a",AP16/AL16-1)</f>
        <v>4.2888888888888888</v>
      </c>
      <c r="AQ18" s="22">
        <f t="shared" ref="AQ18" si="113">IF(AND(AM16&lt;0,AQ16&gt;0),"n/a",AQ16/AM16-1)</f>
        <v>-1.5497005988023953</v>
      </c>
      <c r="AR18" s="22">
        <f t="shared" ref="AR18" si="114">IF(AND(AN16&lt;0,AR16&gt;0),"n/a",AR16/AN16-1)</f>
        <v>-0.6843033509700176</v>
      </c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I18" s="112"/>
      <c r="CJ18" s="19"/>
      <c r="CK18" s="112"/>
      <c r="CL18" s="19"/>
      <c r="CM18" s="112"/>
      <c r="CN18" s="25" t="s">
        <v>82</v>
      </c>
      <c r="CO18" s="107" t="str">
        <f t="shared" ref="CO18:CR18" si="115">IF(AND(CN16&lt;0,CO16&gt;0),"n/a",CO16/CN16-1)</f>
        <v>n/a</v>
      </c>
      <c r="CP18" s="22">
        <f t="shared" si="115"/>
        <v>-1.1163166397415185</v>
      </c>
      <c r="CQ18" s="107" t="str">
        <f t="shared" si="115"/>
        <v>n/a</v>
      </c>
      <c r="CR18" s="107">
        <f t="shared" si="115"/>
        <v>2.952191235059761</v>
      </c>
      <c r="CS18" s="112"/>
      <c r="CT18" s="112"/>
      <c r="CU18" s="112"/>
      <c r="CV18" s="112"/>
      <c r="CW18" s="112"/>
      <c r="CX18" s="19"/>
      <c r="CY18" s="112"/>
      <c r="CZ18" s="112"/>
      <c r="DA18" s="112"/>
      <c r="DB18" s="112"/>
      <c r="DC18" s="112"/>
    </row>
    <row r="19" spans="1:108" collapsed="1" x14ac:dyDescent="0.2"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65"/>
      <c r="CH19" s="20"/>
      <c r="CI19" s="92"/>
      <c r="CK19" s="92"/>
      <c r="CM19" s="92"/>
      <c r="CO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</row>
    <row r="20" spans="1:108" x14ac:dyDescent="0.2">
      <c r="A20" s="1" t="s">
        <v>178</v>
      </c>
      <c r="B20" s="16">
        <f>'Cash Flow Statement'!B5</f>
        <v>264</v>
      </c>
      <c r="C20" s="16">
        <f>'Cash Flow Statement'!C5</f>
        <v>266</v>
      </c>
      <c r="D20" s="16">
        <f>'Cash Flow Statement'!D5</f>
        <v>257</v>
      </c>
      <c r="E20" s="16">
        <f>'Cash Flow Statement'!E5</f>
        <v>280</v>
      </c>
      <c r="F20" s="16">
        <f>'Cash Flow Statement'!F5</f>
        <v>301</v>
      </c>
      <c r="G20" s="16">
        <f>'Cash Flow Statement'!G5</f>
        <v>347</v>
      </c>
      <c r="H20" s="16">
        <f>'Cash Flow Statement'!H5</f>
        <v>363</v>
      </c>
      <c r="I20" s="16">
        <f>'Cash Flow Statement'!I5</f>
        <v>385</v>
      </c>
      <c r="J20" s="16">
        <f>'Cash Flow Statement'!J5</f>
        <v>378</v>
      </c>
      <c r="K20" s="16">
        <f>'Cash Flow Statement'!K5</f>
        <v>473</v>
      </c>
      <c r="L20" s="16">
        <f>'Cash Flow Statement'!L5</f>
        <v>507</v>
      </c>
      <c r="M20" s="16">
        <f>'Cash Flow Statement'!M5</f>
        <v>630</v>
      </c>
      <c r="N20" s="16">
        <f>'Cash Flow Statement'!N5</f>
        <v>584</v>
      </c>
      <c r="O20" s="16">
        <f>'Cash Flow Statement'!O5</f>
        <v>747</v>
      </c>
      <c r="P20" s="16">
        <f>'Cash Flow Statement'!P5</f>
        <v>693</v>
      </c>
      <c r="Q20" s="16">
        <f>'Cash Flow Statement'!Q5</f>
        <v>757</v>
      </c>
      <c r="R20" s="16">
        <f>'Cash Flow Statement'!R5</f>
        <v>816</v>
      </c>
      <c r="S20" s="16">
        <f>'Cash Flow Statement'!S5</f>
        <v>813</v>
      </c>
      <c r="T20" s="16">
        <f>'Cash Flow Statement'!T5</f>
        <v>884</v>
      </c>
      <c r="U20" s="16">
        <f>'Cash Flow Statement'!U5</f>
        <v>1010</v>
      </c>
      <c r="V20" s="16">
        <f>'Cash Flow Statement'!V5</f>
        <v>938</v>
      </c>
      <c r="W20" s="16">
        <f>'Cash Flow Statement'!W5</f>
        <v>1011</v>
      </c>
      <c r="X20" s="16">
        <f>'Cash Flow Statement'!X5</f>
        <v>1030</v>
      </c>
      <c r="Y20" s="16">
        <f>'Cash Flow Statement'!Y5</f>
        <v>1153</v>
      </c>
      <c r="Z20" s="16">
        <f>'Cash Flow Statement'!Z5</f>
        <v>1155</v>
      </c>
      <c r="AA20" s="16">
        <f>'Cash Flow Statement'!AA5</f>
        <v>1271</v>
      </c>
      <c r="AB20" s="16">
        <f>'Cash Flow Statement'!AB5</f>
        <v>1377</v>
      </c>
      <c r="AC20" s="16">
        <f>'Cash Flow Statement'!AC5</f>
        <v>1464</v>
      </c>
      <c r="AD20" s="16">
        <f>'Cash Flow Statement'!AD5</f>
        <v>1287</v>
      </c>
      <c r="AE20" s="16">
        <f>'Cash Flow Statement'!AE5</f>
        <v>1424</v>
      </c>
      <c r="AF20" s="16">
        <f>'Cash Flow Statement'!AF5</f>
        <v>1561</v>
      </c>
      <c r="AG20" s="16">
        <f>'Cash Flow Statement'!AG5</f>
        <v>1831</v>
      </c>
      <c r="AH20" s="16">
        <f>'Cash Flow Statement'!AH5</f>
        <v>1791</v>
      </c>
      <c r="AI20" s="16">
        <f>'Cash Flow Statement'!AI5</f>
        <v>1862</v>
      </c>
      <c r="AJ20" s="16">
        <f>'Cash Flow Statement'!AJ5</f>
        <v>2138</v>
      </c>
      <c r="AK20" s="16">
        <f>'Cash Flow Statement'!AK5</f>
        <v>2373</v>
      </c>
      <c r="AL20" s="16">
        <f>'Cash Flow Statement'!AL5</f>
        <v>2416</v>
      </c>
      <c r="AM20" s="16">
        <f>'Cash Flow Statement'!AM5</f>
        <v>2626</v>
      </c>
      <c r="AN20" s="16">
        <f>'Cash Flow Statement'!AN5</f>
        <v>2732</v>
      </c>
      <c r="AO20" s="16">
        <f>'Cash Flow Statement'!AO5</f>
        <v>3082</v>
      </c>
      <c r="AP20" s="16">
        <f>'Cash Flow Statement'!AP5</f>
        <v>2899</v>
      </c>
      <c r="AQ20" s="16">
        <f>'Cash Flow Statement'!AQ5</f>
        <v>3178</v>
      </c>
      <c r="AR20" s="16">
        <f>'Cash Flow Statement'!AR5</f>
        <v>3289</v>
      </c>
      <c r="AS20" s="16">
        <f>'Cash Flow Statement'!AS5</f>
        <v>3539</v>
      </c>
      <c r="AT20" s="16">
        <f>'Cash Flow Statement'!AT5</f>
        <v>2525</v>
      </c>
      <c r="AU20" s="16">
        <f>'Cash Flow Statement'!AU5</f>
        <v>2730</v>
      </c>
      <c r="AV20" s="16">
        <f>'Cash Flow Statement'!AV5</f>
        <v>3085</v>
      </c>
      <c r="AW20" s="16">
        <f>'Cash Flow Statement'!AW5</f>
        <v>3215</v>
      </c>
      <c r="AX20" s="16">
        <f>'Cash Flow Statement'!AX5</f>
        <v>3591</v>
      </c>
      <c r="AY20" s="16">
        <f>'Cash Flow Statement'!AY5</f>
        <v>3698</v>
      </c>
      <c r="AZ20" s="16">
        <f>'Cash Flow Statement'!AZ5</f>
        <v>3933</v>
      </c>
      <c r="BA20" s="16">
        <f>'Cash Flow Statement'!BA5</f>
        <v>4065</v>
      </c>
      <c r="BB20" s="16">
        <f>'Cash Flow Statement'!BB5</f>
        <v>3060</v>
      </c>
      <c r="BC20" s="16">
        <f>'Cash Flow Statement'!BC5</f>
        <v>3279</v>
      </c>
      <c r="BD20" s="16">
        <f>'Cash Flow Statement'!BD5</f>
        <v>3671</v>
      </c>
      <c r="BE20" s="16">
        <f>'Cash Flow Statement'!BE5</f>
        <v>3316</v>
      </c>
      <c r="BF20" s="16">
        <f>'Cash Flow Statement'!BF5</f>
        <v>3413</v>
      </c>
      <c r="BG20" s="16">
        <f>'Cash Flow Statement'!BG5</f>
        <v>3708</v>
      </c>
      <c r="BH20" s="16">
        <f>'Cash Flow Statement'!BH5</f>
        <v>3985</v>
      </c>
      <c r="BI20" s="16">
        <f>'Cash Flow Statement'!BI5</f>
        <v>4205</v>
      </c>
      <c r="BJ20" s="16">
        <f>'Cash Flow Statement'!BJ5</f>
        <v>4487</v>
      </c>
      <c r="BK20" s="16">
        <f>'Cash Flow Statement'!BK5</f>
        <v>4998</v>
      </c>
      <c r="BL20" s="16">
        <f>'Cash Flow Statement'!BL5</f>
        <v>5611</v>
      </c>
      <c r="BM20" s="16">
        <f t="shared" ref="BM20:BQ20" si="116">-BM4*BM21</f>
        <v>8328.0230604039243</v>
      </c>
      <c r="BN20" s="16">
        <f t="shared" si="116"/>
        <v>6782.02622393415</v>
      </c>
      <c r="BO20" s="16">
        <f t="shared" si="116"/>
        <v>8852.0881911046072</v>
      </c>
      <c r="BP20" s="16">
        <f t="shared" si="116"/>
        <v>9446.407753788144</v>
      </c>
      <c r="BQ20" s="16">
        <f t="shared" si="116"/>
        <v>11260.127507458734</v>
      </c>
      <c r="BR20" s="72">
        <f>-BR4*BR21</f>
        <v>9434.0322301929682</v>
      </c>
      <c r="BS20" s="72">
        <f t="shared" ref="BS20:BU20" si="117">-BS4*BS21</f>
        <v>12313.559774315949</v>
      </c>
      <c r="BT20" s="72">
        <f t="shared" si="117"/>
        <v>13140.278770123407</v>
      </c>
      <c r="BU20" s="72">
        <f t="shared" si="117"/>
        <v>15663.225460049405</v>
      </c>
      <c r="BV20" s="72">
        <f t="shared" ref="BV20:CC20" si="118">-BV4*BV21</f>
        <v>12265.70466465672</v>
      </c>
      <c r="BW20" s="72">
        <f t="shared" si="118"/>
        <v>16009.536948472682</v>
      </c>
      <c r="BX20" s="72">
        <f t="shared" si="118"/>
        <v>17084.399827442136</v>
      </c>
      <c r="BY20" s="72">
        <f t="shared" si="118"/>
        <v>20364.621712233449</v>
      </c>
      <c r="BZ20" s="72">
        <f t="shared" si="118"/>
        <v>15181.679414960714</v>
      </c>
      <c r="CA20" s="72">
        <f t="shared" si="118"/>
        <v>19815.547836727816</v>
      </c>
      <c r="CB20" s="72">
        <f t="shared" si="118"/>
        <v>21145.942142615229</v>
      </c>
      <c r="CC20" s="72">
        <f t="shared" si="118"/>
        <v>25205.984221431547</v>
      </c>
      <c r="CD20" s="72">
        <f t="shared" ref="CD20:CG20" si="119">-CD4*CD21</f>
        <v>17894.428075462671</v>
      </c>
      <c r="CE20" s="72">
        <f t="shared" si="119"/>
        <v>23356.302412155324</v>
      </c>
      <c r="CF20" s="72">
        <f t="shared" si="119"/>
        <v>24924.419124937922</v>
      </c>
      <c r="CG20" s="72">
        <f t="shared" si="119"/>
        <v>29709.932570251214</v>
      </c>
      <c r="CH20" s="72"/>
      <c r="CI20" s="89">
        <f>SUM(B20:E20)</f>
        <v>1067</v>
      </c>
      <c r="CJ20" s="20">
        <f>SUM(F20:I20)</f>
        <v>1396</v>
      </c>
      <c r="CK20" s="89">
        <f>SUM(J20:M20)</f>
        <v>1988</v>
      </c>
      <c r="CL20" s="20">
        <f>SUM(N20:Q20)</f>
        <v>2781</v>
      </c>
      <c r="CM20" s="89">
        <f>SUM(R20:U20)</f>
        <v>3523</v>
      </c>
      <c r="CN20" s="20">
        <f>SUM(V20:Y20)</f>
        <v>4132</v>
      </c>
      <c r="CO20" s="89">
        <f>SUM(Z20:AC20)</f>
        <v>5267</v>
      </c>
      <c r="CP20" s="20">
        <f>SUM(AD20:AG20)</f>
        <v>6103</v>
      </c>
      <c r="CQ20" s="89">
        <f>SUM(AH20:AK20)</f>
        <v>8164</v>
      </c>
      <c r="CR20" s="89">
        <f>SUM(AL20:AO20)</f>
        <v>10856</v>
      </c>
      <c r="CS20" s="89">
        <f>SUM(AP20:AS20)</f>
        <v>12905</v>
      </c>
      <c r="CT20" s="89">
        <f>SUM(AT20:AW20)</f>
        <v>11555</v>
      </c>
      <c r="CU20" s="89">
        <f>SUM(AX20:BA20)</f>
        <v>15287</v>
      </c>
      <c r="CV20" s="89">
        <f>SUM(BB20:BE20)</f>
        <v>13326</v>
      </c>
      <c r="CW20" s="89">
        <f>SUM(BF20:BI20)</f>
        <v>15311</v>
      </c>
      <c r="CX20" s="20">
        <f>SUM(BJ20:BM20)</f>
        <v>23424.023060403924</v>
      </c>
      <c r="CY20" s="89">
        <f>SUM(BN20:BQ20)</f>
        <v>36340.649676285633</v>
      </c>
      <c r="CZ20" s="89">
        <f>SUM(BR20:BU20)</f>
        <v>50551.096234681725</v>
      </c>
      <c r="DA20" s="89">
        <f>SUM(BV20:BY20)</f>
        <v>65724.263152804982</v>
      </c>
      <c r="DB20" s="89">
        <f>SUM(BZ20:CC20)</f>
        <v>81349.153615735297</v>
      </c>
      <c r="DC20" s="89">
        <f>SUM(CD20:CG20)</f>
        <v>95885.082182807135</v>
      </c>
    </row>
    <row r="21" spans="1:108" x14ac:dyDescent="0.2">
      <c r="A21" s="7" t="s">
        <v>249</v>
      </c>
      <c r="B21" s="22">
        <f>-1*(B20/B$4)</f>
        <v>1.104602510460251</v>
      </c>
      <c r="C21" s="22">
        <f t="shared" ref="C21:AT21" si="120">-1*(C20/C$4)</f>
        <v>0.55882352941176472</v>
      </c>
      <c r="D21" s="22">
        <f t="shared" si="120"/>
        <v>0.33905013192612138</v>
      </c>
      <c r="E21" s="22">
        <f t="shared" si="120"/>
        <v>0.1100196463654224</v>
      </c>
      <c r="F21" s="22">
        <f t="shared" si="120"/>
        <v>0.33820224719101122</v>
      </c>
      <c r="G21" s="22">
        <f t="shared" si="120"/>
        <v>0.37840785169029445</v>
      </c>
      <c r="H21" s="22">
        <f t="shared" si="120"/>
        <v>0.5338235294117647</v>
      </c>
      <c r="I21" s="22">
        <f t="shared" si="120"/>
        <v>0.40483701366982122</v>
      </c>
      <c r="J21" s="22">
        <f t="shared" si="120"/>
        <v>0.6227347611202636</v>
      </c>
      <c r="K21" s="22">
        <f t="shared" si="120"/>
        <v>0.61111111111111116</v>
      </c>
      <c r="L21" s="22">
        <f t="shared" si="120"/>
        <v>0.58142201834862384</v>
      </c>
      <c r="M21" s="22">
        <f t="shared" si="120"/>
        <v>0.61764705882352944</v>
      </c>
      <c r="N21" s="22">
        <f t="shared" si="120"/>
        <v>0.48545303408146301</v>
      </c>
      <c r="O21" s="22">
        <f t="shared" si="120"/>
        <v>0.46368715083798884</v>
      </c>
      <c r="P21" s="22">
        <f t="shared" si="120"/>
        <v>0.30275229357798167</v>
      </c>
      <c r="Q21" s="22">
        <f t="shared" si="120"/>
        <v>0.33569844789356984</v>
      </c>
      <c r="R21" s="22">
        <f t="shared" si="120"/>
        <v>0.34797441364605541</v>
      </c>
      <c r="S21" s="22">
        <f t="shared" si="120"/>
        <v>0.30725623582766443</v>
      </c>
      <c r="T21" s="22">
        <f t="shared" si="120"/>
        <v>0.36574265618535373</v>
      </c>
      <c r="U21" s="22">
        <f t="shared" si="120"/>
        <v>0.28442692199380454</v>
      </c>
      <c r="V21" s="22">
        <f t="shared" si="120"/>
        <v>0.32046463956269217</v>
      </c>
      <c r="W21" s="22">
        <f t="shared" si="120"/>
        <v>0.40198807157057653</v>
      </c>
      <c r="X21" s="22">
        <f t="shared" si="120"/>
        <v>0.43404972608512432</v>
      </c>
      <c r="Y21" s="22">
        <f t="shared" si="120"/>
        <v>0.54904761904761901</v>
      </c>
      <c r="Z21" s="22">
        <f t="shared" si="120"/>
        <v>0.47570016474464583</v>
      </c>
      <c r="AA21" s="22">
        <f t="shared" si="120"/>
        <v>0.59868111163447946</v>
      </c>
      <c r="AB21" s="22">
        <f t="shared" si="120"/>
        <v>0.53915426781519182</v>
      </c>
      <c r="AC21" s="22">
        <f t="shared" si="120"/>
        <v>0.47563352826510719</v>
      </c>
      <c r="AD21" s="22">
        <f t="shared" si="120"/>
        <v>0.51315789473684215</v>
      </c>
      <c r="AE21" s="22">
        <f t="shared" si="120"/>
        <v>0.50300247262451425</v>
      </c>
      <c r="AF21" s="22">
        <f t="shared" si="120"/>
        <v>0.44120972300734879</v>
      </c>
      <c r="AG21" s="22">
        <f t="shared" si="120"/>
        <v>0.425121894590202</v>
      </c>
      <c r="AH21" s="22">
        <f t="shared" si="120"/>
        <v>0.24537607891491986</v>
      </c>
      <c r="AI21" s="22">
        <f t="shared" si="120"/>
        <v>0.33996713529304362</v>
      </c>
      <c r="AJ21" s="22">
        <f t="shared" si="120"/>
        <v>0.40477092010602045</v>
      </c>
      <c r="AK21" s="22">
        <f t="shared" si="120"/>
        <v>0.33512215788730404</v>
      </c>
      <c r="AL21" s="22">
        <f t="shared" si="120"/>
        <v>0.52091418714963345</v>
      </c>
      <c r="AM21" s="22">
        <f t="shared" si="120"/>
        <v>0.42866470780280769</v>
      </c>
      <c r="AN21" s="22">
        <f t="shared" si="120"/>
        <v>0.40582293523469992</v>
      </c>
      <c r="AO21" s="22">
        <f t="shared" si="120"/>
        <v>0.50925313945803041</v>
      </c>
      <c r="AP21" s="22">
        <f t="shared" si="120"/>
        <v>0.48276436303080766</v>
      </c>
      <c r="AQ21" s="22">
        <f t="shared" si="120"/>
        <v>0.58950102021888329</v>
      </c>
      <c r="AR21" s="22">
        <f t="shared" si="120"/>
        <v>0.60839807621161668</v>
      </c>
      <c r="AS21" s="22">
        <f t="shared" si="120"/>
        <v>0.64592078846504841</v>
      </c>
      <c r="AT21" s="22">
        <f t="shared" si="120"/>
        <v>0.42494109727364526</v>
      </c>
      <c r="AU21" s="22">
        <f t="shared" ref="AU21:BB21" si="121">-1*(AU20/AU$4)</f>
        <v>0.49672489082969434</v>
      </c>
      <c r="AV21" s="22">
        <f t="shared" si="121"/>
        <v>0.45241237718140492</v>
      </c>
      <c r="AW21" s="22">
        <f t="shared" si="121"/>
        <v>0.50368165439448531</v>
      </c>
      <c r="AX21" s="22">
        <f t="shared" si="121"/>
        <v>0.36695278969957079</v>
      </c>
      <c r="AY21" s="22">
        <f t="shared" si="121"/>
        <v>0.54159343878148802</v>
      </c>
      <c r="AZ21" s="22">
        <f t="shared" si="121"/>
        <v>0.54054425508521164</v>
      </c>
      <c r="BA21" s="22">
        <f t="shared" si="121"/>
        <v>0.53522053982883477</v>
      </c>
      <c r="BB21" s="22">
        <f t="shared" si="121"/>
        <v>0.48656384162823979</v>
      </c>
      <c r="BC21" s="22">
        <f t="shared" ref="BC21:BD21" si="122">-1*(BC20/BC$4)</f>
        <v>0.47604529616724739</v>
      </c>
      <c r="BD21" s="22">
        <f t="shared" si="122"/>
        <v>0.45574177529484794</v>
      </c>
      <c r="BE21" s="22">
        <f t="shared" ref="BE21" si="123">-1*(BE20/BE$4)</f>
        <v>0.30093474906978857</v>
      </c>
      <c r="BF21" s="22">
        <f t="shared" ref="BF21" si="124">-1*(BF20/BF$4)</f>
        <v>0.28413253413253414</v>
      </c>
      <c r="BG21" s="22">
        <f t="shared" ref="BG21" si="125">-1*(BG20/BG$4)</f>
        <v>0.28120734111936901</v>
      </c>
      <c r="BH21" s="22">
        <f t="shared" ref="BH21" si="126">-1*(BH20/BH$4)</f>
        <v>0.30510680652323713</v>
      </c>
      <c r="BI21" s="22">
        <f t="shared" ref="BI21" si="127">-1*(BI20/BI$4)</f>
        <v>0.29455029420005602</v>
      </c>
      <c r="BJ21" s="22">
        <f t="shared" ref="BJ21:BK21" si="128">-1*(BJ20/BJ$4)</f>
        <v>0.26091760190730939</v>
      </c>
      <c r="BK21" s="22">
        <f t="shared" si="128"/>
        <v>0.22266773589949213</v>
      </c>
      <c r="BL21" s="22">
        <f t="shared" ref="BL21" si="129">-1*(BL20/BL$4)</f>
        <v>0.23425040704713396</v>
      </c>
      <c r="BM21" s="26">
        <v>0.29167914893541341</v>
      </c>
      <c r="BN21" s="26">
        <v>0.29876714860124254</v>
      </c>
      <c r="BO21" s="26">
        <v>0.29876714860124254</v>
      </c>
      <c r="BP21" s="26">
        <v>0.29876714860124254</v>
      </c>
      <c r="BQ21" s="26">
        <v>0.29876714860124254</v>
      </c>
      <c r="BR21" s="26">
        <v>0.36138730535824259</v>
      </c>
      <c r="BS21" s="26">
        <v>0.36138730535824259</v>
      </c>
      <c r="BT21" s="26">
        <v>0.36138730535824259</v>
      </c>
      <c r="BU21" s="26">
        <v>0.36138730535824259</v>
      </c>
      <c r="BV21" s="26">
        <v>0.42714502798552356</v>
      </c>
      <c r="BW21" s="26">
        <v>0.42714502798552356</v>
      </c>
      <c r="BX21" s="26">
        <v>0.42714502798552356</v>
      </c>
      <c r="BY21" s="26">
        <v>0.42714502798552356</v>
      </c>
      <c r="BZ21" s="26">
        <v>0.48952955021548733</v>
      </c>
      <c r="CA21" s="26">
        <v>0.48952955021548733</v>
      </c>
      <c r="CB21" s="26">
        <v>0.48952955021548733</v>
      </c>
      <c r="CC21" s="26">
        <v>0.48952955021548733</v>
      </c>
      <c r="CD21" s="26">
        <v>0.54434100866612745</v>
      </c>
      <c r="CE21" s="26">
        <v>0.54434100866612745</v>
      </c>
      <c r="CF21" s="26">
        <v>0.54434100866612745</v>
      </c>
      <c r="CG21" s="26">
        <v>0.54434100866612745</v>
      </c>
      <c r="CH21" s="26"/>
      <c r="CI21" s="107">
        <f>-1*(CI20/CI$4)</f>
        <v>0.26555500248880037</v>
      </c>
      <c r="CJ21" s="22">
        <f t="shared" ref="CJ21:CY21" si="130">-1*(CJ20/CJ$4)</f>
        <v>0.40605002908667831</v>
      </c>
      <c r="CK21" s="107">
        <f t="shared" si="130"/>
        <v>0.60739382829208677</v>
      </c>
      <c r="CL21" s="22">
        <f t="shared" si="130"/>
        <v>0.37795596629518891</v>
      </c>
      <c r="CM21" s="107">
        <f t="shared" si="130"/>
        <v>0.32147093712930014</v>
      </c>
      <c r="CN21" s="22">
        <f t="shared" si="130"/>
        <v>0.41674230963187092</v>
      </c>
      <c r="CO21" s="107">
        <f t="shared" si="130"/>
        <v>0.51723460669743693</v>
      </c>
      <c r="CP21" s="22">
        <f t="shared" si="130"/>
        <v>0.4629095873786408</v>
      </c>
      <c r="CQ21" s="107">
        <f t="shared" si="130"/>
        <v>0.3247543657265603</v>
      </c>
      <c r="CR21" s="107">
        <f t="shared" si="130"/>
        <v>0.46101579751995925</v>
      </c>
      <c r="CS21" s="107">
        <f t="shared" si="130"/>
        <v>0.57919303442394865</v>
      </c>
      <c r="CT21" s="107">
        <f>-1*(CT20/CT$4)</f>
        <v>0.46895292207792205</v>
      </c>
      <c r="CU21" s="107">
        <f t="shared" si="130"/>
        <v>0.48553279339367955</v>
      </c>
      <c r="CV21" s="107">
        <f t="shared" si="130"/>
        <v>0.41319649003131687</v>
      </c>
      <c r="CW21" s="107">
        <f t="shared" si="130"/>
        <v>0.29144379937184733</v>
      </c>
      <c r="CX21" s="22">
        <f t="shared" si="130"/>
        <v>0.25420001584846036</v>
      </c>
      <c r="CY21" s="107">
        <f t="shared" si="130"/>
        <v>0.29876714860124254</v>
      </c>
      <c r="CZ21" s="107">
        <f>-1*(CZ20/CZ$4)</f>
        <v>0.36138730535824259</v>
      </c>
      <c r="DA21" s="107">
        <f>-1*(DA20/DA$4)</f>
        <v>0.42714502798552356</v>
      </c>
      <c r="DB21" s="107">
        <f>-1*(DB20/DB$4)</f>
        <v>0.48952955021548722</v>
      </c>
      <c r="DC21" s="107">
        <f>-1*(DC20/DC$4)</f>
        <v>0.54434100866612756</v>
      </c>
    </row>
    <row r="22" spans="1:108" x14ac:dyDescent="0.2">
      <c r="A22" s="7" t="s">
        <v>248</v>
      </c>
      <c r="B22" s="22">
        <f>B20/B27</f>
        <v>5.448916408668731E-2</v>
      </c>
      <c r="C22" s="22">
        <f t="shared" ref="C22:AU22" si="131">C20/C27</f>
        <v>5.5730148753404568E-2</v>
      </c>
      <c r="D22" s="22">
        <f t="shared" si="131"/>
        <v>5.223577235772358E-2</v>
      </c>
      <c r="E22" s="22">
        <f t="shared" si="131"/>
        <v>5.0853614239011989E-2</v>
      </c>
      <c r="F22" s="22">
        <f t="shared" si="131"/>
        <v>3.8793658976672252E-2</v>
      </c>
      <c r="G22" s="22">
        <f t="shared" si="131"/>
        <v>4.2065704933931386E-2</v>
      </c>
      <c r="H22" s="22">
        <f t="shared" si="131"/>
        <v>4.0319893368877043E-2</v>
      </c>
      <c r="I22" s="22">
        <f t="shared" si="131"/>
        <v>4.1829639287266407E-2</v>
      </c>
      <c r="J22" s="22">
        <f t="shared" si="131"/>
        <v>3.9362699156513588E-2</v>
      </c>
      <c r="K22" s="22">
        <f t="shared" si="131"/>
        <v>4.7898734177215192E-2</v>
      </c>
      <c r="L22" s="22">
        <f t="shared" si="131"/>
        <v>4.6475387294894123E-2</v>
      </c>
      <c r="M22" s="22">
        <f t="shared" si="131"/>
        <v>5.5258310674502237E-2</v>
      </c>
      <c r="N22" s="22">
        <f t="shared" si="131"/>
        <v>4.9266070524717397E-2</v>
      </c>
      <c r="O22" s="22">
        <f t="shared" si="131"/>
        <v>6.0731707317073169E-2</v>
      </c>
      <c r="P22" s="22">
        <f t="shared" si="131"/>
        <v>5.3671003717472118E-2</v>
      </c>
      <c r="Q22" s="22">
        <f t="shared" si="131"/>
        <v>5.0918140848859893E-2</v>
      </c>
      <c r="R22" s="22">
        <f t="shared" si="131"/>
        <v>4.9382716049382713E-2</v>
      </c>
      <c r="S22" s="22">
        <f t="shared" si="131"/>
        <v>4.5477429098842087E-2</v>
      </c>
      <c r="T22" s="22">
        <f t="shared" si="131"/>
        <v>4.5365903725751819E-2</v>
      </c>
      <c r="U22" s="22">
        <f t="shared" si="131"/>
        <v>4.8138792240598638E-2</v>
      </c>
      <c r="V22" s="22">
        <f t="shared" si="131"/>
        <v>3.9274797973453922E-2</v>
      </c>
      <c r="W22" s="22">
        <f t="shared" si="131"/>
        <v>3.9728072933039926E-2</v>
      </c>
      <c r="X22" s="22">
        <f t="shared" si="131"/>
        <v>3.8136848341232231E-2</v>
      </c>
      <c r="Y22" s="22">
        <f t="shared" si="131"/>
        <v>4.0687416190274543E-2</v>
      </c>
      <c r="Z22" s="22">
        <f t="shared" si="131"/>
        <v>3.9805624483043839E-2</v>
      </c>
      <c r="AA22" s="22">
        <f t="shared" si="131"/>
        <v>4.2139115443272993E-2</v>
      </c>
      <c r="AB22" s="22">
        <f t="shared" si="131"/>
        <v>4.3835354789418392E-2</v>
      </c>
      <c r="AC22" s="22">
        <f t="shared" si="131"/>
        <v>4.469819558513724E-2</v>
      </c>
      <c r="AD22" s="22">
        <f t="shared" si="131"/>
        <v>3.7594204591926153E-2</v>
      </c>
      <c r="AE22" s="22">
        <f t="shared" si="131"/>
        <v>3.9626001780943901E-2</v>
      </c>
      <c r="AF22" s="22">
        <f t="shared" si="131"/>
        <v>4.1432211487419046E-2</v>
      </c>
      <c r="AG22" s="22">
        <f t="shared" si="131"/>
        <v>4.5638085742771686E-2</v>
      </c>
      <c r="AH22" s="22">
        <f t="shared" si="131"/>
        <v>4.2257508906873041E-2</v>
      </c>
      <c r="AI22" s="22">
        <f t="shared" si="131"/>
        <v>3.8120585525642341E-2</v>
      </c>
      <c r="AJ22" s="22">
        <f t="shared" si="131"/>
        <v>4.1376374051710789E-2</v>
      </c>
      <c r="AK22" s="22">
        <f t="shared" si="131"/>
        <v>4.2911392405063288E-2</v>
      </c>
      <c r="AL22" s="22">
        <f t="shared" si="131"/>
        <v>4.0456136238048189E-2</v>
      </c>
      <c r="AM22" s="22">
        <f t="shared" si="131"/>
        <v>4.3384879725085909E-2</v>
      </c>
      <c r="AN22" s="22">
        <f t="shared" si="131"/>
        <v>4.2101369989674994E-2</v>
      </c>
      <c r="AO22" s="22">
        <f t="shared" si="131"/>
        <v>4.4504129844625429E-2</v>
      </c>
      <c r="AP22" s="22">
        <f t="shared" si="131"/>
        <v>3.9363984466230344E-2</v>
      </c>
      <c r="AQ22" s="22">
        <f t="shared" si="131"/>
        <v>4.1408784708197061E-2</v>
      </c>
      <c r="AR22" s="22">
        <f t="shared" si="131"/>
        <v>4.1766140092446793E-2</v>
      </c>
      <c r="AS22" s="22">
        <f t="shared" si="131"/>
        <v>4.3350972610122988E-2</v>
      </c>
      <c r="AT22" s="22">
        <f t="shared" si="131"/>
        <v>2.9793861874476395E-2</v>
      </c>
      <c r="AU22" s="22">
        <f t="shared" si="131"/>
        <v>3.116224916101637E-2</v>
      </c>
      <c r="AV22" s="22">
        <f>AV20/AV27</f>
        <v>3.3643412543485608E-2</v>
      </c>
      <c r="AW22" s="22">
        <f t="shared" ref="AW22:BQ22" si="132">AW20/AW27</f>
        <v>3.397406769451871E-2</v>
      </c>
      <c r="AX22" s="22">
        <f t="shared" si="132"/>
        <v>3.6793409768542708E-2</v>
      </c>
      <c r="AY22" s="22">
        <f t="shared" si="132"/>
        <v>3.5483313822948052E-2</v>
      </c>
      <c r="AZ22" s="22">
        <f t="shared" si="132"/>
        <v>3.7025879517618591E-2</v>
      </c>
      <c r="BA22" s="22">
        <f t="shared" si="132"/>
        <v>3.7512804185930622E-2</v>
      </c>
      <c r="BB22" s="22">
        <f t="shared" si="132"/>
        <v>2.7159441900095858E-2</v>
      </c>
      <c r="BC22" s="22">
        <f t="shared" ref="BC22:BD22" si="133">BC20/BC27</f>
        <v>2.7892140183735963E-2</v>
      </c>
      <c r="BD22" s="22">
        <f t="shared" si="133"/>
        <v>3.0286779750511517E-2</v>
      </c>
      <c r="BE22" s="22">
        <f t="shared" ref="BE22" si="134">BE20/BE27</f>
        <v>2.6379221192474444E-2</v>
      </c>
      <c r="BF22" s="22">
        <f t="shared" ref="BF22" si="135">BF20/BF27</f>
        <v>2.540474152368901E-2</v>
      </c>
      <c r="BG22" s="22">
        <f t="shared" ref="BG22" si="136">BG20/BG27</f>
        <v>2.5897109971923845E-2</v>
      </c>
      <c r="BH22" s="22">
        <f t="shared" ref="BH22" si="137">BH20/BH27</f>
        <v>2.636366643511627E-2</v>
      </c>
      <c r="BI22" s="22">
        <f t="shared" ref="BI22" si="138">BI20/BI27</f>
        <v>2.6074285359955353E-2</v>
      </c>
      <c r="BJ22" s="22">
        <f t="shared" ref="BJ22:BK22" si="139">BJ20/BJ27</f>
        <v>2.6234243083327488E-2</v>
      </c>
      <c r="BK22" s="22">
        <f t="shared" si="139"/>
        <v>2.7007165166268603E-2</v>
      </c>
      <c r="BL22" s="22">
        <f t="shared" ref="BL22" si="140">BL20/BL27</f>
        <v>2.7608976976937573E-2</v>
      </c>
      <c r="BM22" s="22">
        <f t="shared" si="132"/>
        <v>3.7214060961556855E-2</v>
      </c>
      <c r="BN22" s="22">
        <f t="shared" si="132"/>
        <v>2.7793939063704552E-2</v>
      </c>
      <c r="BO22" s="22">
        <f t="shared" si="132"/>
        <v>3.4055794110276705E-2</v>
      </c>
      <c r="BP22" s="22">
        <f t="shared" si="132"/>
        <v>3.3652363885093656E-2</v>
      </c>
      <c r="BQ22" s="22">
        <f t="shared" si="132"/>
        <v>3.7177207282063751E-2</v>
      </c>
      <c r="BR22" s="28">
        <f>BR20/BR27</f>
        <v>2.8648251746255401E-2</v>
      </c>
      <c r="BS22" s="28">
        <f t="shared" ref="BS22:BU22" si="141">BS20/BS27</f>
        <v>3.5590719656978506E-2</v>
      </c>
      <c r="BT22" s="28">
        <f t="shared" si="141"/>
        <v>3.5732897301368471E-2</v>
      </c>
      <c r="BU22" s="28">
        <f t="shared" si="141"/>
        <v>4.0063852826750693E-2</v>
      </c>
      <c r="BV22" s="28">
        <f t="shared" ref="BV22:CC22" si="142">BV20/BV27</f>
        <v>2.9299263541045829E-2</v>
      </c>
      <c r="BW22" s="28">
        <f t="shared" si="142"/>
        <v>3.6796334586043165E-2</v>
      </c>
      <c r="BX22" s="28">
        <f t="shared" si="142"/>
        <v>3.7420171377583869E-2</v>
      </c>
      <c r="BY22" s="28">
        <f t="shared" si="142"/>
        <v>4.2473350894020608E-2</v>
      </c>
      <c r="BZ22" s="28">
        <f t="shared" si="142"/>
        <v>2.9957156428405442E-2</v>
      </c>
      <c r="CA22" s="28">
        <f t="shared" si="142"/>
        <v>3.7916450281021516E-2</v>
      </c>
      <c r="CB22" s="28">
        <f t="shared" si="142"/>
        <v>3.8923159061012638E-2</v>
      </c>
      <c r="CC22" s="28">
        <f t="shared" si="142"/>
        <v>4.4586748793656678E-2</v>
      </c>
      <c r="CD22" s="28">
        <f t="shared" ref="CD22:CG22" si="143">CD20/CD27</f>
        <v>3.024706216560611E-2</v>
      </c>
      <c r="CE22" s="28">
        <f t="shared" si="143"/>
        <v>3.8504396790458216E-2</v>
      </c>
      <c r="CF22" s="28">
        <f t="shared" si="143"/>
        <v>3.9806520062423995E-2</v>
      </c>
      <c r="CG22" s="28">
        <f t="shared" si="143"/>
        <v>4.5919316371830173E-2</v>
      </c>
      <c r="CH22" s="28"/>
      <c r="CI22" s="107">
        <f>CI20/CI27</f>
        <v>0.22022703818369452</v>
      </c>
      <c r="CJ22" s="22">
        <f t="shared" ref="CJ22:CY22" si="144">CJ20/CJ27</f>
        <v>0.17992009279546334</v>
      </c>
      <c r="CK22" s="107">
        <f t="shared" si="144"/>
        <v>0.20701864000833073</v>
      </c>
      <c r="CL22" s="22">
        <f t="shared" si="144"/>
        <v>0.2346043529610258</v>
      </c>
      <c r="CM22" s="107">
        <f t="shared" si="144"/>
        <v>0.21320503510045993</v>
      </c>
      <c r="CN22" s="22">
        <f t="shared" si="144"/>
        <v>0.17301009085960725</v>
      </c>
      <c r="CO22" s="107">
        <f t="shared" si="144"/>
        <v>0.18152054039150814</v>
      </c>
      <c r="CP22" s="22">
        <f t="shared" si="144"/>
        <v>0.17827306186831804</v>
      </c>
      <c r="CQ22" s="107">
        <f t="shared" si="144"/>
        <v>0.19262440129297123</v>
      </c>
      <c r="CR22" s="107">
        <f t="shared" si="144"/>
        <v>0.18178469163917682</v>
      </c>
      <c r="CS22" s="107">
        <f t="shared" si="144"/>
        <v>0.17523015506612716</v>
      </c>
      <c r="CT22" s="107">
        <f t="shared" si="144"/>
        <v>0.13634379166715832</v>
      </c>
      <c r="CU22" s="107">
        <f t="shared" si="144"/>
        <v>0.15663070318343425</v>
      </c>
      <c r="CV22" s="107">
        <f t="shared" si="144"/>
        <v>0.1182767067845351</v>
      </c>
      <c r="CW22" s="107">
        <f t="shared" si="144"/>
        <v>0.11396776954855037</v>
      </c>
      <c r="CX22" s="22">
        <f t="shared" si="144"/>
        <v>0.13695375862627707</v>
      </c>
      <c r="CY22" s="107">
        <f t="shared" si="144"/>
        <v>0.14893038883771861</v>
      </c>
      <c r="CZ22" s="107">
        <f>CZ20/CZ27</f>
        <v>0.15350811780624196</v>
      </c>
      <c r="DA22" s="107">
        <f>DA20/DA27</f>
        <v>0.15699648408328726</v>
      </c>
      <c r="DB22" s="107">
        <f>DB20/DB27</f>
        <v>0.16052172184478133</v>
      </c>
      <c r="DC22" s="107">
        <f>DC20/DC27</f>
        <v>0.16207514592290934</v>
      </c>
    </row>
    <row r="23" spans="1:108" x14ac:dyDescent="0.2">
      <c r="A23" s="14" t="s">
        <v>63</v>
      </c>
      <c r="B23" s="25" t="s">
        <v>82</v>
      </c>
      <c r="C23" s="25" t="s">
        <v>82</v>
      </c>
      <c r="D23" s="25" t="s">
        <v>82</v>
      </c>
      <c r="E23" s="25" t="s">
        <v>82</v>
      </c>
      <c r="F23" s="22">
        <f>IF(AND(B20&lt;0,F20&gt;0),"n/a",F20/B20-1)</f>
        <v>0.14015151515151514</v>
      </c>
      <c r="G23" s="22">
        <f t="shared" ref="G23:BR23" si="145">IF(AND(C20&lt;0,G20&gt;0),"n/a",G20/C20-1)</f>
        <v>0.30451127819548862</v>
      </c>
      <c r="H23" s="22">
        <f t="shared" si="145"/>
        <v>0.41245136186770437</v>
      </c>
      <c r="I23" s="22">
        <f t="shared" si="145"/>
        <v>0.375</v>
      </c>
      <c r="J23" s="22">
        <f t="shared" si="145"/>
        <v>0.2558139534883721</v>
      </c>
      <c r="K23" s="22">
        <f t="shared" si="145"/>
        <v>0.36311239193083567</v>
      </c>
      <c r="L23" s="22">
        <f t="shared" si="145"/>
        <v>0.39669421487603307</v>
      </c>
      <c r="M23" s="22">
        <f t="shared" si="145"/>
        <v>0.63636363636363646</v>
      </c>
      <c r="N23" s="22">
        <f t="shared" si="145"/>
        <v>0.54497354497354489</v>
      </c>
      <c r="O23" s="22">
        <f t="shared" si="145"/>
        <v>0.57928118393234662</v>
      </c>
      <c r="P23" s="22">
        <f t="shared" si="145"/>
        <v>0.36686390532544388</v>
      </c>
      <c r="Q23" s="22">
        <f t="shared" si="145"/>
        <v>0.20158730158730154</v>
      </c>
      <c r="R23" s="22">
        <f t="shared" si="145"/>
        <v>0.39726027397260277</v>
      </c>
      <c r="S23" s="22">
        <f t="shared" si="145"/>
        <v>8.8353413654618462E-2</v>
      </c>
      <c r="T23" s="22">
        <f t="shared" si="145"/>
        <v>0.27561327561327564</v>
      </c>
      <c r="U23" s="22">
        <f t="shared" si="145"/>
        <v>0.33421400264200796</v>
      </c>
      <c r="V23" s="22">
        <f t="shared" si="145"/>
        <v>0.14950980392156854</v>
      </c>
      <c r="W23" s="22">
        <f t="shared" si="145"/>
        <v>0.24354243542435428</v>
      </c>
      <c r="X23" s="22">
        <f t="shared" si="145"/>
        <v>0.16515837104072406</v>
      </c>
      <c r="Y23" s="22">
        <f t="shared" si="145"/>
        <v>0.14158415841584149</v>
      </c>
      <c r="Z23" s="22">
        <f t="shared" si="145"/>
        <v>0.23134328358208944</v>
      </c>
      <c r="AA23" s="22">
        <f t="shared" si="145"/>
        <v>0.25717111770524226</v>
      </c>
      <c r="AB23" s="22">
        <f t="shared" si="145"/>
        <v>0.33689320388349508</v>
      </c>
      <c r="AC23" s="22">
        <f t="shared" si="145"/>
        <v>0.26973113616652222</v>
      </c>
      <c r="AD23" s="22">
        <f t="shared" si="145"/>
        <v>0.11428571428571432</v>
      </c>
      <c r="AE23" s="22">
        <f t="shared" si="145"/>
        <v>0.12037765538945711</v>
      </c>
      <c r="AF23" s="22">
        <f t="shared" si="145"/>
        <v>0.13362381989832972</v>
      </c>
      <c r="AG23" s="22">
        <f t="shared" si="145"/>
        <v>0.25068306010928953</v>
      </c>
      <c r="AH23" s="22">
        <f t="shared" si="145"/>
        <v>0.39160839160839167</v>
      </c>
      <c r="AI23" s="22">
        <f t="shared" si="145"/>
        <v>0.30758426966292141</v>
      </c>
      <c r="AJ23" s="22">
        <f t="shared" si="145"/>
        <v>0.36963484945547731</v>
      </c>
      <c r="AK23" s="22">
        <f t="shared" si="145"/>
        <v>0.29601310759148003</v>
      </c>
      <c r="AL23" s="22">
        <f t="shared" si="145"/>
        <v>0.34896705750977097</v>
      </c>
      <c r="AM23" s="22">
        <f t="shared" si="145"/>
        <v>0.41031149301825987</v>
      </c>
      <c r="AN23" s="22">
        <f t="shared" si="145"/>
        <v>0.27782974742750244</v>
      </c>
      <c r="AO23" s="22">
        <f t="shared" si="145"/>
        <v>0.29877791824694477</v>
      </c>
      <c r="AP23" s="22">
        <f t="shared" si="145"/>
        <v>0.19991721854304645</v>
      </c>
      <c r="AQ23" s="22">
        <f t="shared" si="145"/>
        <v>0.21020563594821029</v>
      </c>
      <c r="AR23" s="22">
        <f t="shared" si="145"/>
        <v>0.20387994143484622</v>
      </c>
      <c r="AS23" s="22">
        <f t="shared" si="145"/>
        <v>0.14828033744321867</v>
      </c>
      <c r="AT23" s="22">
        <f t="shared" si="145"/>
        <v>-0.12901000344946534</v>
      </c>
      <c r="AU23" s="22">
        <f t="shared" si="145"/>
        <v>-0.1409691629955947</v>
      </c>
      <c r="AV23" s="22">
        <f t="shared" si="145"/>
        <v>-6.2024931590148991E-2</v>
      </c>
      <c r="AW23" s="22">
        <f t="shared" si="145"/>
        <v>-9.1551285673919236E-2</v>
      </c>
      <c r="AX23" s="22">
        <f t="shared" si="145"/>
        <v>0.42217821782178211</v>
      </c>
      <c r="AY23" s="22">
        <f t="shared" si="145"/>
        <v>0.35457875457875465</v>
      </c>
      <c r="AZ23" s="22">
        <f t="shared" si="145"/>
        <v>0.27487844408427886</v>
      </c>
      <c r="BA23" s="22">
        <f t="shared" si="145"/>
        <v>0.26438569206842932</v>
      </c>
      <c r="BB23" s="22">
        <f t="shared" si="145"/>
        <v>-0.14786967418546371</v>
      </c>
      <c r="BC23" s="22">
        <f t="shared" si="145"/>
        <v>-0.11330448891292588</v>
      </c>
      <c r="BD23" s="22">
        <f t="shared" si="145"/>
        <v>-6.6615814899567805E-2</v>
      </c>
      <c r="BE23" s="22">
        <f t="shared" si="145"/>
        <v>-0.18425584255842553</v>
      </c>
      <c r="BF23" s="22">
        <f t="shared" si="145"/>
        <v>0.11535947712418304</v>
      </c>
      <c r="BG23" s="22">
        <f t="shared" si="145"/>
        <v>0.13083257090576406</v>
      </c>
      <c r="BH23" s="22">
        <f t="shared" si="145"/>
        <v>8.5535276491419232E-2</v>
      </c>
      <c r="BI23" s="22">
        <f t="shared" si="145"/>
        <v>0.26809408926417366</v>
      </c>
      <c r="BJ23" s="22">
        <f t="shared" si="145"/>
        <v>0.31467916788748895</v>
      </c>
      <c r="BK23" s="22">
        <f t="shared" si="145"/>
        <v>0.34789644012944976</v>
      </c>
      <c r="BL23" s="22">
        <f t="shared" si="145"/>
        <v>0.40803011292346292</v>
      </c>
      <c r="BM23" s="28">
        <f t="shared" si="145"/>
        <v>0.9805048895134183</v>
      </c>
      <c r="BN23" s="28">
        <f t="shared" si="145"/>
        <v>0.51148344638603738</v>
      </c>
      <c r="BO23" s="28">
        <f t="shared" si="145"/>
        <v>0.77112608865638399</v>
      </c>
      <c r="BP23" s="22">
        <f t="shared" si="145"/>
        <v>0.68355155120088118</v>
      </c>
      <c r="BQ23" s="22">
        <f t="shared" si="145"/>
        <v>0.35207688857103103</v>
      </c>
      <c r="BR23" s="22">
        <f t="shared" si="145"/>
        <v>0.3910344664990737</v>
      </c>
      <c r="BS23" s="22">
        <f t="shared" ref="BS23:CG23" si="146">IF(AND(BO20&lt;0,BS20&gt;0),"n/a",BS20/BO20-1)</f>
        <v>0.39103446649907392</v>
      </c>
      <c r="BT23" s="22">
        <f t="shared" si="146"/>
        <v>0.39103446649907392</v>
      </c>
      <c r="BU23" s="22">
        <f t="shared" si="146"/>
        <v>0.3910344664990737</v>
      </c>
      <c r="BV23" s="22">
        <f t="shared" si="146"/>
        <v>0.30015505198309356</v>
      </c>
      <c r="BW23" s="22">
        <f t="shared" si="146"/>
        <v>0.30015505198309356</v>
      </c>
      <c r="BX23" s="22">
        <f t="shared" si="146"/>
        <v>0.30015505198309334</v>
      </c>
      <c r="BY23" s="22">
        <f t="shared" si="146"/>
        <v>0.30015505198309356</v>
      </c>
      <c r="BZ23" s="22">
        <f t="shared" si="146"/>
        <v>0.23773397697290832</v>
      </c>
      <c r="CA23" s="22">
        <f t="shared" si="146"/>
        <v>0.23773397697290855</v>
      </c>
      <c r="CB23" s="22">
        <f t="shared" si="146"/>
        <v>0.23773397697290877</v>
      </c>
      <c r="CC23" s="22">
        <f t="shared" si="146"/>
        <v>0.23773397697290832</v>
      </c>
      <c r="CD23" s="22">
        <f t="shared" si="146"/>
        <v>0.17868567675251334</v>
      </c>
      <c r="CE23" s="22">
        <f t="shared" si="146"/>
        <v>0.17868567675251312</v>
      </c>
      <c r="CF23" s="22">
        <f t="shared" si="146"/>
        <v>0.17868567675251334</v>
      </c>
      <c r="CG23" s="22">
        <f t="shared" si="146"/>
        <v>0.17868567675251334</v>
      </c>
      <c r="CH23" s="28"/>
      <c r="CI23" s="124" t="s">
        <v>82</v>
      </c>
      <c r="CJ23" s="22">
        <f>IF(AND(CI20&lt;0,CJ20&gt;0),"n/a",CJ20/CI20-1)</f>
        <v>0.3083411433926897</v>
      </c>
      <c r="CK23" s="107">
        <f t="shared" ref="CK23:DC23" si="147">IF(AND(CJ20&lt;0,CK20&gt;0),"n/a",CK20/CJ20-1)</f>
        <v>0.4240687679083095</v>
      </c>
      <c r="CL23" s="22">
        <f t="shared" si="147"/>
        <v>0.39889336016096588</v>
      </c>
      <c r="CM23" s="107">
        <f t="shared" si="147"/>
        <v>0.26681049982020855</v>
      </c>
      <c r="CN23" s="22">
        <f t="shared" si="147"/>
        <v>0.172864036332671</v>
      </c>
      <c r="CO23" s="107">
        <f t="shared" si="147"/>
        <v>0.27468538238141327</v>
      </c>
      <c r="CP23" s="22">
        <f t="shared" si="147"/>
        <v>0.1587241313840897</v>
      </c>
      <c r="CQ23" s="107">
        <f t="shared" si="147"/>
        <v>0.33770276912993613</v>
      </c>
      <c r="CR23" s="107">
        <f t="shared" si="147"/>
        <v>0.32974032337089665</v>
      </c>
      <c r="CS23" s="107">
        <f t="shared" si="147"/>
        <v>0.1887435519528371</v>
      </c>
      <c r="CT23" s="107">
        <f t="shared" si="147"/>
        <v>-0.10461061604029442</v>
      </c>
      <c r="CU23" s="107">
        <f t="shared" si="147"/>
        <v>0.32297706620510591</v>
      </c>
      <c r="CV23" s="107">
        <f t="shared" si="147"/>
        <v>-0.12827892980964217</v>
      </c>
      <c r="CW23" s="107">
        <f t="shared" si="147"/>
        <v>0.14895692630947011</v>
      </c>
      <c r="CX23" s="22">
        <f t="shared" si="147"/>
        <v>0.52988198422075139</v>
      </c>
      <c r="CY23" s="107">
        <f t="shared" si="147"/>
        <v>0.55142648137655037</v>
      </c>
      <c r="CZ23" s="107">
        <f t="shared" si="147"/>
        <v>0.39103446649907392</v>
      </c>
      <c r="DA23" s="107">
        <f t="shared" si="147"/>
        <v>0.30015505198309356</v>
      </c>
      <c r="DB23" s="107">
        <f t="shared" si="147"/>
        <v>0.23773397697290855</v>
      </c>
      <c r="DC23" s="107">
        <f t="shared" si="147"/>
        <v>0.17868567675251334</v>
      </c>
    </row>
    <row r="24" spans="1:108" x14ac:dyDescent="0.2"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CI24" s="92"/>
      <c r="CK24" s="92"/>
      <c r="CM24" s="92"/>
      <c r="CO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324"/>
    </row>
    <row r="25" spans="1:108" x14ac:dyDescent="0.2">
      <c r="A25" s="1" t="s">
        <v>250</v>
      </c>
      <c r="B25" s="62">
        <f>B31/B20/4</f>
        <v>4.5198863636363633</v>
      </c>
      <c r="C25" s="62">
        <f t="shared" ref="C25:BN25" si="148">C31/C20/4</f>
        <v>4.6240601503759402</v>
      </c>
      <c r="D25" s="62">
        <f t="shared" si="148"/>
        <v>5.3560311284046689</v>
      </c>
      <c r="E25" s="62">
        <f t="shared" si="148"/>
        <v>6.9276785714285714</v>
      </c>
      <c r="F25" s="62">
        <f t="shared" si="148"/>
        <v>6.8513289036544851</v>
      </c>
      <c r="G25" s="62">
        <f t="shared" si="148"/>
        <v>6.4863112391930837</v>
      </c>
      <c r="H25" s="62">
        <f t="shared" si="148"/>
        <v>6.338842975206612</v>
      </c>
      <c r="I25" s="62">
        <f t="shared" si="148"/>
        <v>6.2357142857142858</v>
      </c>
      <c r="J25" s="62">
        <f t="shared" si="148"/>
        <v>6.5310846560846558</v>
      </c>
      <c r="K25" s="62">
        <f t="shared" si="148"/>
        <v>5.765856236786469</v>
      </c>
      <c r="L25" s="62">
        <f t="shared" si="148"/>
        <v>5.6217948717948714</v>
      </c>
      <c r="M25" s="62">
        <f t="shared" si="148"/>
        <v>4.7039682539682541</v>
      </c>
      <c r="N25" s="62">
        <f t="shared" si="148"/>
        <v>5.2654109589041092</v>
      </c>
      <c r="O25" s="62">
        <f t="shared" si="148"/>
        <v>4.3212851405622494</v>
      </c>
      <c r="P25" s="62">
        <f t="shared" si="148"/>
        <v>5.3632756132756132</v>
      </c>
      <c r="Q25" s="62">
        <f t="shared" si="148"/>
        <v>5.4570673712021138</v>
      </c>
      <c r="R25" s="62">
        <f t="shared" si="148"/>
        <v>5.477022058823529</v>
      </c>
      <c r="S25" s="62">
        <f t="shared" si="148"/>
        <v>5.9920049200492009</v>
      </c>
      <c r="T25" s="62">
        <f t="shared" si="148"/>
        <v>5.9335407239819</v>
      </c>
      <c r="U25" s="62">
        <f t="shared" si="148"/>
        <v>5.9116336633663362</v>
      </c>
      <c r="V25" s="62">
        <f t="shared" si="148"/>
        <v>6.7825159914712154</v>
      </c>
      <c r="W25" s="62">
        <f t="shared" si="148"/>
        <v>6.6785361028684473</v>
      </c>
      <c r="X25" s="62">
        <f t="shared" si="148"/>
        <v>6.8781553398058248</v>
      </c>
      <c r="Y25" s="62">
        <f t="shared" si="148"/>
        <v>6.2914137033824806</v>
      </c>
      <c r="Z25" s="62">
        <f t="shared" si="148"/>
        <v>6.5285714285714285</v>
      </c>
      <c r="AA25" s="62">
        <f t="shared" si="148"/>
        <v>6.1787962234461054</v>
      </c>
      <c r="AB25" s="62">
        <f t="shared" si="148"/>
        <v>5.9464415395787942</v>
      </c>
      <c r="AC25" s="62">
        <f t="shared" si="148"/>
        <v>5.8459699453551917</v>
      </c>
      <c r="AD25" s="62">
        <f t="shared" si="148"/>
        <v>6.9805749805749802</v>
      </c>
      <c r="AE25" s="62">
        <f t="shared" si="148"/>
        <v>6.6144662921348312</v>
      </c>
      <c r="AF25" s="62">
        <f t="shared" si="148"/>
        <v>6.4253683536194748</v>
      </c>
      <c r="AG25" s="62">
        <f t="shared" si="148"/>
        <v>5.7868651010376846</v>
      </c>
      <c r="AH25" s="62">
        <f t="shared" si="148"/>
        <v>6.8181183696259069</v>
      </c>
      <c r="AI25" s="62">
        <f t="shared" si="148"/>
        <v>6.9377013963480128</v>
      </c>
      <c r="AJ25" s="62">
        <f t="shared" si="148"/>
        <v>6.4663236669784849</v>
      </c>
      <c r="AK25" s="62">
        <f t="shared" si="148"/>
        <v>6.291508638853772</v>
      </c>
      <c r="AL25" s="62">
        <f t="shared" si="148"/>
        <v>6.2632450331125824</v>
      </c>
      <c r="AM25" s="62">
        <f t="shared" si="148"/>
        <v>6.177741812642803</v>
      </c>
      <c r="AN25" s="62">
        <f t="shared" si="148"/>
        <v>6.3371156661786241</v>
      </c>
      <c r="AO25" s="62">
        <f t="shared" si="148"/>
        <v>5.9738805970149258</v>
      </c>
      <c r="AP25" s="62">
        <f t="shared" si="148"/>
        <v>6.6184028975508795</v>
      </c>
      <c r="AQ25" s="62">
        <f t="shared" si="148"/>
        <v>6.1947765890497166</v>
      </c>
      <c r="AR25" s="62">
        <f t="shared" si="148"/>
        <v>6.2052295530556396</v>
      </c>
      <c r="AS25" s="62">
        <f t="shared" si="148"/>
        <v>5.9867900536874821</v>
      </c>
      <c r="AT25" s="62">
        <f t="shared" si="148"/>
        <v>8.6738613861386131</v>
      </c>
      <c r="AU25" s="62">
        <f>AU31/AU20/4</f>
        <v>8.397161172161173</v>
      </c>
      <c r="AV25" s="62">
        <f t="shared" si="148"/>
        <v>7.6686385737439222</v>
      </c>
      <c r="AW25" s="62">
        <f t="shared" si="148"/>
        <v>7.5893468118195955</v>
      </c>
      <c r="AX25" s="62">
        <f t="shared" si="148"/>
        <v>7.2554998607630186</v>
      </c>
      <c r="AY25" s="62">
        <f t="shared" si="148"/>
        <v>7.1811114115738235</v>
      </c>
      <c r="AZ25" s="62">
        <f t="shared" si="148"/>
        <v>6.888062547673532</v>
      </c>
      <c r="BA25" s="62">
        <f t="shared" si="148"/>
        <v>6.9291512915129152</v>
      </c>
      <c r="BB25" s="62">
        <f t="shared" si="148"/>
        <v>9.6045751633986924</v>
      </c>
      <c r="BC25" s="62">
        <f t="shared" si="148"/>
        <v>9.24123208295212</v>
      </c>
      <c r="BD25" s="62">
        <f t="shared" si="148"/>
        <v>8.5606782892944704</v>
      </c>
      <c r="BE25" s="62">
        <f t="shared" si="148"/>
        <v>10.128543425814234</v>
      </c>
      <c r="BF25" s="62">
        <f t="shared" ref="BF25" si="149">BF31/BF20/4</f>
        <v>10.487987108116027</v>
      </c>
      <c r="BG25" s="62">
        <f t="shared" ref="BG25" si="150">BG31/BG20/4</f>
        <v>10.191140776699029</v>
      </c>
      <c r="BH25" s="62">
        <f t="shared" ref="BH25" si="151">BH31/BH20/4</f>
        <v>10.117314930991217</v>
      </c>
      <c r="BI25" s="62">
        <f t="shared" ref="BI25" si="152">BI31/BI20/4</f>
        <v>10.168608799048751</v>
      </c>
      <c r="BJ25" s="62">
        <f t="shared" ref="BJ25:BK25" si="153">BJ31/BJ20/4</f>
        <v>10.311009583240473</v>
      </c>
      <c r="BK25" s="62">
        <f t="shared" si="153"/>
        <v>10.165616246498599</v>
      </c>
      <c r="BL25" s="62">
        <f t="shared" ref="BL25" si="154">BL31/BL20/4</f>
        <v>9.9709053644626628</v>
      </c>
      <c r="BM25" s="62">
        <f t="shared" si="148"/>
        <v>7.3249970362042047</v>
      </c>
      <c r="BN25" s="62">
        <f t="shared" si="148"/>
        <v>9.5815388400577817</v>
      </c>
      <c r="BO25" s="62">
        <f t="shared" ref="BO25:BQ25" si="155">BO31/BO20/4</f>
        <v>7.92766679636778</v>
      </c>
      <c r="BP25" s="62">
        <f t="shared" si="155"/>
        <v>8.0156706831046716</v>
      </c>
      <c r="BQ25" s="62">
        <f t="shared" si="155"/>
        <v>7.3113223417136615</v>
      </c>
      <c r="BR25" s="62">
        <f>BR31/BR20/4</f>
        <v>9.1683145814851823</v>
      </c>
      <c r="BS25" s="62">
        <f t="shared" ref="BS25:BU25" si="156">BS31/BS20/4</f>
        <v>7.4660816205610647</v>
      </c>
      <c r="BT25" s="62">
        <f t="shared" si="156"/>
        <v>7.4381326174293623</v>
      </c>
      <c r="BU25" s="62">
        <f t="shared" si="156"/>
        <v>6.6818174854278718</v>
      </c>
      <c r="BV25" s="62">
        <f t="shared" ref="BV25:CC25" si="157">BV31/BV20/4</f>
        <v>8.8679189834412302</v>
      </c>
      <c r="BW25" s="62">
        <f t="shared" si="157"/>
        <v>7.1294362898337118</v>
      </c>
      <c r="BX25" s="62">
        <f t="shared" si="157"/>
        <v>7.0161700034949765</v>
      </c>
      <c r="BY25" s="62">
        <f t="shared" si="157"/>
        <v>6.2213250194010552</v>
      </c>
      <c r="BZ25" s="62">
        <f t="shared" si="157"/>
        <v>8.6059457459274658</v>
      </c>
      <c r="CA25" s="62">
        <f t="shared" si="157"/>
        <v>6.8541386215069071</v>
      </c>
      <c r="CB25" s="62">
        <f t="shared" si="157"/>
        <v>6.6836057472963839</v>
      </c>
      <c r="CC25" s="62">
        <f t="shared" si="157"/>
        <v>5.867741488438579</v>
      </c>
      <c r="CD25" s="62">
        <f t="shared" ref="CD25:CG25" si="158">CD31/CD20/4</f>
        <v>8.4745364476788669</v>
      </c>
      <c r="CE25" s="62">
        <f t="shared" si="158"/>
        <v>6.7020359321230636</v>
      </c>
      <c r="CF25" s="62">
        <f t="shared" si="158"/>
        <v>6.4896491070881055</v>
      </c>
      <c r="CG25" s="62">
        <f t="shared" si="158"/>
        <v>5.653602850515659</v>
      </c>
      <c r="CH25" s="62"/>
      <c r="CI25" s="122">
        <f>E25</f>
        <v>6.9276785714285714</v>
      </c>
      <c r="CJ25" s="63">
        <f>I25</f>
        <v>6.2357142857142858</v>
      </c>
      <c r="CK25" s="122">
        <f>M25</f>
        <v>4.7039682539682541</v>
      </c>
      <c r="CL25" s="63">
        <f>Q25</f>
        <v>5.4570673712021138</v>
      </c>
      <c r="CM25" s="122">
        <f>U25</f>
        <v>5.9116336633663362</v>
      </c>
      <c r="CN25" s="63">
        <f>Y25</f>
        <v>6.2914137033824806</v>
      </c>
      <c r="CO25" s="122">
        <f>AC25</f>
        <v>5.8459699453551917</v>
      </c>
      <c r="CP25" s="63">
        <f>AG25</f>
        <v>5.7868651010376846</v>
      </c>
      <c r="CQ25" s="122">
        <f>AK25</f>
        <v>6.291508638853772</v>
      </c>
      <c r="CR25" s="122">
        <f>AO25</f>
        <v>5.9738805970149258</v>
      </c>
      <c r="CS25" s="122">
        <f>AS25</f>
        <v>5.9867900536874821</v>
      </c>
      <c r="CT25" s="122">
        <f>AW25</f>
        <v>7.5893468118195955</v>
      </c>
      <c r="CU25" s="122">
        <f>BA25</f>
        <v>6.9291512915129152</v>
      </c>
      <c r="CV25" s="122">
        <f>BE25</f>
        <v>10.128543425814234</v>
      </c>
      <c r="CW25" s="122">
        <f>BI25</f>
        <v>10.168608799048751</v>
      </c>
      <c r="CX25" s="63">
        <f>BM25</f>
        <v>7.3249970362042047</v>
      </c>
      <c r="CY25" s="122">
        <f>BQ25</f>
        <v>7.3113223417136615</v>
      </c>
      <c r="CZ25" s="122">
        <f>BU25</f>
        <v>6.6818174854278718</v>
      </c>
      <c r="DA25" s="122">
        <f>BY25</f>
        <v>6.2213250194010552</v>
      </c>
      <c r="DB25" s="122">
        <f>CC25</f>
        <v>5.867741488438579</v>
      </c>
      <c r="DC25" s="122">
        <f>CG25</f>
        <v>5.653602850515659</v>
      </c>
    </row>
    <row r="26" spans="1:108" x14ac:dyDescent="0.2">
      <c r="CI26" s="92"/>
      <c r="CK26" s="92"/>
      <c r="CM26" s="92"/>
      <c r="CO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324"/>
    </row>
    <row r="27" spans="1:108" x14ac:dyDescent="0.2">
      <c r="A27" s="1" t="s">
        <v>251</v>
      </c>
      <c r="B27" s="17">
        <v>4845</v>
      </c>
      <c r="C27" s="20">
        <f>B31</f>
        <v>4773</v>
      </c>
      <c r="D27" s="20">
        <f t="shared" ref="D27:AS27" si="159">C31</f>
        <v>4920</v>
      </c>
      <c r="E27" s="20">
        <f t="shared" si="159"/>
        <v>5506</v>
      </c>
      <c r="F27" s="20">
        <f t="shared" si="159"/>
        <v>7759</v>
      </c>
      <c r="G27" s="20">
        <f t="shared" si="159"/>
        <v>8249</v>
      </c>
      <c r="H27" s="20">
        <f t="shared" si="159"/>
        <v>9003</v>
      </c>
      <c r="I27" s="20">
        <f t="shared" si="159"/>
        <v>9204</v>
      </c>
      <c r="J27" s="20">
        <f t="shared" si="159"/>
        <v>9603</v>
      </c>
      <c r="K27" s="20">
        <f t="shared" si="159"/>
        <v>9875</v>
      </c>
      <c r="L27" s="20">
        <f t="shared" si="159"/>
        <v>10909</v>
      </c>
      <c r="M27" s="20">
        <f t="shared" si="159"/>
        <v>11401</v>
      </c>
      <c r="N27" s="20">
        <f t="shared" si="159"/>
        <v>11854</v>
      </c>
      <c r="O27" s="20">
        <f t="shared" si="159"/>
        <v>12300</v>
      </c>
      <c r="P27" s="20">
        <f t="shared" si="159"/>
        <v>12912</v>
      </c>
      <c r="Q27" s="20">
        <f t="shared" si="159"/>
        <v>14867</v>
      </c>
      <c r="R27" s="20">
        <f t="shared" si="159"/>
        <v>16524</v>
      </c>
      <c r="S27" s="20">
        <f t="shared" si="159"/>
        <v>17877</v>
      </c>
      <c r="T27" s="20">
        <f t="shared" si="159"/>
        <v>19486</v>
      </c>
      <c r="U27" s="20">
        <f t="shared" si="159"/>
        <v>20981</v>
      </c>
      <c r="V27" s="20">
        <f t="shared" si="159"/>
        <v>23883</v>
      </c>
      <c r="W27" s="20">
        <f t="shared" si="159"/>
        <v>25448</v>
      </c>
      <c r="X27" s="20">
        <f t="shared" si="159"/>
        <v>27008</v>
      </c>
      <c r="Y27" s="20">
        <f t="shared" si="159"/>
        <v>28338</v>
      </c>
      <c r="Z27" s="20">
        <f t="shared" si="159"/>
        <v>29016</v>
      </c>
      <c r="AA27" s="20">
        <f t="shared" si="159"/>
        <v>30162</v>
      </c>
      <c r="AB27" s="20">
        <f t="shared" si="159"/>
        <v>31413</v>
      </c>
      <c r="AC27" s="20">
        <f t="shared" si="159"/>
        <v>32753</v>
      </c>
      <c r="AD27" s="20">
        <f t="shared" si="159"/>
        <v>34234</v>
      </c>
      <c r="AE27" s="20">
        <f t="shared" si="159"/>
        <v>35936</v>
      </c>
      <c r="AF27" s="20">
        <f t="shared" si="159"/>
        <v>37676</v>
      </c>
      <c r="AG27" s="20">
        <f t="shared" si="159"/>
        <v>40120</v>
      </c>
      <c r="AH27" s="20">
        <f t="shared" si="159"/>
        <v>42383</v>
      </c>
      <c r="AI27" s="20">
        <f t="shared" si="159"/>
        <v>48845</v>
      </c>
      <c r="AJ27" s="20">
        <f t="shared" si="159"/>
        <v>51672</v>
      </c>
      <c r="AK27" s="20">
        <f t="shared" si="159"/>
        <v>55300</v>
      </c>
      <c r="AL27" s="20">
        <f t="shared" si="159"/>
        <v>59719</v>
      </c>
      <c r="AM27" s="20">
        <f t="shared" si="159"/>
        <v>60528</v>
      </c>
      <c r="AN27" s="20">
        <f t="shared" si="159"/>
        <v>64891</v>
      </c>
      <c r="AO27" s="20">
        <f t="shared" si="159"/>
        <v>69252</v>
      </c>
      <c r="AP27" s="20">
        <f t="shared" si="159"/>
        <v>73646</v>
      </c>
      <c r="AQ27" s="20">
        <f t="shared" si="159"/>
        <v>76747</v>
      </c>
      <c r="AR27" s="20">
        <f t="shared" si="159"/>
        <v>78748</v>
      </c>
      <c r="AS27" s="20">
        <f t="shared" si="159"/>
        <v>81636</v>
      </c>
      <c r="AT27" s="20">
        <f>AS31</f>
        <v>84749</v>
      </c>
      <c r="AU27" s="20">
        <f t="shared" ref="AU27:BQ27" si="160">AT31</f>
        <v>87606</v>
      </c>
      <c r="AV27" s="20">
        <f t="shared" si="160"/>
        <v>91697</v>
      </c>
      <c r="AW27" s="20">
        <f t="shared" si="160"/>
        <v>94631</v>
      </c>
      <c r="AX27" s="20">
        <f t="shared" si="160"/>
        <v>97599</v>
      </c>
      <c r="AY27" s="20">
        <f t="shared" si="160"/>
        <v>104218</v>
      </c>
      <c r="AZ27" s="20">
        <f t="shared" si="160"/>
        <v>106223</v>
      </c>
      <c r="BA27" s="20">
        <f t="shared" si="160"/>
        <v>108363</v>
      </c>
      <c r="BB27" s="20">
        <f t="shared" si="160"/>
        <v>112668</v>
      </c>
      <c r="BC27" s="20">
        <f t="shared" si="160"/>
        <v>117560</v>
      </c>
      <c r="BD27" s="20">
        <f t="shared" si="160"/>
        <v>121208</v>
      </c>
      <c r="BE27" s="20">
        <f t="shared" si="160"/>
        <v>125705</v>
      </c>
      <c r="BF27" s="20">
        <f t="shared" si="160"/>
        <v>134345</v>
      </c>
      <c r="BG27" s="20">
        <f t="shared" si="160"/>
        <v>143182</v>
      </c>
      <c r="BH27" s="20">
        <f t="shared" si="160"/>
        <v>151155</v>
      </c>
      <c r="BI27" s="20">
        <f t="shared" si="160"/>
        <v>161270</v>
      </c>
      <c r="BJ27" s="20">
        <f t="shared" si="160"/>
        <v>171036</v>
      </c>
      <c r="BK27" s="20">
        <f t="shared" si="160"/>
        <v>185062</v>
      </c>
      <c r="BL27" s="20">
        <f t="shared" si="160"/>
        <v>203231</v>
      </c>
      <c r="BM27" s="20">
        <f t="shared" si="160"/>
        <v>223787</v>
      </c>
      <c r="BN27" s="20">
        <f t="shared" si="160"/>
        <v>244010.97693959606</v>
      </c>
      <c r="BO27" s="20">
        <f t="shared" si="160"/>
        <v>259928.9907156619</v>
      </c>
      <c r="BP27" s="20">
        <f t="shared" si="160"/>
        <v>280705.62252455729</v>
      </c>
      <c r="BQ27" s="20">
        <f t="shared" si="160"/>
        <v>302877.17477076914</v>
      </c>
      <c r="BR27" s="20">
        <f>BQ31</f>
        <v>329305.68726331042</v>
      </c>
      <c r="BS27" s="20">
        <f t="shared" ref="BS27" si="161">BR31</f>
        <v>345976.70103311742</v>
      </c>
      <c r="BT27" s="20">
        <f t="shared" ref="BT27" si="162">BS31</f>
        <v>367736.16925880144</v>
      </c>
      <c r="BU27" s="20">
        <f t="shared" ref="BU27" si="163">BT31</f>
        <v>390956.54448867799</v>
      </c>
      <c r="BV27" s="20">
        <f t="shared" ref="BV27" si="164">BU31</f>
        <v>418635.25502862857</v>
      </c>
      <c r="BW27" s="20">
        <f t="shared" ref="BW27" si="165">BV31</f>
        <v>435085.10096397187</v>
      </c>
      <c r="BX27" s="20">
        <f t="shared" ref="BX27" si="166">BW31</f>
        <v>456555.8948154992</v>
      </c>
      <c r="BY27" s="20">
        <f t="shared" ref="BY27" si="167">BX31</f>
        <v>479468.21438805707</v>
      </c>
      <c r="BZ27" s="20">
        <f t="shared" ref="BZ27" si="168">BY31</f>
        <v>506779.72227582365</v>
      </c>
      <c r="CA27" s="20">
        <f t="shared" ref="CA27" si="169">BZ31</f>
        <v>522610.8375088629</v>
      </c>
      <c r="CB27" s="20">
        <f t="shared" ref="CB27" si="170">CA31</f>
        <v>543274.04693613504</v>
      </c>
      <c r="CC27" s="20">
        <f t="shared" ref="CC27" si="171">CB31</f>
        <v>565324.56174551987</v>
      </c>
      <c r="CD27" s="20">
        <f t="shared" ref="CD27" si="172">CC31</f>
        <v>591608.79749208828</v>
      </c>
      <c r="CE27" s="20">
        <f t="shared" ref="CE27" si="173">CD31</f>
        <v>606587.93174350564</v>
      </c>
      <c r="CF27" s="20">
        <f t="shared" ref="CF27" si="174">CE31</f>
        <v>626139.11203119031</v>
      </c>
      <c r="CG27" s="20">
        <f t="shared" ref="CG27" si="175">CF31</f>
        <v>647002.93727537233</v>
      </c>
      <c r="CH27" s="20"/>
      <c r="CI27" s="89">
        <f>B27</f>
        <v>4845</v>
      </c>
      <c r="CJ27" s="20">
        <f>F27</f>
        <v>7759</v>
      </c>
      <c r="CK27" s="89">
        <f>J27</f>
        <v>9603</v>
      </c>
      <c r="CL27" s="20">
        <f>N27</f>
        <v>11854</v>
      </c>
      <c r="CM27" s="89">
        <f>R27</f>
        <v>16524</v>
      </c>
      <c r="CN27" s="20">
        <f>V27</f>
        <v>23883</v>
      </c>
      <c r="CO27" s="89">
        <f>Z27</f>
        <v>29016</v>
      </c>
      <c r="CP27" s="20">
        <f>AD27</f>
        <v>34234</v>
      </c>
      <c r="CQ27" s="89">
        <f>AH27</f>
        <v>42383</v>
      </c>
      <c r="CR27" s="89">
        <f>AL27</f>
        <v>59719</v>
      </c>
      <c r="CS27" s="89">
        <f>AP27</f>
        <v>73646</v>
      </c>
      <c r="CT27" s="89">
        <f>AT27</f>
        <v>84749</v>
      </c>
      <c r="CU27" s="89">
        <f>AX27</f>
        <v>97599</v>
      </c>
      <c r="CV27" s="89">
        <f>BB27</f>
        <v>112668</v>
      </c>
      <c r="CW27" s="89">
        <f>BF27</f>
        <v>134345</v>
      </c>
      <c r="CX27" s="20">
        <f>BJ27</f>
        <v>171036</v>
      </c>
      <c r="CY27" s="89">
        <f>BN27</f>
        <v>244010.97693959606</v>
      </c>
      <c r="CZ27" s="89">
        <f>BR27</f>
        <v>329305.68726331042</v>
      </c>
      <c r="DA27" s="89">
        <f>BV27</f>
        <v>418635.25502862857</v>
      </c>
      <c r="DB27" s="89">
        <f>BZ27</f>
        <v>506779.72227582365</v>
      </c>
      <c r="DC27" s="89">
        <f>CD27</f>
        <v>591608.79749208828</v>
      </c>
    </row>
    <row r="28" spans="1:108" x14ac:dyDescent="0.2">
      <c r="A28" s="1" t="s">
        <v>241</v>
      </c>
      <c r="B28" s="20">
        <f>-B4</f>
        <v>239</v>
      </c>
      <c r="C28" s="20">
        <f>-C4</f>
        <v>476</v>
      </c>
      <c r="D28" s="20">
        <f t="shared" ref="D28:AS28" si="176">-D4</f>
        <v>758</v>
      </c>
      <c r="E28" s="20">
        <f t="shared" si="176"/>
        <v>2545</v>
      </c>
      <c r="F28" s="20">
        <f t="shared" si="176"/>
        <v>890</v>
      </c>
      <c r="G28" s="20">
        <f t="shared" si="176"/>
        <v>917</v>
      </c>
      <c r="H28" s="20">
        <f t="shared" si="176"/>
        <v>680</v>
      </c>
      <c r="I28" s="20">
        <f t="shared" si="176"/>
        <v>951</v>
      </c>
      <c r="J28" s="20">
        <f t="shared" si="176"/>
        <v>607</v>
      </c>
      <c r="K28" s="20">
        <f t="shared" si="176"/>
        <v>774</v>
      </c>
      <c r="L28" s="20">
        <f t="shared" si="176"/>
        <v>872</v>
      </c>
      <c r="M28" s="20">
        <f t="shared" si="176"/>
        <v>1020</v>
      </c>
      <c r="N28" s="20">
        <f t="shared" si="176"/>
        <v>1203</v>
      </c>
      <c r="O28" s="20">
        <f t="shared" si="176"/>
        <v>1611</v>
      </c>
      <c r="P28" s="20">
        <f t="shared" si="176"/>
        <v>2289</v>
      </c>
      <c r="Q28" s="20">
        <f t="shared" si="176"/>
        <v>2255</v>
      </c>
      <c r="R28" s="20">
        <f t="shared" si="176"/>
        <v>2345</v>
      </c>
      <c r="S28" s="20">
        <f t="shared" si="176"/>
        <v>2646</v>
      </c>
      <c r="T28" s="20">
        <f t="shared" si="176"/>
        <v>2417</v>
      </c>
      <c r="U28" s="20">
        <f t="shared" si="176"/>
        <v>3551</v>
      </c>
      <c r="V28" s="20">
        <f t="shared" si="176"/>
        <v>2927</v>
      </c>
      <c r="W28" s="20">
        <f t="shared" si="176"/>
        <v>2515</v>
      </c>
      <c r="X28" s="20">
        <f t="shared" si="176"/>
        <v>2373</v>
      </c>
      <c r="Y28" s="20">
        <f t="shared" si="176"/>
        <v>2100</v>
      </c>
      <c r="Z28" s="20">
        <f t="shared" si="176"/>
        <v>2428</v>
      </c>
      <c r="AA28" s="20">
        <f t="shared" si="176"/>
        <v>2123</v>
      </c>
      <c r="AB28" s="20">
        <f t="shared" si="176"/>
        <v>2554</v>
      </c>
      <c r="AC28" s="20">
        <f t="shared" si="176"/>
        <v>3078</v>
      </c>
      <c r="AD28" s="20">
        <f t="shared" si="176"/>
        <v>2508</v>
      </c>
      <c r="AE28" s="20">
        <f t="shared" si="176"/>
        <v>2831</v>
      </c>
      <c r="AF28" s="20">
        <f t="shared" si="176"/>
        <v>3538</v>
      </c>
      <c r="AG28" s="20">
        <f t="shared" si="176"/>
        <v>4307</v>
      </c>
      <c r="AH28" s="20">
        <f t="shared" si="176"/>
        <v>7299</v>
      </c>
      <c r="AI28" s="20">
        <f t="shared" si="176"/>
        <v>5477</v>
      </c>
      <c r="AJ28" s="20">
        <f t="shared" si="176"/>
        <v>5282</v>
      </c>
      <c r="AK28" s="20">
        <f t="shared" si="176"/>
        <v>7081</v>
      </c>
      <c r="AL28" s="20">
        <f t="shared" si="176"/>
        <v>4638</v>
      </c>
      <c r="AM28" s="20">
        <f t="shared" si="176"/>
        <v>6126</v>
      </c>
      <c r="AN28" s="20">
        <f t="shared" si="176"/>
        <v>6732</v>
      </c>
      <c r="AO28" s="20">
        <f t="shared" si="176"/>
        <v>6052</v>
      </c>
      <c r="AP28" s="20">
        <f t="shared" si="176"/>
        <v>6005</v>
      </c>
      <c r="AQ28" s="20">
        <f t="shared" si="176"/>
        <v>5391</v>
      </c>
      <c r="AR28" s="20">
        <f t="shared" si="176"/>
        <v>5406</v>
      </c>
      <c r="AS28" s="20">
        <f t="shared" si="176"/>
        <v>5479</v>
      </c>
      <c r="AT28" s="20">
        <f>-AT4</f>
        <v>5942</v>
      </c>
      <c r="AU28" s="20">
        <f t="shared" ref="AU28:BQ28" si="177">-AU4</f>
        <v>5496</v>
      </c>
      <c r="AV28" s="20">
        <f t="shared" si="177"/>
        <v>6819</v>
      </c>
      <c r="AW28" s="20">
        <f t="shared" si="177"/>
        <v>6383</v>
      </c>
      <c r="AX28" s="20">
        <f t="shared" si="177"/>
        <v>9786</v>
      </c>
      <c r="AY28" s="20">
        <f t="shared" si="177"/>
        <v>6828</v>
      </c>
      <c r="AZ28" s="20">
        <f t="shared" si="177"/>
        <v>7276</v>
      </c>
      <c r="BA28" s="20">
        <f t="shared" si="177"/>
        <v>7595</v>
      </c>
      <c r="BB28" s="20">
        <f t="shared" ref="BB28:BC28" si="178">-BB4</f>
        <v>6289</v>
      </c>
      <c r="BC28" s="20">
        <f t="shared" si="178"/>
        <v>6888</v>
      </c>
      <c r="BD28" s="20">
        <f t="shared" ref="BD28:BE28" si="179">-BD4</f>
        <v>8055</v>
      </c>
      <c r="BE28" s="20">
        <f t="shared" si="179"/>
        <v>11019</v>
      </c>
      <c r="BF28" s="20">
        <f t="shared" ref="BF28" si="180">-BF4</f>
        <v>12012</v>
      </c>
      <c r="BG28" s="20">
        <f t="shared" ref="BG28" si="181">-BG4</f>
        <v>13186</v>
      </c>
      <c r="BH28" s="20">
        <f t="shared" ref="BH28" si="182">-BH4</f>
        <v>13061</v>
      </c>
      <c r="BI28" s="20">
        <f t="shared" ref="BI28" si="183">-BI4</f>
        <v>14276</v>
      </c>
      <c r="BJ28" s="20">
        <f t="shared" ref="BJ28:BK28" si="184">-BJ4</f>
        <v>17197</v>
      </c>
      <c r="BK28" s="20">
        <f t="shared" si="184"/>
        <v>22446</v>
      </c>
      <c r="BL28" s="20">
        <f t="shared" ref="BL28" si="185">-BL4</f>
        <v>23953</v>
      </c>
      <c r="BM28" s="20">
        <f t="shared" si="177"/>
        <v>28552</v>
      </c>
      <c r="BN28" s="20">
        <f t="shared" si="177"/>
        <v>22700.04</v>
      </c>
      <c r="BO28" s="20">
        <f t="shared" si="177"/>
        <v>29628.720000000001</v>
      </c>
      <c r="BP28" s="20">
        <f t="shared" si="177"/>
        <v>31617.960000000003</v>
      </c>
      <c r="BQ28" s="20">
        <f t="shared" si="177"/>
        <v>37688.639999999999</v>
      </c>
      <c r="BR28" s="20">
        <f>-BR4</f>
        <v>26105.045999999998</v>
      </c>
      <c r="BS28" s="20">
        <f t="shared" ref="BS28:BU28" si="186">-BS4</f>
        <v>34073.027999999998</v>
      </c>
      <c r="BT28" s="20">
        <f t="shared" si="186"/>
        <v>36360.654000000002</v>
      </c>
      <c r="BU28" s="20">
        <f t="shared" si="186"/>
        <v>43341.935999999994</v>
      </c>
      <c r="BV28" s="20">
        <f t="shared" ref="BV28:CC28" si="187">-BV4</f>
        <v>28715.550600000002</v>
      </c>
      <c r="BW28" s="20">
        <f t="shared" si="187"/>
        <v>37480.330800000003</v>
      </c>
      <c r="BX28" s="20">
        <f t="shared" si="187"/>
        <v>39996.719400000009</v>
      </c>
      <c r="BY28" s="20">
        <f t="shared" si="187"/>
        <v>47676.1296</v>
      </c>
      <c r="BZ28" s="20">
        <f t="shared" si="187"/>
        <v>31012.794648000003</v>
      </c>
      <c r="CA28" s="20">
        <f t="shared" si="187"/>
        <v>40478.757264000007</v>
      </c>
      <c r="CB28" s="20">
        <f t="shared" si="187"/>
        <v>43196.456952000015</v>
      </c>
      <c r="CC28" s="20">
        <f t="shared" si="187"/>
        <v>51490.219968000005</v>
      </c>
      <c r="CD28" s="20">
        <f t="shared" ref="CD28:CG28" si="188">-CD4</f>
        <v>32873.562326880005</v>
      </c>
      <c r="CE28" s="20">
        <f t="shared" si="188"/>
        <v>42907.482699840009</v>
      </c>
      <c r="CF28" s="20">
        <f t="shared" si="188"/>
        <v>45788.244369120017</v>
      </c>
      <c r="CG28" s="20">
        <f t="shared" si="188"/>
        <v>54579.633166080006</v>
      </c>
      <c r="CH28" s="20"/>
      <c r="CI28" s="89">
        <f>SUM(B28:E28)</f>
        <v>4018</v>
      </c>
      <c r="CJ28" s="20">
        <f>SUM(F28:I28)</f>
        <v>3438</v>
      </c>
      <c r="CK28" s="89">
        <f>SUM(J28:M28)</f>
        <v>3273</v>
      </c>
      <c r="CL28" s="20">
        <f>SUM(N28:Q28)</f>
        <v>7358</v>
      </c>
      <c r="CM28" s="89">
        <f>SUM(R28:U28)</f>
        <v>10959</v>
      </c>
      <c r="CN28" s="20">
        <f>SUM(V28:Y28)</f>
        <v>9915</v>
      </c>
      <c r="CO28" s="89">
        <f>SUM(Z28:AC28)</f>
        <v>10183</v>
      </c>
      <c r="CP28" s="20">
        <f>SUM(AD28:AG28)</f>
        <v>13184</v>
      </c>
      <c r="CQ28" s="89">
        <f>SUM(AH28:AK28)</f>
        <v>25139</v>
      </c>
      <c r="CR28" s="89">
        <f>SUM(AL28:AO28)</f>
        <v>23548</v>
      </c>
      <c r="CS28" s="89">
        <f>SUM(AP28:AS28)</f>
        <v>22281</v>
      </c>
      <c r="CT28" s="89">
        <f>SUM(AT28:AW28)</f>
        <v>24640</v>
      </c>
      <c r="CU28" s="89">
        <f>SUM(AX28:BA28)</f>
        <v>31485</v>
      </c>
      <c r="CV28" s="89">
        <f>SUM(BB28:BE28)</f>
        <v>32251</v>
      </c>
      <c r="CW28" s="89">
        <f>SUM(BF28:BI28)</f>
        <v>52535</v>
      </c>
      <c r="CX28" s="20">
        <f>SUM(BJ28:BM28)</f>
        <v>92148</v>
      </c>
      <c r="CY28" s="89">
        <f>SUM(BN28:BQ28)</f>
        <v>121635.36</v>
      </c>
      <c r="CZ28" s="89">
        <f>SUM(BR28:BU28)</f>
        <v>139880.66399999999</v>
      </c>
      <c r="DA28" s="89">
        <f>SUM(BV28:BY28)</f>
        <v>153868.7304</v>
      </c>
      <c r="DB28" s="89">
        <f>SUM(BZ28:CC28)</f>
        <v>166178.22883200005</v>
      </c>
      <c r="DC28" s="89">
        <f>SUM(CD28:CG28)</f>
        <v>176148.92256192002</v>
      </c>
    </row>
    <row r="29" spans="1:108" x14ac:dyDescent="0.2">
      <c r="A29" s="1" t="s">
        <v>252</v>
      </c>
      <c r="B29" s="20">
        <f>-B20</f>
        <v>-264</v>
      </c>
      <c r="C29" s="20">
        <f>-C20</f>
        <v>-266</v>
      </c>
      <c r="D29" s="20">
        <f t="shared" ref="D29:AS29" si="189">-D20</f>
        <v>-257</v>
      </c>
      <c r="E29" s="20">
        <f t="shared" si="189"/>
        <v>-280</v>
      </c>
      <c r="F29" s="20">
        <f t="shared" si="189"/>
        <v>-301</v>
      </c>
      <c r="G29" s="20">
        <f t="shared" si="189"/>
        <v>-347</v>
      </c>
      <c r="H29" s="20">
        <f t="shared" si="189"/>
        <v>-363</v>
      </c>
      <c r="I29" s="20">
        <f t="shared" si="189"/>
        <v>-385</v>
      </c>
      <c r="J29" s="20">
        <f t="shared" si="189"/>
        <v>-378</v>
      </c>
      <c r="K29" s="20">
        <f t="shared" si="189"/>
        <v>-473</v>
      </c>
      <c r="L29" s="20">
        <f t="shared" si="189"/>
        <v>-507</v>
      </c>
      <c r="M29" s="20">
        <f t="shared" si="189"/>
        <v>-630</v>
      </c>
      <c r="N29" s="20">
        <f t="shared" si="189"/>
        <v>-584</v>
      </c>
      <c r="O29" s="20">
        <f t="shared" si="189"/>
        <v>-747</v>
      </c>
      <c r="P29" s="20">
        <f t="shared" si="189"/>
        <v>-693</v>
      </c>
      <c r="Q29" s="20">
        <f t="shared" si="189"/>
        <v>-757</v>
      </c>
      <c r="R29" s="20">
        <f t="shared" si="189"/>
        <v>-816</v>
      </c>
      <c r="S29" s="20">
        <f t="shared" si="189"/>
        <v>-813</v>
      </c>
      <c r="T29" s="20">
        <f t="shared" si="189"/>
        <v>-884</v>
      </c>
      <c r="U29" s="20">
        <f t="shared" si="189"/>
        <v>-1010</v>
      </c>
      <c r="V29" s="20">
        <f t="shared" si="189"/>
        <v>-938</v>
      </c>
      <c r="W29" s="20">
        <f t="shared" si="189"/>
        <v>-1011</v>
      </c>
      <c r="X29" s="20">
        <f t="shared" si="189"/>
        <v>-1030</v>
      </c>
      <c r="Y29" s="20">
        <f t="shared" si="189"/>
        <v>-1153</v>
      </c>
      <c r="Z29" s="20">
        <f t="shared" si="189"/>
        <v>-1155</v>
      </c>
      <c r="AA29" s="20">
        <f t="shared" si="189"/>
        <v>-1271</v>
      </c>
      <c r="AB29" s="20">
        <f t="shared" si="189"/>
        <v>-1377</v>
      </c>
      <c r="AC29" s="20">
        <f t="shared" si="189"/>
        <v>-1464</v>
      </c>
      <c r="AD29" s="20">
        <f t="shared" si="189"/>
        <v>-1287</v>
      </c>
      <c r="AE29" s="20">
        <f t="shared" si="189"/>
        <v>-1424</v>
      </c>
      <c r="AF29" s="20">
        <f t="shared" si="189"/>
        <v>-1561</v>
      </c>
      <c r="AG29" s="20">
        <f t="shared" si="189"/>
        <v>-1831</v>
      </c>
      <c r="AH29" s="20">
        <f t="shared" si="189"/>
        <v>-1791</v>
      </c>
      <c r="AI29" s="20">
        <f t="shared" si="189"/>
        <v>-1862</v>
      </c>
      <c r="AJ29" s="20">
        <f t="shared" si="189"/>
        <v>-2138</v>
      </c>
      <c r="AK29" s="20">
        <f t="shared" si="189"/>
        <v>-2373</v>
      </c>
      <c r="AL29" s="20">
        <f t="shared" si="189"/>
        <v>-2416</v>
      </c>
      <c r="AM29" s="20">
        <f t="shared" si="189"/>
        <v>-2626</v>
      </c>
      <c r="AN29" s="20">
        <f t="shared" si="189"/>
        <v>-2732</v>
      </c>
      <c r="AO29" s="20">
        <f t="shared" si="189"/>
        <v>-3082</v>
      </c>
      <c r="AP29" s="20">
        <f t="shared" si="189"/>
        <v>-2899</v>
      </c>
      <c r="AQ29" s="20">
        <f t="shared" si="189"/>
        <v>-3178</v>
      </c>
      <c r="AR29" s="20">
        <f t="shared" si="189"/>
        <v>-3289</v>
      </c>
      <c r="AS29" s="20">
        <f t="shared" si="189"/>
        <v>-3539</v>
      </c>
      <c r="AT29" s="20">
        <f>-AT20</f>
        <v>-2525</v>
      </c>
      <c r="AU29" s="20">
        <f t="shared" ref="AU29:BQ29" si="190">-AU20</f>
        <v>-2730</v>
      </c>
      <c r="AV29" s="20">
        <f t="shared" si="190"/>
        <v>-3085</v>
      </c>
      <c r="AW29" s="20">
        <f t="shared" si="190"/>
        <v>-3215</v>
      </c>
      <c r="AX29" s="20">
        <f t="shared" si="190"/>
        <v>-3591</v>
      </c>
      <c r="AY29" s="20">
        <f t="shared" si="190"/>
        <v>-3698</v>
      </c>
      <c r="AZ29" s="20">
        <f t="shared" si="190"/>
        <v>-3933</v>
      </c>
      <c r="BA29" s="20">
        <f t="shared" si="190"/>
        <v>-4065</v>
      </c>
      <c r="BB29" s="20">
        <f t="shared" ref="BB29:BC29" si="191">-BB20</f>
        <v>-3060</v>
      </c>
      <c r="BC29" s="20">
        <f t="shared" si="191"/>
        <v>-3279</v>
      </c>
      <c r="BD29" s="20">
        <f t="shared" ref="BD29:BE29" si="192">-BD20</f>
        <v>-3671</v>
      </c>
      <c r="BE29" s="20">
        <f t="shared" si="192"/>
        <v>-3316</v>
      </c>
      <c r="BF29" s="20">
        <f t="shared" ref="BF29" si="193">-BF20</f>
        <v>-3413</v>
      </c>
      <c r="BG29" s="20">
        <f t="shared" ref="BG29" si="194">-BG20</f>
        <v>-3708</v>
      </c>
      <c r="BH29" s="20">
        <f t="shared" ref="BH29" si="195">-BH20</f>
        <v>-3985</v>
      </c>
      <c r="BI29" s="20">
        <f t="shared" ref="BI29" si="196">-BI20</f>
        <v>-4205</v>
      </c>
      <c r="BJ29" s="20">
        <f t="shared" ref="BJ29:BK29" si="197">-BJ20</f>
        <v>-4487</v>
      </c>
      <c r="BK29" s="20">
        <f t="shared" si="197"/>
        <v>-4998</v>
      </c>
      <c r="BL29" s="20">
        <f t="shared" ref="BL29" si="198">-BL20</f>
        <v>-5611</v>
      </c>
      <c r="BM29" s="20">
        <f t="shared" si="190"/>
        <v>-8328.0230604039243</v>
      </c>
      <c r="BN29" s="20">
        <f t="shared" si="190"/>
        <v>-6782.02622393415</v>
      </c>
      <c r="BO29" s="20">
        <f t="shared" si="190"/>
        <v>-8852.0881911046072</v>
      </c>
      <c r="BP29" s="20">
        <f t="shared" si="190"/>
        <v>-9446.407753788144</v>
      </c>
      <c r="BQ29" s="20">
        <f t="shared" si="190"/>
        <v>-11260.127507458734</v>
      </c>
      <c r="BR29" s="20">
        <f>-BR20</f>
        <v>-9434.0322301929682</v>
      </c>
      <c r="BS29" s="20">
        <f t="shared" ref="BS29:BU29" si="199">-BS20</f>
        <v>-12313.559774315949</v>
      </c>
      <c r="BT29" s="20">
        <f t="shared" si="199"/>
        <v>-13140.278770123407</v>
      </c>
      <c r="BU29" s="20">
        <f t="shared" si="199"/>
        <v>-15663.225460049405</v>
      </c>
      <c r="BV29" s="20">
        <f t="shared" ref="BV29:CC29" si="200">-BV20</f>
        <v>-12265.70466465672</v>
      </c>
      <c r="BW29" s="20">
        <f t="shared" si="200"/>
        <v>-16009.536948472682</v>
      </c>
      <c r="BX29" s="20">
        <f t="shared" si="200"/>
        <v>-17084.399827442136</v>
      </c>
      <c r="BY29" s="20">
        <f t="shared" si="200"/>
        <v>-20364.621712233449</v>
      </c>
      <c r="BZ29" s="20">
        <f t="shared" si="200"/>
        <v>-15181.679414960714</v>
      </c>
      <c r="CA29" s="20">
        <f t="shared" si="200"/>
        <v>-19815.547836727816</v>
      </c>
      <c r="CB29" s="20">
        <f t="shared" si="200"/>
        <v>-21145.942142615229</v>
      </c>
      <c r="CC29" s="20">
        <f t="shared" si="200"/>
        <v>-25205.984221431547</v>
      </c>
      <c r="CD29" s="20">
        <f t="shared" ref="CD29:CG29" si="201">-CD20</f>
        <v>-17894.428075462671</v>
      </c>
      <c r="CE29" s="20">
        <f t="shared" si="201"/>
        <v>-23356.302412155324</v>
      </c>
      <c r="CF29" s="20">
        <f t="shared" si="201"/>
        <v>-24924.419124937922</v>
      </c>
      <c r="CG29" s="20">
        <f t="shared" si="201"/>
        <v>-29709.932570251214</v>
      </c>
      <c r="CH29" s="20"/>
      <c r="CI29" s="89">
        <f>SUM(B29:E29)</f>
        <v>-1067</v>
      </c>
      <c r="CJ29" s="20">
        <f>SUM(F29:I29)</f>
        <v>-1396</v>
      </c>
      <c r="CK29" s="89">
        <f>SUM(J29:M29)</f>
        <v>-1988</v>
      </c>
      <c r="CL29" s="20">
        <f>SUM(N29:Q29)</f>
        <v>-2781</v>
      </c>
      <c r="CM29" s="89">
        <f>SUM(R29:U29)</f>
        <v>-3523</v>
      </c>
      <c r="CN29" s="20">
        <f>SUM(V29:Y29)</f>
        <v>-4132</v>
      </c>
      <c r="CO29" s="89">
        <f>SUM(Z29:AC29)</f>
        <v>-5267</v>
      </c>
      <c r="CP29" s="20">
        <f>SUM(AD29:AG29)</f>
        <v>-6103</v>
      </c>
      <c r="CQ29" s="89">
        <f>SUM(AH29:AK29)</f>
        <v>-8164</v>
      </c>
      <c r="CR29" s="89">
        <f>SUM(AL29:AO29)</f>
        <v>-10856</v>
      </c>
      <c r="CS29" s="89">
        <f>SUM(AP29:AS29)</f>
        <v>-12905</v>
      </c>
      <c r="CT29" s="89">
        <f>SUM(AT29:AW29)</f>
        <v>-11555</v>
      </c>
      <c r="CU29" s="89">
        <f>SUM(AX29:BA29)</f>
        <v>-15287</v>
      </c>
      <c r="CV29" s="89">
        <f>SUM(BB29:BE29)</f>
        <v>-13326</v>
      </c>
      <c r="CW29" s="89">
        <f>SUM(BF29:BI29)</f>
        <v>-15311</v>
      </c>
      <c r="CX29" s="20">
        <f>SUM(BJ29:BM29)</f>
        <v>-23424.023060403924</v>
      </c>
      <c r="CY29" s="89">
        <f>SUM(BN29:BQ29)</f>
        <v>-36340.649676285633</v>
      </c>
      <c r="CZ29" s="89">
        <f t="shared" ref="CZ29:CZ30" si="202">SUM(BR29:BU29)</f>
        <v>-50551.096234681725</v>
      </c>
      <c r="DA29" s="89">
        <f>SUM(BV29:BY29)</f>
        <v>-65724.263152804982</v>
      </c>
      <c r="DB29" s="89">
        <f>SUM(BZ29:CC29)</f>
        <v>-81349.153615735297</v>
      </c>
      <c r="DC29" s="89">
        <f>SUM(CD29:CG29)</f>
        <v>-95885.082182807135</v>
      </c>
    </row>
    <row r="30" spans="1:108" x14ac:dyDescent="0.2">
      <c r="A30" s="1" t="s">
        <v>253</v>
      </c>
      <c r="B30" s="20">
        <f>B31-SUM(B27:B29)</f>
        <v>-47</v>
      </c>
      <c r="C30" s="20">
        <f>C31-SUM(C27:C29)</f>
        <v>-63</v>
      </c>
      <c r="D30" s="20">
        <f t="shared" ref="D30:BA30" si="203">D31-SUM(D27:D29)</f>
        <v>85</v>
      </c>
      <c r="E30" s="20">
        <f t="shared" si="203"/>
        <v>-12</v>
      </c>
      <c r="F30" s="20">
        <f t="shared" si="203"/>
        <v>-99</v>
      </c>
      <c r="G30" s="20">
        <f t="shared" si="203"/>
        <v>184</v>
      </c>
      <c r="H30" s="20">
        <f t="shared" si="203"/>
        <v>-116</v>
      </c>
      <c r="I30" s="20">
        <f t="shared" si="203"/>
        <v>-167</v>
      </c>
      <c r="J30" s="20">
        <f t="shared" si="203"/>
        <v>43</v>
      </c>
      <c r="K30" s="20">
        <f t="shared" si="203"/>
        <v>733</v>
      </c>
      <c r="L30" s="20">
        <f t="shared" si="203"/>
        <v>127</v>
      </c>
      <c r="M30" s="20">
        <f t="shared" si="203"/>
        <v>63</v>
      </c>
      <c r="N30" s="20">
        <f t="shared" si="203"/>
        <v>-173</v>
      </c>
      <c r="O30" s="20">
        <f t="shared" si="203"/>
        <v>-252</v>
      </c>
      <c r="P30" s="20">
        <f t="shared" si="203"/>
        <v>359</v>
      </c>
      <c r="Q30" s="20">
        <f t="shared" si="203"/>
        <v>159</v>
      </c>
      <c r="R30" s="20">
        <f t="shared" si="203"/>
        <v>-176</v>
      </c>
      <c r="S30" s="20">
        <f t="shared" si="203"/>
        <v>-224</v>
      </c>
      <c r="T30" s="20">
        <f t="shared" si="203"/>
        <v>-38</v>
      </c>
      <c r="U30" s="20">
        <f t="shared" si="203"/>
        <v>361</v>
      </c>
      <c r="V30" s="20">
        <f t="shared" si="203"/>
        <v>-424</v>
      </c>
      <c r="W30" s="20">
        <f t="shared" si="203"/>
        <v>56</v>
      </c>
      <c r="X30" s="20">
        <f t="shared" si="203"/>
        <v>-13</v>
      </c>
      <c r="Y30" s="20">
        <f t="shared" si="203"/>
        <v>-269</v>
      </c>
      <c r="Z30" s="20">
        <f t="shared" si="203"/>
        <v>-127</v>
      </c>
      <c r="AA30" s="20">
        <f t="shared" si="203"/>
        <v>399</v>
      </c>
      <c r="AB30" s="20">
        <f t="shared" si="203"/>
        <v>163</v>
      </c>
      <c r="AC30" s="20">
        <f t="shared" si="203"/>
        <v>-133</v>
      </c>
      <c r="AD30" s="20">
        <f t="shared" si="203"/>
        <v>481</v>
      </c>
      <c r="AE30" s="20">
        <f t="shared" si="203"/>
        <v>333</v>
      </c>
      <c r="AF30" s="20">
        <f t="shared" si="203"/>
        <v>467</v>
      </c>
      <c r="AG30" s="20">
        <f t="shared" si="203"/>
        <v>-213</v>
      </c>
      <c r="AH30" s="20">
        <f t="shared" si="203"/>
        <v>954</v>
      </c>
      <c r="AI30" s="20">
        <f t="shared" si="203"/>
        <v>-788</v>
      </c>
      <c r="AJ30" s="20">
        <f t="shared" si="203"/>
        <v>484</v>
      </c>
      <c r="AK30" s="20">
        <f t="shared" si="203"/>
        <v>-289</v>
      </c>
      <c r="AL30" s="20">
        <f t="shared" si="203"/>
        <v>-1413</v>
      </c>
      <c r="AM30" s="20">
        <f t="shared" si="203"/>
        <v>863</v>
      </c>
      <c r="AN30" s="20">
        <f t="shared" si="203"/>
        <v>361</v>
      </c>
      <c r="AO30" s="20">
        <f t="shared" si="203"/>
        <v>1424</v>
      </c>
      <c r="AP30" s="20">
        <f t="shared" si="203"/>
        <v>-5</v>
      </c>
      <c r="AQ30" s="20">
        <f t="shared" si="203"/>
        <v>-212</v>
      </c>
      <c r="AR30" s="20">
        <f t="shared" si="203"/>
        <v>771</v>
      </c>
      <c r="AS30" s="20">
        <f t="shared" si="203"/>
        <v>1173</v>
      </c>
      <c r="AT30" s="20">
        <f>AT31-SUM(AT27:AT29)</f>
        <v>-560</v>
      </c>
      <c r="AU30" s="20">
        <f t="shared" si="203"/>
        <v>1325</v>
      </c>
      <c r="AV30" s="20">
        <f t="shared" si="203"/>
        <v>-800</v>
      </c>
      <c r="AW30" s="20">
        <f t="shared" si="203"/>
        <v>-200</v>
      </c>
      <c r="AX30" s="20">
        <f t="shared" si="203"/>
        <v>424</v>
      </c>
      <c r="AY30" s="20">
        <f t="shared" si="203"/>
        <v>-1125</v>
      </c>
      <c r="AZ30" s="20">
        <f t="shared" si="203"/>
        <v>-1203</v>
      </c>
      <c r="BA30" s="20">
        <f t="shared" si="203"/>
        <v>775</v>
      </c>
      <c r="BB30" s="20">
        <f t="shared" ref="BB30:BC30" si="204">BB31-SUM(BB27:BB29)</f>
        <v>1663</v>
      </c>
      <c r="BC30" s="20">
        <f t="shared" si="204"/>
        <v>39</v>
      </c>
      <c r="BD30" s="20">
        <f t="shared" ref="BD30:BE30" si="205">BD31-SUM(BD27:BD29)</f>
        <v>113</v>
      </c>
      <c r="BE30" s="20">
        <f t="shared" si="205"/>
        <v>937</v>
      </c>
      <c r="BF30" s="20">
        <f t="shared" ref="BF30" si="206">BF31-SUM(BF27:BF29)</f>
        <v>238</v>
      </c>
      <c r="BG30" s="20">
        <f t="shared" ref="BG30" si="207">BG31-SUM(BG27:BG29)</f>
        <v>-1505</v>
      </c>
      <c r="BH30" s="20">
        <f t="shared" ref="BH30" si="208">BH31-SUM(BH27:BH29)</f>
        <v>1039</v>
      </c>
      <c r="BI30" s="20">
        <f t="shared" ref="BI30" si="209">BI31-SUM(BI27:BI29)</f>
        <v>-305</v>
      </c>
      <c r="BJ30" s="20">
        <f t="shared" ref="BJ30:BK30" si="210">BJ31-SUM(BJ27:BJ29)</f>
        <v>1316</v>
      </c>
      <c r="BK30" s="20">
        <f t="shared" si="210"/>
        <v>721</v>
      </c>
      <c r="BL30" s="20">
        <f t="shared" ref="BL30" si="211">BL31-SUM(BL27:BL29)</f>
        <v>2214</v>
      </c>
      <c r="BM30" s="35">
        <v>0</v>
      </c>
      <c r="BN30" s="35">
        <v>0</v>
      </c>
      <c r="BO30" s="35">
        <v>0</v>
      </c>
      <c r="BP30" s="35">
        <v>0</v>
      </c>
      <c r="BQ30" s="35">
        <v>0</v>
      </c>
      <c r="BR30" s="35">
        <v>0</v>
      </c>
      <c r="BS30" s="35">
        <v>0</v>
      </c>
      <c r="BT30" s="35">
        <v>0</v>
      </c>
      <c r="BU30" s="35">
        <v>0</v>
      </c>
      <c r="BV30" s="35">
        <v>0</v>
      </c>
      <c r="BW30" s="35">
        <v>0</v>
      </c>
      <c r="BX30" s="35">
        <v>0</v>
      </c>
      <c r="BY30" s="35">
        <v>0</v>
      </c>
      <c r="BZ30" s="35">
        <v>0</v>
      </c>
      <c r="CA30" s="35">
        <v>0</v>
      </c>
      <c r="CB30" s="35">
        <v>0</v>
      </c>
      <c r="CC30" s="35">
        <v>0</v>
      </c>
      <c r="CD30" s="35">
        <v>0</v>
      </c>
      <c r="CE30" s="35">
        <v>0</v>
      </c>
      <c r="CF30" s="35">
        <v>0</v>
      </c>
      <c r="CG30" s="35">
        <v>0</v>
      </c>
      <c r="CH30" s="35"/>
      <c r="CI30" s="89">
        <f>SUM(B30:E30)</f>
        <v>-37</v>
      </c>
      <c r="CJ30" s="20">
        <f>SUM(F30:I30)</f>
        <v>-198</v>
      </c>
      <c r="CK30" s="89">
        <f>SUM(J30:M30)</f>
        <v>966</v>
      </c>
      <c r="CL30" s="20">
        <f>SUM(N30:Q30)</f>
        <v>93</v>
      </c>
      <c r="CM30" s="89">
        <f>SUM(R30:U30)</f>
        <v>-77</v>
      </c>
      <c r="CN30" s="20">
        <f>SUM(V30:Y30)</f>
        <v>-650</v>
      </c>
      <c r="CO30" s="89">
        <f>SUM(Z30:AC30)</f>
        <v>302</v>
      </c>
      <c r="CP30" s="20">
        <f>SUM(AD30:AG30)</f>
        <v>1068</v>
      </c>
      <c r="CQ30" s="89">
        <f>SUM(AH30:AK30)</f>
        <v>361</v>
      </c>
      <c r="CR30" s="89">
        <f>SUM(AL30:AO30)</f>
        <v>1235</v>
      </c>
      <c r="CS30" s="89">
        <f>SUM(AP30:AS30)</f>
        <v>1727</v>
      </c>
      <c r="CT30" s="89">
        <f>SUM(AT30:AW30)</f>
        <v>-235</v>
      </c>
      <c r="CU30" s="89">
        <f>SUM(AX30:BA30)</f>
        <v>-1129</v>
      </c>
      <c r="CV30" s="89">
        <f>SUM(BB30:BE30)</f>
        <v>2752</v>
      </c>
      <c r="CW30" s="89">
        <f>SUM(BF30:BI30)</f>
        <v>-533</v>
      </c>
      <c r="CX30" s="20">
        <f>SUM(BJ30:BM30)</f>
        <v>4251</v>
      </c>
      <c r="CY30" s="89">
        <f>SUM(BN30:BQ30)</f>
        <v>0</v>
      </c>
      <c r="CZ30" s="89">
        <f t="shared" si="202"/>
        <v>0</v>
      </c>
      <c r="DA30" s="89">
        <f>SUM(BV30:BY30)</f>
        <v>0</v>
      </c>
      <c r="DB30" s="89">
        <f>SUM(BZ30:CC30)</f>
        <v>0</v>
      </c>
      <c r="DC30" s="89">
        <f>SUM(CD30:CG30)</f>
        <v>0</v>
      </c>
    </row>
    <row r="31" spans="1:108" x14ac:dyDescent="0.2">
      <c r="A31" s="1" t="s">
        <v>254</v>
      </c>
      <c r="B31" s="20">
        <f>'Balance Sheet'!B15</f>
        <v>4773</v>
      </c>
      <c r="C31" s="20">
        <f>'Balance Sheet'!C15</f>
        <v>4920</v>
      </c>
      <c r="D31" s="20">
        <f>'Balance Sheet'!D15</f>
        <v>5506</v>
      </c>
      <c r="E31" s="20">
        <f>'Balance Sheet'!E15</f>
        <v>7759</v>
      </c>
      <c r="F31" s="20">
        <f>'Balance Sheet'!F15</f>
        <v>8249</v>
      </c>
      <c r="G31" s="20">
        <f>'Balance Sheet'!G15</f>
        <v>9003</v>
      </c>
      <c r="H31" s="20">
        <f>'Balance Sheet'!H15</f>
        <v>9204</v>
      </c>
      <c r="I31" s="20">
        <f>'Balance Sheet'!I15</f>
        <v>9603</v>
      </c>
      <c r="J31" s="20">
        <f>'Balance Sheet'!J15</f>
        <v>9875</v>
      </c>
      <c r="K31" s="20">
        <f>'Balance Sheet'!K15</f>
        <v>10909</v>
      </c>
      <c r="L31" s="20">
        <f>'Balance Sheet'!L15</f>
        <v>11401</v>
      </c>
      <c r="M31" s="20">
        <f>'Balance Sheet'!M15</f>
        <v>11854</v>
      </c>
      <c r="N31" s="20">
        <f>'Balance Sheet'!N15</f>
        <v>12300</v>
      </c>
      <c r="O31" s="20">
        <f>'Balance Sheet'!O15</f>
        <v>12912</v>
      </c>
      <c r="P31" s="20">
        <f>'Balance Sheet'!P15</f>
        <v>14867</v>
      </c>
      <c r="Q31" s="20">
        <f>'Balance Sheet'!Q15</f>
        <v>16524</v>
      </c>
      <c r="R31" s="20">
        <f>'Balance Sheet'!R15</f>
        <v>17877</v>
      </c>
      <c r="S31" s="20">
        <f>'Balance Sheet'!S15</f>
        <v>19486</v>
      </c>
      <c r="T31" s="20">
        <f>'Balance Sheet'!T15</f>
        <v>20981</v>
      </c>
      <c r="U31" s="20">
        <f>'Balance Sheet'!U15</f>
        <v>23883</v>
      </c>
      <c r="V31" s="20">
        <f>'Balance Sheet'!V15</f>
        <v>25448</v>
      </c>
      <c r="W31" s="20">
        <f>'Balance Sheet'!W15</f>
        <v>27008</v>
      </c>
      <c r="X31" s="20">
        <f>'Balance Sheet'!X15</f>
        <v>28338</v>
      </c>
      <c r="Y31" s="20">
        <f>'Balance Sheet'!Y15</f>
        <v>29016</v>
      </c>
      <c r="Z31" s="20">
        <f>'Balance Sheet'!Z15</f>
        <v>30162</v>
      </c>
      <c r="AA31" s="20">
        <f>'Balance Sheet'!AA15</f>
        <v>31413</v>
      </c>
      <c r="AB31" s="20">
        <f>'Balance Sheet'!AB15</f>
        <v>32753</v>
      </c>
      <c r="AC31" s="20">
        <f>'Balance Sheet'!AC15</f>
        <v>34234</v>
      </c>
      <c r="AD31" s="20">
        <f>'Balance Sheet'!AD15</f>
        <v>35936</v>
      </c>
      <c r="AE31" s="20">
        <f>'Balance Sheet'!AE15</f>
        <v>37676</v>
      </c>
      <c r="AF31" s="20">
        <f>'Balance Sheet'!AF15</f>
        <v>40120</v>
      </c>
      <c r="AG31" s="20">
        <f>'Balance Sheet'!AG15</f>
        <v>42383</v>
      </c>
      <c r="AH31" s="20">
        <f>'Balance Sheet'!AH15</f>
        <v>48845</v>
      </c>
      <c r="AI31" s="20">
        <f>'Balance Sheet'!AI15</f>
        <v>51672</v>
      </c>
      <c r="AJ31" s="20">
        <f>'Balance Sheet'!AJ15</f>
        <v>55300</v>
      </c>
      <c r="AK31" s="20">
        <f>'Balance Sheet'!AK15</f>
        <v>59719</v>
      </c>
      <c r="AL31" s="20">
        <f>'Balance Sheet'!AL15</f>
        <v>60528</v>
      </c>
      <c r="AM31" s="20">
        <f>'Balance Sheet'!AM15</f>
        <v>64891</v>
      </c>
      <c r="AN31" s="20">
        <f>'Balance Sheet'!AN15</f>
        <v>69252</v>
      </c>
      <c r="AO31" s="20">
        <f>'Balance Sheet'!AO15</f>
        <v>73646</v>
      </c>
      <c r="AP31" s="20">
        <f>'Balance Sheet'!AP15</f>
        <v>76747</v>
      </c>
      <c r="AQ31" s="20">
        <f>'Balance Sheet'!AQ15</f>
        <v>78748</v>
      </c>
      <c r="AR31" s="20">
        <f>'Balance Sheet'!AR15</f>
        <v>81636</v>
      </c>
      <c r="AS31" s="20">
        <f>'Balance Sheet'!AS15</f>
        <v>84749</v>
      </c>
      <c r="AT31" s="20">
        <f>'Balance Sheet'!AT15</f>
        <v>87606</v>
      </c>
      <c r="AU31" s="20">
        <f>'Balance Sheet'!AU15</f>
        <v>91697</v>
      </c>
      <c r="AV31" s="20">
        <f>'Balance Sheet'!AV15</f>
        <v>94631</v>
      </c>
      <c r="AW31" s="20">
        <f>'Balance Sheet'!AW15</f>
        <v>97599</v>
      </c>
      <c r="AX31" s="20">
        <f>'Balance Sheet'!AX15</f>
        <v>104218</v>
      </c>
      <c r="AY31" s="20">
        <f>'Balance Sheet'!AY15</f>
        <v>106223</v>
      </c>
      <c r="AZ31" s="20">
        <f>'Balance Sheet'!AZ15</f>
        <v>108363</v>
      </c>
      <c r="BA31" s="20">
        <f>'Balance Sheet'!BA15</f>
        <v>112668</v>
      </c>
      <c r="BB31" s="20">
        <f>'Balance Sheet'!BB15</f>
        <v>117560</v>
      </c>
      <c r="BC31" s="20">
        <f>'Balance Sheet'!BC15</f>
        <v>121208</v>
      </c>
      <c r="BD31" s="20">
        <f>'Balance Sheet'!BD15</f>
        <v>125705</v>
      </c>
      <c r="BE31" s="20">
        <f>'Balance Sheet'!BE15</f>
        <v>134345</v>
      </c>
      <c r="BF31" s="20">
        <f>'Balance Sheet'!BF15</f>
        <v>143182</v>
      </c>
      <c r="BG31" s="20">
        <f>'Balance Sheet'!BG15</f>
        <v>151155</v>
      </c>
      <c r="BH31" s="20">
        <f>'Balance Sheet'!BH15</f>
        <v>161270</v>
      </c>
      <c r="BI31" s="20">
        <f>'Balance Sheet'!BI15</f>
        <v>171036</v>
      </c>
      <c r="BJ31" s="20">
        <f>'Balance Sheet'!BJ15</f>
        <v>185062</v>
      </c>
      <c r="BK31" s="20">
        <f>'Balance Sheet'!BK15</f>
        <v>203231</v>
      </c>
      <c r="BL31" s="20">
        <f>'Balance Sheet'!BL15</f>
        <v>223787</v>
      </c>
      <c r="BM31" s="20">
        <f t="shared" ref="BM31:BQ31" si="212">SUM(BM27:BM30)</f>
        <v>244010.97693959606</v>
      </c>
      <c r="BN31" s="20">
        <f t="shared" si="212"/>
        <v>259928.9907156619</v>
      </c>
      <c r="BO31" s="20">
        <f t="shared" si="212"/>
        <v>280705.62252455729</v>
      </c>
      <c r="BP31" s="20">
        <f t="shared" si="212"/>
        <v>302877.17477076914</v>
      </c>
      <c r="BQ31" s="20">
        <f t="shared" si="212"/>
        <v>329305.68726331042</v>
      </c>
      <c r="BR31" s="20">
        <f>SUM(BR27:BR30)</f>
        <v>345976.70103311742</v>
      </c>
      <c r="BS31" s="20">
        <f t="shared" ref="BS31:BU31" si="213">SUM(BS27:BS30)</f>
        <v>367736.16925880144</v>
      </c>
      <c r="BT31" s="20">
        <f t="shared" si="213"/>
        <v>390956.54448867799</v>
      </c>
      <c r="BU31" s="20">
        <f t="shared" si="213"/>
        <v>418635.25502862857</v>
      </c>
      <c r="BV31" s="20">
        <f t="shared" ref="BV31:CC31" si="214">SUM(BV27:BV30)</f>
        <v>435085.10096397187</v>
      </c>
      <c r="BW31" s="20">
        <f t="shared" si="214"/>
        <v>456555.8948154992</v>
      </c>
      <c r="BX31" s="20">
        <f t="shared" si="214"/>
        <v>479468.21438805707</v>
      </c>
      <c r="BY31" s="20">
        <f t="shared" si="214"/>
        <v>506779.72227582365</v>
      </c>
      <c r="BZ31" s="20">
        <f t="shared" si="214"/>
        <v>522610.8375088629</v>
      </c>
      <c r="CA31" s="20">
        <f t="shared" si="214"/>
        <v>543274.04693613504</v>
      </c>
      <c r="CB31" s="20">
        <f t="shared" si="214"/>
        <v>565324.56174551987</v>
      </c>
      <c r="CC31" s="20">
        <f t="shared" si="214"/>
        <v>591608.79749208828</v>
      </c>
      <c r="CD31" s="20">
        <f t="shared" ref="CD31:CG31" si="215">SUM(CD27:CD30)</f>
        <v>606587.93174350564</v>
      </c>
      <c r="CE31" s="20">
        <f t="shared" si="215"/>
        <v>626139.11203119031</v>
      </c>
      <c r="CF31" s="20">
        <f t="shared" si="215"/>
        <v>647002.93727537233</v>
      </c>
      <c r="CG31" s="20">
        <f t="shared" si="215"/>
        <v>671872.63787120115</v>
      </c>
      <c r="CH31" s="20"/>
      <c r="CI31" s="89">
        <f>E31</f>
        <v>7759</v>
      </c>
      <c r="CJ31" s="20">
        <f>I31</f>
        <v>9603</v>
      </c>
      <c r="CK31" s="89">
        <f>M31</f>
        <v>11854</v>
      </c>
      <c r="CL31" s="20">
        <f>Q31</f>
        <v>16524</v>
      </c>
      <c r="CM31" s="89">
        <f>U31</f>
        <v>23883</v>
      </c>
      <c r="CN31" s="20">
        <f>Y31</f>
        <v>29016</v>
      </c>
      <c r="CO31" s="89">
        <f>AC31</f>
        <v>34234</v>
      </c>
      <c r="CP31" s="20">
        <f>AG31</f>
        <v>42383</v>
      </c>
      <c r="CQ31" s="89">
        <f>AK31</f>
        <v>59719</v>
      </c>
      <c r="CR31" s="89">
        <f>AO31</f>
        <v>73646</v>
      </c>
      <c r="CS31" s="89">
        <f>AS31</f>
        <v>84749</v>
      </c>
      <c r="CT31" s="89">
        <f>AW31</f>
        <v>97599</v>
      </c>
      <c r="CU31" s="89">
        <f>BA31</f>
        <v>112668</v>
      </c>
      <c r="CV31" s="89">
        <f>BE31</f>
        <v>134345</v>
      </c>
      <c r="CW31" s="89">
        <f>BI31</f>
        <v>171036</v>
      </c>
      <c r="CX31" s="20">
        <f>BM31</f>
        <v>244010.97693959606</v>
      </c>
      <c r="CY31" s="89">
        <f>BQ31</f>
        <v>329305.68726331042</v>
      </c>
      <c r="CZ31" s="89">
        <f>BU31</f>
        <v>418635.25502862857</v>
      </c>
      <c r="DA31" s="89">
        <f>BY31</f>
        <v>506779.72227582365</v>
      </c>
      <c r="DB31" s="89">
        <f>CC31</f>
        <v>591608.79749208828</v>
      </c>
      <c r="DC31" s="89">
        <f>CG31</f>
        <v>671872.63787120115</v>
      </c>
    </row>
    <row r="32" spans="1:108" x14ac:dyDescent="0.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89"/>
      <c r="CJ32" s="20"/>
      <c r="CK32" s="89"/>
      <c r="CL32" s="20"/>
      <c r="CM32" s="89"/>
      <c r="CN32" s="20"/>
      <c r="CO32" s="89"/>
      <c r="CP32" s="20"/>
      <c r="CQ32" s="89"/>
      <c r="CR32" s="89"/>
      <c r="CS32" s="89"/>
      <c r="CT32" s="89"/>
      <c r="CU32" s="89"/>
      <c r="CV32" s="89"/>
      <c r="CW32" s="89"/>
      <c r="CX32" s="20"/>
      <c r="CY32" s="89"/>
      <c r="CZ32" s="89"/>
      <c r="DA32" s="89"/>
      <c r="DB32" s="89"/>
      <c r="DC32" s="89"/>
    </row>
    <row r="33" spans="1:107" x14ac:dyDescent="0.2">
      <c r="A33" s="323" t="s">
        <v>344</v>
      </c>
      <c r="B33" s="20">
        <f>'Cash Flow Statement'!B6</f>
        <v>67</v>
      </c>
      <c r="C33" s="20">
        <f>'Cash Flow Statement'!C6</f>
        <v>76</v>
      </c>
      <c r="D33" s="20">
        <f>'Cash Flow Statement'!D6</f>
        <v>85</v>
      </c>
      <c r="E33" s="20">
        <f>'Cash Flow Statement'!E6</f>
        <v>101</v>
      </c>
      <c r="F33" s="20">
        <f>'Cash Flow Statement'!F6</f>
        <v>100</v>
      </c>
      <c r="G33" s="20">
        <f>'Cash Flow Statement'!G6</f>
        <v>108</v>
      </c>
      <c r="H33" s="20">
        <f>'Cash Flow Statement'!H6</f>
        <v>129</v>
      </c>
      <c r="I33" s="20">
        <f>'Cash Flow Statement'!I6</f>
        <v>118</v>
      </c>
      <c r="J33" s="20">
        <f>'Cash Flow Statement'!J6</f>
        <v>133</v>
      </c>
      <c r="K33" s="20">
        <f>'Cash Flow Statement'!K6</f>
        <v>197</v>
      </c>
      <c r="L33" s="20">
        <f>'Cash Flow Statement'!L6</f>
        <v>321</v>
      </c>
      <c r="M33" s="20">
        <f>'Cash Flow Statement'!M6</f>
        <v>323</v>
      </c>
      <c r="N33" s="20">
        <f>'Cash Flow Statement'!N6</f>
        <v>315</v>
      </c>
      <c r="O33" s="20">
        <f>'Cash Flow Statement'!O6</f>
        <v>283</v>
      </c>
      <c r="P33" s="20">
        <f>'Cash Flow Statement'!P6</f>
        <v>281</v>
      </c>
      <c r="Q33" s="20">
        <f>'Cash Flow Statement'!Q6</f>
        <v>279</v>
      </c>
      <c r="R33" s="20">
        <f>'Cash Flow Statement'!R6</f>
        <v>270</v>
      </c>
      <c r="S33" s="20">
        <f>'Cash Flow Statement'!S6</f>
        <v>266</v>
      </c>
      <c r="T33" s="20">
        <f>'Cash Flow Statement'!T6</f>
        <v>663</v>
      </c>
      <c r="U33" s="20">
        <f>'Cash Flow Statement'!U6</f>
        <v>257</v>
      </c>
      <c r="V33" s="20">
        <f>'Cash Flow Statement'!V6</f>
        <v>239</v>
      </c>
      <c r="W33" s="20">
        <f>'Cash Flow Statement'!W6</f>
        <v>223</v>
      </c>
      <c r="X33" s="20">
        <f>'Cash Flow Statement'!X6</f>
        <v>218</v>
      </c>
      <c r="Y33" s="20">
        <f>'Cash Flow Statement'!Y6</f>
        <v>251</v>
      </c>
      <c r="Z33" s="20">
        <f>'Cash Flow Statement'!Z6</f>
        <v>216</v>
      </c>
      <c r="AA33" s="20">
        <f>'Cash Flow Statement'!AA6</f>
        <v>219</v>
      </c>
      <c r="AB33" s="20">
        <f>'Cash Flow Statement'!AB6</f>
        <v>219</v>
      </c>
      <c r="AC33" s="20">
        <f>'Cash Flow Statement'!AC6</f>
        <v>223</v>
      </c>
      <c r="AD33" s="20">
        <f>'Cash Flow Statement'!AD6</f>
        <v>216</v>
      </c>
      <c r="AE33" s="20">
        <f>'Cash Flow Statement'!AE6</f>
        <v>201</v>
      </c>
      <c r="AF33" s="20">
        <f>'Cash Flow Statement'!AF6</f>
        <v>200</v>
      </c>
      <c r="AG33" s="20">
        <f>'Cash Flow Statement'!AG6</f>
        <v>195</v>
      </c>
      <c r="AH33" s="20">
        <f>'Cash Flow Statement'!AH6</f>
        <v>195</v>
      </c>
      <c r="AI33" s="20">
        <f>'Cash Flow Statement'!AI6</f>
        <v>252</v>
      </c>
      <c r="AJ33" s="20">
        <f>'Cash Flow Statement'!AJ6</f>
        <v>217</v>
      </c>
      <c r="AK33" s="20">
        <f>'Cash Flow Statement'!AK6</f>
        <v>207</v>
      </c>
      <c r="AL33" s="20">
        <f>'Cash Flow Statement'!AL6</f>
        <v>197</v>
      </c>
      <c r="AM33" s="20">
        <f>'Cash Flow Statement'!AM6</f>
        <v>209</v>
      </c>
      <c r="AN33" s="20">
        <f>'Cash Flow Statement'!AN6</f>
        <v>188</v>
      </c>
      <c r="AO33" s="20">
        <f>'Cash Flow Statement'!AO6</f>
        <v>331</v>
      </c>
      <c r="AP33" s="20">
        <f>'Cash Flow Statement'!AP6</f>
        <v>209</v>
      </c>
      <c r="AQ33" s="20">
        <f>'Cash Flow Statement'!AQ6</f>
        <v>208</v>
      </c>
      <c r="AR33" s="20">
        <f>'Cash Flow Statement'!AR6</f>
        <v>189</v>
      </c>
      <c r="AS33" s="20">
        <f>'Cash Flow Statement'!AS6</f>
        <v>186</v>
      </c>
      <c r="AT33" s="20">
        <f>'Cash Flow Statement'!AT6</f>
        <v>228</v>
      </c>
      <c r="AU33" s="20">
        <f>'Cash Flow Statement'!AU6</f>
        <v>215</v>
      </c>
      <c r="AV33" s="20">
        <f>'Cash Flow Statement'!AV6</f>
        <v>219</v>
      </c>
      <c r="AW33" s="20">
        <f>'Cash Flow Statement'!AW6</f>
        <v>224</v>
      </c>
      <c r="AX33" s="20">
        <f>'Cash Flow Statement'!AX6</f>
        <v>191</v>
      </c>
      <c r="AY33" s="20">
        <f>'Cash Flow Statement'!AY6</f>
        <v>201</v>
      </c>
      <c r="AZ33" s="20">
        <f>'Cash Flow Statement'!AZ6</f>
        <v>113</v>
      </c>
      <c r="BA33" s="20">
        <f>'Cash Flow Statement'!BA6</f>
        <v>136</v>
      </c>
      <c r="BB33" s="20">
        <f>'Cash Flow Statement'!BB6</f>
        <v>126</v>
      </c>
      <c r="BC33" s="20">
        <f>'Cash Flow Statement'!BC6</f>
        <v>118</v>
      </c>
      <c r="BD33" s="20">
        <f>'Cash Flow Statement'!BD6</f>
        <v>129</v>
      </c>
      <c r="BE33" s="20">
        <f>'Cash Flow Statement'!BE6</f>
        <v>0</v>
      </c>
      <c r="BF33" s="20">
        <f>'Cash Flow Statement'!BF6</f>
        <v>0</v>
      </c>
      <c r="BG33" s="20">
        <f>'Cash Flow Statement'!BG6</f>
        <v>0</v>
      </c>
      <c r="BH33" s="20">
        <f>'Cash Flow Statement'!BH6</f>
        <v>0</v>
      </c>
      <c r="BI33" s="20">
        <f>'Cash Flow Statement'!BI6</f>
        <v>0</v>
      </c>
      <c r="BJ33" s="20">
        <f>'Cash Flow Statement'!BJ6</f>
        <v>0</v>
      </c>
      <c r="BK33" s="20">
        <f>'Cash Flow Statement'!BK6</f>
        <v>0</v>
      </c>
      <c r="BL33" s="20">
        <f>'Cash Flow Statement'!BL6</f>
        <v>0</v>
      </c>
      <c r="BM33" s="20">
        <f t="shared" ref="BM33:CC33" si="216">BM34*BM36</f>
        <v>0</v>
      </c>
      <c r="BN33" s="20">
        <f t="shared" si="216"/>
        <v>0</v>
      </c>
      <c r="BO33" s="20">
        <f t="shared" si="216"/>
        <v>0</v>
      </c>
      <c r="BP33" s="20">
        <f t="shared" si="216"/>
        <v>0</v>
      </c>
      <c r="BQ33" s="20">
        <f t="shared" si="216"/>
        <v>0</v>
      </c>
      <c r="BR33" s="20">
        <f t="shared" si="216"/>
        <v>0</v>
      </c>
      <c r="BS33" s="20">
        <f t="shared" si="216"/>
        <v>0</v>
      </c>
      <c r="BT33" s="20">
        <f t="shared" si="216"/>
        <v>0</v>
      </c>
      <c r="BU33" s="20">
        <f t="shared" si="216"/>
        <v>0</v>
      </c>
      <c r="BV33" s="20">
        <f t="shared" si="216"/>
        <v>0</v>
      </c>
      <c r="BW33" s="20">
        <f t="shared" si="216"/>
        <v>0</v>
      </c>
      <c r="BX33" s="20">
        <f t="shared" si="216"/>
        <v>0</v>
      </c>
      <c r="BY33" s="20">
        <f t="shared" si="216"/>
        <v>0</v>
      </c>
      <c r="BZ33" s="20">
        <f t="shared" si="216"/>
        <v>0</v>
      </c>
      <c r="CA33" s="20">
        <f t="shared" si="216"/>
        <v>0</v>
      </c>
      <c r="CB33" s="20">
        <f t="shared" si="216"/>
        <v>0</v>
      </c>
      <c r="CC33" s="20">
        <f t="shared" si="216"/>
        <v>0</v>
      </c>
      <c r="CD33" s="20">
        <f t="shared" ref="CD33:CG33" si="217">CD34*CD36</f>
        <v>0</v>
      </c>
      <c r="CE33" s="20">
        <f t="shared" si="217"/>
        <v>0</v>
      </c>
      <c r="CF33" s="20">
        <f t="shared" si="217"/>
        <v>0</v>
      </c>
      <c r="CG33" s="20">
        <f t="shared" si="217"/>
        <v>0</v>
      </c>
      <c r="CH33" s="20"/>
      <c r="CI33" s="89"/>
      <c r="CJ33" s="20"/>
      <c r="CK33" s="89"/>
      <c r="CL33" s="20"/>
      <c r="CM33" s="89"/>
      <c r="CN33" s="20"/>
      <c r="CO33" s="89"/>
      <c r="CP33" s="20"/>
      <c r="CQ33" s="89"/>
      <c r="CR33" s="89"/>
      <c r="CS33" s="89"/>
      <c r="CT33" s="89"/>
      <c r="CU33" s="89"/>
      <c r="CV33" s="89"/>
      <c r="CW33" s="89"/>
      <c r="CX33" s="20"/>
      <c r="CY33" s="89"/>
      <c r="CZ33" s="89"/>
      <c r="DA33" s="89"/>
      <c r="DB33" s="89"/>
      <c r="DC33" s="89"/>
    </row>
    <row r="34" spans="1:107" x14ac:dyDescent="0.2">
      <c r="A34" s="7" t="s">
        <v>439</v>
      </c>
      <c r="B34" s="20"/>
      <c r="C34" s="22">
        <f>C33/C36</f>
        <v>9.6202531645569619E-2</v>
      </c>
      <c r="D34" s="22">
        <f t="shared" ref="D34:BD34" si="218">D33/D36</f>
        <v>9.4026548672566365E-2</v>
      </c>
      <c r="E34" s="22">
        <f t="shared" si="218"/>
        <v>0.10171198388721048</v>
      </c>
      <c r="F34" s="22">
        <f t="shared" si="218"/>
        <v>9.5785440613026823E-2</v>
      </c>
      <c r="G34" s="22">
        <f t="shared" si="218"/>
        <v>0.1062992125984252</v>
      </c>
      <c r="H34" s="22">
        <f t="shared" si="218"/>
        <v>9.3410572049239679E-2</v>
      </c>
      <c r="I34" s="22">
        <f t="shared" si="218"/>
        <v>8.0054274084124827E-2</v>
      </c>
      <c r="J34" s="22">
        <f t="shared" si="218"/>
        <v>8.428390367553866E-2</v>
      </c>
      <c r="K34" s="22">
        <f t="shared" si="218"/>
        <v>0.12783906554185595</v>
      </c>
      <c r="L34" s="22">
        <f t="shared" si="218"/>
        <v>4.082930552022386E-2</v>
      </c>
      <c r="M34" s="22">
        <f t="shared" si="218"/>
        <v>4.1655919525406239E-2</v>
      </c>
      <c r="N34" s="22">
        <f t="shared" si="218"/>
        <v>4.2151746286631875E-2</v>
      </c>
      <c r="O34" s="22">
        <f t="shared" si="218"/>
        <v>3.86400873839432E-2</v>
      </c>
      <c r="P34" s="22">
        <f t="shared" si="218"/>
        <v>4.2848429399207077E-2</v>
      </c>
      <c r="Q34" s="22">
        <f t="shared" si="218"/>
        <v>4.4356120826709061E-2</v>
      </c>
      <c r="R34" s="22">
        <f t="shared" si="218"/>
        <v>4.4510385756676561E-2</v>
      </c>
      <c r="S34" s="22">
        <f t="shared" si="218"/>
        <v>5.002821139740455E-2</v>
      </c>
      <c r="T34" s="22">
        <f t="shared" si="218"/>
        <v>0.12667176155903706</v>
      </c>
      <c r="U34" s="22">
        <f t="shared" si="218"/>
        <v>5.4173693086003373E-2</v>
      </c>
      <c r="V34" s="22">
        <f t="shared" si="218"/>
        <v>5.1877577599305405E-2</v>
      </c>
      <c r="W34" s="22">
        <f t="shared" si="218"/>
        <v>5.0913242009132421E-2</v>
      </c>
      <c r="X34" s="22">
        <f t="shared" si="218"/>
        <v>5.1744600047472111E-2</v>
      </c>
      <c r="Y34" s="22">
        <f t="shared" si="218"/>
        <v>6.2391250310713395E-2</v>
      </c>
      <c r="Z34" s="22">
        <f t="shared" si="218"/>
        <v>5.614764751754614E-2</v>
      </c>
      <c r="AA34" s="22">
        <f t="shared" si="218"/>
        <v>5.988515176374077E-2</v>
      </c>
      <c r="AB34" s="22">
        <f t="shared" si="218"/>
        <v>6.3441483198146006E-2</v>
      </c>
      <c r="AC34" s="22">
        <f t="shared" si="218"/>
        <v>6.6231066231066227E-2</v>
      </c>
      <c r="AD34" s="22">
        <f t="shared" si="218"/>
        <v>6.5315996371333535E-2</v>
      </c>
      <c r="AE34" s="22">
        <f t="shared" si="218"/>
        <v>6.4073956008925723E-2</v>
      </c>
      <c r="AF34" s="22">
        <f t="shared" si="218"/>
        <v>6.8189566996249576E-2</v>
      </c>
      <c r="AG34" s="22">
        <f t="shared" si="218"/>
        <v>6.763787721123829E-2</v>
      </c>
      <c r="AH34" s="22">
        <f t="shared" si="218"/>
        <v>7.2436849925705801E-2</v>
      </c>
      <c r="AI34" s="22">
        <f t="shared" si="218"/>
        <v>8.9711641153435384E-2</v>
      </c>
      <c r="AJ34" s="22">
        <f t="shared" si="218"/>
        <v>8.1517655897821187E-2</v>
      </c>
      <c r="AK34" s="22">
        <f t="shared" si="218"/>
        <v>8.455882352941177E-2</v>
      </c>
      <c r="AL34" s="22">
        <f t="shared" si="218"/>
        <v>8.8738738738738734E-2</v>
      </c>
      <c r="AM34" s="22">
        <f t="shared" si="218"/>
        <v>0.10130877363063499</v>
      </c>
      <c r="AN34" s="22">
        <f t="shared" si="218"/>
        <v>9.8843322818086221E-2</v>
      </c>
      <c r="AO34" s="22">
        <f t="shared" si="218"/>
        <v>0.18946765884373212</v>
      </c>
      <c r="AP34" s="22">
        <f t="shared" si="218"/>
        <v>0.1056088933804952</v>
      </c>
      <c r="AQ34" s="22">
        <f t="shared" si="218"/>
        <v>0.11304347826086956</v>
      </c>
      <c r="AR34" s="22">
        <f t="shared" si="218"/>
        <v>0.11137301119622864</v>
      </c>
      <c r="AS34" s="22">
        <f t="shared" si="218"/>
        <v>0.12236842105263158</v>
      </c>
      <c r="AT34" s="22">
        <f t="shared" si="218"/>
        <v>0.15778546712802768</v>
      </c>
      <c r="AU34" s="22">
        <f t="shared" si="218"/>
        <v>0.11793746571585299</v>
      </c>
      <c r="AV34" s="22">
        <f t="shared" si="218"/>
        <v>0.13468634686346864</v>
      </c>
      <c r="AW34" s="22">
        <f t="shared" si="218"/>
        <v>0.14460942543576502</v>
      </c>
      <c r="AX34" s="22">
        <f t="shared" si="218"/>
        <v>0.13479181369089627</v>
      </c>
      <c r="AY34" s="22">
        <f t="shared" si="218"/>
        <v>0.15308453922315307</v>
      </c>
      <c r="AZ34" s="22">
        <f t="shared" si="218"/>
        <v>8.2062454611474225E-2</v>
      </c>
      <c r="BA34" s="22">
        <f t="shared" si="218"/>
        <v>6.2043795620437957E-2</v>
      </c>
      <c r="BB34" s="22">
        <f t="shared" si="218"/>
        <v>6.0460652591170824E-2</v>
      </c>
      <c r="BC34" s="22">
        <f t="shared" si="218"/>
        <v>5.9959349593495935E-2</v>
      </c>
      <c r="BD34" s="22">
        <f t="shared" si="218"/>
        <v>6.561546286876907E-2</v>
      </c>
      <c r="BE34" s="22">
        <f t="shared" ref="BE34" si="219">BE33/BE36</f>
        <v>0</v>
      </c>
      <c r="BF34" s="22" t="e">
        <f t="shared" ref="BF34" si="220">BF33/BF36</f>
        <v>#DIV/0!</v>
      </c>
      <c r="BG34" s="22" t="e">
        <f t="shared" ref="BG34" si="221">BG33/BG36</f>
        <v>#DIV/0!</v>
      </c>
      <c r="BH34" s="22" t="e">
        <f t="shared" ref="BH34" si="222">BH33/BH36</f>
        <v>#DIV/0!</v>
      </c>
      <c r="BI34" s="22" t="e">
        <f t="shared" ref="BI34" si="223">BI33/BI36</f>
        <v>#DIV/0!</v>
      </c>
      <c r="BJ34" s="22" t="e">
        <f t="shared" ref="BJ34:BK34" si="224">BJ33/BJ36</f>
        <v>#DIV/0!</v>
      </c>
      <c r="BK34" s="22" t="e">
        <f t="shared" si="224"/>
        <v>#DIV/0!</v>
      </c>
      <c r="BL34" s="22" t="e">
        <f t="shared" ref="BL34" si="225">BL33/BL36</f>
        <v>#DIV/0!</v>
      </c>
      <c r="BM34" s="26">
        <v>0</v>
      </c>
      <c r="BN34" s="26">
        <v>0</v>
      </c>
      <c r="BO34" s="26">
        <v>0</v>
      </c>
      <c r="BP34" s="26">
        <v>0</v>
      </c>
      <c r="BQ34" s="26">
        <v>0</v>
      </c>
      <c r="BR34" s="26">
        <v>0</v>
      </c>
      <c r="BS34" s="26">
        <v>0</v>
      </c>
      <c r="BT34" s="26">
        <v>0</v>
      </c>
      <c r="BU34" s="26">
        <v>0</v>
      </c>
      <c r="BV34" s="26">
        <v>0</v>
      </c>
      <c r="BW34" s="26">
        <v>0</v>
      </c>
      <c r="BX34" s="26">
        <v>0</v>
      </c>
      <c r="BY34" s="26">
        <v>0</v>
      </c>
      <c r="BZ34" s="26">
        <v>0</v>
      </c>
      <c r="CA34" s="26">
        <v>0</v>
      </c>
      <c r="CB34" s="26">
        <v>0</v>
      </c>
      <c r="CC34" s="26">
        <v>0</v>
      </c>
      <c r="CD34" s="26">
        <v>0</v>
      </c>
      <c r="CE34" s="26">
        <v>0</v>
      </c>
      <c r="CF34" s="26">
        <v>0</v>
      </c>
      <c r="CG34" s="26">
        <v>0</v>
      </c>
      <c r="CH34" s="26"/>
      <c r="CI34" s="89"/>
      <c r="CJ34" s="20"/>
      <c r="CK34" s="89"/>
      <c r="CL34" s="20"/>
      <c r="CM34" s="89"/>
      <c r="CN34" s="20"/>
      <c r="CO34" s="89"/>
      <c r="CP34" s="20"/>
      <c r="CQ34" s="89"/>
      <c r="CR34" s="89"/>
      <c r="CS34" s="89"/>
      <c r="CT34" s="89"/>
      <c r="CU34" s="89"/>
      <c r="CV34" s="89"/>
      <c r="CW34" s="89"/>
      <c r="CX34" s="20"/>
      <c r="CY34" s="89"/>
      <c r="CZ34" s="89"/>
      <c r="DA34" s="89"/>
      <c r="DB34" s="89"/>
      <c r="DC34" s="89"/>
    </row>
    <row r="35" spans="1:107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89"/>
      <c r="CJ35" s="20"/>
      <c r="CK35" s="89"/>
      <c r="CL35" s="20"/>
      <c r="CM35" s="89"/>
      <c r="CN35" s="20"/>
      <c r="CO35" s="89"/>
      <c r="CP35" s="20"/>
      <c r="CQ35" s="89"/>
      <c r="CR35" s="89"/>
      <c r="CS35" s="89"/>
      <c r="CT35" s="89"/>
      <c r="CU35" s="89"/>
      <c r="CV35" s="89"/>
      <c r="CW35" s="89"/>
      <c r="CX35" s="20"/>
      <c r="CY35" s="89"/>
      <c r="CZ35" s="89"/>
      <c r="DA35" s="89"/>
      <c r="DB35" s="89"/>
      <c r="DC35" s="89"/>
    </row>
    <row r="36" spans="1:107" x14ac:dyDescent="0.2">
      <c r="A36" s="323" t="s">
        <v>440</v>
      </c>
      <c r="B36" s="20"/>
      <c r="C36" s="20">
        <f>B39</f>
        <v>790</v>
      </c>
      <c r="D36" s="20">
        <f t="shared" ref="D36:BO36" si="226">C39</f>
        <v>904</v>
      </c>
      <c r="E36" s="20">
        <f t="shared" si="226"/>
        <v>993</v>
      </c>
      <c r="F36" s="20">
        <f t="shared" si="226"/>
        <v>1044</v>
      </c>
      <c r="G36" s="20">
        <f t="shared" si="226"/>
        <v>1016</v>
      </c>
      <c r="H36" s="20">
        <f t="shared" si="226"/>
        <v>1381</v>
      </c>
      <c r="I36" s="20">
        <f t="shared" si="226"/>
        <v>1474</v>
      </c>
      <c r="J36" s="20">
        <f t="shared" si="226"/>
        <v>1578</v>
      </c>
      <c r="K36" s="20">
        <f t="shared" si="226"/>
        <v>1541</v>
      </c>
      <c r="L36" s="20">
        <f t="shared" si="226"/>
        <v>7862</v>
      </c>
      <c r="M36" s="20">
        <f t="shared" si="226"/>
        <v>7754</v>
      </c>
      <c r="N36" s="20">
        <f t="shared" si="226"/>
        <v>7473</v>
      </c>
      <c r="O36" s="20">
        <f t="shared" si="226"/>
        <v>7324</v>
      </c>
      <c r="P36" s="20">
        <f t="shared" si="226"/>
        <v>6558</v>
      </c>
      <c r="Q36" s="20">
        <f t="shared" si="226"/>
        <v>6290</v>
      </c>
      <c r="R36" s="20">
        <f t="shared" si="226"/>
        <v>6066</v>
      </c>
      <c r="S36" s="20">
        <f t="shared" si="226"/>
        <v>5317</v>
      </c>
      <c r="T36" s="20">
        <f t="shared" si="226"/>
        <v>5234</v>
      </c>
      <c r="U36" s="20">
        <f t="shared" si="226"/>
        <v>4744</v>
      </c>
      <c r="V36" s="20">
        <f t="shared" si="226"/>
        <v>4607</v>
      </c>
      <c r="W36" s="20">
        <f t="shared" si="226"/>
        <v>4380</v>
      </c>
      <c r="X36" s="20">
        <f t="shared" si="226"/>
        <v>4213</v>
      </c>
      <c r="Y36" s="20">
        <f t="shared" si="226"/>
        <v>4023</v>
      </c>
      <c r="Z36" s="20">
        <f t="shared" si="226"/>
        <v>3847</v>
      </c>
      <c r="AA36" s="20">
        <f t="shared" si="226"/>
        <v>3657</v>
      </c>
      <c r="AB36" s="20">
        <f t="shared" si="226"/>
        <v>3452</v>
      </c>
      <c r="AC36" s="20">
        <f t="shared" si="226"/>
        <v>3367</v>
      </c>
      <c r="AD36" s="20">
        <f t="shared" si="226"/>
        <v>3307</v>
      </c>
      <c r="AE36" s="20">
        <f t="shared" si="226"/>
        <v>3137</v>
      </c>
      <c r="AF36" s="20">
        <f t="shared" si="226"/>
        <v>2933</v>
      </c>
      <c r="AG36" s="20">
        <f t="shared" si="226"/>
        <v>2883</v>
      </c>
      <c r="AH36" s="20">
        <f t="shared" si="226"/>
        <v>2692</v>
      </c>
      <c r="AI36" s="20">
        <f t="shared" si="226"/>
        <v>2809</v>
      </c>
      <c r="AJ36" s="20">
        <f t="shared" si="226"/>
        <v>2662</v>
      </c>
      <c r="AK36" s="20">
        <f t="shared" si="226"/>
        <v>2448</v>
      </c>
      <c r="AL36" s="20">
        <f t="shared" si="226"/>
        <v>2220</v>
      </c>
      <c r="AM36" s="20">
        <f t="shared" si="226"/>
        <v>2063</v>
      </c>
      <c r="AN36" s="20">
        <f t="shared" si="226"/>
        <v>1902</v>
      </c>
      <c r="AO36" s="20">
        <f t="shared" si="226"/>
        <v>1747</v>
      </c>
      <c r="AP36" s="20">
        <f t="shared" si="226"/>
        <v>1979</v>
      </c>
      <c r="AQ36" s="20">
        <f t="shared" si="226"/>
        <v>1840</v>
      </c>
      <c r="AR36" s="20">
        <f t="shared" si="226"/>
        <v>1697</v>
      </c>
      <c r="AS36" s="20">
        <f t="shared" si="226"/>
        <v>1520</v>
      </c>
      <c r="AT36" s="20">
        <f t="shared" si="226"/>
        <v>1445</v>
      </c>
      <c r="AU36" s="20">
        <f t="shared" si="226"/>
        <v>1823</v>
      </c>
      <c r="AV36" s="20">
        <f t="shared" si="226"/>
        <v>1626</v>
      </c>
      <c r="AW36" s="20">
        <f t="shared" si="226"/>
        <v>1549</v>
      </c>
      <c r="AX36" s="20">
        <f t="shared" si="226"/>
        <v>1417</v>
      </c>
      <c r="AY36" s="20">
        <f t="shared" si="226"/>
        <v>1313</v>
      </c>
      <c r="AZ36" s="20">
        <f t="shared" si="226"/>
        <v>1377</v>
      </c>
      <c r="BA36" s="20">
        <f t="shared" si="226"/>
        <v>2192</v>
      </c>
      <c r="BB36" s="20">
        <f t="shared" si="226"/>
        <v>2084</v>
      </c>
      <c r="BC36" s="20">
        <f t="shared" si="226"/>
        <v>1968</v>
      </c>
      <c r="BD36" s="20">
        <f t="shared" si="226"/>
        <v>1966</v>
      </c>
      <c r="BE36" s="20">
        <f t="shared" si="226"/>
        <v>1833</v>
      </c>
      <c r="BF36" s="20">
        <f t="shared" si="226"/>
        <v>0</v>
      </c>
      <c r="BG36" s="20">
        <f t="shared" si="226"/>
        <v>0</v>
      </c>
      <c r="BH36" s="20">
        <f t="shared" si="226"/>
        <v>0</v>
      </c>
      <c r="BI36" s="20">
        <f t="shared" si="226"/>
        <v>0</v>
      </c>
      <c r="BJ36" s="20">
        <f t="shared" si="226"/>
        <v>0</v>
      </c>
      <c r="BK36" s="20">
        <f t="shared" si="226"/>
        <v>0</v>
      </c>
      <c r="BL36" s="20">
        <f t="shared" si="226"/>
        <v>0</v>
      </c>
      <c r="BM36" s="20">
        <f t="shared" si="226"/>
        <v>0</v>
      </c>
      <c r="BN36" s="20">
        <f t="shared" si="226"/>
        <v>0</v>
      </c>
      <c r="BO36" s="20">
        <f t="shared" si="226"/>
        <v>0</v>
      </c>
      <c r="BP36" s="20">
        <f t="shared" ref="BP36:CC36" si="227">BO39</f>
        <v>0</v>
      </c>
      <c r="BQ36" s="20">
        <f t="shared" si="227"/>
        <v>0</v>
      </c>
      <c r="BR36" s="20">
        <f t="shared" si="227"/>
        <v>0</v>
      </c>
      <c r="BS36" s="20">
        <f t="shared" si="227"/>
        <v>0</v>
      </c>
      <c r="BT36" s="20">
        <f t="shared" si="227"/>
        <v>0</v>
      </c>
      <c r="BU36" s="20">
        <f t="shared" si="227"/>
        <v>0</v>
      </c>
      <c r="BV36" s="20">
        <f t="shared" si="227"/>
        <v>0</v>
      </c>
      <c r="BW36" s="20">
        <f t="shared" si="227"/>
        <v>0</v>
      </c>
      <c r="BX36" s="20">
        <f t="shared" si="227"/>
        <v>0</v>
      </c>
      <c r="BY36" s="20">
        <f t="shared" si="227"/>
        <v>0</v>
      </c>
      <c r="BZ36" s="20">
        <f t="shared" si="227"/>
        <v>0</v>
      </c>
      <c r="CA36" s="20">
        <f t="shared" si="227"/>
        <v>0</v>
      </c>
      <c r="CB36" s="20">
        <f t="shared" si="227"/>
        <v>0</v>
      </c>
      <c r="CC36" s="20">
        <f t="shared" si="227"/>
        <v>0</v>
      </c>
      <c r="CD36" s="20">
        <f t="shared" ref="CD36" si="228">CC39</f>
        <v>0</v>
      </c>
      <c r="CE36" s="20">
        <f t="shared" ref="CE36" si="229">CD39</f>
        <v>0</v>
      </c>
      <c r="CF36" s="20">
        <f t="shared" ref="CF36" si="230">CE39</f>
        <v>0</v>
      </c>
      <c r="CG36" s="20">
        <f t="shared" ref="CG36" si="231">CF39</f>
        <v>0</v>
      </c>
      <c r="CH36" s="20"/>
      <c r="CI36" s="89"/>
      <c r="CJ36" s="20"/>
      <c r="CK36" s="89"/>
      <c r="CL36" s="20"/>
      <c r="CM36" s="89"/>
      <c r="CN36" s="20"/>
      <c r="CO36" s="89"/>
      <c r="CP36" s="20"/>
      <c r="CQ36" s="89"/>
      <c r="CR36" s="89"/>
      <c r="CS36" s="89"/>
      <c r="CT36" s="89"/>
      <c r="CU36" s="89"/>
      <c r="CV36" s="89"/>
      <c r="CW36" s="89"/>
      <c r="CX36" s="20"/>
      <c r="CY36" s="89"/>
      <c r="CZ36" s="89"/>
      <c r="DA36" s="89"/>
      <c r="DB36" s="89"/>
      <c r="DC36" s="89"/>
    </row>
    <row r="37" spans="1:107" x14ac:dyDescent="0.2">
      <c r="A37" s="323" t="s">
        <v>441</v>
      </c>
      <c r="B37" s="20"/>
      <c r="C37" s="20">
        <f>-C33</f>
        <v>-76</v>
      </c>
      <c r="D37" s="20">
        <f t="shared" ref="D37:BO37" si="232">-D33</f>
        <v>-85</v>
      </c>
      <c r="E37" s="20">
        <f t="shared" si="232"/>
        <v>-101</v>
      </c>
      <c r="F37" s="20">
        <f t="shared" si="232"/>
        <v>-100</v>
      </c>
      <c r="G37" s="20">
        <f t="shared" si="232"/>
        <v>-108</v>
      </c>
      <c r="H37" s="20">
        <f t="shared" si="232"/>
        <v>-129</v>
      </c>
      <c r="I37" s="20">
        <f t="shared" si="232"/>
        <v>-118</v>
      </c>
      <c r="J37" s="20">
        <f t="shared" si="232"/>
        <v>-133</v>
      </c>
      <c r="K37" s="20">
        <f t="shared" si="232"/>
        <v>-197</v>
      </c>
      <c r="L37" s="20">
        <f t="shared" si="232"/>
        <v>-321</v>
      </c>
      <c r="M37" s="20">
        <f t="shared" si="232"/>
        <v>-323</v>
      </c>
      <c r="N37" s="20">
        <f t="shared" si="232"/>
        <v>-315</v>
      </c>
      <c r="O37" s="20">
        <f t="shared" si="232"/>
        <v>-283</v>
      </c>
      <c r="P37" s="20">
        <f t="shared" si="232"/>
        <v>-281</v>
      </c>
      <c r="Q37" s="20">
        <f t="shared" si="232"/>
        <v>-279</v>
      </c>
      <c r="R37" s="20">
        <f t="shared" si="232"/>
        <v>-270</v>
      </c>
      <c r="S37" s="20">
        <f t="shared" si="232"/>
        <v>-266</v>
      </c>
      <c r="T37" s="20">
        <f t="shared" si="232"/>
        <v>-663</v>
      </c>
      <c r="U37" s="20">
        <f t="shared" si="232"/>
        <v>-257</v>
      </c>
      <c r="V37" s="20">
        <f t="shared" si="232"/>
        <v>-239</v>
      </c>
      <c r="W37" s="20">
        <f t="shared" si="232"/>
        <v>-223</v>
      </c>
      <c r="X37" s="20">
        <f t="shared" si="232"/>
        <v>-218</v>
      </c>
      <c r="Y37" s="20">
        <f t="shared" si="232"/>
        <v>-251</v>
      </c>
      <c r="Z37" s="20">
        <f t="shared" si="232"/>
        <v>-216</v>
      </c>
      <c r="AA37" s="20">
        <f t="shared" si="232"/>
        <v>-219</v>
      </c>
      <c r="AB37" s="20">
        <f t="shared" si="232"/>
        <v>-219</v>
      </c>
      <c r="AC37" s="20">
        <f t="shared" si="232"/>
        <v>-223</v>
      </c>
      <c r="AD37" s="20">
        <f t="shared" si="232"/>
        <v>-216</v>
      </c>
      <c r="AE37" s="20">
        <f t="shared" si="232"/>
        <v>-201</v>
      </c>
      <c r="AF37" s="20">
        <f t="shared" si="232"/>
        <v>-200</v>
      </c>
      <c r="AG37" s="20">
        <f t="shared" si="232"/>
        <v>-195</v>
      </c>
      <c r="AH37" s="20">
        <f t="shared" si="232"/>
        <v>-195</v>
      </c>
      <c r="AI37" s="20">
        <f t="shared" si="232"/>
        <v>-252</v>
      </c>
      <c r="AJ37" s="20">
        <f t="shared" si="232"/>
        <v>-217</v>
      </c>
      <c r="AK37" s="20">
        <f t="shared" si="232"/>
        <v>-207</v>
      </c>
      <c r="AL37" s="20">
        <f t="shared" si="232"/>
        <v>-197</v>
      </c>
      <c r="AM37" s="20">
        <f t="shared" si="232"/>
        <v>-209</v>
      </c>
      <c r="AN37" s="20">
        <f t="shared" si="232"/>
        <v>-188</v>
      </c>
      <c r="AO37" s="20">
        <f t="shared" si="232"/>
        <v>-331</v>
      </c>
      <c r="AP37" s="20">
        <f t="shared" si="232"/>
        <v>-209</v>
      </c>
      <c r="AQ37" s="20">
        <f t="shared" si="232"/>
        <v>-208</v>
      </c>
      <c r="AR37" s="20">
        <f t="shared" si="232"/>
        <v>-189</v>
      </c>
      <c r="AS37" s="20">
        <f t="shared" si="232"/>
        <v>-186</v>
      </c>
      <c r="AT37" s="20">
        <f t="shared" si="232"/>
        <v>-228</v>
      </c>
      <c r="AU37" s="20">
        <f t="shared" si="232"/>
        <v>-215</v>
      </c>
      <c r="AV37" s="20">
        <f t="shared" si="232"/>
        <v>-219</v>
      </c>
      <c r="AW37" s="20">
        <f t="shared" si="232"/>
        <v>-224</v>
      </c>
      <c r="AX37" s="20">
        <f t="shared" si="232"/>
        <v>-191</v>
      </c>
      <c r="AY37" s="20">
        <f t="shared" si="232"/>
        <v>-201</v>
      </c>
      <c r="AZ37" s="20">
        <f t="shared" si="232"/>
        <v>-113</v>
      </c>
      <c r="BA37" s="20">
        <f t="shared" si="232"/>
        <v>-136</v>
      </c>
      <c r="BB37" s="20">
        <f t="shared" si="232"/>
        <v>-126</v>
      </c>
      <c r="BC37" s="20">
        <f t="shared" si="232"/>
        <v>-118</v>
      </c>
      <c r="BD37" s="20">
        <f t="shared" si="232"/>
        <v>-129</v>
      </c>
      <c r="BE37" s="20">
        <f t="shared" ref="BE37" si="233">-BE33</f>
        <v>0</v>
      </c>
      <c r="BF37" s="20">
        <f t="shared" ref="BF37" si="234">-BF33</f>
        <v>0</v>
      </c>
      <c r="BG37" s="20">
        <f t="shared" ref="BG37" si="235">-BG33</f>
        <v>0</v>
      </c>
      <c r="BH37" s="20">
        <f t="shared" ref="BH37" si="236">-BH33</f>
        <v>0</v>
      </c>
      <c r="BI37" s="20">
        <f t="shared" ref="BI37" si="237">-BI33</f>
        <v>0</v>
      </c>
      <c r="BJ37" s="20">
        <f t="shared" ref="BJ37:BK37" si="238">-BJ33</f>
        <v>0</v>
      </c>
      <c r="BK37" s="20">
        <f t="shared" si="238"/>
        <v>0</v>
      </c>
      <c r="BL37" s="20">
        <f t="shared" ref="BL37" si="239">-BL33</f>
        <v>0</v>
      </c>
      <c r="BM37" s="20">
        <f t="shared" si="232"/>
        <v>0</v>
      </c>
      <c r="BN37" s="20">
        <f t="shared" si="232"/>
        <v>0</v>
      </c>
      <c r="BO37" s="20">
        <f t="shared" si="232"/>
        <v>0</v>
      </c>
      <c r="BP37" s="20">
        <f t="shared" ref="BP37:CC37" si="240">-BP33</f>
        <v>0</v>
      </c>
      <c r="BQ37" s="20">
        <f t="shared" si="240"/>
        <v>0</v>
      </c>
      <c r="BR37" s="20">
        <f t="shared" si="240"/>
        <v>0</v>
      </c>
      <c r="BS37" s="20">
        <f t="shared" si="240"/>
        <v>0</v>
      </c>
      <c r="BT37" s="20">
        <f t="shared" si="240"/>
        <v>0</v>
      </c>
      <c r="BU37" s="20">
        <f t="shared" si="240"/>
        <v>0</v>
      </c>
      <c r="BV37" s="20">
        <f t="shared" si="240"/>
        <v>0</v>
      </c>
      <c r="BW37" s="20">
        <f t="shared" si="240"/>
        <v>0</v>
      </c>
      <c r="BX37" s="20">
        <f t="shared" si="240"/>
        <v>0</v>
      </c>
      <c r="BY37" s="20">
        <f t="shared" si="240"/>
        <v>0</v>
      </c>
      <c r="BZ37" s="20">
        <f t="shared" si="240"/>
        <v>0</v>
      </c>
      <c r="CA37" s="20">
        <f t="shared" si="240"/>
        <v>0</v>
      </c>
      <c r="CB37" s="20">
        <f t="shared" si="240"/>
        <v>0</v>
      </c>
      <c r="CC37" s="20">
        <f t="shared" si="240"/>
        <v>0</v>
      </c>
      <c r="CD37" s="20">
        <f t="shared" ref="CD37:CG37" si="241">-CD33</f>
        <v>0</v>
      </c>
      <c r="CE37" s="20">
        <f t="shared" si="241"/>
        <v>0</v>
      </c>
      <c r="CF37" s="20">
        <f t="shared" si="241"/>
        <v>0</v>
      </c>
      <c r="CG37" s="20">
        <f t="shared" si="241"/>
        <v>0</v>
      </c>
      <c r="CH37" s="20"/>
      <c r="CI37" s="89"/>
      <c r="CJ37" s="20"/>
      <c r="CK37" s="89"/>
      <c r="CL37" s="20"/>
      <c r="CM37" s="89"/>
      <c r="CN37" s="20"/>
      <c r="CO37" s="89"/>
      <c r="CP37" s="20"/>
      <c r="CQ37" s="89"/>
      <c r="CR37" s="89"/>
      <c r="CS37" s="89"/>
      <c r="CT37" s="89"/>
      <c r="CU37" s="89"/>
      <c r="CV37" s="89"/>
      <c r="CW37" s="89"/>
      <c r="CX37" s="20"/>
      <c r="CY37" s="89"/>
      <c r="CZ37" s="89"/>
      <c r="DA37" s="89"/>
      <c r="DB37" s="89"/>
      <c r="DC37" s="89"/>
    </row>
    <row r="38" spans="1:107" x14ac:dyDescent="0.2">
      <c r="A38" s="323" t="s">
        <v>442</v>
      </c>
      <c r="B38" s="20"/>
      <c r="C38" s="20">
        <f>C39-SUM(C36:C37)</f>
        <v>190</v>
      </c>
      <c r="D38" s="20">
        <f t="shared" ref="D38:BD38" si="242">D39-SUM(D36:D37)</f>
        <v>174</v>
      </c>
      <c r="E38" s="20">
        <f t="shared" si="242"/>
        <v>152</v>
      </c>
      <c r="F38" s="20">
        <f t="shared" si="242"/>
        <v>72</v>
      </c>
      <c r="G38" s="20">
        <f t="shared" si="242"/>
        <v>473</v>
      </c>
      <c r="H38" s="20">
        <f t="shared" si="242"/>
        <v>222</v>
      </c>
      <c r="I38" s="20">
        <f t="shared" si="242"/>
        <v>222</v>
      </c>
      <c r="J38" s="20">
        <f t="shared" si="242"/>
        <v>96</v>
      </c>
      <c r="K38" s="20">
        <f t="shared" si="242"/>
        <v>6518</v>
      </c>
      <c r="L38" s="20">
        <f t="shared" si="242"/>
        <v>213</v>
      </c>
      <c r="M38" s="20">
        <f t="shared" si="242"/>
        <v>42</v>
      </c>
      <c r="N38" s="20">
        <f t="shared" si="242"/>
        <v>166</v>
      </c>
      <c r="O38" s="20">
        <f t="shared" si="242"/>
        <v>-483</v>
      </c>
      <c r="P38" s="20">
        <f t="shared" si="242"/>
        <v>13</v>
      </c>
      <c r="Q38" s="20">
        <f t="shared" si="242"/>
        <v>55</v>
      </c>
      <c r="R38" s="20">
        <f t="shared" si="242"/>
        <v>-479</v>
      </c>
      <c r="S38" s="20">
        <f t="shared" si="242"/>
        <v>183</v>
      </c>
      <c r="T38" s="20">
        <f t="shared" si="242"/>
        <v>173</v>
      </c>
      <c r="U38" s="20">
        <f t="shared" si="242"/>
        <v>120</v>
      </c>
      <c r="V38" s="20">
        <f t="shared" si="242"/>
        <v>12</v>
      </c>
      <c r="W38" s="20">
        <f t="shared" si="242"/>
        <v>56</v>
      </c>
      <c r="X38" s="20">
        <f t="shared" si="242"/>
        <v>28</v>
      </c>
      <c r="Y38" s="20">
        <f t="shared" si="242"/>
        <v>75</v>
      </c>
      <c r="Z38" s="20">
        <f t="shared" si="242"/>
        <v>26</v>
      </c>
      <c r="AA38" s="20">
        <f t="shared" si="242"/>
        <v>14</v>
      </c>
      <c r="AB38" s="20">
        <f t="shared" si="242"/>
        <v>134</v>
      </c>
      <c r="AC38" s="20">
        <f t="shared" si="242"/>
        <v>163</v>
      </c>
      <c r="AD38" s="20">
        <f t="shared" si="242"/>
        <v>46</v>
      </c>
      <c r="AE38" s="20">
        <f t="shared" si="242"/>
        <v>-3</v>
      </c>
      <c r="AF38" s="20">
        <f t="shared" si="242"/>
        <v>150</v>
      </c>
      <c r="AG38" s="20">
        <f t="shared" si="242"/>
        <v>4</v>
      </c>
      <c r="AH38" s="20">
        <f t="shared" si="242"/>
        <v>312</v>
      </c>
      <c r="AI38" s="20">
        <f t="shared" si="242"/>
        <v>105</v>
      </c>
      <c r="AJ38" s="20">
        <f t="shared" si="242"/>
        <v>3</v>
      </c>
      <c r="AK38" s="20">
        <f t="shared" si="242"/>
        <v>-21</v>
      </c>
      <c r="AL38" s="20">
        <f t="shared" si="242"/>
        <v>40</v>
      </c>
      <c r="AM38" s="20">
        <f t="shared" si="242"/>
        <v>48</v>
      </c>
      <c r="AN38" s="20">
        <f t="shared" si="242"/>
        <v>33</v>
      </c>
      <c r="AO38" s="20">
        <f t="shared" si="242"/>
        <v>563</v>
      </c>
      <c r="AP38" s="20">
        <f t="shared" si="242"/>
        <v>70</v>
      </c>
      <c r="AQ38" s="20">
        <f t="shared" si="242"/>
        <v>65</v>
      </c>
      <c r="AR38" s="20">
        <f t="shared" si="242"/>
        <v>12</v>
      </c>
      <c r="AS38" s="20">
        <f t="shared" si="242"/>
        <v>111</v>
      </c>
      <c r="AT38" s="20">
        <f t="shared" si="242"/>
        <v>606</v>
      </c>
      <c r="AU38" s="20">
        <f t="shared" si="242"/>
        <v>18</v>
      </c>
      <c r="AV38" s="20">
        <f t="shared" si="242"/>
        <v>142</v>
      </c>
      <c r="AW38" s="20">
        <f t="shared" si="242"/>
        <v>92</v>
      </c>
      <c r="AX38" s="20">
        <f t="shared" si="242"/>
        <v>87</v>
      </c>
      <c r="AY38" s="20">
        <f t="shared" si="242"/>
        <v>265</v>
      </c>
      <c r="AZ38" s="20">
        <f t="shared" si="242"/>
        <v>928</v>
      </c>
      <c r="BA38" s="20">
        <f t="shared" si="242"/>
        <v>28</v>
      </c>
      <c r="BB38" s="20">
        <f t="shared" si="242"/>
        <v>10</v>
      </c>
      <c r="BC38" s="20">
        <f t="shared" si="242"/>
        <v>116</v>
      </c>
      <c r="BD38" s="20">
        <f t="shared" si="242"/>
        <v>-4</v>
      </c>
      <c r="BE38" s="20">
        <f t="shared" ref="BE38" si="243">BE39-SUM(BE36:BE37)</f>
        <v>-1833</v>
      </c>
      <c r="BF38" s="20">
        <f t="shared" ref="BF38" si="244">BF39-SUM(BF36:BF37)</f>
        <v>0</v>
      </c>
      <c r="BG38" s="20">
        <f t="shared" ref="BG38" si="245">BG39-SUM(BG36:BG37)</f>
        <v>0</v>
      </c>
      <c r="BH38" s="20">
        <f t="shared" ref="BH38" si="246">BH39-SUM(BH36:BH37)</f>
        <v>0</v>
      </c>
      <c r="BI38" s="20">
        <f t="shared" ref="BI38" si="247">BI39-SUM(BI36:BI37)</f>
        <v>0</v>
      </c>
      <c r="BJ38" s="20">
        <f t="shared" ref="BJ38:BK38" si="248">BJ39-SUM(BJ36:BJ37)</f>
        <v>0</v>
      </c>
      <c r="BK38" s="20">
        <f t="shared" si="248"/>
        <v>0</v>
      </c>
      <c r="BL38" s="20">
        <f t="shared" ref="BL38" si="249">BL39-SUM(BL36:BL37)</f>
        <v>0</v>
      </c>
      <c r="BM38" s="35">
        <v>0</v>
      </c>
      <c r="BN38" s="35">
        <v>0</v>
      </c>
      <c r="BO38" s="35">
        <v>0</v>
      </c>
      <c r="BP38" s="35">
        <v>0</v>
      </c>
      <c r="BQ38" s="35">
        <v>0</v>
      </c>
      <c r="BR38" s="35">
        <v>0</v>
      </c>
      <c r="BS38" s="35">
        <v>0</v>
      </c>
      <c r="BT38" s="35">
        <v>0</v>
      </c>
      <c r="BU38" s="35">
        <v>0</v>
      </c>
      <c r="BV38" s="35">
        <v>0</v>
      </c>
      <c r="BW38" s="35">
        <v>0</v>
      </c>
      <c r="BX38" s="35">
        <v>0</v>
      </c>
      <c r="BY38" s="35">
        <v>0</v>
      </c>
      <c r="BZ38" s="35">
        <v>0</v>
      </c>
      <c r="CA38" s="35">
        <v>0</v>
      </c>
      <c r="CB38" s="35">
        <v>0</v>
      </c>
      <c r="CC38" s="35">
        <v>0</v>
      </c>
      <c r="CD38" s="35">
        <v>0</v>
      </c>
      <c r="CE38" s="35">
        <v>0</v>
      </c>
      <c r="CF38" s="35">
        <v>0</v>
      </c>
      <c r="CG38" s="35">
        <v>0</v>
      </c>
      <c r="CH38" s="35"/>
      <c r="CI38" s="89"/>
      <c r="CJ38" s="20"/>
      <c r="CK38" s="89"/>
      <c r="CL38" s="20"/>
      <c r="CM38" s="89"/>
      <c r="CN38" s="20"/>
      <c r="CO38" s="89"/>
      <c r="CP38" s="20"/>
      <c r="CQ38" s="89"/>
      <c r="CR38" s="89"/>
      <c r="CS38" s="89"/>
      <c r="CT38" s="89"/>
      <c r="CU38" s="89"/>
      <c r="CV38" s="89"/>
      <c r="CW38" s="89"/>
      <c r="CX38" s="20"/>
      <c r="CY38" s="89"/>
      <c r="CZ38" s="89"/>
      <c r="DA38" s="89"/>
      <c r="DB38" s="89"/>
      <c r="DC38" s="89"/>
    </row>
    <row r="39" spans="1:107" x14ac:dyDescent="0.2">
      <c r="A39" s="323" t="s">
        <v>443</v>
      </c>
      <c r="B39" s="20">
        <f>'Balance Sheet'!B17</f>
        <v>790</v>
      </c>
      <c r="C39" s="20">
        <f>'Balance Sheet'!C17</f>
        <v>904</v>
      </c>
      <c r="D39" s="20">
        <f>'Balance Sheet'!D17</f>
        <v>993</v>
      </c>
      <c r="E39" s="20">
        <f>'Balance Sheet'!E17</f>
        <v>1044</v>
      </c>
      <c r="F39" s="20">
        <f>'Balance Sheet'!F17</f>
        <v>1016</v>
      </c>
      <c r="G39" s="20">
        <f>'Balance Sheet'!G17</f>
        <v>1381</v>
      </c>
      <c r="H39" s="20">
        <f>'Balance Sheet'!H17</f>
        <v>1474</v>
      </c>
      <c r="I39" s="20">
        <f>'Balance Sheet'!I17</f>
        <v>1578</v>
      </c>
      <c r="J39" s="20">
        <f>'Balance Sheet'!J17</f>
        <v>1541</v>
      </c>
      <c r="K39" s="20">
        <f>'Balance Sheet'!K17</f>
        <v>7862</v>
      </c>
      <c r="L39" s="20">
        <f>'Balance Sheet'!L17</f>
        <v>7754</v>
      </c>
      <c r="M39" s="20">
        <f>'Balance Sheet'!M17</f>
        <v>7473</v>
      </c>
      <c r="N39" s="20">
        <f>'Balance Sheet'!N17</f>
        <v>7324</v>
      </c>
      <c r="O39" s="20">
        <f>'Balance Sheet'!O17</f>
        <v>6558</v>
      </c>
      <c r="P39" s="20">
        <f>'Balance Sheet'!P17</f>
        <v>6290</v>
      </c>
      <c r="Q39" s="20">
        <f>'Balance Sheet'!Q17</f>
        <v>6066</v>
      </c>
      <c r="R39" s="20">
        <f>'Balance Sheet'!R17</f>
        <v>5317</v>
      </c>
      <c r="S39" s="20">
        <f>'Balance Sheet'!S17</f>
        <v>5234</v>
      </c>
      <c r="T39" s="20">
        <f>'Balance Sheet'!T17</f>
        <v>4744</v>
      </c>
      <c r="U39" s="20">
        <f>'Balance Sheet'!U17</f>
        <v>4607</v>
      </c>
      <c r="V39" s="20">
        <f>'Balance Sheet'!V17</f>
        <v>4380</v>
      </c>
      <c r="W39" s="20">
        <f>'Balance Sheet'!W17</f>
        <v>4213</v>
      </c>
      <c r="X39" s="20">
        <f>'Balance Sheet'!X17</f>
        <v>4023</v>
      </c>
      <c r="Y39" s="20">
        <f>'Balance Sheet'!Y17</f>
        <v>3847</v>
      </c>
      <c r="Z39" s="20">
        <f>'Balance Sheet'!Z17</f>
        <v>3657</v>
      </c>
      <c r="AA39" s="20">
        <f>'Balance Sheet'!AA17</f>
        <v>3452</v>
      </c>
      <c r="AB39" s="20">
        <f>'Balance Sheet'!AB17</f>
        <v>3367</v>
      </c>
      <c r="AC39" s="20">
        <f>'Balance Sheet'!AC17</f>
        <v>3307</v>
      </c>
      <c r="AD39" s="20">
        <f>'Balance Sheet'!AD17</f>
        <v>3137</v>
      </c>
      <c r="AE39" s="20">
        <f>'Balance Sheet'!AE17</f>
        <v>2933</v>
      </c>
      <c r="AF39" s="20">
        <f>'Balance Sheet'!AF17</f>
        <v>2883</v>
      </c>
      <c r="AG39" s="20">
        <f>'Balance Sheet'!AG17</f>
        <v>2692</v>
      </c>
      <c r="AH39" s="20">
        <f>'Balance Sheet'!AH17</f>
        <v>2809</v>
      </c>
      <c r="AI39" s="20">
        <f>'Balance Sheet'!AI17</f>
        <v>2662</v>
      </c>
      <c r="AJ39" s="20">
        <f>'Balance Sheet'!AJ17</f>
        <v>2448</v>
      </c>
      <c r="AK39" s="20">
        <f>'Balance Sheet'!AK17</f>
        <v>2220</v>
      </c>
      <c r="AL39" s="20">
        <f>'Balance Sheet'!AL17</f>
        <v>2063</v>
      </c>
      <c r="AM39" s="20">
        <f>'Balance Sheet'!AM17</f>
        <v>1902</v>
      </c>
      <c r="AN39" s="20">
        <f>'Balance Sheet'!AN17</f>
        <v>1747</v>
      </c>
      <c r="AO39" s="20">
        <f>'Balance Sheet'!AO17</f>
        <v>1979</v>
      </c>
      <c r="AP39" s="20">
        <f>'Balance Sheet'!AP17</f>
        <v>1840</v>
      </c>
      <c r="AQ39" s="20">
        <f>'Balance Sheet'!AQ17</f>
        <v>1697</v>
      </c>
      <c r="AR39" s="20">
        <f>'Balance Sheet'!AR17</f>
        <v>1520</v>
      </c>
      <c r="AS39" s="20">
        <f>'Balance Sheet'!AS17</f>
        <v>1445</v>
      </c>
      <c r="AT39" s="20">
        <f>'Balance Sheet'!AT17</f>
        <v>1823</v>
      </c>
      <c r="AU39" s="20">
        <f>'Balance Sheet'!AU17</f>
        <v>1626</v>
      </c>
      <c r="AV39" s="20">
        <f>'Balance Sheet'!AV17</f>
        <v>1549</v>
      </c>
      <c r="AW39" s="20">
        <f>'Balance Sheet'!AW17</f>
        <v>1417</v>
      </c>
      <c r="AX39" s="20">
        <f>'Balance Sheet'!AX17</f>
        <v>1313</v>
      </c>
      <c r="AY39" s="20">
        <f>'Balance Sheet'!AY17</f>
        <v>1377</v>
      </c>
      <c r="AZ39" s="20">
        <f>'Balance Sheet'!AZ17</f>
        <v>2192</v>
      </c>
      <c r="BA39" s="20">
        <f>'Balance Sheet'!BA17</f>
        <v>2084</v>
      </c>
      <c r="BB39" s="20">
        <f>'Balance Sheet'!BB17</f>
        <v>1968</v>
      </c>
      <c r="BC39" s="20">
        <f>'Balance Sheet'!BC17</f>
        <v>1966</v>
      </c>
      <c r="BD39" s="20">
        <f>'Balance Sheet'!BD17</f>
        <v>1833</v>
      </c>
      <c r="BE39" s="20">
        <f>'Balance Sheet'!BE17</f>
        <v>0</v>
      </c>
      <c r="BF39" s="20">
        <f>'Balance Sheet'!BF17</f>
        <v>0</v>
      </c>
      <c r="BG39" s="20">
        <f>'Balance Sheet'!BG17</f>
        <v>0</v>
      </c>
      <c r="BH39" s="20">
        <f>'Balance Sheet'!BH17</f>
        <v>0</v>
      </c>
      <c r="BI39" s="20">
        <f>'Balance Sheet'!BI17</f>
        <v>0</v>
      </c>
      <c r="BJ39" s="20">
        <f>'Balance Sheet'!BJ17</f>
        <v>0</v>
      </c>
      <c r="BK39" s="20">
        <f>'Balance Sheet'!BK17</f>
        <v>0</v>
      </c>
      <c r="BL39" s="20">
        <f>'Balance Sheet'!BL17</f>
        <v>0</v>
      </c>
      <c r="BM39" s="20">
        <f t="shared" ref="BM39:CC39" si="250">SUM(BM36:BM38)</f>
        <v>0</v>
      </c>
      <c r="BN39" s="20">
        <f t="shared" si="250"/>
        <v>0</v>
      </c>
      <c r="BO39" s="20">
        <f t="shared" si="250"/>
        <v>0</v>
      </c>
      <c r="BP39" s="20">
        <f t="shared" si="250"/>
        <v>0</v>
      </c>
      <c r="BQ39" s="20">
        <f t="shared" si="250"/>
        <v>0</v>
      </c>
      <c r="BR39" s="20">
        <f t="shared" si="250"/>
        <v>0</v>
      </c>
      <c r="BS39" s="20">
        <f t="shared" si="250"/>
        <v>0</v>
      </c>
      <c r="BT39" s="20">
        <f t="shared" si="250"/>
        <v>0</v>
      </c>
      <c r="BU39" s="20">
        <f t="shared" si="250"/>
        <v>0</v>
      </c>
      <c r="BV39" s="20">
        <f t="shared" si="250"/>
        <v>0</v>
      </c>
      <c r="BW39" s="20">
        <f t="shared" si="250"/>
        <v>0</v>
      </c>
      <c r="BX39" s="20">
        <f t="shared" si="250"/>
        <v>0</v>
      </c>
      <c r="BY39" s="20">
        <f t="shared" si="250"/>
        <v>0</v>
      </c>
      <c r="BZ39" s="20">
        <f t="shared" si="250"/>
        <v>0</v>
      </c>
      <c r="CA39" s="20">
        <f t="shared" si="250"/>
        <v>0</v>
      </c>
      <c r="CB39" s="20">
        <f t="shared" si="250"/>
        <v>0</v>
      </c>
      <c r="CC39" s="20">
        <f t="shared" si="250"/>
        <v>0</v>
      </c>
      <c r="CD39" s="20">
        <f t="shared" ref="CD39:CG39" si="251">SUM(CD36:CD38)</f>
        <v>0</v>
      </c>
      <c r="CE39" s="20">
        <f t="shared" si="251"/>
        <v>0</v>
      </c>
      <c r="CF39" s="20">
        <f t="shared" si="251"/>
        <v>0</v>
      </c>
      <c r="CG39" s="20">
        <f t="shared" si="251"/>
        <v>0</v>
      </c>
      <c r="CH39" s="20"/>
      <c r="CI39" s="89"/>
      <c r="CJ39" s="20"/>
      <c r="CK39" s="89"/>
      <c r="CL39" s="20"/>
      <c r="CM39" s="89"/>
      <c r="CN39" s="20"/>
      <c r="CO39" s="89"/>
      <c r="CP39" s="20"/>
      <c r="CQ39" s="89"/>
      <c r="CR39" s="89"/>
      <c r="CS39" s="89"/>
      <c r="CT39" s="89"/>
      <c r="CU39" s="89"/>
      <c r="CV39" s="89"/>
      <c r="CW39" s="89"/>
      <c r="CX39" s="20"/>
      <c r="CY39" s="89"/>
      <c r="CZ39" s="89"/>
      <c r="DA39" s="89"/>
      <c r="DB39" s="89"/>
      <c r="DC39" s="89"/>
    </row>
    <row r="40" spans="1:107" x14ac:dyDescent="0.2">
      <c r="CI40" s="92"/>
      <c r="CK40" s="92"/>
      <c r="CM40" s="92"/>
      <c r="CO40" s="92"/>
      <c r="CQ40" s="92"/>
      <c r="CR40" s="92"/>
      <c r="CS40" s="92"/>
      <c r="CT40" s="92"/>
      <c r="CU40" s="92"/>
      <c r="CV40" s="92"/>
      <c r="CW40" s="92"/>
      <c r="CY40" s="92"/>
      <c r="CZ40" s="92"/>
      <c r="DA40" s="92"/>
      <c r="DB40" s="92"/>
      <c r="DC40" s="92"/>
    </row>
    <row r="41" spans="1:107" x14ac:dyDescent="0.2">
      <c r="A41" s="128" t="s">
        <v>348</v>
      </c>
      <c r="B41" s="20">
        <f>B20</f>
        <v>264</v>
      </c>
      <c r="C41" s="20">
        <f t="shared" ref="C41:AH41" si="252">B41+C20</f>
        <v>530</v>
      </c>
      <c r="D41" s="20">
        <f t="shared" si="252"/>
        <v>787</v>
      </c>
      <c r="E41" s="20">
        <f t="shared" si="252"/>
        <v>1067</v>
      </c>
      <c r="F41" s="20">
        <f t="shared" si="252"/>
        <v>1368</v>
      </c>
      <c r="G41" s="20">
        <f t="shared" si="252"/>
        <v>1715</v>
      </c>
      <c r="H41" s="20">
        <f t="shared" si="252"/>
        <v>2078</v>
      </c>
      <c r="I41" s="20">
        <f t="shared" si="252"/>
        <v>2463</v>
      </c>
      <c r="J41" s="20">
        <f t="shared" si="252"/>
        <v>2841</v>
      </c>
      <c r="K41" s="20">
        <f t="shared" si="252"/>
        <v>3314</v>
      </c>
      <c r="L41" s="20">
        <f t="shared" si="252"/>
        <v>3821</v>
      </c>
      <c r="M41" s="20">
        <f t="shared" si="252"/>
        <v>4451</v>
      </c>
      <c r="N41" s="20">
        <f t="shared" si="252"/>
        <v>5035</v>
      </c>
      <c r="O41" s="20">
        <f t="shared" si="252"/>
        <v>5782</v>
      </c>
      <c r="P41" s="20">
        <f t="shared" si="252"/>
        <v>6475</v>
      </c>
      <c r="Q41" s="20">
        <f t="shared" si="252"/>
        <v>7232</v>
      </c>
      <c r="R41" s="20">
        <f t="shared" si="252"/>
        <v>8048</v>
      </c>
      <c r="S41" s="20">
        <f t="shared" si="252"/>
        <v>8861</v>
      </c>
      <c r="T41" s="20">
        <f t="shared" si="252"/>
        <v>9745</v>
      </c>
      <c r="U41" s="20">
        <f t="shared" si="252"/>
        <v>10755</v>
      </c>
      <c r="V41" s="20">
        <f t="shared" si="252"/>
        <v>11693</v>
      </c>
      <c r="W41" s="20">
        <f t="shared" si="252"/>
        <v>12704</v>
      </c>
      <c r="X41" s="20">
        <f t="shared" si="252"/>
        <v>13734</v>
      </c>
      <c r="Y41" s="20">
        <f t="shared" si="252"/>
        <v>14887</v>
      </c>
      <c r="Z41" s="20">
        <f t="shared" si="252"/>
        <v>16042</v>
      </c>
      <c r="AA41" s="20">
        <f t="shared" si="252"/>
        <v>17313</v>
      </c>
      <c r="AB41" s="20">
        <f t="shared" si="252"/>
        <v>18690</v>
      </c>
      <c r="AC41" s="20">
        <f t="shared" si="252"/>
        <v>20154</v>
      </c>
      <c r="AD41" s="20">
        <f t="shared" si="252"/>
        <v>21441</v>
      </c>
      <c r="AE41" s="20">
        <f t="shared" si="252"/>
        <v>22865</v>
      </c>
      <c r="AF41" s="20">
        <f t="shared" si="252"/>
        <v>24426</v>
      </c>
      <c r="AG41" s="20">
        <f t="shared" si="252"/>
        <v>26257</v>
      </c>
      <c r="AH41" s="20">
        <f t="shared" si="252"/>
        <v>28048</v>
      </c>
      <c r="AI41" s="20">
        <f t="shared" ref="AI41:BN41" si="253">AH41+AI20</f>
        <v>29910</v>
      </c>
      <c r="AJ41" s="20">
        <f t="shared" si="253"/>
        <v>32048</v>
      </c>
      <c r="AK41" s="20">
        <f t="shared" si="253"/>
        <v>34421</v>
      </c>
      <c r="AL41" s="20">
        <f t="shared" si="253"/>
        <v>36837</v>
      </c>
      <c r="AM41" s="20">
        <f t="shared" si="253"/>
        <v>39463</v>
      </c>
      <c r="AN41" s="20">
        <f t="shared" si="253"/>
        <v>42195</v>
      </c>
      <c r="AO41" s="20">
        <f t="shared" si="253"/>
        <v>45277</v>
      </c>
      <c r="AP41" s="20">
        <f t="shared" si="253"/>
        <v>48176</v>
      </c>
      <c r="AQ41" s="20">
        <f t="shared" si="253"/>
        <v>51354</v>
      </c>
      <c r="AR41" s="20">
        <f t="shared" si="253"/>
        <v>54643</v>
      </c>
      <c r="AS41" s="20">
        <f t="shared" si="253"/>
        <v>58182</v>
      </c>
      <c r="AT41" s="20">
        <f t="shared" si="253"/>
        <v>60707</v>
      </c>
      <c r="AU41" s="20">
        <f t="shared" si="253"/>
        <v>63437</v>
      </c>
      <c r="AV41" s="20">
        <f t="shared" si="253"/>
        <v>66522</v>
      </c>
      <c r="AW41" s="20">
        <f t="shared" si="253"/>
        <v>69737</v>
      </c>
      <c r="AX41" s="20">
        <f t="shared" si="253"/>
        <v>73328</v>
      </c>
      <c r="AY41" s="20">
        <f t="shared" si="253"/>
        <v>77026</v>
      </c>
      <c r="AZ41" s="20">
        <f t="shared" si="253"/>
        <v>80959</v>
      </c>
      <c r="BA41" s="20">
        <f t="shared" si="253"/>
        <v>85024</v>
      </c>
      <c r="BB41" s="20">
        <f t="shared" si="253"/>
        <v>88084</v>
      </c>
      <c r="BC41" s="20">
        <f t="shared" si="253"/>
        <v>91363</v>
      </c>
      <c r="BD41" s="20">
        <f t="shared" si="253"/>
        <v>95034</v>
      </c>
      <c r="BE41" s="20">
        <f t="shared" si="253"/>
        <v>98350</v>
      </c>
      <c r="BF41" s="20">
        <f t="shared" si="253"/>
        <v>101763</v>
      </c>
      <c r="BG41" s="20">
        <f t="shared" si="253"/>
        <v>105471</v>
      </c>
      <c r="BH41" s="20">
        <f t="shared" si="253"/>
        <v>109456</v>
      </c>
      <c r="BI41" s="20">
        <f t="shared" si="253"/>
        <v>113661</v>
      </c>
      <c r="BJ41" s="20">
        <f t="shared" si="253"/>
        <v>118148</v>
      </c>
      <c r="BK41" s="20">
        <f t="shared" si="253"/>
        <v>123146</v>
      </c>
      <c r="BL41" s="20">
        <f t="shared" si="253"/>
        <v>128757</v>
      </c>
      <c r="BM41" s="20">
        <f t="shared" si="253"/>
        <v>137085.02306040394</v>
      </c>
      <c r="BN41" s="20">
        <f t="shared" si="253"/>
        <v>143867.04928433808</v>
      </c>
      <c r="BO41" s="20">
        <f t="shared" ref="BO41:CC41" si="254">BN41+BO20</f>
        <v>152719.13747544269</v>
      </c>
      <c r="BP41" s="20">
        <f t="shared" si="254"/>
        <v>162165.54522923083</v>
      </c>
      <c r="BQ41" s="20">
        <f t="shared" si="254"/>
        <v>173425.67273668956</v>
      </c>
      <c r="BR41" s="20">
        <f t="shared" si="254"/>
        <v>182859.70496688253</v>
      </c>
      <c r="BS41" s="20">
        <f t="shared" si="254"/>
        <v>195173.26474119848</v>
      </c>
      <c r="BT41" s="20">
        <f t="shared" si="254"/>
        <v>208313.54351132188</v>
      </c>
      <c r="BU41" s="20">
        <f t="shared" si="254"/>
        <v>223976.76897137129</v>
      </c>
      <c r="BV41" s="20">
        <f t="shared" si="254"/>
        <v>236242.47363602801</v>
      </c>
      <c r="BW41" s="20">
        <f t="shared" si="254"/>
        <v>252252.01058450068</v>
      </c>
      <c r="BX41" s="20">
        <f t="shared" si="254"/>
        <v>269336.41041194281</v>
      </c>
      <c r="BY41" s="20">
        <f t="shared" si="254"/>
        <v>289701.03212417627</v>
      </c>
      <c r="BZ41" s="20">
        <f t="shared" si="254"/>
        <v>304882.711539137</v>
      </c>
      <c r="CA41" s="20">
        <f t="shared" si="254"/>
        <v>324698.25937586481</v>
      </c>
      <c r="CB41" s="20">
        <f t="shared" si="254"/>
        <v>345844.20151848003</v>
      </c>
      <c r="CC41" s="20">
        <f t="shared" si="254"/>
        <v>371050.18573991157</v>
      </c>
      <c r="CD41" s="20">
        <f t="shared" ref="CD41" si="255">CC41+CD20</f>
        <v>388944.61381537426</v>
      </c>
      <c r="CE41" s="20">
        <f t="shared" ref="CE41" si="256">CD41+CE20</f>
        <v>412300.91622752958</v>
      </c>
      <c r="CF41" s="20">
        <f t="shared" ref="CF41" si="257">CE41+CF20</f>
        <v>437225.33535246749</v>
      </c>
      <c r="CG41" s="20">
        <f t="shared" ref="CG41" si="258">CF41+CG20</f>
        <v>466935.26792271872</v>
      </c>
      <c r="CH41" s="20"/>
      <c r="CI41" s="89">
        <f>CI20</f>
        <v>1067</v>
      </c>
      <c r="CJ41" s="89">
        <f t="shared" ref="CJ41:DB41" si="259">CI41+CJ20</f>
        <v>2463</v>
      </c>
      <c r="CK41" s="89">
        <f t="shared" si="259"/>
        <v>4451</v>
      </c>
      <c r="CL41" s="89">
        <f t="shared" si="259"/>
        <v>7232</v>
      </c>
      <c r="CM41" s="89">
        <f t="shared" si="259"/>
        <v>10755</v>
      </c>
      <c r="CN41" s="89">
        <f t="shared" si="259"/>
        <v>14887</v>
      </c>
      <c r="CO41" s="89">
        <f t="shared" si="259"/>
        <v>20154</v>
      </c>
      <c r="CP41" s="89">
        <f t="shared" si="259"/>
        <v>26257</v>
      </c>
      <c r="CQ41" s="89">
        <f t="shared" si="259"/>
        <v>34421</v>
      </c>
      <c r="CR41" s="89">
        <f t="shared" si="259"/>
        <v>45277</v>
      </c>
      <c r="CS41" s="89">
        <f t="shared" si="259"/>
        <v>58182</v>
      </c>
      <c r="CT41" s="89">
        <f t="shared" si="259"/>
        <v>69737</v>
      </c>
      <c r="CU41" s="89">
        <f t="shared" si="259"/>
        <v>85024</v>
      </c>
      <c r="CV41" s="89">
        <f t="shared" si="259"/>
        <v>98350</v>
      </c>
      <c r="CW41" s="89">
        <f t="shared" si="259"/>
        <v>113661</v>
      </c>
      <c r="CX41" s="89">
        <f t="shared" si="259"/>
        <v>137085.02306040394</v>
      </c>
      <c r="CY41" s="89">
        <f t="shared" si="259"/>
        <v>173425.67273668956</v>
      </c>
      <c r="CZ41" s="89">
        <f t="shared" si="259"/>
        <v>223976.76897137129</v>
      </c>
      <c r="DA41" s="89">
        <f t="shared" si="259"/>
        <v>289701.03212417627</v>
      </c>
      <c r="DB41" s="89">
        <f t="shared" si="259"/>
        <v>371050.18573991157</v>
      </c>
      <c r="DC41" s="89">
        <f>DB41+DC20</f>
        <v>466935.26792271872</v>
      </c>
    </row>
    <row r="42" spans="1:107" ht="12.75" thickBot="1" x14ac:dyDescent="0.25">
      <c r="A42" s="128" t="s">
        <v>349</v>
      </c>
      <c r="B42" s="16">
        <f>'Cash Flow Statement'!B6</f>
        <v>67</v>
      </c>
      <c r="C42" s="20">
        <f>B42+'Cash Flow Statement'!C6</f>
        <v>143</v>
      </c>
      <c r="D42" s="20">
        <f>C42+'Cash Flow Statement'!D6</f>
        <v>228</v>
      </c>
      <c r="E42" s="20">
        <f>D42+'Cash Flow Statement'!E6</f>
        <v>329</v>
      </c>
      <c r="F42" s="20">
        <f>E42+'Cash Flow Statement'!F6</f>
        <v>429</v>
      </c>
      <c r="G42" s="20">
        <f>F42+'Cash Flow Statement'!G6</f>
        <v>537</v>
      </c>
      <c r="H42" s="20">
        <f>G42+'Cash Flow Statement'!H6</f>
        <v>666</v>
      </c>
      <c r="I42" s="20">
        <f>H42+'Cash Flow Statement'!I6</f>
        <v>784</v>
      </c>
      <c r="J42" s="20">
        <f>I42+'Cash Flow Statement'!J6</f>
        <v>917</v>
      </c>
      <c r="K42" s="20">
        <f>J42+'Cash Flow Statement'!K6</f>
        <v>1114</v>
      </c>
      <c r="L42" s="20">
        <f>K42+'Cash Flow Statement'!L6</f>
        <v>1435</v>
      </c>
      <c r="M42" s="20">
        <f>L42+'Cash Flow Statement'!M6</f>
        <v>1758</v>
      </c>
      <c r="N42" s="20">
        <f>M42+'Cash Flow Statement'!N6</f>
        <v>2073</v>
      </c>
      <c r="O42" s="20">
        <f>N42+'Cash Flow Statement'!O6</f>
        <v>2356</v>
      </c>
      <c r="P42" s="20">
        <f>O42+'Cash Flow Statement'!P6</f>
        <v>2637</v>
      </c>
      <c r="Q42" s="20">
        <f>P42+'Cash Flow Statement'!Q6</f>
        <v>2916</v>
      </c>
      <c r="R42" s="20">
        <f>Q42+'Cash Flow Statement'!R6</f>
        <v>3186</v>
      </c>
      <c r="S42" s="20">
        <f>R42+'Cash Flow Statement'!S6</f>
        <v>3452</v>
      </c>
      <c r="T42" s="20">
        <f>S42+'Cash Flow Statement'!T6</f>
        <v>4115</v>
      </c>
      <c r="U42" s="20">
        <f>T42+'Cash Flow Statement'!U6</f>
        <v>4372</v>
      </c>
      <c r="V42" s="20">
        <f>U42+'Cash Flow Statement'!V6</f>
        <v>4611</v>
      </c>
      <c r="W42" s="20">
        <f>V42+'Cash Flow Statement'!W6</f>
        <v>4834</v>
      </c>
      <c r="X42" s="20">
        <f>W42+'Cash Flow Statement'!X6</f>
        <v>5052</v>
      </c>
      <c r="Y42" s="20">
        <f>X42+'Cash Flow Statement'!Y6</f>
        <v>5303</v>
      </c>
      <c r="Z42" s="20">
        <f>Y42+'Cash Flow Statement'!Z6</f>
        <v>5519</v>
      </c>
      <c r="AA42" s="20">
        <f>Z42+'Cash Flow Statement'!AA6</f>
        <v>5738</v>
      </c>
      <c r="AB42" s="20">
        <f>AA42+'Cash Flow Statement'!AB6</f>
        <v>5957</v>
      </c>
      <c r="AC42" s="20">
        <f>AB42+'Cash Flow Statement'!AC6</f>
        <v>6180</v>
      </c>
      <c r="AD42" s="20">
        <f>AC42+'Cash Flow Statement'!AD6</f>
        <v>6396</v>
      </c>
      <c r="AE42" s="20">
        <f>AD42+'Cash Flow Statement'!AE6</f>
        <v>6597</v>
      </c>
      <c r="AF42" s="20">
        <f>AE42+'Cash Flow Statement'!AF6</f>
        <v>6797</v>
      </c>
      <c r="AG42" s="20">
        <f>AF42+'Cash Flow Statement'!AG6</f>
        <v>6992</v>
      </c>
      <c r="AH42" s="20">
        <f>AG42+'Cash Flow Statement'!AH6</f>
        <v>7187</v>
      </c>
      <c r="AI42" s="20">
        <f>AH42+'Cash Flow Statement'!AI6</f>
        <v>7439</v>
      </c>
      <c r="AJ42" s="20">
        <f>AI42+'Cash Flow Statement'!AJ6</f>
        <v>7656</v>
      </c>
      <c r="AK42" s="20">
        <f>AJ42+'Cash Flow Statement'!AK6</f>
        <v>7863</v>
      </c>
      <c r="AL42" s="20">
        <f>AK42+'Cash Flow Statement'!AL6</f>
        <v>8060</v>
      </c>
      <c r="AM42" s="20">
        <f>AL42+'Cash Flow Statement'!AM6</f>
        <v>8269</v>
      </c>
      <c r="AN42" s="20">
        <f>AM42+'Cash Flow Statement'!AN6</f>
        <v>8457</v>
      </c>
      <c r="AO42" s="20">
        <f>AN42+'Cash Flow Statement'!AO6</f>
        <v>8788</v>
      </c>
      <c r="AP42" s="20">
        <f>AO42+'Cash Flow Statement'!AP6</f>
        <v>8997</v>
      </c>
      <c r="AQ42" s="20">
        <f>AP42+'Cash Flow Statement'!AQ6</f>
        <v>9205</v>
      </c>
      <c r="AR42" s="20">
        <f>AQ42+'Cash Flow Statement'!AR6</f>
        <v>9394</v>
      </c>
      <c r="AS42" s="20">
        <f>AR42+'Cash Flow Statement'!AS6</f>
        <v>9580</v>
      </c>
      <c r="AT42" s="20">
        <f>AS42+'Cash Flow Statement'!AT6</f>
        <v>9808</v>
      </c>
      <c r="AU42" s="20">
        <f>AT42+'Cash Flow Statement'!AU6</f>
        <v>10023</v>
      </c>
      <c r="AV42" s="20">
        <f>AU42+'Cash Flow Statement'!AV6</f>
        <v>10242</v>
      </c>
      <c r="AW42" s="20">
        <f>AV42+'Cash Flow Statement'!AW6</f>
        <v>10466</v>
      </c>
      <c r="AX42" s="20">
        <f>AW42+'Cash Flow Statement'!AX6</f>
        <v>10657</v>
      </c>
      <c r="AY42" s="20">
        <f>AX42+'Cash Flow Statement'!AY6</f>
        <v>10858</v>
      </c>
      <c r="AZ42" s="20">
        <f>AY42+'Cash Flow Statement'!AZ6</f>
        <v>10971</v>
      </c>
      <c r="BA42" s="20">
        <f>AZ42+'Cash Flow Statement'!BA6</f>
        <v>11107</v>
      </c>
      <c r="BB42" s="20">
        <f>BA42+'Cash Flow Statement'!BB6</f>
        <v>11233</v>
      </c>
      <c r="BC42" s="20">
        <f>BB42+'Cash Flow Statement'!BC6</f>
        <v>11351</v>
      </c>
      <c r="BD42" s="20">
        <f>BC42+'Cash Flow Statement'!BD6</f>
        <v>11480</v>
      </c>
      <c r="BE42" s="20">
        <f>BD42+'Cash Flow Statement'!BE6</f>
        <v>11480</v>
      </c>
      <c r="BF42" s="20">
        <f>BE42+'Cash Flow Statement'!BF6</f>
        <v>11480</v>
      </c>
      <c r="BG42" s="20">
        <f>BF42+'Cash Flow Statement'!BG6</f>
        <v>11480</v>
      </c>
      <c r="BH42" s="20">
        <f>BG42+'Cash Flow Statement'!BH6</f>
        <v>11480</v>
      </c>
      <c r="BI42" s="20">
        <f>BH42+'Cash Flow Statement'!BI6</f>
        <v>11480</v>
      </c>
      <c r="BJ42" s="20">
        <f>BI42+'Cash Flow Statement'!BJ6</f>
        <v>11480</v>
      </c>
      <c r="BK42" s="20">
        <f>BJ42+'Cash Flow Statement'!BK6</f>
        <v>11480</v>
      </c>
      <c r="BL42" s="20">
        <f>BK42+'Cash Flow Statement'!BL6</f>
        <v>11480</v>
      </c>
      <c r="BM42" s="20">
        <f>BL42+'Cash Flow Statement'!BM6</f>
        <v>11480</v>
      </c>
      <c r="BN42" s="20">
        <f>BM42+'Cash Flow Statement'!BN6</f>
        <v>11480</v>
      </c>
      <c r="BO42" s="20">
        <f>BN42+'Cash Flow Statement'!BO6</f>
        <v>11480</v>
      </c>
      <c r="BP42" s="20">
        <f>BO42+'Cash Flow Statement'!BP6</f>
        <v>11480</v>
      </c>
      <c r="BQ42" s="20">
        <f>BP42+'Cash Flow Statement'!BQ6</f>
        <v>11480</v>
      </c>
      <c r="BR42" s="20">
        <f>BQ42+'Cash Flow Statement'!BR6</f>
        <v>11480</v>
      </c>
      <c r="BS42" s="20">
        <f>BR42+'Cash Flow Statement'!BS6</f>
        <v>11480</v>
      </c>
      <c r="BT42" s="20">
        <f>BS42+'Cash Flow Statement'!BT6</f>
        <v>11480</v>
      </c>
      <c r="BU42" s="20">
        <f>BT42+'Cash Flow Statement'!BU6</f>
        <v>11480</v>
      </c>
      <c r="BV42" s="20">
        <f>BU42+'Cash Flow Statement'!BV6</f>
        <v>11480</v>
      </c>
      <c r="BW42" s="20">
        <f>BV42+'Cash Flow Statement'!BW6</f>
        <v>11480</v>
      </c>
      <c r="BX42" s="20">
        <f>BW42+'Cash Flow Statement'!BX6</f>
        <v>11480</v>
      </c>
      <c r="BY42" s="20">
        <f>BX42+'Cash Flow Statement'!BY6</f>
        <v>11480</v>
      </c>
      <c r="BZ42" s="20">
        <f>BY42+'Cash Flow Statement'!BZ6</f>
        <v>11480</v>
      </c>
      <c r="CA42" s="20">
        <f>BZ42+'Cash Flow Statement'!CA6</f>
        <v>11480</v>
      </c>
      <c r="CB42" s="20">
        <f>CA42+'Cash Flow Statement'!CB6</f>
        <v>11480</v>
      </c>
      <c r="CC42" s="20">
        <f>CB42+'Cash Flow Statement'!CC6</f>
        <v>11480</v>
      </c>
      <c r="CD42" s="20">
        <f>CC42+'Cash Flow Statement'!CD6</f>
        <v>11480</v>
      </c>
      <c r="CE42" s="20">
        <f>CD42+'Cash Flow Statement'!CE6</f>
        <v>11480</v>
      </c>
      <c r="CF42" s="20">
        <f>CE42+'Cash Flow Statement'!CF6</f>
        <v>11480</v>
      </c>
      <c r="CG42" s="20">
        <f>CF42+'Cash Flow Statement'!CG6</f>
        <v>11480</v>
      </c>
      <c r="CH42" s="20"/>
      <c r="CI42" s="130">
        <f>'Cash Flow Statement'!CI6</f>
        <v>329</v>
      </c>
      <c r="CJ42" s="130">
        <f>CI42+'Cash Flow Statement'!CJ6</f>
        <v>784</v>
      </c>
      <c r="CK42" s="130">
        <f>CJ42+'Cash Flow Statement'!CK6</f>
        <v>1758</v>
      </c>
      <c r="CL42" s="130">
        <f>CK42+'Cash Flow Statement'!CL6</f>
        <v>2916</v>
      </c>
      <c r="CM42" s="130">
        <f>CL42+'Cash Flow Statement'!CM6</f>
        <v>4372</v>
      </c>
      <c r="CN42" s="130">
        <f>CM42+'Cash Flow Statement'!CN6</f>
        <v>5303</v>
      </c>
      <c r="CO42" s="130">
        <f>CN42+'Cash Flow Statement'!CO6</f>
        <v>6180</v>
      </c>
      <c r="CP42" s="130">
        <f>CO42+'Cash Flow Statement'!CP6</f>
        <v>6992</v>
      </c>
      <c r="CQ42" s="130">
        <f>CP42+'Cash Flow Statement'!CQ6</f>
        <v>7863</v>
      </c>
      <c r="CR42" s="130">
        <f>CQ42+'Cash Flow Statement'!CR6</f>
        <v>8788</v>
      </c>
      <c r="CS42" s="130">
        <f>CR42+'Cash Flow Statement'!CS6</f>
        <v>9580</v>
      </c>
      <c r="CT42" s="130">
        <f>CS42+'Cash Flow Statement'!CT6</f>
        <v>10466</v>
      </c>
      <c r="CU42" s="130">
        <f>CT42+'Cash Flow Statement'!CU6</f>
        <v>11107</v>
      </c>
      <c r="CV42" s="130">
        <f>CU42+'Cash Flow Statement'!CV6</f>
        <v>11480</v>
      </c>
      <c r="CW42" s="130">
        <f>CV42+'Cash Flow Statement'!CW6</f>
        <v>11480</v>
      </c>
      <c r="CX42" s="130">
        <f>CW42+'Cash Flow Statement'!CX6</f>
        <v>11480</v>
      </c>
      <c r="CY42" s="130">
        <f>CX42+'Cash Flow Statement'!CY6</f>
        <v>11480</v>
      </c>
      <c r="CZ42" s="130">
        <f>CY42+'Cash Flow Statement'!CZ6</f>
        <v>11480</v>
      </c>
      <c r="DA42" s="130">
        <f>CZ42+'Cash Flow Statement'!DA6</f>
        <v>11480</v>
      </c>
      <c r="DB42" s="130">
        <f>DA42+'Cash Flow Statement'!DB6</f>
        <v>11480</v>
      </c>
      <c r="DC42" s="130">
        <f>DB42+'Cash Flow Statement'!DC6</f>
        <v>11480</v>
      </c>
    </row>
    <row r="45" spans="1:107" x14ac:dyDescent="0.2">
      <c r="CV45" s="360"/>
      <c r="CW45" s="20"/>
      <c r="CX45" s="20"/>
      <c r="CY45" s="20"/>
      <c r="CZ45" s="20"/>
      <c r="DA45" s="20"/>
      <c r="DB45" s="20"/>
      <c r="DC45" s="20"/>
    </row>
    <row r="46" spans="1:107" x14ac:dyDescent="0.2">
      <c r="CV46" s="360"/>
      <c r="CW46" s="20"/>
      <c r="CX46" s="20"/>
      <c r="CY46" s="20"/>
      <c r="CZ46" s="20"/>
      <c r="DA46" s="20"/>
      <c r="DB46" s="20"/>
      <c r="DC46" s="20"/>
    </row>
    <row r="47" spans="1:107" x14ac:dyDescent="0.2">
      <c r="CV47" s="360"/>
      <c r="CW47" s="20"/>
      <c r="CX47" s="20"/>
      <c r="CY47" s="20"/>
      <c r="CZ47" s="20"/>
      <c r="DA47" s="20"/>
      <c r="DB47" s="20"/>
      <c r="DC47" s="20"/>
    </row>
    <row r="48" spans="1:107" x14ac:dyDescent="0.2">
      <c r="CX48" s="20"/>
    </row>
    <row r="49" spans="100:107" x14ac:dyDescent="0.2">
      <c r="CV49" s="360"/>
      <c r="CW49" s="20"/>
      <c r="CX49" s="20"/>
      <c r="CY49" s="20"/>
      <c r="CZ49" s="20"/>
      <c r="DA49" s="20"/>
      <c r="DB49" s="20"/>
      <c r="DC49" s="20"/>
    </row>
    <row r="50" spans="100:107" x14ac:dyDescent="0.2">
      <c r="CV50" s="360"/>
      <c r="CW50" s="20"/>
      <c r="CX50" s="20"/>
      <c r="CY50" s="20"/>
      <c r="CZ50" s="20"/>
      <c r="DA50" s="20"/>
      <c r="DB50" s="20"/>
      <c r="DC50" s="20"/>
    </row>
    <row r="51" spans="100:107" x14ac:dyDescent="0.2">
      <c r="CV51" s="360"/>
      <c r="CW51" s="20"/>
      <c r="CX51" s="20"/>
      <c r="CY51" s="20"/>
      <c r="CZ51" s="20"/>
      <c r="DA51" s="20"/>
      <c r="DB51" s="20"/>
      <c r="DC51" s="20"/>
    </row>
    <row r="52" spans="100:107" x14ac:dyDescent="0.2">
      <c r="CV52" s="360"/>
      <c r="CW52" s="20"/>
      <c r="CX52" s="20"/>
      <c r="CY52" s="20"/>
      <c r="CZ52" s="20"/>
      <c r="DA52" s="20"/>
      <c r="DB52" s="20"/>
      <c r="DC52" s="20"/>
    </row>
    <row r="54" spans="100:107" x14ac:dyDescent="0.2">
      <c r="CV54" s="360"/>
      <c r="CW54" s="20"/>
      <c r="CX54" s="20"/>
      <c r="CY54" s="20"/>
      <c r="CZ54" s="20"/>
      <c r="DA54" s="20"/>
      <c r="DB54" s="20"/>
      <c r="DC54" s="20"/>
    </row>
    <row r="55" spans="100:107" x14ac:dyDescent="0.2">
      <c r="CV55" s="360"/>
      <c r="CW55" s="20"/>
      <c r="CX55" s="20"/>
      <c r="CY55" s="20"/>
      <c r="CZ55" s="20"/>
      <c r="DA55" s="20"/>
      <c r="DB55" s="20"/>
      <c r="DC55" s="20"/>
    </row>
    <row r="56" spans="100:107" x14ac:dyDescent="0.2">
      <c r="CV56" s="360"/>
      <c r="CW56" s="20"/>
      <c r="CX56" s="20"/>
      <c r="CY56" s="20"/>
      <c r="CZ56" s="20"/>
      <c r="DA56" s="20"/>
      <c r="DB56" s="20"/>
      <c r="DC56" s="20"/>
    </row>
    <row r="57" spans="100:107" x14ac:dyDescent="0.2">
      <c r="CV57" s="360"/>
      <c r="CW57" s="20"/>
      <c r="CX57" s="20"/>
      <c r="CY57" s="20"/>
      <c r="CZ57" s="20"/>
      <c r="DA57" s="20"/>
      <c r="DB57" s="20"/>
      <c r="DC57" s="20"/>
    </row>
    <row r="60" spans="100:107" x14ac:dyDescent="0.2">
      <c r="CW60" s="20"/>
      <c r="CX60" s="20"/>
      <c r="CY60" s="20"/>
      <c r="CZ60" s="20"/>
      <c r="DA60" s="20"/>
      <c r="DB60" s="20"/>
      <c r="DC60" s="20"/>
    </row>
    <row r="62" spans="100:107" x14ac:dyDescent="0.2">
      <c r="CW62" s="65"/>
      <c r="CX62" s="65"/>
      <c r="CY62" s="65"/>
      <c r="CZ62" s="65"/>
      <c r="DA62" s="65"/>
      <c r="DB62" s="65"/>
      <c r="DC62" s="65"/>
    </row>
    <row r="64" spans="100:107" x14ac:dyDescent="0.2">
      <c r="CW64" s="20"/>
      <c r="CX64" s="20"/>
      <c r="CY64" s="20"/>
      <c r="CZ64" s="20"/>
      <c r="DA64" s="20"/>
      <c r="DB64" s="20"/>
      <c r="DC64" s="20"/>
    </row>
    <row r="69" spans="101:107" x14ac:dyDescent="0.2">
      <c r="CW69" s="20"/>
      <c r="CX69" s="20"/>
      <c r="CY69" s="20"/>
      <c r="CZ69" s="20"/>
      <c r="DA69" s="20"/>
      <c r="DB69" s="20"/>
      <c r="DC69" s="20"/>
    </row>
    <row r="73" spans="101:107" x14ac:dyDescent="0.2">
      <c r="CW73" s="20"/>
      <c r="CX73" s="20"/>
      <c r="CY73" s="20"/>
      <c r="CZ73" s="20"/>
      <c r="DA73" s="20"/>
      <c r="DB73" s="20"/>
      <c r="DC73" s="20"/>
    </row>
  </sheetData>
  <pageMargins left="0.7" right="0.7" top="0.75" bottom="0.75" header="0.3" footer="0.3"/>
  <pageSetup orientation="portrait" r:id="rId1"/>
  <customProperties>
    <customPr name="Qube.Worksheet.Visibility" r:id="rId2"/>
  </customProperties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C40"/>
  <sheetViews>
    <sheetView workbookViewId="0">
      <pane xSplit="1" ySplit="1" topLeftCell="BB2" activePane="bottomRight" state="frozen"/>
      <selection pane="topRight" activeCell="B1" sqref="B1"/>
      <selection pane="bottomLeft" activeCell="A3" sqref="A3"/>
      <selection pane="bottomRight" activeCell="CH2" sqref="CH2"/>
    </sheetView>
  </sheetViews>
  <sheetFormatPr defaultRowHeight="12" outlineLevelCol="1" x14ac:dyDescent="0.2"/>
  <cols>
    <col min="1" max="1" width="55.42578125" style="1" customWidth="1"/>
    <col min="2" max="2" width="10" style="1" hidden="1" customWidth="1" outlineLevel="1"/>
    <col min="3" max="37" width="9.140625" style="1" hidden="1" customWidth="1" outlineLevel="1"/>
    <col min="38" max="38" width="9.140625" style="1" hidden="1" customWidth="1" outlineLevel="1" collapsed="1"/>
    <col min="39" max="53" width="9.140625" style="1" hidden="1" customWidth="1" outlineLevel="1"/>
    <col min="54" max="54" width="9.140625" style="1" collapsed="1"/>
    <col min="55" max="61" width="9.140625" style="1"/>
    <col min="62" max="73" width="9.5703125" style="1" customWidth="1"/>
    <col min="74" max="85" width="9.5703125" style="1" hidden="1" customWidth="1" outlineLevel="1"/>
    <col min="86" max="86" width="9.5703125" style="1" customWidth="1" collapsed="1"/>
    <col min="87" max="99" width="9.5703125" style="1" hidden="1" customWidth="1" outlineLevel="1"/>
    <col min="100" max="100" width="9.5703125" style="1" customWidth="1" collapsed="1"/>
    <col min="101" max="107" width="9.5703125" style="1" customWidth="1"/>
    <col min="108" max="16384" width="9.140625" style="1"/>
  </cols>
  <sheetData>
    <row r="1" spans="1:107" s="2" customFormat="1" ht="43.5" customHeight="1" x14ac:dyDescent="0.2">
      <c r="A1" s="6" t="s">
        <v>56</v>
      </c>
      <c r="B1" s="3" t="str">
        <f>'Income Statement'!B1</f>
        <v>1Q10</v>
      </c>
      <c r="C1" s="3" t="str">
        <f>'Income Statement'!C1</f>
        <v>2Q10</v>
      </c>
      <c r="D1" s="3" t="str">
        <f>'Income Statement'!D1</f>
        <v>3Q10</v>
      </c>
      <c r="E1" s="3" t="str">
        <f>'Income Statement'!E1</f>
        <v>4Q10</v>
      </c>
      <c r="F1" s="3" t="str">
        <f>'Income Statement'!F1</f>
        <v>1Q11</v>
      </c>
      <c r="G1" s="3" t="str">
        <f>'Income Statement'!G1</f>
        <v>2Q11</v>
      </c>
      <c r="H1" s="3" t="str">
        <f>'Income Statement'!H1</f>
        <v>3Q11</v>
      </c>
      <c r="I1" s="3" t="str">
        <f>'Income Statement'!I1</f>
        <v>4Q11</v>
      </c>
      <c r="J1" s="3" t="str">
        <f>'Income Statement'!J1</f>
        <v>1Q12</v>
      </c>
      <c r="K1" s="3" t="str">
        <f>'Income Statement'!K1</f>
        <v>2Q12</v>
      </c>
      <c r="L1" s="3" t="str">
        <f>'Income Statement'!L1</f>
        <v>3Q12</v>
      </c>
      <c r="M1" s="3" t="str">
        <f>'Income Statement'!M1</f>
        <v>4Q12</v>
      </c>
      <c r="N1" s="3" t="str">
        <f>'Income Statement'!N1</f>
        <v>1Q13</v>
      </c>
      <c r="O1" s="3" t="str">
        <f>'Income Statement'!O1</f>
        <v>2Q13</v>
      </c>
      <c r="P1" s="3" t="str">
        <f>'Income Statement'!P1</f>
        <v>3Q13</v>
      </c>
      <c r="Q1" s="3" t="str">
        <f>'Income Statement'!Q1</f>
        <v>4Q13</v>
      </c>
      <c r="R1" s="3" t="str">
        <f>'Income Statement'!R1</f>
        <v>1Q14</v>
      </c>
      <c r="S1" s="3" t="str">
        <f>'Income Statement'!S1</f>
        <v>2Q14</v>
      </c>
      <c r="T1" s="3" t="str">
        <f>'Income Statement'!T1</f>
        <v>3Q14</v>
      </c>
      <c r="U1" s="3" t="str">
        <f>'Income Statement'!U1</f>
        <v>4Q14</v>
      </c>
      <c r="V1" s="3" t="str">
        <f>'Income Statement'!V1</f>
        <v>1Q15</v>
      </c>
      <c r="W1" s="3" t="str">
        <f>'Income Statement'!W1</f>
        <v>2Q15</v>
      </c>
      <c r="X1" s="3" t="str">
        <f>'Income Statement'!X1</f>
        <v>3Q15</v>
      </c>
      <c r="Y1" s="3" t="str">
        <f>'Income Statement'!Y1</f>
        <v>4Q15</v>
      </c>
      <c r="Z1" s="3" t="str">
        <f>'Income Statement'!Z1</f>
        <v>1Q16</v>
      </c>
      <c r="AA1" s="3" t="str">
        <f>'Income Statement'!AA1</f>
        <v>2Q16</v>
      </c>
      <c r="AB1" s="3" t="str">
        <f>'Income Statement'!AB1</f>
        <v>3Q16</v>
      </c>
      <c r="AC1" s="3" t="str">
        <f>'Income Statement'!AC1</f>
        <v>4Q16</v>
      </c>
      <c r="AD1" s="3" t="str">
        <f>'Income Statement'!AD1</f>
        <v>1Q17</v>
      </c>
      <c r="AE1" s="3" t="str">
        <f>'Income Statement'!AE1</f>
        <v>2Q17</v>
      </c>
      <c r="AF1" s="3" t="str">
        <f>'Income Statement'!AF1</f>
        <v>3Q17</v>
      </c>
      <c r="AG1" s="3" t="str">
        <f>'Income Statement'!AG1</f>
        <v>4Q17</v>
      </c>
      <c r="AH1" s="3" t="str">
        <f>'Income Statement'!AH1</f>
        <v>1Q18</v>
      </c>
      <c r="AI1" s="3" t="str">
        <f>'Income Statement'!AI1</f>
        <v>2Q18</v>
      </c>
      <c r="AJ1" s="3" t="str">
        <f>'Income Statement'!AJ1</f>
        <v>3Q18</v>
      </c>
      <c r="AK1" s="3" t="str">
        <f>'Income Statement'!AK1</f>
        <v>4Q18</v>
      </c>
      <c r="AL1" s="3" t="str">
        <f>'Income Statement'!AL1</f>
        <v>1Q19</v>
      </c>
      <c r="AM1" s="3" t="str">
        <f>'Income Statement'!AM1</f>
        <v>2Q19</v>
      </c>
      <c r="AN1" s="3" t="str">
        <f>'Income Statement'!AN1</f>
        <v>3Q19</v>
      </c>
      <c r="AO1" s="3" t="str">
        <f>'Income Statement'!AO1</f>
        <v>4Q19</v>
      </c>
      <c r="AP1" s="3" t="str">
        <f>'Income Statement'!AP1</f>
        <v>1Q20</v>
      </c>
      <c r="AQ1" s="3" t="str">
        <f>'Income Statement'!AQ1</f>
        <v>2Q20</v>
      </c>
      <c r="AR1" s="3" t="str">
        <f>'Income Statement'!AR1</f>
        <v>3Q20</v>
      </c>
      <c r="AS1" s="3" t="str">
        <f>'Income Statement'!AS1</f>
        <v>4Q20</v>
      </c>
      <c r="AT1" s="3" t="str">
        <f>'Income Statement'!AT1</f>
        <v>1Q21</v>
      </c>
      <c r="AU1" s="3" t="str">
        <f>'Income Statement'!AU1</f>
        <v>2Q21</v>
      </c>
      <c r="AV1" s="3" t="str">
        <f>'Income Statement'!AV1</f>
        <v>3Q21</v>
      </c>
      <c r="AW1" s="3" t="str">
        <f>'Income Statement'!AW1</f>
        <v>4Q21</v>
      </c>
      <c r="AX1" s="3" t="str">
        <f>'Income Statement'!AX1</f>
        <v>1Q22</v>
      </c>
      <c r="AY1" s="3" t="str">
        <f>'Income Statement'!AY1</f>
        <v>2Q22</v>
      </c>
      <c r="AZ1" s="3" t="str">
        <f>'Income Statement'!AZ1</f>
        <v>3Q22</v>
      </c>
      <c r="BA1" s="3" t="str">
        <f>'Income Statement'!BA1</f>
        <v>4Q22</v>
      </c>
      <c r="BB1" s="3" t="str">
        <f>'Income Statement'!BB1</f>
        <v>1Q23</v>
      </c>
      <c r="BC1" s="3" t="str">
        <f>'Income Statement'!BC1</f>
        <v>2Q23</v>
      </c>
      <c r="BD1" s="3" t="str">
        <f>'Income Statement'!BD1</f>
        <v>3Q23</v>
      </c>
      <c r="BE1" s="3" t="str">
        <f>'Income Statement'!BE1</f>
        <v>4Q23</v>
      </c>
      <c r="BF1" s="3" t="str">
        <f>'Income Statement'!BF1</f>
        <v>1Q24</v>
      </c>
      <c r="BG1" s="3" t="str">
        <f>'Income Statement'!BG1</f>
        <v>2Q24</v>
      </c>
      <c r="BH1" s="3" t="str">
        <f>'Income Statement'!BH1</f>
        <v>3Q24</v>
      </c>
      <c r="BI1" s="3" t="str">
        <f>'Income Statement'!BI1</f>
        <v>4Q24</v>
      </c>
      <c r="BJ1" s="3" t="str">
        <f>'Income Statement'!BJ1</f>
        <v>1Q25</v>
      </c>
      <c r="BK1" s="3" t="str">
        <f>'Income Statement'!BK1</f>
        <v>2Q25</v>
      </c>
      <c r="BL1" s="3" t="str">
        <f>'Income Statement'!BL1</f>
        <v>3Q25</v>
      </c>
      <c r="BM1" s="3" t="str">
        <f>'Income Statement'!BM1</f>
        <v>4Q25E</v>
      </c>
      <c r="BN1" s="3" t="str">
        <f>'Income Statement'!BN1</f>
        <v>1Q26E</v>
      </c>
      <c r="BO1" s="3" t="str">
        <f>'Income Statement'!BO1</f>
        <v>2Q26E</v>
      </c>
      <c r="BP1" s="3" t="str">
        <f>'Income Statement'!BP1</f>
        <v>3Q26E</v>
      </c>
      <c r="BQ1" s="3" t="str">
        <f>'Income Statement'!BQ1</f>
        <v>4Q26E</v>
      </c>
      <c r="BR1" s="3" t="str">
        <f>'Income Statement'!BR1</f>
        <v>1Q27E</v>
      </c>
      <c r="BS1" s="3" t="str">
        <f>'Income Statement'!BS1</f>
        <v>2Q27E</v>
      </c>
      <c r="BT1" s="3" t="str">
        <f>'Income Statement'!BT1</f>
        <v>3Q27E</v>
      </c>
      <c r="BU1" s="3" t="str">
        <f>'Income Statement'!BU1</f>
        <v>4Q27E</v>
      </c>
      <c r="BV1" s="3" t="str">
        <f>'Income Statement'!BV1</f>
        <v>1Q28E</v>
      </c>
      <c r="BW1" s="3" t="str">
        <f>'Income Statement'!BW1</f>
        <v>2Q28E</v>
      </c>
      <c r="BX1" s="3" t="str">
        <f>'Income Statement'!BX1</f>
        <v>3Q28E</v>
      </c>
      <c r="BY1" s="3" t="str">
        <f>'Income Statement'!BY1</f>
        <v>4Q28E</v>
      </c>
      <c r="BZ1" s="3" t="str">
        <f>'Income Statement'!BZ1</f>
        <v>1Q29E</v>
      </c>
      <c r="CA1" s="3" t="str">
        <f>'Income Statement'!CA1</f>
        <v>2Q29E</v>
      </c>
      <c r="CB1" s="3" t="str">
        <f>'Income Statement'!CB1</f>
        <v>3Q29E</v>
      </c>
      <c r="CC1" s="3" t="str">
        <f>'Income Statement'!CC1</f>
        <v>4Q29E</v>
      </c>
      <c r="CD1" s="3" t="str">
        <f>'Income Statement'!CD1</f>
        <v>1Q30E</v>
      </c>
      <c r="CE1" s="3" t="str">
        <f>'Income Statement'!CE1</f>
        <v>2Q30E</v>
      </c>
      <c r="CF1" s="3" t="str">
        <f>'Income Statement'!CF1</f>
        <v>3Q30E</v>
      </c>
      <c r="CG1" s="3" t="str">
        <f>'Income Statement'!CG1</f>
        <v>4Q30E</v>
      </c>
      <c r="CH1" s="256"/>
      <c r="CI1" s="88">
        <f>'Income Statement'!CI1</f>
        <v>2010</v>
      </c>
      <c r="CJ1" s="3">
        <f>'Income Statement'!CJ1</f>
        <v>2011</v>
      </c>
      <c r="CK1" s="88">
        <f>'Income Statement'!CK1</f>
        <v>2012</v>
      </c>
      <c r="CL1" s="88">
        <f>'Income Statement'!CL1</f>
        <v>2013</v>
      </c>
      <c r="CM1" s="88">
        <f>'Income Statement'!CM1</f>
        <v>2014</v>
      </c>
      <c r="CN1" s="88">
        <f>'Income Statement'!CN1</f>
        <v>2015</v>
      </c>
      <c r="CO1" s="88">
        <f>'Income Statement'!CO1</f>
        <v>2016</v>
      </c>
      <c r="CP1" s="88">
        <f>'Income Statement'!CP1</f>
        <v>2017</v>
      </c>
      <c r="CQ1" s="88">
        <f>'Income Statement'!CQ1</f>
        <v>2018</v>
      </c>
      <c r="CR1" s="88">
        <f>'Income Statement'!CR1</f>
        <v>2019</v>
      </c>
      <c r="CS1" s="88">
        <f>'Income Statement'!CS1</f>
        <v>2020</v>
      </c>
      <c r="CT1" s="88">
        <f>'Income Statement'!CT1</f>
        <v>2021</v>
      </c>
      <c r="CU1" s="88">
        <f>'Income Statement'!CU1</f>
        <v>2022</v>
      </c>
      <c r="CV1" s="88">
        <f>'Income Statement'!CV1</f>
        <v>2023</v>
      </c>
      <c r="CW1" s="88">
        <f>'Income Statement'!CW1</f>
        <v>2024</v>
      </c>
      <c r="CX1" s="88" t="str">
        <f>'Income Statement'!CX1</f>
        <v>2025E</v>
      </c>
      <c r="CY1" s="88" t="str">
        <f>'Income Statement'!CY1</f>
        <v>2026E</v>
      </c>
      <c r="CZ1" s="88" t="str">
        <f>'Income Statement'!CZ1</f>
        <v>2027E</v>
      </c>
      <c r="DA1" s="88" t="str">
        <f>'Income Statement'!DA1</f>
        <v>2028E</v>
      </c>
      <c r="DB1" s="88" t="str">
        <f>'Income Statement'!DB1</f>
        <v>2029E</v>
      </c>
      <c r="DC1" s="88" t="str">
        <f>'Income Statement'!DC1</f>
        <v>2030E</v>
      </c>
    </row>
    <row r="2" spans="1:107" x14ac:dyDescent="0.2">
      <c r="CI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</row>
    <row r="3" spans="1:107" x14ac:dyDescent="0.2">
      <c r="A3" s="1" t="s">
        <v>240</v>
      </c>
      <c r="B3" s="16">
        <f>'Income Statement'!B85</f>
        <v>5064</v>
      </c>
      <c r="C3" s="16">
        <f>'Income Statement'!C85</f>
        <v>5088</v>
      </c>
      <c r="D3" s="16">
        <f>'Income Statement'!D85</f>
        <v>5481</v>
      </c>
      <c r="E3" s="16">
        <f>'Income Statement'!E85</f>
        <v>6371</v>
      </c>
      <c r="F3" s="16">
        <f>'Income Statement'!F85</f>
        <v>6536</v>
      </c>
      <c r="G3" s="16">
        <f>'Income Statement'!G85</f>
        <v>6914</v>
      </c>
      <c r="H3" s="16">
        <f>'Income Statement'!H85</f>
        <v>7512</v>
      </c>
      <c r="I3" s="16">
        <f>'Income Statement'!I85</f>
        <v>8132</v>
      </c>
      <c r="J3" s="16">
        <f>'Income Statement'!J85</f>
        <v>8136</v>
      </c>
      <c r="K3" s="16">
        <f>'Income Statement'!K85</f>
        <v>8361</v>
      </c>
      <c r="L3" s="16">
        <f>'Income Statement'!L85</f>
        <v>8752</v>
      </c>
      <c r="M3" s="16">
        <f>'Income Statement'!M85</f>
        <v>9832</v>
      </c>
      <c r="N3" s="16">
        <f>'Income Statement'!N85</f>
        <v>9984</v>
      </c>
      <c r="O3" s="16">
        <f>'Income Statement'!O85</f>
        <v>10091</v>
      </c>
      <c r="P3" s="16">
        <f>'Income Statement'!P85</f>
        <v>10778</v>
      </c>
      <c r="Q3" s="16">
        <f>'Income Statement'!Q85</f>
        <v>12408</v>
      </c>
      <c r="R3" s="16">
        <f>'Income Statement'!R85</f>
        <v>12189</v>
      </c>
      <c r="S3" s="16">
        <f>'Income Statement'!S85</f>
        <v>12661</v>
      </c>
      <c r="T3" s="16">
        <f>'Income Statement'!T85</f>
        <v>13175</v>
      </c>
      <c r="U3" s="16">
        <f>'Income Statement'!U85</f>
        <v>14479</v>
      </c>
      <c r="V3" s="16">
        <f>'Income Statement'!V85</f>
        <v>13913</v>
      </c>
      <c r="W3" s="16">
        <f>'Income Statement'!W85</f>
        <v>14350</v>
      </c>
      <c r="X3" s="16">
        <f>'Income Statement'!X85</f>
        <v>15109</v>
      </c>
      <c r="Y3" s="16">
        <f>'Income Statement'!Y85</f>
        <v>17274</v>
      </c>
      <c r="Z3" s="16">
        <f>'Income Statement'!Z85</f>
        <v>16469</v>
      </c>
      <c r="AA3" s="16">
        <f>'Income Statement'!AA85</f>
        <v>17525</v>
      </c>
      <c r="AB3" s="16">
        <f>'Income Statement'!AB85</f>
        <v>18269</v>
      </c>
      <c r="AC3" s="16">
        <f>'Income Statement'!AC85</f>
        <v>21216</v>
      </c>
      <c r="AD3" s="16">
        <f>'Income Statement'!AD85</f>
        <v>20121</v>
      </c>
      <c r="AE3" s="16">
        <f>'Income Statement'!AE85</f>
        <v>20919</v>
      </c>
      <c r="AF3" s="16">
        <f>'Income Statement'!AF85</f>
        <v>22270</v>
      </c>
      <c r="AG3" s="16">
        <f>'Income Statement'!AG85</f>
        <v>25873</v>
      </c>
      <c r="AH3" s="16">
        <f>'Income Statement'!AH85</f>
        <v>24858</v>
      </c>
      <c r="AI3" s="16">
        <f>'Income Statement'!AI85</f>
        <v>26237</v>
      </c>
      <c r="AJ3" s="16">
        <f>'Income Statement'!AJ85</f>
        <v>27158</v>
      </c>
      <c r="AK3" s="16">
        <f>'Income Statement'!AK85</f>
        <v>31840</v>
      </c>
      <c r="AL3" s="16">
        <f>'Income Statement'!AL85</f>
        <v>29479</v>
      </c>
      <c r="AM3" s="16">
        <f>'Income Statement'!AM85</f>
        <v>31706</v>
      </c>
      <c r="AN3" s="16">
        <f>'Income Statement'!AN85</f>
        <v>33009</v>
      </c>
      <c r="AO3" s="16">
        <f>'Income Statement'!AO85</f>
        <v>37574</v>
      </c>
      <c r="AP3" s="16">
        <f>'Income Statement'!AP85</f>
        <v>33707</v>
      </c>
      <c r="AQ3" s="16">
        <f>'Income Statement'!AQ85</f>
        <v>31603</v>
      </c>
      <c r="AR3" s="16">
        <f>'Income Statement'!AR85</f>
        <v>38007</v>
      </c>
      <c r="AS3" s="16">
        <f>'Income Statement'!AS85</f>
        <v>46432</v>
      </c>
      <c r="AT3" s="16">
        <f>'Income Statement'!AT85</f>
        <v>45602</v>
      </c>
      <c r="AU3" s="16">
        <f>'Income Statement'!AU85</f>
        <v>50951</v>
      </c>
      <c r="AV3" s="16">
        <f>'Income Statement'!AV85</f>
        <v>53620</v>
      </c>
      <c r="AW3" s="16">
        <f>'Income Statement'!AW85</f>
        <v>61898</v>
      </c>
      <c r="AX3" s="16">
        <f>'Income Statement'!AX85</f>
        <v>56021</v>
      </c>
      <c r="AY3" s="16">
        <f>'Income Statement'!AY85</f>
        <v>57471</v>
      </c>
      <c r="AZ3" s="16">
        <f>'Income Statement'!AZ85</f>
        <v>57266</v>
      </c>
      <c r="BA3" s="16">
        <f>'Income Statement'!BA85</f>
        <v>63123</v>
      </c>
      <c r="BB3" s="16">
        <f>'Income Statement'!BB85</f>
        <v>58066</v>
      </c>
      <c r="BC3" s="16">
        <f>'Income Statement'!BC85</f>
        <v>62067</v>
      </c>
      <c r="BD3" s="16">
        <f>'Income Statement'!BD85</f>
        <v>64051</v>
      </c>
      <c r="BE3" s="16">
        <f>'Income Statement'!BE85</f>
        <v>72324</v>
      </c>
      <c r="BF3" s="16">
        <f>'Income Statement'!BF85</f>
        <v>67593</v>
      </c>
      <c r="BG3" s="16">
        <f>'Income Statement'!BG85</f>
        <v>71355</v>
      </c>
      <c r="BH3" s="16">
        <f>'Income Statement'!BH85</f>
        <v>74549</v>
      </c>
      <c r="BI3" s="16">
        <f>'Income Statement'!BI85</f>
        <v>81621</v>
      </c>
      <c r="BJ3" s="16">
        <f>'Income Statement'!BJ85</f>
        <v>76486</v>
      </c>
      <c r="BK3" s="16">
        <f>'Income Statement'!BK85</f>
        <v>81723</v>
      </c>
      <c r="BL3" s="16">
        <f>'Income Statement'!BL85</f>
        <v>87470</v>
      </c>
      <c r="BM3" s="16">
        <f>'Income Statement'!BM85</f>
        <v>95515.295777777792</v>
      </c>
      <c r="BN3" s="16">
        <f>'Income Statement'!BN85</f>
        <v>89042.10356867424</v>
      </c>
      <c r="BO3" s="16">
        <f>'Income Statement'!BO85</f>
        <v>94341.454100033036</v>
      </c>
      <c r="BP3" s="16">
        <f>'Income Statement'!BP85</f>
        <v>100285.26842441896</v>
      </c>
      <c r="BQ3" s="16">
        <f>'Income Statement'!BQ85</f>
        <v>108253.18039378629</v>
      </c>
      <c r="BR3" s="72">
        <f>'Income Statement'!BR85</f>
        <v>101958.57254260007</v>
      </c>
      <c r="BS3" s="72">
        <f>'Income Statement'!BS85</f>
        <v>107600.44035095963</v>
      </c>
      <c r="BT3" s="72">
        <f>'Income Statement'!BT85</f>
        <v>114525.07152771353</v>
      </c>
      <c r="BU3" s="72">
        <f>'Income Statement'!BU85</f>
        <v>123228.19052316395</v>
      </c>
      <c r="BV3" s="72">
        <f>'Income Statement'!BV85</f>
        <v>116051.45182507671</v>
      </c>
      <c r="BW3" s="72">
        <f>'Income Statement'!BW85</f>
        <v>122012.27242435009</v>
      </c>
      <c r="BX3" s="72">
        <f>'Income Statement'!BX85</f>
        <v>130037.90191572324</v>
      </c>
      <c r="BY3" s="72">
        <f>'Income Statement'!BY85</f>
        <v>139488.5433927002</v>
      </c>
      <c r="BZ3" s="72">
        <f>'Income Statement'!BZ85</f>
        <v>130920.79017615123</v>
      </c>
      <c r="CA3" s="72">
        <f>'Income Statement'!CA85</f>
        <v>137151.81864613242</v>
      </c>
      <c r="CB3" s="72">
        <f>'Income Statement'!CB85</f>
        <v>146353.52382443228</v>
      </c>
      <c r="CC3" s="72">
        <f>'Income Statement'!CC85</f>
        <v>156533.25233952186</v>
      </c>
      <c r="CD3" s="72">
        <f>'Income Statement'!CD85</f>
        <v>146375.8149045461</v>
      </c>
      <c r="CE3" s="72">
        <f>'Income Statement'!CE85</f>
        <v>152817.15189418045</v>
      </c>
      <c r="CF3" s="72">
        <f>'Income Statement'!CF85</f>
        <v>163252.14526460005</v>
      </c>
      <c r="CG3" s="72">
        <f>'Income Statement'!CG85</f>
        <v>174135.0450267847</v>
      </c>
      <c r="CH3" s="72"/>
      <c r="CI3" s="89">
        <f t="shared" ref="CI3" si="0">SUM(B3:E3)</f>
        <v>22004</v>
      </c>
      <c r="CJ3" s="20">
        <f t="shared" ref="CJ3" si="1">SUM(F3:I3)</f>
        <v>29094</v>
      </c>
      <c r="CK3" s="89">
        <f t="shared" ref="CK3" si="2">SUM(J3:M3)</f>
        <v>35081</v>
      </c>
      <c r="CL3" s="89">
        <f t="shared" ref="CL3" si="3">SUM(N3:Q3)</f>
        <v>43261</v>
      </c>
      <c r="CM3" s="89">
        <f t="shared" ref="CM3" si="4">SUM(R3:U3)</f>
        <v>52504</v>
      </c>
      <c r="CN3" s="89">
        <f t="shared" ref="CN3" si="5">SUM(V3:Y3)</f>
        <v>60646</v>
      </c>
      <c r="CO3" s="89">
        <f t="shared" ref="CO3" si="6">SUM(Z3:AC3)</f>
        <v>73479</v>
      </c>
      <c r="CP3" s="89">
        <f t="shared" ref="CP3" si="7">SUM(AD3:AG3)</f>
        <v>89183</v>
      </c>
      <c r="CQ3" s="89">
        <f t="shared" ref="CQ3" si="8">SUM(AH3:AK3)</f>
        <v>110093</v>
      </c>
      <c r="CR3" s="89">
        <f t="shared" ref="CR3" si="9">SUM(AL3:AO3)</f>
        <v>131768</v>
      </c>
      <c r="CS3" s="89">
        <f t="shared" ref="CS3" si="10">SUM(AP3:AS3)</f>
        <v>149749</v>
      </c>
      <c r="CT3" s="89">
        <f t="shared" ref="CT3" si="11">SUM(AT3:AW3)</f>
        <v>212071</v>
      </c>
      <c r="CU3" s="89">
        <f t="shared" ref="CU3" si="12">SUM(AX3:BA3)</f>
        <v>233881</v>
      </c>
      <c r="CV3" s="89">
        <f t="shared" ref="CV3" si="13">SUM(BB3:BE3)</f>
        <v>256508</v>
      </c>
      <c r="CW3" s="89">
        <f t="shared" ref="CW3" si="14">SUM(BF3:BI3)</f>
        <v>295118</v>
      </c>
      <c r="CX3" s="89">
        <f t="shared" ref="CX3" si="15">SUM(BJ3:BM3)</f>
        <v>341194.29577777779</v>
      </c>
      <c r="CY3" s="89">
        <f t="shared" ref="CY3" si="16">SUM(BN3:BQ3)</f>
        <v>391922.00648691249</v>
      </c>
      <c r="CZ3" s="89">
        <f>SUM(BR3:BU3)</f>
        <v>447312.27494443714</v>
      </c>
      <c r="DA3" s="89">
        <f>SUM(BV3:BY3)</f>
        <v>507590.16955785023</v>
      </c>
      <c r="DB3" s="89">
        <f>SUM(BZ3:CC3)</f>
        <v>570959.38498623786</v>
      </c>
      <c r="DC3" s="89">
        <f>SUM(CD3:CG3)</f>
        <v>636580.1570901114</v>
      </c>
    </row>
    <row r="4" spans="1:107" x14ac:dyDescent="0.2">
      <c r="A4" s="1" t="s">
        <v>255</v>
      </c>
      <c r="B4" s="16">
        <f>-'Income Statement'!B166</f>
        <v>741</v>
      </c>
      <c r="C4" s="16">
        <f>-'Income Statement'!C166</f>
        <v>735</v>
      </c>
      <c r="D4" s="16">
        <f>-'Income Statement'!D166</f>
        <v>747</v>
      </c>
      <c r="E4" s="16">
        <f>-'Income Statement'!E166</f>
        <v>877</v>
      </c>
      <c r="F4" s="16">
        <f>-'Income Statement'!F166</f>
        <v>897</v>
      </c>
      <c r="G4" s="16">
        <f>-'Income Statement'!G166</f>
        <v>1060</v>
      </c>
      <c r="H4" s="16">
        <f>-'Income Statement'!H166</f>
        <v>1170</v>
      </c>
      <c r="I4" s="16">
        <f>-'Income Statement'!I166</f>
        <v>1250</v>
      </c>
      <c r="J4" s="16">
        <f>-'Income Statement'!J166</f>
        <v>1280</v>
      </c>
      <c r="K4" s="16">
        <f>-'Income Statement'!K166</f>
        <v>1381</v>
      </c>
      <c r="L4" s="16">
        <f>-'Income Statement'!L166</f>
        <v>1666</v>
      </c>
      <c r="M4" s="16">
        <f>-'Income Statement'!M166</f>
        <v>1890</v>
      </c>
      <c r="N4" s="16">
        <f>-'Income Statement'!N166</f>
        <v>2172</v>
      </c>
      <c r="O4" s="16">
        <f>-'Income Statement'!O166</f>
        <v>2182</v>
      </c>
      <c r="P4" s="16">
        <f>-'Income Statement'!P166</f>
        <v>2436</v>
      </c>
      <c r="Q4" s="16">
        <f>-'Income Statement'!Q166</f>
        <v>2945</v>
      </c>
      <c r="R4" s="16">
        <f>-'Income Statement'!R166</f>
        <v>2730</v>
      </c>
      <c r="S4" s="16">
        <f>-'Income Statement'!S166</f>
        <v>2820</v>
      </c>
      <c r="T4" s="16">
        <f>-'Income Statement'!T166</f>
        <v>3347</v>
      </c>
      <c r="U4" s="16">
        <f>-'Income Statement'!U166</f>
        <v>3297</v>
      </c>
      <c r="V4" s="16">
        <f>-'Income Statement'!V166</f>
        <v>3011</v>
      </c>
      <c r="W4" s="16">
        <f>-'Income Statement'!W166</f>
        <v>3206</v>
      </c>
      <c r="X4" s="16">
        <f>-'Income Statement'!X166</f>
        <v>3471</v>
      </c>
      <c r="Y4" s="16">
        <f>-'Income Statement'!Y166</f>
        <v>4133</v>
      </c>
      <c r="Z4" s="16">
        <f>-'Income Statement'!Z166</f>
        <v>3860</v>
      </c>
      <c r="AA4" s="16">
        <f>-'Income Statement'!AA166</f>
        <v>4155</v>
      </c>
      <c r="AB4" s="16">
        <f>-'Income Statement'!AB166</f>
        <v>4517</v>
      </c>
      <c r="AC4" s="16">
        <f>-'Income Statement'!AC166</f>
        <v>5813</v>
      </c>
      <c r="AD4" s="16">
        <f>-'Income Statement'!AD166</f>
        <v>5166</v>
      </c>
      <c r="AE4" s="16">
        <f>-'Income Statement'!AE166</f>
        <v>5282</v>
      </c>
      <c r="AF4" s="16">
        <f>-'Income Statement'!AF166</f>
        <v>5646</v>
      </c>
      <c r="AG4" s="16">
        <f>-'Income Statement'!AG166</f>
        <v>7817</v>
      </c>
      <c r="AH4" s="16">
        <f>-'Income Statement'!AH166</f>
        <v>7179</v>
      </c>
      <c r="AI4" s="16">
        <f>-'Income Statement'!AI166</f>
        <v>7463</v>
      </c>
      <c r="AJ4" s="16">
        <f>-'Income Statement'!AJ166</f>
        <v>7699</v>
      </c>
      <c r="AK4" s="16">
        <f>-'Income Statement'!AK166</f>
        <v>10482</v>
      </c>
      <c r="AL4" s="16">
        <f>-'Income Statement'!AL166</f>
        <v>9152</v>
      </c>
      <c r="AM4" s="16">
        <f>-'Income Statement'!AM166</f>
        <v>10058</v>
      </c>
      <c r="AN4" s="16">
        <f>-'Income Statement'!AN166</f>
        <v>10078</v>
      </c>
      <c r="AO4" s="16">
        <f>-'Income Statement'!AO166</f>
        <v>12519</v>
      </c>
      <c r="AP4" s="16">
        <f>-'Income Statement'!AP166</f>
        <v>11530</v>
      </c>
      <c r="AQ4" s="16">
        <f>-'Income Statement'!AQ166</f>
        <v>11859</v>
      </c>
      <c r="AR4" s="16">
        <f>-'Income Statement'!AR166</f>
        <v>12951</v>
      </c>
      <c r="AS4" s="16">
        <f>-'Income Statement'!AS166</f>
        <v>15614</v>
      </c>
      <c r="AT4" s="16">
        <f>-'Income Statement'!AT166</f>
        <v>14391</v>
      </c>
      <c r="AU4" s="16">
        <f>-'Income Statement'!AU166</f>
        <v>15298</v>
      </c>
      <c r="AV4" s="16">
        <f>-'Income Statement'!AV166</f>
        <v>16123</v>
      </c>
      <c r="AW4" s="16">
        <f>-'Income Statement'!AW166</f>
        <v>19561</v>
      </c>
      <c r="AX4" s="16">
        <f>-'Income Statement'!AX166</f>
        <v>17609</v>
      </c>
      <c r="AY4" s="16">
        <f>-'Income Statement'!AY166</f>
        <v>17890</v>
      </c>
      <c r="AZ4" s="16">
        <f>-'Income Statement'!AZ166</f>
        <v>19332</v>
      </c>
      <c r="BA4" s="16">
        <f>-'Income Statement'!BA166</f>
        <v>22417</v>
      </c>
      <c r="BB4" s="16">
        <f>-'Income Statement'!BB166</f>
        <v>18891</v>
      </c>
      <c r="BC4" s="16">
        <f>-'Income Statement'!BC166</f>
        <v>19379</v>
      </c>
      <c r="BD4" s="16">
        <f>-'Income Statement'!BD166</f>
        <v>20587</v>
      </c>
      <c r="BE4" s="16">
        <f>-'Income Statement'!BE166</f>
        <v>23589</v>
      </c>
      <c r="BF4" s="16">
        <f>-'Income Statement'!BF166</f>
        <v>20766</v>
      </c>
      <c r="BG4" s="16">
        <f>-'Income Statement'!BG166</f>
        <v>22120</v>
      </c>
      <c r="BH4" s="16">
        <f>-'Income Statement'!BH166</f>
        <v>22755</v>
      </c>
      <c r="BI4" s="16">
        <f>-'Income Statement'!BI166</f>
        <v>25765</v>
      </c>
      <c r="BJ4" s="16">
        <f>-'Income Statement'!BJ166</f>
        <v>22613</v>
      </c>
      <c r="BK4" s="16">
        <f>-'Income Statement'!BK166</f>
        <v>24334</v>
      </c>
      <c r="BL4" s="16">
        <f>-'Income Statement'!BL166</f>
        <v>26493</v>
      </c>
      <c r="BM4" s="16">
        <f>-'Income Statement'!BM166</f>
        <v>31106.114054976351</v>
      </c>
      <c r="BN4" s="16">
        <f>-'Income Statement'!BN166</f>
        <v>27438.224213161244</v>
      </c>
      <c r="BO4" s="16">
        <f>-'Income Statement'!BO166</f>
        <v>29270.563699789735</v>
      </c>
      <c r="BP4" s="16">
        <f>-'Income Statement'!BP166</f>
        <v>31628.067014195505</v>
      </c>
      <c r="BQ4" s="16">
        <f>-'Income Statement'!BQ166</f>
        <v>36607.578707399218</v>
      </c>
      <c r="BR4" s="72">
        <f>-'Income Statement'!BR166</f>
        <v>32438.005346657101</v>
      </c>
      <c r="BS4" s="72">
        <f>-'Income Statement'!BS166</f>
        <v>34460.327058518225</v>
      </c>
      <c r="BT4" s="72">
        <f>-'Income Statement'!BT166</f>
        <v>37264.280897800614</v>
      </c>
      <c r="BU4" s="72">
        <f>-'Income Statement'!BU166</f>
        <v>42903.904550750201</v>
      </c>
      <c r="BV4" s="72">
        <f>-'Income Statement'!BV166</f>
        <v>37792.024951615254</v>
      </c>
      <c r="BW4" s="72">
        <f>-'Income Statement'!BW166</f>
        <v>39990.980572839842</v>
      </c>
      <c r="BX4" s="72">
        <f>-'Income Statement'!BX166</f>
        <v>43287.145236884709</v>
      </c>
      <c r="BY4" s="72">
        <f>-'Income Statement'!BY166</f>
        <v>49611.375706290586</v>
      </c>
      <c r="BZ4" s="72">
        <f>-'Income Statement'!BZ166</f>
        <v>43092.431051782638</v>
      </c>
      <c r="CA4" s="72">
        <f>-'Income Statement'!CA166</f>
        <v>45433.17915953631</v>
      </c>
      <c r="CB4" s="72">
        <f>-'Income Statement'!CB166</f>
        <v>49230.542907278024</v>
      </c>
      <c r="CC4" s="72">
        <f>-'Income Statement'!CC166</f>
        <v>56221.470848901139</v>
      </c>
      <c r="CD4" s="72">
        <f>-'Income Statement'!CD166</f>
        <v>48545.374621145165</v>
      </c>
      <c r="CE4" s="72">
        <f>-'Income Statement'!CE166</f>
        <v>51004.550909118851</v>
      </c>
      <c r="CF4" s="72">
        <f>-'Income Statement'!CF166</f>
        <v>55323.048242387726</v>
      </c>
      <c r="CG4" s="72">
        <f>-'Income Statement'!CG166</f>
        <v>62978.779414380406</v>
      </c>
      <c r="CH4" s="72"/>
      <c r="CI4" s="89">
        <f t="shared" ref="CI4:CI7" si="17">SUM(B4:E4)</f>
        <v>3100</v>
      </c>
      <c r="CJ4" s="20">
        <f t="shared" ref="CJ4:CJ7" si="18">SUM(F4:I4)</f>
        <v>4377</v>
      </c>
      <c r="CK4" s="89">
        <f t="shared" ref="CK4:CK7" si="19">SUM(J4:M4)</f>
        <v>6217</v>
      </c>
      <c r="CL4" s="89">
        <f t="shared" ref="CL4:CL7" si="20">SUM(N4:Q4)</f>
        <v>9735</v>
      </c>
      <c r="CM4" s="89">
        <f t="shared" ref="CM4:CM7" si="21">SUM(R4:U4)</f>
        <v>12194</v>
      </c>
      <c r="CN4" s="89">
        <f t="shared" ref="CN4:CN7" si="22">SUM(V4:Y4)</f>
        <v>13821</v>
      </c>
      <c r="CO4" s="89">
        <f t="shared" ref="CO4:CO7" si="23">SUM(Z4:AC4)</f>
        <v>18345</v>
      </c>
      <c r="CP4" s="89">
        <f t="shared" ref="CP4:CP7" si="24">SUM(AD4:AG4)</f>
        <v>23911</v>
      </c>
      <c r="CQ4" s="89">
        <f t="shared" ref="CQ4:CQ7" si="25">SUM(AH4:AK4)</f>
        <v>32823</v>
      </c>
      <c r="CR4" s="89">
        <f t="shared" ref="CR4:CR7" si="26">SUM(AL4:AO4)</f>
        <v>41807</v>
      </c>
      <c r="CS4" s="89">
        <f t="shared" ref="CS4:CS7" si="27">SUM(AP4:AS4)</f>
        <v>51954</v>
      </c>
      <c r="CT4" s="89">
        <f t="shared" ref="CT4:CT7" si="28">SUM(AT4:AW4)</f>
        <v>65373</v>
      </c>
      <c r="CU4" s="89">
        <f t="shared" ref="CU4:CU7" si="29">SUM(AX4:BA4)</f>
        <v>77248</v>
      </c>
      <c r="CV4" s="89">
        <f t="shared" ref="CV4:CV7" si="30">SUM(BB4:BE4)</f>
        <v>82446</v>
      </c>
      <c r="CW4" s="89">
        <f t="shared" ref="CW4:CW7" si="31">SUM(BF4:BI4)</f>
        <v>91406</v>
      </c>
      <c r="CX4" s="89">
        <f t="shared" ref="CX4:CX7" si="32">SUM(BJ4:BM4)</f>
        <v>104546.11405497635</v>
      </c>
      <c r="CY4" s="89">
        <f t="shared" ref="CY4:CY7" si="33">SUM(BN4:BQ4)</f>
        <v>124944.43363454571</v>
      </c>
      <c r="CZ4" s="89">
        <f t="shared" ref="CZ4:CZ7" si="34">SUM(BR4:BU4)</f>
        <v>147066.51785372617</v>
      </c>
      <c r="DA4" s="89">
        <f t="shared" ref="DA4:DA7" si="35">SUM(BV4:BY4)</f>
        <v>170681.52646763041</v>
      </c>
      <c r="DB4" s="89">
        <f t="shared" ref="DB4:DB7" si="36">SUM(BZ4:CC4)</f>
        <v>193977.6239674981</v>
      </c>
      <c r="DC4" s="89">
        <f t="shared" ref="DC4:DC7" si="37">SUM(CD4:CG4)</f>
        <v>217851.75318703215</v>
      </c>
    </row>
    <row r="5" spans="1:107" x14ac:dyDescent="0.2">
      <c r="A5" s="1" t="s">
        <v>178</v>
      </c>
      <c r="B5" s="16">
        <f>'Cash Flow Statement'!B5</f>
        <v>264</v>
      </c>
      <c r="C5" s="16">
        <f>'Cash Flow Statement'!C5</f>
        <v>266</v>
      </c>
      <c r="D5" s="16">
        <f>'Cash Flow Statement'!D5</f>
        <v>257</v>
      </c>
      <c r="E5" s="16">
        <f>'Cash Flow Statement'!E5</f>
        <v>280</v>
      </c>
      <c r="F5" s="16">
        <f>'Cash Flow Statement'!F5</f>
        <v>301</v>
      </c>
      <c r="G5" s="16">
        <f>'Cash Flow Statement'!G5</f>
        <v>347</v>
      </c>
      <c r="H5" s="16">
        <f>'Cash Flow Statement'!H5</f>
        <v>363</v>
      </c>
      <c r="I5" s="16">
        <f>'Cash Flow Statement'!I5</f>
        <v>385</v>
      </c>
      <c r="J5" s="16">
        <f>'Cash Flow Statement'!J5</f>
        <v>378</v>
      </c>
      <c r="K5" s="16">
        <f>'Cash Flow Statement'!K5</f>
        <v>473</v>
      </c>
      <c r="L5" s="16">
        <f>'Cash Flow Statement'!L5</f>
        <v>507</v>
      </c>
      <c r="M5" s="16">
        <f>'Cash Flow Statement'!M5</f>
        <v>630</v>
      </c>
      <c r="N5" s="16">
        <f>'Cash Flow Statement'!N5</f>
        <v>584</v>
      </c>
      <c r="O5" s="16">
        <f>'Cash Flow Statement'!O5</f>
        <v>747</v>
      </c>
      <c r="P5" s="16">
        <f>'Cash Flow Statement'!P5</f>
        <v>693</v>
      </c>
      <c r="Q5" s="16">
        <f>'Cash Flow Statement'!Q5</f>
        <v>757</v>
      </c>
      <c r="R5" s="16">
        <f>'Cash Flow Statement'!R5</f>
        <v>816</v>
      </c>
      <c r="S5" s="16">
        <f>'Cash Flow Statement'!S5</f>
        <v>813</v>
      </c>
      <c r="T5" s="16">
        <f>'Cash Flow Statement'!T5</f>
        <v>884</v>
      </c>
      <c r="U5" s="16">
        <f>'Cash Flow Statement'!U5</f>
        <v>1010</v>
      </c>
      <c r="V5" s="16">
        <f>'Cash Flow Statement'!V5</f>
        <v>938</v>
      </c>
      <c r="W5" s="16">
        <f>'Cash Flow Statement'!W5</f>
        <v>1011</v>
      </c>
      <c r="X5" s="16">
        <f>'Cash Flow Statement'!X5</f>
        <v>1030</v>
      </c>
      <c r="Y5" s="16">
        <f>'Cash Flow Statement'!Y5</f>
        <v>1153</v>
      </c>
      <c r="Z5" s="16">
        <f>'Cash Flow Statement'!Z5</f>
        <v>1155</v>
      </c>
      <c r="AA5" s="16">
        <f>'Cash Flow Statement'!AA5</f>
        <v>1271</v>
      </c>
      <c r="AB5" s="16">
        <f>'Cash Flow Statement'!AB5</f>
        <v>1377</v>
      </c>
      <c r="AC5" s="16">
        <f>'Cash Flow Statement'!AC5</f>
        <v>1464</v>
      </c>
      <c r="AD5" s="16">
        <f>'Cash Flow Statement'!AD5</f>
        <v>1287</v>
      </c>
      <c r="AE5" s="16">
        <f>'Cash Flow Statement'!AE5</f>
        <v>1424</v>
      </c>
      <c r="AF5" s="16">
        <f>'Cash Flow Statement'!AF5</f>
        <v>1561</v>
      </c>
      <c r="AG5" s="16">
        <f>'Cash Flow Statement'!AG5</f>
        <v>1831</v>
      </c>
      <c r="AH5" s="16">
        <f>'Cash Flow Statement'!AH5</f>
        <v>1791</v>
      </c>
      <c r="AI5" s="16">
        <f>'Cash Flow Statement'!AI5</f>
        <v>1862</v>
      </c>
      <c r="AJ5" s="16">
        <f>'Cash Flow Statement'!AJ5</f>
        <v>2138</v>
      </c>
      <c r="AK5" s="16">
        <f>'Cash Flow Statement'!AK5</f>
        <v>2373</v>
      </c>
      <c r="AL5" s="16">
        <f>'Cash Flow Statement'!AL5</f>
        <v>2416</v>
      </c>
      <c r="AM5" s="16">
        <f>'Cash Flow Statement'!AM5</f>
        <v>2626</v>
      </c>
      <c r="AN5" s="16">
        <f>'Cash Flow Statement'!AN5</f>
        <v>2732</v>
      </c>
      <c r="AO5" s="16">
        <f>'Cash Flow Statement'!AO5</f>
        <v>3082</v>
      </c>
      <c r="AP5" s="16">
        <f>'Cash Flow Statement'!AP5</f>
        <v>2899</v>
      </c>
      <c r="AQ5" s="16">
        <f>'Cash Flow Statement'!AQ5</f>
        <v>3178</v>
      </c>
      <c r="AR5" s="16">
        <f>'Cash Flow Statement'!AR5</f>
        <v>3289</v>
      </c>
      <c r="AS5" s="16">
        <f>'Cash Flow Statement'!AS5</f>
        <v>3539</v>
      </c>
      <c r="AT5" s="16">
        <f>'Cash Flow Statement'!AT5</f>
        <v>2525</v>
      </c>
      <c r="AU5" s="16">
        <f>'Cash Flow Statement'!AU5</f>
        <v>2730</v>
      </c>
      <c r="AV5" s="16">
        <f>'Cash Flow Statement'!AV5</f>
        <v>3085</v>
      </c>
      <c r="AW5" s="16">
        <f>'Cash Flow Statement'!AW5</f>
        <v>3215</v>
      </c>
      <c r="AX5" s="16">
        <f>'Cash Flow Statement'!AX5</f>
        <v>3591</v>
      </c>
      <c r="AY5" s="16">
        <f>'Cash Flow Statement'!AY5</f>
        <v>3698</v>
      </c>
      <c r="AZ5" s="16">
        <f>'Cash Flow Statement'!AZ5</f>
        <v>3933</v>
      </c>
      <c r="BA5" s="16">
        <f>'Cash Flow Statement'!BA5</f>
        <v>4065</v>
      </c>
      <c r="BB5" s="16">
        <f>'Cash Flow Statement'!BB5</f>
        <v>3060</v>
      </c>
      <c r="BC5" s="16">
        <f>'Cash Flow Statement'!BC5</f>
        <v>3279</v>
      </c>
      <c r="BD5" s="16">
        <f>'Cash Flow Statement'!BD5</f>
        <v>3671</v>
      </c>
      <c r="BE5" s="16">
        <f>'Cash Flow Statement'!BE5</f>
        <v>3316</v>
      </c>
      <c r="BF5" s="16">
        <f>'Cash Flow Statement'!BF5</f>
        <v>3413</v>
      </c>
      <c r="BG5" s="16">
        <f>'Cash Flow Statement'!BG5</f>
        <v>3708</v>
      </c>
      <c r="BH5" s="16">
        <f>'Cash Flow Statement'!BH5</f>
        <v>3985</v>
      </c>
      <c r="BI5" s="16">
        <f>'Cash Flow Statement'!BI5</f>
        <v>4205</v>
      </c>
      <c r="BJ5" s="16">
        <f>'Cash Flow Statement'!BJ5</f>
        <v>4487</v>
      </c>
      <c r="BK5" s="16">
        <f>'Cash Flow Statement'!BK5</f>
        <v>4998</v>
      </c>
      <c r="BL5" s="16">
        <f>'Cash Flow Statement'!BL5</f>
        <v>5611</v>
      </c>
      <c r="BM5" s="16">
        <f>'Cash Flow Statement'!BM5</f>
        <v>8328.0230604039243</v>
      </c>
      <c r="BN5" s="16">
        <f>'Cash Flow Statement'!BN5</f>
        <v>6782.02622393415</v>
      </c>
      <c r="BO5" s="16">
        <f>'Cash Flow Statement'!BO5</f>
        <v>8852.0881911046072</v>
      </c>
      <c r="BP5" s="16">
        <f>'Cash Flow Statement'!BP5</f>
        <v>9446.407753788144</v>
      </c>
      <c r="BQ5" s="16">
        <f>'Cash Flow Statement'!BQ5</f>
        <v>11260.127507458734</v>
      </c>
      <c r="BR5" s="72">
        <f>'Cash Flow Statement'!BR5</f>
        <v>9434.0322301929682</v>
      </c>
      <c r="BS5" s="72">
        <f>'Cash Flow Statement'!BS5</f>
        <v>12313.559774315949</v>
      </c>
      <c r="BT5" s="72">
        <f>'Cash Flow Statement'!BT5</f>
        <v>13140.278770123407</v>
      </c>
      <c r="BU5" s="72">
        <f>'Cash Flow Statement'!BU5</f>
        <v>15663.225460049405</v>
      </c>
      <c r="BV5" s="72">
        <f>'Cash Flow Statement'!BV5</f>
        <v>12265.70466465672</v>
      </c>
      <c r="BW5" s="72">
        <f>'Cash Flow Statement'!BW5</f>
        <v>16009.536948472682</v>
      </c>
      <c r="BX5" s="72">
        <f>'Cash Flow Statement'!BX5</f>
        <v>17084.399827442136</v>
      </c>
      <c r="BY5" s="72">
        <f>'Cash Flow Statement'!BY5</f>
        <v>20364.621712233449</v>
      </c>
      <c r="BZ5" s="72">
        <f>'Cash Flow Statement'!BZ5</f>
        <v>15181.679414960714</v>
      </c>
      <c r="CA5" s="72">
        <f>'Cash Flow Statement'!CA5</f>
        <v>19815.547836727816</v>
      </c>
      <c r="CB5" s="72">
        <f>'Cash Flow Statement'!CB5</f>
        <v>21145.942142615229</v>
      </c>
      <c r="CC5" s="72">
        <f>'Cash Flow Statement'!CC5</f>
        <v>25205.984221431547</v>
      </c>
      <c r="CD5" s="72">
        <f>'Cash Flow Statement'!CD5</f>
        <v>17894.428075462671</v>
      </c>
      <c r="CE5" s="72">
        <f>'Cash Flow Statement'!CE5</f>
        <v>23356.302412155324</v>
      </c>
      <c r="CF5" s="72">
        <f>'Cash Flow Statement'!CF5</f>
        <v>24924.419124937922</v>
      </c>
      <c r="CG5" s="72">
        <f>'Cash Flow Statement'!CG5</f>
        <v>29709.932570251214</v>
      </c>
      <c r="CH5" s="72"/>
      <c r="CI5" s="89">
        <f t="shared" si="17"/>
        <v>1067</v>
      </c>
      <c r="CJ5" s="20">
        <f t="shared" si="18"/>
        <v>1396</v>
      </c>
      <c r="CK5" s="89">
        <f t="shared" si="19"/>
        <v>1988</v>
      </c>
      <c r="CL5" s="89">
        <f t="shared" si="20"/>
        <v>2781</v>
      </c>
      <c r="CM5" s="89">
        <f t="shared" si="21"/>
        <v>3523</v>
      </c>
      <c r="CN5" s="89">
        <f t="shared" si="22"/>
        <v>4132</v>
      </c>
      <c r="CO5" s="89">
        <f t="shared" si="23"/>
        <v>5267</v>
      </c>
      <c r="CP5" s="89">
        <f t="shared" si="24"/>
        <v>6103</v>
      </c>
      <c r="CQ5" s="89">
        <f t="shared" si="25"/>
        <v>8164</v>
      </c>
      <c r="CR5" s="89">
        <f t="shared" si="26"/>
        <v>10856</v>
      </c>
      <c r="CS5" s="89">
        <f t="shared" si="27"/>
        <v>12905</v>
      </c>
      <c r="CT5" s="89">
        <f t="shared" si="28"/>
        <v>11555</v>
      </c>
      <c r="CU5" s="89">
        <f t="shared" si="29"/>
        <v>15287</v>
      </c>
      <c r="CV5" s="89">
        <f t="shared" si="30"/>
        <v>13326</v>
      </c>
      <c r="CW5" s="89">
        <f t="shared" si="31"/>
        <v>15311</v>
      </c>
      <c r="CX5" s="89">
        <f t="shared" si="32"/>
        <v>23424.023060403924</v>
      </c>
      <c r="CY5" s="89">
        <f t="shared" si="33"/>
        <v>36340.649676285633</v>
      </c>
      <c r="CZ5" s="89">
        <f t="shared" si="34"/>
        <v>50551.096234681725</v>
      </c>
      <c r="DA5" s="89">
        <f t="shared" si="35"/>
        <v>65724.263152804982</v>
      </c>
      <c r="DB5" s="89">
        <f t="shared" si="36"/>
        <v>81349.153615735297</v>
      </c>
      <c r="DC5" s="89">
        <f t="shared" si="37"/>
        <v>95885.082182807135</v>
      </c>
    </row>
    <row r="6" spans="1:107" x14ac:dyDescent="0.2">
      <c r="A6" s="1" t="s">
        <v>256</v>
      </c>
      <c r="B6" s="16">
        <f>-'Income Statement'!B68</f>
        <v>1711</v>
      </c>
      <c r="C6" s="16">
        <f>-'Income Statement'!C68</f>
        <v>1732</v>
      </c>
      <c r="D6" s="16">
        <f>-'Income Statement'!D68</f>
        <v>1805</v>
      </c>
      <c r="E6" s="16">
        <f>-'Income Statement'!E68</f>
        <v>2069</v>
      </c>
      <c r="F6" s="16">
        <f>-'Income Statement'!F68</f>
        <v>2039</v>
      </c>
      <c r="G6" s="16">
        <f>-'Income Statement'!G68</f>
        <v>2112</v>
      </c>
      <c r="H6" s="16">
        <f>-'Income Statement'!H68</f>
        <v>2208</v>
      </c>
      <c r="I6" s="16">
        <f>-'Income Statement'!I68</f>
        <v>2452</v>
      </c>
      <c r="J6" s="16">
        <f>-'Income Statement'!J68</f>
        <v>2509</v>
      </c>
      <c r="K6" s="16">
        <f>-'Income Statement'!K68</f>
        <v>2603</v>
      </c>
      <c r="L6" s="16">
        <f>-'Income Statement'!L68</f>
        <v>2774</v>
      </c>
      <c r="M6" s="16">
        <f>-'Income Statement'!M68</f>
        <v>3073</v>
      </c>
      <c r="N6" s="16">
        <f>-'Income Statement'!N68</f>
        <v>2964</v>
      </c>
      <c r="O6" s="16">
        <f>-'Income Statement'!O68</f>
        <v>3013</v>
      </c>
      <c r="P6" s="16">
        <f>-'Income Statement'!P68</f>
        <v>2973</v>
      </c>
      <c r="Q6" s="16">
        <f>-'Income Statement'!Q68</f>
        <v>3308</v>
      </c>
      <c r="R6" s="16">
        <f>-'Income Statement'!R68</f>
        <v>3231</v>
      </c>
      <c r="S6" s="16">
        <f>-'Income Statement'!S68</f>
        <v>3294</v>
      </c>
      <c r="T6" s="16">
        <f>-'Income Statement'!T68</f>
        <v>3348</v>
      </c>
      <c r="U6" s="16">
        <f>-'Income Statement'!U68</f>
        <v>3624</v>
      </c>
      <c r="V6" s="16">
        <f>-'Income Statement'!V68</f>
        <v>3345</v>
      </c>
      <c r="W6" s="16">
        <f>-'Income Statement'!W68</f>
        <v>3377</v>
      </c>
      <c r="X6" s="16">
        <f>-'Income Statement'!X68</f>
        <v>3566</v>
      </c>
      <c r="Y6" s="16">
        <f>-'Income Statement'!Y68</f>
        <v>4055</v>
      </c>
      <c r="Z6" s="16">
        <f>-'Income Statement'!Z68</f>
        <v>3788</v>
      </c>
      <c r="AA6" s="16">
        <f>-'Income Statement'!AA68</f>
        <v>3975</v>
      </c>
      <c r="AB6" s="16">
        <f>-'Income Statement'!AB68</f>
        <v>4182</v>
      </c>
      <c r="AC6" s="16">
        <f>-'Income Statement'!AC68</f>
        <v>4848</v>
      </c>
      <c r="AD6" s="16">
        <f>-'Income Statement'!AD68</f>
        <v>4629</v>
      </c>
      <c r="AE6" s="16">
        <f>-'Income Statement'!AE68</f>
        <v>5091</v>
      </c>
      <c r="AF6" s="16">
        <f>-'Income Statement'!AF68</f>
        <v>5502</v>
      </c>
      <c r="AG6" s="16">
        <f>-'Income Statement'!AG68</f>
        <v>6450</v>
      </c>
      <c r="AH6" s="16">
        <f>-'Income Statement'!AH68</f>
        <v>6288</v>
      </c>
      <c r="AI6" s="16">
        <f>-'Income Statement'!AI68</f>
        <v>6420</v>
      </c>
      <c r="AJ6" s="16">
        <f>-'Income Statement'!AJ68</f>
        <v>6582</v>
      </c>
      <c r="AK6" s="16">
        <f>-'Income Statement'!AK68</f>
        <v>7436</v>
      </c>
      <c r="AL6" s="16">
        <f>-'Income Statement'!AL68</f>
        <v>6860</v>
      </c>
      <c r="AM6" s="16">
        <f>-'Income Statement'!AM68</f>
        <v>7238</v>
      </c>
      <c r="AN6" s="16">
        <f>-'Income Statement'!AN68</f>
        <v>7490</v>
      </c>
      <c r="AO6" s="16">
        <f>-'Income Statement'!AO68</f>
        <v>8501</v>
      </c>
      <c r="AP6" s="16">
        <f>-'Income Statement'!AP68</f>
        <v>7452</v>
      </c>
      <c r="AQ6" s="16">
        <f>-'Income Statement'!AQ68</f>
        <v>6694</v>
      </c>
      <c r="AR6" s="16">
        <f>-'Income Statement'!AR68</f>
        <v>8166</v>
      </c>
      <c r="AS6" s="16">
        <f>-'Income Statement'!AS68</f>
        <v>10466</v>
      </c>
      <c r="AT6" s="16">
        <f>-'Income Statement'!AT68</f>
        <v>9712</v>
      </c>
      <c r="AU6" s="16">
        <f>-'Income Statement'!AU68</f>
        <v>10929</v>
      </c>
      <c r="AV6" s="16">
        <f>-'Income Statement'!AV68</f>
        <v>11498</v>
      </c>
      <c r="AW6" s="16">
        <f>-'Income Statement'!AW68</f>
        <v>13427</v>
      </c>
      <c r="AX6" s="16">
        <f>-'Income Statement'!AX68</f>
        <v>11990</v>
      </c>
      <c r="AY6" s="16">
        <f>-'Income Statement'!AY68</f>
        <v>12214</v>
      </c>
      <c r="AZ6" s="16">
        <f>-'Income Statement'!AZ68</f>
        <v>11826</v>
      </c>
      <c r="BA6" s="16">
        <f>-'Income Statement'!BA68</f>
        <v>12925</v>
      </c>
      <c r="BB6" s="16">
        <f>-'Income Statement'!BB68</f>
        <v>11721</v>
      </c>
      <c r="BC6" s="16">
        <f>-'Income Statement'!BC68</f>
        <v>12537</v>
      </c>
      <c r="BD6" s="16">
        <f>-'Income Statement'!BD68</f>
        <v>12642</v>
      </c>
      <c r="BE6" s="16">
        <f>-'Income Statement'!BE68</f>
        <v>13986</v>
      </c>
      <c r="BF6" s="16">
        <f>-'Income Statement'!BF68</f>
        <v>12946</v>
      </c>
      <c r="BG6" s="16">
        <f>-'Income Statement'!BG68</f>
        <v>13387</v>
      </c>
      <c r="BH6" s="16">
        <f>-'Income Statement'!BH68</f>
        <v>13719</v>
      </c>
      <c r="BI6" s="16">
        <f>-'Income Statement'!BI68</f>
        <v>14848</v>
      </c>
      <c r="BJ6" s="16">
        <f>-'Income Statement'!BJ68</f>
        <v>13748</v>
      </c>
      <c r="BK6" s="16">
        <f>-'Income Statement'!BK68</f>
        <v>14705</v>
      </c>
      <c r="BL6" s="16">
        <f>-'Income Statement'!BL68</f>
        <v>14876</v>
      </c>
      <c r="BM6" s="16">
        <f>-'Income Statement'!BM68</f>
        <v>16643.621999999999</v>
      </c>
      <c r="BN6" s="16">
        <f>-'Income Statement'!BN68</f>
        <v>14708.744792436877</v>
      </c>
      <c r="BO6" s="16">
        <f>-'Income Statement'!BO68</f>
        <v>15543.655649966946</v>
      </c>
      <c r="BP6" s="16">
        <f>-'Income Statement'!BP68</f>
        <v>16190.828964469922</v>
      </c>
      <c r="BQ6" s="16">
        <f>-'Income Statement'!BQ68</f>
        <v>17714.645695102623</v>
      </c>
      <c r="BR6" s="72">
        <f>-'Income Statement'!BR68</f>
        <v>15894.8158863717</v>
      </c>
      <c r="BS6" s="72">
        <f>-'Income Statement'!BS68</f>
        <v>16687.898163500602</v>
      </c>
      <c r="BT6" s="72">
        <f>-'Income Statement'!BT68</f>
        <v>17390.310588956578</v>
      </c>
      <c r="BU6" s="72">
        <f>-'Income Statement'!BU68</f>
        <v>18971.256518082449</v>
      </c>
      <c r="BV6" s="72">
        <f>-'Income Statement'!BV68</f>
        <v>17090.724270120736</v>
      </c>
      <c r="BW6" s="72">
        <f>-'Income Statement'!BW68</f>
        <v>17822.79397987658</v>
      </c>
      <c r="BX6" s="72">
        <f>-'Income Statement'!BX68</f>
        <v>18579.742568272621</v>
      </c>
      <c r="BY6" s="72">
        <f>-'Income Statement'!BY68</f>
        <v>20208.364958575501</v>
      </c>
      <c r="BZ6" s="72">
        <f>-'Income Statement'!BZ68</f>
        <v>18268.33636273822</v>
      </c>
      <c r="CA6" s="72">
        <f>-'Income Statement'!CA68</f>
        <v>18919.706296950597</v>
      </c>
      <c r="CB6" s="72">
        <f>-'Income Statement'!CB68</f>
        <v>19729.432081889059</v>
      </c>
      <c r="CC6" s="72">
        <f>-'Income Statement'!CC68</f>
        <v>21393.36276392754</v>
      </c>
      <c r="CD6" s="72">
        <f>-'Income Statement'!CD68</f>
        <v>19450.826392416257</v>
      </c>
      <c r="CE6" s="72">
        <f>-'Income Statement'!CE68</f>
        <v>20003.236935528847</v>
      </c>
      <c r="CF6" s="72">
        <f>-'Income Statement'!CF68</f>
        <v>20865.012867007612</v>
      </c>
      <c r="CG6" s="72">
        <f>-'Income Statement'!CG68</f>
        <v>22554.098611288195</v>
      </c>
      <c r="CH6" s="72"/>
      <c r="CI6" s="89">
        <f t="shared" si="17"/>
        <v>7317</v>
      </c>
      <c r="CJ6" s="20">
        <f t="shared" si="18"/>
        <v>8811</v>
      </c>
      <c r="CK6" s="89">
        <f t="shared" si="19"/>
        <v>10959</v>
      </c>
      <c r="CL6" s="89">
        <f t="shared" si="20"/>
        <v>12258</v>
      </c>
      <c r="CM6" s="89">
        <f t="shared" si="21"/>
        <v>13497</v>
      </c>
      <c r="CN6" s="89">
        <f t="shared" si="22"/>
        <v>14343</v>
      </c>
      <c r="CO6" s="89">
        <f t="shared" si="23"/>
        <v>16793</v>
      </c>
      <c r="CP6" s="89">
        <f t="shared" si="24"/>
        <v>21672</v>
      </c>
      <c r="CQ6" s="89">
        <f t="shared" si="25"/>
        <v>26726</v>
      </c>
      <c r="CR6" s="89">
        <f t="shared" si="26"/>
        <v>30089</v>
      </c>
      <c r="CS6" s="89">
        <f t="shared" si="27"/>
        <v>32778</v>
      </c>
      <c r="CT6" s="89">
        <f t="shared" si="28"/>
        <v>45566</v>
      </c>
      <c r="CU6" s="89">
        <f t="shared" si="29"/>
        <v>48955</v>
      </c>
      <c r="CV6" s="89">
        <f t="shared" si="30"/>
        <v>50886</v>
      </c>
      <c r="CW6" s="89">
        <f t="shared" si="31"/>
        <v>54900</v>
      </c>
      <c r="CX6" s="89">
        <f t="shared" si="32"/>
        <v>59972.622000000003</v>
      </c>
      <c r="CY6" s="89">
        <f t="shared" si="33"/>
        <v>64157.875101976359</v>
      </c>
      <c r="CZ6" s="89">
        <f t="shared" si="34"/>
        <v>68944.281156911326</v>
      </c>
      <c r="DA6" s="89">
        <f t="shared" si="35"/>
        <v>73701.625776845438</v>
      </c>
      <c r="DB6" s="89">
        <f t="shared" si="36"/>
        <v>78310.837505505406</v>
      </c>
      <c r="DC6" s="89">
        <f t="shared" si="37"/>
        <v>82873.174806240902</v>
      </c>
    </row>
    <row r="7" spans="1:107" x14ac:dyDescent="0.2">
      <c r="A7" s="1" t="s">
        <v>257</v>
      </c>
      <c r="B7" s="16">
        <f>-'Income Statement'!B196</f>
        <v>1835</v>
      </c>
      <c r="C7" s="16">
        <f>-'Income Statement'!C196</f>
        <v>1988</v>
      </c>
      <c r="D7" s="16">
        <f>-'Income Statement'!D196</f>
        <v>2187</v>
      </c>
      <c r="E7" s="16">
        <f>-'Income Statement'!E196</f>
        <v>2512</v>
      </c>
      <c r="F7" s="16">
        <f>-'Income Statement'!F196</f>
        <v>3343</v>
      </c>
      <c r="G7" s="16">
        <f>-'Income Statement'!G196</f>
        <v>2973</v>
      </c>
      <c r="H7" s="16">
        <f>-'Income Statement'!H196</f>
        <v>3284</v>
      </c>
      <c r="I7" s="16">
        <f>-'Income Statement'!I196</f>
        <v>3375</v>
      </c>
      <c r="J7" s="16">
        <f>-'Income Statement'!J196</f>
        <v>3467</v>
      </c>
      <c r="K7" s="16">
        <f>-'Income Statement'!K196</f>
        <v>3544</v>
      </c>
      <c r="L7" s="16">
        <f>-'Income Statement'!L196</f>
        <v>3823</v>
      </c>
      <c r="M7" s="16">
        <f>-'Income Statement'!M196</f>
        <v>4195</v>
      </c>
      <c r="N7" s="16">
        <f>-'Income Statement'!N196</f>
        <v>4067</v>
      </c>
      <c r="O7" s="16">
        <f>-'Income Statement'!O196</f>
        <v>4447</v>
      </c>
      <c r="P7" s="16">
        <f>-'Income Statement'!P196</f>
        <v>4584</v>
      </c>
      <c r="Q7" s="16">
        <f>-'Income Statement'!Q196</f>
        <v>5025</v>
      </c>
      <c r="R7" s="16">
        <f>-'Income Statement'!R196</f>
        <v>5344</v>
      </c>
      <c r="S7" s="16">
        <f>-'Income Statement'!S196</f>
        <v>5583</v>
      </c>
      <c r="T7" s="16">
        <f>-'Income Statement'!T196</f>
        <v>6104</v>
      </c>
      <c r="U7" s="16">
        <f>-'Income Statement'!U196</f>
        <v>6783</v>
      </c>
      <c r="V7" s="16">
        <f>-'Income Statement'!V196</f>
        <v>6455</v>
      </c>
      <c r="W7" s="16">
        <f>-'Income Statement'!W196</f>
        <v>6319</v>
      </c>
      <c r="X7" s="16">
        <f>-'Income Statement'!X196</f>
        <v>6930</v>
      </c>
      <c r="Y7" s="16">
        <f>-'Income Statement'!Y196</f>
        <v>7761</v>
      </c>
      <c r="Z7" s="16">
        <f>-'Income Statement'!Z196</f>
        <v>7267</v>
      </c>
      <c r="AA7" s="16">
        <f>-'Income Statement'!AA196</f>
        <v>7402</v>
      </c>
      <c r="AB7" s="16">
        <f>-'Income Statement'!AB196</f>
        <v>7985</v>
      </c>
      <c r="AC7" s="16">
        <f>-'Income Statement'!AC196</f>
        <v>8764</v>
      </c>
      <c r="AD7" s="16">
        <f>-'Income Statement'!AD196</f>
        <v>8387</v>
      </c>
      <c r="AE7" s="16">
        <f>-'Income Statement'!AE196</f>
        <v>11505</v>
      </c>
      <c r="AF7" s="16">
        <f>-'Income Statement'!AF196</f>
        <v>8842</v>
      </c>
      <c r="AG7" s="16">
        <f>-'Income Statement'!AG196</f>
        <v>10392</v>
      </c>
      <c r="AH7" s="16">
        <f>-'Income Statement'!AH196</f>
        <v>10046</v>
      </c>
      <c r="AI7" s="16">
        <f>-'Income Statement'!AI196</f>
        <v>15967</v>
      </c>
      <c r="AJ7" s="16">
        <f>-'Income Statement'!AJ196</f>
        <v>11149</v>
      </c>
      <c r="AK7" s="16">
        <f>-'Income Statement'!AK196</f>
        <v>13155</v>
      </c>
      <c r="AL7" s="16">
        <f>-'Income Statement'!AL196</f>
        <v>13719</v>
      </c>
      <c r="AM7" s="16">
        <f>-'Income Statement'!AM196</f>
        <v>12468</v>
      </c>
      <c r="AN7" s="16">
        <f>-'Income Statement'!AN196</f>
        <v>13754</v>
      </c>
      <c r="AO7" s="16">
        <f>-'Income Statement'!AO196</f>
        <v>15789</v>
      </c>
      <c r="AP7" s="16">
        <f>-'Income Statement'!AP196</f>
        <v>14200</v>
      </c>
      <c r="AQ7" s="16">
        <f>-'Income Statement'!AQ196</f>
        <v>13361</v>
      </c>
      <c r="AR7" s="16">
        <f>-'Income Statement'!AR196</f>
        <v>13843</v>
      </c>
      <c r="AS7" s="16">
        <f>-'Income Statement'!AS196</f>
        <v>15167</v>
      </c>
      <c r="AT7" s="16">
        <f>-'Income Statement'!AT196</f>
        <v>14774</v>
      </c>
      <c r="AU7" s="16">
        <f>-'Income Statement'!AU196</f>
        <v>16292</v>
      </c>
      <c r="AV7" s="16">
        <f>-'Income Statement'!AV196</f>
        <v>16466</v>
      </c>
      <c r="AW7" s="16">
        <f>-'Income Statement'!AW196</f>
        <v>20452</v>
      </c>
      <c r="AX7" s="16">
        <f>-'Income Statement'!AX196</f>
        <v>18318</v>
      </c>
      <c r="AY7" s="16">
        <f>-'Income Statement'!AY196</f>
        <v>20128</v>
      </c>
      <c r="AZ7" s="16">
        <f>-'Income Statement'!AZ196</f>
        <v>20799</v>
      </c>
      <c r="BA7" s="16">
        <f>-'Income Statement'!BA196</f>
        <v>22546</v>
      </c>
      <c r="BB7" s="16">
        <f>-'Income Statement'!BB196</f>
        <v>21760</v>
      </c>
      <c r="BC7" s="16">
        <f>-'Income Statement'!BC196</f>
        <v>20850</v>
      </c>
      <c r="BD7" s="16">
        <f>-'Income Statement'!BD196</f>
        <v>22121</v>
      </c>
      <c r="BE7" s="16">
        <f>-'Income Statement'!BE196</f>
        <v>25038</v>
      </c>
      <c r="BF7" s="16">
        <f>-'Income Statement'!BF196</f>
        <v>21355</v>
      </c>
      <c r="BG7" s="16">
        <f>-'Income Statement'!BG196</f>
        <v>21810</v>
      </c>
      <c r="BH7" s="16">
        <f>-'Income Statement'!BH196</f>
        <v>23273</v>
      </c>
      <c r="BI7" s="16">
        <f>-'Income Statement'!BI196</f>
        <v>24884</v>
      </c>
      <c r="BJ7" s="16">
        <f>-'Income Statement'!BJ196</f>
        <v>23267</v>
      </c>
      <c r="BK7" s="16">
        <f>-'Income Statement'!BK196</f>
        <v>26118</v>
      </c>
      <c r="BL7" s="16">
        <f>-'Income Statement'!BL196</f>
        <v>29749</v>
      </c>
      <c r="BM7" s="16">
        <f>-'Income Statement'!BM196</f>
        <v>27709.18</v>
      </c>
      <c r="BN7" s="16">
        <f>-'Income Statement'!BN196</f>
        <v>25401.19</v>
      </c>
      <c r="BO7" s="16">
        <f>-'Income Statement'!BO196</f>
        <v>27086.605</v>
      </c>
      <c r="BP7" s="16">
        <f>-'Income Statement'!BP196</f>
        <v>29165.059999999998</v>
      </c>
      <c r="BQ7" s="16">
        <f>-'Income Statement'!BQ196</f>
        <v>30587.0851</v>
      </c>
      <c r="BR7" s="72">
        <f>-'Income Statement'!BR196</f>
        <v>27886.838699999997</v>
      </c>
      <c r="BS7" s="72">
        <f>-'Income Statement'!BS196</f>
        <v>29653.839462499993</v>
      </c>
      <c r="BT7" s="72">
        <f>-'Income Statement'!BT196</f>
        <v>31976.115112499996</v>
      </c>
      <c r="BU7" s="72">
        <f>-'Income Statement'!BU196</f>
        <v>33490.870229249995</v>
      </c>
      <c r="BV7" s="72">
        <f>-'Income Statement'!BV196</f>
        <v>30447.063635499999</v>
      </c>
      <c r="BW7" s="72">
        <f>-'Income Statement'!BW196</f>
        <v>32293.372717999995</v>
      </c>
      <c r="BX7" s="72">
        <f>-'Income Statement'!BX196</f>
        <v>34868.647191999997</v>
      </c>
      <c r="BY7" s="72">
        <f>-'Income Statement'!BY196</f>
        <v>36476.181227145004</v>
      </c>
      <c r="BZ7" s="72">
        <f>-'Income Statement'!BZ196</f>
        <v>33261.963306557496</v>
      </c>
      <c r="CA7" s="72">
        <f>-'Income Statement'!CA196</f>
        <v>35187.388272664997</v>
      </c>
      <c r="CB7" s="72">
        <f>-'Income Statement'!CB196</f>
        <v>38043.582580315007</v>
      </c>
      <c r="CC7" s="72">
        <f>-'Income Statement'!CC196</f>
        <v>39748.348215349426</v>
      </c>
      <c r="CD7" s="72">
        <f>-'Income Statement'!CD196</f>
        <v>35973.537963619798</v>
      </c>
      <c r="CE7" s="72">
        <f>-'Income Statement'!CE196</f>
        <v>37700.727419315597</v>
      </c>
      <c r="CF7" s="72">
        <f>-'Income Statement'!CF196</f>
        <v>40917.784431706808</v>
      </c>
      <c r="CG7" s="72">
        <f>-'Income Statement'!CG196</f>
        <v>42713.976449524365</v>
      </c>
      <c r="CH7" s="72"/>
      <c r="CI7" s="89">
        <f t="shared" si="17"/>
        <v>8522</v>
      </c>
      <c r="CJ7" s="20">
        <f t="shared" si="18"/>
        <v>12975</v>
      </c>
      <c r="CK7" s="89">
        <f t="shared" si="19"/>
        <v>15029</v>
      </c>
      <c r="CL7" s="89">
        <f t="shared" si="20"/>
        <v>18123</v>
      </c>
      <c r="CM7" s="89">
        <f t="shared" si="21"/>
        <v>23814</v>
      </c>
      <c r="CN7" s="89">
        <f t="shared" si="22"/>
        <v>27465</v>
      </c>
      <c r="CO7" s="89">
        <f t="shared" si="23"/>
        <v>31418</v>
      </c>
      <c r="CP7" s="89">
        <f t="shared" si="24"/>
        <v>39126</v>
      </c>
      <c r="CQ7" s="89">
        <f t="shared" si="25"/>
        <v>50317</v>
      </c>
      <c r="CR7" s="89">
        <f t="shared" si="26"/>
        <v>55730</v>
      </c>
      <c r="CS7" s="89">
        <f t="shared" si="27"/>
        <v>56571</v>
      </c>
      <c r="CT7" s="89">
        <f t="shared" si="28"/>
        <v>67984</v>
      </c>
      <c r="CU7" s="89">
        <f t="shared" si="29"/>
        <v>81791</v>
      </c>
      <c r="CV7" s="89">
        <f t="shared" si="30"/>
        <v>89769</v>
      </c>
      <c r="CW7" s="89">
        <f t="shared" si="31"/>
        <v>91322</v>
      </c>
      <c r="CX7" s="89">
        <f t="shared" si="32"/>
        <v>106843.18</v>
      </c>
      <c r="CY7" s="89">
        <f t="shared" si="33"/>
        <v>112239.94009999999</v>
      </c>
      <c r="CZ7" s="89">
        <f t="shared" si="34"/>
        <v>123007.66350424997</v>
      </c>
      <c r="DA7" s="89">
        <f t="shared" si="35"/>
        <v>134085.26477264499</v>
      </c>
      <c r="DB7" s="89">
        <f t="shared" si="36"/>
        <v>146241.28237488691</v>
      </c>
      <c r="DC7" s="89">
        <f t="shared" si="37"/>
        <v>157306.02626416658</v>
      </c>
    </row>
    <row r="8" spans="1:107" x14ac:dyDescent="0.2">
      <c r="CI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</row>
    <row r="9" spans="1:107" x14ac:dyDescent="0.2">
      <c r="A9" s="1" t="s">
        <v>258</v>
      </c>
      <c r="CI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</row>
    <row r="10" spans="1:107" x14ac:dyDescent="0.2">
      <c r="CI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</row>
    <row r="11" spans="1:107" x14ac:dyDescent="0.2">
      <c r="A11" s="1" t="s">
        <v>202</v>
      </c>
      <c r="B11" s="16">
        <f>'Balance Sheet'!B5</f>
        <v>3084</v>
      </c>
      <c r="C11" s="16">
        <f>'Balance Sheet'!C5</f>
        <v>3308</v>
      </c>
      <c r="D11" s="16">
        <f>'Balance Sheet'!D5</f>
        <v>3616</v>
      </c>
      <c r="E11" s="16">
        <f>'Balance Sheet'!E5</f>
        <v>4252</v>
      </c>
      <c r="F11" s="16">
        <f>'Balance Sheet'!F5</f>
        <v>4216</v>
      </c>
      <c r="G11" s="16">
        <f>'Balance Sheet'!G5</f>
        <v>4476</v>
      </c>
      <c r="H11" s="16">
        <f>'Balance Sheet'!H5</f>
        <v>4583</v>
      </c>
      <c r="I11" s="16">
        <f>'Balance Sheet'!I5</f>
        <v>5427</v>
      </c>
      <c r="J11" s="16">
        <f>'Balance Sheet'!J5</f>
        <v>5163</v>
      </c>
      <c r="K11" s="16">
        <f>'Balance Sheet'!K5</f>
        <v>6866</v>
      </c>
      <c r="L11" s="16">
        <f>'Balance Sheet'!L5</f>
        <v>7259</v>
      </c>
      <c r="M11" s="16">
        <f>'Balance Sheet'!M5</f>
        <v>7885</v>
      </c>
      <c r="N11" s="16">
        <f>'Balance Sheet'!N5</f>
        <v>7612</v>
      </c>
      <c r="O11" s="16">
        <f>'Balance Sheet'!O5</f>
        <v>7321</v>
      </c>
      <c r="P11" s="16">
        <f>'Balance Sheet'!P5</f>
        <v>7921</v>
      </c>
      <c r="Q11" s="16">
        <f>'Balance Sheet'!Q5</f>
        <v>8882</v>
      </c>
      <c r="R11" s="16">
        <f>'Balance Sheet'!R5</f>
        <v>7827</v>
      </c>
      <c r="S11" s="16">
        <f>'Balance Sheet'!S5</f>
        <v>8321</v>
      </c>
      <c r="T11" s="16">
        <f>'Balance Sheet'!T5</f>
        <v>8237</v>
      </c>
      <c r="U11" s="16">
        <f>'Balance Sheet'!U5</f>
        <v>9383</v>
      </c>
      <c r="V11" s="16">
        <f>'Balance Sheet'!V5</f>
        <v>8584</v>
      </c>
      <c r="W11" s="16">
        <f>'Balance Sheet'!W5</f>
        <v>9394</v>
      </c>
      <c r="X11" s="16">
        <f>'Balance Sheet'!X5</f>
        <v>9749</v>
      </c>
      <c r="Y11" s="16">
        <f>'Balance Sheet'!Y5</f>
        <v>11556</v>
      </c>
      <c r="Z11" s="16">
        <f>'Balance Sheet'!Z5</f>
        <v>10818</v>
      </c>
      <c r="AA11" s="16">
        <f>'Balance Sheet'!AA5</f>
        <v>11686</v>
      </c>
      <c r="AB11" s="16">
        <f>'Balance Sheet'!AB5</f>
        <v>11979</v>
      </c>
      <c r="AC11" s="16">
        <f>'Balance Sheet'!AC5</f>
        <v>14137</v>
      </c>
      <c r="AD11" s="16">
        <f>'Balance Sheet'!AD5</f>
        <v>12913</v>
      </c>
      <c r="AE11" s="16">
        <f>'Balance Sheet'!AE5</f>
        <v>14003</v>
      </c>
      <c r="AF11" s="16">
        <f>'Balance Sheet'!AF5</f>
        <v>15295</v>
      </c>
      <c r="AG11" s="16">
        <f>'Balance Sheet'!AG5</f>
        <v>18336</v>
      </c>
      <c r="AH11" s="16">
        <f>'Balance Sheet'!AH5</f>
        <v>16777</v>
      </c>
      <c r="AI11" s="16">
        <f>'Balance Sheet'!AI5</f>
        <v>17043</v>
      </c>
      <c r="AJ11" s="16">
        <f>'Balance Sheet'!AJ5</f>
        <v>17897</v>
      </c>
      <c r="AK11" s="16">
        <f>'Balance Sheet'!AK5</f>
        <v>20838</v>
      </c>
      <c r="AL11" s="16">
        <f>'Balance Sheet'!AL5</f>
        <v>19149</v>
      </c>
      <c r="AM11" s="16">
        <f>'Balance Sheet'!AM5</f>
        <v>20965</v>
      </c>
      <c r="AN11" s="16">
        <f>'Balance Sheet'!AN5</f>
        <v>20889</v>
      </c>
      <c r="AO11" s="16">
        <f>'Balance Sheet'!AO5</f>
        <v>25326</v>
      </c>
      <c r="AP11" s="16">
        <f>'Balance Sheet'!AP5</f>
        <v>21825</v>
      </c>
      <c r="AQ11" s="16">
        <f>'Balance Sheet'!AQ5</f>
        <v>21201</v>
      </c>
      <c r="AR11" s="16">
        <f>'Balance Sheet'!AR5</f>
        <v>24925</v>
      </c>
      <c r="AS11" s="16">
        <f>'Balance Sheet'!AS5</f>
        <v>30930</v>
      </c>
      <c r="AT11" s="16">
        <f>'Balance Sheet'!AT5</f>
        <v>28006</v>
      </c>
      <c r="AU11" s="16">
        <f>'Balance Sheet'!AU5</f>
        <v>31967</v>
      </c>
      <c r="AV11" s="16">
        <f>'Balance Sheet'!AV5</f>
        <v>34047</v>
      </c>
      <c r="AW11" s="16">
        <f>'Balance Sheet'!AW5</f>
        <v>39304</v>
      </c>
      <c r="AX11" s="16">
        <f>'Balance Sheet'!AX5</f>
        <v>34703</v>
      </c>
      <c r="AY11" s="16">
        <f>'Balance Sheet'!AY5</f>
        <v>35707</v>
      </c>
      <c r="AZ11" s="16">
        <f>'Balance Sheet'!AZ5</f>
        <v>34697</v>
      </c>
      <c r="BA11" s="16">
        <f>'Balance Sheet'!BA5</f>
        <v>40258</v>
      </c>
      <c r="BB11" s="16">
        <f>'Balance Sheet'!BB5</f>
        <v>36036</v>
      </c>
      <c r="BC11" s="16">
        <f>'Balance Sheet'!BC5</f>
        <v>38804</v>
      </c>
      <c r="BD11" s="16">
        <f>'Balance Sheet'!BD5</f>
        <v>41020</v>
      </c>
      <c r="BE11" s="16">
        <f>'Balance Sheet'!BE5</f>
        <v>47964</v>
      </c>
      <c r="BF11" s="16">
        <f>'Balance Sheet'!BF5</f>
        <v>44552</v>
      </c>
      <c r="BG11" s="16">
        <f>'Balance Sheet'!BG5</f>
        <v>47087</v>
      </c>
      <c r="BH11" s="16">
        <f>'Balance Sheet'!BH5</f>
        <v>49104</v>
      </c>
      <c r="BI11" s="16">
        <f>'Balance Sheet'!BI5</f>
        <v>52340</v>
      </c>
      <c r="BJ11" s="16">
        <f>'Balance Sheet'!BJ5</f>
        <v>51000</v>
      </c>
      <c r="BK11" s="16">
        <f>'Balance Sheet'!BK5</f>
        <v>55048</v>
      </c>
      <c r="BL11" s="16">
        <f>'Balance Sheet'!BL5</f>
        <v>57148</v>
      </c>
      <c r="BM11" s="16">
        <f t="shared" ref="BM11:CC11" si="38">(BM3*BM31)/$A$30</f>
        <v>55943.402706467161</v>
      </c>
      <c r="BN11" s="16">
        <f t="shared" si="38"/>
        <v>54425.484360601462</v>
      </c>
      <c r="BO11" s="16">
        <f t="shared" si="38"/>
        <v>58306.504167844854</v>
      </c>
      <c r="BP11" s="16">
        <f t="shared" si="38"/>
        <v>61063.655739281639</v>
      </c>
      <c r="BQ11" s="16">
        <f t="shared" si="38"/>
        <v>58592.741795844842</v>
      </c>
      <c r="BR11" s="72">
        <f t="shared" si="38"/>
        <v>57788.966107827226</v>
      </c>
      <c r="BS11" s="72">
        <f t="shared" si="38"/>
        <v>61718.80574329722</v>
      </c>
      <c r="BT11" s="72">
        <f t="shared" si="38"/>
        <v>64644.262393161684</v>
      </c>
      <c r="BU11" s="72">
        <f t="shared" si="38"/>
        <v>61221.255487821218</v>
      </c>
      <c r="BV11" s="72">
        <f t="shared" si="38"/>
        <v>60618.808438624284</v>
      </c>
      <c r="BW11" s="72">
        <f t="shared" si="38"/>
        <v>64562.556890151827</v>
      </c>
      <c r="BX11" s="72">
        <f t="shared" si="38"/>
        <v>67621.096542860148</v>
      </c>
      <c r="BY11" s="72">
        <f t="shared" si="38"/>
        <v>63100.104643727136</v>
      </c>
      <c r="BZ11" s="72">
        <f t="shared" si="38"/>
        <v>62567.020025816128</v>
      </c>
      <c r="CA11" s="72">
        <f t="shared" si="38"/>
        <v>66477.98197382252</v>
      </c>
      <c r="CB11" s="72">
        <f t="shared" si="38"/>
        <v>69600.792969514572</v>
      </c>
      <c r="CC11" s="72">
        <f t="shared" si="38"/>
        <v>63853.546145840104</v>
      </c>
      <c r="CD11" s="72">
        <f t="shared" ref="CD11:CG11" si="39">(CD3*CD31)/$A$30</f>
        <v>63447.381548009551</v>
      </c>
      <c r="CE11" s="72">
        <f t="shared" si="39"/>
        <v>67279.152174373026</v>
      </c>
      <c r="CF11" s="72">
        <f t="shared" si="39"/>
        <v>70381.555689751578</v>
      </c>
      <c r="CG11" s="72">
        <f t="shared" si="39"/>
        <v>63294.390516314874</v>
      </c>
      <c r="CH11" s="72"/>
      <c r="CI11" s="89">
        <f>E11</f>
        <v>4252</v>
      </c>
      <c r="CJ11" s="95">
        <f>I11</f>
        <v>5427</v>
      </c>
      <c r="CK11" s="89">
        <f>M11</f>
        <v>7885</v>
      </c>
      <c r="CL11" s="89">
        <f>Q11</f>
        <v>8882</v>
      </c>
      <c r="CM11" s="20">
        <f>U11</f>
        <v>9383</v>
      </c>
      <c r="CN11" s="89">
        <f>Y11</f>
        <v>11556</v>
      </c>
      <c r="CO11" s="20">
        <f>AC11</f>
        <v>14137</v>
      </c>
      <c r="CP11" s="89">
        <f>AG11</f>
        <v>18336</v>
      </c>
      <c r="CQ11" s="89">
        <f>AK11</f>
        <v>20838</v>
      </c>
      <c r="CR11" s="89">
        <f>AO11</f>
        <v>25326</v>
      </c>
      <c r="CS11" s="89">
        <f>AS11</f>
        <v>30930</v>
      </c>
      <c r="CT11" s="89">
        <f>AW11</f>
        <v>39304</v>
      </c>
      <c r="CU11" s="89">
        <f>BA11</f>
        <v>40258</v>
      </c>
      <c r="CV11" s="89">
        <f>BE11</f>
        <v>47964</v>
      </c>
      <c r="CW11" s="89">
        <f>BI11</f>
        <v>52340</v>
      </c>
      <c r="CX11" s="89">
        <f>BM11</f>
        <v>55943.402706467161</v>
      </c>
      <c r="CY11" s="96">
        <f>BQ11</f>
        <v>58592.741795844842</v>
      </c>
      <c r="CZ11" s="96">
        <f>BU11</f>
        <v>61221.255487821218</v>
      </c>
      <c r="DA11" s="96">
        <f>BY11</f>
        <v>63100.104643727136</v>
      </c>
      <c r="DB11" s="96">
        <f>CC11</f>
        <v>63853.546145840104</v>
      </c>
      <c r="DC11" s="96">
        <f>CG11</f>
        <v>63294.390516314874</v>
      </c>
    </row>
    <row r="12" spans="1:107" x14ac:dyDescent="0.2">
      <c r="A12" s="1" t="s">
        <v>203</v>
      </c>
      <c r="B12" s="16">
        <f>'Balance Sheet'!B6</f>
        <v>0</v>
      </c>
      <c r="C12" s="16">
        <f>'Balance Sheet'!C6</f>
        <v>309</v>
      </c>
      <c r="D12" s="16">
        <f>'Balance Sheet'!D6</f>
        <v>228</v>
      </c>
      <c r="E12" s="16">
        <f>'Balance Sheet'!E6</f>
        <v>0</v>
      </c>
      <c r="F12" s="16">
        <f>'Balance Sheet'!F6</f>
        <v>27</v>
      </c>
      <c r="G12" s="16">
        <f>'Balance Sheet'!G6</f>
        <v>347</v>
      </c>
      <c r="H12" s="16">
        <f>'Balance Sheet'!H6</f>
        <v>133</v>
      </c>
      <c r="I12" s="16">
        <f>'Balance Sheet'!I6</f>
        <v>0</v>
      </c>
      <c r="J12" s="16">
        <f>'Balance Sheet'!J6</f>
        <v>0</v>
      </c>
      <c r="K12" s="16">
        <f>'Balance Sheet'!K6</f>
        <v>0</v>
      </c>
      <c r="L12" s="16">
        <f>'Balance Sheet'!L6</f>
        <v>0</v>
      </c>
      <c r="M12" s="16">
        <f>'Balance Sheet'!M6</f>
        <v>0</v>
      </c>
      <c r="N12" s="16">
        <f>'Balance Sheet'!N6</f>
        <v>358</v>
      </c>
      <c r="O12" s="16">
        <f>'Balance Sheet'!O6</f>
        <v>72</v>
      </c>
      <c r="P12" s="16">
        <f>'Balance Sheet'!P6</f>
        <v>571</v>
      </c>
      <c r="Q12" s="16">
        <f>'Balance Sheet'!Q6</f>
        <v>408</v>
      </c>
      <c r="R12" s="16">
        <f>'Balance Sheet'!R6</f>
        <v>544</v>
      </c>
      <c r="S12" s="16">
        <f>'Balance Sheet'!S6</f>
        <v>1118</v>
      </c>
      <c r="T12" s="16">
        <f>'Balance Sheet'!T6</f>
        <v>957</v>
      </c>
      <c r="U12" s="16">
        <f>'Balance Sheet'!U6</f>
        <v>591</v>
      </c>
      <c r="V12" s="16">
        <f>'Balance Sheet'!V6</f>
        <v>901</v>
      </c>
      <c r="W12" s="16">
        <f>'Balance Sheet'!W6</f>
        <v>0</v>
      </c>
      <c r="X12" s="16">
        <f>'Balance Sheet'!X6</f>
        <v>287</v>
      </c>
      <c r="Y12" s="16">
        <f>'Balance Sheet'!Y6</f>
        <v>1903</v>
      </c>
      <c r="Z12" s="16">
        <f>'Balance Sheet'!Z6</f>
        <v>1804</v>
      </c>
      <c r="AA12" s="16">
        <f>'Balance Sheet'!AA6</f>
        <v>576</v>
      </c>
      <c r="AB12" s="16">
        <f>'Balance Sheet'!AB6</f>
        <v>416</v>
      </c>
      <c r="AC12" s="16">
        <f>'Balance Sheet'!AC6</f>
        <v>95</v>
      </c>
      <c r="AD12" s="16">
        <f>'Balance Sheet'!AD6</f>
        <v>56</v>
      </c>
      <c r="AE12" s="16">
        <f>'Balance Sheet'!AE6</f>
        <v>874</v>
      </c>
      <c r="AF12" s="16">
        <f>'Balance Sheet'!AF6</f>
        <v>282</v>
      </c>
      <c r="AG12" s="16">
        <f>'Balance Sheet'!AG6</f>
        <v>369</v>
      </c>
      <c r="AH12" s="16">
        <f>'Balance Sheet'!AH6</f>
        <v>37</v>
      </c>
      <c r="AI12" s="16">
        <f>'Balance Sheet'!AI6</f>
        <v>201</v>
      </c>
      <c r="AJ12" s="16">
        <f>'Balance Sheet'!AJ6</f>
        <v>170</v>
      </c>
      <c r="AK12" s="16">
        <f>'Balance Sheet'!AK6</f>
        <v>355</v>
      </c>
      <c r="AL12" s="16">
        <f>'Balance Sheet'!AL6</f>
        <v>111</v>
      </c>
      <c r="AM12" s="16">
        <f>'Balance Sheet'!AM6</f>
        <v>352</v>
      </c>
      <c r="AN12" s="16">
        <f>'Balance Sheet'!AN6</f>
        <v>192</v>
      </c>
      <c r="AO12" s="16">
        <f>'Balance Sheet'!AO6</f>
        <v>2166</v>
      </c>
      <c r="AP12" s="16">
        <f>'Balance Sheet'!AP6</f>
        <v>1910</v>
      </c>
      <c r="AQ12" s="16">
        <f>'Balance Sheet'!AQ6</f>
        <v>394</v>
      </c>
      <c r="AR12" s="16">
        <f>'Balance Sheet'!AR6</f>
        <v>588</v>
      </c>
      <c r="AS12" s="16">
        <f>'Balance Sheet'!AS6</f>
        <v>454</v>
      </c>
      <c r="AT12" s="16">
        <f>'Balance Sheet'!AT6</f>
        <v>493</v>
      </c>
      <c r="AU12" s="16">
        <f>'Balance Sheet'!AU6</f>
        <v>884</v>
      </c>
      <c r="AV12" s="16">
        <f>'Balance Sheet'!AV6</f>
        <v>753</v>
      </c>
      <c r="AW12" s="16">
        <f>'Balance Sheet'!AW6</f>
        <v>966</v>
      </c>
      <c r="AX12" s="16">
        <f>'Balance Sheet'!AX6</f>
        <v>919</v>
      </c>
      <c r="AY12" s="16">
        <f>'Balance Sheet'!AY6</f>
        <v>1366</v>
      </c>
      <c r="AZ12" s="16">
        <f>'Balance Sheet'!AZ6</f>
        <v>1479</v>
      </c>
      <c r="BA12" s="16">
        <f>'Balance Sheet'!BA6</f>
        <v>0</v>
      </c>
      <c r="BB12" s="16">
        <f>'Balance Sheet'!BB6</f>
        <v>0</v>
      </c>
      <c r="BC12" s="16">
        <f>'Balance Sheet'!BC6</f>
        <v>0</v>
      </c>
      <c r="BD12" s="16">
        <f>'Balance Sheet'!BD6</f>
        <v>0</v>
      </c>
      <c r="BE12" s="16">
        <f>'Balance Sheet'!BE6</f>
        <v>0</v>
      </c>
      <c r="BF12" s="16">
        <f>'Balance Sheet'!BF6</f>
        <v>0</v>
      </c>
      <c r="BG12" s="16">
        <f>'Balance Sheet'!BG6</f>
        <v>0</v>
      </c>
      <c r="BH12" s="16">
        <f>'Balance Sheet'!BH6</f>
        <v>0</v>
      </c>
      <c r="BI12" s="16">
        <f>'Balance Sheet'!BI6</f>
        <v>0</v>
      </c>
      <c r="BJ12" s="16">
        <f>'Balance Sheet'!BJ6</f>
        <v>0</v>
      </c>
      <c r="BK12" s="16">
        <f>'Balance Sheet'!BK6</f>
        <v>0</v>
      </c>
      <c r="BL12" s="16">
        <f>'Balance Sheet'!BL6</f>
        <v>0</v>
      </c>
      <c r="BM12" s="16">
        <f>'Balance Sheet'!BM6</f>
        <v>0</v>
      </c>
      <c r="BN12" s="16">
        <f>'Balance Sheet'!BN6</f>
        <v>0</v>
      </c>
      <c r="BO12" s="16">
        <f>'Balance Sheet'!BO6</f>
        <v>0</v>
      </c>
      <c r="BP12" s="16">
        <f>'Balance Sheet'!BP6</f>
        <v>0</v>
      </c>
      <c r="BQ12" s="16">
        <f>'Balance Sheet'!BQ6</f>
        <v>0</v>
      </c>
      <c r="BR12" s="16">
        <f>'Balance Sheet'!BR6</f>
        <v>0</v>
      </c>
      <c r="BS12" s="16">
        <f>'Balance Sheet'!BS6</f>
        <v>0</v>
      </c>
      <c r="BT12" s="16">
        <f>'Balance Sheet'!BT6</f>
        <v>0</v>
      </c>
      <c r="BU12" s="16">
        <f>'Balance Sheet'!BU6</f>
        <v>0</v>
      </c>
      <c r="BV12" s="16">
        <f>'Balance Sheet'!BV6</f>
        <v>0</v>
      </c>
      <c r="BW12" s="16">
        <f>'Balance Sheet'!BW6</f>
        <v>0</v>
      </c>
      <c r="BX12" s="16">
        <f>'Balance Sheet'!BX6</f>
        <v>0</v>
      </c>
      <c r="BY12" s="16">
        <f>'Balance Sheet'!BY6</f>
        <v>0</v>
      </c>
      <c r="BZ12" s="16">
        <f>'Balance Sheet'!BZ6</f>
        <v>0</v>
      </c>
      <c r="CA12" s="16">
        <f>'Balance Sheet'!CA6</f>
        <v>0</v>
      </c>
      <c r="CB12" s="16">
        <f>'Balance Sheet'!CB6</f>
        <v>0</v>
      </c>
      <c r="CC12" s="16">
        <f>'Balance Sheet'!CC6</f>
        <v>0</v>
      </c>
      <c r="CD12" s="16">
        <f>'Balance Sheet'!CD6</f>
        <v>0</v>
      </c>
      <c r="CE12" s="16">
        <f>'Balance Sheet'!CE6</f>
        <v>0</v>
      </c>
      <c r="CF12" s="16">
        <f>'Balance Sheet'!CF6</f>
        <v>0</v>
      </c>
      <c r="CG12" s="16">
        <f>'Balance Sheet'!CG6</f>
        <v>0</v>
      </c>
      <c r="CH12" s="72"/>
      <c r="CI12" s="89">
        <f t="shared" ref="CI12:CI15" si="40">E12</f>
        <v>0</v>
      </c>
      <c r="CJ12" s="95">
        <f t="shared" ref="CJ12:CJ15" si="41">I12</f>
        <v>0</v>
      </c>
      <c r="CK12" s="89">
        <f t="shared" ref="CK12:CK15" si="42">M12</f>
        <v>0</v>
      </c>
      <c r="CL12" s="89">
        <f t="shared" ref="CL12:CL15" si="43">Q12</f>
        <v>408</v>
      </c>
      <c r="CM12" s="20">
        <f t="shared" ref="CM12:CM15" si="44">U12</f>
        <v>591</v>
      </c>
      <c r="CN12" s="89">
        <f t="shared" ref="CN12:CN15" si="45">Y12</f>
        <v>1903</v>
      </c>
      <c r="CO12" s="20">
        <f t="shared" ref="CO12:CO15" si="46">AC12</f>
        <v>95</v>
      </c>
      <c r="CP12" s="89">
        <f t="shared" ref="CP12:CP15" si="47">AG12</f>
        <v>369</v>
      </c>
      <c r="CQ12" s="89">
        <f t="shared" ref="CQ12:CQ15" si="48">AK12</f>
        <v>355</v>
      </c>
      <c r="CR12" s="89">
        <f t="shared" ref="CR12:CR15" si="49">AO12</f>
        <v>2166</v>
      </c>
      <c r="CS12" s="89">
        <f t="shared" ref="CS12:CS15" si="50">AS12</f>
        <v>454</v>
      </c>
      <c r="CT12" s="89">
        <f t="shared" ref="CT12:CT15" si="51">AW12</f>
        <v>966</v>
      </c>
      <c r="CU12" s="89">
        <f t="shared" ref="CU12:CU15" si="52">BA12</f>
        <v>0</v>
      </c>
      <c r="CV12" s="89">
        <f t="shared" ref="CV12:CV15" si="53">BE12</f>
        <v>0</v>
      </c>
      <c r="CW12" s="89">
        <f t="shared" ref="CW12:CW15" si="54">BI12</f>
        <v>0</v>
      </c>
      <c r="CX12" s="89">
        <f t="shared" ref="CX12:CX15" si="55">BM12</f>
        <v>0</v>
      </c>
      <c r="CY12" s="96">
        <f t="shared" ref="CY12:CY15" si="56">BQ12</f>
        <v>0</v>
      </c>
      <c r="CZ12" s="96">
        <f t="shared" ref="CZ12:CZ15" si="57">BU12</f>
        <v>0</v>
      </c>
      <c r="DA12" s="96">
        <f t="shared" ref="DA12:DA15" si="58">BY12</f>
        <v>0</v>
      </c>
      <c r="DB12" s="96">
        <f t="shared" ref="DB12:DB15" si="59">CC12</f>
        <v>0</v>
      </c>
      <c r="DC12" s="96">
        <f t="shared" ref="DC12:DC16" si="60">CG12</f>
        <v>0</v>
      </c>
    </row>
    <row r="13" spans="1:107" x14ac:dyDescent="0.2">
      <c r="A13" s="1" t="s">
        <v>204</v>
      </c>
      <c r="B13" s="16">
        <f>'Balance Sheet'!B7</f>
        <v>0</v>
      </c>
      <c r="C13" s="16">
        <f>'Balance Sheet'!C7</f>
        <v>0</v>
      </c>
      <c r="D13" s="16">
        <f>'Balance Sheet'!D7</f>
        <v>0</v>
      </c>
      <c r="E13" s="16">
        <f>'Balance Sheet'!E7</f>
        <v>0</v>
      </c>
      <c r="F13" s="16">
        <f>'Balance Sheet'!F7</f>
        <v>0</v>
      </c>
      <c r="G13" s="16">
        <f>'Balance Sheet'!G7</f>
        <v>0</v>
      </c>
      <c r="H13" s="16">
        <f>'Balance Sheet'!H7</f>
        <v>0</v>
      </c>
      <c r="I13" s="16">
        <f>'Balance Sheet'!I7</f>
        <v>0</v>
      </c>
      <c r="J13" s="16">
        <f>'Balance Sheet'!J7</f>
        <v>0</v>
      </c>
      <c r="K13" s="16">
        <f>'Balance Sheet'!K7</f>
        <v>634</v>
      </c>
      <c r="L13" s="16">
        <f>'Balance Sheet'!L7</f>
        <v>618</v>
      </c>
      <c r="M13" s="16">
        <f>'Balance Sheet'!M7</f>
        <v>505</v>
      </c>
      <c r="N13" s="16">
        <f>'Balance Sheet'!N7</f>
        <v>648</v>
      </c>
      <c r="O13" s="16">
        <f>'Balance Sheet'!O7</f>
        <v>342</v>
      </c>
      <c r="P13" s="16">
        <f>'Balance Sheet'!P7</f>
        <v>235</v>
      </c>
      <c r="Q13" s="16">
        <f>'Balance Sheet'!Q7</f>
        <v>426</v>
      </c>
      <c r="R13" s="16">
        <f>'Balance Sheet'!R7</f>
        <v>337</v>
      </c>
      <c r="S13" s="16">
        <f>'Balance Sheet'!S7</f>
        <v>293</v>
      </c>
      <c r="T13" s="16">
        <f>'Balance Sheet'!T7</f>
        <v>279</v>
      </c>
      <c r="U13" s="16">
        <f>'Balance Sheet'!U7</f>
        <v>0</v>
      </c>
      <c r="V13" s="16">
        <f>'Balance Sheet'!V7</f>
        <v>0</v>
      </c>
      <c r="W13" s="16">
        <f>'Balance Sheet'!W7</f>
        <v>0</v>
      </c>
      <c r="X13" s="16">
        <f>'Balance Sheet'!X7</f>
        <v>0</v>
      </c>
      <c r="Y13" s="16">
        <f>'Balance Sheet'!Y7</f>
        <v>0</v>
      </c>
      <c r="Z13" s="16">
        <f>'Balance Sheet'!Z7</f>
        <v>0</v>
      </c>
      <c r="AA13" s="16">
        <f>'Balance Sheet'!AA7</f>
        <v>0</v>
      </c>
      <c r="AB13" s="16">
        <f>'Balance Sheet'!AB7</f>
        <v>559</v>
      </c>
      <c r="AC13" s="16">
        <f>'Balance Sheet'!AC7</f>
        <v>268</v>
      </c>
      <c r="AD13" s="16">
        <f>'Balance Sheet'!AD7</f>
        <v>280</v>
      </c>
      <c r="AE13" s="16">
        <f>'Balance Sheet'!AE7</f>
        <v>398</v>
      </c>
      <c r="AF13" s="16">
        <f>'Balance Sheet'!AF7</f>
        <v>765</v>
      </c>
      <c r="AG13" s="16">
        <f>'Balance Sheet'!AG7</f>
        <v>749</v>
      </c>
      <c r="AH13" s="16">
        <f>'Balance Sheet'!AH7</f>
        <v>636</v>
      </c>
      <c r="AI13" s="16">
        <f>'Balance Sheet'!AI7</f>
        <v>698</v>
      </c>
      <c r="AJ13" s="16">
        <f>'Balance Sheet'!AJ7</f>
        <v>1212</v>
      </c>
      <c r="AK13" s="16">
        <f>'Balance Sheet'!AK7</f>
        <v>1107</v>
      </c>
      <c r="AL13" s="16">
        <f>'Balance Sheet'!AL7</f>
        <v>1053</v>
      </c>
      <c r="AM13" s="16">
        <f>'Balance Sheet'!AM7</f>
        <v>964</v>
      </c>
      <c r="AN13" s="16">
        <f>'Balance Sheet'!AN7</f>
        <v>1401</v>
      </c>
      <c r="AO13" s="16">
        <f>'Balance Sheet'!AO7</f>
        <v>999</v>
      </c>
      <c r="AP13" s="16">
        <f>'Balance Sheet'!AP7</f>
        <v>889</v>
      </c>
      <c r="AQ13" s="16">
        <f>'Balance Sheet'!AQ7</f>
        <v>815</v>
      </c>
      <c r="AR13" s="16">
        <f>'Balance Sheet'!AR7</f>
        <v>835</v>
      </c>
      <c r="AS13" s="16">
        <f>'Balance Sheet'!AS7</f>
        <v>728</v>
      </c>
      <c r="AT13" s="16">
        <f>'Balance Sheet'!AT7</f>
        <v>888</v>
      </c>
      <c r="AU13" s="16">
        <f>'Balance Sheet'!AU7</f>
        <v>907</v>
      </c>
      <c r="AV13" s="16">
        <f>'Balance Sheet'!AV7</f>
        <v>1278</v>
      </c>
      <c r="AW13" s="16">
        <f>'Balance Sheet'!AW7</f>
        <v>1170</v>
      </c>
      <c r="AX13" s="16">
        <f>'Balance Sheet'!AX7</f>
        <v>1369</v>
      </c>
      <c r="AY13" s="16">
        <f>'Balance Sheet'!AY7</f>
        <v>1980</v>
      </c>
      <c r="AZ13" s="16">
        <f>'Balance Sheet'!AZ7</f>
        <v>3156</v>
      </c>
      <c r="BA13" s="16">
        <f>'Balance Sheet'!BA7</f>
        <v>2670</v>
      </c>
      <c r="BB13" s="16">
        <f>'Balance Sheet'!BB7</f>
        <v>2315</v>
      </c>
      <c r="BC13" s="16">
        <f>'Balance Sheet'!BC7</f>
        <v>2231</v>
      </c>
      <c r="BD13" s="16">
        <f>'Balance Sheet'!BD7</f>
        <v>2957</v>
      </c>
      <c r="BE13" s="16">
        <f>'Balance Sheet'!BE7</f>
        <v>0</v>
      </c>
      <c r="BF13" s="16">
        <f>'Balance Sheet'!BF7</f>
        <v>0</v>
      </c>
      <c r="BG13" s="16">
        <f>'Balance Sheet'!BG7</f>
        <v>0</v>
      </c>
      <c r="BH13" s="16">
        <f>'Balance Sheet'!BH7</f>
        <v>0</v>
      </c>
      <c r="BI13" s="16">
        <f>'Balance Sheet'!BI7</f>
        <v>0</v>
      </c>
      <c r="BJ13" s="16">
        <f>'Balance Sheet'!BJ7</f>
        <v>0</v>
      </c>
      <c r="BK13" s="16">
        <f>'Balance Sheet'!BK7</f>
        <v>0</v>
      </c>
      <c r="BL13" s="16">
        <f>'Balance Sheet'!BL7</f>
        <v>0</v>
      </c>
      <c r="BM13" s="16">
        <f t="shared" ref="BM13:CC13" si="61">(BM4*BM32)/$A$30</f>
        <v>0</v>
      </c>
      <c r="BN13" s="16">
        <f t="shared" si="61"/>
        <v>0</v>
      </c>
      <c r="BO13" s="16">
        <f t="shared" si="61"/>
        <v>0</v>
      </c>
      <c r="BP13" s="16">
        <f t="shared" si="61"/>
        <v>0</v>
      </c>
      <c r="BQ13" s="16">
        <f t="shared" si="61"/>
        <v>0</v>
      </c>
      <c r="BR13" s="72">
        <f t="shared" si="61"/>
        <v>0</v>
      </c>
      <c r="BS13" s="72">
        <f t="shared" si="61"/>
        <v>0</v>
      </c>
      <c r="BT13" s="72">
        <f t="shared" si="61"/>
        <v>0</v>
      </c>
      <c r="BU13" s="72">
        <f t="shared" si="61"/>
        <v>0</v>
      </c>
      <c r="BV13" s="72">
        <f t="shared" si="61"/>
        <v>0</v>
      </c>
      <c r="BW13" s="72">
        <f t="shared" si="61"/>
        <v>0</v>
      </c>
      <c r="BX13" s="72">
        <f t="shared" si="61"/>
        <v>0</v>
      </c>
      <c r="BY13" s="72">
        <f t="shared" si="61"/>
        <v>0</v>
      </c>
      <c r="BZ13" s="72">
        <f t="shared" si="61"/>
        <v>0</v>
      </c>
      <c r="CA13" s="72">
        <f t="shared" si="61"/>
        <v>0</v>
      </c>
      <c r="CB13" s="72">
        <f t="shared" si="61"/>
        <v>0</v>
      </c>
      <c r="CC13" s="72">
        <f t="shared" si="61"/>
        <v>0</v>
      </c>
      <c r="CD13" s="72">
        <f t="shared" ref="CD13:CG13" si="62">(CD4*CD32)/$A$30</f>
        <v>0</v>
      </c>
      <c r="CE13" s="72">
        <f t="shared" si="62"/>
        <v>0</v>
      </c>
      <c r="CF13" s="72">
        <f t="shared" si="62"/>
        <v>0</v>
      </c>
      <c r="CG13" s="72">
        <f t="shared" si="62"/>
        <v>0</v>
      </c>
      <c r="CH13" s="72"/>
      <c r="CI13" s="89">
        <f t="shared" si="40"/>
        <v>0</v>
      </c>
      <c r="CJ13" s="95">
        <f t="shared" si="41"/>
        <v>0</v>
      </c>
      <c r="CK13" s="89">
        <f t="shared" si="42"/>
        <v>505</v>
      </c>
      <c r="CL13" s="89">
        <f t="shared" si="43"/>
        <v>426</v>
      </c>
      <c r="CM13" s="20">
        <f t="shared" si="44"/>
        <v>0</v>
      </c>
      <c r="CN13" s="89">
        <f t="shared" si="45"/>
        <v>0</v>
      </c>
      <c r="CO13" s="20">
        <f t="shared" si="46"/>
        <v>268</v>
      </c>
      <c r="CP13" s="89">
        <f t="shared" si="47"/>
        <v>749</v>
      </c>
      <c r="CQ13" s="89">
        <f t="shared" si="48"/>
        <v>1107</v>
      </c>
      <c r="CR13" s="89">
        <f t="shared" si="49"/>
        <v>999</v>
      </c>
      <c r="CS13" s="89">
        <f t="shared" si="50"/>
        <v>728</v>
      </c>
      <c r="CT13" s="89">
        <f t="shared" si="51"/>
        <v>1170</v>
      </c>
      <c r="CU13" s="89">
        <f t="shared" si="52"/>
        <v>2670</v>
      </c>
      <c r="CV13" s="89">
        <f t="shared" si="53"/>
        <v>0</v>
      </c>
      <c r="CW13" s="89">
        <f t="shared" si="54"/>
        <v>0</v>
      </c>
      <c r="CX13" s="89">
        <f t="shared" si="55"/>
        <v>0</v>
      </c>
      <c r="CY13" s="96">
        <f t="shared" si="56"/>
        <v>0</v>
      </c>
      <c r="CZ13" s="96">
        <f t="shared" si="57"/>
        <v>0</v>
      </c>
      <c r="DA13" s="96">
        <f t="shared" si="58"/>
        <v>0</v>
      </c>
      <c r="DB13" s="96">
        <f t="shared" si="59"/>
        <v>0</v>
      </c>
      <c r="DC13" s="96">
        <f t="shared" si="60"/>
        <v>0</v>
      </c>
    </row>
    <row r="14" spans="1:107" x14ac:dyDescent="0.2">
      <c r="A14" s="1" t="s">
        <v>206</v>
      </c>
      <c r="B14" s="16">
        <f>'Balance Sheet'!B9</f>
        <v>399</v>
      </c>
      <c r="C14" s="16">
        <f>'Balance Sheet'!C9</f>
        <v>66</v>
      </c>
      <c r="D14" s="16">
        <f>'Balance Sheet'!D9</f>
        <v>138</v>
      </c>
      <c r="E14" s="16">
        <f>'Balance Sheet'!E9</f>
        <v>259</v>
      </c>
      <c r="F14" s="16">
        <f>'Balance Sheet'!F9</f>
        <v>320</v>
      </c>
      <c r="G14" s="16">
        <f>'Balance Sheet'!G9</f>
        <v>153</v>
      </c>
      <c r="H14" s="16">
        <f>'Balance Sheet'!H9</f>
        <v>215</v>
      </c>
      <c r="I14" s="16">
        <f>'Balance Sheet'!I9</f>
        <v>215</v>
      </c>
      <c r="J14" s="16">
        <f>'Balance Sheet'!J9</f>
        <v>51</v>
      </c>
      <c r="K14" s="16">
        <f>'Balance Sheet'!K9</f>
        <v>146</v>
      </c>
      <c r="L14" s="16">
        <f>'Balance Sheet'!L9</f>
        <v>230</v>
      </c>
      <c r="M14" s="16">
        <f>'Balance Sheet'!M9</f>
        <v>1144</v>
      </c>
      <c r="N14" s="16">
        <f>'Balance Sheet'!N9</f>
        <v>1017</v>
      </c>
      <c r="O14" s="16">
        <f>'Balance Sheet'!O9</f>
        <v>1148</v>
      </c>
      <c r="P14" s="16">
        <f>'Balance Sheet'!P9</f>
        <v>1154</v>
      </c>
      <c r="Q14" s="16">
        <f>'Balance Sheet'!Q9</f>
        <v>1526</v>
      </c>
      <c r="R14" s="16">
        <f>'Balance Sheet'!R9</f>
        <v>1166</v>
      </c>
      <c r="S14" s="16">
        <f>'Balance Sheet'!S9</f>
        <v>1158</v>
      </c>
      <c r="T14" s="16">
        <f>'Balance Sheet'!T9</f>
        <v>1372</v>
      </c>
      <c r="U14" s="16">
        <f>'Balance Sheet'!U9</f>
        <v>1322</v>
      </c>
      <c r="V14" s="16">
        <f>'Balance Sheet'!V9</f>
        <v>847</v>
      </c>
      <c r="W14" s="16">
        <f>'Balance Sheet'!W9</f>
        <v>1316</v>
      </c>
      <c r="X14" s="16">
        <f>'Balance Sheet'!X9</f>
        <v>2212</v>
      </c>
      <c r="Y14" s="16">
        <f>'Balance Sheet'!Y9</f>
        <v>0</v>
      </c>
      <c r="Z14" s="16">
        <f>'Balance Sheet'!Z9</f>
        <v>0</v>
      </c>
      <c r="AA14" s="16">
        <f>'Balance Sheet'!AA9</f>
        <v>0</v>
      </c>
      <c r="AB14" s="16">
        <f>'Balance Sheet'!AB9</f>
        <v>0</v>
      </c>
      <c r="AC14" s="16">
        <f>'Balance Sheet'!AC9</f>
        <v>0</v>
      </c>
      <c r="AD14" s="16">
        <f>'Balance Sheet'!AD9</f>
        <v>0</v>
      </c>
      <c r="AE14" s="16">
        <f>'Balance Sheet'!AE9</f>
        <v>0</v>
      </c>
      <c r="AF14" s="16">
        <f>'Balance Sheet'!AF9</f>
        <v>0</v>
      </c>
      <c r="AG14" s="16">
        <f>'Balance Sheet'!AG9</f>
        <v>0</v>
      </c>
      <c r="AH14" s="16">
        <f>'Balance Sheet'!AH9</f>
        <v>0</v>
      </c>
      <c r="AI14" s="16">
        <f>'Balance Sheet'!AI9</f>
        <v>0</v>
      </c>
      <c r="AJ14" s="16">
        <f>'Balance Sheet'!AJ9</f>
        <v>0</v>
      </c>
      <c r="AK14" s="16">
        <f>'Balance Sheet'!AK9</f>
        <v>0</v>
      </c>
      <c r="AL14" s="16">
        <f>'Balance Sheet'!AL9</f>
        <v>0</v>
      </c>
      <c r="AM14" s="16">
        <f>'Balance Sheet'!AM9</f>
        <v>0</v>
      </c>
      <c r="AN14" s="16">
        <f>'Balance Sheet'!AN9</f>
        <v>0</v>
      </c>
      <c r="AO14" s="16">
        <f>'Balance Sheet'!AO9</f>
        <v>0</v>
      </c>
      <c r="AP14" s="16">
        <f>'Balance Sheet'!AP9</f>
        <v>0</v>
      </c>
      <c r="AQ14" s="16">
        <f>'Balance Sheet'!AQ9</f>
        <v>0</v>
      </c>
      <c r="AR14" s="16">
        <f>'Balance Sheet'!AR9</f>
        <v>0</v>
      </c>
      <c r="AS14" s="16">
        <f>'Balance Sheet'!AS9</f>
        <v>0</v>
      </c>
      <c r="AT14" s="16">
        <f>'Balance Sheet'!AT9</f>
        <v>0</v>
      </c>
      <c r="AU14" s="16">
        <f>'Balance Sheet'!AU9</f>
        <v>0</v>
      </c>
      <c r="AV14" s="16">
        <f>'Balance Sheet'!AV9</f>
        <v>0</v>
      </c>
      <c r="AW14" s="16">
        <f>'Balance Sheet'!AW9</f>
        <v>0</v>
      </c>
      <c r="AX14" s="16">
        <f>'Balance Sheet'!AX9</f>
        <v>0</v>
      </c>
      <c r="AY14" s="16">
        <f>'Balance Sheet'!AY9</f>
        <v>0</v>
      </c>
      <c r="AZ14" s="16">
        <f>'Balance Sheet'!AZ9</f>
        <v>0</v>
      </c>
      <c r="BA14" s="16">
        <f>'Balance Sheet'!BA9</f>
        <v>0</v>
      </c>
      <c r="BB14" s="16">
        <f>'Balance Sheet'!BB9</f>
        <v>0</v>
      </c>
      <c r="BC14" s="16">
        <f>'Balance Sheet'!BC9</f>
        <v>0</v>
      </c>
      <c r="BD14" s="16">
        <f>'Balance Sheet'!BD9</f>
        <v>0</v>
      </c>
      <c r="BE14" s="16">
        <f>'Balance Sheet'!BE9</f>
        <v>0</v>
      </c>
      <c r="BF14" s="16">
        <f>'Balance Sheet'!BF9</f>
        <v>0</v>
      </c>
      <c r="BG14" s="16">
        <f>'Balance Sheet'!BG9</f>
        <v>0</v>
      </c>
      <c r="BH14" s="16">
        <f>'Balance Sheet'!BH9</f>
        <v>0</v>
      </c>
      <c r="BI14" s="16">
        <f>'Balance Sheet'!BI9</f>
        <v>0</v>
      </c>
      <c r="BJ14" s="16">
        <f>'Balance Sheet'!BJ9</f>
        <v>0</v>
      </c>
      <c r="BK14" s="16">
        <f>'Balance Sheet'!BK9</f>
        <v>0</v>
      </c>
      <c r="BL14" s="16">
        <f>'Balance Sheet'!BL9</f>
        <v>0</v>
      </c>
      <c r="BM14" s="16">
        <f>'Balance Sheet'!BM9</f>
        <v>0</v>
      </c>
      <c r="BN14" s="16">
        <f>'Balance Sheet'!BN9</f>
        <v>0</v>
      </c>
      <c r="BO14" s="16">
        <f>'Balance Sheet'!BO9</f>
        <v>0</v>
      </c>
      <c r="BP14" s="16">
        <f>'Balance Sheet'!BP9</f>
        <v>0</v>
      </c>
      <c r="BQ14" s="16">
        <f>'Balance Sheet'!BQ9</f>
        <v>0</v>
      </c>
      <c r="BR14" s="16">
        <f>'Balance Sheet'!BR9</f>
        <v>0</v>
      </c>
      <c r="BS14" s="16">
        <f>'Balance Sheet'!BS9</f>
        <v>0</v>
      </c>
      <c r="BT14" s="16">
        <f>'Balance Sheet'!BT9</f>
        <v>0</v>
      </c>
      <c r="BU14" s="16">
        <f>'Balance Sheet'!BU9</f>
        <v>0</v>
      </c>
      <c r="BV14" s="16">
        <f>'Balance Sheet'!BV9</f>
        <v>0</v>
      </c>
      <c r="BW14" s="16">
        <f>'Balance Sheet'!BW9</f>
        <v>0</v>
      </c>
      <c r="BX14" s="16">
        <f>'Balance Sheet'!BX9</f>
        <v>0</v>
      </c>
      <c r="BY14" s="16">
        <f>'Balance Sheet'!BY9</f>
        <v>0</v>
      </c>
      <c r="BZ14" s="16">
        <f>'Balance Sheet'!BZ9</f>
        <v>0</v>
      </c>
      <c r="CA14" s="16">
        <f>'Balance Sheet'!CA9</f>
        <v>0</v>
      </c>
      <c r="CB14" s="16">
        <f>'Balance Sheet'!CB9</f>
        <v>0</v>
      </c>
      <c r="CC14" s="16">
        <f>'Balance Sheet'!CC9</f>
        <v>0</v>
      </c>
      <c r="CD14" s="16">
        <f>'Balance Sheet'!CD9</f>
        <v>0</v>
      </c>
      <c r="CE14" s="16">
        <f>'Balance Sheet'!CE9</f>
        <v>0</v>
      </c>
      <c r="CF14" s="16">
        <f>'Balance Sheet'!CF9</f>
        <v>0</v>
      </c>
      <c r="CG14" s="16">
        <f>'Balance Sheet'!CG9</f>
        <v>0</v>
      </c>
      <c r="CH14" s="72"/>
      <c r="CI14" s="89">
        <f t="shared" si="40"/>
        <v>259</v>
      </c>
      <c r="CJ14" s="95">
        <f t="shared" si="41"/>
        <v>215</v>
      </c>
      <c r="CK14" s="89">
        <f t="shared" si="42"/>
        <v>1144</v>
      </c>
      <c r="CL14" s="89">
        <f t="shared" si="43"/>
        <v>1526</v>
      </c>
      <c r="CM14" s="20">
        <f t="shared" si="44"/>
        <v>1322</v>
      </c>
      <c r="CN14" s="89">
        <f t="shared" si="45"/>
        <v>0</v>
      </c>
      <c r="CO14" s="20">
        <f t="shared" si="46"/>
        <v>0</v>
      </c>
      <c r="CP14" s="89">
        <f t="shared" si="47"/>
        <v>0</v>
      </c>
      <c r="CQ14" s="89">
        <f t="shared" si="48"/>
        <v>0</v>
      </c>
      <c r="CR14" s="89">
        <f t="shared" si="49"/>
        <v>0</v>
      </c>
      <c r="CS14" s="89">
        <f t="shared" si="50"/>
        <v>0</v>
      </c>
      <c r="CT14" s="89">
        <f t="shared" si="51"/>
        <v>0</v>
      </c>
      <c r="CU14" s="89">
        <f t="shared" si="52"/>
        <v>0</v>
      </c>
      <c r="CV14" s="89">
        <f t="shared" si="53"/>
        <v>0</v>
      </c>
      <c r="CW14" s="89">
        <f t="shared" si="54"/>
        <v>0</v>
      </c>
      <c r="CX14" s="89">
        <f t="shared" si="55"/>
        <v>0</v>
      </c>
      <c r="CY14" s="96">
        <f t="shared" si="56"/>
        <v>0</v>
      </c>
      <c r="CZ14" s="96">
        <f t="shared" si="57"/>
        <v>0</v>
      </c>
      <c r="DA14" s="96">
        <f t="shared" si="58"/>
        <v>0</v>
      </c>
      <c r="DB14" s="96">
        <f t="shared" si="59"/>
        <v>0</v>
      </c>
      <c r="DC14" s="96">
        <f t="shared" si="60"/>
        <v>0</v>
      </c>
    </row>
    <row r="15" spans="1:107" x14ac:dyDescent="0.2">
      <c r="A15" s="1" t="s">
        <v>207</v>
      </c>
      <c r="B15" s="16">
        <f>'Balance Sheet'!B10</f>
        <v>1135</v>
      </c>
      <c r="C15" s="16">
        <f>'Balance Sheet'!C10</f>
        <v>1419</v>
      </c>
      <c r="D15" s="16">
        <f>'Balance Sheet'!D10</f>
        <v>1210</v>
      </c>
      <c r="E15" s="16">
        <f>'Balance Sheet'!E10</f>
        <v>1326</v>
      </c>
      <c r="F15" s="16">
        <f>'Balance Sheet'!F10</f>
        <v>1497</v>
      </c>
      <c r="G15" s="16">
        <f>'Balance Sheet'!G10</f>
        <v>1328</v>
      </c>
      <c r="H15" s="16">
        <f>'Balance Sheet'!H10</f>
        <v>1406</v>
      </c>
      <c r="I15" s="16">
        <f>'Balance Sheet'!I10</f>
        <v>1745</v>
      </c>
      <c r="J15" s="16">
        <f>'Balance Sheet'!J10</f>
        <v>1779</v>
      </c>
      <c r="K15" s="16">
        <f>'Balance Sheet'!K10</f>
        <v>2614</v>
      </c>
      <c r="L15" s="16">
        <f>'Balance Sheet'!L10</f>
        <v>2440</v>
      </c>
      <c r="M15" s="16">
        <f>'Balance Sheet'!M10</f>
        <v>2132</v>
      </c>
      <c r="N15" s="16">
        <f>'Balance Sheet'!N10</f>
        <v>2375</v>
      </c>
      <c r="O15" s="16">
        <f>'Balance Sheet'!O10</f>
        <v>2776</v>
      </c>
      <c r="P15" s="16">
        <f>'Balance Sheet'!P10</f>
        <v>2354</v>
      </c>
      <c r="Q15" s="16">
        <f>'Balance Sheet'!Q10</f>
        <v>2827</v>
      </c>
      <c r="R15" s="16">
        <f>'Balance Sheet'!R10</f>
        <v>6011</v>
      </c>
      <c r="S15" s="16">
        <f>'Balance Sheet'!S10</f>
        <v>5711</v>
      </c>
      <c r="T15" s="16">
        <f>'Balance Sheet'!T10</f>
        <v>6288</v>
      </c>
      <c r="U15" s="16">
        <f>'Balance Sheet'!U10</f>
        <v>3412</v>
      </c>
      <c r="V15" s="16">
        <f>'Balance Sheet'!V10</f>
        <v>3720</v>
      </c>
      <c r="W15" s="16">
        <f>'Balance Sheet'!W10</f>
        <v>3049</v>
      </c>
      <c r="X15" s="16">
        <f>'Balance Sheet'!X10</f>
        <v>2688</v>
      </c>
      <c r="Y15" s="16">
        <f>'Balance Sheet'!Y10</f>
        <v>3139</v>
      </c>
      <c r="Z15" s="16">
        <f>'Balance Sheet'!Z10</f>
        <v>2719</v>
      </c>
      <c r="AA15" s="16">
        <f>'Balance Sheet'!AA10</f>
        <v>3016</v>
      </c>
      <c r="AB15" s="16">
        <f>'Balance Sheet'!AB10</f>
        <v>2536</v>
      </c>
      <c r="AC15" s="16">
        <f>'Balance Sheet'!AC10</f>
        <v>4575</v>
      </c>
      <c r="AD15" s="16">
        <f>'Balance Sheet'!AD10</f>
        <v>3106</v>
      </c>
      <c r="AE15" s="16">
        <f>'Balance Sheet'!AE10</f>
        <v>2398</v>
      </c>
      <c r="AF15" s="16">
        <f>'Balance Sheet'!AF10</f>
        <v>2860</v>
      </c>
      <c r="AG15" s="16">
        <f>'Balance Sheet'!AG10</f>
        <v>2983</v>
      </c>
      <c r="AH15" s="16">
        <f>'Balance Sheet'!AH10</f>
        <v>3426</v>
      </c>
      <c r="AI15" s="16">
        <f>'Balance Sheet'!AI10</f>
        <v>3961</v>
      </c>
      <c r="AJ15" s="16">
        <f>'Balance Sheet'!AJ10</f>
        <v>4007</v>
      </c>
      <c r="AK15" s="16">
        <f>'Balance Sheet'!AK10</f>
        <v>4236</v>
      </c>
      <c r="AL15" s="16">
        <f>'Balance Sheet'!AL10</f>
        <v>4406</v>
      </c>
      <c r="AM15" s="16">
        <f>'Balance Sheet'!AM10</f>
        <v>4100</v>
      </c>
      <c r="AN15" s="16">
        <f>'Balance Sheet'!AN10</f>
        <v>4699</v>
      </c>
      <c r="AO15" s="16">
        <f>'Balance Sheet'!AO10</f>
        <v>4412</v>
      </c>
      <c r="AP15" s="16">
        <f>'Balance Sheet'!AP10</f>
        <v>5165</v>
      </c>
      <c r="AQ15" s="16">
        <f>'Balance Sheet'!AQ10</f>
        <v>5579</v>
      </c>
      <c r="AR15" s="16">
        <f>'Balance Sheet'!AR10</f>
        <v>5425</v>
      </c>
      <c r="AS15" s="16">
        <f>'Balance Sheet'!AS10</f>
        <v>5490</v>
      </c>
      <c r="AT15" s="16">
        <f>'Balance Sheet'!AT10</f>
        <v>7646</v>
      </c>
      <c r="AU15" s="16">
        <f>'Balance Sheet'!AU10</f>
        <v>6076</v>
      </c>
      <c r="AV15" s="16">
        <f>'Balance Sheet'!AV10</f>
        <v>6029</v>
      </c>
      <c r="AW15" s="16">
        <f>'Balance Sheet'!AW10</f>
        <v>7054</v>
      </c>
      <c r="AX15" s="16">
        <f>'Balance Sheet'!AX10</f>
        <v>6892</v>
      </c>
      <c r="AY15" s="16">
        <f>'Balance Sheet'!AY10</f>
        <v>8321</v>
      </c>
      <c r="AZ15" s="16">
        <f>'Balance Sheet'!AZ10</f>
        <v>10518</v>
      </c>
      <c r="BA15" s="16">
        <f>'Balance Sheet'!BA10</f>
        <v>8105</v>
      </c>
      <c r="BB15" s="16">
        <f>'Balance Sheet'!BB10</f>
        <v>8532</v>
      </c>
      <c r="BC15" s="16">
        <f>'Balance Sheet'!BC10</f>
        <v>9421</v>
      </c>
      <c r="BD15" s="16">
        <f>'Balance Sheet'!BD10</f>
        <v>12398</v>
      </c>
      <c r="BE15" s="16">
        <f>'Balance Sheet'!BE10</f>
        <v>12650</v>
      </c>
      <c r="BF15" s="16">
        <f>'Balance Sheet'!BF10</f>
        <v>12829</v>
      </c>
      <c r="BG15" s="16">
        <f>'Balance Sheet'!BG10</f>
        <v>14183</v>
      </c>
      <c r="BH15" s="16">
        <f>'Balance Sheet'!BH10</f>
        <v>15207</v>
      </c>
      <c r="BI15" s="16">
        <f>'Balance Sheet'!BI10</f>
        <v>15714</v>
      </c>
      <c r="BJ15" s="16">
        <f>'Balance Sheet'!BJ10</f>
        <v>15724</v>
      </c>
      <c r="BK15" s="16">
        <f>'Balance Sheet'!BK10</f>
        <v>16020</v>
      </c>
      <c r="BL15" s="16">
        <f>'Balance Sheet'!BL10</f>
        <v>18303</v>
      </c>
      <c r="BM15" s="16">
        <f t="shared" ref="BM15:CC15" si="63">BM3*BM34</f>
        <v>19986.469173667163</v>
      </c>
      <c r="BN15" s="16">
        <f t="shared" si="63"/>
        <v>18631.960919371722</v>
      </c>
      <c r="BO15" s="16">
        <f t="shared" si="63"/>
        <v>19740.844111042694</v>
      </c>
      <c r="BP15" s="16">
        <f t="shared" si="63"/>
        <v>20984.5806330415</v>
      </c>
      <c r="BQ15" s="16">
        <f t="shared" si="63"/>
        <v>22651.857331056024</v>
      </c>
      <c r="BR15" s="16">
        <f t="shared" si="63"/>
        <v>21334.717654592536</v>
      </c>
      <c r="BS15" s="16">
        <f t="shared" si="63"/>
        <v>22515.272204682908</v>
      </c>
      <c r="BT15" s="16">
        <f t="shared" si="63"/>
        <v>23964.243559754668</v>
      </c>
      <c r="BU15" s="16">
        <f t="shared" si="63"/>
        <v>25785.361508465416</v>
      </c>
      <c r="BV15" s="16">
        <f t="shared" si="63"/>
        <v>24283.636935570812</v>
      </c>
      <c r="BW15" s="16">
        <f t="shared" si="63"/>
        <v>25530.932001633468</v>
      </c>
      <c r="BX15" s="16">
        <f t="shared" si="63"/>
        <v>27210.28602679184</v>
      </c>
      <c r="BY15" s="16">
        <f t="shared" si="63"/>
        <v>29187.822221522714</v>
      </c>
      <c r="BZ15" s="16">
        <f t="shared" si="63"/>
        <v>27395.029411159208</v>
      </c>
      <c r="CA15" s="16">
        <f t="shared" si="63"/>
        <v>28698.865172975438</v>
      </c>
      <c r="CB15" s="16">
        <f t="shared" si="63"/>
        <v>30624.311724689425</v>
      </c>
      <c r="CC15" s="16">
        <f t="shared" si="63"/>
        <v>32754.408569455452</v>
      </c>
      <c r="CD15" s="16">
        <f t="shared" ref="CD15:CG15" si="64">CD3*CD34</f>
        <v>30628.976108356092</v>
      </c>
      <c r="CE15" s="16">
        <f t="shared" si="64"/>
        <v>31976.818693485591</v>
      </c>
      <c r="CF15" s="16">
        <f t="shared" si="64"/>
        <v>34160.329424693889</v>
      </c>
      <c r="CG15" s="16">
        <f t="shared" si="64"/>
        <v>36437.564069112159</v>
      </c>
      <c r="CH15" s="72"/>
      <c r="CI15" s="89">
        <f t="shared" si="40"/>
        <v>1326</v>
      </c>
      <c r="CJ15" s="95">
        <f t="shared" si="41"/>
        <v>1745</v>
      </c>
      <c r="CK15" s="89">
        <f t="shared" si="42"/>
        <v>2132</v>
      </c>
      <c r="CL15" s="89">
        <f t="shared" si="43"/>
        <v>2827</v>
      </c>
      <c r="CM15" s="20">
        <f t="shared" si="44"/>
        <v>3412</v>
      </c>
      <c r="CN15" s="89">
        <f t="shared" si="45"/>
        <v>3139</v>
      </c>
      <c r="CO15" s="20">
        <f t="shared" si="46"/>
        <v>4575</v>
      </c>
      <c r="CP15" s="89">
        <f t="shared" si="47"/>
        <v>2983</v>
      </c>
      <c r="CQ15" s="89">
        <f t="shared" si="48"/>
        <v>4236</v>
      </c>
      <c r="CR15" s="89">
        <f t="shared" si="49"/>
        <v>4412</v>
      </c>
      <c r="CS15" s="89">
        <f t="shared" si="50"/>
        <v>5490</v>
      </c>
      <c r="CT15" s="89">
        <f t="shared" si="51"/>
        <v>7054</v>
      </c>
      <c r="CU15" s="89">
        <f t="shared" si="52"/>
        <v>8105</v>
      </c>
      <c r="CV15" s="89">
        <f t="shared" si="53"/>
        <v>12650</v>
      </c>
      <c r="CW15" s="89">
        <f t="shared" si="54"/>
        <v>15714</v>
      </c>
      <c r="CX15" s="89">
        <f t="shared" si="55"/>
        <v>19986.469173667163</v>
      </c>
      <c r="CY15" s="96">
        <f t="shared" si="56"/>
        <v>22651.857331056024</v>
      </c>
      <c r="CZ15" s="96">
        <f t="shared" si="57"/>
        <v>25785.361508465416</v>
      </c>
      <c r="DA15" s="96">
        <f t="shared" si="58"/>
        <v>29187.822221522714</v>
      </c>
      <c r="DB15" s="96">
        <f t="shared" si="59"/>
        <v>32754.408569455452</v>
      </c>
      <c r="DC15" s="96">
        <f t="shared" si="60"/>
        <v>36437.564069112159</v>
      </c>
    </row>
    <row r="16" spans="1:107" x14ac:dyDescent="0.2">
      <c r="A16" s="4" t="s">
        <v>259</v>
      </c>
      <c r="B16" s="51">
        <f t="shared" ref="B16:AG16" si="65">SUM(B11:B15)</f>
        <v>4618</v>
      </c>
      <c r="C16" s="51">
        <f t="shared" si="65"/>
        <v>5102</v>
      </c>
      <c r="D16" s="51">
        <f t="shared" si="65"/>
        <v>5192</v>
      </c>
      <c r="E16" s="51">
        <f t="shared" si="65"/>
        <v>5837</v>
      </c>
      <c r="F16" s="51">
        <f t="shared" si="65"/>
        <v>6060</v>
      </c>
      <c r="G16" s="51">
        <f t="shared" si="65"/>
        <v>6304</v>
      </c>
      <c r="H16" s="51">
        <f t="shared" si="65"/>
        <v>6337</v>
      </c>
      <c r="I16" s="51">
        <f t="shared" si="65"/>
        <v>7387</v>
      </c>
      <c r="J16" s="51">
        <f t="shared" si="65"/>
        <v>6993</v>
      </c>
      <c r="K16" s="51">
        <f t="shared" si="65"/>
        <v>10260</v>
      </c>
      <c r="L16" s="51">
        <f t="shared" si="65"/>
        <v>10547</v>
      </c>
      <c r="M16" s="51">
        <f t="shared" si="65"/>
        <v>11666</v>
      </c>
      <c r="N16" s="51">
        <f t="shared" si="65"/>
        <v>12010</v>
      </c>
      <c r="O16" s="51">
        <f t="shared" si="65"/>
        <v>11659</v>
      </c>
      <c r="P16" s="51">
        <f t="shared" si="65"/>
        <v>12235</v>
      </c>
      <c r="Q16" s="51">
        <f t="shared" si="65"/>
        <v>14069</v>
      </c>
      <c r="R16" s="51">
        <f t="shared" si="65"/>
        <v>15885</v>
      </c>
      <c r="S16" s="51">
        <f t="shared" si="65"/>
        <v>16601</v>
      </c>
      <c r="T16" s="51">
        <f t="shared" si="65"/>
        <v>17133</v>
      </c>
      <c r="U16" s="51">
        <f t="shared" si="65"/>
        <v>14708</v>
      </c>
      <c r="V16" s="51">
        <f t="shared" si="65"/>
        <v>14052</v>
      </c>
      <c r="W16" s="51">
        <f t="shared" si="65"/>
        <v>13759</v>
      </c>
      <c r="X16" s="51">
        <f t="shared" si="65"/>
        <v>14936</v>
      </c>
      <c r="Y16" s="51">
        <f t="shared" si="65"/>
        <v>16598</v>
      </c>
      <c r="Z16" s="51">
        <f t="shared" si="65"/>
        <v>15341</v>
      </c>
      <c r="AA16" s="51">
        <f t="shared" si="65"/>
        <v>15278</v>
      </c>
      <c r="AB16" s="51">
        <f t="shared" si="65"/>
        <v>15490</v>
      </c>
      <c r="AC16" s="51">
        <f t="shared" si="65"/>
        <v>19075</v>
      </c>
      <c r="AD16" s="51">
        <f t="shared" si="65"/>
        <v>16355</v>
      </c>
      <c r="AE16" s="51">
        <f t="shared" si="65"/>
        <v>17673</v>
      </c>
      <c r="AF16" s="51">
        <f t="shared" si="65"/>
        <v>19202</v>
      </c>
      <c r="AG16" s="51">
        <f t="shared" si="65"/>
        <v>22437</v>
      </c>
      <c r="AH16" s="51">
        <f t="shared" ref="AH16:BM16" si="66">SUM(AH11:AH15)</f>
        <v>20876</v>
      </c>
      <c r="AI16" s="51">
        <f t="shared" si="66"/>
        <v>21903</v>
      </c>
      <c r="AJ16" s="51">
        <f t="shared" si="66"/>
        <v>23286</v>
      </c>
      <c r="AK16" s="51">
        <f t="shared" si="66"/>
        <v>26536</v>
      </c>
      <c r="AL16" s="51">
        <f t="shared" si="66"/>
        <v>24719</v>
      </c>
      <c r="AM16" s="51">
        <f t="shared" si="66"/>
        <v>26381</v>
      </c>
      <c r="AN16" s="51">
        <f t="shared" si="66"/>
        <v>27181</v>
      </c>
      <c r="AO16" s="51">
        <f t="shared" si="66"/>
        <v>32903</v>
      </c>
      <c r="AP16" s="51">
        <f t="shared" si="66"/>
        <v>29789</v>
      </c>
      <c r="AQ16" s="51">
        <f t="shared" si="66"/>
        <v>27989</v>
      </c>
      <c r="AR16" s="51">
        <f t="shared" si="66"/>
        <v>31773</v>
      </c>
      <c r="AS16" s="51">
        <f t="shared" si="66"/>
        <v>37602</v>
      </c>
      <c r="AT16" s="51">
        <f t="shared" si="66"/>
        <v>37033</v>
      </c>
      <c r="AU16" s="51">
        <f t="shared" si="66"/>
        <v>39834</v>
      </c>
      <c r="AV16" s="51">
        <f t="shared" si="66"/>
        <v>42107</v>
      </c>
      <c r="AW16" s="51">
        <f t="shared" si="66"/>
        <v>48494</v>
      </c>
      <c r="AX16" s="51">
        <f t="shared" si="66"/>
        <v>43883</v>
      </c>
      <c r="AY16" s="51">
        <f t="shared" si="66"/>
        <v>47374</v>
      </c>
      <c r="AZ16" s="51">
        <f t="shared" si="66"/>
        <v>49850</v>
      </c>
      <c r="BA16" s="51">
        <f t="shared" si="66"/>
        <v>51033</v>
      </c>
      <c r="BB16" s="51">
        <f t="shared" si="66"/>
        <v>46883</v>
      </c>
      <c r="BC16" s="51">
        <f t="shared" si="66"/>
        <v>50456</v>
      </c>
      <c r="BD16" s="51">
        <f t="shared" si="66"/>
        <v>56375</v>
      </c>
      <c r="BE16" s="51">
        <f t="shared" ref="BE16:BF16" si="67">SUM(BE11:BE15)</f>
        <v>60614</v>
      </c>
      <c r="BF16" s="51">
        <f t="shared" si="67"/>
        <v>57381</v>
      </c>
      <c r="BG16" s="51">
        <f t="shared" ref="BG16:BH16" si="68">SUM(BG11:BG15)</f>
        <v>61270</v>
      </c>
      <c r="BH16" s="51">
        <f t="shared" si="68"/>
        <v>64311</v>
      </c>
      <c r="BI16" s="51">
        <f t="shared" ref="BI16:BJ16" si="69">SUM(BI11:BI15)</f>
        <v>68054</v>
      </c>
      <c r="BJ16" s="51">
        <f t="shared" si="69"/>
        <v>66724</v>
      </c>
      <c r="BK16" s="51">
        <f t="shared" ref="BK16:BL16" si="70">SUM(BK11:BK15)</f>
        <v>71068</v>
      </c>
      <c r="BL16" s="51">
        <f t="shared" si="70"/>
        <v>75451</v>
      </c>
      <c r="BM16" s="51">
        <f t="shared" si="66"/>
        <v>75929.87188013432</v>
      </c>
      <c r="BN16" s="51">
        <f t="shared" ref="BN16:CC16" si="71">SUM(BN11:BN15)</f>
        <v>73057.445279973181</v>
      </c>
      <c r="BO16" s="51">
        <f t="shared" si="71"/>
        <v>78047.348278887541</v>
      </c>
      <c r="BP16" s="51">
        <f t="shared" si="71"/>
        <v>82048.236372323139</v>
      </c>
      <c r="BQ16" s="51">
        <f t="shared" si="71"/>
        <v>81244.599126900866</v>
      </c>
      <c r="BR16" s="242">
        <f t="shared" si="71"/>
        <v>79123.683762419765</v>
      </c>
      <c r="BS16" s="242">
        <f t="shared" si="71"/>
        <v>84234.077947980128</v>
      </c>
      <c r="BT16" s="242">
        <f t="shared" si="71"/>
        <v>88608.505952916355</v>
      </c>
      <c r="BU16" s="242">
        <f t="shared" si="71"/>
        <v>87006.616996286641</v>
      </c>
      <c r="BV16" s="242">
        <f t="shared" si="71"/>
        <v>84902.4453741951</v>
      </c>
      <c r="BW16" s="242">
        <f t="shared" si="71"/>
        <v>90093.488891785295</v>
      </c>
      <c r="BX16" s="242">
        <f t="shared" si="71"/>
        <v>94831.382569651993</v>
      </c>
      <c r="BY16" s="242">
        <f t="shared" si="71"/>
        <v>92287.926865249843</v>
      </c>
      <c r="BZ16" s="242">
        <f t="shared" si="71"/>
        <v>89962.049436975329</v>
      </c>
      <c r="CA16" s="242">
        <f t="shared" si="71"/>
        <v>95176.847146797954</v>
      </c>
      <c r="CB16" s="242">
        <f t="shared" si="71"/>
        <v>100225.104694204</v>
      </c>
      <c r="CC16" s="242">
        <f t="shared" si="71"/>
        <v>96607.954715295549</v>
      </c>
      <c r="CD16" s="242">
        <f t="shared" ref="CD16:CG16" si="72">SUM(CD11:CD15)</f>
        <v>94076.357656365639</v>
      </c>
      <c r="CE16" s="242">
        <f t="shared" si="72"/>
        <v>99255.970867858618</v>
      </c>
      <c r="CF16" s="242">
        <f t="shared" si="72"/>
        <v>104541.88511444547</v>
      </c>
      <c r="CG16" s="242">
        <f t="shared" si="72"/>
        <v>99731.95458542704</v>
      </c>
      <c r="CH16" s="242"/>
      <c r="CI16" s="90">
        <f t="shared" ref="CI16" si="73">E16</f>
        <v>5837</v>
      </c>
      <c r="CJ16" s="97">
        <f t="shared" ref="CJ16" si="74">I16</f>
        <v>7387</v>
      </c>
      <c r="CK16" s="90">
        <f t="shared" ref="CK16" si="75">M16</f>
        <v>11666</v>
      </c>
      <c r="CL16" s="90">
        <f t="shared" ref="CL16" si="76">Q16</f>
        <v>14069</v>
      </c>
      <c r="CM16" s="21">
        <f t="shared" ref="CM16" si="77">U16</f>
        <v>14708</v>
      </c>
      <c r="CN16" s="90">
        <f t="shared" ref="CN16" si="78">Y16</f>
        <v>16598</v>
      </c>
      <c r="CO16" s="21">
        <f t="shared" ref="CO16" si="79">AC16</f>
        <v>19075</v>
      </c>
      <c r="CP16" s="90">
        <f t="shared" ref="CP16" si="80">AG16</f>
        <v>22437</v>
      </c>
      <c r="CQ16" s="90">
        <f t="shared" ref="CQ16" si="81">AK16</f>
        <v>26536</v>
      </c>
      <c r="CR16" s="90">
        <f t="shared" ref="CR16" si="82">AO16</f>
        <v>32903</v>
      </c>
      <c r="CS16" s="90">
        <f t="shared" ref="CS16" si="83">AS16</f>
        <v>37602</v>
      </c>
      <c r="CT16" s="90">
        <f t="shared" ref="CT16" si="84">AW16</f>
        <v>48494</v>
      </c>
      <c r="CU16" s="90">
        <f t="shared" ref="CU16" si="85">BA16</f>
        <v>51033</v>
      </c>
      <c r="CV16" s="90">
        <f t="shared" ref="CV16" si="86">BE16</f>
        <v>60614</v>
      </c>
      <c r="CW16" s="90">
        <f t="shared" ref="CW16" si="87">BI16</f>
        <v>68054</v>
      </c>
      <c r="CX16" s="90">
        <f t="shared" ref="CX16" si="88">BM16</f>
        <v>75929.87188013432</v>
      </c>
      <c r="CY16" s="98">
        <f t="shared" ref="CY16" si="89">BQ16</f>
        <v>81244.599126900866</v>
      </c>
      <c r="CZ16" s="98">
        <f>BU16</f>
        <v>87006.616996286641</v>
      </c>
      <c r="DA16" s="98">
        <f t="shared" ref="DA16" si="90">BY16</f>
        <v>92287.926865249843</v>
      </c>
      <c r="DB16" s="98">
        <f t="shared" ref="DB16" si="91">CC16</f>
        <v>96607.954715295549</v>
      </c>
      <c r="DC16" s="98">
        <f t="shared" si="60"/>
        <v>99731.95458542704</v>
      </c>
    </row>
    <row r="17" spans="1:107" x14ac:dyDescent="0.2">
      <c r="CI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</row>
    <row r="18" spans="1:107" x14ac:dyDescent="0.2">
      <c r="A18" s="1" t="s">
        <v>148</v>
      </c>
      <c r="B18" s="16">
        <f>'Balance Sheet'!B22</f>
        <v>329</v>
      </c>
      <c r="C18" s="16">
        <f>'Balance Sheet'!C22</f>
        <v>397</v>
      </c>
      <c r="D18" s="16">
        <f>'Balance Sheet'!D22</f>
        <v>528</v>
      </c>
      <c r="E18" s="16">
        <f>'Balance Sheet'!E22</f>
        <v>483</v>
      </c>
      <c r="F18" s="16">
        <f>'Balance Sheet'!F22</f>
        <v>516</v>
      </c>
      <c r="G18" s="16">
        <f>'Balance Sheet'!G22</f>
        <v>567</v>
      </c>
      <c r="H18" s="16">
        <f>'Balance Sheet'!H22</f>
        <v>563</v>
      </c>
      <c r="I18" s="16">
        <f>'Balance Sheet'!I22</f>
        <v>588</v>
      </c>
      <c r="J18" s="16">
        <f>'Balance Sheet'!J22</f>
        <v>760</v>
      </c>
      <c r="K18" s="16">
        <f>'Balance Sheet'!K22</f>
        <v>2419</v>
      </c>
      <c r="L18" s="16">
        <f>'Balance Sheet'!L22</f>
        <v>2233</v>
      </c>
      <c r="M18" s="16">
        <f>'Balance Sheet'!M22</f>
        <v>2012</v>
      </c>
      <c r="N18" s="16">
        <f>'Balance Sheet'!N22</f>
        <v>2094</v>
      </c>
      <c r="O18" s="16">
        <f>'Balance Sheet'!O22</f>
        <v>1758</v>
      </c>
      <c r="P18" s="16">
        <f>'Balance Sheet'!P22</f>
        <v>2124</v>
      </c>
      <c r="Q18" s="16">
        <f>'Balance Sheet'!Q22</f>
        <v>2453</v>
      </c>
      <c r="R18" s="16">
        <f>'Balance Sheet'!R22</f>
        <v>1623</v>
      </c>
      <c r="S18" s="16">
        <f>'Balance Sheet'!S22</f>
        <v>1345</v>
      </c>
      <c r="T18" s="16">
        <f>'Balance Sheet'!T22</f>
        <v>1368</v>
      </c>
      <c r="U18" s="16">
        <f>'Balance Sheet'!U22</f>
        <v>1715</v>
      </c>
      <c r="V18" s="16">
        <f>'Balance Sheet'!V22</f>
        <v>1688</v>
      </c>
      <c r="W18" s="16">
        <f>'Balance Sheet'!W22</f>
        <v>1315</v>
      </c>
      <c r="X18" s="16">
        <f>'Balance Sheet'!X22</f>
        <v>1549</v>
      </c>
      <c r="Y18" s="16">
        <f>'Balance Sheet'!Y22</f>
        <v>1931</v>
      </c>
      <c r="Z18" s="16">
        <f>'Balance Sheet'!Z22</f>
        <v>1667</v>
      </c>
      <c r="AA18" s="16">
        <f>'Balance Sheet'!AA22</f>
        <v>1716</v>
      </c>
      <c r="AB18" s="16">
        <f>'Balance Sheet'!AB22</f>
        <v>2175</v>
      </c>
      <c r="AC18" s="16">
        <f>'Balance Sheet'!AC22</f>
        <v>2041</v>
      </c>
      <c r="AD18" s="16">
        <f>'Balance Sheet'!AD22</f>
        <v>2306</v>
      </c>
      <c r="AE18" s="16">
        <f>'Balance Sheet'!AE22</f>
        <v>2488</v>
      </c>
      <c r="AF18" s="16">
        <f>'Balance Sheet'!AF22</f>
        <v>2674</v>
      </c>
      <c r="AG18" s="16">
        <f>'Balance Sheet'!AG22</f>
        <v>3137</v>
      </c>
      <c r="AH18" s="16">
        <f>'Balance Sheet'!AH22</f>
        <v>3526</v>
      </c>
      <c r="AI18" s="16">
        <f>'Balance Sheet'!AI22</f>
        <v>3369</v>
      </c>
      <c r="AJ18" s="16">
        <f>'Balance Sheet'!AJ22</f>
        <v>3789</v>
      </c>
      <c r="AK18" s="16">
        <f>'Balance Sheet'!AK22</f>
        <v>4378</v>
      </c>
      <c r="AL18" s="16">
        <f>'Balance Sheet'!AL22</f>
        <v>3710</v>
      </c>
      <c r="AM18" s="16">
        <f>'Balance Sheet'!AM22</f>
        <v>3925</v>
      </c>
      <c r="AN18" s="16">
        <f>'Balance Sheet'!AN22</f>
        <v>4142</v>
      </c>
      <c r="AO18" s="16">
        <f>'Balance Sheet'!AO22</f>
        <v>5561</v>
      </c>
      <c r="AP18" s="16">
        <f>'Balance Sheet'!AP22</f>
        <v>4099</v>
      </c>
      <c r="AQ18" s="16">
        <f>'Balance Sheet'!AQ22</f>
        <v>4064</v>
      </c>
      <c r="AR18" s="16">
        <f>'Balance Sheet'!AR22</f>
        <v>4391</v>
      </c>
      <c r="AS18" s="16">
        <f>'Balance Sheet'!AS22</f>
        <v>5589</v>
      </c>
      <c r="AT18" s="16">
        <f>'Balance Sheet'!AT22</f>
        <v>4801</v>
      </c>
      <c r="AU18" s="16">
        <f>'Balance Sheet'!AU22</f>
        <v>4708</v>
      </c>
      <c r="AV18" s="16">
        <f>'Balance Sheet'!AV22</f>
        <v>4616</v>
      </c>
      <c r="AW18" s="16">
        <f>'Balance Sheet'!AW22</f>
        <v>6037</v>
      </c>
      <c r="AX18" s="16">
        <f>'Balance Sheet'!AX22</f>
        <v>3436</v>
      </c>
      <c r="AY18" s="16">
        <f>'Balance Sheet'!AY22</f>
        <v>4409</v>
      </c>
      <c r="AZ18" s="16">
        <f>'Balance Sheet'!AZ22</f>
        <v>6303</v>
      </c>
      <c r="BA18" s="16">
        <f>'Balance Sheet'!BA22</f>
        <v>5128</v>
      </c>
      <c r="BB18" s="16">
        <f>'Balance Sheet'!BB22</f>
        <v>4184</v>
      </c>
      <c r="BC18" s="16">
        <f>'Balance Sheet'!BC22</f>
        <v>5313</v>
      </c>
      <c r="BD18" s="16">
        <f>'Balance Sheet'!BD22</f>
        <v>5803</v>
      </c>
      <c r="BE18" s="16">
        <f>'Balance Sheet'!BE22</f>
        <v>7493</v>
      </c>
      <c r="BF18" s="16">
        <f>'Balance Sheet'!BF22</f>
        <v>6198</v>
      </c>
      <c r="BG18" s="16">
        <f>'Balance Sheet'!BG22</f>
        <v>6092</v>
      </c>
      <c r="BH18" s="16">
        <f>'Balance Sheet'!BH22</f>
        <v>7049</v>
      </c>
      <c r="BI18" s="16">
        <f>'Balance Sheet'!BI22</f>
        <v>7987</v>
      </c>
      <c r="BJ18" s="16">
        <f>'Balance Sheet'!BJ22</f>
        <v>8497</v>
      </c>
      <c r="BK18" s="16">
        <f>'Balance Sheet'!BK22</f>
        <v>8347</v>
      </c>
      <c r="BL18" s="16">
        <f>'Balance Sheet'!BL22</f>
        <v>10546</v>
      </c>
      <c r="BM18" s="16">
        <f t="shared" ref="BM18:CC18" si="92">(BM4*BM35)/$A$30</f>
        <v>11370.831709369291</v>
      </c>
      <c r="BN18" s="16">
        <f t="shared" si="92"/>
        <v>11834.459049215484</v>
      </c>
      <c r="BO18" s="16">
        <f t="shared" si="92"/>
        <v>11666.472632506171</v>
      </c>
      <c r="BP18" s="16">
        <f t="shared" si="92"/>
        <v>14347.217681353537</v>
      </c>
      <c r="BQ18" s="16">
        <f t="shared" si="92"/>
        <v>15415.645020678867</v>
      </c>
      <c r="BR18" s="72">
        <f t="shared" si="92"/>
        <v>15793.040373918962</v>
      </c>
      <c r="BS18" s="72">
        <f t="shared" si="92"/>
        <v>15649.437678689386</v>
      </c>
      <c r="BT18" s="72">
        <f t="shared" si="92"/>
        <v>18974.171588131368</v>
      </c>
      <c r="BU18" s="72">
        <f t="shared" si="92"/>
        <v>20450.611389036356</v>
      </c>
      <c r="BV18" s="72">
        <f t="shared" si="92"/>
        <v>20499.30037525704</v>
      </c>
      <c r="BW18" s="72">
        <f t="shared" si="92"/>
        <v>20382.789583219979</v>
      </c>
      <c r="BX18" s="72">
        <f t="shared" si="92"/>
        <v>24445.726171503815</v>
      </c>
      <c r="BY18" s="72">
        <f t="shared" si="92"/>
        <v>26403.987795848978</v>
      </c>
      <c r="BZ18" s="72">
        <f t="shared" si="92"/>
        <v>25768.391665418101</v>
      </c>
      <c r="CA18" s="72">
        <f t="shared" si="92"/>
        <v>25680.660261993555</v>
      </c>
      <c r="CB18" s="72">
        <f t="shared" si="92"/>
        <v>30537.195552646695</v>
      </c>
      <c r="CC18" s="72">
        <f t="shared" si="92"/>
        <v>33045.403885919339</v>
      </c>
      <c r="CD18" s="72">
        <f t="shared" ref="CD18:CG18" si="93">(CD4*CD35)/$A$30</f>
        <v>31726.105554684491</v>
      </c>
      <c r="CE18" s="72">
        <f t="shared" si="93"/>
        <v>31663.409826680465</v>
      </c>
      <c r="CF18" s="72">
        <f t="shared" si="93"/>
        <v>37389.816150982995</v>
      </c>
      <c r="CG18" s="72">
        <f t="shared" si="93"/>
        <v>40515.981436826187</v>
      </c>
      <c r="CH18" s="72"/>
      <c r="CI18" s="89">
        <f t="shared" ref="CI18:CI24" si="94">E18</f>
        <v>483</v>
      </c>
      <c r="CJ18" s="95">
        <f t="shared" ref="CJ18:CJ24" si="95">I18</f>
        <v>588</v>
      </c>
      <c r="CK18" s="89">
        <f t="shared" ref="CK18:CK24" si="96">M18</f>
        <v>2012</v>
      </c>
      <c r="CL18" s="89">
        <f t="shared" ref="CL18:CL24" si="97">Q18</f>
        <v>2453</v>
      </c>
      <c r="CM18" s="20">
        <f t="shared" ref="CM18:CM24" si="98">U18</f>
        <v>1715</v>
      </c>
      <c r="CN18" s="89">
        <f t="shared" ref="CN18:CN24" si="99">Y18</f>
        <v>1931</v>
      </c>
      <c r="CO18" s="20">
        <f t="shared" ref="CO18:CO24" si="100">AC18</f>
        <v>2041</v>
      </c>
      <c r="CP18" s="89">
        <f t="shared" ref="CP18:CP24" si="101">AG18</f>
        <v>3137</v>
      </c>
      <c r="CQ18" s="89">
        <f t="shared" ref="CQ18:CQ24" si="102">AK18</f>
        <v>4378</v>
      </c>
      <c r="CR18" s="89">
        <f t="shared" ref="CR18:CR24" si="103">AO18</f>
        <v>5561</v>
      </c>
      <c r="CS18" s="89">
        <f t="shared" ref="CS18:CS24" si="104">AS18</f>
        <v>5589</v>
      </c>
      <c r="CT18" s="89">
        <f t="shared" ref="CT18:CT24" si="105">AW18</f>
        <v>6037</v>
      </c>
      <c r="CU18" s="89">
        <f t="shared" ref="CU18:CU24" si="106">BA18</f>
        <v>5128</v>
      </c>
      <c r="CV18" s="89">
        <f t="shared" ref="CV18:CV24" si="107">BE18</f>
        <v>7493</v>
      </c>
      <c r="CW18" s="89">
        <f t="shared" ref="CW18:CW24" si="108">BI18</f>
        <v>7987</v>
      </c>
      <c r="CX18" s="89">
        <f t="shared" ref="CX18:CX24" si="109">BM18</f>
        <v>11370.831709369291</v>
      </c>
      <c r="CY18" s="96">
        <f t="shared" ref="CY18:CY24" si="110">BQ18</f>
        <v>15415.645020678867</v>
      </c>
      <c r="CZ18" s="96">
        <f t="shared" ref="CZ18:CZ23" si="111">BU18</f>
        <v>20450.611389036356</v>
      </c>
      <c r="DA18" s="96">
        <f t="shared" ref="DA18:DA24" si="112">BY18</f>
        <v>26403.987795848978</v>
      </c>
      <c r="DB18" s="96">
        <f t="shared" ref="DB18:DB24" si="113">CC18</f>
        <v>33045.403885919339</v>
      </c>
      <c r="DC18" s="96">
        <f>CG18</f>
        <v>40515.981436826187</v>
      </c>
    </row>
    <row r="19" spans="1:107" x14ac:dyDescent="0.2">
      <c r="A19" s="1" t="s">
        <v>215</v>
      </c>
      <c r="B19" s="16">
        <f>'Balance Sheet'!B23</f>
        <v>578</v>
      </c>
      <c r="C19" s="16">
        <f>'Balance Sheet'!C23</f>
        <v>748</v>
      </c>
      <c r="D19" s="16">
        <f>'Balance Sheet'!D23</f>
        <v>1104</v>
      </c>
      <c r="E19" s="16">
        <f>'Balance Sheet'!E23</f>
        <v>1410</v>
      </c>
      <c r="F19" s="16">
        <f>'Balance Sheet'!F23</f>
        <v>945</v>
      </c>
      <c r="G19" s="16">
        <f>'Balance Sheet'!G23</f>
        <v>1180</v>
      </c>
      <c r="H19" s="16">
        <f>'Balance Sheet'!H23</f>
        <v>1446</v>
      </c>
      <c r="I19" s="16">
        <f>'Balance Sheet'!I23</f>
        <v>1818</v>
      </c>
      <c r="J19" s="16">
        <f>'Balance Sheet'!J23</f>
        <v>1017</v>
      </c>
      <c r="K19" s="16">
        <f>'Balance Sheet'!K23</f>
        <v>1626</v>
      </c>
      <c r="L19" s="16">
        <f>'Balance Sheet'!L23</f>
        <v>1926</v>
      </c>
      <c r="M19" s="16">
        <f>'Balance Sheet'!M23</f>
        <v>2239</v>
      </c>
      <c r="N19" s="16">
        <f>'Balance Sheet'!N23</f>
        <v>1445</v>
      </c>
      <c r="O19" s="16">
        <f>'Balance Sheet'!O23</f>
        <v>1803</v>
      </c>
      <c r="P19" s="16">
        <f>'Balance Sheet'!P23</f>
        <v>1999</v>
      </c>
      <c r="Q19" s="16">
        <f>'Balance Sheet'!Q23</f>
        <v>2502</v>
      </c>
      <c r="R19" s="16">
        <f>'Balance Sheet'!R23</f>
        <v>1531</v>
      </c>
      <c r="S19" s="16">
        <f>'Balance Sheet'!S23</f>
        <v>2102</v>
      </c>
      <c r="T19" s="16">
        <f>'Balance Sheet'!T23</f>
        <v>2428</v>
      </c>
      <c r="U19" s="16">
        <f>'Balance Sheet'!U23</f>
        <v>3069</v>
      </c>
      <c r="V19" s="16">
        <f>'Balance Sheet'!V23</f>
        <v>1911</v>
      </c>
      <c r="W19" s="16">
        <f>'Balance Sheet'!W23</f>
        <v>2466</v>
      </c>
      <c r="X19" s="16">
        <f>'Balance Sheet'!X23</f>
        <v>2988</v>
      </c>
      <c r="Y19" s="16">
        <f>'Balance Sheet'!Y23</f>
        <v>3539</v>
      </c>
      <c r="Z19" s="16">
        <f>'Balance Sheet'!Z23</f>
        <v>2618</v>
      </c>
      <c r="AA19" s="16">
        <f>'Balance Sheet'!AA23</f>
        <v>3409</v>
      </c>
      <c r="AB19" s="16">
        <f>'Balance Sheet'!AB23</f>
        <v>3672</v>
      </c>
      <c r="AC19" s="16">
        <f>'Balance Sheet'!AC23</f>
        <v>3976</v>
      </c>
      <c r="AD19" s="16">
        <f>'Balance Sheet'!AD23</f>
        <v>2673</v>
      </c>
      <c r="AE19" s="16">
        <f>'Balance Sheet'!AE23</f>
        <v>3271</v>
      </c>
      <c r="AF19" s="16">
        <f>'Balance Sheet'!AF23</f>
        <v>4022</v>
      </c>
      <c r="AG19" s="16">
        <f>'Balance Sheet'!AG23</f>
        <v>4581</v>
      </c>
      <c r="AH19" s="16">
        <f>'Balance Sheet'!AH23</f>
        <v>3812</v>
      </c>
      <c r="AI19" s="16">
        <f>'Balance Sheet'!AI23</f>
        <v>4642</v>
      </c>
      <c r="AJ19" s="16">
        <f>'Balance Sheet'!AJ23</f>
        <v>5946</v>
      </c>
      <c r="AK19" s="16">
        <f>'Balance Sheet'!AK23</f>
        <v>6839</v>
      </c>
      <c r="AL19" s="16">
        <f>'Balance Sheet'!AL23</f>
        <v>5072</v>
      </c>
      <c r="AM19" s="16">
        <f>'Balance Sheet'!AM23</f>
        <v>6432</v>
      </c>
      <c r="AN19" s="16">
        <f>'Balance Sheet'!AN23</f>
        <v>7399</v>
      </c>
      <c r="AO19" s="16">
        <f>'Balance Sheet'!AO23</f>
        <v>8495</v>
      </c>
      <c r="AP19" s="16">
        <f>'Balance Sheet'!AP23</f>
        <v>5656</v>
      </c>
      <c r="AQ19" s="16">
        <f>'Balance Sheet'!AQ23</f>
        <v>7127</v>
      </c>
      <c r="AR19" s="16">
        <f>'Balance Sheet'!AR23</f>
        <v>8747</v>
      </c>
      <c r="AS19" s="16">
        <f>'Balance Sheet'!AS23</f>
        <v>11086</v>
      </c>
      <c r="AT19" s="16">
        <f>'Balance Sheet'!AT23</f>
        <v>8375</v>
      </c>
      <c r="AU19" s="16">
        <f>'Balance Sheet'!AU23</f>
        <v>10088</v>
      </c>
      <c r="AV19" s="16">
        <f>'Balance Sheet'!AV23</f>
        <v>12170</v>
      </c>
      <c r="AW19" s="16">
        <f>'Balance Sheet'!AW23</f>
        <v>13889</v>
      </c>
      <c r="AX19" s="16">
        <f>'Balance Sheet'!AX23</f>
        <v>9803</v>
      </c>
      <c r="AY19" s="16">
        <f>'Balance Sheet'!AY23</f>
        <v>10852</v>
      </c>
      <c r="AZ19" s="16">
        <f>'Balance Sheet'!AZ23</f>
        <v>12366</v>
      </c>
      <c r="BA19" s="16">
        <f>'Balance Sheet'!BA23</f>
        <v>14028</v>
      </c>
      <c r="BB19" s="16">
        <f>'Balance Sheet'!BB23</f>
        <v>9954</v>
      </c>
      <c r="BC19" s="16">
        <f>'Balance Sheet'!BC23</f>
        <v>11260</v>
      </c>
      <c r="BD19" s="16">
        <f>'Balance Sheet'!BD23</f>
        <v>12562</v>
      </c>
      <c r="BE19" s="16">
        <f>'Balance Sheet'!BE23</f>
        <v>15140</v>
      </c>
      <c r="BF19" s="16">
        <f>'Balance Sheet'!BF23</f>
        <v>9703</v>
      </c>
      <c r="BG19" s="16">
        <f>'Balance Sheet'!BG23</f>
        <v>11373</v>
      </c>
      <c r="BH19" s="16">
        <f>'Balance Sheet'!BH23</f>
        <v>12908</v>
      </c>
      <c r="BI19" s="16">
        <f>'Balance Sheet'!BI23</f>
        <v>15069</v>
      </c>
      <c r="BJ19" s="16">
        <f>'Balance Sheet'!BJ23</f>
        <v>9984</v>
      </c>
      <c r="BK19" s="16">
        <f>'Balance Sheet'!BK23</f>
        <v>12168</v>
      </c>
      <c r="BL19" s="16">
        <f>'Balance Sheet'!BL23</f>
        <v>13944</v>
      </c>
      <c r="BM19" s="16">
        <f t="shared" ref="BM19:CC19" si="114">BM36*BM7</f>
        <v>16779.843812088089</v>
      </c>
      <c r="BN19" s="16">
        <f t="shared" si="114"/>
        <v>10899.792880904284</v>
      </c>
      <c r="BO19" s="16">
        <f t="shared" si="114"/>
        <v>12619.259117849759</v>
      </c>
      <c r="BP19" s="16">
        <f t="shared" si="114"/>
        <v>13670.29468688023</v>
      </c>
      <c r="BQ19" s="16">
        <f t="shared" si="114"/>
        <v>18522.616354762096</v>
      </c>
      <c r="BR19" s="72">
        <f t="shared" si="114"/>
        <v>11966.398658219796</v>
      </c>
      <c r="BS19" s="72">
        <f t="shared" si="114"/>
        <v>13815.296675844244</v>
      </c>
      <c r="BT19" s="72">
        <f t="shared" si="114"/>
        <v>14987.897042882112</v>
      </c>
      <c r="BU19" s="72">
        <f t="shared" si="114"/>
        <v>20281.061062713718</v>
      </c>
      <c r="BV19" s="72">
        <f t="shared" si="114"/>
        <v>13065.005515830662</v>
      </c>
      <c r="BW19" s="72">
        <f t="shared" si="114"/>
        <v>15045.017200115781</v>
      </c>
      <c r="BX19" s="72">
        <f t="shared" si="114"/>
        <v>16343.689416291234</v>
      </c>
      <c r="BY19" s="72">
        <f t="shared" si="114"/>
        <v>22088.875378228906</v>
      </c>
      <c r="BZ19" s="72">
        <f t="shared" si="114"/>
        <v>14272.894728700308</v>
      </c>
      <c r="CA19" s="72">
        <f t="shared" si="114"/>
        <v>16393.297362041034</v>
      </c>
      <c r="CB19" s="72">
        <f t="shared" si="114"/>
        <v>17831.850331100624</v>
      </c>
      <c r="CC19" s="72">
        <f t="shared" si="114"/>
        <v>24070.401031068177</v>
      </c>
      <c r="CD19" s="72">
        <f t="shared" ref="CD19:CG19" si="115">CD36*CD7</f>
        <v>15436.446599423221</v>
      </c>
      <c r="CE19" s="72">
        <f t="shared" si="115"/>
        <v>17564.225868681835</v>
      </c>
      <c r="CF19" s="72">
        <f t="shared" si="115"/>
        <v>19179.050929971418</v>
      </c>
      <c r="CG19" s="72">
        <f t="shared" si="115"/>
        <v>25866.296058426404</v>
      </c>
      <c r="CH19" s="72"/>
      <c r="CI19" s="89">
        <f t="shared" si="94"/>
        <v>1410</v>
      </c>
      <c r="CJ19" s="95">
        <f t="shared" si="95"/>
        <v>1818</v>
      </c>
      <c r="CK19" s="89">
        <f t="shared" si="96"/>
        <v>2239</v>
      </c>
      <c r="CL19" s="89">
        <f t="shared" si="97"/>
        <v>2502</v>
      </c>
      <c r="CM19" s="20">
        <f t="shared" si="98"/>
        <v>3069</v>
      </c>
      <c r="CN19" s="89">
        <f t="shared" si="99"/>
        <v>3539</v>
      </c>
      <c r="CO19" s="20">
        <f t="shared" si="100"/>
        <v>3976</v>
      </c>
      <c r="CP19" s="89">
        <f t="shared" si="101"/>
        <v>4581</v>
      </c>
      <c r="CQ19" s="89">
        <f t="shared" si="102"/>
        <v>6839</v>
      </c>
      <c r="CR19" s="89">
        <f t="shared" si="103"/>
        <v>8495</v>
      </c>
      <c r="CS19" s="89">
        <f t="shared" si="104"/>
        <v>11086</v>
      </c>
      <c r="CT19" s="89">
        <f t="shared" si="105"/>
        <v>13889</v>
      </c>
      <c r="CU19" s="89">
        <f t="shared" si="106"/>
        <v>14028</v>
      </c>
      <c r="CV19" s="89">
        <f t="shared" si="107"/>
        <v>15140</v>
      </c>
      <c r="CW19" s="89">
        <f t="shared" si="108"/>
        <v>15069</v>
      </c>
      <c r="CX19" s="89">
        <f t="shared" si="109"/>
        <v>16779.843812088089</v>
      </c>
      <c r="CY19" s="96">
        <f t="shared" si="110"/>
        <v>18522.616354762096</v>
      </c>
      <c r="CZ19" s="96">
        <f t="shared" si="111"/>
        <v>20281.061062713718</v>
      </c>
      <c r="DA19" s="96">
        <f t="shared" si="112"/>
        <v>22088.875378228906</v>
      </c>
      <c r="DB19" s="96">
        <f t="shared" si="113"/>
        <v>24070.401031068177</v>
      </c>
      <c r="DC19" s="96">
        <f t="shared" ref="DC19:DC24" si="116">CG19</f>
        <v>25866.296058426404</v>
      </c>
    </row>
    <row r="20" spans="1:107" x14ac:dyDescent="0.2">
      <c r="A20" s="1" t="s">
        <v>217</v>
      </c>
      <c r="B20" s="16">
        <f>'Balance Sheet'!B25</f>
        <v>576</v>
      </c>
      <c r="C20" s="16">
        <f>'Balance Sheet'!C25</f>
        <v>753</v>
      </c>
      <c r="D20" s="16">
        <f>'Balance Sheet'!D25</f>
        <v>841</v>
      </c>
      <c r="E20" s="16">
        <f>'Balance Sheet'!E25</f>
        <v>961</v>
      </c>
      <c r="F20" s="16">
        <f>'Balance Sheet'!F25</f>
        <v>1464</v>
      </c>
      <c r="G20" s="16">
        <f>'Balance Sheet'!G25</f>
        <v>1493</v>
      </c>
      <c r="H20" s="16">
        <f>'Balance Sheet'!H25</f>
        <v>1155</v>
      </c>
      <c r="I20" s="16">
        <f>'Balance Sheet'!I25</f>
        <v>1370</v>
      </c>
      <c r="J20" s="16">
        <f>'Balance Sheet'!J25</f>
        <v>1248</v>
      </c>
      <c r="K20" s="16">
        <f>'Balance Sheet'!K25</f>
        <v>2750</v>
      </c>
      <c r="L20" s="16">
        <f>'Balance Sheet'!L25</f>
        <v>3313</v>
      </c>
      <c r="M20" s="16">
        <f>'Balance Sheet'!M25</f>
        <v>3258</v>
      </c>
      <c r="N20" s="16">
        <f>'Balance Sheet'!N25</f>
        <v>3007</v>
      </c>
      <c r="O20" s="16">
        <f>'Balance Sheet'!O25</f>
        <v>3300</v>
      </c>
      <c r="P20" s="16">
        <f>'Balance Sheet'!P25</f>
        <v>3071</v>
      </c>
      <c r="Q20" s="16">
        <f>'Balance Sheet'!Q25</f>
        <v>3755</v>
      </c>
      <c r="R20" s="16">
        <f>'Balance Sheet'!R25</f>
        <v>3305</v>
      </c>
      <c r="S20" s="16">
        <f>'Balance Sheet'!S25</f>
        <v>5987</v>
      </c>
      <c r="T20" s="16">
        <f>'Balance Sheet'!T25</f>
        <v>6132</v>
      </c>
      <c r="U20" s="16">
        <f>'Balance Sheet'!U25</f>
        <v>4434</v>
      </c>
      <c r="V20" s="16">
        <f>'Balance Sheet'!V25</f>
        <v>4494</v>
      </c>
      <c r="W20" s="16">
        <f>'Balance Sheet'!W25</f>
        <v>4396</v>
      </c>
      <c r="X20" s="16">
        <f>'Balance Sheet'!X25</f>
        <v>4598</v>
      </c>
      <c r="Y20" s="16">
        <f>'Balance Sheet'!Y25</f>
        <v>4768</v>
      </c>
      <c r="Z20" s="16">
        <f>'Balance Sheet'!Z25</f>
        <v>4517</v>
      </c>
      <c r="AA20" s="16">
        <f>'Balance Sheet'!AA25</f>
        <v>4502</v>
      </c>
      <c r="AB20" s="16">
        <f>'Balance Sheet'!AB25</f>
        <v>4840</v>
      </c>
      <c r="AC20" s="16">
        <f>'Balance Sheet'!AC25</f>
        <v>6144</v>
      </c>
      <c r="AD20" s="16">
        <f>'Balance Sheet'!AD25</f>
        <v>5438</v>
      </c>
      <c r="AE20" s="16">
        <f>'Balance Sheet'!AE25</f>
        <v>8560</v>
      </c>
      <c r="AF20" s="16">
        <f>'Balance Sheet'!AF25</f>
        <v>9307</v>
      </c>
      <c r="AG20" s="16">
        <f>'Balance Sheet'!AG25</f>
        <v>10177</v>
      </c>
      <c r="AH20" s="16">
        <f>'Balance Sheet'!AH25</f>
        <v>10065</v>
      </c>
      <c r="AI20" s="16">
        <f>'Balance Sheet'!AI25</f>
        <v>15261</v>
      </c>
      <c r="AJ20" s="16">
        <f>'Balance Sheet'!AJ25</f>
        <v>15936</v>
      </c>
      <c r="AK20" s="16">
        <f>'Balance Sheet'!AK25</f>
        <v>16958</v>
      </c>
      <c r="AL20" s="16">
        <f>'Balance Sheet'!AL25</f>
        <v>19382</v>
      </c>
      <c r="AM20" s="16">
        <f>'Balance Sheet'!AM25</f>
        <v>19823</v>
      </c>
      <c r="AN20" s="16">
        <f>'Balance Sheet'!AN25</f>
        <v>21038</v>
      </c>
      <c r="AO20" s="16">
        <f>'Balance Sheet'!AO25</f>
        <v>23067</v>
      </c>
      <c r="AP20" s="16">
        <f>'Balance Sheet'!AP25</f>
        <v>22601</v>
      </c>
      <c r="AQ20" s="16">
        <f>'Balance Sheet'!AQ25</f>
        <v>24426</v>
      </c>
      <c r="AR20" s="16">
        <f>'Balance Sheet'!AR25</f>
        <v>25631</v>
      </c>
      <c r="AS20" s="16">
        <f>'Balance Sheet'!AS25</f>
        <v>28631</v>
      </c>
      <c r="AT20" s="16">
        <f>'Balance Sheet'!AT25</f>
        <v>30732</v>
      </c>
      <c r="AU20" s="16">
        <f>'Balance Sheet'!AU25</f>
        <v>28981</v>
      </c>
      <c r="AV20" s="16">
        <f>'Balance Sheet'!AV25</f>
        <v>30113</v>
      </c>
      <c r="AW20" s="16">
        <f>'Balance Sheet'!AW25</f>
        <v>31236</v>
      </c>
      <c r="AX20" s="16">
        <f>'Balance Sheet'!AX25</f>
        <v>33051</v>
      </c>
      <c r="AY20" s="16">
        <f>'Balance Sheet'!AY25</f>
        <v>32976</v>
      </c>
      <c r="AZ20" s="16">
        <f>'Balance Sheet'!AZ25</f>
        <v>35038</v>
      </c>
      <c r="BA20" s="16">
        <f>'Balance Sheet'!BA25</f>
        <v>37866</v>
      </c>
      <c r="BB20" s="16">
        <f>'Balance Sheet'!BB25</f>
        <v>43185</v>
      </c>
      <c r="BC20" s="16">
        <f>'Balance Sheet'!BC25</f>
        <v>49300</v>
      </c>
      <c r="BD20" s="16">
        <f>'Balance Sheet'!BD25</f>
        <v>55602</v>
      </c>
      <c r="BE20" s="16">
        <f>'Balance Sheet'!BE25</f>
        <v>46168</v>
      </c>
      <c r="BF20" s="16">
        <f>'Balance Sheet'!BF25</f>
        <v>48603</v>
      </c>
      <c r="BG20" s="16">
        <f>'Balance Sheet'!BG25</f>
        <v>47298</v>
      </c>
      <c r="BH20" s="16">
        <f>'Balance Sheet'!BH25</f>
        <v>46585</v>
      </c>
      <c r="BI20" s="16">
        <f>'Balance Sheet'!BI25</f>
        <v>51228</v>
      </c>
      <c r="BJ20" s="16">
        <f>'Balance Sheet'!BJ25</f>
        <v>58300</v>
      </c>
      <c r="BK20" s="16">
        <f>'Balance Sheet'!BK25</f>
        <v>52039</v>
      </c>
      <c r="BL20" s="16">
        <f>'Balance Sheet'!BL25</f>
        <v>59437</v>
      </c>
      <c r="BM20" s="16">
        <f t="shared" ref="BM20:CC20" si="117">BM37*BM4</f>
        <v>61847.623163529148</v>
      </c>
      <c r="BN20" s="16">
        <f t="shared" si="117"/>
        <v>70740.214550360426</v>
      </c>
      <c r="BO20" s="16">
        <f t="shared" si="117"/>
        <v>62595.991796390153</v>
      </c>
      <c r="BP20" s="16">
        <f t="shared" si="117"/>
        <v>70957.514027204859</v>
      </c>
      <c r="BQ20" s="16">
        <f t="shared" si="117"/>
        <v>72786.068000102736</v>
      </c>
      <c r="BR20" s="72">
        <f t="shared" si="117"/>
        <v>83630.465294746784</v>
      </c>
      <c r="BS20" s="72">
        <f t="shared" si="117"/>
        <v>73694.458773659484</v>
      </c>
      <c r="BT20" s="72">
        <f t="shared" si="117"/>
        <v>83602.350195243096</v>
      </c>
      <c r="BU20" s="72">
        <f t="shared" si="117"/>
        <v>85304.918390290361</v>
      </c>
      <c r="BV20" s="72">
        <f t="shared" si="117"/>
        <v>97434.000560702654</v>
      </c>
      <c r="BW20" s="72">
        <f t="shared" si="117"/>
        <v>85521.929729186013</v>
      </c>
      <c r="BX20" s="72">
        <f t="shared" si="117"/>
        <v>97114.635996101482</v>
      </c>
      <c r="BY20" s="72">
        <f t="shared" si="117"/>
        <v>98641.240236051002</v>
      </c>
      <c r="BZ20" s="72">
        <f t="shared" si="117"/>
        <v>111099.31147211461</v>
      </c>
      <c r="CA20" s="72">
        <f t="shared" si="117"/>
        <v>97160.237128425666</v>
      </c>
      <c r="CB20" s="72">
        <f t="shared" si="117"/>
        <v>110448.63846223094</v>
      </c>
      <c r="CC20" s="72">
        <f t="shared" si="117"/>
        <v>111783.9514320787</v>
      </c>
      <c r="CD20" s="72">
        <f t="shared" ref="CD20:CG20" si="118">CD37*CD4</f>
        <v>125157.88884326551</v>
      </c>
      <c r="CE20" s="72">
        <f t="shared" si="118"/>
        <v>109074.78526997764</v>
      </c>
      <c r="CF20" s="72">
        <f t="shared" si="118"/>
        <v>124117.16371806891</v>
      </c>
      <c r="CG20" s="72">
        <f t="shared" si="118"/>
        <v>125219.36393711933</v>
      </c>
      <c r="CH20" s="72"/>
      <c r="CI20" s="89">
        <f t="shared" si="94"/>
        <v>961</v>
      </c>
      <c r="CJ20" s="95">
        <f t="shared" si="95"/>
        <v>1370</v>
      </c>
      <c r="CK20" s="89">
        <f t="shared" si="96"/>
        <v>3258</v>
      </c>
      <c r="CL20" s="89">
        <f t="shared" si="97"/>
        <v>3755</v>
      </c>
      <c r="CM20" s="20">
        <f t="shared" si="98"/>
        <v>4434</v>
      </c>
      <c r="CN20" s="89">
        <f t="shared" si="99"/>
        <v>4768</v>
      </c>
      <c r="CO20" s="20">
        <f t="shared" si="100"/>
        <v>6144</v>
      </c>
      <c r="CP20" s="89">
        <f t="shared" si="101"/>
        <v>10177</v>
      </c>
      <c r="CQ20" s="89">
        <f t="shared" si="102"/>
        <v>16958</v>
      </c>
      <c r="CR20" s="89">
        <f t="shared" si="103"/>
        <v>23067</v>
      </c>
      <c r="CS20" s="89">
        <f t="shared" si="104"/>
        <v>28631</v>
      </c>
      <c r="CT20" s="89">
        <f t="shared" si="105"/>
        <v>31236</v>
      </c>
      <c r="CU20" s="89">
        <f t="shared" si="106"/>
        <v>37866</v>
      </c>
      <c r="CV20" s="89">
        <f t="shared" si="107"/>
        <v>46168</v>
      </c>
      <c r="CW20" s="89">
        <f t="shared" si="108"/>
        <v>51228</v>
      </c>
      <c r="CX20" s="89">
        <f t="shared" si="109"/>
        <v>61847.623163529148</v>
      </c>
      <c r="CY20" s="96">
        <f t="shared" si="110"/>
        <v>72786.068000102736</v>
      </c>
      <c r="CZ20" s="96">
        <f t="shared" si="111"/>
        <v>85304.918390290361</v>
      </c>
      <c r="DA20" s="96">
        <f t="shared" si="112"/>
        <v>98641.240236051002</v>
      </c>
      <c r="DB20" s="96">
        <f t="shared" si="113"/>
        <v>111783.9514320787</v>
      </c>
      <c r="DC20" s="96">
        <f t="shared" si="116"/>
        <v>125219.36393711933</v>
      </c>
    </row>
    <row r="21" spans="1:107" x14ac:dyDescent="0.2">
      <c r="A21" s="1" t="s">
        <v>219</v>
      </c>
      <c r="B21" s="16">
        <f>'Balance Sheet'!B27</f>
        <v>696</v>
      </c>
      <c r="C21" s="16">
        <f>'Balance Sheet'!C27</f>
        <v>677</v>
      </c>
      <c r="D21" s="16">
        <f>'Balance Sheet'!D27</f>
        <v>752</v>
      </c>
      <c r="E21" s="16">
        <f>'Balance Sheet'!E27</f>
        <v>885</v>
      </c>
      <c r="F21" s="16">
        <f>'Balance Sheet'!F27</f>
        <v>871</v>
      </c>
      <c r="G21" s="16">
        <f>'Balance Sheet'!G27</f>
        <v>916</v>
      </c>
      <c r="H21" s="16">
        <f>'Balance Sheet'!H27</f>
        <v>962</v>
      </c>
      <c r="I21" s="16">
        <f>'Balance Sheet'!I27</f>
        <v>1168</v>
      </c>
      <c r="J21" s="16">
        <f>'Balance Sheet'!J27</f>
        <v>1164</v>
      </c>
      <c r="K21" s="16">
        <f>'Balance Sheet'!K27</f>
        <v>1175</v>
      </c>
      <c r="L21" s="16">
        <f>'Balance Sheet'!L27</f>
        <v>1108</v>
      </c>
      <c r="M21" s="16">
        <f>'Balance Sheet'!M27</f>
        <v>1471</v>
      </c>
      <c r="N21" s="16">
        <f>'Balance Sheet'!N27</f>
        <v>1437</v>
      </c>
      <c r="O21" s="16">
        <f>'Balance Sheet'!O27</f>
        <v>1458</v>
      </c>
      <c r="P21" s="16">
        <f>'Balance Sheet'!P27</f>
        <v>1472</v>
      </c>
      <c r="Q21" s="16">
        <f>'Balance Sheet'!Q27</f>
        <v>1729</v>
      </c>
      <c r="R21" s="16">
        <f>'Balance Sheet'!R27</f>
        <v>1674</v>
      </c>
      <c r="S21" s="16">
        <f>'Balance Sheet'!S27</f>
        <v>1686</v>
      </c>
      <c r="T21" s="16">
        <f>'Balance Sheet'!T27</f>
        <v>1761</v>
      </c>
      <c r="U21" s="16">
        <f>'Balance Sheet'!U27</f>
        <v>1952</v>
      </c>
      <c r="V21" s="16">
        <f>'Balance Sheet'!V27</f>
        <v>1755</v>
      </c>
      <c r="W21" s="16">
        <f>'Balance Sheet'!W27</f>
        <v>1823</v>
      </c>
      <c r="X21" s="16">
        <f>'Balance Sheet'!X27</f>
        <v>1899</v>
      </c>
      <c r="Y21" s="16">
        <f>'Balance Sheet'!Y27</f>
        <v>2329</v>
      </c>
      <c r="Z21" s="16">
        <f>'Balance Sheet'!Z27</f>
        <v>2227</v>
      </c>
      <c r="AA21" s="16">
        <f>'Balance Sheet'!AA27</f>
        <v>2345</v>
      </c>
      <c r="AB21" s="16">
        <f>'Balance Sheet'!AB27</f>
        <v>2542</v>
      </c>
      <c r="AC21" s="16">
        <f>'Balance Sheet'!AC27</f>
        <v>2942</v>
      </c>
      <c r="AD21" s="16">
        <f>'Balance Sheet'!AD27</f>
        <v>2888</v>
      </c>
      <c r="AE21" s="16">
        <f>'Balance Sheet'!AE27</f>
        <v>3007</v>
      </c>
      <c r="AF21" s="16">
        <f>'Balance Sheet'!AF27</f>
        <v>3200</v>
      </c>
      <c r="AG21" s="16">
        <f>'Balance Sheet'!AG27</f>
        <v>3975</v>
      </c>
      <c r="AH21" s="16">
        <f>'Balance Sheet'!AH27</f>
        <v>3723</v>
      </c>
      <c r="AI21" s="16">
        <f>'Balance Sheet'!AI27</f>
        <v>3728</v>
      </c>
      <c r="AJ21" s="16">
        <f>'Balance Sheet'!AJ27</f>
        <v>3878</v>
      </c>
      <c r="AK21" s="16">
        <f>'Balance Sheet'!AK27</f>
        <v>4592</v>
      </c>
      <c r="AL21" s="16">
        <f>'Balance Sheet'!AL27</f>
        <v>4318</v>
      </c>
      <c r="AM21" s="16">
        <f>'Balance Sheet'!AM27</f>
        <v>4567</v>
      </c>
      <c r="AN21" s="16">
        <f>'Balance Sheet'!AN27</f>
        <v>4835</v>
      </c>
      <c r="AO21" s="16">
        <f>'Balance Sheet'!AO27</f>
        <v>5916</v>
      </c>
      <c r="AP21" s="16">
        <f>'Balance Sheet'!AP27</f>
        <v>4982</v>
      </c>
      <c r="AQ21" s="16">
        <f>'Balance Sheet'!AQ27</f>
        <v>5005</v>
      </c>
      <c r="AR21" s="16">
        <f>'Balance Sheet'!AR27</f>
        <v>6030</v>
      </c>
      <c r="AS21" s="16">
        <f>'Balance Sheet'!AS27</f>
        <v>7500</v>
      </c>
      <c r="AT21" s="16">
        <f>'Balance Sheet'!AT27</f>
        <v>6962</v>
      </c>
      <c r="AU21" s="16">
        <f>'Balance Sheet'!AU27</f>
        <v>7438</v>
      </c>
      <c r="AV21" s="16">
        <f>'Balance Sheet'!AV27</f>
        <v>7745</v>
      </c>
      <c r="AW21" s="16">
        <f>'Balance Sheet'!AW27</f>
        <v>8996</v>
      </c>
      <c r="AX21" s="16">
        <f>'Balance Sheet'!AX27</f>
        <v>8116</v>
      </c>
      <c r="AY21" s="16">
        <f>'Balance Sheet'!AY27</f>
        <v>7889</v>
      </c>
      <c r="AZ21" s="16">
        <f>'Balance Sheet'!AZ27</f>
        <v>7662</v>
      </c>
      <c r="BA21" s="16">
        <f>'Balance Sheet'!BA27</f>
        <v>8370</v>
      </c>
      <c r="BB21" s="16">
        <f>'Balance Sheet'!BB27</f>
        <v>7816</v>
      </c>
      <c r="BC21" s="16">
        <f>'Balance Sheet'!BC27</f>
        <v>7990</v>
      </c>
      <c r="BD21" s="16">
        <f>'Balance Sheet'!BD27</f>
        <v>8025</v>
      </c>
      <c r="BE21" s="16">
        <f>'Balance Sheet'!BE27</f>
        <v>8876</v>
      </c>
      <c r="BF21" s="16">
        <f>'Balance Sheet'!BF27</f>
        <v>8520</v>
      </c>
      <c r="BG21" s="16">
        <f>'Balance Sheet'!BG27</f>
        <v>8899</v>
      </c>
      <c r="BH21" s="16">
        <f>'Balance Sheet'!BH27</f>
        <v>9365</v>
      </c>
      <c r="BI21" s="16">
        <f>'Balance Sheet'!BI27</f>
        <v>9802</v>
      </c>
      <c r="BJ21" s="16">
        <f>'Balance Sheet'!BJ27</f>
        <v>9965</v>
      </c>
      <c r="BK21" s="16">
        <f>'Balance Sheet'!BK27</f>
        <v>9787</v>
      </c>
      <c r="BL21" s="16">
        <f>'Balance Sheet'!BL27</f>
        <v>10081</v>
      </c>
      <c r="BM21" s="16">
        <f t="shared" ref="BM21:CC21" si="119">BM38*BM6</f>
        <v>10987.391085937499</v>
      </c>
      <c r="BN21" s="16">
        <f t="shared" si="119"/>
        <v>10661.379244736214</v>
      </c>
      <c r="BO21" s="16">
        <f t="shared" si="119"/>
        <v>10345.172243878034</v>
      </c>
      <c r="BP21" s="16">
        <f t="shared" si="119"/>
        <v>10972.018472090702</v>
      </c>
      <c r="BQ21" s="16">
        <f t="shared" si="119"/>
        <v>11694.434072157592</v>
      </c>
      <c r="BR21" s="72">
        <f t="shared" si="119"/>
        <v>11521.082361630346</v>
      </c>
      <c r="BS21" s="72">
        <f t="shared" si="119"/>
        <v>11106.729637958544</v>
      </c>
      <c r="BT21" s="72">
        <f t="shared" si="119"/>
        <v>11784.869658999145</v>
      </c>
      <c r="BU21" s="72">
        <f t="shared" si="119"/>
        <v>12523.993560765368</v>
      </c>
      <c r="BV21" s="72">
        <f t="shared" si="119"/>
        <v>12387.915867890102</v>
      </c>
      <c r="BW21" s="72">
        <f t="shared" si="119"/>
        <v>11862.066282288481</v>
      </c>
      <c r="BX21" s="72">
        <f t="shared" si="119"/>
        <v>12590.91051564643</v>
      </c>
      <c r="BY21" s="72">
        <f t="shared" si="119"/>
        <v>13340.678429684609</v>
      </c>
      <c r="BZ21" s="72">
        <f t="shared" si="119"/>
        <v>13241.487623995226</v>
      </c>
      <c r="CA21" s="72">
        <f t="shared" si="119"/>
        <v>12592.122783288371</v>
      </c>
      <c r="CB21" s="72">
        <f t="shared" si="119"/>
        <v>13370.019146109413</v>
      </c>
      <c r="CC21" s="72">
        <f t="shared" si="119"/>
        <v>14122.962137124041</v>
      </c>
      <c r="CD21" s="72">
        <f t="shared" ref="CD21:CG21" si="120">CD38*CD6</f>
        <v>14098.595068404713</v>
      </c>
      <c r="CE21" s="72">
        <f t="shared" si="120"/>
        <v>13313.273028767142</v>
      </c>
      <c r="CF21" s="72">
        <f t="shared" si="120"/>
        <v>14139.566732475379</v>
      </c>
      <c r="CG21" s="72">
        <f t="shared" si="120"/>
        <v>14889.229161358222</v>
      </c>
      <c r="CH21" s="72"/>
      <c r="CI21" s="89">
        <f t="shared" si="94"/>
        <v>885</v>
      </c>
      <c r="CJ21" s="95">
        <f t="shared" si="95"/>
        <v>1168</v>
      </c>
      <c r="CK21" s="89">
        <f t="shared" si="96"/>
        <v>1471</v>
      </c>
      <c r="CL21" s="89">
        <f t="shared" si="97"/>
        <v>1729</v>
      </c>
      <c r="CM21" s="20">
        <f t="shared" si="98"/>
        <v>1952</v>
      </c>
      <c r="CN21" s="89">
        <f t="shared" si="99"/>
        <v>2329</v>
      </c>
      <c r="CO21" s="20">
        <f t="shared" si="100"/>
        <v>2942</v>
      </c>
      <c r="CP21" s="89">
        <f t="shared" si="101"/>
        <v>3975</v>
      </c>
      <c r="CQ21" s="89">
        <f t="shared" si="102"/>
        <v>4592</v>
      </c>
      <c r="CR21" s="89">
        <f t="shared" si="103"/>
        <v>5916</v>
      </c>
      <c r="CS21" s="89">
        <f t="shared" si="104"/>
        <v>7500</v>
      </c>
      <c r="CT21" s="89">
        <f t="shared" si="105"/>
        <v>8996</v>
      </c>
      <c r="CU21" s="89">
        <f t="shared" si="106"/>
        <v>8370</v>
      </c>
      <c r="CV21" s="89">
        <f t="shared" si="107"/>
        <v>8876</v>
      </c>
      <c r="CW21" s="89">
        <f t="shared" si="108"/>
        <v>9802</v>
      </c>
      <c r="CX21" s="89">
        <f t="shared" si="109"/>
        <v>10987.391085937499</v>
      </c>
      <c r="CY21" s="96">
        <f t="shared" si="110"/>
        <v>11694.434072157592</v>
      </c>
      <c r="CZ21" s="96">
        <f t="shared" si="111"/>
        <v>12523.993560765368</v>
      </c>
      <c r="DA21" s="96">
        <f t="shared" si="112"/>
        <v>13340.678429684609</v>
      </c>
      <c r="DB21" s="96">
        <f t="shared" si="113"/>
        <v>14122.962137124041</v>
      </c>
      <c r="DC21" s="96">
        <f t="shared" si="116"/>
        <v>14889.229161358222</v>
      </c>
    </row>
    <row r="22" spans="1:107" x14ac:dyDescent="0.2">
      <c r="A22" s="1" t="s">
        <v>220</v>
      </c>
      <c r="B22" s="16">
        <f>'Balance Sheet'!B28</f>
        <v>293</v>
      </c>
      <c r="C22" s="16">
        <f>'Balance Sheet'!C28</f>
        <v>302</v>
      </c>
      <c r="D22" s="16">
        <f>'Balance Sheet'!D28</f>
        <v>322</v>
      </c>
      <c r="E22" s="16">
        <f>'Balance Sheet'!E28</f>
        <v>394</v>
      </c>
      <c r="F22" s="16">
        <f>'Balance Sheet'!F28</f>
        <v>440</v>
      </c>
      <c r="G22" s="16">
        <f>'Balance Sheet'!G28</f>
        <v>489</v>
      </c>
      <c r="H22" s="16">
        <f>'Balance Sheet'!H28</f>
        <v>489</v>
      </c>
      <c r="I22" s="16">
        <f>'Balance Sheet'!I28</f>
        <v>547</v>
      </c>
      <c r="J22" s="16">
        <f>'Balance Sheet'!J28</f>
        <v>594</v>
      </c>
      <c r="K22" s="16">
        <f>'Balance Sheet'!K28</f>
        <v>767</v>
      </c>
      <c r="L22" s="16">
        <f>'Balance Sheet'!L28</f>
        <v>905</v>
      </c>
      <c r="M22" s="16">
        <f>'Balance Sheet'!M28</f>
        <v>895</v>
      </c>
      <c r="N22" s="16">
        <f>'Balance Sheet'!N28</f>
        <v>882</v>
      </c>
      <c r="O22" s="16">
        <f>'Balance Sheet'!O28</f>
        <v>799</v>
      </c>
      <c r="P22" s="16">
        <f>'Balance Sheet'!P28</f>
        <v>907</v>
      </c>
      <c r="Q22" s="16">
        <f>'Balance Sheet'!Q28</f>
        <v>1062</v>
      </c>
      <c r="R22" s="16">
        <f>'Balance Sheet'!R28</f>
        <v>947</v>
      </c>
      <c r="S22" s="16">
        <f>'Balance Sheet'!S28</f>
        <v>882</v>
      </c>
      <c r="T22" s="16">
        <f>'Balance Sheet'!T28</f>
        <v>820</v>
      </c>
      <c r="U22" s="16">
        <f>'Balance Sheet'!U28</f>
        <v>752</v>
      </c>
      <c r="V22" s="16">
        <f>'Balance Sheet'!V28</f>
        <v>699</v>
      </c>
      <c r="W22" s="16">
        <f>'Balance Sheet'!W28</f>
        <v>712</v>
      </c>
      <c r="X22" s="16">
        <f>'Balance Sheet'!X28</f>
        <v>705</v>
      </c>
      <c r="Y22" s="16">
        <f>'Balance Sheet'!Y28</f>
        <v>788</v>
      </c>
      <c r="Z22" s="16">
        <f>'Balance Sheet'!Z28</f>
        <v>933</v>
      </c>
      <c r="AA22" s="16">
        <f>'Balance Sheet'!AA28</f>
        <v>900</v>
      </c>
      <c r="AB22" s="16">
        <f>'Balance Sheet'!AB28</f>
        <v>923</v>
      </c>
      <c r="AC22" s="16">
        <f>'Balance Sheet'!AC28</f>
        <v>1099</v>
      </c>
      <c r="AD22" s="16">
        <f>'Balance Sheet'!AD28</f>
        <v>1148</v>
      </c>
      <c r="AE22" s="16">
        <f>'Balance Sheet'!AE28</f>
        <v>1226</v>
      </c>
      <c r="AF22" s="16">
        <f>'Balance Sheet'!AF28</f>
        <v>1269</v>
      </c>
      <c r="AG22" s="16">
        <f>'Balance Sheet'!AG28</f>
        <v>1432</v>
      </c>
      <c r="AH22" s="16">
        <f>'Balance Sheet'!AH28</f>
        <v>1596</v>
      </c>
      <c r="AI22" s="16">
        <f>'Balance Sheet'!AI28</f>
        <v>1714</v>
      </c>
      <c r="AJ22" s="16">
        <f>'Balance Sheet'!AJ28</f>
        <v>1752</v>
      </c>
      <c r="AK22" s="16">
        <f>'Balance Sheet'!AK28</f>
        <v>1784</v>
      </c>
      <c r="AL22" s="16">
        <f>'Balance Sheet'!AL28</f>
        <v>1667</v>
      </c>
      <c r="AM22" s="16">
        <f>'Balance Sheet'!AM28</f>
        <v>1717</v>
      </c>
      <c r="AN22" s="16">
        <f>'Balance Sheet'!AN28</f>
        <v>1679</v>
      </c>
      <c r="AO22" s="16">
        <f>'Balance Sheet'!AO28</f>
        <v>1908</v>
      </c>
      <c r="AP22" s="16">
        <f>'Balance Sheet'!AP28</f>
        <v>1938</v>
      </c>
      <c r="AQ22" s="16">
        <f>'Balance Sheet'!AQ28</f>
        <v>2061</v>
      </c>
      <c r="AR22" s="16">
        <f>'Balance Sheet'!AR28</f>
        <v>2302</v>
      </c>
      <c r="AS22" s="16">
        <f>'Balance Sheet'!AS28</f>
        <v>2543</v>
      </c>
      <c r="AT22" s="16">
        <f>'Balance Sheet'!AT28</f>
        <v>2690</v>
      </c>
      <c r="AU22" s="16">
        <f>'Balance Sheet'!AU28</f>
        <v>2715</v>
      </c>
      <c r="AV22" s="16">
        <f>'Balance Sheet'!AV28</f>
        <v>2968</v>
      </c>
      <c r="AW22" s="16">
        <f>'Balance Sheet'!AW28</f>
        <v>3288</v>
      </c>
      <c r="AX22" s="16">
        <f>'Balance Sheet'!AX28</f>
        <v>3198</v>
      </c>
      <c r="AY22" s="16">
        <f>'Balance Sheet'!AY28</f>
        <v>3272</v>
      </c>
      <c r="AZ22" s="16">
        <f>'Balance Sheet'!AZ28</f>
        <v>3585</v>
      </c>
      <c r="BA22" s="16">
        <f>'Balance Sheet'!BA28</f>
        <v>3908</v>
      </c>
      <c r="BB22" s="16">
        <f>'Balance Sheet'!BB28</f>
        <v>3715</v>
      </c>
      <c r="BC22" s="16">
        <f>'Balance Sheet'!BC28</f>
        <v>3846</v>
      </c>
      <c r="BD22" s="16">
        <f>'Balance Sheet'!BD28</f>
        <v>4303</v>
      </c>
      <c r="BE22" s="16">
        <f>'Balance Sheet'!BE28</f>
        <v>4137</v>
      </c>
      <c r="BF22" s="16">
        <f>'Balance Sheet'!BF28</f>
        <v>3973</v>
      </c>
      <c r="BG22" s="16">
        <f>'Balance Sheet'!BG28</f>
        <v>4251</v>
      </c>
      <c r="BH22" s="16">
        <f>'Balance Sheet'!BH28</f>
        <v>4896</v>
      </c>
      <c r="BI22" s="16">
        <f>'Balance Sheet'!BI28</f>
        <v>5036</v>
      </c>
      <c r="BJ22" s="16">
        <f>'Balance Sheet'!BJ28</f>
        <v>4908</v>
      </c>
      <c r="BK22" s="16">
        <f>'Balance Sheet'!BK28</f>
        <v>4969</v>
      </c>
      <c r="BL22" s="16">
        <f>'Balance Sheet'!BL28</f>
        <v>5542</v>
      </c>
      <c r="BM22" s="16">
        <f>'Balance Sheet'!BM28</f>
        <v>5756.1519845056218</v>
      </c>
      <c r="BN22" s="16">
        <f>'Balance Sheet'!BN28</f>
        <v>6338.2330422722343</v>
      </c>
      <c r="BO22" s="16">
        <f>'Balance Sheet'!BO28</f>
        <v>6495.2321460447893</v>
      </c>
      <c r="BP22" s="16">
        <f>'Balance Sheet'!BP28</f>
        <v>7276.0057575347782</v>
      </c>
      <c r="BQ22" s="16">
        <f>'Balance Sheet'!BQ28</f>
        <v>7518.7169717083716</v>
      </c>
      <c r="BR22" s="72">
        <f>'Balance Sheet'!BR28</f>
        <v>8185.2348478072663</v>
      </c>
      <c r="BS22" s="72">
        <f>'Balance Sheet'!BS28</f>
        <v>8364.2990021791138</v>
      </c>
      <c r="BT22" s="72">
        <f>'Balance Sheet'!BT28</f>
        <v>9255.9369776035219</v>
      </c>
      <c r="BU22" s="72">
        <f>'Balance Sheet'!BU28</f>
        <v>9532.2232135690083</v>
      </c>
      <c r="BV22" s="72">
        <f>'Balance Sheet'!BV28</f>
        <v>10290.868271652034</v>
      </c>
      <c r="BW22" s="72">
        <f>'Balance Sheet'!BW28</f>
        <v>10493.915994443802</v>
      </c>
      <c r="BX22" s="72">
        <f>'Balance Sheet'!BX28</f>
        <v>11506.329521419993</v>
      </c>
      <c r="BY22" s="72">
        <f>'Balance Sheet'!BY28</f>
        <v>11819.072607646138</v>
      </c>
      <c r="BZ22" s="72">
        <f>'Balance Sheet'!BZ28</f>
        <v>12674.920672495595</v>
      </c>
      <c r="CA22" s="72">
        <f>'Balance Sheet'!CA28</f>
        <v>12903.162995169432</v>
      </c>
      <c r="CB22" s="72">
        <f>'Balance Sheet'!CB28</f>
        <v>14042.602228328669</v>
      </c>
      <c r="CC22" s="72">
        <f>'Balance Sheet'!CC28</f>
        <v>14393.560746089202</v>
      </c>
      <c r="CD22" s="72">
        <f>'Balance Sheet'!CD28</f>
        <v>15350.440533923225</v>
      </c>
      <c r="CE22" s="72">
        <f>'Balance Sheet'!CE28</f>
        <v>15604.752449266623</v>
      </c>
      <c r="CF22" s="72">
        <f>'Balance Sheet'!CF28</f>
        <v>16875.756346890867</v>
      </c>
      <c r="CG22" s="72">
        <f>'Balance Sheet'!CG28</f>
        <v>17266.179316958638</v>
      </c>
      <c r="CH22" s="72"/>
      <c r="CI22" s="89">
        <f t="shared" si="94"/>
        <v>394</v>
      </c>
      <c r="CJ22" s="95">
        <f t="shared" si="95"/>
        <v>547</v>
      </c>
      <c r="CK22" s="89">
        <f t="shared" si="96"/>
        <v>895</v>
      </c>
      <c r="CL22" s="89">
        <f t="shared" si="97"/>
        <v>1062</v>
      </c>
      <c r="CM22" s="20">
        <f t="shared" si="98"/>
        <v>752</v>
      </c>
      <c r="CN22" s="89">
        <f t="shared" si="99"/>
        <v>788</v>
      </c>
      <c r="CO22" s="20">
        <f t="shared" si="100"/>
        <v>1099</v>
      </c>
      <c r="CP22" s="89">
        <f t="shared" si="101"/>
        <v>1432</v>
      </c>
      <c r="CQ22" s="89">
        <f t="shared" si="102"/>
        <v>1784</v>
      </c>
      <c r="CR22" s="89">
        <f t="shared" si="103"/>
        <v>1908</v>
      </c>
      <c r="CS22" s="89">
        <f t="shared" si="104"/>
        <v>2543</v>
      </c>
      <c r="CT22" s="89">
        <f t="shared" si="105"/>
        <v>3288</v>
      </c>
      <c r="CU22" s="89">
        <f t="shared" si="106"/>
        <v>3908</v>
      </c>
      <c r="CV22" s="89">
        <f t="shared" si="107"/>
        <v>4137</v>
      </c>
      <c r="CW22" s="89">
        <f t="shared" si="108"/>
        <v>5036</v>
      </c>
      <c r="CX22" s="89">
        <f t="shared" si="109"/>
        <v>5756.1519845056218</v>
      </c>
      <c r="CY22" s="96">
        <f t="shared" si="110"/>
        <v>7518.7169717083716</v>
      </c>
      <c r="CZ22" s="96">
        <f t="shared" si="111"/>
        <v>9532.2232135690083</v>
      </c>
      <c r="DA22" s="96">
        <f t="shared" si="112"/>
        <v>11819.072607646138</v>
      </c>
      <c r="DB22" s="96">
        <f t="shared" si="113"/>
        <v>14393.560746089202</v>
      </c>
      <c r="DC22" s="96">
        <f t="shared" si="116"/>
        <v>17266.179316958638</v>
      </c>
    </row>
    <row r="23" spans="1:107" x14ac:dyDescent="0.2">
      <c r="A23" s="1" t="s">
        <v>221</v>
      </c>
      <c r="B23" s="16">
        <f>'Balance Sheet'!B29</f>
        <v>450</v>
      </c>
      <c r="C23" s="16">
        <f>'Balance Sheet'!C29</f>
        <v>0</v>
      </c>
      <c r="D23" s="16">
        <f>'Balance Sheet'!D29</f>
        <v>0</v>
      </c>
      <c r="E23" s="16">
        <f>'Balance Sheet'!E29</f>
        <v>37</v>
      </c>
      <c r="F23" s="16">
        <f>'Balance Sheet'!F29</f>
        <v>0</v>
      </c>
      <c r="G23" s="16">
        <f>'Balance Sheet'!G29</f>
        <v>0</v>
      </c>
      <c r="H23" s="16">
        <f>'Balance Sheet'!H29</f>
        <v>0</v>
      </c>
      <c r="I23" s="16">
        <f>'Balance Sheet'!I29</f>
        <v>197</v>
      </c>
      <c r="J23" s="16">
        <f>'Balance Sheet'!J29</f>
        <v>239</v>
      </c>
      <c r="K23" s="16">
        <f>'Balance Sheet'!K29</f>
        <v>157</v>
      </c>
      <c r="L23" s="16">
        <f>'Balance Sheet'!L29</f>
        <v>45</v>
      </c>
      <c r="M23" s="16">
        <f>'Balance Sheet'!M29</f>
        <v>240</v>
      </c>
      <c r="N23" s="16">
        <f>'Balance Sheet'!N29</f>
        <v>0</v>
      </c>
      <c r="O23" s="16">
        <f>'Balance Sheet'!O29</f>
        <v>0</v>
      </c>
      <c r="P23" s="16">
        <f>'Balance Sheet'!P29</f>
        <v>0</v>
      </c>
      <c r="Q23" s="16">
        <f>'Balance Sheet'!Q29</f>
        <v>24</v>
      </c>
      <c r="R23" s="16">
        <f>'Balance Sheet'!R29</f>
        <v>2028</v>
      </c>
      <c r="S23" s="16">
        <f>'Balance Sheet'!S29</f>
        <v>0</v>
      </c>
      <c r="T23" s="16">
        <f>'Balance Sheet'!T29</f>
        <v>0</v>
      </c>
      <c r="U23" s="16">
        <f>'Balance Sheet'!U29</f>
        <v>96</v>
      </c>
      <c r="V23" s="16">
        <f>'Balance Sheet'!V29</f>
        <v>123</v>
      </c>
      <c r="W23" s="16">
        <f>'Balance Sheet'!W29</f>
        <v>948</v>
      </c>
      <c r="X23" s="16">
        <f>'Balance Sheet'!X29</f>
        <v>215</v>
      </c>
      <c r="Y23" s="16">
        <f>'Balance Sheet'!Y29</f>
        <v>302</v>
      </c>
      <c r="Z23" s="16">
        <f>'Balance Sheet'!Z29</f>
        <v>330</v>
      </c>
      <c r="AA23" s="16">
        <f>'Balance Sheet'!AA29</f>
        <v>185</v>
      </c>
      <c r="AB23" s="16">
        <f>'Balance Sheet'!AB29</f>
        <v>171</v>
      </c>
      <c r="AC23" s="16">
        <f>'Balance Sheet'!AC29</f>
        <v>554</v>
      </c>
      <c r="AD23" s="16">
        <f>'Balance Sheet'!AD29</f>
        <v>803</v>
      </c>
      <c r="AE23" s="16">
        <f>'Balance Sheet'!AE29</f>
        <v>133</v>
      </c>
      <c r="AF23" s="16">
        <f>'Balance Sheet'!AF29</f>
        <v>221</v>
      </c>
      <c r="AG23" s="16">
        <f>'Balance Sheet'!AG29</f>
        <v>881</v>
      </c>
      <c r="AH23" s="16">
        <f>'Balance Sheet'!AH29</f>
        <v>1343</v>
      </c>
      <c r="AI23" s="16">
        <f>'Balance Sheet'!AI29</f>
        <v>1189</v>
      </c>
      <c r="AJ23" s="16">
        <f>'Balance Sheet'!AJ29</f>
        <v>0</v>
      </c>
      <c r="AK23" s="16">
        <f>'Balance Sheet'!AK29</f>
        <v>69</v>
      </c>
      <c r="AL23" s="16">
        <f>'Balance Sheet'!AL29</f>
        <v>761</v>
      </c>
      <c r="AM23" s="16">
        <f>'Balance Sheet'!AM29</f>
        <v>536</v>
      </c>
      <c r="AN23" s="16">
        <f>'Balance Sheet'!AN29</f>
        <v>131</v>
      </c>
      <c r="AO23" s="16">
        <f>'Balance Sheet'!AO29</f>
        <v>274</v>
      </c>
      <c r="AP23" s="16">
        <f>'Balance Sheet'!AP29</f>
        <v>913</v>
      </c>
      <c r="AQ23" s="16">
        <f>'Balance Sheet'!AQ29</f>
        <v>975</v>
      </c>
      <c r="AR23" s="16">
        <f>'Balance Sheet'!AR29</f>
        <v>1099</v>
      </c>
      <c r="AS23" s="16">
        <f>'Balance Sheet'!AS29</f>
        <v>1485</v>
      </c>
      <c r="AT23" s="16">
        <f>'Balance Sheet'!AT29</f>
        <v>1893</v>
      </c>
      <c r="AU23" s="16">
        <f>'Balance Sheet'!AU29</f>
        <v>1811</v>
      </c>
      <c r="AV23" s="16">
        <f>'Balance Sheet'!AV29</f>
        <v>4170</v>
      </c>
      <c r="AW23" s="16">
        <f>'Balance Sheet'!AW29</f>
        <v>808</v>
      </c>
      <c r="AX23" s="16">
        <f>'Balance Sheet'!AX29</f>
        <v>4344</v>
      </c>
      <c r="AY23" s="16">
        <f>'Balance Sheet'!AY29</f>
        <v>1956</v>
      </c>
      <c r="AZ23" s="16">
        <f>'Balance Sheet'!AZ29</f>
        <v>1025</v>
      </c>
      <c r="BA23" s="16">
        <f>'Balance Sheet'!BA29</f>
        <v>0</v>
      </c>
      <c r="BB23" s="16">
        <f>'Balance Sheet'!BB29</f>
        <v>0</v>
      </c>
      <c r="BC23" s="16">
        <f>'Balance Sheet'!BC29</f>
        <v>0</v>
      </c>
      <c r="BD23" s="16">
        <f>'Balance Sheet'!BD29</f>
        <v>0</v>
      </c>
      <c r="BE23" s="16">
        <f>'Balance Sheet'!BE29</f>
        <v>0</v>
      </c>
      <c r="BF23" s="16">
        <f>'Balance Sheet'!BF29</f>
        <v>0</v>
      </c>
      <c r="BG23" s="16">
        <f>'Balance Sheet'!BG29</f>
        <v>0</v>
      </c>
      <c r="BH23" s="16">
        <f>'Balance Sheet'!BH29</f>
        <v>0</v>
      </c>
      <c r="BI23" s="16">
        <f>'Balance Sheet'!BI29</f>
        <v>0</v>
      </c>
      <c r="BJ23" s="16">
        <f>'Balance Sheet'!BJ29</f>
        <v>0</v>
      </c>
      <c r="BK23" s="16">
        <f>'Balance Sheet'!BK29</f>
        <v>0</v>
      </c>
      <c r="BL23" s="16">
        <f>'Balance Sheet'!BL29</f>
        <v>0</v>
      </c>
      <c r="BM23" s="16">
        <f>'Balance Sheet'!BM29</f>
        <v>0</v>
      </c>
      <c r="BN23" s="16">
        <f>'Balance Sheet'!BN29</f>
        <v>0</v>
      </c>
      <c r="BO23" s="16">
        <f>'Balance Sheet'!BO29</f>
        <v>0</v>
      </c>
      <c r="BP23" s="16">
        <f>'Balance Sheet'!BP29</f>
        <v>0</v>
      </c>
      <c r="BQ23" s="16">
        <f>'Balance Sheet'!BQ29</f>
        <v>0</v>
      </c>
      <c r="BR23" s="16">
        <f>'Balance Sheet'!BR29</f>
        <v>0</v>
      </c>
      <c r="BS23" s="16">
        <f>'Balance Sheet'!BS29</f>
        <v>0</v>
      </c>
      <c r="BT23" s="16">
        <f>'Balance Sheet'!BT29</f>
        <v>0</v>
      </c>
      <c r="BU23" s="16">
        <f>'Balance Sheet'!BU29</f>
        <v>0</v>
      </c>
      <c r="BV23" s="16">
        <f>'Balance Sheet'!BV29</f>
        <v>0</v>
      </c>
      <c r="BW23" s="16">
        <f>'Balance Sheet'!BW29</f>
        <v>0</v>
      </c>
      <c r="BX23" s="16">
        <f>'Balance Sheet'!BX29</f>
        <v>0</v>
      </c>
      <c r="BY23" s="16">
        <f>'Balance Sheet'!BY29</f>
        <v>0</v>
      </c>
      <c r="BZ23" s="16">
        <f>'Balance Sheet'!BZ29</f>
        <v>0</v>
      </c>
      <c r="CA23" s="16">
        <f>'Balance Sheet'!CA29</f>
        <v>0</v>
      </c>
      <c r="CB23" s="16">
        <f>'Balance Sheet'!CB29</f>
        <v>0</v>
      </c>
      <c r="CC23" s="16">
        <f>'Balance Sheet'!CC29</f>
        <v>0</v>
      </c>
      <c r="CD23" s="16">
        <f>'Balance Sheet'!CD29</f>
        <v>0</v>
      </c>
      <c r="CE23" s="16">
        <f>'Balance Sheet'!CE29</f>
        <v>0</v>
      </c>
      <c r="CF23" s="16">
        <f>'Balance Sheet'!CF29</f>
        <v>0</v>
      </c>
      <c r="CG23" s="16">
        <f>'Balance Sheet'!CG29</f>
        <v>0</v>
      </c>
      <c r="CH23" s="72"/>
      <c r="CI23" s="89">
        <f t="shared" si="94"/>
        <v>37</v>
      </c>
      <c r="CJ23" s="95">
        <f t="shared" si="95"/>
        <v>197</v>
      </c>
      <c r="CK23" s="89">
        <f t="shared" si="96"/>
        <v>240</v>
      </c>
      <c r="CL23" s="89">
        <f t="shared" si="97"/>
        <v>24</v>
      </c>
      <c r="CM23" s="20">
        <f t="shared" si="98"/>
        <v>96</v>
      </c>
      <c r="CN23" s="89">
        <f t="shared" si="99"/>
        <v>302</v>
      </c>
      <c r="CO23" s="20">
        <f t="shared" si="100"/>
        <v>554</v>
      </c>
      <c r="CP23" s="89">
        <f t="shared" si="101"/>
        <v>881</v>
      </c>
      <c r="CQ23" s="89">
        <f t="shared" si="102"/>
        <v>69</v>
      </c>
      <c r="CR23" s="89">
        <f t="shared" si="103"/>
        <v>274</v>
      </c>
      <c r="CS23" s="89">
        <f t="shared" si="104"/>
        <v>1485</v>
      </c>
      <c r="CT23" s="89">
        <f t="shared" si="105"/>
        <v>808</v>
      </c>
      <c r="CU23" s="89">
        <f t="shared" si="106"/>
        <v>0</v>
      </c>
      <c r="CV23" s="89">
        <f t="shared" si="107"/>
        <v>0</v>
      </c>
      <c r="CW23" s="89">
        <f t="shared" si="108"/>
        <v>0</v>
      </c>
      <c r="CX23" s="89">
        <f t="shared" si="109"/>
        <v>0</v>
      </c>
      <c r="CY23" s="96">
        <f t="shared" si="110"/>
        <v>0</v>
      </c>
      <c r="CZ23" s="96">
        <f t="shared" si="111"/>
        <v>0</v>
      </c>
      <c r="DA23" s="96">
        <f t="shared" si="112"/>
        <v>0</v>
      </c>
      <c r="DB23" s="96">
        <f t="shared" si="113"/>
        <v>0</v>
      </c>
      <c r="DC23" s="96">
        <f t="shared" si="116"/>
        <v>0</v>
      </c>
    </row>
    <row r="24" spans="1:107" x14ac:dyDescent="0.2">
      <c r="A24" s="4" t="s">
        <v>260</v>
      </c>
      <c r="B24" s="51">
        <f t="shared" ref="B24:AG24" si="121">SUM(B18:B23)</f>
        <v>2922</v>
      </c>
      <c r="C24" s="51">
        <f t="shared" si="121"/>
        <v>2877</v>
      </c>
      <c r="D24" s="51">
        <f t="shared" si="121"/>
        <v>3547</v>
      </c>
      <c r="E24" s="51">
        <f t="shared" si="121"/>
        <v>4170</v>
      </c>
      <c r="F24" s="51">
        <f t="shared" si="121"/>
        <v>4236</v>
      </c>
      <c r="G24" s="51">
        <f t="shared" si="121"/>
        <v>4645</v>
      </c>
      <c r="H24" s="51">
        <f t="shared" si="121"/>
        <v>4615</v>
      </c>
      <c r="I24" s="51">
        <f t="shared" si="121"/>
        <v>5688</v>
      </c>
      <c r="J24" s="51">
        <f t="shared" si="121"/>
        <v>5022</v>
      </c>
      <c r="K24" s="51">
        <f t="shared" si="121"/>
        <v>8894</v>
      </c>
      <c r="L24" s="51">
        <f t="shared" si="121"/>
        <v>9530</v>
      </c>
      <c r="M24" s="51">
        <f t="shared" si="121"/>
        <v>10115</v>
      </c>
      <c r="N24" s="51">
        <f t="shared" si="121"/>
        <v>8865</v>
      </c>
      <c r="O24" s="51">
        <f t="shared" si="121"/>
        <v>9118</v>
      </c>
      <c r="P24" s="51">
        <f t="shared" si="121"/>
        <v>9573</v>
      </c>
      <c r="Q24" s="51">
        <f t="shared" si="121"/>
        <v>11525</v>
      </c>
      <c r="R24" s="51">
        <f t="shared" si="121"/>
        <v>11108</v>
      </c>
      <c r="S24" s="51">
        <f t="shared" si="121"/>
        <v>12002</v>
      </c>
      <c r="T24" s="51">
        <f t="shared" si="121"/>
        <v>12509</v>
      </c>
      <c r="U24" s="51">
        <f t="shared" si="121"/>
        <v>12018</v>
      </c>
      <c r="V24" s="51">
        <f t="shared" si="121"/>
        <v>10670</v>
      </c>
      <c r="W24" s="51">
        <f t="shared" si="121"/>
        <v>11660</v>
      </c>
      <c r="X24" s="51">
        <f t="shared" si="121"/>
        <v>11954</v>
      </c>
      <c r="Y24" s="51">
        <f t="shared" si="121"/>
        <v>13657</v>
      </c>
      <c r="Z24" s="51">
        <f t="shared" si="121"/>
        <v>12292</v>
      </c>
      <c r="AA24" s="51">
        <f t="shared" si="121"/>
        <v>13057</v>
      </c>
      <c r="AB24" s="51">
        <f t="shared" si="121"/>
        <v>14323</v>
      </c>
      <c r="AC24" s="51">
        <f t="shared" si="121"/>
        <v>16756</v>
      </c>
      <c r="AD24" s="51">
        <f t="shared" si="121"/>
        <v>15256</v>
      </c>
      <c r="AE24" s="51">
        <f t="shared" si="121"/>
        <v>18685</v>
      </c>
      <c r="AF24" s="51">
        <f t="shared" si="121"/>
        <v>20693</v>
      </c>
      <c r="AG24" s="51">
        <f t="shared" si="121"/>
        <v>24183</v>
      </c>
      <c r="AH24" s="51">
        <f t="shared" ref="AH24:BM24" si="122">SUM(AH18:AH23)</f>
        <v>24065</v>
      </c>
      <c r="AI24" s="51">
        <f t="shared" si="122"/>
        <v>29903</v>
      </c>
      <c r="AJ24" s="51">
        <f t="shared" si="122"/>
        <v>31301</v>
      </c>
      <c r="AK24" s="51">
        <f t="shared" si="122"/>
        <v>34620</v>
      </c>
      <c r="AL24" s="51">
        <f t="shared" si="122"/>
        <v>34910</v>
      </c>
      <c r="AM24" s="51">
        <f t="shared" si="122"/>
        <v>37000</v>
      </c>
      <c r="AN24" s="51">
        <f t="shared" si="122"/>
        <v>39224</v>
      </c>
      <c r="AO24" s="51">
        <f t="shared" si="122"/>
        <v>45221</v>
      </c>
      <c r="AP24" s="51">
        <f t="shared" si="122"/>
        <v>40189</v>
      </c>
      <c r="AQ24" s="51">
        <f t="shared" si="122"/>
        <v>43658</v>
      </c>
      <c r="AR24" s="51">
        <f t="shared" si="122"/>
        <v>48200</v>
      </c>
      <c r="AS24" s="51">
        <f t="shared" si="122"/>
        <v>56834</v>
      </c>
      <c r="AT24" s="51">
        <f t="shared" si="122"/>
        <v>55453</v>
      </c>
      <c r="AU24" s="51">
        <f t="shared" si="122"/>
        <v>55741</v>
      </c>
      <c r="AV24" s="51">
        <f t="shared" si="122"/>
        <v>61782</v>
      </c>
      <c r="AW24" s="51">
        <f t="shared" si="122"/>
        <v>64254</v>
      </c>
      <c r="AX24" s="51">
        <f t="shared" si="122"/>
        <v>61948</v>
      </c>
      <c r="AY24" s="51">
        <f t="shared" si="122"/>
        <v>61354</v>
      </c>
      <c r="AZ24" s="51">
        <f t="shared" si="122"/>
        <v>65979</v>
      </c>
      <c r="BA24" s="51">
        <f t="shared" si="122"/>
        <v>69300</v>
      </c>
      <c r="BB24" s="51">
        <f t="shared" si="122"/>
        <v>68854</v>
      </c>
      <c r="BC24" s="51">
        <f t="shared" si="122"/>
        <v>77709</v>
      </c>
      <c r="BD24" s="51">
        <f t="shared" si="122"/>
        <v>86295</v>
      </c>
      <c r="BE24" s="51">
        <f t="shared" ref="BE24:BF24" si="123">SUM(BE18:BE23)</f>
        <v>81814</v>
      </c>
      <c r="BF24" s="51">
        <f t="shared" si="123"/>
        <v>76997</v>
      </c>
      <c r="BG24" s="51">
        <f t="shared" ref="BG24:BH24" si="124">SUM(BG18:BG23)</f>
        <v>77913</v>
      </c>
      <c r="BH24" s="51">
        <f t="shared" si="124"/>
        <v>80803</v>
      </c>
      <c r="BI24" s="51">
        <f t="shared" ref="BI24:BJ24" si="125">SUM(BI18:BI23)</f>
        <v>89122</v>
      </c>
      <c r="BJ24" s="51">
        <f t="shared" si="125"/>
        <v>91654</v>
      </c>
      <c r="BK24" s="51">
        <f t="shared" ref="BK24:BL24" si="126">SUM(BK18:BK23)</f>
        <v>87310</v>
      </c>
      <c r="BL24" s="51">
        <f t="shared" si="126"/>
        <v>99550</v>
      </c>
      <c r="BM24" s="51">
        <f t="shared" si="122"/>
        <v>106741.84175542965</v>
      </c>
      <c r="BN24" s="51">
        <f t="shared" ref="BN24:CC24" si="127">SUM(BN18:BN23)</f>
        <v>110474.07876748864</v>
      </c>
      <c r="BO24" s="51">
        <f t="shared" si="127"/>
        <v>103722.1279366689</v>
      </c>
      <c r="BP24" s="51">
        <f t="shared" si="127"/>
        <v>117223.05062506409</v>
      </c>
      <c r="BQ24" s="51">
        <f t="shared" si="127"/>
        <v>125937.48041940965</v>
      </c>
      <c r="BR24" s="242">
        <f t="shared" si="127"/>
        <v>131096.22153632317</v>
      </c>
      <c r="BS24" s="242">
        <f t="shared" si="127"/>
        <v>122630.22176833078</v>
      </c>
      <c r="BT24" s="242">
        <f t="shared" si="127"/>
        <v>138605.22546285923</v>
      </c>
      <c r="BU24" s="242">
        <f t="shared" si="127"/>
        <v>148092.8076163748</v>
      </c>
      <c r="BV24" s="242">
        <f t="shared" si="127"/>
        <v>153677.0905913325</v>
      </c>
      <c r="BW24" s="242">
        <f t="shared" si="127"/>
        <v>143305.71878925408</v>
      </c>
      <c r="BX24" s="242">
        <f t="shared" si="127"/>
        <v>162001.29162096296</v>
      </c>
      <c r="BY24" s="242">
        <f t="shared" si="127"/>
        <v>172293.85444745963</v>
      </c>
      <c r="BZ24" s="242">
        <f t="shared" si="127"/>
        <v>177057.00616272385</v>
      </c>
      <c r="CA24" s="242">
        <f t="shared" si="127"/>
        <v>164729.48053091805</v>
      </c>
      <c r="CB24" s="242">
        <f t="shared" si="127"/>
        <v>186230.30572041633</v>
      </c>
      <c r="CC24" s="242">
        <f t="shared" si="127"/>
        <v>197416.27923227946</v>
      </c>
      <c r="CD24" s="242">
        <f t="shared" ref="CD24:CG24" si="128">SUM(CD18:CD23)</f>
        <v>201769.47659970116</v>
      </c>
      <c r="CE24" s="242">
        <f t="shared" si="128"/>
        <v>187220.44644337369</v>
      </c>
      <c r="CF24" s="242">
        <f t="shared" si="128"/>
        <v>211701.35387838961</v>
      </c>
      <c r="CG24" s="242">
        <f t="shared" si="128"/>
        <v>223757.0499106888</v>
      </c>
      <c r="CH24" s="242"/>
      <c r="CI24" s="90">
        <f t="shared" si="94"/>
        <v>4170</v>
      </c>
      <c r="CJ24" s="97">
        <f t="shared" si="95"/>
        <v>5688</v>
      </c>
      <c r="CK24" s="90">
        <f t="shared" si="96"/>
        <v>10115</v>
      </c>
      <c r="CL24" s="90">
        <f t="shared" si="97"/>
        <v>11525</v>
      </c>
      <c r="CM24" s="21">
        <f t="shared" si="98"/>
        <v>12018</v>
      </c>
      <c r="CN24" s="90">
        <f t="shared" si="99"/>
        <v>13657</v>
      </c>
      <c r="CO24" s="21">
        <f t="shared" si="100"/>
        <v>16756</v>
      </c>
      <c r="CP24" s="90">
        <f t="shared" si="101"/>
        <v>24183</v>
      </c>
      <c r="CQ24" s="90">
        <f t="shared" si="102"/>
        <v>34620</v>
      </c>
      <c r="CR24" s="90">
        <f t="shared" si="103"/>
        <v>45221</v>
      </c>
      <c r="CS24" s="90">
        <f t="shared" si="104"/>
        <v>56834</v>
      </c>
      <c r="CT24" s="90">
        <f t="shared" si="105"/>
        <v>64254</v>
      </c>
      <c r="CU24" s="90">
        <f t="shared" si="106"/>
        <v>69300</v>
      </c>
      <c r="CV24" s="90">
        <f t="shared" si="107"/>
        <v>81814</v>
      </c>
      <c r="CW24" s="90">
        <f t="shared" si="108"/>
        <v>89122</v>
      </c>
      <c r="CX24" s="90">
        <f t="shared" si="109"/>
        <v>106741.84175542965</v>
      </c>
      <c r="CY24" s="98">
        <f t="shared" si="110"/>
        <v>125937.48041940965</v>
      </c>
      <c r="CZ24" s="98">
        <f>BU24</f>
        <v>148092.8076163748</v>
      </c>
      <c r="DA24" s="98">
        <f t="shared" si="112"/>
        <v>172293.85444745963</v>
      </c>
      <c r="DB24" s="98">
        <f t="shared" si="113"/>
        <v>197416.27923227946</v>
      </c>
      <c r="DC24" s="98">
        <f t="shared" si="116"/>
        <v>223757.0499106888</v>
      </c>
    </row>
    <row r="25" spans="1:107" x14ac:dyDescent="0.2">
      <c r="A25" s="4"/>
      <c r="CI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</row>
    <row r="26" spans="1:107" x14ac:dyDescent="0.2">
      <c r="A26" s="1" t="s">
        <v>261</v>
      </c>
      <c r="B26" s="20">
        <f t="shared" ref="B26:AG26" si="129">B16-B24</f>
        <v>1696</v>
      </c>
      <c r="C26" s="20">
        <f t="shared" si="129"/>
        <v>2225</v>
      </c>
      <c r="D26" s="20">
        <f t="shared" si="129"/>
        <v>1645</v>
      </c>
      <c r="E26" s="20">
        <f t="shared" si="129"/>
        <v>1667</v>
      </c>
      <c r="F26" s="20">
        <f t="shared" si="129"/>
        <v>1824</v>
      </c>
      <c r="G26" s="20">
        <f t="shared" si="129"/>
        <v>1659</v>
      </c>
      <c r="H26" s="20">
        <f t="shared" si="129"/>
        <v>1722</v>
      </c>
      <c r="I26" s="20">
        <f t="shared" si="129"/>
        <v>1699</v>
      </c>
      <c r="J26" s="20">
        <f t="shared" si="129"/>
        <v>1971</v>
      </c>
      <c r="K26" s="20">
        <f t="shared" si="129"/>
        <v>1366</v>
      </c>
      <c r="L26" s="20">
        <f t="shared" si="129"/>
        <v>1017</v>
      </c>
      <c r="M26" s="20">
        <f t="shared" si="129"/>
        <v>1551</v>
      </c>
      <c r="N26" s="20">
        <f t="shared" si="129"/>
        <v>3145</v>
      </c>
      <c r="O26" s="20">
        <f t="shared" si="129"/>
        <v>2541</v>
      </c>
      <c r="P26" s="20">
        <f t="shared" si="129"/>
        <v>2662</v>
      </c>
      <c r="Q26" s="20">
        <f t="shared" si="129"/>
        <v>2544</v>
      </c>
      <c r="R26" s="20">
        <f t="shared" si="129"/>
        <v>4777</v>
      </c>
      <c r="S26" s="20">
        <f t="shared" si="129"/>
        <v>4599</v>
      </c>
      <c r="T26" s="20">
        <f t="shared" si="129"/>
        <v>4624</v>
      </c>
      <c r="U26" s="20">
        <f t="shared" si="129"/>
        <v>2690</v>
      </c>
      <c r="V26" s="20">
        <f t="shared" si="129"/>
        <v>3382</v>
      </c>
      <c r="W26" s="20">
        <f t="shared" si="129"/>
        <v>2099</v>
      </c>
      <c r="X26" s="20">
        <f t="shared" si="129"/>
        <v>2982</v>
      </c>
      <c r="Y26" s="20">
        <f t="shared" si="129"/>
        <v>2941</v>
      </c>
      <c r="Z26" s="20">
        <f t="shared" si="129"/>
        <v>3049</v>
      </c>
      <c r="AA26" s="20">
        <f t="shared" si="129"/>
        <v>2221</v>
      </c>
      <c r="AB26" s="20">
        <f t="shared" si="129"/>
        <v>1167</v>
      </c>
      <c r="AC26" s="20">
        <f t="shared" si="129"/>
        <v>2319</v>
      </c>
      <c r="AD26" s="20">
        <f t="shared" si="129"/>
        <v>1099</v>
      </c>
      <c r="AE26" s="20">
        <f t="shared" si="129"/>
        <v>-1012</v>
      </c>
      <c r="AF26" s="20">
        <f t="shared" si="129"/>
        <v>-1491</v>
      </c>
      <c r="AG26" s="20">
        <f t="shared" si="129"/>
        <v>-1746</v>
      </c>
      <c r="AH26" s="20">
        <f t="shared" ref="AH26:BM26" si="130">AH16-AH24</f>
        <v>-3189</v>
      </c>
      <c r="AI26" s="20">
        <f t="shared" si="130"/>
        <v>-8000</v>
      </c>
      <c r="AJ26" s="20">
        <f t="shared" si="130"/>
        <v>-8015</v>
      </c>
      <c r="AK26" s="20">
        <f t="shared" si="130"/>
        <v>-8084</v>
      </c>
      <c r="AL26" s="20">
        <f t="shared" si="130"/>
        <v>-10191</v>
      </c>
      <c r="AM26" s="20">
        <f t="shared" si="130"/>
        <v>-10619</v>
      </c>
      <c r="AN26" s="20">
        <f t="shared" si="130"/>
        <v>-12043</v>
      </c>
      <c r="AO26" s="20">
        <f t="shared" si="130"/>
        <v>-12318</v>
      </c>
      <c r="AP26" s="20">
        <f t="shared" si="130"/>
        <v>-10400</v>
      </c>
      <c r="AQ26" s="20">
        <f t="shared" si="130"/>
        <v>-15669</v>
      </c>
      <c r="AR26" s="20">
        <f t="shared" si="130"/>
        <v>-16427</v>
      </c>
      <c r="AS26" s="20">
        <f t="shared" si="130"/>
        <v>-19232</v>
      </c>
      <c r="AT26" s="20">
        <f t="shared" si="130"/>
        <v>-18420</v>
      </c>
      <c r="AU26" s="20">
        <f t="shared" si="130"/>
        <v>-15907</v>
      </c>
      <c r="AV26" s="20">
        <f t="shared" si="130"/>
        <v>-19675</v>
      </c>
      <c r="AW26" s="20">
        <f t="shared" si="130"/>
        <v>-15760</v>
      </c>
      <c r="AX26" s="20">
        <f t="shared" si="130"/>
        <v>-18065</v>
      </c>
      <c r="AY26" s="20">
        <f t="shared" si="130"/>
        <v>-13980</v>
      </c>
      <c r="AZ26" s="20">
        <f t="shared" si="130"/>
        <v>-16129</v>
      </c>
      <c r="BA26" s="20">
        <f t="shared" si="130"/>
        <v>-18267</v>
      </c>
      <c r="BB26" s="20">
        <f t="shared" si="130"/>
        <v>-21971</v>
      </c>
      <c r="BC26" s="20">
        <f t="shared" si="130"/>
        <v>-27253</v>
      </c>
      <c r="BD26" s="20">
        <f t="shared" si="130"/>
        <v>-29920</v>
      </c>
      <c r="BE26" s="20">
        <f t="shared" ref="BE26:BF26" si="131">BE16-BE24</f>
        <v>-21200</v>
      </c>
      <c r="BF26" s="20">
        <f t="shared" si="131"/>
        <v>-19616</v>
      </c>
      <c r="BG26" s="20">
        <f t="shared" ref="BG26:BH26" si="132">BG16-BG24</f>
        <v>-16643</v>
      </c>
      <c r="BH26" s="20">
        <f t="shared" si="132"/>
        <v>-16492</v>
      </c>
      <c r="BI26" s="20">
        <f t="shared" ref="BI26:BJ26" si="133">BI16-BI24</f>
        <v>-21068</v>
      </c>
      <c r="BJ26" s="20">
        <f t="shared" si="133"/>
        <v>-24930</v>
      </c>
      <c r="BK26" s="20">
        <f t="shared" ref="BK26:BL26" si="134">BK16-BK24</f>
        <v>-16242</v>
      </c>
      <c r="BL26" s="20">
        <f t="shared" si="134"/>
        <v>-24099</v>
      </c>
      <c r="BM26" s="20">
        <f t="shared" si="130"/>
        <v>-30811.969875295326</v>
      </c>
      <c r="BN26" s="20">
        <f t="shared" ref="BN26:CC26" si="135">BN16-BN24</f>
        <v>-37416.633487515457</v>
      </c>
      <c r="BO26" s="20">
        <f t="shared" si="135"/>
        <v>-25674.779657781357</v>
      </c>
      <c r="BP26" s="20">
        <f t="shared" si="135"/>
        <v>-35174.814252740951</v>
      </c>
      <c r="BQ26" s="20">
        <f t="shared" si="135"/>
        <v>-44692.881292508784</v>
      </c>
      <c r="BR26" s="20">
        <f t="shared" si="135"/>
        <v>-51972.537773903401</v>
      </c>
      <c r="BS26" s="20">
        <f t="shared" si="135"/>
        <v>-38396.143820350655</v>
      </c>
      <c r="BT26" s="20">
        <f t="shared" si="135"/>
        <v>-49996.719509942879</v>
      </c>
      <c r="BU26" s="20">
        <f t="shared" si="135"/>
        <v>-61086.190620088164</v>
      </c>
      <c r="BV26" s="20">
        <f t="shared" si="135"/>
        <v>-68774.645217137397</v>
      </c>
      <c r="BW26" s="20">
        <f t="shared" si="135"/>
        <v>-53212.229897468787</v>
      </c>
      <c r="BX26" s="20">
        <f t="shared" si="135"/>
        <v>-67169.90905131097</v>
      </c>
      <c r="BY26" s="20">
        <f t="shared" si="135"/>
        <v>-80005.927582209784</v>
      </c>
      <c r="BZ26" s="20">
        <f t="shared" si="135"/>
        <v>-87094.956725748518</v>
      </c>
      <c r="CA26" s="20">
        <f t="shared" si="135"/>
        <v>-69552.633384120098</v>
      </c>
      <c r="CB26" s="20">
        <f t="shared" si="135"/>
        <v>-86005.201026212337</v>
      </c>
      <c r="CC26" s="20">
        <f t="shared" si="135"/>
        <v>-100808.32451698391</v>
      </c>
      <c r="CD26" s="20">
        <f t="shared" ref="CD26:CG26" si="136">CD16-CD24</f>
        <v>-107693.11894333552</v>
      </c>
      <c r="CE26" s="20">
        <f t="shared" si="136"/>
        <v>-87964.475575515069</v>
      </c>
      <c r="CF26" s="20">
        <f t="shared" si="136"/>
        <v>-107159.46876394414</v>
      </c>
      <c r="CG26" s="20">
        <f t="shared" si="136"/>
        <v>-124025.09532526176</v>
      </c>
      <c r="CH26" s="20"/>
      <c r="CI26" s="89">
        <f t="shared" ref="CI26:DB26" si="137">CI16-CI24</f>
        <v>1667</v>
      </c>
      <c r="CJ26" s="20">
        <f t="shared" si="137"/>
        <v>1699</v>
      </c>
      <c r="CK26" s="89">
        <f t="shared" si="137"/>
        <v>1551</v>
      </c>
      <c r="CL26" s="89">
        <f t="shared" si="137"/>
        <v>2544</v>
      </c>
      <c r="CM26" s="89">
        <f t="shared" si="137"/>
        <v>2690</v>
      </c>
      <c r="CN26" s="89">
        <f t="shared" si="137"/>
        <v>2941</v>
      </c>
      <c r="CO26" s="89">
        <f t="shared" si="137"/>
        <v>2319</v>
      </c>
      <c r="CP26" s="89">
        <f t="shared" si="137"/>
        <v>-1746</v>
      </c>
      <c r="CQ26" s="89">
        <f t="shared" si="137"/>
        <v>-8084</v>
      </c>
      <c r="CR26" s="89">
        <f t="shared" si="137"/>
        <v>-12318</v>
      </c>
      <c r="CS26" s="89">
        <f t="shared" si="137"/>
        <v>-19232</v>
      </c>
      <c r="CT26" s="89">
        <f t="shared" si="137"/>
        <v>-15760</v>
      </c>
      <c r="CU26" s="89">
        <f t="shared" si="137"/>
        <v>-18267</v>
      </c>
      <c r="CV26" s="89">
        <f t="shared" si="137"/>
        <v>-21200</v>
      </c>
      <c r="CW26" s="89">
        <f t="shared" si="137"/>
        <v>-21068</v>
      </c>
      <c r="CX26" s="89">
        <f t="shared" si="137"/>
        <v>-30811.969875295326</v>
      </c>
      <c r="CY26" s="89">
        <f t="shared" si="137"/>
        <v>-44692.881292508784</v>
      </c>
      <c r="CZ26" s="89">
        <f t="shared" si="137"/>
        <v>-61086.190620088164</v>
      </c>
      <c r="DA26" s="89">
        <f t="shared" si="137"/>
        <v>-80005.927582209784</v>
      </c>
      <c r="DB26" s="89">
        <f t="shared" si="137"/>
        <v>-100808.32451698391</v>
      </c>
      <c r="DC26" s="89">
        <f>DC16-DC24</f>
        <v>-124025.09532526176</v>
      </c>
    </row>
    <row r="27" spans="1:107" ht="12.75" thickBot="1" x14ac:dyDescent="0.25">
      <c r="A27" s="1" t="s">
        <v>262</v>
      </c>
      <c r="B27" s="48" t="s">
        <v>82</v>
      </c>
      <c r="C27" s="52">
        <f>C26-B26</f>
        <v>529</v>
      </c>
      <c r="D27" s="52">
        <f t="shared" ref="D27:BO27" si="138">D26-C26</f>
        <v>-580</v>
      </c>
      <c r="E27" s="52">
        <f t="shared" si="138"/>
        <v>22</v>
      </c>
      <c r="F27" s="52">
        <f t="shared" si="138"/>
        <v>157</v>
      </c>
      <c r="G27" s="52">
        <f t="shared" si="138"/>
        <v>-165</v>
      </c>
      <c r="H27" s="52">
        <f t="shared" si="138"/>
        <v>63</v>
      </c>
      <c r="I27" s="52">
        <f t="shared" si="138"/>
        <v>-23</v>
      </c>
      <c r="J27" s="52">
        <f t="shared" si="138"/>
        <v>272</v>
      </c>
      <c r="K27" s="52">
        <f t="shared" si="138"/>
        <v>-605</v>
      </c>
      <c r="L27" s="52">
        <f t="shared" si="138"/>
        <v>-349</v>
      </c>
      <c r="M27" s="52">
        <f t="shared" si="138"/>
        <v>534</v>
      </c>
      <c r="N27" s="52">
        <f t="shared" si="138"/>
        <v>1594</v>
      </c>
      <c r="O27" s="52">
        <f t="shared" si="138"/>
        <v>-604</v>
      </c>
      <c r="P27" s="52">
        <f t="shared" si="138"/>
        <v>121</v>
      </c>
      <c r="Q27" s="52">
        <f t="shared" si="138"/>
        <v>-118</v>
      </c>
      <c r="R27" s="52">
        <f t="shared" si="138"/>
        <v>2233</v>
      </c>
      <c r="S27" s="52">
        <f t="shared" si="138"/>
        <v>-178</v>
      </c>
      <c r="T27" s="52">
        <f t="shared" si="138"/>
        <v>25</v>
      </c>
      <c r="U27" s="52">
        <f t="shared" si="138"/>
        <v>-1934</v>
      </c>
      <c r="V27" s="52">
        <f t="shared" si="138"/>
        <v>692</v>
      </c>
      <c r="W27" s="52">
        <f t="shared" si="138"/>
        <v>-1283</v>
      </c>
      <c r="X27" s="52">
        <f t="shared" si="138"/>
        <v>883</v>
      </c>
      <c r="Y27" s="52">
        <f t="shared" si="138"/>
        <v>-41</v>
      </c>
      <c r="Z27" s="52">
        <f t="shared" si="138"/>
        <v>108</v>
      </c>
      <c r="AA27" s="52">
        <f t="shared" si="138"/>
        <v>-828</v>
      </c>
      <c r="AB27" s="52">
        <f t="shared" si="138"/>
        <v>-1054</v>
      </c>
      <c r="AC27" s="52">
        <f t="shared" si="138"/>
        <v>1152</v>
      </c>
      <c r="AD27" s="52">
        <f t="shared" si="138"/>
        <v>-1220</v>
      </c>
      <c r="AE27" s="52">
        <f t="shared" si="138"/>
        <v>-2111</v>
      </c>
      <c r="AF27" s="52">
        <f t="shared" si="138"/>
        <v>-479</v>
      </c>
      <c r="AG27" s="52">
        <f t="shared" si="138"/>
        <v>-255</v>
      </c>
      <c r="AH27" s="52">
        <f t="shared" si="138"/>
        <v>-1443</v>
      </c>
      <c r="AI27" s="52">
        <f t="shared" si="138"/>
        <v>-4811</v>
      </c>
      <c r="AJ27" s="52">
        <f t="shared" si="138"/>
        <v>-15</v>
      </c>
      <c r="AK27" s="52">
        <f t="shared" si="138"/>
        <v>-69</v>
      </c>
      <c r="AL27" s="52">
        <f t="shared" si="138"/>
        <v>-2107</v>
      </c>
      <c r="AM27" s="52">
        <f t="shared" si="138"/>
        <v>-428</v>
      </c>
      <c r="AN27" s="52">
        <f t="shared" si="138"/>
        <v>-1424</v>
      </c>
      <c r="AO27" s="52">
        <f t="shared" si="138"/>
        <v>-275</v>
      </c>
      <c r="AP27" s="52">
        <f t="shared" si="138"/>
        <v>1918</v>
      </c>
      <c r="AQ27" s="52">
        <f t="shared" si="138"/>
        <v>-5269</v>
      </c>
      <c r="AR27" s="52">
        <f t="shared" si="138"/>
        <v>-758</v>
      </c>
      <c r="AS27" s="52">
        <f t="shared" si="138"/>
        <v>-2805</v>
      </c>
      <c r="AT27" s="52">
        <f t="shared" si="138"/>
        <v>812</v>
      </c>
      <c r="AU27" s="52">
        <f t="shared" si="138"/>
        <v>2513</v>
      </c>
      <c r="AV27" s="52">
        <f t="shared" si="138"/>
        <v>-3768</v>
      </c>
      <c r="AW27" s="52">
        <f t="shared" si="138"/>
        <v>3915</v>
      </c>
      <c r="AX27" s="52">
        <f t="shared" si="138"/>
        <v>-2305</v>
      </c>
      <c r="AY27" s="52">
        <f t="shared" si="138"/>
        <v>4085</v>
      </c>
      <c r="AZ27" s="52">
        <f t="shared" si="138"/>
        <v>-2149</v>
      </c>
      <c r="BA27" s="52">
        <f t="shared" si="138"/>
        <v>-2138</v>
      </c>
      <c r="BB27" s="52">
        <f t="shared" si="138"/>
        <v>-3704</v>
      </c>
      <c r="BC27" s="52">
        <f t="shared" si="138"/>
        <v>-5282</v>
      </c>
      <c r="BD27" s="52">
        <f t="shared" si="138"/>
        <v>-2667</v>
      </c>
      <c r="BE27" s="52">
        <f t="shared" si="138"/>
        <v>8720</v>
      </c>
      <c r="BF27" s="52">
        <f t="shared" si="138"/>
        <v>1584</v>
      </c>
      <c r="BG27" s="52">
        <f t="shared" si="138"/>
        <v>2973</v>
      </c>
      <c r="BH27" s="52">
        <f t="shared" si="138"/>
        <v>151</v>
      </c>
      <c r="BI27" s="52">
        <f t="shared" si="138"/>
        <v>-4576</v>
      </c>
      <c r="BJ27" s="52">
        <f t="shared" si="138"/>
        <v>-3862</v>
      </c>
      <c r="BK27" s="52">
        <f t="shared" si="138"/>
        <v>8688</v>
      </c>
      <c r="BL27" s="52">
        <f t="shared" si="138"/>
        <v>-7857</v>
      </c>
      <c r="BM27" s="52">
        <f t="shared" si="138"/>
        <v>-6712.9698752953263</v>
      </c>
      <c r="BN27" s="52">
        <f t="shared" si="138"/>
        <v>-6604.6636122201307</v>
      </c>
      <c r="BO27" s="52">
        <f t="shared" si="138"/>
        <v>11741.8538297341</v>
      </c>
      <c r="BP27" s="52">
        <f t="shared" ref="BP27:CY27" si="139">BP26-BO26</f>
        <v>-9500.034594959594</v>
      </c>
      <c r="BQ27" s="52">
        <f t="shared" si="139"/>
        <v>-9518.0670397678332</v>
      </c>
      <c r="BR27" s="52">
        <f>BR26-BQ26</f>
        <v>-7279.656481394617</v>
      </c>
      <c r="BS27" s="52">
        <f t="shared" ref="BS27" si="140">BS26-BR26</f>
        <v>13576.393953552746</v>
      </c>
      <c r="BT27" s="52">
        <f t="shared" ref="BT27" si="141">BT26-BS26</f>
        <v>-11600.575689592224</v>
      </c>
      <c r="BU27" s="52">
        <f t="shared" ref="BU27" si="142">BU26-BT26</f>
        <v>-11089.471110145285</v>
      </c>
      <c r="BV27" s="52">
        <f t="shared" ref="BV27" si="143">BV26-BU26</f>
        <v>-7688.4545970492327</v>
      </c>
      <c r="BW27" s="52">
        <f t="shared" ref="BW27" si="144">BW26-BV26</f>
        <v>15562.415319668609</v>
      </c>
      <c r="BX27" s="52">
        <f t="shared" ref="BX27" si="145">BX26-BW26</f>
        <v>-13957.679153842182</v>
      </c>
      <c r="BY27" s="52">
        <f t="shared" ref="BY27" si="146">BY26-BX26</f>
        <v>-12836.018530898815</v>
      </c>
      <c r="BZ27" s="52">
        <f t="shared" ref="BZ27" si="147">BZ26-BY26</f>
        <v>-7089.0291435387335</v>
      </c>
      <c r="CA27" s="52">
        <f t="shared" ref="CA27" si="148">CA26-BZ26</f>
        <v>17542.32334162842</v>
      </c>
      <c r="CB27" s="52">
        <f t="shared" ref="CB27" si="149">CB26-CA26</f>
        <v>-16452.567642092239</v>
      </c>
      <c r="CC27" s="52">
        <f t="shared" ref="CC27" si="150">CC26-CB26</f>
        <v>-14803.12349077157</v>
      </c>
      <c r="CD27" s="52">
        <f t="shared" ref="CD27" si="151">CD26-CC26</f>
        <v>-6884.794426351611</v>
      </c>
      <c r="CE27" s="52">
        <f t="shared" ref="CE27" si="152">CE26-CD26</f>
        <v>19728.643367820448</v>
      </c>
      <c r="CF27" s="52">
        <f t="shared" ref="CF27" si="153">CF26-CE26</f>
        <v>-19194.993188429071</v>
      </c>
      <c r="CG27" s="52">
        <f t="shared" ref="CG27" si="154">CG26-CF26</f>
        <v>-16865.626561317622</v>
      </c>
      <c r="CH27" s="52"/>
      <c r="CI27" s="134" t="s">
        <v>82</v>
      </c>
      <c r="CJ27" s="135">
        <f>CJ26-CI26</f>
        <v>32</v>
      </c>
      <c r="CK27" s="136">
        <f t="shared" si="139"/>
        <v>-148</v>
      </c>
      <c r="CL27" s="136">
        <f t="shared" si="139"/>
        <v>993</v>
      </c>
      <c r="CM27" s="136">
        <f t="shared" si="139"/>
        <v>146</v>
      </c>
      <c r="CN27" s="136">
        <f t="shared" si="139"/>
        <v>251</v>
      </c>
      <c r="CO27" s="136">
        <f t="shared" si="139"/>
        <v>-622</v>
      </c>
      <c r="CP27" s="136">
        <f t="shared" si="139"/>
        <v>-4065</v>
      </c>
      <c r="CQ27" s="136">
        <f t="shared" si="139"/>
        <v>-6338</v>
      </c>
      <c r="CR27" s="136">
        <f t="shared" si="139"/>
        <v>-4234</v>
      </c>
      <c r="CS27" s="136">
        <f t="shared" si="139"/>
        <v>-6914</v>
      </c>
      <c r="CT27" s="136">
        <f t="shared" si="139"/>
        <v>3472</v>
      </c>
      <c r="CU27" s="136">
        <f t="shared" si="139"/>
        <v>-2507</v>
      </c>
      <c r="CV27" s="136">
        <f t="shared" si="139"/>
        <v>-2933</v>
      </c>
      <c r="CW27" s="136">
        <f t="shared" si="139"/>
        <v>132</v>
      </c>
      <c r="CX27" s="136">
        <f t="shared" si="139"/>
        <v>-9743.9698752953263</v>
      </c>
      <c r="CY27" s="136">
        <f t="shared" si="139"/>
        <v>-13880.911417213458</v>
      </c>
      <c r="CZ27" s="136">
        <f>CZ26-CY26</f>
        <v>-16393.30932757938</v>
      </c>
      <c r="DA27" s="136">
        <f>DA26-CZ26</f>
        <v>-18919.73696212162</v>
      </c>
      <c r="DB27" s="136">
        <f>DB26-DA26</f>
        <v>-20802.396934774122</v>
      </c>
      <c r="DC27" s="136">
        <f>DC26-DB26</f>
        <v>-23216.770808277855</v>
      </c>
    </row>
    <row r="29" spans="1:107" x14ac:dyDescent="0.2">
      <c r="A29" s="4" t="s">
        <v>194</v>
      </c>
    </row>
    <row r="30" spans="1:107" x14ac:dyDescent="0.2">
      <c r="A30" s="50">
        <v>90</v>
      </c>
    </row>
    <row r="31" spans="1:107" x14ac:dyDescent="0.2">
      <c r="A31" s="1" t="s">
        <v>263</v>
      </c>
      <c r="B31" s="53">
        <f t="shared" ref="B31:AG31" si="155">(B11/B3)*$A$30</f>
        <v>54.810426540284361</v>
      </c>
      <c r="C31" s="53">
        <f t="shared" si="155"/>
        <v>58.514150943396224</v>
      </c>
      <c r="D31" s="53">
        <f t="shared" si="155"/>
        <v>59.376026272577995</v>
      </c>
      <c r="E31" s="53">
        <f t="shared" si="155"/>
        <v>60.065923716841937</v>
      </c>
      <c r="F31" s="53">
        <f t="shared" si="155"/>
        <v>58.053855569155445</v>
      </c>
      <c r="G31" s="53">
        <f t="shared" si="155"/>
        <v>58.264391090540926</v>
      </c>
      <c r="H31" s="53">
        <f t="shared" si="155"/>
        <v>54.908146964856229</v>
      </c>
      <c r="I31" s="53">
        <f t="shared" si="155"/>
        <v>60.062715199212988</v>
      </c>
      <c r="J31" s="53">
        <f t="shared" si="155"/>
        <v>57.112831858407077</v>
      </c>
      <c r="K31" s="53">
        <f t="shared" si="155"/>
        <v>73.90742734122712</v>
      </c>
      <c r="L31" s="53">
        <f t="shared" si="155"/>
        <v>74.646937842778783</v>
      </c>
      <c r="M31" s="53">
        <f t="shared" si="155"/>
        <v>72.177583401139131</v>
      </c>
      <c r="N31" s="53">
        <f t="shared" si="155"/>
        <v>68.617788461538467</v>
      </c>
      <c r="O31" s="53">
        <f t="shared" si="155"/>
        <v>65.294817163809341</v>
      </c>
      <c r="P31" s="53">
        <f t="shared" si="155"/>
        <v>66.143069215067726</v>
      </c>
      <c r="Q31" s="53">
        <f t="shared" si="155"/>
        <v>64.42456479690523</v>
      </c>
      <c r="R31" s="53">
        <f t="shared" si="155"/>
        <v>57.792271720403647</v>
      </c>
      <c r="S31" s="53">
        <f t="shared" si="155"/>
        <v>59.149356290972271</v>
      </c>
      <c r="T31" s="53">
        <f t="shared" si="155"/>
        <v>56.267931688804559</v>
      </c>
      <c r="U31" s="53">
        <f t="shared" si="155"/>
        <v>58.323779266523928</v>
      </c>
      <c r="V31" s="53">
        <f t="shared" si="155"/>
        <v>55.527923524761015</v>
      </c>
      <c r="W31" s="53">
        <f t="shared" si="155"/>
        <v>58.917073170731712</v>
      </c>
      <c r="X31" s="53">
        <f t="shared" si="155"/>
        <v>58.072010060229005</v>
      </c>
      <c r="Y31" s="53">
        <f t="shared" si="155"/>
        <v>60.208405696422368</v>
      </c>
      <c r="Z31" s="53">
        <f t="shared" si="155"/>
        <v>59.118343554557043</v>
      </c>
      <c r="AA31" s="53">
        <f t="shared" si="155"/>
        <v>60.013694721825956</v>
      </c>
      <c r="AB31" s="53">
        <f t="shared" si="155"/>
        <v>59.013082270512889</v>
      </c>
      <c r="AC31" s="53">
        <f t="shared" si="155"/>
        <v>59.970305429864247</v>
      </c>
      <c r="AD31" s="53">
        <f t="shared" si="155"/>
        <v>57.759057700909494</v>
      </c>
      <c r="AE31" s="53">
        <f t="shared" si="155"/>
        <v>60.245231607629428</v>
      </c>
      <c r="AF31" s="53">
        <f t="shared" si="155"/>
        <v>61.811854512797481</v>
      </c>
      <c r="AG31" s="53">
        <f t="shared" si="155"/>
        <v>63.782321338847446</v>
      </c>
      <c r="AH31" s="53">
        <f t="shared" ref="AH31:BD31" si="156">(AH11/AH3)*$A$30</f>
        <v>60.742215785662559</v>
      </c>
      <c r="AI31" s="53">
        <f t="shared" si="156"/>
        <v>58.462095513968826</v>
      </c>
      <c r="AJ31" s="53">
        <f t="shared" si="156"/>
        <v>59.309595699241484</v>
      </c>
      <c r="AK31" s="53">
        <f t="shared" si="156"/>
        <v>58.901381909547737</v>
      </c>
      <c r="AL31" s="53">
        <f t="shared" si="156"/>
        <v>58.462295193188375</v>
      </c>
      <c r="AM31" s="53">
        <f t="shared" si="156"/>
        <v>59.510818141676651</v>
      </c>
      <c r="AN31" s="53">
        <f t="shared" si="156"/>
        <v>56.95446696355539</v>
      </c>
      <c r="AO31" s="53">
        <f t="shared" si="156"/>
        <v>60.66269228721989</v>
      </c>
      <c r="AP31" s="53">
        <f t="shared" si="156"/>
        <v>58.274245705639771</v>
      </c>
      <c r="AQ31" s="53">
        <f t="shared" si="156"/>
        <v>60.37686295604847</v>
      </c>
      <c r="AR31" s="53">
        <f t="shared" si="156"/>
        <v>59.022022259057543</v>
      </c>
      <c r="AS31" s="53">
        <f t="shared" si="156"/>
        <v>59.952188146106138</v>
      </c>
      <c r="AT31" s="53">
        <f t="shared" si="156"/>
        <v>55.272575764220868</v>
      </c>
      <c r="AU31" s="53">
        <f t="shared" si="156"/>
        <v>56.466605169672818</v>
      </c>
      <c r="AV31" s="53">
        <f t="shared" si="156"/>
        <v>57.147146587094362</v>
      </c>
      <c r="AW31" s="53">
        <f t="shared" si="156"/>
        <v>57.148211573879607</v>
      </c>
      <c r="AX31" s="53">
        <f t="shared" si="156"/>
        <v>55.751771657057169</v>
      </c>
      <c r="AY31" s="53">
        <f t="shared" si="156"/>
        <v>55.917419220128409</v>
      </c>
      <c r="AZ31" s="53">
        <f t="shared" si="156"/>
        <v>54.530262284776313</v>
      </c>
      <c r="BA31" s="53">
        <f t="shared" si="156"/>
        <v>57.399363148139344</v>
      </c>
      <c r="BB31" s="53">
        <f t="shared" si="156"/>
        <v>55.854372610477739</v>
      </c>
      <c r="BC31" s="53">
        <f t="shared" si="156"/>
        <v>56.267581806757214</v>
      </c>
      <c r="BD31" s="53">
        <f t="shared" si="156"/>
        <v>57.638444364646922</v>
      </c>
      <c r="BE31" s="53">
        <f t="shared" ref="BE31:BF31" si="157">(BE11/BE3)*$A$30</f>
        <v>59.68641114982578</v>
      </c>
      <c r="BF31" s="53">
        <f t="shared" si="157"/>
        <v>59.320935599840219</v>
      </c>
      <c r="BG31" s="53">
        <f t="shared" ref="BG31:BH31" si="158">(BG11/BG3)*$A$30</f>
        <v>59.390792516291782</v>
      </c>
      <c r="BH31" s="53">
        <f t="shared" si="158"/>
        <v>59.281278085554469</v>
      </c>
      <c r="BI31" s="53">
        <f t="shared" ref="BI31:BJ31" si="159">(BI11/BI3)*$A$30</f>
        <v>57.713088543389574</v>
      </c>
      <c r="BJ31" s="53">
        <f t="shared" si="159"/>
        <v>60.010982402008217</v>
      </c>
      <c r="BK31" s="53">
        <f t="shared" ref="BK31:BL31" si="160">(BK11/BK3)*$A$30</f>
        <v>60.623325134906942</v>
      </c>
      <c r="BL31" s="53">
        <f t="shared" si="160"/>
        <v>58.800960329255744</v>
      </c>
      <c r="BM31" s="67">
        <f t="shared" ref="BM31" si="161">BI31-5</f>
        <v>52.713088543389574</v>
      </c>
      <c r="BN31" s="67">
        <f t="shared" ref="BN31" si="162">BJ31-5</f>
        <v>55.010982402008217</v>
      </c>
      <c r="BO31" s="67">
        <f t="shared" ref="BO31" si="163">BK31-5</f>
        <v>55.623325134906942</v>
      </c>
      <c r="BP31" s="67">
        <f t="shared" ref="BP31" si="164">BL31-4</f>
        <v>54.800960329255744</v>
      </c>
      <c r="BQ31" s="67">
        <f t="shared" ref="BQ31" si="165">BM31-4</f>
        <v>48.713088543389574</v>
      </c>
      <c r="BR31" s="67">
        <f t="shared" ref="BR31:BU31" si="166">BN31-4</f>
        <v>51.010982402008217</v>
      </c>
      <c r="BS31" s="67">
        <f t="shared" si="166"/>
        <v>51.623325134906942</v>
      </c>
      <c r="BT31" s="67">
        <f t="shared" si="166"/>
        <v>50.800960329255744</v>
      </c>
      <c r="BU31" s="67">
        <f t="shared" si="166"/>
        <v>44.713088543389574</v>
      </c>
      <c r="BV31" s="67">
        <f t="shared" ref="BV31" si="167">BR31-4</f>
        <v>47.010982402008217</v>
      </c>
      <c r="BW31" s="67">
        <f t="shared" ref="BW31" si="168">BS31-4</f>
        <v>47.623325134906942</v>
      </c>
      <c r="BX31" s="67">
        <f t="shared" ref="BX31" si="169">BT31-4</f>
        <v>46.800960329255744</v>
      </c>
      <c r="BY31" s="67">
        <f t="shared" ref="BY31" si="170">BU31-4</f>
        <v>40.713088543389574</v>
      </c>
      <c r="BZ31" s="67">
        <f t="shared" ref="BZ31" si="171">BV31-4</f>
        <v>43.010982402008217</v>
      </c>
      <c r="CA31" s="67">
        <f t="shared" ref="CA31" si="172">BW31-4</f>
        <v>43.623325134906942</v>
      </c>
      <c r="CB31" s="67">
        <f t="shared" ref="CB31" si="173">BX31-4</f>
        <v>42.800960329255744</v>
      </c>
      <c r="CC31" s="67">
        <f t="shared" ref="CC31" si="174">BY31-4</f>
        <v>36.713088543389574</v>
      </c>
      <c r="CD31" s="67">
        <f t="shared" ref="CD31" si="175">BZ31-4</f>
        <v>39.010982402008217</v>
      </c>
      <c r="CE31" s="67">
        <f t="shared" ref="CE31" si="176">CA31-4</f>
        <v>39.623325134906942</v>
      </c>
      <c r="CF31" s="67">
        <f t="shared" ref="CF31" si="177">CB31-4</f>
        <v>38.800960329255744</v>
      </c>
      <c r="CG31" s="67">
        <f t="shared" ref="CG31" si="178">CC31-4</f>
        <v>32.713088543389574</v>
      </c>
      <c r="CH31" s="67"/>
    </row>
    <row r="32" spans="1:107" x14ac:dyDescent="0.2">
      <c r="A32" s="1" t="s">
        <v>264</v>
      </c>
      <c r="B32" s="53">
        <f t="shared" ref="B32:AG32" si="179">(B13/B4)*$A$30</f>
        <v>0</v>
      </c>
      <c r="C32" s="53">
        <f t="shared" si="179"/>
        <v>0</v>
      </c>
      <c r="D32" s="53">
        <f t="shared" si="179"/>
        <v>0</v>
      </c>
      <c r="E32" s="53">
        <f t="shared" si="179"/>
        <v>0</v>
      </c>
      <c r="F32" s="53">
        <f t="shared" si="179"/>
        <v>0</v>
      </c>
      <c r="G32" s="53">
        <f t="shared" si="179"/>
        <v>0</v>
      </c>
      <c r="H32" s="53">
        <f t="shared" si="179"/>
        <v>0</v>
      </c>
      <c r="I32" s="53">
        <f t="shared" si="179"/>
        <v>0</v>
      </c>
      <c r="J32" s="53">
        <f t="shared" si="179"/>
        <v>0</v>
      </c>
      <c r="K32" s="53">
        <f t="shared" si="179"/>
        <v>41.317885590152066</v>
      </c>
      <c r="L32" s="53">
        <f t="shared" si="179"/>
        <v>33.385354141656663</v>
      </c>
      <c r="M32" s="53">
        <f t="shared" si="179"/>
        <v>24.047619047619047</v>
      </c>
      <c r="N32" s="53">
        <f t="shared" si="179"/>
        <v>26.850828729281769</v>
      </c>
      <c r="O32" s="53">
        <f t="shared" si="179"/>
        <v>14.106324472960587</v>
      </c>
      <c r="P32" s="53">
        <f t="shared" si="179"/>
        <v>8.6822660098522153</v>
      </c>
      <c r="Q32" s="53">
        <f t="shared" si="179"/>
        <v>13.018675721561969</v>
      </c>
      <c r="R32" s="53">
        <f t="shared" si="179"/>
        <v>11.109890109890109</v>
      </c>
      <c r="S32" s="53">
        <f t="shared" si="179"/>
        <v>9.3510638297872344</v>
      </c>
      <c r="T32" s="53">
        <f t="shared" si="179"/>
        <v>7.5022408126680604</v>
      </c>
      <c r="U32" s="53">
        <f t="shared" si="179"/>
        <v>0</v>
      </c>
      <c r="V32" s="53">
        <f t="shared" si="179"/>
        <v>0</v>
      </c>
      <c r="W32" s="53">
        <f t="shared" si="179"/>
        <v>0</v>
      </c>
      <c r="X32" s="53">
        <f t="shared" si="179"/>
        <v>0</v>
      </c>
      <c r="Y32" s="53">
        <f t="shared" si="179"/>
        <v>0</v>
      </c>
      <c r="Z32" s="53">
        <f t="shared" si="179"/>
        <v>0</v>
      </c>
      <c r="AA32" s="53">
        <f t="shared" si="179"/>
        <v>0</v>
      </c>
      <c r="AB32" s="53">
        <f t="shared" si="179"/>
        <v>11.137923400487049</v>
      </c>
      <c r="AC32" s="53">
        <f t="shared" si="179"/>
        <v>4.1493204885601234</v>
      </c>
      <c r="AD32" s="53">
        <f t="shared" si="179"/>
        <v>4.8780487804878048</v>
      </c>
      <c r="AE32" s="53">
        <f t="shared" si="179"/>
        <v>6.7815221507004928</v>
      </c>
      <c r="AF32" s="53">
        <f t="shared" si="179"/>
        <v>12.194473963868225</v>
      </c>
      <c r="AG32" s="53">
        <f t="shared" si="179"/>
        <v>8.6235128565946013</v>
      </c>
      <c r="AH32" s="53">
        <f t="shared" ref="AH32:BD32" si="180">(AH13/AH4)*$A$30</f>
        <v>7.9732553280401168</v>
      </c>
      <c r="AI32" s="53">
        <f t="shared" si="180"/>
        <v>8.4175264638885174</v>
      </c>
      <c r="AJ32" s="53">
        <f t="shared" si="180"/>
        <v>14.168073775815042</v>
      </c>
      <c r="AK32" s="53">
        <f t="shared" si="180"/>
        <v>9.50486548368632</v>
      </c>
      <c r="AL32" s="53">
        <f t="shared" si="180"/>
        <v>10.355113636363637</v>
      </c>
      <c r="AM32" s="53">
        <f t="shared" si="180"/>
        <v>8.6259693776098629</v>
      </c>
      <c r="AN32" s="53">
        <f t="shared" si="180"/>
        <v>12.511410994244891</v>
      </c>
      <c r="AO32" s="53">
        <f t="shared" si="180"/>
        <v>7.1818835370237242</v>
      </c>
      <c r="AP32" s="53">
        <f t="shared" si="180"/>
        <v>6.9392888117953166</v>
      </c>
      <c r="AQ32" s="53">
        <f t="shared" si="180"/>
        <v>6.1851758158360743</v>
      </c>
      <c r="AR32" s="53">
        <f t="shared" si="180"/>
        <v>5.8026407227241137</v>
      </c>
      <c r="AS32" s="53">
        <f t="shared" si="180"/>
        <v>4.1962341488407837</v>
      </c>
      <c r="AT32" s="53">
        <f t="shared" si="180"/>
        <v>5.5534709193245781</v>
      </c>
      <c r="AU32" s="53">
        <f t="shared" si="180"/>
        <v>5.3359916328931885</v>
      </c>
      <c r="AV32" s="53">
        <f t="shared" si="180"/>
        <v>7.1339080816225264</v>
      </c>
      <c r="AW32" s="53">
        <f t="shared" si="180"/>
        <v>5.3831603701242265</v>
      </c>
      <c r="AX32" s="53">
        <f t="shared" si="180"/>
        <v>6.996990175478448</v>
      </c>
      <c r="AY32" s="53">
        <f t="shared" si="180"/>
        <v>9.9608719955282279</v>
      </c>
      <c r="AZ32" s="53">
        <f t="shared" si="180"/>
        <v>14.692737430167597</v>
      </c>
      <c r="BA32" s="53">
        <f t="shared" si="180"/>
        <v>10.719543203818532</v>
      </c>
      <c r="BB32" s="53">
        <f t="shared" si="180"/>
        <v>11.029061457837065</v>
      </c>
      <c r="BC32" s="53">
        <f t="shared" si="180"/>
        <v>10.361215749006657</v>
      </c>
      <c r="BD32" s="53">
        <f t="shared" si="180"/>
        <v>12.927089911108954</v>
      </c>
      <c r="BE32" s="53">
        <f t="shared" ref="BE32:BF32" si="181">(BE13/BE4)*$A$30</f>
        <v>0</v>
      </c>
      <c r="BF32" s="53">
        <f t="shared" si="181"/>
        <v>0</v>
      </c>
      <c r="BG32" s="53">
        <f t="shared" ref="BG32:BH32" si="182">(BG13/BG4)*$A$30</f>
        <v>0</v>
      </c>
      <c r="BH32" s="53">
        <f t="shared" si="182"/>
        <v>0</v>
      </c>
      <c r="BI32" s="53">
        <f t="shared" ref="BI32:BJ32" si="183">(BI13/BI4)*$A$30</f>
        <v>0</v>
      </c>
      <c r="BJ32" s="53">
        <f t="shared" si="183"/>
        <v>0</v>
      </c>
      <c r="BK32" s="53">
        <f t="shared" ref="BK32:BL32" si="184">(BK13/BK4)*$A$30</f>
        <v>0</v>
      </c>
      <c r="BL32" s="53">
        <f t="shared" si="184"/>
        <v>0</v>
      </c>
      <c r="BM32" s="67">
        <f t="shared" ref="BM32:BQ32" si="185">BL32</f>
        <v>0</v>
      </c>
      <c r="BN32" s="67">
        <f t="shared" si="185"/>
        <v>0</v>
      </c>
      <c r="BO32" s="67">
        <f t="shared" si="185"/>
        <v>0</v>
      </c>
      <c r="BP32" s="67">
        <f t="shared" si="185"/>
        <v>0</v>
      </c>
      <c r="BQ32" s="67">
        <f t="shared" si="185"/>
        <v>0</v>
      </c>
      <c r="BR32" s="67">
        <f t="shared" ref="BR32:BR34" si="186">BQ32</f>
        <v>0</v>
      </c>
      <c r="BS32" s="67">
        <f t="shared" ref="BS32:BS34" si="187">BR32</f>
        <v>0</v>
      </c>
      <c r="BT32" s="67">
        <f t="shared" ref="BT32:BT34" si="188">BS32</f>
        <v>0</v>
      </c>
      <c r="BU32" s="67">
        <f t="shared" ref="BU32:BU34" si="189">BT32</f>
        <v>0</v>
      </c>
      <c r="BV32" s="67">
        <f t="shared" ref="BV32:BV34" si="190">BU32</f>
        <v>0</v>
      </c>
      <c r="BW32" s="67">
        <f t="shared" ref="BW32:BW34" si="191">BV32</f>
        <v>0</v>
      </c>
      <c r="BX32" s="67">
        <f t="shared" ref="BX32:BX34" si="192">BW32</f>
        <v>0</v>
      </c>
      <c r="BY32" s="67">
        <f t="shared" ref="BY32:BY34" si="193">BX32</f>
        <v>0</v>
      </c>
      <c r="BZ32" s="67">
        <f t="shared" ref="BZ32:BZ34" si="194">BY32</f>
        <v>0</v>
      </c>
      <c r="CA32" s="67">
        <f t="shared" ref="CA32:CA34" si="195">BZ32</f>
        <v>0</v>
      </c>
      <c r="CB32" s="67">
        <f t="shared" ref="CB32:CB34" si="196">CA32</f>
        <v>0</v>
      </c>
      <c r="CC32" s="67">
        <f t="shared" ref="CC32:CC34" si="197">CB32</f>
        <v>0</v>
      </c>
      <c r="CD32" s="67">
        <f t="shared" ref="CD32:CD34" si="198">CC32</f>
        <v>0</v>
      </c>
      <c r="CE32" s="67">
        <f t="shared" ref="CE32:CE34" si="199">CD32</f>
        <v>0</v>
      </c>
      <c r="CF32" s="67">
        <f t="shared" ref="CF32:CF34" si="200">CE32</f>
        <v>0</v>
      </c>
      <c r="CG32" s="67">
        <f t="shared" ref="CG32:CG34" si="201">CF32</f>
        <v>0</v>
      </c>
      <c r="CH32" s="67"/>
    </row>
    <row r="33" spans="1:86" x14ac:dyDescent="0.2">
      <c r="A33" s="1" t="s">
        <v>265</v>
      </c>
      <c r="B33" s="60">
        <f t="shared" ref="B33:AG33" si="202">B14/B5</f>
        <v>1.5113636363636365</v>
      </c>
      <c r="C33" s="60">
        <f t="shared" si="202"/>
        <v>0.24812030075187969</v>
      </c>
      <c r="D33" s="60">
        <f t="shared" si="202"/>
        <v>0.53696498054474706</v>
      </c>
      <c r="E33" s="60">
        <f t="shared" si="202"/>
        <v>0.92500000000000004</v>
      </c>
      <c r="F33" s="60">
        <f t="shared" si="202"/>
        <v>1.0631229235880399</v>
      </c>
      <c r="G33" s="60">
        <f t="shared" si="202"/>
        <v>0.44092219020172913</v>
      </c>
      <c r="H33" s="60">
        <f t="shared" si="202"/>
        <v>0.59228650137741046</v>
      </c>
      <c r="I33" s="60">
        <f t="shared" si="202"/>
        <v>0.55844155844155841</v>
      </c>
      <c r="J33" s="60">
        <f t="shared" si="202"/>
        <v>0.13492063492063491</v>
      </c>
      <c r="K33" s="60">
        <f t="shared" si="202"/>
        <v>0.30866807610993657</v>
      </c>
      <c r="L33" s="60">
        <f t="shared" si="202"/>
        <v>0.45364891518737671</v>
      </c>
      <c r="M33" s="60">
        <f t="shared" si="202"/>
        <v>1.8158730158730159</v>
      </c>
      <c r="N33" s="60">
        <f t="shared" si="202"/>
        <v>1.7414383561643836</v>
      </c>
      <c r="O33" s="60">
        <f t="shared" si="202"/>
        <v>1.536813922356091</v>
      </c>
      <c r="P33" s="60">
        <f t="shared" si="202"/>
        <v>1.6652236652236652</v>
      </c>
      <c r="Q33" s="60">
        <f t="shared" si="202"/>
        <v>2.0158520475561428</v>
      </c>
      <c r="R33" s="60">
        <f t="shared" si="202"/>
        <v>1.428921568627451</v>
      </c>
      <c r="S33" s="60">
        <f t="shared" si="202"/>
        <v>1.4243542435424354</v>
      </c>
      <c r="T33" s="60">
        <f t="shared" si="202"/>
        <v>1.5520361990950227</v>
      </c>
      <c r="U33" s="60">
        <f t="shared" si="202"/>
        <v>1.308910891089109</v>
      </c>
      <c r="V33" s="60">
        <f t="shared" si="202"/>
        <v>0.90298507462686572</v>
      </c>
      <c r="W33" s="60">
        <f t="shared" si="202"/>
        <v>1.3016815034619189</v>
      </c>
      <c r="X33" s="60">
        <f t="shared" si="202"/>
        <v>2.1475728155339806</v>
      </c>
      <c r="Y33" s="60">
        <f t="shared" si="202"/>
        <v>0</v>
      </c>
      <c r="Z33" s="60">
        <f t="shared" si="202"/>
        <v>0</v>
      </c>
      <c r="AA33" s="60">
        <f t="shared" si="202"/>
        <v>0</v>
      </c>
      <c r="AB33" s="60">
        <f t="shared" si="202"/>
        <v>0</v>
      </c>
      <c r="AC33" s="60">
        <f t="shared" si="202"/>
        <v>0</v>
      </c>
      <c r="AD33" s="60">
        <f t="shared" si="202"/>
        <v>0</v>
      </c>
      <c r="AE33" s="60">
        <f t="shared" si="202"/>
        <v>0</v>
      </c>
      <c r="AF33" s="60">
        <f t="shared" si="202"/>
        <v>0</v>
      </c>
      <c r="AG33" s="60">
        <f t="shared" si="202"/>
        <v>0</v>
      </c>
      <c r="AH33" s="60">
        <f t="shared" ref="AH33:BD33" si="203">AH14/AH5</f>
        <v>0</v>
      </c>
      <c r="AI33" s="60">
        <f t="shared" si="203"/>
        <v>0</v>
      </c>
      <c r="AJ33" s="60">
        <f t="shared" si="203"/>
        <v>0</v>
      </c>
      <c r="AK33" s="60">
        <f t="shared" si="203"/>
        <v>0</v>
      </c>
      <c r="AL33" s="60">
        <f t="shared" si="203"/>
        <v>0</v>
      </c>
      <c r="AM33" s="60">
        <f t="shared" si="203"/>
        <v>0</v>
      </c>
      <c r="AN33" s="60">
        <f t="shared" si="203"/>
        <v>0</v>
      </c>
      <c r="AO33" s="60">
        <f t="shared" si="203"/>
        <v>0</v>
      </c>
      <c r="AP33" s="60">
        <f t="shared" si="203"/>
        <v>0</v>
      </c>
      <c r="AQ33" s="60">
        <f t="shared" si="203"/>
        <v>0</v>
      </c>
      <c r="AR33" s="60">
        <f t="shared" si="203"/>
        <v>0</v>
      </c>
      <c r="AS33" s="60">
        <f t="shared" si="203"/>
        <v>0</v>
      </c>
      <c r="AT33" s="60">
        <f t="shared" si="203"/>
        <v>0</v>
      </c>
      <c r="AU33" s="60">
        <f t="shared" si="203"/>
        <v>0</v>
      </c>
      <c r="AV33" s="60">
        <f t="shared" si="203"/>
        <v>0</v>
      </c>
      <c r="AW33" s="60">
        <f t="shared" si="203"/>
        <v>0</v>
      </c>
      <c r="AX33" s="60">
        <f t="shared" si="203"/>
        <v>0</v>
      </c>
      <c r="AY33" s="60">
        <f t="shared" si="203"/>
        <v>0</v>
      </c>
      <c r="AZ33" s="60">
        <f t="shared" si="203"/>
        <v>0</v>
      </c>
      <c r="BA33" s="60">
        <f t="shared" si="203"/>
        <v>0</v>
      </c>
      <c r="BB33" s="60">
        <f t="shared" si="203"/>
        <v>0</v>
      </c>
      <c r="BC33" s="60">
        <f t="shared" si="203"/>
        <v>0</v>
      </c>
      <c r="BD33" s="60">
        <f t="shared" si="203"/>
        <v>0</v>
      </c>
      <c r="BE33" s="60">
        <f t="shared" ref="BE33:BF33" si="204">BE14/BE5</f>
        <v>0</v>
      </c>
      <c r="BF33" s="60">
        <f t="shared" si="204"/>
        <v>0</v>
      </c>
      <c r="BG33" s="60">
        <f t="shared" ref="BG33:BH33" si="205">BG14/BG5</f>
        <v>0</v>
      </c>
      <c r="BH33" s="60">
        <f t="shared" si="205"/>
        <v>0</v>
      </c>
      <c r="BI33" s="60">
        <f t="shared" ref="BI33:BJ33" si="206">BI14/BI5</f>
        <v>0</v>
      </c>
      <c r="BJ33" s="60">
        <f t="shared" si="206"/>
        <v>0</v>
      </c>
      <c r="BK33" s="60">
        <f t="shared" ref="BK33:BL33" si="207">BK14/BK5</f>
        <v>0</v>
      </c>
      <c r="BL33" s="60">
        <f t="shared" si="207"/>
        <v>0</v>
      </c>
      <c r="BM33" s="68">
        <f t="shared" ref="BM33:BQ34" si="208">BL33</f>
        <v>0</v>
      </c>
      <c r="BN33" s="68">
        <f t="shared" si="208"/>
        <v>0</v>
      </c>
      <c r="BO33" s="68">
        <f t="shared" si="208"/>
        <v>0</v>
      </c>
      <c r="BP33" s="68">
        <f t="shared" si="208"/>
        <v>0</v>
      </c>
      <c r="BQ33" s="68">
        <f t="shared" si="208"/>
        <v>0</v>
      </c>
      <c r="BR33" s="68">
        <f t="shared" si="186"/>
        <v>0</v>
      </c>
      <c r="BS33" s="68">
        <f t="shared" si="187"/>
        <v>0</v>
      </c>
      <c r="BT33" s="68">
        <f t="shared" si="188"/>
        <v>0</v>
      </c>
      <c r="BU33" s="68">
        <f t="shared" si="189"/>
        <v>0</v>
      </c>
      <c r="BV33" s="68">
        <f t="shared" si="190"/>
        <v>0</v>
      </c>
      <c r="BW33" s="68">
        <f t="shared" si="191"/>
        <v>0</v>
      </c>
      <c r="BX33" s="68">
        <f t="shared" si="192"/>
        <v>0</v>
      </c>
      <c r="BY33" s="68">
        <f t="shared" si="193"/>
        <v>0</v>
      </c>
      <c r="BZ33" s="68">
        <f t="shared" si="194"/>
        <v>0</v>
      </c>
      <c r="CA33" s="68">
        <f t="shared" si="195"/>
        <v>0</v>
      </c>
      <c r="CB33" s="68">
        <f t="shared" si="196"/>
        <v>0</v>
      </c>
      <c r="CC33" s="68">
        <f t="shared" si="197"/>
        <v>0</v>
      </c>
      <c r="CD33" s="68">
        <f t="shared" si="198"/>
        <v>0</v>
      </c>
      <c r="CE33" s="68">
        <f t="shared" si="199"/>
        <v>0</v>
      </c>
      <c r="CF33" s="68">
        <f t="shared" si="200"/>
        <v>0</v>
      </c>
      <c r="CG33" s="68">
        <f t="shared" si="201"/>
        <v>0</v>
      </c>
      <c r="CH33" s="68"/>
    </row>
    <row r="34" spans="1:86" x14ac:dyDescent="0.2">
      <c r="A34" s="1" t="s">
        <v>237</v>
      </c>
      <c r="B34" s="60">
        <f t="shared" ref="B34:AG34" si="209">B15/B3</f>
        <v>0.22413112164296997</v>
      </c>
      <c r="C34" s="60">
        <f t="shared" si="209"/>
        <v>0.27889150943396224</v>
      </c>
      <c r="D34" s="60">
        <f t="shared" si="209"/>
        <v>0.220762634555738</v>
      </c>
      <c r="E34" s="60">
        <f t="shared" si="209"/>
        <v>0.20813059174383927</v>
      </c>
      <c r="F34" s="60">
        <f t="shared" si="209"/>
        <v>0.2290391676866585</v>
      </c>
      <c r="G34" s="60">
        <f t="shared" si="209"/>
        <v>0.19207405264680358</v>
      </c>
      <c r="H34" s="60">
        <f t="shared" si="209"/>
        <v>0.18716719914802982</v>
      </c>
      <c r="I34" s="60">
        <f t="shared" si="209"/>
        <v>0.2145843580914904</v>
      </c>
      <c r="J34" s="60">
        <f t="shared" si="209"/>
        <v>0.21865781710914453</v>
      </c>
      <c r="K34" s="60">
        <f t="shared" si="209"/>
        <v>0.31264202846549455</v>
      </c>
      <c r="L34" s="60">
        <f t="shared" si="209"/>
        <v>0.27879341864716634</v>
      </c>
      <c r="M34" s="60">
        <f t="shared" si="209"/>
        <v>0.21684296175752643</v>
      </c>
      <c r="N34" s="60">
        <f t="shared" si="209"/>
        <v>0.23788060897435898</v>
      </c>
      <c r="O34" s="60">
        <f t="shared" si="209"/>
        <v>0.27509662075116442</v>
      </c>
      <c r="P34" s="60">
        <f t="shared" si="209"/>
        <v>0.21840786787901281</v>
      </c>
      <c r="Q34" s="60">
        <f t="shared" si="209"/>
        <v>0.22783687943262412</v>
      </c>
      <c r="R34" s="60">
        <f t="shared" si="209"/>
        <v>0.49314956107966201</v>
      </c>
      <c r="S34" s="60">
        <f t="shared" si="209"/>
        <v>0.4510702156227786</v>
      </c>
      <c r="T34" s="60">
        <f t="shared" si="209"/>
        <v>0.47726755218216321</v>
      </c>
      <c r="U34" s="60">
        <f t="shared" si="209"/>
        <v>0.23565163340009671</v>
      </c>
      <c r="V34" s="60">
        <f t="shared" si="209"/>
        <v>0.26737583554948607</v>
      </c>
      <c r="W34" s="60">
        <f t="shared" si="209"/>
        <v>0.21247386759581882</v>
      </c>
      <c r="X34" s="60">
        <f t="shared" si="209"/>
        <v>0.17790720762459461</v>
      </c>
      <c r="Y34" s="60">
        <f t="shared" si="209"/>
        <v>0.18171818918605998</v>
      </c>
      <c r="Z34" s="60">
        <f t="shared" si="209"/>
        <v>0.16509806302750624</v>
      </c>
      <c r="AA34" s="60">
        <f t="shared" si="209"/>
        <v>0.17209700427960056</v>
      </c>
      <c r="AB34" s="60">
        <f t="shared" si="209"/>
        <v>0.13881438502381083</v>
      </c>
      <c r="AC34" s="60">
        <f t="shared" si="209"/>
        <v>0.21563914027149322</v>
      </c>
      <c r="AD34" s="60">
        <f t="shared" si="209"/>
        <v>0.15436608518463296</v>
      </c>
      <c r="AE34" s="60">
        <f t="shared" si="209"/>
        <v>0.11463263062287872</v>
      </c>
      <c r="AF34" s="60">
        <f t="shared" si="209"/>
        <v>0.12842388863942525</v>
      </c>
      <c r="AG34" s="60">
        <f t="shared" si="209"/>
        <v>0.11529393576315078</v>
      </c>
      <c r="AH34" s="60">
        <f t="shared" ref="AH34:BD34" si="210">AH15/AH3</f>
        <v>0.13782283369538981</v>
      </c>
      <c r="AI34" s="60">
        <f t="shared" si="210"/>
        <v>0.15097000419255249</v>
      </c>
      <c r="AJ34" s="60">
        <f t="shared" si="210"/>
        <v>0.14754400176743501</v>
      </c>
      <c r="AK34" s="60">
        <f t="shared" si="210"/>
        <v>0.13304020100502512</v>
      </c>
      <c r="AL34" s="60">
        <f t="shared" si="210"/>
        <v>0.14946232911564164</v>
      </c>
      <c r="AM34" s="60">
        <f t="shared" si="210"/>
        <v>0.12931306377341828</v>
      </c>
      <c r="AN34" s="60">
        <f t="shared" si="210"/>
        <v>0.14235511527159259</v>
      </c>
      <c r="AO34" s="60">
        <f t="shared" si="210"/>
        <v>0.11742162133390111</v>
      </c>
      <c r="AP34" s="60">
        <f t="shared" si="210"/>
        <v>0.15323226629483491</v>
      </c>
      <c r="AQ34" s="60">
        <f t="shared" si="210"/>
        <v>0.17653387336645254</v>
      </c>
      <c r="AR34" s="60">
        <f t="shared" si="210"/>
        <v>0.14273686426184651</v>
      </c>
      <c r="AS34" s="60">
        <f t="shared" si="210"/>
        <v>0.11823742246726396</v>
      </c>
      <c r="AT34" s="60">
        <f t="shared" si="210"/>
        <v>0.16766808473312575</v>
      </c>
      <c r="AU34" s="60">
        <f t="shared" si="210"/>
        <v>0.11925183018979019</v>
      </c>
      <c r="AV34" s="60">
        <f t="shared" si="210"/>
        <v>0.11243938828795226</v>
      </c>
      <c r="AW34" s="60">
        <f t="shared" si="210"/>
        <v>0.11396167889107887</v>
      </c>
      <c r="AX34" s="60">
        <f t="shared" si="210"/>
        <v>0.12302529408614626</v>
      </c>
      <c r="AY34" s="60">
        <f t="shared" si="210"/>
        <v>0.14478606601590369</v>
      </c>
      <c r="AZ34" s="60">
        <f t="shared" si="210"/>
        <v>0.18366919288932351</v>
      </c>
      <c r="BA34" s="60">
        <f t="shared" si="210"/>
        <v>0.12840010772618538</v>
      </c>
      <c r="BB34" s="60">
        <f t="shared" si="210"/>
        <v>0.14693624496262872</v>
      </c>
      <c r="BC34" s="60">
        <f t="shared" si="210"/>
        <v>0.15178758438461662</v>
      </c>
      <c r="BD34" s="60">
        <f t="shared" si="210"/>
        <v>0.19356450328644362</v>
      </c>
      <c r="BE34" s="60">
        <f t="shared" ref="BE34:BF34" si="211">BE15/BE3</f>
        <v>0.17490736131851115</v>
      </c>
      <c r="BF34" s="60">
        <f t="shared" si="211"/>
        <v>0.18979776012308966</v>
      </c>
      <c r="BG34" s="60">
        <f t="shared" ref="BG34:BH34" si="212">BG15/BG3</f>
        <v>0.19876672973162357</v>
      </c>
      <c r="BH34" s="60">
        <f t="shared" si="212"/>
        <v>0.20398663965982106</v>
      </c>
      <c r="BI34" s="60">
        <f t="shared" ref="BI34:BJ34" si="213">BI15/BI3</f>
        <v>0.19252398279854449</v>
      </c>
      <c r="BJ34" s="60">
        <f t="shared" si="213"/>
        <v>0.20558010616321942</v>
      </c>
      <c r="BK34" s="60">
        <f t="shared" ref="BK34:BL34" si="214">BK15/BK3</f>
        <v>0.19602804596013362</v>
      </c>
      <c r="BL34" s="60">
        <f t="shared" si="214"/>
        <v>0.20924888533211386</v>
      </c>
      <c r="BM34" s="49">
        <f t="shared" si="208"/>
        <v>0.20924888533211386</v>
      </c>
      <c r="BN34" s="49">
        <f t="shared" si="208"/>
        <v>0.20924888533211386</v>
      </c>
      <c r="BO34" s="49">
        <f t="shared" si="208"/>
        <v>0.20924888533211386</v>
      </c>
      <c r="BP34" s="49">
        <f t="shared" si="208"/>
        <v>0.20924888533211386</v>
      </c>
      <c r="BQ34" s="49">
        <f t="shared" si="208"/>
        <v>0.20924888533211386</v>
      </c>
      <c r="BR34" s="49">
        <f t="shared" si="186"/>
        <v>0.20924888533211386</v>
      </c>
      <c r="BS34" s="49">
        <f t="shared" si="187"/>
        <v>0.20924888533211386</v>
      </c>
      <c r="BT34" s="49">
        <f t="shared" si="188"/>
        <v>0.20924888533211386</v>
      </c>
      <c r="BU34" s="49">
        <f t="shared" si="189"/>
        <v>0.20924888533211386</v>
      </c>
      <c r="BV34" s="49">
        <f t="shared" si="190"/>
        <v>0.20924888533211386</v>
      </c>
      <c r="BW34" s="49">
        <f t="shared" si="191"/>
        <v>0.20924888533211386</v>
      </c>
      <c r="BX34" s="49">
        <f t="shared" si="192"/>
        <v>0.20924888533211386</v>
      </c>
      <c r="BY34" s="49">
        <f t="shared" si="193"/>
        <v>0.20924888533211386</v>
      </c>
      <c r="BZ34" s="49">
        <f t="shared" si="194"/>
        <v>0.20924888533211386</v>
      </c>
      <c r="CA34" s="49">
        <f t="shared" si="195"/>
        <v>0.20924888533211386</v>
      </c>
      <c r="CB34" s="49">
        <f t="shared" si="196"/>
        <v>0.20924888533211386</v>
      </c>
      <c r="CC34" s="49">
        <f t="shared" si="197"/>
        <v>0.20924888533211386</v>
      </c>
      <c r="CD34" s="49">
        <f t="shared" si="198"/>
        <v>0.20924888533211386</v>
      </c>
      <c r="CE34" s="49">
        <f t="shared" si="199"/>
        <v>0.20924888533211386</v>
      </c>
      <c r="CF34" s="49">
        <f t="shared" si="200"/>
        <v>0.20924888533211386</v>
      </c>
      <c r="CG34" s="49">
        <f t="shared" si="201"/>
        <v>0.20924888533211386</v>
      </c>
      <c r="CH34" s="49"/>
    </row>
    <row r="35" spans="1:86" x14ac:dyDescent="0.2">
      <c r="A35" s="1" t="s">
        <v>266</v>
      </c>
      <c r="B35" s="53">
        <f t="shared" ref="B35:AG35" si="215">(B18/B4)*$A$30</f>
        <v>39.959514170040485</v>
      </c>
      <c r="C35" s="53">
        <f t="shared" si="215"/>
        <v>48.612244897959187</v>
      </c>
      <c r="D35" s="53">
        <f t="shared" si="215"/>
        <v>63.614457831325304</v>
      </c>
      <c r="E35" s="53">
        <f t="shared" si="215"/>
        <v>49.566704675028504</v>
      </c>
      <c r="F35" s="53">
        <f t="shared" si="215"/>
        <v>51.772575250836113</v>
      </c>
      <c r="G35" s="53">
        <f t="shared" si="215"/>
        <v>48.14150943396227</v>
      </c>
      <c r="H35" s="53">
        <f t="shared" si="215"/>
        <v>43.307692307692307</v>
      </c>
      <c r="I35" s="53">
        <f t="shared" si="215"/>
        <v>42.335999999999999</v>
      </c>
      <c r="J35" s="53">
        <f t="shared" si="215"/>
        <v>53.4375</v>
      </c>
      <c r="K35" s="53">
        <f t="shared" si="215"/>
        <v>157.64663287472845</v>
      </c>
      <c r="L35" s="53">
        <f t="shared" si="215"/>
        <v>120.63025210084032</v>
      </c>
      <c r="M35" s="53">
        <f t="shared" si="215"/>
        <v>95.809523809523796</v>
      </c>
      <c r="N35" s="53">
        <f t="shared" si="215"/>
        <v>86.767955801104975</v>
      </c>
      <c r="O35" s="53">
        <f t="shared" si="215"/>
        <v>72.511457378551782</v>
      </c>
      <c r="P35" s="53">
        <f t="shared" si="215"/>
        <v>78.472906403940897</v>
      </c>
      <c r="Q35" s="53">
        <f t="shared" si="215"/>
        <v>74.964346349745327</v>
      </c>
      <c r="R35" s="53">
        <f t="shared" si="215"/>
        <v>53.505494505494504</v>
      </c>
      <c r="S35" s="53">
        <f t="shared" si="215"/>
        <v>42.925531914893618</v>
      </c>
      <c r="T35" s="53">
        <f t="shared" si="215"/>
        <v>36.785180758888558</v>
      </c>
      <c r="U35" s="53">
        <f t="shared" si="215"/>
        <v>46.815286624203821</v>
      </c>
      <c r="V35" s="53">
        <f t="shared" si="215"/>
        <v>50.454998339422119</v>
      </c>
      <c r="W35" s="53">
        <f t="shared" si="215"/>
        <v>36.915159076731129</v>
      </c>
      <c r="X35" s="53">
        <f t="shared" si="215"/>
        <v>40.164217804667246</v>
      </c>
      <c r="Y35" s="53">
        <f t="shared" si="215"/>
        <v>42.049358819259616</v>
      </c>
      <c r="Z35" s="53">
        <f t="shared" si="215"/>
        <v>38.867875647668392</v>
      </c>
      <c r="AA35" s="53">
        <f t="shared" si="215"/>
        <v>37.169675090252703</v>
      </c>
      <c r="AB35" s="53">
        <f t="shared" si="215"/>
        <v>43.33628514500775</v>
      </c>
      <c r="AC35" s="53">
        <f t="shared" si="215"/>
        <v>31.599862377429897</v>
      </c>
      <c r="AD35" s="53">
        <f t="shared" si="215"/>
        <v>40.174216027874564</v>
      </c>
      <c r="AE35" s="53">
        <f t="shared" si="215"/>
        <v>42.393032942067393</v>
      </c>
      <c r="AF35" s="53">
        <f t="shared" si="215"/>
        <v>42.624867162592984</v>
      </c>
      <c r="AG35" s="53">
        <f t="shared" si="215"/>
        <v>36.117436356658565</v>
      </c>
      <c r="AH35" s="53">
        <f t="shared" ref="AH35:BD35" si="216">(AH18/AH4)*$A$30</f>
        <v>44.203928123694112</v>
      </c>
      <c r="AI35" s="53">
        <f t="shared" si="216"/>
        <v>40.628433605788558</v>
      </c>
      <c r="AJ35" s="53">
        <f t="shared" si="216"/>
        <v>44.292765294194048</v>
      </c>
      <c r="AK35" s="53">
        <f t="shared" si="216"/>
        <v>37.590154550658276</v>
      </c>
      <c r="AL35" s="53">
        <f t="shared" si="216"/>
        <v>36.483828671328673</v>
      </c>
      <c r="AM35" s="53">
        <f t="shared" si="216"/>
        <v>35.121296480413605</v>
      </c>
      <c r="AN35" s="53">
        <f t="shared" si="216"/>
        <v>36.989482040087317</v>
      </c>
      <c r="AO35" s="53">
        <f t="shared" si="216"/>
        <v>39.978432782171097</v>
      </c>
      <c r="AP35" s="53">
        <f t="shared" si="216"/>
        <v>31.995663486556808</v>
      </c>
      <c r="AQ35" s="53">
        <f t="shared" si="216"/>
        <v>30.842398178598533</v>
      </c>
      <c r="AR35" s="53">
        <f t="shared" si="216"/>
        <v>30.514246004169564</v>
      </c>
      <c r="AS35" s="53">
        <f t="shared" si="216"/>
        <v>32.215319584987832</v>
      </c>
      <c r="AT35" s="53">
        <f t="shared" si="216"/>
        <v>30.025015634771734</v>
      </c>
      <c r="AU35" s="53">
        <f t="shared" si="216"/>
        <v>27.697738266440055</v>
      </c>
      <c r="AV35" s="53">
        <f t="shared" si="216"/>
        <v>25.766916826893258</v>
      </c>
      <c r="AW35" s="53">
        <f t="shared" si="216"/>
        <v>27.776187311487142</v>
      </c>
      <c r="AX35" s="53">
        <f t="shared" si="216"/>
        <v>17.561474246124142</v>
      </c>
      <c r="AY35" s="53">
        <f t="shared" si="216"/>
        <v>22.180547792062605</v>
      </c>
      <c r="AZ35" s="53">
        <f t="shared" si="216"/>
        <v>29.343575418994412</v>
      </c>
      <c r="BA35" s="53">
        <f t="shared" si="216"/>
        <v>20.58794664763349</v>
      </c>
      <c r="BB35" s="53">
        <f t="shared" si="216"/>
        <v>19.933301572177228</v>
      </c>
      <c r="BC35" s="53">
        <f t="shared" si="216"/>
        <v>24.674647814644715</v>
      </c>
      <c r="BD35" s="53">
        <f t="shared" si="216"/>
        <v>25.36892213532812</v>
      </c>
      <c r="BE35" s="53">
        <f t="shared" ref="BE35:BF35" si="217">(BE18/BE4)*$A$30</f>
        <v>28.588325066768409</v>
      </c>
      <c r="BF35" s="53">
        <f t="shared" si="217"/>
        <v>26.862178561109509</v>
      </c>
      <c r="BG35" s="53">
        <f t="shared" ref="BG35:BH35" si="218">(BG18/BG4)*$A$30</f>
        <v>24.786618444846294</v>
      </c>
      <c r="BH35" s="53">
        <f t="shared" si="218"/>
        <v>27.880026367831245</v>
      </c>
      <c r="BI35" s="53">
        <f t="shared" ref="BI35:BJ35" si="219">(BI18/BI4)*$A$30</f>
        <v>27.899476033378615</v>
      </c>
      <c r="BJ35" s="53">
        <f t="shared" si="219"/>
        <v>33.818157696900016</v>
      </c>
      <c r="BK35" s="53">
        <f t="shared" ref="BK35:BL35" si="220">(BK18/BK4)*$A$30</f>
        <v>30.871619955617657</v>
      </c>
      <c r="BL35" s="53">
        <f t="shared" si="220"/>
        <v>35.826067263050618</v>
      </c>
      <c r="BM35" s="67">
        <f t="shared" ref="BM35:BQ35" si="221">BI35+5</f>
        <v>32.899476033378619</v>
      </c>
      <c r="BN35" s="67">
        <f t="shared" si="221"/>
        <v>38.818157696900016</v>
      </c>
      <c r="BO35" s="67">
        <f t="shared" si="221"/>
        <v>35.87161995561766</v>
      </c>
      <c r="BP35" s="67">
        <f t="shared" si="221"/>
        <v>40.826067263050618</v>
      </c>
      <c r="BQ35" s="67">
        <f t="shared" si="221"/>
        <v>37.899476033378619</v>
      </c>
      <c r="BR35" s="67">
        <f t="shared" ref="BR35" si="222">BN35+5</f>
        <v>43.818157696900016</v>
      </c>
      <c r="BS35" s="67">
        <f t="shared" ref="BS35" si="223">BO35+5</f>
        <v>40.87161995561766</v>
      </c>
      <c r="BT35" s="67">
        <f t="shared" ref="BT35" si="224">BP35+5</f>
        <v>45.826067263050618</v>
      </c>
      <c r="BU35" s="67">
        <f t="shared" ref="BU35" si="225">BQ35+5</f>
        <v>42.899476033378619</v>
      </c>
      <c r="BV35" s="67">
        <f t="shared" ref="BV35" si="226">BR35+5</f>
        <v>48.818157696900016</v>
      </c>
      <c r="BW35" s="67">
        <f t="shared" ref="BW35" si="227">BS35+5</f>
        <v>45.87161995561766</v>
      </c>
      <c r="BX35" s="67">
        <f t="shared" ref="BX35" si="228">BT35+5</f>
        <v>50.826067263050618</v>
      </c>
      <c r="BY35" s="67">
        <f t="shared" ref="BY35" si="229">BU35+5</f>
        <v>47.899476033378619</v>
      </c>
      <c r="BZ35" s="67">
        <f t="shared" ref="BZ35" si="230">BV35+5</f>
        <v>53.818157696900016</v>
      </c>
      <c r="CA35" s="67">
        <f t="shared" ref="CA35" si="231">BW35+5</f>
        <v>50.87161995561766</v>
      </c>
      <c r="CB35" s="67">
        <f t="shared" ref="CB35" si="232">BX35+5</f>
        <v>55.826067263050618</v>
      </c>
      <c r="CC35" s="67">
        <f t="shared" ref="CC35" si="233">BY35+5</f>
        <v>52.899476033378619</v>
      </c>
      <c r="CD35" s="67">
        <f t="shared" ref="CD35" si="234">BZ35+5</f>
        <v>58.818157696900016</v>
      </c>
      <c r="CE35" s="67">
        <f t="shared" ref="CE35" si="235">CA35+5</f>
        <v>55.87161995561766</v>
      </c>
      <c r="CF35" s="67">
        <f t="shared" ref="CF35" si="236">CB35+5</f>
        <v>60.826067263050618</v>
      </c>
      <c r="CG35" s="67">
        <f t="shared" ref="CG35" si="237">CC35+5</f>
        <v>57.899476033378619</v>
      </c>
      <c r="CH35" s="67"/>
    </row>
    <row r="36" spans="1:86" x14ac:dyDescent="0.2">
      <c r="A36" s="1" t="s">
        <v>267</v>
      </c>
      <c r="B36" s="60">
        <f t="shared" ref="B36:AG36" si="238">B19/B7</f>
        <v>0.31498637602179835</v>
      </c>
      <c r="C36" s="60">
        <f t="shared" si="238"/>
        <v>0.3762575452716298</v>
      </c>
      <c r="D36" s="60">
        <f t="shared" si="238"/>
        <v>0.50480109739368995</v>
      </c>
      <c r="E36" s="60">
        <f t="shared" si="238"/>
        <v>0.56130573248407645</v>
      </c>
      <c r="F36" s="60">
        <f t="shared" si="238"/>
        <v>0.28268022734071191</v>
      </c>
      <c r="G36" s="60">
        <f t="shared" si="238"/>
        <v>0.3969054826774302</v>
      </c>
      <c r="H36" s="60">
        <f t="shared" si="238"/>
        <v>0.44031668696711329</v>
      </c>
      <c r="I36" s="60">
        <f t="shared" si="238"/>
        <v>0.53866666666666663</v>
      </c>
      <c r="J36" s="60">
        <f t="shared" si="238"/>
        <v>0.29333717911739254</v>
      </c>
      <c r="K36" s="60">
        <f t="shared" si="238"/>
        <v>0.45880361173814899</v>
      </c>
      <c r="L36" s="60">
        <f t="shared" si="238"/>
        <v>0.50379283285377974</v>
      </c>
      <c r="M36" s="60">
        <f t="shared" si="238"/>
        <v>0.53373063170441004</v>
      </c>
      <c r="N36" s="60">
        <f t="shared" si="238"/>
        <v>0.35529874600442585</v>
      </c>
      <c r="O36" s="60">
        <f t="shared" si="238"/>
        <v>0.40544187092421857</v>
      </c>
      <c r="P36" s="60">
        <f t="shared" si="238"/>
        <v>0.4360820244328098</v>
      </c>
      <c r="Q36" s="60">
        <f t="shared" si="238"/>
        <v>0.49791044776119403</v>
      </c>
      <c r="R36" s="60">
        <f t="shared" si="238"/>
        <v>0.28648952095808383</v>
      </c>
      <c r="S36" s="60">
        <f t="shared" si="238"/>
        <v>0.37650008955758552</v>
      </c>
      <c r="T36" s="60">
        <f t="shared" si="238"/>
        <v>0.3977719528178244</v>
      </c>
      <c r="U36" s="60">
        <f t="shared" si="238"/>
        <v>0.45245466607695711</v>
      </c>
      <c r="V36" s="60">
        <f t="shared" si="238"/>
        <v>0.29604957397366383</v>
      </c>
      <c r="W36" s="60">
        <f t="shared" si="238"/>
        <v>0.39025162209210318</v>
      </c>
      <c r="X36" s="60">
        <f t="shared" si="238"/>
        <v>0.43116883116883115</v>
      </c>
      <c r="Y36" s="60">
        <f t="shared" si="238"/>
        <v>0.45599793840999869</v>
      </c>
      <c r="Z36" s="60">
        <f t="shared" si="238"/>
        <v>0.36025870372918672</v>
      </c>
      <c r="AA36" s="60">
        <f t="shared" si="238"/>
        <v>0.46055120237773572</v>
      </c>
      <c r="AB36" s="60">
        <f t="shared" si="238"/>
        <v>0.45986224170319351</v>
      </c>
      <c r="AC36" s="60">
        <f t="shared" si="238"/>
        <v>0.45367412140575081</v>
      </c>
      <c r="AD36" s="60">
        <f t="shared" si="238"/>
        <v>0.31870752354834864</v>
      </c>
      <c r="AE36" s="60">
        <f t="shared" si="238"/>
        <v>0.28431116905693177</v>
      </c>
      <c r="AF36" s="60">
        <f t="shared" si="238"/>
        <v>0.45487446279122373</v>
      </c>
      <c r="AG36" s="60">
        <f t="shared" si="238"/>
        <v>0.44081986143187069</v>
      </c>
      <c r="AH36" s="60">
        <f t="shared" ref="AH36:BD36" si="239">AH19/AH7</f>
        <v>0.37945450925741586</v>
      </c>
      <c r="AI36" s="60">
        <f t="shared" si="239"/>
        <v>0.29072461952777606</v>
      </c>
      <c r="AJ36" s="60">
        <f t="shared" si="239"/>
        <v>0.53332137411427039</v>
      </c>
      <c r="AK36" s="60">
        <f t="shared" si="239"/>
        <v>0.51987837324211328</v>
      </c>
      <c r="AL36" s="60">
        <f t="shared" si="239"/>
        <v>0.36970624681099207</v>
      </c>
      <c r="AM36" s="60">
        <f t="shared" si="239"/>
        <v>0.51588065447545717</v>
      </c>
      <c r="AN36" s="60">
        <f t="shared" si="239"/>
        <v>0.53795259560855024</v>
      </c>
      <c r="AO36" s="60">
        <f t="shared" si="239"/>
        <v>0.53803280765089623</v>
      </c>
      <c r="AP36" s="60">
        <f t="shared" si="239"/>
        <v>0.39830985915492956</v>
      </c>
      <c r="AQ36" s="60">
        <f t="shared" si="239"/>
        <v>0.53341815732355358</v>
      </c>
      <c r="AR36" s="60">
        <f t="shared" si="239"/>
        <v>0.63187170411038074</v>
      </c>
      <c r="AS36" s="60">
        <f t="shared" si="239"/>
        <v>0.73092899057163574</v>
      </c>
      <c r="AT36" s="60">
        <f t="shared" si="239"/>
        <v>0.56687423852714225</v>
      </c>
      <c r="AU36" s="60">
        <f t="shared" si="239"/>
        <v>0.61919960716916278</v>
      </c>
      <c r="AV36" s="60">
        <f t="shared" si="239"/>
        <v>0.73909874893720395</v>
      </c>
      <c r="AW36" s="60">
        <f t="shared" si="239"/>
        <v>0.67910228828476438</v>
      </c>
      <c r="AX36" s="60">
        <f t="shared" si="239"/>
        <v>0.53515667649306697</v>
      </c>
      <c r="AY36" s="60">
        <f t="shared" si="239"/>
        <v>0.53914944356120831</v>
      </c>
      <c r="AZ36" s="60">
        <f t="shared" si="239"/>
        <v>0.59454781479878838</v>
      </c>
      <c r="BA36" s="60">
        <f t="shared" si="239"/>
        <v>0.62219462432360506</v>
      </c>
      <c r="BB36" s="60">
        <f t="shared" si="239"/>
        <v>0.45744485294117648</v>
      </c>
      <c r="BC36" s="60">
        <f t="shared" si="239"/>
        <v>0.54004796163069546</v>
      </c>
      <c r="BD36" s="60">
        <f t="shared" si="239"/>
        <v>0.5678766782695176</v>
      </c>
      <c r="BE36" s="60">
        <f t="shared" ref="BE36:BF36" si="240">BE19/BE7</f>
        <v>0.60468088505471684</v>
      </c>
      <c r="BF36" s="60">
        <f t="shared" si="240"/>
        <v>0.45436665886209321</v>
      </c>
      <c r="BG36" s="60">
        <f t="shared" ref="BG36:BH36" si="241">BG19/BG7</f>
        <v>0.52145804676753782</v>
      </c>
      <c r="BH36" s="60">
        <f t="shared" si="241"/>
        <v>0.55463412538134316</v>
      </c>
      <c r="BI36" s="60">
        <f t="shared" ref="BI36:BJ36" si="242">BI19/BI7</f>
        <v>0.60556984407651504</v>
      </c>
      <c r="BJ36" s="60">
        <f t="shared" si="242"/>
        <v>0.42910560020630079</v>
      </c>
      <c r="BK36" s="60">
        <f t="shared" ref="BK36:BL36" si="243">BK19/BK7</f>
        <v>0.46588559614059272</v>
      </c>
      <c r="BL36" s="60">
        <f t="shared" si="243"/>
        <v>0.46872163770210762</v>
      </c>
      <c r="BM36" s="68">
        <f t="shared" ref="BM36:BQ37" si="244">BI36</f>
        <v>0.60556984407651504</v>
      </c>
      <c r="BN36" s="68">
        <f t="shared" si="244"/>
        <v>0.42910560020630079</v>
      </c>
      <c r="BO36" s="68">
        <f t="shared" si="244"/>
        <v>0.46588559614059272</v>
      </c>
      <c r="BP36" s="68">
        <f t="shared" si="244"/>
        <v>0.46872163770210762</v>
      </c>
      <c r="BQ36" s="68">
        <f t="shared" si="244"/>
        <v>0.60556984407651504</v>
      </c>
      <c r="BR36" s="68">
        <f t="shared" ref="BR36:BR37" si="245">BN36</f>
        <v>0.42910560020630079</v>
      </c>
      <c r="BS36" s="68">
        <f t="shared" ref="BS36:BS37" si="246">BO36</f>
        <v>0.46588559614059272</v>
      </c>
      <c r="BT36" s="68">
        <f t="shared" ref="BT36:BT37" si="247">BP36</f>
        <v>0.46872163770210762</v>
      </c>
      <c r="BU36" s="68">
        <f t="shared" ref="BU36:BU37" si="248">BQ36</f>
        <v>0.60556984407651504</v>
      </c>
      <c r="BV36" s="68">
        <f t="shared" ref="BV36:BV37" si="249">BR36</f>
        <v>0.42910560020630079</v>
      </c>
      <c r="BW36" s="68">
        <f t="shared" ref="BW36:BW37" si="250">BS36</f>
        <v>0.46588559614059272</v>
      </c>
      <c r="BX36" s="68">
        <f t="shared" ref="BX36:BX37" si="251">BT36</f>
        <v>0.46872163770210762</v>
      </c>
      <c r="BY36" s="68">
        <f t="shared" ref="BY36:BY37" si="252">BU36</f>
        <v>0.60556984407651504</v>
      </c>
      <c r="BZ36" s="68">
        <f t="shared" ref="BZ36:BZ37" si="253">BV36</f>
        <v>0.42910560020630079</v>
      </c>
      <c r="CA36" s="68">
        <f t="shared" ref="CA36:CA37" si="254">BW36</f>
        <v>0.46588559614059272</v>
      </c>
      <c r="CB36" s="68">
        <f t="shared" ref="CB36:CB37" si="255">BX36</f>
        <v>0.46872163770210762</v>
      </c>
      <c r="CC36" s="68">
        <f t="shared" ref="CC36:CC37" si="256">BY36</f>
        <v>0.60556984407651504</v>
      </c>
      <c r="CD36" s="68">
        <f t="shared" ref="CD36:CD38" si="257">BZ36</f>
        <v>0.42910560020630079</v>
      </c>
      <c r="CE36" s="68">
        <f t="shared" ref="CE36:CE38" si="258">CA36</f>
        <v>0.46588559614059272</v>
      </c>
      <c r="CF36" s="68">
        <f t="shared" ref="CF36:CF38" si="259">CB36</f>
        <v>0.46872163770210762</v>
      </c>
      <c r="CG36" s="68">
        <f t="shared" ref="CG36:CG38" si="260">CC36</f>
        <v>0.60556984407651504</v>
      </c>
      <c r="CH36" s="68"/>
    </row>
    <row r="37" spans="1:86" x14ac:dyDescent="0.2">
      <c r="A37" s="1" t="s">
        <v>268</v>
      </c>
      <c r="B37" s="60">
        <f t="shared" ref="B37:AG37" si="261">B20/B$4</f>
        <v>0.77732793522267207</v>
      </c>
      <c r="C37" s="60">
        <f t="shared" si="261"/>
        <v>1.0244897959183674</v>
      </c>
      <c r="D37" s="60">
        <f t="shared" si="261"/>
        <v>1.1258366800535475</v>
      </c>
      <c r="E37" s="60">
        <f t="shared" si="261"/>
        <v>1.0957810718358039</v>
      </c>
      <c r="F37" s="60">
        <f t="shared" si="261"/>
        <v>1.6321070234113713</v>
      </c>
      <c r="G37" s="60">
        <f t="shared" si="261"/>
        <v>1.4084905660377358</v>
      </c>
      <c r="H37" s="60">
        <f t="shared" si="261"/>
        <v>0.98717948717948723</v>
      </c>
      <c r="I37" s="60">
        <f t="shared" si="261"/>
        <v>1.0960000000000001</v>
      </c>
      <c r="J37" s="60">
        <f t="shared" si="261"/>
        <v>0.97499999999999998</v>
      </c>
      <c r="K37" s="60">
        <f t="shared" si="261"/>
        <v>1.9913106444605357</v>
      </c>
      <c r="L37" s="60">
        <f t="shared" si="261"/>
        <v>1.9885954381752702</v>
      </c>
      <c r="M37" s="60">
        <f t="shared" si="261"/>
        <v>1.7238095238095239</v>
      </c>
      <c r="N37" s="60">
        <f t="shared" si="261"/>
        <v>1.3844383057090239</v>
      </c>
      <c r="O37" s="60">
        <f t="shared" si="261"/>
        <v>1.5123739688359303</v>
      </c>
      <c r="P37" s="60">
        <f t="shared" si="261"/>
        <v>1.2606732348111658</v>
      </c>
      <c r="Q37" s="60">
        <f t="shared" si="261"/>
        <v>1.2750424448217317</v>
      </c>
      <c r="R37" s="60">
        <f t="shared" si="261"/>
        <v>1.2106227106227105</v>
      </c>
      <c r="S37" s="60">
        <f t="shared" si="261"/>
        <v>2.1230496453900711</v>
      </c>
      <c r="T37" s="60">
        <f t="shared" si="261"/>
        <v>1.8320884374066329</v>
      </c>
      <c r="U37" s="60">
        <f t="shared" si="261"/>
        <v>1.3448589626933576</v>
      </c>
      <c r="V37" s="60">
        <f t="shared" si="261"/>
        <v>1.4925273995350381</v>
      </c>
      <c r="W37" s="60">
        <f t="shared" si="261"/>
        <v>1.3711790393013101</v>
      </c>
      <c r="X37" s="60">
        <f t="shared" si="261"/>
        <v>1.3246902909824259</v>
      </c>
      <c r="Y37" s="60">
        <f t="shared" si="261"/>
        <v>1.1536414226953786</v>
      </c>
      <c r="Z37" s="60">
        <f t="shared" si="261"/>
        <v>1.1702072538860104</v>
      </c>
      <c r="AA37" s="60">
        <f t="shared" si="261"/>
        <v>1.0835138387484957</v>
      </c>
      <c r="AB37" s="60">
        <f t="shared" si="261"/>
        <v>1.0715076378127075</v>
      </c>
      <c r="AC37" s="60">
        <f t="shared" si="261"/>
        <v>1.0569413383794943</v>
      </c>
      <c r="AD37" s="60">
        <f t="shared" si="261"/>
        <v>1.0526519550909794</v>
      </c>
      <c r="AE37" s="60">
        <f t="shared" si="261"/>
        <v>1.620598258235517</v>
      </c>
      <c r="AF37" s="60">
        <f t="shared" si="261"/>
        <v>1.6484236627701028</v>
      </c>
      <c r="AG37" s="60">
        <f t="shared" si="261"/>
        <v>1.301906102085199</v>
      </c>
      <c r="AH37" s="60">
        <f t="shared" ref="AH37:BD37" si="262">AH20/AH$4</f>
        <v>1.4020058503969912</v>
      </c>
      <c r="AI37" s="60">
        <f t="shared" si="262"/>
        <v>2.0448881146991824</v>
      </c>
      <c r="AJ37" s="60">
        <f t="shared" si="262"/>
        <v>2.0698792050915702</v>
      </c>
      <c r="AK37" s="60">
        <f t="shared" si="262"/>
        <v>1.6178210265216562</v>
      </c>
      <c r="AL37" s="60">
        <f t="shared" si="262"/>
        <v>2.1177884615384617</v>
      </c>
      <c r="AM37" s="60">
        <f t="shared" si="262"/>
        <v>1.9708689600318154</v>
      </c>
      <c r="AN37" s="60">
        <f t="shared" si="262"/>
        <v>2.0875173645564598</v>
      </c>
      <c r="AO37" s="60">
        <f t="shared" si="262"/>
        <v>1.8425593098490294</v>
      </c>
      <c r="AP37" s="60">
        <f t="shared" si="262"/>
        <v>1.9601908065915004</v>
      </c>
      <c r="AQ37" s="60">
        <f t="shared" si="262"/>
        <v>2.0597014925373136</v>
      </c>
      <c r="AR37" s="60">
        <f t="shared" si="262"/>
        <v>1.9790749749054126</v>
      </c>
      <c r="AS37" s="60">
        <f t="shared" si="262"/>
        <v>1.8336749071346228</v>
      </c>
      <c r="AT37" s="60">
        <f t="shared" si="262"/>
        <v>2.1355013550135502</v>
      </c>
      <c r="AU37" s="60">
        <f t="shared" si="262"/>
        <v>1.8944306445286965</v>
      </c>
      <c r="AV37" s="60">
        <f t="shared" si="262"/>
        <v>1.8677045214910377</v>
      </c>
      <c r="AW37" s="60">
        <f t="shared" si="262"/>
        <v>1.5968508767445426</v>
      </c>
      <c r="AX37" s="60">
        <f t="shared" si="262"/>
        <v>1.8769379294678858</v>
      </c>
      <c r="AY37" s="60">
        <f t="shared" si="262"/>
        <v>1.8432643935159307</v>
      </c>
      <c r="AZ37" s="60">
        <f t="shared" si="262"/>
        <v>1.8124353403683013</v>
      </c>
      <c r="BA37" s="60">
        <f t="shared" si="262"/>
        <v>1.6891644733907303</v>
      </c>
      <c r="BB37" s="60">
        <f t="shared" si="262"/>
        <v>2.286009210735271</v>
      </c>
      <c r="BC37" s="60">
        <f t="shared" si="262"/>
        <v>2.5439909180040248</v>
      </c>
      <c r="BD37" s="60">
        <f t="shared" si="262"/>
        <v>2.7008306212658475</v>
      </c>
      <c r="BE37" s="60">
        <f t="shared" ref="BE37:BF37" si="263">BE20/BE$4</f>
        <v>1.9571834329560389</v>
      </c>
      <c r="BF37" s="60">
        <f t="shared" si="263"/>
        <v>2.3405085235481073</v>
      </c>
      <c r="BG37" s="60">
        <f t="shared" ref="BG37:BH37" si="264">BG20/BG$4</f>
        <v>2.1382459312839059</v>
      </c>
      <c r="BH37" s="60">
        <f t="shared" si="264"/>
        <v>2.0472423643155349</v>
      </c>
      <c r="BI37" s="60">
        <f t="shared" ref="BI37:BJ37" si="265">BI20/BI$4</f>
        <v>1.9882786726178925</v>
      </c>
      <c r="BJ37" s="60">
        <f t="shared" si="265"/>
        <v>2.5781630035820102</v>
      </c>
      <c r="BK37" s="60">
        <f t="shared" ref="BK37:BL37" si="266">BK20/BK$4</f>
        <v>2.1385304512205145</v>
      </c>
      <c r="BL37" s="60">
        <f t="shared" si="266"/>
        <v>2.2434982825652061</v>
      </c>
      <c r="BM37" s="68">
        <f t="shared" si="244"/>
        <v>1.9882786726178925</v>
      </c>
      <c r="BN37" s="68">
        <f t="shared" si="244"/>
        <v>2.5781630035820102</v>
      </c>
      <c r="BO37" s="68">
        <f t="shared" si="244"/>
        <v>2.1385304512205145</v>
      </c>
      <c r="BP37" s="68">
        <f t="shared" si="244"/>
        <v>2.2434982825652061</v>
      </c>
      <c r="BQ37" s="68">
        <f t="shared" si="244"/>
        <v>1.9882786726178925</v>
      </c>
      <c r="BR37" s="68">
        <f t="shared" si="245"/>
        <v>2.5781630035820102</v>
      </c>
      <c r="BS37" s="68">
        <f t="shared" si="246"/>
        <v>2.1385304512205145</v>
      </c>
      <c r="BT37" s="68">
        <f t="shared" si="247"/>
        <v>2.2434982825652061</v>
      </c>
      <c r="BU37" s="68">
        <f t="shared" si="248"/>
        <v>1.9882786726178925</v>
      </c>
      <c r="BV37" s="68">
        <f t="shared" si="249"/>
        <v>2.5781630035820102</v>
      </c>
      <c r="BW37" s="68">
        <f t="shared" si="250"/>
        <v>2.1385304512205145</v>
      </c>
      <c r="BX37" s="68">
        <f t="shared" si="251"/>
        <v>2.2434982825652061</v>
      </c>
      <c r="BY37" s="68">
        <f t="shared" si="252"/>
        <v>1.9882786726178925</v>
      </c>
      <c r="BZ37" s="68">
        <f t="shared" si="253"/>
        <v>2.5781630035820102</v>
      </c>
      <c r="CA37" s="68">
        <f t="shared" si="254"/>
        <v>2.1385304512205145</v>
      </c>
      <c r="CB37" s="68">
        <f t="shared" si="255"/>
        <v>2.2434982825652061</v>
      </c>
      <c r="CC37" s="68">
        <f t="shared" si="256"/>
        <v>1.9882786726178925</v>
      </c>
      <c r="CD37" s="68">
        <f t="shared" si="257"/>
        <v>2.5781630035820102</v>
      </c>
      <c r="CE37" s="68">
        <f t="shared" si="258"/>
        <v>2.1385304512205145</v>
      </c>
      <c r="CF37" s="68">
        <f t="shared" si="259"/>
        <v>2.2434982825652061</v>
      </c>
      <c r="CG37" s="68">
        <f t="shared" si="260"/>
        <v>1.9882786726178925</v>
      </c>
      <c r="CH37" s="68"/>
    </row>
    <row r="38" spans="1:86" x14ac:dyDescent="0.2">
      <c r="A38" s="1" t="s">
        <v>269</v>
      </c>
      <c r="B38" s="60">
        <f t="shared" ref="B38:AG38" si="267">B21/B$6</f>
        <v>0.40677966101694918</v>
      </c>
      <c r="C38" s="60">
        <f t="shared" si="267"/>
        <v>0.39087759815242495</v>
      </c>
      <c r="D38" s="60">
        <f t="shared" si="267"/>
        <v>0.41662049861495842</v>
      </c>
      <c r="E38" s="60">
        <f t="shared" si="267"/>
        <v>0.4277428709521508</v>
      </c>
      <c r="F38" s="60">
        <f t="shared" si="267"/>
        <v>0.42717018146150071</v>
      </c>
      <c r="G38" s="60">
        <f t="shared" si="267"/>
        <v>0.43371212121212122</v>
      </c>
      <c r="H38" s="60">
        <f t="shared" si="267"/>
        <v>0.43568840579710144</v>
      </c>
      <c r="I38" s="60">
        <f t="shared" si="267"/>
        <v>0.47634584013050568</v>
      </c>
      <c r="J38" s="60">
        <f t="shared" si="267"/>
        <v>0.46392985253088881</v>
      </c>
      <c r="K38" s="60">
        <f t="shared" si="267"/>
        <v>0.45140222819823284</v>
      </c>
      <c r="L38" s="60">
        <f t="shared" si="267"/>
        <v>0.3994232155731795</v>
      </c>
      <c r="M38" s="60">
        <f t="shared" si="267"/>
        <v>0.47868532378782946</v>
      </c>
      <c r="N38" s="60">
        <f t="shared" si="267"/>
        <v>0.48481781376518218</v>
      </c>
      <c r="O38" s="60">
        <f t="shared" si="267"/>
        <v>0.48390308662462661</v>
      </c>
      <c r="P38" s="60">
        <f t="shared" si="267"/>
        <v>0.49512277161116719</v>
      </c>
      <c r="Q38" s="60">
        <f t="shared" si="267"/>
        <v>0.5226723095525998</v>
      </c>
      <c r="R38" s="60">
        <f t="shared" si="267"/>
        <v>0.51810584958217265</v>
      </c>
      <c r="S38" s="60">
        <f t="shared" si="267"/>
        <v>0.51183970856102001</v>
      </c>
      <c r="T38" s="60">
        <f t="shared" si="267"/>
        <v>0.52598566308243733</v>
      </c>
      <c r="U38" s="60">
        <f t="shared" si="267"/>
        <v>0.53863134657836642</v>
      </c>
      <c r="V38" s="60">
        <f t="shared" si="267"/>
        <v>0.5246636771300448</v>
      </c>
      <c r="W38" s="60">
        <f t="shared" si="267"/>
        <v>0.53982824992596978</v>
      </c>
      <c r="X38" s="60">
        <f t="shared" si="267"/>
        <v>0.53252944475602915</v>
      </c>
      <c r="Y38" s="60">
        <f t="shared" si="267"/>
        <v>0.57435265104808875</v>
      </c>
      <c r="Z38" s="60">
        <f t="shared" si="267"/>
        <v>0.58790918690601901</v>
      </c>
      <c r="AA38" s="60">
        <f t="shared" si="267"/>
        <v>0.58993710691823897</v>
      </c>
      <c r="AB38" s="60">
        <f t="shared" si="267"/>
        <v>0.60784313725490191</v>
      </c>
      <c r="AC38" s="60">
        <f t="shared" si="267"/>
        <v>0.6068481848184818</v>
      </c>
      <c r="AD38" s="60">
        <f t="shared" si="267"/>
        <v>0.6238928494275221</v>
      </c>
      <c r="AE38" s="60">
        <f t="shared" si="267"/>
        <v>0.59065016696130423</v>
      </c>
      <c r="AF38" s="60">
        <f t="shared" si="267"/>
        <v>0.58160668847691743</v>
      </c>
      <c r="AG38" s="60">
        <f t="shared" si="267"/>
        <v>0.61627906976744184</v>
      </c>
      <c r="AH38" s="60">
        <f t="shared" ref="AH38:BD38" si="268">AH21/AH$6</f>
        <v>0.59208015267175573</v>
      </c>
      <c r="AI38" s="60">
        <f t="shared" si="268"/>
        <v>0.58068535825545176</v>
      </c>
      <c r="AJ38" s="60">
        <f t="shared" si="268"/>
        <v>0.5891826192646612</v>
      </c>
      <c r="AK38" s="60">
        <f t="shared" si="268"/>
        <v>0.61753630984400221</v>
      </c>
      <c r="AL38" s="60">
        <f t="shared" si="268"/>
        <v>0.62944606413994164</v>
      </c>
      <c r="AM38" s="60">
        <f t="shared" si="268"/>
        <v>0.63097540757115222</v>
      </c>
      <c r="AN38" s="60">
        <f t="shared" si="268"/>
        <v>0.64552736982643522</v>
      </c>
      <c r="AO38" s="60">
        <f t="shared" si="268"/>
        <v>0.69591812727914359</v>
      </c>
      <c r="AP38" s="60">
        <f t="shared" si="268"/>
        <v>0.66854535695115402</v>
      </c>
      <c r="AQ38" s="60">
        <f t="shared" si="268"/>
        <v>0.74768449357633704</v>
      </c>
      <c r="AR38" s="60">
        <f t="shared" si="268"/>
        <v>0.73842762674504037</v>
      </c>
      <c r="AS38" s="60">
        <f t="shared" si="268"/>
        <v>0.71660615325816934</v>
      </c>
      <c r="AT38" s="60">
        <f t="shared" si="268"/>
        <v>0.71684514003294897</v>
      </c>
      <c r="AU38" s="60">
        <f t="shared" si="268"/>
        <v>0.68057461798883701</v>
      </c>
      <c r="AV38" s="60">
        <f t="shared" si="268"/>
        <v>0.67359540789702554</v>
      </c>
      <c r="AW38" s="60">
        <f t="shared" si="268"/>
        <v>0.66999329708795707</v>
      </c>
      <c r="AX38" s="60">
        <f t="shared" si="268"/>
        <v>0.6768974145120934</v>
      </c>
      <c r="AY38" s="60">
        <f t="shared" si="268"/>
        <v>0.64589814966431969</v>
      </c>
      <c r="AZ38" s="60">
        <f t="shared" si="268"/>
        <v>0.64789446981227805</v>
      </c>
      <c r="BA38" s="60">
        <f t="shared" si="268"/>
        <v>0.64758220502901354</v>
      </c>
      <c r="BB38" s="60">
        <f t="shared" si="268"/>
        <v>0.6668373005716236</v>
      </c>
      <c r="BC38" s="60">
        <f t="shared" si="268"/>
        <v>0.63731355188641625</v>
      </c>
      <c r="BD38" s="60">
        <f t="shared" si="268"/>
        <v>0.63478879924062648</v>
      </c>
      <c r="BE38" s="60">
        <f t="shared" ref="BE38:BF38" si="269">BE21/BE$6</f>
        <v>0.63463463463463465</v>
      </c>
      <c r="BF38" s="60">
        <f t="shared" si="269"/>
        <v>0.65811833771048978</v>
      </c>
      <c r="BG38" s="60">
        <f t="shared" ref="BG38:BH38" si="270">BG21/BG$6</f>
        <v>0.66474938373048476</v>
      </c>
      <c r="BH38" s="60">
        <f t="shared" si="270"/>
        <v>0.6826299292951381</v>
      </c>
      <c r="BI38" s="60">
        <f t="shared" ref="BI38:BJ38" si="271">BI21/BI$6</f>
        <v>0.66015625</v>
      </c>
      <c r="BJ38" s="60">
        <f t="shared" si="271"/>
        <v>0.72483270293860924</v>
      </c>
      <c r="BK38" s="60">
        <f t="shared" ref="BK38:BL38" si="272">BK21/BK$6</f>
        <v>0.66555593335600138</v>
      </c>
      <c r="BL38" s="60">
        <f t="shared" si="272"/>
        <v>0.67766872815272927</v>
      </c>
      <c r="BM38" s="68">
        <f t="shared" ref="BM38:BQ38" si="273">BI38</f>
        <v>0.66015625</v>
      </c>
      <c r="BN38" s="68">
        <f t="shared" si="273"/>
        <v>0.72483270293860924</v>
      </c>
      <c r="BO38" s="68">
        <f t="shared" si="273"/>
        <v>0.66555593335600138</v>
      </c>
      <c r="BP38" s="68">
        <f t="shared" si="273"/>
        <v>0.67766872815272927</v>
      </c>
      <c r="BQ38" s="68">
        <f t="shared" si="273"/>
        <v>0.66015625</v>
      </c>
      <c r="BR38" s="68">
        <f t="shared" ref="BR38" si="274">BN38</f>
        <v>0.72483270293860924</v>
      </c>
      <c r="BS38" s="68">
        <f t="shared" ref="BS38" si="275">BO38</f>
        <v>0.66555593335600138</v>
      </c>
      <c r="BT38" s="68">
        <f t="shared" ref="BT38" si="276">BP38</f>
        <v>0.67766872815272927</v>
      </c>
      <c r="BU38" s="68">
        <f t="shared" ref="BU38" si="277">BQ38</f>
        <v>0.66015625</v>
      </c>
      <c r="BV38" s="68">
        <f t="shared" ref="BV38" si="278">BR38</f>
        <v>0.72483270293860924</v>
      </c>
      <c r="BW38" s="68">
        <f t="shared" ref="BW38" si="279">BS38</f>
        <v>0.66555593335600138</v>
      </c>
      <c r="BX38" s="68">
        <f t="shared" ref="BX38" si="280">BT38</f>
        <v>0.67766872815272927</v>
      </c>
      <c r="BY38" s="68">
        <f t="shared" ref="BY38" si="281">BU38</f>
        <v>0.66015625</v>
      </c>
      <c r="BZ38" s="68">
        <f t="shared" ref="BZ38" si="282">BV38</f>
        <v>0.72483270293860924</v>
      </c>
      <c r="CA38" s="68">
        <f t="shared" ref="CA38" si="283">BW38</f>
        <v>0.66555593335600138</v>
      </c>
      <c r="CB38" s="68">
        <f t="shared" ref="CB38" si="284">BX38</f>
        <v>0.67766872815272927</v>
      </c>
      <c r="CC38" s="68">
        <f t="shared" ref="CC38" si="285">BY38</f>
        <v>0.66015625</v>
      </c>
      <c r="CD38" s="68">
        <f t="shared" si="257"/>
        <v>0.72483270293860924</v>
      </c>
      <c r="CE38" s="68">
        <f t="shared" si="258"/>
        <v>0.66555593335600138</v>
      </c>
      <c r="CF38" s="68">
        <f t="shared" si="259"/>
        <v>0.67766872815272927</v>
      </c>
      <c r="CG38" s="68">
        <f t="shared" si="260"/>
        <v>0.66015625</v>
      </c>
      <c r="CH38" s="68"/>
    </row>
    <row r="39" spans="1:86" x14ac:dyDescent="0.2">
      <c r="A39" s="1" t="s">
        <v>270</v>
      </c>
      <c r="B39" s="20">
        <f t="shared" ref="B39:AG39" si="286">B12-B23</f>
        <v>-450</v>
      </c>
      <c r="C39" s="20">
        <f t="shared" si="286"/>
        <v>309</v>
      </c>
      <c r="D39" s="20">
        <f t="shared" si="286"/>
        <v>228</v>
      </c>
      <c r="E39" s="20">
        <f t="shared" si="286"/>
        <v>-37</v>
      </c>
      <c r="F39" s="20">
        <f t="shared" si="286"/>
        <v>27</v>
      </c>
      <c r="G39" s="20">
        <f t="shared" si="286"/>
        <v>347</v>
      </c>
      <c r="H39" s="20">
        <f t="shared" si="286"/>
        <v>133</v>
      </c>
      <c r="I39" s="20">
        <f t="shared" si="286"/>
        <v>-197</v>
      </c>
      <c r="J39" s="20">
        <f t="shared" si="286"/>
        <v>-239</v>
      </c>
      <c r="K39" s="20">
        <f t="shared" si="286"/>
        <v>-157</v>
      </c>
      <c r="L39" s="20">
        <f t="shared" si="286"/>
        <v>-45</v>
      </c>
      <c r="M39" s="20">
        <f t="shared" si="286"/>
        <v>-240</v>
      </c>
      <c r="N39" s="20">
        <f t="shared" si="286"/>
        <v>358</v>
      </c>
      <c r="O39" s="20">
        <f t="shared" si="286"/>
        <v>72</v>
      </c>
      <c r="P39" s="20">
        <f t="shared" si="286"/>
        <v>571</v>
      </c>
      <c r="Q39" s="20">
        <f t="shared" si="286"/>
        <v>384</v>
      </c>
      <c r="R39" s="20">
        <f t="shared" si="286"/>
        <v>-1484</v>
      </c>
      <c r="S39" s="20">
        <f t="shared" si="286"/>
        <v>1118</v>
      </c>
      <c r="T39" s="20">
        <f t="shared" si="286"/>
        <v>957</v>
      </c>
      <c r="U39" s="20">
        <f t="shared" si="286"/>
        <v>495</v>
      </c>
      <c r="V39" s="20">
        <f t="shared" si="286"/>
        <v>778</v>
      </c>
      <c r="W39" s="20">
        <f t="shared" si="286"/>
        <v>-948</v>
      </c>
      <c r="X39" s="20">
        <f t="shared" si="286"/>
        <v>72</v>
      </c>
      <c r="Y39" s="20">
        <f t="shared" si="286"/>
        <v>1601</v>
      </c>
      <c r="Z39" s="20">
        <f t="shared" si="286"/>
        <v>1474</v>
      </c>
      <c r="AA39" s="20">
        <f t="shared" si="286"/>
        <v>391</v>
      </c>
      <c r="AB39" s="20">
        <f t="shared" si="286"/>
        <v>245</v>
      </c>
      <c r="AC39" s="20">
        <f t="shared" si="286"/>
        <v>-459</v>
      </c>
      <c r="AD39" s="20">
        <f t="shared" si="286"/>
        <v>-747</v>
      </c>
      <c r="AE39" s="20">
        <f t="shared" si="286"/>
        <v>741</v>
      </c>
      <c r="AF39" s="20">
        <f t="shared" si="286"/>
        <v>61</v>
      </c>
      <c r="AG39" s="20">
        <f t="shared" si="286"/>
        <v>-512</v>
      </c>
      <c r="AH39" s="20">
        <f t="shared" ref="AH39:BD39" si="287">AH12-AH23</f>
        <v>-1306</v>
      </c>
      <c r="AI39" s="20">
        <f t="shared" si="287"/>
        <v>-988</v>
      </c>
      <c r="AJ39" s="20">
        <f t="shared" si="287"/>
        <v>170</v>
      </c>
      <c r="AK39" s="20">
        <f t="shared" si="287"/>
        <v>286</v>
      </c>
      <c r="AL39" s="20">
        <f t="shared" si="287"/>
        <v>-650</v>
      </c>
      <c r="AM39" s="20">
        <f t="shared" si="287"/>
        <v>-184</v>
      </c>
      <c r="AN39" s="20">
        <f t="shared" si="287"/>
        <v>61</v>
      </c>
      <c r="AO39" s="20">
        <f t="shared" si="287"/>
        <v>1892</v>
      </c>
      <c r="AP39" s="20">
        <f t="shared" si="287"/>
        <v>997</v>
      </c>
      <c r="AQ39" s="20">
        <f t="shared" si="287"/>
        <v>-581</v>
      </c>
      <c r="AR39" s="20">
        <f t="shared" si="287"/>
        <v>-511</v>
      </c>
      <c r="AS39" s="20">
        <f t="shared" si="287"/>
        <v>-1031</v>
      </c>
      <c r="AT39" s="20">
        <f t="shared" si="287"/>
        <v>-1400</v>
      </c>
      <c r="AU39" s="20">
        <f t="shared" si="287"/>
        <v>-927</v>
      </c>
      <c r="AV39" s="20">
        <f t="shared" si="287"/>
        <v>-3417</v>
      </c>
      <c r="AW39" s="20">
        <f t="shared" si="287"/>
        <v>158</v>
      </c>
      <c r="AX39" s="20">
        <f t="shared" si="287"/>
        <v>-3425</v>
      </c>
      <c r="AY39" s="20">
        <f t="shared" si="287"/>
        <v>-590</v>
      </c>
      <c r="AZ39" s="20">
        <f t="shared" si="287"/>
        <v>454</v>
      </c>
      <c r="BA39" s="20">
        <f t="shared" si="287"/>
        <v>0</v>
      </c>
      <c r="BB39" s="20">
        <f t="shared" si="287"/>
        <v>0</v>
      </c>
      <c r="BC39" s="20">
        <f t="shared" si="287"/>
        <v>0</v>
      </c>
      <c r="BD39" s="20">
        <f t="shared" si="287"/>
        <v>0</v>
      </c>
      <c r="BE39" s="20">
        <f t="shared" ref="BE39:BF39" si="288">BE12-BE23</f>
        <v>0</v>
      </c>
      <c r="BF39" s="20">
        <f t="shared" si="288"/>
        <v>0</v>
      </c>
      <c r="BG39" s="20">
        <f t="shared" ref="BG39:BH39" si="289">BG12-BG23</f>
        <v>0</v>
      </c>
      <c r="BH39" s="20">
        <f t="shared" si="289"/>
        <v>0</v>
      </c>
      <c r="BI39" s="20">
        <f t="shared" ref="BI39:BJ39" si="290">BI12-BI23</f>
        <v>0</v>
      </c>
      <c r="BJ39" s="20">
        <f t="shared" si="290"/>
        <v>0</v>
      </c>
      <c r="BK39" s="20">
        <f t="shared" ref="BK39:BL39" si="291">BK12-BK23</f>
        <v>0</v>
      </c>
      <c r="BL39" s="20">
        <f t="shared" si="291"/>
        <v>0</v>
      </c>
      <c r="BM39" s="20">
        <f>BM40*'Income Statement'!BM255</f>
        <v>0</v>
      </c>
      <c r="BN39" s="20">
        <f>BN40*'Income Statement'!BN255</f>
        <v>0</v>
      </c>
      <c r="BO39" s="20">
        <f>BO40*'Income Statement'!BO255</f>
        <v>0</v>
      </c>
      <c r="BP39" s="20">
        <f>BP40*'Income Statement'!BP255</f>
        <v>0</v>
      </c>
      <c r="BQ39" s="20">
        <f>BQ40*'Income Statement'!BQ255</f>
        <v>0</v>
      </c>
      <c r="BR39" s="20">
        <f>BR40*'Income Statement'!BR255</f>
        <v>0</v>
      </c>
      <c r="BS39" s="20">
        <f>BS40*'Income Statement'!BS255</f>
        <v>0</v>
      </c>
      <c r="BT39" s="20">
        <f>BT40*'Income Statement'!BT255</f>
        <v>0</v>
      </c>
      <c r="BU39" s="20">
        <f>BU40*'Income Statement'!BU255</f>
        <v>0</v>
      </c>
      <c r="BV39" s="20">
        <f>BV40*'Income Statement'!BV255</f>
        <v>0</v>
      </c>
      <c r="BW39" s="20">
        <f>BW40*'Income Statement'!BW255</f>
        <v>0</v>
      </c>
      <c r="BX39" s="20">
        <f>BX40*'Income Statement'!BX255</f>
        <v>0</v>
      </c>
      <c r="BY39" s="20">
        <f>BY40*'Income Statement'!BY255</f>
        <v>0</v>
      </c>
      <c r="BZ39" s="20">
        <f>BZ40*'Income Statement'!BZ255</f>
        <v>0</v>
      </c>
      <c r="CA39" s="20">
        <f>CA40*'Income Statement'!CA255</f>
        <v>0</v>
      </c>
      <c r="CB39" s="20">
        <f>CB40*'Income Statement'!CB255</f>
        <v>0</v>
      </c>
      <c r="CC39" s="20">
        <f>CC40*'Income Statement'!CC255</f>
        <v>0</v>
      </c>
      <c r="CD39" s="20">
        <f>CD40*'Income Statement'!CD255</f>
        <v>0</v>
      </c>
      <c r="CE39" s="20">
        <f>CE40*'Income Statement'!CE255</f>
        <v>0</v>
      </c>
      <c r="CF39" s="20">
        <f>CF40*'Income Statement'!CF255</f>
        <v>0</v>
      </c>
      <c r="CG39" s="20">
        <f>CG40*'Income Statement'!CG255</f>
        <v>0</v>
      </c>
      <c r="CH39" s="20"/>
    </row>
    <row r="40" spans="1:86" x14ac:dyDescent="0.2">
      <c r="A40" s="1" t="s">
        <v>271</v>
      </c>
      <c r="B40" s="64">
        <f>B39/'Income Statement'!B255</f>
        <v>0.81669691470054451</v>
      </c>
      <c r="C40" s="64">
        <f>C39/'Income Statement'!C255</f>
        <v>-0.52020202020202022</v>
      </c>
      <c r="D40" s="64">
        <f>D39/'Income Statement'!D255</f>
        <v>-0.41681901279707495</v>
      </c>
      <c r="E40" s="64">
        <f>E39/'Income Statement'!E255</f>
        <v>6.1769616026711188E-2</v>
      </c>
      <c r="F40" s="64">
        <f>F39/'Income Statement'!F255</f>
        <v>-4.5454545454545456E-2</v>
      </c>
      <c r="G40" s="64">
        <f>G39/'Income Statement'!G255</f>
        <v>-0.59827586206896555</v>
      </c>
      <c r="H40" s="64">
        <f>H39/'Income Statement'!H255</f>
        <v>-0.21077654516640254</v>
      </c>
      <c r="I40" s="64">
        <f>I39/'Income Statement'!I255</f>
        <v>0.25127551020408162</v>
      </c>
      <c r="J40" s="64">
        <f>J39/'Income Statement'!J255</f>
        <v>0.36488549618320609</v>
      </c>
      <c r="K40" s="64">
        <f>K39/'Income Statement'!K255</f>
        <v>0.23363095238095238</v>
      </c>
      <c r="L40" s="64">
        <f>L39/'Income Statement'!L255</f>
        <v>7.2231139646869988E-2</v>
      </c>
      <c r="M40" s="64">
        <f>M39/'Income Statement'!M255</f>
        <v>0.37558685446009388</v>
      </c>
      <c r="N40" s="64">
        <f>N39/'Income Statement'!N255</f>
        <v>-0.89332501559575794</v>
      </c>
      <c r="O40" s="64">
        <f>O39/'Income Statement'!O255</f>
        <v>-7.3940949935815153E-2</v>
      </c>
      <c r="P40" s="64">
        <f>P39/'Income Statement'!P255</f>
        <v>-0.86679316888045543</v>
      </c>
      <c r="Q40" s="64">
        <f>Q39/'Income Statement'!Q255</f>
        <v>-0.53875833041038235</v>
      </c>
      <c r="R40" s="64">
        <f>R39/'Income Statement'!R255</f>
        <v>1.6434108527131783</v>
      </c>
      <c r="S40" s="64">
        <f>S39/'Income Statement'!S255</f>
        <v>-1.1361788617886179</v>
      </c>
      <c r="T40" s="64">
        <f>T39/'Income Statement'!T255</f>
        <v>-1.0257234726688103</v>
      </c>
      <c r="U40" s="64">
        <f>U39/'Income Statement'!U255</f>
        <v>-0.60439560439560436</v>
      </c>
      <c r="V40" s="64">
        <f>V39/'Income Statement'!V255</f>
        <v>-0.71441689623507809</v>
      </c>
      <c r="W40" s="64">
        <f>W39/'Income Statement'!W255</f>
        <v>0.92487804878048785</v>
      </c>
      <c r="X40" s="64">
        <f>X39/'Income Statement'!X255</f>
        <v>-7.8947368421052627E-2</v>
      </c>
      <c r="Y40" s="64">
        <f>Y39/'Income Statement'!Y255</f>
        <v>-5.7797833935018055</v>
      </c>
      <c r="Z40" s="64">
        <f>Z39/'Income Statement'!Z255</f>
        <v>-1.5986984815618221</v>
      </c>
      <c r="AA40" s="64">
        <f>AA39/'Income Statement'!AA255</f>
        <v>-0.31481481481481483</v>
      </c>
      <c r="AB40" s="64">
        <f>AB39/'Income Statement'!AB255</f>
        <v>-0.24898373983739838</v>
      </c>
      <c r="AC40" s="64">
        <f>AC39/'Income Statement'!AC255</f>
        <v>0.30118110236220474</v>
      </c>
      <c r="AD40" s="64">
        <f>AD39/'Income Statement'!AD255</f>
        <v>0.53625269203158654</v>
      </c>
      <c r="AE40" s="64">
        <f>AE39/'Income Statement'!AE255</f>
        <v>-0.86869871043376323</v>
      </c>
      <c r="AF40" s="64">
        <f>AF39/'Income Statement'!AF255</f>
        <v>-4.8917401764234161E-2</v>
      </c>
      <c r="AG40" s="64">
        <f>AG39/'Income Statement'!AG255</f>
        <v>4.6385214712810291E-2</v>
      </c>
      <c r="AH40" s="64">
        <f>AH39/'Income Statement'!AH255</f>
        <v>1.1436077057793346</v>
      </c>
      <c r="AI40" s="64">
        <f>AI39/'Income Statement'!AI255</f>
        <v>0.96862745098039216</v>
      </c>
      <c r="AJ40" s="64">
        <f>AJ39/'Income Statement'!AJ255</f>
        <v>-0.19079685746352412</v>
      </c>
      <c r="AK40" s="64">
        <f>AK39/'Income Statement'!AK255</f>
        <v>-0.25444839857651247</v>
      </c>
      <c r="AL40" s="64">
        <f>AL39/'Income Statement'!AL255</f>
        <v>0.43653458697112157</v>
      </c>
      <c r="AM40" s="64">
        <f>AM39/'Income Statement'!AM255</f>
        <v>8.3636363636363634E-2</v>
      </c>
      <c r="AN40" s="64">
        <f>AN39/'Income Statement'!AN255</f>
        <v>-3.9102564102564102E-2</v>
      </c>
      <c r="AO40" s="64">
        <f>AO39/'Income Statement'!AO255</f>
        <v>-57.333333333333336</v>
      </c>
      <c r="AP40" s="64">
        <f>AP39/'Income Statement'!AP255</f>
        <v>-1.0825190010857764</v>
      </c>
      <c r="AQ40" s="64">
        <f>AQ39/'Income Statement'!AQ255</f>
        <v>0.44081942336874053</v>
      </c>
      <c r="AR40" s="64">
        <f>AR39/'Income Statement'!AR255</f>
        <v>0.24195075757575757</v>
      </c>
      <c r="AS40" s="64">
        <f>AS39/'Income Statement'!AS255</f>
        <v>0.29780473714615829</v>
      </c>
      <c r="AT40" s="64">
        <f>AT39/'Income Statement'!AT255</f>
        <v>0.41753653444676408</v>
      </c>
      <c r="AU40" s="64">
        <f>AU39/'Income Statement'!AU255</f>
        <v>0.26791907514450869</v>
      </c>
      <c r="AV40" s="64">
        <f>AV39/'Income Statement'!AV255</f>
        <v>0.82776162790697672</v>
      </c>
      <c r="AW40" s="64">
        <f>AW39/'Income Statement'!AW255</f>
        <v>-4.2021276595744679E-2</v>
      </c>
      <c r="AX40" s="64">
        <f>AX39/'Income Statement'!AX255</f>
        <v>1.3710968775020016</v>
      </c>
      <c r="AY40" s="234">
        <f>AY39/'Income Statement'!AY255</f>
        <v>0.19588313413014607</v>
      </c>
      <c r="AZ40" s="234">
        <f>AZ39/'Income Statement'!AZ255</f>
        <v>-0.19543693499784762</v>
      </c>
      <c r="BA40" s="234">
        <f>BA39/'Income Statement'!BA255</f>
        <v>0</v>
      </c>
      <c r="BB40" s="234">
        <f>BB39/'Income Statement'!BB255</f>
        <v>0</v>
      </c>
      <c r="BC40" s="234">
        <f>BC39/'Income Statement'!BC255</f>
        <v>0</v>
      </c>
      <c r="BD40" s="234">
        <f>BD39/'Income Statement'!BD255</f>
        <v>0</v>
      </c>
      <c r="BE40" s="234">
        <f>BE39/'Income Statement'!BE255</f>
        <v>0</v>
      </c>
      <c r="BF40" s="234">
        <f>BF39/'Income Statement'!BF255</f>
        <v>0</v>
      </c>
      <c r="BG40" s="234">
        <f>BG39/'Income Statement'!BG255</f>
        <v>0</v>
      </c>
      <c r="BH40" s="234">
        <f>BH39/'Income Statement'!BH255</f>
        <v>0</v>
      </c>
      <c r="BI40" s="234">
        <f>BI39/'Income Statement'!BI255</f>
        <v>0</v>
      </c>
      <c r="BJ40" s="234">
        <f>BJ39/'Income Statement'!BJ255</f>
        <v>0</v>
      </c>
      <c r="BK40" s="234">
        <f>BK39/'Income Statement'!BK255</f>
        <v>0</v>
      </c>
      <c r="BL40" s="234">
        <f>BL39/'Income Statement'!BL255</f>
        <v>0</v>
      </c>
      <c r="BM40" s="66">
        <f t="shared" ref="BM40:BQ40" si="292">BL40</f>
        <v>0</v>
      </c>
      <c r="BN40" s="66">
        <f t="shared" si="292"/>
        <v>0</v>
      </c>
      <c r="BO40" s="66">
        <f t="shared" si="292"/>
        <v>0</v>
      </c>
      <c r="BP40" s="66">
        <f t="shared" si="292"/>
        <v>0</v>
      </c>
      <c r="BQ40" s="66">
        <f t="shared" si="292"/>
        <v>0</v>
      </c>
      <c r="BR40" s="66">
        <f t="shared" ref="BR40" si="293">BQ40</f>
        <v>0</v>
      </c>
      <c r="BS40" s="66">
        <f t="shared" ref="BS40" si="294">BR40</f>
        <v>0</v>
      </c>
      <c r="BT40" s="66">
        <f t="shared" ref="BT40" si="295">BS40</f>
        <v>0</v>
      </c>
      <c r="BU40" s="66">
        <f t="shared" ref="BU40" si="296">BT40</f>
        <v>0</v>
      </c>
      <c r="BV40" s="66">
        <f t="shared" ref="BV40" si="297">BU40</f>
        <v>0</v>
      </c>
      <c r="BW40" s="66">
        <f t="shared" ref="BW40" si="298">BV40</f>
        <v>0</v>
      </c>
      <c r="BX40" s="66">
        <f t="shared" ref="BX40" si="299">BW40</f>
        <v>0</v>
      </c>
      <c r="BY40" s="66">
        <f t="shared" ref="BY40" si="300">BX40</f>
        <v>0</v>
      </c>
      <c r="BZ40" s="66">
        <f t="shared" ref="BZ40" si="301">BY40</f>
        <v>0</v>
      </c>
      <c r="CA40" s="66">
        <f t="shared" ref="CA40" si="302">BZ40</f>
        <v>0</v>
      </c>
      <c r="CB40" s="66">
        <f t="shared" ref="CB40" si="303">CA40</f>
        <v>0</v>
      </c>
      <c r="CC40" s="66">
        <f t="shared" ref="CC40" si="304">CB40</f>
        <v>0</v>
      </c>
      <c r="CD40" s="66">
        <f t="shared" ref="CD40" si="305">CC40</f>
        <v>0</v>
      </c>
      <c r="CE40" s="66">
        <f t="shared" ref="CE40" si="306">CD40</f>
        <v>0</v>
      </c>
      <c r="CF40" s="66">
        <f t="shared" ref="CF40" si="307">CE40</f>
        <v>0</v>
      </c>
      <c r="CG40" s="66">
        <f t="shared" ref="CG40" si="308">CF40</f>
        <v>0</v>
      </c>
      <c r="CH40" s="66"/>
    </row>
  </sheetData>
  <pageMargins left="0.7" right="0.7" top="0.75" bottom="0.75" header="0.3" footer="0.3"/>
  <pageSetup orientation="portrait" r:id="rId1"/>
  <customProperties>
    <customPr name="Qube.Worksheet.Visibility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C26"/>
  <sheetViews>
    <sheetView workbookViewId="0">
      <pane xSplit="1" ySplit="1" topLeftCell="BB2" activePane="bottomRight" state="frozen"/>
      <selection pane="topRight" activeCell="B1" sqref="B1"/>
      <selection pane="bottomLeft" activeCell="A3" sqref="A3"/>
      <selection pane="bottomRight" activeCell="BO42" sqref="BO42"/>
    </sheetView>
  </sheetViews>
  <sheetFormatPr defaultRowHeight="12" outlineLevelCol="1" x14ac:dyDescent="0.2"/>
  <cols>
    <col min="1" max="1" width="47.7109375" style="1" customWidth="1"/>
    <col min="2" max="37" width="9.5703125" style="1" hidden="1" customWidth="1" outlineLevel="1"/>
    <col min="38" max="38" width="9.5703125" style="1" hidden="1" customWidth="1" outlineLevel="1" collapsed="1"/>
    <col min="39" max="53" width="9.5703125" style="1" hidden="1" customWidth="1" outlineLevel="1"/>
    <col min="54" max="54" width="9.5703125" style="1" customWidth="1" collapsed="1"/>
    <col min="55" max="73" width="9.5703125" style="1" customWidth="1"/>
    <col min="74" max="85" width="9.5703125" style="1" hidden="1" customWidth="1" outlineLevel="1"/>
    <col min="86" max="86" width="9.5703125" style="1" customWidth="1" collapsed="1"/>
    <col min="87" max="99" width="9.5703125" style="1" hidden="1" customWidth="1" outlineLevel="1"/>
    <col min="100" max="100" width="9.5703125" style="1" customWidth="1" collapsed="1"/>
    <col min="101" max="107" width="9.5703125" style="1" customWidth="1"/>
    <col min="108" max="16384" width="9.140625" style="1"/>
  </cols>
  <sheetData>
    <row r="1" spans="1:107" s="2" customFormat="1" ht="43.5" customHeight="1" x14ac:dyDescent="0.2">
      <c r="A1" s="6" t="s">
        <v>57</v>
      </c>
      <c r="B1" s="3" t="str">
        <f>'Income Statement'!B1</f>
        <v>1Q10</v>
      </c>
      <c r="C1" s="3" t="str">
        <f>'Income Statement'!C1</f>
        <v>2Q10</v>
      </c>
      <c r="D1" s="3" t="str">
        <f>'Income Statement'!D1</f>
        <v>3Q10</v>
      </c>
      <c r="E1" s="3" t="str">
        <f>'Income Statement'!E1</f>
        <v>4Q10</v>
      </c>
      <c r="F1" s="3" t="str">
        <f>'Income Statement'!F1</f>
        <v>1Q11</v>
      </c>
      <c r="G1" s="3" t="str">
        <f>'Income Statement'!G1</f>
        <v>2Q11</v>
      </c>
      <c r="H1" s="3" t="str">
        <f>'Income Statement'!H1</f>
        <v>3Q11</v>
      </c>
      <c r="I1" s="3" t="str">
        <f>'Income Statement'!I1</f>
        <v>4Q11</v>
      </c>
      <c r="J1" s="3" t="str">
        <f>'Income Statement'!J1</f>
        <v>1Q12</v>
      </c>
      <c r="K1" s="3" t="str">
        <f>'Income Statement'!K1</f>
        <v>2Q12</v>
      </c>
      <c r="L1" s="3" t="str">
        <f>'Income Statement'!L1</f>
        <v>3Q12</v>
      </c>
      <c r="M1" s="3" t="str">
        <f>'Income Statement'!M1</f>
        <v>4Q12</v>
      </c>
      <c r="N1" s="3" t="str">
        <f>'Income Statement'!N1</f>
        <v>1Q13</v>
      </c>
      <c r="O1" s="3" t="str">
        <f>'Income Statement'!O1</f>
        <v>2Q13</v>
      </c>
      <c r="P1" s="3" t="str">
        <f>'Income Statement'!P1</f>
        <v>3Q13</v>
      </c>
      <c r="Q1" s="3" t="str">
        <f>'Income Statement'!Q1</f>
        <v>4Q13</v>
      </c>
      <c r="R1" s="3" t="str">
        <f>'Income Statement'!R1</f>
        <v>1Q14</v>
      </c>
      <c r="S1" s="3" t="str">
        <f>'Income Statement'!S1</f>
        <v>2Q14</v>
      </c>
      <c r="T1" s="3" t="str">
        <f>'Income Statement'!T1</f>
        <v>3Q14</v>
      </c>
      <c r="U1" s="3" t="str">
        <f>'Income Statement'!U1</f>
        <v>4Q14</v>
      </c>
      <c r="V1" s="3" t="str">
        <f>'Income Statement'!V1</f>
        <v>1Q15</v>
      </c>
      <c r="W1" s="3" t="str">
        <f>'Income Statement'!W1</f>
        <v>2Q15</v>
      </c>
      <c r="X1" s="3" t="str">
        <f>'Income Statement'!X1</f>
        <v>3Q15</v>
      </c>
      <c r="Y1" s="3" t="str">
        <f>'Income Statement'!Y1</f>
        <v>4Q15</v>
      </c>
      <c r="Z1" s="3" t="str">
        <f>'Income Statement'!Z1</f>
        <v>1Q16</v>
      </c>
      <c r="AA1" s="3" t="str">
        <f>'Income Statement'!AA1</f>
        <v>2Q16</v>
      </c>
      <c r="AB1" s="3" t="str">
        <f>'Income Statement'!AB1</f>
        <v>3Q16</v>
      </c>
      <c r="AC1" s="3" t="str">
        <f>'Income Statement'!AC1</f>
        <v>4Q16</v>
      </c>
      <c r="AD1" s="3" t="str">
        <f>'Income Statement'!AD1</f>
        <v>1Q17</v>
      </c>
      <c r="AE1" s="3" t="str">
        <f>'Income Statement'!AE1</f>
        <v>2Q17</v>
      </c>
      <c r="AF1" s="3" t="str">
        <f>'Income Statement'!AF1</f>
        <v>3Q17</v>
      </c>
      <c r="AG1" s="3" t="str">
        <f>'Income Statement'!AG1</f>
        <v>4Q17</v>
      </c>
      <c r="AH1" s="3" t="str">
        <f>'Income Statement'!AH1</f>
        <v>1Q18</v>
      </c>
      <c r="AI1" s="3" t="str">
        <f>'Income Statement'!AI1</f>
        <v>2Q18</v>
      </c>
      <c r="AJ1" s="3" t="str">
        <f>'Income Statement'!AJ1</f>
        <v>3Q18</v>
      </c>
      <c r="AK1" s="3" t="str">
        <f>'Income Statement'!AK1</f>
        <v>4Q18</v>
      </c>
      <c r="AL1" s="3" t="str">
        <f>'Income Statement'!AL1</f>
        <v>1Q19</v>
      </c>
      <c r="AM1" s="3" t="str">
        <f>'Income Statement'!AM1</f>
        <v>2Q19</v>
      </c>
      <c r="AN1" s="3" t="str">
        <f>'Income Statement'!AN1</f>
        <v>3Q19</v>
      </c>
      <c r="AO1" s="3" t="str">
        <f>'Income Statement'!AO1</f>
        <v>4Q19</v>
      </c>
      <c r="AP1" s="3" t="str">
        <f>'Income Statement'!AP1</f>
        <v>1Q20</v>
      </c>
      <c r="AQ1" s="3" t="str">
        <f>'Income Statement'!AQ1</f>
        <v>2Q20</v>
      </c>
      <c r="AR1" s="3" t="str">
        <f>'Income Statement'!AR1</f>
        <v>3Q20</v>
      </c>
      <c r="AS1" s="3" t="str">
        <f>'Income Statement'!AS1</f>
        <v>4Q20</v>
      </c>
      <c r="AT1" s="3" t="str">
        <f>'Income Statement'!AT1</f>
        <v>1Q21</v>
      </c>
      <c r="AU1" s="3" t="str">
        <f>'Income Statement'!AU1</f>
        <v>2Q21</v>
      </c>
      <c r="AV1" s="3" t="str">
        <f>'Income Statement'!AV1</f>
        <v>3Q21</v>
      </c>
      <c r="AW1" s="3" t="str">
        <f>'Income Statement'!AW1</f>
        <v>4Q21</v>
      </c>
      <c r="AX1" s="3" t="str">
        <f>'Income Statement'!AX1</f>
        <v>1Q22</v>
      </c>
      <c r="AY1" s="3" t="str">
        <f>'Income Statement'!AY1</f>
        <v>2Q22</v>
      </c>
      <c r="AZ1" s="3" t="str">
        <f>'Income Statement'!AZ1</f>
        <v>3Q22</v>
      </c>
      <c r="BA1" s="3" t="str">
        <f>'Income Statement'!BA1</f>
        <v>4Q22</v>
      </c>
      <c r="BB1" s="3" t="str">
        <f>'Income Statement'!BB1</f>
        <v>1Q23</v>
      </c>
      <c r="BC1" s="3" t="str">
        <f>'Income Statement'!BC1</f>
        <v>2Q23</v>
      </c>
      <c r="BD1" s="3" t="str">
        <f>'Income Statement'!BD1</f>
        <v>3Q23</v>
      </c>
      <c r="BE1" s="3" t="str">
        <f>'Income Statement'!BE1</f>
        <v>4Q23</v>
      </c>
      <c r="BF1" s="3" t="str">
        <f>'Income Statement'!BF1</f>
        <v>1Q24</v>
      </c>
      <c r="BG1" s="3" t="str">
        <f>'Income Statement'!BG1</f>
        <v>2Q24</v>
      </c>
      <c r="BH1" s="3" t="str">
        <f>'Income Statement'!BH1</f>
        <v>3Q24</v>
      </c>
      <c r="BI1" s="3" t="str">
        <f>'Income Statement'!BI1</f>
        <v>4Q24</v>
      </c>
      <c r="BJ1" s="3" t="str">
        <f>'Income Statement'!BJ1</f>
        <v>1Q25</v>
      </c>
      <c r="BK1" s="3" t="str">
        <f>'Income Statement'!BK1</f>
        <v>2Q25</v>
      </c>
      <c r="BL1" s="3" t="str">
        <f>'Income Statement'!BL1</f>
        <v>3Q25</v>
      </c>
      <c r="BM1" s="3" t="str">
        <f>'Income Statement'!BM1</f>
        <v>4Q25E</v>
      </c>
      <c r="BN1" s="3" t="str">
        <f>'Income Statement'!BN1</f>
        <v>1Q26E</v>
      </c>
      <c r="BO1" s="3" t="str">
        <f>'Income Statement'!BO1</f>
        <v>2Q26E</v>
      </c>
      <c r="BP1" s="3" t="str">
        <f>'Income Statement'!BP1</f>
        <v>3Q26E</v>
      </c>
      <c r="BQ1" s="3" t="str">
        <f>'Income Statement'!BQ1</f>
        <v>4Q26E</v>
      </c>
      <c r="BR1" s="3" t="str">
        <f>'Income Statement'!BR1</f>
        <v>1Q27E</v>
      </c>
      <c r="BS1" s="3" t="str">
        <f>'Income Statement'!BS1</f>
        <v>2Q27E</v>
      </c>
      <c r="BT1" s="3" t="str">
        <f>'Income Statement'!BT1</f>
        <v>3Q27E</v>
      </c>
      <c r="BU1" s="3" t="str">
        <f>'Income Statement'!BU1</f>
        <v>4Q27E</v>
      </c>
      <c r="BV1" s="3" t="str">
        <f>'Income Statement'!BV1</f>
        <v>1Q28E</v>
      </c>
      <c r="BW1" s="3" t="str">
        <f>'Income Statement'!BW1</f>
        <v>2Q28E</v>
      </c>
      <c r="BX1" s="3" t="str">
        <f>'Income Statement'!BX1</f>
        <v>3Q28E</v>
      </c>
      <c r="BY1" s="3" t="str">
        <f>'Income Statement'!BY1</f>
        <v>4Q28E</v>
      </c>
      <c r="BZ1" s="3" t="str">
        <f>'Income Statement'!BZ1</f>
        <v>1Q29E</v>
      </c>
      <c r="CA1" s="3" t="str">
        <f>'Income Statement'!CA1</f>
        <v>2Q29E</v>
      </c>
      <c r="CB1" s="3" t="str">
        <f>'Income Statement'!CB1</f>
        <v>3Q29E</v>
      </c>
      <c r="CC1" s="3" t="str">
        <f>'Income Statement'!CC1</f>
        <v>4Q29E</v>
      </c>
      <c r="CD1" s="3" t="str">
        <f>'Income Statement'!CD1</f>
        <v>1Q30E</v>
      </c>
      <c r="CE1" s="3" t="str">
        <f>'Income Statement'!CE1</f>
        <v>2Q30E</v>
      </c>
      <c r="CF1" s="3" t="str">
        <f>'Income Statement'!CF1</f>
        <v>3Q30E</v>
      </c>
      <c r="CG1" s="3" t="str">
        <f>'Income Statement'!CG1</f>
        <v>4Q30E</v>
      </c>
      <c r="CH1" s="256"/>
      <c r="CI1" s="88">
        <f>'Income Statement'!CI1</f>
        <v>2010</v>
      </c>
      <c r="CJ1" s="3">
        <f>'Income Statement'!CJ1</f>
        <v>2011</v>
      </c>
      <c r="CK1" s="88">
        <f>'Income Statement'!CK1</f>
        <v>2012</v>
      </c>
      <c r="CL1" s="88">
        <f>'Income Statement'!CL1</f>
        <v>2013</v>
      </c>
      <c r="CM1" s="88">
        <f>'Income Statement'!CM1</f>
        <v>2014</v>
      </c>
      <c r="CN1" s="88">
        <f>'Income Statement'!CN1</f>
        <v>2015</v>
      </c>
      <c r="CO1" s="88">
        <f>'Income Statement'!CO1</f>
        <v>2016</v>
      </c>
      <c r="CP1" s="88">
        <f>'Income Statement'!CP1</f>
        <v>2017</v>
      </c>
      <c r="CQ1" s="88">
        <f>'Income Statement'!CQ1</f>
        <v>2018</v>
      </c>
      <c r="CR1" s="88">
        <f>'Income Statement'!CR1</f>
        <v>2019</v>
      </c>
      <c r="CS1" s="88">
        <f>'Income Statement'!CS1</f>
        <v>2020</v>
      </c>
      <c r="CT1" s="88">
        <f>'Income Statement'!CT1</f>
        <v>2021</v>
      </c>
      <c r="CU1" s="88">
        <f>'Income Statement'!CU1</f>
        <v>2022</v>
      </c>
      <c r="CV1" s="88">
        <f>'Income Statement'!CV1</f>
        <v>2023</v>
      </c>
      <c r="CW1" s="88">
        <f>'Income Statement'!CW1</f>
        <v>2024</v>
      </c>
      <c r="CX1" s="88" t="str">
        <f>'Income Statement'!CX1</f>
        <v>2025E</v>
      </c>
      <c r="CY1" s="88" t="str">
        <f>'Income Statement'!CY1</f>
        <v>2026E</v>
      </c>
      <c r="CZ1" s="88" t="str">
        <f>'Income Statement'!CZ1</f>
        <v>2027E</v>
      </c>
      <c r="DA1" s="88" t="str">
        <f>'Income Statement'!DA1</f>
        <v>2028E</v>
      </c>
      <c r="DB1" s="88" t="str">
        <f>'Income Statement'!DB1</f>
        <v>2029E</v>
      </c>
      <c r="DC1" s="88" t="str">
        <f>'Income Statement'!DC1</f>
        <v>2030E</v>
      </c>
    </row>
    <row r="2" spans="1:107" x14ac:dyDescent="0.2">
      <c r="CI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</row>
    <row r="3" spans="1:107" x14ac:dyDescent="0.2">
      <c r="A3" s="5" t="s">
        <v>308</v>
      </c>
      <c r="CI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</row>
    <row r="4" spans="1:107" x14ac:dyDescent="0.2">
      <c r="A4" s="29" t="s">
        <v>309</v>
      </c>
      <c r="B4" s="48" t="s">
        <v>82</v>
      </c>
      <c r="C4" s="48" t="s">
        <v>82</v>
      </c>
      <c r="D4" s="48" t="s">
        <v>82</v>
      </c>
      <c r="E4" s="16" t="str">
        <f t="shared" ref="E4:BO4" si="0">D5</f>
        <v>n/a</v>
      </c>
      <c r="F4" s="16">
        <f t="shared" si="0"/>
        <v>34975</v>
      </c>
      <c r="G4" s="16">
        <f t="shared" si="0"/>
        <v>36675</v>
      </c>
      <c r="H4" s="16">
        <f t="shared" si="0"/>
        <v>39118</v>
      </c>
      <c r="I4" s="16">
        <f t="shared" si="0"/>
        <v>42560</v>
      </c>
      <c r="J4" s="16">
        <f t="shared" si="0"/>
        <v>44626</v>
      </c>
      <c r="K4" s="16">
        <f t="shared" si="0"/>
        <v>49316</v>
      </c>
      <c r="L4" s="16">
        <f t="shared" si="0"/>
        <v>43122</v>
      </c>
      <c r="M4" s="16">
        <f t="shared" si="0"/>
        <v>45724</v>
      </c>
      <c r="N4" s="16">
        <f t="shared" si="0"/>
        <v>48088</v>
      </c>
      <c r="O4" s="16">
        <f t="shared" si="0"/>
        <v>50098</v>
      </c>
      <c r="P4" s="16">
        <f t="shared" si="0"/>
        <v>54432</v>
      </c>
      <c r="Q4" s="16">
        <f t="shared" si="0"/>
        <v>56568</v>
      </c>
      <c r="R4" s="16">
        <f t="shared" si="0"/>
        <v>58717</v>
      </c>
      <c r="S4" s="16">
        <f t="shared" si="0"/>
        <v>59379</v>
      </c>
      <c r="T4" s="16">
        <f t="shared" si="0"/>
        <v>61204</v>
      </c>
      <c r="U4" s="16">
        <f t="shared" si="0"/>
        <v>62157</v>
      </c>
      <c r="V4" s="16">
        <f t="shared" si="0"/>
        <v>64395</v>
      </c>
      <c r="W4" s="16">
        <f t="shared" si="0"/>
        <v>65436</v>
      </c>
      <c r="X4" s="16">
        <f t="shared" si="0"/>
        <v>69780</v>
      </c>
      <c r="Y4" s="16">
        <f t="shared" si="0"/>
        <v>72767</v>
      </c>
      <c r="Z4" s="16">
        <f t="shared" si="0"/>
        <v>73066</v>
      </c>
      <c r="AA4" s="16">
        <f t="shared" si="0"/>
        <v>75264</v>
      </c>
      <c r="AB4" s="16">
        <f t="shared" si="0"/>
        <v>78460</v>
      </c>
      <c r="AC4" s="16">
        <f t="shared" si="0"/>
        <v>83056</v>
      </c>
      <c r="AD4" s="16">
        <f t="shared" si="0"/>
        <v>86333</v>
      </c>
      <c r="AE4" s="16">
        <f t="shared" si="0"/>
        <v>92439</v>
      </c>
      <c r="AF4" s="16">
        <f t="shared" si="0"/>
        <v>94713</v>
      </c>
      <c r="AG4" s="16">
        <f t="shared" si="0"/>
        <v>100143</v>
      </c>
      <c r="AH4" s="16">
        <f t="shared" si="0"/>
        <v>101871</v>
      </c>
      <c r="AI4" s="16">
        <f t="shared" si="0"/>
        <v>102885</v>
      </c>
      <c r="AJ4" s="16">
        <f t="shared" si="0"/>
        <v>102254</v>
      </c>
      <c r="AK4" s="16">
        <f t="shared" si="0"/>
        <v>106416</v>
      </c>
      <c r="AL4" s="16">
        <f t="shared" si="0"/>
        <v>109140</v>
      </c>
      <c r="AM4" s="16">
        <f t="shared" si="0"/>
        <v>113488</v>
      </c>
      <c r="AN4" s="16">
        <f t="shared" si="0"/>
        <v>121056</v>
      </c>
      <c r="AO4" s="16">
        <f t="shared" si="0"/>
        <v>121177</v>
      </c>
      <c r="AP4" s="16">
        <f t="shared" si="0"/>
        <v>119675</v>
      </c>
      <c r="AQ4" s="16">
        <f t="shared" si="0"/>
        <v>117229</v>
      </c>
      <c r="AR4" s="16">
        <f t="shared" si="0"/>
        <v>121080</v>
      </c>
      <c r="AS4" s="16">
        <f t="shared" si="0"/>
        <v>132596</v>
      </c>
      <c r="AT4" s="16">
        <f t="shared" si="0"/>
        <v>136694</v>
      </c>
      <c r="AU4" s="16">
        <f t="shared" si="0"/>
        <v>135104</v>
      </c>
      <c r="AV4" s="16">
        <f t="shared" si="0"/>
        <v>135863</v>
      </c>
      <c r="AW4" s="16">
        <f t="shared" si="0"/>
        <v>142003</v>
      </c>
      <c r="AX4" s="16">
        <f t="shared" si="0"/>
        <v>139649</v>
      </c>
      <c r="AY4" s="16">
        <f t="shared" si="0"/>
        <v>133970</v>
      </c>
      <c r="AZ4" s="16">
        <f t="shared" si="0"/>
        <v>124997</v>
      </c>
      <c r="BA4" s="16">
        <f t="shared" si="0"/>
        <v>116259</v>
      </c>
      <c r="BB4" s="16">
        <f t="shared" si="0"/>
        <v>113762</v>
      </c>
      <c r="BC4" s="16">
        <f t="shared" si="0"/>
        <v>115102</v>
      </c>
      <c r="BD4" s="16">
        <f t="shared" si="0"/>
        <v>118332</v>
      </c>
      <c r="BE4" s="16">
        <f t="shared" si="0"/>
        <v>119935</v>
      </c>
      <c r="BF4" s="16">
        <f t="shared" si="0"/>
        <v>110916</v>
      </c>
      <c r="BG4" s="16">
        <f t="shared" si="0"/>
        <v>108090</v>
      </c>
      <c r="BH4" s="16">
        <f t="shared" si="0"/>
        <v>100725</v>
      </c>
      <c r="BI4" s="16">
        <f t="shared" si="0"/>
        <v>93230</v>
      </c>
      <c r="BJ4" s="16">
        <f t="shared" si="0"/>
        <v>95657</v>
      </c>
      <c r="BK4" s="16">
        <f t="shared" si="0"/>
        <v>95328</v>
      </c>
      <c r="BL4" s="16">
        <f t="shared" si="0"/>
        <v>95148</v>
      </c>
      <c r="BM4" s="16">
        <f t="shared" si="0"/>
        <v>98496</v>
      </c>
      <c r="BN4" s="16">
        <f t="shared" si="0"/>
        <v>83006.109317529321</v>
      </c>
      <c r="BO4" s="16">
        <f t="shared" si="0"/>
        <v>101359.1748872063</v>
      </c>
      <c r="BP4" s="16">
        <f t="shared" ref="BP4:BQ4" si="1">BO5</f>
        <v>83850.571854341106</v>
      </c>
      <c r="BQ4" s="16">
        <f t="shared" si="1"/>
        <v>93643.651464161841</v>
      </c>
      <c r="BR4" s="72">
        <f>BQ5</f>
        <v>95582.777300869973</v>
      </c>
      <c r="BS4" s="72">
        <f t="shared" ref="BS4" si="2">BR5</f>
        <v>120249.58030540496</v>
      </c>
      <c r="BT4" s="72">
        <f t="shared" ref="BT4" si="3">BS5</f>
        <v>114326.64077003779</v>
      </c>
      <c r="BU4" s="72">
        <f t="shared" ref="BU4" si="4">BT5</f>
        <v>142212.30837523646</v>
      </c>
      <c r="BV4" s="72">
        <f t="shared" ref="BV4" si="5">BU5</f>
        <v>159657.62857202653</v>
      </c>
      <c r="BW4" s="72">
        <f t="shared" ref="BW4" si="6">BV5</f>
        <v>209722.59700942528</v>
      </c>
      <c r="BX4" s="72">
        <f t="shared" ref="BX4" si="7">BW5</f>
        <v>204764.88424781087</v>
      </c>
      <c r="BY4" s="72">
        <f t="shared" ref="BY4" si="8">BX5</f>
        <v>240676.36211992148</v>
      </c>
      <c r="BZ4" s="72">
        <f t="shared" ref="BZ4" si="9">BY5</f>
        <v>263527.17717154033</v>
      </c>
      <c r="CA4" s="72">
        <f t="shared" ref="CA4" si="10">BZ5</f>
        <v>327555.2772127114</v>
      </c>
      <c r="CB4" s="72">
        <f t="shared" ref="CB4" si="11">CA5</f>
        <v>324530.39047821972</v>
      </c>
      <c r="CC4" s="72">
        <f t="shared" ref="CC4" si="12">CB5</f>
        <v>369668.4207974546</v>
      </c>
      <c r="CD4" s="72">
        <f t="shared" ref="CD4" si="13">CC5</f>
        <v>399246.91854993807</v>
      </c>
      <c r="CE4" s="72">
        <f t="shared" ref="CE4" si="14">CD5</f>
        <v>479789.93101185904</v>
      </c>
      <c r="CF4" s="72">
        <f t="shared" ref="CF4" si="15">CE5</f>
        <v>479854.61990749126</v>
      </c>
      <c r="CG4" s="72">
        <f t="shared" ref="CG4" si="16">CF5</f>
        <v>535583.26585119916</v>
      </c>
      <c r="CH4" s="72"/>
      <c r="CI4" s="89" t="str">
        <f>B4</f>
        <v>n/a</v>
      </c>
      <c r="CJ4" s="20">
        <f>F4</f>
        <v>34975</v>
      </c>
      <c r="CK4" s="89">
        <f>J4</f>
        <v>44626</v>
      </c>
      <c r="CL4" s="89">
        <f>N4</f>
        <v>48088</v>
      </c>
      <c r="CM4" s="89">
        <f>R4</f>
        <v>58717</v>
      </c>
      <c r="CN4" s="89">
        <f>V4</f>
        <v>64395</v>
      </c>
      <c r="CO4" s="89">
        <f>Z4</f>
        <v>73066</v>
      </c>
      <c r="CP4" s="89">
        <f>AD4</f>
        <v>86333</v>
      </c>
      <c r="CQ4" s="89">
        <f>AH4</f>
        <v>101871</v>
      </c>
      <c r="CR4" s="89">
        <f>AL4</f>
        <v>109140</v>
      </c>
      <c r="CS4" s="89">
        <f>AP4</f>
        <v>119675</v>
      </c>
      <c r="CT4" s="89">
        <f>AT4</f>
        <v>136694</v>
      </c>
      <c r="CU4" s="89">
        <f>AX4</f>
        <v>139649</v>
      </c>
      <c r="CV4" s="89">
        <f>BB4</f>
        <v>113762</v>
      </c>
      <c r="CW4" s="89">
        <f>BF4</f>
        <v>110916</v>
      </c>
      <c r="CX4" s="89">
        <f>BJ4</f>
        <v>95657</v>
      </c>
      <c r="CY4" s="89">
        <f>BN4</f>
        <v>83006.109317529321</v>
      </c>
      <c r="CZ4" s="89">
        <f>BR4</f>
        <v>95582.777300869973</v>
      </c>
      <c r="DA4" s="89">
        <f>BV4</f>
        <v>159657.62857202653</v>
      </c>
      <c r="DB4" s="89">
        <f>BZ4</f>
        <v>263527.17717154033</v>
      </c>
      <c r="DC4" s="89">
        <f>CD4</f>
        <v>399246.91854993807</v>
      </c>
    </row>
    <row r="5" spans="1:107" x14ac:dyDescent="0.2">
      <c r="A5" s="29" t="s">
        <v>310</v>
      </c>
      <c r="B5" s="48" t="s">
        <v>82</v>
      </c>
      <c r="C5" s="48" t="s">
        <v>82</v>
      </c>
      <c r="D5" s="48" t="s">
        <v>82</v>
      </c>
      <c r="E5" s="16">
        <f>SUM('Balance Sheet'!E3:E4)</f>
        <v>34975</v>
      </c>
      <c r="F5" s="16">
        <f>SUM('Balance Sheet'!F3:F4)</f>
        <v>36675</v>
      </c>
      <c r="G5" s="16">
        <f>SUM('Balance Sheet'!G3:G4)</f>
        <v>39118</v>
      </c>
      <c r="H5" s="16">
        <f>SUM('Balance Sheet'!H3:H4)</f>
        <v>42560</v>
      </c>
      <c r="I5" s="16">
        <f>SUM('Balance Sheet'!I3:I4)</f>
        <v>44626</v>
      </c>
      <c r="J5" s="16">
        <f>SUM('Balance Sheet'!J3:J4)</f>
        <v>49316</v>
      </c>
      <c r="K5" s="16">
        <f>SUM('Balance Sheet'!K3:K4)</f>
        <v>43122</v>
      </c>
      <c r="L5" s="16">
        <f>SUM('Balance Sheet'!L3:L4)</f>
        <v>45724</v>
      </c>
      <c r="M5" s="16">
        <f>SUM('Balance Sheet'!M3:M4)</f>
        <v>48088</v>
      </c>
      <c r="N5" s="16">
        <f>SUM('Balance Sheet'!N3:N4)</f>
        <v>50098</v>
      </c>
      <c r="O5" s="16">
        <f>SUM('Balance Sheet'!O3:O4)</f>
        <v>54432</v>
      </c>
      <c r="P5" s="16">
        <f>SUM('Balance Sheet'!P3:P4)</f>
        <v>56568</v>
      </c>
      <c r="Q5" s="16">
        <f>SUM('Balance Sheet'!Q3:Q4)</f>
        <v>58717</v>
      </c>
      <c r="R5" s="16">
        <f>SUM('Balance Sheet'!R3:R4)</f>
        <v>59379</v>
      </c>
      <c r="S5" s="16">
        <f>SUM('Balance Sheet'!S3:S4)</f>
        <v>61204</v>
      </c>
      <c r="T5" s="16">
        <f>SUM('Balance Sheet'!T3:T4)</f>
        <v>62157</v>
      </c>
      <c r="U5" s="16">
        <f>SUM('Balance Sheet'!U3:U4)</f>
        <v>64395</v>
      </c>
      <c r="V5" s="16">
        <f>SUM('Balance Sheet'!V3:V4)</f>
        <v>65436</v>
      </c>
      <c r="W5" s="16">
        <f>SUM('Balance Sheet'!W3:W4)</f>
        <v>69780</v>
      </c>
      <c r="X5" s="16">
        <f>SUM('Balance Sheet'!X3:X4)</f>
        <v>72767</v>
      </c>
      <c r="Y5" s="16">
        <f>SUM('Balance Sheet'!Y3:Y4)</f>
        <v>73066</v>
      </c>
      <c r="Z5" s="16">
        <f>SUM('Balance Sheet'!Z3:Z4)</f>
        <v>75264</v>
      </c>
      <c r="AA5" s="16">
        <f>SUM('Balance Sheet'!AA3:AA4)</f>
        <v>78460</v>
      </c>
      <c r="AB5" s="16">
        <f>SUM('Balance Sheet'!AB3:AB4)</f>
        <v>83056</v>
      </c>
      <c r="AC5" s="16">
        <f>SUM('Balance Sheet'!AC3:AC4)</f>
        <v>86333</v>
      </c>
      <c r="AD5" s="16">
        <f>SUM('Balance Sheet'!AD3:AD4)</f>
        <v>92439</v>
      </c>
      <c r="AE5" s="16">
        <f>SUM('Balance Sheet'!AE3:AE4)</f>
        <v>94713</v>
      </c>
      <c r="AF5" s="16">
        <f>SUM('Balance Sheet'!AF3:AF4)</f>
        <v>100143</v>
      </c>
      <c r="AG5" s="16">
        <f>SUM('Balance Sheet'!AG3:AG4)</f>
        <v>101871</v>
      </c>
      <c r="AH5" s="16">
        <f>SUM('Balance Sheet'!AH3:AH4)</f>
        <v>102885</v>
      </c>
      <c r="AI5" s="16">
        <f>SUM('Balance Sheet'!AI3:AI4)</f>
        <v>102254</v>
      </c>
      <c r="AJ5" s="16">
        <f>SUM('Balance Sheet'!AJ3:AJ4)</f>
        <v>106416</v>
      </c>
      <c r="AK5" s="16">
        <f>SUM('Balance Sheet'!AK3:AK4)</f>
        <v>109140</v>
      </c>
      <c r="AL5" s="16">
        <f>SUM('Balance Sheet'!AL3:AL4)</f>
        <v>113488</v>
      </c>
      <c r="AM5" s="16">
        <f>SUM('Balance Sheet'!AM3:AM4)</f>
        <v>121056</v>
      </c>
      <c r="AN5" s="16">
        <f>SUM('Balance Sheet'!AN3:AN4)</f>
        <v>121177</v>
      </c>
      <c r="AO5" s="16">
        <f>SUM('Balance Sheet'!AO3:AO4)</f>
        <v>119675</v>
      </c>
      <c r="AP5" s="16">
        <f>SUM('Balance Sheet'!AP3:AP4)</f>
        <v>117229</v>
      </c>
      <c r="AQ5" s="16">
        <f>SUM('Balance Sheet'!AQ3:AQ4)</f>
        <v>121080</v>
      </c>
      <c r="AR5" s="16">
        <f>SUM('Balance Sheet'!AR3:AR4)</f>
        <v>132596</v>
      </c>
      <c r="AS5" s="16">
        <f>SUM('Balance Sheet'!AS3:AS4)</f>
        <v>136694</v>
      </c>
      <c r="AT5" s="16">
        <f>SUM('Balance Sheet'!AT3:AT4)</f>
        <v>135104</v>
      </c>
      <c r="AU5" s="16">
        <f>SUM('Balance Sheet'!AU3:AU4)</f>
        <v>135863</v>
      </c>
      <c r="AV5" s="16">
        <f>SUM('Balance Sheet'!AV3:AV4)</f>
        <v>142003</v>
      </c>
      <c r="AW5" s="16">
        <f>SUM('Balance Sheet'!AW3:AW4)</f>
        <v>139649</v>
      </c>
      <c r="AX5" s="16">
        <f>SUM('Balance Sheet'!AX3:AX4)</f>
        <v>133970</v>
      </c>
      <c r="AY5" s="16">
        <f>SUM('Balance Sheet'!AY3:AY4)</f>
        <v>124997</v>
      </c>
      <c r="AZ5" s="16">
        <f>SUM('Balance Sheet'!AZ3:AZ4)</f>
        <v>116259</v>
      </c>
      <c r="BA5" s="72">
        <f>SUM('Balance Sheet'!BA3:BA4)</f>
        <v>113762</v>
      </c>
      <c r="BB5" s="72">
        <f>SUM('Balance Sheet'!BB3:BB4)</f>
        <v>115102</v>
      </c>
      <c r="BC5" s="72">
        <f>SUM('Balance Sheet'!BC3:BC4)</f>
        <v>118332</v>
      </c>
      <c r="BD5" s="72">
        <f>SUM('Balance Sheet'!BD3:BD4)</f>
        <v>119935</v>
      </c>
      <c r="BE5" s="72">
        <f>SUM('Balance Sheet'!BE3:BE4)</f>
        <v>110916</v>
      </c>
      <c r="BF5" s="72">
        <f>SUM('Balance Sheet'!BF3:BF4)</f>
        <v>108090</v>
      </c>
      <c r="BG5" s="72">
        <f>SUM('Balance Sheet'!BG3:BG4)</f>
        <v>100725</v>
      </c>
      <c r="BH5" s="72">
        <f>SUM('Balance Sheet'!BH3:BH4)</f>
        <v>93230</v>
      </c>
      <c r="BI5" s="72">
        <f>SUM('Balance Sheet'!BI3:BI4)</f>
        <v>95657</v>
      </c>
      <c r="BJ5" s="72">
        <f>SUM('Balance Sheet'!BJ3:BJ4)</f>
        <v>95328</v>
      </c>
      <c r="BK5" s="72">
        <f>SUM('Balance Sheet'!BK3:BK4)</f>
        <v>95148</v>
      </c>
      <c r="BL5" s="72">
        <f>SUM('Balance Sheet'!BL3:BL4)</f>
        <v>98496</v>
      </c>
      <c r="BM5" s="16">
        <f>SUM('Balance Sheet'!BM3:BM4)</f>
        <v>83006.109317529321</v>
      </c>
      <c r="BN5" s="16">
        <f>SUM('Balance Sheet'!BN3:BN4)</f>
        <v>101359.1748872063</v>
      </c>
      <c r="BO5" s="16">
        <f>SUM('Balance Sheet'!BO3:BO4)</f>
        <v>83850.571854341106</v>
      </c>
      <c r="BP5" s="16">
        <f>SUM('Balance Sheet'!BP3:BP4)</f>
        <v>93643.651464161841</v>
      </c>
      <c r="BQ5" s="16">
        <f>SUM('Balance Sheet'!BQ3:BQ4)</f>
        <v>95582.777300869973</v>
      </c>
      <c r="BR5" s="72">
        <f>SUM('Balance Sheet'!BR3:BR4)</f>
        <v>120249.58030540496</v>
      </c>
      <c r="BS5" s="72">
        <f>SUM('Balance Sheet'!BS3:BS4)</f>
        <v>114326.64077003779</v>
      </c>
      <c r="BT5" s="72">
        <f>SUM('Balance Sheet'!BT3:BT4)</f>
        <v>142212.30837523646</v>
      </c>
      <c r="BU5" s="72">
        <f>SUM('Balance Sheet'!BU3:BU4)</f>
        <v>159657.62857202653</v>
      </c>
      <c r="BV5" s="72">
        <f>SUM('Balance Sheet'!BV3:BV4)</f>
        <v>209722.59700942528</v>
      </c>
      <c r="BW5" s="72">
        <f>SUM('Balance Sheet'!BW3:BW4)</f>
        <v>204764.88424781087</v>
      </c>
      <c r="BX5" s="72">
        <f>SUM('Balance Sheet'!BX3:BX4)</f>
        <v>240676.36211992148</v>
      </c>
      <c r="BY5" s="72">
        <f>SUM('Balance Sheet'!BY3:BY4)</f>
        <v>263527.17717154033</v>
      </c>
      <c r="BZ5" s="72">
        <f>SUM('Balance Sheet'!BZ3:BZ4)</f>
        <v>327555.2772127114</v>
      </c>
      <c r="CA5" s="72">
        <f>SUM('Balance Sheet'!CA3:CA4)</f>
        <v>324530.39047821972</v>
      </c>
      <c r="CB5" s="72">
        <f>SUM('Balance Sheet'!CB3:CB4)</f>
        <v>369668.4207974546</v>
      </c>
      <c r="CC5" s="72">
        <f>SUM('Balance Sheet'!CC3:CC4)</f>
        <v>399246.91854993807</v>
      </c>
      <c r="CD5" s="72">
        <f>SUM('Balance Sheet'!CD3:CD4)</f>
        <v>479789.93101185904</v>
      </c>
      <c r="CE5" s="72">
        <f>SUM('Balance Sheet'!CE3:CE4)</f>
        <v>479854.61990749126</v>
      </c>
      <c r="CF5" s="72">
        <f>SUM('Balance Sheet'!CF3:CF4)</f>
        <v>535583.26585119916</v>
      </c>
      <c r="CG5" s="72">
        <f>SUM('Balance Sheet'!CG3:CG4)</f>
        <v>573297.81798099633</v>
      </c>
      <c r="CH5" s="72"/>
      <c r="CI5" s="89">
        <f>E5</f>
        <v>34975</v>
      </c>
      <c r="CJ5" s="20">
        <f>I5</f>
        <v>44626</v>
      </c>
      <c r="CK5" s="89">
        <f>M5</f>
        <v>48088</v>
      </c>
      <c r="CL5" s="89">
        <f>Q5</f>
        <v>58717</v>
      </c>
      <c r="CM5" s="89">
        <f>U5</f>
        <v>64395</v>
      </c>
      <c r="CN5" s="89">
        <f>Y5</f>
        <v>73066</v>
      </c>
      <c r="CO5" s="89">
        <f>AC5</f>
        <v>86333</v>
      </c>
      <c r="CP5" s="89">
        <f>AG5</f>
        <v>101871</v>
      </c>
      <c r="CQ5" s="89">
        <f>AK5</f>
        <v>109140</v>
      </c>
      <c r="CR5" s="89">
        <f>AO5</f>
        <v>119675</v>
      </c>
      <c r="CS5" s="89">
        <f>AS5</f>
        <v>136694</v>
      </c>
      <c r="CT5" s="89">
        <f>AW5</f>
        <v>139649</v>
      </c>
      <c r="CU5" s="89">
        <f>BA5</f>
        <v>113762</v>
      </c>
      <c r="CV5" s="89">
        <f>BE5</f>
        <v>110916</v>
      </c>
      <c r="CW5" s="89">
        <f>BI5</f>
        <v>95657</v>
      </c>
      <c r="CX5" s="89">
        <f>BM5</f>
        <v>83006.109317529321</v>
      </c>
      <c r="CY5" s="89">
        <f>BQ5</f>
        <v>95582.777300869973</v>
      </c>
      <c r="CZ5" s="89">
        <f>BU5</f>
        <v>159657.62857202653</v>
      </c>
      <c r="DA5" s="89">
        <f>BY5</f>
        <v>263527.17717154033</v>
      </c>
      <c r="DB5" s="89">
        <f>CC5</f>
        <v>399246.91854993807</v>
      </c>
      <c r="DC5" s="89">
        <f>CG5</f>
        <v>573297.81798099633</v>
      </c>
    </row>
    <row r="6" spans="1:107" x14ac:dyDescent="0.2">
      <c r="A6" s="29" t="s">
        <v>311</v>
      </c>
      <c r="B6" s="48" t="s">
        <v>82</v>
      </c>
      <c r="C6" s="48" t="s">
        <v>82</v>
      </c>
      <c r="D6" s="48" t="s">
        <v>82</v>
      </c>
      <c r="E6" s="48" t="s">
        <v>82</v>
      </c>
      <c r="F6" s="20">
        <f>AVERAGE(F4,F5)</f>
        <v>35825</v>
      </c>
      <c r="G6" s="20">
        <f t="shared" ref="G6:AT6" si="17">AVERAGE(G4,G5)</f>
        <v>37896.5</v>
      </c>
      <c r="H6" s="20">
        <f t="shared" si="17"/>
        <v>40839</v>
      </c>
      <c r="I6" s="20">
        <f t="shared" si="17"/>
        <v>43593</v>
      </c>
      <c r="J6" s="20">
        <f t="shared" si="17"/>
        <v>46971</v>
      </c>
      <c r="K6" s="20">
        <f t="shared" si="17"/>
        <v>46219</v>
      </c>
      <c r="L6" s="20">
        <f t="shared" si="17"/>
        <v>44423</v>
      </c>
      <c r="M6" s="20">
        <f t="shared" si="17"/>
        <v>46906</v>
      </c>
      <c r="N6" s="20">
        <f t="shared" si="17"/>
        <v>49093</v>
      </c>
      <c r="O6" s="20">
        <f t="shared" si="17"/>
        <v>52265</v>
      </c>
      <c r="P6" s="20">
        <f t="shared" si="17"/>
        <v>55500</v>
      </c>
      <c r="Q6" s="20">
        <f t="shared" si="17"/>
        <v>57642.5</v>
      </c>
      <c r="R6" s="20">
        <f t="shared" si="17"/>
        <v>59048</v>
      </c>
      <c r="S6" s="20">
        <f t="shared" si="17"/>
        <v>60291.5</v>
      </c>
      <c r="T6" s="20">
        <f t="shared" si="17"/>
        <v>61680.5</v>
      </c>
      <c r="U6" s="20">
        <f t="shared" si="17"/>
        <v>63276</v>
      </c>
      <c r="V6" s="20">
        <f t="shared" si="17"/>
        <v>64915.5</v>
      </c>
      <c r="W6" s="20">
        <f t="shared" si="17"/>
        <v>67608</v>
      </c>
      <c r="X6" s="20">
        <f t="shared" si="17"/>
        <v>71273.5</v>
      </c>
      <c r="Y6" s="20">
        <f t="shared" si="17"/>
        <v>72916.5</v>
      </c>
      <c r="Z6" s="20">
        <f t="shared" si="17"/>
        <v>74165</v>
      </c>
      <c r="AA6" s="20">
        <f t="shared" si="17"/>
        <v>76862</v>
      </c>
      <c r="AB6" s="20">
        <f t="shared" si="17"/>
        <v>80758</v>
      </c>
      <c r="AC6" s="20">
        <f t="shared" si="17"/>
        <v>84694.5</v>
      </c>
      <c r="AD6" s="20">
        <f t="shared" si="17"/>
        <v>89386</v>
      </c>
      <c r="AE6" s="20">
        <f t="shared" si="17"/>
        <v>93576</v>
      </c>
      <c r="AF6" s="20">
        <f t="shared" si="17"/>
        <v>97428</v>
      </c>
      <c r="AG6" s="20">
        <f t="shared" si="17"/>
        <v>101007</v>
      </c>
      <c r="AH6" s="20">
        <f t="shared" si="17"/>
        <v>102378</v>
      </c>
      <c r="AI6" s="20">
        <f t="shared" si="17"/>
        <v>102569.5</v>
      </c>
      <c r="AJ6" s="20">
        <f t="shared" si="17"/>
        <v>104335</v>
      </c>
      <c r="AK6" s="20">
        <f t="shared" si="17"/>
        <v>107778</v>
      </c>
      <c r="AL6" s="20">
        <f t="shared" si="17"/>
        <v>111314</v>
      </c>
      <c r="AM6" s="20">
        <f t="shared" si="17"/>
        <v>117272</v>
      </c>
      <c r="AN6" s="20">
        <f t="shared" si="17"/>
        <v>121116.5</v>
      </c>
      <c r="AO6" s="20">
        <f t="shared" si="17"/>
        <v>120426</v>
      </c>
      <c r="AP6" s="20">
        <f t="shared" si="17"/>
        <v>118452</v>
      </c>
      <c r="AQ6" s="20">
        <f t="shared" si="17"/>
        <v>119154.5</v>
      </c>
      <c r="AR6" s="20">
        <f t="shared" si="17"/>
        <v>126838</v>
      </c>
      <c r="AS6" s="20">
        <f t="shared" si="17"/>
        <v>134645</v>
      </c>
      <c r="AT6" s="20">
        <f t="shared" si="17"/>
        <v>135899</v>
      </c>
      <c r="AU6" s="20">
        <f t="shared" ref="AU6" si="18">AVERAGE(AU4,AU5)</f>
        <v>135483.5</v>
      </c>
      <c r="AV6" s="20">
        <f t="shared" ref="AV6" si="19">AVERAGE(AV4,AV5)</f>
        <v>138933</v>
      </c>
      <c r="AW6" s="20">
        <f t="shared" ref="AW6" si="20">AVERAGE(AW4,AW5)</f>
        <v>140826</v>
      </c>
      <c r="AX6" s="20">
        <f t="shared" ref="AX6" si="21">AVERAGE(AX4,AX5)</f>
        <v>136809.5</v>
      </c>
      <c r="AY6" s="20">
        <f t="shared" ref="AY6" si="22">AVERAGE(AY4,AY5)</f>
        <v>129483.5</v>
      </c>
      <c r="AZ6" s="20">
        <f t="shared" ref="AZ6" si="23">AVERAGE(AZ4,AZ5)</f>
        <v>120628</v>
      </c>
      <c r="BA6" s="20">
        <f t="shared" ref="BA6" si="24">AVERAGE(BA4,BA5)</f>
        <v>115010.5</v>
      </c>
      <c r="BB6" s="20">
        <f t="shared" ref="BB6" si="25">AVERAGE(BB4,BB5)</f>
        <v>114432</v>
      </c>
      <c r="BC6" s="20">
        <f t="shared" ref="BC6" si="26">AVERAGE(BC4,BC5)</f>
        <v>116717</v>
      </c>
      <c r="BD6" s="20">
        <f t="shared" ref="BD6:BE6" si="27">AVERAGE(BD4,BD5)</f>
        <v>119133.5</v>
      </c>
      <c r="BE6" s="20">
        <f t="shared" si="27"/>
        <v>115425.5</v>
      </c>
      <c r="BF6" s="20">
        <f t="shared" ref="BF6:BG6" si="28">AVERAGE(BF4,BF5)</f>
        <v>109503</v>
      </c>
      <c r="BG6" s="20">
        <f t="shared" si="28"/>
        <v>104407.5</v>
      </c>
      <c r="BH6" s="20">
        <f t="shared" ref="BH6:BI6" si="29">AVERAGE(BH4,BH5)</f>
        <v>96977.5</v>
      </c>
      <c r="BI6" s="20">
        <f t="shared" si="29"/>
        <v>94443.5</v>
      </c>
      <c r="BJ6" s="20">
        <f t="shared" ref="BJ6:BK6" si="30">AVERAGE(BJ4,BJ5)</f>
        <v>95492.5</v>
      </c>
      <c r="BK6" s="20">
        <f t="shared" si="30"/>
        <v>95238</v>
      </c>
      <c r="BL6" s="20">
        <f t="shared" ref="BL6" si="31">AVERAGE(BL4,BL5)</f>
        <v>96822</v>
      </c>
      <c r="BM6" s="20">
        <f t="shared" ref="BM6" si="32">AVERAGE(BM4,BM5)</f>
        <v>90751.054658764653</v>
      </c>
      <c r="BN6" s="20">
        <f t="shared" ref="BN6" si="33">AVERAGE(BN4,BN5)</f>
        <v>92182.642102367812</v>
      </c>
      <c r="BO6" s="20">
        <f t="shared" ref="BO6" si="34">AVERAGE(BO4,BO5)</f>
        <v>92604.873370773712</v>
      </c>
      <c r="BP6" s="20">
        <f t="shared" ref="BP6" si="35">AVERAGE(BP4,BP5)</f>
        <v>88747.111659251474</v>
      </c>
      <c r="BQ6" s="20">
        <f t="shared" ref="BQ6:BU6" si="36">AVERAGE(BQ4,BQ5)</f>
        <v>94613.2143825159</v>
      </c>
      <c r="BR6" s="20">
        <f>AVERAGE(BR4,BR5)</f>
        <v>107916.17880313747</v>
      </c>
      <c r="BS6" s="20">
        <f t="shared" si="36"/>
        <v>117288.11053772137</v>
      </c>
      <c r="BT6" s="20">
        <f t="shared" si="36"/>
        <v>128269.47457263712</v>
      </c>
      <c r="BU6" s="20">
        <f t="shared" si="36"/>
        <v>150934.96847363148</v>
      </c>
      <c r="BV6" s="20">
        <f t="shared" ref="BV6:CC6" si="37">AVERAGE(BV4,BV5)</f>
        <v>184690.11279072589</v>
      </c>
      <c r="BW6" s="20">
        <f t="shared" si="37"/>
        <v>207243.74062861808</v>
      </c>
      <c r="BX6" s="20">
        <f t="shared" si="37"/>
        <v>222720.62318386618</v>
      </c>
      <c r="BY6" s="20">
        <f t="shared" si="37"/>
        <v>252101.76964573091</v>
      </c>
      <c r="BZ6" s="20">
        <f t="shared" si="37"/>
        <v>295541.22719212587</v>
      </c>
      <c r="CA6" s="20">
        <f t="shared" si="37"/>
        <v>326042.83384546556</v>
      </c>
      <c r="CB6" s="20">
        <f t="shared" si="37"/>
        <v>347099.40563783713</v>
      </c>
      <c r="CC6" s="20">
        <f t="shared" si="37"/>
        <v>384457.66967369633</v>
      </c>
      <c r="CD6" s="20">
        <f t="shared" ref="CD6:CG6" si="38">AVERAGE(CD4,CD5)</f>
        <v>439518.42478089855</v>
      </c>
      <c r="CE6" s="20">
        <f t="shared" si="38"/>
        <v>479822.27545967512</v>
      </c>
      <c r="CF6" s="20">
        <f t="shared" si="38"/>
        <v>507718.94287934521</v>
      </c>
      <c r="CG6" s="20">
        <f t="shared" si="38"/>
        <v>554440.54191609775</v>
      </c>
      <c r="CH6" s="20"/>
      <c r="CI6" s="89" t="str">
        <f>B6</f>
        <v>n/a</v>
      </c>
      <c r="CJ6" s="20">
        <f t="shared" ref="CJ6:CY6" si="39">AVERAGE(CJ4,CJ5)</f>
        <v>39800.5</v>
      </c>
      <c r="CK6" s="89">
        <f t="shared" si="39"/>
        <v>46357</v>
      </c>
      <c r="CL6" s="89">
        <f t="shared" si="39"/>
        <v>53402.5</v>
      </c>
      <c r="CM6" s="89">
        <f t="shared" si="39"/>
        <v>61556</v>
      </c>
      <c r="CN6" s="89">
        <f t="shared" si="39"/>
        <v>68730.5</v>
      </c>
      <c r="CO6" s="89">
        <f t="shared" si="39"/>
        <v>79699.5</v>
      </c>
      <c r="CP6" s="89">
        <f t="shared" si="39"/>
        <v>94102</v>
      </c>
      <c r="CQ6" s="89">
        <f t="shared" si="39"/>
        <v>105505.5</v>
      </c>
      <c r="CR6" s="89">
        <f t="shared" si="39"/>
        <v>114407.5</v>
      </c>
      <c r="CS6" s="89">
        <f t="shared" si="39"/>
        <v>128184.5</v>
      </c>
      <c r="CT6" s="89">
        <f t="shared" si="39"/>
        <v>138171.5</v>
      </c>
      <c r="CU6" s="89">
        <f t="shared" si="39"/>
        <v>126705.5</v>
      </c>
      <c r="CV6" s="89">
        <f t="shared" si="39"/>
        <v>112339</v>
      </c>
      <c r="CW6" s="89">
        <f t="shared" si="39"/>
        <v>103286.5</v>
      </c>
      <c r="CX6" s="89">
        <f t="shared" si="39"/>
        <v>89331.554658764653</v>
      </c>
      <c r="CY6" s="89">
        <f t="shared" si="39"/>
        <v>89294.443309199647</v>
      </c>
      <c r="CZ6" s="89">
        <f>AVERAGE(CZ4,CZ5)</f>
        <v>127620.20293644824</v>
      </c>
      <c r="DA6" s="89">
        <f>AVERAGE(DA4,DA5)</f>
        <v>211592.40287178342</v>
      </c>
      <c r="DB6" s="89">
        <f>AVERAGE(DB4,DB5)</f>
        <v>331387.04786073917</v>
      </c>
      <c r="DC6" s="89">
        <f>AVERAGE(DC4,DC5)</f>
        <v>486272.36826546723</v>
      </c>
    </row>
    <row r="7" spans="1:107" x14ac:dyDescent="0.2">
      <c r="A7" s="29" t="s">
        <v>312</v>
      </c>
      <c r="B7" s="48" t="s">
        <v>82</v>
      </c>
      <c r="C7" s="48" t="s">
        <v>82</v>
      </c>
      <c r="D7" s="48" t="s">
        <v>82</v>
      </c>
      <c r="E7" s="48" t="s">
        <v>82</v>
      </c>
      <c r="F7" s="60">
        <f>F8/F4</f>
        <v>5.4324517512508936E-3</v>
      </c>
      <c r="G7" s="60">
        <f t="shared" ref="G7:BD7" si="40">G8/G4</f>
        <v>5.7805044308111789E-3</v>
      </c>
      <c r="H7" s="60">
        <f t="shared" si="40"/>
        <v>7.9503042077815837E-3</v>
      </c>
      <c r="I7" s="60">
        <f t="shared" si="40"/>
        <v>4.675751879699248E-3</v>
      </c>
      <c r="J7" s="60">
        <f t="shared" si="40"/>
        <v>4.0783399811768926E-3</v>
      </c>
      <c r="K7" s="60">
        <f t="shared" si="40"/>
        <v>3.6499310568578148E-3</v>
      </c>
      <c r="L7" s="60">
        <f t="shared" si="40"/>
        <v>3.9886832707202819E-3</v>
      </c>
      <c r="M7" s="60">
        <f t="shared" si="40"/>
        <v>3.9147931064648766E-3</v>
      </c>
      <c r="N7" s="60">
        <f t="shared" si="40"/>
        <v>3.805523207453003E-3</v>
      </c>
      <c r="O7" s="60">
        <f t="shared" si="40"/>
        <v>3.7127230627969181E-3</v>
      </c>
      <c r="P7" s="60">
        <f t="shared" si="40"/>
        <v>3.6926807760141091E-3</v>
      </c>
      <c r="Q7" s="60">
        <f t="shared" si="40"/>
        <v>3.8007353981049357E-3</v>
      </c>
      <c r="R7" s="60">
        <f t="shared" si="40"/>
        <v>2.8611815998773778E-3</v>
      </c>
      <c r="S7" s="60">
        <f t="shared" si="40"/>
        <v>2.8461240505902761E-3</v>
      </c>
      <c r="T7" s="60">
        <f t="shared" si="40"/>
        <v>3.0553558590941769E-3</v>
      </c>
      <c r="U7" s="60">
        <f t="shared" si="40"/>
        <v>3.5716009459916018E-3</v>
      </c>
      <c r="V7" s="60">
        <f t="shared" si="40"/>
        <v>3.5095892538240547E-3</v>
      </c>
      <c r="W7" s="60">
        <f t="shared" si="40"/>
        <v>3.6677058499908306E-3</v>
      </c>
      <c r="X7" s="60">
        <f t="shared" si="40"/>
        <v>3.7116652335912868E-3</v>
      </c>
      <c r="Y7" s="60">
        <f t="shared" si="40"/>
        <v>3.7654431266920443E-3</v>
      </c>
      <c r="Z7" s="60">
        <f t="shared" si="40"/>
        <v>3.6952891905948047E-3</v>
      </c>
      <c r="AA7" s="60">
        <f t="shared" si="40"/>
        <v>4.0789753401360542E-3</v>
      </c>
      <c r="AB7" s="60">
        <f t="shared" si="40"/>
        <v>4.0530206474636756E-3</v>
      </c>
      <c r="AC7" s="60">
        <f t="shared" si="40"/>
        <v>3.913022539009825E-3</v>
      </c>
      <c r="AD7" s="60">
        <f t="shared" si="40"/>
        <v>3.6139135672338504E-3</v>
      </c>
      <c r="AE7" s="60">
        <f t="shared" si="40"/>
        <v>3.1804757732126049E-3</v>
      </c>
      <c r="AF7" s="60">
        <f t="shared" si="40"/>
        <v>3.23081308796047E-3</v>
      </c>
      <c r="AG7" s="60">
        <f t="shared" si="40"/>
        <v>3.9942881679198745E-3</v>
      </c>
      <c r="AH7" s="60">
        <f t="shared" si="40"/>
        <v>3.9167182024324879E-3</v>
      </c>
      <c r="AI7" s="60">
        <f t="shared" si="40"/>
        <v>4.43213296398892E-3</v>
      </c>
      <c r="AJ7" s="60">
        <f t="shared" si="40"/>
        <v>4.7039724607350324E-3</v>
      </c>
      <c r="AK7" s="60">
        <f t="shared" si="40"/>
        <v>5.0932190648022855E-3</v>
      </c>
      <c r="AL7" s="60">
        <f t="shared" si="40"/>
        <v>4.7828477185266633E-3</v>
      </c>
      <c r="AM7" s="60">
        <f t="shared" si="40"/>
        <v>5.7539123079092059E-3</v>
      </c>
      <c r="AN7" s="60">
        <f t="shared" si="40"/>
        <v>5.2124636531853024E-3</v>
      </c>
      <c r="AO7" s="60">
        <f t="shared" si="40"/>
        <v>5.1247348919349379E-3</v>
      </c>
      <c r="AP7" s="60">
        <f t="shared" si="40"/>
        <v>4.8965949446417379E-3</v>
      </c>
      <c r="AQ7" s="60">
        <f t="shared" si="40"/>
        <v>3.6936252974946473E-3</v>
      </c>
      <c r="AR7" s="60">
        <f t="shared" si="40"/>
        <v>3.7991410637594979E-3</v>
      </c>
      <c r="AS7" s="60">
        <f t="shared" si="40"/>
        <v>2.9110983740082657E-3</v>
      </c>
      <c r="AT7" s="60">
        <f t="shared" si="40"/>
        <v>2.5238854668090771E-3</v>
      </c>
      <c r="AU7" s="60">
        <f t="shared" si="40"/>
        <v>2.8792633822832779E-3</v>
      </c>
      <c r="AV7" s="60">
        <f t="shared" si="40"/>
        <v>2.8484576374730427E-3</v>
      </c>
      <c r="AW7" s="60">
        <f t="shared" si="40"/>
        <v>2.6619155933325354E-3</v>
      </c>
      <c r="AX7" s="60">
        <f t="shared" si="40"/>
        <v>2.9645754713603393E-3</v>
      </c>
      <c r="AY7" s="60">
        <f t="shared" si="40"/>
        <v>3.6276778383220122E-3</v>
      </c>
      <c r="AZ7" s="60">
        <f t="shared" si="40"/>
        <v>4.9201180828339882E-3</v>
      </c>
      <c r="BA7" s="77">
        <f t="shared" si="40"/>
        <v>5.6683783621052997E-3</v>
      </c>
      <c r="BB7" s="77">
        <f t="shared" si="40"/>
        <v>7.005854327455565E-3</v>
      </c>
      <c r="BC7" s="77">
        <f t="shared" si="40"/>
        <v>7.7496481381730984E-3</v>
      </c>
      <c r="BD7" s="77">
        <f t="shared" si="40"/>
        <v>9.0085522090389749E-3</v>
      </c>
      <c r="BE7" s="77">
        <f t="shared" ref="BE7:BF7" si="41">BE8/BE4</f>
        <v>9.2550131321132278E-3</v>
      </c>
      <c r="BF7" s="77">
        <f t="shared" si="41"/>
        <v>9.5657975404810844E-3</v>
      </c>
      <c r="BG7" s="77">
        <f t="shared" ref="BG7:BH7" si="42">BG8/BG4</f>
        <v>1.008418910167453E-2</v>
      </c>
      <c r="BH7" s="77">
        <f t="shared" si="42"/>
        <v>1.2340531149168528E-2</v>
      </c>
      <c r="BI7" s="77">
        <f t="shared" ref="BI7:BJ7" si="43">BI8/BI4</f>
        <v>1.1670063284350531E-2</v>
      </c>
      <c r="BJ7" s="77">
        <f t="shared" si="43"/>
        <v>1.0464472019820818E-2</v>
      </c>
      <c r="BK7" s="77">
        <f t="shared" ref="BK7:BL7" si="44">BK8/BK4</f>
        <v>1.1014602215508561E-2</v>
      </c>
      <c r="BL7" s="77">
        <f t="shared" si="44"/>
        <v>1.1308698028334804E-2</v>
      </c>
      <c r="BM7" s="326">
        <v>8.9999999999999993E-3</v>
      </c>
      <c r="BN7" s="326">
        <v>9.9644720198208171E-3</v>
      </c>
      <c r="BO7" s="326">
        <v>1.051460221550856E-2</v>
      </c>
      <c r="BP7" s="326">
        <v>8.4999999999999989E-3</v>
      </c>
      <c r="BQ7" s="326">
        <f t="shared" ref="BQ7" si="45">BM7-0.0005</f>
        <v>8.4999999999999989E-3</v>
      </c>
      <c r="BR7" s="326">
        <f t="shared" ref="BR7" si="46">BN7-0.0005</f>
        <v>9.4644720198208167E-3</v>
      </c>
      <c r="BS7" s="326">
        <f t="shared" ref="BS7" si="47">BO7-0.0005</f>
        <v>1.001460221550856E-2</v>
      </c>
      <c r="BT7" s="326">
        <f t="shared" ref="BT7" si="48">BP7-0.0005</f>
        <v>7.9999999999999984E-3</v>
      </c>
      <c r="BU7" s="326">
        <f t="shared" ref="BU7" si="49">BQ7-0.0005</f>
        <v>7.9999999999999984E-3</v>
      </c>
      <c r="BV7" s="326">
        <f t="shared" ref="BV7" si="50">BR7-0.0005</f>
        <v>8.9644720198208162E-3</v>
      </c>
      <c r="BW7" s="326">
        <f t="shared" ref="BW7" si="51">BS7-0.0005</f>
        <v>9.5146022155085594E-3</v>
      </c>
      <c r="BX7" s="326">
        <f t="shared" ref="BX7" si="52">BT7-0.0005</f>
        <v>7.499999999999998E-3</v>
      </c>
      <c r="BY7" s="326">
        <f t="shared" ref="BY7" si="53">BU7-0.0005</f>
        <v>7.499999999999998E-3</v>
      </c>
      <c r="BZ7" s="326">
        <f t="shared" ref="BZ7" si="54">BV7-0.0005</f>
        <v>8.4644720198208158E-3</v>
      </c>
      <c r="CA7" s="326">
        <f t="shared" ref="CA7" si="55">BW7-0.0005</f>
        <v>9.0146022155085589E-3</v>
      </c>
      <c r="CB7" s="326">
        <f t="shared" ref="CB7" si="56">BX7-0.0005</f>
        <v>6.9999999999999975E-3</v>
      </c>
      <c r="CC7" s="326">
        <f t="shared" ref="CC7" si="57">BY7-0.0005</f>
        <v>6.9999999999999975E-3</v>
      </c>
      <c r="CD7" s="326">
        <f t="shared" ref="CD7" si="58">BZ7-0.0005</f>
        <v>7.9644720198208153E-3</v>
      </c>
      <c r="CE7" s="326">
        <f t="shared" ref="CE7" si="59">CA7-0.0005</f>
        <v>8.5146022155085585E-3</v>
      </c>
      <c r="CF7" s="326">
        <f t="shared" ref="CF7" si="60">CB7-0.0005</f>
        <v>6.4999999999999971E-3</v>
      </c>
      <c r="CG7" s="326">
        <f t="shared" ref="CG7" si="61">CC7-0.0005</f>
        <v>6.4999999999999971E-3</v>
      </c>
      <c r="CH7" s="68"/>
      <c r="CI7" s="89" t="str">
        <f>B7</f>
        <v>n/a</v>
      </c>
      <c r="CJ7" s="60">
        <f t="shared" ref="CJ7:CX7" si="62">CJ8/CJ4</f>
        <v>2.6075768406004288E-2</v>
      </c>
      <c r="CK7" s="125">
        <f t="shared" si="62"/>
        <v>1.5977233003182E-2</v>
      </c>
      <c r="CL7" s="125">
        <f t="shared" si="62"/>
        <v>1.6324238895358511E-2</v>
      </c>
      <c r="CM7" s="125">
        <f t="shared" si="62"/>
        <v>1.270500877088407E-2</v>
      </c>
      <c r="CN7" s="125">
        <f t="shared" si="62"/>
        <v>1.5513626834381551E-2</v>
      </c>
      <c r="CO7" s="125">
        <f t="shared" si="62"/>
        <v>1.6697232638983931E-2</v>
      </c>
      <c r="CP7" s="125">
        <f t="shared" si="62"/>
        <v>1.519696987247055E-2</v>
      </c>
      <c r="CQ7" s="125">
        <f t="shared" si="62"/>
        <v>1.8435079659569455E-2</v>
      </c>
      <c r="CR7" s="125">
        <f t="shared" si="62"/>
        <v>2.223749312809236E-2</v>
      </c>
      <c r="CS7" s="125">
        <f t="shared" si="62"/>
        <v>1.5583872989346145E-2</v>
      </c>
      <c r="CT7" s="125">
        <f t="shared" si="62"/>
        <v>1.0966099463034222E-2</v>
      </c>
      <c r="CU7" s="125">
        <f t="shared" si="62"/>
        <v>1.5567601629800427E-2</v>
      </c>
      <c r="CV7" s="125">
        <f t="shared" si="62"/>
        <v>3.3974437861500326E-2</v>
      </c>
      <c r="CW7" s="125">
        <f t="shared" si="62"/>
        <v>4.0408958130477117E-2</v>
      </c>
      <c r="CX7" s="125">
        <f t="shared" si="62"/>
        <v>4.1956824905652487E-2</v>
      </c>
      <c r="CY7" s="125">
        <f>CY8/CY4</f>
        <v>4.0979686733597781E-2</v>
      </c>
      <c r="CZ7" s="125">
        <f>CZ8/CZ4</f>
        <v>4.3535079701075501E-2</v>
      </c>
      <c r="DA7" s="125">
        <f>DA8/DA4</f>
        <v>4.2387468976704312E-2</v>
      </c>
      <c r="DB7" s="125">
        <f>DB8/DB4</f>
        <v>3.8109126853685234E-2</v>
      </c>
      <c r="DC7" s="125">
        <f>DC8/DC4</f>
        <v>3.4728777943116754E-2</v>
      </c>
    </row>
    <row r="8" spans="1:107" x14ac:dyDescent="0.2">
      <c r="A8" s="29" t="s">
        <v>313</v>
      </c>
      <c r="B8" s="48" t="s">
        <v>82</v>
      </c>
      <c r="C8" s="48" t="s">
        <v>82</v>
      </c>
      <c r="D8" s="48" t="s">
        <v>82</v>
      </c>
      <c r="E8" s="48" t="s">
        <v>82</v>
      </c>
      <c r="F8" s="17">
        <v>190</v>
      </c>
      <c r="G8" s="17">
        <v>212</v>
      </c>
      <c r="H8" s="17">
        <v>311</v>
      </c>
      <c r="I8" s="17">
        <v>199</v>
      </c>
      <c r="J8" s="17">
        <v>182</v>
      </c>
      <c r="K8" s="17">
        <v>180</v>
      </c>
      <c r="L8" s="17">
        <v>172</v>
      </c>
      <c r="M8" s="17">
        <v>179</v>
      </c>
      <c r="N8" s="17">
        <v>183</v>
      </c>
      <c r="O8" s="17">
        <v>186</v>
      </c>
      <c r="P8" s="17">
        <v>201</v>
      </c>
      <c r="Q8" s="17">
        <v>215</v>
      </c>
      <c r="R8" s="17">
        <v>168</v>
      </c>
      <c r="S8" s="17">
        <v>169</v>
      </c>
      <c r="T8" s="17">
        <v>187</v>
      </c>
      <c r="U8" s="17">
        <v>222</v>
      </c>
      <c r="V8" s="17">
        <v>226</v>
      </c>
      <c r="W8" s="17">
        <v>240</v>
      </c>
      <c r="X8" s="17">
        <v>259</v>
      </c>
      <c r="Y8" s="17">
        <v>274</v>
      </c>
      <c r="Z8" s="17">
        <v>270</v>
      </c>
      <c r="AA8" s="17">
        <v>307</v>
      </c>
      <c r="AB8" s="17">
        <v>318</v>
      </c>
      <c r="AC8" s="17">
        <v>325</v>
      </c>
      <c r="AD8" s="17">
        <v>312</v>
      </c>
      <c r="AE8" s="17">
        <v>294</v>
      </c>
      <c r="AF8" s="17">
        <v>306</v>
      </c>
      <c r="AG8" s="17">
        <v>400</v>
      </c>
      <c r="AH8" s="17">
        <v>399</v>
      </c>
      <c r="AI8" s="17">
        <v>456</v>
      </c>
      <c r="AJ8" s="17">
        <v>481</v>
      </c>
      <c r="AK8" s="17">
        <v>542</v>
      </c>
      <c r="AL8" s="17">
        <v>522</v>
      </c>
      <c r="AM8" s="17">
        <v>653</v>
      </c>
      <c r="AN8" s="17">
        <v>631</v>
      </c>
      <c r="AO8" s="17">
        <v>621</v>
      </c>
      <c r="AP8" s="17">
        <v>586</v>
      </c>
      <c r="AQ8" s="17">
        <v>433</v>
      </c>
      <c r="AR8" s="17">
        <v>460</v>
      </c>
      <c r="AS8" s="17">
        <v>386</v>
      </c>
      <c r="AT8" s="17">
        <v>345</v>
      </c>
      <c r="AU8" s="18">
        <v>389</v>
      </c>
      <c r="AV8" s="18">
        <v>387</v>
      </c>
      <c r="AW8" s="18">
        <v>378</v>
      </c>
      <c r="AX8" s="18">
        <v>414</v>
      </c>
      <c r="AY8" s="18">
        <v>486</v>
      </c>
      <c r="AZ8" s="18">
        <v>615</v>
      </c>
      <c r="BA8" s="18">
        <v>659</v>
      </c>
      <c r="BB8" s="18">
        <v>797</v>
      </c>
      <c r="BC8" s="18">
        <v>892</v>
      </c>
      <c r="BD8" s="18">
        <v>1066</v>
      </c>
      <c r="BE8" s="18">
        <v>1110</v>
      </c>
      <c r="BF8" s="18">
        <v>1061</v>
      </c>
      <c r="BG8" s="18">
        <v>1090</v>
      </c>
      <c r="BH8" s="18">
        <v>1243</v>
      </c>
      <c r="BI8" s="18">
        <v>1088</v>
      </c>
      <c r="BJ8" s="18">
        <v>1001</v>
      </c>
      <c r="BK8" s="18">
        <v>1050</v>
      </c>
      <c r="BL8" s="18">
        <v>1076</v>
      </c>
      <c r="BM8" s="20">
        <f t="shared" ref="BM8:BQ8" si="63">BM4*BM7</f>
        <v>886.46399999999994</v>
      </c>
      <c r="BN8" s="20">
        <f t="shared" si="63"/>
        <v>827.11205376870896</v>
      </c>
      <c r="BO8" s="20">
        <f t="shared" si="63"/>
        <v>1065.7514048311391</v>
      </c>
      <c r="BP8" s="20">
        <f t="shared" si="63"/>
        <v>712.72986076189932</v>
      </c>
      <c r="BQ8" s="20">
        <f t="shared" si="63"/>
        <v>795.9710374453756</v>
      </c>
      <c r="BR8" s="20">
        <f>BR4*BR7</f>
        <v>904.64052134084818</v>
      </c>
      <c r="BS8" s="20">
        <f t="shared" ref="BS8:BU8" si="64">BS4*BS7</f>
        <v>1204.2517133404831</v>
      </c>
      <c r="BT8" s="20">
        <f t="shared" si="64"/>
        <v>914.61312616030216</v>
      </c>
      <c r="BU8" s="20">
        <f t="shared" si="64"/>
        <v>1137.6984670018915</v>
      </c>
      <c r="BV8" s="20">
        <f t="shared" ref="BV8:CC8" si="65">BV4*BV7</f>
        <v>1431.2463440848762</v>
      </c>
      <c r="BW8" s="20">
        <f t="shared" si="65"/>
        <v>1995.4270861480866</v>
      </c>
      <c r="BX8" s="20">
        <f t="shared" si="65"/>
        <v>1535.7366318585812</v>
      </c>
      <c r="BY8" s="20">
        <f t="shared" si="65"/>
        <v>1805.0727158994107</v>
      </c>
      <c r="BZ8" s="20">
        <f t="shared" si="65"/>
        <v>2230.6184176308661</v>
      </c>
      <c r="CA8" s="20">
        <f t="shared" si="65"/>
        <v>2952.7805276632284</v>
      </c>
      <c r="CB8" s="20">
        <f t="shared" si="65"/>
        <v>2271.7127333475373</v>
      </c>
      <c r="CC8" s="20">
        <f t="shared" si="65"/>
        <v>2587.6789455821813</v>
      </c>
      <c r="CD8" s="20">
        <f t="shared" ref="CD8:CG8" si="66">CD4*CD7</f>
        <v>3179.790911790662</v>
      </c>
      <c r="CE8" s="20">
        <f t="shared" si="66"/>
        <v>4085.2204095722732</v>
      </c>
      <c r="CF8" s="20">
        <f t="shared" si="66"/>
        <v>3119.0550293986917</v>
      </c>
      <c r="CG8" s="20">
        <f t="shared" si="66"/>
        <v>3481.2912280327928</v>
      </c>
      <c r="CH8" s="20"/>
      <c r="CI8" s="89" t="str">
        <f>B8</f>
        <v>n/a</v>
      </c>
      <c r="CJ8" s="20">
        <f t="shared" ref="CJ8" si="67">SUM(F8:I8)</f>
        <v>912</v>
      </c>
      <c r="CK8" s="89">
        <f t="shared" ref="CK8" si="68">SUM(J8:M8)</f>
        <v>713</v>
      </c>
      <c r="CL8" s="89">
        <f t="shared" ref="CL8" si="69">SUM(N8:Q8)</f>
        <v>785</v>
      </c>
      <c r="CM8" s="89">
        <f t="shared" ref="CM8" si="70">SUM(R8:U8)</f>
        <v>746</v>
      </c>
      <c r="CN8" s="89">
        <f t="shared" ref="CN8" si="71">SUM(V8:Y8)</f>
        <v>999</v>
      </c>
      <c r="CO8" s="89">
        <f t="shared" ref="CO8" si="72">SUM(Z8:AC8)</f>
        <v>1220</v>
      </c>
      <c r="CP8" s="89">
        <f t="shared" ref="CP8" si="73">SUM(AD8:AG8)</f>
        <v>1312</v>
      </c>
      <c r="CQ8" s="89">
        <f t="shared" ref="CQ8" si="74">SUM(AH8:AK8)</f>
        <v>1878</v>
      </c>
      <c r="CR8" s="89">
        <f t="shared" ref="CR8" si="75">SUM(AL8:AO8)</f>
        <v>2427</v>
      </c>
      <c r="CS8" s="89">
        <f t="shared" ref="CS8" si="76">SUM(AP8:AS8)</f>
        <v>1865</v>
      </c>
      <c r="CT8" s="89">
        <f t="shared" ref="CT8" si="77">SUM(AT8:AW8)</f>
        <v>1499</v>
      </c>
      <c r="CU8" s="89">
        <f t="shared" ref="CU8" si="78">SUM(AX8:BA8)</f>
        <v>2174</v>
      </c>
      <c r="CV8" s="89">
        <f t="shared" ref="CV8" si="79">SUM(BB8:BE8)</f>
        <v>3865</v>
      </c>
      <c r="CW8" s="89">
        <f t="shared" ref="CW8" si="80">SUM(BF8:BI8)</f>
        <v>4482</v>
      </c>
      <c r="CX8" s="89">
        <f t="shared" ref="CX8" si="81">SUM(BJ8:BM8)</f>
        <v>4013.4639999999999</v>
      </c>
      <c r="CY8" s="89">
        <f>SUM(BN8:BQ8)</f>
        <v>3401.5643568071232</v>
      </c>
      <c r="CZ8" s="89">
        <f>SUM(BR8:BU8)</f>
        <v>4161.2038278435248</v>
      </c>
      <c r="DA8" s="89">
        <f>SUM(BV8:BY8)</f>
        <v>6767.4827779909547</v>
      </c>
      <c r="DB8" s="89">
        <f>SUM(BZ8:CC8)</f>
        <v>10042.790624223813</v>
      </c>
      <c r="DC8" s="89">
        <f>SUM(CD8:CG8)</f>
        <v>13865.357578794419</v>
      </c>
    </row>
    <row r="9" spans="1:107" x14ac:dyDescent="0.2">
      <c r="CI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</row>
    <row r="10" spans="1:107" x14ac:dyDescent="0.2">
      <c r="A10" s="5" t="s">
        <v>314</v>
      </c>
      <c r="CI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</row>
    <row r="11" spans="1:107" x14ac:dyDescent="0.2">
      <c r="A11" s="29" t="s">
        <v>309</v>
      </c>
      <c r="B11" s="48" t="s">
        <v>82</v>
      </c>
      <c r="C11" s="20">
        <f>B15</f>
        <v>0</v>
      </c>
      <c r="D11" s="20">
        <f t="shared" ref="D11:BO11" si="82">C15</f>
        <v>0</v>
      </c>
      <c r="E11" s="20">
        <f t="shared" si="82"/>
        <v>2122</v>
      </c>
      <c r="F11" s="20">
        <f t="shared" si="82"/>
        <v>3465</v>
      </c>
      <c r="G11" s="20">
        <f t="shared" si="82"/>
        <v>3216</v>
      </c>
      <c r="H11" s="20">
        <f t="shared" si="82"/>
        <v>4202</v>
      </c>
      <c r="I11" s="20">
        <f t="shared" si="82"/>
        <v>4204</v>
      </c>
      <c r="J11" s="20">
        <f t="shared" si="82"/>
        <v>4204</v>
      </c>
      <c r="K11" s="20">
        <f t="shared" si="82"/>
        <v>5455</v>
      </c>
      <c r="L11" s="20">
        <f t="shared" si="82"/>
        <v>6205</v>
      </c>
      <c r="M11" s="20">
        <f t="shared" si="82"/>
        <v>6206</v>
      </c>
      <c r="N11" s="20">
        <f t="shared" si="82"/>
        <v>5537</v>
      </c>
      <c r="O11" s="20">
        <f t="shared" si="82"/>
        <v>5139</v>
      </c>
      <c r="P11" s="20">
        <f t="shared" si="82"/>
        <v>4989</v>
      </c>
      <c r="Q11" s="20">
        <f t="shared" si="82"/>
        <v>5247</v>
      </c>
      <c r="R11" s="20">
        <f t="shared" si="82"/>
        <v>5245</v>
      </c>
      <c r="S11" s="20">
        <f t="shared" si="82"/>
        <v>6243</v>
      </c>
      <c r="T11" s="20">
        <f t="shared" si="82"/>
        <v>5241</v>
      </c>
      <c r="U11" s="20">
        <f t="shared" si="82"/>
        <v>5239</v>
      </c>
      <c r="V11" s="20">
        <f t="shared" si="82"/>
        <v>5237</v>
      </c>
      <c r="W11" s="20">
        <f t="shared" si="82"/>
        <v>5235</v>
      </c>
      <c r="X11" s="20">
        <f t="shared" si="82"/>
        <v>5233</v>
      </c>
      <c r="Y11" s="20">
        <f t="shared" si="82"/>
        <v>5231</v>
      </c>
      <c r="Z11" s="20">
        <f t="shared" si="82"/>
        <v>5220</v>
      </c>
      <c r="AA11" s="20">
        <f t="shared" si="82"/>
        <v>5208</v>
      </c>
      <c r="AB11" s="20">
        <f t="shared" si="82"/>
        <v>4203</v>
      </c>
      <c r="AC11" s="20">
        <f t="shared" si="82"/>
        <v>3938</v>
      </c>
      <c r="AD11" s="20">
        <f t="shared" si="82"/>
        <v>3935</v>
      </c>
      <c r="AE11" s="20">
        <f t="shared" si="82"/>
        <v>3937</v>
      </c>
      <c r="AF11" s="20">
        <f t="shared" si="82"/>
        <v>3955</v>
      </c>
      <c r="AG11" s="20">
        <f t="shared" si="82"/>
        <v>3964</v>
      </c>
      <c r="AH11" s="20">
        <f t="shared" si="82"/>
        <v>3969</v>
      </c>
      <c r="AI11" s="20">
        <f t="shared" si="82"/>
        <v>5302</v>
      </c>
      <c r="AJ11" s="20">
        <f t="shared" si="82"/>
        <v>3981</v>
      </c>
      <c r="AK11" s="20">
        <f t="shared" si="82"/>
        <v>3986</v>
      </c>
      <c r="AL11" s="20">
        <f t="shared" si="82"/>
        <v>4012</v>
      </c>
      <c r="AM11" s="20">
        <f t="shared" si="82"/>
        <v>4066</v>
      </c>
      <c r="AN11" s="20">
        <f t="shared" si="82"/>
        <v>4074</v>
      </c>
      <c r="AO11" s="20">
        <f t="shared" si="82"/>
        <v>4082</v>
      </c>
      <c r="AP11" s="20">
        <f t="shared" si="82"/>
        <v>4554</v>
      </c>
      <c r="AQ11" s="20">
        <f t="shared" si="82"/>
        <v>5016</v>
      </c>
      <c r="AR11" s="20">
        <f t="shared" si="82"/>
        <v>4018</v>
      </c>
      <c r="AS11" s="20">
        <f t="shared" si="82"/>
        <v>13902</v>
      </c>
      <c r="AT11" s="20">
        <f t="shared" si="82"/>
        <v>13932</v>
      </c>
      <c r="AU11" s="20">
        <f t="shared" si="82"/>
        <v>13887</v>
      </c>
      <c r="AV11" s="20">
        <f t="shared" si="82"/>
        <v>14328</v>
      </c>
      <c r="AW11" s="20">
        <f t="shared" si="82"/>
        <v>14288</v>
      </c>
      <c r="AX11" s="20">
        <f t="shared" si="82"/>
        <v>14817</v>
      </c>
      <c r="AY11" s="20">
        <f t="shared" si="82"/>
        <v>14791</v>
      </c>
      <c r="AZ11" s="20">
        <f t="shared" si="82"/>
        <v>14734</v>
      </c>
      <c r="BA11" s="20">
        <f t="shared" si="82"/>
        <v>14653</v>
      </c>
      <c r="BB11" s="20">
        <f t="shared" si="82"/>
        <v>14701</v>
      </c>
      <c r="BC11" s="20">
        <f t="shared" si="82"/>
        <v>13697</v>
      </c>
      <c r="BD11" s="20">
        <f t="shared" si="82"/>
        <v>13705</v>
      </c>
      <c r="BE11" s="20">
        <f t="shared" si="82"/>
        <v>13781</v>
      </c>
      <c r="BF11" s="20">
        <f t="shared" si="82"/>
        <v>13253</v>
      </c>
      <c r="BG11" s="20">
        <f t="shared" si="82"/>
        <v>13228</v>
      </c>
      <c r="BH11" s="20">
        <f t="shared" si="82"/>
        <v>13238</v>
      </c>
      <c r="BI11" s="20">
        <f t="shared" si="82"/>
        <v>12297</v>
      </c>
      <c r="BJ11" s="20">
        <f t="shared" si="82"/>
        <v>10883</v>
      </c>
      <c r="BK11" s="20">
        <f t="shared" si="82"/>
        <v>10886</v>
      </c>
      <c r="BL11" s="20">
        <f t="shared" si="82"/>
        <v>23607</v>
      </c>
      <c r="BM11" s="20">
        <f t="shared" si="82"/>
        <v>21607</v>
      </c>
      <c r="BN11" s="20">
        <f t="shared" si="82"/>
        <v>21607</v>
      </c>
      <c r="BO11" s="20">
        <f t="shared" si="82"/>
        <v>21607</v>
      </c>
      <c r="BP11" s="20">
        <f t="shared" ref="BP11:BQ11" si="83">BO15</f>
        <v>21607</v>
      </c>
      <c r="BQ11" s="20">
        <f t="shared" si="83"/>
        <v>21607</v>
      </c>
      <c r="BR11" s="20">
        <f>BQ15</f>
        <v>21607</v>
      </c>
      <c r="BS11" s="20">
        <f t="shared" ref="BS11" si="84">BR15</f>
        <v>21607</v>
      </c>
      <c r="BT11" s="20">
        <f t="shared" ref="BT11" si="85">BS15</f>
        <v>21607</v>
      </c>
      <c r="BU11" s="20">
        <f t="shared" ref="BU11" si="86">BT15</f>
        <v>21607</v>
      </c>
      <c r="BV11" s="20">
        <f t="shared" ref="BV11" si="87">BU15</f>
        <v>21607</v>
      </c>
      <c r="BW11" s="20">
        <f t="shared" ref="BW11" si="88">BV15</f>
        <v>21607</v>
      </c>
      <c r="BX11" s="20">
        <f t="shared" ref="BX11" si="89">BW15</f>
        <v>21607</v>
      </c>
      <c r="BY11" s="20">
        <f t="shared" ref="BY11" si="90">BX15</f>
        <v>21607</v>
      </c>
      <c r="BZ11" s="20">
        <f t="shared" ref="BZ11" si="91">BY15</f>
        <v>21607</v>
      </c>
      <c r="CA11" s="20">
        <f t="shared" ref="CA11" si="92">BZ15</f>
        <v>21607</v>
      </c>
      <c r="CB11" s="20">
        <f t="shared" ref="CB11" si="93">CA15</f>
        <v>21607</v>
      </c>
      <c r="CC11" s="20">
        <f t="shared" ref="CC11" si="94">CB15</f>
        <v>21607</v>
      </c>
      <c r="CD11" s="20">
        <f t="shared" ref="CD11" si="95">CC15</f>
        <v>21607</v>
      </c>
      <c r="CE11" s="20">
        <f t="shared" ref="CE11" si="96">CD15</f>
        <v>21607</v>
      </c>
      <c r="CF11" s="20">
        <f t="shared" ref="CF11" si="97">CE15</f>
        <v>21607</v>
      </c>
      <c r="CG11" s="20">
        <f t="shared" ref="CG11" si="98">CF15</f>
        <v>21607</v>
      </c>
      <c r="CH11" s="20"/>
      <c r="CI11" s="89" t="str">
        <f>B11</f>
        <v>n/a</v>
      </c>
      <c r="CJ11" s="20">
        <f>F11</f>
        <v>3465</v>
      </c>
      <c r="CK11" s="89">
        <f>J11</f>
        <v>4204</v>
      </c>
      <c r="CL11" s="89">
        <f>N11</f>
        <v>5537</v>
      </c>
      <c r="CM11" s="89">
        <f>R11</f>
        <v>5245</v>
      </c>
      <c r="CN11" s="89">
        <f>V11</f>
        <v>5237</v>
      </c>
      <c r="CO11" s="89">
        <f>Z11</f>
        <v>5220</v>
      </c>
      <c r="CP11" s="89">
        <f>AD11</f>
        <v>3935</v>
      </c>
      <c r="CQ11" s="89">
        <f>AH11</f>
        <v>3969</v>
      </c>
      <c r="CR11" s="89">
        <f>AL11</f>
        <v>4012</v>
      </c>
      <c r="CS11" s="89">
        <f>AP11</f>
        <v>4554</v>
      </c>
      <c r="CT11" s="89">
        <f>AT11</f>
        <v>13932</v>
      </c>
      <c r="CU11" s="89">
        <f>AX11</f>
        <v>14817</v>
      </c>
      <c r="CV11" s="89">
        <f>BB11</f>
        <v>14701</v>
      </c>
      <c r="CW11" s="89">
        <f>BF11</f>
        <v>13253</v>
      </c>
      <c r="CX11" s="89">
        <f>BJ11</f>
        <v>10883</v>
      </c>
      <c r="CY11" s="89">
        <f>BN11</f>
        <v>21607</v>
      </c>
      <c r="CZ11" s="89">
        <f>BR11</f>
        <v>21607</v>
      </c>
      <c r="DA11" s="89">
        <f>BV11</f>
        <v>21607</v>
      </c>
      <c r="DB11" s="89">
        <f>BZ11</f>
        <v>21607</v>
      </c>
      <c r="DC11" s="89">
        <f>CD11</f>
        <v>21607</v>
      </c>
    </row>
    <row r="12" spans="1:107" x14ac:dyDescent="0.2">
      <c r="A12" s="69" t="s">
        <v>175</v>
      </c>
      <c r="B12" s="48" t="s">
        <v>82</v>
      </c>
      <c r="C12" s="20">
        <f>'Cash Flow Statement'!C39</f>
        <v>0</v>
      </c>
      <c r="D12" s="20">
        <f>'Cash Flow Statement'!D39</f>
        <v>2121</v>
      </c>
      <c r="E12" s="20">
        <f>'Cash Flow Statement'!E39</f>
        <v>1342</v>
      </c>
      <c r="F12" s="20">
        <f>'Cash Flow Statement'!F39</f>
        <v>-251</v>
      </c>
      <c r="G12" s="20">
        <f>'Cash Flow Statement'!G39</f>
        <v>977</v>
      </c>
      <c r="H12" s="20">
        <f>'Cash Flow Statement'!H39</f>
        <v>0</v>
      </c>
      <c r="I12" s="20">
        <f>'Cash Flow Statement'!I39</f>
        <v>0</v>
      </c>
      <c r="J12" s="20">
        <f>'Cash Flow Statement'!J39</f>
        <v>1249</v>
      </c>
      <c r="K12" s="20">
        <f>'Cash Flow Statement'!K39</f>
        <v>749</v>
      </c>
      <c r="L12" s="20">
        <f>'Cash Flow Statement'!L39</f>
        <v>-1</v>
      </c>
      <c r="M12" s="20">
        <f>'Cash Flow Statement'!M39</f>
        <v>-669</v>
      </c>
      <c r="N12" s="20">
        <f>'Cash Flow Statement'!N39</f>
        <v>-401</v>
      </c>
      <c r="O12" s="20">
        <f>'Cash Flow Statement'!O39</f>
        <v>-151</v>
      </c>
      <c r="P12" s="20">
        <f>'Cash Flow Statement'!P39</f>
        <v>-2</v>
      </c>
      <c r="Q12" s="20">
        <f>'Cash Flow Statement'!Q39</f>
        <v>-3</v>
      </c>
      <c r="R12" s="20">
        <f>'Cash Flow Statement'!R39</f>
        <v>993</v>
      </c>
      <c r="S12" s="20">
        <f>'Cash Flow Statement'!S39</f>
        <v>-1004</v>
      </c>
      <c r="T12" s="20">
        <f>'Cash Flow Statement'!T39</f>
        <v>-3</v>
      </c>
      <c r="U12" s="20">
        <f>'Cash Flow Statement'!U39</f>
        <v>-4</v>
      </c>
      <c r="V12" s="20">
        <f>'Cash Flow Statement'!V39</f>
        <v>-3</v>
      </c>
      <c r="W12" s="20">
        <f>'Cash Flow Statement'!W39</f>
        <v>-3</v>
      </c>
      <c r="X12" s="20">
        <f>'Cash Flow Statement'!X39</f>
        <v>-3</v>
      </c>
      <c r="Y12" s="20">
        <f>'Cash Flow Statement'!Y39</f>
        <v>-14</v>
      </c>
      <c r="Z12" s="20">
        <f>'Cash Flow Statement'!Z39</f>
        <v>-6</v>
      </c>
      <c r="AA12" s="20">
        <f>'Cash Flow Statement'!AA39</f>
        <v>-1042</v>
      </c>
      <c r="AB12" s="20">
        <f>'Cash Flow Statement'!AB39</f>
        <v>-274</v>
      </c>
      <c r="AC12" s="20">
        <f>'Cash Flow Statement'!AC39</f>
        <v>0</v>
      </c>
      <c r="AD12" s="20">
        <f>'Cash Flow Statement'!AD39</f>
        <v>-18</v>
      </c>
      <c r="AE12" s="20">
        <f>'Cash Flow Statement'!AE39</f>
        <v>-38</v>
      </c>
      <c r="AF12" s="20">
        <f>'Cash Flow Statement'!AF39</f>
        <v>-8</v>
      </c>
      <c r="AG12" s="20">
        <f>'Cash Flow Statement'!AG39</f>
        <v>-22</v>
      </c>
      <c r="AH12" s="20">
        <f>'Cash Flow Statement'!AH39</f>
        <v>1313</v>
      </c>
      <c r="AI12" s="20">
        <f>'Cash Flow Statement'!AI39</f>
        <v>-1344</v>
      </c>
      <c r="AJ12" s="20">
        <f>'Cash Flow Statement'!AJ39</f>
        <v>-25</v>
      </c>
      <c r="AK12" s="20">
        <f>'Cash Flow Statement'!AK39</f>
        <v>-5</v>
      </c>
      <c r="AL12" s="20">
        <f>'Cash Flow Statement'!AL39</f>
        <v>-30</v>
      </c>
      <c r="AM12" s="20">
        <f>'Cash Flow Statement'!AM39</f>
        <v>-46</v>
      </c>
      <c r="AN12" s="20">
        <f>'Cash Flow Statement'!AN39</f>
        <v>-145</v>
      </c>
      <c r="AO12" s="20">
        <f>'Cash Flow Statement'!AO39</f>
        <v>-47</v>
      </c>
      <c r="AP12" s="20">
        <f>'Cash Flow Statement'!AP39</f>
        <v>-49</v>
      </c>
      <c r="AQ12" s="20">
        <f>'Cash Flow Statement'!AQ39</f>
        <v>-35</v>
      </c>
      <c r="AR12" s="20">
        <f>'Cash Flow Statement'!AR39</f>
        <v>9863</v>
      </c>
      <c r="AS12" s="20">
        <f>'Cash Flow Statement'!AS39</f>
        <v>-57</v>
      </c>
      <c r="AT12" s="20">
        <f>'Cash Flow Statement'!AT39</f>
        <v>-37</v>
      </c>
      <c r="AU12" s="20">
        <f>'Cash Flow Statement'!AU39</f>
        <v>6699</v>
      </c>
      <c r="AV12" s="20">
        <f>'Cash Flow Statement'!AV39</f>
        <v>6350</v>
      </c>
      <c r="AW12" s="20">
        <f>'Cash Flow Statement'!AW39</f>
        <v>6250</v>
      </c>
      <c r="AX12" s="20">
        <f>'Cash Flow Statement'!AX39</f>
        <v>16422</v>
      </c>
      <c r="AY12" s="20">
        <f>'Cash Flow Statement'!AY39</f>
        <v>12806</v>
      </c>
      <c r="AZ12" s="20">
        <f>'Cash Flow Statement'!AZ39</f>
        <v>15094</v>
      </c>
      <c r="BA12" s="20">
        <f>'Cash Flow Statement'!BA39</f>
        <v>8550</v>
      </c>
      <c r="BB12" s="20">
        <f>'Cash Flow Statement'!BB39</f>
        <v>6927</v>
      </c>
      <c r="BC12" s="20">
        <f>'Cash Flow Statement'!BC39</f>
        <v>1123</v>
      </c>
      <c r="BD12" s="20">
        <f>'Cash Flow Statement'!BD39</f>
        <v>1248</v>
      </c>
      <c r="BE12" s="20">
        <f>'Cash Flow Statement'!BE39</f>
        <v>1492</v>
      </c>
      <c r="BF12" s="20">
        <f>'Cash Flow Statement'!BF39</f>
        <v>1982</v>
      </c>
      <c r="BG12" s="20">
        <f>'Cash Flow Statement'!BG39</f>
        <v>2893</v>
      </c>
      <c r="BH12" s="20">
        <f>'Cash Flow Statement'!BH39</f>
        <v>3819</v>
      </c>
      <c r="BI12" s="20">
        <f>'Cash Flow Statement'!BI39</f>
        <v>4895</v>
      </c>
      <c r="BJ12" s="20">
        <f>'Cash Flow Statement'!BJ39</f>
        <v>4532</v>
      </c>
      <c r="BK12" s="20">
        <f>'Cash Flow Statement'!BK39</f>
        <v>26846</v>
      </c>
      <c r="BL12" s="20">
        <f>'Cash Flow Statement'!BL39</f>
        <v>6624</v>
      </c>
      <c r="BM12" s="20">
        <f t="shared" ref="BM12:BQ12" si="99">BM25*BM$11</f>
        <v>0</v>
      </c>
      <c r="BN12" s="20">
        <f t="shared" si="99"/>
        <v>0</v>
      </c>
      <c r="BO12" s="20">
        <f t="shared" si="99"/>
        <v>0</v>
      </c>
      <c r="BP12" s="20">
        <f t="shared" si="99"/>
        <v>0</v>
      </c>
      <c r="BQ12" s="20">
        <f t="shared" si="99"/>
        <v>0</v>
      </c>
      <c r="BR12" s="20">
        <f>BR25*BR$11</f>
        <v>0</v>
      </c>
      <c r="BS12" s="20">
        <f t="shared" ref="BS12:BU12" si="100">BS25*BS$11</f>
        <v>0</v>
      </c>
      <c r="BT12" s="20">
        <f t="shared" si="100"/>
        <v>0</v>
      </c>
      <c r="BU12" s="20">
        <f t="shared" si="100"/>
        <v>0</v>
      </c>
      <c r="BV12" s="20">
        <f t="shared" ref="BV12:CC12" si="101">BV25*BV$11</f>
        <v>0</v>
      </c>
      <c r="BW12" s="20">
        <f t="shared" si="101"/>
        <v>0</v>
      </c>
      <c r="BX12" s="20">
        <f t="shared" si="101"/>
        <v>0</v>
      </c>
      <c r="BY12" s="20">
        <f t="shared" si="101"/>
        <v>0</v>
      </c>
      <c r="BZ12" s="20">
        <f t="shared" si="101"/>
        <v>0</v>
      </c>
      <c r="CA12" s="20">
        <f t="shared" si="101"/>
        <v>0</v>
      </c>
      <c r="CB12" s="20">
        <f t="shared" si="101"/>
        <v>0</v>
      </c>
      <c r="CC12" s="20">
        <f t="shared" si="101"/>
        <v>0</v>
      </c>
      <c r="CD12" s="20">
        <f t="shared" ref="CD12:CG12" si="102">CD25*CD$11</f>
        <v>0</v>
      </c>
      <c r="CE12" s="20">
        <f t="shared" si="102"/>
        <v>0</v>
      </c>
      <c r="CF12" s="20">
        <f t="shared" si="102"/>
        <v>0</v>
      </c>
      <c r="CG12" s="20">
        <f t="shared" si="102"/>
        <v>0</v>
      </c>
      <c r="CH12" s="65"/>
      <c r="CI12" s="89">
        <f t="shared" ref="CI12" si="103">SUM(B12:E12)</f>
        <v>3463</v>
      </c>
      <c r="CJ12" s="20">
        <f t="shared" ref="CJ12" si="104">SUM(F12:I12)</f>
        <v>726</v>
      </c>
      <c r="CK12" s="89">
        <f t="shared" ref="CK12" si="105">SUM(J12:M12)</f>
        <v>1328</v>
      </c>
      <c r="CL12" s="89">
        <f t="shared" ref="CL12" si="106">SUM(N12:Q12)</f>
        <v>-557</v>
      </c>
      <c r="CM12" s="89">
        <f t="shared" ref="CM12" si="107">SUM(R12:U12)</f>
        <v>-18</v>
      </c>
      <c r="CN12" s="89">
        <f t="shared" ref="CN12" si="108">SUM(V12:Y12)</f>
        <v>-23</v>
      </c>
      <c r="CO12" s="89">
        <f t="shared" ref="CO12" si="109">SUM(Z12:AC12)</f>
        <v>-1322</v>
      </c>
      <c r="CP12" s="89">
        <f t="shared" ref="CP12" si="110">SUM(AD12:AG12)</f>
        <v>-86</v>
      </c>
      <c r="CQ12" s="89">
        <f t="shared" ref="CQ12" si="111">SUM(AH12:AK12)</f>
        <v>-61</v>
      </c>
      <c r="CR12" s="89">
        <f t="shared" ref="CR12" si="112">SUM(AL12:AO12)</f>
        <v>-268</v>
      </c>
      <c r="CS12" s="89">
        <f t="shared" ref="CS12" si="113">SUM(AP12:AS12)</f>
        <v>9722</v>
      </c>
      <c r="CT12" s="89">
        <f t="shared" ref="CT12" si="114">SUM(AT12:AW12)</f>
        <v>19262</v>
      </c>
      <c r="CU12" s="89">
        <f t="shared" ref="CU12" si="115">SUM(AX12:BA12)</f>
        <v>52872</v>
      </c>
      <c r="CV12" s="89">
        <f t="shared" ref="CV12" si="116">SUM(BB12:BE12)</f>
        <v>10790</v>
      </c>
      <c r="CW12" s="89">
        <f t="shared" ref="CW12" si="117">SUM(BF12:BI12)</f>
        <v>13589</v>
      </c>
      <c r="CX12" s="89">
        <f t="shared" ref="CX12" si="118">SUM(BJ12:BM12)</f>
        <v>38002</v>
      </c>
      <c r="CY12" s="89">
        <f t="shared" ref="CY12" si="119">SUM(BN12:BQ12)</f>
        <v>0</v>
      </c>
      <c r="CZ12" s="89">
        <f>SUM(BR12:BU12)</f>
        <v>0</v>
      </c>
      <c r="DA12" s="89">
        <f t="shared" ref="DA12:DA14" si="120">SUM(BV12:BY12)</f>
        <v>0</v>
      </c>
      <c r="DB12" s="89">
        <f t="shared" ref="DB12:DB14" si="121">SUM(BZ12:CC12)</f>
        <v>0</v>
      </c>
      <c r="DC12" s="89">
        <f>SUM(CD12:CG12)</f>
        <v>0</v>
      </c>
    </row>
    <row r="13" spans="1:107" x14ac:dyDescent="0.2">
      <c r="A13" s="69" t="s">
        <v>176</v>
      </c>
      <c r="B13" s="48" t="s">
        <v>82</v>
      </c>
      <c r="C13" s="20">
        <f>'Cash Flow Statement'!C40</f>
        <v>0</v>
      </c>
      <c r="D13" s="20">
        <f>'Cash Flow Statement'!D40</f>
        <v>0</v>
      </c>
      <c r="E13" s="20">
        <f>'Cash Flow Statement'!E40</f>
        <v>0</v>
      </c>
      <c r="F13" s="20">
        <f>'Cash Flow Statement'!F40</f>
        <v>0</v>
      </c>
      <c r="G13" s="20">
        <f>'Cash Flow Statement'!G40</f>
        <v>0</v>
      </c>
      <c r="H13" s="20">
        <f>'Cash Flow Statement'!H40</f>
        <v>0</v>
      </c>
      <c r="I13" s="20">
        <f>'Cash Flow Statement'!I40</f>
        <v>0</v>
      </c>
      <c r="J13" s="20">
        <f>'Cash Flow Statement'!J40</f>
        <v>0</v>
      </c>
      <c r="K13" s="20">
        <f>'Cash Flow Statement'!K40</f>
        <v>0</v>
      </c>
      <c r="L13" s="20">
        <f>'Cash Flow Statement'!L40</f>
        <v>0</v>
      </c>
      <c r="M13" s="20">
        <f>'Cash Flow Statement'!M40</f>
        <v>0</v>
      </c>
      <c r="N13" s="20">
        <f>'Cash Flow Statement'!N40</f>
        <v>0</v>
      </c>
      <c r="O13" s="20">
        <f>'Cash Flow Statement'!O40</f>
        <v>0</v>
      </c>
      <c r="P13" s="20">
        <f>'Cash Flow Statement'!P40</f>
        <v>0</v>
      </c>
      <c r="Q13" s="20">
        <f>'Cash Flow Statement'!Q40</f>
        <v>0</v>
      </c>
      <c r="R13" s="20">
        <f>'Cash Flow Statement'!R40</f>
        <v>0</v>
      </c>
      <c r="S13" s="20">
        <f>'Cash Flow Statement'!S40</f>
        <v>0</v>
      </c>
      <c r="T13" s="20">
        <f>'Cash Flow Statement'!T40</f>
        <v>0</v>
      </c>
      <c r="U13" s="20">
        <f>'Cash Flow Statement'!U40</f>
        <v>0</v>
      </c>
      <c r="V13" s="20">
        <f>'Cash Flow Statement'!V40</f>
        <v>0</v>
      </c>
      <c r="W13" s="20">
        <f>'Cash Flow Statement'!W40</f>
        <v>0</v>
      </c>
      <c r="X13" s="20">
        <f>'Cash Flow Statement'!X40</f>
        <v>0</v>
      </c>
      <c r="Y13" s="20">
        <f>'Cash Flow Statement'!Y40</f>
        <v>0</v>
      </c>
      <c r="Z13" s="20">
        <f>'Cash Flow Statement'!Z40</f>
        <v>0</v>
      </c>
      <c r="AA13" s="20">
        <f>'Cash Flow Statement'!AA40</f>
        <v>0</v>
      </c>
      <c r="AB13" s="20">
        <f>'Cash Flow Statement'!AB40</f>
        <v>0</v>
      </c>
      <c r="AC13" s="20">
        <f>'Cash Flow Statement'!AC40</f>
        <v>0</v>
      </c>
      <c r="AD13" s="20">
        <f>'Cash Flow Statement'!AD40</f>
        <v>0</v>
      </c>
      <c r="AE13" s="20">
        <f>'Cash Flow Statement'!AE40</f>
        <v>0</v>
      </c>
      <c r="AF13" s="20">
        <f>'Cash Flow Statement'!AF40</f>
        <v>0</v>
      </c>
      <c r="AG13" s="20">
        <f>'Cash Flow Statement'!AG40</f>
        <v>0</v>
      </c>
      <c r="AH13" s="20">
        <f>'Cash Flow Statement'!AH40</f>
        <v>0</v>
      </c>
      <c r="AI13" s="20">
        <f>'Cash Flow Statement'!AI40</f>
        <v>0</v>
      </c>
      <c r="AJ13" s="20">
        <f>'Cash Flow Statement'!AJ40</f>
        <v>0</v>
      </c>
      <c r="AK13" s="20">
        <f>'Cash Flow Statement'!AK40</f>
        <v>0</v>
      </c>
      <c r="AL13" s="20">
        <f>'Cash Flow Statement'!AL40</f>
        <v>0</v>
      </c>
      <c r="AM13" s="20">
        <f>'Cash Flow Statement'!AM40</f>
        <v>0</v>
      </c>
      <c r="AN13" s="20">
        <f>'Cash Flow Statement'!AN40</f>
        <v>0</v>
      </c>
      <c r="AO13" s="20">
        <f>'Cash Flow Statement'!AO40</f>
        <v>0</v>
      </c>
      <c r="AP13" s="20">
        <f>'Cash Flow Statement'!AP40</f>
        <v>0</v>
      </c>
      <c r="AQ13" s="20">
        <f>'Cash Flow Statement'!AQ40</f>
        <v>0</v>
      </c>
      <c r="AR13" s="20">
        <f>'Cash Flow Statement'!AR40</f>
        <v>-61</v>
      </c>
      <c r="AS13" s="20">
        <f>'Cash Flow Statement'!AS40</f>
        <v>0</v>
      </c>
      <c r="AT13" s="20">
        <f>'Cash Flow Statement'!AT40</f>
        <v>0</v>
      </c>
      <c r="AU13" s="20">
        <f>'Cash Flow Statement'!AU40</f>
        <v>-7741</v>
      </c>
      <c r="AV13" s="20">
        <f>'Cash Flow Statement'!AV40</f>
        <v>-6392</v>
      </c>
      <c r="AW13" s="20">
        <f>'Cash Flow Statement'!AW40</f>
        <v>-6365</v>
      </c>
      <c r="AX13" s="20">
        <f>'Cash Flow Statement'!AX40</f>
        <v>-16420</v>
      </c>
      <c r="AY13" s="20">
        <f>'Cash Flow Statement'!AY40</f>
        <v>-13162</v>
      </c>
      <c r="AZ13" s="20">
        <f>'Cash Flow Statement'!AZ40</f>
        <v>-15768</v>
      </c>
      <c r="BA13" s="20">
        <f>'Cash Flow Statement'!BA40</f>
        <v>-8718</v>
      </c>
      <c r="BB13" s="20">
        <f>'Cash Flow Statement'!BB40</f>
        <v>-6952</v>
      </c>
      <c r="BC13" s="20">
        <f>'Cash Flow Statement'!BC40</f>
        <v>-1255</v>
      </c>
      <c r="BD13" s="20">
        <f>'Cash Flow Statement'!BD40</f>
        <v>-1414</v>
      </c>
      <c r="BE13" s="20">
        <f>'Cash Flow Statement'!BE40</f>
        <v>-1929</v>
      </c>
      <c r="BF13" s="20">
        <f>'Cash Flow Statement'!BF40</f>
        <v>-3079</v>
      </c>
      <c r="BG13" s="20">
        <f>'Cash Flow Statement'!BG40</f>
        <v>-2423</v>
      </c>
      <c r="BH13" s="20">
        <f>'Cash Flow Statement'!BH40</f>
        <v>-3449</v>
      </c>
      <c r="BI13" s="20">
        <f>'Cash Flow Statement'!BI40</f>
        <v>-3750</v>
      </c>
      <c r="BJ13" s="20">
        <f>'Cash Flow Statement'!BJ40</f>
        <v>-4521</v>
      </c>
      <c r="BK13" s="20">
        <f>'Cash Flow Statement'!BK40</f>
        <v>-13876</v>
      </c>
      <c r="BL13" s="20">
        <f>'Cash Flow Statement'!BL40</f>
        <v>-7696</v>
      </c>
      <c r="BM13" s="20">
        <f t="shared" ref="BM13:BQ13" si="122">BM26*BM$11</f>
        <v>0</v>
      </c>
      <c r="BN13" s="20">
        <f t="shared" si="122"/>
        <v>0</v>
      </c>
      <c r="BO13" s="20">
        <f t="shared" si="122"/>
        <v>0</v>
      </c>
      <c r="BP13" s="20">
        <f t="shared" si="122"/>
        <v>0</v>
      </c>
      <c r="BQ13" s="20">
        <f t="shared" si="122"/>
        <v>0</v>
      </c>
      <c r="BR13" s="20">
        <f t="shared" ref="BR13:BU13" si="123">BR26*BR$11</f>
        <v>0</v>
      </c>
      <c r="BS13" s="20">
        <f t="shared" si="123"/>
        <v>0</v>
      </c>
      <c r="BT13" s="20">
        <f t="shared" si="123"/>
        <v>0</v>
      </c>
      <c r="BU13" s="20">
        <f t="shared" si="123"/>
        <v>0</v>
      </c>
      <c r="BV13" s="20">
        <f t="shared" ref="BV13:CC13" si="124">BV26*BV$11</f>
        <v>0</v>
      </c>
      <c r="BW13" s="20">
        <f t="shared" si="124"/>
        <v>0</v>
      </c>
      <c r="BX13" s="20">
        <f t="shared" si="124"/>
        <v>0</v>
      </c>
      <c r="BY13" s="20">
        <f t="shared" si="124"/>
        <v>0</v>
      </c>
      <c r="BZ13" s="20">
        <f t="shared" si="124"/>
        <v>0</v>
      </c>
      <c r="CA13" s="20">
        <f t="shared" si="124"/>
        <v>0</v>
      </c>
      <c r="CB13" s="20">
        <f t="shared" si="124"/>
        <v>0</v>
      </c>
      <c r="CC13" s="20">
        <f t="shared" si="124"/>
        <v>0</v>
      </c>
      <c r="CD13" s="20">
        <f t="shared" ref="CD13:CG13" si="125">CD26*CD$11</f>
        <v>0</v>
      </c>
      <c r="CE13" s="20">
        <f t="shared" si="125"/>
        <v>0</v>
      </c>
      <c r="CF13" s="20">
        <f t="shared" si="125"/>
        <v>0</v>
      </c>
      <c r="CG13" s="20">
        <f t="shared" si="125"/>
        <v>0</v>
      </c>
      <c r="CH13" s="65"/>
      <c r="CI13" s="89">
        <f t="shared" ref="CI13" si="126">SUM(B13:E13)</f>
        <v>0</v>
      </c>
      <c r="CJ13" s="20">
        <f t="shared" ref="CJ13" si="127">SUM(F13:I13)</f>
        <v>0</v>
      </c>
      <c r="CK13" s="89">
        <f t="shared" ref="CK13" si="128">SUM(J13:M13)</f>
        <v>0</v>
      </c>
      <c r="CL13" s="89">
        <f t="shared" ref="CL13" si="129">SUM(N13:Q13)</f>
        <v>0</v>
      </c>
      <c r="CM13" s="89">
        <f t="shared" ref="CM13" si="130">SUM(R13:U13)</f>
        <v>0</v>
      </c>
      <c r="CN13" s="89">
        <f t="shared" ref="CN13" si="131">SUM(V13:Y13)</f>
        <v>0</v>
      </c>
      <c r="CO13" s="89">
        <f t="shared" ref="CO13" si="132">SUM(Z13:AC13)</f>
        <v>0</v>
      </c>
      <c r="CP13" s="89">
        <f t="shared" ref="CP13" si="133">SUM(AD13:AG13)</f>
        <v>0</v>
      </c>
      <c r="CQ13" s="89">
        <f t="shared" ref="CQ13" si="134">SUM(AH13:AK13)</f>
        <v>0</v>
      </c>
      <c r="CR13" s="89">
        <f t="shared" ref="CR13" si="135">SUM(AL13:AO13)</f>
        <v>0</v>
      </c>
      <c r="CS13" s="89">
        <f t="shared" ref="CS13" si="136">SUM(AP13:AS13)</f>
        <v>-61</v>
      </c>
      <c r="CT13" s="89">
        <f t="shared" ref="CT13" si="137">SUM(AT13:AW13)</f>
        <v>-20498</v>
      </c>
      <c r="CU13" s="89">
        <f t="shared" ref="CU13" si="138">SUM(AX13:BA13)</f>
        <v>-54068</v>
      </c>
      <c r="CV13" s="89">
        <f t="shared" ref="CV13" si="139">SUM(BB13:BE13)</f>
        <v>-11550</v>
      </c>
      <c r="CW13" s="89">
        <f t="shared" ref="CW13" si="140">SUM(BF13:BI13)</f>
        <v>-12701</v>
      </c>
      <c r="CX13" s="89">
        <f t="shared" ref="CX13" si="141">SUM(BJ13:BM13)</f>
        <v>-26093</v>
      </c>
      <c r="CY13" s="89">
        <f t="shared" ref="CY13" si="142">SUM(BN13:BQ13)</f>
        <v>0</v>
      </c>
      <c r="CZ13" s="89">
        <f t="shared" ref="CZ13:CZ14" si="143">SUM(BR13:BU13)</f>
        <v>0</v>
      </c>
      <c r="DA13" s="89">
        <f t="shared" si="120"/>
        <v>0</v>
      </c>
      <c r="DB13" s="89">
        <f t="shared" si="121"/>
        <v>0</v>
      </c>
      <c r="DC13" s="89">
        <f>SUM(CD13:CG13)</f>
        <v>0</v>
      </c>
    </row>
    <row r="14" spans="1:107" x14ac:dyDescent="0.2">
      <c r="A14" s="69" t="s">
        <v>315</v>
      </c>
      <c r="B14" s="48" t="s">
        <v>82</v>
      </c>
      <c r="C14" s="20">
        <f>C15-SUM(C11:C13)</f>
        <v>0</v>
      </c>
      <c r="D14" s="20">
        <f t="shared" ref="D14:BB14" si="144">D15-SUM(D11:D13)</f>
        <v>1</v>
      </c>
      <c r="E14" s="20">
        <f t="shared" si="144"/>
        <v>1</v>
      </c>
      <c r="F14" s="20">
        <f t="shared" si="144"/>
        <v>2</v>
      </c>
      <c r="G14" s="20">
        <f t="shared" si="144"/>
        <v>9</v>
      </c>
      <c r="H14" s="20">
        <f t="shared" si="144"/>
        <v>2</v>
      </c>
      <c r="I14" s="20">
        <f t="shared" si="144"/>
        <v>0</v>
      </c>
      <c r="J14" s="20">
        <f t="shared" si="144"/>
        <v>2</v>
      </c>
      <c r="K14" s="20">
        <f t="shared" si="144"/>
        <v>1</v>
      </c>
      <c r="L14" s="20">
        <f t="shared" si="144"/>
        <v>2</v>
      </c>
      <c r="M14" s="20">
        <f t="shared" si="144"/>
        <v>0</v>
      </c>
      <c r="N14" s="20">
        <f t="shared" si="144"/>
        <v>3</v>
      </c>
      <c r="O14" s="20">
        <f t="shared" si="144"/>
        <v>1</v>
      </c>
      <c r="P14" s="20">
        <f t="shared" si="144"/>
        <v>260</v>
      </c>
      <c r="Q14" s="20">
        <f t="shared" si="144"/>
        <v>1</v>
      </c>
      <c r="R14" s="20">
        <f t="shared" si="144"/>
        <v>5</v>
      </c>
      <c r="S14" s="20">
        <f t="shared" si="144"/>
        <v>2</v>
      </c>
      <c r="T14" s="20">
        <f t="shared" si="144"/>
        <v>1</v>
      </c>
      <c r="U14" s="20">
        <f t="shared" si="144"/>
        <v>2</v>
      </c>
      <c r="V14" s="20">
        <f t="shared" si="144"/>
        <v>1</v>
      </c>
      <c r="W14" s="20">
        <f t="shared" si="144"/>
        <v>1</v>
      </c>
      <c r="X14" s="20">
        <f t="shared" si="144"/>
        <v>1</v>
      </c>
      <c r="Y14" s="20">
        <f t="shared" si="144"/>
        <v>3</v>
      </c>
      <c r="Z14" s="20">
        <f t="shared" si="144"/>
        <v>-6</v>
      </c>
      <c r="AA14" s="20">
        <f t="shared" si="144"/>
        <v>37</v>
      </c>
      <c r="AB14" s="20">
        <f t="shared" si="144"/>
        <v>9</v>
      </c>
      <c r="AC14" s="20">
        <f t="shared" si="144"/>
        <v>-3</v>
      </c>
      <c r="AD14" s="20">
        <f t="shared" si="144"/>
        <v>20</v>
      </c>
      <c r="AE14" s="20">
        <f t="shared" si="144"/>
        <v>56</v>
      </c>
      <c r="AF14" s="20">
        <f t="shared" si="144"/>
        <v>17</v>
      </c>
      <c r="AG14" s="20">
        <f t="shared" si="144"/>
        <v>27</v>
      </c>
      <c r="AH14" s="20">
        <f t="shared" si="144"/>
        <v>20</v>
      </c>
      <c r="AI14" s="20">
        <f t="shared" si="144"/>
        <v>23</v>
      </c>
      <c r="AJ14" s="20">
        <f t="shared" si="144"/>
        <v>30</v>
      </c>
      <c r="AK14" s="20">
        <f t="shared" si="144"/>
        <v>31</v>
      </c>
      <c r="AL14" s="20">
        <f t="shared" si="144"/>
        <v>84</v>
      </c>
      <c r="AM14" s="20">
        <f t="shared" si="144"/>
        <v>54</v>
      </c>
      <c r="AN14" s="20">
        <f t="shared" si="144"/>
        <v>153</v>
      </c>
      <c r="AO14" s="20">
        <f t="shared" si="144"/>
        <v>519</v>
      </c>
      <c r="AP14" s="20">
        <f t="shared" si="144"/>
        <v>511</v>
      </c>
      <c r="AQ14" s="20">
        <f t="shared" si="144"/>
        <v>-963</v>
      </c>
      <c r="AR14" s="20">
        <f t="shared" si="144"/>
        <v>82</v>
      </c>
      <c r="AS14" s="20">
        <f t="shared" si="144"/>
        <v>87</v>
      </c>
      <c r="AT14" s="20">
        <f t="shared" si="144"/>
        <v>-8</v>
      </c>
      <c r="AU14" s="20">
        <f t="shared" si="144"/>
        <v>1483</v>
      </c>
      <c r="AV14" s="20">
        <f t="shared" si="144"/>
        <v>2</v>
      </c>
      <c r="AW14" s="20">
        <f t="shared" si="144"/>
        <v>644</v>
      </c>
      <c r="AX14" s="20">
        <f t="shared" si="144"/>
        <v>-28</v>
      </c>
      <c r="AY14" s="20">
        <f t="shared" si="144"/>
        <v>299</v>
      </c>
      <c r="AZ14" s="20">
        <f t="shared" si="144"/>
        <v>593</v>
      </c>
      <c r="BA14" s="20">
        <f t="shared" si="144"/>
        <v>216</v>
      </c>
      <c r="BB14" s="20">
        <f t="shared" si="144"/>
        <v>-979</v>
      </c>
      <c r="BC14" s="20">
        <f t="shared" ref="BC14:BD14" si="145">BC15-SUM(BC11:BC13)</f>
        <v>140</v>
      </c>
      <c r="BD14" s="20">
        <f t="shared" si="145"/>
        <v>242</v>
      </c>
      <c r="BE14" s="20">
        <f t="shared" ref="BE14:BF14" si="146">BE15-SUM(BE11:BE13)</f>
        <v>-91</v>
      </c>
      <c r="BF14" s="20">
        <f t="shared" si="146"/>
        <v>1072</v>
      </c>
      <c r="BG14" s="20">
        <f t="shared" ref="BG14:BH14" si="147">BG15-SUM(BG11:BG13)</f>
        <v>-460</v>
      </c>
      <c r="BH14" s="20">
        <f t="shared" si="147"/>
        <v>-1311</v>
      </c>
      <c r="BI14" s="20">
        <f t="shared" ref="BI14:BJ14" si="148">BI15-SUM(BI11:BI13)</f>
        <v>-2559</v>
      </c>
      <c r="BJ14" s="20">
        <f t="shared" si="148"/>
        <v>-8</v>
      </c>
      <c r="BK14" s="20">
        <f t="shared" ref="BK14:BL14" si="149">BK15-SUM(BK11:BK13)</f>
        <v>-249</v>
      </c>
      <c r="BL14" s="20">
        <f t="shared" si="149"/>
        <v>-928</v>
      </c>
      <c r="BM14" s="73">
        <v>0</v>
      </c>
      <c r="BN14" s="73">
        <v>0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3">
        <v>0</v>
      </c>
      <c r="BU14" s="73">
        <v>0</v>
      </c>
      <c r="BV14" s="73">
        <v>0</v>
      </c>
      <c r="BW14" s="73">
        <v>0</v>
      </c>
      <c r="BX14" s="73">
        <v>0</v>
      </c>
      <c r="BY14" s="73">
        <v>0</v>
      </c>
      <c r="BZ14" s="73">
        <v>0</v>
      </c>
      <c r="CA14" s="73">
        <v>0</v>
      </c>
      <c r="CB14" s="73">
        <v>0</v>
      </c>
      <c r="CC14" s="73">
        <v>0</v>
      </c>
      <c r="CD14" s="73">
        <v>0</v>
      </c>
      <c r="CE14" s="73">
        <v>0</v>
      </c>
      <c r="CF14" s="73">
        <v>0</v>
      </c>
      <c r="CG14" s="73">
        <v>0</v>
      </c>
      <c r="CH14" s="73"/>
      <c r="CI14" s="89">
        <f t="shared" ref="CI14" si="150">SUM(B14:E14)</f>
        <v>2</v>
      </c>
      <c r="CJ14" s="20">
        <f t="shared" ref="CJ14" si="151">SUM(F14:I14)</f>
        <v>13</v>
      </c>
      <c r="CK14" s="89">
        <f t="shared" ref="CK14" si="152">SUM(J14:M14)</f>
        <v>5</v>
      </c>
      <c r="CL14" s="89">
        <f t="shared" ref="CL14" si="153">SUM(N14:Q14)</f>
        <v>265</v>
      </c>
      <c r="CM14" s="89">
        <f t="shared" ref="CM14" si="154">SUM(R14:U14)</f>
        <v>10</v>
      </c>
      <c r="CN14" s="89">
        <f t="shared" ref="CN14" si="155">SUM(V14:Y14)</f>
        <v>6</v>
      </c>
      <c r="CO14" s="89">
        <f t="shared" ref="CO14" si="156">SUM(Z14:AC14)</f>
        <v>37</v>
      </c>
      <c r="CP14" s="89">
        <f t="shared" ref="CP14" si="157">SUM(AD14:AG14)</f>
        <v>120</v>
      </c>
      <c r="CQ14" s="89">
        <f t="shared" ref="CQ14" si="158">SUM(AH14:AK14)</f>
        <v>104</v>
      </c>
      <c r="CR14" s="89">
        <f t="shared" ref="CR14" si="159">SUM(AL14:AO14)</f>
        <v>810</v>
      </c>
      <c r="CS14" s="89">
        <f t="shared" ref="CS14" si="160">SUM(AP14:AS14)</f>
        <v>-283</v>
      </c>
      <c r="CT14" s="89">
        <f t="shared" ref="CT14" si="161">SUM(AT14:AW14)</f>
        <v>2121</v>
      </c>
      <c r="CU14" s="89">
        <f t="shared" ref="CU14" si="162">SUM(AX14:BA14)</f>
        <v>1080</v>
      </c>
      <c r="CV14" s="89">
        <f t="shared" ref="CV14" si="163">SUM(BB14:BE14)</f>
        <v>-688</v>
      </c>
      <c r="CW14" s="89">
        <f t="shared" ref="CW14" si="164">SUM(BF14:BI14)</f>
        <v>-3258</v>
      </c>
      <c r="CX14" s="89">
        <f t="shared" ref="CX14" si="165">SUM(BJ14:BM14)</f>
        <v>-1185</v>
      </c>
      <c r="CY14" s="89">
        <f t="shared" ref="CY14" si="166">SUM(BN14:BQ14)</f>
        <v>0</v>
      </c>
      <c r="CZ14" s="89">
        <f t="shared" si="143"/>
        <v>0</v>
      </c>
      <c r="DA14" s="89">
        <f t="shared" si="120"/>
        <v>0</v>
      </c>
      <c r="DB14" s="89">
        <f t="shared" si="121"/>
        <v>0</v>
      </c>
      <c r="DC14" s="89">
        <f>SUM(CD14:CG14)</f>
        <v>0</v>
      </c>
    </row>
    <row r="15" spans="1:107" x14ac:dyDescent="0.2">
      <c r="A15" s="29" t="s">
        <v>310</v>
      </c>
      <c r="B15" s="20">
        <f>SUM('Balance Sheet'!B24,'Balance Sheet'!B32)</f>
        <v>0</v>
      </c>
      <c r="C15" s="20">
        <f>SUM('Balance Sheet'!C24,'Balance Sheet'!C32)</f>
        <v>0</v>
      </c>
      <c r="D15" s="20">
        <f>SUM('Balance Sheet'!D24,'Balance Sheet'!D32)</f>
        <v>2122</v>
      </c>
      <c r="E15" s="20">
        <f>SUM('Balance Sheet'!E24,'Balance Sheet'!E32)</f>
        <v>3465</v>
      </c>
      <c r="F15" s="20">
        <f>SUM('Balance Sheet'!F24,'Balance Sheet'!F32)</f>
        <v>3216</v>
      </c>
      <c r="G15" s="20">
        <f>SUM('Balance Sheet'!G24,'Balance Sheet'!G32)</f>
        <v>4202</v>
      </c>
      <c r="H15" s="20">
        <f>SUM('Balance Sheet'!H24,'Balance Sheet'!H32)</f>
        <v>4204</v>
      </c>
      <c r="I15" s="20">
        <f>SUM('Balance Sheet'!I24,'Balance Sheet'!I32)</f>
        <v>4204</v>
      </c>
      <c r="J15" s="20">
        <f>SUM('Balance Sheet'!J24,'Balance Sheet'!J32)</f>
        <v>5455</v>
      </c>
      <c r="K15" s="20">
        <f>SUM('Balance Sheet'!K24,'Balance Sheet'!K32)</f>
        <v>6205</v>
      </c>
      <c r="L15" s="20">
        <f>SUM('Balance Sheet'!L24,'Balance Sheet'!L32)</f>
        <v>6206</v>
      </c>
      <c r="M15" s="20">
        <f>SUM('Balance Sheet'!M24,'Balance Sheet'!M32)</f>
        <v>5537</v>
      </c>
      <c r="N15" s="20">
        <f>SUM('Balance Sheet'!N24,'Balance Sheet'!N32)</f>
        <v>5139</v>
      </c>
      <c r="O15" s="20">
        <f>SUM('Balance Sheet'!O24,'Balance Sheet'!O32)</f>
        <v>4989</v>
      </c>
      <c r="P15" s="20">
        <f>SUM('Balance Sheet'!P24,'Balance Sheet'!P32)</f>
        <v>5247</v>
      </c>
      <c r="Q15" s="20">
        <f>SUM('Balance Sheet'!Q24,'Balance Sheet'!Q32)</f>
        <v>5245</v>
      </c>
      <c r="R15" s="20">
        <f>SUM('Balance Sheet'!R24,'Balance Sheet'!R32)</f>
        <v>6243</v>
      </c>
      <c r="S15" s="20">
        <f>SUM('Balance Sheet'!S24,'Balance Sheet'!S32)</f>
        <v>5241</v>
      </c>
      <c r="T15" s="20">
        <f>SUM('Balance Sheet'!T24,'Balance Sheet'!T32)</f>
        <v>5239</v>
      </c>
      <c r="U15" s="20">
        <f>SUM('Balance Sheet'!U24,'Balance Sheet'!U32)</f>
        <v>5237</v>
      </c>
      <c r="V15" s="20">
        <f>SUM('Balance Sheet'!V24,'Balance Sheet'!V32)</f>
        <v>5235</v>
      </c>
      <c r="W15" s="20">
        <f>SUM('Balance Sheet'!W24,'Balance Sheet'!W32)</f>
        <v>5233</v>
      </c>
      <c r="X15" s="20">
        <f>SUM('Balance Sheet'!X24,'Balance Sheet'!X32)</f>
        <v>5231</v>
      </c>
      <c r="Y15" s="20">
        <f>SUM('Balance Sheet'!Y24,'Balance Sheet'!Y32)</f>
        <v>5220</v>
      </c>
      <c r="Z15" s="20">
        <f>SUM('Balance Sheet'!Z24,'Balance Sheet'!Z32)</f>
        <v>5208</v>
      </c>
      <c r="AA15" s="20">
        <f>SUM('Balance Sheet'!AA24,'Balance Sheet'!AA32)</f>
        <v>4203</v>
      </c>
      <c r="AB15" s="20">
        <f>SUM('Balance Sheet'!AB24,'Balance Sheet'!AB32)</f>
        <v>3938</v>
      </c>
      <c r="AC15" s="20">
        <f>SUM('Balance Sheet'!AC24,'Balance Sheet'!AC32)</f>
        <v>3935</v>
      </c>
      <c r="AD15" s="20">
        <f>SUM('Balance Sheet'!AD24,'Balance Sheet'!AD32)</f>
        <v>3937</v>
      </c>
      <c r="AE15" s="20">
        <f>SUM('Balance Sheet'!AE24,'Balance Sheet'!AE32)</f>
        <v>3955</v>
      </c>
      <c r="AF15" s="20">
        <f>SUM('Balance Sheet'!AF24,'Balance Sheet'!AF32)</f>
        <v>3964</v>
      </c>
      <c r="AG15" s="20">
        <f>SUM('Balance Sheet'!AG24,'Balance Sheet'!AG32)</f>
        <v>3969</v>
      </c>
      <c r="AH15" s="20">
        <f>SUM('Balance Sheet'!AH24,'Balance Sheet'!AH32)</f>
        <v>5302</v>
      </c>
      <c r="AI15" s="20">
        <f>SUM('Balance Sheet'!AI24,'Balance Sheet'!AI32)</f>
        <v>3981</v>
      </c>
      <c r="AJ15" s="20">
        <f>SUM('Balance Sheet'!AJ24,'Balance Sheet'!AJ32)</f>
        <v>3986</v>
      </c>
      <c r="AK15" s="20">
        <f>SUM('Balance Sheet'!AK24,'Balance Sheet'!AK32)</f>
        <v>4012</v>
      </c>
      <c r="AL15" s="20">
        <f>SUM('Balance Sheet'!AL24,'Balance Sheet'!AL32)</f>
        <v>4066</v>
      </c>
      <c r="AM15" s="20">
        <f>SUM('Balance Sheet'!AM24,'Balance Sheet'!AM32)</f>
        <v>4074</v>
      </c>
      <c r="AN15" s="20">
        <f>SUM('Balance Sheet'!AN24,'Balance Sheet'!AN32)</f>
        <v>4082</v>
      </c>
      <c r="AO15" s="20">
        <f>SUM('Balance Sheet'!AO24,'Balance Sheet'!AO32)</f>
        <v>4554</v>
      </c>
      <c r="AP15" s="20">
        <f>SUM('Balance Sheet'!AP24,'Balance Sheet'!AP32)</f>
        <v>5016</v>
      </c>
      <c r="AQ15" s="20">
        <f>SUM('Balance Sheet'!AQ24,'Balance Sheet'!AQ32)</f>
        <v>4018</v>
      </c>
      <c r="AR15" s="20">
        <f>SUM('Balance Sheet'!AR24,'Balance Sheet'!AR32)</f>
        <v>13902</v>
      </c>
      <c r="AS15" s="20">
        <f>SUM('Balance Sheet'!AS24,'Balance Sheet'!AS32)</f>
        <v>13932</v>
      </c>
      <c r="AT15" s="20">
        <f>SUM('Balance Sheet'!AT24,'Balance Sheet'!AT32)</f>
        <v>13887</v>
      </c>
      <c r="AU15" s="20">
        <f>SUM('Balance Sheet'!AU24,'Balance Sheet'!AU32)</f>
        <v>14328</v>
      </c>
      <c r="AV15" s="20">
        <f>SUM('Balance Sheet'!AV24,'Balance Sheet'!AV32)</f>
        <v>14288</v>
      </c>
      <c r="AW15" s="20">
        <f>SUM('Balance Sheet'!AW24,'Balance Sheet'!AW32)</f>
        <v>14817</v>
      </c>
      <c r="AX15" s="20">
        <f>SUM('Balance Sheet'!AX24,'Balance Sheet'!AX32)</f>
        <v>14791</v>
      </c>
      <c r="AY15" s="20">
        <f>SUM('Balance Sheet'!AY24,'Balance Sheet'!AY32)</f>
        <v>14734</v>
      </c>
      <c r="AZ15" s="20">
        <f>SUM('Balance Sheet'!AZ24,'Balance Sheet'!AZ32)</f>
        <v>14653</v>
      </c>
      <c r="BA15" s="20">
        <f>SUM('Balance Sheet'!BA24,'Balance Sheet'!BA32)</f>
        <v>14701</v>
      </c>
      <c r="BB15" s="20">
        <f>SUM('Balance Sheet'!BB24,'Balance Sheet'!BB32)</f>
        <v>13697</v>
      </c>
      <c r="BC15" s="20">
        <f>SUM('Balance Sheet'!BC24,'Balance Sheet'!BC32)</f>
        <v>13705</v>
      </c>
      <c r="BD15" s="20">
        <f>SUM('Balance Sheet'!BD24,'Balance Sheet'!BD32)</f>
        <v>13781</v>
      </c>
      <c r="BE15" s="20">
        <f>SUM('Balance Sheet'!BE24,'Balance Sheet'!BE32)</f>
        <v>13253</v>
      </c>
      <c r="BF15" s="20">
        <f>SUM('Balance Sheet'!BF24,'Balance Sheet'!BF32)</f>
        <v>13228</v>
      </c>
      <c r="BG15" s="20">
        <f>SUM('Balance Sheet'!BG24,'Balance Sheet'!BG32)</f>
        <v>13238</v>
      </c>
      <c r="BH15" s="20">
        <f>SUM('Balance Sheet'!BH24,'Balance Sheet'!BH32)</f>
        <v>12297</v>
      </c>
      <c r="BI15" s="20">
        <f>SUM('Balance Sheet'!BI24,'Balance Sheet'!BI32)</f>
        <v>10883</v>
      </c>
      <c r="BJ15" s="20">
        <f>SUM('Balance Sheet'!BJ24,'Balance Sheet'!BJ32)</f>
        <v>10886</v>
      </c>
      <c r="BK15" s="20">
        <f>SUM('Balance Sheet'!BK24,'Balance Sheet'!BK32)</f>
        <v>23607</v>
      </c>
      <c r="BL15" s="20">
        <f>SUM('Balance Sheet'!BL24,'Balance Sheet'!BL32)</f>
        <v>21607</v>
      </c>
      <c r="BM15" s="20">
        <f t="shared" ref="BM15:BQ15" si="167">SUM(BM11:BM14)</f>
        <v>21607</v>
      </c>
      <c r="BN15" s="20">
        <f t="shared" si="167"/>
        <v>21607</v>
      </c>
      <c r="BO15" s="20">
        <f t="shared" si="167"/>
        <v>21607</v>
      </c>
      <c r="BP15" s="20">
        <f t="shared" si="167"/>
        <v>21607</v>
      </c>
      <c r="BQ15" s="20">
        <f t="shared" si="167"/>
        <v>21607</v>
      </c>
      <c r="BR15" s="20">
        <f>SUM(BR11:BR14)</f>
        <v>21607</v>
      </c>
      <c r="BS15" s="20">
        <f t="shared" ref="BS15:BU15" si="168">SUM(BS11:BS14)</f>
        <v>21607</v>
      </c>
      <c r="BT15" s="20">
        <f t="shared" si="168"/>
        <v>21607</v>
      </c>
      <c r="BU15" s="20">
        <f t="shared" si="168"/>
        <v>21607</v>
      </c>
      <c r="BV15" s="20">
        <f t="shared" ref="BV15:CC15" si="169">SUM(BV11:BV14)</f>
        <v>21607</v>
      </c>
      <c r="BW15" s="20">
        <f t="shared" si="169"/>
        <v>21607</v>
      </c>
      <c r="BX15" s="20">
        <f t="shared" si="169"/>
        <v>21607</v>
      </c>
      <c r="BY15" s="20">
        <f t="shared" si="169"/>
        <v>21607</v>
      </c>
      <c r="BZ15" s="20">
        <f t="shared" si="169"/>
        <v>21607</v>
      </c>
      <c r="CA15" s="20">
        <f t="shared" si="169"/>
        <v>21607</v>
      </c>
      <c r="CB15" s="20">
        <f t="shared" si="169"/>
        <v>21607</v>
      </c>
      <c r="CC15" s="20">
        <f t="shared" si="169"/>
        <v>21607</v>
      </c>
      <c r="CD15" s="20">
        <f t="shared" ref="CD15:CG15" si="170">SUM(CD11:CD14)</f>
        <v>21607</v>
      </c>
      <c r="CE15" s="20">
        <f t="shared" si="170"/>
        <v>21607</v>
      </c>
      <c r="CF15" s="20">
        <f t="shared" si="170"/>
        <v>21607</v>
      </c>
      <c r="CG15" s="20">
        <f t="shared" si="170"/>
        <v>21607</v>
      </c>
      <c r="CH15" s="20"/>
      <c r="CI15" s="89">
        <f>E15</f>
        <v>3465</v>
      </c>
      <c r="CJ15" s="20">
        <f>I15</f>
        <v>4204</v>
      </c>
      <c r="CK15" s="89">
        <f>M15</f>
        <v>5537</v>
      </c>
      <c r="CL15" s="89">
        <f>Q15</f>
        <v>5245</v>
      </c>
      <c r="CM15" s="89">
        <f>U15</f>
        <v>5237</v>
      </c>
      <c r="CN15" s="89">
        <f>Y15</f>
        <v>5220</v>
      </c>
      <c r="CO15" s="89">
        <f>AC15</f>
        <v>3935</v>
      </c>
      <c r="CP15" s="89">
        <f>AG15</f>
        <v>3969</v>
      </c>
      <c r="CQ15" s="89">
        <f>AK15</f>
        <v>4012</v>
      </c>
      <c r="CR15" s="89">
        <f>AO15</f>
        <v>4554</v>
      </c>
      <c r="CS15" s="89">
        <f>AS15</f>
        <v>13932</v>
      </c>
      <c r="CT15" s="89">
        <f>AW15</f>
        <v>14817</v>
      </c>
      <c r="CU15" s="89">
        <f>BA15</f>
        <v>14701</v>
      </c>
      <c r="CV15" s="89">
        <f>BE15</f>
        <v>13253</v>
      </c>
      <c r="CW15" s="89">
        <f>BI15</f>
        <v>10883</v>
      </c>
      <c r="CX15" s="89">
        <f>BM15</f>
        <v>21607</v>
      </c>
      <c r="CY15" s="89">
        <f>BQ15</f>
        <v>21607</v>
      </c>
      <c r="CZ15" s="89">
        <f>BU15</f>
        <v>21607</v>
      </c>
      <c r="DA15" s="89">
        <f>BY15</f>
        <v>21607</v>
      </c>
      <c r="DB15" s="89">
        <f>CC15</f>
        <v>21607</v>
      </c>
      <c r="DC15" s="89">
        <f>CG15</f>
        <v>21607</v>
      </c>
    </row>
    <row r="16" spans="1:107" x14ac:dyDescent="0.2">
      <c r="A16" s="29" t="s">
        <v>311</v>
      </c>
      <c r="B16" s="48" t="s">
        <v>82</v>
      </c>
      <c r="C16" s="20">
        <f>AVERAGE(C11,C15)</f>
        <v>0</v>
      </c>
      <c r="D16" s="20">
        <f t="shared" ref="D16:BO16" si="171">AVERAGE(D11,D15)</f>
        <v>1061</v>
      </c>
      <c r="E16" s="20">
        <f t="shared" si="171"/>
        <v>2793.5</v>
      </c>
      <c r="F16" s="20">
        <f t="shared" si="171"/>
        <v>3340.5</v>
      </c>
      <c r="G16" s="20">
        <f t="shared" si="171"/>
        <v>3709</v>
      </c>
      <c r="H16" s="20">
        <f t="shared" si="171"/>
        <v>4203</v>
      </c>
      <c r="I16" s="20">
        <f t="shared" si="171"/>
        <v>4204</v>
      </c>
      <c r="J16" s="20">
        <f t="shared" si="171"/>
        <v>4829.5</v>
      </c>
      <c r="K16" s="20">
        <f t="shared" si="171"/>
        <v>5830</v>
      </c>
      <c r="L16" s="20">
        <f t="shared" si="171"/>
        <v>6205.5</v>
      </c>
      <c r="M16" s="20">
        <f t="shared" si="171"/>
        <v>5871.5</v>
      </c>
      <c r="N16" s="20">
        <f t="shared" si="171"/>
        <v>5338</v>
      </c>
      <c r="O16" s="20">
        <f t="shared" si="171"/>
        <v>5064</v>
      </c>
      <c r="P16" s="20">
        <f t="shared" si="171"/>
        <v>5118</v>
      </c>
      <c r="Q16" s="20">
        <f t="shared" si="171"/>
        <v>5246</v>
      </c>
      <c r="R16" s="20">
        <f t="shared" si="171"/>
        <v>5744</v>
      </c>
      <c r="S16" s="20">
        <f t="shared" si="171"/>
        <v>5742</v>
      </c>
      <c r="T16" s="20">
        <f t="shared" si="171"/>
        <v>5240</v>
      </c>
      <c r="U16" s="20">
        <f t="shared" si="171"/>
        <v>5238</v>
      </c>
      <c r="V16" s="20">
        <f t="shared" si="171"/>
        <v>5236</v>
      </c>
      <c r="W16" s="20">
        <f t="shared" si="171"/>
        <v>5234</v>
      </c>
      <c r="X16" s="20">
        <f t="shared" si="171"/>
        <v>5232</v>
      </c>
      <c r="Y16" s="20">
        <f t="shared" si="171"/>
        <v>5225.5</v>
      </c>
      <c r="Z16" s="20">
        <f t="shared" si="171"/>
        <v>5214</v>
      </c>
      <c r="AA16" s="20">
        <f t="shared" si="171"/>
        <v>4705.5</v>
      </c>
      <c r="AB16" s="20">
        <f t="shared" si="171"/>
        <v>4070.5</v>
      </c>
      <c r="AC16" s="20">
        <f t="shared" si="171"/>
        <v>3936.5</v>
      </c>
      <c r="AD16" s="20">
        <f t="shared" si="171"/>
        <v>3936</v>
      </c>
      <c r="AE16" s="20">
        <f t="shared" si="171"/>
        <v>3946</v>
      </c>
      <c r="AF16" s="20">
        <f t="shared" si="171"/>
        <v>3959.5</v>
      </c>
      <c r="AG16" s="20">
        <f t="shared" si="171"/>
        <v>3966.5</v>
      </c>
      <c r="AH16" s="20">
        <f t="shared" si="171"/>
        <v>4635.5</v>
      </c>
      <c r="AI16" s="20">
        <f t="shared" si="171"/>
        <v>4641.5</v>
      </c>
      <c r="AJ16" s="20">
        <f t="shared" si="171"/>
        <v>3983.5</v>
      </c>
      <c r="AK16" s="20">
        <f t="shared" si="171"/>
        <v>3999</v>
      </c>
      <c r="AL16" s="20">
        <f t="shared" si="171"/>
        <v>4039</v>
      </c>
      <c r="AM16" s="20">
        <f t="shared" si="171"/>
        <v>4070</v>
      </c>
      <c r="AN16" s="20">
        <f t="shared" si="171"/>
        <v>4078</v>
      </c>
      <c r="AO16" s="20">
        <f t="shared" si="171"/>
        <v>4318</v>
      </c>
      <c r="AP16" s="20">
        <f t="shared" si="171"/>
        <v>4785</v>
      </c>
      <c r="AQ16" s="20">
        <f t="shared" si="171"/>
        <v>4517</v>
      </c>
      <c r="AR16" s="20">
        <f t="shared" si="171"/>
        <v>8960</v>
      </c>
      <c r="AS16" s="20">
        <f t="shared" si="171"/>
        <v>13917</v>
      </c>
      <c r="AT16" s="20">
        <f t="shared" si="171"/>
        <v>13909.5</v>
      </c>
      <c r="AU16" s="20">
        <f t="shared" si="171"/>
        <v>14107.5</v>
      </c>
      <c r="AV16" s="20">
        <f>AVERAGE(AV11,AV15)</f>
        <v>14308</v>
      </c>
      <c r="AW16" s="20">
        <f t="shared" si="171"/>
        <v>14552.5</v>
      </c>
      <c r="AX16" s="20">
        <f t="shared" si="171"/>
        <v>14804</v>
      </c>
      <c r="AY16" s="20">
        <f t="shared" si="171"/>
        <v>14762.5</v>
      </c>
      <c r="AZ16" s="20">
        <f t="shared" si="171"/>
        <v>14693.5</v>
      </c>
      <c r="BA16" s="20">
        <f t="shared" si="171"/>
        <v>14677</v>
      </c>
      <c r="BB16" s="20">
        <f t="shared" si="171"/>
        <v>14199</v>
      </c>
      <c r="BC16" s="20">
        <f t="shared" ref="BC16:BD16" si="172">AVERAGE(BC11,BC15)</f>
        <v>13701</v>
      </c>
      <c r="BD16" s="20">
        <f t="shared" si="172"/>
        <v>13743</v>
      </c>
      <c r="BE16" s="20">
        <f t="shared" ref="BE16:BF16" si="173">AVERAGE(BE11,BE15)</f>
        <v>13517</v>
      </c>
      <c r="BF16" s="20">
        <f t="shared" si="173"/>
        <v>13240.5</v>
      </c>
      <c r="BG16" s="20">
        <f t="shared" ref="BG16:BH16" si="174">AVERAGE(BG11,BG15)</f>
        <v>13233</v>
      </c>
      <c r="BH16" s="20">
        <f t="shared" si="174"/>
        <v>12767.5</v>
      </c>
      <c r="BI16" s="20">
        <f t="shared" ref="BI16:BJ16" si="175">AVERAGE(BI11,BI15)</f>
        <v>11590</v>
      </c>
      <c r="BJ16" s="20">
        <f t="shared" si="175"/>
        <v>10884.5</v>
      </c>
      <c r="BK16" s="20">
        <f t="shared" ref="BK16:BL16" si="176">AVERAGE(BK11,BK15)</f>
        <v>17246.5</v>
      </c>
      <c r="BL16" s="20">
        <f t="shared" si="176"/>
        <v>22607</v>
      </c>
      <c r="BM16" s="20">
        <f t="shared" si="171"/>
        <v>21607</v>
      </c>
      <c r="BN16" s="20">
        <f t="shared" si="171"/>
        <v>21607</v>
      </c>
      <c r="BO16" s="20">
        <f t="shared" si="171"/>
        <v>21607</v>
      </c>
      <c r="BP16" s="20">
        <f t="shared" ref="BP16:BQ16" si="177">AVERAGE(BP11,BP15)</f>
        <v>21607</v>
      </c>
      <c r="BQ16" s="20">
        <f t="shared" si="177"/>
        <v>21607</v>
      </c>
      <c r="BR16" s="20">
        <f>AVERAGE(BR11,BR15)</f>
        <v>21607</v>
      </c>
      <c r="BS16" s="20">
        <f t="shared" ref="BS16:BU16" si="178">AVERAGE(BS11,BS15)</f>
        <v>21607</v>
      </c>
      <c r="BT16" s="20">
        <f t="shared" si="178"/>
        <v>21607</v>
      </c>
      <c r="BU16" s="20">
        <f t="shared" si="178"/>
        <v>21607</v>
      </c>
      <c r="BV16" s="20">
        <f t="shared" ref="BV16:CC16" si="179">AVERAGE(BV11,BV15)</f>
        <v>21607</v>
      </c>
      <c r="BW16" s="20">
        <f t="shared" si="179"/>
        <v>21607</v>
      </c>
      <c r="BX16" s="20">
        <f t="shared" si="179"/>
        <v>21607</v>
      </c>
      <c r="BY16" s="20">
        <f t="shared" si="179"/>
        <v>21607</v>
      </c>
      <c r="BZ16" s="20">
        <f t="shared" si="179"/>
        <v>21607</v>
      </c>
      <c r="CA16" s="20">
        <f t="shared" si="179"/>
        <v>21607</v>
      </c>
      <c r="CB16" s="20">
        <f t="shared" si="179"/>
        <v>21607</v>
      </c>
      <c r="CC16" s="20">
        <f t="shared" si="179"/>
        <v>21607</v>
      </c>
      <c r="CD16" s="20">
        <f t="shared" ref="CD16:CG16" si="180">AVERAGE(CD11,CD15)</f>
        <v>21607</v>
      </c>
      <c r="CE16" s="20">
        <f t="shared" si="180"/>
        <v>21607</v>
      </c>
      <c r="CF16" s="20">
        <f t="shared" si="180"/>
        <v>21607</v>
      </c>
      <c r="CG16" s="20">
        <f t="shared" si="180"/>
        <v>21607</v>
      </c>
      <c r="CH16" s="20"/>
      <c r="CI16" s="89" t="str">
        <f>B16</f>
        <v>n/a</v>
      </c>
      <c r="CJ16" s="20">
        <f t="shared" ref="CJ16:CY16" si="181">AVERAGE(CJ11,CJ15)</f>
        <v>3834.5</v>
      </c>
      <c r="CK16" s="89">
        <f t="shared" si="181"/>
        <v>4870.5</v>
      </c>
      <c r="CL16" s="89">
        <f t="shared" si="181"/>
        <v>5391</v>
      </c>
      <c r="CM16" s="89">
        <f t="shared" si="181"/>
        <v>5241</v>
      </c>
      <c r="CN16" s="89">
        <f t="shared" si="181"/>
        <v>5228.5</v>
      </c>
      <c r="CO16" s="89">
        <f t="shared" si="181"/>
        <v>4577.5</v>
      </c>
      <c r="CP16" s="89">
        <f t="shared" si="181"/>
        <v>3952</v>
      </c>
      <c r="CQ16" s="89">
        <f t="shared" si="181"/>
        <v>3990.5</v>
      </c>
      <c r="CR16" s="89">
        <f t="shared" si="181"/>
        <v>4283</v>
      </c>
      <c r="CS16" s="89">
        <f t="shared" si="181"/>
        <v>9243</v>
      </c>
      <c r="CT16" s="89">
        <f t="shared" si="181"/>
        <v>14374.5</v>
      </c>
      <c r="CU16" s="89">
        <f t="shared" si="181"/>
        <v>14759</v>
      </c>
      <c r="CV16" s="89">
        <f t="shared" si="181"/>
        <v>13977</v>
      </c>
      <c r="CW16" s="89">
        <f t="shared" si="181"/>
        <v>12068</v>
      </c>
      <c r="CX16" s="89">
        <f t="shared" si="181"/>
        <v>16245</v>
      </c>
      <c r="CY16" s="89">
        <f t="shared" si="181"/>
        <v>21607</v>
      </c>
      <c r="CZ16" s="89">
        <f>AVERAGE(CZ11,CZ15)</f>
        <v>21607</v>
      </c>
      <c r="DA16" s="89">
        <f>AVERAGE(DA11,DA15)</f>
        <v>21607</v>
      </c>
      <c r="DB16" s="89">
        <f>AVERAGE(DB11,DB15)</f>
        <v>21607</v>
      </c>
      <c r="DC16" s="89">
        <f>AVERAGE(DC11,DC15)</f>
        <v>21607</v>
      </c>
    </row>
    <row r="17" spans="1:107" x14ac:dyDescent="0.2">
      <c r="A17" s="29" t="s">
        <v>316</v>
      </c>
      <c r="B17" s="48" t="s">
        <v>82</v>
      </c>
      <c r="C17" s="48" t="s">
        <v>82</v>
      </c>
      <c r="D17" s="71">
        <v>-4.0000000000000001E-3</v>
      </c>
      <c r="E17" s="71">
        <v>-4.0000000000000001E-3</v>
      </c>
      <c r="F17" s="71">
        <v>-4.0000000000000001E-3</v>
      </c>
      <c r="G17" s="71">
        <v>-4.0000000000000001E-3</v>
      </c>
      <c r="H17" s="71">
        <v>-4.0000000000000001E-3</v>
      </c>
      <c r="I17" s="71">
        <v>-4.0000000000000001E-3</v>
      </c>
      <c r="J17" s="71">
        <v>-4.0000000000000001E-3</v>
      </c>
      <c r="K17" s="71">
        <v>-4.0000000000000001E-3</v>
      </c>
      <c r="L17" s="71">
        <v>-4.0000000000000001E-3</v>
      </c>
      <c r="M17" s="71">
        <v>-4.0000000000000001E-3</v>
      </c>
      <c r="N17" s="70">
        <f>-N18/N11</f>
        <v>3.7926675094816687E-3</v>
      </c>
      <c r="O17" s="70">
        <f t="shared" ref="O17:BB17" si="182">-O18/O11</f>
        <v>3.6972173574625414E-3</v>
      </c>
      <c r="P17" s="70">
        <f t="shared" si="182"/>
        <v>4.4097013429545001E-3</v>
      </c>
      <c r="Q17" s="70">
        <f t="shared" si="182"/>
        <v>4.0022870211549461E-3</v>
      </c>
      <c r="R17" s="70">
        <f t="shared" si="182"/>
        <v>4.5757864632983798E-3</v>
      </c>
      <c r="S17" s="70">
        <f t="shared" si="182"/>
        <v>4.324843825084094E-3</v>
      </c>
      <c r="T17" s="70">
        <f t="shared" si="182"/>
        <v>4.770082045411181E-3</v>
      </c>
      <c r="U17" s="70">
        <f t="shared" si="182"/>
        <v>4.7719030349303304E-3</v>
      </c>
      <c r="V17" s="70">
        <f t="shared" si="182"/>
        <v>4.9646744319266755E-3</v>
      </c>
      <c r="W17" s="70">
        <f t="shared" si="182"/>
        <v>4.9665711556829036E-3</v>
      </c>
      <c r="X17" s="70">
        <f t="shared" si="182"/>
        <v>4.9684693292566407E-3</v>
      </c>
      <c r="Y17" s="70">
        <f t="shared" si="182"/>
        <v>4.9703689543108389E-3</v>
      </c>
      <c r="Z17" s="70">
        <f t="shared" si="182"/>
        <v>5.7471264367816091E-3</v>
      </c>
      <c r="AA17" s="70">
        <f t="shared" si="182"/>
        <v>6.1443932411674347E-3</v>
      </c>
      <c r="AB17" s="70">
        <f t="shared" si="182"/>
        <v>6.8998334522959786E-3</v>
      </c>
      <c r="AC17" s="70">
        <f t="shared" si="182"/>
        <v>8.3798882681564244E-3</v>
      </c>
      <c r="AD17" s="70">
        <f t="shared" si="182"/>
        <v>6.3532401524777635E-3</v>
      </c>
      <c r="AE17" s="70">
        <f t="shared" si="182"/>
        <v>5.3340106680213363E-3</v>
      </c>
      <c r="AF17" s="70">
        <f t="shared" si="182"/>
        <v>6.8268015170670042E-3</v>
      </c>
      <c r="AG17" s="70">
        <f t="shared" si="182"/>
        <v>9.0817356205852677E-3</v>
      </c>
      <c r="AH17" s="70">
        <f t="shared" si="182"/>
        <v>7.5585789871504159E-3</v>
      </c>
      <c r="AI17" s="70">
        <f t="shared" si="182"/>
        <v>5.0924179554884949E-3</v>
      </c>
      <c r="AJ17" s="70">
        <f t="shared" si="182"/>
        <v>7.0334086912835969E-3</v>
      </c>
      <c r="AK17" s="70">
        <f t="shared" si="182"/>
        <v>7.2754641244355241E-3</v>
      </c>
      <c r="AL17" s="70">
        <f t="shared" si="182"/>
        <v>8.7238285144566295E-3</v>
      </c>
      <c r="AM17" s="70">
        <f t="shared" si="182"/>
        <v>6.1485489424495821E-3</v>
      </c>
      <c r="AN17" s="70">
        <f t="shared" si="182"/>
        <v>5.6455571919489444E-3</v>
      </c>
      <c r="AO17" s="70">
        <f t="shared" si="182"/>
        <v>4.1646251837334641E-3</v>
      </c>
      <c r="AP17" s="70">
        <f t="shared" si="182"/>
        <v>4.61133069828722E-3</v>
      </c>
      <c r="AQ17" s="70">
        <f t="shared" si="182"/>
        <v>2.5917065390749601E-3</v>
      </c>
      <c r="AR17" s="70">
        <f t="shared" si="182"/>
        <v>1.1946241911398706E-2</v>
      </c>
      <c r="AS17" s="70">
        <f t="shared" si="182"/>
        <v>3.8124010933678607E-3</v>
      </c>
      <c r="AT17" s="70">
        <f t="shared" si="182"/>
        <v>5.4550674705713467E-3</v>
      </c>
      <c r="AU17" s="70">
        <f t="shared" si="182"/>
        <v>5.4727442932238782E-3</v>
      </c>
      <c r="AV17" s="70">
        <f t="shared" si="182"/>
        <v>5.3740926856504743E-3</v>
      </c>
      <c r="AW17" s="70">
        <f t="shared" si="182"/>
        <v>8.1886898096304589E-3</v>
      </c>
      <c r="AX17" s="70">
        <f t="shared" si="182"/>
        <v>5.6016737531214148E-3</v>
      </c>
      <c r="AY17" s="70">
        <f t="shared" si="182"/>
        <v>5.6115205192346701E-3</v>
      </c>
      <c r="AZ17" s="70">
        <f t="shared" si="182"/>
        <v>6.8548934437355777E-3</v>
      </c>
      <c r="BA17" s="70">
        <f t="shared" si="182"/>
        <v>6.1420869446529719E-3</v>
      </c>
      <c r="BB17" s="70">
        <f t="shared" si="182"/>
        <v>5.4418066798176991E-3</v>
      </c>
      <c r="BC17" s="70">
        <f t="shared" ref="BC17:BD17" si="183">-BC18/BC11</f>
        <v>3.1393735854566692E-3</v>
      </c>
      <c r="BD17" s="70">
        <f t="shared" si="183"/>
        <v>8.4640642101422841E-3</v>
      </c>
      <c r="BE17" s="70">
        <f t="shared" ref="BE17:BF17" si="184">-BE18/BE11</f>
        <v>5.0068935490893262E-3</v>
      </c>
      <c r="BF17" s="70">
        <f t="shared" si="184"/>
        <v>7.0927337206670186E-3</v>
      </c>
      <c r="BG17" s="70">
        <f t="shared" ref="BG17:BH17" si="185">-BG18/BG11</f>
        <v>5.0650136074992438E-3</v>
      </c>
      <c r="BH17" s="70">
        <f t="shared" si="185"/>
        <v>4.0791660371657353E-3</v>
      </c>
      <c r="BI17" s="70">
        <f t="shared" ref="BI17:BJ17" si="186">-BI18/BI11</f>
        <v>4.3099943075546885E-3</v>
      </c>
      <c r="BJ17" s="70">
        <f t="shared" si="186"/>
        <v>3.124138564733989E-3</v>
      </c>
      <c r="BK17" s="70">
        <f t="shared" ref="BK17:BL17" si="187">-BK18/BK11</f>
        <v>2.3975748668013962E-2</v>
      </c>
      <c r="BL17" s="70">
        <f t="shared" si="187"/>
        <v>6.0575253102893214E-3</v>
      </c>
      <c r="BM17" s="326">
        <v>1.0070535858667433E-2</v>
      </c>
      <c r="BN17" s="61">
        <v>1.1510671246445619E-2</v>
      </c>
      <c r="BO17" s="61">
        <v>1.3607304416873528E-2</v>
      </c>
      <c r="BP17" s="61">
        <v>1.101519335408842E-2</v>
      </c>
      <c r="BQ17" s="61">
        <f t="shared" ref="BQ17" si="188">AVERAGE(BM17:BP17)</f>
        <v>1.1550926219018749E-2</v>
      </c>
      <c r="BR17" s="61">
        <f>AVERAGE(BN17:BQ17)</f>
        <v>1.192102380910658E-2</v>
      </c>
      <c r="BS17" s="61">
        <f t="shared" ref="BS17" si="189">AVERAGE(BO17:BR17)</f>
        <v>1.202361194977182E-2</v>
      </c>
      <c r="BT17" s="61">
        <f t="shared" ref="BT17" si="190">AVERAGE(BP17:BS17)</f>
        <v>1.1627688832996391E-2</v>
      </c>
      <c r="BU17" s="61">
        <f t="shared" ref="BU17" si="191">AVERAGE(BQ17:BT17)</f>
        <v>1.1780812702723385E-2</v>
      </c>
      <c r="BV17" s="61">
        <f t="shared" ref="BV17" si="192">AVERAGE(BR17:BU17)</f>
        <v>1.1838284323649542E-2</v>
      </c>
      <c r="BW17" s="61">
        <f t="shared" ref="BW17" si="193">AVERAGE(BS17:BV17)</f>
        <v>1.1817599452285284E-2</v>
      </c>
      <c r="BX17" s="61">
        <f t="shared" ref="BX17" si="194">AVERAGE(BT17:BW17)</f>
        <v>1.176609632791365E-2</v>
      </c>
      <c r="BY17" s="61">
        <f t="shared" ref="BY17" si="195">AVERAGE(BU17:BX17)</f>
        <v>1.1800698201642966E-2</v>
      </c>
      <c r="BZ17" s="61">
        <f t="shared" ref="BZ17" si="196">AVERAGE(BV17:BY17)</f>
        <v>1.180566957637286E-2</v>
      </c>
      <c r="CA17" s="61">
        <f t="shared" ref="CA17" si="197">AVERAGE(BW17:BZ17)</f>
        <v>1.1797515889553689E-2</v>
      </c>
      <c r="CB17" s="61">
        <f t="shared" ref="CB17" si="198">AVERAGE(BX17:CA17)</f>
        <v>1.1792494998870792E-2</v>
      </c>
      <c r="CC17" s="61">
        <f t="shared" ref="CC17" si="199">AVERAGE(BY17:CB17)</f>
        <v>1.1799094666610077E-2</v>
      </c>
      <c r="CD17" s="61">
        <f t="shared" ref="CD17" si="200">AVERAGE(BZ17:CC17)</f>
        <v>1.1798693782851854E-2</v>
      </c>
      <c r="CE17" s="61">
        <f t="shared" ref="CE17" si="201">AVERAGE(CA17:CD17)</f>
        <v>1.1796949834471602E-2</v>
      </c>
      <c r="CF17" s="61">
        <f t="shared" ref="CF17" si="202">AVERAGE(CB17:CE17)</f>
        <v>1.1796808320701081E-2</v>
      </c>
      <c r="CG17" s="61">
        <f t="shared" ref="CG17" si="203">AVERAGE(CC17:CF17)</f>
        <v>1.1797886651158654E-2</v>
      </c>
      <c r="CH17" s="61"/>
      <c r="CI17" s="124" t="s">
        <v>82</v>
      </c>
      <c r="CJ17" s="60">
        <f>-CJ18/CJ11</f>
        <v>1.7416450216450215E-2</v>
      </c>
      <c r="CK17" s="125">
        <f t="shared" ref="CK17:CX17" si="204">-CK18/CK11</f>
        <v>2.0999048525214083E-2</v>
      </c>
      <c r="CL17" s="125">
        <f t="shared" si="204"/>
        <v>1.4990066823189452E-2</v>
      </c>
      <c r="CM17" s="125">
        <f t="shared" si="204"/>
        <v>1.9256434699714012E-2</v>
      </c>
      <c r="CN17" s="125">
        <f t="shared" si="204"/>
        <v>1.9858697727706702E-2</v>
      </c>
      <c r="CO17" s="125">
        <f t="shared" si="204"/>
        <v>2.375478927203065E-2</v>
      </c>
      <c r="CP17" s="125">
        <f t="shared" si="204"/>
        <v>2.770012706480305E-2</v>
      </c>
      <c r="CQ17" s="125">
        <f t="shared" si="204"/>
        <v>2.872260015117158E-2</v>
      </c>
      <c r="CR17" s="125">
        <f t="shared" si="204"/>
        <v>2.4925224327018942E-2</v>
      </c>
      <c r="CS17" s="125">
        <f t="shared" si="204"/>
        <v>2.9644268774703556E-2</v>
      </c>
      <c r="CT17" s="125">
        <f t="shared" si="204"/>
        <v>2.4834912431811657E-2</v>
      </c>
      <c r="CU17" s="125">
        <f t="shared" si="204"/>
        <v>2.4093946142943915E-2</v>
      </c>
      <c r="CV17" s="125">
        <f t="shared" si="204"/>
        <v>2.0950955717298141E-2</v>
      </c>
      <c r="CW17" s="125">
        <f t="shared" si="204"/>
        <v>2.0221836565305969E-2</v>
      </c>
      <c r="CX17" s="125">
        <f t="shared" si="204"/>
        <v>6.024019739945119E-2</v>
      </c>
      <c r="CY17" s="125">
        <f>-CY18/CY11</f>
        <v>4.7684095236426312E-2</v>
      </c>
      <c r="CZ17" s="125">
        <f>-CZ18/CZ11</f>
        <v>4.7353137294598183E-2</v>
      </c>
      <c r="DA17" s="125">
        <f>-DA18/DA11</f>
        <v>4.7222678305491442E-2</v>
      </c>
      <c r="DB17" s="125">
        <f>-DB18/DB11</f>
        <v>4.7194775131407421E-2</v>
      </c>
      <c r="DC17" s="125">
        <f>-DC18/DC11</f>
        <v>4.7190338589183187E-2</v>
      </c>
    </row>
    <row r="18" spans="1:107" x14ac:dyDescent="0.2">
      <c r="A18" s="4" t="s">
        <v>317</v>
      </c>
      <c r="B18" s="48" t="s">
        <v>82</v>
      </c>
      <c r="C18" s="48" t="s">
        <v>82</v>
      </c>
      <c r="D18" s="72">
        <f>D11*D17</f>
        <v>0</v>
      </c>
      <c r="E18" s="72">
        <f>E11*E17</f>
        <v>-8.4879999999999995</v>
      </c>
      <c r="F18" s="72">
        <f t="shared" ref="F18:M18" si="205">F11*F17</f>
        <v>-13.86</v>
      </c>
      <c r="G18" s="72">
        <f t="shared" si="205"/>
        <v>-12.864000000000001</v>
      </c>
      <c r="H18" s="72">
        <f t="shared" si="205"/>
        <v>-16.808</v>
      </c>
      <c r="I18" s="72">
        <f t="shared" si="205"/>
        <v>-16.815999999999999</v>
      </c>
      <c r="J18" s="72">
        <f t="shared" si="205"/>
        <v>-16.815999999999999</v>
      </c>
      <c r="K18" s="72">
        <f t="shared" si="205"/>
        <v>-21.82</v>
      </c>
      <c r="L18" s="72">
        <f t="shared" si="205"/>
        <v>-24.82</v>
      </c>
      <c r="M18" s="72">
        <f t="shared" si="205"/>
        <v>-24.824000000000002</v>
      </c>
      <c r="N18" s="17">
        <v>-21</v>
      </c>
      <c r="O18" s="17">
        <v>-19</v>
      </c>
      <c r="P18" s="17">
        <v>-22</v>
      </c>
      <c r="Q18" s="17">
        <v>-21</v>
      </c>
      <c r="R18" s="17">
        <v>-24</v>
      </c>
      <c r="S18" s="17">
        <v>-27</v>
      </c>
      <c r="T18" s="17">
        <v>-25</v>
      </c>
      <c r="U18" s="17">
        <v>-25</v>
      </c>
      <c r="V18" s="17">
        <v>-26</v>
      </c>
      <c r="W18" s="17">
        <v>-26</v>
      </c>
      <c r="X18" s="17">
        <v>-26</v>
      </c>
      <c r="Y18" s="17">
        <v>-26</v>
      </c>
      <c r="Z18" s="17">
        <v>-30</v>
      </c>
      <c r="AA18" s="17">
        <v>-32</v>
      </c>
      <c r="AB18" s="17">
        <v>-29</v>
      </c>
      <c r="AC18" s="17">
        <v>-33</v>
      </c>
      <c r="AD18" s="17">
        <v>-25</v>
      </c>
      <c r="AE18" s="17">
        <v>-21</v>
      </c>
      <c r="AF18" s="17">
        <v>-27</v>
      </c>
      <c r="AG18" s="17">
        <v>-36</v>
      </c>
      <c r="AH18" s="17">
        <v>-30</v>
      </c>
      <c r="AI18" s="17">
        <v>-27</v>
      </c>
      <c r="AJ18" s="17">
        <v>-28</v>
      </c>
      <c r="AK18" s="17">
        <v>-29</v>
      </c>
      <c r="AL18" s="17">
        <v>-35</v>
      </c>
      <c r="AM18" s="17">
        <v>-25</v>
      </c>
      <c r="AN18" s="17">
        <v>-23</v>
      </c>
      <c r="AO18" s="17">
        <v>-17</v>
      </c>
      <c r="AP18" s="17">
        <v>-21</v>
      </c>
      <c r="AQ18" s="17">
        <v>-13</v>
      </c>
      <c r="AR18" s="17">
        <v>-48</v>
      </c>
      <c r="AS18" s="17">
        <v>-53</v>
      </c>
      <c r="AT18" s="17">
        <v>-76</v>
      </c>
      <c r="AU18" s="18">
        <v>-76</v>
      </c>
      <c r="AV18" s="18">
        <v>-77</v>
      </c>
      <c r="AW18" s="18">
        <v>-117</v>
      </c>
      <c r="AX18" s="18">
        <v>-83</v>
      </c>
      <c r="AY18" s="18">
        <v>-83</v>
      </c>
      <c r="AZ18" s="18">
        <v>-101</v>
      </c>
      <c r="BA18" s="18">
        <v>-90</v>
      </c>
      <c r="BB18" s="18">
        <v>-80</v>
      </c>
      <c r="BC18" s="18">
        <v>-43</v>
      </c>
      <c r="BD18" s="18">
        <v>-116</v>
      </c>
      <c r="BE18" s="18">
        <v>-69</v>
      </c>
      <c r="BF18" s="18">
        <v>-94</v>
      </c>
      <c r="BG18" s="18">
        <v>-67</v>
      </c>
      <c r="BH18" s="18">
        <v>-54</v>
      </c>
      <c r="BI18" s="18">
        <v>-53</v>
      </c>
      <c r="BJ18" s="18">
        <v>-34</v>
      </c>
      <c r="BK18" s="18">
        <v>-261</v>
      </c>
      <c r="BL18" s="18">
        <v>-143</v>
      </c>
      <c r="BM18" s="20">
        <f t="shared" ref="BM18:BQ18" si="206">-BM11*BM17</f>
        <v>-217.59406829822723</v>
      </c>
      <c r="BN18" s="20">
        <f t="shared" si="206"/>
        <v>-248.7110736219505</v>
      </c>
      <c r="BO18" s="20">
        <f t="shared" si="206"/>
        <v>-294.0130265353863</v>
      </c>
      <c r="BP18" s="20">
        <f t="shared" si="206"/>
        <v>-238.00528280178847</v>
      </c>
      <c r="BQ18" s="20">
        <f t="shared" si="206"/>
        <v>-249.5808628143381</v>
      </c>
      <c r="BR18" s="20">
        <f>-BR11*BR17</f>
        <v>-257.57756144336588</v>
      </c>
      <c r="BS18" s="20">
        <f t="shared" ref="BS18:BU18" si="207">-BS11*BS17</f>
        <v>-259.79418339871972</v>
      </c>
      <c r="BT18" s="20">
        <f t="shared" si="207"/>
        <v>-251.23947261455302</v>
      </c>
      <c r="BU18" s="20">
        <f t="shared" si="207"/>
        <v>-254.54802006774418</v>
      </c>
      <c r="BV18" s="20">
        <f t="shared" ref="BV18:CC18" si="208">-BV11*BV17</f>
        <v>-255.78980938109567</v>
      </c>
      <c r="BW18" s="20">
        <f t="shared" si="208"/>
        <v>-255.34287136552811</v>
      </c>
      <c r="BX18" s="20">
        <f t="shared" si="208"/>
        <v>-254.23004335723022</v>
      </c>
      <c r="BY18" s="20">
        <f t="shared" si="208"/>
        <v>-254.97768604289956</v>
      </c>
      <c r="BZ18" s="20">
        <f t="shared" si="208"/>
        <v>-255.0851025366884</v>
      </c>
      <c r="CA18" s="20">
        <f t="shared" si="208"/>
        <v>-254.90892582558655</v>
      </c>
      <c r="CB18" s="20">
        <f t="shared" si="208"/>
        <v>-254.8004394406012</v>
      </c>
      <c r="CC18" s="20">
        <f t="shared" si="208"/>
        <v>-254.94303846144393</v>
      </c>
      <c r="CD18" s="20">
        <f t="shared" ref="CD18:CG18" si="209">-CD11*CD17</f>
        <v>-254.93437656608</v>
      </c>
      <c r="CE18" s="20">
        <f t="shared" si="209"/>
        <v>-254.89669507342791</v>
      </c>
      <c r="CF18" s="20">
        <f t="shared" si="209"/>
        <v>-254.89363738538825</v>
      </c>
      <c r="CG18" s="20">
        <f t="shared" si="209"/>
        <v>-254.91693687158502</v>
      </c>
      <c r="CH18" s="65"/>
      <c r="CI18" s="90">
        <f t="shared" ref="CI18" si="210">SUM(B18:E18)</f>
        <v>-8.4879999999999995</v>
      </c>
      <c r="CJ18" s="21">
        <f t="shared" ref="CJ18" si="211">SUM(F18:I18)</f>
        <v>-60.347999999999999</v>
      </c>
      <c r="CK18" s="90">
        <f t="shared" ref="CK18" si="212">SUM(J18:M18)</f>
        <v>-88.28</v>
      </c>
      <c r="CL18" s="90">
        <f t="shared" ref="CL18" si="213">SUM(N18:Q18)</f>
        <v>-83</v>
      </c>
      <c r="CM18" s="90">
        <f t="shared" ref="CM18" si="214">SUM(R18:U18)</f>
        <v>-101</v>
      </c>
      <c r="CN18" s="90">
        <f t="shared" ref="CN18" si="215">SUM(V18:Y18)</f>
        <v>-104</v>
      </c>
      <c r="CO18" s="90">
        <f t="shared" ref="CO18" si="216">SUM(Z18:AC18)</f>
        <v>-124</v>
      </c>
      <c r="CP18" s="90">
        <f t="shared" ref="CP18" si="217">SUM(AD18:AG18)</f>
        <v>-109</v>
      </c>
      <c r="CQ18" s="90">
        <f t="shared" ref="CQ18" si="218">SUM(AH18:AK18)</f>
        <v>-114</v>
      </c>
      <c r="CR18" s="90">
        <f t="shared" ref="CR18" si="219">SUM(AL18:AO18)</f>
        <v>-100</v>
      </c>
      <c r="CS18" s="90">
        <f t="shared" ref="CS18" si="220">SUM(AP18:AS18)</f>
        <v>-135</v>
      </c>
      <c r="CT18" s="90">
        <f t="shared" ref="CT18" si="221">SUM(AT18:AW18)</f>
        <v>-346</v>
      </c>
      <c r="CU18" s="90">
        <f t="shared" ref="CU18" si="222">SUM(AX18:BA18)</f>
        <v>-357</v>
      </c>
      <c r="CV18" s="90">
        <f t="shared" ref="CV18" si="223">SUM(BB18:BE18)</f>
        <v>-308</v>
      </c>
      <c r="CW18" s="90">
        <f t="shared" ref="CW18" si="224">SUM(BF18:BI18)</f>
        <v>-268</v>
      </c>
      <c r="CX18" s="90">
        <f t="shared" ref="CX18" si="225">SUM(BJ18:BM18)</f>
        <v>-655.59406829822728</v>
      </c>
      <c r="CY18" s="90">
        <f t="shared" ref="CY18" si="226">SUM(BN18:BQ18)</f>
        <v>-1030.3102457734633</v>
      </c>
      <c r="CZ18" s="90">
        <f>SUM(BR18:BU18)</f>
        <v>-1023.1592375243829</v>
      </c>
      <c r="DA18" s="90">
        <f>SUM(BV18:BY18)</f>
        <v>-1020.3404101467536</v>
      </c>
      <c r="DB18" s="90">
        <f>SUM(BZ18:CC18)</f>
        <v>-1019.7375062643201</v>
      </c>
      <c r="DC18" s="90">
        <f>SUM(CD18:CG18)</f>
        <v>-1019.6416458964811</v>
      </c>
    </row>
    <row r="19" spans="1:107" x14ac:dyDescent="0.2">
      <c r="CI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</row>
    <row r="20" spans="1:107" x14ac:dyDescent="0.2">
      <c r="A20" s="1" t="s">
        <v>153</v>
      </c>
      <c r="B20" s="48" t="s">
        <v>82</v>
      </c>
      <c r="C20" s="48" t="s">
        <v>82</v>
      </c>
      <c r="D20" s="48" t="s">
        <v>82</v>
      </c>
      <c r="E20" s="48" t="s">
        <v>82</v>
      </c>
      <c r="F20" s="20">
        <f>F22-F8-F18</f>
        <v>-80.14</v>
      </c>
      <c r="G20" s="20">
        <f t="shared" ref="G20:BA20" si="227">G22-G8-G18</f>
        <v>4.8640000000000008</v>
      </c>
      <c r="H20" s="20">
        <f t="shared" si="227"/>
        <v>7.8079999999999998</v>
      </c>
      <c r="I20" s="20">
        <f t="shared" si="227"/>
        <v>-200.184</v>
      </c>
      <c r="J20" s="20">
        <f t="shared" si="227"/>
        <v>-9.1840000000000011</v>
      </c>
      <c r="K20" s="20">
        <f t="shared" si="227"/>
        <v>95.82</v>
      </c>
      <c r="L20" s="20">
        <f t="shared" si="227"/>
        <v>-84.18</v>
      </c>
      <c r="M20" s="20">
        <f t="shared" si="227"/>
        <v>-2.1759999999999984</v>
      </c>
      <c r="N20" s="20">
        <f t="shared" si="227"/>
        <v>-28</v>
      </c>
      <c r="O20" s="20">
        <f t="shared" si="227"/>
        <v>69</v>
      </c>
      <c r="P20" s="20">
        <f t="shared" si="227"/>
        <v>-165</v>
      </c>
      <c r="Q20" s="20">
        <f t="shared" si="227"/>
        <v>-69</v>
      </c>
      <c r="R20" s="20">
        <f t="shared" si="227"/>
        <v>213</v>
      </c>
      <c r="S20" s="20">
        <f t="shared" si="227"/>
        <v>3</v>
      </c>
      <c r="T20" s="20">
        <f t="shared" si="227"/>
        <v>-29</v>
      </c>
      <c r="U20" s="20">
        <f t="shared" si="227"/>
        <v>-69</v>
      </c>
      <c r="V20" s="20">
        <f t="shared" si="227"/>
        <v>-43</v>
      </c>
      <c r="W20" s="20">
        <f t="shared" si="227"/>
        <v>-83</v>
      </c>
      <c r="X20" s="20">
        <f t="shared" si="227"/>
        <v>-50</v>
      </c>
      <c r="Y20" s="20">
        <f t="shared" si="227"/>
        <v>-428</v>
      </c>
      <c r="Z20" s="20">
        <f t="shared" si="227"/>
        <v>-453</v>
      </c>
      <c r="AA20" s="20">
        <f t="shared" si="227"/>
        <v>-124</v>
      </c>
      <c r="AB20" s="20">
        <f t="shared" si="227"/>
        <v>-11</v>
      </c>
      <c r="AC20" s="20">
        <f t="shared" si="227"/>
        <v>-74</v>
      </c>
      <c r="AD20" s="20">
        <f t="shared" si="227"/>
        <v>-36</v>
      </c>
      <c r="AE20" s="20">
        <f t="shared" si="227"/>
        <v>-28</v>
      </c>
      <c r="AF20" s="20">
        <f t="shared" si="227"/>
        <v>-82</v>
      </c>
      <c r="AG20" s="20">
        <f t="shared" si="227"/>
        <v>-10</v>
      </c>
      <c r="AH20" s="20">
        <f t="shared" si="227"/>
        <v>2541</v>
      </c>
      <c r="AI20" s="20">
        <f t="shared" si="227"/>
        <v>979</v>
      </c>
      <c r="AJ20" s="20">
        <f t="shared" si="227"/>
        <v>1320</v>
      </c>
      <c r="AK20" s="20">
        <f t="shared" si="227"/>
        <v>1356</v>
      </c>
      <c r="AL20" s="20">
        <f t="shared" si="227"/>
        <v>1051</v>
      </c>
      <c r="AM20" s="20">
        <f t="shared" si="227"/>
        <v>2339</v>
      </c>
      <c r="AN20" s="20">
        <f t="shared" si="227"/>
        <v>-1157</v>
      </c>
      <c r="AO20" s="20">
        <f t="shared" si="227"/>
        <v>834</v>
      </c>
      <c r="AP20" s="20">
        <f t="shared" si="227"/>
        <v>-785</v>
      </c>
      <c r="AQ20" s="20">
        <f t="shared" si="227"/>
        <v>1474</v>
      </c>
      <c r="AR20" s="20">
        <f t="shared" si="227"/>
        <v>1734</v>
      </c>
      <c r="AS20" s="20">
        <f t="shared" si="227"/>
        <v>2705</v>
      </c>
      <c r="AT20" s="20">
        <f t="shared" si="227"/>
        <v>4577</v>
      </c>
      <c r="AU20" s="20">
        <f t="shared" si="227"/>
        <v>2311</v>
      </c>
      <c r="AV20" s="20">
        <f t="shared" si="227"/>
        <v>1723</v>
      </c>
      <c r="AW20" s="20">
        <f t="shared" si="227"/>
        <v>2256</v>
      </c>
      <c r="AX20" s="20">
        <f t="shared" si="227"/>
        <v>-1491</v>
      </c>
      <c r="AY20" s="20">
        <f t="shared" si="227"/>
        <v>-842</v>
      </c>
      <c r="AZ20" s="20">
        <f t="shared" si="227"/>
        <v>-1416</v>
      </c>
      <c r="BA20" s="20">
        <f t="shared" si="227"/>
        <v>-1582</v>
      </c>
      <c r="BB20" s="20">
        <f t="shared" ref="BB20:BG20" si="228">BB22-BB8-BB18</f>
        <v>73</v>
      </c>
      <c r="BC20" s="20">
        <f t="shared" si="228"/>
        <v>-784</v>
      </c>
      <c r="BD20" s="20">
        <f t="shared" si="228"/>
        <v>-1096</v>
      </c>
      <c r="BE20" s="20">
        <f t="shared" si="228"/>
        <v>-326</v>
      </c>
      <c r="BF20" s="20">
        <f t="shared" si="228"/>
        <v>1876</v>
      </c>
      <c r="BG20" s="20">
        <f t="shared" si="228"/>
        <v>-897</v>
      </c>
      <c r="BH20" s="20">
        <f t="shared" ref="BH20:BI20" si="229">BH22-BH8-BH18</f>
        <v>1996</v>
      </c>
      <c r="BI20" s="20">
        <f t="shared" si="229"/>
        <v>236</v>
      </c>
      <c r="BJ20" s="20">
        <f t="shared" ref="BJ20:BK20" si="230">BJ22-BJ8-BJ18</f>
        <v>10216</v>
      </c>
      <c r="BK20" s="20">
        <f t="shared" si="230"/>
        <v>1873</v>
      </c>
      <c r="BL20" s="20">
        <f t="shared" ref="BL20" si="231">BL22-BL8-BL18</f>
        <v>11826</v>
      </c>
      <c r="BM20" s="73">
        <v>0</v>
      </c>
      <c r="BN20" s="73">
        <v>0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3">
        <v>0</v>
      </c>
      <c r="BU20" s="73">
        <v>0</v>
      </c>
      <c r="BV20" s="73">
        <v>0</v>
      </c>
      <c r="BW20" s="73">
        <v>0</v>
      </c>
      <c r="BX20" s="73">
        <v>0</v>
      </c>
      <c r="BY20" s="73">
        <v>0</v>
      </c>
      <c r="BZ20" s="73">
        <v>0</v>
      </c>
      <c r="CA20" s="73">
        <v>0</v>
      </c>
      <c r="CB20" s="73">
        <v>0</v>
      </c>
      <c r="CC20" s="73">
        <v>0</v>
      </c>
      <c r="CD20" s="73">
        <v>0</v>
      </c>
      <c r="CE20" s="73">
        <v>0</v>
      </c>
      <c r="CF20" s="73">
        <v>0</v>
      </c>
      <c r="CG20" s="73">
        <v>0</v>
      </c>
      <c r="CH20" s="73"/>
      <c r="CI20" s="89">
        <f t="shared" ref="CI20" si="232">SUM(B20:E20)</f>
        <v>0</v>
      </c>
      <c r="CJ20" s="20">
        <f t="shared" ref="CJ20" si="233">SUM(F20:I20)</f>
        <v>-267.65199999999999</v>
      </c>
      <c r="CK20" s="89">
        <f t="shared" ref="CK20" si="234">SUM(J20:M20)</f>
        <v>0.27999999999999048</v>
      </c>
      <c r="CL20" s="89">
        <f t="shared" ref="CL20" si="235">SUM(N20:Q20)</f>
        <v>-193</v>
      </c>
      <c r="CM20" s="89">
        <f t="shared" ref="CM20" si="236">SUM(R20:U20)</f>
        <v>118</v>
      </c>
      <c r="CN20" s="89">
        <f t="shared" ref="CN20" si="237">SUM(V20:Y20)</f>
        <v>-604</v>
      </c>
      <c r="CO20" s="89">
        <f t="shared" ref="CO20" si="238">SUM(Z20:AC20)</f>
        <v>-662</v>
      </c>
      <c r="CP20" s="89">
        <f t="shared" ref="CP20" si="239">SUM(AD20:AG20)</f>
        <v>-156</v>
      </c>
      <c r="CQ20" s="89">
        <f t="shared" ref="CQ20" si="240">SUM(AH20:AK20)</f>
        <v>6196</v>
      </c>
      <c r="CR20" s="89">
        <f t="shared" ref="CR20" si="241">SUM(AL20:AO20)</f>
        <v>3067</v>
      </c>
      <c r="CS20" s="89">
        <f t="shared" ref="CS20" si="242">SUM(AP20:AS20)</f>
        <v>5128</v>
      </c>
      <c r="CT20" s="89">
        <f t="shared" ref="CT20" si="243">SUM(AT20:AW20)</f>
        <v>10867</v>
      </c>
      <c r="CU20" s="89">
        <f t="shared" ref="CU20" si="244">SUM(AX20:BA20)</f>
        <v>-5331</v>
      </c>
      <c r="CV20" s="89">
        <f t="shared" ref="CV20" si="245">SUM(BB20:BE20)</f>
        <v>-2133</v>
      </c>
      <c r="CW20" s="89">
        <f t="shared" ref="CW20" si="246">SUM(BF20:BI20)</f>
        <v>3211</v>
      </c>
      <c r="CX20" s="89">
        <f t="shared" ref="CX20" si="247">SUM(BJ20:BM20)</f>
        <v>23915</v>
      </c>
      <c r="CY20" s="89">
        <f t="shared" ref="CY20" si="248">SUM(BN20:BQ20)</f>
        <v>0</v>
      </c>
      <c r="CZ20" s="89">
        <f>SUM(BR20:BU20)</f>
        <v>0</v>
      </c>
      <c r="DA20" s="89">
        <f>SUM(BV20:BY20)</f>
        <v>0</v>
      </c>
      <c r="DB20" s="89">
        <f>SUM(BZ20:CC20)</f>
        <v>0</v>
      </c>
      <c r="DC20" s="89">
        <f>SUM(CD20:CG20)</f>
        <v>0</v>
      </c>
    </row>
    <row r="21" spans="1:107" x14ac:dyDescent="0.2">
      <c r="CI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</row>
    <row r="22" spans="1:107" ht="12.75" thickBot="1" x14ac:dyDescent="0.25">
      <c r="A22" s="4" t="s">
        <v>318</v>
      </c>
      <c r="B22" s="20">
        <f>'Income Statement'!B243</f>
        <v>18</v>
      </c>
      <c r="C22" s="20">
        <f>'Income Statement'!C243</f>
        <v>69</v>
      </c>
      <c r="D22" s="20">
        <f>'Income Statement'!D243</f>
        <v>167</v>
      </c>
      <c r="E22" s="20">
        <f>'Income Statement'!E243</f>
        <v>160</v>
      </c>
      <c r="F22" s="20">
        <f>'Income Statement'!F243</f>
        <v>96</v>
      </c>
      <c r="G22" s="20">
        <f>'Income Statement'!G243</f>
        <v>204</v>
      </c>
      <c r="H22" s="20">
        <f>'Income Statement'!H243</f>
        <v>302</v>
      </c>
      <c r="I22" s="20">
        <f>'Income Statement'!I243</f>
        <v>-18</v>
      </c>
      <c r="J22" s="20">
        <f>'Income Statement'!J243</f>
        <v>156</v>
      </c>
      <c r="K22" s="20">
        <f>'Income Statement'!K243</f>
        <v>254</v>
      </c>
      <c r="L22" s="20">
        <f>'Income Statement'!L243</f>
        <v>63</v>
      </c>
      <c r="M22" s="20">
        <f>'Income Statement'!M243</f>
        <v>152</v>
      </c>
      <c r="N22" s="20">
        <f>'Income Statement'!N243</f>
        <v>134</v>
      </c>
      <c r="O22" s="20">
        <f>'Income Statement'!O243</f>
        <v>236</v>
      </c>
      <c r="P22" s="20">
        <f>'Income Statement'!P243</f>
        <v>14</v>
      </c>
      <c r="Q22" s="20">
        <f>'Income Statement'!Q243</f>
        <v>125</v>
      </c>
      <c r="R22" s="20">
        <f>'Income Statement'!R243</f>
        <v>357</v>
      </c>
      <c r="S22" s="20">
        <f>'Income Statement'!S243</f>
        <v>145</v>
      </c>
      <c r="T22" s="20">
        <f>'Income Statement'!T243</f>
        <v>133</v>
      </c>
      <c r="U22" s="20">
        <f>'Income Statement'!U243</f>
        <v>128</v>
      </c>
      <c r="V22" s="20">
        <f>'Income Statement'!V243</f>
        <v>157</v>
      </c>
      <c r="W22" s="20">
        <f>'Income Statement'!W243</f>
        <v>131</v>
      </c>
      <c r="X22" s="20">
        <f>'Income Statement'!X243</f>
        <v>183</v>
      </c>
      <c r="Y22" s="20">
        <f>'Income Statement'!Y243</f>
        <v>-180</v>
      </c>
      <c r="Z22" s="20">
        <f>'Income Statement'!Z243</f>
        <v>-213</v>
      </c>
      <c r="AA22" s="20">
        <f>'Income Statement'!AA243</f>
        <v>151</v>
      </c>
      <c r="AB22" s="20">
        <f>'Income Statement'!AB243</f>
        <v>278</v>
      </c>
      <c r="AC22" s="20">
        <f>'Income Statement'!AC243</f>
        <v>218</v>
      </c>
      <c r="AD22" s="20">
        <f>'Income Statement'!AD243</f>
        <v>251</v>
      </c>
      <c r="AE22" s="20">
        <f>'Income Statement'!AE243</f>
        <v>245</v>
      </c>
      <c r="AF22" s="20">
        <f>'Income Statement'!AF243</f>
        <v>197</v>
      </c>
      <c r="AG22" s="20">
        <f>'Income Statement'!AG243</f>
        <v>354</v>
      </c>
      <c r="AH22" s="20">
        <f>'Income Statement'!AH243</f>
        <v>2910</v>
      </c>
      <c r="AI22" s="20">
        <f>'Income Statement'!AI243</f>
        <v>1408</v>
      </c>
      <c r="AJ22" s="20">
        <f>'Income Statement'!AJ243</f>
        <v>1773</v>
      </c>
      <c r="AK22" s="20">
        <f>'Income Statement'!AK243</f>
        <v>1869</v>
      </c>
      <c r="AL22" s="20">
        <f>'Income Statement'!AL243</f>
        <v>1538</v>
      </c>
      <c r="AM22" s="20">
        <f>'Income Statement'!AM243</f>
        <v>2967</v>
      </c>
      <c r="AN22" s="20">
        <f>'Income Statement'!AN243</f>
        <v>-549</v>
      </c>
      <c r="AO22" s="20">
        <f>'Income Statement'!AO243</f>
        <v>1438</v>
      </c>
      <c r="AP22" s="20">
        <f>'Income Statement'!AP243</f>
        <v>-220</v>
      </c>
      <c r="AQ22" s="20">
        <f>'Income Statement'!AQ243</f>
        <v>1894</v>
      </c>
      <c r="AR22" s="20">
        <f>'Income Statement'!AR243</f>
        <v>2146</v>
      </c>
      <c r="AS22" s="20">
        <f>'Income Statement'!AS243</f>
        <v>3038</v>
      </c>
      <c r="AT22" s="20">
        <f>'Income Statement'!AT243</f>
        <v>4846</v>
      </c>
      <c r="AU22" s="20">
        <f>'Income Statement'!AU243</f>
        <v>2624</v>
      </c>
      <c r="AV22" s="20">
        <f>'Income Statement'!AV243</f>
        <v>2033</v>
      </c>
      <c r="AW22" s="20">
        <f>'Income Statement'!AW243</f>
        <v>2517</v>
      </c>
      <c r="AX22" s="20">
        <f>'Income Statement'!AX243</f>
        <v>-1160</v>
      </c>
      <c r="AY22" s="20">
        <f>'Income Statement'!AY243</f>
        <v>-439</v>
      </c>
      <c r="AZ22" s="20">
        <f>'Income Statement'!AZ243</f>
        <v>-902</v>
      </c>
      <c r="BA22" s="20">
        <f>'Income Statement'!BA243</f>
        <v>-1013</v>
      </c>
      <c r="BB22" s="20">
        <f>'Income Statement'!BB243</f>
        <v>790</v>
      </c>
      <c r="BC22" s="20">
        <f>'Income Statement'!BC243</f>
        <v>65</v>
      </c>
      <c r="BD22" s="20">
        <f>'Income Statement'!BD243</f>
        <v>-146</v>
      </c>
      <c r="BE22" s="20">
        <f>'Income Statement'!BE243</f>
        <v>715</v>
      </c>
      <c r="BF22" s="20">
        <f>'Income Statement'!BF243</f>
        <v>2843</v>
      </c>
      <c r="BG22" s="20">
        <f>'Income Statement'!BG243</f>
        <v>126</v>
      </c>
      <c r="BH22" s="20">
        <f>'Income Statement'!BH243</f>
        <v>3185</v>
      </c>
      <c r="BI22" s="20">
        <f>'Income Statement'!BI243</f>
        <v>1271</v>
      </c>
      <c r="BJ22" s="20">
        <f>'Income Statement'!BJ243</f>
        <v>11183</v>
      </c>
      <c r="BK22" s="20">
        <f>'Income Statement'!BK243</f>
        <v>2662</v>
      </c>
      <c r="BL22" s="20">
        <f>'Income Statement'!BL243</f>
        <v>12759</v>
      </c>
      <c r="BM22" s="20">
        <f t="shared" ref="BM22:CY22" si="249">SUM(BM8,BM18,BM20)</f>
        <v>668.86993170177266</v>
      </c>
      <c r="BN22" s="20">
        <f t="shared" si="249"/>
        <v>578.40098014675846</v>
      </c>
      <c r="BO22" s="20">
        <f t="shared" si="249"/>
        <v>771.7383782957528</v>
      </c>
      <c r="BP22" s="20">
        <f t="shared" si="249"/>
        <v>474.72457796011088</v>
      </c>
      <c r="BQ22" s="20">
        <f t="shared" si="249"/>
        <v>546.39017463103755</v>
      </c>
      <c r="BR22" s="20">
        <f>SUM(BR8,BR18,BR20)</f>
        <v>647.0629598974823</v>
      </c>
      <c r="BS22" s="20">
        <f t="shared" ref="BS22:BU22" si="250">SUM(BS8,BS18,BS20)</f>
        <v>944.45752994176337</v>
      </c>
      <c r="BT22" s="20">
        <f t="shared" si="250"/>
        <v>663.37365354574911</v>
      </c>
      <c r="BU22" s="20">
        <f t="shared" si="250"/>
        <v>883.15044693414734</v>
      </c>
      <c r="BV22" s="20">
        <f t="shared" ref="BV22:CC22" si="251">SUM(BV8,BV18,BV20)</f>
        <v>1175.4565347037806</v>
      </c>
      <c r="BW22" s="20">
        <f t="shared" si="251"/>
        <v>1740.0842147825585</v>
      </c>
      <c r="BX22" s="20">
        <f t="shared" si="251"/>
        <v>1281.506588501351</v>
      </c>
      <c r="BY22" s="20">
        <f t="shared" si="251"/>
        <v>1550.0950298565112</v>
      </c>
      <c r="BZ22" s="20">
        <f t="shared" si="251"/>
        <v>1975.5333150941779</v>
      </c>
      <c r="CA22" s="20">
        <f t="shared" si="251"/>
        <v>2697.8716018376417</v>
      </c>
      <c r="CB22" s="20">
        <f t="shared" si="251"/>
        <v>2016.9122939069362</v>
      </c>
      <c r="CC22" s="20">
        <f t="shared" si="251"/>
        <v>2332.7359071207375</v>
      </c>
      <c r="CD22" s="20">
        <f t="shared" ref="CD22:CG22" si="252">SUM(CD8,CD18,CD20)</f>
        <v>2924.8565352245819</v>
      </c>
      <c r="CE22" s="20">
        <f t="shared" si="252"/>
        <v>3830.3237144988452</v>
      </c>
      <c r="CF22" s="20">
        <f t="shared" si="252"/>
        <v>2864.1613920133036</v>
      </c>
      <c r="CG22" s="20">
        <f t="shared" si="252"/>
        <v>3226.3742911612076</v>
      </c>
      <c r="CH22" s="20"/>
      <c r="CI22" s="137">
        <f t="shared" si="249"/>
        <v>-8.4879999999999995</v>
      </c>
      <c r="CJ22" s="138">
        <f t="shared" si="249"/>
        <v>584</v>
      </c>
      <c r="CK22" s="137">
        <f t="shared" si="249"/>
        <v>625</v>
      </c>
      <c r="CL22" s="137">
        <f t="shared" si="249"/>
        <v>509</v>
      </c>
      <c r="CM22" s="137">
        <f t="shared" si="249"/>
        <v>763</v>
      </c>
      <c r="CN22" s="137">
        <f t="shared" si="249"/>
        <v>291</v>
      </c>
      <c r="CO22" s="137">
        <f t="shared" si="249"/>
        <v>434</v>
      </c>
      <c r="CP22" s="137">
        <f t="shared" si="249"/>
        <v>1047</v>
      </c>
      <c r="CQ22" s="137">
        <f t="shared" si="249"/>
        <v>7960</v>
      </c>
      <c r="CR22" s="137">
        <f t="shared" si="249"/>
        <v>5394</v>
      </c>
      <c r="CS22" s="137">
        <f t="shared" si="249"/>
        <v>6858</v>
      </c>
      <c r="CT22" s="137">
        <f t="shared" si="249"/>
        <v>12020</v>
      </c>
      <c r="CU22" s="137">
        <f t="shared" si="249"/>
        <v>-3514</v>
      </c>
      <c r="CV22" s="137">
        <f t="shared" si="249"/>
        <v>1424</v>
      </c>
      <c r="CW22" s="137">
        <f t="shared" si="249"/>
        <v>7425</v>
      </c>
      <c r="CX22" s="137">
        <f t="shared" si="249"/>
        <v>27272.869931701774</v>
      </c>
      <c r="CY22" s="137">
        <f t="shared" si="249"/>
        <v>2371.2541110336597</v>
      </c>
      <c r="CZ22" s="137">
        <f>SUM(CZ8,CZ18,CZ20)</f>
        <v>3138.0445903191421</v>
      </c>
      <c r="DA22" s="137">
        <f>SUM(DA8,DA18,DA20)</f>
        <v>5747.1423678442006</v>
      </c>
      <c r="DB22" s="137">
        <f>SUM(DB8,DB18,DB20)</f>
        <v>9023.0531179594927</v>
      </c>
      <c r="DC22" s="137">
        <f>SUM(DC8,DC18,DC20)</f>
        <v>12845.715932897938</v>
      </c>
    </row>
    <row r="24" spans="1:107" x14ac:dyDescent="0.2">
      <c r="A24" s="4" t="s">
        <v>319</v>
      </c>
    </row>
    <row r="25" spans="1:107" x14ac:dyDescent="0.2">
      <c r="A25" s="1" t="s">
        <v>320</v>
      </c>
      <c r="B25" s="48" t="s">
        <v>82</v>
      </c>
      <c r="C25" s="48" t="s">
        <v>82</v>
      </c>
      <c r="D25" s="48" t="s">
        <v>82</v>
      </c>
      <c r="E25" s="60">
        <f>E12/E$11</f>
        <v>0.63242224316682372</v>
      </c>
      <c r="F25" s="60">
        <f t="shared" ref="F25:AT25" si="253">F12/F$11</f>
        <v>-7.2438672438672441E-2</v>
      </c>
      <c r="G25" s="60">
        <f t="shared" si="253"/>
        <v>0.30379353233830847</v>
      </c>
      <c r="H25" s="60">
        <f t="shared" si="253"/>
        <v>0</v>
      </c>
      <c r="I25" s="60">
        <f t="shared" si="253"/>
        <v>0</v>
      </c>
      <c r="J25" s="60">
        <f t="shared" si="253"/>
        <v>0.29709800190294955</v>
      </c>
      <c r="K25" s="60">
        <f t="shared" si="253"/>
        <v>0.1373052245646196</v>
      </c>
      <c r="L25" s="60">
        <f t="shared" si="253"/>
        <v>-1.6116035455278002E-4</v>
      </c>
      <c r="M25" s="60">
        <f t="shared" si="253"/>
        <v>-0.10779890428617467</v>
      </c>
      <c r="N25" s="60">
        <f t="shared" si="253"/>
        <v>-7.2421889109626145E-2</v>
      </c>
      <c r="O25" s="60">
        <f t="shared" si="253"/>
        <v>-2.938314847246546E-2</v>
      </c>
      <c r="P25" s="60">
        <f t="shared" si="253"/>
        <v>-4.0088194026859092E-4</v>
      </c>
      <c r="Q25" s="60">
        <f t="shared" si="253"/>
        <v>-5.717552887364208E-4</v>
      </c>
      <c r="R25" s="60">
        <f t="shared" si="253"/>
        <v>0.18932316491897044</v>
      </c>
      <c r="S25" s="60">
        <f t="shared" si="253"/>
        <v>-0.16082011853275668</v>
      </c>
      <c r="T25" s="60">
        <f t="shared" si="253"/>
        <v>-5.7240984544934168E-4</v>
      </c>
      <c r="U25" s="60">
        <f t="shared" si="253"/>
        <v>-7.6350448558885279E-4</v>
      </c>
      <c r="V25" s="60">
        <f t="shared" si="253"/>
        <v>-5.7284704983769335E-4</v>
      </c>
      <c r="W25" s="60">
        <f t="shared" si="253"/>
        <v>-5.7306590257879652E-4</v>
      </c>
      <c r="X25" s="60">
        <f t="shared" si="253"/>
        <v>-5.7328492260653541E-4</v>
      </c>
      <c r="Y25" s="60">
        <f t="shared" si="253"/>
        <v>-2.6763525138596826E-3</v>
      </c>
      <c r="Z25" s="60">
        <f t="shared" si="253"/>
        <v>-1.1494252873563218E-3</v>
      </c>
      <c r="AA25" s="60">
        <f t="shared" si="253"/>
        <v>-0.20007680491551461</v>
      </c>
      <c r="AB25" s="60">
        <f t="shared" si="253"/>
        <v>-6.5191529859624078E-2</v>
      </c>
      <c r="AC25" s="60">
        <f t="shared" si="253"/>
        <v>0</v>
      </c>
      <c r="AD25" s="60">
        <f t="shared" si="253"/>
        <v>-4.5743329097839899E-3</v>
      </c>
      <c r="AE25" s="60">
        <f t="shared" si="253"/>
        <v>-9.6520193040386081E-3</v>
      </c>
      <c r="AF25" s="60">
        <f t="shared" si="253"/>
        <v>-2.0227560050568899E-3</v>
      </c>
      <c r="AG25" s="60">
        <f t="shared" si="253"/>
        <v>-5.5499495459132193E-3</v>
      </c>
      <c r="AH25" s="60">
        <f t="shared" si="253"/>
        <v>0.3308138070042832</v>
      </c>
      <c r="AI25" s="60">
        <f t="shared" si="253"/>
        <v>-0.25348924933987177</v>
      </c>
      <c r="AJ25" s="60">
        <f t="shared" si="253"/>
        <v>-6.279829188646069E-3</v>
      </c>
      <c r="AK25" s="60">
        <f t="shared" si="253"/>
        <v>-1.2543903662819869E-3</v>
      </c>
      <c r="AL25" s="60">
        <f t="shared" si="253"/>
        <v>-7.4775672981056826E-3</v>
      </c>
      <c r="AM25" s="60">
        <f t="shared" si="253"/>
        <v>-1.1313330054107231E-2</v>
      </c>
      <c r="AN25" s="60">
        <f t="shared" si="253"/>
        <v>-3.559155621011291E-2</v>
      </c>
      <c r="AO25" s="60">
        <f t="shared" si="253"/>
        <v>-1.1513963743263106E-2</v>
      </c>
      <c r="AP25" s="60">
        <f t="shared" si="253"/>
        <v>-1.0759771629336846E-2</v>
      </c>
      <c r="AQ25" s="60">
        <f t="shared" si="253"/>
        <v>-6.9776714513556616E-3</v>
      </c>
      <c r="AR25" s="60">
        <f t="shared" si="253"/>
        <v>2.4547038327526134</v>
      </c>
      <c r="AS25" s="60">
        <f t="shared" si="253"/>
        <v>-4.1001294777729827E-3</v>
      </c>
      <c r="AT25" s="60">
        <f t="shared" si="253"/>
        <v>-2.6557565317255239E-3</v>
      </c>
      <c r="AU25" s="60">
        <f t="shared" ref="AU25:AW26" si="254">AU12/AU$11</f>
        <v>0.48239360553035215</v>
      </c>
      <c r="AV25" s="60">
        <f t="shared" si="254"/>
        <v>0.44318816303740927</v>
      </c>
      <c r="AW25" s="60">
        <f t="shared" si="254"/>
        <v>0.43743001119820829</v>
      </c>
      <c r="AX25" s="60">
        <f t="shared" ref="AX25:AY25" si="255">AX12/AX$11</f>
        <v>1.1083215225754202</v>
      </c>
      <c r="AY25" s="60">
        <f t="shared" si="255"/>
        <v>0.86579676830505037</v>
      </c>
      <c r="AZ25" s="60">
        <f t="shared" ref="AZ25:BA25" si="256">AZ12/AZ$11</f>
        <v>1.0244332835618297</v>
      </c>
      <c r="BA25" s="60">
        <f t="shared" si="256"/>
        <v>0.5834982597420324</v>
      </c>
      <c r="BB25" s="60">
        <f t="shared" ref="BB25:BC25" si="257">BB12/BB$11</f>
        <v>0.47119243588871507</v>
      </c>
      <c r="BC25" s="60">
        <f t="shared" si="257"/>
        <v>8.1988756662042778E-2</v>
      </c>
      <c r="BD25" s="60">
        <f t="shared" ref="BD25" si="258">BD12/BD$11</f>
        <v>9.1061656329806645E-2</v>
      </c>
      <c r="BE25" s="60">
        <f t="shared" ref="BE25:BF25" si="259">BE12/BE$11</f>
        <v>0.10826500253972861</v>
      </c>
      <c r="BF25" s="60">
        <f t="shared" si="259"/>
        <v>0.1495510450464046</v>
      </c>
      <c r="BG25" s="60">
        <f t="shared" ref="BG25:BH25" si="260">BG12/BG$11</f>
        <v>0.21870275173873602</v>
      </c>
      <c r="BH25" s="60">
        <f t="shared" si="260"/>
        <v>0.28848768696177668</v>
      </c>
      <c r="BI25" s="60">
        <f t="shared" ref="BI25:BJ25" si="261">BI12/BI$11</f>
        <v>0.398064568593966</v>
      </c>
      <c r="BJ25" s="60">
        <f t="shared" si="261"/>
        <v>0.41642929339336582</v>
      </c>
      <c r="BK25" s="60">
        <f t="shared" ref="BK25:BL25" si="262">BK12/BK$11</f>
        <v>2.4661032518831525</v>
      </c>
      <c r="BL25" s="60">
        <f t="shared" si="262"/>
        <v>0.28059473884864661</v>
      </c>
      <c r="BM25" s="61">
        <f t="shared" ref="BM25:CG25" si="263">-BM26</f>
        <v>0</v>
      </c>
      <c r="BN25" s="61">
        <f t="shared" si="263"/>
        <v>0</v>
      </c>
      <c r="BO25" s="61">
        <f t="shared" si="263"/>
        <v>0</v>
      </c>
      <c r="BP25" s="61">
        <f t="shared" si="263"/>
        <v>0</v>
      </c>
      <c r="BQ25" s="61">
        <f t="shared" si="263"/>
        <v>0</v>
      </c>
      <c r="BR25" s="61">
        <f t="shared" si="263"/>
        <v>0</v>
      </c>
      <c r="BS25" s="61">
        <f t="shared" si="263"/>
        <v>0</v>
      </c>
      <c r="BT25" s="61">
        <f t="shared" si="263"/>
        <v>0</v>
      </c>
      <c r="BU25" s="61">
        <f t="shared" si="263"/>
        <v>0</v>
      </c>
      <c r="BV25" s="61">
        <f t="shared" si="263"/>
        <v>0</v>
      </c>
      <c r="BW25" s="61">
        <f t="shared" si="263"/>
        <v>0</v>
      </c>
      <c r="BX25" s="61">
        <f t="shared" si="263"/>
        <v>0</v>
      </c>
      <c r="BY25" s="61">
        <f t="shared" si="263"/>
        <v>0</v>
      </c>
      <c r="BZ25" s="61">
        <f t="shared" si="263"/>
        <v>0</v>
      </c>
      <c r="CA25" s="61">
        <f t="shared" si="263"/>
        <v>0</v>
      </c>
      <c r="CB25" s="61">
        <f t="shared" si="263"/>
        <v>0</v>
      </c>
      <c r="CC25" s="61">
        <f t="shared" si="263"/>
        <v>0</v>
      </c>
      <c r="CD25" s="61">
        <f t="shared" si="263"/>
        <v>0</v>
      </c>
      <c r="CE25" s="61">
        <f t="shared" si="263"/>
        <v>0</v>
      </c>
      <c r="CF25" s="61">
        <f t="shared" si="263"/>
        <v>0</v>
      </c>
      <c r="CG25" s="61">
        <f t="shared" si="263"/>
        <v>0</v>
      </c>
      <c r="CH25" s="61"/>
    </row>
    <row r="26" spans="1:107" x14ac:dyDescent="0.2">
      <c r="A26" s="1" t="s">
        <v>321</v>
      </c>
      <c r="B26" s="48" t="s">
        <v>82</v>
      </c>
      <c r="C26" s="48" t="s">
        <v>82</v>
      </c>
      <c r="D26" s="48" t="s">
        <v>82</v>
      </c>
      <c r="E26" s="60">
        <f>E13/E$11</f>
        <v>0</v>
      </c>
      <c r="F26" s="60">
        <f t="shared" ref="F26:AT26" si="264">F13/F$11</f>
        <v>0</v>
      </c>
      <c r="G26" s="60">
        <f t="shared" si="264"/>
        <v>0</v>
      </c>
      <c r="H26" s="60">
        <f t="shared" si="264"/>
        <v>0</v>
      </c>
      <c r="I26" s="60">
        <f t="shared" si="264"/>
        <v>0</v>
      </c>
      <c r="J26" s="60">
        <f t="shared" si="264"/>
        <v>0</v>
      </c>
      <c r="K26" s="60">
        <f t="shared" si="264"/>
        <v>0</v>
      </c>
      <c r="L26" s="60">
        <f t="shared" si="264"/>
        <v>0</v>
      </c>
      <c r="M26" s="60">
        <f t="shared" si="264"/>
        <v>0</v>
      </c>
      <c r="N26" s="60">
        <f t="shared" si="264"/>
        <v>0</v>
      </c>
      <c r="O26" s="60">
        <f t="shared" si="264"/>
        <v>0</v>
      </c>
      <c r="P26" s="60">
        <f t="shared" si="264"/>
        <v>0</v>
      </c>
      <c r="Q26" s="60">
        <f t="shared" si="264"/>
        <v>0</v>
      </c>
      <c r="R26" s="60">
        <f t="shared" si="264"/>
        <v>0</v>
      </c>
      <c r="S26" s="60">
        <f t="shared" si="264"/>
        <v>0</v>
      </c>
      <c r="T26" s="60">
        <f t="shared" si="264"/>
        <v>0</v>
      </c>
      <c r="U26" s="60">
        <f t="shared" si="264"/>
        <v>0</v>
      </c>
      <c r="V26" s="60">
        <f t="shared" si="264"/>
        <v>0</v>
      </c>
      <c r="W26" s="60">
        <f t="shared" si="264"/>
        <v>0</v>
      </c>
      <c r="X26" s="60">
        <f t="shared" si="264"/>
        <v>0</v>
      </c>
      <c r="Y26" s="60">
        <f t="shared" si="264"/>
        <v>0</v>
      </c>
      <c r="Z26" s="60">
        <f t="shared" si="264"/>
        <v>0</v>
      </c>
      <c r="AA26" s="60">
        <f t="shared" si="264"/>
        <v>0</v>
      </c>
      <c r="AB26" s="60">
        <f t="shared" si="264"/>
        <v>0</v>
      </c>
      <c r="AC26" s="60">
        <f t="shared" si="264"/>
        <v>0</v>
      </c>
      <c r="AD26" s="60">
        <f t="shared" si="264"/>
        <v>0</v>
      </c>
      <c r="AE26" s="60">
        <f t="shared" si="264"/>
        <v>0</v>
      </c>
      <c r="AF26" s="60">
        <f t="shared" si="264"/>
        <v>0</v>
      </c>
      <c r="AG26" s="60">
        <f t="shared" si="264"/>
        <v>0</v>
      </c>
      <c r="AH26" s="60">
        <f t="shared" si="264"/>
        <v>0</v>
      </c>
      <c r="AI26" s="60">
        <f t="shared" si="264"/>
        <v>0</v>
      </c>
      <c r="AJ26" s="60">
        <f t="shared" si="264"/>
        <v>0</v>
      </c>
      <c r="AK26" s="60">
        <f t="shared" si="264"/>
        <v>0</v>
      </c>
      <c r="AL26" s="60">
        <f t="shared" si="264"/>
        <v>0</v>
      </c>
      <c r="AM26" s="60">
        <f t="shared" si="264"/>
        <v>0</v>
      </c>
      <c r="AN26" s="60">
        <f t="shared" si="264"/>
        <v>0</v>
      </c>
      <c r="AO26" s="60">
        <f t="shared" si="264"/>
        <v>0</v>
      </c>
      <c r="AP26" s="60">
        <f t="shared" si="264"/>
        <v>0</v>
      </c>
      <c r="AQ26" s="60">
        <f t="shared" si="264"/>
        <v>0</v>
      </c>
      <c r="AR26" s="60">
        <f t="shared" si="264"/>
        <v>-1.5181682429069188E-2</v>
      </c>
      <c r="AS26" s="60">
        <f t="shared" si="264"/>
        <v>0</v>
      </c>
      <c r="AT26" s="60">
        <f t="shared" si="264"/>
        <v>0</v>
      </c>
      <c r="AU26" s="60">
        <f t="shared" si="254"/>
        <v>-0.55742781018218479</v>
      </c>
      <c r="AV26" s="60">
        <f t="shared" si="254"/>
        <v>-0.44611948632049137</v>
      </c>
      <c r="AW26" s="60">
        <f t="shared" si="254"/>
        <v>-0.44547872340425532</v>
      </c>
      <c r="AX26" s="60">
        <f t="shared" ref="AX26:AY26" si="265">AX13/AX$11</f>
        <v>-1.1081865424849835</v>
      </c>
      <c r="AY26" s="60">
        <f t="shared" si="265"/>
        <v>-0.8898654587249003</v>
      </c>
      <c r="AZ26" s="60">
        <f t="shared" ref="AZ26:BA26" si="266">AZ13/AZ$11</f>
        <v>-1.0701778200081444</v>
      </c>
      <c r="BA26" s="60">
        <f t="shared" si="266"/>
        <v>-0.59496348870538451</v>
      </c>
      <c r="BB26" s="60">
        <f t="shared" ref="BB26:BC26" si="267">BB13/BB$11</f>
        <v>-0.47289300047615807</v>
      </c>
      <c r="BC26" s="60">
        <f t="shared" si="267"/>
        <v>-9.1625903482514426E-2</v>
      </c>
      <c r="BD26" s="60">
        <f t="shared" ref="BD26" si="268">BD13/BD$11</f>
        <v>-0.10317402407880336</v>
      </c>
      <c r="BE26" s="60">
        <f t="shared" ref="BE26:BF26" si="269">BE13/BE$11</f>
        <v>-0.13997532835062768</v>
      </c>
      <c r="BF26" s="60">
        <f t="shared" si="269"/>
        <v>-0.2323247566588697</v>
      </c>
      <c r="BG26" s="60">
        <f t="shared" ref="BG26:BH26" si="270">BG13/BG$11</f>
        <v>-0.18317205926821892</v>
      </c>
      <c r="BH26" s="60">
        <f t="shared" si="270"/>
        <v>-0.26053784559601151</v>
      </c>
      <c r="BI26" s="60">
        <f t="shared" ref="BI26:BJ26" si="271">BI13/BI$11</f>
        <v>-0.30495242742132228</v>
      </c>
      <c r="BJ26" s="60">
        <f t="shared" si="271"/>
        <v>-0.41541854268124601</v>
      </c>
      <c r="BK26" s="60">
        <f t="shared" ref="BK26:BL26" si="272">BK13/BK$11</f>
        <v>-1.2746647069630719</v>
      </c>
      <c r="BL26" s="60">
        <f t="shared" si="272"/>
        <v>-0.3260049985173889</v>
      </c>
      <c r="BM26" s="61">
        <v>0</v>
      </c>
      <c r="BN26" s="61">
        <v>0</v>
      </c>
      <c r="BO26" s="61">
        <v>0</v>
      </c>
      <c r="BP26" s="61">
        <v>0</v>
      </c>
      <c r="BQ26" s="61">
        <v>0</v>
      </c>
      <c r="BR26" s="61">
        <v>0</v>
      </c>
      <c r="BS26" s="61">
        <v>0</v>
      </c>
      <c r="BT26" s="61">
        <v>0</v>
      </c>
      <c r="BU26" s="61">
        <v>0</v>
      </c>
      <c r="BV26" s="61">
        <v>0</v>
      </c>
      <c r="BW26" s="61">
        <v>0</v>
      </c>
      <c r="BX26" s="61">
        <v>0</v>
      </c>
      <c r="BY26" s="61">
        <v>0</v>
      </c>
      <c r="BZ26" s="61">
        <v>0</v>
      </c>
      <c r="CA26" s="61">
        <v>0</v>
      </c>
      <c r="CB26" s="61">
        <v>0</v>
      </c>
      <c r="CC26" s="61">
        <v>0</v>
      </c>
      <c r="CD26" s="61">
        <v>0</v>
      </c>
      <c r="CE26" s="61">
        <v>0</v>
      </c>
      <c r="CF26" s="61">
        <v>0</v>
      </c>
      <c r="CG26" s="61">
        <v>0</v>
      </c>
      <c r="CH26" s="61"/>
    </row>
  </sheetData>
  <pageMargins left="0.7" right="0.7" top="0.75" bottom="0.75" header="0.3" footer="0.3"/>
  <pageSetup orientation="portrait" r:id="rId1"/>
  <customProperties>
    <customPr name="Qube.Worksheet.Visibility" r:id="rId2"/>
  </customProperties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C28"/>
  <sheetViews>
    <sheetView workbookViewId="0">
      <pane xSplit="1" ySplit="1" topLeftCell="BB2" activePane="bottomRight" state="frozen"/>
      <selection pane="topRight" activeCell="B1" sqref="B1"/>
      <selection pane="bottomLeft" activeCell="A3" sqref="A3"/>
      <selection pane="bottomRight" activeCell="BK50" sqref="BK50"/>
    </sheetView>
  </sheetViews>
  <sheetFormatPr defaultRowHeight="12" outlineLevelRow="1" outlineLevelCol="1" x14ac:dyDescent="0.2"/>
  <cols>
    <col min="1" max="1" width="42.28515625" style="1" customWidth="1"/>
    <col min="2" max="37" width="9.5703125" style="1" hidden="1" customWidth="1" outlineLevel="1"/>
    <col min="38" max="38" width="9.5703125" style="1" hidden="1" customWidth="1" outlineLevel="1" collapsed="1"/>
    <col min="39" max="53" width="9.5703125" style="1" hidden="1" customWidth="1" outlineLevel="1"/>
    <col min="54" max="54" width="9.5703125" style="1" customWidth="1" collapsed="1"/>
    <col min="55" max="73" width="9.5703125" style="1" customWidth="1"/>
    <col min="74" max="85" width="9.5703125" style="1" hidden="1" customWidth="1" outlineLevel="1"/>
    <col min="86" max="86" width="9.5703125" style="1" customWidth="1" collapsed="1"/>
    <col min="87" max="99" width="9.5703125" style="1" hidden="1" customWidth="1" outlineLevel="1"/>
    <col min="100" max="100" width="9.5703125" style="1" customWidth="1" collapsed="1"/>
    <col min="101" max="107" width="9.5703125" style="1" customWidth="1"/>
    <col min="108" max="16384" width="9.140625" style="1"/>
  </cols>
  <sheetData>
    <row r="1" spans="1:107" s="2" customFormat="1" ht="43.5" customHeight="1" x14ac:dyDescent="0.2">
      <c r="B1" s="3" t="str">
        <f>'Income Statement'!B1</f>
        <v>1Q10</v>
      </c>
      <c r="C1" s="3" t="str">
        <f>'Income Statement'!C1</f>
        <v>2Q10</v>
      </c>
      <c r="D1" s="3" t="str">
        <f>'Income Statement'!D1</f>
        <v>3Q10</v>
      </c>
      <c r="E1" s="3" t="str">
        <f>'Income Statement'!E1</f>
        <v>4Q10</v>
      </c>
      <c r="F1" s="3" t="str">
        <f>'Income Statement'!F1</f>
        <v>1Q11</v>
      </c>
      <c r="G1" s="3" t="str">
        <f>'Income Statement'!G1</f>
        <v>2Q11</v>
      </c>
      <c r="H1" s="3" t="str">
        <f>'Income Statement'!H1</f>
        <v>3Q11</v>
      </c>
      <c r="I1" s="3" t="str">
        <f>'Income Statement'!I1</f>
        <v>4Q11</v>
      </c>
      <c r="J1" s="3" t="str">
        <f>'Income Statement'!J1</f>
        <v>1Q12</v>
      </c>
      <c r="K1" s="3" t="str">
        <f>'Income Statement'!K1</f>
        <v>2Q12</v>
      </c>
      <c r="L1" s="3" t="str">
        <f>'Income Statement'!L1</f>
        <v>3Q12</v>
      </c>
      <c r="M1" s="3" t="str">
        <f>'Income Statement'!M1</f>
        <v>4Q12</v>
      </c>
      <c r="N1" s="3" t="str">
        <f>'Income Statement'!N1</f>
        <v>1Q13</v>
      </c>
      <c r="O1" s="3" t="str">
        <f>'Income Statement'!O1</f>
        <v>2Q13</v>
      </c>
      <c r="P1" s="3" t="str">
        <f>'Income Statement'!P1</f>
        <v>3Q13</v>
      </c>
      <c r="Q1" s="3" t="str">
        <f>'Income Statement'!Q1</f>
        <v>4Q13</v>
      </c>
      <c r="R1" s="3" t="str">
        <f>'Income Statement'!R1</f>
        <v>1Q14</v>
      </c>
      <c r="S1" s="3" t="str">
        <f>'Income Statement'!S1</f>
        <v>2Q14</v>
      </c>
      <c r="T1" s="3" t="str">
        <f>'Income Statement'!T1</f>
        <v>3Q14</v>
      </c>
      <c r="U1" s="3" t="str">
        <f>'Income Statement'!U1</f>
        <v>4Q14</v>
      </c>
      <c r="V1" s="3" t="str">
        <f>'Income Statement'!V1</f>
        <v>1Q15</v>
      </c>
      <c r="W1" s="3" t="str">
        <f>'Income Statement'!W1</f>
        <v>2Q15</v>
      </c>
      <c r="X1" s="3" t="str">
        <f>'Income Statement'!X1</f>
        <v>3Q15</v>
      </c>
      <c r="Y1" s="3" t="str">
        <f>'Income Statement'!Y1</f>
        <v>4Q15</v>
      </c>
      <c r="Z1" s="3" t="str">
        <f>'Income Statement'!Z1</f>
        <v>1Q16</v>
      </c>
      <c r="AA1" s="3" t="str">
        <f>'Income Statement'!AA1</f>
        <v>2Q16</v>
      </c>
      <c r="AB1" s="3" t="str">
        <f>'Income Statement'!AB1</f>
        <v>3Q16</v>
      </c>
      <c r="AC1" s="3" t="str">
        <f>'Income Statement'!AC1</f>
        <v>4Q16</v>
      </c>
      <c r="AD1" s="3" t="str">
        <f>'Income Statement'!AD1</f>
        <v>1Q17</v>
      </c>
      <c r="AE1" s="3" t="str">
        <f>'Income Statement'!AE1</f>
        <v>2Q17</v>
      </c>
      <c r="AF1" s="3" t="str">
        <f>'Income Statement'!AF1</f>
        <v>3Q17</v>
      </c>
      <c r="AG1" s="3" t="str">
        <f>'Income Statement'!AG1</f>
        <v>4Q17</v>
      </c>
      <c r="AH1" s="3" t="str">
        <f>'Income Statement'!AH1</f>
        <v>1Q18</v>
      </c>
      <c r="AI1" s="3" t="str">
        <f>'Income Statement'!AI1</f>
        <v>2Q18</v>
      </c>
      <c r="AJ1" s="3" t="str">
        <f>'Income Statement'!AJ1</f>
        <v>3Q18</v>
      </c>
      <c r="AK1" s="3" t="str">
        <f>'Income Statement'!AK1</f>
        <v>4Q18</v>
      </c>
      <c r="AL1" s="3" t="str">
        <f>'Income Statement'!AL1</f>
        <v>1Q19</v>
      </c>
      <c r="AM1" s="3" t="str">
        <f>'Income Statement'!AM1</f>
        <v>2Q19</v>
      </c>
      <c r="AN1" s="3" t="str">
        <f>'Income Statement'!AN1</f>
        <v>3Q19</v>
      </c>
      <c r="AO1" s="3" t="str">
        <f>'Income Statement'!AO1</f>
        <v>4Q19</v>
      </c>
      <c r="AP1" s="3" t="str">
        <f>'Income Statement'!AP1</f>
        <v>1Q20</v>
      </c>
      <c r="AQ1" s="3" t="str">
        <f>'Income Statement'!AQ1</f>
        <v>2Q20</v>
      </c>
      <c r="AR1" s="3" t="str">
        <f>'Income Statement'!AR1</f>
        <v>3Q20</v>
      </c>
      <c r="AS1" s="3" t="str">
        <f>'Income Statement'!AS1</f>
        <v>4Q20</v>
      </c>
      <c r="AT1" s="3" t="str">
        <f>'Income Statement'!AT1</f>
        <v>1Q21</v>
      </c>
      <c r="AU1" s="3" t="str">
        <f>'Income Statement'!AU1</f>
        <v>2Q21</v>
      </c>
      <c r="AV1" s="3" t="str">
        <f>'Income Statement'!AV1</f>
        <v>3Q21</v>
      </c>
      <c r="AW1" s="3" t="str">
        <f>'Income Statement'!AW1</f>
        <v>4Q21</v>
      </c>
      <c r="AX1" s="3" t="str">
        <f>'Income Statement'!AX1</f>
        <v>1Q22</v>
      </c>
      <c r="AY1" s="3" t="str">
        <f>'Income Statement'!AY1</f>
        <v>2Q22</v>
      </c>
      <c r="AZ1" s="3" t="str">
        <f>'Income Statement'!AZ1</f>
        <v>3Q22</v>
      </c>
      <c r="BA1" s="3" t="str">
        <f>'Income Statement'!BA1</f>
        <v>4Q22</v>
      </c>
      <c r="BB1" s="3" t="str">
        <f>'Income Statement'!BB1</f>
        <v>1Q23</v>
      </c>
      <c r="BC1" s="3" t="str">
        <f>'Income Statement'!BC1</f>
        <v>2Q23</v>
      </c>
      <c r="BD1" s="3" t="str">
        <f>'Income Statement'!BD1</f>
        <v>3Q23</v>
      </c>
      <c r="BE1" s="3" t="str">
        <f>'Income Statement'!BE1</f>
        <v>4Q23</v>
      </c>
      <c r="BF1" s="3" t="str">
        <f>'Income Statement'!BF1</f>
        <v>1Q24</v>
      </c>
      <c r="BG1" s="3" t="str">
        <f>'Income Statement'!BG1</f>
        <v>2Q24</v>
      </c>
      <c r="BH1" s="3" t="str">
        <f>'Income Statement'!BH1</f>
        <v>3Q24</v>
      </c>
      <c r="BI1" s="3" t="str">
        <f>'Income Statement'!BI1</f>
        <v>4Q24</v>
      </c>
      <c r="BJ1" s="3" t="str">
        <f>'Income Statement'!BJ1</f>
        <v>1Q25</v>
      </c>
      <c r="BK1" s="3" t="str">
        <f>'Income Statement'!BK1</f>
        <v>2Q25</v>
      </c>
      <c r="BL1" s="3" t="str">
        <f>'Income Statement'!BL1</f>
        <v>3Q25</v>
      </c>
      <c r="BM1" s="3" t="str">
        <f>'Income Statement'!BM1</f>
        <v>4Q25E</v>
      </c>
      <c r="BN1" s="3" t="str">
        <f>'Income Statement'!BN1</f>
        <v>1Q26E</v>
      </c>
      <c r="BO1" s="3" t="str">
        <f>'Income Statement'!BO1</f>
        <v>2Q26E</v>
      </c>
      <c r="BP1" s="3" t="str">
        <f>'Income Statement'!BP1</f>
        <v>3Q26E</v>
      </c>
      <c r="BQ1" s="3" t="str">
        <f>'Income Statement'!BQ1</f>
        <v>4Q26E</v>
      </c>
      <c r="BR1" s="3" t="str">
        <f>'Income Statement'!BR1</f>
        <v>1Q27E</v>
      </c>
      <c r="BS1" s="3" t="str">
        <f>'Income Statement'!BS1</f>
        <v>2Q27E</v>
      </c>
      <c r="BT1" s="3" t="str">
        <f>'Income Statement'!BT1</f>
        <v>3Q27E</v>
      </c>
      <c r="BU1" s="3" t="str">
        <f>'Income Statement'!BU1</f>
        <v>4Q27E</v>
      </c>
      <c r="BV1" s="3" t="str">
        <f>'Income Statement'!BV1</f>
        <v>1Q28E</v>
      </c>
      <c r="BW1" s="3" t="str">
        <f>'Income Statement'!BW1</f>
        <v>2Q28E</v>
      </c>
      <c r="BX1" s="3" t="str">
        <f>'Income Statement'!BX1</f>
        <v>3Q28E</v>
      </c>
      <c r="BY1" s="3" t="str">
        <f>'Income Statement'!BY1</f>
        <v>4Q28E</v>
      </c>
      <c r="BZ1" s="3" t="str">
        <f>'Income Statement'!BZ1</f>
        <v>1Q29E</v>
      </c>
      <c r="CA1" s="3" t="str">
        <f>'Income Statement'!CA1</f>
        <v>2Q29E</v>
      </c>
      <c r="CB1" s="3" t="str">
        <f>'Income Statement'!CB1</f>
        <v>3Q29E</v>
      </c>
      <c r="CC1" s="3" t="str">
        <f>'Income Statement'!CC1</f>
        <v>4Q29E</v>
      </c>
      <c r="CD1" s="3" t="str">
        <f>'Income Statement'!CD1</f>
        <v>1Q30E</v>
      </c>
      <c r="CE1" s="3" t="str">
        <f>'Income Statement'!CE1</f>
        <v>2Q30E</v>
      </c>
      <c r="CF1" s="3" t="str">
        <f>'Income Statement'!CF1</f>
        <v>3Q30E</v>
      </c>
      <c r="CG1" s="3" t="str">
        <f>'Income Statement'!CG1</f>
        <v>4Q30E</v>
      </c>
      <c r="CH1" s="256"/>
      <c r="CI1" s="88">
        <f>'Income Statement'!CI1</f>
        <v>2010</v>
      </c>
      <c r="CJ1" s="88">
        <f>'Income Statement'!CJ1</f>
        <v>2011</v>
      </c>
      <c r="CK1" s="88">
        <f>'Income Statement'!CK1</f>
        <v>2012</v>
      </c>
      <c r="CL1" s="88">
        <f>'Income Statement'!CL1</f>
        <v>2013</v>
      </c>
      <c r="CM1" s="88">
        <f>'Income Statement'!CM1</f>
        <v>2014</v>
      </c>
      <c r="CN1" s="88">
        <f>'Income Statement'!CN1</f>
        <v>2015</v>
      </c>
      <c r="CO1" s="88">
        <f>'Income Statement'!CO1</f>
        <v>2016</v>
      </c>
      <c r="CP1" s="88">
        <f>'Income Statement'!CP1</f>
        <v>2017</v>
      </c>
      <c r="CQ1" s="88">
        <f>'Income Statement'!CQ1</f>
        <v>2018</v>
      </c>
      <c r="CR1" s="88">
        <f>'Income Statement'!CR1</f>
        <v>2019</v>
      </c>
      <c r="CS1" s="88">
        <f>'Income Statement'!CS1</f>
        <v>2020</v>
      </c>
      <c r="CT1" s="88">
        <f>'Income Statement'!CT1</f>
        <v>2021</v>
      </c>
      <c r="CU1" s="88">
        <f>'Income Statement'!CU1</f>
        <v>2022</v>
      </c>
      <c r="CV1" s="88">
        <f>'Income Statement'!CV1</f>
        <v>2023</v>
      </c>
      <c r="CW1" s="88">
        <f>'Income Statement'!CW1</f>
        <v>2024</v>
      </c>
      <c r="CX1" s="88" t="str">
        <f>'Income Statement'!CX1</f>
        <v>2025E</v>
      </c>
      <c r="CY1" s="88" t="str">
        <f>'Income Statement'!CY1</f>
        <v>2026E</v>
      </c>
      <c r="CZ1" s="88" t="str">
        <f>'Income Statement'!CZ1</f>
        <v>2027E</v>
      </c>
      <c r="DA1" s="88" t="str">
        <f>'Income Statement'!DA1</f>
        <v>2028E</v>
      </c>
      <c r="DB1" s="88" t="str">
        <f>'Income Statement'!DB1</f>
        <v>2029E</v>
      </c>
      <c r="DC1" s="88" t="str">
        <f>'Income Statement'!DC1</f>
        <v>2030E</v>
      </c>
    </row>
    <row r="2" spans="1:107" x14ac:dyDescent="0.2">
      <c r="A2" s="1" t="s">
        <v>322</v>
      </c>
      <c r="B2" s="231">
        <v>635.54399999999998</v>
      </c>
      <c r="C2" s="75">
        <f>B5</f>
        <v>12730.96</v>
      </c>
      <c r="D2" s="75">
        <f t="shared" ref="D2:AT2" si="0">C5</f>
        <v>12744.52</v>
      </c>
      <c r="E2" s="75">
        <f t="shared" si="0"/>
        <v>12769.359999999999</v>
      </c>
      <c r="F2" s="75">
        <f t="shared" si="0"/>
        <v>12852.039999999999</v>
      </c>
      <c r="G2" s="75">
        <f t="shared" si="0"/>
        <v>12885.08</v>
      </c>
      <c r="H2" s="75">
        <f t="shared" si="0"/>
        <v>12906.720000000001</v>
      </c>
      <c r="I2" s="75">
        <f t="shared" si="0"/>
        <v>12950.28</v>
      </c>
      <c r="J2" s="75">
        <f t="shared" si="0"/>
        <v>12995.8</v>
      </c>
      <c r="K2" s="75">
        <f t="shared" si="0"/>
        <v>13036.24</v>
      </c>
      <c r="L2" s="75">
        <f t="shared" si="0"/>
        <v>13077.76</v>
      </c>
      <c r="M2" s="75">
        <f t="shared" si="0"/>
        <v>13142.080000000002</v>
      </c>
      <c r="N2" s="75">
        <f t="shared" si="0"/>
        <v>13199.16</v>
      </c>
      <c r="O2" s="75">
        <f t="shared" si="0"/>
        <v>13240.32</v>
      </c>
      <c r="P2" s="75">
        <f t="shared" si="0"/>
        <v>13325.36</v>
      </c>
      <c r="Q2" s="75">
        <f t="shared" si="0"/>
        <v>13366.279999999999</v>
      </c>
      <c r="R2" s="75">
        <f t="shared" si="0"/>
        <v>13433.279999999999</v>
      </c>
      <c r="S2" s="75">
        <f t="shared" si="0"/>
        <v>13489.24</v>
      </c>
      <c r="T2" s="75">
        <f t="shared" si="0"/>
        <v>13512.1</v>
      </c>
      <c r="U2" s="75">
        <f t="shared" si="0"/>
        <v>13565.54</v>
      </c>
      <c r="V2" s="75">
        <f t="shared" si="0"/>
        <v>13603.44</v>
      </c>
      <c r="W2" s="75">
        <f t="shared" si="0"/>
        <v>13646.6</v>
      </c>
      <c r="X2" s="75">
        <f t="shared" si="0"/>
        <v>13709.8</v>
      </c>
      <c r="Y2" s="75">
        <f t="shared" si="0"/>
        <v>13753.86</v>
      </c>
      <c r="Z2" s="75">
        <f t="shared" si="0"/>
        <v>13746.96</v>
      </c>
      <c r="AA2" s="75">
        <f t="shared" si="0"/>
        <v>13735.84</v>
      </c>
      <c r="AB2" s="75">
        <f t="shared" si="0"/>
        <v>13735.560000000001</v>
      </c>
      <c r="AC2" s="75">
        <f t="shared" si="0"/>
        <v>13782.72</v>
      </c>
      <c r="AD2" s="75">
        <f t="shared" si="0"/>
        <v>13825.86</v>
      </c>
      <c r="AE2" s="75">
        <f t="shared" si="0"/>
        <v>13834.98</v>
      </c>
      <c r="AF2" s="75">
        <f t="shared" si="0"/>
        <v>13857.58</v>
      </c>
      <c r="AG2" s="75">
        <f t="shared" si="0"/>
        <v>13896.04</v>
      </c>
      <c r="AH2" s="75">
        <f t="shared" si="0"/>
        <v>13905.96</v>
      </c>
      <c r="AI2" s="75">
        <f t="shared" si="0"/>
        <v>13890.98</v>
      </c>
      <c r="AJ2" s="75">
        <f t="shared" si="0"/>
        <v>13913.56</v>
      </c>
      <c r="AK2" s="75">
        <f t="shared" si="0"/>
        <v>13909.32</v>
      </c>
      <c r="AL2" s="75">
        <f t="shared" si="0"/>
        <v>13903.720000000001</v>
      </c>
      <c r="AM2" s="75">
        <f t="shared" si="0"/>
        <v>13884.880000000001</v>
      </c>
      <c r="AN2" s="75">
        <f t="shared" si="0"/>
        <v>13867.960000000001</v>
      </c>
      <c r="AO2" s="75">
        <f t="shared" si="0"/>
        <v>13793.74</v>
      </c>
      <c r="AP2" s="75">
        <f t="shared" si="0"/>
        <v>13745.72</v>
      </c>
      <c r="AQ2" s="75">
        <f t="shared" si="0"/>
        <v>13652.4</v>
      </c>
      <c r="AR2" s="75">
        <f t="shared" si="0"/>
        <v>13603.279999999999</v>
      </c>
      <c r="AS2" s="75">
        <f t="shared" si="0"/>
        <v>13528.52</v>
      </c>
      <c r="AT2" s="75">
        <f t="shared" si="0"/>
        <v>13482.7333</v>
      </c>
      <c r="AU2" s="75">
        <f>AT5</f>
        <v>13403.275859999998</v>
      </c>
      <c r="AV2" s="75">
        <f t="shared" ref="AV2:BQ2" si="1">AU5</f>
        <v>13392.147934711225</v>
      </c>
      <c r="AW2" s="75">
        <f t="shared" si="1"/>
        <v>13275.27988</v>
      </c>
      <c r="AX2" s="75">
        <f t="shared" si="1"/>
        <v>13219.42642</v>
      </c>
      <c r="AY2" s="75">
        <f t="shared" si="1"/>
        <v>13169.99754</v>
      </c>
      <c r="AZ2" s="75">
        <f t="shared" si="1"/>
        <v>13044</v>
      </c>
      <c r="BA2" s="75">
        <f t="shared" si="1"/>
        <v>12943</v>
      </c>
      <c r="BB2" s="75">
        <f t="shared" si="1"/>
        <v>12807</v>
      </c>
      <c r="BC2" s="75">
        <f t="shared" si="1"/>
        <v>12697</v>
      </c>
      <c r="BD2" s="75">
        <f t="shared" si="1"/>
        <v>12609</v>
      </c>
      <c r="BE2" s="75">
        <f t="shared" si="1"/>
        <v>12516</v>
      </c>
      <c r="BF2" s="75">
        <f t="shared" si="1"/>
        <v>12433</v>
      </c>
      <c r="BG2" s="75">
        <f t="shared" si="1"/>
        <v>12358</v>
      </c>
      <c r="BH2" s="75">
        <f t="shared" si="1"/>
        <v>12310</v>
      </c>
      <c r="BI2" s="75">
        <f t="shared" si="1"/>
        <v>12241</v>
      </c>
      <c r="BJ2" s="75">
        <f t="shared" si="1"/>
        <v>12190</v>
      </c>
      <c r="BK2" s="75">
        <f t="shared" si="1"/>
        <v>12135</v>
      </c>
      <c r="BL2" s="75">
        <f t="shared" si="1"/>
        <v>12094</v>
      </c>
      <c r="BM2" s="75">
        <f t="shared" si="1"/>
        <v>12069</v>
      </c>
      <c r="BN2" s="75">
        <f t="shared" si="1"/>
        <v>12040.324087263771</v>
      </c>
      <c r="BO2" s="75">
        <f t="shared" si="1"/>
        <v>12010.38196578637</v>
      </c>
      <c r="BP2" s="75">
        <f t="shared" si="1"/>
        <v>11983.326169548609</v>
      </c>
      <c r="BQ2" s="75">
        <f t="shared" si="1"/>
        <v>11958.523604877273</v>
      </c>
      <c r="BR2" s="75">
        <f>BQ5</f>
        <v>11934.247020053155</v>
      </c>
      <c r="BS2" s="75">
        <f t="shared" ref="BS2" si="2">BR5</f>
        <v>11909.218371389066</v>
      </c>
      <c r="BT2" s="75">
        <f t="shared" ref="BT2" si="3">BS5</f>
        <v>11939.163637256959</v>
      </c>
      <c r="BU2" s="75">
        <f t="shared" ref="BU2" si="4">BT5</f>
        <v>11970.422906573031</v>
      </c>
      <c r="BV2" s="75">
        <f t="shared" ref="BV2" si="5">BU5</f>
        <v>12001.268891397431</v>
      </c>
      <c r="BW2" s="75">
        <f t="shared" ref="BW2" si="6">BV5</f>
        <v>12029.539287375179</v>
      </c>
      <c r="BX2" s="75">
        <f t="shared" ref="BX2" si="7">BW5</f>
        <v>12059.20469094524</v>
      </c>
      <c r="BY2" s="75">
        <f t="shared" ref="BY2" si="8">BX5</f>
        <v>12090.171817557422</v>
      </c>
      <c r="BZ2" s="75">
        <f t="shared" ref="BZ2" si="9">BY5</f>
        <v>12120.729522149819</v>
      </c>
      <c r="CA2" s="75">
        <f t="shared" ref="CA2" si="10">BZ5</f>
        <v>12148.735708819364</v>
      </c>
      <c r="CB2" s="75">
        <f t="shared" ref="CB2" si="11">CA5</f>
        <v>12177.846618864751</v>
      </c>
      <c r="CC2" s="75">
        <f t="shared" ref="CC2" si="12">CB5</f>
        <v>12208.234920680443</v>
      </c>
      <c r="CD2" s="75">
        <f t="shared" ref="CD2" si="13">CC5</f>
        <v>12238.221453224383</v>
      </c>
      <c r="CE2" s="75">
        <f t="shared" ref="CE2" si="14">CD5</f>
        <v>12265.704159769264</v>
      </c>
      <c r="CF2" s="75">
        <f t="shared" ref="CF2" si="15">CE5</f>
        <v>12294.270940654924</v>
      </c>
      <c r="CG2" s="75">
        <f t="shared" ref="CG2" si="16">CF5</f>
        <v>12324.091236829201</v>
      </c>
      <c r="CH2" s="75"/>
      <c r="CI2" s="126">
        <f>B2</f>
        <v>635.54399999999998</v>
      </c>
      <c r="CJ2" s="126">
        <f>F2</f>
        <v>12852.039999999999</v>
      </c>
      <c r="CK2" s="126">
        <f>J2</f>
        <v>12995.8</v>
      </c>
      <c r="CL2" s="126">
        <f>N2</f>
        <v>13199.16</v>
      </c>
      <c r="CM2" s="126">
        <f>R2</f>
        <v>13433.279999999999</v>
      </c>
      <c r="CN2" s="126">
        <f>V2</f>
        <v>13603.44</v>
      </c>
      <c r="CO2" s="126">
        <f>Z2</f>
        <v>13746.96</v>
      </c>
      <c r="CP2" s="126">
        <f>AD2</f>
        <v>13825.86</v>
      </c>
      <c r="CQ2" s="126">
        <f>AH2</f>
        <v>13905.96</v>
      </c>
      <c r="CR2" s="126">
        <f>AL2</f>
        <v>13903.720000000001</v>
      </c>
      <c r="CS2" s="126">
        <f>AP2</f>
        <v>13745.72</v>
      </c>
      <c r="CT2" s="126">
        <f>AT2</f>
        <v>13482.7333</v>
      </c>
      <c r="CU2" s="126">
        <f>AX2</f>
        <v>13219.42642</v>
      </c>
      <c r="CV2" s="126">
        <f>BB2</f>
        <v>12807</v>
      </c>
      <c r="CW2" s="126">
        <f>BF2</f>
        <v>12433</v>
      </c>
      <c r="CX2" s="126">
        <f>BJ2</f>
        <v>12190</v>
      </c>
      <c r="CY2" s="126">
        <f>BN2</f>
        <v>12040.324087263771</v>
      </c>
      <c r="CZ2" s="126">
        <f>BR2</f>
        <v>11934.247020053155</v>
      </c>
      <c r="DA2" s="126">
        <f>BV2</f>
        <v>12001.268891397431</v>
      </c>
      <c r="DB2" s="126">
        <f>BZ2</f>
        <v>12120.729522149819</v>
      </c>
      <c r="DC2" s="126">
        <f>CD2</f>
        <v>12238.221453224383</v>
      </c>
    </row>
    <row r="3" spans="1:107" x14ac:dyDescent="0.2">
      <c r="A3" s="1" t="s">
        <v>323</v>
      </c>
      <c r="B3" s="364">
        <f>B5-B4-B2</f>
        <v>12095.415999999999</v>
      </c>
      <c r="C3" s="364">
        <f t="shared" ref="C3:AT3" si="17">C5-C4-C2</f>
        <v>13.56000000000131</v>
      </c>
      <c r="D3" s="364">
        <f t="shared" si="17"/>
        <v>24.839999999998327</v>
      </c>
      <c r="E3" s="364">
        <f t="shared" si="17"/>
        <v>82.680000000000291</v>
      </c>
      <c r="F3" s="364">
        <f t="shared" si="17"/>
        <v>33.040000000000873</v>
      </c>
      <c r="G3" s="364">
        <f t="shared" si="17"/>
        <v>21.640000000001237</v>
      </c>
      <c r="H3" s="364">
        <f t="shared" si="17"/>
        <v>43.559999999999491</v>
      </c>
      <c r="I3" s="364">
        <f t="shared" si="17"/>
        <v>45.519999999998618</v>
      </c>
      <c r="J3" s="364">
        <f t="shared" si="17"/>
        <v>40.440000000000509</v>
      </c>
      <c r="K3" s="364">
        <f t="shared" si="17"/>
        <v>41.520000000000437</v>
      </c>
      <c r="L3" s="364">
        <f t="shared" si="17"/>
        <v>64.320000000001528</v>
      </c>
      <c r="M3" s="364">
        <f t="shared" si="17"/>
        <v>57.079999999998108</v>
      </c>
      <c r="N3" s="364">
        <f t="shared" si="17"/>
        <v>41.159999999999854</v>
      </c>
      <c r="O3" s="364">
        <f t="shared" si="17"/>
        <v>85.040000000000873</v>
      </c>
      <c r="P3" s="364">
        <f t="shared" si="17"/>
        <v>40.919999999998254</v>
      </c>
      <c r="Q3" s="364">
        <f t="shared" si="17"/>
        <v>67</v>
      </c>
      <c r="R3" s="364">
        <f t="shared" si="17"/>
        <v>55.960000000000946</v>
      </c>
      <c r="S3" s="364">
        <f t="shared" si="17"/>
        <v>22.860000000000582</v>
      </c>
      <c r="T3" s="364">
        <f t="shared" si="17"/>
        <v>53.440000000000509</v>
      </c>
      <c r="U3" s="364">
        <f t="shared" si="17"/>
        <v>37.899999999999636</v>
      </c>
      <c r="V3" s="364">
        <f t="shared" si="17"/>
        <v>43.159999999999854</v>
      </c>
      <c r="W3" s="364">
        <f t="shared" si="17"/>
        <v>63.199999999998909</v>
      </c>
      <c r="X3" s="364">
        <f t="shared" si="17"/>
        <v>44.06000000000131</v>
      </c>
      <c r="Y3" s="364">
        <f t="shared" si="17"/>
        <v>-6.9000000000014552</v>
      </c>
      <c r="Z3" s="364">
        <f t="shared" si="17"/>
        <v>-8.2262068965501385</v>
      </c>
      <c r="AA3" s="364">
        <f t="shared" si="17"/>
        <v>1.6674969474988757</v>
      </c>
      <c r="AB3" s="364">
        <f t="shared" si="17"/>
        <v>47.159999999998035</v>
      </c>
      <c r="AC3" s="364">
        <f t="shared" si="17"/>
        <v>43.140000000001237</v>
      </c>
      <c r="AD3" s="364">
        <f t="shared" si="17"/>
        <v>10.464868735081836</v>
      </c>
      <c r="AE3" s="364">
        <f t="shared" si="17"/>
        <v>24.341657696448237</v>
      </c>
      <c r="AF3" s="364">
        <f t="shared" si="17"/>
        <v>38.460000000000946</v>
      </c>
      <c r="AG3" s="364">
        <f t="shared" si="17"/>
        <v>11.953881897385145</v>
      </c>
      <c r="AH3" s="364">
        <f t="shared" si="17"/>
        <v>-13.004545454545223</v>
      </c>
      <c r="AI3" s="364">
        <f t="shared" si="17"/>
        <v>24.221600000000763</v>
      </c>
      <c r="AJ3" s="364">
        <f t="shared" si="17"/>
        <v>-2.2399999999997817</v>
      </c>
      <c r="AK3" s="364">
        <f t="shared" si="17"/>
        <v>-3.1909090909084625</v>
      </c>
      <c r="AL3" s="364">
        <f t="shared" si="17"/>
        <v>-16.319166666666206</v>
      </c>
      <c r="AM3" s="364">
        <f t="shared" si="17"/>
        <v>-13.76845814977969</v>
      </c>
      <c r="AN3" s="364">
        <f t="shared" si="17"/>
        <v>-69.66320000000087</v>
      </c>
      <c r="AO3" s="364">
        <f t="shared" si="17"/>
        <v>-43.502962962962556</v>
      </c>
      <c r="AP3" s="364">
        <f t="shared" si="17"/>
        <v>-87.460689655172246</v>
      </c>
      <c r="AQ3" s="364">
        <f t="shared" si="17"/>
        <v>-43.849230769232236</v>
      </c>
      <c r="AR3" s="364">
        <f t="shared" si="17"/>
        <v>-69.495333333332383</v>
      </c>
      <c r="AS3" s="364">
        <f t="shared" si="17"/>
        <v>-41.204671014493215</v>
      </c>
      <c r="AT3" s="364">
        <f t="shared" si="17"/>
        <v>-73.699421812902074</v>
      </c>
      <c r="AU3" s="364">
        <f t="shared" ref="AU3:BD3" si="18">AU5-AU4-AU2</f>
        <v>-5.7596631936048652</v>
      </c>
      <c r="AV3" s="364">
        <f t="shared" si="18"/>
        <v>-112.23451321951507</v>
      </c>
      <c r="AW3" s="364">
        <f t="shared" si="18"/>
        <v>-51.176139675713785</v>
      </c>
      <c r="AX3" s="364">
        <f t="shared" si="18"/>
        <v>63.541475899091893</v>
      </c>
      <c r="AY3" s="364">
        <f t="shared" si="18"/>
        <v>2.711142791866223</v>
      </c>
      <c r="AZ3" s="364">
        <f t="shared" si="18"/>
        <v>37.842600447216682</v>
      </c>
      <c r="BA3" s="364">
        <f t="shared" si="18"/>
        <v>26.104027579358444</v>
      </c>
      <c r="BB3" s="364">
        <f t="shared" si="18"/>
        <v>41.928320803664974</v>
      </c>
      <c r="BC3" s="364">
        <f t="shared" si="18"/>
        <v>42.253311418349767</v>
      </c>
      <c r="BD3" s="364">
        <f t="shared" si="18"/>
        <v>29.180280876016695</v>
      </c>
      <c r="BE3" s="364">
        <f t="shared" ref="BE3:BF3" si="19">BE5-BE4-BE2</f>
        <v>37.557539529030691</v>
      </c>
      <c r="BF3" s="364">
        <f t="shared" si="19"/>
        <v>34.762175861620563</v>
      </c>
      <c r="BG3" s="364">
        <f t="shared" ref="BG3:BH3" si="20">BG5-BG4-BG2</f>
        <v>45.041729285076144</v>
      </c>
      <c r="BH3" s="364">
        <f t="shared" si="20"/>
        <v>22.158511877982164</v>
      </c>
      <c r="BI3" s="364">
        <f t="shared" ref="BI3:BJ3" si="21">BI5-BI4-BI2</f>
        <v>37.878410864757825</v>
      </c>
      <c r="BJ3" s="364">
        <f t="shared" si="21"/>
        <v>28.025357949685713</v>
      </c>
      <c r="BK3" s="364">
        <f t="shared" ref="BK3" si="22">BK5-BK4-BK2</f>
        <v>42.315285347038298</v>
      </c>
      <c r="BL3" s="364">
        <f t="shared" ref="BL3" si="23">BL13/BL12</f>
        <v>30.401577845709479</v>
      </c>
      <c r="BM3" s="364">
        <f t="shared" ref="BM3:BQ3" si="24">BM13/BM12</f>
        <v>29.999633049147711</v>
      </c>
      <c r="BN3" s="364">
        <f t="shared" si="24"/>
        <v>27.749293857102717</v>
      </c>
      <c r="BO3" s="364">
        <f t="shared" si="24"/>
        <v>29.667994887633732</v>
      </c>
      <c r="BP3" s="364">
        <f t="shared" si="24"/>
        <v>30.969831637218064</v>
      </c>
      <c r="BQ3" s="364">
        <f t="shared" si="24"/>
        <v>30.56037385380467</v>
      </c>
      <c r="BR3" s="364">
        <f>BR13/BR12</f>
        <v>28.008633052028902</v>
      </c>
      <c r="BS3" s="364">
        <f t="shared" ref="BS3:BU3" si="25">BS13/BS12</f>
        <v>29.945265867891983</v>
      </c>
      <c r="BT3" s="364">
        <f t="shared" si="25"/>
        <v>31.259269316070561</v>
      </c>
      <c r="BU3" s="364">
        <f t="shared" si="25"/>
        <v>30.845984824400965</v>
      </c>
      <c r="BV3" s="364">
        <f t="shared" ref="BV3:CC3" si="26">BV13/BV12</f>
        <v>28.270395977748791</v>
      </c>
      <c r="BW3" s="364">
        <f t="shared" si="26"/>
        <v>29.665403570061212</v>
      </c>
      <c r="BX3" s="364">
        <f t="shared" si="26"/>
        <v>30.967126612182046</v>
      </c>
      <c r="BY3" s="364">
        <f t="shared" si="26"/>
        <v>30.557704592397211</v>
      </c>
      <c r="BZ3" s="364">
        <f t="shared" si="26"/>
        <v>28.006186669545528</v>
      </c>
      <c r="CA3" s="364">
        <f t="shared" si="26"/>
        <v>29.110910045387168</v>
      </c>
      <c r="CB3" s="364">
        <f t="shared" si="26"/>
        <v>30.38830181569266</v>
      </c>
      <c r="CC3" s="364">
        <f t="shared" si="26"/>
        <v>29.986532543941181</v>
      </c>
      <c r="CD3" s="364">
        <f t="shared" ref="CD3:CG3" si="27">CD13/CD12</f>
        <v>27.482706544881118</v>
      </c>
      <c r="CE3" s="364">
        <f t="shared" si="27"/>
        <v>28.5667808856603</v>
      </c>
      <c r="CF3" s="364">
        <f t="shared" si="27"/>
        <v>29.820296174277839</v>
      </c>
      <c r="CG3" s="364">
        <f t="shared" si="27"/>
        <v>29.426036608540407</v>
      </c>
      <c r="CH3" s="364"/>
      <c r="CI3" s="126">
        <f t="shared" ref="CI3" si="28">SUM(B3:E3)</f>
        <v>12216.495999999999</v>
      </c>
      <c r="CJ3" s="126">
        <f t="shared" ref="CJ3:CJ4" si="29">SUM(F3:I3)</f>
        <v>143.76000000000022</v>
      </c>
      <c r="CK3" s="126">
        <f t="shared" ref="CK3:CK4" si="30">SUM(J3:M3)</f>
        <v>203.36000000000058</v>
      </c>
      <c r="CL3" s="126">
        <f t="shared" ref="CL3:CL4" si="31">SUM(N3:Q3)</f>
        <v>234.11999999999898</v>
      </c>
      <c r="CM3" s="126">
        <f t="shared" ref="CM3:CM4" si="32">SUM(R3:U3)</f>
        <v>170.16000000000167</v>
      </c>
      <c r="CN3" s="126">
        <f t="shared" ref="CN3:CN4" si="33">SUM(V3:Y3)</f>
        <v>143.51999999999862</v>
      </c>
      <c r="CO3" s="126">
        <f t="shared" ref="CO3:CO4" si="34">SUM(Z3:AC3)</f>
        <v>83.74129005094801</v>
      </c>
      <c r="CP3" s="126">
        <f t="shared" ref="CP3:CP4" si="35">SUM(AD3:AG3)</f>
        <v>85.220408328916164</v>
      </c>
      <c r="CQ3" s="126">
        <f t="shared" ref="CQ3:CQ4" si="36">SUM(AH3:AK3)</f>
        <v>5.7861454545472952</v>
      </c>
      <c r="CR3" s="126">
        <f t="shared" ref="CR3:CR4" si="37">SUM(AL3:AO3)</f>
        <v>-143.25378777940932</v>
      </c>
      <c r="CS3" s="126">
        <f t="shared" ref="CS3:CS4" si="38">SUM(AP3:AS3)</f>
        <v>-242.00992477223008</v>
      </c>
      <c r="CT3" s="126">
        <f t="shared" ref="CT3:CT4" si="39">SUM(AT3:AW3)</f>
        <v>-242.86973790173579</v>
      </c>
      <c r="CU3" s="126">
        <f t="shared" ref="CU3:CU4" si="40">SUM(AX3:BA3)</f>
        <v>130.19924671753324</v>
      </c>
      <c r="CV3" s="126">
        <f t="shared" ref="CV3:CV4" si="41">SUM(BB3:BE3)</f>
        <v>150.91945262706213</v>
      </c>
      <c r="CW3" s="126">
        <f t="shared" ref="CW3:CW4" si="42">SUM(BF3:BI3)</f>
        <v>139.8408278894367</v>
      </c>
      <c r="CX3" s="126">
        <f t="shared" ref="CX3:CX4" si="43">SUM(BJ3:BM3)</f>
        <v>130.74185419158121</v>
      </c>
      <c r="CY3" s="126">
        <f t="shared" ref="CY3:CY4" si="44">SUM(BN3:BQ3)</f>
        <v>118.94749423575919</v>
      </c>
      <c r="CZ3" s="126">
        <f>SUM(BR3:BU3)</f>
        <v>120.05915306039242</v>
      </c>
      <c r="DA3" s="126">
        <f>SUM(BV3:BY3)</f>
        <v>119.46063075238926</v>
      </c>
      <c r="DB3" s="126">
        <f>SUM(BZ3:CC3)</f>
        <v>117.49193107456654</v>
      </c>
      <c r="DC3" s="126">
        <f>SUM(CD3:CG3)</f>
        <v>115.29582021335966</v>
      </c>
    </row>
    <row r="4" spans="1:107" x14ac:dyDescent="0.2">
      <c r="A4" s="1" t="s">
        <v>324</v>
      </c>
      <c r="B4" s="369">
        <v>0</v>
      </c>
      <c r="C4" s="369">
        <v>0</v>
      </c>
      <c r="D4" s="369">
        <v>0</v>
      </c>
      <c r="E4" s="369">
        <v>0</v>
      </c>
      <c r="F4" s="369">
        <v>0</v>
      </c>
      <c r="G4" s="369">
        <v>0</v>
      </c>
      <c r="H4" s="369">
        <v>0</v>
      </c>
      <c r="I4" s="369">
        <v>0</v>
      </c>
      <c r="J4" s="369">
        <v>0</v>
      </c>
      <c r="K4" s="369">
        <v>0</v>
      </c>
      <c r="L4" s="369">
        <v>0</v>
      </c>
      <c r="M4" s="369">
        <v>0</v>
      </c>
      <c r="N4" s="369">
        <v>0</v>
      </c>
      <c r="O4" s="369">
        <v>0</v>
      </c>
      <c r="P4" s="369">
        <v>0</v>
      </c>
      <c r="Q4" s="369">
        <v>0</v>
      </c>
      <c r="R4" s="369">
        <v>0</v>
      </c>
      <c r="S4" s="369">
        <v>0</v>
      </c>
      <c r="T4" s="369">
        <v>0</v>
      </c>
      <c r="U4" s="369">
        <v>0</v>
      </c>
      <c r="V4" s="369">
        <v>0</v>
      </c>
      <c r="W4" s="369">
        <v>0</v>
      </c>
      <c r="X4" s="369">
        <v>0</v>
      </c>
      <c r="Y4" s="369">
        <v>0</v>
      </c>
      <c r="Z4" s="364">
        <f>'Cash Flow Statement'!Z37/Z12</f>
        <v>-2.8937931034482758</v>
      </c>
      <c r="AA4" s="364">
        <f>'Cash Flow Statement'!AA37/AA12</f>
        <v>-1.9474969474969475</v>
      </c>
      <c r="AB4" s="364">
        <f>'Cash Flow Statement'!AB37/AB12</f>
        <v>0</v>
      </c>
      <c r="AC4" s="364">
        <f>'Cash Flow Statement'!AC37/AC12</f>
        <v>0</v>
      </c>
      <c r="AD4" s="364">
        <f>'Cash Flow Statement'!AD37/AD12</f>
        <v>-1.3448687350835322</v>
      </c>
      <c r="AE4" s="364">
        <f>'Cash Flow Statement'!AE37/AE12</f>
        <v>-1.7416576964477932</v>
      </c>
      <c r="AF4" s="364">
        <f>'Cash Flow Statement'!AF37/AF12</f>
        <v>0</v>
      </c>
      <c r="AG4" s="364">
        <f>'Cash Flow Statement'!AG37/AG12</f>
        <v>-2.0338818973862538</v>
      </c>
      <c r="AH4" s="364">
        <f>'Cash Flow Statement'!AH37/AH12</f>
        <v>-1.9754545454545454</v>
      </c>
      <c r="AI4" s="364">
        <f>'Cash Flow Statement'!AI37/AI12</f>
        <v>-1.6415999999999999</v>
      </c>
      <c r="AJ4" s="364">
        <f>'Cash Flow Statement'!AJ37/AJ12</f>
        <v>-2</v>
      </c>
      <c r="AK4" s="364">
        <f>'Cash Flow Statement'!AK37/AK12</f>
        <v>-2.4090909090909092</v>
      </c>
      <c r="AL4" s="364">
        <f>'Cash Flow Statement'!AL37/AL12</f>
        <v>-2.5208333333333335</v>
      </c>
      <c r="AM4" s="364">
        <f>'Cash Flow Statement'!AM37/AM12</f>
        <v>-3.1515418502202643</v>
      </c>
      <c r="AN4" s="364">
        <f>'Cash Flow Statement'!AN37/AN12</f>
        <v>-4.5568</v>
      </c>
      <c r="AO4" s="364">
        <f>'Cash Flow Statement'!AO37/AO12</f>
        <v>-4.5170370370370367</v>
      </c>
      <c r="AP4" s="364">
        <f>'Cash Flow Statement'!AP37/AP12</f>
        <v>-5.8593103448275858</v>
      </c>
      <c r="AQ4" s="364">
        <f>'Cash Flow Statement'!AQ37/AQ12</f>
        <v>-5.2707692307692309</v>
      </c>
      <c r="AR4" s="364">
        <f>'Cash Flow Statement'!AR37/AR12</f>
        <v>-5.2646666666666668</v>
      </c>
      <c r="AS4" s="364">
        <f>'Cash Flow Statement'!AS37/AS12</f>
        <v>-4.5820289855072467</v>
      </c>
      <c r="AT4" s="364">
        <f>'Cash Flow Statement'!AT37/AT12</f>
        <v>-5.7580181870997267</v>
      </c>
      <c r="AU4" s="364">
        <f>'Cash Flow Statement'!AU37/AU12</f>
        <v>-5.3682620951676725</v>
      </c>
      <c r="AV4" s="364">
        <f>'Cash Flow Statement'!AV37/AV12</f>
        <v>-4.6335414917093853</v>
      </c>
      <c r="AW4" s="364">
        <f>'Cash Flow Statement'!AW37/AW12</f>
        <v>-4.6773203242866579</v>
      </c>
      <c r="AX4" s="364">
        <f>'Cash Flow Statement'!AX37/AX12</f>
        <v>-112.97035589909113</v>
      </c>
      <c r="AY4" s="364">
        <f>'Cash Flow Statement'!AY37/AY12</f>
        <v>-128.70868279186573</v>
      </c>
      <c r="AZ4" s="364">
        <f>'Cash Flow Statement'!AZ37/AZ12</f>
        <v>-138.84260044721719</v>
      </c>
      <c r="BA4" s="364">
        <f>'Cash Flow Statement'!BA37/BA12</f>
        <v>-162.10402757935896</v>
      </c>
      <c r="BB4" s="364">
        <f>'Cash Flow Statement'!BB37/BB12</f>
        <v>-151.92832080366583</v>
      </c>
      <c r="BC4" s="364">
        <f>'Cash Flow Statement'!BC37/BC12</f>
        <v>-130.25331141835053</v>
      </c>
      <c r="BD4" s="364">
        <f>'Cash Flow Statement'!BD37/BD12</f>
        <v>-122.18028087601584</v>
      </c>
      <c r="BE4" s="364">
        <f>'Cash Flow Statement'!BE37/BE12</f>
        <v>-120.55753952903137</v>
      </c>
      <c r="BF4" s="364">
        <f>'Cash Flow Statement'!BF37/BF12</f>
        <v>-109.76217586161972</v>
      </c>
      <c r="BG4" s="364">
        <f>'Cash Flow Statement'!BG37/BG12</f>
        <v>-93.04172928507667</v>
      </c>
      <c r="BH4" s="364">
        <f>'Cash Flow Statement'!BH37/BH12</f>
        <v>-91.158511877981383</v>
      </c>
      <c r="BI4" s="364">
        <f>'Cash Flow Statement'!BI37/BI12</f>
        <v>-88.878410864758493</v>
      </c>
      <c r="BJ4" s="364">
        <f>'Cash Flow Statement'!BJ37/BJ12</f>
        <v>-83.025357949685144</v>
      </c>
      <c r="BK4" s="364">
        <f>'Cash Flow Statement'!BK37/BK12</f>
        <v>-83.315285347038611</v>
      </c>
      <c r="BL4" s="364">
        <f>'Cash Flow Statement'!BL37/BL12</f>
        <v>-54.921443394635972</v>
      </c>
      <c r="BM4" s="364">
        <f>'Cash Flow Statement'!BM37/BM12</f>
        <v>-58.675545785377302</v>
      </c>
      <c r="BN4" s="364">
        <f>'Cash Flow Statement'!BN37/BN12</f>
        <v>-57.69141533450378</v>
      </c>
      <c r="BO4" s="364">
        <f>'Cash Flow Statement'!BO37/BO12</f>
        <v>-56.723791125393731</v>
      </c>
      <c r="BP4" s="364">
        <f>'Cash Flow Statement'!BP37/BP12</f>
        <v>-55.77239630855334</v>
      </c>
      <c r="BQ4" s="364">
        <f>'Cash Flow Statement'!BQ37/BQ12</f>
        <v>-54.836958677922695</v>
      </c>
      <c r="BR4" s="364">
        <f>'Cash Flow Statement'!BR37/BR12</f>
        <v>-53.03728171611651</v>
      </c>
      <c r="BS4" s="364">
        <f>'Cash Flow Statement'!BS37/BS12</f>
        <v>0</v>
      </c>
      <c r="BT4" s="364">
        <f>'Cash Flow Statement'!BT37/BT12</f>
        <v>0</v>
      </c>
      <c r="BU4" s="364">
        <f>'Cash Flow Statement'!BU37/BU12</f>
        <v>0</v>
      </c>
      <c r="BV4" s="364">
        <f>'Cash Flow Statement'!BV37/BV12</f>
        <v>0</v>
      </c>
      <c r="BW4" s="364">
        <f>'Cash Flow Statement'!BW37/BW12</f>
        <v>0</v>
      </c>
      <c r="BX4" s="364">
        <f>'Cash Flow Statement'!BX37/BX12</f>
        <v>0</v>
      </c>
      <c r="BY4" s="364">
        <f>'Cash Flow Statement'!BY37/BY12</f>
        <v>0</v>
      </c>
      <c r="BZ4" s="364">
        <f>'Cash Flow Statement'!BZ37/BZ12</f>
        <v>0</v>
      </c>
      <c r="CA4" s="364">
        <f>'Cash Flow Statement'!CA37/CA12</f>
        <v>0</v>
      </c>
      <c r="CB4" s="364">
        <f>'Cash Flow Statement'!CB37/CB12</f>
        <v>0</v>
      </c>
      <c r="CC4" s="364">
        <f>'Cash Flow Statement'!CC37/CC12</f>
        <v>0</v>
      </c>
      <c r="CD4" s="364">
        <f>'Cash Flow Statement'!CD37/CD12</f>
        <v>0</v>
      </c>
      <c r="CE4" s="364">
        <f>'Cash Flow Statement'!CE37/CE12</f>
        <v>0</v>
      </c>
      <c r="CF4" s="364">
        <f>'Cash Flow Statement'!CF37/CF12</f>
        <v>0</v>
      </c>
      <c r="CG4" s="364">
        <f>'Cash Flow Statement'!CG37/CG12</f>
        <v>0</v>
      </c>
      <c r="CH4" s="364"/>
      <c r="CI4" s="126">
        <f t="shared" ref="CI4" si="45">SUM(B4:E4)</f>
        <v>0</v>
      </c>
      <c r="CJ4" s="126">
        <f t="shared" si="29"/>
        <v>0</v>
      </c>
      <c r="CK4" s="126">
        <f t="shared" si="30"/>
        <v>0</v>
      </c>
      <c r="CL4" s="126">
        <f t="shared" si="31"/>
        <v>0</v>
      </c>
      <c r="CM4" s="126">
        <f t="shared" si="32"/>
        <v>0</v>
      </c>
      <c r="CN4" s="126">
        <f t="shared" si="33"/>
        <v>0</v>
      </c>
      <c r="CO4" s="126">
        <f t="shared" si="34"/>
        <v>-4.841290050945223</v>
      </c>
      <c r="CP4" s="126">
        <f t="shared" si="35"/>
        <v>-5.1204083289175788</v>
      </c>
      <c r="CQ4" s="126">
        <f t="shared" si="36"/>
        <v>-8.0261454545454534</v>
      </c>
      <c r="CR4" s="126">
        <f t="shared" si="37"/>
        <v>-14.746212220590634</v>
      </c>
      <c r="CS4" s="126">
        <f t="shared" si="38"/>
        <v>-20.97677522777073</v>
      </c>
      <c r="CT4" s="126">
        <f t="shared" si="39"/>
        <v>-20.437142098263443</v>
      </c>
      <c r="CU4" s="126">
        <f t="shared" si="40"/>
        <v>-542.62566671753302</v>
      </c>
      <c r="CV4" s="126">
        <f t="shared" si="41"/>
        <v>-524.91945262706349</v>
      </c>
      <c r="CW4" s="126">
        <f t="shared" si="42"/>
        <v>-382.8408278894363</v>
      </c>
      <c r="CX4" s="126">
        <f t="shared" si="43"/>
        <v>-279.93763247673706</v>
      </c>
      <c r="CY4" s="126">
        <f t="shared" si="44"/>
        <v>-225.02456144637355</v>
      </c>
      <c r="CZ4" s="126">
        <f>SUM(BR4:BU4)</f>
        <v>-53.03728171611651</v>
      </c>
      <c r="DA4" s="126">
        <f>SUM(BV4:BY4)</f>
        <v>0</v>
      </c>
      <c r="DB4" s="126">
        <f>SUM(BZ4:CC4)</f>
        <v>0</v>
      </c>
      <c r="DC4" s="126">
        <f>SUM(CD4:CG4)</f>
        <v>0</v>
      </c>
    </row>
    <row r="5" spans="1:107" x14ac:dyDescent="0.2">
      <c r="A5" s="1" t="s">
        <v>325</v>
      </c>
      <c r="B5" s="231">
        <v>12730.96</v>
      </c>
      <c r="C5" s="231">
        <v>12744.52</v>
      </c>
      <c r="D5" s="231">
        <v>12769.359999999999</v>
      </c>
      <c r="E5" s="231">
        <v>12852.039999999999</v>
      </c>
      <c r="F5" s="231">
        <v>12885.08</v>
      </c>
      <c r="G5" s="231">
        <v>12906.720000000001</v>
      </c>
      <c r="H5" s="231">
        <v>12950.28</v>
      </c>
      <c r="I5" s="231">
        <v>12995.8</v>
      </c>
      <c r="J5" s="231">
        <v>13036.24</v>
      </c>
      <c r="K5" s="231">
        <v>13077.76</v>
      </c>
      <c r="L5" s="231">
        <v>13142.080000000002</v>
      </c>
      <c r="M5" s="231">
        <v>13199.16</v>
      </c>
      <c r="N5" s="231">
        <v>13240.32</v>
      </c>
      <c r="O5" s="231">
        <v>13325.36</v>
      </c>
      <c r="P5" s="231">
        <v>13366.279999999999</v>
      </c>
      <c r="Q5" s="231">
        <v>13433.279999999999</v>
      </c>
      <c r="R5" s="231">
        <v>13489.24</v>
      </c>
      <c r="S5" s="231">
        <v>13512.1</v>
      </c>
      <c r="T5" s="231">
        <v>13565.54</v>
      </c>
      <c r="U5" s="231">
        <v>13603.44</v>
      </c>
      <c r="V5" s="231">
        <v>13646.6</v>
      </c>
      <c r="W5" s="231">
        <v>13709.8</v>
      </c>
      <c r="X5" s="231">
        <v>13753.86</v>
      </c>
      <c r="Y5" s="231">
        <v>13746.96</v>
      </c>
      <c r="Z5" s="231">
        <v>13735.84</v>
      </c>
      <c r="AA5" s="231">
        <v>13735.560000000001</v>
      </c>
      <c r="AB5" s="231">
        <v>13782.72</v>
      </c>
      <c r="AC5" s="231">
        <v>13825.86</v>
      </c>
      <c r="AD5" s="231">
        <v>13834.98</v>
      </c>
      <c r="AE5" s="231">
        <v>13857.58</v>
      </c>
      <c r="AF5" s="231">
        <v>13896.04</v>
      </c>
      <c r="AG5" s="231">
        <v>13905.96</v>
      </c>
      <c r="AH5" s="231">
        <v>13890.98</v>
      </c>
      <c r="AI5" s="231">
        <v>13913.56</v>
      </c>
      <c r="AJ5" s="231">
        <v>13909.32</v>
      </c>
      <c r="AK5" s="231">
        <v>13903.720000000001</v>
      </c>
      <c r="AL5" s="231">
        <v>13884.880000000001</v>
      </c>
      <c r="AM5" s="231">
        <v>13867.960000000001</v>
      </c>
      <c r="AN5" s="231">
        <v>13793.74</v>
      </c>
      <c r="AO5" s="231">
        <v>13745.72</v>
      </c>
      <c r="AP5" s="231">
        <v>13652.4</v>
      </c>
      <c r="AQ5" s="231">
        <v>13603.279999999999</v>
      </c>
      <c r="AR5" s="231">
        <v>13528.52</v>
      </c>
      <c r="AS5" s="231">
        <f>(300.737081+45.843112+327.556472)*20</f>
        <v>13482.7333</v>
      </c>
      <c r="AT5" s="231">
        <f>(300.746844+45.836948+323.580001)*20</f>
        <v>13403.275859999998</v>
      </c>
      <c r="AU5" s="231">
        <v>13392.147934711225</v>
      </c>
      <c r="AV5" s="231">
        <f>(300.809676+45.21654+317.737778)*20</f>
        <v>13275.27988</v>
      </c>
      <c r="AW5" s="231">
        <f>(300.754904+44.576938+315.639479)*20</f>
        <v>13219.42642</v>
      </c>
      <c r="AX5" s="231">
        <f>(300.763622+44.359838+313.376417)*20</f>
        <v>13169.99754</v>
      </c>
      <c r="AY5" s="231">
        <f>5996+885+6163</f>
        <v>13044</v>
      </c>
      <c r="AZ5" s="231">
        <f>5973+884+6086</f>
        <v>12943</v>
      </c>
      <c r="BA5" s="231">
        <f>5956+883+5968</f>
        <v>12807</v>
      </c>
      <c r="BB5" s="231">
        <f>5941+882+5874</f>
        <v>12697</v>
      </c>
      <c r="BC5" s="240">
        <f>5933+875+5801</f>
        <v>12609</v>
      </c>
      <c r="BD5" s="240">
        <f>5918+873+5725</f>
        <v>12516</v>
      </c>
      <c r="BE5" s="240">
        <f>5893+869+5671</f>
        <v>12433</v>
      </c>
      <c r="BF5" s="240">
        <f>5874+867+5617</f>
        <v>12358</v>
      </c>
      <c r="BG5" s="240">
        <f>5859+866+5585</f>
        <v>12310</v>
      </c>
      <c r="BH5" s="240">
        <f>5843+864+5534</f>
        <v>12241</v>
      </c>
      <c r="BI5" s="240">
        <f>5833+860+5497</f>
        <v>12190</v>
      </c>
      <c r="BJ5" s="240">
        <f>5820+856+5459</f>
        <v>12135</v>
      </c>
      <c r="BK5" s="240">
        <f>5817+847+5430</f>
        <v>12094</v>
      </c>
      <c r="BL5" s="232">
        <v>12069</v>
      </c>
      <c r="BM5" s="75">
        <f t="shared" ref="BM5:BQ5" si="46">SUM(BM2:BM4)</f>
        <v>12040.324087263771</v>
      </c>
      <c r="BN5" s="75">
        <f t="shared" si="46"/>
        <v>12010.38196578637</v>
      </c>
      <c r="BO5" s="75">
        <f t="shared" si="46"/>
        <v>11983.326169548609</v>
      </c>
      <c r="BP5" s="75">
        <f t="shared" si="46"/>
        <v>11958.523604877273</v>
      </c>
      <c r="BQ5" s="75">
        <f t="shared" si="46"/>
        <v>11934.247020053155</v>
      </c>
      <c r="BR5" s="75">
        <f>SUM(BR2:BR4)</f>
        <v>11909.218371389066</v>
      </c>
      <c r="BS5" s="75">
        <f t="shared" ref="BS5:BU5" si="47">SUM(BS2:BS4)</f>
        <v>11939.163637256959</v>
      </c>
      <c r="BT5" s="75">
        <f t="shared" si="47"/>
        <v>11970.422906573031</v>
      </c>
      <c r="BU5" s="75">
        <f t="shared" si="47"/>
        <v>12001.268891397431</v>
      </c>
      <c r="BV5" s="75">
        <f t="shared" ref="BV5:CC5" si="48">SUM(BV2:BV4)</f>
        <v>12029.539287375179</v>
      </c>
      <c r="BW5" s="75">
        <f t="shared" si="48"/>
        <v>12059.20469094524</v>
      </c>
      <c r="BX5" s="75">
        <f t="shared" si="48"/>
        <v>12090.171817557422</v>
      </c>
      <c r="BY5" s="75">
        <f t="shared" si="48"/>
        <v>12120.729522149819</v>
      </c>
      <c r="BZ5" s="75">
        <f t="shared" si="48"/>
        <v>12148.735708819364</v>
      </c>
      <c r="CA5" s="75">
        <f t="shared" si="48"/>
        <v>12177.846618864751</v>
      </c>
      <c r="CB5" s="75">
        <f t="shared" si="48"/>
        <v>12208.234920680443</v>
      </c>
      <c r="CC5" s="75">
        <f t="shared" si="48"/>
        <v>12238.221453224383</v>
      </c>
      <c r="CD5" s="75">
        <f t="shared" ref="CD5:CG5" si="49">SUM(CD2:CD4)</f>
        <v>12265.704159769264</v>
      </c>
      <c r="CE5" s="75">
        <f t="shared" si="49"/>
        <v>12294.270940654924</v>
      </c>
      <c r="CF5" s="75">
        <f t="shared" si="49"/>
        <v>12324.091236829201</v>
      </c>
      <c r="CG5" s="75">
        <f t="shared" si="49"/>
        <v>12353.517273437741</v>
      </c>
      <c r="CH5" s="75"/>
      <c r="CI5" s="126">
        <f>E5</f>
        <v>12852.039999999999</v>
      </c>
      <c r="CJ5" s="126">
        <f>I5</f>
        <v>12995.8</v>
      </c>
      <c r="CK5" s="126">
        <f>M5</f>
        <v>13199.16</v>
      </c>
      <c r="CL5" s="126">
        <f>Q5</f>
        <v>13433.279999999999</v>
      </c>
      <c r="CM5" s="126">
        <f>U5</f>
        <v>13603.44</v>
      </c>
      <c r="CN5" s="126">
        <f>Y5</f>
        <v>13746.96</v>
      </c>
      <c r="CO5" s="126">
        <f>AC5</f>
        <v>13825.86</v>
      </c>
      <c r="CP5" s="126">
        <f>AG5</f>
        <v>13905.96</v>
      </c>
      <c r="CQ5" s="126">
        <f>AK5</f>
        <v>13903.720000000001</v>
      </c>
      <c r="CR5" s="126">
        <f>AO5</f>
        <v>13745.72</v>
      </c>
      <c r="CS5" s="126">
        <f>AS5</f>
        <v>13482.7333</v>
      </c>
      <c r="CT5" s="126">
        <f>AW5</f>
        <v>13219.42642</v>
      </c>
      <c r="CU5" s="126">
        <f>BA5</f>
        <v>12807</v>
      </c>
      <c r="CV5" s="126">
        <f>BE5</f>
        <v>12433</v>
      </c>
      <c r="CW5" s="126">
        <f>BI5</f>
        <v>12190</v>
      </c>
      <c r="CX5" s="126">
        <f>BM5</f>
        <v>12040.324087263771</v>
      </c>
      <c r="CY5" s="126">
        <f>BQ5</f>
        <v>11934.247020053155</v>
      </c>
      <c r="CZ5" s="126">
        <f>BU5</f>
        <v>12001.268891397431</v>
      </c>
      <c r="DA5" s="126">
        <f>BY5</f>
        <v>12120.729522149819</v>
      </c>
      <c r="DB5" s="126">
        <f>CC5</f>
        <v>12238.221453224383</v>
      </c>
      <c r="DC5" s="126">
        <f>CG5</f>
        <v>12353.517273437741</v>
      </c>
    </row>
    <row r="6" spans="1:107" x14ac:dyDescent="0.2">
      <c r="BK6" s="75"/>
      <c r="BL6" s="75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</row>
    <row r="7" spans="1:107" x14ac:dyDescent="0.2">
      <c r="A7" s="1" t="s">
        <v>326</v>
      </c>
      <c r="B7" s="231">
        <v>12715.8</v>
      </c>
      <c r="C7" s="231">
        <v>12734</v>
      </c>
      <c r="D7" s="231">
        <v>12744.68</v>
      </c>
      <c r="E7" s="231">
        <v>12797.84</v>
      </c>
      <c r="F7" s="231">
        <v>12715.8</v>
      </c>
      <c r="G7" s="231">
        <v>12889.12</v>
      </c>
      <c r="H7" s="231">
        <v>12926.199999999999</v>
      </c>
      <c r="I7" s="231">
        <v>12968.16</v>
      </c>
      <c r="J7" s="231">
        <v>13011.96</v>
      </c>
      <c r="K7" s="231">
        <v>13050.88</v>
      </c>
      <c r="L7" s="231">
        <v>13111.400000000001</v>
      </c>
      <c r="M7" s="231">
        <v>13174.52</v>
      </c>
      <c r="N7" s="231">
        <v>13218.16</v>
      </c>
      <c r="O7" s="231">
        <v>13299.2</v>
      </c>
      <c r="P7" s="231">
        <v>13344.64</v>
      </c>
      <c r="Q7" s="231">
        <v>13393.44</v>
      </c>
      <c r="R7" s="231">
        <v>13451.74</v>
      </c>
      <c r="S7" s="231">
        <v>13502.3</v>
      </c>
      <c r="T7" s="231">
        <v>13541.939999999999</v>
      </c>
      <c r="U7" s="231">
        <v>13578.86</v>
      </c>
      <c r="V7" s="231">
        <v>13618.3</v>
      </c>
      <c r="W7" s="231">
        <v>13672.34</v>
      </c>
      <c r="X7" s="231">
        <v>13720.689655172413</v>
      </c>
      <c r="Y7" s="231">
        <v>13751.396648044692</v>
      </c>
      <c r="Z7" s="231">
        <v>13748.366013071896</v>
      </c>
      <c r="AA7" s="231">
        <v>13718.706047819971</v>
      </c>
      <c r="AB7" s="231">
        <v>13961.379310344828</v>
      </c>
      <c r="AC7" s="231">
        <v>13798.188874514875</v>
      </c>
      <c r="AD7" s="231">
        <v>13824.20382165605</v>
      </c>
      <c r="AE7" s="231">
        <v>13846.758349705306</v>
      </c>
      <c r="AF7" s="231">
        <v>13866.117404737382</v>
      </c>
      <c r="AG7" s="231">
        <v>13892.080000000002</v>
      </c>
      <c r="AH7" s="231">
        <v>13896.466662249461</v>
      </c>
      <c r="AI7" s="231">
        <v>13891.228830129377</v>
      </c>
      <c r="AJ7" s="231">
        <v>13916.750174928078</v>
      </c>
      <c r="AK7" s="231">
        <v>13905.238399902086</v>
      </c>
      <c r="AL7" s="231">
        <v>13897.703549060543</v>
      </c>
      <c r="AM7" s="231">
        <v>13882.763433356595</v>
      </c>
      <c r="AN7" s="231">
        <v>13858.823529411766</v>
      </c>
      <c r="AO7" s="231">
        <v>13776.12</v>
      </c>
      <c r="AP7" s="231">
        <v>13729.300000000001</v>
      </c>
      <c r="AQ7" s="231">
        <v>13635.36</v>
      </c>
      <c r="AR7" s="231">
        <v>13588.98</v>
      </c>
      <c r="AS7" s="231">
        <v>13511.64</v>
      </c>
      <c r="AT7" s="231">
        <v>13464.400000000001</v>
      </c>
      <c r="AU7" s="231">
        <v>13379.16</v>
      </c>
      <c r="AV7" s="231">
        <v>13315.16</v>
      </c>
      <c r="AW7" s="231">
        <v>13253.26</v>
      </c>
      <c r="AX7" s="231">
        <v>13203.420000000002</v>
      </c>
      <c r="AY7" s="231">
        <v>13133</v>
      </c>
      <c r="AZ7" s="231">
        <v>13018</v>
      </c>
      <c r="BA7" s="231">
        <v>12897</v>
      </c>
      <c r="BB7" s="240">
        <v>12781</v>
      </c>
      <c r="BC7" s="240">
        <v>12668</v>
      </c>
      <c r="BD7" s="240">
        <v>12581</v>
      </c>
      <c r="BE7" s="240">
        <v>12488</v>
      </c>
      <c r="BF7" s="240">
        <v>12415</v>
      </c>
      <c r="BG7" s="240">
        <v>12343</v>
      </c>
      <c r="BH7" s="240">
        <v>12290</v>
      </c>
      <c r="BI7" s="240">
        <v>12228</v>
      </c>
      <c r="BJ7" s="240">
        <v>12183</v>
      </c>
      <c r="BK7" s="240">
        <v>12122</v>
      </c>
      <c r="BL7" s="240">
        <v>12086</v>
      </c>
      <c r="BM7" s="75">
        <f t="shared" ref="BM7:BQ7" si="50">AVERAGE(BM2,BM5)</f>
        <v>12054.662043631884</v>
      </c>
      <c r="BN7" s="75">
        <f t="shared" si="50"/>
        <v>12025.35302652507</v>
      </c>
      <c r="BO7" s="75">
        <f t="shared" si="50"/>
        <v>11996.854067667489</v>
      </c>
      <c r="BP7" s="75">
        <f t="shared" si="50"/>
        <v>11970.924887212941</v>
      </c>
      <c r="BQ7" s="75">
        <f t="shared" si="50"/>
        <v>11946.385312465214</v>
      </c>
      <c r="BR7" s="75">
        <f>AVERAGE(BR2,BR5)</f>
        <v>11921.732695721112</v>
      </c>
      <c r="BS7" s="75">
        <f t="shared" ref="BS7:BU7" si="51">AVERAGE(BS2,BS5)</f>
        <v>11924.191004323013</v>
      </c>
      <c r="BT7" s="75">
        <f t="shared" si="51"/>
        <v>11954.793271914994</v>
      </c>
      <c r="BU7" s="75">
        <f t="shared" si="51"/>
        <v>11985.84589898523</v>
      </c>
      <c r="BV7" s="75">
        <f t="shared" ref="BV7:CC7" si="52">AVERAGE(BV2,BV5)</f>
        <v>12015.404089386306</v>
      </c>
      <c r="BW7" s="75">
        <f t="shared" si="52"/>
        <v>12044.371989160209</v>
      </c>
      <c r="BX7" s="75">
        <f t="shared" si="52"/>
        <v>12074.68825425133</v>
      </c>
      <c r="BY7" s="75">
        <f t="shared" si="52"/>
        <v>12105.450669853621</v>
      </c>
      <c r="BZ7" s="75">
        <f t="shared" si="52"/>
        <v>12134.73261548459</v>
      </c>
      <c r="CA7" s="75">
        <f t="shared" si="52"/>
        <v>12163.291163842057</v>
      </c>
      <c r="CB7" s="75">
        <f t="shared" si="52"/>
        <v>12193.040769772597</v>
      </c>
      <c r="CC7" s="75">
        <f t="shared" si="52"/>
        <v>12223.228186952412</v>
      </c>
      <c r="CD7" s="75">
        <f t="shared" ref="CD7:CG7" si="53">AVERAGE(CD2,CD5)</f>
        <v>12251.962806496824</v>
      </c>
      <c r="CE7" s="75">
        <f t="shared" si="53"/>
        <v>12279.987550212094</v>
      </c>
      <c r="CF7" s="75">
        <f t="shared" si="53"/>
        <v>12309.181088742062</v>
      </c>
      <c r="CG7" s="75">
        <f t="shared" si="53"/>
        <v>12338.804255133471</v>
      </c>
      <c r="CH7" s="75"/>
      <c r="CI7" s="126">
        <f>AVERAGE(B7:E7)</f>
        <v>12748.079999999998</v>
      </c>
      <c r="CJ7" s="126">
        <f>AVERAGE(F7:I7)</f>
        <v>12874.82</v>
      </c>
      <c r="CK7" s="126">
        <f>AVERAGE(J7:M7)</f>
        <v>13087.189999999999</v>
      </c>
      <c r="CL7" s="126">
        <f>AVERAGE(N7:Q7)</f>
        <v>13313.86</v>
      </c>
      <c r="CM7" s="126">
        <f>AVERAGE(R7:U7)</f>
        <v>13518.71</v>
      </c>
      <c r="CN7" s="126">
        <f>AVERAGE(V7:Y7)</f>
        <v>13690.681575804276</v>
      </c>
      <c r="CO7" s="126">
        <f>AVERAGE(Z7:AC7)</f>
        <v>13806.660061437893</v>
      </c>
      <c r="CP7" s="126">
        <f>AVERAGE(AD7:AG7)</f>
        <v>13857.289894024685</v>
      </c>
      <c r="CQ7" s="126">
        <f>AVERAGE(AH7:AK7)</f>
        <v>13902.421016802251</v>
      </c>
      <c r="CR7" s="126">
        <f>AVERAGE(AL7:AO7)</f>
        <v>13853.852627957227</v>
      </c>
      <c r="CS7" s="126">
        <f>AVERAGE(AP7:AS7)</f>
        <v>13616.32</v>
      </c>
      <c r="CT7" s="126">
        <f>AVERAGE(AT7:AW7)</f>
        <v>13352.995000000001</v>
      </c>
      <c r="CU7" s="126">
        <f>AVERAGE(AX7:BA7)</f>
        <v>13062.855</v>
      </c>
      <c r="CV7" s="126">
        <f>AVERAGE(BB7:BE7)</f>
        <v>12629.5</v>
      </c>
      <c r="CW7" s="126">
        <f>AVERAGE(BF7:BI7)</f>
        <v>12319</v>
      </c>
      <c r="CX7" s="126">
        <f>AVERAGE(BJ7:BM7)</f>
        <v>12111.415510907971</v>
      </c>
      <c r="CY7" s="126">
        <f>AVERAGE(BN7:BQ7)</f>
        <v>11984.87932346768</v>
      </c>
      <c r="CZ7" s="126">
        <f>AVERAGE(BR7:BU7)</f>
        <v>11946.640717736087</v>
      </c>
      <c r="DA7" s="126">
        <f>AVERAGE(BV7:BY7)</f>
        <v>12059.978750662865</v>
      </c>
      <c r="DB7" s="126">
        <f>AVERAGE(BZ7:CC7)</f>
        <v>12178.573184012916</v>
      </c>
      <c r="DC7" s="126">
        <f>AVERAGE(CD7:CG7)</f>
        <v>12294.983925146114</v>
      </c>
    </row>
    <row r="8" spans="1:107" x14ac:dyDescent="0.2">
      <c r="A8" s="1" t="s">
        <v>327</v>
      </c>
      <c r="B8" s="74">
        <f>B9-B7</f>
        <v>188.52000000000044</v>
      </c>
      <c r="C8" s="74">
        <f t="shared" ref="C8:AT8" si="54">C9-C7</f>
        <v>165.43999999999869</v>
      </c>
      <c r="D8" s="74">
        <f t="shared" si="54"/>
        <v>150.39999999999964</v>
      </c>
      <c r="E8" s="74">
        <f t="shared" si="54"/>
        <v>223.60000000000036</v>
      </c>
      <c r="F8" s="74">
        <f t="shared" si="54"/>
        <v>339.52000000000044</v>
      </c>
      <c r="G8" s="74">
        <f t="shared" si="54"/>
        <v>152.31999999999971</v>
      </c>
      <c r="H8" s="74">
        <f t="shared" si="54"/>
        <v>171.3600000000024</v>
      </c>
      <c r="I8" s="74">
        <f t="shared" si="54"/>
        <v>191.92000000000007</v>
      </c>
      <c r="J8" s="74">
        <f t="shared" si="54"/>
        <v>193.48000000000138</v>
      </c>
      <c r="K8" s="74">
        <f t="shared" si="54"/>
        <v>180.84000000000196</v>
      </c>
      <c r="L8" s="74">
        <f t="shared" si="54"/>
        <v>221.15999999999985</v>
      </c>
      <c r="M8" s="74">
        <f t="shared" si="54"/>
        <v>225.36000000000058</v>
      </c>
      <c r="N8" s="74">
        <f t="shared" si="54"/>
        <v>248.36000000000058</v>
      </c>
      <c r="O8" s="74">
        <f t="shared" si="54"/>
        <v>234.27999999999884</v>
      </c>
      <c r="P8" s="74">
        <f t="shared" si="54"/>
        <v>224.76000000000204</v>
      </c>
      <c r="Q8" s="74">
        <f t="shared" si="54"/>
        <v>246.67999999999847</v>
      </c>
      <c r="R8" s="74">
        <f t="shared" si="54"/>
        <v>252.5</v>
      </c>
      <c r="S8" s="74">
        <f t="shared" si="54"/>
        <v>224.96000000000276</v>
      </c>
      <c r="T8" s="74">
        <f t="shared" si="54"/>
        <v>222.3600000000024</v>
      </c>
      <c r="U8" s="74">
        <f t="shared" si="54"/>
        <v>190.95999999999913</v>
      </c>
      <c r="V8" s="74">
        <f t="shared" si="54"/>
        <v>171.66000000000167</v>
      </c>
      <c r="W8" s="74">
        <f t="shared" si="54"/>
        <v>145.22000000000116</v>
      </c>
      <c r="X8" s="74">
        <f t="shared" si="54"/>
        <v>165.69034482758616</v>
      </c>
      <c r="Y8" s="74">
        <f t="shared" si="54"/>
        <v>189.10335195530752</v>
      </c>
      <c r="Z8" s="74">
        <f t="shared" si="54"/>
        <v>237.85398692810486</v>
      </c>
      <c r="AA8" s="74">
        <f t="shared" si="54"/>
        <v>218.2339521800277</v>
      </c>
      <c r="AB8" s="74">
        <f t="shared" si="54"/>
        <v>7.4206896551731916</v>
      </c>
      <c r="AC8" s="74">
        <f t="shared" si="54"/>
        <v>206.23112548512472</v>
      </c>
      <c r="AD8" s="74">
        <f t="shared" si="54"/>
        <v>216.51617834394892</v>
      </c>
      <c r="AE8" s="74">
        <f t="shared" si="54"/>
        <v>223.30165029469572</v>
      </c>
      <c r="AF8" s="74">
        <f t="shared" si="54"/>
        <v>208.20259526261725</v>
      </c>
      <c r="AG8" s="74">
        <f t="shared" si="54"/>
        <v>209.49999999999636</v>
      </c>
      <c r="AH8" s="74">
        <f t="shared" si="54"/>
        <v>206.21333775053972</v>
      </c>
      <c r="AI8" s="74">
        <f t="shared" si="54"/>
        <v>173.71116987062123</v>
      </c>
      <c r="AJ8" s="74">
        <f t="shared" si="54"/>
        <v>160.4298250719221</v>
      </c>
      <c r="AK8" s="74">
        <f t="shared" si="54"/>
        <v>112.74160009791376</v>
      </c>
      <c r="AL8" s="74">
        <f t="shared" si="54"/>
        <v>119.87645093945684</v>
      </c>
      <c r="AM8" s="74">
        <f t="shared" si="54"/>
        <v>116.31656664340335</v>
      </c>
      <c r="AN8" s="74">
        <f t="shared" si="54"/>
        <v>105.15647058823379</v>
      </c>
      <c r="AO8" s="74">
        <f t="shared" si="54"/>
        <v>127.7599999999984</v>
      </c>
      <c r="AP8" s="74">
        <f t="shared" si="54"/>
        <v>116.03999999999905</v>
      </c>
      <c r="AQ8" s="74">
        <f t="shared" si="54"/>
        <v>105.11999999999898</v>
      </c>
      <c r="AR8" s="74">
        <f t="shared" si="54"/>
        <v>128.04000000000087</v>
      </c>
      <c r="AS8" s="74">
        <f t="shared" si="54"/>
        <v>147.7400000000016</v>
      </c>
      <c r="AT8" s="74">
        <f t="shared" si="54"/>
        <v>177.01999999999862</v>
      </c>
      <c r="AU8" s="74">
        <f t="shared" ref="AU8:BL8" si="55">AU9-AU7</f>
        <v>213.07999999999993</v>
      </c>
      <c r="AV8" s="74">
        <f t="shared" si="55"/>
        <v>215.22000000000116</v>
      </c>
      <c r="AW8" s="74">
        <f t="shared" si="55"/>
        <v>196.60000000000036</v>
      </c>
      <c r="AX8" s="74">
        <f t="shared" si="55"/>
        <v>147.59999999999854</v>
      </c>
      <c r="AY8" s="74">
        <f t="shared" si="55"/>
        <v>106</v>
      </c>
      <c r="AZ8" s="74">
        <f t="shared" si="55"/>
        <v>79</v>
      </c>
      <c r="BA8" s="74">
        <f t="shared" si="55"/>
        <v>50</v>
      </c>
      <c r="BB8" s="74">
        <f t="shared" si="55"/>
        <v>42</v>
      </c>
      <c r="BC8" s="74">
        <f t="shared" si="55"/>
        <v>96</v>
      </c>
      <c r="BD8" s="74">
        <f t="shared" si="55"/>
        <v>115</v>
      </c>
      <c r="BE8" s="74">
        <f t="shared" si="55"/>
        <v>114</v>
      </c>
      <c r="BF8" s="74">
        <f t="shared" si="55"/>
        <v>112</v>
      </c>
      <c r="BG8" s="74">
        <f t="shared" si="55"/>
        <v>152</v>
      </c>
      <c r="BH8" s="74">
        <f t="shared" si="55"/>
        <v>129</v>
      </c>
      <c r="BI8" s="74">
        <f t="shared" si="55"/>
        <v>120</v>
      </c>
      <c r="BJ8" s="74">
        <f t="shared" si="55"/>
        <v>108</v>
      </c>
      <c r="BK8" s="74">
        <f t="shared" si="55"/>
        <v>76</v>
      </c>
      <c r="BL8" s="74">
        <f t="shared" si="55"/>
        <v>117</v>
      </c>
      <c r="BM8" s="232">
        <f t="shared" ref="BM8:BQ8" si="56">BL8</f>
        <v>117</v>
      </c>
      <c r="BN8" s="232">
        <f t="shared" si="56"/>
        <v>117</v>
      </c>
      <c r="BO8" s="232">
        <f t="shared" si="56"/>
        <v>117</v>
      </c>
      <c r="BP8" s="232">
        <f t="shared" si="56"/>
        <v>117</v>
      </c>
      <c r="BQ8" s="232">
        <f t="shared" si="56"/>
        <v>117</v>
      </c>
      <c r="BR8" s="232">
        <f t="shared" ref="BR8" si="57">BQ8</f>
        <v>117</v>
      </c>
      <c r="BS8" s="232">
        <f t="shared" ref="BS8" si="58">BR8</f>
        <v>117</v>
      </c>
      <c r="BT8" s="232">
        <f t="shared" ref="BT8" si="59">BS8</f>
        <v>117</v>
      </c>
      <c r="BU8" s="232">
        <f t="shared" ref="BU8" si="60">BT8</f>
        <v>117</v>
      </c>
      <c r="BV8" s="232">
        <f t="shared" ref="BV8" si="61">BU8</f>
        <v>117</v>
      </c>
      <c r="BW8" s="232">
        <f t="shared" ref="BW8" si="62">BV8</f>
        <v>117</v>
      </c>
      <c r="BX8" s="232">
        <f t="shared" ref="BX8" si="63">BW8</f>
        <v>117</v>
      </c>
      <c r="BY8" s="232">
        <f t="shared" ref="BY8" si="64">BX8</f>
        <v>117</v>
      </c>
      <c r="BZ8" s="232">
        <f t="shared" ref="BZ8" si="65">BY8</f>
        <v>117</v>
      </c>
      <c r="CA8" s="232">
        <f t="shared" ref="CA8" si="66">BZ8</f>
        <v>117</v>
      </c>
      <c r="CB8" s="232">
        <f t="shared" ref="CB8" si="67">CA8</f>
        <v>117</v>
      </c>
      <c r="CC8" s="232">
        <f t="shared" ref="CC8" si="68">CB8</f>
        <v>117</v>
      </c>
      <c r="CD8" s="232">
        <f t="shared" ref="CD8" si="69">CC8</f>
        <v>117</v>
      </c>
      <c r="CE8" s="232">
        <f t="shared" ref="CE8" si="70">CD8</f>
        <v>117</v>
      </c>
      <c r="CF8" s="232">
        <f t="shared" ref="CF8" si="71">CE8</f>
        <v>117</v>
      </c>
      <c r="CG8" s="232">
        <f t="shared" ref="CG8" si="72">CF8</f>
        <v>117</v>
      </c>
      <c r="CH8" s="232"/>
      <c r="CI8" s="127">
        <f>CI9-CI7</f>
        <v>181.9900000000016</v>
      </c>
      <c r="CJ8" s="127">
        <f t="shared" ref="CJ8:CY8" si="73">CJ9-CJ7</f>
        <v>213.78000000000247</v>
      </c>
      <c r="CK8" s="127">
        <f t="shared" si="73"/>
        <v>205.21000000000276</v>
      </c>
      <c r="CL8" s="127">
        <f t="shared" si="73"/>
        <v>238.52000000000044</v>
      </c>
      <c r="CM8" s="127">
        <f t="shared" si="73"/>
        <v>222.69500000000153</v>
      </c>
      <c r="CN8" s="127">
        <f t="shared" si="73"/>
        <v>167.91842419572458</v>
      </c>
      <c r="CO8" s="127">
        <f t="shared" si="73"/>
        <v>167.43493856210625</v>
      </c>
      <c r="CP8" s="127">
        <f t="shared" si="73"/>
        <v>214.3801059753132</v>
      </c>
      <c r="CQ8" s="127">
        <f t="shared" si="73"/>
        <v>163.27398319774875</v>
      </c>
      <c r="CR8" s="127">
        <f t="shared" si="73"/>
        <v>117.27737204277219</v>
      </c>
      <c r="CS8" s="127">
        <f t="shared" si="73"/>
        <v>124.23500000000058</v>
      </c>
      <c r="CT8" s="127">
        <f t="shared" si="73"/>
        <v>200.47999999999956</v>
      </c>
      <c r="CU8" s="127">
        <f t="shared" si="73"/>
        <v>95.650000000001455</v>
      </c>
      <c r="CV8" s="127">
        <f t="shared" si="73"/>
        <v>91.75</v>
      </c>
      <c r="CW8" s="127">
        <f t="shared" si="73"/>
        <v>128.25</v>
      </c>
      <c r="CX8" s="127">
        <f t="shared" si="73"/>
        <v>104.5</v>
      </c>
      <c r="CY8" s="127">
        <f t="shared" si="73"/>
        <v>117</v>
      </c>
      <c r="CZ8" s="127">
        <f>CZ9-CZ7</f>
        <v>117</v>
      </c>
      <c r="DA8" s="127">
        <f>DA9-DA7</f>
        <v>117</v>
      </c>
      <c r="DB8" s="127">
        <f>DB9-DB7</f>
        <v>117</v>
      </c>
      <c r="DC8" s="127">
        <f>DC9-DC7</f>
        <v>117</v>
      </c>
    </row>
    <row r="9" spans="1:107" x14ac:dyDescent="0.2">
      <c r="A9" s="1" t="s">
        <v>328</v>
      </c>
      <c r="B9" s="231">
        <v>12904.32</v>
      </c>
      <c r="C9" s="231">
        <v>12899.439999999999</v>
      </c>
      <c r="D9" s="231">
        <v>12895.08</v>
      </c>
      <c r="E9" s="231">
        <v>13021.44</v>
      </c>
      <c r="F9" s="231">
        <v>13055.32</v>
      </c>
      <c r="G9" s="231">
        <v>13041.44</v>
      </c>
      <c r="H9" s="231">
        <v>13097.560000000001</v>
      </c>
      <c r="I9" s="231">
        <v>13160.08</v>
      </c>
      <c r="J9" s="231">
        <v>13205.44</v>
      </c>
      <c r="K9" s="231">
        <v>13231.720000000001</v>
      </c>
      <c r="L9" s="231">
        <v>13332.560000000001</v>
      </c>
      <c r="M9" s="231">
        <v>13399.880000000001</v>
      </c>
      <c r="N9" s="231">
        <v>13466.52</v>
      </c>
      <c r="O9" s="231">
        <v>13533.48</v>
      </c>
      <c r="P9" s="231">
        <v>13569.400000000001</v>
      </c>
      <c r="Q9" s="231">
        <v>13640.119999999999</v>
      </c>
      <c r="R9" s="231">
        <v>13704.24</v>
      </c>
      <c r="S9" s="231">
        <v>13727.260000000002</v>
      </c>
      <c r="T9" s="231">
        <v>13764.300000000001</v>
      </c>
      <c r="U9" s="231">
        <v>13769.82</v>
      </c>
      <c r="V9" s="231">
        <v>13789.960000000001</v>
      </c>
      <c r="W9" s="231">
        <v>13817.560000000001</v>
      </c>
      <c r="X9" s="231">
        <v>13886.38</v>
      </c>
      <c r="Y9" s="231">
        <v>13940.5</v>
      </c>
      <c r="Z9" s="231">
        <v>13986.220000000001</v>
      </c>
      <c r="AA9" s="231">
        <v>13936.939999999999</v>
      </c>
      <c r="AB9" s="231">
        <v>13968.800000000001</v>
      </c>
      <c r="AC9" s="231">
        <v>14004.42</v>
      </c>
      <c r="AD9" s="231">
        <v>14040.72</v>
      </c>
      <c r="AE9" s="231">
        <v>14070.060000000001</v>
      </c>
      <c r="AF9" s="231">
        <v>14074.32</v>
      </c>
      <c r="AG9" s="231">
        <v>14101.579999999998</v>
      </c>
      <c r="AH9" s="231">
        <v>14102.68</v>
      </c>
      <c r="AI9" s="231">
        <v>14064.939999999999</v>
      </c>
      <c r="AJ9" s="231">
        <v>14077.18</v>
      </c>
      <c r="AK9" s="231">
        <v>14017.98</v>
      </c>
      <c r="AL9" s="231">
        <v>14017.58</v>
      </c>
      <c r="AM9" s="231">
        <v>13999.079999999998</v>
      </c>
      <c r="AN9" s="231">
        <v>13963.98</v>
      </c>
      <c r="AO9" s="231">
        <v>13903.88</v>
      </c>
      <c r="AP9" s="231">
        <v>13845.34</v>
      </c>
      <c r="AQ9" s="231">
        <v>13740.48</v>
      </c>
      <c r="AR9" s="231">
        <v>13717.02</v>
      </c>
      <c r="AS9" s="231">
        <v>13659.380000000001</v>
      </c>
      <c r="AT9" s="231">
        <v>13641.42</v>
      </c>
      <c r="AU9" s="231">
        <v>13592.24</v>
      </c>
      <c r="AV9" s="231">
        <v>13530.380000000001</v>
      </c>
      <c r="AW9" s="231">
        <v>13449.86</v>
      </c>
      <c r="AX9" s="231">
        <v>13351.02</v>
      </c>
      <c r="AY9" s="231">
        <v>13239</v>
      </c>
      <c r="AZ9" s="231">
        <v>13097</v>
      </c>
      <c r="BA9" s="231">
        <v>12947</v>
      </c>
      <c r="BB9" s="240">
        <v>12823</v>
      </c>
      <c r="BC9" s="240">
        <v>12764</v>
      </c>
      <c r="BD9" s="240">
        <v>12696</v>
      </c>
      <c r="BE9" s="240">
        <v>12602</v>
      </c>
      <c r="BF9" s="240">
        <v>12527</v>
      </c>
      <c r="BG9" s="240">
        <v>12495</v>
      </c>
      <c r="BH9" s="240">
        <v>12419</v>
      </c>
      <c r="BI9" s="240">
        <v>12348</v>
      </c>
      <c r="BJ9" s="240">
        <v>12291</v>
      </c>
      <c r="BK9" s="240">
        <v>12198</v>
      </c>
      <c r="BL9" s="240">
        <v>12203</v>
      </c>
      <c r="BM9" s="75">
        <f t="shared" ref="BM9:BQ9" si="74">SUM(BM7:BM8)</f>
        <v>12171.662043631884</v>
      </c>
      <c r="BN9" s="75">
        <f t="shared" si="74"/>
        <v>12142.35302652507</v>
      </c>
      <c r="BO9" s="75">
        <f t="shared" si="74"/>
        <v>12113.854067667489</v>
      </c>
      <c r="BP9" s="75">
        <f t="shared" si="74"/>
        <v>12087.924887212941</v>
      </c>
      <c r="BQ9" s="75">
        <f t="shared" si="74"/>
        <v>12063.385312465214</v>
      </c>
      <c r="BR9" s="75">
        <f>SUM(BR7:BR8)</f>
        <v>12038.732695721112</v>
      </c>
      <c r="BS9" s="75">
        <f t="shared" ref="BS9:BU9" si="75">SUM(BS7:BS8)</f>
        <v>12041.191004323013</v>
      </c>
      <c r="BT9" s="75">
        <f t="shared" si="75"/>
        <v>12071.793271914994</v>
      </c>
      <c r="BU9" s="75">
        <f t="shared" si="75"/>
        <v>12102.84589898523</v>
      </c>
      <c r="BV9" s="75">
        <f t="shared" ref="BV9:CC9" si="76">SUM(BV7:BV8)</f>
        <v>12132.404089386306</v>
      </c>
      <c r="BW9" s="75">
        <f t="shared" si="76"/>
        <v>12161.371989160209</v>
      </c>
      <c r="BX9" s="75">
        <f t="shared" si="76"/>
        <v>12191.68825425133</v>
      </c>
      <c r="BY9" s="75">
        <f t="shared" si="76"/>
        <v>12222.450669853621</v>
      </c>
      <c r="BZ9" s="75">
        <f t="shared" si="76"/>
        <v>12251.73261548459</v>
      </c>
      <c r="CA9" s="75">
        <f t="shared" si="76"/>
        <v>12280.291163842057</v>
      </c>
      <c r="CB9" s="75">
        <f t="shared" si="76"/>
        <v>12310.040769772597</v>
      </c>
      <c r="CC9" s="75">
        <f t="shared" si="76"/>
        <v>12340.228186952412</v>
      </c>
      <c r="CD9" s="75">
        <f t="shared" ref="CD9:CG9" si="77">SUM(CD7:CD8)</f>
        <v>12368.962806496824</v>
      </c>
      <c r="CE9" s="75">
        <f t="shared" si="77"/>
        <v>12396.987550212094</v>
      </c>
      <c r="CF9" s="75">
        <f t="shared" si="77"/>
        <v>12426.181088742062</v>
      </c>
      <c r="CG9" s="75">
        <f t="shared" si="77"/>
        <v>12455.804255133471</v>
      </c>
      <c r="CH9" s="75"/>
      <c r="CI9" s="126">
        <f>AVERAGE(B9:E9)</f>
        <v>12930.07</v>
      </c>
      <c r="CJ9" s="126">
        <f>AVERAGE(F9:I9)</f>
        <v>13088.600000000002</v>
      </c>
      <c r="CK9" s="126">
        <f>AVERAGE(J9:M9)</f>
        <v>13292.400000000001</v>
      </c>
      <c r="CL9" s="126">
        <f>AVERAGE(N9:Q9)</f>
        <v>13552.380000000001</v>
      </c>
      <c r="CM9" s="126">
        <f>AVERAGE(R9:U9)</f>
        <v>13741.405000000001</v>
      </c>
      <c r="CN9" s="126">
        <f>AVERAGE(V9:Y9)</f>
        <v>13858.6</v>
      </c>
      <c r="CO9" s="126">
        <f>AVERAGE(Z9:AC9)</f>
        <v>13974.094999999999</v>
      </c>
      <c r="CP9" s="126">
        <f>AVERAGE(AD9:AG9)</f>
        <v>14071.669999999998</v>
      </c>
      <c r="CQ9" s="126">
        <f>AVERAGE(AH9:AK9)</f>
        <v>14065.695</v>
      </c>
      <c r="CR9" s="126">
        <f>AVERAGE(AL9:AO9)</f>
        <v>13971.13</v>
      </c>
      <c r="CS9" s="126">
        <f>AVERAGE(AP9:AS9)</f>
        <v>13740.555</v>
      </c>
      <c r="CT9" s="126">
        <f>AVERAGE(AT9:AW9)</f>
        <v>13553.475</v>
      </c>
      <c r="CU9" s="126">
        <f>AVERAGE(AX9:BA9)</f>
        <v>13158.505000000001</v>
      </c>
      <c r="CV9" s="126">
        <f>AVERAGE(BB9:BE9)</f>
        <v>12721.25</v>
      </c>
      <c r="CW9" s="126">
        <f>AVERAGE(BF9:BI9)</f>
        <v>12447.25</v>
      </c>
      <c r="CX9" s="126">
        <f>AVERAGE(BJ9:BM9)</f>
        <v>12215.915510907971</v>
      </c>
      <c r="CY9" s="126">
        <f>AVERAGE(BN9:BQ9)</f>
        <v>12101.87932346768</v>
      </c>
      <c r="CZ9" s="126">
        <f>AVERAGE(BR9:BU9)</f>
        <v>12063.640717736087</v>
      </c>
      <c r="DA9" s="126">
        <f>AVERAGE(BV9:BY9)</f>
        <v>12176.978750662865</v>
      </c>
      <c r="DB9" s="126">
        <f>AVERAGE(BZ9:CC9)</f>
        <v>12295.573184012916</v>
      </c>
      <c r="DC9" s="126">
        <f>AVERAGE(CD9:CG9)</f>
        <v>12411.983925146114</v>
      </c>
    </row>
    <row r="10" spans="1:107" x14ac:dyDescent="0.2"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</row>
    <row r="11" spans="1:107" x14ac:dyDescent="0.2">
      <c r="A11" s="66">
        <v>7.0000000000000007E-2</v>
      </c>
      <c r="CI11" s="92"/>
      <c r="CJ11" s="92"/>
      <c r="CK11" s="92"/>
      <c r="CL11" s="92"/>
      <c r="CM11" s="92"/>
      <c r="CN11" s="92"/>
      <c r="CO11" s="92"/>
      <c r="CP11" s="92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92"/>
    </row>
    <row r="12" spans="1:107" x14ac:dyDescent="0.2">
      <c r="A12" s="1" t="s">
        <v>329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7">
        <v>725</v>
      </c>
      <c r="AA12" s="17">
        <v>819</v>
      </c>
      <c r="AB12" s="17">
        <v>819</v>
      </c>
      <c r="AC12" s="17">
        <v>825</v>
      </c>
      <c r="AD12" s="17">
        <v>838</v>
      </c>
      <c r="AE12" s="17">
        <v>929</v>
      </c>
      <c r="AF12" s="17">
        <v>946</v>
      </c>
      <c r="AG12" s="17">
        <v>1033</v>
      </c>
      <c r="AH12" s="17">
        <v>1100</v>
      </c>
      <c r="AI12" s="17">
        <v>1250</v>
      </c>
      <c r="AJ12" s="17">
        <v>1100</v>
      </c>
      <c r="AK12" s="17">
        <v>1100</v>
      </c>
      <c r="AL12" s="17">
        <v>1200</v>
      </c>
      <c r="AM12" s="17">
        <v>1135</v>
      </c>
      <c r="AN12" s="17">
        <v>1250</v>
      </c>
      <c r="AO12" s="17">
        <v>1350</v>
      </c>
      <c r="AP12" s="17">
        <v>1450</v>
      </c>
      <c r="AQ12" s="17">
        <v>1300</v>
      </c>
      <c r="AR12" s="17">
        <v>1500</v>
      </c>
      <c r="AS12" s="17">
        <v>1725</v>
      </c>
      <c r="AT12" s="17">
        <v>1978.9795081803277</v>
      </c>
      <c r="AU12" s="18">
        <v>2383.6392063492067</v>
      </c>
      <c r="AV12" s="18">
        <v>2721.4604687500005</v>
      </c>
      <c r="AW12" s="18">
        <v>2880.4954687500003</v>
      </c>
      <c r="AX12" s="18">
        <v>117.73</v>
      </c>
      <c r="AY12" s="18">
        <v>118.07284225396826</v>
      </c>
      <c r="AZ12" s="18">
        <v>110.85934684615381</v>
      </c>
      <c r="BA12" s="18">
        <v>95.043906249999964</v>
      </c>
      <c r="BB12" s="18">
        <v>95.814920634920625</v>
      </c>
      <c r="BC12" s="18">
        <v>114.92222222222226</v>
      </c>
      <c r="BD12" s="18">
        <v>129.21070312500001</v>
      </c>
      <c r="BE12" s="18">
        <v>134.30101562500002</v>
      </c>
      <c r="BF12" s="18">
        <v>143.00008064516132</v>
      </c>
      <c r="BG12" s="18">
        <v>168.56952380952382</v>
      </c>
      <c r="BH12" s="18">
        <v>167.74078124999997</v>
      </c>
      <c r="BI12" s="18">
        <v>174.96937499999996</v>
      </c>
      <c r="BJ12" s="18">
        <v>181.48672131147543</v>
      </c>
      <c r="BK12" s="18">
        <v>163.69145161290328</v>
      </c>
      <c r="BL12" s="18">
        <v>209.46281250000004</v>
      </c>
      <c r="BM12" s="16">
        <f t="shared" ref="BM12:BQ12" si="78">BL12*(1+$A$11)^(1/4)</f>
        <v>213.03593912398102</v>
      </c>
      <c r="BN12" s="16">
        <f t="shared" si="78"/>
        <v>216.67001801781183</v>
      </c>
      <c r="BO12" s="16">
        <f t="shared" si="78"/>
        <v>220.36608893731159</v>
      </c>
      <c r="BP12" s="16">
        <f t="shared" si="78"/>
        <v>224.12520937500011</v>
      </c>
      <c r="BQ12" s="16">
        <f t="shared" si="78"/>
        <v>227.94845486265976</v>
      </c>
      <c r="BR12" s="72">
        <f>BQ12*(1+$A$11)^(1/4)</f>
        <v>231.83691927905872</v>
      </c>
      <c r="BS12" s="72">
        <f t="shared" ref="BS12" si="79">BR12*(1+$A$11)^(1/4)</f>
        <v>235.79171516292348</v>
      </c>
      <c r="BT12" s="72">
        <f t="shared" ref="BT12" si="80">BS12*(1+$A$11)^(1/4)</f>
        <v>239.81397403125021</v>
      </c>
      <c r="BU12" s="72">
        <f t="shared" ref="BU12" si="81">BT12*(1+$A$11)^(1/4)</f>
        <v>243.90484670304605</v>
      </c>
      <c r="BV12" s="72">
        <f t="shared" ref="BV12" si="82">BU12*(1+$A$11)^(1/4)</f>
        <v>248.06550362859292</v>
      </c>
      <c r="BW12" s="72">
        <f t="shared" ref="BW12" si="83">BV12*(1+$A$11)^(1/4)</f>
        <v>252.2971352243282</v>
      </c>
      <c r="BX12" s="72">
        <f t="shared" ref="BX12" si="84">BW12*(1+$A$11)^(1/4)</f>
        <v>256.60095221343778</v>
      </c>
      <c r="BY12" s="72">
        <f t="shared" ref="BY12" si="85">BX12*(1+$A$11)^(1/4)</f>
        <v>260.97818597225933</v>
      </c>
      <c r="BZ12" s="72">
        <f t="shared" ref="BZ12" si="86">BY12*(1+$A$11)^(1/4)</f>
        <v>265.43008888259448</v>
      </c>
      <c r="CA12" s="72">
        <f t="shared" ref="CA12" si="87">BZ12*(1+$A$11)^(1/4)</f>
        <v>269.95793469003121</v>
      </c>
      <c r="CB12" s="72">
        <f t="shared" ref="CB12" si="88">CA12*(1+$A$11)^(1/4)</f>
        <v>274.56301886837849</v>
      </c>
      <c r="CC12" s="72">
        <f t="shared" ref="CC12" si="89">CB12*(1+$A$11)^(1/4)</f>
        <v>279.24665899031754</v>
      </c>
      <c r="CD12" s="72">
        <f t="shared" ref="CD12" si="90">CC12*(1+$A$11)^(1/4)</f>
        <v>284.01019510437618</v>
      </c>
      <c r="CE12" s="72">
        <f t="shared" ref="CE12" si="91">CD12*(1+$A$11)^(1/4)</f>
        <v>288.85499011833349</v>
      </c>
      <c r="CF12" s="72">
        <f t="shared" ref="CF12" si="92">CE12*(1+$A$11)^(1/4)</f>
        <v>293.78243018916504</v>
      </c>
      <c r="CG12" s="72">
        <f t="shared" ref="CG12" si="93">CF12*(1+$A$11)^(1/4)</f>
        <v>298.79392511963982</v>
      </c>
      <c r="CH12" s="72"/>
      <c r="CI12" s="92"/>
      <c r="CJ12" s="92"/>
      <c r="CK12" s="92"/>
      <c r="CL12" s="92"/>
      <c r="CM12" s="92"/>
      <c r="CN12" s="92"/>
      <c r="CO12" s="92"/>
      <c r="CP12" s="92"/>
      <c r="CQ12" s="92"/>
      <c r="CR12" s="92"/>
      <c r="CS12" s="92"/>
      <c r="CT12" s="92"/>
      <c r="CU12" s="92"/>
      <c r="CV12" s="92"/>
      <c r="CW12" s="92"/>
      <c r="CX12" s="92"/>
      <c r="CY12" s="92"/>
      <c r="CZ12" s="92"/>
      <c r="DA12" s="92"/>
      <c r="DB12" s="92"/>
      <c r="DC12" s="92"/>
    </row>
    <row r="13" spans="1:107" x14ac:dyDescent="0.2">
      <c r="A13" s="1" t="s">
        <v>330</v>
      </c>
      <c r="B13" s="16">
        <f>-'Income Statement'!B228</f>
        <v>291</v>
      </c>
      <c r="C13" s="16">
        <f>-'Income Statement'!C228</f>
        <v>309</v>
      </c>
      <c r="D13" s="16">
        <f>-'Income Statement'!D228</f>
        <v>380</v>
      </c>
      <c r="E13" s="16">
        <f>-'Income Statement'!E228</f>
        <v>396</v>
      </c>
      <c r="F13" s="16">
        <f>-'Income Statement'!F228</f>
        <v>432</v>
      </c>
      <c r="G13" s="16">
        <f>-'Income Statement'!G228</f>
        <v>435</v>
      </c>
      <c r="H13" s="16">
        <f>-'Income Statement'!H228</f>
        <v>571</v>
      </c>
      <c r="I13" s="16">
        <f>-'Income Statement'!I228</f>
        <v>536</v>
      </c>
      <c r="J13" s="16">
        <f>-'Income Statement'!J228</f>
        <v>556</v>
      </c>
      <c r="K13" s="16">
        <f>-'Income Statement'!K228</f>
        <v>658</v>
      </c>
      <c r="L13" s="16">
        <f>-'Income Statement'!L228</f>
        <v>762</v>
      </c>
      <c r="M13" s="16">
        <f>-'Income Statement'!M228</f>
        <v>708</v>
      </c>
      <c r="N13" s="16">
        <f>-'Income Statement'!N228</f>
        <v>697</v>
      </c>
      <c r="O13" s="16">
        <f>-'Income Statement'!O228</f>
        <v>783</v>
      </c>
      <c r="P13" s="16">
        <f>-'Income Statement'!P228</f>
        <v>886</v>
      </c>
      <c r="Q13" s="16">
        <f>-'Income Statement'!Q228</f>
        <v>902</v>
      </c>
      <c r="R13" s="16">
        <f>-'Income Statement'!R228</f>
        <v>839</v>
      </c>
      <c r="S13" s="16">
        <f>-'Income Statement'!S228</f>
        <v>880</v>
      </c>
      <c r="T13" s="16">
        <f>-'Income Statement'!T228</f>
        <v>1255</v>
      </c>
      <c r="U13" s="16">
        <f>-'Income Statement'!U228</f>
        <v>1201</v>
      </c>
      <c r="V13" s="16">
        <f>-'Income Statement'!V228</f>
        <v>903</v>
      </c>
      <c r="W13" s="16">
        <f>-'Income Statement'!W228</f>
        <v>1132</v>
      </c>
      <c r="X13" s="16">
        <f>-'Income Statement'!X228</f>
        <v>1432</v>
      </c>
      <c r="Y13" s="16">
        <f>-'Income Statement'!Y228</f>
        <v>1436</v>
      </c>
      <c r="Z13" s="16">
        <f>-'Income Statement'!Z228</f>
        <v>1494</v>
      </c>
      <c r="AA13" s="16">
        <f>-'Income Statement'!AA228</f>
        <v>1503</v>
      </c>
      <c r="AB13" s="16">
        <f>-'Income Statement'!AB228</f>
        <v>1860</v>
      </c>
      <c r="AC13" s="16">
        <f>-'Income Statement'!AC228</f>
        <v>1846</v>
      </c>
      <c r="AD13" s="16">
        <f>-'Income Statement'!AD228</f>
        <v>2009</v>
      </c>
      <c r="AE13" s="16">
        <f>-'Income Statement'!AE228</f>
        <v>2003</v>
      </c>
      <c r="AF13" s="16">
        <f>-'Income Statement'!AF228</f>
        <v>1820</v>
      </c>
      <c r="AG13" s="16">
        <f>-'Income Statement'!AG228</f>
        <v>1847</v>
      </c>
      <c r="AH13" s="16">
        <f>-'Income Statement'!AH228</f>
        <v>2457</v>
      </c>
      <c r="AI13" s="16">
        <f>-'Income Statement'!AI228</f>
        <v>2413</v>
      </c>
      <c r="AJ13" s="16">
        <f>-'Income Statement'!AJ228</f>
        <v>2230</v>
      </c>
      <c r="AK13" s="16">
        <f>-'Income Statement'!AK228</f>
        <v>2253</v>
      </c>
      <c r="AL13" s="16">
        <f>-'Income Statement'!AL228</f>
        <v>2769</v>
      </c>
      <c r="AM13" s="16">
        <f>-'Income Statement'!AM228</f>
        <v>2756</v>
      </c>
      <c r="AN13" s="16">
        <f>-'Income Statement'!AN228</f>
        <v>2624</v>
      </c>
      <c r="AO13" s="16">
        <f>-'Income Statement'!AO228</f>
        <v>2645</v>
      </c>
      <c r="AP13" s="16">
        <f>-'Income Statement'!AP228</f>
        <v>3191</v>
      </c>
      <c r="AQ13" s="16">
        <f>-'Income Statement'!AQ228</f>
        <v>3382</v>
      </c>
      <c r="AR13" s="16">
        <f>-'Income Statement'!AR228</f>
        <v>3195</v>
      </c>
      <c r="AS13" s="16">
        <f>-'Income Statement'!AS228</f>
        <v>3223</v>
      </c>
      <c r="AT13" s="16">
        <f>-'Income Statement'!AT228</f>
        <v>3745</v>
      </c>
      <c r="AU13" s="16">
        <f>-'Income Statement'!AU228</f>
        <v>3803</v>
      </c>
      <c r="AV13" s="16">
        <f>-'Income Statement'!AV228</f>
        <v>3874</v>
      </c>
      <c r="AW13" s="16">
        <f>-'Income Statement'!AW228</f>
        <v>3954</v>
      </c>
      <c r="AX13" s="16">
        <f>-'Income Statement'!AX228</f>
        <v>4504</v>
      </c>
      <c r="AY13" s="16">
        <f>-'Income Statement'!AY228</f>
        <v>4782</v>
      </c>
      <c r="AZ13" s="16">
        <f>-'Income Statement'!AZ228</f>
        <v>4976</v>
      </c>
      <c r="BA13" s="16">
        <f>-'Income Statement'!BA228</f>
        <v>5100</v>
      </c>
      <c r="BB13" s="16">
        <f>-'Income Statement'!BB228</f>
        <v>5284</v>
      </c>
      <c r="BC13" s="16">
        <f>-'Income Statement'!BC228</f>
        <v>5774</v>
      </c>
      <c r="BD13" s="16">
        <f>-'Income Statement'!BD228</f>
        <v>5743</v>
      </c>
      <c r="BE13" s="16">
        <f>-'Income Statement'!BE228</f>
        <v>5659</v>
      </c>
      <c r="BF13" s="16">
        <f>-'Income Statement'!BF228</f>
        <v>5264</v>
      </c>
      <c r="BG13" s="16">
        <f>-'Income Statement'!BG228</f>
        <v>5865</v>
      </c>
      <c r="BH13" s="16">
        <f>-'Income Statement'!BH228</f>
        <v>5846</v>
      </c>
      <c r="BI13" s="16">
        <f>-'Income Statement'!BI228</f>
        <v>5810</v>
      </c>
      <c r="BJ13" s="16">
        <f>-'Income Statement'!BJ228</f>
        <v>5516</v>
      </c>
      <c r="BK13" s="16">
        <f>-'Income Statement'!BK228</f>
        <v>5998</v>
      </c>
      <c r="BL13" s="16">
        <f>-'Income Statement'!BL228</f>
        <v>6368</v>
      </c>
      <c r="BM13" s="16">
        <f>-'Income Statement'!BM228</f>
        <v>6391.0000000000009</v>
      </c>
      <c r="BN13" s="16">
        <f>-'Income Statement'!BN228</f>
        <v>6012.4400000000005</v>
      </c>
      <c r="BO13" s="16">
        <f>-'Income Statement'!BO228</f>
        <v>6537.8200000000006</v>
      </c>
      <c r="BP13" s="16">
        <f>-'Income Statement'!BP228</f>
        <v>6941.1200000000008</v>
      </c>
      <c r="BQ13" s="16">
        <f>-'Income Statement'!BQ228</f>
        <v>6966.1900000000014</v>
      </c>
      <c r="BR13" s="72">
        <f>-'Income Statement'!BR228</f>
        <v>6493.4352000000008</v>
      </c>
      <c r="BS13" s="72">
        <f>-'Income Statement'!BS228</f>
        <v>7060.8456000000015</v>
      </c>
      <c r="BT13" s="72">
        <f>-'Income Statement'!BT228</f>
        <v>7496.4096000000018</v>
      </c>
      <c r="BU13" s="72">
        <f>-'Income Statement'!BU228</f>
        <v>7523.4852000000019</v>
      </c>
      <c r="BV13" s="72">
        <f>-'Income Statement'!BV228</f>
        <v>7012.9100160000016</v>
      </c>
      <c r="BW13" s="72">
        <f>-'Income Statement'!BW228</f>
        <v>7484.496336000002</v>
      </c>
      <c r="BX13" s="72">
        <f>-'Income Statement'!BX228</f>
        <v>7946.1941760000027</v>
      </c>
      <c r="BY13" s="72">
        <f>-'Income Statement'!BY228</f>
        <v>7974.8943120000022</v>
      </c>
      <c r="BZ13" s="72">
        <f>-'Income Statement'!BZ228</f>
        <v>7433.6846169600021</v>
      </c>
      <c r="CA13" s="72">
        <f>-'Income Statement'!CA228</f>
        <v>7858.7211528000025</v>
      </c>
      <c r="CB13" s="72">
        <f>-'Income Statement'!CB228</f>
        <v>8343.503884800004</v>
      </c>
      <c r="CC13" s="72">
        <f>-'Income Statement'!CC228</f>
        <v>8373.639027600002</v>
      </c>
      <c r="CD13" s="72">
        <f>-'Income Statement'!CD228</f>
        <v>7805.368847808003</v>
      </c>
      <c r="CE13" s="72">
        <f>-'Income Statement'!CE228</f>
        <v>8251.6572104400038</v>
      </c>
      <c r="CF13" s="72">
        <f>-'Income Statement'!CF228</f>
        <v>8760.6790790400046</v>
      </c>
      <c r="CG13" s="72">
        <f>-'Income Statement'!CG228</f>
        <v>8792.3209789800021</v>
      </c>
      <c r="CH13" s="7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</row>
    <row r="14" spans="1:107" x14ac:dyDescent="0.2">
      <c r="A14" s="1" t="s">
        <v>331</v>
      </c>
      <c r="B14" s="65">
        <f>B$13*B18</f>
        <v>8.73</v>
      </c>
      <c r="C14" s="65">
        <f t="shared" ref="C14:BN14" si="94">C$13*C18</f>
        <v>9.27</v>
      </c>
      <c r="D14" s="65">
        <f t="shared" si="94"/>
        <v>11.4</v>
      </c>
      <c r="E14" s="65">
        <f t="shared" si="94"/>
        <v>11.879999999999999</v>
      </c>
      <c r="F14" s="65">
        <f t="shared" si="94"/>
        <v>12.959999999999999</v>
      </c>
      <c r="G14" s="65">
        <f t="shared" si="94"/>
        <v>13.049999999999999</v>
      </c>
      <c r="H14" s="65">
        <f t="shared" si="94"/>
        <v>17.13</v>
      </c>
      <c r="I14" s="65">
        <f t="shared" si="94"/>
        <v>16.079999999999998</v>
      </c>
      <c r="J14" s="65">
        <f t="shared" si="94"/>
        <v>16.68</v>
      </c>
      <c r="K14" s="65">
        <f t="shared" si="94"/>
        <v>19.739999999999998</v>
      </c>
      <c r="L14" s="65">
        <f t="shared" si="94"/>
        <v>22.86</v>
      </c>
      <c r="M14" s="65">
        <f t="shared" si="94"/>
        <v>21.24</v>
      </c>
      <c r="N14" s="65">
        <f t="shared" si="94"/>
        <v>20.91</v>
      </c>
      <c r="O14" s="65">
        <f t="shared" si="94"/>
        <v>23.49</v>
      </c>
      <c r="P14" s="65">
        <f t="shared" si="94"/>
        <v>26.58</v>
      </c>
      <c r="Q14" s="65">
        <f t="shared" si="94"/>
        <v>27.06</v>
      </c>
      <c r="R14" s="65">
        <f t="shared" si="94"/>
        <v>25.169999999999998</v>
      </c>
      <c r="S14" s="65">
        <f t="shared" si="94"/>
        <v>26.4</v>
      </c>
      <c r="T14" s="65">
        <f t="shared" si="94"/>
        <v>37.65</v>
      </c>
      <c r="U14" s="65">
        <f t="shared" si="94"/>
        <v>36.03</v>
      </c>
      <c r="V14" s="65">
        <f t="shared" si="94"/>
        <v>27.09</v>
      </c>
      <c r="W14" s="65">
        <f t="shared" si="94"/>
        <v>33.96</v>
      </c>
      <c r="X14" s="65">
        <f t="shared" si="94"/>
        <v>42.96</v>
      </c>
      <c r="Y14" s="65">
        <f t="shared" si="94"/>
        <v>43.08</v>
      </c>
      <c r="Z14" s="65">
        <f t="shared" si="94"/>
        <v>44.82</v>
      </c>
      <c r="AA14" s="65">
        <f t="shared" si="94"/>
        <v>45.089999999999996</v>
      </c>
      <c r="AB14" s="65">
        <f t="shared" si="94"/>
        <v>55.8</v>
      </c>
      <c r="AC14" s="65">
        <f t="shared" si="94"/>
        <v>55.379999999999995</v>
      </c>
      <c r="AD14" s="65">
        <f t="shared" si="94"/>
        <v>60.269999999999996</v>
      </c>
      <c r="AE14" s="65">
        <f t="shared" si="94"/>
        <v>60.089999999999996</v>
      </c>
      <c r="AF14" s="65">
        <f t="shared" si="94"/>
        <v>54.6</v>
      </c>
      <c r="AG14" s="65">
        <f t="shared" si="94"/>
        <v>55.41</v>
      </c>
      <c r="AH14" s="65">
        <f t="shared" si="94"/>
        <v>73.709999999999994</v>
      </c>
      <c r="AI14" s="65">
        <f t="shared" si="94"/>
        <v>72.39</v>
      </c>
      <c r="AJ14" s="65">
        <f t="shared" si="94"/>
        <v>66.899999999999991</v>
      </c>
      <c r="AK14" s="65">
        <f t="shared" si="94"/>
        <v>67.59</v>
      </c>
      <c r="AL14" s="20">
        <f t="shared" si="94"/>
        <v>83.07</v>
      </c>
      <c r="AM14" s="20">
        <f t="shared" si="94"/>
        <v>82.679999999999993</v>
      </c>
      <c r="AN14" s="20">
        <f t="shared" si="94"/>
        <v>78.72</v>
      </c>
      <c r="AO14" s="20">
        <f t="shared" si="94"/>
        <v>79.349999999999994</v>
      </c>
      <c r="AP14" s="20">
        <f t="shared" si="94"/>
        <v>95.72999999999999</v>
      </c>
      <c r="AQ14" s="20">
        <f t="shared" si="94"/>
        <v>101.46</v>
      </c>
      <c r="AR14" s="20">
        <f t="shared" si="94"/>
        <v>95.85</v>
      </c>
      <c r="AS14" s="20">
        <f t="shared" si="94"/>
        <v>96.69</v>
      </c>
      <c r="AT14" s="20">
        <f t="shared" si="94"/>
        <v>112.35</v>
      </c>
      <c r="AU14" s="20">
        <f>AU$13*AU18</f>
        <v>114.08999999999999</v>
      </c>
      <c r="AV14" s="20">
        <f t="shared" si="94"/>
        <v>116.22</v>
      </c>
      <c r="AW14" s="20">
        <f t="shared" si="94"/>
        <v>118.61999999999999</v>
      </c>
      <c r="AX14" s="20">
        <f t="shared" si="94"/>
        <v>135.12</v>
      </c>
      <c r="AY14" s="20">
        <f t="shared" si="94"/>
        <v>143.46</v>
      </c>
      <c r="AZ14" s="20">
        <f t="shared" si="94"/>
        <v>149.28</v>
      </c>
      <c r="BA14" s="20">
        <f t="shared" si="94"/>
        <v>153</v>
      </c>
      <c r="BB14" s="20">
        <f t="shared" si="94"/>
        <v>158.51999999999998</v>
      </c>
      <c r="BC14" s="20">
        <f t="shared" ref="BC14:BD14" si="95">BC$13*BC18</f>
        <v>173.22</v>
      </c>
      <c r="BD14" s="20">
        <f t="shared" si="95"/>
        <v>172.29</v>
      </c>
      <c r="BE14" s="20">
        <f t="shared" ref="BE14:BF14" si="96">BE$13*BE18</f>
        <v>169.76999999999998</v>
      </c>
      <c r="BF14" s="20">
        <f t="shared" si="96"/>
        <v>157.91999999999999</v>
      </c>
      <c r="BG14" s="20">
        <f t="shared" ref="BG14:BH14" si="97">BG$13*BG18</f>
        <v>175.95</v>
      </c>
      <c r="BH14" s="20">
        <f t="shared" si="97"/>
        <v>175.38</v>
      </c>
      <c r="BI14" s="20">
        <f t="shared" ref="BI14:BJ14" si="98">BI$13*BI18</f>
        <v>174.29999999999998</v>
      </c>
      <c r="BJ14" s="20">
        <f t="shared" si="98"/>
        <v>165.48</v>
      </c>
      <c r="BK14" s="20">
        <f t="shared" ref="BK14:BL14" si="99">BK$13*BK18</f>
        <v>179.94</v>
      </c>
      <c r="BL14" s="20">
        <f t="shared" si="99"/>
        <v>191.04</v>
      </c>
      <c r="BM14" s="20">
        <f t="shared" si="94"/>
        <v>191.73000000000002</v>
      </c>
      <c r="BN14" s="20">
        <f t="shared" si="94"/>
        <v>180.3732</v>
      </c>
      <c r="BO14" s="20">
        <f t="shared" ref="BO14:BQ14" si="100">BO$13*BO18</f>
        <v>196.13460000000001</v>
      </c>
      <c r="BP14" s="20">
        <f t="shared" si="100"/>
        <v>208.23360000000002</v>
      </c>
      <c r="BQ14" s="20">
        <f t="shared" si="100"/>
        <v>208.98570000000004</v>
      </c>
      <c r="BR14" s="20">
        <f>BR$13*BR18</f>
        <v>194.80305600000003</v>
      </c>
      <c r="BS14" s="20">
        <f t="shared" ref="BS14:BU14" si="101">BS$13*BS18</f>
        <v>211.82536800000003</v>
      </c>
      <c r="BT14" s="20">
        <f t="shared" si="101"/>
        <v>224.89228800000004</v>
      </c>
      <c r="BU14" s="20">
        <f t="shared" si="101"/>
        <v>225.70455600000005</v>
      </c>
      <c r="BV14" s="20">
        <f t="shared" ref="BV14:CC14" si="102">BV$13*BV18</f>
        <v>210.38730048000005</v>
      </c>
      <c r="BW14" s="20">
        <f t="shared" si="102"/>
        <v>224.53489008000005</v>
      </c>
      <c r="BX14" s="20">
        <f t="shared" si="102"/>
        <v>238.38582528000006</v>
      </c>
      <c r="BY14" s="20">
        <f t="shared" si="102"/>
        <v>239.24682936000005</v>
      </c>
      <c r="BZ14" s="20">
        <f t="shared" si="102"/>
        <v>223.01053850880007</v>
      </c>
      <c r="CA14" s="20">
        <f t="shared" si="102"/>
        <v>235.76163458400006</v>
      </c>
      <c r="CB14" s="20">
        <f t="shared" si="102"/>
        <v>250.3051165440001</v>
      </c>
      <c r="CC14" s="20">
        <f t="shared" si="102"/>
        <v>251.20917082800005</v>
      </c>
      <c r="CD14" s="20">
        <f t="shared" ref="CD14:CG14" si="103">CD$13*CD18</f>
        <v>234.16106543424007</v>
      </c>
      <c r="CE14" s="20">
        <f t="shared" si="103"/>
        <v>247.54971631320009</v>
      </c>
      <c r="CF14" s="20">
        <f t="shared" si="103"/>
        <v>262.82037237120011</v>
      </c>
      <c r="CG14" s="20">
        <f t="shared" si="103"/>
        <v>263.76962936940004</v>
      </c>
      <c r="CH14" s="20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</row>
    <row r="15" spans="1:107" ht="12.75" thickBot="1" x14ac:dyDescent="0.25">
      <c r="A15" s="1" t="s">
        <v>332</v>
      </c>
      <c r="B15" s="20">
        <f>B$13*B19</f>
        <v>-98.940000000000012</v>
      </c>
      <c r="C15" s="20">
        <f t="shared" ref="C15:BN15" si="104">C$13*C19</f>
        <v>-105.06</v>
      </c>
      <c r="D15" s="20">
        <f t="shared" si="104"/>
        <v>-129.20000000000002</v>
      </c>
      <c r="E15" s="20">
        <f t="shared" si="104"/>
        <v>-134.64000000000001</v>
      </c>
      <c r="F15" s="20">
        <f t="shared" si="104"/>
        <v>-146.88000000000002</v>
      </c>
      <c r="G15" s="20">
        <f t="shared" si="104"/>
        <v>-147.9</v>
      </c>
      <c r="H15" s="20">
        <f t="shared" si="104"/>
        <v>-194.14000000000001</v>
      </c>
      <c r="I15" s="20">
        <f t="shared" si="104"/>
        <v>-182.24</v>
      </c>
      <c r="J15" s="20">
        <f t="shared" si="104"/>
        <v>-189.04000000000002</v>
      </c>
      <c r="K15" s="20">
        <f t="shared" si="104"/>
        <v>-223.72000000000003</v>
      </c>
      <c r="L15" s="20">
        <f t="shared" si="104"/>
        <v>-259.08000000000004</v>
      </c>
      <c r="M15" s="20">
        <f t="shared" si="104"/>
        <v>-240.72000000000003</v>
      </c>
      <c r="N15" s="20">
        <f t="shared" si="104"/>
        <v>-236.98000000000002</v>
      </c>
      <c r="O15" s="20">
        <f t="shared" si="104"/>
        <v>-266.22000000000003</v>
      </c>
      <c r="P15" s="20">
        <f t="shared" si="104"/>
        <v>-301.24</v>
      </c>
      <c r="Q15" s="20">
        <f t="shared" si="104"/>
        <v>-306.68</v>
      </c>
      <c r="R15" s="20">
        <f t="shared" si="104"/>
        <v>-285.26000000000005</v>
      </c>
      <c r="S15" s="20">
        <f t="shared" si="104"/>
        <v>-299.20000000000005</v>
      </c>
      <c r="T15" s="20">
        <f t="shared" si="104"/>
        <v>-426.70000000000005</v>
      </c>
      <c r="U15" s="20">
        <f t="shared" si="104"/>
        <v>-408.34000000000003</v>
      </c>
      <c r="V15" s="20">
        <f t="shared" si="104"/>
        <v>-307.02000000000004</v>
      </c>
      <c r="W15" s="20">
        <f t="shared" si="104"/>
        <v>-384.88000000000005</v>
      </c>
      <c r="X15" s="20">
        <f t="shared" si="104"/>
        <v>-486.88000000000005</v>
      </c>
      <c r="Y15" s="20">
        <f t="shared" si="104"/>
        <v>-488.24</v>
      </c>
      <c r="Z15" s="20">
        <f t="shared" si="104"/>
        <v>-507.96000000000004</v>
      </c>
      <c r="AA15" s="20">
        <f t="shared" si="104"/>
        <v>-511.02000000000004</v>
      </c>
      <c r="AB15" s="20">
        <f t="shared" si="104"/>
        <v>-632.40000000000009</v>
      </c>
      <c r="AC15" s="20">
        <f t="shared" si="104"/>
        <v>-627.6400000000001</v>
      </c>
      <c r="AD15" s="20">
        <f t="shared" si="104"/>
        <v>-683.06000000000006</v>
      </c>
      <c r="AE15" s="20">
        <f t="shared" si="104"/>
        <v>-681.0200000000001</v>
      </c>
      <c r="AF15" s="20">
        <f t="shared" si="104"/>
        <v>-618.80000000000007</v>
      </c>
      <c r="AG15" s="20">
        <f t="shared" si="104"/>
        <v>-627.98</v>
      </c>
      <c r="AH15" s="20">
        <f t="shared" si="104"/>
        <v>-835.38000000000011</v>
      </c>
      <c r="AI15" s="20">
        <f t="shared" si="104"/>
        <v>-820.42000000000007</v>
      </c>
      <c r="AJ15" s="20">
        <f t="shared" si="104"/>
        <v>-758.2</v>
      </c>
      <c r="AK15" s="20">
        <f t="shared" si="104"/>
        <v>-766.0200000000001</v>
      </c>
      <c r="AL15" s="20">
        <f t="shared" si="104"/>
        <v>-941.46</v>
      </c>
      <c r="AM15" s="20">
        <f t="shared" si="104"/>
        <v>-937.04000000000008</v>
      </c>
      <c r="AN15" s="20">
        <f t="shared" si="104"/>
        <v>-892.16000000000008</v>
      </c>
      <c r="AO15" s="20">
        <f t="shared" si="104"/>
        <v>-899.30000000000007</v>
      </c>
      <c r="AP15" s="20">
        <f t="shared" si="104"/>
        <v>-1084.94</v>
      </c>
      <c r="AQ15" s="20">
        <f t="shared" si="104"/>
        <v>-1149.8800000000001</v>
      </c>
      <c r="AR15" s="20">
        <f t="shared" si="104"/>
        <v>-1086.3000000000002</v>
      </c>
      <c r="AS15" s="20">
        <f t="shared" si="104"/>
        <v>-1095.8200000000002</v>
      </c>
      <c r="AT15" s="20">
        <f t="shared" si="104"/>
        <v>-1273.3000000000002</v>
      </c>
      <c r="AU15" s="20">
        <f t="shared" si="104"/>
        <v>-1293.02</v>
      </c>
      <c r="AV15" s="20">
        <f t="shared" si="104"/>
        <v>-1317.16</v>
      </c>
      <c r="AW15" s="20">
        <f t="shared" si="104"/>
        <v>-1344.3600000000001</v>
      </c>
      <c r="AX15" s="20">
        <f>AX$13*AX19</f>
        <v>-1531.3600000000001</v>
      </c>
      <c r="AY15" s="20">
        <f t="shared" si="104"/>
        <v>-1625.88</v>
      </c>
      <c r="AZ15" s="20">
        <f t="shared" si="104"/>
        <v>-1691.8400000000001</v>
      </c>
      <c r="BA15" s="20">
        <f t="shared" si="104"/>
        <v>-1734.0000000000002</v>
      </c>
      <c r="BB15" s="20">
        <f t="shared" si="104"/>
        <v>-1796.5600000000002</v>
      </c>
      <c r="BC15" s="20">
        <f t="shared" ref="BC15:BD15" si="105">BC$13*BC19</f>
        <v>-1963.16</v>
      </c>
      <c r="BD15" s="20">
        <f t="shared" si="105"/>
        <v>-1952.6200000000001</v>
      </c>
      <c r="BE15" s="20">
        <f t="shared" ref="BE15:BF15" si="106">BE$13*BE19</f>
        <v>-1924.0600000000002</v>
      </c>
      <c r="BF15" s="20">
        <f t="shared" si="106"/>
        <v>-1789.7600000000002</v>
      </c>
      <c r="BG15" s="20">
        <f t="shared" ref="BG15:BH15" si="107">BG$13*BG19</f>
        <v>-1994.1000000000001</v>
      </c>
      <c r="BH15" s="20">
        <f t="shared" si="107"/>
        <v>-1987.64</v>
      </c>
      <c r="BI15" s="20">
        <f t="shared" ref="BI15:BJ15" si="108">BI$13*BI19</f>
        <v>-1975.4</v>
      </c>
      <c r="BJ15" s="20">
        <f t="shared" si="108"/>
        <v>-1875.44</v>
      </c>
      <c r="BK15" s="20">
        <f t="shared" ref="BK15:BL15" si="109">BK$13*BK19</f>
        <v>-2039.3200000000002</v>
      </c>
      <c r="BL15" s="20">
        <f t="shared" si="109"/>
        <v>-2165.1200000000003</v>
      </c>
      <c r="BM15" s="20">
        <f t="shared" si="104"/>
        <v>-2172.9400000000005</v>
      </c>
      <c r="BN15" s="20">
        <f t="shared" si="104"/>
        <v>-2044.2296000000003</v>
      </c>
      <c r="BO15" s="20">
        <f t="shared" ref="BO15:BQ15" si="110">BO$13*BO19</f>
        <v>-2222.8588000000004</v>
      </c>
      <c r="BP15" s="20">
        <f t="shared" si="110"/>
        <v>-2359.9808000000003</v>
      </c>
      <c r="BQ15" s="20">
        <f t="shared" si="110"/>
        <v>-2368.5046000000007</v>
      </c>
      <c r="BR15" s="20">
        <f>BR$13*BR19</f>
        <v>-2207.7679680000006</v>
      </c>
      <c r="BS15" s="20">
        <f t="shared" ref="BS15:BU15" si="111">BS$13*BS19</f>
        <v>-2400.6875040000004</v>
      </c>
      <c r="BT15" s="20">
        <f t="shared" si="111"/>
        <v>-2548.7792640000007</v>
      </c>
      <c r="BU15" s="20">
        <f t="shared" si="111"/>
        <v>-2557.9849680000007</v>
      </c>
      <c r="BV15" s="20">
        <f t="shared" ref="BV15:CC15" si="112">BV$13*BV19</f>
        <v>-2384.3894054400007</v>
      </c>
      <c r="BW15" s="20">
        <f t="shared" si="112"/>
        <v>-2544.7287542400009</v>
      </c>
      <c r="BX15" s="20">
        <f t="shared" si="112"/>
        <v>-2701.7060198400013</v>
      </c>
      <c r="BY15" s="20">
        <f t="shared" si="112"/>
        <v>-2711.464066080001</v>
      </c>
      <c r="BZ15" s="20">
        <f t="shared" si="112"/>
        <v>-2527.4527697664007</v>
      </c>
      <c r="CA15" s="20">
        <f t="shared" si="112"/>
        <v>-2671.9651919520011</v>
      </c>
      <c r="CB15" s="20">
        <f t="shared" si="112"/>
        <v>-2836.7913208320015</v>
      </c>
      <c r="CC15" s="20">
        <f t="shared" si="112"/>
        <v>-2847.0372693840009</v>
      </c>
      <c r="CD15" s="20">
        <f t="shared" ref="CD15:CG15" si="113">CD$13*CD19</f>
        <v>-2653.8254082547214</v>
      </c>
      <c r="CE15" s="20">
        <f t="shared" si="113"/>
        <v>-2805.5634515496017</v>
      </c>
      <c r="CF15" s="20">
        <f t="shared" si="113"/>
        <v>-2978.6308868736019</v>
      </c>
      <c r="CG15" s="20">
        <f t="shared" si="113"/>
        <v>-2989.3891328532009</v>
      </c>
      <c r="CH15" s="20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</row>
    <row r="17" spans="1:107" x14ac:dyDescent="0.2">
      <c r="A17" s="4" t="s">
        <v>194</v>
      </c>
    </row>
    <row r="18" spans="1:107" x14ac:dyDescent="0.2">
      <c r="A18" s="1" t="s">
        <v>333</v>
      </c>
      <c r="B18" s="66">
        <v>0.03</v>
      </c>
      <c r="C18" s="66">
        <v>0.03</v>
      </c>
      <c r="D18" s="66">
        <v>0.03</v>
      </c>
      <c r="E18" s="66">
        <v>0.03</v>
      </c>
      <c r="F18" s="66">
        <v>0.03</v>
      </c>
      <c r="G18" s="66">
        <v>0.03</v>
      </c>
      <c r="H18" s="66">
        <v>0.03</v>
      </c>
      <c r="I18" s="66">
        <v>0.03</v>
      </c>
      <c r="J18" s="66">
        <v>0.03</v>
      </c>
      <c r="K18" s="66">
        <v>0.03</v>
      </c>
      <c r="L18" s="66">
        <v>0.03</v>
      </c>
      <c r="M18" s="66">
        <v>0.03</v>
      </c>
      <c r="N18" s="66">
        <v>0.03</v>
      </c>
      <c r="O18" s="66">
        <v>0.03</v>
      </c>
      <c r="P18" s="66">
        <v>0.03</v>
      </c>
      <c r="Q18" s="66">
        <v>0.03</v>
      </c>
      <c r="R18" s="66">
        <v>0.03</v>
      </c>
      <c r="S18" s="66">
        <v>0.03</v>
      </c>
      <c r="T18" s="66">
        <v>0.03</v>
      </c>
      <c r="U18" s="66">
        <v>0.03</v>
      </c>
      <c r="V18" s="66">
        <v>0.03</v>
      </c>
      <c r="W18" s="66">
        <v>0.03</v>
      </c>
      <c r="X18" s="66">
        <v>0.03</v>
      </c>
      <c r="Y18" s="66">
        <v>0.03</v>
      </c>
      <c r="Z18" s="66">
        <v>0.03</v>
      </c>
      <c r="AA18" s="66">
        <v>0.03</v>
      </c>
      <c r="AB18" s="66">
        <v>0.03</v>
      </c>
      <c r="AC18" s="66">
        <v>0.03</v>
      </c>
      <c r="AD18" s="66">
        <v>0.03</v>
      </c>
      <c r="AE18" s="66">
        <v>0.03</v>
      </c>
      <c r="AF18" s="66">
        <v>0.03</v>
      </c>
      <c r="AG18" s="66">
        <v>0.03</v>
      </c>
      <c r="AH18" s="66">
        <v>0.03</v>
      </c>
      <c r="AI18" s="66">
        <v>0.03</v>
      </c>
      <c r="AJ18" s="66">
        <v>0.03</v>
      </c>
      <c r="AK18" s="66">
        <v>0.03</v>
      </c>
      <c r="AL18" s="66">
        <v>0.03</v>
      </c>
      <c r="AM18" s="66">
        <v>0.03</v>
      </c>
      <c r="AN18" s="66">
        <v>0.03</v>
      </c>
      <c r="AO18" s="66">
        <v>0.03</v>
      </c>
      <c r="AP18" s="66">
        <v>0.03</v>
      </c>
      <c r="AQ18" s="66">
        <v>0.03</v>
      </c>
      <c r="AR18" s="66">
        <v>0.03</v>
      </c>
      <c r="AS18" s="66">
        <v>0.03</v>
      </c>
      <c r="AT18" s="66">
        <v>0.03</v>
      </c>
      <c r="AU18" s="66">
        <v>0.03</v>
      </c>
      <c r="AV18" s="66">
        <v>0.03</v>
      </c>
      <c r="AW18" s="66">
        <v>0.03</v>
      </c>
      <c r="AX18" s="66">
        <v>0.03</v>
      </c>
      <c r="AY18" s="66">
        <v>0.03</v>
      </c>
      <c r="AZ18" s="66">
        <v>0.03</v>
      </c>
      <c r="BA18" s="66">
        <v>0.03</v>
      </c>
      <c r="BB18" s="66">
        <v>0.03</v>
      </c>
      <c r="BC18" s="66">
        <v>0.03</v>
      </c>
      <c r="BD18" s="66">
        <v>0.03</v>
      </c>
      <c r="BE18" s="66">
        <v>0.03</v>
      </c>
      <c r="BF18" s="66">
        <v>0.03</v>
      </c>
      <c r="BG18" s="66">
        <v>0.03</v>
      </c>
      <c r="BH18" s="66">
        <v>0.03</v>
      </c>
      <c r="BI18" s="66">
        <v>0.03</v>
      </c>
      <c r="BJ18" s="66">
        <v>0.03</v>
      </c>
      <c r="BK18" s="66">
        <v>0.03</v>
      </c>
      <c r="BL18" s="66">
        <v>0.03</v>
      </c>
      <c r="BM18" s="66">
        <v>0.03</v>
      </c>
      <c r="BN18" s="66">
        <v>0.03</v>
      </c>
      <c r="BO18" s="66">
        <v>0.03</v>
      </c>
      <c r="BP18" s="66">
        <v>0.03</v>
      </c>
      <c r="BQ18" s="66">
        <v>0.03</v>
      </c>
      <c r="BR18" s="66">
        <v>0.03</v>
      </c>
      <c r="BS18" s="66">
        <v>0.03</v>
      </c>
      <c r="BT18" s="66">
        <v>0.03</v>
      </c>
      <c r="BU18" s="66">
        <v>0.03</v>
      </c>
      <c r="BV18" s="66">
        <v>0.03</v>
      </c>
      <c r="BW18" s="66">
        <v>0.03</v>
      </c>
      <c r="BX18" s="66">
        <v>0.03</v>
      </c>
      <c r="BY18" s="66">
        <v>0.03</v>
      </c>
      <c r="BZ18" s="66">
        <v>0.03</v>
      </c>
      <c r="CA18" s="66">
        <v>0.03</v>
      </c>
      <c r="CB18" s="66">
        <v>0.03</v>
      </c>
      <c r="CC18" s="66">
        <v>0.03</v>
      </c>
      <c r="CD18" s="66">
        <v>0.03</v>
      </c>
      <c r="CE18" s="66">
        <v>0.03</v>
      </c>
      <c r="CF18" s="66">
        <v>0.03</v>
      </c>
      <c r="CG18" s="66">
        <v>0.03</v>
      </c>
      <c r="CH18" s="66"/>
    </row>
    <row r="19" spans="1:107" x14ac:dyDescent="0.2">
      <c r="A19" s="1" t="s">
        <v>334</v>
      </c>
      <c r="B19" s="66">
        <v>-0.34</v>
      </c>
      <c r="C19" s="66">
        <v>-0.34</v>
      </c>
      <c r="D19" s="66">
        <v>-0.34</v>
      </c>
      <c r="E19" s="66">
        <v>-0.34</v>
      </c>
      <c r="F19" s="66">
        <v>-0.34</v>
      </c>
      <c r="G19" s="66">
        <v>-0.34</v>
      </c>
      <c r="H19" s="66">
        <v>-0.34</v>
      </c>
      <c r="I19" s="66">
        <v>-0.34</v>
      </c>
      <c r="J19" s="66">
        <v>-0.34</v>
      </c>
      <c r="K19" s="66">
        <v>-0.34</v>
      </c>
      <c r="L19" s="66">
        <v>-0.34</v>
      </c>
      <c r="M19" s="66">
        <v>-0.34</v>
      </c>
      <c r="N19" s="66">
        <v>-0.34</v>
      </c>
      <c r="O19" s="66">
        <v>-0.34</v>
      </c>
      <c r="P19" s="66">
        <v>-0.34</v>
      </c>
      <c r="Q19" s="66">
        <v>-0.34</v>
      </c>
      <c r="R19" s="66">
        <v>-0.34</v>
      </c>
      <c r="S19" s="66">
        <v>-0.34</v>
      </c>
      <c r="T19" s="66">
        <v>-0.34</v>
      </c>
      <c r="U19" s="66">
        <v>-0.34</v>
      </c>
      <c r="V19" s="66">
        <v>-0.34</v>
      </c>
      <c r="W19" s="66">
        <v>-0.34</v>
      </c>
      <c r="X19" s="66">
        <v>-0.34</v>
      </c>
      <c r="Y19" s="66">
        <v>-0.34</v>
      </c>
      <c r="Z19" s="66">
        <v>-0.34</v>
      </c>
      <c r="AA19" s="66">
        <v>-0.34</v>
      </c>
      <c r="AB19" s="66">
        <v>-0.34</v>
      </c>
      <c r="AC19" s="66">
        <v>-0.34</v>
      </c>
      <c r="AD19" s="66">
        <v>-0.34</v>
      </c>
      <c r="AE19" s="66">
        <v>-0.34</v>
      </c>
      <c r="AF19" s="66">
        <v>-0.34</v>
      </c>
      <c r="AG19" s="66">
        <v>-0.34</v>
      </c>
      <c r="AH19" s="66">
        <v>-0.34</v>
      </c>
      <c r="AI19" s="66">
        <v>-0.34</v>
      </c>
      <c r="AJ19" s="66">
        <v>-0.34</v>
      </c>
      <c r="AK19" s="66">
        <v>-0.34</v>
      </c>
      <c r="AL19" s="66">
        <v>-0.34</v>
      </c>
      <c r="AM19" s="66">
        <v>-0.34</v>
      </c>
      <c r="AN19" s="66">
        <v>-0.34</v>
      </c>
      <c r="AO19" s="66">
        <v>-0.34</v>
      </c>
      <c r="AP19" s="66">
        <v>-0.34</v>
      </c>
      <c r="AQ19" s="66">
        <v>-0.34</v>
      </c>
      <c r="AR19" s="66">
        <v>-0.34</v>
      </c>
      <c r="AS19" s="66">
        <v>-0.34</v>
      </c>
      <c r="AT19" s="66">
        <v>-0.34</v>
      </c>
      <c r="AU19" s="66">
        <v>-0.34</v>
      </c>
      <c r="AV19" s="66">
        <v>-0.34</v>
      </c>
      <c r="AW19" s="66">
        <v>-0.34</v>
      </c>
      <c r="AX19" s="66">
        <v>-0.34</v>
      </c>
      <c r="AY19" s="66">
        <v>-0.34</v>
      </c>
      <c r="AZ19" s="66">
        <v>-0.34</v>
      </c>
      <c r="BA19" s="66">
        <v>-0.34</v>
      </c>
      <c r="BB19" s="66">
        <v>-0.34</v>
      </c>
      <c r="BC19" s="66">
        <v>-0.34</v>
      </c>
      <c r="BD19" s="66">
        <v>-0.34</v>
      </c>
      <c r="BE19" s="66">
        <v>-0.34</v>
      </c>
      <c r="BF19" s="66">
        <v>-0.34</v>
      </c>
      <c r="BG19" s="66">
        <v>-0.34</v>
      </c>
      <c r="BH19" s="66">
        <v>-0.34</v>
      </c>
      <c r="BI19" s="66">
        <v>-0.34</v>
      </c>
      <c r="BJ19" s="66">
        <v>-0.34</v>
      </c>
      <c r="BK19" s="66">
        <v>-0.34</v>
      </c>
      <c r="BL19" s="66">
        <v>-0.34</v>
      </c>
      <c r="BM19" s="66">
        <v>-0.34</v>
      </c>
      <c r="BN19" s="66">
        <v>-0.34</v>
      </c>
      <c r="BO19" s="66">
        <v>-0.34</v>
      </c>
      <c r="BP19" s="66">
        <v>-0.34</v>
      </c>
      <c r="BQ19" s="66">
        <v>-0.34</v>
      </c>
      <c r="BR19" s="66">
        <v>-0.34</v>
      </c>
      <c r="BS19" s="66">
        <v>-0.34</v>
      </c>
      <c r="BT19" s="66">
        <v>-0.34</v>
      </c>
      <c r="BU19" s="66">
        <v>-0.34</v>
      </c>
      <c r="BV19" s="66">
        <v>-0.34</v>
      </c>
      <c r="BW19" s="66">
        <v>-0.34</v>
      </c>
      <c r="BX19" s="66">
        <v>-0.34</v>
      </c>
      <c r="BY19" s="66">
        <v>-0.34</v>
      </c>
      <c r="BZ19" s="66">
        <v>-0.34</v>
      </c>
      <c r="CA19" s="66">
        <v>-0.34</v>
      </c>
      <c r="CB19" s="66">
        <v>-0.34</v>
      </c>
      <c r="CC19" s="66">
        <v>-0.34</v>
      </c>
      <c r="CD19" s="66">
        <v>-0.34</v>
      </c>
      <c r="CE19" s="66">
        <v>-0.34</v>
      </c>
      <c r="CF19" s="66">
        <v>-0.34</v>
      </c>
      <c r="CG19" s="66">
        <v>-0.34</v>
      </c>
      <c r="CH19" s="66"/>
    </row>
    <row r="23" spans="1:107" s="227" customFormat="1" hidden="1" outlineLevel="1" x14ac:dyDescent="0.2">
      <c r="A23" s="226" t="s">
        <v>384</v>
      </c>
      <c r="CH23" s="1"/>
    </row>
    <row r="24" spans="1:107" s="227" customFormat="1" hidden="1" outlineLevel="1" x14ac:dyDescent="0.2">
      <c r="A24" s="227" t="s">
        <v>325</v>
      </c>
      <c r="B24" s="368">
        <v>636.548</v>
      </c>
      <c r="C24" s="368">
        <v>637.226</v>
      </c>
      <c r="D24" s="368">
        <v>638.46799999999996</v>
      </c>
      <c r="E24" s="368">
        <v>642.60199999999998</v>
      </c>
      <c r="F24" s="368">
        <v>644.25400000000002</v>
      </c>
      <c r="G24" s="368">
        <v>645.33600000000001</v>
      </c>
      <c r="H24" s="368">
        <v>647.51400000000001</v>
      </c>
      <c r="I24" s="368">
        <v>649.79</v>
      </c>
      <c r="J24" s="368">
        <v>651.81200000000001</v>
      </c>
      <c r="K24" s="368">
        <v>653.88800000000003</v>
      </c>
      <c r="L24" s="368">
        <v>657.10400000000004</v>
      </c>
      <c r="M24" s="368">
        <v>659.95799999999997</v>
      </c>
      <c r="N24" s="368">
        <v>662.01599999999996</v>
      </c>
      <c r="O24" s="368">
        <v>666.26800000000003</v>
      </c>
      <c r="P24" s="368">
        <v>668.31399999999996</v>
      </c>
      <c r="Q24" s="368">
        <v>671.66399999999999</v>
      </c>
      <c r="R24" s="368">
        <v>674.46199999999999</v>
      </c>
      <c r="S24" s="368">
        <v>675.60500000000002</v>
      </c>
      <c r="T24" s="368">
        <v>678.27700000000004</v>
      </c>
      <c r="U24" s="368">
        <v>680.17200000000003</v>
      </c>
      <c r="V24" s="368">
        <v>682.33</v>
      </c>
      <c r="W24" s="368">
        <v>685.49</v>
      </c>
      <c r="X24" s="368">
        <v>687.69299999999998</v>
      </c>
      <c r="Y24" s="368">
        <v>687.34799999999996</v>
      </c>
      <c r="Z24" s="368">
        <v>686.79200000000003</v>
      </c>
      <c r="AA24" s="368">
        <v>686.77800000000002</v>
      </c>
      <c r="AB24" s="368">
        <v>689.13599999999997</v>
      </c>
      <c r="AC24" s="368">
        <v>691.29300000000001</v>
      </c>
      <c r="AD24" s="368">
        <v>691.74900000000002</v>
      </c>
      <c r="AE24" s="368">
        <v>692.87900000000002</v>
      </c>
      <c r="AF24" s="368">
        <v>694.80200000000002</v>
      </c>
      <c r="AG24" s="368">
        <v>695.298</v>
      </c>
      <c r="AH24" s="368">
        <v>694.54899999999998</v>
      </c>
      <c r="AI24" s="368">
        <v>695.678</v>
      </c>
      <c r="AJ24" s="368">
        <v>695.46600000000001</v>
      </c>
      <c r="AK24" s="368">
        <v>695.18600000000004</v>
      </c>
      <c r="AL24" s="368">
        <v>694.24400000000003</v>
      </c>
      <c r="AM24" s="368">
        <v>693.39800000000002</v>
      </c>
      <c r="AN24" s="368">
        <v>689.68700000000001</v>
      </c>
      <c r="AO24" s="368">
        <v>687.28599999999994</v>
      </c>
      <c r="AP24" s="368">
        <v>682.62</v>
      </c>
      <c r="AQ24" s="368">
        <v>680.16399999999999</v>
      </c>
      <c r="AR24" s="368">
        <v>676.42600000000004</v>
      </c>
      <c r="AS24" s="368">
        <f>300.737081+45.843112+327.556472</f>
        <v>674.13666499999999</v>
      </c>
      <c r="AT24" s="368">
        <f>300.746844+45.836948+323.580001</f>
        <v>670.16379299999994</v>
      </c>
      <c r="AU24" s="368">
        <v>669.60739673556122</v>
      </c>
      <c r="AV24" s="368">
        <f>300.809676+45.21654+317.737778</f>
        <v>663.76399400000003</v>
      </c>
      <c r="AW24" s="368">
        <f>300.754904+44.576938+315.639479</f>
        <v>660.97132099999999</v>
      </c>
      <c r="AX24" s="368">
        <f>300.763622+44.359838+313.376417</f>
        <v>658.49987699999997</v>
      </c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8"/>
      <c r="BK24" s="228"/>
      <c r="BL24" s="228"/>
      <c r="CH24" s="1"/>
    </row>
    <row r="25" spans="1:107" s="227" customFormat="1" hidden="1" outlineLevel="1" x14ac:dyDescent="0.2">
      <c r="A25" s="227" t="s">
        <v>326</v>
      </c>
      <c r="B25" s="368">
        <v>635.79</v>
      </c>
      <c r="C25" s="368">
        <v>636.70000000000005</v>
      </c>
      <c r="D25" s="368">
        <v>637.23400000000004</v>
      </c>
      <c r="E25" s="368">
        <v>639.89200000000005</v>
      </c>
      <c r="F25" s="368">
        <v>635.79</v>
      </c>
      <c r="G25" s="368">
        <v>644.45600000000002</v>
      </c>
      <c r="H25" s="368">
        <v>646.30999999999995</v>
      </c>
      <c r="I25" s="368">
        <v>648.40800000000002</v>
      </c>
      <c r="J25" s="368">
        <v>650.59799999999996</v>
      </c>
      <c r="K25" s="368">
        <v>652.54399999999998</v>
      </c>
      <c r="L25" s="368">
        <v>655.57</v>
      </c>
      <c r="M25" s="368">
        <v>658.726</v>
      </c>
      <c r="N25" s="368">
        <v>660.90800000000002</v>
      </c>
      <c r="O25" s="368">
        <v>664.96</v>
      </c>
      <c r="P25" s="368">
        <v>667.23199999999997</v>
      </c>
      <c r="Q25" s="368">
        <v>669.67200000000003</v>
      </c>
      <c r="R25" s="368">
        <v>672.58699999999999</v>
      </c>
      <c r="S25" s="368">
        <v>675.11500000000001</v>
      </c>
      <c r="T25" s="368">
        <v>677.09699999999998</v>
      </c>
      <c r="U25" s="368">
        <v>678.94299999999998</v>
      </c>
      <c r="V25" s="368">
        <v>680.91499999999996</v>
      </c>
      <c r="W25" s="368">
        <v>683.61699999999996</v>
      </c>
      <c r="X25" s="368">
        <v>686.0344827586207</v>
      </c>
      <c r="Y25" s="368">
        <v>687.56983240223462</v>
      </c>
      <c r="Z25" s="368">
        <v>687.41830065359477</v>
      </c>
      <c r="AA25" s="368">
        <v>685.93530239099857</v>
      </c>
      <c r="AB25" s="368">
        <v>698.06896551724139</v>
      </c>
      <c r="AC25" s="368">
        <v>689.90944372574381</v>
      </c>
      <c r="AD25" s="368">
        <v>691.21019108280257</v>
      </c>
      <c r="AE25" s="368">
        <v>692.33791748526528</v>
      </c>
      <c r="AF25" s="368">
        <v>693.30587023686917</v>
      </c>
      <c r="AG25" s="368">
        <v>694.60400000000004</v>
      </c>
      <c r="AH25" s="368">
        <v>694.82333311247305</v>
      </c>
      <c r="AI25" s="368">
        <v>694.5614415064689</v>
      </c>
      <c r="AJ25" s="368">
        <v>695.83750874640396</v>
      </c>
      <c r="AK25" s="368">
        <v>695.26191999510434</v>
      </c>
      <c r="AL25" s="368">
        <v>694.88517745302715</v>
      </c>
      <c r="AM25" s="368">
        <v>694.13817166782974</v>
      </c>
      <c r="AN25" s="368">
        <v>692.94117647058829</v>
      </c>
      <c r="AO25" s="368">
        <v>688.80600000000004</v>
      </c>
      <c r="AP25" s="368">
        <v>686.46500000000003</v>
      </c>
      <c r="AQ25" s="368">
        <v>681.76800000000003</v>
      </c>
      <c r="AR25" s="368">
        <v>679.44899999999996</v>
      </c>
      <c r="AS25" s="368">
        <v>675.58199999999999</v>
      </c>
      <c r="AT25" s="368">
        <v>673.22</v>
      </c>
      <c r="AU25" s="368">
        <v>668.95799999999997</v>
      </c>
      <c r="AV25" s="368">
        <v>665.75800000000004</v>
      </c>
      <c r="AW25" s="368">
        <v>662.66300000000001</v>
      </c>
      <c r="AX25" s="368">
        <v>660.17100000000005</v>
      </c>
      <c r="AY25" s="228"/>
      <c r="AZ25" s="228"/>
      <c r="BA25" s="228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8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74"/>
      <c r="CP25" s="230"/>
      <c r="CQ25" s="230"/>
      <c r="CR25" s="230"/>
      <c r="CS25" s="230"/>
      <c r="CT25" s="230"/>
      <c r="CU25" s="230"/>
      <c r="CV25" s="230"/>
      <c r="CW25" s="230"/>
      <c r="CX25" s="230"/>
      <c r="CY25" s="230"/>
      <c r="CZ25" s="230"/>
      <c r="DA25" s="230"/>
      <c r="DB25" s="230"/>
      <c r="DC25" s="230"/>
    </row>
    <row r="26" spans="1:107" s="227" customFormat="1" hidden="1" outlineLevel="1" x14ac:dyDescent="0.2">
      <c r="A26" s="227" t="s">
        <v>328</v>
      </c>
      <c r="B26" s="368">
        <v>645.21600000000001</v>
      </c>
      <c r="C26" s="368">
        <v>644.97199999999998</v>
      </c>
      <c r="D26" s="368">
        <v>644.75400000000002</v>
      </c>
      <c r="E26" s="368">
        <v>651.072</v>
      </c>
      <c r="F26" s="368">
        <v>652.76599999999996</v>
      </c>
      <c r="G26" s="368">
        <v>652.072</v>
      </c>
      <c r="H26" s="368">
        <v>654.87800000000004</v>
      </c>
      <c r="I26" s="368">
        <v>658.00400000000002</v>
      </c>
      <c r="J26" s="368">
        <v>660.27200000000005</v>
      </c>
      <c r="K26" s="368">
        <v>661.58600000000001</v>
      </c>
      <c r="L26" s="368">
        <v>666.62800000000004</v>
      </c>
      <c r="M26" s="368">
        <v>669.99400000000003</v>
      </c>
      <c r="N26" s="368">
        <v>673.32600000000002</v>
      </c>
      <c r="O26" s="368">
        <v>676.67399999999998</v>
      </c>
      <c r="P26" s="368">
        <v>678.47</v>
      </c>
      <c r="Q26" s="368">
        <v>682.00599999999997</v>
      </c>
      <c r="R26" s="368">
        <v>685.21199999999999</v>
      </c>
      <c r="S26" s="368">
        <v>686.36300000000006</v>
      </c>
      <c r="T26" s="368">
        <v>688.21500000000003</v>
      </c>
      <c r="U26" s="368">
        <v>688.49099999999999</v>
      </c>
      <c r="V26" s="368">
        <v>689.49800000000005</v>
      </c>
      <c r="W26" s="368">
        <v>690.87800000000004</v>
      </c>
      <c r="X26" s="368">
        <v>694.31899999999996</v>
      </c>
      <c r="Y26" s="368">
        <v>697.02499999999998</v>
      </c>
      <c r="Z26" s="368">
        <v>699.31100000000004</v>
      </c>
      <c r="AA26" s="368">
        <v>696.84699999999998</v>
      </c>
      <c r="AB26" s="368">
        <v>698.44</v>
      </c>
      <c r="AC26" s="368">
        <v>700.221</v>
      </c>
      <c r="AD26" s="368">
        <v>702.03599999999994</v>
      </c>
      <c r="AE26" s="368">
        <v>703.50300000000004</v>
      </c>
      <c r="AF26" s="368">
        <v>703.71600000000001</v>
      </c>
      <c r="AG26" s="368">
        <v>705.07899999999995</v>
      </c>
      <c r="AH26" s="368">
        <v>705.13400000000001</v>
      </c>
      <c r="AI26" s="368">
        <v>703.24699999999996</v>
      </c>
      <c r="AJ26" s="368">
        <v>703.85900000000004</v>
      </c>
      <c r="AK26" s="368">
        <v>700.899</v>
      </c>
      <c r="AL26" s="368">
        <v>700.87900000000002</v>
      </c>
      <c r="AM26" s="368">
        <v>699.95399999999995</v>
      </c>
      <c r="AN26" s="368">
        <v>698.19899999999996</v>
      </c>
      <c r="AO26" s="368">
        <v>695.19399999999996</v>
      </c>
      <c r="AP26" s="368">
        <v>692.26700000000005</v>
      </c>
      <c r="AQ26" s="368">
        <v>687.024</v>
      </c>
      <c r="AR26" s="368">
        <v>685.851</v>
      </c>
      <c r="AS26" s="368">
        <v>682.96900000000005</v>
      </c>
      <c r="AT26" s="368">
        <v>682.07100000000003</v>
      </c>
      <c r="AU26" s="368">
        <v>679.61199999999997</v>
      </c>
      <c r="AV26" s="368">
        <v>676.51900000000001</v>
      </c>
      <c r="AW26" s="368">
        <v>672.49300000000005</v>
      </c>
      <c r="AX26" s="368">
        <v>667.55100000000004</v>
      </c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8"/>
      <c r="BK26" s="228"/>
      <c r="BL26" s="228"/>
      <c r="BM26" s="229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74"/>
      <c r="CP26" s="230"/>
      <c r="CQ26" s="230"/>
      <c r="CR26" s="230"/>
      <c r="CS26" s="230"/>
      <c r="CT26" s="230"/>
      <c r="CU26" s="230"/>
      <c r="CV26" s="230"/>
      <c r="CW26" s="230"/>
      <c r="CX26" s="230"/>
      <c r="CY26" s="230"/>
      <c r="CZ26" s="230"/>
      <c r="DA26" s="230"/>
      <c r="DB26" s="230"/>
      <c r="DC26" s="230"/>
    </row>
    <row r="27" spans="1:107" collapsed="1" x14ac:dyDescent="0.2"/>
    <row r="28" spans="1:107" x14ac:dyDescent="0.2">
      <c r="N28" s="1">
        <v>20</v>
      </c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ED5EB-6668-4657-AC3B-896437E9C6A5}">
  <ds:schemaRefs>
    <ds:schemaRef ds:uri="http://www.w3.org/2001/XMLSchema"/>
    <ds:schemaRef ds:uri="Exchange-SubmissionSheetWrapper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P&amp;L Summary</vt:lpstr>
      <vt:lpstr>Revenue Summary</vt:lpstr>
      <vt:lpstr>NTM Valuation</vt:lpstr>
      <vt:lpstr>Valuation</vt:lpstr>
      <vt:lpstr>Income Statement</vt:lpstr>
      <vt:lpstr>Cash Flow Statement</vt:lpstr>
      <vt:lpstr>Balance Sheet</vt:lpstr>
      <vt:lpstr>Capex &amp; Depreciation</vt:lpstr>
      <vt:lpstr>Working Capital</vt:lpstr>
      <vt:lpstr>Debt &amp; Interest</vt:lpstr>
      <vt:lpstr>Shares Outstanding &amp; Corporate</vt:lpstr>
    </vt:vector>
  </TitlesOfParts>
  <Company>Goldman Sachs &amp; Co.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Vegliante, Alex [GIR]</dc:creator>
  <cp:lastModifiedBy>Vegliante, Alex [GIR]</cp:lastModifiedBy>
  <cp:lastPrinted>2025-10-13T20:24:06Z</cp:lastPrinted>
  <dcterms:created xsi:type="dcterms:W3CDTF">2021-07-09T14:41:00Z</dcterms:created>
  <dcterms:modified xsi:type="dcterms:W3CDTF">2025-10-30T03:06:09Z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be860537-dda4-4aef-971f-a71ba95ac5e5</vt:lpwstr>
  </property>
  <property fmtid="{D5CDD505-2E9C-101B-9397-08002B2CF9AE}" pid="3" name="Classification">
    <vt:lpwstr>I</vt:lpwstr>
  </property>
  <property fmtid="{D5CDD505-2E9C-101B-9397-08002B2CF9AE}" pid="4" name="DocNoClass">
    <vt:lpwstr>Not In Use</vt:lpwstr>
  </property>
</Properties>
</file>