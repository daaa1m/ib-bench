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875" windowHeight="14431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BO" sheetId="2" state="visible" r:id="rId2"/>
  </sheets>
  <definedNames>
    <definedName name="circ">LBO!$M$12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fullCalcOnLoad="1" iterate="1"/>
</workbook>
</file>

<file path=xl/styles.xml><?xml version="1.0" encoding="utf-8"?>
<styleSheet xmlns="http://schemas.openxmlformats.org/spreadsheetml/2006/main">
  <numFmts count="13">
    <numFmt numFmtId="164" formatCode="#,##0.0_);\(#,##0.0\);0.0_);@_)"/>
    <numFmt numFmtId="165" formatCode="#,##0.0"/>
    <numFmt numFmtId="166" formatCode="0.0%"/>
    <numFmt numFmtId="167" formatCode="0.0%_);\(0.0%\)"/>
    <numFmt numFmtId="168" formatCode="0.0\ \x_);\(0.0\ \x\)"/>
    <numFmt numFmtId="169" formatCode="0.0"/>
    <numFmt numFmtId="170" formatCode="#,##0.0;\(#,##0.0\)"/>
    <numFmt numFmtId="171" formatCode="#,##0.0000000000000"/>
    <numFmt numFmtId="172" formatCode=";;;"/>
    <numFmt numFmtId="173" formatCode="###0.00_)"/>
    <numFmt numFmtId="174" formatCode="General\A"/>
    <numFmt numFmtId="175" formatCode="General\E"/>
    <numFmt numFmtId="176" formatCode="General\F"/>
  </numFmts>
  <fonts count="32">
    <font>
      <name val="Calibri"/>
      <family val="2"/>
      <sz val="11"/>
      <scheme val="minor"/>
    </font>
    <font>
      <name val="Arial"/>
      <family val="2"/>
      <color theme="1"/>
      <sz val="9"/>
    </font>
    <font>
      <name val="Arial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sz val="10"/>
    </font>
    <font>
      <name val="Arial"/>
      <family val="2"/>
      <sz val="8"/>
      <vertAlign val="superscript"/>
    </font>
    <font>
      <name val="Arial"/>
      <family val="2"/>
      <i val="1"/>
      <color theme="1"/>
      <sz val="8"/>
      <u val="single"/>
    </font>
    <font>
      <name val="Arial"/>
      <family val="2"/>
      <b val="1"/>
      <sz val="8"/>
    </font>
    <font>
      <name val="Arial"/>
      <family val="2"/>
      <sz val="8"/>
      <u val="single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</font>
    <font>
      <name val="Calibri"/>
      <family val="2"/>
      <color rgb="FF0000FF"/>
      <sz val="11"/>
    </font>
    <font>
      <name val="Helv"/>
      <family val="2"/>
      <sz val="10"/>
    </font>
    <font>
      <name val="Calibri"/>
      <family val="2"/>
      <color rgb="FF00B05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</font>
    <font>
      <name val="Helv"/>
      <family val="2"/>
      <sz val="12"/>
      <vertAlign val="superscript"/>
    </font>
    <font>
      <name val="Helv"/>
      <family val="2"/>
      <sz val="8"/>
    </font>
    <font>
      <name val="Calibri"/>
      <family val="2"/>
      <i val="1"/>
      <color theme="0" tint="-0.249977111117893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  <u val="single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0" tint="-0.3499862666707358"/>
      <sz val="11"/>
      <scheme val="minor"/>
    </font>
    <font>
      <name val="Calibri"/>
      <family val="2"/>
      <b val="1"/>
      <color rgb="FFFF0000"/>
      <sz val="11"/>
    </font>
    <font>
      <name val="Arial"/>
      <family val="2"/>
      <color rgb="FF0000FF"/>
      <sz val="8"/>
    </font>
    <font>
      <color rgb="00008000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">
    <xf numFmtId="164" fontId="18" fillId="0" borderId="0"/>
    <xf numFmtId="167" fontId="5" fillId="0" borderId="0"/>
    <xf numFmtId="0" fontId="1" fillId="0" borderId="0"/>
    <xf numFmtId="0" fontId="5" fillId="0" borderId="0"/>
    <xf numFmtId="9" fontId="5" fillId="0" borderId="0"/>
    <xf numFmtId="0" fontId="5" fillId="0" borderId="0"/>
    <xf numFmtId="172" fontId="12" fillId="0" borderId="0"/>
    <xf numFmtId="167" fontId="13" fillId="3" borderId="1"/>
    <xf numFmtId="173" fontId="14" fillId="0" borderId="2" applyAlignment="1">
      <alignment horizontal="right"/>
    </xf>
    <xf numFmtId="17" fontId="12" fillId="0" borderId="0"/>
    <xf numFmtId="164" fontId="15" fillId="0" borderId="0"/>
    <xf numFmtId="0" fontId="16" fillId="0" borderId="0"/>
    <xf numFmtId="164" fontId="17" fillId="4" borderId="1"/>
    <xf numFmtId="168" fontId="12" fillId="0" borderId="0"/>
    <xf numFmtId="0" fontId="19" fillId="0" borderId="0"/>
    <xf numFmtId="0" fontId="20" fillId="0" borderId="0" applyAlignment="1">
      <alignment horizontal="right"/>
    </xf>
    <xf numFmtId="0" fontId="21" fillId="0" borderId="0" applyAlignment="1">
      <alignment horizontal="left"/>
    </xf>
    <xf numFmtId="174" fontId="19" fillId="0" borderId="0"/>
    <xf numFmtId="175" fontId="19" fillId="0" borderId="0"/>
    <xf numFmtId="176" fontId="19" fillId="0" borderId="0"/>
  </cellStyleXfs>
  <cellXfs count="154">
    <xf numFmtId="164" fontId="0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4" fillId="0" borderId="0" pivotButton="0" quotePrefix="0" xfId="2"/>
    <xf numFmtId="0" fontId="3" fillId="0" borderId="0" pivotButton="0" quotePrefix="0" xfId="2"/>
    <xf numFmtId="0" fontId="4" fillId="0" borderId="0" applyAlignment="1" pivotButton="0" quotePrefix="0" xfId="2">
      <alignment horizontal="left" indent="1"/>
    </xf>
    <xf numFmtId="164" fontId="4" fillId="0" borderId="0" pivotButton="0" quotePrefix="0" xfId="0"/>
    <xf numFmtId="165" fontId="4" fillId="0" borderId="0" pivotButton="0" quotePrefix="0" xfId="0"/>
    <xf numFmtId="0" fontId="4" fillId="0" borderId="0" applyAlignment="1" pivotButton="0" quotePrefix="0" xfId="2">
      <alignment horizontal="right"/>
    </xf>
    <xf numFmtId="0" fontId="4" fillId="0" borderId="0" applyAlignment="1" pivotButton="0" quotePrefix="0" xfId="2">
      <alignment horizontal="left"/>
    </xf>
    <xf numFmtId="17" fontId="4" fillId="0" borderId="0" applyAlignment="1" pivotButton="0" quotePrefix="0" xfId="2">
      <alignment horizontal="right"/>
    </xf>
    <xf numFmtId="0" fontId="4" fillId="2" borderId="0" pivotButton="0" quotePrefix="0" xfId="2"/>
    <xf numFmtId="164" fontId="4" fillId="0" borderId="0" pivotButton="0" quotePrefix="1" xfId="0"/>
    <xf numFmtId="164" fontId="2" fillId="0" borderId="0" pivotButton="0" quotePrefix="1" xfId="0"/>
    <xf numFmtId="164" fontId="7" fillId="0" borderId="0" pivotButton="0" quotePrefix="0" xfId="0"/>
    <xf numFmtId="166" fontId="2" fillId="0" borderId="0" pivotButton="0" quotePrefix="0" xfId="1"/>
    <xf numFmtId="0" fontId="9" fillId="0" borderId="0" pivotButton="0" quotePrefix="0" xfId="2"/>
    <xf numFmtId="164" fontId="9" fillId="0" borderId="0" pivotButton="0" quotePrefix="0" xfId="0"/>
    <xf numFmtId="0" fontId="8" fillId="0" borderId="0" applyAlignment="1" pivotButton="0" quotePrefix="0" xfId="2">
      <alignment horizontal="right"/>
    </xf>
    <xf numFmtId="0" fontId="8" fillId="2" borderId="0" pivotButton="0" quotePrefix="0" xfId="2"/>
    <xf numFmtId="0" fontId="9" fillId="0" borderId="0" applyAlignment="1" pivotButton="0" quotePrefix="0" xfId="2">
      <alignment horizontal="left"/>
    </xf>
    <xf numFmtId="17" fontId="8" fillId="0" borderId="0" applyAlignment="1" pivotButton="0" quotePrefix="0" xfId="2">
      <alignment horizontal="right"/>
    </xf>
    <xf numFmtId="164" fontId="15" fillId="0" borderId="0" pivotButton="0" quotePrefix="0" xfId="10"/>
    <xf numFmtId="164" fontId="22" fillId="0" borderId="0" applyAlignment="1" pivotButton="0" quotePrefix="0" xfId="0">
      <alignment horizontal="center"/>
    </xf>
    <xf numFmtId="0" fontId="11" fillId="5" borderId="0" applyAlignment="1" pivotButton="0" quotePrefix="0" xfId="14">
      <alignment horizontal="center"/>
    </xf>
    <xf numFmtId="164" fontId="23" fillId="0" borderId="0" pivotButton="0" quotePrefix="0" xfId="0"/>
    <xf numFmtId="164" fontId="24" fillId="0" borderId="0" pivotButton="0" quotePrefix="0" xfId="0"/>
    <xf numFmtId="164" fontId="25" fillId="0" borderId="0" pivotButton="0" quotePrefix="0" xfId="0"/>
    <xf numFmtId="164" fontId="0" fillId="0" borderId="3" pivotButton="0" quotePrefix="0" xfId="0"/>
    <xf numFmtId="167" fontId="0" fillId="0" borderId="0" pivotButton="0" quotePrefix="0" xfId="1"/>
    <xf numFmtId="164" fontId="13" fillId="0" borderId="0" pivotButton="0" quotePrefix="0" xfId="7"/>
    <xf numFmtId="164" fontId="0" fillId="5" borderId="0" pivotButton="0" quotePrefix="0" xfId="0"/>
    <xf numFmtId="164" fontId="10" fillId="0" borderId="0" pivotButton="0" quotePrefix="0" xfId="0"/>
    <xf numFmtId="164" fontId="24" fillId="0" borderId="0" applyAlignment="1" pivotButton="0" quotePrefix="0" xfId="0">
      <alignment horizontal="center"/>
    </xf>
    <xf numFmtId="164" fontId="24" fillId="0" borderId="0" applyAlignment="1" pivotButton="0" quotePrefix="1" xfId="0">
      <alignment horizontal="center"/>
    </xf>
    <xf numFmtId="167" fontId="13" fillId="0" borderId="0" pivotButton="0" quotePrefix="0" xfId="7"/>
    <xf numFmtId="167" fontId="0" fillId="0" borderId="0" pivotButton="0" quotePrefix="0" xfId="1"/>
    <xf numFmtId="164" fontId="0" fillId="0" borderId="0" applyAlignment="1" pivotButton="0" quotePrefix="0" xfId="0">
      <alignment horizontal="left" indent="1"/>
    </xf>
    <xf numFmtId="167" fontId="10" fillId="0" borderId="0" pivotButton="0" quotePrefix="0" xfId="1"/>
    <xf numFmtId="164" fontId="24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4" fontId="0" fillId="0" borderId="7" pivotButton="0" quotePrefix="0" xfId="0"/>
    <xf numFmtId="167" fontId="0" fillId="0" borderId="7" pivotButton="0" quotePrefix="0" xfId="1"/>
    <xf numFmtId="164" fontId="24" fillId="0" borderId="6" pivotButton="0" quotePrefix="0" xfId="0"/>
    <xf numFmtId="164" fontId="0" fillId="0" borderId="6" applyAlignment="1" pivotButton="0" quotePrefix="0" xfId="0">
      <alignment horizontal="left" indent="1"/>
    </xf>
    <xf numFmtId="167" fontId="13" fillId="0" borderId="7" pivotButton="0" quotePrefix="0" xfId="7"/>
    <xf numFmtId="164" fontId="0" fillId="0" borderId="8" pivotButton="0" quotePrefix="0" xfId="0"/>
    <xf numFmtId="164" fontId="0" fillId="0" borderId="9" pivotButton="0" quotePrefix="0" xfId="0"/>
    <xf numFmtId="167" fontId="13" fillId="0" borderId="9" pivotButton="0" quotePrefix="0" xfId="7"/>
    <xf numFmtId="167" fontId="13" fillId="0" borderId="10" pivotButton="0" quotePrefix="0" xfId="7"/>
    <xf numFmtId="164" fontId="10" fillId="0" borderId="3" pivotButton="0" quotePrefix="0" xfId="0"/>
    <xf numFmtId="167" fontId="18" fillId="0" borderId="9" pivotButton="0" quotePrefix="0" xfId="1"/>
    <xf numFmtId="167" fontId="0" fillId="0" borderId="9" pivotButton="0" quotePrefix="0" xfId="1"/>
    <xf numFmtId="164" fontId="0" fillId="0" borderId="10" pivotButton="0" quotePrefix="0" xfId="0"/>
    <xf numFmtId="164" fontId="24" fillId="0" borderId="8" pivotButton="0" quotePrefix="0" xfId="0"/>
    <xf numFmtId="168" fontId="13" fillId="0" borderId="0" pivotButton="0" quotePrefix="0" xfId="7"/>
    <xf numFmtId="164" fontId="24" fillId="0" borderId="3" pivotButton="0" quotePrefix="0" xfId="0"/>
    <xf numFmtId="0" fontId="13" fillId="0" borderId="0" pivotButton="0" quotePrefix="0" xfId="7"/>
    <xf numFmtId="164" fontId="0" fillId="0" borderId="11" pivotButton="0" quotePrefix="0" xfId="0"/>
    <xf numFmtId="164" fontId="17" fillId="4" borderId="1" pivotButton="0" quotePrefix="0" xfId="12"/>
    <xf numFmtId="164" fontId="10" fillId="0" borderId="0" pivotButton="0" quotePrefix="0" xfId="10"/>
    <xf numFmtId="168" fontId="12" fillId="0" borderId="0" pivotButton="0" quotePrefix="0" xfId="13"/>
    <xf numFmtId="167" fontId="28" fillId="0" borderId="0" pivotButton="0" quotePrefix="0" xfId="1"/>
    <xf numFmtId="164" fontId="0" fillId="0" borderId="0" applyAlignment="1" pivotButton="0" quotePrefix="0" xfId="0">
      <alignment horizontal="centerContinuous"/>
    </xf>
    <xf numFmtId="164" fontId="24" fillId="0" borderId="0" applyAlignment="1" pivotButton="0" quotePrefix="0" xfId="0">
      <alignment horizontal="centerContinuous"/>
    </xf>
    <xf numFmtId="167" fontId="0" fillId="0" borderId="6" pivotButton="0" quotePrefix="0" xfId="1"/>
    <xf numFmtId="167" fontId="0" fillId="0" borderId="3" pivotButton="0" quotePrefix="0" xfId="1"/>
    <xf numFmtId="167" fontId="0" fillId="0" borderId="4" pivotButton="0" quotePrefix="0" xfId="1"/>
    <xf numFmtId="168" fontId="29" fillId="0" borderId="0" pivotButton="0" quotePrefix="0" xfId="13"/>
    <xf numFmtId="169" fontId="30" fillId="0" borderId="0" pivotButton="0" quotePrefix="0" xfId="2"/>
    <xf numFmtId="169" fontId="30" fillId="0" borderId="0" pivotButton="0" quotePrefix="0" xfId="0"/>
    <xf numFmtId="0" fontId="30" fillId="0" borderId="0" pivotButton="0" quotePrefix="0" xfId="2"/>
    <xf numFmtId="165" fontId="30" fillId="0" borderId="0" pivotButton="0" quotePrefix="0" xfId="2"/>
    <xf numFmtId="167" fontId="30" fillId="0" borderId="0" pivotButton="0" quotePrefix="0" xfId="1"/>
    <xf numFmtId="164" fontId="30" fillId="0" borderId="0" pivotButton="0" quotePrefix="0" xfId="0"/>
    <xf numFmtId="165" fontId="30" fillId="0" borderId="0" applyAlignment="1" pivotButton="0" quotePrefix="0" xfId="2">
      <alignment horizontal="right"/>
    </xf>
    <xf numFmtId="166" fontId="30" fillId="0" borderId="0" applyAlignment="1" pivotButton="0" quotePrefix="0" xfId="1">
      <alignment horizontal="right"/>
    </xf>
    <xf numFmtId="166" fontId="30" fillId="0" borderId="0" pivotButton="0" quotePrefix="0" xfId="1"/>
    <xf numFmtId="166" fontId="30" fillId="0" borderId="0" pivotButton="0" quotePrefix="0" xfId="1"/>
    <xf numFmtId="170" fontId="30" fillId="0" borderId="0" applyAlignment="1" pivotButton="0" quotePrefix="0" xfId="3">
      <alignment vertical="center"/>
    </xf>
    <xf numFmtId="171" fontId="30" fillId="0" borderId="0" pivotButton="0" quotePrefix="0" xfId="0"/>
    <xf numFmtId="170" fontId="30" fillId="0" borderId="0" pivotButton="0" quotePrefix="0" xfId="0"/>
    <xf numFmtId="165" fontId="30" fillId="0" borderId="0" pivotButton="0" quotePrefix="0" xfId="0"/>
    <xf numFmtId="164" fontId="2" fillId="0" borderId="0" pivotButton="0" quotePrefix="0" xfId="0"/>
    <xf numFmtId="169" fontId="30" fillId="0" borderId="0" pivotButton="0" quotePrefix="0" xfId="2"/>
    <xf numFmtId="164" fontId="4" fillId="0" borderId="0" pivotButton="0" quotePrefix="0" xfId="0"/>
    <xf numFmtId="169" fontId="30" fillId="0" borderId="0" pivotButton="0" quotePrefix="0" xfId="0"/>
    <xf numFmtId="165" fontId="30" fillId="0" borderId="0" pivotButton="0" quotePrefix="0" xfId="2"/>
    <xf numFmtId="167" fontId="30" fillId="0" borderId="0" pivotButton="0" quotePrefix="0" xfId="1"/>
    <xf numFmtId="164" fontId="9" fillId="0" borderId="0" pivotButton="0" quotePrefix="0" xfId="0"/>
    <xf numFmtId="164" fontId="30" fillId="0" borderId="0" pivotButton="0" quotePrefix="0" xfId="0"/>
    <xf numFmtId="165" fontId="2" fillId="0" borderId="0" pivotButton="0" quotePrefix="0" xfId="0"/>
    <xf numFmtId="165" fontId="30" fillId="0" borderId="0" applyAlignment="1" pivotButton="0" quotePrefix="0" xfId="2">
      <alignment horizontal="right"/>
    </xf>
    <xf numFmtId="166" fontId="30" fillId="0" borderId="0" applyAlignment="1" pivotButton="0" quotePrefix="0" xfId="1">
      <alignment horizontal="right"/>
    </xf>
    <xf numFmtId="166" fontId="30" fillId="0" borderId="0" pivotButton="0" quotePrefix="0" xfId="1"/>
    <xf numFmtId="166" fontId="2" fillId="0" borderId="0" pivotButton="0" quotePrefix="0" xfId="1"/>
    <xf numFmtId="0" fontId="0" fillId="0" borderId="0" pivotButton="0" quotePrefix="0" xfId="0"/>
    <xf numFmtId="170" fontId="30" fillId="0" borderId="0" applyAlignment="1" pivotButton="0" quotePrefix="0" xfId="3">
      <alignment vertical="center"/>
    </xf>
    <xf numFmtId="171" fontId="30" fillId="0" borderId="0" pivotButton="0" quotePrefix="0" xfId="0"/>
    <xf numFmtId="170" fontId="30" fillId="0" borderId="0" pivotButton="0" quotePrefix="0" xfId="0"/>
    <xf numFmtId="165" fontId="30" fillId="0" borderId="0" pivotButton="0" quotePrefix="0" xfId="0"/>
    <xf numFmtId="165" fontId="4" fillId="0" borderId="0" pivotButton="0" quotePrefix="0" xfId="0"/>
    <xf numFmtId="164" fontId="7" fillId="0" borderId="0" pivotButton="0" quotePrefix="0" xfId="0"/>
    <xf numFmtId="164" fontId="2" fillId="0" borderId="0" pivotButton="0" quotePrefix="1" xfId="0"/>
    <xf numFmtId="164" fontId="4" fillId="0" borderId="0" pivotButton="0" quotePrefix="1" xfId="0"/>
    <xf numFmtId="164" fontId="23" fillId="0" borderId="0" pivotButton="0" quotePrefix="0" xfId="0"/>
    <xf numFmtId="164" fontId="22" fillId="0" borderId="0" applyAlignment="1" pivotButton="0" quotePrefix="0" xfId="0">
      <alignment horizontal="center"/>
    </xf>
    <xf numFmtId="164" fontId="24" fillId="0" borderId="0" applyAlignment="1" pivotButton="0" quotePrefix="0" xfId="0">
      <alignment horizontal="center"/>
    </xf>
    <xf numFmtId="164" fontId="24" fillId="0" borderId="0" applyAlignment="1" pivotButton="0" quotePrefix="1" xfId="0">
      <alignment horizontal="center"/>
    </xf>
    <xf numFmtId="164" fontId="0" fillId="0" borderId="0" pivotButton="0" quotePrefix="0" xfId="0"/>
    <xf numFmtId="164" fontId="25" fillId="0" borderId="0" pivotButton="0" quotePrefix="0" xfId="0"/>
    <xf numFmtId="164" fontId="15" fillId="0" borderId="0" pivotButton="0" quotePrefix="0" xfId="10"/>
    <xf numFmtId="164" fontId="24" fillId="0" borderId="0" pivotButton="0" quotePrefix="0" xfId="0"/>
    <xf numFmtId="168" fontId="13" fillId="0" borderId="0" pivotButton="0" quotePrefix="0" xfId="7"/>
    <xf numFmtId="164" fontId="13" fillId="0" borderId="0" pivotButton="0" quotePrefix="0" xfId="7"/>
    <xf numFmtId="167" fontId="13" fillId="0" borderId="0" pivotButton="0" quotePrefix="0" xfId="7"/>
    <xf numFmtId="164" fontId="0" fillId="0" borderId="3" pivotButton="0" quotePrefix="0" xfId="0"/>
    <xf numFmtId="164" fontId="24" fillId="0" borderId="3" pivotButton="0" quotePrefix="0" xfId="0"/>
    <xf numFmtId="164" fontId="17" fillId="4" borderId="1" pivotButton="0" quotePrefix="0" xfId="12"/>
    <xf numFmtId="167" fontId="0" fillId="0" borderId="0" pivotButton="0" quotePrefix="0" xfId="1"/>
    <xf numFmtId="164" fontId="24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4" fontId="0" fillId="0" borderId="7" pivotButton="0" quotePrefix="0" xfId="0"/>
    <xf numFmtId="167" fontId="0" fillId="0" borderId="7" pivotButton="0" quotePrefix="0" xfId="1"/>
    <xf numFmtId="164" fontId="24" fillId="0" borderId="6" pivotButton="0" quotePrefix="0" xfId="0"/>
    <xf numFmtId="164" fontId="10" fillId="0" borderId="0" pivotButton="0" quotePrefix="0" xfId="0"/>
    <xf numFmtId="167" fontId="10" fillId="0" borderId="0" pivotButton="0" quotePrefix="0" xfId="1"/>
    <xf numFmtId="164" fontId="0" fillId="0" borderId="6" applyAlignment="1" pivotButton="0" quotePrefix="0" xfId="0">
      <alignment horizontal="left" indent="1"/>
    </xf>
    <xf numFmtId="167" fontId="13" fillId="0" borderId="7" pivotButton="0" quotePrefix="0" xfId="7"/>
    <xf numFmtId="164" fontId="0" fillId="0" borderId="8" pivotButton="0" quotePrefix="0" xfId="0"/>
    <xf numFmtId="164" fontId="0" fillId="0" borderId="9" pivotButton="0" quotePrefix="0" xfId="0"/>
    <xf numFmtId="167" fontId="18" fillId="0" borderId="9" pivotButton="0" quotePrefix="0" xfId="1"/>
    <xf numFmtId="167" fontId="13" fillId="0" borderId="9" pivotButton="0" quotePrefix="0" xfId="7"/>
    <xf numFmtId="167" fontId="13" fillId="0" borderId="10" pivotButton="0" quotePrefix="0" xfId="7"/>
    <xf numFmtId="164" fontId="0" fillId="5" borderId="0" pivotButton="0" quotePrefix="0" xfId="0"/>
    <xf numFmtId="164" fontId="10" fillId="0" borderId="3" pivotButton="0" quotePrefix="0" xfId="0"/>
    <xf numFmtId="164" fontId="24" fillId="0" borderId="8" pivotButton="0" quotePrefix="0" xfId="0"/>
    <xf numFmtId="164" fontId="0" fillId="0" borderId="10" pivotButton="0" quotePrefix="0" xfId="0"/>
    <xf numFmtId="167" fontId="0" fillId="0" borderId="9" pivotButton="0" quotePrefix="0" xfId="1"/>
    <xf numFmtId="164" fontId="0" fillId="0" borderId="0" applyAlignment="1" pivotButton="0" quotePrefix="0" xfId="0">
      <alignment horizontal="left" indent="1"/>
    </xf>
    <xf numFmtId="164" fontId="10" fillId="0" borderId="0" pivotButton="0" quotePrefix="0" xfId="10"/>
    <xf numFmtId="164" fontId="31" fillId="0" borderId="0" pivotButton="0" quotePrefix="0" xfId="0"/>
    <xf numFmtId="164" fontId="0" fillId="0" borderId="11" pivotButton="0" quotePrefix="0" xfId="0"/>
    <xf numFmtId="168" fontId="12" fillId="0" borderId="0" pivotButton="0" quotePrefix="0" xfId="13"/>
    <xf numFmtId="0" fontId="31" fillId="0" borderId="0" pivotButton="0" quotePrefix="0" xfId="0"/>
    <xf numFmtId="164" fontId="24" fillId="0" borderId="0" applyAlignment="1" pivotButton="0" quotePrefix="0" xfId="0">
      <alignment horizontal="centerContinuous"/>
    </xf>
    <xf numFmtId="167" fontId="28" fillId="0" borderId="0" pivotButton="0" quotePrefix="0" xfId="1"/>
    <xf numFmtId="167" fontId="0" fillId="0" borderId="4" pivotButton="0" quotePrefix="0" xfId="1"/>
    <xf numFmtId="167" fontId="0" fillId="0" borderId="3" pivotButton="0" quotePrefix="0" xfId="1"/>
    <xf numFmtId="167" fontId="0" fillId="0" borderId="6" pivotButton="0" quotePrefix="0" xfId="1"/>
    <xf numFmtId="168" fontId="29" fillId="0" borderId="0" pivotButton="0" quotePrefix="0" xfId="13"/>
    <xf numFmtId="164" fontId="0" fillId="0" borderId="0" applyAlignment="1" pivotButton="0" quotePrefix="0" xfId="0">
      <alignment horizontal="centerContinuous"/>
    </xf>
  </cellXfs>
  <cellStyles count="20">
    <cellStyle name="Normal" xfId="0" builtinId="0"/>
    <cellStyle name="Percent" xfId="1" builtinId="5"/>
    <cellStyle name="Normal 12 4 2 2 3" xfId="2"/>
    <cellStyle name="Normal 9" xfId="3"/>
    <cellStyle name="Percent 2" xfId="4"/>
    <cellStyle name="Normal 9 2" xfId="5"/>
    <cellStyle name="Blank" xfId="6"/>
    <cellStyle name="Blue" xfId="7"/>
    <cellStyle name="Data" xfId="8"/>
    <cellStyle name="Date" xfId="9"/>
    <cellStyle name="Diff Tab" xfId="10"/>
    <cellStyle name="Hyperlink 2" xfId="11"/>
    <cellStyle name="I" xfId="12"/>
    <cellStyle name="Multiple" xfId="13"/>
    <cellStyle name="Normal 2" xfId="14"/>
    <cellStyle name="Source Superscript" xfId="15"/>
    <cellStyle name="Source Text" xfId="16"/>
    <cellStyle name="Year Actual" xfId="17"/>
    <cellStyle name="Year Estimate" xfId="18"/>
    <cellStyle name="Year Forecast" xfId="1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Danial AZMI</author>
  </authors>
  <commentList>
    <comment ref="C83" authorId="0" shapeId="0">
      <text>
        <t>Danial AZMI:
German corporate tax rate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H84"/>
  <sheetViews>
    <sheetView showGridLines="0" zoomScale="115" zoomScaleNormal="115" workbookViewId="0">
      <selection activeCell="A1" sqref="A1"/>
    </sheetView>
  </sheetViews>
  <sheetFormatPr baseColWidth="8" defaultColWidth="9.265625" defaultRowHeight="10.15"/>
  <cols>
    <col width="9.265625" customWidth="1" style="84" min="1" max="2"/>
    <col width="39.265625" customWidth="1" style="84" min="3" max="3"/>
    <col width="9.59765625" customWidth="1" style="84" min="4" max="7"/>
    <col width="14.3984375" customWidth="1" style="84" min="8" max="8"/>
    <col width="9.265625" customWidth="1" style="84" min="9" max="16384"/>
  </cols>
  <sheetData>
    <row r="2">
      <c r="C2" s="19" t="inlineStr">
        <is>
          <t>Summary P&amp;L</t>
        </is>
      </c>
      <c r="D2" s="11" t="n"/>
      <c r="E2" s="11" t="n"/>
      <c r="F2" s="11" t="n"/>
      <c r="G2" s="11" t="n"/>
    </row>
    <row r="3">
      <c r="C3" s="4" t="inlineStr">
        <is>
          <t>(€m, FYE 31-Dec)</t>
        </is>
      </c>
      <c r="D3" s="18" t="inlineStr">
        <is>
          <t>2017A</t>
        </is>
      </c>
      <c r="E3" s="18" t="inlineStr">
        <is>
          <t>2018A</t>
        </is>
      </c>
      <c r="F3" s="18" t="inlineStr">
        <is>
          <t>2019A</t>
        </is>
      </c>
      <c r="G3" s="18" t="inlineStr">
        <is>
          <t>2020E</t>
        </is>
      </c>
    </row>
    <row r="4">
      <c r="C4" s="4" t="n"/>
      <c r="D4" s="18" t="inlineStr">
        <is>
          <t>GAAP</t>
        </is>
      </c>
      <c r="E4" s="18" t="inlineStr">
        <is>
          <t>GAAP</t>
        </is>
      </c>
      <c r="F4" s="18" t="inlineStr">
        <is>
          <t>IFRS</t>
        </is>
      </c>
      <c r="G4" s="18" t="inlineStr">
        <is>
          <t>IFRS</t>
        </is>
      </c>
    </row>
    <row r="5">
      <c r="C5" s="16" t="inlineStr">
        <is>
          <t>Output</t>
        </is>
      </c>
      <c r="D5" s="3" t="n"/>
      <c r="E5" s="3" t="n"/>
      <c r="F5" s="3" t="n"/>
      <c r="G5" s="3" t="n"/>
    </row>
    <row r="6">
      <c r="C6" s="3" t="inlineStr">
        <is>
          <t>AMS Europe</t>
        </is>
      </c>
      <c r="D6" s="85" t="n">
        <v>31.5</v>
      </c>
      <c r="E6" s="85" t="n">
        <v>32.4</v>
      </c>
      <c r="F6" s="85" t="n">
        <v>37.3</v>
      </c>
      <c r="G6" s="85" t="n">
        <v>53.94640120051061</v>
      </c>
    </row>
    <row r="7">
      <c r="C7" s="3" t="inlineStr">
        <is>
          <t>ECS Europe</t>
        </is>
      </c>
      <c r="D7" s="85" t="n">
        <v>31</v>
      </c>
      <c r="E7" s="85" t="n">
        <v>32.9</v>
      </c>
      <c r="F7" s="85" t="n">
        <v>38.9</v>
      </c>
      <c r="G7" s="85" t="n">
        <v>42.65078294756074</v>
      </c>
    </row>
    <row r="8">
      <c r="C8" s="3" t="inlineStr">
        <is>
          <t>Americas &amp; Asia</t>
        </is>
      </c>
      <c r="D8" s="85" t="n">
        <v>18.6</v>
      </c>
      <c r="E8" s="85" t="n">
        <v>22.8</v>
      </c>
      <c r="F8" s="85" t="n">
        <v>28.3</v>
      </c>
      <c r="G8" s="85" t="n">
        <v>32.5335011294632</v>
      </c>
    </row>
    <row r="9">
      <c r="C9" s="3" t="inlineStr">
        <is>
          <t>Others</t>
        </is>
      </c>
      <c r="D9" s="85" t="n">
        <v>62.8</v>
      </c>
      <c r="E9" s="85" t="n">
        <v>57.9</v>
      </c>
      <c r="F9" s="85" t="n">
        <v>42.6</v>
      </c>
      <c r="G9" s="85" t="n">
        <v>36.20233875574327</v>
      </c>
    </row>
    <row r="10">
      <c r="C10" s="9" t="inlineStr">
        <is>
          <t>Total Output</t>
        </is>
      </c>
      <c r="D10" s="85" t="n">
        <v>143.9</v>
      </c>
      <c r="E10" s="85" t="n">
        <v>146</v>
      </c>
      <c r="F10" s="85" t="n">
        <v>147.1</v>
      </c>
      <c r="G10" s="85" t="n">
        <v>165.3330240332778</v>
      </c>
    </row>
    <row r="11">
      <c r="C11" s="86" t="n"/>
      <c r="D11" s="87" t="n"/>
      <c r="E11" s="87" t="n"/>
      <c r="F11" s="87" t="n"/>
      <c r="G11" s="87" t="n"/>
    </row>
    <row r="12">
      <c r="C12" s="16" t="inlineStr">
        <is>
          <t>Gross profit</t>
        </is>
      </c>
      <c r="D12" s="72" t="n"/>
      <c r="E12" s="72" t="n"/>
      <c r="F12" s="72" t="n"/>
      <c r="G12" s="72" t="n"/>
    </row>
    <row r="13">
      <c r="C13" s="3" t="inlineStr">
        <is>
          <t>AMS Europe</t>
        </is>
      </c>
      <c r="D13" s="88" t="n">
        <v>9.5</v>
      </c>
      <c r="E13" s="88" t="n">
        <v>9.199999999999999</v>
      </c>
      <c r="F13" s="88" t="n">
        <v>11.2</v>
      </c>
      <c r="G13" s="88" t="n">
        <v>15.56481125953708</v>
      </c>
    </row>
    <row r="14">
      <c r="C14" s="3" t="inlineStr">
        <is>
          <t>ECS Europe</t>
        </is>
      </c>
      <c r="D14" s="88" t="n">
        <v>11.1</v>
      </c>
      <c r="E14" s="88" t="n">
        <v>10.3</v>
      </c>
      <c r="F14" s="88" t="n">
        <v>14.4</v>
      </c>
      <c r="G14" s="88" t="n">
        <v>15.21322970227984</v>
      </c>
    </row>
    <row r="15">
      <c r="C15" s="3" t="inlineStr">
        <is>
          <t>Americas &amp; Asia</t>
        </is>
      </c>
      <c r="D15" s="88" t="n">
        <v>4</v>
      </c>
      <c r="E15" s="88" t="n">
        <v>3.8</v>
      </c>
      <c r="F15" s="88" t="n">
        <v>5.4</v>
      </c>
      <c r="G15" s="88" t="n">
        <v>6.918528094937475</v>
      </c>
    </row>
    <row r="16">
      <c r="C16" s="3" t="inlineStr">
        <is>
          <t>Others</t>
        </is>
      </c>
      <c r="D16" s="88" t="n">
        <v>16</v>
      </c>
      <c r="E16" s="88" t="n">
        <v>15.6</v>
      </c>
      <c r="F16" s="88" t="n">
        <v>15</v>
      </c>
      <c r="G16" s="88" t="n">
        <v>14.52839687443806</v>
      </c>
    </row>
    <row r="17">
      <c r="C17" s="9" t="inlineStr">
        <is>
          <t>Total Gross Profit</t>
        </is>
      </c>
      <c r="D17" s="88" t="n">
        <v>40.6</v>
      </c>
      <c r="E17" s="88" t="n">
        <v>38.9</v>
      </c>
      <c r="F17" s="88" t="n">
        <v>46</v>
      </c>
      <c r="G17" s="88" t="n">
        <v>52.22496593119244</v>
      </c>
    </row>
    <row r="18">
      <c r="C18" s="86" t="n"/>
      <c r="D18" s="89" t="n"/>
      <c r="E18" s="89" t="n"/>
      <c r="F18" s="89" t="n"/>
      <c r="G18" s="89" t="n"/>
    </row>
    <row r="19">
      <c r="C19" s="90" t="inlineStr">
        <is>
          <t>Overheads and Other</t>
        </is>
      </c>
      <c r="D19" s="91" t="n"/>
      <c r="E19" s="91" t="n"/>
      <c r="F19" s="91" t="n"/>
      <c r="G19" s="91" t="n"/>
    </row>
    <row r="20">
      <c r="C20" s="3" t="inlineStr">
        <is>
          <t>Personnel expenses</t>
        </is>
      </c>
      <c r="D20" s="88" t="n">
        <v>-23.77416152</v>
      </c>
      <c r="E20" s="88" t="n">
        <v>-24.42855821</v>
      </c>
      <c r="F20" s="88" t="n">
        <v>-25.72855231</v>
      </c>
      <c r="G20" s="88" t="n">
        <v>-26.45328384532445</v>
      </c>
    </row>
    <row r="21">
      <c r="C21" s="3" t="inlineStr">
        <is>
          <t>Other operating expenses</t>
        </is>
      </c>
      <c r="D21" s="88" t="n">
        <v>-11.35550407</v>
      </c>
      <c r="E21" s="88" t="n">
        <v>-9.191014419999998</v>
      </c>
      <c r="F21" s="88" t="n">
        <v>-9.1900621</v>
      </c>
      <c r="G21" s="88" t="n">
        <v>-9.341815103801286</v>
      </c>
    </row>
    <row r="22">
      <c r="C22" s="3" t="inlineStr">
        <is>
          <t>Other operating income</t>
        </is>
      </c>
      <c r="D22" s="88" t="n">
        <v>1.957544410000002</v>
      </c>
      <c r="E22" s="88" t="n">
        <v>1.916825780000001</v>
      </c>
      <c r="F22" s="88" t="n">
        <v>1.982599150000001</v>
      </c>
      <c r="G22" s="88" t="n">
        <v>2.149329312432611</v>
      </c>
    </row>
    <row r="23">
      <c r="C23" s="3" t="inlineStr">
        <is>
          <t>Total Overheads and Other</t>
        </is>
      </c>
      <c r="D23" s="88" t="n">
        <v>-33.17212118</v>
      </c>
      <c r="E23" s="88" t="n">
        <v>-31.70274684999999</v>
      </c>
      <c r="F23" s="88" t="n">
        <v>-32.93601526</v>
      </c>
      <c r="G23" s="88" t="n">
        <v>-33.64576963669312</v>
      </c>
    </row>
    <row r="24">
      <c r="C24" s="5" t="n"/>
      <c r="D24" s="88" t="n"/>
      <c r="E24" s="88" t="n"/>
      <c r="F24" s="88" t="n"/>
      <c r="G24" s="88" t="n"/>
    </row>
    <row r="25">
      <c r="C25" s="9" t="inlineStr">
        <is>
          <t>EBITDA</t>
        </is>
      </c>
      <c r="D25" s="88" t="n">
        <v>7.427878820000004</v>
      </c>
      <c r="E25" s="88" t="n">
        <v>7.197253150000005</v>
      </c>
      <c r="F25" s="88" t="n">
        <v>13.06398474</v>
      </c>
      <c r="G25" s="88" t="n">
        <v>18.57919629449932</v>
      </c>
      <c r="H25" s="92" t="n"/>
    </row>
    <row r="26">
      <c r="C26" s="9" t="n"/>
      <c r="D26" s="88">
        <f>+D17+D23</f>
        <v/>
      </c>
      <c r="E26" s="88">
        <f>+E17+E23</f>
        <v/>
      </c>
      <c r="F26" s="88">
        <f>+F17+F23</f>
        <v/>
      </c>
      <c r="G26" s="88">
        <f>+G17+G23</f>
        <v/>
      </c>
    </row>
    <row r="27">
      <c r="C27" s="20" t="inlineStr">
        <is>
          <t>Other items:</t>
        </is>
      </c>
      <c r="D27" s="88" t="n"/>
      <c r="E27" s="88" t="n"/>
      <c r="F27" s="88" t="n"/>
      <c r="G27" s="88" t="n"/>
    </row>
    <row r="28">
      <c r="C28" s="3" t="inlineStr">
        <is>
          <t>D&amp;A</t>
        </is>
      </c>
      <c r="D28" s="88" t="n">
        <v>-3.21093588</v>
      </c>
      <c r="E28" s="88" t="n">
        <v>-2.97793644</v>
      </c>
      <c r="F28" s="88" t="n">
        <v>-5.5279112</v>
      </c>
      <c r="G28" s="88" t="n">
        <v>-4.313312516550591</v>
      </c>
    </row>
    <row r="29">
      <c r="C29" s="3" t="inlineStr">
        <is>
          <t>Capex</t>
        </is>
      </c>
      <c r="D29" s="88" t="n">
        <v>-2</v>
      </c>
      <c r="E29" s="88" t="n">
        <v>-2.7</v>
      </c>
      <c r="F29" s="88" t="n">
        <v>-2.8</v>
      </c>
      <c r="G29" s="88" t="n">
        <v>-3.1403289647901</v>
      </c>
    </row>
    <row r="30">
      <c r="C30" s="3" t="inlineStr">
        <is>
          <t>IFRS-16 leasing costs</t>
        </is>
      </c>
      <c r="D30" s="93" t="inlineStr">
        <is>
          <t>n.a.</t>
        </is>
      </c>
      <c r="E30" s="93" t="inlineStr">
        <is>
          <t>n.a.</t>
        </is>
      </c>
      <c r="F30" s="88" t="n">
        <v>-1.4</v>
      </c>
      <c r="G30" s="88" t="n">
        <v>-1.570164482395048</v>
      </c>
    </row>
    <row r="31">
      <c r="C31" s="3" t="inlineStr">
        <is>
          <t>Financial lease costs (IAS 17)</t>
        </is>
      </c>
      <c r="D31" s="93" t="inlineStr">
        <is>
          <t>n.a.</t>
        </is>
      </c>
      <c r="E31" s="93" t="n">
        <v>-1</v>
      </c>
      <c r="F31" s="88" t="n">
        <v>-1.4</v>
      </c>
      <c r="G31" s="88" t="n">
        <v>-1.4</v>
      </c>
    </row>
    <row r="32">
      <c r="C32" s="3" t="inlineStr">
        <is>
          <t>Factoring (fees and interest)</t>
        </is>
      </c>
      <c r="D32" s="93" t="inlineStr">
        <is>
          <t>n.a.</t>
        </is>
      </c>
      <c r="E32" s="93" t="n">
        <v>-1.4432410605</v>
      </c>
      <c r="F32" s="88" t="n">
        <v>-1.726736525</v>
      </c>
      <c r="G32" s="88" t="n">
        <v>-1.936614544292321</v>
      </c>
    </row>
    <row r="33">
      <c r="C33" s="3" t="n"/>
      <c r="D33" s="93" t="n"/>
      <c r="E33" s="93" t="n"/>
      <c r="F33" s="88" t="n"/>
      <c r="G33" s="88" t="n"/>
    </row>
    <row r="34">
      <c r="C34" s="20" t="inlineStr">
        <is>
          <t>% Growth</t>
        </is>
      </c>
      <c r="D34" s="91" t="n"/>
      <c r="E34" s="91" t="n"/>
      <c r="F34" s="91" t="n"/>
      <c r="G34" s="91" t="n"/>
    </row>
    <row r="35">
      <c r="C35" s="86" t="inlineStr">
        <is>
          <t>Total Output</t>
        </is>
      </c>
      <c r="D35" s="94" t="inlineStr">
        <is>
          <t>n.a.</t>
        </is>
      </c>
      <c r="E35" s="95">
        <f>+E10/D10-1</f>
        <v/>
      </c>
      <c r="F35" s="95">
        <f>+F10/E10-1</f>
        <v/>
      </c>
      <c r="G35" s="95">
        <f>+G10/F10-1</f>
        <v/>
      </c>
    </row>
    <row r="36">
      <c r="C36" s="86" t="inlineStr">
        <is>
          <t>Total Gross Profit</t>
        </is>
      </c>
      <c r="D36" s="94" t="n"/>
      <c r="E36" s="95">
        <f>E17/D17-1</f>
        <v/>
      </c>
      <c r="F36" s="95">
        <f>F17/E17-1</f>
        <v/>
      </c>
      <c r="G36" s="95">
        <f>G17/F17-1</f>
        <v/>
      </c>
    </row>
    <row r="37">
      <c r="C37" s="86" t="inlineStr">
        <is>
          <t>Total Overheads and Other</t>
        </is>
      </c>
      <c r="D37" s="94" t="n"/>
      <c r="E37" s="95">
        <f>E23/D23-1</f>
        <v/>
      </c>
      <c r="F37" s="95">
        <f>F23/E23-1</f>
        <v/>
      </c>
      <c r="G37" s="95">
        <f>G23/F23-1</f>
        <v/>
      </c>
    </row>
    <row r="38">
      <c r="C38" s="86" t="inlineStr">
        <is>
          <t>EBITDA</t>
        </is>
      </c>
      <c r="D38" s="95" t="n"/>
      <c r="E38" s="95">
        <f>E25/D25-1</f>
        <v/>
      </c>
      <c r="F38" s="95">
        <f>F25/E25-1</f>
        <v/>
      </c>
      <c r="G38" s="95">
        <f>G25/F25-1</f>
        <v/>
      </c>
    </row>
    <row r="39">
      <c r="C39" s="86" t="n"/>
      <c r="D39" s="94" t="n"/>
      <c r="E39" s="95" t="n"/>
      <c r="F39" s="95" t="n"/>
      <c r="G39" s="95" t="n"/>
    </row>
    <row r="40">
      <c r="C40" s="90" t="inlineStr">
        <is>
          <t>% of Total Output</t>
        </is>
      </c>
      <c r="D40" s="94" t="n"/>
      <c r="E40" s="95" t="n"/>
      <c r="F40" s="95" t="n"/>
      <c r="G40" s="95" t="n"/>
    </row>
    <row r="41">
      <c r="C41" s="86" t="inlineStr">
        <is>
          <t>Total Gross Profit</t>
        </is>
      </c>
      <c r="D41" s="95">
        <f>+D17/D10</f>
        <v/>
      </c>
      <c r="E41" s="95">
        <f>+E17/E10</f>
        <v/>
      </c>
      <c r="F41" s="95">
        <f>+F17/F10</f>
        <v/>
      </c>
      <c r="G41" s="95">
        <f>+G17/G10</f>
        <v/>
      </c>
    </row>
    <row r="42">
      <c r="C42" s="86" t="inlineStr">
        <is>
          <t>Total Overheads and Other</t>
        </is>
      </c>
      <c r="D42" s="95">
        <f>D23/D10</f>
        <v/>
      </c>
      <c r="E42" s="95">
        <f>E23/E10</f>
        <v/>
      </c>
      <c r="F42" s="95">
        <f>F23/F10</f>
        <v/>
      </c>
      <c r="G42" s="95">
        <f>G23/G10</f>
        <v/>
      </c>
    </row>
    <row r="43">
      <c r="C43" s="86" t="inlineStr">
        <is>
          <t>EBITDA</t>
        </is>
      </c>
      <c r="D43" s="95">
        <f>D25/D10</f>
        <v/>
      </c>
      <c r="E43" s="95">
        <f>E25/E10</f>
        <v/>
      </c>
      <c r="F43" s="95">
        <f>F25/F10</f>
        <v/>
      </c>
      <c r="G43" s="95">
        <f>G25/G10</f>
        <v/>
      </c>
    </row>
    <row r="44">
      <c r="C44" s="86" t="n"/>
      <c r="D44" s="96" t="n"/>
      <c r="E44" s="96" t="n"/>
      <c r="F44" s="96" t="n"/>
      <c r="G44" s="96" t="n"/>
    </row>
    <row r="45">
      <c r="C45" s="19" t="inlineStr">
        <is>
          <t>Summary Balance sheet</t>
        </is>
      </c>
      <c r="D45" s="11" t="n"/>
      <c r="E45" s="11" t="n"/>
      <c r="F45" s="11" t="n"/>
      <c r="G45" s="11" t="n"/>
    </row>
    <row r="46">
      <c r="C46" s="4" t="inlineStr">
        <is>
          <t>(€m)</t>
        </is>
      </c>
      <c r="D46" s="8" t="n"/>
      <c r="E46" s="21">
        <f>E3</f>
        <v/>
      </c>
      <c r="F46" s="21">
        <f>F3</f>
        <v/>
      </c>
      <c r="G46" s="21">
        <f>G3</f>
        <v/>
      </c>
    </row>
    <row r="47">
      <c r="C47" s="16" t="inlineStr">
        <is>
          <t>Assets</t>
        </is>
      </c>
      <c r="D47" s="8" t="n"/>
      <c r="E47" s="10" t="n"/>
      <c r="F47" s="10" t="n"/>
      <c r="G47" s="10" t="n"/>
    </row>
    <row r="48" ht="11.65" customHeight="1" s="97">
      <c r="C48" s="3" t="inlineStr">
        <is>
          <t>Tangible assets(1)</t>
        </is>
      </c>
      <c r="D48" s="91" t="n"/>
      <c r="E48" s="98" t="n">
        <v>3.08133746</v>
      </c>
      <c r="F48" s="98" t="n">
        <v>7.196590690000001</v>
      </c>
      <c r="G48" s="98" t="n">
        <v>7.423607138239505</v>
      </c>
      <c r="H48" s="91" t="n"/>
    </row>
    <row r="49">
      <c r="C49" s="3" t="inlineStr">
        <is>
          <t>Intangible assets</t>
        </is>
      </c>
      <c r="D49" s="91" t="n"/>
      <c r="E49" s="98" t="n">
        <v>44.43098534</v>
      </c>
      <c r="F49" s="98" t="n">
        <v>46.33067808</v>
      </c>
      <c r="G49" s="98" t="n">
        <v>46.33067808</v>
      </c>
      <c r="H49" s="91" t="n"/>
    </row>
    <row r="50">
      <c r="C50" s="3" t="inlineStr">
        <is>
          <t>Financial assets</t>
        </is>
      </c>
      <c r="D50" s="91" t="n"/>
      <c r="E50" s="98" t="n">
        <v>5.5237092</v>
      </c>
      <c r="F50" s="98" t="n">
        <v>7.436854690000001</v>
      </c>
      <c r="G50" s="98" t="n">
        <v>8.334034161091713</v>
      </c>
      <c r="H50" s="91" t="n"/>
    </row>
    <row r="51">
      <c r="C51" s="3" t="inlineStr">
        <is>
          <t>Inventories</t>
        </is>
      </c>
      <c r="D51" s="91" t="n"/>
      <c r="E51" s="98" t="n">
        <v>4.89567014</v>
      </c>
      <c r="F51" s="98" t="n">
        <v>1.25017108</v>
      </c>
      <c r="G51" s="98" t="n">
        <v>0.9592250212584565</v>
      </c>
      <c r="H51" s="91" t="n"/>
    </row>
    <row r="52">
      <c r="C52" s="3" t="inlineStr">
        <is>
          <t>Trade receivables</t>
        </is>
      </c>
      <c r="D52" s="91" t="n"/>
      <c r="E52" s="98" t="n">
        <v>14.432410605</v>
      </c>
      <c r="F52" s="98" t="n">
        <v>17.26736525</v>
      </c>
      <c r="G52" s="98" t="n">
        <v>19.36614544292321</v>
      </c>
      <c r="H52" s="91" t="n"/>
    </row>
    <row r="53" ht="11.65" customHeight="1" s="97">
      <c r="C53" s="3" t="inlineStr">
        <is>
          <t>Factor receivables(2)</t>
        </is>
      </c>
      <c r="D53" s="91" t="n"/>
      <c r="E53" s="98" t="n">
        <v>1.4432410605</v>
      </c>
      <c r="F53" s="98" t="n">
        <v>1.726736525</v>
      </c>
      <c r="G53" s="98" t="n">
        <v>1.93661454429232</v>
      </c>
      <c r="H53" s="91" t="n"/>
    </row>
    <row r="54">
      <c r="C54" s="3" t="inlineStr">
        <is>
          <t>Cash</t>
        </is>
      </c>
      <c r="D54" s="91" t="n"/>
      <c r="E54" s="98" t="n">
        <v>17.410772784</v>
      </c>
      <c r="F54" s="98" t="n">
        <v>21.63316632</v>
      </c>
      <c r="G54" s="98" t="n">
        <v>25.89291635433857</v>
      </c>
      <c r="H54" s="91" t="n"/>
    </row>
    <row r="55">
      <c r="C55" s="3" t="inlineStr">
        <is>
          <t>Deferred tax assets</t>
        </is>
      </c>
      <c r="D55" s="91" t="n"/>
      <c r="E55" s="98" t="n">
        <v>2.44590223</v>
      </c>
      <c r="F55" s="98" t="n">
        <v>0.61386157</v>
      </c>
      <c r="G55" s="98" t="n">
        <v>0.6884740245151869</v>
      </c>
      <c r="H55" s="91" t="n"/>
    </row>
    <row r="56">
      <c r="C56" s="3" t="inlineStr">
        <is>
          <t>Other assets</t>
        </is>
      </c>
      <c r="D56" s="91" t="n"/>
      <c r="E56" s="98" t="n">
        <v>1.91925578</v>
      </c>
      <c r="F56" s="98" t="n">
        <v>1.75254797</v>
      </c>
      <c r="G56" s="98" t="n">
        <v>1.965563268705387</v>
      </c>
      <c r="H56" s="91" t="n"/>
    </row>
    <row r="57">
      <c r="C57" s="3" t="inlineStr">
        <is>
          <t>Total</t>
        </is>
      </c>
      <c r="D57" s="91" t="n"/>
      <c r="E57" s="98" t="n">
        <v>95.5832845995</v>
      </c>
      <c r="F57" s="98" t="n">
        <v>105.207972175</v>
      </c>
      <c r="G57" s="98" t="n">
        <v>112.8972580353643</v>
      </c>
      <c r="H57" s="91" t="n"/>
    </row>
    <row r="58">
      <c r="C58" s="5" t="n"/>
      <c r="D58" s="91" t="n"/>
      <c r="E58" s="98" t="n"/>
      <c r="F58" s="98" t="n"/>
      <c r="G58" s="98" t="n"/>
      <c r="H58" s="91" t="n"/>
    </row>
    <row r="59">
      <c r="C59" s="16" t="inlineStr">
        <is>
          <t>Liabilities</t>
        </is>
      </c>
      <c r="D59" s="91" t="n"/>
      <c r="E59" s="91" t="n"/>
      <c r="F59" s="91" t="n"/>
      <c r="G59" s="91" t="n"/>
      <c r="H59" s="91" t="n"/>
    </row>
    <row r="60" ht="11.65" customHeight="1" s="97">
      <c r="C60" s="3" t="inlineStr">
        <is>
          <t>Provisions(3)</t>
        </is>
      </c>
      <c r="D60" s="91" t="n"/>
      <c r="E60" s="98" t="n">
        <v>5.84201966</v>
      </c>
      <c r="F60" s="98" t="n">
        <v>2.12522342</v>
      </c>
      <c r="G60" s="98" t="n">
        <v>4.834471301358843</v>
      </c>
      <c r="H60" s="91" t="n"/>
    </row>
    <row r="61">
      <c r="C61" s="3" t="inlineStr">
        <is>
          <t>Bank debt</t>
        </is>
      </c>
      <c r="D61" s="91" t="n"/>
      <c r="E61" s="98" t="n">
        <v>25.36450278</v>
      </c>
      <c r="F61" s="98" t="n">
        <v>25.8827955</v>
      </c>
      <c r="G61" s="98" t="n">
        <v>28.13363528001024</v>
      </c>
      <c r="H61" s="99" t="n"/>
    </row>
    <row r="62">
      <c r="C62" s="3" t="inlineStr">
        <is>
          <t>Shareholder loans</t>
        </is>
      </c>
      <c r="D62" s="91" t="n"/>
      <c r="E62" s="98" t="n">
        <v>8.699999999999999</v>
      </c>
      <c r="F62" s="98" t="n">
        <v>13.27920251</v>
      </c>
      <c r="G62" s="98" t="n">
        <v>15.13931678082191</v>
      </c>
      <c r="H62" s="91" t="n"/>
    </row>
    <row r="63">
      <c r="C63" s="3" t="inlineStr">
        <is>
          <t>Other financial liabilities</t>
        </is>
      </c>
      <c r="D63" s="91" t="n"/>
      <c r="E63" s="98" t="n">
        <v>17.22571039</v>
      </c>
      <c r="F63" s="98" t="n">
        <v>17.29254759</v>
      </c>
      <c r="G63" s="98" t="n">
        <v>17.50444715648366</v>
      </c>
      <c r="H63" s="91" t="n"/>
    </row>
    <row r="64">
      <c r="C64" s="3" t="inlineStr">
        <is>
          <t>Financial lease liabilties (IAS 17)</t>
        </is>
      </c>
      <c r="D64" s="91" t="n"/>
      <c r="E64" s="98" t="n">
        <v>1.23056273</v>
      </c>
      <c r="F64" s="98" t="n">
        <v>1.85837913</v>
      </c>
      <c r="G64" s="98" t="n">
        <v>1.85837913</v>
      </c>
      <c r="H64" s="91" t="n"/>
    </row>
    <row r="65">
      <c r="C65" s="3" t="inlineStr">
        <is>
          <t>IFRS 16 leasing liabilities</t>
        </is>
      </c>
      <c r="D65" s="91" t="n"/>
      <c r="E65" s="98" t="n">
        <v>0</v>
      </c>
      <c r="F65" s="98" t="n">
        <v>3.77332523</v>
      </c>
      <c r="G65" s="98" t="n">
        <v>3.77332523</v>
      </c>
      <c r="H65" s="91" t="n"/>
    </row>
    <row r="66">
      <c r="C66" s="3" t="inlineStr">
        <is>
          <t>Trade payables</t>
        </is>
      </c>
      <c r="D66" s="91" t="n"/>
      <c r="E66" s="98" t="n">
        <v>23.50377916</v>
      </c>
      <c r="F66" s="98" t="n">
        <v>26.8249809</v>
      </c>
      <c r="G66" s="98" t="n">
        <v>29.95147424506032</v>
      </c>
      <c r="H66" s="91" t="n"/>
    </row>
    <row r="67">
      <c r="C67" s="3" t="inlineStr">
        <is>
          <t>Deferred tax liabilities</t>
        </is>
      </c>
      <c r="D67" s="91" t="n"/>
      <c r="E67" s="98" t="n">
        <v>0.56064377</v>
      </c>
      <c r="F67" s="98" t="n">
        <v>0.52455577</v>
      </c>
      <c r="G67" s="98" t="n">
        <v>0.5883134564924185</v>
      </c>
      <c r="H67" s="91" t="n"/>
    </row>
    <row r="68">
      <c r="C68" s="3" t="inlineStr">
        <is>
          <t>Accruals short term (tax and other provisions)</t>
        </is>
      </c>
      <c r="D68" s="91" t="n"/>
      <c r="E68" s="98" t="n">
        <v>0.79652329</v>
      </c>
      <c r="F68" s="98" t="n">
        <v>1.03152794</v>
      </c>
      <c r="G68" s="98" t="n">
        <v>1.156906095704379</v>
      </c>
      <c r="H68" s="91" t="n"/>
    </row>
    <row r="69">
      <c r="C69" s="3" t="inlineStr">
        <is>
          <t>Income tax liabilities</t>
        </is>
      </c>
      <c r="D69" s="91" t="n"/>
      <c r="E69" s="98" t="n">
        <v>0.32406812</v>
      </c>
      <c r="F69" s="98" t="n">
        <v>1.18942412</v>
      </c>
      <c r="G69" s="98" t="n">
        <v>1.333993934091419</v>
      </c>
      <c r="H69" s="91" t="n"/>
    </row>
    <row r="70">
      <c r="C70" s="3" t="inlineStr">
        <is>
          <t>Total</t>
        </is>
      </c>
      <c r="D70" s="91" t="n"/>
      <c r="E70" s="100" t="n">
        <v>83.54780990000002</v>
      </c>
      <c r="F70" s="100" t="n">
        <v>93.78196211000001</v>
      </c>
      <c r="G70" s="100" t="n">
        <v>104.2742626100232</v>
      </c>
      <c r="H70" s="91" t="n"/>
    </row>
    <row r="71">
      <c r="C71" s="3" t="n"/>
      <c r="D71" s="91" t="n"/>
      <c r="E71" s="100" t="n"/>
      <c r="F71" s="100" t="n"/>
      <c r="G71" s="100" t="n"/>
      <c r="H71" s="91" t="n"/>
    </row>
    <row r="72">
      <c r="C72" s="86" t="inlineStr">
        <is>
          <t>Net assets</t>
        </is>
      </c>
      <c r="D72" s="91" t="n"/>
      <c r="E72" s="101" t="n">
        <v>12.03547469949999</v>
      </c>
      <c r="F72" s="101" t="n">
        <v>11.42601006499997</v>
      </c>
      <c r="G72" s="101" t="n">
        <v>8.622995425341145</v>
      </c>
      <c r="H72" s="91" t="n"/>
    </row>
    <row r="73">
      <c r="C73" s="86" t="n"/>
      <c r="D73" s="86" t="n"/>
      <c r="E73" s="102" t="n"/>
      <c r="F73" s="102" t="n"/>
      <c r="G73" s="102" t="n"/>
    </row>
    <row r="74">
      <c r="C74" s="103" t="inlineStr">
        <is>
          <t>Due diligence findings:</t>
        </is>
      </c>
      <c r="D74" s="86" t="n"/>
      <c r="E74" s="86" t="n"/>
      <c r="F74" s="86" t="n"/>
      <c r="G74" s="86" t="n"/>
    </row>
    <row r="75">
      <c r="C75" s="104" t="inlineStr">
        <is>
          <t>(1) Tangible asset base underinvested. DD estimated a capex underinvestment of c.€1.75m.</t>
        </is>
      </c>
      <c r="D75" s="86" t="n"/>
      <c r="E75" s="86" t="n"/>
      <c r="F75" s="86" t="n"/>
      <c r="G75" s="86" t="n"/>
    </row>
    <row r="76">
      <c r="C76" s="105" t="inlineStr">
        <is>
          <t>(2) Non-recourse factoring of 50% of annual receivables. Terms include 80% cash upfront with 10% all-in interest cost (incl. discount and fees)</t>
        </is>
      </c>
      <c r="D76" s="86" t="n"/>
      <c r="E76" s="86" t="n"/>
      <c r="F76" s="86" t="n"/>
      <c r="G76" s="86" t="n"/>
    </row>
    <row r="77">
      <c r="C77" s="104" t="inlineStr">
        <is>
          <t>(3) FY20E includes a management transaction bonus of €4.5m.</t>
        </is>
      </c>
      <c r="D77" s="86" t="n"/>
      <c r="E77" s="86" t="n"/>
      <c r="F77" s="86" t="n"/>
      <c r="G77" s="86" t="n"/>
    </row>
    <row r="79">
      <c r="E79" s="92" t="n"/>
      <c r="F79" s="92" t="n"/>
      <c r="G79" s="92" t="n"/>
    </row>
    <row r="81">
      <c r="E81" s="92" t="n"/>
      <c r="F81" s="92" t="n"/>
      <c r="G81" s="92" t="n"/>
    </row>
    <row r="83">
      <c r="F83" s="92" t="n"/>
    </row>
    <row r="84">
      <c r="F84" s="92" t="n"/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8"/>
  <sheetViews>
    <sheetView showGridLines="0" tabSelected="1" zoomScale="85" zoomScaleNormal="85" workbookViewId="0">
      <pane xSplit="1" ySplit="2" topLeftCell="B136" activePane="bottomRight" state="frozen"/>
      <selection pane="topRight" activeCell="B1" sqref="B1"/>
      <selection pane="bottomLeft" activeCell="A3" sqref="A3"/>
      <selection pane="bottomRight" activeCell="M161" sqref="M161"/>
    </sheetView>
  </sheetViews>
  <sheetFormatPr baseColWidth="8" defaultColWidth="10.73046875" defaultRowHeight="14.25"/>
  <cols>
    <col width="1.73046875" customWidth="1" style="97" min="1" max="2"/>
    <col width="30.73046875" customWidth="1" style="97" min="3" max="3"/>
    <col width="10.73046875" customWidth="1" style="97" min="4" max="4"/>
  </cols>
  <sheetData>
    <row r="1">
      <c r="A1" s="106" t="inlineStr">
        <is>
          <t>in EURm unless otherwise stated</t>
        </is>
      </c>
      <c r="D1" s="107" t="inlineStr">
        <is>
          <t>Historical</t>
        </is>
      </c>
      <c r="E1" s="107" t="inlineStr">
        <is>
          <t>Historical</t>
        </is>
      </c>
      <c r="F1" s="107" t="inlineStr">
        <is>
          <t>Historical</t>
        </is>
      </c>
      <c r="G1" s="107" t="inlineStr">
        <is>
          <t>Estimated</t>
        </is>
      </c>
      <c r="H1" s="107" t="n">
        <v>1</v>
      </c>
      <c r="I1" s="107">
        <f>+H1+1</f>
        <v/>
      </c>
      <c r="J1" s="107">
        <f>+I1+1</f>
        <v/>
      </c>
      <c r="K1" s="107">
        <f>+J1+1</f>
        <v/>
      </c>
      <c r="L1" s="107">
        <f>+K1+1</f>
        <v/>
      </c>
      <c r="N1" s="108" t="inlineStr">
        <is>
          <t>CAGR</t>
        </is>
      </c>
    </row>
    <row r="2">
      <c r="D2" s="24" t="n">
        <v>2017</v>
      </c>
      <c r="E2" s="24">
        <f>+D2+1</f>
        <v/>
      </c>
      <c r="F2" s="24">
        <f>+E2+1</f>
        <v/>
      </c>
      <c r="G2" s="24">
        <f>+F2+1</f>
        <v/>
      </c>
      <c r="H2" s="24">
        <f>+G2+1</f>
        <v/>
      </c>
      <c r="I2" s="24">
        <f>+H2+1</f>
        <v/>
      </c>
      <c r="J2" s="24">
        <f>+I2+1</f>
        <v/>
      </c>
      <c r="K2" s="24">
        <f>+J2+1</f>
        <v/>
      </c>
      <c r="L2" s="24">
        <f>+K2+1</f>
        <v/>
      </c>
      <c r="N2" s="109" t="inlineStr">
        <is>
          <t>20-'25</t>
        </is>
      </c>
    </row>
    <row r="4">
      <c r="A4" s="110" t="inlineStr">
        <is>
          <t>x</t>
        </is>
      </c>
      <c r="B4" s="111" t="inlineStr">
        <is>
          <t>Cover</t>
        </is>
      </c>
      <c r="H4" s="112" t="n"/>
    </row>
    <row r="5">
      <c r="C5" s="113" t="inlineStr">
        <is>
          <t>Txn assumptions</t>
        </is>
      </c>
      <c r="D5" s="113" t="n"/>
      <c r="F5" s="113" t="inlineStr">
        <is>
          <t>Sources and Uses</t>
        </is>
      </c>
      <c r="K5" s="113" t="inlineStr">
        <is>
          <t>Other assumptions</t>
        </is>
      </c>
      <c r="O5" s="113" t="inlineStr">
        <is>
          <t>Financing assumptions</t>
        </is>
      </c>
      <c r="R5" s="110" t="inlineStr">
        <is>
          <t>xEBITDA</t>
        </is>
      </c>
      <c r="S5" s="110" t="inlineStr">
        <is>
          <t>Cash inter'</t>
        </is>
      </c>
      <c r="T5" s="110" t="inlineStr">
        <is>
          <t>PIK</t>
        </is>
      </c>
      <c r="U5" s="110" t="inlineStr">
        <is>
          <t>Maturity</t>
        </is>
      </c>
    </row>
    <row r="6">
      <c r="C6" s="110" t="inlineStr">
        <is>
          <t>Purchase multiple</t>
        </is>
      </c>
      <c r="D6" s="114" t="n">
        <v>12</v>
      </c>
      <c r="F6" s="110" t="inlineStr">
        <is>
          <t>Revolver</t>
        </is>
      </c>
      <c r="I6" s="110">
        <f>+R6*$G$92</f>
        <v/>
      </c>
      <c r="K6" s="110" t="inlineStr">
        <is>
          <t>Min cash</t>
        </is>
      </c>
      <c r="M6" s="115" t="n">
        <v>20</v>
      </c>
      <c r="O6" s="110" t="inlineStr">
        <is>
          <t>Revolver</t>
        </is>
      </c>
      <c r="R6" s="114" t="n">
        <v>0</v>
      </c>
      <c r="S6" s="116" t="n">
        <v>0.04</v>
      </c>
      <c r="U6" s="58" t="n">
        <v>2027</v>
      </c>
    </row>
    <row r="7">
      <c r="C7" s="110" t="inlineStr">
        <is>
          <t>Pricing EBITDA (FY20E)</t>
        </is>
      </c>
      <c r="D7" s="110">
        <f>+G92</f>
        <v/>
      </c>
      <c r="F7" s="110" t="inlineStr">
        <is>
          <t>1L debt</t>
        </is>
      </c>
      <c r="I7" s="110">
        <f>+R7*$G$92</f>
        <v/>
      </c>
      <c r="K7" s="110" t="inlineStr">
        <is>
          <t>Fees % of EV</t>
        </is>
      </c>
      <c r="M7" s="116" t="n">
        <v>0.05</v>
      </c>
      <c r="O7" s="110" t="inlineStr">
        <is>
          <t>1L TLB</t>
        </is>
      </c>
      <c r="R7" s="114" t="n">
        <v>4</v>
      </c>
      <c r="S7" s="116" t="n">
        <v>0.06</v>
      </c>
      <c r="U7" s="58" t="n">
        <v>2027</v>
      </c>
    </row>
    <row r="8">
      <c r="C8" s="117" t="inlineStr">
        <is>
          <t>Purchase EV</t>
        </is>
      </c>
      <c r="D8" s="117">
        <f>+D7*D6</f>
        <v/>
      </c>
      <c r="F8" s="110" t="inlineStr">
        <is>
          <t>PIK notes</t>
        </is>
      </c>
      <c r="I8" s="110">
        <f>+R8*$G$92</f>
        <v/>
      </c>
      <c r="K8" s="110" t="inlineStr">
        <is>
          <t>Exit multiple</t>
        </is>
      </c>
      <c r="M8" s="114" t="n">
        <v>12</v>
      </c>
      <c r="O8" s="110" t="inlineStr">
        <is>
          <t>PIK notes</t>
        </is>
      </c>
      <c r="R8" s="114" t="n">
        <v>2</v>
      </c>
      <c r="T8" s="116" t="n">
        <v>0.08</v>
      </c>
      <c r="U8" s="58" t="n">
        <v>2027</v>
      </c>
    </row>
    <row r="9">
      <c r="F9" s="110" t="inlineStr">
        <is>
          <t>Sponsor equity</t>
        </is>
      </c>
      <c r="I9" s="110">
        <f>+I12-I10-I11-I8-I7-I6</f>
        <v/>
      </c>
    </row>
    <row r="10">
      <c r="C10" s="110" t="inlineStr">
        <is>
          <t>(-) debt</t>
        </is>
      </c>
      <c r="D10" s="110">
        <f>+Data!G61+Data!G62</f>
        <v/>
      </c>
      <c r="F10" s="110" t="inlineStr">
        <is>
          <t>Rolled lease liabilities</t>
        </is>
      </c>
      <c r="I10" s="110">
        <f>+D12</f>
        <v/>
      </c>
    </row>
    <row r="11">
      <c r="C11" s="110" t="inlineStr">
        <is>
          <t>(-) debt like items</t>
        </is>
      </c>
      <c r="D11" s="110">
        <f>+Data!G60+Data!G63</f>
        <v/>
      </c>
      <c r="F11" s="110" t="inlineStr">
        <is>
          <t>Cash on BS</t>
        </is>
      </c>
      <c r="I11" s="110">
        <f>+D13</f>
        <v/>
      </c>
      <c r="K11" s="113" t="inlineStr">
        <is>
          <t>Switches</t>
        </is>
      </c>
    </row>
    <row r="12">
      <c r="C12" s="110" t="inlineStr">
        <is>
          <t>(-) leases</t>
        </is>
      </c>
      <c r="D12" s="110">
        <f>+Data!G65</f>
        <v/>
      </c>
      <c r="F12" s="118" t="inlineStr">
        <is>
          <t>Total sources</t>
        </is>
      </c>
      <c r="G12" s="118" t="n"/>
      <c r="H12" s="118" t="n"/>
      <c r="I12" s="118">
        <f>+I19</f>
        <v/>
      </c>
      <c r="K12" s="110" t="inlineStr">
        <is>
          <t>Circ switch</t>
        </is>
      </c>
      <c r="M12" s="119" t="n">
        <v>1</v>
      </c>
    </row>
    <row r="13">
      <c r="C13" s="110" t="inlineStr">
        <is>
          <t>(+) cash and equivalents</t>
        </is>
      </c>
      <c r="D13" s="110">
        <f>+Data!G54+Data!G50</f>
        <v/>
      </c>
    </row>
    <row r="14">
      <c r="C14" s="117" t="inlineStr">
        <is>
          <t>Purchase EqV</t>
        </is>
      </c>
      <c r="D14" s="117">
        <f>+D8-D10-D11+D12+D13</f>
        <v/>
      </c>
      <c r="F14" s="110" t="inlineStr">
        <is>
          <t>Purchase EqV</t>
        </is>
      </c>
      <c r="I14" s="110">
        <f>+D14</f>
        <v/>
      </c>
    </row>
    <row r="15">
      <c r="F15" s="110" t="inlineStr">
        <is>
          <t>Debt &amp; debt-like items</t>
        </is>
      </c>
      <c r="I15" s="110">
        <f>+D10+D11</f>
        <v/>
      </c>
    </row>
    <row r="16">
      <c r="F16" s="110" t="inlineStr">
        <is>
          <t>Lease liabilities</t>
        </is>
      </c>
      <c r="I16" s="110">
        <f>+D12</f>
        <v/>
      </c>
    </row>
    <row r="17">
      <c r="F17" s="110" t="inlineStr">
        <is>
          <t>Fees</t>
        </is>
      </c>
      <c r="I17" s="110">
        <f>+M7*D8</f>
        <v/>
      </c>
    </row>
    <row r="18">
      <c r="F18" s="110" t="inlineStr">
        <is>
          <t>Min cash</t>
        </is>
      </c>
      <c r="I18" s="110">
        <f>+M6</f>
        <v/>
      </c>
    </row>
    <row r="19">
      <c r="F19" s="118" t="inlineStr">
        <is>
          <t>Total uses</t>
        </is>
      </c>
      <c r="G19" s="118" t="n"/>
      <c r="H19" s="118" t="n"/>
      <c r="I19" s="118">
        <f>SUM(I14:I18)</f>
        <v/>
      </c>
    </row>
    <row r="20">
      <c r="A20" s="110" t="inlineStr">
        <is>
          <t>x</t>
        </is>
      </c>
      <c r="B20" s="111" t="inlineStr">
        <is>
          <t>Operating assumptions</t>
        </is>
      </c>
    </row>
    <row r="21">
      <c r="C21" s="110" t="inlineStr">
        <is>
          <t>AMS Europe</t>
        </is>
      </c>
      <c r="D21" s="112">
        <f>+Data!D6</f>
        <v/>
      </c>
      <c r="E21" s="112">
        <f>+Data!E6</f>
        <v/>
      </c>
      <c r="F21" s="112">
        <f>+Data!F6</f>
        <v/>
      </c>
      <c r="G21" s="112">
        <f>+Data!G6</f>
        <v/>
      </c>
      <c r="H21" s="110">
        <f>+G21*(1+$N21)</f>
        <v/>
      </c>
      <c r="I21" s="110">
        <f>+H21*(1+$N21)</f>
        <v/>
      </c>
      <c r="J21" s="110">
        <f>+I21*(1+$N21)</f>
        <v/>
      </c>
      <c r="K21" s="110">
        <f>+J21*(1+$N21)</f>
        <v/>
      </c>
      <c r="L21" s="110">
        <f>+K21*(1+$N21)</f>
        <v/>
      </c>
      <c r="N21" s="116" t="n">
        <v>0.07000000000000001</v>
      </c>
    </row>
    <row r="22">
      <c r="C22" s="110" t="inlineStr">
        <is>
          <t>ECS Europe</t>
        </is>
      </c>
      <c r="D22" s="112">
        <f>+Data!D7</f>
        <v/>
      </c>
      <c r="E22" s="112">
        <f>+Data!E7</f>
        <v/>
      </c>
      <c r="F22" s="112">
        <f>+Data!F7</f>
        <v/>
      </c>
      <c r="G22" s="112">
        <f>+Data!G7</f>
        <v/>
      </c>
      <c r="H22" s="110">
        <f>+G22*(1+$N22)</f>
        <v/>
      </c>
      <c r="I22" s="110">
        <f>+H22*(1+$N22)</f>
        <v/>
      </c>
      <c r="J22" s="110">
        <f>+I22*(1+$N22)</f>
        <v/>
      </c>
      <c r="K22" s="110">
        <f>+J22*(1+$N22)</f>
        <v/>
      </c>
      <c r="L22" s="110">
        <f>+K22*(1+$N22)</f>
        <v/>
      </c>
      <c r="N22" s="116" t="n">
        <v>0.05</v>
      </c>
    </row>
    <row r="23">
      <c r="C23" s="110" t="inlineStr">
        <is>
          <t>Americas &amp; Asia</t>
        </is>
      </c>
      <c r="D23" s="112">
        <f>+Data!D8</f>
        <v/>
      </c>
      <c r="E23" s="112">
        <f>+Data!E8</f>
        <v/>
      </c>
      <c r="F23" s="112">
        <f>+Data!F8</f>
        <v/>
      </c>
      <c r="G23" s="112">
        <f>+Data!G8</f>
        <v/>
      </c>
      <c r="H23" s="110">
        <f>+G23*(1+$N23)</f>
        <v/>
      </c>
      <c r="I23" s="110">
        <f>+H23*(1+$N23)</f>
        <v/>
      </c>
      <c r="J23" s="110">
        <f>+I23*(1+$N23)</f>
        <v/>
      </c>
      <c r="K23" s="110">
        <f>+J23*(1+$N23)</f>
        <v/>
      </c>
      <c r="L23" s="110">
        <f>+K23*(1+$N23)</f>
        <v/>
      </c>
      <c r="N23" s="120">
        <f>+(L32/G32)^(0.2)-1</f>
        <v/>
      </c>
    </row>
    <row r="24">
      <c r="C24" s="110" t="inlineStr">
        <is>
          <t>Others</t>
        </is>
      </c>
      <c r="D24" s="112">
        <f>+Data!D9</f>
        <v/>
      </c>
      <c r="E24" s="112">
        <f>+Data!E9</f>
        <v/>
      </c>
      <c r="F24" s="112">
        <f>+Data!F9</f>
        <v/>
      </c>
      <c r="G24" s="112">
        <f>+Data!G9</f>
        <v/>
      </c>
      <c r="H24" s="110">
        <f>+G24*(1+$N24)</f>
        <v/>
      </c>
      <c r="I24" s="110">
        <f>+H24*(1+$N24)</f>
        <v/>
      </c>
      <c r="J24" s="110">
        <f>+I24*(1+$N24)</f>
        <v/>
      </c>
      <c r="K24" s="110">
        <f>+J24*(1+$N24)</f>
        <v/>
      </c>
      <c r="L24" s="110">
        <f>+K24*(1+$N24)</f>
        <v/>
      </c>
      <c r="N24" s="120">
        <f>+(L38/G38)^(0.2)-1</f>
        <v/>
      </c>
    </row>
    <row r="25">
      <c r="C25" s="110" t="inlineStr">
        <is>
          <t>Total revenue</t>
        </is>
      </c>
      <c r="D25" s="117">
        <f>SUM(D21:D24)</f>
        <v/>
      </c>
      <c r="E25" s="117">
        <f>SUM(E21:E24)</f>
        <v/>
      </c>
      <c r="F25" s="117">
        <f>SUM(F21:F24)</f>
        <v/>
      </c>
      <c r="G25" s="117">
        <f>SUM(G21:G24)</f>
        <v/>
      </c>
      <c r="H25" s="117">
        <f>SUM(H21:H24)</f>
        <v/>
      </c>
      <c r="I25" s="117">
        <f>SUM(I21:I24)</f>
        <v/>
      </c>
      <c r="J25" s="117">
        <f>SUM(J21:J24)</f>
        <v/>
      </c>
      <c r="K25" s="117">
        <f>SUM(K21:K24)</f>
        <v/>
      </c>
      <c r="L25" s="117">
        <f>SUM(L21:L24)</f>
        <v/>
      </c>
    </row>
    <row r="27">
      <c r="C27" s="121" t="inlineStr">
        <is>
          <t xml:space="preserve">Memo: Europe </t>
        </is>
      </c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22" t="n"/>
    </row>
    <row r="28">
      <c r="C28" s="123" t="inlineStr">
        <is>
          <t>Revenue</t>
        </is>
      </c>
      <c r="D28" s="110">
        <f>+D22+D21</f>
        <v/>
      </c>
      <c r="E28" s="110">
        <f>+E22+E21</f>
        <v/>
      </c>
      <c r="F28" s="110">
        <f>+F22+F21</f>
        <v/>
      </c>
      <c r="G28" s="110">
        <f>+G22+G21</f>
        <v/>
      </c>
      <c r="H28" s="110">
        <f>+H22+H21</f>
        <v/>
      </c>
      <c r="I28" s="110">
        <f>+I22+I21</f>
        <v/>
      </c>
      <c r="J28" s="110">
        <f>+J22+J21</f>
        <v/>
      </c>
      <c r="K28" s="110">
        <f>+K22+K21</f>
        <v/>
      </c>
      <c r="L28" s="124">
        <f>+L22+L21</f>
        <v/>
      </c>
    </row>
    <row r="29">
      <c r="C29" s="123" t="inlineStr">
        <is>
          <t>% YoY</t>
        </is>
      </c>
      <c r="E29" s="120">
        <f>+E28/D28-1</f>
        <v/>
      </c>
      <c r="F29" s="120">
        <f>+F28/E28-1</f>
        <v/>
      </c>
      <c r="G29" s="120">
        <f>+G28/F28-1</f>
        <v/>
      </c>
      <c r="H29" s="120">
        <f>+H28/G28-1</f>
        <v/>
      </c>
      <c r="I29" s="120">
        <f>+I28/H28-1</f>
        <v/>
      </c>
      <c r="J29" s="120">
        <f>+J28/I28-1</f>
        <v/>
      </c>
      <c r="K29" s="120">
        <f>+K28/J28-1</f>
        <v/>
      </c>
      <c r="L29" s="125">
        <f>+L28/K28-1</f>
        <v/>
      </c>
    </row>
    <row r="30">
      <c r="C30" s="123" t="n"/>
      <c r="G30" s="120" t="n"/>
      <c r="H30" s="120" t="n"/>
      <c r="L30" s="124" t="n"/>
    </row>
    <row r="31">
      <c r="C31" s="126" t="inlineStr">
        <is>
          <t>Memo: Americas &amp; Asia</t>
        </is>
      </c>
      <c r="L31" s="124" t="n"/>
    </row>
    <row r="32">
      <c r="C32" s="123" t="inlineStr">
        <is>
          <t>Revenue</t>
        </is>
      </c>
      <c r="D32" s="127">
        <f>+D23</f>
        <v/>
      </c>
      <c r="E32" s="127">
        <f>+E23</f>
        <v/>
      </c>
      <c r="F32" s="127">
        <f>+F23</f>
        <v/>
      </c>
      <c r="G32" s="127">
        <f>+G23</f>
        <v/>
      </c>
      <c r="H32" s="110">
        <f>+(1+H33)*G32</f>
        <v/>
      </c>
      <c r="I32" s="110">
        <f>+(1+I33)*H32</f>
        <v/>
      </c>
      <c r="J32" s="110">
        <f>+(1+J33)*I32</f>
        <v/>
      </c>
      <c r="K32" s="110">
        <f>+(1+K33)*J32</f>
        <v/>
      </c>
      <c r="L32" s="124">
        <f>+(1+L33)*K32</f>
        <v/>
      </c>
    </row>
    <row r="33">
      <c r="C33" s="123" t="inlineStr">
        <is>
          <t>% YoY</t>
        </is>
      </c>
      <c r="E33" s="128">
        <f>+E32/D32-1</f>
        <v/>
      </c>
      <c r="F33" s="128">
        <f>+F32/E32-1</f>
        <v/>
      </c>
      <c r="G33" s="128">
        <f>+G32/F32-1</f>
        <v/>
      </c>
      <c r="H33" s="120">
        <f>+H34+H35</f>
        <v/>
      </c>
      <c r="I33" s="120">
        <f>+I34+I35</f>
        <v/>
      </c>
      <c r="J33" s="120">
        <f>+J34+J35</f>
        <v/>
      </c>
      <c r="K33" s="120">
        <f>+K34+K35</f>
        <v/>
      </c>
      <c r="L33" s="125">
        <f>+L34+L35</f>
        <v/>
      </c>
    </row>
    <row r="34">
      <c r="C34" s="129" t="inlineStr">
        <is>
          <t>Baseline growth</t>
        </is>
      </c>
      <c r="E34" s="120" t="n"/>
      <c r="F34" s="120" t="n"/>
      <c r="G34" s="120" t="n"/>
      <c r="H34" s="120">
        <f>+$N$21</f>
        <v/>
      </c>
      <c r="I34" s="120">
        <f>+$N$21</f>
        <v/>
      </c>
      <c r="J34" s="120">
        <f>+$N$21</f>
        <v/>
      </c>
      <c r="K34" s="120">
        <f>+$N$21</f>
        <v/>
      </c>
      <c r="L34" s="125">
        <f>+$N$21</f>
        <v/>
      </c>
    </row>
    <row r="35">
      <c r="C35" s="129" t="inlineStr">
        <is>
          <t>Excess growth</t>
        </is>
      </c>
      <c r="E35" s="120" t="n"/>
      <c r="F35" s="120" t="n"/>
      <c r="G35" s="120" t="n"/>
      <c r="H35" s="116" t="n">
        <v>0.15</v>
      </c>
      <c r="I35" s="116" t="n">
        <v>0.125</v>
      </c>
      <c r="J35" s="116" t="n">
        <v>0.1</v>
      </c>
      <c r="K35" s="116" t="n">
        <v>0.075</v>
      </c>
      <c r="L35" s="130" t="n">
        <v>0.05</v>
      </c>
    </row>
    <row r="36">
      <c r="C36" s="129" t="n"/>
      <c r="E36" s="120" t="n"/>
      <c r="F36" s="120" t="n"/>
      <c r="G36" s="120" t="n"/>
      <c r="H36" s="116" t="n"/>
      <c r="I36" s="116" t="n"/>
      <c r="J36" s="116" t="n"/>
      <c r="K36" s="116" t="n"/>
      <c r="L36" s="130" t="n"/>
    </row>
    <row r="37">
      <c r="C37" s="126" t="inlineStr">
        <is>
          <t>Memo: Others</t>
        </is>
      </c>
      <c r="E37" s="120" t="n"/>
      <c r="F37" s="120" t="n"/>
      <c r="G37" s="120" t="n"/>
      <c r="H37" s="120" t="n"/>
      <c r="I37" s="120" t="n"/>
      <c r="J37" s="120" t="n"/>
      <c r="K37" s="120" t="n"/>
      <c r="L37" s="125" t="n"/>
    </row>
    <row r="38">
      <c r="C38" s="123" t="inlineStr">
        <is>
          <t>Revenue</t>
        </is>
      </c>
      <c r="D38" s="127">
        <f>+D24</f>
        <v/>
      </c>
      <c r="E38" s="127">
        <f>+E24</f>
        <v/>
      </c>
      <c r="F38" s="127">
        <f>+F24</f>
        <v/>
      </c>
      <c r="G38" s="127">
        <f>+G24</f>
        <v/>
      </c>
      <c r="H38" s="110">
        <f>+(1+H39)*G38</f>
        <v/>
      </c>
      <c r="I38" s="110">
        <f>+(1+I39)*H38</f>
        <v/>
      </c>
      <c r="J38" s="110">
        <f>+(1+J39)*I38</f>
        <v/>
      </c>
      <c r="K38" s="110">
        <f>+(1+K39)*J38</f>
        <v/>
      </c>
      <c r="L38" s="124">
        <f>+(1+L39)*K38</f>
        <v/>
      </c>
    </row>
    <row r="39">
      <c r="C39" s="131" t="inlineStr">
        <is>
          <t>% YoY</t>
        </is>
      </c>
      <c r="D39" s="132" t="n"/>
      <c r="E39" s="133">
        <f>+E38/D38-1</f>
        <v/>
      </c>
      <c r="F39" s="133">
        <f>+F38/E38-1</f>
        <v/>
      </c>
      <c r="G39" s="133">
        <f>+G38/F38-1</f>
        <v/>
      </c>
      <c r="H39" s="134" t="n">
        <v>0</v>
      </c>
      <c r="I39" s="134" t="n">
        <v>0</v>
      </c>
      <c r="J39" s="134" t="n">
        <v>0</v>
      </c>
      <c r="K39" s="134" t="n">
        <v>0</v>
      </c>
      <c r="L39" s="135" t="n">
        <v>0</v>
      </c>
    </row>
    <row r="41">
      <c r="C41" s="110" t="inlineStr">
        <is>
          <t>AMS Europe</t>
        </is>
      </c>
      <c r="D41" s="112">
        <f>+Data!D13</f>
        <v/>
      </c>
      <c r="E41" s="112">
        <f>+Data!E13</f>
        <v/>
      </c>
      <c r="F41" s="112">
        <f>+Data!F13</f>
        <v/>
      </c>
      <c r="G41" s="112">
        <f>+Data!G13</f>
        <v/>
      </c>
      <c r="H41" s="136" t="n"/>
      <c r="I41" s="136" t="n"/>
      <c r="J41" s="136" t="n"/>
      <c r="K41" s="136" t="n"/>
      <c r="L41" s="136" t="n"/>
    </row>
    <row r="42">
      <c r="C42" s="110" t="inlineStr">
        <is>
          <t>ECS Europe</t>
        </is>
      </c>
      <c r="D42" s="112">
        <f>+Data!D14</f>
        <v/>
      </c>
      <c r="E42" s="112">
        <f>+Data!E14</f>
        <v/>
      </c>
      <c r="F42" s="112">
        <f>+Data!F14</f>
        <v/>
      </c>
      <c r="G42" s="112">
        <f>+Data!G14</f>
        <v/>
      </c>
      <c r="H42" s="136" t="n"/>
      <c r="I42" s="136" t="n"/>
      <c r="J42" s="136" t="n"/>
      <c r="K42" s="136" t="n"/>
      <c r="L42" s="136" t="n"/>
    </row>
    <row r="43">
      <c r="C43" s="110" t="inlineStr">
        <is>
          <t>Americas &amp; Asia</t>
        </is>
      </c>
      <c r="D43" s="112">
        <f>+Data!D15</f>
        <v/>
      </c>
      <c r="E43" s="112">
        <f>+Data!E15</f>
        <v/>
      </c>
      <c r="F43" s="112">
        <f>+Data!F15</f>
        <v/>
      </c>
      <c r="G43" s="112">
        <f>+Data!G15</f>
        <v/>
      </c>
      <c r="H43" s="136" t="n"/>
      <c r="I43" s="136" t="n"/>
      <c r="J43" s="136" t="n"/>
      <c r="K43" s="136" t="n"/>
      <c r="L43" s="136" t="n"/>
    </row>
    <row r="44">
      <c r="C44" s="110" t="inlineStr">
        <is>
          <t>Others</t>
        </is>
      </c>
      <c r="D44" s="112">
        <f>+Data!D16</f>
        <v/>
      </c>
      <c r="E44" s="112">
        <f>+Data!E16</f>
        <v/>
      </c>
      <c r="F44" s="112">
        <f>+Data!F16</f>
        <v/>
      </c>
      <c r="G44" s="112">
        <f>+Data!G16</f>
        <v/>
      </c>
      <c r="H44" s="136" t="n"/>
      <c r="I44" s="136" t="n"/>
      <c r="J44" s="136" t="n"/>
      <c r="K44" s="136" t="n"/>
      <c r="L44" s="136" t="n"/>
    </row>
    <row r="45">
      <c r="C45" s="110" t="inlineStr">
        <is>
          <t>Total gross profit</t>
        </is>
      </c>
      <c r="D45" s="137">
        <f>SUM(D41:D44)</f>
        <v/>
      </c>
      <c r="E45" s="137">
        <f>SUM(E41:E44)</f>
        <v/>
      </c>
      <c r="F45" s="137">
        <f>SUM(F41:F44)</f>
        <v/>
      </c>
      <c r="G45" s="137">
        <f>SUM(G41:G44)</f>
        <v/>
      </c>
      <c r="H45" s="117">
        <f>+H46*H25</f>
        <v/>
      </c>
      <c r="I45" s="117">
        <f>+I46*I25</f>
        <v/>
      </c>
      <c r="J45" s="117">
        <f>+J46*J25</f>
        <v/>
      </c>
      <c r="K45" s="117">
        <f>+K46*K25</f>
        <v/>
      </c>
      <c r="L45" s="117">
        <f>+L46*L25</f>
        <v/>
      </c>
    </row>
    <row r="46">
      <c r="C46" s="110" t="inlineStr">
        <is>
          <t>% of revenue</t>
        </is>
      </c>
      <c r="D46" s="120">
        <f>+D45/D25</f>
        <v/>
      </c>
      <c r="E46" s="120">
        <f>+E45/E25</f>
        <v/>
      </c>
      <c r="F46" s="120">
        <f>+F45/F25</f>
        <v/>
      </c>
      <c r="G46" s="120">
        <f>+G45/G25</f>
        <v/>
      </c>
      <c r="H46" s="116">
        <f>+AVERAGE($D$46:$G$46)</f>
        <v/>
      </c>
      <c r="I46" s="116">
        <f>+AVERAGE($D$46:$G$46)</f>
        <v/>
      </c>
      <c r="J46" s="116">
        <f>+AVERAGE($D$46:$G$46)</f>
        <v/>
      </c>
      <c r="K46" s="116">
        <f>+AVERAGE($D$46:$G$46)</f>
        <v/>
      </c>
      <c r="L46" s="116">
        <f>+AVERAGE($D$46:$G$46)</f>
        <v/>
      </c>
    </row>
    <row r="48">
      <c r="C48" s="110" t="inlineStr">
        <is>
          <t>Personnel expenses</t>
        </is>
      </c>
      <c r="D48" s="112">
        <f>+Data!D20</f>
        <v/>
      </c>
      <c r="E48" s="112">
        <f>+Data!E20</f>
        <v/>
      </c>
      <c r="F48" s="112">
        <f>+Data!F20</f>
        <v/>
      </c>
      <c r="G48" s="112">
        <f>+Data!G20</f>
        <v/>
      </c>
      <c r="H48" s="110">
        <f>+H55</f>
        <v/>
      </c>
      <c r="I48" s="110">
        <f>+I55</f>
        <v/>
      </c>
      <c r="J48" s="110">
        <f>+J55</f>
        <v/>
      </c>
      <c r="K48" s="110">
        <f>+K55</f>
        <v/>
      </c>
      <c r="L48" s="110">
        <f>+L55</f>
        <v/>
      </c>
    </row>
    <row r="49">
      <c r="C49" s="110" t="inlineStr">
        <is>
          <t>Other operating expenses</t>
        </is>
      </c>
      <c r="D49" s="112">
        <f>+Data!D21</f>
        <v/>
      </c>
      <c r="E49" s="112">
        <f>+Data!E21</f>
        <v/>
      </c>
      <c r="F49" s="112">
        <f>+Data!F21</f>
        <v/>
      </c>
      <c r="G49" s="112">
        <f>+Data!G21</f>
        <v/>
      </c>
      <c r="H49" s="110">
        <f>+H59</f>
        <v/>
      </c>
      <c r="I49" s="110">
        <f>+I59</f>
        <v/>
      </c>
      <c r="J49" s="110">
        <f>+J59</f>
        <v/>
      </c>
      <c r="K49" s="110">
        <f>+K59</f>
        <v/>
      </c>
      <c r="L49" s="110">
        <f>+L59</f>
        <v/>
      </c>
    </row>
    <row r="50">
      <c r="C50" s="110" t="inlineStr">
        <is>
          <t>Other operating income</t>
        </is>
      </c>
      <c r="D50" s="112">
        <f>+Data!D22</f>
        <v/>
      </c>
      <c r="E50" s="112">
        <f>+Data!E22</f>
        <v/>
      </c>
      <c r="F50" s="112">
        <f>+Data!F22</f>
        <v/>
      </c>
      <c r="G50" s="112">
        <f>+Data!G22</f>
        <v/>
      </c>
      <c r="H50" s="115">
        <f>+$G$50</f>
        <v/>
      </c>
      <c r="I50" s="115">
        <f>+$G$50</f>
        <v/>
      </c>
      <c r="J50" s="115">
        <f>+$G$50</f>
        <v/>
      </c>
      <c r="K50" s="115">
        <f>+$G$50</f>
        <v/>
      </c>
      <c r="L50" s="115">
        <f>+$G$50</f>
        <v/>
      </c>
    </row>
    <row r="51">
      <c r="C51" s="110" t="inlineStr">
        <is>
          <t>IFRS16 adjustments</t>
        </is>
      </c>
      <c r="D51" s="115" t="n">
        <v>0</v>
      </c>
      <c r="E51" s="112">
        <f>+Data!E31*-1</f>
        <v/>
      </c>
      <c r="F51" s="136" t="n"/>
      <c r="G51" s="136" t="n"/>
      <c r="H51" s="136" t="n"/>
      <c r="I51" s="136" t="n"/>
      <c r="J51" s="136" t="n"/>
      <c r="K51" s="136" t="n"/>
      <c r="L51" s="136" t="n"/>
    </row>
    <row r="52">
      <c r="C52" s="110" t="inlineStr">
        <is>
          <t>Total overheads and other costs</t>
        </is>
      </c>
      <c r="D52" s="117">
        <f>SUM(D48:D51)</f>
        <v/>
      </c>
      <c r="E52" s="117">
        <f>SUM(E48:E51)</f>
        <v/>
      </c>
      <c r="F52" s="117">
        <f>SUM(F48:F51)</f>
        <v/>
      </c>
      <c r="G52" s="117">
        <f>SUM(G48:G51)</f>
        <v/>
      </c>
      <c r="H52" s="117">
        <f>SUM(H48:H51)</f>
        <v/>
      </c>
      <c r="I52" s="117">
        <f>SUM(I48:I51)</f>
        <v/>
      </c>
      <c r="J52" s="117">
        <f>SUM(J48:J51)</f>
        <v/>
      </c>
      <c r="K52" s="117">
        <f>SUM(K48:K51)</f>
        <v/>
      </c>
      <c r="L52" s="117">
        <f>SUM(L48:L51)</f>
        <v/>
      </c>
    </row>
    <row r="54">
      <c r="C54" s="121" t="inlineStr">
        <is>
          <t>Memo: Personnel and other operating expense</t>
        </is>
      </c>
      <c r="D54" s="117" t="n"/>
      <c r="E54" s="117" t="n"/>
      <c r="F54" s="117" t="n"/>
      <c r="G54" s="117" t="n"/>
      <c r="H54" s="117" t="n"/>
      <c r="I54" s="117" t="n"/>
      <c r="J54" s="117" t="n"/>
      <c r="K54" s="117" t="n"/>
      <c r="L54" s="122" t="n"/>
    </row>
    <row r="55">
      <c r="C55" s="123" t="inlineStr">
        <is>
          <t>Personnel expenses</t>
        </is>
      </c>
      <c r="D55" s="127">
        <f>+D48</f>
        <v/>
      </c>
      <c r="E55" s="127">
        <f>+E48</f>
        <v/>
      </c>
      <c r="F55" s="127">
        <f>+F48</f>
        <v/>
      </c>
      <c r="G55" s="127">
        <f>+G48</f>
        <v/>
      </c>
      <c r="H55" s="110">
        <f>+(1+H57)*G55</f>
        <v/>
      </c>
      <c r="I55" s="110">
        <f>+(1+I57)*H55</f>
        <v/>
      </c>
      <c r="J55" s="110">
        <f>+(1+J57)*I55</f>
        <v/>
      </c>
      <c r="K55" s="110">
        <f>+(1+K57)*J55</f>
        <v/>
      </c>
      <c r="L55" s="124">
        <f>+(1+L57)*K55</f>
        <v/>
      </c>
    </row>
    <row r="56">
      <c r="C56" s="123" t="inlineStr">
        <is>
          <t>% of revenue</t>
        </is>
      </c>
      <c r="D56" s="120">
        <f>+D55/D25*-1</f>
        <v/>
      </c>
      <c r="E56" s="120">
        <f>+E55/E25*-1</f>
        <v/>
      </c>
      <c r="F56" s="120">
        <f>+F55/F25*-1</f>
        <v/>
      </c>
      <c r="G56" s="120">
        <f>+G55/G25*-1</f>
        <v/>
      </c>
      <c r="H56" s="120">
        <f>+H55/H25*-1</f>
        <v/>
      </c>
      <c r="I56" s="120">
        <f>+I55/I25*-1</f>
        <v/>
      </c>
      <c r="J56" s="120">
        <f>+J55/J25*-1</f>
        <v/>
      </c>
      <c r="K56" s="120">
        <f>+K55/K25*-1</f>
        <v/>
      </c>
      <c r="L56" s="125">
        <f>+L55/L25*-1</f>
        <v/>
      </c>
    </row>
    <row r="57">
      <c r="C57" s="123" t="inlineStr">
        <is>
          <t>% YoY</t>
        </is>
      </c>
      <c r="D57" s="120" t="n"/>
      <c r="E57" s="120">
        <f>+E55/D55-1</f>
        <v/>
      </c>
      <c r="F57" s="120">
        <f>+F55/E55-1</f>
        <v/>
      </c>
      <c r="G57" s="120">
        <f>+G55/F55-1</f>
        <v/>
      </c>
      <c r="H57" s="116" t="n">
        <v>0.03</v>
      </c>
      <c r="I57" s="116" t="n">
        <v>0.03</v>
      </c>
      <c r="J57" s="116" t="n">
        <v>0.03</v>
      </c>
      <c r="K57" s="116" t="n">
        <v>0.03</v>
      </c>
      <c r="L57" s="130" t="n">
        <v>0.03</v>
      </c>
    </row>
    <row r="58">
      <c r="C58" s="123" t="n"/>
      <c r="D58" s="120" t="n"/>
      <c r="E58" s="120" t="n"/>
      <c r="F58" s="120" t="n"/>
      <c r="G58" s="120" t="n"/>
      <c r="H58" s="116" t="n"/>
      <c r="I58" s="116" t="n"/>
      <c r="J58" s="116" t="n"/>
      <c r="K58" s="116" t="n"/>
      <c r="L58" s="130" t="n"/>
    </row>
    <row r="59">
      <c r="C59" s="123" t="inlineStr">
        <is>
          <t>Other operating expenses</t>
        </is>
      </c>
      <c r="D59" s="127">
        <f>+D49</f>
        <v/>
      </c>
      <c r="E59" s="127">
        <f>+E49</f>
        <v/>
      </c>
      <c r="F59" s="127">
        <f>+F49</f>
        <v/>
      </c>
      <c r="G59" s="127">
        <f>+G49</f>
        <v/>
      </c>
      <c r="H59" s="110">
        <f>+(1+H61)*G59</f>
        <v/>
      </c>
      <c r="I59" s="110">
        <f>+(1+I61)*H59</f>
        <v/>
      </c>
      <c r="J59" s="110">
        <f>+(1+J61)*I59</f>
        <v/>
      </c>
      <c r="K59" s="110">
        <f>+(1+K61)*J59</f>
        <v/>
      </c>
      <c r="L59" s="124">
        <f>+(1+L61)*K59</f>
        <v/>
      </c>
    </row>
    <row r="60">
      <c r="C60" s="123" t="inlineStr">
        <is>
          <t>% of revenue</t>
        </is>
      </c>
      <c r="D60" s="120">
        <f>+D59/D25*-1</f>
        <v/>
      </c>
      <c r="E60" s="120">
        <f>+E59/E25*-1</f>
        <v/>
      </c>
      <c r="F60" s="120">
        <f>+F59/F25*-1</f>
        <v/>
      </c>
      <c r="G60" s="120">
        <f>+G59/G25*-1</f>
        <v/>
      </c>
      <c r="H60" s="120">
        <f>+H59/H25*-1</f>
        <v/>
      </c>
      <c r="I60" s="120">
        <f>+I59/I25*-1</f>
        <v/>
      </c>
      <c r="J60" s="120">
        <f>+J59/J25*-1</f>
        <v/>
      </c>
      <c r="K60" s="120">
        <f>+K59/K25*-1</f>
        <v/>
      </c>
      <c r="L60" s="125">
        <f>+L59/L25*-1</f>
        <v/>
      </c>
    </row>
    <row r="61">
      <c r="C61" s="123" t="inlineStr">
        <is>
          <t>% YoY</t>
        </is>
      </c>
      <c r="D61" s="120" t="n"/>
      <c r="E61" s="120">
        <f>+E59/D59-1</f>
        <v/>
      </c>
      <c r="F61" s="120">
        <f>+F59/E59-1</f>
        <v/>
      </c>
      <c r="G61" s="120">
        <f>+G59/F59-1</f>
        <v/>
      </c>
      <c r="H61" s="116" t="n">
        <v>0.03</v>
      </c>
      <c r="I61" s="116" t="n">
        <v>0.03</v>
      </c>
      <c r="J61" s="116" t="n">
        <v>0.03</v>
      </c>
      <c r="K61" s="116" t="n">
        <v>0.03</v>
      </c>
      <c r="L61" s="130" t="n">
        <v>0.03</v>
      </c>
    </row>
    <row r="62">
      <c r="C62" s="123" t="n"/>
      <c r="D62" s="120" t="n"/>
      <c r="E62" s="120" t="n"/>
      <c r="F62" s="120" t="n"/>
      <c r="G62" s="120" t="n"/>
      <c r="H62" s="116" t="n"/>
      <c r="I62" s="116" t="n"/>
      <c r="J62" s="116" t="n"/>
      <c r="K62" s="116" t="n"/>
      <c r="L62" s="130" t="n"/>
    </row>
    <row r="63">
      <c r="C63" s="138" t="inlineStr">
        <is>
          <t>Cost item driven by inflation</t>
        </is>
      </c>
      <c r="D63" s="132" t="n"/>
      <c r="E63" s="132" t="n"/>
      <c r="F63" s="132" t="n"/>
      <c r="G63" s="132" t="n"/>
      <c r="H63" s="132" t="n"/>
      <c r="I63" s="132" t="n"/>
      <c r="J63" s="132" t="n"/>
      <c r="K63" s="132" t="n"/>
      <c r="L63" s="139" t="n"/>
    </row>
    <row r="65">
      <c r="C65" s="110" t="inlineStr">
        <is>
          <t>EBITDA (post IFRS16)</t>
        </is>
      </c>
      <c r="D65" s="110">
        <f>+D52+D45</f>
        <v/>
      </c>
      <c r="E65" s="110">
        <f>+E52+E45</f>
        <v/>
      </c>
      <c r="F65" s="110">
        <f>+F52+F45</f>
        <v/>
      </c>
      <c r="G65" s="110">
        <f>+G52+G45</f>
        <v/>
      </c>
      <c r="H65" s="110">
        <f>+H52+H45</f>
        <v/>
      </c>
      <c r="I65" s="110">
        <f>+I52+I45</f>
        <v/>
      </c>
      <c r="J65" s="110">
        <f>+J52+J45</f>
        <v/>
      </c>
      <c r="K65" s="110">
        <f>+K52+K45</f>
        <v/>
      </c>
      <c r="L65" s="110">
        <f>+L52+L45</f>
        <v/>
      </c>
    </row>
    <row r="67">
      <c r="C67" s="110" t="inlineStr">
        <is>
          <t>D&amp;A</t>
        </is>
      </c>
      <c r="D67" s="112">
        <f>+Data!D28</f>
        <v/>
      </c>
      <c r="E67" s="112">
        <f>+Data!E28</f>
        <v/>
      </c>
      <c r="F67" s="112">
        <f>+Data!F28</f>
        <v/>
      </c>
      <c r="G67" s="112">
        <f>+Data!G28</f>
        <v/>
      </c>
      <c r="H67" s="110">
        <f>+H73</f>
        <v/>
      </c>
      <c r="I67" s="110">
        <f>+I73</f>
        <v/>
      </c>
      <c r="J67" s="110">
        <f>+J73</f>
        <v/>
      </c>
      <c r="K67" s="110">
        <f>+K73</f>
        <v/>
      </c>
      <c r="L67" s="110">
        <f>+L73</f>
        <v/>
      </c>
    </row>
    <row r="68">
      <c r="C68" s="110" t="inlineStr">
        <is>
          <t>IFRS-16 leasing costs</t>
        </is>
      </c>
      <c r="D68" s="127">
        <f>+D51*-1</f>
        <v/>
      </c>
      <c r="E68" s="127">
        <f>+E51*-1</f>
        <v/>
      </c>
      <c r="F68" s="112">
        <f>+Data!F30</f>
        <v/>
      </c>
      <c r="G68" s="112">
        <f>+Data!G30</f>
        <v/>
      </c>
      <c r="H68" s="115">
        <f>+G68</f>
        <v/>
      </c>
      <c r="I68" s="115">
        <f>+H68</f>
        <v/>
      </c>
      <c r="J68" s="115">
        <f>+I68</f>
        <v/>
      </c>
      <c r="K68" s="115">
        <f>+J68</f>
        <v/>
      </c>
      <c r="L68" s="115">
        <f>+K68</f>
        <v/>
      </c>
    </row>
    <row r="69">
      <c r="C69" s="110" t="inlineStr">
        <is>
          <t>Factoring (fees and interest)</t>
        </is>
      </c>
      <c r="D69" s="115" t="n">
        <v>0</v>
      </c>
      <c r="E69" s="112">
        <f>+Data!E32</f>
        <v/>
      </c>
      <c r="F69" s="112">
        <f>+Data!F32</f>
        <v/>
      </c>
      <c r="G69" s="112">
        <f>+Data!G32</f>
        <v/>
      </c>
      <c r="H69" s="110">
        <f>+IF(circ=1, H151, 0)</f>
        <v/>
      </c>
      <c r="I69" s="110">
        <f>+IF(circ=1, I151, 0)</f>
        <v/>
      </c>
      <c r="J69" s="110">
        <f>+IF(circ=1, J151, 0)</f>
        <v/>
      </c>
      <c r="K69" s="110">
        <f>+IF(circ=1, K151, 0)</f>
        <v/>
      </c>
      <c r="L69" s="110">
        <f>+IF(circ=1, L151, 0)</f>
        <v/>
      </c>
    </row>
    <row r="70">
      <c r="C70" s="110" t="inlineStr">
        <is>
          <t>Total other costs</t>
        </is>
      </c>
      <c r="D70" s="117">
        <f>SUM(D67:D69)</f>
        <v/>
      </c>
      <c r="E70" s="117">
        <f>SUM(E67:E69)</f>
        <v/>
      </c>
      <c r="F70" s="117">
        <f>SUM(F67:F69)</f>
        <v/>
      </c>
      <c r="G70" s="117">
        <f>SUM(G67:G69)</f>
        <v/>
      </c>
      <c r="H70" s="117">
        <f>SUM(H67:H69)</f>
        <v/>
      </c>
      <c r="I70" s="117">
        <f>SUM(I67:I69)</f>
        <v/>
      </c>
      <c r="J70" s="117">
        <f>SUM(J67:J69)</f>
        <v/>
      </c>
      <c r="K70" s="117">
        <f>SUM(K67:K69)</f>
        <v/>
      </c>
      <c r="L70" s="117">
        <f>SUM(L67:L69)</f>
        <v/>
      </c>
    </row>
    <row r="72">
      <c r="C72" s="121" t="inlineStr">
        <is>
          <t>Memo: D&amp;A</t>
        </is>
      </c>
      <c r="D72" s="117" t="n"/>
      <c r="E72" s="117" t="n"/>
      <c r="F72" s="117" t="n"/>
      <c r="G72" s="117" t="n"/>
      <c r="H72" s="117" t="n"/>
      <c r="I72" s="117" t="n"/>
      <c r="J72" s="117" t="n"/>
      <c r="K72" s="117" t="n"/>
      <c r="L72" s="122" t="n"/>
    </row>
    <row r="73">
      <c r="C73" s="123" t="inlineStr">
        <is>
          <t>D&amp;A</t>
        </is>
      </c>
      <c r="D73" s="110">
        <f>+D67</f>
        <v/>
      </c>
      <c r="E73" s="110">
        <f>+E67</f>
        <v/>
      </c>
      <c r="F73" s="110">
        <f>+F67</f>
        <v/>
      </c>
      <c r="G73" s="110">
        <f>+G67</f>
        <v/>
      </c>
      <c r="H73" s="110">
        <f>+H74*H78</f>
        <v/>
      </c>
      <c r="I73" s="110">
        <f>+I74*I78</f>
        <v/>
      </c>
      <c r="J73" s="110">
        <f>+J74*J78</f>
        <v/>
      </c>
      <c r="K73" s="110">
        <f>+K74*K78</f>
        <v/>
      </c>
      <c r="L73" s="124">
        <f>+L74*L78</f>
        <v/>
      </c>
    </row>
    <row r="74">
      <c r="C74" s="131" t="inlineStr">
        <is>
          <t>D&amp;A % of capex</t>
        </is>
      </c>
      <c r="D74" s="140">
        <f>+D73/D78</f>
        <v/>
      </c>
      <c r="E74" s="140">
        <f>+E73/E78</f>
        <v/>
      </c>
      <c r="F74" s="140">
        <f>+F73/F78</f>
        <v/>
      </c>
      <c r="G74" s="140">
        <f>+G73/G78</f>
        <v/>
      </c>
      <c r="H74" s="134" t="n">
        <v>1.3</v>
      </c>
      <c r="I74" s="134" t="n">
        <v>1.2</v>
      </c>
      <c r="J74" s="134" t="n">
        <v>1.1</v>
      </c>
      <c r="K74" s="134" t="n">
        <v>1</v>
      </c>
      <c r="L74" s="135" t="n">
        <v>1</v>
      </c>
    </row>
    <row r="76">
      <c r="C76" s="110" t="inlineStr">
        <is>
          <t>EBT</t>
        </is>
      </c>
      <c r="D76" s="110">
        <f>+D70+D65</f>
        <v/>
      </c>
      <c r="E76" s="110">
        <f>+E70+E65</f>
        <v/>
      </c>
      <c r="F76" s="110">
        <f>+F70+F65</f>
        <v/>
      </c>
      <c r="G76" s="110">
        <f>+G70+G65</f>
        <v/>
      </c>
      <c r="H76" s="110">
        <f>+H70+H65</f>
        <v/>
      </c>
      <c r="I76" s="110">
        <f>+I70+I65</f>
        <v/>
      </c>
      <c r="J76" s="110">
        <f>+J70+J65</f>
        <v/>
      </c>
      <c r="K76" s="110">
        <f>+K70+K65</f>
        <v/>
      </c>
      <c r="L76" s="110">
        <f>+L70+L65</f>
        <v/>
      </c>
    </row>
    <row r="78">
      <c r="C78" s="110" t="inlineStr">
        <is>
          <t>Capex</t>
        </is>
      </c>
      <c r="D78" s="112">
        <f>+Data!D29</f>
        <v/>
      </c>
      <c r="E78" s="112">
        <f>+Data!E29</f>
        <v/>
      </c>
      <c r="F78" s="112">
        <f>+Data!F29</f>
        <v/>
      </c>
      <c r="G78" s="112">
        <f>+Data!G29</f>
        <v/>
      </c>
      <c r="H78" s="110">
        <f>+H79+H80</f>
        <v/>
      </c>
      <c r="I78" s="110">
        <f>+I79+I80</f>
        <v/>
      </c>
      <c r="J78" s="110">
        <f>+J79+J80</f>
        <v/>
      </c>
      <c r="K78" s="110">
        <f>+K79+K80</f>
        <v/>
      </c>
      <c r="L78" s="110">
        <f>+L79+L80</f>
        <v/>
      </c>
    </row>
    <row r="79">
      <c r="C79" s="141" t="inlineStr">
        <is>
          <t>Additional capex due to underinvestment</t>
        </is>
      </c>
      <c r="H79" s="115">
        <f>1.75*-1</f>
        <v/>
      </c>
      <c r="I79" s="136" t="n"/>
      <c r="J79" s="136" t="n"/>
      <c r="K79" s="136" t="n"/>
      <c r="L79" s="136" t="n"/>
    </row>
    <row r="80">
      <c r="C80" s="141" t="inlineStr">
        <is>
          <t>Run rate capex</t>
        </is>
      </c>
      <c r="D80" s="127">
        <f>+D78</f>
        <v/>
      </c>
      <c r="E80" s="127">
        <f>+E78</f>
        <v/>
      </c>
      <c r="F80" s="127">
        <f>+F78</f>
        <v/>
      </c>
      <c r="G80" s="127">
        <f>+G78</f>
        <v/>
      </c>
      <c r="H80" s="110">
        <f>+H81*H25*-1</f>
        <v/>
      </c>
      <c r="I80" s="110">
        <f>+I81*I25*-1</f>
        <v/>
      </c>
      <c r="J80" s="110">
        <f>+J81*J25*-1</f>
        <v/>
      </c>
      <c r="K80" s="110">
        <f>+K81*K25*-1</f>
        <v/>
      </c>
      <c r="L80" s="110">
        <f>+L81*L25*-1</f>
        <v/>
      </c>
    </row>
    <row r="81">
      <c r="C81" s="141" t="inlineStr">
        <is>
          <t>% of revenue (run rate capex)</t>
        </is>
      </c>
      <c r="D81" s="120">
        <f>+D80/D25*-1</f>
        <v/>
      </c>
      <c r="E81" s="120">
        <f>+E80/E25*-1</f>
        <v/>
      </c>
      <c r="F81" s="120">
        <f>+F80/F25*-1</f>
        <v/>
      </c>
      <c r="G81" s="120">
        <f>+G80/G25*-1</f>
        <v/>
      </c>
      <c r="H81" s="116">
        <f>+AVERAGE($D$81:$G$81)</f>
        <v/>
      </c>
      <c r="I81" s="116">
        <f>+AVERAGE($D$81:$G$81)</f>
        <v/>
      </c>
      <c r="J81" s="116">
        <f>+AVERAGE($D$81:$G$81)</f>
        <v/>
      </c>
      <c r="K81" s="116">
        <f>+AVERAGE($D$81:$G$81)</f>
        <v/>
      </c>
      <c r="L81" s="116">
        <f>+AVERAGE($D$81:$G$81)</f>
        <v/>
      </c>
    </row>
    <row r="83">
      <c r="C83" s="110" t="inlineStr">
        <is>
          <t>ETR</t>
        </is>
      </c>
      <c r="D83" s="112" t="n"/>
      <c r="E83" s="112" t="n"/>
      <c r="F83" s="112" t="n"/>
      <c r="G83" s="112" t="n"/>
      <c r="H83" s="116" t="n">
        <v>0.16</v>
      </c>
      <c r="I83" s="116" t="n">
        <v>0.16</v>
      </c>
      <c r="J83" s="116" t="n">
        <v>0.16</v>
      </c>
      <c r="K83" s="116" t="n">
        <v>0.16</v>
      </c>
      <c r="L83" s="116" t="n">
        <v>0.16</v>
      </c>
    </row>
    <row r="85">
      <c r="A85" s="110" t="inlineStr">
        <is>
          <t>x</t>
        </is>
      </c>
      <c r="B85" s="111" t="inlineStr">
        <is>
          <t>Partial P&amp;L</t>
        </is>
      </c>
    </row>
    <row r="86">
      <c r="C86" s="110" t="inlineStr">
        <is>
          <t>Revenue</t>
        </is>
      </c>
      <c r="D86" s="110">
        <f>+D25</f>
        <v/>
      </c>
      <c r="E86" s="110">
        <f>+E25</f>
        <v/>
      </c>
      <c r="F86" s="110">
        <f>+F25</f>
        <v/>
      </c>
      <c r="G86" s="110">
        <f>+G25</f>
        <v/>
      </c>
      <c r="H86" s="110">
        <f>+H25</f>
        <v/>
      </c>
      <c r="I86" s="110">
        <f>+I25</f>
        <v/>
      </c>
      <c r="J86" s="110">
        <f>+J25</f>
        <v/>
      </c>
      <c r="K86" s="110">
        <f>+K25</f>
        <v/>
      </c>
      <c r="L86" s="110">
        <f>+L25</f>
        <v/>
      </c>
      <c r="N86" s="120">
        <f>+(L86/G86)^(0.2)-1</f>
        <v/>
      </c>
    </row>
    <row r="87">
      <c r="C87" s="110" t="inlineStr">
        <is>
          <t>% YoY</t>
        </is>
      </c>
      <c r="E87" s="120">
        <f>+E86/D86-1</f>
        <v/>
      </c>
      <c r="F87" s="120">
        <f>+F86/E86-1</f>
        <v/>
      </c>
      <c r="G87" s="120">
        <f>+G86/F86-1</f>
        <v/>
      </c>
      <c r="H87" s="120">
        <f>+H86/G86-1</f>
        <v/>
      </c>
      <c r="I87" s="120">
        <f>+I86/H86-1</f>
        <v/>
      </c>
      <c r="J87" s="120">
        <f>+J86/I86-1</f>
        <v/>
      </c>
      <c r="K87" s="120">
        <f>+K86/J86-1</f>
        <v/>
      </c>
      <c r="L87" s="120">
        <f>+L86/K86-1</f>
        <v/>
      </c>
    </row>
    <row r="89">
      <c r="C89" s="110" t="inlineStr">
        <is>
          <t>Gross profit</t>
        </is>
      </c>
      <c r="D89" s="110">
        <f>+D45</f>
        <v/>
      </c>
      <c r="E89" s="110">
        <f>+E45</f>
        <v/>
      </c>
      <c r="F89" s="110">
        <f>+F45</f>
        <v/>
      </c>
      <c r="G89" s="110">
        <f>+G45</f>
        <v/>
      </c>
      <c r="H89" s="110">
        <f>+H45</f>
        <v/>
      </c>
      <c r="I89" s="110">
        <f>+I45</f>
        <v/>
      </c>
      <c r="J89" s="110">
        <f>+J45</f>
        <v/>
      </c>
      <c r="K89" s="110">
        <f>+K45</f>
        <v/>
      </c>
      <c r="L89" s="110">
        <f>+L45</f>
        <v/>
      </c>
      <c r="N89" s="120">
        <f>+(L89/G89)^(0.2)-1</f>
        <v/>
      </c>
    </row>
    <row r="90">
      <c r="C90" s="110" t="inlineStr">
        <is>
          <t>% margin</t>
        </is>
      </c>
      <c r="D90" s="120">
        <f>+D89/D86</f>
        <v/>
      </c>
      <c r="E90" s="120">
        <f>+E89/E86</f>
        <v/>
      </c>
      <c r="F90" s="120">
        <f>+F89/F86</f>
        <v/>
      </c>
      <c r="G90" s="120">
        <f>+G89/G86</f>
        <v/>
      </c>
      <c r="H90" s="120">
        <f>+H89/H86</f>
        <v/>
      </c>
      <c r="I90" s="120">
        <f>+I89/I86</f>
        <v/>
      </c>
      <c r="J90" s="120">
        <f>+J89/J86</f>
        <v/>
      </c>
      <c r="K90" s="120">
        <f>+K89/K86</f>
        <v/>
      </c>
      <c r="L90" s="120">
        <f>+L89/L86</f>
        <v/>
      </c>
    </row>
    <row r="92">
      <c r="C92" s="110" t="inlineStr">
        <is>
          <t>EBITDA</t>
        </is>
      </c>
      <c r="D92" s="110">
        <f>+D65</f>
        <v/>
      </c>
      <c r="E92" s="110">
        <f>+E65</f>
        <v/>
      </c>
      <c r="F92" s="110">
        <f>+F65</f>
        <v/>
      </c>
      <c r="G92" s="110">
        <f>+G65</f>
        <v/>
      </c>
      <c r="H92" s="110">
        <f>+H65</f>
        <v/>
      </c>
      <c r="I92" s="110">
        <f>+I65</f>
        <v/>
      </c>
      <c r="J92" s="110">
        <f>+J65</f>
        <v/>
      </c>
      <c r="K92" s="110">
        <f>+K65</f>
        <v/>
      </c>
      <c r="L92" s="110">
        <f>+L65</f>
        <v/>
      </c>
      <c r="N92" s="120">
        <f>+(L92/G92)^(0.2)-1</f>
        <v/>
      </c>
    </row>
    <row r="93">
      <c r="C93" s="110" t="inlineStr">
        <is>
          <t>% margin</t>
        </is>
      </c>
      <c r="D93" s="120">
        <f>+D92/D86</f>
        <v/>
      </c>
      <c r="E93" s="120">
        <f>+E92/E86</f>
        <v/>
      </c>
      <c r="F93" s="120">
        <f>+F92/F86</f>
        <v/>
      </c>
      <c r="G93" s="120">
        <f>+G92/G86</f>
        <v/>
      </c>
      <c r="H93" s="120">
        <f>+H92/H86</f>
        <v/>
      </c>
      <c r="I93" s="120">
        <f>+I92/I86</f>
        <v/>
      </c>
      <c r="J93" s="120">
        <f>+J92/J86</f>
        <v/>
      </c>
      <c r="K93" s="120">
        <f>+K92/K86</f>
        <v/>
      </c>
      <c r="L93" s="120">
        <f>+L92/L86</f>
        <v/>
      </c>
    </row>
    <row r="95">
      <c r="C95" s="110" t="inlineStr">
        <is>
          <t>EBT</t>
        </is>
      </c>
      <c r="D95" s="110">
        <f>+D76</f>
        <v/>
      </c>
      <c r="E95" s="110">
        <f>+E76</f>
        <v/>
      </c>
      <c r="F95" s="110">
        <f>+F76</f>
        <v/>
      </c>
      <c r="G95" s="110">
        <f>+G76</f>
        <v/>
      </c>
      <c r="H95" s="110">
        <f>+H76</f>
        <v/>
      </c>
      <c r="I95" s="110">
        <f>+I76</f>
        <v/>
      </c>
      <c r="J95" s="110">
        <f>+J76</f>
        <v/>
      </c>
      <c r="K95" s="110">
        <f>+K76</f>
        <v/>
      </c>
      <c r="L95" s="110">
        <f>+L76</f>
        <v/>
      </c>
      <c r="N95" s="120">
        <f>+(L95/G95)^(0.2)-1</f>
        <v/>
      </c>
    </row>
    <row r="96">
      <c r="C96" s="110" t="inlineStr">
        <is>
          <t>% margin</t>
        </is>
      </c>
      <c r="D96" s="120">
        <f>+D95/D86</f>
        <v/>
      </c>
      <c r="E96" s="120">
        <f>+E95/E86</f>
        <v/>
      </c>
      <c r="F96" s="120">
        <f>+F95/F86</f>
        <v/>
      </c>
      <c r="G96" s="120">
        <f>+G95/G86</f>
        <v/>
      </c>
      <c r="H96" s="120">
        <f>+H95/H86</f>
        <v/>
      </c>
      <c r="I96" s="120">
        <f>+I95/I86</f>
        <v/>
      </c>
      <c r="J96" s="120">
        <f>+J95/J86</f>
        <v/>
      </c>
      <c r="K96" s="120">
        <f>+K95/K86</f>
        <v/>
      </c>
      <c r="L96" s="120">
        <f>+L95/L86</f>
        <v/>
      </c>
    </row>
    <row r="98">
      <c r="A98" s="110" t="inlineStr">
        <is>
          <t>x</t>
        </is>
      </c>
      <c r="B98" s="111" t="inlineStr">
        <is>
          <t>Partial Balance Sheet</t>
        </is>
      </c>
    </row>
    <row r="99">
      <c r="C99" s="110" t="inlineStr">
        <is>
          <t>Cash and equivalents</t>
        </is>
      </c>
      <c r="E99" s="112" t="n"/>
      <c r="F99" s="112" t="n"/>
      <c r="G99" s="142">
        <f>+I18</f>
        <v/>
      </c>
      <c r="H99" s="110">
        <f>+H156</f>
        <v/>
      </c>
      <c r="I99" s="110">
        <f>+I156</f>
        <v/>
      </c>
      <c r="J99" s="110">
        <f>+J156</f>
        <v/>
      </c>
      <c r="K99" s="110">
        <f>+K156</f>
        <v/>
      </c>
      <c r="L99" s="110">
        <f>+L156</f>
        <v/>
      </c>
    </row>
    <row r="101">
      <c r="C101" s="110" t="inlineStr">
        <is>
          <t>Inventories</t>
        </is>
      </c>
      <c r="E101" s="112">
        <f>+Data!E51</f>
        <v/>
      </c>
      <c r="F101" s="112">
        <f>+Data!F51</f>
        <v/>
      </c>
      <c r="G101" s="112">
        <f>+Data!G51</f>
        <v/>
      </c>
      <c r="H101" s="110">
        <f>+H102/365*(H86-H89)</f>
        <v/>
      </c>
      <c r="I101" s="110">
        <f>+I102/365*(I86-I89)</f>
        <v/>
      </c>
      <c r="J101" s="110">
        <f>+J102/365*(J86-J89)</f>
        <v/>
      </c>
      <c r="K101" s="110">
        <f>+K102/365*(K86-K89)</f>
        <v/>
      </c>
      <c r="L101" s="110">
        <f>+L102/365*(L86-L89)</f>
        <v/>
      </c>
    </row>
    <row r="102">
      <c r="C102" s="110" t="inlineStr">
        <is>
          <t>Inventory days</t>
        </is>
      </c>
      <c r="E102" s="110">
        <f>+E101/(E86-E89)*365</f>
        <v/>
      </c>
      <c r="F102" s="110">
        <f>+F101/(F86-F89)*365</f>
        <v/>
      </c>
      <c r="G102" s="110">
        <f>+G101/(G86-G89)*365</f>
        <v/>
      </c>
      <c r="H102" s="115">
        <f>+G102</f>
        <v/>
      </c>
      <c r="I102" s="115">
        <f>+H102</f>
        <v/>
      </c>
      <c r="J102" s="115">
        <f>+I102</f>
        <v/>
      </c>
      <c r="K102" s="115">
        <f>+J102</f>
        <v/>
      </c>
      <c r="L102" s="115">
        <f>+K102</f>
        <v/>
      </c>
    </row>
    <row r="103">
      <c r="C103" s="110" t="inlineStr">
        <is>
          <t>Trade receivables</t>
        </is>
      </c>
      <c r="E103" s="112">
        <f>+Data!E52</f>
        <v/>
      </c>
      <c r="F103" s="112">
        <f>+Data!F52</f>
        <v/>
      </c>
      <c r="G103" s="112">
        <f>+Data!G52</f>
        <v/>
      </c>
      <c r="H103" s="110">
        <f>+H104/365*H86</f>
        <v/>
      </c>
      <c r="I103" s="110">
        <f>+I104/365*I86</f>
        <v/>
      </c>
      <c r="J103" s="110">
        <f>+J104/365*J86</f>
        <v/>
      </c>
      <c r="K103" s="110">
        <f>+K104/365*K86</f>
        <v/>
      </c>
      <c r="L103" s="110">
        <f>+L104/365*L86</f>
        <v/>
      </c>
    </row>
    <row r="104">
      <c r="C104" s="110" t="inlineStr">
        <is>
          <t>DSO</t>
        </is>
      </c>
      <c r="E104" s="110">
        <f>+E103/E86*365</f>
        <v/>
      </c>
      <c r="F104" s="110">
        <f>+F103/F86*365</f>
        <v/>
      </c>
      <c r="G104" s="110">
        <f>+G103/G86*365</f>
        <v/>
      </c>
      <c r="H104" s="115">
        <f>+G104</f>
        <v/>
      </c>
      <c r="I104" s="115">
        <f>+H104</f>
        <v/>
      </c>
      <c r="J104" s="115">
        <f>+I104</f>
        <v/>
      </c>
      <c r="K104" s="115">
        <f>+J104</f>
        <v/>
      </c>
      <c r="L104" s="115">
        <f>+K104</f>
        <v/>
      </c>
    </row>
    <row r="106">
      <c r="C106" s="110" t="inlineStr">
        <is>
          <t>Trade payables</t>
        </is>
      </c>
      <c r="E106" s="112">
        <f>+Data!E66</f>
        <v/>
      </c>
      <c r="F106" s="112">
        <f>+Data!F66</f>
        <v/>
      </c>
      <c r="G106" s="112">
        <f>+Data!G66</f>
        <v/>
      </c>
      <c r="H106" s="110">
        <f>+H107/365*(H86-H89)</f>
        <v/>
      </c>
      <c r="I106" s="110">
        <f>+I107/365*(I86-I89)</f>
        <v/>
      </c>
      <c r="J106" s="110">
        <f>+J107/365*(J86-J89)</f>
        <v/>
      </c>
      <c r="K106" s="110">
        <f>+K107/365*(K86-K89)</f>
        <v/>
      </c>
      <c r="L106" s="110">
        <f>+L107/365*(L86-L89)</f>
        <v/>
      </c>
    </row>
    <row r="107">
      <c r="C107" s="110" t="inlineStr">
        <is>
          <t>DPO</t>
        </is>
      </c>
      <c r="E107" s="110">
        <f>+E106/(E86-E89)*365</f>
        <v/>
      </c>
      <c r="F107" s="110">
        <f>+F106/(F86-F89)*365</f>
        <v/>
      </c>
      <c r="G107" s="110">
        <f>+G106/(G86-G89)*365</f>
        <v/>
      </c>
      <c r="H107" s="115">
        <f>+G107</f>
        <v/>
      </c>
      <c r="I107" s="115">
        <f>+H107</f>
        <v/>
      </c>
      <c r="J107" s="115">
        <f>+I107</f>
        <v/>
      </c>
      <c r="K107" s="115">
        <f>+J107</f>
        <v/>
      </c>
      <c r="L107" s="115">
        <f>+K107</f>
        <v/>
      </c>
    </row>
    <row r="108">
      <c r="C108" s="110" t="inlineStr">
        <is>
          <t>Accruals short term (tax and other provisions)</t>
        </is>
      </c>
      <c r="E108" s="112">
        <f>+Data!E68</f>
        <v/>
      </c>
      <c r="F108" s="112">
        <f>+Data!F68</f>
        <v/>
      </c>
      <c r="G108" s="112">
        <f>+Data!G68</f>
        <v/>
      </c>
      <c r="H108" s="110">
        <f>+H109/365*(H86-H89)</f>
        <v/>
      </c>
      <c r="I108" s="110">
        <f>+I109/365*(I86-I89)</f>
        <v/>
      </c>
      <c r="J108" s="110">
        <f>+J109/365*(J86-J89)</f>
        <v/>
      </c>
      <c r="K108" s="110">
        <f>+K109/365*(K86-K89)</f>
        <v/>
      </c>
      <c r="L108" s="110">
        <f>+L109/365*(L86-L89)</f>
        <v/>
      </c>
    </row>
    <row r="109">
      <c r="C109" s="110" t="inlineStr">
        <is>
          <t>Accrued days</t>
        </is>
      </c>
      <c r="E109" s="110">
        <f>+E108/(E86-E89)*365</f>
        <v/>
      </c>
      <c r="F109" s="110">
        <f>+F108/(F86-F89)*365</f>
        <v/>
      </c>
      <c r="G109" s="110">
        <f>+G108/(G86-G89)*365</f>
        <v/>
      </c>
      <c r="H109" s="115">
        <f>+G109</f>
        <v/>
      </c>
      <c r="I109" s="115">
        <f>+H109</f>
        <v/>
      </c>
      <c r="J109" s="115">
        <f>+I109</f>
        <v/>
      </c>
      <c r="K109" s="115">
        <f>+J109</f>
        <v/>
      </c>
      <c r="L109" s="115">
        <f>+K109</f>
        <v/>
      </c>
    </row>
    <row r="111">
      <c r="C111" s="110" t="inlineStr">
        <is>
          <t>NWC</t>
        </is>
      </c>
      <c r="E111" s="110">
        <f>+E103+E101-E106-E108</f>
        <v/>
      </c>
      <c r="F111" s="110">
        <f>+F103+F101-F106-F108</f>
        <v/>
      </c>
      <c r="G111" s="110">
        <f>+G103+G101-G106-G108</f>
        <v/>
      </c>
      <c r="H111" s="110">
        <f>+H103+H101-H106-H108</f>
        <v/>
      </c>
      <c r="I111" s="110">
        <f>+I103+I101-I106-I108</f>
        <v/>
      </c>
      <c r="J111" s="110">
        <f>+J103+J101-J106-J108</f>
        <v/>
      </c>
      <c r="K111" s="110">
        <f>+K103+K101-K106-K108</f>
        <v/>
      </c>
      <c r="L111" s="110">
        <f>+L103+L101-L106-L108</f>
        <v/>
      </c>
    </row>
    <row r="112">
      <c r="C112" s="110" t="inlineStr">
        <is>
          <t>Chg in NWC</t>
        </is>
      </c>
      <c r="F112" s="110">
        <f>+E111-F111</f>
        <v/>
      </c>
      <c r="G112" s="110">
        <f>+F111-G111</f>
        <v/>
      </c>
      <c r="H112" s="110">
        <f>+G111-H111</f>
        <v/>
      </c>
      <c r="I112" s="110">
        <f>+H111-I111</f>
        <v/>
      </c>
      <c r="J112" s="110">
        <f>+I111-J111</f>
        <v/>
      </c>
      <c r="K112" s="110">
        <f>+J111-K111</f>
        <v/>
      </c>
      <c r="L112" s="110">
        <f>+K111-L111</f>
        <v/>
      </c>
    </row>
    <row r="114">
      <c r="C114" s="110" t="inlineStr">
        <is>
          <t>Revolver</t>
        </is>
      </c>
      <c r="G114" s="110">
        <f>+G136</f>
        <v/>
      </c>
      <c r="H114" s="110">
        <f>+H136</f>
        <v/>
      </c>
      <c r="I114" s="110">
        <f>+I136</f>
        <v/>
      </c>
      <c r="J114" s="110">
        <f>+J136</f>
        <v/>
      </c>
      <c r="K114" s="110">
        <f>+K136</f>
        <v/>
      </c>
      <c r="L114" s="110">
        <f>+L136</f>
        <v/>
      </c>
    </row>
    <row r="115">
      <c r="C115" s="110" t="inlineStr">
        <is>
          <t>1L TLB</t>
        </is>
      </c>
      <c r="G115" s="110">
        <f>+G142</f>
        <v/>
      </c>
      <c r="H115" s="110">
        <f>+H142</f>
        <v/>
      </c>
      <c r="I115" s="110">
        <f>+I142</f>
        <v/>
      </c>
      <c r="J115" s="110">
        <f>+J142</f>
        <v/>
      </c>
      <c r="K115" s="110">
        <f>+K142</f>
        <v/>
      </c>
      <c r="L115" s="110">
        <f>+L142</f>
        <v/>
      </c>
    </row>
    <row r="116">
      <c r="C116" s="110" t="inlineStr">
        <is>
          <t>PIK note</t>
        </is>
      </c>
      <c r="G116" s="110">
        <f>+G148</f>
        <v/>
      </c>
      <c r="H116" s="110">
        <f>+H148</f>
        <v/>
      </c>
      <c r="I116" s="110">
        <f>+I148</f>
        <v/>
      </c>
      <c r="J116" s="110">
        <f>+J148</f>
        <v/>
      </c>
      <c r="K116" s="110">
        <f>+K148</f>
        <v/>
      </c>
      <c r="L116" s="110">
        <f>+L148</f>
        <v/>
      </c>
    </row>
    <row r="117">
      <c r="C117" s="110" t="inlineStr">
        <is>
          <t>Total debt</t>
        </is>
      </c>
      <c r="G117" s="117">
        <f>SUM(G114:G116)</f>
        <v/>
      </c>
      <c r="H117" s="117">
        <f>SUM(H114:H116)</f>
        <v/>
      </c>
      <c r="I117" s="117">
        <f>SUM(I114:I116)</f>
        <v/>
      </c>
      <c r="J117" s="117">
        <f>SUM(J114:J116)</f>
        <v/>
      </c>
      <c r="K117" s="117">
        <f>SUM(K114:K116)</f>
        <v/>
      </c>
      <c r="L117" s="117">
        <f>SUM(L114:L116)</f>
        <v/>
      </c>
    </row>
    <row r="119">
      <c r="A119" s="110" t="inlineStr">
        <is>
          <t>x</t>
        </is>
      </c>
      <c r="B119" s="111" t="inlineStr">
        <is>
          <t xml:space="preserve">FCF </t>
        </is>
      </c>
    </row>
    <row r="120">
      <c r="C120" s="110" t="inlineStr">
        <is>
          <t>EBITDA</t>
        </is>
      </c>
      <c r="H120" s="110">
        <f>+H92</f>
        <v/>
      </c>
      <c r="I120" s="110">
        <f>+I92</f>
        <v/>
      </c>
      <c r="J120" s="110">
        <f>+J92</f>
        <v/>
      </c>
      <c r="K120" s="110">
        <f>+K92</f>
        <v/>
      </c>
      <c r="L120" s="110">
        <f>+L92</f>
        <v/>
      </c>
    </row>
    <row r="121">
      <c r="C121" s="110" t="inlineStr">
        <is>
          <t>Chg in NWC</t>
        </is>
      </c>
      <c r="H121" s="110">
        <f>+H112</f>
        <v/>
      </c>
      <c r="I121" s="110">
        <f>+I112</f>
        <v/>
      </c>
      <c r="J121" s="110">
        <f>+J112</f>
        <v/>
      </c>
      <c r="K121" s="110">
        <f>+K112</f>
        <v/>
      </c>
      <c r="L121" s="110">
        <f>+L112</f>
        <v/>
      </c>
    </row>
    <row r="122">
      <c r="C122" s="110" t="inlineStr">
        <is>
          <t>Cash interest</t>
        </is>
      </c>
      <c r="H122" s="110">
        <f>+H151</f>
        <v/>
      </c>
      <c r="I122" s="110">
        <f>+I151</f>
        <v/>
      </c>
      <c r="J122" s="110">
        <f>+J151</f>
        <v/>
      </c>
      <c r="K122" s="110">
        <f>+K151</f>
        <v/>
      </c>
      <c r="L122" s="110">
        <f>+L151</f>
        <v/>
      </c>
    </row>
    <row r="123">
      <c r="C123" s="110" t="inlineStr">
        <is>
          <t>Cash taxes</t>
        </is>
      </c>
      <c r="H123" s="110">
        <f>+H95*H83*-1</f>
        <v/>
      </c>
      <c r="I123" s="110">
        <f>+I95*I83*-1</f>
        <v/>
      </c>
      <c r="J123" s="110">
        <f>+J95*J83*-1</f>
        <v/>
      </c>
      <c r="K123" s="110">
        <f>+K95*K83*-1</f>
        <v/>
      </c>
      <c r="L123" s="110">
        <f>+L95*L83*-1</f>
        <v/>
      </c>
    </row>
    <row r="124">
      <c r="C124" s="110" t="inlineStr">
        <is>
          <t>Capex</t>
        </is>
      </c>
      <c r="H124" s="110">
        <f>+H78</f>
        <v/>
      </c>
      <c r="I124" s="110">
        <f>+I78</f>
        <v/>
      </c>
      <c r="J124" s="110">
        <f>+J78</f>
        <v/>
      </c>
      <c r="K124" s="110">
        <f>+K78</f>
        <v/>
      </c>
      <c r="L124" s="110">
        <f>+L78</f>
        <v/>
      </c>
    </row>
    <row r="125">
      <c r="C125" s="110" t="inlineStr">
        <is>
          <t>FCF</t>
        </is>
      </c>
      <c r="H125" s="117">
        <f>+SUM(H120:H124)</f>
        <v/>
      </c>
      <c r="I125" s="117">
        <f>+SUM(I120:I124)</f>
        <v/>
      </c>
      <c r="J125" s="117">
        <f>+SUM(J120:J124)</f>
        <v/>
      </c>
      <c r="K125" s="117">
        <f>+SUM(K120:K124)</f>
        <v/>
      </c>
      <c r="L125" s="117">
        <f>+SUM(L120:L124)</f>
        <v/>
      </c>
    </row>
    <row r="127">
      <c r="C127" s="110" t="inlineStr">
        <is>
          <t>BoP cash</t>
        </is>
      </c>
      <c r="H127" s="110">
        <f>+H154</f>
        <v/>
      </c>
      <c r="I127" s="110">
        <f>+I154</f>
        <v/>
      </c>
      <c r="J127" s="110">
        <f>+J154</f>
        <v/>
      </c>
      <c r="K127" s="110">
        <f>+K154</f>
        <v/>
      </c>
      <c r="L127" s="110">
        <f>+L154</f>
        <v/>
      </c>
    </row>
    <row r="128">
      <c r="C128" s="110" t="inlineStr">
        <is>
          <t>Min cash</t>
        </is>
      </c>
      <c r="H128" s="110">
        <f>+$I$18*-1</f>
        <v/>
      </c>
      <c r="I128" s="110">
        <f>+$I$18*-1</f>
        <v/>
      </c>
      <c r="J128" s="110">
        <f>+$I$18*-1</f>
        <v/>
      </c>
      <c r="K128" s="110">
        <f>+$I$18*-1</f>
        <v/>
      </c>
      <c r="L128" s="110">
        <f>+$I$18*-1</f>
        <v/>
      </c>
    </row>
    <row r="129">
      <c r="C129" s="110" t="inlineStr">
        <is>
          <t>CFADS</t>
        </is>
      </c>
      <c r="H129" s="117">
        <f>+H128+H127+H125</f>
        <v/>
      </c>
      <c r="I129" s="117">
        <f>+I128+I127+I125</f>
        <v/>
      </c>
      <c r="J129" s="117">
        <f>+J128+J127+J125</f>
        <v/>
      </c>
      <c r="K129" s="117">
        <f>+K128+K127+K125</f>
        <v/>
      </c>
      <c r="L129" s="117">
        <f>+L128+L127+L125</f>
        <v/>
      </c>
    </row>
    <row r="131">
      <c r="A131" s="110" t="inlineStr">
        <is>
          <t>x</t>
        </is>
      </c>
      <c r="B131" s="111" t="inlineStr">
        <is>
          <t>Debt schedule</t>
        </is>
      </c>
    </row>
    <row r="132">
      <c r="C132" s="110" t="inlineStr">
        <is>
          <t>Mandatory repayments</t>
        </is>
      </c>
      <c r="H132" s="110">
        <f>+H140+H147</f>
        <v/>
      </c>
      <c r="I132" s="110">
        <f>+I140+I147</f>
        <v/>
      </c>
      <c r="J132" s="110">
        <f>+J140+J147</f>
        <v/>
      </c>
      <c r="K132" s="110">
        <f>+K140+K147</f>
        <v/>
      </c>
      <c r="L132" s="110">
        <f>+L140+L147</f>
        <v/>
      </c>
    </row>
    <row r="134">
      <c r="C134" s="110" t="inlineStr">
        <is>
          <t>BoP revolver</t>
        </is>
      </c>
      <c r="H134" s="110">
        <f>+G136</f>
        <v/>
      </c>
      <c r="I134" s="110">
        <f>+H136</f>
        <v/>
      </c>
      <c r="J134" s="110">
        <f>+I136</f>
        <v/>
      </c>
      <c r="K134" s="110">
        <f>+J136</f>
        <v/>
      </c>
      <c r="L134" s="110">
        <f>+K136</f>
        <v/>
      </c>
    </row>
    <row r="135">
      <c r="C135" s="110" t="inlineStr">
        <is>
          <t>Draw / (paydown)</t>
        </is>
      </c>
      <c r="H135" s="110">
        <f>+MIN(H134, H132+H129)*-1</f>
        <v/>
      </c>
      <c r="I135" s="110">
        <f>+MIN(I134, I132+I129)*-1</f>
        <v/>
      </c>
      <c r="J135" s="110">
        <f>+MIN(J134, J132+J129)*-1</f>
        <v/>
      </c>
      <c r="K135" s="110">
        <f>+MIN(K134, K132+K129)*-1</f>
        <v/>
      </c>
      <c r="L135" s="110">
        <f>+MIN(L134, L132+L129)*-1</f>
        <v/>
      </c>
    </row>
    <row r="136">
      <c r="C136" s="110" t="inlineStr">
        <is>
          <t>EoP revolver</t>
        </is>
      </c>
      <c r="G136" s="127">
        <f>+I6</f>
        <v/>
      </c>
      <c r="H136" s="117">
        <f>SUM(H134:H135)</f>
        <v/>
      </c>
      <c r="I136" s="117">
        <f>SUM(I134:I135)</f>
        <v/>
      </c>
      <c r="J136" s="117">
        <f>SUM(J134:J135)</f>
        <v/>
      </c>
      <c r="K136" s="117">
        <f>SUM(K134:K135)</f>
        <v/>
      </c>
      <c r="L136" s="117">
        <f>SUM(L134:L135)</f>
        <v/>
      </c>
    </row>
    <row r="137">
      <c r="C137" s="110" t="inlineStr">
        <is>
          <t>Interest</t>
        </is>
      </c>
      <c r="H137" s="110">
        <f>+AVERAGE(G136:H136)*$S$6*-1</f>
        <v/>
      </c>
      <c r="I137" s="110">
        <f>+AVERAGE(H136:I136)*$S$6*-1</f>
        <v/>
      </c>
      <c r="J137" s="110">
        <f>+AVERAGE(I136:J136)*$S$6*-1</f>
        <v/>
      </c>
      <c r="K137" s="110">
        <f>+AVERAGE(J136:K136)*$S$6*-1</f>
        <v/>
      </c>
      <c r="L137" s="110">
        <f>+AVERAGE(K136:L136)*$S$6*-1</f>
        <v/>
      </c>
    </row>
    <row r="139">
      <c r="C139" s="110" t="inlineStr">
        <is>
          <t>BoP 1L TLB</t>
        </is>
      </c>
      <c r="H139" s="110">
        <f>+G142</f>
        <v/>
      </c>
      <c r="I139" s="110">
        <f>+H142</f>
        <v/>
      </c>
      <c r="J139" s="110">
        <f>+I142</f>
        <v/>
      </c>
      <c r="K139" s="110">
        <f>+J142</f>
        <v/>
      </c>
      <c r="L139" s="110">
        <f>+K142</f>
        <v/>
      </c>
    </row>
    <row r="140">
      <c r="C140" s="110" t="inlineStr">
        <is>
          <t>Mandatory repayment</t>
        </is>
      </c>
      <c r="H140" s="110">
        <f>+IF(H2=$U$7, H139, 0)*-1</f>
        <v/>
      </c>
      <c r="I140" s="110">
        <f>+IF(I2=$U$7, I139, 0)*-1</f>
        <v/>
      </c>
      <c r="J140" s="110">
        <f>+IF(J2=$U$7, J139, 0)*-1</f>
        <v/>
      </c>
      <c r="K140" s="110">
        <f>+IF(K2=$U$7, K139, 0)*-1</f>
        <v/>
      </c>
      <c r="L140" s="143">
        <f>IF(L154&gt;0, MIN(L154, L138), 0)</f>
        <v/>
      </c>
    </row>
    <row r="141">
      <c r="C141" s="110" t="inlineStr">
        <is>
          <t>Sweep</t>
        </is>
      </c>
      <c r="D141" s="144" t="inlineStr">
        <is>
          <t>Switch</t>
        </is>
      </c>
      <c r="E141" s="119" t="n">
        <v>1</v>
      </c>
      <c r="H141" s="110">
        <f>+MIN(H139+H140, H129+H132+H135)*$E$141</f>
        <v/>
      </c>
      <c r="I141" s="110">
        <f>+MIN(I139+I140, I129+I132+I135)*$E$141</f>
        <v/>
      </c>
      <c r="J141" s="110">
        <f>+MIN(J139+J140, J129+J132+J135)*$E$141</f>
        <v/>
      </c>
      <c r="K141" s="110">
        <f>+MIN(K139+K140, K129+K132+K135)*$E$141</f>
        <v/>
      </c>
      <c r="L141" s="110">
        <f>+MIN(L139+L140, L129+L132+L135)*$E$141</f>
        <v/>
      </c>
    </row>
    <row r="142">
      <c r="C142" s="110" t="inlineStr">
        <is>
          <t>EoP 1L TLB</t>
        </is>
      </c>
      <c r="G142" s="127">
        <f>+I7</f>
        <v/>
      </c>
      <c r="H142" s="117">
        <f>SUM(H139:H141)</f>
        <v/>
      </c>
      <c r="I142" s="117">
        <f>SUM(I139:I141)</f>
        <v/>
      </c>
      <c r="J142" s="117">
        <f>SUM(J139:J141)</f>
        <v/>
      </c>
      <c r="K142" s="117">
        <f>SUM(K139:K141)</f>
        <v/>
      </c>
      <c r="L142" s="117">
        <f>SUM(L139:L141)</f>
        <v/>
      </c>
    </row>
    <row r="143">
      <c r="C143" s="110" t="inlineStr">
        <is>
          <t>Interest</t>
        </is>
      </c>
      <c r="H143" s="110">
        <f>+AVERAGE(G142:H142)*$S$7*-1</f>
        <v/>
      </c>
      <c r="I143" s="110">
        <f>+AVERAGE(H142:I142)*$S$7*-1</f>
        <v/>
      </c>
      <c r="J143" s="110">
        <f>+AVERAGE(I142:J142)*$S$7*-1</f>
        <v/>
      </c>
      <c r="K143" s="110">
        <f>+AVERAGE(J142:K142)*$S$7*-1</f>
        <v/>
      </c>
      <c r="L143" s="110">
        <f>+AVERAGE(K142:L142)*$S$7*-1</f>
        <v/>
      </c>
    </row>
    <row r="145">
      <c r="C145" s="110" t="inlineStr">
        <is>
          <t>BoP PIK note</t>
        </is>
      </c>
      <c r="H145" s="110">
        <f>+G148</f>
        <v/>
      </c>
      <c r="I145" s="110">
        <f>+H148</f>
        <v/>
      </c>
      <c r="J145" s="110">
        <f>+I148</f>
        <v/>
      </c>
      <c r="K145" s="110">
        <f>+J148</f>
        <v/>
      </c>
      <c r="L145" s="110">
        <f>+K148</f>
        <v/>
      </c>
    </row>
    <row r="146">
      <c r="C146" s="110" t="inlineStr">
        <is>
          <t>PIK accrual</t>
        </is>
      </c>
      <c r="H146" s="110">
        <f>+H145*$T$8</f>
        <v/>
      </c>
      <c r="I146" s="110">
        <f>+I145*$T$8</f>
        <v/>
      </c>
      <c r="J146" s="110">
        <f>+J145*$T$8</f>
        <v/>
      </c>
      <c r="K146" s="110">
        <f>+K145*$T$8</f>
        <v/>
      </c>
      <c r="L146" s="110">
        <f>+L145*$T$8</f>
        <v/>
      </c>
    </row>
    <row r="147">
      <c r="C147" s="110" t="inlineStr">
        <is>
          <t>Mandatory repayment</t>
        </is>
      </c>
      <c r="H147" s="110">
        <f>+IF(H2=$U$7, H145, 0)*-1</f>
        <v/>
      </c>
      <c r="I147" s="110">
        <f>+IF(I2=$U$7, I145, 0)*-1</f>
        <v/>
      </c>
      <c r="J147" s="110">
        <f>+IF(J2=$U$7, J145, 0)*-1</f>
        <v/>
      </c>
      <c r="K147" s="110">
        <f>+IF(K2=$U$7, K145, 0)*-1</f>
        <v/>
      </c>
      <c r="L147" s="110">
        <f>+IF(L2=$U$7, L145, 0)*-1</f>
        <v/>
      </c>
    </row>
    <row r="148">
      <c r="C148" s="110" t="inlineStr">
        <is>
          <t>EoP PIK note</t>
        </is>
      </c>
      <c r="G148" s="127">
        <f>+I8</f>
        <v/>
      </c>
      <c r="H148" s="117">
        <f>SUM(H145:H147)</f>
        <v/>
      </c>
      <c r="I148" s="117">
        <f>SUM(I145:I147)</f>
        <v/>
      </c>
      <c r="J148" s="117">
        <f>SUM(J145:J147)</f>
        <v/>
      </c>
      <c r="K148" s="117">
        <f>SUM(K145:K147)</f>
        <v/>
      </c>
      <c r="L148" s="117">
        <f>SUM(L145:L147)</f>
        <v/>
      </c>
    </row>
    <row r="149">
      <c r="C149" s="110" t="inlineStr">
        <is>
          <t>Interest (PIK)</t>
        </is>
      </c>
      <c r="H149" s="110">
        <f>+H146*-1</f>
        <v/>
      </c>
      <c r="I149" s="110">
        <f>+I146*-1</f>
        <v/>
      </c>
      <c r="J149" s="110">
        <f>+J146*-1</f>
        <v/>
      </c>
      <c r="K149" s="110">
        <f>+K146*-1</f>
        <v/>
      </c>
      <c r="L149" s="110">
        <f>+L146*-1</f>
        <v/>
      </c>
    </row>
    <row r="151">
      <c r="C151" s="110" t="inlineStr">
        <is>
          <t>Total interest</t>
        </is>
      </c>
      <c r="H151" s="110">
        <f>+H149+H143+H137</f>
        <v/>
      </c>
      <c r="I151" s="110">
        <f>+I149+I143+I137</f>
        <v/>
      </c>
      <c r="J151" s="110">
        <f>+J149+J143+J137</f>
        <v/>
      </c>
      <c r="K151" s="110">
        <f>+K149+K143+K137</f>
        <v/>
      </c>
      <c r="L151" s="110">
        <f>+L149+L143+L137</f>
        <v/>
      </c>
    </row>
    <row r="152">
      <c r="C152" s="110" t="inlineStr">
        <is>
          <t>Cash interest</t>
        </is>
      </c>
      <c r="H152" s="110">
        <f>+H143+H137</f>
        <v/>
      </c>
      <c r="I152" s="110">
        <f>+I143+I137</f>
        <v/>
      </c>
      <c r="J152" s="110">
        <f>+J143+J137</f>
        <v/>
      </c>
      <c r="K152" s="110">
        <f>+K143+K137</f>
        <v/>
      </c>
      <c r="L152" s="110">
        <f>+L143+L137</f>
        <v/>
      </c>
    </row>
    <row r="154">
      <c r="C154" s="110" t="inlineStr">
        <is>
          <t>BoP cash</t>
        </is>
      </c>
      <c r="H154" s="110">
        <f>+G156</f>
        <v/>
      </c>
      <c r="I154" s="110">
        <f>+H156</f>
        <v/>
      </c>
      <c r="J154" s="110">
        <f>+I156</f>
        <v/>
      </c>
      <c r="K154" s="110">
        <f>+J156</f>
        <v/>
      </c>
      <c r="L154" s="110">
        <f>+K156</f>
        <v/>
      </c>
    </row>
    <row r="155">
      <c r="C155" s="110" t="inlineStr">
        <is>
          <t>Net cash flows</t>
        </is>
      </c>
      <c r="H155" s="110">
        <f>+H125+H135+H140+H141+H147</f>
        <v/>
      </c>
      <c r="I155" s="110">
        <f>+I125+I135+I140+I141+I147</f>
        <v/>
      </c>
      <c r="J155" s="110">
        <f>+J125+J135+J140+J141+J147</f>
        <v/>
      </c>
      <c r="K155" s="110">
        <f>+K125+K135+K140+K141+K147</f>
        <v/>
      </c>
      <c r="L155" s="110">
        <f>+L125+L135+L140+L141+L147</f>
        <v/>
      </c>
    </row>
    <row r="156">
      <c r="C156" s="110" t="inlineStr">
        <is>
          <t>EoP cash</t>
        </is>
      </c>
      <c r="G156" s="127">
        <f>+G99</f>
        <v/>
      </c>
      <c r="H156" s="117">
        <f>SUM(H154:H155)</f>
        <v/>
      </c>
      <c r="I156" s="117">
        <f>SUM(I154:I155)</f>
        <v/>
      </c>
      <c r="J156" s="117">
        <f>SUM(J154:J155)</f>
        <v/>
      </c>
      <c r="K156" s="117">
        <f>SUM(K154:K155)</f>
        <v/>
      </c>
      <c r="L156" s="117">
        <f>SUM(L154:L155)</f>
        <v/>
      </c>
    </row>
    <row r="158">
      <c r="A158" s="110" t="inlineStr">
        <is>
          <t>x</t>
        </is>
      </c>
      <c r="B158" s="111" t="inlineStr">
        <is>
          <t>Returns</t>
        </is>
      </c>
    </row>
    <row r="159">
      <c r="C159" s="110" t="inlineStr">
        <is>
          <t>EBITDA</t>
        </is>
      </c>
      <c r="L159" s="110">
        <f>+G92</f>
        <v/>
      </c>
    </row>
    <row r="160">
      <c r="C160" s="110" t="inlineStr">
        <is>
          <t>Exit multiple</t>
        </is>
      </c>
      <c r="L160" s="145">
        <f>+M8</f>
        <v/>
      </c>
    </row>
    <row r="161">
      <c r="C161" s="110" t="inlineStr">
        <is>
          <t>Exit EV</t>
        </is>
      </c>
      <c r="L161" s="117">
        <f>+L160*L159</f>
        <v/>
      </c>
    </row>
    <row r="162">
      <c r="L162" s="146">
        <f>L141+L147-L155</f>
        <v/>
      </c>
    </row>
    <row r="163">
      <c r="C163" s="110" t="inlineStr">
        <is>
          <t>(-) net debt</t>
        </is>
      </c>
      <c r="L163" s="110">
        <f>+L117-L99</f>
        <v/>
      </c>
    </row>
    <row r="164">
      <c r="C164" s="110" t="inlineStr">
        <is>
          <t>Exit EqV</t>
        </is>
      </c>
      <c r="L164" s="117">
        <f>+L161-L163</f>
        <v/>
      </c>
    </row>
    <row r="165">
      <c r="L165" s="146">
        <f>L164/L8</f>
        <v/>
      </c>
    </row>
    <row r="166">
      <c r="C166" s="110" t="inlineStr">
        <is>
          <t>MOIC</t>
        </is>
      </c>
      <c r="L166" s="145">
        <f>+L164/I9</f>
        <v/>
      </c>
    </row>
    <row r="167">
      <c r="C167" s="110" t="inlineStr">
        <is>
          <t>IRR</t>
        </is>
      </c>
      <c r="L167" s="120">
        <f>+L166^(1/L1)-1</f>
        <v/>
      </c>
    </row>
    <row r="168">
      <c r="C168" s="110" t="inlineStr">
        <is>
          <t>Proceeds</t>
        </is>
      </c>
      <c r="L168" s="110">
        <f>+L164-I9</f>
        <v/>
      </c>
    </row>
    <row r="170">
      <c r="A170" s="110" t="inlineStr">
        <is>
          <t>x</t>
        </is>
      </c>
      <c r="B170" s="111" t="inlineStr">
        <is>
          <t>Sensitivity</t>
        </is>
      </c>
    </row>
    <row r="171">
      <c r="H171" s="147" t="inlineStr">
        <is>
          <t>Exit multiple</t>
        </is>
      </c>
      <c r="I171" s="147" t="n"/>
      <c r="J171" s="147" t="n"/>
      <c r="K171" s="147" t="n"/>
      <c r="L171" s="147" t="n"/>
    </row>
    <row r="172">
      <c r="G172" s="148">
        <f>+L167</f>
        <v/>
      </c>
      <c r="H172" s="114" t="n">
        <v>10</v>
      </c>
      <c r="I172" s="145">
        <f>+H172+0.5</f>
        <v/>
      </c>
      <c r="J172" s="145">
        <f>+I172+0.5</f>
        <v/>
      </c>
      <c r="K172" s="145">
        <f>+J172+0.5</f>
        <v/>
      </c>
      <c r="L172" s="145">
        <f>+K172+0.5</f>
        <v/>
      </c>
    </row>
    <row r="173">
      <c r="G173" s="114" t="n">
        <v>10</v>
      </c>
      <c r="H173" s="149">
        <f/>
        <v/>
      </c>
      <c r="I173" s="150" t="n">
        <v>0.01852248023918102</v>
      </c>
      <c r="J173" s="150" t="n">
        <v>0.03411532204986156</v>
      </c>
      <c r="K173" s="150" t="n">
        <v>0.04882074874340669</v>
      </c>
      <c r="L173" s="150" t="n">
        <v>0.06274489474079092</v>
      </c>
    </row>
    <row r="174">
      <c r="G174" s="145">
        <f>+G173+0.5</f>
        <v/>
      </c>
      <c r="H174" s="151" t="n">
        <v>-0.01535993071329766</v>
      </c>
      <c r="I174" s="120" t="n">
        <v>0.0009643878775038583</v>
      </c>
      <c r="J174" s="120" t="n">
        <v>0.01628842800533548</v>
      </c>
      <c r="K174" s="120" t="n">
        <v>0.03074035097646632</v>
      </c>
      <c r="L174" s="120" t="n">
        <v>0.04442446158315172</v>
      </c>
    </row>
    <row r="175">
      <c r="E175" s="113" t="inlineStr">
        <is>
          <t>Entry mutiple</t>
        </is>
      </c>
      <c r="G175" s="145">
        <f>+G174+0.5</f>
        <v/>
      </c>
      <c r="H175" s="151" t="n">
        <v>-0.03098628489941346</v>
      </c>
      <c r="I175" s="120" t="n">
        <v>-0.01492103517255905</v>
      </c>
      <c r="J175" s="120" t="n">
        <v>0.0001598106286664347</v>
      </c>
      <c r="K175" s="120" t="n">
        <v>0.0143823798754652</v>
      </c>
      <c r="L175" s="120" t="n">
        <v>0.02784932203072144</v>
      </c>
    </row>
    <row r="176">
      <c r="G176" s="145">
        <f>+G175+0.5</f>
        <v/>
      </c>
      <c r="H176" s="151" t="n">
        <v>-0.04523357986347387</v>
      </c>
      <c r="I176" s="120" t="n">
        <v>-0.02940453561850576</v>
      </c>
      <c r="J176" s="120" t="n">
        <v>-0.01454542172374285</v>
      </c>
      <c r="K176" s="120" t="n">
        <v>-0.0005319652439236267</v>
      </c>
      <c r="L176" s="120" t="n">
        <v>0.01273697404082652</v>
      </c>
    </row>
    <row r="177">
      <c r="G177" s="145">
        <f>+G176+0.5</f>
        <v/>
      </c>
      <c r="H177" s="151" t="n">
        <v>-0.05830972091146558</v>
      </c>
      <c r="I177" s="120" t="n">
        <v>-0.04269746562224275</v>
      </c>
      <c r="J177" s="120" t="n">
        <v>-0.02804185686238847</v>
      </c>
      <c r="K177" s="120" t="n">
        <v>-0.01422032369452841</v>
      </c>
      <c r="L177" s="120" t="n">
        <v>-0.001133111079239413</v>
      </c>
    </row>
    <row r="178">
      <c r="G178" s="145" t="n"/>
      <c r="H178" s="120" t="n"/>
      <c r="I178" s="120" t="n"/>
      <c r="J178" s="120" t="n"/>
      <c r="K178" s="120" t="n"/>
      <c r="L178" s="120" t="n"/>
    </row>
    <row r="179">
      <c r="G179" s="152" t="inlineStr">
        <is>
          <t>Need an entry multiple of max 10x for a 25% IRR, assuming exit multiple of 12x</t>
        </is>
      </c>
      <c r="H179" s="120" t="n"/>
      <c r="I179" s="120" t="n"/>
      <c r="J179" s="120" t="n"/>
      <c r="K179" s="120" t="n"/>
      <c r="L179" s="120" t="n"/>
    </row>
    <row r="181">
      <c r="H181" s="147" t="inlineStr">
        <is>
          <t>AMS Europe CAGR</t>
        </is>
      </c>
      <c r="I181" s="153" t="n"/>
      <c r="J181" s="153" t="n"/>
      <c r="K181" s="153" t="n"/>
      <c r="L181" s="153" t="n"/>
    </row>
    <row r="182">
      <c r="G182" s="148">
        <f>+L167</f>
        <v/>
      </c>
      <c r="H182" s="116" t="n">
        <v>0.07000000000000001</v>
      </c>
      <c r="I182" s="120">
        <f>+H182+0.5%</f>
        <v/>
      </c>
      <c r="J182" s="120">
        <f>+I182+0.5%</f>
        <v/>
      </c>
      <c r="K182" s="120">
        <f>+J182+0.5%</f>
        <v/>
      </c>
      <c r="L182" s="120">
        <f>+K182+0.5%</f>
        <v/>
      </c>
    </row>
    <row r="183">
      <c r="G183" s="114" t="n">
        <v>10</v>
      </c>
      <c r="H183" s="149">
        <f/>
        <v/>
      </c>
      <c r="I183" s="150" t="n">
        <v>0.06502059939764981</v>
      </c>
      <c r="J183" s="150" t="n">
        <v>0.06731441268158167</v>
      </c>
      <c r="K183" s="150" t="n">
        <v>0.06962617016291794</v>
      </c>
      <c r="L183" s="150" t="n">
        <v>0.07195571741586959</v>
      </c>
    </row>
    <row r="184">
      <c r="G184" s="145">
        <f>+G183+0.5</f>
        <v/>
      </c>
      <c r="H184" s="151" t="n">
        <v>0.04442445879630674</v>
      </c>
      <c r="I184" s="120" t="n">
        <v>0.0466609358515524</v>
      </c>
      <c r="J184" s="120" t="n">
        <v>0.04891520657625659</v>
      </c>
      <c r="K184" s="120" t="n">
        <v>0.05118711216216321</v>
      </c>
      <c r="L184" s="120" t="n">
        <v>0.05347650084559685</v>
      </c>
    </row>
    <row r="185">
      <c r="E185" s="113" t="inlineStr">
        <is>
          <t>Entry mutiple</t>
        </is>
      </c>
      <c r="G185" s="145">
        <f>+G184+0.5</f>
        <v/>
      </c>
      <c r="H185" s="151" t="n">
        <v>0.02784931928810419</v>
      </c>
      <c r="I185" s="120" t="n">
        <v>0.03005030318835389</v>
      </c>
      <c r="J185" s="120" t="n">
        <v>0.0322687983704264</v>
      </c>
      <c r="K185" s="120" t="n">
        <v>0.03450464854637136</v>
      </c>
      <c r="L185" s="120" t="n">
        <v>0.03675770436102099</v>
      </c>
    </row>
    <row r="186">
      <c r="G186" s="145">
        <f>+G185+0.5</f>
        <v/>
      </c>
      <c r="H186" s="151" t="n">
        <v>0.01273697133853346</v>
      </c>
      <c r="I186" s="120" t="n">
        <v>0.01490559443072725</v>
      </c>
      <c r="J186" s="120" t="n">
        <v>0.01709147133842137</v>
      </c>
      <c r="K186" s="120" t="n">
        <v>0.01929444807154956</v>
      </c>
      <c r="L186" s="120" t="n">
        <v>0.02151437747089502</v>
      </c>
    </row>
    <row r="187">
      <c r="G187" s="145">
        <f>+G186+0.5</f>
        <v/>
      </c>
      <c r="H187" s="151" t="n">
        <v>-0.00113311374452274</v>
      </c>
      <c r="I187" s="120" t="n">
        <v>0.001005808657706053</v>
      </c>
      <c r="J187" s="120" t="n">
        <v>0.003161748573319523</v>
      </c>
      <c r="K187" s="120" t="n">
        <v>0.005334554121244395</v>
      </c>
      <c r="L187" s="120" t="n">
        <v>0.007524080157704116</v>
      </c>
    </row>
    <row r="188">
      <c r="G188" s="120" t="n"/>
    </row>
  </sheetData>
  <dataValidations disablePrompts="1" count="1">
    <dataValidation sqref="E141 M12" showErrorMessage="1" showInputMessage="1" allowBlank="1" type="list">
      <formula1>"0,1"</formula1>
    </dataValidation>
  </dataValidations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Andreas Lind</dc:creator>
  <dcterms:created xmlns:dcterms="http://purl.org/dc/terms/" xmlns:xsi="http://www.w3.org/2001/XMLSchema-instance" xsi:type="dcterms:W3CDTF">2021-07-22T14:38:49Z</dcterms:created>
  <dcterms:modified xmlns:dcterms="http://purl.org/dc/terms/" xmlns:xsi="http://www.w3.org/2001/XMLSchema-instance" xsi:type="dcterms:W3CDTF">2026-01-06T05:02:25Z</dcterms:modified>
  <cp:lastModifiedBy>Danial Azmi</cp:lastModifiedBy>
</cp:coreProperties>
</file>