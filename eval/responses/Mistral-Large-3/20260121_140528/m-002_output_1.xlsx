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875" windowHeight="14431" tabRatio="600" firstSheet="1" activeTab="1" autoFilterDateGrouping="1"/>
  </bookViews>
  <sheets>
    <sheet xmlns:r="http://schemas.openxmlformats.org/officeDocument/2006/relationships" name="BBPTACShadowWks0001" sheetId="1" state="veryHidden" r:id="rId1"/>
    <sheet xmlns:r="http://schemas.openxmlformats.org/officeDocument/2006/relationships" name="Model Shell" sheetId="2" state="visible" r:id="rId2"/>
    <sheet xmlns:r="http://schemas.openxmlformats.org/officeDocument/2006/relationships" name="BBPTACShadowWks0002" sheetId="3" state="veryHidden" r:id="rId3"/>
    <sheet xmlns:r="http://schemas.openxmlformats.org/officeDocument/2006/relationships" name="Marine DCF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__FDS_HYPERLINK_TOGGLE_STATE__" hidden="1">"ON"</definedName>
    <definedName name="__FDS_UNIQUE_RANGE_ID_GENERATOR_COUNTER" hidden="1">1</definedName>
    <definedName name="_bdm.37E89C6F8EB84A6588A4721AAA3AF7F7.edm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1_Out" hidden="1">#REF!</definedName>
    <definedName name="anscount" hidden="1">1</definedName>
    <definedName name="bb_OTZCOTgxQUY0ODA1NDBENk" hidden="1">#REF!</definedName>
    <definedName name="bb_RDBCNzlFRTIzQTRDNDY5ND" hidden="1">'[1]Key Assumptions'!#REF!</definedName>
    <definedName name="BBPTAutoColor_Changed" localSheetId="3" hidden="1">TRUE</definedName>
    <definedName name="BBPTAutoColor_ShadowWksName" localSheetId="3" hidden="1">"BBPTACShadowWks0002"</definedName>
    <definedName name="BLPH1" hidden="1">#REF!</definedName>
    <definedName name="BLPH2" hidden="1">#REF!</definedName>
    <definedName name="BLPH3" hidden="1">#REF!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mg_12_Mo_Mkt_Vac_Chng" hidden="1">"IMG_12"</definedName>
    <definedName name="Img_24_Mo_Mkt_Vac_Chng" hidden="1">"IMG_12"</definedName>
    <definedName name="Img_24_Mo_Mkt_Vac_Chng_Est" hidden="1">"IMG_12"</definedName>
    <definedName name="Img_AFFO_Mult" hidden="1">"IMG_10"</definedName>
    <definedName name="Img_AFFO_Mult__2_" hidden="1">"IMG_12"</definedName>
    <definedName name="Img_AFFO_Mult__3_" hidden="1">"IMG_17"</definedName>
    <definedName name="Img_Annual_Net_Absorption" hidden="1">"IMG_12"</definedName>
    <definedName name="Img_Apartment_" hidden="1">"IMG_10"</definedName>
    <definedName name="Img_Avg_Rent_Chart" hidden="1">"IMG_12"</definedName>
    <definedName name="Img_BBB_Chart__for_L_" hidden="1">"IMG_17"</definedName>
    <definedName name="Img_cbd_vs_sub" hidden="1">"IMG_12"</definedName>
    <definedName name="Img_Chart1" hidden="1">"IMG_11"</definedName>
    <definedName name="Img_Chart2" hidden="1">"IMG_13"</definedName>
    <definedName name="Img_Chart4" hidden="1">"IMG_10"</definedName>
    <definedName name="Img_Debt_Exp" hidden="1">"IMG_12"</definedName>
    <definedName name="Img_Diversified" hidden="1">"IMG_10"</definedName>
    <definedName name="Img_EE_Trends" hidden="1">"IMG_12"</definedName>
    <definedName name="Img_Empl._Chart_2006E" hidden="1">"IMG_12"</definedName>
    <definedName name="Img_GDP_Growth" hidden="1">"IMG_12"</definedName>
    <definedName name="Img_Global_Div_Yld" hidden="1">"IMG_12"</definedName>
    <definedName name="Img_Global_Div_Yld_Cht" hidden="1">"IMG_12"</definedName>
    <definedName name="Img_Impl_Cap_Chart" hidden="1">"IMG_13"</definedName>
    <definedName name="Img_Impl_Cap_Chart__2_" hidden="1">"IMG_17"</definedName>
    <definedName name="Img_Industrial" hidden="1">"IMG_10"</definedName>
    <definedName name="Img_Manufactured_Homes" hidden="1">"IMG_10"</definedName>
    <definedName name="Img_Mkt_Vac_Rate" hidden="1">"IMG_12"</definedName>
    <definedName name="Img_ML_1y7a6c1t" hidden="1">"IMG_12"</definedName>
    <definedName name="Img_ML_2e1r5p2m" hidden="1">"IMG_17"</definedName>
    <definedName name="Img_ML_2v6s9i5c" hidden="1">"IMG_12"</definedName>
    <definedName name="Img_ML_2x1b8j5c" hidden="1">"IMG_11"</definedName>
    <definedName name="Img_ML_3b3j3x9k" hidden="1">"IMG_10"</definedName>
    <definedName name="Img_ML_3c7g1a7g" hidden="1">"IMG_3"</definedName>
    <definedName name="Img_ML_3d6s8l7p" hidden="1">"IMG_11"</definedName>
    <definedName name="Img_ML_3e2q4k7i" hidden="1">"IMG_10"</definedName>
    <definedName name="Img_ML_5h6q3g8u" hidden="1">"IMG_12"</definedName>
    <definedName name="Img_ML_6f2p1m9g" hidden="1">"IMG_10"</definedName>
    <definedName name="Img_ML_6y9f7y3n" hidden="1">"IMG_12"</definedName>
    <definedName name="Img_ML_7g5e5e2b" hidden="1">"IMG_3"</definedName>
    <definedName name="Img_ML_7n6h3t1t" hidden="1">"IMG_10"</definedName>
    <definedName name="Img_ML_8b9j5t1p" hidden="1">"IMG_12"</definedName>
    <definedName name="Img_ML_8h3m3i1m" hidden="1">"IMG_12"</definedName>
    <definedName name="Img_ML_8h7g4d4d" hidden="1">"IMG_3"</definedName>
    <definedName name="Img_ML_8j3w6p4c" hidden="1">"IMG_10"</definedName>
    <definedName name="Img_ML_8r1k8t4y" hidden="1">"IMG_10"</definedName>
    <definedName name="Img_ML_8s3q3c1i" hidden="1">"IMG_10"</definedName>
    <definedName name="Img_ML_9j3t2m3v" hidden="1">"IMG_11"</definedName>
    <definedName name="Img_ML_9u8u6t5w" hidden="1">"IMG_18"</definedName>
    <definedName name="Img_Newly_Delivered_Space" hidden="1">"IMG_12"</definedName>
    <definedName name="Img_Occupancy" hidden="1">"IMG_6"</definedName>
    <definedName name="Img_Office" hidden="1">"IMG_10"</definedName>
    <definedName name="Img_Production_Breakdown" hidden="1">"IMG_3"</definedName>
    <definedName name="Img_Qtr_Net_Abs" hidden="1">"IMG_12"</definedName>
    <definedName name="Img_Regional_Malls" hidden="1">"IMG_10"</definedName>
    <definedName name="Img_REIT_Div_Yld" hidden="1">"IMG_12"</definedName>
    <definedName name="Img_Self_Storage" hidden="1">"IMG_10"</definedName>
    <definedName name="Img_Shopping_Centers" hidden="1">"IMG_10"</definedName>
    <definedName name="Img_Space_UC" hidden="1">"IMG_12"</definedName>
    <definedName name="Img_Total_Reits" hidden="1">"IMG_10"</definedName>
    <definedName name="Img_TTl_Return" hidden="1">"IMG_12"</definedName>
    <definedName name="Img_US_Vac_Rate" hidden="1">"IMG_12"</definedName>
    <definedName name="Img_Utility_Chart" hidden="1">"IMG_17"</definedName>
    <definedName name="Img_Weekly_Chart" hidden="1">"IMG_10"</definedName>
    <definedName name="Img_YA1" hidden="1">"IMG_12"</definedName>
    <definedName name="Img_YIELD_Chart" hidden="1">"IMG_10"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"c252"</definedName>
    <definedName name="IQ_EBITDA_HIGH_EST" hidden="1">"c265"</definedName>
    <definedName name="IQ_EBITDA_INT" hidden="1">"c373"</definedName>
    <definedName name="IQ_EBITDA_LOW_EST" hidden="1">"c266"</definedName>
    <definedName name="IQ_EBITDA_MARGIN" hidden="1">"c372"</definedName>
    <definedName name="IQ_EBITDA_NUM_EST" hidden="1">"c267"</definedName>
    <definedName name="IQ_EBITDA_OVER_TOTAL_IE" hidden="1">"c1371"</definedName>
    <definedName name="IQ_EBITDA_STDDEV_EST" hidden="1">"c268"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"c273"</definedName>
    <definedName name="IQ_FFO_HIGH_EST" hidden="1">"c274"</definedName>
    <definedName name="IQ_FFO_LOW_EST" hidden="1">"c275"</definedName>
    <definedName name="IQ_FFO_NUM_EST" hidden="1">"c276"</definedName>
    <definedName name="IQ_FFO_STDDEV_EST" hidden="1">"c277"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"c264"</definedName>
    <definedName name="IQ_REV_UTI" hidden="1">"c1125"</definedName>
    <definedName name="IQ_REVENUE" hidden="1">"c1422"</definedName>
    <definedName name="IQ_REVENUE_EST" hidden="1">"c188"</definedName>
    <definedName name="IQ_REVENUE_HIGH_EST" hidden="1">"c261"</definedName>
    <definedName name="IQ_REVENUE_LOW_EST" hidden="1">"c262"</definedName>
    <definedName name="IQ_REVENUE_NUM_EST" hidden="1">"c263"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"iQShowQuarterlyAnnual"</definedName>
    <definedName name="limcount" hidden="1">2</definedName>
    <definedName name="M_PlaceofPath" hidden="1">"F:\danders\COMPANY\HET\HET_VDF.XLS"</definedName>
    <definedName name="nsv" hidden="1">{"Exist1",#N/A,FALSE,"Exist";"exist2",#N/A,FALSE,"Exist"}</definedName>
    <definedName name="s" hidden="1">{"Exist1",#N/A,FALSE,"Exist";"exist2",#N/A,FALSE,"Exist"}</definedName>
    <definedName name="sencount" hidden="1">1</definedName>
    <definedName name="solver_cvg" hidden="1">0.0001</definedName>
    <definedName name="solver_drv" hidden="1">2</definedName>
    <definedName name="solver_eng" hidden="1">1</definedName>
    <definedName name="solver_est" hidden="1">1</definedName>
    <definedName name="solver_itr" hidden="1">2147483647</definedName>
    <definedName name="solver_mip" hidden="1">2147483647</definedName>
    <definedName name="solver_mni" hidden="1">30</definedName>
    <definedName name="solver_mrt" hidden="1">0.075</definedName>
    <definedName name="solver_msl" hidden="1">2</definedName>
    <definedName name="solver_neg" hidden="1">1</definedName>
    <definedName name="solver_nod" hidden="1">2147483647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bv" hidden="1">2</definedName>
    <definedName name="solver_rlx" hidden="1">2</definedName>
    <definedName name="solver_rsd" hidden="1">0</definedName>
    <definedName name="solver_scl" hidden="1">2</definedName>
    <definedName name="solver_sho" hidden="1">2</definedName>
    <definedName name="solver_ssz" hidden="1">100</definedName>
    <definedName name="solver_tim" hidden="1">2147483647</definedName>
    <definedName name="solver_tol" hidden="1">0.01</definedName>
    <definedName name="solver_typ" hidden="1">3</definedName>
    <definedName name="solver_val" hidden="1">-232.5</definedName>
    <definedName name="solver_ver" hidden="1">3</definedName>
    <definedName name="sw.ShowDisc" hidden="1">"Yes"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xist." hidden="1">{"Exist1",#N/A,FALSE,"Exist";"exist2",#N/A,FALSE,"Exist"}</definedName>
    <definedName name="wrn.FOschedules." hidden="1">{"FOschedule1",#N/A,FALSE,"Sheet1";"FOschedule2",#N/A,FALSE,"Sheet1";"FOschedule3",#N/A,FALSE,"Sheet1"}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schedules." hidden="1">{"schedule1",#N/A,FALSE,"Sheet1";"schedule2",#N/A,FALSE,"Sheet1";"schedule3",#N/A,FALSE,"Sheet1";"schedule4",#N/A,FALSE,"Sheet1";"schedule5",#N/A,FALSE,"Sheet1";"schedule6",#N/A,FALSE,"Sheet1"}</definedName>
  </definedNames>
  <calcPr calcId="191029" fullCalcOnLoad="1" iterate="1"/>
</workbook>
</file>

<file path=xl/styles.xml><?xml version="1.0" encoding="utf-8"?>
<styleSheet xmlns="http://schemas.openxmlformats.org/spreadsheetml/2006/main">
  <numFmts count="75">
    <numFmt numFmtId="164" formatCode="_(#,##0_)_%;\(#,##0\)_%;_(&quot;–&quot;_)_%;_(@_)_%"/>
    <numFmt numFmtId="165" formatCode="_(#,##0.0%_);\(#,##0.0%\);_(&quot;–&quot;_)_%;_(@_)_%"/>
    <numFmt numFmtId="166" formatCode="_(#,##0.0_)_%;\(#,##0.0\)_%;_(&quot;–&quot;_)_%;_(@_)_%"/>
    <numFmt numFmtId="167" formatCode="_([$$]#,##0.00_)_%;\([$$]#,##0.00\)_%;_(&quot;–&quot;_)_%;_(@_)_%"/>
    <numFmt numFmtId="168" formatCode="_(#,##0%_);\(#,##0%\);_(&quot;–&quot;_)_%;_(@_)_%"/>
    <numFmt numFmtId="169" formatCode="_(0.0\x_)_)_';_(\(0.0\x\)_'_';_(&quot;–&quot;_)_%;_(@_)_%"/>
    <numFmt numFmtId="170" formatCode="_([$$]#,##0.0_)_%;\([$$]#,##0.0\)_%;_(&quot;–&quot;_)_%;_(@_)_%"/>
    <numFmt numFmtId="171" formatCode="#,##0.000000_);\(#,##0.000000\)"/>
    <numFmt numFmtId="172" formatCode="_(#,##0.00_)_%;\(#,##0.00\)_%;_(&quot;–&quot;_)_%;_(@_)_%"/>
    <numFmt numFmtId="173" formatCode="_-* #,##0.00_-;\-* #,##0.00_-;_-* &quot;-&quot;??_-;_-@_-"/>
    <numFmt numFmtId="174" formatCode="&quot;$&quot;#,##0;\(&quot;$&quot;#,##0\)"/>
    <numFmt numFmtId="175" formatCode="&quot;$&quot;#,##0.0"/>
    <numFmt numFmtId="176" formatCode="&quot;$&quot;#,##0.00;\(&quot;$&quot;#,##0.00\)"/>
    <numFmt numFmtId="177" formatCode="0.0_)\%;\(0.0\)\%;0.0_)\%;@_)_%"/>
    <numFmt numFmtId="178" formatCode="#,##0.0_)_%;\(#,##0.0\)_%;0.0_)_%;@_)_%"/>
    <numFmt numFmtId="179" formatCode="#,##0.0_);\(#,##0.0\);#,##0.0_);@_)"/>
    <numFmt numFmtId="180" formatCode="#,##0.0_);\(#,##0.0\)"/>
    <numFmt numFmtId="181" formatCode="&quot;$&quot;_(#,##0.00_);&quot;$&quot;\(#,##0.00\);&quot;$&quot;_(0.00_);@_)"/>
    <numFmt numFmtId="182" formatCode="&quot;$&quot;_(#,##0.00_);&quot;$&quot;\(#,##0.00\)"/>
    <numFmt numFmtId="183" formatCode="#,##0.00_);\(#,##0.00\);0.00_);@_)"/>
    <numFmt numFmtId="184" formatCode="\€_(#,##0.00_);\€\(#,##0.00\);\€_(0.00_);@_)"/>
    <numFmt numFmtId="185" formatCode="#,##0_)\x;\(#,##0\)\x;0_)\x;@_)_x"/>
    <numFmt numFmtId="186" formatCode="#,##0.0_)\x;\(#,##0.0\)\x"/>
    <numFmt numFmtId="187" formatCode="#,##0_)_x;\(#,##0\)_x;0_)_x;@_)_x"/>
    <numFmt numFmtId="188" formatCode="#,##0.0_)_x;\(#,##0.0\)_x"/>
    <numFmt numFmtId="189" formatCode="#,##0.0_)_x;\(#,##0.0\)_x;0.0_)_x;@_)_x"/>
    <numFmt numFmtId="190" formatCode="0.0_)\%;\(0.0\)\%"/>
    <numFmt numFmtId="191" formatCode="#,##0.0_)_%;\(#,##0.0\)_%"/>
    <numFmt numFmtId="192" formatCode="0.0%"/>
    <numFmt numFmtId="193" formatCode="0.0"/>
    <numFmt numFmtId="194" formatCode="0_)"/>
    <numFmt numFmtId="195" formatCode="m\-d\-yy"/>
    <numFmt numFmtId="196" formatCode="#,##0.0_);[Red]\(#,##0.0\)"/>
    <numFmt numFmtId="197" formatCode="#,##0.0000_);\(#,##0.0000\)"/>
    <numFmt numFmtId="198" formatCode="&quot;$&quot;#.;\(&quot;$&quot;#,\)"/>
    <numFmt numFmtId="199" formatCode="#,##0_%_);\(#,##0\)_%;#,##0_%_);@_%_)"/>
    <numFmt numFmtId="200" formatCode="0.0_);\(0.0\)"/>
    <numFmt numFmtId="201" formatCode="yyyy"/>
    <numFmt numFmtId="202" formatCode="m/d/yy_%_)"/>
    <numFmt numFmtId="203" formatCode="m/yy"/>
    <numFmt numFmtId="204" formatCode="#,##0;\(#,##0\)"/>
    <numFmt numFmtId="205" formatCode="#,##0.0;\(#,##0.0\)"/>
    <numFmt numFmtId="206" formatCode="#,##0.00;\(#,##0.00\)"/>
    <numFmt numFmtId="207" formatCode="&quot;D&quot;&quot;$&quot;#,##0.00_);[Red]\(&quot;D&quot;&quot;$&quot;#,##0.00\)"/>
    <numFmt numFmtId="208" formatCode="&quot;C&quot;&quot;$&quot;#,##0.00_);[Red]\(&quot;C&quot;&quot;$&quot;#,##0.00\)"/>
    <numFmt numFmtId="209" formatCode="0_%_);\(0\)_%;0_%_);@_%_)"/>
    <numFmt numFmtId="210" formatCode="&quot;EBITDA&quot;0.0"/>
    <numFmt numFmtId="211" formatCode="0.0\x"/>
    <numFmt numFmtId="212" formatCode="&quot;$&quot;#,##0.00"/>
    <numFmt numFmtId="213" formatCode="0.00%_);\(0.00%\)"/>
    <numFmt numFmtId="214" formatCode="#,##0.00&quot; $&quot;;\-#,##0.00&quot; $&quot;"/>
    <numFmt numFmtId="215" formatCode="&quot;$&quot;#,##0.0;\(&quot;$&quot;#,##0.0\)"/>
    <numFmt numFmtId="216" formatCode="&quot;L&quot;&quot;$&quot;#,##0_);[Red]\(&quot;L&quot;&quot;$&quot;#,##0\)"/>
    <numFmt numFmtId="217" formatCode="&quot;$&quot;#,\);\(&quot;$&quot;#,\)"/>
    <numFmt numFmtId="218" formatCode="&quot;$&quot;#,\);\(&quot;$&quot;#,##0\)"/>
    <numFmt numFmtId="219" formatCode="&quot;$&quot;#,;\(&quot;$&quot;#,\)"/>
    <numFmt numFmtId="220" formatCode="mm/dd/yy"/>
    <numFmt numFmtId="221" formatCode="_ &quot;SFr.&quot;* #,##0.00_ ;_ &quot;SFr.&quot;* \-#,##0.00_ ;_ &quot;SFr.&quot;* &quot;-&quot;??_ ;_ @_ "/>
    <numFmt numFmtId="222" formatCode="0.00_)"/>
    <numFmt numFmtId="223" formatCode="mm/dd/yy_)"/>
    <numFmt numFmtId="224" formatCode="#,##0.00;[Red]\(#,##0.00\)"/>
    <numFmt numFmtId="225" formatCode="0.00\ \x_);\(0.00\ \x\)"/>
    <numFmt numFmtId="226" formatCode="mm/dd/yy\ \ \ h:mm\ AM/PM"/>
    <numFmt numFmtId="227" formatCode="#,##0.000_);[Red]\(#,##0.000\)"/>
    <numFmt numFmtId="228" formatCode="&quot;PTE&quot;&quot;$&quot;#,##0_);[Red]\(&quot;PTE&quot;&quot;$&quot;#,##0\)"/>
    <numFmt numFmtId="229" formatCode="0.0000%"/>
    <numFmt numFmtId="230" formatCode="m/d"/>
    <numFmt numFmtId="231" formatCode="0.0000"/>
    <numFmt numFmtId="232" formatCode="_-* #,##0_-;\-* #,##0_-;_-* &quot;-&quot;_-;_-@_-"/>
    <numFmt numFmtId="233" formatCode="0.00%_);[Red]\(0.00%\)"/>
    <numFmt numFmtId="234" formatCode="&quot;S&quot;&quot;$&quot;#,##0.00_);[Red]\(&quot;S&quot;&quot;$&quot;#,##0.00\)"/>
    <numFmt numFmtId="235" formatCode="#,##0.0_%_);\(#,##0.0\)_%;#,##0.0_%_);@_%_)"/>
    <numFmt numFmtId="236" formatCode="General_)"/>
    <numFmt numFmtId="237" formatCode="_-&quot;£&quot;* #,##0.0_-;\-&quot;£&quot;* #,##0.0_-;_-&quot;£&quot;* &quot;-&quot;??_-;_-@_-"/>
    <numFmt numFmtId="238" formatCode="0\ \ ;\(0\)\ \ \ "/>
  </numFmts>
  <fonts count="19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i val="1"/>
      <color rgb="FF0000FF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i val="1"/>
      <color rgb="FF000000"/>
      <sz val="11"/>
      <scheme val="minor"/>
    </font>
    <font>
      <name val="Frutiger 45 Light"/>
      <family val="2"/>
      <sz val="10.5"/>
    </font>
    <font>
      <name val="Calibri"/>
      <family val="2"/>
      <b val="1"/>
      <color rgb="FF0000FF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8000"/>
      <sz val="11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Helvetica"/>
      <family val="2"/>
      <sz val="10"/>
    </font>
    <font>
      <name val="Arial Narrow"/>
      <family val="2"/>
      <sz val="10"/>
    </font>
    <font>
      <name val="Tms Rmn"/>
      <sz val="8"/>
    </font>
    <font>
      <name val="Times New Roman"/>
      <family val="1"/>
      <sz val="8"/>
    </font>
    <font>
      <name val="MS Serif"/>
      <family val="1"/>
      <sz val="8"/>
    </font>
    <font>
      <name val="Arial"/>
      <family val="2"/>
      <sz val="8"/>
    </font>
    <font>
      <name val="Times New Roman"/>
      <family val="1"/>
      <sz val="10"/>
    </font>
    <font>
      <name val="Arial"/>
      <family val="2"/>
      <b val="1"/>
      <color indexed="18"/>
      <sz val="22"/>
    </font>
    <font>
      <name val="Arial"/>
      <family val="2"/>
      <b val="1"/>
      <color indexed="18"/>
      <sz val="14"/>
    </font>
    <font>
      <name val="Arial"/>
      <family val="2"/>
      <color indexed="8"/>
      <sz val="9"/>
    </font>
    <font>
      <name val="Arial"/>
      <family val="2"/>
      <b val="1"/>
      <color indexed="18"/>
      <sz val="10"/>
    </font>
    <font>
      <name val="Arial"/>
      <family val="2"/>
      <b val="1"/>
      <color indexed="18"/>
      <sz val="10"/>
      <u val="singleAccounting"/>
    </font>
    <font>
      <name val="Times New Roman"/>
      <family val="1"/>
      <sz val="12"/>
    </font>
    <font>
      <name val="MS Sans Serif"/>
      <family val="2"/>
      <sz val="10"/>
    </font>
    <font>
      <name val="Arial"/>
      <family val="2"/>
      <sz val="10"/>
      <u val="single"/>
    </font>
    <font>
      <name val="Tms Rmn"/>
      <family val="1"/>
      <sz val="8"/>
    </font>
    <font>
      <name val="Book Antiqua"/>
      <family val="1"/>
      <color indexed="12"/>
      <sz val="12"/>
    </font>
    <font>
      <name val="Expert Sans Regular"/>
      <family val="2"/>
      <color theme="1"/>
      <sz val="8"/>
    </font>
    <font>
      <name val="Expert Sans Regular"/>
      <family val="2"/>
      <color theme="0"/>
      <sz val="8"/>
    </font>
    <font>
      <name val="Arial MT"/>
      <sz val="12"/>
    </font>
    <font>
      <name val="Times"/>
      <family val="1"/>
      <sz val="8"/>
    </font>
    <font>
      <name val="Arial"/>
      <family val="2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Helv"/>
      <color indexed="12"/>
      <sz val="8"/>
    </font>
    <font>
      <name val="Geneva"/>
      <family val="2"/>
      <sz val="10"/>
    </font>
    <font>
      <name val="Expert Sans Regular"/>
      <family val="2"/>
      <color rgb="FF9C0006"/>
      <sz val="8"/>
    </font>
    <font>
      <name val="Palatino"/>
      <family val="1"/>
      <sz val="8"/>
    </font>
    <font>
      <name val="Arial"/>
      <family val="2"/>
      <color indexed="8"/>
      <sz val="10"/>
    </font>
    <font>
      <name val="Tms Rmn"/>
      <family val="1"/>
      <color indexed="8"/>
      <sz val="10"/>
    </font>
    <font>
      <name val="Arial"/>
      <family val="2"/>
      <strike val="1"/>
      <sz val="8"/>
    </font>
    <font>
      <name val="Arial"/>
      <family val="2"/>
      <color indexed="8"/>
      <sz val="8"/>
    </font>
    <font>
      <name val="Tms Rmn"/>
      <color indexed="12"/>
      <sz val="8"/>
    </font>
    <font>
      <name val="Times New Roman"/>
      <family val="1"/>
      <color indexed="12"/>
      <sz val="10"/>
    </font>
    <font>
      <name val="Arial"/>
      <family val="2"/>
      <color indexed="12"/>
      <sz val="10"/>
    </font>
    <font>
      <name val="Helv"/>
      <sz val="8"/>
    </font>
    <font>
      <name val="Tms Rmn"/>
      <sz val="12"/>
    </font>
    <font>
      <name val="Times New Roman"/>
      <family val="1"/>
      <b val="1"/>
      <sz val="8"/>
    </font>
    <font>
      <name val="Times New Roman"/>
      <family val="1"/>
      <b val="1"/>
      <sz val="12"/>
    </font>
    <font>
      <name val="Arial"/>
      <family val="2"/>
      <b val="1"/>
      <color indexed="8"/>
      <sz val="8"/>
    </font>
    <font>
      <name val="MS Sans Serif"/>
      <family val="2"/>
      <b val="1"/>
      <sz val="10"/>
    </font>
    <font>
      <name val="Arial"/>
      <family val="2"/>
      <sz val="10"/>
      <u val="singleAccounting"/>
    </font>
    <font>
      <name val="Expert Sans Regular"/>
      <family val="2"/>
      <b val="1"/>
      <color rgb="FFFA7D00"/>
      <sz val="8"/>
    </font>
    <font>
      <name val="Times New Roman"/>
      <family val="1"/>
      <b val="1"/>
      <i val="1"/>
      <sz val="10"/>
    </font>
    <font>
      <name val="MS Serif"/>
      <family val="1"/>
      <b val="1"/>
      <sz val="10"/>
    </font>
    <font>
      <name val="Arial"/>
      <family val="2"/>
      <b val="1"/>
      <sz val="11"/>
    </font>
    <font>
      <name val="Times New Roman"/>
      <family val="1"/>
      <color indexed="18"/>
      <sz val="10"/>
    </font>
    <font>
      <name val="Arial Narrow"/>
      <family val="2"/>
      <sz val="6"/>
    </font>
    <font>
      <name val="Expert Sans Regular"/>
      <family val="2"/>
      <b val="1"/>
      <color theme="0"/>
      <sz val="8"/>
    </font>
    <font>
      <name val="Helvetica-Narrow"/>
      <family val="2"/>
      <b val="1"/>
      <sz val="7"/>
    </font>
    <font>
      <name val="GillSans"/>
      <family val="2"/>
      <b val="1"/>
      <sz val="7"/>
    </font>
    <font>
      <name val="Times New Roman"/>
      <family val="1"/>
      <color indexed="17"/>
      <sz val="8"/>
    </font>
    <font>
      <name val="Arial"/>
      <family val="2"/>
      <b val="1"/>
      <sz val="8"/>
      <u val="single"/>
    </font>
    <font>
      <name val="Tms Rmn"/>
      <family val="1"/>
      <sz val="11"/>
    </font>
    <font>
      <name val="BERNHARD"/>
      <sz val="10"/>
    </font>
    <font>
      <name val="Helv"/>
      <sz val="10"/>
    </font>
    <font>
      <name val="Geneva"/>
      <family val="2"/>
      <color indexed="12"/>
      <sz val="10"/>
    </font>
    <font>
      <name val="Arial"/>
      <family val="2"/>
      <b val="1"/>
      <sz val="14"/>
    </font>
    <font>
      <name val="Times New Roman"/>
      <family val="1"/>
      <b val="1"/>
      <sz val="11"/>
    </font>
    <font>
      <name val="MS Serif"/>
      <family val="1"/>
      <sz val="10"/>
    </font>
    <font>
      <name val="Palatino"/>
      <family val="1"/>
      <sz val="14"/>
    </font>
    <font>
      <name val="Palatino"/>
      <family val="1"/>
      <sz val="16"/>
    </font>
    <font>
      <name val="Helvetica-Black"/>
      <sz val="32"/>
    </font>
    <font>
      <name val="Book Antiqua"/>
      <family val="1"/>
      <color indexed="12"/>
      <sz val="11"/>
    </font>
    <font>
      <name val="Palatino"/>
      <family val="1"/>
      <color indexed="16"/>
      <sz val="8"/>
    </font>
    <font>
      <name val="Times New Roman"/>
      <family val="1"/>
      <color indexed="12"/>
      <sz val="8"/>
    </font>
    <font>
      <name val="Univers 47 CondensedLight"/>
      <family val="2"/>
      <sz val="8"/>
    </font>
    <font>
      <name val="Arial"/>
      <family val="2"/>
      <sz val="9"/>
    </font>
    <font>
      <name val="Arial"/>
      <family val="2"/>
      <color indexed="12"/>
      <sz val="8"/>
    </font>
    <font>
      <name val="Times New Roman"/>
      <family val="1"/>
      <color indexed="12"/>
      <sz val="8"/>
      <u val="single"/>
    </font>
    <font>
      <name val="Times New Roman"/>
      <family val="1"/>
      <sz val="7"/>
    </font>
    <font>
      <name val="Courier"/>
      <family val="3"/>
      <color indexed="8"/>
      <sz val="1"/>
    </font>
    <font>
      <name val="Arial"/>
      <family val="2"/>
      <sz val="10"/>
      <u val="doubleAccounting"/>
    </font>
    <font>
      <name val="Helvetica-Narrow"/>
      <family val="2"/>
      <b val="1"/>
      <i val="1"/>
      <color indexed="12"/>
      <sz val="8"/>
    </font>
    <font>
      <name val="Courier"/>
      <family val="3"/>
      <b val="1"/>
      <color indexed="8"/>
      <sz val="1"/>
    </font>
    <font>
      <name val="MS Serif"/>
      <family val="1"/>
      <color indexed="16"/>
      <sz val="10"/>
    </font>
    <font>
      <name val="Arial Narrow"/>
      <family val="2"/>
      <b val="1"/>
      <sz val="12"/>
      <u val="single"/>
    </font>
    <font>
      <name val="Expert Sans Regular"/>
      <family val="2"/>
      <i val="1"/>
      <color rgb="FF7F7F7F"/>
      <sz val="8"/>
    </font>
    <font>
      <name val="Arial"/>
      <family val="2"/>
      <b val="1"/>
      <color indexed="12"/>
      <sz val="7"/>
    </font>
    <font>
      <name val="Helvetica-Black"/>
      <color indexed="23"/>
      <sz val="6"/>
    </font>
    <font>
      <name val="Helvetica-Black"/>
      <color indexed="23"/>
      <sz val="9.5"/>
    </font>
    <font>
      <name val="Palatino"/>
      <family val="1"/>
      <sz val="7"/>
    </font>
    <font>
      <name val="Trebuchet MS"/>
      <family val="2"/>
      <color indexed="8"/>
      <sz val="8"/>
    </font>
    <font>
      <name val="Expert Sans Regular"/>
      <family val="2"/>
      <color rgb="FF006100"/>
      <sz val="8"/>
    </font>
    <font>
      <name val="Tms Rmn"/>
      <b val="1"/>
      <color indexed="9"/>
      <sz val="12"/>
    </font>
    <font>
      <name val="GillSans"/>
      <family val="2"/>
      <b val="1"/>
      <color indexed="9"/>
      <sz val="10"/>
    </font>
    <font>
      <name val="GillSans"/>
      <family val="2"/>
      <b val="1"/>
      <color indexed="8"/>
      <sz val="10"/>
    </font>
    <font>
      <name val="Palatino"/>
      <family val="1"/>
      <color indexed="16"/>
      <sz val="6"/>
    </font>
    <font>
      <name val="Palatino"/>
      <family val="1"/>
      <sz val="6"/>
    </font>
    <font>
      <name val="Arial"/>
      <family val="2"/>
      <b val="1"/>
      <sz val="12"/>
    </font>
    <font>
      <name val="Helv"/>
      <b val="1"/>
      <i val="1"/>
      <sz val="8"/>
    </font>
    <font>
      <name val="Expert Sans Regular"/>
      <family val="2"/>
      <b val="1"/>
      <color theme="3"/>
      <sz val="15"/>
    </font>
    <font>
      <name val="Helvetica-Black"/>
      <sz val="10"/>
    </font>
    <font>
      <name val="Helvetica-Black"/>
      <sz val="28"/>
    </font>
    <font>
      <name val="Expert Sans Regular"/>
      <family val="2"/>
      <b val="1"/>
      <color theme="3"/>
      <sz val="13"/>
    </font>
    <font>
      <name val="Palatino"/>
      <family val="1"/>
      <sz val="10"/>
    </font>
    <font>
      <name val="Palatino"/>
      <family val="1"/>
      <sz val="18"/>
    </font>
    <font>
      <name val="Expert Sans Regular"/>
      <family val="2"/>
      <b val="1"/>
      <color theme="3"/>
      <sz val="11"/>
    </font>
    <font>
      <name val="Palatino"/>
      <family val="1"/>
      <i val="1"/>
      <sz val="14"/>
    </font>
    <font>
      <name val="MS Sans Serif"/>
      <family val="2"/>
      <b val="1"/>
      <sz val="8"/>
    </font>
    <font>
      <name val="Arial"/>
      <family val="2"/>
      <color indexed="12"/>
      <sz val="7.5"/>
      <u val="single"/>
    </font>
    <font>
      <name val="Arial Narrow"/>
      <family val="2"/>
      <color theme="10"/>
      <sz val="10"/>
      <u val="single"/>
    </font>
    <font>
      <name val="Arial"/>
      <family val="2"/>
      <color theme="10"/>
      <sz val="8"/>
      <u val="single"/>
    </font>
    <font>
      <name val="Expert Sans Regular"/>
      <family val="2"/>
      <color rgb="FF3F3F76"/>
      <sz val="8"/>
    </font>
    <font>
      <name val="Palatino"/>
      <family val="1"/>
      <color indexed="12"/>
      <sz val="8"/>
    </font>
    <font>
      <name val="Helv"/>
      <color indexed="10"/>
      <sz val="8"/>
    </font>
    <font>
      <name val="GillSans Light"/>
      <family val="2"/>
      <sz val="10"/>
    </font>
    <font>
      <name val="Times New Roman"/>
      <family val="1"/>
      <i val="1"/>
      <sz val="16"/>
    </font>
    <font>
      <name val="MS Sans Serif"/>
      <family val="2"/>
      <color indexed="16"/>
      <sz val="10"/>
    </font>
    <font>
      <name val="Expert Sans Regular"/>
      <family val="2"/>
      <color rgb="FFFA7D00"/>
      <sz val="8"/>
    </font>
    <font>
      <name val="Helv"/>
      <color indexed="8"/>
      <sz val="8"/>
    </font>
    <font>
      <name val="Times New Roman"/>
      <family val="1"/>
      <color indexed="20"/>
      <sz val="10"/>
    </font>
    <font>
      <name val="Expert Sans Regular"/>
      <family val="2"/>
      <color rgb="FF9C6500"/>
      <sz val="8"/>
    </font>
    <font>
      <name val="Small Fonts"/>
      <family val="2"/>
      <sz val="7"/>
    </font>
    <font>
      <name val="Tms Rmn"/>
      <sz val="10"/>
    </font>
    <font>
      <name val="Helv"/>
      <b val="1"/>
      <i val="1"/>
      <sz val="16"/>
    </font>
    <font>
      <name val="MS Sans Serif"/>
      <family val="2"/>
      <color indexed="8"/>
      <sz val="10"/>
    </font>
    <font>
      <name val="Helvetica"/>
      <family val="2"/>
      <sz val="8"/>
    </font>
    <font>
      <name val="Arial"/>
      <family val="2"/>
      <color indexed="12"/>
      <sz val="7"/>
    </font>
    <font>
      <name val="Helv"/>
      <i val="1"/>
      <sz val="10"/>
    </font>
    <font>
      <name val="Arial"/>
      <family val="2"/>
      <i val="1"/>
      <color indexed="12"/>
      <sz val="8"/>
    </font>
    <font>
      <name val="MS Sans Serif"/>
      <family val="2"/>
      <b val="1"/>
      <sz val="13.5"/>
    </font>
    <font>
      <name val="Expert Sans Regular"/>
      <family val="2"/>
      <b val="1"/>
      <color rgb="FF3F3F3F"/>
      <sz val="8"/>
    </font>
    <font>
      <name val="Times New Roman"/>
      <family val="1"/>
      <sz val="10"/>
      <u val="single"/>
    </font>
    <font>
      <name val="Times New Roman"/>
      <family val="1"/>
      <b val="1"/>
      <sz val="26"/>
    </font>
    <font>
      <name val="Helvetica-Black"/>
      <color indexed="16"/>
      <sz val="10"/>
    </font>
    <font>
      <name val="Times New Roman"/>
      <family val="1"/>
      <b val="1"/>
      <sz val="10"/>
    </font>
    <font>
      <name val="Times New Roman"/>
      <family val="1"/>
      <sz val="9"/>
    </font>
    <font>
      <name val="Times New Roman"/>
      <family val="1"/>
      <b val="1"/>
      <sz val="9"/>
    </font>
    <font>
      <name val="Times New Roman"/>
      <family val="1"/>
      <sz val="9"/>
      <u val="singleAccounting"/>
    </font>
    <font>
      <name val="MS Sans Serif"/>
      <family val="2"/>
      <color indexed="10"/>
      <sz val="10"/>
    </font>
    <font>
      <name val="Wingdings"/>
      <charset val="2"/>
      <sz val="8"/>
    </font>
    <font>
      <name val="Times New Roman"/>
      <family val="1"/>
      <b val="1"/>
      <sz val="8.5"/>
    </font>
    <font>
      <name val="Times New Roman"/>
      <family val="1"/>
      <sz val="9.5"/>
      <u val="single"/>
    </font>
    <font>
      <name val="Times New Roman"/>
      <family val="1"/>
      <b val="1"/>
      <color indexed="8"/>
      <sz val="10"/>
    </font>
    <font>
      <name val="Futura UBS Bk"/>
      <family val="2"/>
      <sz val="10"/>
    </font>
    <font>
      <name val="MS Sans Serif"/>
      <family val="2"/>
      <sz val="8"/>
    </font>
    <font>
      <name val="Arial"/>
      <family val="2"/>
      <color indexed="9"/>
      <sz val="10"/>
    </font>
    <font>
      <name val="Arial"/>
      <family val="2"/>
      <b val="1"/>
      <color indexed="9"/>
      <sz val="14"/>
    </font>
    <font>
      <name val="Arial"/>
      <family val="2"/>
      <b val="1"/>
      <color indexed="9"/>
      <sz val="12"/>
    </font>
    <font>
      <name val="Arial"/>
      <family val="2"/>
      <b val="1"/>
      <color indexed="9"/>
      <sz val="10"/>
    </font>
    <font>
      <name val="Arial"/>
      <family val="2"/>
      <b val="1"/>
      <i val="1"/>
      <color indexed="9"/>
      <sz val="8"/>
    </font>
    <font>
      <name val="GillSans"/>
      <family val="2"/>
      <b val="1"/>
      <sz val="10"/>
    </font>
    <font>
      <name val="Times New Roman"/>
      <family val="1"/>
      <color indexed="18"/>
      <sz val="8"/>
    </font>
    <font>
      <name val="Helv"/>
      <b val="1"/>
      <color indexed="8"/>
      <sz val="8"/>
    </font>
    <font>
      <name val="Arial"/>
      <family val="2"/>
      <b val="1"/>
      <sz val="9"/>
    </font>
    <font>
      <name val="Palatino"/>
      <family val="1"/>
      <b val="1"/>
      <sz val="9"/>
    </font>
    <font>
      <name val="Helvetica-Black"/>
      <color indexed="21"/>
      <sz val="9"/>
    </font>
    <font>
      <name val="Palatino"/>
      <family val="1"/>
      <b val="1"/>
      <sz val="10"/>
    </font>
    <font>
      <name val="Helvetica-Black"/>
      <sz val="9"/>
    </font>
    <font>
      <name val="Helvetica-Narrow"/>
      <family val="2"/>
      <sz val="8"/>
    </font>
    <font>
      <name val="Palatino"/>
      <family val="1"/>
      <color indexed="8"/>
      <sz val="12"/>
    </font>
    <font>
      <name val="Palatino"/>
      <family val="1"/>
      <sz val="12"/>
    </font>
    <font>
      <name val="Helvetica-Black"/>
      <sz val="11"/>
    </font>
    <font>
      <name val="Helvetica-Black"/>
      <color indexed="8"/>
      <sz val="11"/>
    </font>
    <font>
      <name val="Helvetica 65"/>
      <family val="2"/>
      <b val="1"/>
      <sz val="10"/>
    </font>
    <font>
      <name val="Helvetica 65"/>
      <family val="2"/>
      <b val="1"/>
      <sz val="9"/>
    </font>
    <font>
      <name val="GillSans"/>
      <family val="2"/>
      <b val="1"/>
      <color indexed="16"/>
      <sz val="10"/>
    </font>
    <font>
      <name val="Times New Roman"/>
      <family val="1"/>
      <i val="1"/>
      <sz val="10"/>
    </font>
    <font>
      <name val="Expert Sans Regular"/>
      <family val="2"/>
      <b val="1"/>
      <color theme="1"/>
      <sz val="8"/>
    </font>
    <font>
      <name val="Palatino"/>
      <family val="1"/>
      <b val="1"/>
      <sz val="8"/>
    </font>
    <font>
      <name val="Times New Roman"/>
      <family val="1"/>
      <sz val="8"/>
      <u val="single"/>
    </font>
    <font>
      <name val="Arial"/>
      <family val="2"/>
      <color indexed="8"/>
      <sz val="8"/>
      <u val="single"/>
    </font>
    <font>
      <name val="Expert Sans Regular"/>
      <family val="2"/>
      <color rgb="FFFF0000"/>
      <sz val="8"/>
    </font>
    <font>
      <name val="Arial"/>
      <family val="2"/>
      <color indexed="9"/>
      <sz val="8"/>
    </font>
    <font>
      <name val="Calibri"/>
      <family val="2"/>
      <b val="1"/>
      <color rgb="FF008000"/>
      <sz val="11"/>
      <scheme val="minor"/>
    </font>
    <font>
      <name val="Calibri"/>
      <family val="2"/>
      <b val="1"/>
      <i val="1"/>
      <color rgb="FF000000"/>
      <sz val="11"/>
      <scheme val="minor"/>
    </font>
    <font>
      <name val="Calibri"/>
      <family val="2"/>
      <color theme="0" tint="-0.0499893185216834"/>
      <sz val="11"/>
      <scheme val="minor"/>
    </font>
    <font>
      <color rgb="000000FF"/>
    </font>
  </fonts>
  <fills count="6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C9DAF8"/>
        <bgColor rgb="FF000000"/>
      </patternFill>
    </fill>
    <fill>
      <patternFill patternType="solid">
        <fgColor rgb="FF1C458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lightGray">
        <fgColor indexed="15"/>
      </patternFill>
    </fill>
    <fill>
      <patternFill patternType="gray06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mediumGray"/>
    </fill>
    <fill>
      <patternFill patternType="solid">
        <fgColor indexed="6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4"/>
        <bgColor indexed="13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63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dotted">
        <color indexed="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14">
    <xf numFmtId="0" fontId="16" fillId="0" borderId="0"/>
    <xf numFmtId="173" fontId="11" fillId="0" borderId="0"/>
    <xf numFmtId="9" fontId="16" fillId="0" borderId="0"/>
    <xf numFmtId="0" fontId="23" fillId="0" borderId="0" applyAlignment="1">
      <alignment vertical="center"/>
    </xf>
    <xf numFmtId="9" fontId="23" fillId="0" borderId="0"/>
    <xf numFmtId="174" fontId="25" fillId="0" borderId="0" applyAlignment="1">
      <alignment horizontal="right"/>
    </xf>
    <xf numFmtId="0" fontId="26" fillId="0" borderId="0" applyAlignment="1">
      <alignment horizontal="right"/>
    </xf>
    <xf numFmtId="175" fontId="8" fillId="0" borderId="0" applyAlignment="1">
      <alignment horizontal="right"/>
    </xf>
    <xf numFmtId="176" fontId="25" fillId="0" borderId="0" applyAlignment="1">
      <alignment horizontal="right"/>
    </xf>
    <xf numFmtId="0" fontId="8" fillId="0" borderId="0"/>
    <xf numFmtId="9" fontId="27" fillId="37" borderId="19" applyAlignment="1">
      <alignment horizontal="right" vertical="center"/>
    </xf>
    <xf numFmtId="0" fontId="26" fillId="0" borderId="0"/>
    <xf numFmtId="0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28" fillId="0" borderId="0"/>
    <xf numFmtId="0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179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0" fontId="29" fillId="0" borderId="0"/>
    <xf numFmtId="0" fontId="29" fillId="0" borderId="0"/>
    <xf numFmtId="179" fontId="29" fillId="0" borderId="0"/>
    <xf numFmtId="0" fontId="29" fillId="0" borderId="0"/>
    <xf numFmtId="0" fontId="29" fillId="0" borderId="0"/>
    <xf numFmtId="179" fontId="29" fillId="0" borderId="0"/>
    <xf numFmtId="179" fontId="29" fillId="0" borderId="0"/>
    <xf numFmtId="179" fontId="29" fillId="0" borderId="0"/>
    <xf numFmtId="0" fontId="29" fillId="0" borderId="0"/>
    <xf numFmtId="179" fontId="29" fillId="0" borderId="0"/>
    <xf numFmtId="0" fontId="29" fillId="0" borderId="0"/>
    <xf numFmtId="0" fontId="29" fillId="0" borderId="0"/>
    <xf numFmtId="179" fontId="29" fillId="0" borderId="0"/>
    <xf numFmtId="179" fontId="29" fillId="0" borderId="0"/>
    <xf numFmtId="179" fontId="29" fillId="0" borderId="0"/>
    <xf numFmtId="0" fontId="29" fillId="0" borderId="0"/>
    <xf numFmtId="179" fontId="29" fillId="0" borderId="0"/>
    <xf numFmtId="0" fontId="29" fillId="0" borderId="0"/>
    <xf numFmtId="0" fontId="29" fillId="0" borderId="0"/>
    <xf numFmtId="179" fontId="29" fillId="0" borderId="0"/>
    <xf numFmtId="179" fontId="29" fillId="0" borderId="0"/>
    <xf numFmtId="179" fontId="29" fillId="0" borderId="0"/>
    <xf numFmtId="0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0" fontId="8" fillId="0" borderId="0"/>
    <xf numFmtId="182" fontId="8" fillId="0" borderId="0"/>
    <xf numFmtId="0" fontId="8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0" fontId="8" fillId="0" borderId="0"/>
    <xf numFmtId="182" fontId="8" fillId="0" borderId="0"/>
    <xf numFmtId="0" fontId="8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0" fontId="8" fillId="0" borderId="0"/>
    <xf numFmtId="182" fontId="8" fillId="0" borderId="0"/>
    <xf numFmtId="0" fontId="8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0" fontId="8" fillId="0" borderId="0"/>
    <xf numFmtId="0" fontId="8" fillId="0" borderId="0"/>
    <xf numFmtId="182" fontId="8" fillId="0" borderId="0"/>
    <xf numFmtId="0" fontId="8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0" fontId="8" fillId="0" borderId="0"/>
    <xf numFmtId="182" fontId="8" fillId="0" borderId="0"/>
    <xf numFmtId="0" fontId="8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0" fontId="8" fillId="0" borderId="0"/>
    <xf numFmtId="182" fontId="8" fillId="0" borderId="0"/>
    <xf numFmtId="0" fontId="8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0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29" fillId="0" borderId="0"/>
    <xf numFmtId="0" fontId="29" fillId="0" borderId="0"/>
    <xf numFmtId="181" fontId="29" fillId="0" borderId="0"/>
    <xf numFmtId="0" fontId="29" fillId="0" borderId="0"/>
    <xf numFmtId="0" fontId="29" fillId="0" borderId="0"/>
    <xf numFmtId="181" fontId="29" fillId="0" borderId="0"/>
    <xf numFmtId="181" fontId="29" fillId="0" borderId="0"/>
    <xf numFmtId="181" fontId="29" fillId="0" borderId="0"/>
    <xf numFmtId="0" fontId="29" fillId="0" borderId="0"/>
    <xf numFmtId="181" fontId="29" fillId="0" borderId="0"/>
    <xf numFmtId="0" fontId="29" fillId="0" borderId="0"/>
    <xf numFmtId="0" fontId="29" fillId="0" borderId="0"/>
    <xf numFmtId="181" fontId="29" fillId="0" borderId="0"/>
    <xf numFmtId="181" fontId="29" fillId="0" borderId="0"/>
    <xf numFmtId="181" fontId="29" fillId="0" borderId="0"/>
    <xf numFmtId="0" fontId="29" fillId="0" borderId="0"/>
    <xf numFmtId="181" fontId="29" fillId="0" borderId="0"/>
    <xf numFmtId="0" fontId="29" fillId="0" borderId="0"/>
    <xf numFmtId="0" fontId="29" fillId="0" borderId="0"/>
    <xf numFmtId="181" fontId="29" fillId="0" borderId="0"/>
    <xf numFmtId="181" fontId="29" fillId="0" borderId="0"/>
    <xf numFmtId="181" fontId="29" fillId="0" borderId="0"/>
    <xf numFmtId="0" fontId="8" fillId="0" borderId="0"/>
    <xf numFmtId="183" fontId="8" fillId="0" borderId="0"/>
    <xf numFmtId="183" fontId="8" fillId="0" borderId="0"/>
    <xf numFmtId="183" fontId="8" fillId="0" borderId="0"/>
    <xf numFmtId="0" fontId="8" fillId="0" borderId="0"/>
    <xf numFmtId="183" fontId="8" fillId="0" borderId="0"/>
    <xf numFmtId="183" fontId="8" fillId="0" borderId="0"/>
    <xf numFmtId="183" fontId="8" fillId="0" borderId="0"/>
    <xf numFmtId="39" fontId="8" fillId="0" borderId="0"/>
    <xf numFmtId="39" fontId="8" fillId="0" borderId="0"/>
    <xf numFmtId="0" fontId="8" fillId="0" borderId="0"/>
    <xf numFmtId="183" fontId="8" fillId="0" borderId="0"/>
    <xf numFmtId="183" fontId="8" fillId="0" borderId="0"/>
    <xf numFmtId="183" fontId="8" fillId="0" borderId="0"/>
    <xf numFmtId="0" fontId="29" fillId="0" borderId="0"/>
    <xf numFmtId="183" fontId="29" fillId="0" borderId="0"/>
    <xf numFmtId="183" fontId="29" fillId="0" borderId="0"/>
    <xf numFmtId="183" fontId="29" fillId="0" borderId="0"/>
    <xf numFmtId="0" fontId="28" fillId="0" borderId="0"/>
    <xf numFmtId="0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30" fillId="0" borderId="0"/>
    <xf numFmtId="0" fontId="8" fillId="38" borderId="0"/>
    <xf numFmtId="0" fontId="8" fillId="0" borderId="0"/>
    <xf numFmtId="0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0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0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0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0" fontId="8" fillId="0" borderId="0"/>
    <xf numFmtId="186" fontId="8" fillId="0" borderId="0"/>
    <xf numFmtId="186" fontId="8" fillId="0" borderId="0"/>
    <xf numFmtId="186" fontId="8" fillId="0" borderId="0"/>
    <xf numFmtId="0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0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188" fontId="8" fillId="0" borderId="0"/>
    <xf numFmtId="0" fontId="8" fillId="0" borderId="0"/>
    <xf numFmtId="188" fontId="8" fillId="0" borderId="0"/>
    <xf numFmtId="188" fontId="8" fillId="0" borderId="0"/>
    <xf numFmtId="188" fontId="8" fillId="0" borderId="0"/>
    <xf numFmtId="0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187" fontId="8" fillId="0" borderId="0" applyAlignment="1">
      <alignment horizontal="right"/>
    </xf>
    <xf numFmtId="0" fontId="29" fillId="0" borderId="0"/>
    <xf numFmtId="0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0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0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189" fontId="29" fillId="0" borderId="0"/>
    <xf numFmtId="0" fontId="29" fillId="0" borderId="0"/>
    <xf numFmtId="189" fontId="29" fillId="0" borderId="0"/>
    <xf numFmtId="189" fontId="29" fillId="0" borderId="0"/>
    <xf numFmtId="189" fontId="29" fillId="0" borderId="0"/>
    <xf numFmtId="0" fontId="8" fillId="0" borderId="0"/>
    <xf numFmtId="0" fontId="8" fillId="0" borderId="0"/>
    <xf numFmtId="19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19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19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0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0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0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191" fontId="8" fillId="0" borderId="0"/>
    <xf numFmtId="0" fontId="8" fillId="0" borderId="0"/>
    <xf numFmtId="191" fontId="8" fillId="0" borderId="0"/>
    <xf numFmtId="191" fontId="8" fillId="0" borderId="0"/>
    <xf numFmtId="191" fontId="8" fillId="0" borderId="0"/>
    <xf numFmtId="0" fontId="29" fillId="0" borderId="0"/>
    <xf numFmtId="0" fontId="29" fillId="0" borderId="0"/>
    <xf numFmtId="178" fontId="29" fillId="0" borderId="0"/>
    <xf numFmtId="0" fontId="29" fillId="0" borderId="0"/>
    <xf numFmtId="0" fontId="29" fillId="0" borderId="0"/>
    <xf numFmtId="178" fontId="29" fillId="0" borderId="0"/>
    <xf numFmtId="178" fontId="29" fillId="0" borderId="0"/>
    <xf numFmtId="178" fontId="29" fillId="0" borderId="0"/>
    <xf numFmtId="0" fontId="29" fillId="0" borderId="0"/>
    <xf numFmtId="178" fontId="29" fillId="0" borderId="0"/>
    <xf numFmtId="0" fontId="29" fillId="0" borderId="0"/>
    <xf numFmtId="0" fontId="29" fillId="0" borderId="0"/>
    <xf numFmtId="178" fontId="29" fillId="0" borderId="0"/>
    <xf numFmtId="178" fontId="29" fillId="0" borderId="0"/>
    <xf numFmtId="178" fontId="29" fillId="0" borderId="0"/>
    <xf numFmtId="0" fontId="29" fillId="0" borderId="0"/>
    <xf numFmtId="178" fontId="29" fillId="0" borderId="0"/>
    <xf numFmtId="0" fontId="29" fillId="0" borderId="0"/>
    <xf numFmtId="0" fontId="29" fillId="0" borderId="0"/>
    <xf numFmtId="178" fontId="29" fillId="0" borderId="0"/>
    <xf numFmtId="178" fontId="29" fillId="0" borderId="0"/>
    <xf numFmtId="178" fontId="29" fillId="0" borderId="0"/>
    <xf numFmtId="0" fontId="31" fillId="0" borderId="0" applyAlignment="1">
      <alignment vertical="top"/>
    </xf>
    <xf numFmtId="0" fontId="31" fillId="0" borderId="0" applyAlignment="1">
      <alignment vertical="top"/>
    </xf>
    <xf numFmtId="0" fontId="31" fillId="0" borderId="0" applyAlignment="1">
      <alignment vertical="top"/>
    </xf>
    <xf numFmtId="0" fontId="31" fillId="0" borderId="0" applyAlignment="1">
      <alignment vertical="top"/>
    </xf>
    <xf numFmtId="0" fontId="31" fillId="0" borderId="0" applyAlignment="1">
      <alignment vertical="top"/>
    </xf>
    <xf numFmtId="0" fontId="31" fillId="0" borderId="0" applyAlignment="1">
      <alignment vertical="top"/>
    </xf>
    <xf numFmtId="0" fontId="32" fillId="0" borderId="20"/>
    <xf numFmtId="0" fontId="32" fillId="0" borderId="20"/>
    <xf numFmtId="0" fontId="32" fillId="0" borderId="21"/>
    <xf numFmtId="0" fontId="32" fillId="0" borderId="21"/>
    <xf numFmtId="0" fontId="32" fillId="0" borderId="20"/>
    <xf numFmtId="0" fontId="33" fillId="0" borderId="22" applyAlignment="1">
      <alignment horizontal="center"/>
    </xf>
    <xf numFmtId="0" fontId="33" fillId="0" borderId="0" applyAlignment="1">
      <alignment horizontal="left"/>
    </xf>
    <xf numFmtId="0" fontId="34" fillId="0" borderId="0" applyAlignment="1">
      <alignment horizontal="centerContinuous"/>
    </xf>
    <xf numFmtId="0" fontId="34" fillId="0" borderId="0" applyAlignment="1">
      <alignment horizontal="centerContinuous"/>
    </xf>
    <xf numFmtId="0" fontId="34" fillId="0" borderId="0" applyAlignment="1">
      <alignment horizontal="centerContinuous"/>
    </xf>
    <xf numFmtId="0" fontId="34" fillId="0" borderId="0" applyAlignment="1">
      <alignment horizontal="centerContinuous"/>
    </xf>
    <xf numFmtId="0" fontId="34" fillId="0" borderId="0" applyAlignment="1">
      <alignment horizontal="centerContinuous"/>
    </xf>
    <xf numFmtId="0" fontId="35" fillId="0" borderId="0"/>
    <xf numFmtId="0" fontId="35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9" fontId="8" fillId="0" borderId="0"/>
    <xf numFmtId="0" fontId="36" fillId="0" borderId="0"/>
    <xf numFmtId="192" fontId="36" fillId="0" borderId="0"/>
    <xf numFmtId="193" fontId="36" fillId="0" borderId="0"/>
    <xf numFmtId="2" fontId="36" fillId="0" borderId="0"/>
    <xf numFmtId="10" fontId="36" fillId="0" borderId="0"/>
    <xf numFmtId="194" fontId="36" fillId="0" borderId="0"/>
    <xf numFmtId="194" fontId="36" fillId="0" borderId="0"/>
    <xf numFmtId="194" fontId="36" fillId="0" borderId="0"/>
    <xf numFmtId="0" fontId="36" fillId="0" borderId="0"/>
    <xf numFmtId="1" fontId="37" fillId="0" borderId="0"/>
    <xf numFmtId="1" fontId="38" fillId="0" borderId="0"/>
    <xf numFmtId="0" fontId="36" fillId="0" borderId="0"/>
    <xf numFmtId="194" fontId="36" fillId="0" borderId="0"/>
    <xf numFmtId="194" fontId="36" fillId="0" borderId="0"/>
    <xf numFmtId="0" fontId="36" fillId="0" borderId="0"/>
    <xf numFmtId="194" fontId="36" fillId="0" borderId="0"/>
    <xf numFmtId="38" fontId="29" fillId="0" borderId="23"/>
    <xf numFmtId="37" fontId="39" fillId="0" borderId="1"/>
    <xf numFmtId="193" fontId="26" fillId="0" borderId="0"/>
    <xf numFmtId="0" fontId="40" fillId="13" borderId="0"/>
    <xf numFmtId="0" fontId="40" fillId="17" borderId="0"/>
    <xf numFmtId="0" fontId="40" fillId="21" borderId="0"/>
    <xf numFmtId="0" fontId="40" fillId="25" borderId="0"/>
    <xf numFmtId="0" fontId="40" fillId="29" borderId="0"/>
    <xf numFmtId="0" fontId="40" fillId="33" borderId="0"/>
    <xf numFmtId="0" fontId="26" fillId="0" borderId="0"/>
    <xf numFmtId="40" fontId="26" fillId="0" borderId="0"/>
    <xf numFmtId="0" fontId="40" fillId="14" borderId="0"/>
    <xf numFmtId="0" fontId="40" fillId="18" borderId="0"/>
    <xf numFmtId="0" fontId="40" fillId="22" borderId="0"/>
    <xf numFmtId="0" fontId="40" fillId="26" borderId="0"/>
    <xf numFmtId="0" fontId="40" fillId="30" borderId="0"/>
    <xf numFmtId="0" fontId="40" fillId="34" borderId="0"/>
    <xf numFmtId="0" fontId="41" fillId="15" borderId="0"/>
    <xf numFmtId="0" fontId="41" fillId="19" borderId="0"/>
    <xf numFmtId="0" fontId="41" fillId="23" borderId="0"/>
    <xf numFmtId="0" fontId="41" fillId="27" borderId="0"/>
    <xf numFmtId="0" fontId="41" fillId="31" borderId="0"/>
    <xf numFmtId="0" fontId="41" fillId="35" borderId="0"/>
    <xf numFmtId="37" fontId="42" fillId="0" borderId="0" applyAlignment="1">
      <alignment horizontal="center"/>
    </xf>
    <xf numFmtId="0" fontId="41" fillId="12" borderId="0"/>
    <xf numFmtId="0" fontId="41" fillId="16" borderId="0"/>
    <xf numFmtId="0" fontId="41" fillId="20" borderId="0"/>
    <xf numFmtId="0" fontId="41" fillId="24" borderId="0"/>
    <xf numFmtId="0" fontId="41" fillId="28" borderId="0"/>
    <xf numFmtId="0" fontId="41" fillId="32" borderId="0"/>
    <xf numFmtId="0" fontId="29" fillId="0" borderId="0"/>
    <xf numFmtId="0" fontId="29" fillId="0" borderId="0"/>
    <xf numFmtId="0" fontId="29" fillId="0" borderId="0"/>
    <xf numFmtId="0" fontId="28" fillId="0" borderId="0"/>
    <xf numFmtId="195" fontId="9" fillId="39" borderId="24" applyAlignment="1">
      <alignment horizontal="center" vertical="center"/>
    </xf>
    <xf numFmtId="0" fontId="43" fillId="0" borderId="0"/>
    <xf numFmtId="0" fontId="26" fillId="0" borderId="0" applyAlignment="1" applyProtection="1">
      <alignment horizontal="center" wrapText="1"/>
      <protection locked="0" hidden="0"/>
    </xf>
    <xf numFmtId="0" fontId="8" fillId="0" borderId="0"/>
    <xf numFmtId="0" fontId="44" fillId="0" borderId="0"/>
    <xf numFmtId="0" fontId="8" fillId="0" borderId="25"/>
    <xf numFmtId="0" fontId="45" fillId="0" borderId="25"/>
    <xf numFmtId="0" fontId="46" fillId="0" borderId="25"/>
    <xf numFmtId="0" fontId="28" fillId="0" borderId="25"/>
    <xf numFmtId="0" fontId="47" fillId="0" borderId="26" applyProtection="1">
      <protection locked="1" hidden="1"/>
    </xf>
    <xf numFmtId="0" fontId="48" fillId="40" borderId="26" applyProtection="1">
      <protection locked="1" hidden="1"/>
    </xf>
    <xf numFmtId="0" fontId="49" fillId="6" borderId="0"/>
    <xf numFmtId="0" fontId="50" fillId="0" borderId="0"/>
    <xf numFmtId="196" fontId="26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192" fontId="29" fillId="0" borderId="0"/>
    <xf numFmtId="0" fontId="29" fillId="0" borderId="0"/>
    <xf numFmtId="0" fontId="25" fillId="0" borderId="0"/>
    <xf numFmtId="0" fontId="29" fillId="0" borderId="0"/>
    <xf numFmtId="0" fontId="25" fillId="0" borderId="0" applyAlignment="1">
      <alignment horizontal="right"/>
    </xf>
    <xf numFmtId="0" fontId="25" fillId="0" borderId="0" applyAlignment="1">
      <alignment horizontal="right"/>
    </xf>
    <xf numFmtId="0" fontId="8" fillId="0" borderId="0" applyAlignment="1">
      <alignment horizontal="right"/>
    </xf>
    <xf numFmtId="0" fontId="8" fillId="0" borderId="0" applyAlignment="1">
      <alignment horizontal="right"/>
    </xf>
    <xf numFmtId="0" fontId="52" fillId="0" borderId="0"/>
    <xf numFmtId="0" fontId="53" fillId="0" borderId="0"/>
    <xf numFmtId="0" fontId="54" fillId="41" borderId="0" applyProtection="1">
      <protection locked="0" hidden="0"/>
    </xf>
    <xf numFmtId="0" fontId="29" fillId="0" borderId="0"/>
    <xf numFmtId="0" fontId="55" fillId="0" borderId="0"/>
    <xf numFmtId="0" fontId="25" fillId="0" borderId="0"/>
    <xf numFmtId="0" fontId="29" fillId="0" borderId="0"/>
    <xf numFmtId="0" fontId="29" fillId="0" borderId="0"/>
    <xf numFmtId="197" fontId="29" fillId="0" borderId="0"/>
    <xf numFmtId="0" fontId="29" fillId="0" borderId="0"/>
    <xf numFmtId="7" fontId="56" fillId="0" borderId="0" applyAlignment="1" applyProtection="1">
      <alignment horizontal="right"/>
      <protection locked="0" hidden="0"/>
    </xf>
    <xf numFmtId="0" fontId="57" fillId="0" borderId="0"/>
    <xf numFmtId="0" fontId="58" fillId="0" borderId="0"/>
    <xf numFmtId="0" fontId="58" fillId="0" borderId="0"/>
    <xf numFmtId="0" fontId="59" fillId="0" borderId="0"/>
    <xf numFmtId="37" fontId="60" fillId="0" borderId="0" applyProtection="1">
      <protection locked="0" hidden="0"/>
    </xf>
    <xf numFmtId="0" fontId="8" fillId="0" borderId="0"/>
    <xf numFmtId="0" fontId="61" fillId="0" borderId="1"/>
    <xf numFmtId="37" fontId="60" fillId="0" borderId="0" applyProtection="1">
      <protection locked="0" hidden="0"/>
    </xf>
    <xf numFmtId="0" fontId="62" fillId="41" borderId="6" applyProtection="1">
      <protection locked="0" hidden="0"/>
    </xf>
    <xf numFmtId="0" fontId="62" fillId="41" borderId="6" applyProtection="1">
      <protection locked="0" hidden="0"/>
    </xf>
    <xf numFmtId="0" fontId="62" fillId="41" borderId="6" applyProtection="1">
      <protection locked="0" hidden="0"/>
    </xf>
    <xf numFmtId="5" fontId="63" fillId="0" borderId="2"/>
    <xf numFmtId="0" fontId="26" fillId="0" borderId="27"/>
    <xf numFmtId="0" fontId="26" fillId="0" borderId="28"/>
    <xf numFmtId="5" fontId="63" fillId="0" borderId="2"/>
    <xf numFmtId="0" fontId="8" fillId="0" borderId="29" applyAlignment="1">
      <alignment horizontal="right"/>
    </xf>
    <xf numFmtId="0" fontId="64" fillId="0" borderId="0"/>
    <xf numFmtId="0" fontId="35" fillId="0" borderId="0"/>
    <xf numFmtId="198" fontId="48" fillId="0" borderId="0"/>
    <xf numFmtId="0" fontId="51" fillId="0" borderId="0"/>
    <xf numFmtId="0" fontId="65" fillId="9" borderId="13"/>
    <xf numFmtId="0" fontId="66" fillId="42" borderId="0" applyAlignment="1">
      <alignment horizontal="left"/>
    </xf>
    <xf numFmtId="196" fontId="26" fillId="0" borderId="0"/>
    <xf numFmtId="196" fontId="8" fillId="0" borderId="0"/>
    <xf numFmtId="0" fontId="67" fillId="43" borderId="30"/>
    <xf numFmtId="0" fontId="68" fillId="0" borderId="0" applyAlignment="1" applyProtection="1">
      <alignment horizontal="center"/>
      <protection locked="0" hidden="0"/>
    </xf>
    <xf numFmtId="8" fontId="8" fillId="0" borderId="31" applyAlignment="1">
      <alignment horizontal="right"/>
    </xf>
    <xf numFmtId="1" fontId="69" fillId="0" borderId="0"/>
    <xf numFmtId="0" fontId="70" fillId="44" borderId="0"/>
    <xf numFmtId="0" fontId="50" fillId="0" borderId="32"/>
    <xf numFmtId="0" fontId="71" fillId="10" borderId="16"/>
    <xf numFmtId="3" fontId="48" fillId="0" borderId="0"/>
    <xf numFmtId="0" fontId="72" fillId="0" borderId="33" applyAlignment="1">
      <alignment horizontal="center" vertical="center"/>
    </xf>
    <xf numFmtId="0" fontId="73" fillId="0" borderId="1" applyAlignment="1">
      <alignment horizontal="right" vertical="center"/>
    </xf>
    <xf numFmtId="38" fontId="74" fillId="0" borderId="32"/>
    <xf numFmtId="0" fontId="75" fillId="0" borderId="0" applyAlignment="1">
      <alignment horizontal="right"/>
    </xf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41" fontId="8" fillId="0" borderId="0"/>
    <xf numFmtId="0" fontId="8" fillId="0" borderId="0"/>
    <xf numFmtId="199" fontId="50" fillId="0" borderId="0" applyAlignment="1">
      <alignment horizontal="right"/>
    </xf>
    <xf numFmtId="0" fontId="50" fillId="0" borderId="0"/>
    <xf numFmtId="0" fontId="50" fillId="0" borderId="0" applyAlignment="1">
      <alignment horizontal="right"/>
    </xf>
    <xf numFmtId="43" fontId="8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8" fillId="0" borderId="0"/>
    <xf numFmtId="43" fontId="16" fillId="0" borderId="0"/>
    <xf numFmtId="43" fontId="16" fillId="0" borderId="0"/>
    <xf numFmtId="43" fontId="16" fillId="0" borderId="0"/>
    <xf numFmtId="0" fontId="50" fillId="0" borderId="0" applyAlignment="1">
      <alignment horizontal="right"/>
    </xf>
    <xf numFmtId="0" fontId="50" fillId="0" borderId="0"/>
    <xf numFmtId="200" fontId="8" fillId="0" borderId="0" applyAlignment="1">
      <alignment horizontal="right"/>
    </xf>
    <xf numFmtId="43" fontId="24" fillId="0" borderId="0"/>
    <xf numFmtId="43" fontId="8" fillId="0" borderId="0"/>
    <xf numFmtId="0" fontId="50" fillId="0" borderId="0"/>
    <xf numFmtId="43" fontId="16" fillId="0" borderId="0"/>
    <xf numFmtId="40" fontId="8" fillId="0" borderId="0" applyAlignment="1">
      <alignment horizontal="right"/>
    </xf>
    <xf numFmtId="37" fontId="26" fillId="0" borderId="0"/>
    <xf numFmtId="0" fontId="50" fillId="0" borderId="0"/>
    <xf numFmtId="3" fontId="48" fillId="0" borderId="0"/>
    <xf numFmtId="0" fontId="77" fillId="0" borderId="0"/>
    <xf numFmtId="0" fontId="78" fillId="0" borderId="0"/>
    <xf numFmtId="0" fontId="48" fillId="0" borderId="0"/>
    <xf numFmtId="0" fontId="77" fillId="0" borderId="0"/>
    <xf numFmtId="0" fontId="78" fillId="0" borderId="0"/>
    <xf numFmtId="0" fontId="48" fillId="0" borderId="0"/>
    <xf numFmtId="4" fontId="79" fillId="0" borderId="30"/>
    <xf numFmtId="0" fontId="48" fillId="0" borderId="0"/>
    <xf numFmtId="0" fontId="8" fillId="0" borderId="0"/>
    <xf numFmtId="0" fontId="80" fillId="0" borderId="0" applyProtection="1">
      <protection locked="0" hidden="0"/>
    </xf>
    <xf numFmtId="0" fontId="81" fillId="0" borderId="0" applyAlignment="1">
      <alignment horizontal="left"/>
    </xf>
    <xf numFmtId="0" fontId="82" fillId="0" borderId="0" applyAlignment="1">
      <alignment horizontal="left"/>
    </xf>
    <xf numFmtId="0" fontId="83" fillId="0" borderId="0" applyAlignment="1">
      <alignment horizontal="left"/>
    </xf>
    <xf numFmtId="0" fontId="84" fillId="0" borderId="0"/>
    <xf numFmtId="0" fontId="85" fillId="0" borderId="0" applyAlignment="1">
      <alignment horizontal="left"/>
    </xf>
    <xf numFmtId="0" fontId="58" fillId="0" borderId="0" applyAlignment="1">
      <alignment horizontal="right"/>
    </xf>
    <xf numFmtId="6" fontId="36" fillId="0" borderId="0"/>
    <xf numFmtId="0" fontId="57" fillId="0" borderId="0"/>
    <xf numFmtId="0" fontId="28" fillId="0" borderId="0"/>
    <xf numFmtId="8" fontId="86" fillId="0" borderId="34" applyProtection="1">
      <protection locked="0" hidden="0"/>
    </xf>
    <xf numFmtId="0" fontId="50" fillId="0" borderId="0" applyAlignment="1">
      <alignment horizontal="right"/>
    </xf>
    <xf numFmtId="44" fontId="24" fillId="0" borderId="0"/>
    <xf numFmtId="0" fontId="50" fillId="0" borderId="0" applyAlignment="1">
      <alignment horizontal="right"/>
    </xf>
    <xf numFmtId="0" fontId="87" fillId="0" borderId="0"/>
    <xf numFmtId="0" fontId="50" fillId="0" borderId="0"/>
    <xf numFmtId="44" fontId="24" fillId="0" borderId="0"/>
    <xf numFmtId="44" fontId="8" fillId="0" borderId="0"/>
    <xf numFmtId="0" fontId="87" fillId="0" borderId="0"/>
    <xf numFmtId="44" fontId="24" fillId="0" borderId="0"/>
    <xf numFmtId="44" fontId="16" fillId="0" borderId="0"/>
    <xf numFmtId="5" fontId="26" fillId="0" borderId="0"/>
    <xf numFmtId="0" fontId="50" fillId="0" borderId="0"/>
    <xf numFmtId="37" fontId="48" fillId="0" borderId="0"/>
    <xf numFmtId="0" fontId="48" fillId="0" borderId="0"/>
    <xf numFmtId="0" fontId="88" fillId="0" borderId="0"/>
    <xf numFmtId="0" fontId="89" fillId="0" borderId="35" applyAlignment="1">
      <alignment horizontal="right"/>
    </xf>
    <xf numFmtId="0" fontId="48" fillId="0" borderId="0"/>
    <xf numFmtId="0" fontId="35" fillId="0" borderId="0"/>
    <xf numFmtId="201" fontId="90" fillId="45" borderId="0" applyAlignment="1">
      <alignment horizontal="right" indent="1"/>
    </xf>
    <xf numFmtId="15" fontId="45" fillId="0" borderId="0"/>
    <xf numFmtId="0" fontId="45" fillId="46" borderId="0"/>
    <xf numFmtId="0" fontId="91" fillId="46" borderId="36"/>
    <xf numFmtId="0" fontId="28" fillId="46" borderId="0"/>
    <xf numFmtId="17" fontId="45" fillId="0" borderId="0" applyAlignment="1">
      <alignment horizontal="right"/>
    </xf>
    <xf numFmtId="14" fontId="26" fillId="0" borderId="0" applyAlignment="1">
      <alignment horizontal="right"/>
    </xf>
    <xf numFmtId="14" fontId="26" fillId="0" borderId="0" applyAlignment="1">
      <alignment horizontal="right"/>
    </xf>
    <xf numFmtId="14" fontId="26" fillId="0" borderId="0" applyAlignment="1">
      <alignment horizontal="right"/>
    </xf>
    <xf numFmtId="14" fontId="26" fillId="0" borderId="0" applyAlignment="1">
      <alignment horizontal="right"/>
    </xf>
    <xf numFmtId="202" fontId="50" fillId="0" borderId="0"/>
    <xf numFmtId="0" fontId="50" fillId="0" borderId="0"/>
    <xf numFmtId="0" fontId="8" fillId="0" borderId="0"/>
    <xf numFmtId="14" fontId="8" fillId="0" borderId="0" applyAlignment="1">
      <alignment horizontal="center"/>
    </xf>
    <xf numFmtId="203" fontId="26" fillId="0" borderId="0" applyAlignment="1">
      <alignment horizontal="right"/>
    </xf>
    <xf numFmtId="0" fontId="50" fillId="0" borderId="0" applyAlignment="1">
      <alignment horizontal="center"/>
    </xf>
    <xf numFmtId="14" fontId="9" fillId="0" borderId="9" applyAlignment="1">
      <alignment horizontal="right"/>
    </xf>
    <xf numFmtId="14" fontId="92" fillId="0" borderId="0" applyAlignment="1" applyProtection="1">
      <alignment horizontal="right"/>
      <protection locked="0" hidden="0"/>
    </xf>
    <xf numFmtId="0" fontId="26" fillId="0" borderId="0"/>
    <xf numFmtId="14" fontId="8" fillId="0" borderId="0" applyAlignment="1">
      <alignment horizontal="center"/>
    </xf>
    <xf numFmtId="0" fontId="50" fillId="0" borderId="0" applyAlignment="1">
      <alignment horizontal="center"/>
    </xf>
    <xf numFmtId="0" fontId="50" fillId="0" borderId="2" applyAlignment="1">
      <alignment horizontal="center"/>
    </xf>
    <xf numFmtId="0" fontId="50" fillId="0" borderId="2" applyAlignment="1">
      <alignment horizontal="center"/>
    </xf>
    <xf numFmtId="204" fontId="26" fillId="0" borderId="0" applyAlignment="1">
      <alignment horizontal="right"/>
    </xf>
    <xf numFmtId="205" fontId="26" fillId="0" borderId="0" applyAlignment="1">
      <alignment horizontal="right"/>
    </xf>
    <xf numFmtId="206" fontId="26" fillId="0" borderId="0" applyAlignment="1">
      <alignment horizontal="right"/>
    </xf>
    <xf numFmtId="207" fontId="93" fillId="0" borderId="0"/>
    <xf numFmtId="0" fontId="8" fillId="0" borderId="0"/>
    <xf numFmtId="0" fontId="8" fillId="0" borderId="0"/>
    <xf numFmtId="0" fontId="94" fillId="0" borderId="0" applyProtection="1">
      <protection locked="0" hidden="0"/>
    </xf>
    <xf numFmtId="38" fontId="26" fillId="41" borderId="0" applyAlignment="1">
      <alignment horizontal="right"/>
    </xf>
    <xf numFmtId="38" fontId="26" fillId="0" borderId="0"/>
    <xf numFmtId="0" fontId="58" fillId="0" borderId="0"/>
    <xf numFmtId="208" fontId="60" fillId="0" borderId="0"/>
    <xf numFmtId="6" fontId="26" fillId="0" borderId="0"/>
    <xf numFmtId="8" fontId="26" fillId="0" borderId="0"/>
    <xf numFmtId="5" fontId="51" fillId="0" borderId="0" applyProtection="1">
      <protection locked="0" hidden="0"/>
    </xf>
    <xf numFmtId="6" fontId="26" fillId="0" borderId="0"/>
    <xf numFmtId="209" fontId="50" fillId="0" borderId="37"/>
    <xf numFmtId="42" fontId="95" fillId="0" borderId="0"/>
    <xf numFmtId="0" fontId="32" fillId="41" borderId="0" applyAlignment="1">
      <alignment horizontal="right" vertical="center"/>
    </xf>
    <xf numFmtId="192" fontId="96" fillId="47" borderId="38" applyAlignment="1">
      <alignment vertical="top"/>
    </xf>
    <xf numFmtId="0" fontId="97" fillId="0" borderId="0" applyProtection="1">
      <protection locked="0" hidden="0"/>
    </xf>
    <xf numFmtId="0" fontId="97" fillId="0" borderId="0" applyProtection="1">
      <protection locked="0" hidden="0"/>
    </xf>
    <xf numFmtId="0" fontId="98" fillId="0" borderId="0" applyAlignment="1">
      <alignment horizontal="left"/>
    </xf>
    <xf numFmtId="0" fontId="99" fillId="0" borderId="0"/>
    <xf numFmtId="192" fontId="99" fillId="0" borderId="0"/>
    <xf numFmtId="210" fontId="58" fillId="0" borderId="0"/>
    <xf numFmtId="0" fontId="8" fillId="0" borderId="0"/>
    <xf numFmtId="0" fontId="100" fillId="0" borderId="0"/>
    <xf numFmtId="0" fontId="94" fillId="0" borderId="0" applyProtection="1">
      <protection locked="0" hidden="0"/>
    </xf>
    <xf numFmtId="0" fontId="94" fillId="0" borderId="0" applyProtection="1">
      <protection locked="0" hidden="0"/>
    </xf>
    <xf numFmtId="0" fontId="94" fillId="0" borderId="0" applyProtection="1">
      <protection locked="0" hidden="0"/>
    </xf>
    <xf numFmtId="0" fontId="94" fillId="0" borderId="0" applyProtection="1">
      <protection locked="0" hidden="0"/>
    </xf>
    <xf numFmtId="0" fontId="94" fillId="0" borderId="0" applyProtection="1">
      <protection locked="0" hidden="0"/>
    </xf>
    <xf numFmtId="0" fontId="94" fillId="0" borderId="0" applyProtection="1">
      <protection locked="0" hidden="0"/>
    </xf>
    <xf numFmtId="0" fontId="94" fillId="0" borderId="0" applyProtection="1">
      <protection locked="0" hidden="0"/>
    </xf>
    <xf numFmtId="3" fontId="101" fillId="0" borderId="0" applyAlignment="1">
      <alignment horizontal="left"/>
    </xf>
    <xf numFmtId="0" fontId="94" fillId="0" borderId="0" applyProtection="1">
      <protection locked="0" hidden="0"/>
    </xf>
    <xf numFmtId="0" fontId="94" fillId="0" borderId="0" applyProtection="1">
      <protection locked="0" hidden="0"/>
    </xf>
    <xf numFmtId="0" fontId="8" fillId="0" borderId="0" applyProtection="1">
      <protection locked="0" hidden="0"/>
    </xf>
    <xf numFmtId="1" fontId="48" fillId="0" borderId="0"/>
    <xf numFmtId="0" fontId="102" fillId="0" borderId="0" applyAlignment="1">
      <alignment horizontal="left"/>
    </xf>
    <xf numFmtId="0" fontId="103" fillId="0" borderId="0" applyAlignment="1">
      <alignment horizontal="left"/>
    </xf>
    <xf numFmtId="0" fontId="104" fillId="0" borderId="0" applyAlignment="1">
      <alignment horizontal="left"/>
    </xf>
    <xf numFmtId="0" fontId="104" fillId="0" borderId="0" applyAlignment="1">
      <alignment horizontal="left"/>
    </xf>
    <xf numFmtId="0" fontId="104" fillId="0" borderId="0" applyAlignment="1">
      <alignment horizontal="left"/>
    </xf>
    <xf numFmtId="0" fontId="28" fillId="41" borderId="30" applyAlignment="1">
      <alignment vertical="top"/>
    </xf>
    <xf numFmtId="0" fontId="8" fillId="0" borderId="0"/>
    <xf numFmtId="211" fontId="8" fillId="0" borderId="26"/>
    <xf numFmtId="192" fontId="48" fillId="0" borderId="0"/>
    <xf numFmtId="211" fontId="8" fillId="0" borderId="39"/>
    <xf numFmtId="0" fontId="105" fillId="48" borderId="40" applyAlignment="1">
      <alignment horizontal="right" vertical="center"/>
    </xf>
    <xf numFmtId="196" fontId="26" fillId="0" borderId="0" applyProtection="1">
      <protection locked="0" hidden="0"/>
    </xf>
    <xf numFmtId="0" fontId="106" fillId="5" borderId="0"/>
    <xf numFmtId="37" fontId="9" fillId="0" borderId="41"/>
    <xf numFmtId="38" fontId="28" fillId="47" borderId="0"/>
    <xf numFmtId="0" fontId="50" fillId="0" borderId="0"/>
    <xf numFmtId="10" fontId="26" fillId="41" borderId="0" applyAlignment="1">
      <alignment horizontal="right"/>
    </xf>
    <xf numFmtId="0" fontId="50" fillId="0" borderId="0"/>
    <xf numFmtId="212" fontId="50" fillId="0" borderId="0" applyAlignment="1" applyProtection="1">
      <alignment horizontal="left"/>
      <protection locked="0" hidden="0"/>
    </xf>
    <xf numFmtId="213" fontId="93" fillId="41" borderId="0" applyAlignment="1">
      <alignment horizontal="right"/>
    </xf>
    <xf numFmtId="0" fontId="50" fillId="0" borderId="0" applyAlignment="1">
      <alignment horizontal="right"/>
    </xf>
    <xf numFmtId="0" fontId="107" fillId="45" borderId="0"/>
    <xf numFmtId="0" fontId="108" fillId="49" borderId="0" applyAlignment="1">
      <alignment horizontal="left" vertical="center"/>
    </xf>
    <xf numFmtId="0" fontId="109" fillId="1" borderId="0" applyAlignment="1">
      <alignment horizontal="left" vertical="center"/>
    </xf>
    <xf numFmtId="0" fontId="110" fillId="0" borderId="0" applyAlignment="1">
      <alignment horizontal="right"/>
    </xf>
    <xf numFmtId="0" fontId="111" fillId="0" borderId="0" applyAlignment="1">
      <alignment horizontal="left"/>
    </xf>
    <xf numFmtId="0" fontId="111" fillId="0" borderId="0" applyAlignment="1">
      <alignment horizontal="left"/>
    </xf>
    <xf numFmtId="0" fontId="112" fillId="0" borderId="42" applyAlignment="1">
      <alignment horizontal="left" vertical="center"/>
    </xf>
    <xf numFmtId="0" fontId="112" fillId="0" borderId="9" applyAlignment="1">
      <alignment horizontal="left" vertical="center"/>
    </xf>
    <xf numFmtId="0" fontId="113" fillId="0" borderId="1" applyAlignment="1">
      <alignment horizontal="center"/>
    </xf>
    <xf numFmtId="0" fontId="114" fillId="0" borderId="10"/>
    <xf numFmtId="0" fontId="115" fillId="0" borderId="0" applyAlignment="1">
      <alignment horizontal="left"/>
    </xf>
    <xf numFmtId="0" fontId="116" fillId="0" borderId="7" applyAlignment="1">
      <alignment horizontal="left" vertical="top"/>
    </xf>
    <xf numFmtId="0" fontId="116" fillId="0" borderId="7" applyAlignment="1">
      <alignment horizontal="left" vertical="top"/>
    </xf>
    <xf numFmtId="0" fontId="116" fillId="0" borderId="7" applyAlignment="1">
      <alignment horizontal="left" vertical="top"/>
    </xf>
    <xf numFmtId="0" fontId="116" fillId="0" borderId="7" applyAlignment="1">
      <alignment horizontal="left" vertical="top"/>
    </xf>
    <xf numFmtId="0" fontId="117" fillId="0" borderId="11"/>
    <xf numFmtId="0" fontId="118" fillId="0" borderId="0" applyAlignment="1">
      <alignment horizontal="left"/>
    </xf>
    <xf numFmtId="0" fontId="119" fillId="0" borderId="7" applyAlignment="1">
      <alignment horizontal="left" vertical="top"/>
    </xf>
    <xf numFmtId="0" fontId="119" fillId="0" borderId="7" applyAlignment="1">
      <alignment horizontal="left" vertical="top"/>
    </xf>
    <xf numFmtId="0" fontId="119" fillId="0" borderId="7" applyAlignment="1">
      <alignment horizontal="left" vertical="top"/>
    </xf>
    <xf numFmtId="0" fontId="119" fillId="0" borderId="7" applyAlignment="1">
      <alignment horizontal="left" vertical="top"/>
    </xf>
    <xf numFmtId="0" fontId="120" fillId="0" borderId="12"/>
    <xf numFmtId="0" fontId="121" fillId="0" borderId="0" applyAlignment="1">
      <alignment horizontal="left"/>
    </xf>
    <xf numFmtId="0" fontId="120" fillId="0" borderId="0"/>
    <xf numFmtId="0" fontId="68" fillId="0" borderId="0" applyProtection="1">
      <protection locked="0" hidden="0"/>
    </xf>
    <xf numFmtId="0" fontId="68" fillId="0" borderId="1" applyProtection="1">
      <protection locked="0" hidden="0"/>
    </xf>
    <xf numFmtId="214" fontId="8" fillId="0" borderId="0" applyProtection="1">
      <protection locked="0" hidden="0"/>
    </xf>
    <xf numFmtId="214" fontId="8" fillId="0" borderId="0" applyProtection="1">
      <protection locked="0" hidden="0"/>
    </xf>
    <xf numFmtId="0" fontId="122" fillId="0" borderId="27" applyAlignment="1">
      <alignment horizontal="center"/>
    </xf>
    <xf numFmtId="0" fontId="122" fillId="0" borderId="0" applyAlignment="1">
      <alignment horizontal="center"/>
    </xf>
    <xf numFmtId="0" fontId="9" fillId="50" borderId="0" applyAlignment="1">
      <alignment wrapText="1"/>
    </xf>
    <xf numFmtId="0" fontId="8" fillId="0" borderId="0" applyAlignment="1">
      <alignment wrapText="1"/>
    </xf>
    <xf numFmtId="0" fontId="8" fillId="0" borderId="0" applyAlignment="1">
      <alignment horizontal="justify" vertical="top" wrapText="1"/>
    </xf>
    <xf numFmtId="0" fontId="57" fillId="0" borderId="43"/>
    <xf numFmtId="0" fontId="123" fillId="0" borderId="0" applyAlignment="1" applyProtection="1">
      <alignment vertical="top"/>
      <protection locked="0" hidden="0"/>
    </xf>
    <xf numFmtId="0" fontId="124" fillId="0" borderId="0" applyAlignment="1" applyProtection="1">
      <alignment vertical="top"/>
      <protection locked="0" hidden="0"/>
    </xf>
    <xf numFmtId="0" fontId="125" fillId="0" borderId="0" applyAlignment="1" applyProtection="1">
      <alignment vertical="top"/>
      <protection locked="0" hidden="0"/>
    </xf>
    <xf numFmtId="0" fontId="50" fillId="0" borderId="0"/>
    <xf numFmtId="38" fontId="26" fillId="0" borderId="0"/>
    <xf numFmtId="215" fontId="50" fillId="0" borderId="0"/>
    <xf numFmtId="0" fontId="50" fillId="0" borderId="0"/>
    <xf numFmtId="0" fontId="26" fillId="0" borderId="0"/>
    <xf numFmtId="40" fontId="26" fillId="0" borderId="0" applyAlignment="1">
      <alignment horizontal="right"/>
    </xf>
    <xf numFmtId="10" fontId="28" fillId="46" borderId="30"/>
    <xf numFmtId="0" fontId="126" fillId="8" borderId="13"/>
    <xf numFmtId="0" fontId="126" fillId="8" borderId="13"/>
    <xf numFmtId="0" fontId="126" fillId="8" borderId="13"/>
    <xf numFmtId="0" fontId="126" fillId="8" borderId="13"/>
    <xf numFmtId="192" fontId="79" fillId="0" borderId="30"/>
    <xf numFmtId="0" fontId="87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29" fillId="46" borderId="0" applyAlignment="1" applyProtection="1">
      <alignment horizontal="center"/>
      <protection locked="0" hidden="0"/>
    </xf>
    <xf numFmtId="192" fontId="28" fillId="46" borderId="1" applyAlignment="1" applyProtection="1">
      <alignment horizontal="center"/>
      <protection locked="0" hidden="0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0" fontId="127" fillId="0" borderId="0" applyAlignment="1">
      <alignment vertical="center"/>
    </xf>
    <xf numFmtId="194" fontId="8" fillId="0" borderId="0" applyAlignment="1">
      <alignment vertical="center"/>
    </xf>
    <xf numFmtId="38" fontId="57" fillId="0" borderId="0"/>
    <xf numFmtId="0" fontId="29" fillId="0" borderId="0"/>
    <xf numFmtId="1" fontId="128" fillId="1" borderId="19" applyProtection="1">
      <protection locked="0" hidden="0"/>
    </xf>
    <xf numFmtId="0" fontId="129" fillId="0" borderId="0" applyAlignment="1">
      <alignment horizontal="left" vertical="center"/>
    </xf>
    <xf numFmtId="0" fontId="26" fillId="0" borderId="0" applyAlignment="1">
      <alignment horizontal="left"/>
    </xf>
    <xf numFmtId="0" fontId="130" fillId="0" borderId="0"/>
    <xf numFmtId="3" fontId="9" fillId="0" borderId="41" applyAlignment="1">
      <alignment horizontal="right"/>
    </xf>
    <xf numFmtId="37" fontId="131" fillId="0" borderId="0" applyAlignment="1">
      <alignment horizontal="right"/>
    </xf>
    <xf numFmtId="0" fontId="132" fillId="0" borderId="15"/>
    <xf numFmtId="216" fontId="93" fillId="0" borderId="0"/>
    <xf numFmtId="0" fontId="36" fillId="0" borderId="0" applyAlignment="1">
      <alignment horizontal="left"/>
    </xf>
    <xf numFmtId="0" fontId="133" fillId="0" borderId="26" applyAlignment="1" applyProtection="1">
      <alignment horizontal="left"/>
      <protection locked="0" hidden="0"/>
    </xf>
    <xf numFmtId="38" fontId="26" fillId="0" borderId="0"/>
    <xf numFmtId="6" fontId="26" fillId="0" borderId="0" applyAlignment="1">
      <alignment horizontal="left"/>
    </xf>
    <xf numFmtId="0" fontId="50" fillId="0" borderId="0"/>
    <xf numFmtId="196" fontId="60" fillId="0" borderId="0"/>
    <xf numFmtId="0" fontId="26" fillId="0" borderId="0"/>
    <xf numFmtId="196" fontId="26" fillId="0" borderId="0" applyProtection="1">
      <protection locked="0" hidden="0"/>
    </xf>
    <xf numFmtId="0" fontId="134" fillId="0" borderId="0"/>
    <xf numFmtId="0" fontId="8" fillId="0" borderId="0"/>
    <xf numFmtId="0" fontId="8" fillId="0" borderId="0"/>
    <xf numFmtId="217" fontId="8" fillId="0" borderId="0"/>
    <xf numFmtId="0" fontId="8" fillId="0" borderId="0"/>
    <xf numFmtId="0" fontId="8" fillId="0" borderId="0"/>
    <xf numFmtId="0" fontId="8" fillId="0" borderId="0"/>
    <xf numFmtId="218" fontId="8" fillId="0" borderId="0"/>
    <xf numFmtId="219" fontId="8" fillId="0" borderId="0"/>
    <xf numFmtId="0" fontId="50" fillId="0" borderId="0" applyAlignment="1">
      <alignment horizontal="right"/>
    </xf>
    <xf numFmtId="40" fontId="26" fillId="0" borderId="0" applyAlignment="1">
      <alignment horizontal="left"/>
    </xf>
    <xf numFmtId="220" fontId="28" fillId="0" borderId="0" applyAlignment="1">
      <alignment horizontal="right"/>
    </xf>
    <xf numFmtId="0" fontId="58" fillId="0" borderId="0"/>
    <xf numFmtId="0" fontId="50" fillId="0" borderId="0" applyAlignment="1">
      <alignment horizontal="right"/>
    </xf>
    <xf numFmtId="0" fontId="8" fillId="0" borderId="0" applyAlignment="1">
      <alignment horizontal="center"/>
    </xf>
    <xf numFmtId="0" fontId="8" fillId="0" borderId="0"/>
    <xf numFmtId="2" fontId="8" fillId="0" borderId="0" applyAlignment="1">
      <alignment horizontal="center"/>
    </xf>
    <xf numFmtId="0" fontId="135" fillId="7" borderId="0"/>
    <xf numFmtId="37" fontId="136" fillId="0" borderId="0"/>
    <xf numFmtId="180" fontId="137" fillId="0" borderId="0"/>
    <xf numFmtId="0" fontId="8" fillId="0" borderId="0"/>
    <xf numFmtId="221" fontId="8" fillId="0" borderId="0"/>
    <xf numFmtId="222" fontId="138" fillId="0" borderId="0"/>
    <xf numFmtId="0" fontId="50" fillId="0" borderId="0"/>
    <xf numFmtId="0" fontId="8" fillId="0" borderId="0"/>
    <xf numFmtId="0" fontId="16" fillId="0" borderId="0"/>
    <xf numFmtId="0" fontId="1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6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8" fillId="0" borderId="0"/>
    <xf numFmtId="0" fontId="16" fillId="0" borderId="0"/>
    <xf numFmtId="0" fontId="8" fillId="0" borderId="0"/>
    <xf numFmtId="0" fontId="8" fillId="0" borderId="0"/>
    <xf numFmtId="0" fontId="28" fillId="0" borderId="0"/>
    <xf numFmtId="0" fontId="16" fillId="0" borderId="0"/>
    <xf numFmtId="0" fontId="24" fillId="0" borderId="0"/>
    <xf numFmtId="0" fontId="24" fillId="0" borderId="0"/>
    <xf numFmtId="0" fontId="8" fillId="0" borderId="0"/>
    <xf numFmtId="0" fontId="8" fillId="0" borderId="0"/>
    <xf numFmtId="0" fontId="29" fillId="0" borderId="0"/>
    <xf numFmtId="223" fontId="8" fillId="0" borderId="0" applyAlignment="1">
      <alignment vertical="center"/>
    </xf>
    <xf numFmtId="0" fontId="139" fillId="0" borderId="0"/>
    <xf numFmtId="0" fontId="118" fillId="0" borderId="0"/>
    <xf numFmtId="0" fontId="140" fillId="0" borderId="0"/>
    <xf numFmtId="37" fontId="141" fillId="0" borderId="0"/>
    <xf numFmtId="0" fontId="16" fillId="11" borderId="17"/>
    <xf numFmtId="0" fontId="40" fillId="11" borderId="17"/>
    <xf numFmtId="0" fontId="142" fillId="0" borderId="26"/>
    <xf numFmtId="39" fontId="143" fillId="0" borderId="0"/>
    <xf numFmtId="1" fontId="45" fillId="0" borderId="0" applyProtection="1">
      <protection locked="0" hidden="0"/>
    </xf>
    <xf numFmtId="4" fontId="28" fillId="0" borderId="0"/>
    <xf numFmtId="0" fontId="29" fillId="0" borderId="0"/>
    <xf numFmtId="0" fontId="29" fillId="0" borderId="0"/>
    <xf numFmtId="0" fontId="58" fillId="0" borderId="0"/>
    <xf numFmtId="0" fontId="144" fillId="0" borderId="0" applyAlignment="1">
      <alignment horizontal="left"/>
    </xf>
    <xf numFmtId="0" fontId="145" fillId="9" borderId="14"/>
    <xf numFmtId="224" fontId="51" fillId="48" borderId="0" applyAlignment="1">
      <alignment horizontal="right"/>
    </xf>
    <xf numFmtId="0" fontId="146" fillId="0" borderId="0"/>
    <xf numFmtId="37" fontId="28" fillId="0" borderId="0" applyProtection="1">
      <protection locked="0" hidden="0"/>
    </xf>
    <xf numFmtId="0" fontId="146" fillId="0" borderId="0"/>
    <xf numFmtId="0" fontId="146" fillId="0" borderId="0"/>
    <xf numFmtId="0" fontId="146" fillId="0" borderId="0"/>
    <xf numFmtId="225" fontId="146" fillId="0" borderId="0"/>
    <xf numFmtId="0" fontId="146" fillId="0" borderId="0"/>
    <xf numFmtId="0" fontId="146" fillId="0" borderId="0"/>
    <xf numFmtId="0" fontId="146" fillId="0" borderId="0"/>
    <xf numFmtId="225" fontId="146" fillId="0" borderId="0"/>
    <xf numFmtId="225" fontId="146" fillId="0" borderId="0"/>
    <xf numFmtId="225" fontId="146" fillId="0" borderId="0"/>
    <xf numFmtId="0" fontId="146" fillId="0" borderId="0"/>
    <xf numFmtId="0" fontId="146" fillId="0" borderId="0"/>
    <xf numFmtId="0" fontId="146" fillId="0" borderId="0"/>
    <xf numFmtId="225" fontId="146" fillId="0" borderId="0"/>
    <xf numFmtId="0" fontId="146" fillId="0" borderId="0"/>
    <xf numFmtId="0" fontId="146" fillId="0" borderId="0"/>
    <xf numFmtId="0" fontId="146" fillId="0" borderId="0"/>
    <xf numFmtId="225" fontId="146" fillId="0" borderId="0"/>
    <xf numFmtId="225" fontId="146" fillId="0" borderId="0"/>
    <xf numFmtId="225" fontId="146" fillId="0" borderId="0"/>
    <xf numFmtId="0" fontId="26" fillId="0" borderId="0"/>
    <xf numFmtId="0" fontId="26" fillId="0" borderId="0"/>
    <xf numFmtId="0" fontId="26" fillId="0" borderId="0"/>
    <xf numFmtId="225" fontId="26" fillId="0" borderId="0"/>
    <xf numFmtId="0" fontId="26" fillId="0" borderId="0"/>
    <xf numFmtId="0" fontId="26" fillId="0" borderId="0"/>
    <xf numFmtId="0" fontId="26" fillId="0" borderId="0"/>
    <xf numFmtId="225" fontId="26" fillId="0" borderId="0"/>
    <xf numFmtId="225" fontId="26" fillId="0" borderId="0"/>
    <xf numFmtId="225" fontId="26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226" fontId="29" fillId="0" borderId="0"/>
    <xf numFmtId="226" fontId="29" fillId="0" borderId="0"/>
    <xf numFmtId="0" fontId="146" fillId="0" borderId="0"/>
    <xf numFmtId="0" fontId="146" fillId="0" borderId="0"/>
    <xf numFmtId="0" fontId="146" fillId="0" borderId="0"/>
    <xf numFmtId="225" fontId="146" fillId="0" borderId="0"/>
    <xf numFmtId="0" fontId="146" fillId="0" borderId="0"/>
    <xf numFmtId="0" fontId="146" fillId="0" borderId="0"/>
    <xf numFmtId="0" fontId="146" fillId="0" borderId="0"/>
    <xf numFmtId="225" fontId="146" fillId="0" borderId="0"/>
    <xf numFmtId="225" fontId="146" fillId="0" borderId="0"/>
    <xf numFmtId="225" fontId="14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226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226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0" fontId="29" fillId="0" borderId="0"/>
    <xf numFmtId="0" fontId="29" fillId="0" borderId="0"/>
    <xf numFmtId="0" fontId="29" fillId="0" borderId="0"/>
    <xf numFmtId="226" fontId="29" fillId="0" borderId="0"/>
    <xf numFmtId="226" fontId="29" fillId="0" borderId="0"/>
    <xf numFmtId="226" fontId="29" fillId="0" borderId="0"/>
    <xf numFmtId="0" fontId="147" fillId="0" borderId="0" applyAlignment="1">
      <alignment horizontal="left"/>
    </xf>
    <xf numFmtId="0" fontId="8" fillId="0" borderId="0" applyAlignment="1">
      <alignment horizontal="left"/>
    </xf>
    <xf numFmtId="0" fontId="8" fillId="0" borderId="0" applyAlignment="1">
      <alignment horizontal="left"/>
    </xf>
    <xf numFmtId="1" fontId="148" fillId="0" borderId="0" applyAlignment="1">
      <alignment horizontal="right" vertical="center"/>
    </xf>
    <xf numFmtId="0" fontId="149" fillId="0" borderId="44"/>
    <xf numFmtId="0" fontId="29" fillId="44" borderId="0"/>
    <xf numFmtId="0" fontId="28" fillId="51" borderId="26" applyAlignment="1">
      <alignment horizontal="center"/>
    </xf>
    <xf numFmtId="0" fontId="28" fillId="51" borderId="26" applyAlignment="1">
      <alignment horizontal="center"/>
    </xf>
    <xf numFmtId="0" fontId="28" fillId="39" borderId="26" applyAlignment="1">
      <alignment horizontal="center"/>
    </xf>
    <xf numFmtId="0" fontId="28" fillId="39" borderId="26" applyAlignment="1">
      <alignment horizontal="center"/>
    </xf>
    <xf numFmtId="0" fontId="29" fillId="0" borderId="45"/>
    <xf numFmtId="0" fontId="29" fillId="0" borderId="46"/>
    <xf numFmtId="0" fontId="149" fillId="0" borderId="47"/>
    <xf numFmtId="40" fontId="26" fillId="0" borderId="0"/>
    <xf numFmtId="0" fontId="50" fillId="0" borderId="0" applyProtection="1">
      <protection locked="0" hidden="0"/>
    </xf>
    <xf numFmtId="14" fontId="26" fillId="0" borderId="0" applyAlignment="1" applyProtection="1">
      <alignment horizontal="center" wrapText="1"/>
      <protection locked="0" hidden="0"/>
    </xf>
    <xf numFmtId="192" fontId="150" fillId="0" borderId="0"/>
    <xf numFmtId="10" fontId="8" fillId="0" borderId="0"/>
    <xf numFmtId="192" fontId="25" fillId="0" borderId="0" applyAlignment="1">
      <alignment horizontal="right"/>
    </xf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16" fillId="0" borderId="0"/>
    <xf numFmtId="9" fontId="16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8" fillId="0" borderId="0"/>
    <xf numFmtId="9" fontId="16" fillId="0" borderId="0"/>
    <xf numFmtId="9" fontId="16" fillId="0" borderId="0"/>
    <xf numFmtId="9" fontId="16" fillId="0" borderId="0"/>
    <xf numFmtId="9" fontId="36" fillId="0" borderId="0"/>
    <xf numFmtId="10" fontId="26" fillId="0" borderId="0" applyAlignment="1">
      <alignment horizontal="right"/>
    </xf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4" fillId="0" borderId="0"/>
    <xf numFmtId="9" fontId="8" fillId="0" borderId="0"/>
    <xf numFmtId="9" fontId="24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4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0" fontId="50" fillId="0" borderId="0" applyAlignment="1">
      <alignment horizontal="right"/>
    </xf>
    <xf numFmtId="0" fontId="8" fillId="0" borderId="0" applyAlignment="1">
      <alignment horizontal="right"/>
    </xf>
    <xf numFmtId="0" fontId="26" fillId="0" borderId="0"/>
    <xf numFmtId="9" fontId="26" fillId="0" borderId="0" applyAlignment="1">
      <alignment horizontal="right"/>
    </xf>
    <xf numFmtId="0" fontId="87" fillId="0" borderId="0"/>
    <xf numFmtId="192" fontId="48" fillId="0" borderId="0"/>
    <xf numFmtId="10" fontId="48" fillId="0" borderId="0"/>
    <xf numFmtId="0" fontId="50" fillId="0" borderId="0"/>
    <xf numFmtId="8" fontId="26" fillId="0" borderId="0"/>
    <xf numFmtId="0" fontId="150" fillId="0" borderId="0" applyAlignment="1">
      <alignment horizontal="right"/>
    </xf>
    <xf numFmtId="0" fontId="151" fillId="0" borderId="41" applyAlignment="1">
      <alignment horizontal="right"/>
    </xf>
    <xf numFmtId="0" fontId="150" fillId="52" borderId="0" applyAlignment="1">
      <alignment horizontal="right"/>
    </xf>
    <xf numFmtId="0" fontId="152" fillId="0" borderId="0" applyAlignment="1">
      <alignment horizontal="right"/>
    </xf>
    <xf numFmtId="196" fontId="26" fillId="0" borderId="0" applyProtection="1">
      <protection locked="0" hidden="0"/>
    </xf>
    <xf numFmtId="227" fontId="26" fillId="0" borderId="0" applyProtection="1">
      <protection locked="0" hidden="0"/>
    </xf>
    <xf numFmtId="0" fontId="8" fillId="0" borderId="0"/>
    <xf numFmtId="0" fontId="8" fillId="0" borderId="0"/>
    <xf numFmtId="38" fontId="26" fillId="0" borderId="0" applyProtection="1">
      <protection locked="0" hidden="0"/>
    </xf>
    <xf numFmtId="0" fontId="50" fillId="0" borderId="0" applyProtection="1">
      <protection locked="0" hidden="0"/>
    </xf>
    <xf numFmtId="196" fontId="8" fillId="0" borderId="0"/>
    <xf numFmtId="38" fontId="26" fillId="0" borderId="0"/>
    <xf numFmtId="8" fontId="8" fillId="0" borderId="0" applyAlignment="1">
      <alignment horizontal="right"/>
    </xf>
    <xf numFmtId="0" fontId="50" fillId="0" borderId="0" applyAlignment="1">
      <alignment horizontal="right"/>
    </xf>
    <xf numFmtId="0" fontId="45" fillId="47" borderId="30"/>
    <xf numFmtId="0" fontId="29" fillId="47" borderId="0" applyAlignment="1" applyProtection="1">
      <alignment horizontal="center"/>
      <protection locked="0" hidden="0"/>
    </xf>
    <xf numFmtId="0" fontId="36" fillId="0" borderId="0" applyAlignment="1">
      <alignment horizontal="left"/>
    </xf>
    <xf numFmtId="15" fontId="36" fillId="0" borderId="0"/>
    <xf numFmtId="4" fontId="36" fillId="0" borderId="0"/>
    <xf numFmtId="0" fontId="63" fillId="0" borderId="27" applyAlignment="1">
      <alignment horizontal="center"/>
    </xf>
    <xf numFmtId="3" fontId="36" fillId="0" borderId="0"/>
    <xf numFmtId="0" fontId="36" fillId="53" borderId="0"/>
    <xf numFmtId="228" fontId="93" fillId="0" borderId="0"/>
    <xf numFmtId="229" fontId="50" fillId="0" borderId="0" applyAlignment="1">
      <alignment horizontal="right"/>
    </xf>
    <xf numFmtId="0" fontId="50" fillId="0" borderId="0" applyAlignment="1">
      <alignment horizontal="right"/>
    </xf>
    <xf numFmtId="0" fontId="50" fillId="0" borderId="0" applyAlignment="1">
      <alignment horizontal="right"/>
    </xf>
    <xf numFmtId="0" fontId="153" fillId="0" borderId="26" applyProtection="1">
      <protection locked="1" hidden="1"/>
    </xf>
    <xf numFmtId="0" fontId="154" fillId="54" borderId="0" applyAlignment="1">
      <alignment horizontal="center"/>
    </xf>
    <xf numFmtId="196" fontId="8" fillId="0" borderId="0"/>
    <xf numFmtId="14" fontId="58" fillId="0" borderId="0" applyAlignment="1">
      <alignment horizontal="left"/>
    </xf>
    <xf numFmtId="220" fontId="58" fillId="0" borderId="0" applyAlignment="1">
      <alignment horizontal="left"/>
    </xf>
    <xf numFmtId="0" fontId="129" fillId="0" borderId="0" applyAlignment="1">
      <alignment horizontal="right" vertical="center"/>
    </xf>
    <xf numFmtId="0" fontId="45" fillId="0" borderId="0"/>
    <xf numFmtId="0" fontId="29" fillId="0" borderId="0" applyAlignment="1">
      <alignment horizontal="left" indent="1"/>
    </xf>
    <xf numFmtId="0" fontId="155" fillId="0" borderId="0" applyAlignment="1">
      <alignment horizontal="center"/>
    </xf>
    <xf numFmtId="0" fontId="156" fillId="0" borderId="0" applyAlignment="1">
      <alignment horizontal="left"/>
    </xf>
    <xf numFmtId="0" fontId="29" fillId="0" borderId="0" applyAlignment="1">
      <alignment horizontal="left"/>
    </xf>
    <xf numFmtId="2" fontId="157" fillId="0" borderId="0" applyAlignment="1">
      <alignment horizontal="right"/>
    </xf>
    <xf numFmtId="0" fontId="103" fillId="0" borderId="48" applyAlignment="1">
      <alignment vertical="center"/>
    </xf>
    <xf numFmtId="0" fontId="112" fillId="0" borderId="0" applyAlignment="1">
      <alignment horizontal="left"/>
    </xf>
    <xf numFmtId="0" fontId="29" fillId="55" borderId="0"/>
    <xf numFmtId="0" fontId="154" fillId="1" borderId="9" applyAlignment="1">
      <alignment horizontal="center"/>
    </xf>
    <xf numFmtId="196" fontId="26" fillId="0" borderId="0"/>
    <xf numFmtId="0" fontId="149" fillId="0" borderId="0" applyAlignment="1">
      <alignment horizontal="center"/>
    </xf>
    <xf numFmtId="211" fontId="158" fillId="0" borderId="0" applyAlignment="1">
      <alignment horizontal="center"/>
    </xf>
    <xf numFmtId="42" fontId="64" fillId="0" borderId="0"/>
    <xf numFmtId="0" fontId="159" fillId="0" borderId="0" applyAlignment="1">
      <alignment horizontal="center"/>
    </xf>
    <xf numFmtId="0" fontId="8" fillId="0" borderId="0" applyAlignment="1">
      <alignment horizontal="center"/>
    </xf>
    <xf numFmtId="0" fontId="160" fillId="50" borderId="0"/>
    <xf numFmtId="0" fontId="8" fillId="0" borderId="0"/>
    <xf numFmtId="0" fontId="160" fillId="56" borderId="0"/>
    <xf numFmtId="0" fontId="160" fillId="56" borderId="0"/>
    <xf numFmtId="3" fontId="8" fillId="0" borderId="0"/>
    <xf numFmtId="0" fontId="160" fillId="57" borderId="0"/>
    <xf numFmtId="0" fontId="160" fillId="57" borderId="0"/>
    <xf numFmtId="3" fontId="8" fillId="0" borderId="0"/>
    <xf numFmtId="0" fontId="8" fillId="58" borderId="0"/>
    <xf numFmtId="0" fontId="160" fillId="58" borderId="0"/>
    <xf numFmtId="3" fontId="8" fillId="0" borderId="0"/>
    <xf numFmtId="3" fontId="160" fillId="59" borderId="0"/>
    <xf numFmtId="3" fontId="160" fillId="59" borderId="0"/>
    <xf numFmtId="3" fontId="8" fillId="0" borderId="0"/>
    <xf numFmtId="3" fontId="160" fillId="60" borderId="0"/>
    <xf numFmtId="3" fontId="160" fillId="60" borderId="0"/>
    <xf numFmtId="0" fontId="8" fillId="0" borderId="0"/>
    <xf numFmtId="3" fontId="8" fillId="0" borderId="0"/>
    <xf numFmtId="0" fontId="8" fillId="60" borderId="0"/>
    <xf numFmtId="4" fontId="8" fillId="0" borderId="0"/>
    <xf numFmtId="0" fontId="36" fillId="0" borderId="0"/>
    <xf numFmtId="0" fontId="8" fillId="61" borderId="0"/>
    <xf numFmtId="12" fontId="8" fillId="0" borderId="0" applyAlignment="1">
      <alignment horizontal="right"/>
    </xf>
    <xf numFmtId="230" fontId="50" fillId="62" borderId="0" applyAlignment="1">
      <alignment horizontal="right"/>
    </xf>
    <xf numFmtId="0" fontId="8" fillId="0" borderId="0" applyAlignment="1">
      <alignment horizontal="right"/>
    </xf>
    <xf numFmtId="0" fontId="28" fillId="0" borderId="0"/>
    <xf numFmtId="0" fontId="28" fillId="0" borderId="0"/>
    <xf numFmtId="0" fontId="28" fillId="0" borderId="0"/>
    <xf numFmtId="0" fontId="9" fillId="0" borderId="0"/>
    <xf numFmtId="0" fontId="90" fillId="0" borderId="0" applyAlignment="1">
      <alignment vertical="top"/>
    </xf>
    <xf numFmtId="0" fontId="90" fillId="0" borderId="0" applyAlignment="1">
      <alignment vertical="top"/>
    </xf>
    <xf numFmtId="41" fontId="8" fillId="0" borderId="0"/>
    <xf numFmtId="41" fontId="8" fillId="0" borderId="0"/>
    <xf numFmtId="41" fontId="8" fillId="0" borderId="0"/>
    <xf numFmtId="41" fontId="8" fillId="0" borderId="0"/>
    <xf numFmtId="0" fontId="90" fillId="0" borderId="0" applyAlignment="1">
      <alignment vertical="top"/>
    </xf>
    <xf numFmtId="0" fontId="90" fillId="0" borderId="0" applyAlignment="1">
      <alignment vertical="top"/>
    </xf>
    <xf numFmtId="0" fontId="90" fillId="0" borderId="0" applyAlignment="1">
      <alignment vertical="top"/>
    </xf>
    <xf numFmtId="41" fontId="8" fillId="0" borderId="0"/>
    <xf numFmtId="41" fontId="8" fillId="0" borderId="0"/>
    <xf numFmtId="0" fontId="90" fillId="0" borderId="0" applyAlignment="1">
      <alignment vertical="top"/>
    </xf>
    <xf numFmtId="0" fontId="161" fillId="55" borderId="0"/>
    <xf numFmtId="0" fontId="80" fillId="0" borderId="0"/>
    <xf numFmtId="0" fontId="162" fillId="55" borderId="0"/>
    <xf numFmtId="0" fontId="112" fillId="0" borderId="0"/>
    <xf numFmtId="0" fontId="9" fillId="0" borderId="0"/>
    <xf numFmtId="0" fontId="163" fillId="63" borderId="0"/>
    <xf numFmtId="0" fontId="163" fillId="63" borderId="0" applyAlignment="1">
      <alignment horizontal="center"/>
    </xf>
    <xf numFmtId="0" fontId="164" fillId="63" borderId="0"/>
    <xf numFmtId="0" fontId="8" fillId="0" borderId="0" applyAlignment="1">
      <alignment horizontal="right"/>
    </xf>
    <xf numFmtId="41" fontId="8" fillId="0" borderId="0"/>
    <xf numFmtId="0" fontId="8" fillId="0" borderId="0" applyAlignment="1">
      <alignment horizontal="left"/>
    </xf>
    <xf numFmtId="0" fontId="28" fillId="0" borderId="0"/>
    <xf numFmtId="0" fontId="45" fillId="0" borderId="0"/>
    <xf numFmtId="0" fontId="8" fillId="50" borderId="0"/>
    <xf numFmtId="231" fontId="8" fillId="0" borderId="0"/>
    <xf numFmtId="2" fontId="8" fillId="0" borderId="0"/>
    <xf numFmtId="193" fontId="8" fillId="0" borderId="0"/>
    <xf numFmtId="0" fontId="90" fillId="0" borderId="0" applyAlignment="1">
      <alignment vertical="top"/>
    </xf>
    <xf numFmtId="41" fontId="8" fillId="0" borderId="0"/>
    <xf numFmtId="0" fontId="8" fillId="0" borderId="27"/>
    <xf numFmtId="41" fontId="8" fillId="0" borderId="0"/>
    <xf numFmtId="0" fontId="90" fillId="0" borderId="0" applyAlignment="1">
      <alignment vertical="top"/>
    </xf>
    <xf numFmtId="0" fontId="90" fillId="0" borderId="0" applyAlignment="1">
      <alignment vertical="top"/>
    </xf>
    <xf numFmtId="41" fontId="8" fillId="0" borderId="0"/>
    <xf numFmtId="0" fontId="90" fillId="0" borderId="0" applyAlignment="1">
      <alignment vertical="top"/>
    </xf>
    <xf numFmtId="0" fontId="90" fillId="0" borderId="0" applyAlignment="1">
      <alignment vertical="top"/>
    </xf>
    <xf numFmtId="0" fontId="90" fillId="0" borderId="0" applyAlignment="1">
      <alignment vertical="top"/>
    </xf>
    <xf numFmtId="41" fontId="8" fillId="0" borderId="0"/>
    <xf numFmtId="41" fontId="8" fillId="0" borderId="0"/>
    <xf numFmtId="0" fontId="90" fillId="0" borderId="0" applyAlignment="1">
      <alignment vertical="top"/>
    </xf>
    <xf numFmtId="0" fontId="90" fillId="0" borderId="0" applyAlignment="1">
      <alignment vertical="top"/>
    </xf>
    <xf numFmtId="0" fontId="90" fillId="0" borderId="0" applyAlignment="1">
      <alignment vertical="top"/>
    </xf>
    <xf numFmtId="0" fontId="163" fillId="63" borderId="0"/>
    <xf numFmtId="41" fontId="8" fillId="0" borderId="0"/>
    <xf numFmtId="0" fontId="90" fillId="0" borderId="0" applyAlignment="1">
      <alignment vertical="top"/>
    </xf>
    <xf numFmtId="41" fontId="8" fillId="0" borderId="0"/>
    <xf numFmtId="41" fontId="8" fillId="0" borderId="0"/>
    <xf numFmtId="0" fontId="8" fillId="0" borderId="0"/>
    <xf numFmtId="0" fontId="8" fillId="0" borderId="0"/>
    <xf numFmtId="232" fontId="8" fillId="0" borderId="0"/>
    <xf numFmtId="0" fontId="8" fillId="0" borderId="0"/>
    <xf numFmtId="0" fontId="8" fillId="0" borderId="0"/>
    <xf numFmtId="232" fontId="8" fillId="0" borderId="0"/>
    <xf numFmtId="41" fontId="8" fillId="0" borderId="0"/>
    <xf numFmtId="232" fontId="8" fillId="0" borderId="0"/>
    <xf numFmtId="232" fontId="8" fillId="0" borderId="0"/>
    <xf numFmtId="0" fontId="8" fillId="0" borderId="0"/>
    <xf numFmtId="232" fontId="8" fillId="0" borderId="0"/>
    <xf numFmtId="0" fontId="8" fillId="0" borderId="0"/>
    <xf numFmtId="0" fontId="8" fillId="0" borderId="0"/>
    <xf numFmtId="232" fontId="8" fillId="0" borderId="0"/>
    <xf numFmtId="232" fontId="8" fillId="0" borderId="0"/>
    <xf numFmtId="232" fontId="8" fillId="0" borderId="0"/>
    <xf numFmtId="0" fontId="8" fillId="0" borderId="0"/>
    <xf numFmtId="41" fontId="8" fillId="0" borderId="0"/>
    <xf numFmtId="232" fontId="8" fillId="0" borderId="0"/>
    <xf numFmtId="0" fontId="8" fillId="0" borderId="0"/>
    <xf numFmtId="0" fontId="8" fillId="0" borderId="0"/>
    <xf numFmtId="232" fontId="8" fillId="0" borderId="0"/>
    <xf numFmtId="232" fontId="8" fillId="0" borderId="0"/>
    <xf numFmtId="232" fontId="8" fillId="0" borderId="0"/>
    <xf numFmtId="41" fontId="8" fillId="0" borderId="0"/>
    <xf numFmtId="0" fontId="90" fillId="0" borderId="0" applyAlignment="1">
      <alignment vertical="top"/>
    </xf>
    <xf numFmtId="0" fontId="90" fillId="0" borderId="0" applyAlignment="1">
      <alignment vertical="top"/>
    </xf>
    <xf numFmtId="41" fontId="8" fillId="0" borderId="0"/>
    <xf numFmtId="41" fontId="8" fillId="0" borderId="0"/>
    <xf numFmtId="0" fontId="90" fillId="0" borderId="0" applyAlignment="1">
      <alignment vertical="top"/>
    </xf>
    <xf numFmtId="0" fontId="90" fillId="0" borderId="0" applyAlignment="1">
      <alignment vertical="top"/>
    </xf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0" fontId="90" fillId="0" borderId="0" applyAlignment="1">
      <alignment vertical="top"/>
    </xf>
    <xf numFmtId="41" fontId="8" fillId="0" borderId="0"/>
    <xf numFmtId="0" fontId="90" fillId="0" borderId="0" applyAlignment="1">
      <alignment vertical="top"/>
    </xf>
    <xf numFmtId="41" fontId="8" fillId="0" borderId="0"/>
    <xf numFmtId="41" fontId="8" fillId="0" borderId="0"/>
    <xf numFmtId="41" fontId="8" fillId="0" borderId="0"/>
    <xf numFmtId="0" fontId="50" fillId="0" borderId="0"/>
    <xf numFmtId="0" fontId="50" fillId="0" borderId="0" applyAlignment="1" applyProtection="1">
      <alignment horizontal="left"/>
      <protection locked="0" hidden="0"/>
    </xf>
    <xf numFmtId="0" fontId="50" fillId="0" borderId="0"/>
    <xf numFmtId="0" fontId="165" fillId="0" borderId="0" applyAlignment="1">
      <alignment horizontal="left" vertical="center"/>
    </xf>
    <xf numFmtId="0" fontId="50" fillId="0" borderId="0" applyAlignment="1" applyProtection="1">
      <alignment horizontal="left"/>
      <protection locked="0" hidden="0"/>
    </xf>
    <xf numFmtId="0" fontId="50" fillId="0" borderId="0" applyProtection="1">
      <protection locked="0" hidden="0"/>
    </xf>
    <xf numFmtId="196" fontId="26" fillId="0" borderId="0"/>
    <xf numFmtId="233" fontId="166" fillId="0" borderId="0" applyProtection="1">
      <protection locked="0" hidden="0"/>
    </xf>
    <xf numFmtId="40" fontId="167" fillId="0" borderId="0" applyAlignment="1">
      <alignment horizontal="right"/>
    </xf>
    <xf numFmtId="196" fontId="8" fillId="0" borderId="0"/>
    <xf numFmtId="0" fontId="45" fillId="47" borderId="0"/>
    <xf numFmtId="234" fontId="93" fillId="0" borderId="0"/>
    <xf numFmtId="0" fontId="8" fillId="0" borderId="25"/>
    <xf numFmtId="192" fontId="150" fillId="0" borderId="0"/>
    <xf numFmtId="192" fontId="150" fillId="0" borderId="0"/>
    <xf numFmtId="0" fontId="9" fillId="0" borderId="0"/>
    <xf numFmtId="0" fontId="50" fillId="0" borderId="0"/>
    <xf numFmtId="235" fontId="50" fillId="0" borderId="0"/>
    <xf numFmtId="235" fontId="50" fillId="0" borderId="0"/>
    <xf numFmtId="0" fontId="150" fillId="0" borderId="0"/>
    <xf numFmtId="192" fontId="150" fillId="0" borderId="0"/>
    <xf numFmtId="0" fontId="168" fillId="0" borderId="0" applyAlignment="1">
      <alignment horizontal="center" vertical="center"/>
    </xf>
    <xf numFmtId="0" fontId="169" fillId="0" borderId="0" applyAlignment="1">
      <alignment vertical="center"/>
    </xf>
    <xf numFmtId="209" fontId="169" fillId="0" borderId="1" applyAlignment="1">
      <alignment horizontal="right" vertical="center"/>
    </xf>
    <xf numFmtId="0" fontId="170" fillId="64" borderId="0" applyAlignment="1">
      <alignment horizontal="centerContinuous" vertical="center"/>
    </xf>
    <xf numFmtId="0" fontId="170" fillId="63" borderId="1" applyAlignment="1">
      <alignment horizontal="centerContinuous" vertical="center"/>
    </xf>
    <xf numFmtId="0" fontId="171" fillId="0" borderId="0" applyAlignment="1">
      <alignment horizontal="left"/>
    </xf>
    <xf numFmtId="0" fontId="45" fillId="0" borderId="0" applyAlignment="1">
      <alignment horizontal="left"/>
    </xf>
    <xf numFmtId="0" fontId="104" fillId="0" borderId="0" applyAlignment="1">
      <alignment horizontal="left"/>
    </xf>
    <xf numFmtId="0" fontId="168" fillId="0" borderId="0"/>
    <xf numFmtId="0" fontId="118" fillId="0" borderId="0"/>
    <xf numFmtId="0" fontId="172" fillId="0" borderId="0" applyAlignment="1">
      <alignment horizontal="left"/>
    </xf>
    <xf numFmtId="0" fontId="104" fillId="0" borderId="7" applyAlignment="1">
      <alignment horizontal="left" vertical="top"/>
    </xf>
    <xf numFmtId="0" fontId="104" fillId="0" borderId="7" applyAlignment="1">
      <alignment horizontal="left" vertical="top"/>
    </xf>
    <xf numFmtId="0" fontId="104" fillId="0" borderId="7" applyAlignment="1">
      <alignment horizontal="left" vertical="top"/>
    </xf>
    <xf numFmtId="0" fontId="104" fillId="0" borderId="7" applyAlignment="1">
      <alignment horizontal="left" vertical="top"/>
    </xf>
    <xf numFmtId="0" fontId="149" fillId="0" borderId="0" applyAlignment="1">
      <alignment horizontal="centerContinuous"/>
    </xf>
    <xf numFmtId="0" fontId="54" fillId="41" borderId="2" applyProtection="1">
      <protection locked="0" hidden="0"/>
    </xf>
    <xf numFmtId="0" fontId="50" fillId="0" borderId="0" applyAlignment="1">
      <alignment horizontal="left"/>
    </xf>
    <xf numFmtId="236" fontId="173" fillId="0" borderId="0" applyAlignment="1">
      <alignment horizontal="right"/>
    </xf>
    <xf numFmtId="0" fontId="8" fillId="0" borderId="0" applyAlignment="1">
      <alignment horizontal="right"/>
    </xf>
    <xf numFmtId="0" fontId="54" fillId="41" borderId="49" applyProtection="1">
      <protection locked="0" hidden="0"/>
    </xf>
    <xf numFmtId="0" fontId="28" fillId="0" borderId="0"/>
    <xf numFmtId="0" fontId="45" fillId="0" borderId="0"/>
    <xf numFmtId="0" fontId="174" fillId="0" borderId="0"/>
    <xf numFmtId="0" fontId="175" fillId="0" borderId="0"/>
    <xf numFmtId="0" fontId="176" fillId="0" borderId="0"/>
    <xf numFmtId="0" fontId="177" fillId="0" borderId="0"/>
    <xf numFmtId="0" fontId="176" fillId="0" borderId="0"/>
    <xf numFmtId="0" fontId="8" fillId="0" borderId="0"/>
    <xf numFmtId="0" fontId="175" fillId="0" borderId="0"/>
    <xf numFmtId="0" fontId="175" fillId="0" borderId="0"/>
    <xf numFmtId="0" fontId="174" fillId="0" borderId="7"/>
    <xf numFmtId="0" fontId="8" fillId="0" borderId="0" applyAlignment="1">
      <alignment horizontal="right"/>
    </xf>
    <xf numFmtId="11" fontId="26" fillId="0" borderId="0"/>
    <xf numFmtId="18" fontId="54" fillId="41" borderId="0" applyProtection="1">
      <protection locked="0" hidden="0"/>
    </xf>
    <xf numFmtId="1" fontId="8" fillId="0" borderId="9" applyAlignment="1">
      <alignment horizontal="right"/>
    </xf>
    <xf numFmtId="0" fontId="29" fillId="0" borderId="0"/>
    <xf numFmtId="0" fontId="35" fillId="0" borderId="0"/>
    <xf numFmtId="0" fontId="8" fillId="0" borderId="0" applyAlignment="1">
      <alignment horizontal="center"/>
    </xf>
    <xf numFmtId="196" fontId="8" fillId="0" borderId="0"/>
    <xf numFmtId="0" fontId="178" fillId="0" borderId="50"/>
    <xf numFmtId="0" fontId="179" fillId="0" borderId="9"/>
    <xf numFmtId="196" fontId="8" fillId="0" borderId="0"/>
    <xf numFmtId="38" fontId="8" fillId="0" borderId="0" applyAlignment="1">
      <alignment horizontal="left"/>
    </xf>
    <xf numFmtId="0" fontId="176" fillId="0" borderId="0"/>
    <xf numFmtId="0" fontId="175" fillId="0" borderId="0"/>
    <xf numFmtId="0" fontId="180" fillId="0" borderId="0" applyAlignment="1">
      <alignment horizontal="left" vertical="center"/>
    </xf>
    <xf numFmtId="0" fontId="181" fillId="0" borderId="0"/>
    <xf numFmtId="0" fontId="58" fillId="40" borderId="26"/>
    <xf numFmtId="0" fontId="182" fillId="0" borderId="18"/>
    <xf numFmtId="0" fontId="183" fillId="0" borderId="0"/>
    <xf numFmtId="0" fontId="183" fillId="0" borderId="0"/>
    <xf numFmtId="0" fontId="183" fillId="0" borderId="37" applyAlignment="1">
      <alignment vertical="center"/>
    </xf>
    <xf numFmtId="40" fontId="26" fillId="0" borderId="0" applyProtection="1">
      <protection locked="0" hidden="0"/>
    </xf>
    <xf numFmtId="0" fontId="28" fillId="0" borderId="0" applyAlignment="1">
      <alignment horizontal="right"/>
    </xf>
    <xf numFmtId="236" fontId="8" fillId="0" borderId="0" applyAlignment="1" applyProtection="1">
      <alignment horizontal="left"/>
      <protection locked="0" hidden="0"/>
    </xf>
    <xf numFmtId="0" fontId="29" fillId="0" borderId="51" applyAlignment="1">
      <alignment horizontal="left"/>
    </xf>
    <xf numFmtId="205" fontId="184" fillId="0" borderId="0" applyAlignment="1">
      <alignment horizontal="right"/>
    </xf>
    <xf numFmtId="206" fontId="184" fillId="0" borderId="0" applyAlignment="1">
      <alignment horizontal="right"/>
    </xf>
    <xf numFmtId="1" fontId="184" fillId="0" borderId="0" applyAlignment="1">
      <alignment horizontal="left"/>
    </xf>
    <xf numFmtId="204" fontId="184" fillId="0" borderId="0" applyAlignment="1">
      <alignment horizontal="right"/>
    </xf>
    <xf numFmtId="0" fontId="185" fillId="0" borderId="0" applyAlignment="1">
      <alignment horizontal="fill"/>
    </xf>
    <xf numFmtId="6" fontId="26" fillId="0" borderId="0" applyProtection="1">
      <protection locked="0" hidden="0"/>
    </xf>
    <xf numFmtId="0" fontId="50" fillId="0" borderId="0"/>
    <xf numFmtId="37" fontId="28" fillId="65" borderId="0"/>
    <xf numFmtId="37" fontId="28" fillId="0" borderId="0"/>
    <xf numFmtId="3" fontId="91" fillId="0" borderId="43"/>
    <xf numFmtId="0" fontId="26" fillId="0" borderId="0"/>
    <xf numFmtId="38" fontId="26" fillId="0" borderId="0"/>
    <xf numFmtId="38" fontId="8" fillId="0" borderId="0" applyAlignment="1">
      <alignment horizontal="left"/>
    </xf>
    <xf numFmtId="44" fontId="8" fillId="0" borderId="0"/>
    <xf numFmtId="0" fontId="118" fillId="0" borderId="0"/>
    <xf numFmtId="0" fontId="8" fillId="0" borderId="0"/>
    <xf numFmtId="0" fontId="118" fillId="0" borderId="0"/>
    <xf numFmtId="0" fontId="118" fillId="0" borderId="0"/>
    <xf numFmtId="0" fontId="8" fillId="0" borderId="0"/>
    <xf numFmtId="0" fontId="8" fillId="0" borderId="0"/>
    <xf numFmtId="0" fontId="118" fillId="0" borderId="0"/>
    <xf numFmtId="0" fontId="8" fillId="0" borderId="0"/>
    <xf numFmtId="0" fontId="8" fillId="0" borderId="0"/>
    <xf numFmtId="0" fontId="186" fillId="0" borderId="0"/>
    <xf numFmtId="0" fontId="29" fillId="0" borderId="0"/>
    <xf numFmtId="0" fontId="149" fillId="0" borderId="0"/>
    <xf numFmtId="0" fontId="149" fillId="0" borderId="0"/>
    <xf numFmtId="0" fontId="45" fillId="41" borderId="0"/>
    <xf numFmtId="0" fontId="45" fillId="41" borderId="2" applyProtection="1">
      <protection locked="0" hidden="0"/>
    </xf>
    <xf numFmtId="0" fontId="187" fillId="0" borderId="0"/>
    <xf numFmtId="1" fontId="26" fillId="0" borderId="0"/>
    <xf numFmtId="0" fontId="8" fillId="0" borderId="25"/>
    <xf numFmtId="0" fontId="8" fillId="0" borderId="25"/>
    <xf numFmtId="0" fontId="8" fillId="0" borderId="25"/>
    <xf numFmtId="0" fontId="29" fillId="0" borderId="0" applyAlignment="1">
      <alignment horizontal="right"/>
    </xf>
    <xf numFmtId="0" fontId="29" fillId="0" borderId="0"/>
    <xf numFmtId="0" fontId="29" fillId="0" borderId="0" applyAlignment="1">
      <alignment horizontal="right"/>
    </xf>
    <xf numFmtId="0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0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0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0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0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7" fontId="29" fillId="0" borderId="0" applyAlignment="1">
      <alignment horizontal="right"/>
    </xf>
    <xf numFmtId="238" fontId="113" fillId="0" borderId="1" applyAlignment="1">
      <alignment horizontal="right"/>
    </xf>
    <xf numFmtId="0" fontId="64" fillId="0" borderId="0"/>
    <xf numFmtId="43" fontId="23" fillId="0" borderId="0"/>
  </cellStyleXfs>
  <cellXfs count="19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0" pivotButton="0" quotePrefix="0" xfId="0"/>
    <xf numFmtId="0" fontId="0" fillId="0" borderId="1" pivotButton="0" quotePrefix="0" xfId="0"/>
    <xf numFmtId="165" fontId="10" fillId="0" borderId="0" pivotButton="0" quotePrefix="0" xfId="0"/>
    <xf numFmtId="164" fontId="6" fillId="0" borderId="0" pivotButton="0" quotePrefix="0" xfId="0"/>
    <xf numFmtId="164" fontId="5" fillId="0" borderId="0" pivotButton="0" quotePrefix="0" xfId="0"/>
    <xf numFmtId="164" fontId="6" fillId="0" borderId="1" pivotButton="0" quotePrefix="0" xfId="0"/>
    <xf numFmtId="164" fontId="5" fillId="0" borderId="1" pivotButton="0" quotePrefix="0" xfId="0"/>
    <xf numFmtId="164" fontId="13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6" fontId="5" fillId="0" borderId="0" pivotButton="0" quotePrefix="0" xfId="0"/>
    <xf numFmtId="164" fontId="12" fillId="0" borderId="0" pivotButton="0" quotePrefix="0" xfId="0"/>
    <xf numFmtId="164" fontId="15" fillId="0" borderId="0" pivotButton="0" quotePrefix="0" xfId="0"/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13" fillId="3" borderId="0" pivotButton="0" quotePrefix="0" xfId="0"/>
    <xf numFmtId="0" fontId="6" fillId="3" borderId="0" pivotButton="0" quotePrefix="0" xfId="0"/>
    <xf numFmtId="0" fontId="3" fillId="4" borderId="0" pivotButton="0" quotePrefix="0" xfId="0"/>
    <xf numFmtId="0" fontId="1" fillId="4" borderId="0" pivotButton="0" quotePrefix="0" xfId="0"/>
    <xf numFmtId="164" fontId="10" fillId="0" borderId="0" pivotButton="0" quotePrefix="0" xfId="0"/>
    <xf numFmtId="164" fontId="18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168" fontId="21" fillId="0" borderId="1" pivotButton="0" quotePrefix="0" xfId="0"/>
    <xf numFmtId="164" fontId="13" fillId="0" borderId="6" pivotButton="0" quotePrefix="0" xfId="0"/>
    <xf numFmtId="164" fontId="6" fillId="0" borderId="6" pivotButton="0" quotePrefix="0" xfId="0"/>
    <xf numFmtId="0" fontId="4" fillId="0" borderId="0" applyAlignment="1" pivotButton="0" quotePrefix="0" xfId="0">
      <alignment horizontal="center"/>
    </xf>
    <xf numFmtId="169" fontId="21" fillId="0" borderId="0" pivotButton="0" quotePrefix="0" xfId="0"/>
    <xf numFmtId="0" fontId="14" fillId="0" borderId="0" pivotButton="0" quotePrefix="0" xfId="0"/>
    <xf numFmtId="0" fontId="1" fillId="36" borderId="0" applyAlignment="1" pivotButton="0" quotePrefix="0" xfId="0">
      <alignment horizontal="center"/>
    </xf>
    <xf numFmtId="0" fontId="20" fillId="0" borderId="0" pivotButton="0" quotePrefix="0" xfId="0"/>
    <xf numFmtId="164" fontId="15" fillId="0" borderId="0" applyAlignment="1" pivotButton="0" quotePrefix="0" xfId="0">
      <alignment horizontal="center"/>
    </xf>
    <xf numFmtId="164" fontId="21" fillId="0" borderId="1" applyAlignment="1" pivotButton="0" quotePrefix="0" xfId="0">
      <alignment horizontal="center"/>
    </xf>
    <xf numFmtId="9" fontId="4" fillId="0" borderId="0" applyAlignment="1" pivotButton="0" quotePrefix="0" xfId="2">
      <alignment horizontal="center"/>
    </xf>
    <xf numFmtId="0" fontId="3" fillId="36" borderId="0" pivotButton="0" quotePrefix="0" xfId="0"/>
    <xf numFmtId="0" fontId="1" fillId="36" borderId="4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6" fillId="3" borderId="6" pivotButton="0" quotePrefix="0" xfId="0"/>
    <xf numFmtId="164" fontId="6" fillId="0" borderId="8" pivotButton="0" quotePrefix="0" xfId="0"/>
    <xf numFmtId="165" fontId="10" fillId="0" borderId="6" pivotButton="0" quotePrefix="0" xfId="0"/>
    <xf numFmtId="164" fontId="2" fillId="0" borderId="6" pivotButton="0" quotePrefix="0" xfId="0"/>
    <xf numFmtId="166" fontId="6" fillId="0" borderId="6" pivotButton="0" quotePrefix="0" xfId="0"/>
    <xf numFmtId="167" fontId="6" fillId="0" borderId="6" pivotButton="0" quotePrefix="0" xfId="0"/>
    <xf numFmtId="164" fontId="10" fillId="0" borderId="6" pivotButton="0" quotePrefix="0" xfId="0"/>
    <xf numFmtId="0" fontId="17" fillId="0" borderId="6" applyAlignment="1" pivotButton="0" quotePrefix="0" xfId="0">
      <alignment horizontal="center"/>
    </xf>
    <xf numFmtId="0" fontId="1" fillId="36" borderId="39" applyAlignment="1" pivotButton="0" quotePrefix="0" xfId="0">
      <alignment horizontal="center"/>
    </xf>
    <xf numFmtId="0" fontId="2" fillId="0" borderId="26" applyAlignment="1" pivotButton="0" quotePrefix="0" xfId="0">
      <alignment horizontal="center"/>
    </xf>
    <xf numFmtId="166" fontId="6" fillId="3" borderId="26" pivotButton="0" quotePrefix="0" xfId="0"/>
    <xf numFmtId="166" fontId="6" fillId="0" borderId="26" pivotButton="0" quotePrefix="0" xfId="0"/>
    <xf numFmtId="164" fontId="6" fillId="0" borderId="26" pivotButton="0" quotePrefix="0" xfId="0"/>
    <xf numFmtId="164" fontId="6" fillId="0" borderId="36" pivotButton="0" quotePrefix="0" xfId="0"/>
    <xf numFmtId="164" fontId="13" fillId="0" borderId="26" pivotButton="0" quotePrefix="0" xfId="0"/>
    <xf numFmtId="165" fontId="10" fillId="0" borderId="26" pivotButton="0" quotePrefix="0" xfId="0"/>
    <xf numFmtId="164" fontId="2" fillId="0" borderId="26" pivotButton="0" quotePrefix="0" xfId="0"/>
    <xf numFmtId="167" fontId="6" fillId="0" borderId="26" pivotButton="0" quotePrefix="0" xfId="0"/>
    <xf numFmtId="164" fontId="10" fillId="0" borderId="26" pivotButton="0" quotePrefix="0" xfId="0"/>
    <xf numFmtId="0" fontId="17" fillId="0" borderId="26" applyAlignment="1" pivotButton="0" quotePrefix="0" xfId="0">
      <alignment horizontal="center"/>
    </xf>
    <xf numFmtId="0" fontId="2" fillId="2" borderId="0" pivotButton="0" quotePrefix="0" xfId="0"/>
    <xf numFmtId="166" fontId="6" fillId="2" borderId="0" pivotButton="0" quotePrefix="0" xfId="0"/>
    <xf numFmtId="165" fontId="5" fillId="0" borderId="0" pivotButton="0" quotePrefix="0" xfId="0"/>
    <xf numFmtId="166" fontId="18" fillId="0" borderId="0" pivotButton="0" quotePrefix="0" xfId="0"/>
    <xf numFmtId="164" fontId="21" fillId="0" borderId="0" pivotButton="0" quotePrefix="0" xfId="0"/>
    <xf numFmtId="164" fontId="188" fillId="0" borderId="0" pivotButton="0" quotePrefix="0" xfId="0"/>
    <xf numFmtId="169" fontId="19" fillId="0" borderId="0" pivotButton="0" quotePrefix="0" xfId="0"/>
    <xf numFmtId="169" fontId="19" fillId="0" borderId="1" pivotButton="0" quotePrefix="0" xfId="0"/>
    <xf numFmtId="169" fontId="21" fillId="0" borderId="1" pivotButton="0" quotePrefix="0" xfId="0"/>
    <xf numFmtId="164" fontId="21" fillId="0" borderId="0" applyAlignment="1" pivotButton="0" quotePrefix="0" xfId="0">
      <alignment horizontal="center"/>
    </xf>
    <xf numFmtId="0" fontId="4" fillId="0" borderId="1" pivotButton="0" quotePrefix="0" xfId="0"/>
    <xf numFmtId="165" fontId="10" fillId="0" borderId="1" pivotButton="0" quotePrefix="0" xfId="0"/>
    <xf numFmtId="164" fontId="21" fillId="0" borderId="1" pivotButton="0" quotePrefix="0" xfId="0"/>
    <xf numFmtId="164" fontId="189" fillId="0" borderId="26" pivotButton="0" quotePrefix="0" xfId="0"/>
    <xf numFmtId="164" fontId="189" fillId="0" borderId="6" pivotButton="0" quotePrefix="0" xfId="0"/>
    <xf numFmtId="164" fontId="2" fillId="0" borderId="39" pivotButton="0" quotePrefix="0" xfId="0"/>
    <xf numFmtId="165" fontId="7" fillId="0" borderId="0" pivotButton="0" quotePrefix="0" xfId="0"/>
    <xf numFmtId="165" fontId="7" fillId="0" borderId="1" pivotButton="0" quotePrefix="0" xfId="0"/>
    <xf numFmtId="9" fontId="0" fillId="0" borderId="0" pivotButton="0" quotePrefix="0" xfId="2"/>
    <xf numFmtId="0" fontId="0" fillId="66" borderId="30" pivotButton="0" quotePrefix="0" xfId="0"/>
    <xf numFmtId="164" fontId="188" fillId="0" borderId="0" applyAlignment="1" pivotButton="0" quotePrefix="0" xfId="0">
      <alignment horizontal="center"/>
    </xf>
    <xf numFmtId="169" fontId="21" fillId="0" borderId="0" applyAlignment="1" pivotButton="0" quotePrefix="0" xfId="0">
      <alignment horizontal="center"/>
    </xf>
    <xf numFmtId="169" fontId="21" fillId="0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9" fontId="0" fillId="0" borderId="1" applyAlignment="1" pivotButton="0" quotePrefix="0" xfId="2">
      <alignment horizontal="center"/>
    </xf>
    <xf numFmtId="9" fontId="0" fillId="66" borderId="36" applyAlignment="1" pivotButton="0" quotePrefix="0" xfId="0">
      <alignment horizontal="center"/>
    </xf>
    <xf numFmtId="9" fontId="0" fillId="66" borderId="3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21" fillId="2" borderId="0" applyAlignment="1" pivotButton="0" quotePrefix="0" xfId="0">
      <alignment horizontal="center"/>
    </xf>
    <xf numFmtId="164" fontId="5" fillId="2" borderId="0" applyAlignment="1" pivotButton="0" quotePrefix="0" xfId="0">
      <alignment horizontal="center"/>
    </xf>
    <xf numFmtId="166" fontId="18" fillId="2" borderId="2" pivotButton="0" quotePrefix="0" xfId="0"/>
    <xf numFmtId="170" fontId="21" fillId="66" borderId="0" pivotButton="0" quotePrefix="0" xfId="0"/>
    <xf numFmtId="169" fontId="21" fillId="2" borderId="30" pivotButton="0" quotePrefix="0" xfId="0"/>
    <xf numFmtId="9" fontId="0" fillId="2" borderId="30" applyAlignment="1" pivotButton="0" quotePrefix="0" xfId="0">
      <alignment horizontal="center"/>
    </xf>
    <xf numFmtId="164" fontId="21" fillId="2" borderId="1" pivotButton="0" quotePrefix="0" xfId="0"/>
    <xf numFmtId="169" fontId="0" fillId="2" borderId="1" pivotButton="0" quotePrefix="0" xfId="0"/>
    <xf numFmtId="164" fontId="0" fillId="2" borderId="30" pivotButton="0" quotePrefix="0" xfId="0"/>
    <xf numFmtId="164" fontId="18" fillId="2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0" borderId="26" pivotButton="0" quotePrefix="0" xfId="0"/>
    <xf numFmtId="164" fontId="0" fillId="2" borderId="1" pivotButton="0" quotePrefix="0" xfId="0"/>
    <xf numFmtId="164" fontId="0" fillId="0" borderId="1" pivotButton="0" quotePrefix="0" xfId="0"/>
    <xf numFmtId="43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21" fillId="0" borderId="0" applyAlignment="1" pivotButton="0" quotePrefix="0" xfId="0">
      <alignment vertical="top"/>
    </xf>
    <xf numFmtId="0" fontId="21" fillId="0" borderId="1" applyAlignment="1" pivotButton="0" quotePrefix="0" xfId="0">
      <alignment vertical="top"/>
    </xf>
    <xf numFmtId="164" fontId="21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/>
    </xf>
    <xf numFmtId="3" fontId="0" fillId="0" borderId="0" pivotButton="0" quotePrefix="0" xfId="0"/>
    <xf numFmtId="164" fontId="190" fillId="67" borderId="0" pivotButton="0" quotePrefix="0" xfId="0"/>
    <xf numFmtId="168" fontId="21" fillId="0" borderId="0" applyAlignment="1" pivotButton="0" quotePrefix="0" xfId="0">
      <alignment horizontal="center"/>
    </xf>
    <xf numFmtId="168" fontId="21" fillId="0" borderId="1" applyAlignment="1" pivotButton="0" quotePrefix="0" xfId="0">
      <alignment horizontal="center"/>
    </xf>
    <xf numFmtId="168" fontId="15" fillId="0" borderId="0" applyAlignment="1" pivotButton="0" quotePrefix="0" xfId="0">
      <alignment horizontal="center"/>
    </xf>
    <xf numFmtId="166" fontId="6" fillId="0" borderId="36" pivotButton="0" quotePrefix="0" xfId="0"/>
    <xf numFmtId="166" fontId="6" fillId="0" borderId="8" pivotButton="0" quotePrefix="0" xfId="0"/>
    <xf numFmtId="166" fontId="0" fillId="0" borderId="1" pivotButton="0" quotePrefix="0" xfId="0"/>
    <xf numFmtId="166" fontId="6" fillId="0" borderId="1" pivotButton="0" quotePrefix="0" xfId="0"/>
    <xf numFmtId="166" fontId="0" fillId="2" borderId="1" pivotButton="0" quotePrefix="0" xfId="0"/>
    <xf numFmtId="166" fontId="5" fillId="0" borderId="1" pivotButton="0" quotePrefix="0" xfId="0"/>
    <xf numFmtId="164" fontId="4" fillId="0" borderId="1" pivotButton="0" quotePrefix="0" xfId="0"/>
    <xf numFmtId="0" fontId="0" fillId="0" borderId="52" applyAlignment="1" pivotButton="0" quotePrefix="0" xfId="0">
      <alignment horizontal="center"/>
    </xf>
    <xf numFmtId="9" fontId="0" fillId="0" borderId="53" applyAlignment="1" pivotButton="0" quotePrefix="0" xfId="0">
      <alignment horizontal="center"/>
    </xf>
    <xf numFmtId="164" fontId="2" fillId="0" borderId="0" applyAlignment="1" pivotButton="0" quotePrefix="0" xfId="0">
      <alignment horizontal="right"/>
    </xf>
    <xf numFmtId="169" fontId="22" fillId="0" borderId="0" applyAlignment="1" pivotButton="0" quotePrefix="0" xfId="0">
      <alignment horizontal="right"/>
    </xf>
    <xf numFmtId="165" fontId="10" fillId="0" borderId="0" applyAlignment="1" pivotButton="0" quotePrefix="0" xfId="0">
      <alignment horizontal="right"/>
    </xf>
    <xf numFmtId="9" fontId="0" fillId="0" borderId="54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165" fontId="17" fillId="0" borderId="0" pivotButton="0" quotePrefix="0" xfId="0"/>
    <xf numFmtId="0" fontId="10" fillId="0" borderId="0" applyAlignment="1" pivotButton="0" quotePrefix="0" xfId="0">
      <alignment horizontal="center"/>
    </xf>
    <xf numFmtId="164" fontId="10" fillId="0" borderId="1" pivotButton="0" quotePrefix="0" xfId="0"/>
    <xf numFmtId="164" fontId="7" fillId="0" borderId="1" pivotButton="0" quotePrefix="0" xfId="0"/>
    <xf numFmtId="9" fontId="5" fillId="0" borderId="53" applyAlignment="1" pivotButton="0" quotePrefix="0" xfId="0">
      <alignment horizontal="center"/>
    </xf>
    <xf numFmtId="9" fontId="5" fillId="0" borderId="54" applyAlignment="1" pivotButton="0" quotePrefix="0" xfId="0">
      <alignment horizontal="center"/>
    </xf>
    <xf numFmtId="164" fontId="13" fillId="0" borderId="55" applyAlignment="1" pivotButton="0" quotePrefix="0" xfId="0">
      <alignment horizontal="right"/>
    </xf>
    <xf numFmtId="169" fontId="17" fillId="0" borderId="56" applyAlignment="1" pivotButton="0" quotePrefix="0" xfId="0">
      <alignment horizontal="right"/>
    </xf>
    <xf numFmtId="165" fontId="10" fillId="0" borderId="57" applyAlignment="1" pivotButton="0" quotePrefix="0" xfId="0">
      <alignment horizontal="right"/>
    </xf>
    <xf numFmtId="0" fontId="2" fillId="0" borderId="3" pivotButton="0" quotePrefix="0" xfId="0"/>
    <xf numFmtId="164" fontId="13" fillId="0" borderId="4" applyAlignment="1" pivotButton="0" quotePrefix="0" xfId="0">
      <alignment horizontal="right"/>
    </xf>
    <xf numFmtId="165" fontId="10" fillId="0" borderId="8" applyAlignment="1" pivotButton="0" quotePrefix="0" xfId="0">
      <alignment horizontal="right"/>
    </xf>
    <xf numFmtId="166" fontId="18" fillId="2" borderId="2" pivotButton="0" quotePrefix="0" xfId="0"/>
    <xf numFmtId="169" fontId="19" fillId="0" borderId="0" pivotButton="0" quotePrefix="0" xfId="0"/>
    <xf numFmtId="169" fontId="21" fillId="0" borderId="0" pivotButton="0" quotePrefix="0" xfId="0"/>
    <xf numFmtId="168" fontId="21" fillId="0" borderId="1" pivotButton="0" quotePrefix="0" xfId="0"/>
    <xf numFmtId="169" fontId="19" fillId="0" borderId="1" pivotButton="0" quotePrefix="0" xfId="0"/>
    <xf numFmtId="169" fontId="21" fillId="0" borderId="1" pivotButton="0" quotePrefix="0" xfId="0"/>
    <xf numFmtId="168" fontId="21" fillId="0" borderId="0" applyAlignment="1" pivotButton="0" quotePrefix="0" xfId="0">
      <alignment horizontal="center"/>
    </xf>
    <xf numFmtId="168" fontId="21" fillId="0" borderId="1" applyAlignment="1" pivotButton="0" quotePrefix="0" xfId="0">
      <alignment horizontal="center"/>
    </xf>
    <xf numFmtId="168" fontId="15" fillId="0" borderId="0" applyAlignment="1" pivotButton="0" quotePrefix="0" xfId="0">
      <alignment horizontal="center"/>
    </xf>
    <xf numFmtId="169" fontId="17" fillId="0" borderId="56" applyAlignment="1" pivotButton="0" quotePrefix="0" xfId="0">
      <alignment horizontal="right"/>
    </xf>
    <xf numFmtId="165" fontId="10" fillId="0" borderId="57" applyAlignment="1" pivotButton="0" quotePrefix="0" xfId="0">
      <alignment horizontal="right"/>
    </xf>
    <xf numFmtId="169" fontId="21" fillId="0" borderId="0" applyAlignment="1" pivotButton="0" quotePrefix="0" xfId="0">
      <alignment horizontal="center"/>
    </xf>
    <xf numFmtId="169" fontId="21" fillId="0" borderId="1" applyAlignment="1" pivotButton="0" quotePrefix="0" xfId="0">
      <alignment horizontal="center"/>
    </xf>
    <xf numFmtId="169" fontId="0" fillId="2" borderId="1" pivotButton="0" quotePrefix="0" xfId="0"/>
    <xf numFmtId="170" fontId="21" fillId="66" borderId="0" pivotButton="0" quotePrefix="0" xfId="0"/>
    <xf numFmtId="169" fontId="21" fillId="2" borderId="30" pivotButton="0" quotePrefix="0" xfId="0"/>
    <xf numFmtId="0" fontId="191" fillId="2" borderId="0" applyAlignment="1" pivotButton="0" quotePrefix="0" xfId="0">
      <alignment horizontal="center"/>
    </xf>
    <xf numFmtId="166" fontId="6" fillId="3" borderId="26" pivotButton="0" quotePrefix="0" xfId="0"/>
    <xf numFmtId="166" fontId="6" fillId="0" borderId="26" pivotButton="0" quotePrefix="0" xfId="0"/>
    <xf numFmtId="165" fontId="10" fillId="0" borderId="26" pivotButton="0" quotePrefix="0" xfId="0"/>
    <xf numFmtId="165" fontId="10" fillId="0" borderId="6" pivotButton="0" quotePrefix="0" xfId="0"/>
    <xf numFmtId="165" fontId="10" fillId="0" borderId="0" pivotButton="0" quotePrefix="0" xfId="0"/>
    <xf numFmtId="0" fontId="191" fillId="0" borderId="0" pivotButton="0" quotePrefix="0" xfId="0"/>
    <xf numFmtId="166" fontId="6" fillId="0" borderId="6" pivotButton="0" quotePrefix="0" xfId="0"/>
    <xf numFmtId="166" fontId="5" fillId="0" borderId="0" pivotButton="0" quotePrefix="0" xfId="0"/>
    <xf numFmtId="166" fontId="6" fillId="2" borderId="0" pivotButton="0" quotePrefix="0" xfId="0"/>
    <xf numFmtId="166" fontId="6" fillId="0" borderId="0" pivotButton="0" quotePrefix="0" xfId="0"/>
    <xf numFmtId="167" fontId="6" fillId="0" borderId="26" pivotButton="0" quotePrefix="0" xfId="0"/>
    <xf numFmtId="167" fontId="6" fillId="0" borderId="6" pivotButton="0" quotePrefix="0" xfId="0"/>
    <xf numFmtId="167" fontId="6" fillId="0" borderId="0" pivotButton="0" quotePrefix="0" xfId="0"/>
    <xf numFmtId="165" fontId="5" fillId="0" borderId="0" pivotButton="0" quotePrefix="0" xfId="0"/>
    <xf numFmtId="0" fontId="191" fillId="2" borderId="0" pivotButton="0" quotePrefix="0" xfId="0"/>
    <xf numFmtId="166" fontId="6" fillId="0" borderId="36" pivotButton="0" quotePrefix="0" xfId="0"/>
    <xf numFmtId="166" fontId="6" fillId="0" borderId="8" pivotButton="0" quotePrefix="0" xfId="0"/>
    <xf numFmtId="166" fontId="0" fillId="0" borderId="1" pivotButton="0" quotePrefix="0" xfId="0"/>
    <xf numFmtId="166" fontId="6" fillId="0" borderId="1" pivotButton="0" quotePrefix="0" xfId="0"/>
    <xf numFmtId="166" fontId="0" fillId="2" borderId="1" pivotButton="0" quotePrefix="0" xfId="0"/>
    <xf numFmtId="166" fontId="5" fillId="0" borderId="1" pivotButton="0" quotePrefix="0" xfId="0"/>
    <xf numFmtId="171" fontId="0" fillId="0" borderId="0" pivotButton="0" quotePrefix="0" xfId="0"/>
    <xf numFmtId="172" fontId="0" fillId="0" borderId="0" pivotButton="0" quotePrefix="0" xfId="0"/>
    <xf numFmtId="165" fontId="10" fillId="0" borderId="1" pivotButton="0" quotePrefix="0" xfId="0"/>
    <xf numFmtId="169" fontId="22" fillId="0" borderId="0" applyAlignment="1" pivotButton="0" quotePrefix="0" xfId="0">
      <alignment horizontal="right"/>
    </xf>
    <xf numFmtId="165" fontId="10" fillId="0" borderId="0" applyAlignment="1" pivotButton="0" quotePrefix="0" xfId="0">
      <alignment horizontal="right"/>
    </xf>
    <xf numFmtId="165" fontId="7" fillId="0" borderId="0" pivotButton="0" quotePrefix="0" xfId="0"/>
    <xf numFmtId="166" fontId="18" fillId="0" borderId="0" pivotButton="0" quotePrefix="0" xfId="0"/>
    <xf numFmtId="165" fontId="7" fillId="0" borderId="1" pivotButton="0" quotePrefix="0" xfId="0"/>
    <xf numFmtId="165" fontId="17" fillId="0" borderId="0" pivotButton="0" quotePrefix="0" xfId="0"/>
    <xf numFmtId="165" fontId="10" fillId="0" borderId="8" applyAlignment="1" pivotButton="0" quotePrefix="0" xfId="0">
      <alignment horizontal="right"/>
    </xf>
  </cellXfs>
  <cellStyles count="1914">
    <cellStyle name="Normal" xfId="0" builtinId="0"/>
    <cellStyle name="Comma 3" xfId="1"/>
    <cellStyle name="Percent" xfId="2" builtinId="5"/>
    <cellStyle name="Normal 2" xfId="3"/>
    <cellStyle name="Percent 2" xfId="4"/>
    <cellStyle name="$ 0 decimal" xfId="5"/>
    <cellStyle name="$ 1 decimal" xfId="6"/>
    <cellStyle name="$ 1 decimal 2" xfId="7"/>
    <cellStyle name="$ 2 decimals" xfId="8"/>
    <cellStyle name="%" xfId="9"/>
    <cellStyle name="% Input" xfId="10"/>
    <cellStyle name="% Presentation" xfId="11"/>
    <cellStyle name="_%(SignOnly)" xfId="12"/>
    <cellStyle name="_%(SignOnly)_5515616_3" xfId="13"/>
    <cellStyle name="_%(SignOnly)_5515616_3_5401007_6" xfId="14"/>
    <cellStyle name="_%(SignOnly)_5515616_3_5401007_6_Project Kentucky Derby Model v75" xfId="15"/>
    <cellStyle name="_%(SignOnly)_5515616_3_5401007_6_Project Kentucky Derby Model v76" xfId="16"/>
    <cellStyle name="_%(SignOnly)_5515616_3_5401007_6_SBSAModel116(Company)" xfId="17"/>
    <cellStyle name="_%(SignOnly)_5515616_3_5963478_1" xfId="18"/>
    <cellStyle name="_%(SignOnly)_5515616_3_FON" xfId="19"/>
    <cellStyle name="_%(SignOnly)_5515616_3_Put Analysis" xfId="20"/>
    <cellStyle name="_%(SignOnly)_5515616_3_Put Analysis.v2" xfId="21"/>
    <cellStyle name="_%(SignOnly)_5515616_3_Put Analysis.v2_Project Kentucky Derby Model v75" xfId="22"/>
    <cellStyle name="_%(SignOnly)_5515616_3_Put Analysis.v2_Project Kentucky Derby Model v76" xfId="23"/>
    <cellStyle name="_%(SignOnly)_5515616_3_Put Analysis.v2_SBSAModel116(Company)" xfId="24"/>
    <cellStyle name="_%(SignOnly)_5515616_3_Put Analysis_Project Kentucky Derby Model v75" xfId="25"/>
    <cellStyle name="_%(SignOnly)_5515616_3_Put Analysis_Project Kentucky Derby Model v76" xfId="26"/>
    <cellStyle name="_%(SignOnly)_5515616_3_Put Analysis_SBSAModel116(Company)" xfId="27"/>
    <cellStyle name="_%(SignOnly)_5515616_3_Spin Model v.2" xfId="28"/>
    <cellStyle name="_%(SignOnly)_5515616_3_Spin Model v.2_Project Kentucky Derby Model v75" xfId="29"/>
    <cellStyle name="_%(SignOnly)_5515616_3_Spin Model v.2_Project Kentucky Derby Model v76" xfId="30"/>
    <cellStyle name="_%(SignOnly)_5515616_3_Spin Model v.2_SBSAModel116(Company)" xfId="31"/>
    <cellStyle name="_%(SignOnly)_5517854_3" xfId="32"/>
    <cellStyle name="_%(SignOnly)_5517854_3_5401007_6" xfId="33"/>
    <cellStyle name="_%(SignOnly)_5517854_3_5401007_6_Project Kentucky Derby Model v75" xfId="34"/>
    <cellStyle name="_%(SignOnly)_5517854_3_5401007_6_Project Kentucky Derby Model v76" xfId="35"/>
    <cellStyle name="_%(SignOnly)_5517854_3_5401007_6_SBSAModel116(Company)" xfId="36"/>
    <cellStyle name="_%(SignOnly)_5517854_3_5963478_1" xfId="37"/>
    <cellStyle name="_%(SignOnly)_5517854_3_FON" xfId="38"/>
    <cellStyle name="_%(SignOnly)_5517854_3_Put Analysis" xfId="39"/>
    <cellStyle name="_%(SignOnly)_5517854_3_Put Analysis.v2" xfId="40"/>
    <cellStyle name="_%(SignOnly)_5517854_3_Put Analysis.v2_Project Kentucky Derby Model v75" xfId="41"/>
    <cellStyle name="_%(SignOnly)_5517854_3_Put Analysis.v2_Project Kentucky Derby Model v76" xfId="42"/>
    <cellStyle name="_%(SignOnly)_5517854_3_Put Analysis.v2_SBSAModel116(Company)" xfId="43"/>
    <cellStyle name="_%(SignOnly)_5517854_3_Put Analysis_Project Kentucky Derby Model v75" xfId="44"/>
    <cellStyle name="_%(SignOnly)_5517854_3_Put Analysis_Project Kentucky Derby Model v76" xfId="45"/>
    <cellStyle name="_%(SignOnly)_5517854_3_Put Analysis_SBSAModel116(Company)" xfId="46"/>
    <cellStyle name="_%(SignOnly)_5517854_3_Spin Model v.2" xfId="47"/>
    <cellStyle name="_%(SignOnly)_5517854_3_Spin Model v.2_Project Kentucky Derby Model v75" xfId="48"/>
    <cellStyle name="_%(SignOnly)_5517854_3_Spin Model v.2_Project Kentucky Derby Model v76" xfId="49"/>
    <cellStyle name="_%(SignOnly)_5517854_3_Spin Model v.2_SBSAModel116(Company)" xfId="50"/>
    <cellStyle name="_%(SignOnly)_Book3" xfId="51"/>
    <cellStyle name="_%(SignOnly)_Book3_5401007_6" xfId="52"/>
    <cellStyle name="_%(SignOnly)_Book3_5401007_6_Project Kentucky Derby Model v75" xfId="53"/>
    <cellStyle name="_%(SignOnly)_Book3_5401007_6_Project Kentucky Derby Model v76" xfId="54"/>
    <cellStyle name="_%(SignOnly)_Book3_5401007_6_SBSAModel116(Company)" xfId="55"/>
    <cellStyle name="_%(SignOnly)_Book3_5963478_1" xfId="56"/>
    <cellStyle name="_%(SignOnly)_Book3_FON" xfId="57"/>
    <cellStyle name="_%(SignOnly)_Book3_Put Analysis" xfId="58"/>
    <cellStyle name="_%(SignOnly)_Book3_Put Analysis.v2" xfId="59"/>
    <cellStyle name="_%(SignOnly)_Book3_Put Analysis.v2_Project Kentucky Derby Model v75" xfId="60"/>
    <cellStyle name="_%(SignOnly)_Book3_Put Analysis.v2_Project Kentucky Derby Model v76" xfId="61"/>
    <cellStyle name="_%(SignOnly)_Book3_Put Analysis.v2_SBSAModel116(Company)" xfId="62"/>
    <cellStyle name="_%(SignOnly)_Book3_Put Analysis_Project Kentucky Derby Model v75" xfId="63"/>
    <cellStyle name="_%(SignOnly)_Book3_Put Analysis_Project Kentucky Derby Model v76" xfId="64"/>
    <cellStyle name="_%(SignOnly)_Book3_Put Analysis_SBSAModel116(Company)" xfId="65"/>
    <cellStyle name="_%(SignOnly)_Book3_Spin Model v.2" xfId="66"/>
    <cellStyle name="_%(SignOnly)_Book3_Spin Model v.2_Project Kentucky Derby Model v75" xfId="67"/>
    <cellStyle name="_%(SignOnly)_Book3_Spin Model v.2_Project Kentucky Derby Model v76" xfId="68"/>
    <cellStyle name="_%(SignOnly)_Book3_Spin Model v.2_SBSAModel116(Company)" xfId="69"/>
    <cellStyle name="_%(SignSpaceOnly)" xfId="70"/>
    <cellStyle name="_%(SignSpaceOnly)_5515616_3" xfId="71"/>
    <cellStyle name="_%(SignSpaceOnly)_5515616_3_5401007_6" xfId="72"/>
    <cellStyle name="_%(SignSpaceOnly)_5515616_3_5963478_1" xfId="73"/>
    <cellStyle name="_%(SignSpaceOnly)_5515616_3_FON" xfId="74"/>
    <cellStyle name="_%(SignSpaceOnly)_5515616_3_Put Analysis" xfId="75"/>
    <cellStyle name="_%(SignSpaceOnly)_5515616_3_Put Analysis.v2" xfId="76"/>
    <cellStyle name="_%(SignSpaceOnly)_5515616_3_Spin Model v.2" xfId="77"/>
    <cellStyle name="_%(SignSpaceOnly)_5517854_3" xfId="78"/>
    <cellStyle name="_%(SignSpaceOnly)_5517854_3_5401007_6" xfId="79"/>
    <cellStyle name="_%(SignSpaceOnly)_5517854_3_5963478_1" xfId="80"/>
    <cellStyle name="_%(SignSpaceOnly)_5517854_3_FON" xfId="81"/>
    <cellStyle name="_%(SignSpaceOnly)_5517854_3_Put Analysis" xfId="82"/>
    <cellStyle name="_%(SignSpaceOnly)_5517854_3_Put Analysis.v2" xfId="83"/>
    <cellStyle name="_%(SignSpaceOnly)_5517854_3_Spin Model v.2" xfId="84"/>
    <cellStyle name="_%(SignSpaceOnly)_Book3" xfId="85"/>
    <cellStyle name="_%(SignSpaceOnly)_Book3_5401007_6" xfId="86"/>
    <cellStyle name="_%(SignSpaceOnly)_Book3_5963478_1" xfId="87"/>
    <cellStyle name="_%(SignSpaceOnly)_Book3_FON" xfId="88"/>
    <cellStyle name="_%(SignSpaceOnly)_Book3_Put Analysis" xfId="89"/>
    <cellStyle name="_%(SignSpaceOnly)_Book3_Put Analysis.v2" xfId="90"/>
    <cellStyle name="_%(SignSpaceOnly)_Book3_Spin Model v.2" xfId="91"/>
    <cellStyle name="_AMB_Model2" xfId="92"/>
    <cellStyle name="_Comma" xfId="93"/>
    <cellStyle name="_Comma_5515616_3" xfId="94"/>
    <cellStyle name="_Comma_5515616_3_5401007_6" xfId="95"/>
    <cellStyle name="_Comma_5515616_3_5963478_1" xfId="96"/>
    <cellStyle name="_Comma_5515616_3_FON" xfId="97"/>
    <cellStyle name="_Comma_5515616_3_Put Analysis" xfId="98"/>
    <cellStyle name="_Comma_5515616_3_Put Analysis.v2" xfId="99"/>
    <cellStyle name="_Comma_5515616_3_Spin Model v.2" xfId="100"/>
    <cellStyle name="_Comma_5517854_3" xfId="101"/>
    <cellStyle name="_Comma_5517854_3_5401007_6" xfId="102"/>
    <cellStyle name="_Comma_5517854_3_5963478_1" xfId="103"/>
    <cellStyle name="_Comma_5517854_3_FON" xfId="104"/>
    <cellStyle name="_Comma_5517854_3_Put Analysis" xfId="105"/>
    <cellStyle name="_Comma_5517854_3_Put Analysis.v2" xfId="106"/>
    <cellStyle name="_Comma_5517854_3_Spin Model v.2" xfId="107"/>
    <cellStyle name="_Comma_Book3" xfId="108"/>
    <cellStyle name="_Comma_Book3_5401007_6" xfId="109"/>
    <cellStyle name="_Comma_Book3_5963478_1" xfId="110"/>
    <cellStyle name="_Comma_Book3_FON" xfId="111"/>
    <cellStyle name="_Comma_Book3_Put Analysis" xfId="112"/>
    <cellStyle name="_Comma_Book3_Put Analysis.v2" xfId="113"/>
    <cellStyle name="_Comma_Book3_Spin Model v.2" xfId="114"/>
    <cellStyle name="_Comma_Combined Synergy Presentation" xfId="115"/>
    <cellStyle name="_Comma_Combined Synergy Presentation_5515616_3" xfId="116"/>
    <cellStyle name="_Comma_Combined Synergy Presentation_5515616_3_5401007_6" xfId="117"/>
    <cellStyle name="_Comma_Combined Synergy Presentation_5515616_3_5963478_1" xfId="118"/>
    <cellStyle name="_Comma_Combined Synergy Presentation_5515616_3_FON" xfId="119"/>
    <cellStyle name="_Comma_Combined Synergy Presentation_5515616_3_Put Analysis" xfId="120"/>
    <cellStyle name="_Comma_Combined Synergy Presentation_5515616_3_Put Analysis.v2" xfId="121"/>
    <cellStyle name="_Comma_Combined Synergy Presentation_5515616_3_Spin Model v.2" xfId="122"/>
    <cellStyle name="_Comma_Combined Synergy Presentation_5517854_3" xfId="123"/>
    <cellStyle name="_Comma_Combined Synergy Presentation_5517854_3_5401007_6" xfId="124"/>
    <cellStyle name="_Comma_Combined Synergy Presentation_5517854_3_5963478_1" xfId="125"/>
    <cellStyle name="_Comma_Combined Synergy Presentation_5517854_3_FON" xfId="126"/>
    <cellStyle name="_Comma_Combined Synergy Presentation_5517854_3_Put Analysis" xfId="127"/>
    <cellStyle name="_Comma_Combined Synergy Presentation_5517854_3_Put Analysis.v2" xfId="128"/>
    <cellStyle name="_Comma_Combined Synergy Presentation_5517854_3_Spin Model v.2" xfId="129"/>
    <cellStyle name="_Comma_Combined Synergy Presentation_Book3" xfId="130"/>
    <cellStyle name="_Comma_Combined Synergy Presentation_Book3_5401007_6" xfId="131"/>
    <cellStyle name="_Comma_Combined Synergy Presentation_Book3_5963478_1" xfId="132"/>
    <cellStyle name="_Comma_Combined Synergy Presentation_Book3_FON" xfId="133"/>
    <cellStyle name="_Comma_Combined Synergy Presentation_Book3_Put Analysis" xfId="134"/>
    <cellStyle name="_Comma_Combined Synergy Presentation_Book3_Put Analysis.v2" xfId="135"/>
    <cellStyle name="_Comma_Combined Synergy Presentation_Book3_Spin Model v.2" xfId="136"/>
    <cellStyle name="_Comma_Synergy Analysis" xfId="137"/>
    <cellStyle name="_Comma_Synergy Analysis_co-advisors" xfId="138"/>
    <cellStyle name="_Comma_Synergy Analysis_co-advisors_Project Kentucky Derby Model v75" xfId="139"/>
    <cellStyle name="_Comma_Synergy Analysis_co-advisors_Project Kentucky Derby Model v76" xfId="140"/>
    <cellStyle name="_Comma_Synergy Analysis_co-advisors_SBSAModel116(Company)" xfId="141"/>
    <cellStyle name="_Comma_Synergy Analysis_Project Kentucky Derby Model v75" xfId="142"/>
    <cellStyle name="_Comma_Synergy Analysis_Project Kentucky Derby Model v76" xfId="143"/>
    <cellStyle name="_Comma_Synergy Analysis_SBSAModel116(Company)" xfId="144"/>
    <cellStyle name="_Comma_Synergy Calc 1.1 rev 5-yr aug high1_bpace" xfId="145"/>
    <cellStyle name="_Comma_Synergy Calc 1.1 rev 5-yr aug high1_bpace_5515616_3" xfId="146"/>
    <cellStyle name="_Comma_Synergy Calc 1.1 rev 5-yr aug high1_bpace_5515616_3_5401007_6" xfId="147"/>
    <cellStyle name="_Comma_Synergy Calc 1.1 rev 5-yr aug high1_bpace_5515616_3_5963478_1" xfId="148"/>
    <cellStyle name="_Comma_Synergy Calc 1.1 rev 5-yr aug high1_bpace_5515616_3_FON" xfId="149"/>
    <cellStyle name="_Comma_Synergy Calc 1.1 rev 5-yr aug high1_bpace_5515616_3_Put Analysis" xfId="150"/>
    <cellStyle name="_Comma_Synergy Calc 1.1 rev 5-yr aug high1_bpace_5515616_3_Put Analysis.v2" xfId="151"/>
    <cellStyle name="_Comma_Synergy Calc 1.1 rev 5-yr aug high1_bpace_5515616_3_Spin Model v.2" xfId="152"/>
    <cellStyle name="_Comma_Synergy Calc 1.1 rev 5-yr aug high1_bpace_5517854_3" xfId="153"/>
    <cellStyle name="_Comma_Synergy Calc 1.1 rev 5-yr aug high1_bpace_5517854_3_5401007_6" xfId="154"/>
    <cellStyle name="_Comma_Synergy Calc 1.1 rev 5-yr aug high1_bpace_5517854_3_5963478_1" xfId="155"/>
    <cellStyle name="_Comma_Synergy Calc 1.1 rev 5-yr aug high1_bpace_5517854_3_FON" xfId="156"/>
    <cellStyle name="_Comma_Synergy Calc 1.1 rev 5-yr aug high1_bpace_5517854_3_Put Analysis" xfId="157"/>
    <cellStyle name="_Comma_Synergy Calc 1.1 rev 5-yr aug high1_bpace_5517854_3_Put Analysis.v2" xfId="158"/>
    <cellStyle name="_Comma_Synergy Calc 1.1 rev 5-yr aug high1_bpace_5517854_3_Spin Model v.2" xfId="159"/>
    <cellStyle name="_Comma_Synergy Calc 1.1 rev 5-yr aug high1_bpace_Book3" xfId="160"/>
    <cellStyle name="_Comma_Synergy Calc 1.1 rev 5-yr aug high1_bpace_Book3_5401007_6" xfId="161"/>
    <cellStyle name="_Comma_Synergy Calc 1.1 rev 5-yr aug high1_bpace_Book3_5963478_1" xfId="162"/>
    <cellStyle name="_Comma_Synergy Calc 1.1 rev 5-yr aug high1_bpace_Book3_FON" xfId="163"/>
    <cellStyle name="_Comma_Synergy Calc 1.1 rev 5-yr aug high1_bpace_Book3_Put Analysis" xfId="164"/>
    <cellStyle name="_Comma_Synergy Calc 1.1 rev 5-yr aug high1_bpace_Book3_Put Analysis.v2" xfId="165"/>
    <cellStyle name="_Comma_Synergy Calc 1.1 rev 5-yr aug high1_bpace_Book3_Spin Model v.2" xfId="166"/>
    <cellStyle name="_Comma_Synergy Detail _gs" xfId="167"/>
    <cellStyle name="_Comma_Synergy Detail _gs_5515616_3" xfId="168"/>
    <cellStyle name="_Comma_Synergy Detail _gs_5515616_3_5401007_6" xfId="169"/>
    <cellStyle name="_Comma_Synergy Detail _gs_5515616_3_5963478_1" xfId="170"/>
    <cellStyle name="_Comma_Synergy Detail _gs_5515616_3_FON" xfId="171"/>
    <cellStyle name="_Comma_Synergy Detail _gs_5515616_3_Put Analysis" xfId="172"/>
    <cellStyle name="_Comma_Synergy Detail _gs_5515616_3_Put Analysis.v2" xfId="173"/>
    <cellStyle name="_Comma_Synergy Detail _gs_5515616_3_Spin Model v.2" xfId="174"/>
    <cellStyle name="_Comma_Synergy Detail _gs_5517854_3" xfId="175"/>
    <cellStyle name="_Comma_Synergy Detail _gs_5517854_3_5401007_6" xfId="176"/>
    <cellStyle name="_Comma_Synergy Detail _gs_5517854_3_5963478_1" xfId="177"/>
    <cellStyle name="_Comma_Synergy Detail _gs_5517854_3_FON" xfId="178"/>
    <cellStyle name="_Comma_Synergy Detail _gs_5517854_3_Put Analysis" xfId="179"/>
    <cellStyle name="_Comma_Synergy Detail _gs_5517854_3_Put Analysis.v2" xfId="180"/>
    <cellStyle name="_Comma_Synergy Detail _gs_5517854_3_Spin Model v.2" xfId="181"/>
    <cellStyle name="_Comma_Synergy Detail _gs_Book3" xfId="182"/>
    <cellStyle name="_Comma_Synergy Detail _gs_Book3_5401007_6" xfId="183"/>
    <cellStyle name="_Comma_Synergy Detail _gs_Book3_5963478_1" xfId="184"/>
    <cellStyle name="_Comma_Synergy Detail _gs_Book3_FON" xfId="185"/>
    <cellStyle name="_Comma_Synergy Detail _gs_Book3_Put Analysis" xfId="186"/>
    <cellStyle name="_Comma_Synergy Detail _gs_Book3_Put Analysis.v2" xfId="187"/>
    <cellStyle name="_Comma_Synergy Detail _gs_Book3_Spin Model v.2" xfId="188"/>
    <cellStyle name="_Currency" xfId="189"/>
    <cellStyle name="_Currency_5515616_3" xfId="190"/>
    <cellStyle name="_Currency_5515616_3_5401007_6" xfId="191"/>
    <cellStyle name="_Currency_5515616_3_5963478_1" xfId="192"/>
    <cellStyle name="_Currency_5515616_3_FON" xfId="193"/>
    <cellStyle name="_Currency_5515616_3_Put Analysis" xfId="194"/>
    <cellStyle name="_Currency_5515616_3_Put Analysis.v2" xfId="195"/>
    <cellStyle name="_Currency_5515616_3_Spin Model v.2" xfId="196"/>
    <cellStyle name="_Currency_5517854_3" xfId="197"/>
    <cellStyle name="_Currency_5517854_3_5401007_6" xfId="198"/>
    <cellStyle name="_Currency_5517854_3_5963478_1" xfId="199"/>
    <cellStyle name="_Currency_5517854_3_FON" xfId="200"/>
    <cellStyle name="_Currency_5517854_3_Put Analysis" xfId="201"/>
    <cellStyle name="_Currency_5517854_3_Put Analysis.v2" xfId="202"/>
    <cellStyle name="_Currency_5517854_3_Spin Model v.2" xfId="203"/>
    <cellStyle name="_Currency_Book3" xfId="204"/>
    <cellStyle name="_Currency_Book3_5401007_6" xfId="205"/>
    <cellStyle name="_Currency_Book3_5963478_1" xfId="206"/>
    <cellStyle name="_Currency_Book3_FON" xfId="207"/>
    <cellStyle name="_Currency_Book3_Put Analysis" xfId="208"/>
    <cellStyle name="_Currency_Book3_Put Analysis.v2" xfId="209"/>
    <cellStyle name="_Currency_Book3_Spin Model v.2" xfId="210"/>
    <cellStyle name="_Currency_Combined Synergy Presentation" xfId="211"/>
    <cellStyle name="_Currency_Combined Synergy Presentation_5515616_3" xfId="212"/>
    <cellStyle name="_Currency_Combined Synergy Presentation_5515616_3_5401007_6" xfId="213"/>
    <cellStyle name="_Currency_Combined Synergy Presentation_5515616_3_5963478_1" xfId="214"/>
    <cellStyle name="_Currency_Combined Synergy Presentation_5515616_3_FON" xfId="215"/>
    <cellStyle name="_Currency_Combined Synergy Presentation_5515616_3_Put Analysis" xfId="216"/>
    <cellStyle name="_Currency_Combined Synergy Presentation_5515616_3_Put Analysis.v2" xfId="217"/>
    <cellStyle name="_Currency_Combined Synergy Presentation_5515616_3_Spin Model v.2" xfId="218"/>
    <cellStyle name="_Currency_Combined Synergy Presentation_5517854_3" xfId="219"/>
    <cellStyle name="_Currency_Combined Synergy Presentation_5517854_3_5401007_6" xfId="220"/>
    <cellStyle name="_Currency_Combined Synergy Presentation_5517854_3_5963478_1" xfId="221"/>
    <cellStyle name="_Currency_Combined Synergy Presentation_5517854_3_FON" xfId="222"/>
    <cellStyle name="_Currency_Combined Synergy Presentation_5517854_3_Put Analysis" xfId="223"/>
    <cellStyle name="_Currency_Combined Synergy Presentation_5517854_3_Put Analysis.v2" xfId="224"/>
    <cellStyle name="_Currency_Combined Synergy Presentation_5517854_3_Spin Model v.2" xfId="225"/>
    <cellStyle name="_Currency_Combined Synergy Presentation_Book3" xfId="226"/>
    <cellStyle name="_Currency_Combined Synergy Presentation_Book3_5401007_6" xfId="227"/>
    <cellStyle name="_Currency_Combined Synergy Presentation_Book3_5963478_1" xfId="228"/>
    <cellStyle name="_Currency_Combined Synergy Presentation_Book3_FON" xfId="229"/>
    <cellStyle name="_Currency_Combined Synergy Presentation_Book3_Put Analysis" xfId="230"/>
    <cellStyle name="_Currency_Combined Synergy Presentation_Book3_Put Analysis.v2" xfId="231"/>
    <cellStyle name="_Currency_Combined Synergy Presentation_Book3_Spin Model v.2" xfId="232"/>
    <cellStyle name="_Currency_Synergy Analysis" xfId="233"/>
    <cellStyle name="_Currency_Synergy Analysis_5515616_3" xfId="234"/>
    <cellStyle name="_Currency_Synergy Analysis_5515616_3_5401007_6" xfId="235"/>
    <cellStyle name="_Currency_Synergy Analysis_5515616_3_5963478_1" xfId="236"/>
    <cellStyle name="_Currency_Synergy Analysis_5515616_3_FON" xfId="237"/>
    <cellStyle name="_Currency_Synergy Analysis_5515616_3_Put Analysis" xfId="238"/>
    <cellStyle name="_Currency_Synergy Analysis_5515616_3_Put Analysis.v2" xfId="239"/>
    <cellStyle name="_Currency_Synergy Analysis_5515616_3_Spin Model v.2" xfId="240"/>
    <cellStyle name="_Currency_Synergy Analysis_5517854_3" xfId="241"/>
    <cellStyle name="_Currency_Synergy Analysis_5517854_3_5401007_6" xfId="242"/>
    <cellStyle name="_Currency_Synergy Analysis_5517854_3_5963478_1" xfId="243"/>
    <cellStyle name="_Currency_Synergy Analysis_5517854_3_FON" xfId="244"/>
    <cellStyle name="_Currency_Synergy Analysis_5517854_3_Put Analysis" xfId="245"/>
    <cellStyle name="_Currency_Synergy Analysis_5517854_3_Put Analysis.v2" xfId="246"/>
    <cellStyle name="_Currency_Synergy Analysis_5517854_3_Spin Model v.2" xfId="247"/>
    <cellStyle name="_Currency_Synergy Analysis_Book3" xfId="248"/>
    <cellStyle name="_Currency_Synergy Analysis_Book3_5401007_6" xfId="249"/>
    <cellStyle name="_Currency_Synergy Analysis_Book3_5963478_1" xfId="250"/>
    <cellStyle name="_Currency_Synergy Analysis_Book3_FON" xfId="251"/>
    <cellStyle name="_Currency_Synergy Analysis_Book3_Put Analysis" xfId="252"/>
    <cellStyle name="_Currency_Synergy Analysis_Book3_Put Analysis.v2" xfId="253"/>
    <cellStyle name="_Currency_Synergy Analysis_Book3_Spin Model v.2" xfId="254"/>
    <cellStyle name="_Currency_Synergy Analysis_co-advisors" xfId="255"/>
    <cellStyle name="_Currency_Synergy Analysis_co-advisors_5515616_3" xfId="256"/>
    <cellStyle name="_Currency_Synergy Analysis_co-advisors_5515616_3_5401007_6" xfId="257"/>
    <cellStyle name="_Currency_Synergy Analysis_co-advisors_5515616_3_5963478_1" xfId="258"/>
    <cellStyle name="_Currency_Synergy Analysis_co-advisors_5515616_3_FON" xfId="259"/>
    <cellStyle name="_Currency_Synergy Analysis_co-advisors_5515616_3_Put Analysis" xfId="260"/>
    <cellStyle name="_Currency_Synergy Analysis_co-advisors_5515616_3_Put Analysis.v2" xfId="261"/>
    <cellStyle name="_Currency_Synergy Analysis_co-advisors_5515616_3_Spin Model v.2" xfId="262"/>
    <cellStyle name="_Currency_Synergy Analysis_co-advisors_5517854_3" xfId="263"/>
    <cellStyle name="_Currency_Synergy Analysis_co-advisors_5517854_3_5401007_6" xfId="264"/>
    <cellStyle name="_Currency_Synergy Analysis_co-advisors_5517854_3_5963478_1" xfId="265"/>
    <cellStyle name="_Currency_Synergy Analysis_co-advisors_5517854_3_FON" xfId="266"/>
    <cellStyle name="_Currency_Synergy Analysis_co-advisors_5517854_3_Put Analysis" xfId="267"/>
    <cellStyle name="_Currency_Synergy Analysis_co-advisors_5517854_3_Put Analysis.v2" xfId="268"/>
    <cellStyle name="_Currency_Synergy Analysis_co-advisors_5517854_3_Spin Model v.2" xfId="269"/>
    <cellStyle name="_Currency_Synergy Analysis_co-advisors_Book3" xfId="270"/>
    <cellStyle name="_Currency_Synergy Analysis_co-advisors_Book3_5401007_6" xfId="271"/>
    <cellStyle name="_Currency_Synergy Analysis_co-advisors_Book3_5963478_1" xfId="272"/>
    <cellStyle name="_Currency_Synergy Analysis_co-advisors_Book3_FON" xfId="273"/>
    <cellStyle name="_Currency_Synergy Analysis_co-advisors_Book3_Put Analysis" xfId="274"/>
    <cellStyle name="_Currency_Synergy Analysis_co-advisors_Book3_Put Analysis.v2" xfId="275"/>
    <cellStyle name="_Currency_Synergy Analysis_co-advisors_Book3_Spin Model v.2" xfId="276"/>
    <cellStyle name="_Currency_Synergy Calc 1.1 rev 5-yr aug high1_bpace" xfId="277"/>
    <cellStyle name="_Currency_Synergy Calc 1.1 rev 5-yr aug high1_bpace_5515616_3" xfId="278"/>
    <cellStyle name="_Currency_Synergy Calc 1.1 rev 5-yr aug high1_bpace_5515616_3_5401007_6" xfId="279"/>
    <cellStyle name="_Currency_Synergy Calc 1.1 rev 5-yr aug high1_bpace_5515616_3_5963478_1" xfId="280"/>
    <cellStyle name="_Currency_Synergy Calc 1.1 rev 5-yr aug high1_bpace_5515616_3_FON" xfId="281"/>
    <cellStyle name="_Currency_Synergy Calc 1.1 rev 5-yr aug high1_bpace_5515616_3_Put Analysis" xfId="282"/>
    <cellStyle name="_Currency_Synergy Calc 1.1 rev 5-yr aug high1_bpace_5515616_3_Put Analysis.v2" xfId="283"/>
    <cellStyle name="_Currency_Synergy Calc 1.1 rev 5-yr aug high1_bpace_5515616_3_Spin Model v.2" xfId="284"/>
    <cellStyle name="_Currency_Synergy Calc 1.1 rev 5-yr aug high1_bpace_5517854_3" xfId="285"/>
    <cellStyle name="_Currency_Synergy Calc 1.1 rev 5-yr aug high1_bpace_5517854_3_5401007_6" xfId="286"/>
    <cellStyle name="_Currency_Synergy Calc 1.1 rev 5-yr aug high1_bpace_5517854_3_5963478_1" xfId="287"/>
    <cellStyle name="_Currency_Synergy Calc 1.1 rev 5-yr aug high1_bpace_5517854_3_FON" xfId="288"/>
    <cellStyle name="_Currency_Synergy Calc 1.1 rev 5-yr aug high1_bpace_5517854_3_Put Analysis" xfId="289"/>
    <cellStyle name="_Currency_Synergy Calc 1.1 rev 5-yr aug high1_bpace_5517854_3_Put Analysis.v2" xfId="290"/>
    <cellStyle name="_Currency_Synergy Calc 1.1 rev 5-yr aug high1_bpace_5517854_3_Spin Model v.2" xfId="291"/>
    <cellStyle name="_Currency_Synergy Calc 1.1 rev 5-yr aug high1_bpace_Book3" xfId="292"/>
    <cellStyle name="_Currency_Synergy Calc 1.1 rev 5-yr aug high1_bpace_Book3_5401007_6" xfId="293"/>
    <cellStyle name="_Currency_Synergy Calc 1.1 rev 5-yr aug high1_bpace_Book3_5963478_1" xfId="294"/>
    <cellStyle name="_Currency_Synergy Calc 1.1 rev 5-yr aug high1_bpace_Book3_FON" xfId="295"/>
    <cellStyle name="_Currency_Synergy Calc 1.1 rev 5-yr aug high1_bpace_Book3_Put Analysis" xfId="296"/>
    <cellStyle name="_Currency_Synergy Calc 1.1 rev 5-yr aug high1_bpace_Book3_Put Analysis.v2" xfId="297"/>
    <cellStyle name="_Currency_Synergy Calc 1.1 rev 5-yr aug high1_bpace_Book3_Spin Model v.2" xfId="298"/>
    <cellStyle name="_Currency_Synergy Detail _gs" xfId="299"/>
    <cellStyle name="_Currency_Synergy Detail _gs_5515616_3" xfId="300"/>
    <cellStyle name="_Currency_Synergy Detail _gs_5515616_3_5401007_6" xfId="301"/>
    <cellStyle name="_Currency_Synergy Detail _gs_5515616_3_5963478_1" xfId="302"/>
    <cellStyle name="_Currency_Synergy Detail _gs_5515616_3_FON" xfId="303"/>
    <cellStyle name="_Currency_Synergy Detail _gs_5515616_3_Put Analysis" xfId="304"/>
    <cellStyle name="_Currency_Synergy Detail _gs_5515616_3_Put Analysis.v2" xfId="305"/>
    <cellStyle name="_Currency_Synergy Detail _gs_5515616_3_Spin Model v.2" xfId="306"/>
    <cellStyle name="_Currency_Synergy Detail _gs_5517854_3" xfId="307"/>
    <cellStyle name="_Currency_Synergy Detail _gs_5517854_3_5401007_6" xfId="308"/>
    <cellStyle name="_Currency_Synergy Detail _gs_5517854_3_5963478_1" xfId="309"/>
    <cellStyle name="_Currency_Synergy Detail _gs_5517854_3_FON" xfId="310"/>
    <cellStyle name="_Currency_Synergy Detail _gs_5517854_3_Put Analysis" xfId="311"/>
    <cellStyle name="_Currency_Synergy Detail _gs_5517854_3_Put Analysis.v2" xfId="312"/>
    <cellStyle name="_Currency_Synergy Detail _gs_5517854_3_Spin Model v.2" xfId="313"/>
    <cellStyle name="_Currency_Synergy Detail _gs_Book3" xfId="314"/>
    <cellStyle name="_Currency_Synergy Detail _gs_Book3_5401007_6" xfId="315"/>
    <cellStyle name="_Currency_Synergy Detail _gs_Book3_5963478_1" xfId="316"/>
    <cellStyle name="_Currency_Synergy Detail _gs_Book3_FON" xfId="317"/>
    <cellStyle name="_Currency_Synergy Detail _gs_Book3_Put Analysis" xfId="318"/>
    <cellStyle name="_Currency_Synergy Detail _gs_Book3_Put Analysis.v2" xfId="319"/>
    <cellStyle name="_Currency_Synergy Detail _gs_Book3_Spin Model v.2" xfId="320"/>
    <cellStyle name="_CurrencySpace" xfId="321"/>
    <cellStyle name="_CurrencySpace_5515616_3" xfId="322"/>
    <cellStyle name="_CurrencySpace_5517854_3" xfId="323"/>
    <cellStyle name="_CurrencySpace_Book3" xfId="324"/>
    <cellStyle name="_CurrencySpace_Combined Synergy Presentation" xfId="325"/>
    <cellStyle name="_CurrencySpace_Combined Synergy Presentation_5515616_3" xfId="326"/>
    <cellStyle name="_CurrencySpace_Combined Synergy Presentation_5517854_3" xfId="327"/>
    <cellStyle name="_CurrencySpace_Combined Synergy Presentation_Book3" xfId="328"/>
    <cellStyle name="_CurrencySpace_Synergy Analysis" xfId="329"/>
    <cellStyle name="_CurrencySpace_Synergy Analysis_co-advisors" xfId="330"/>
    <cellStyle name="_CurrencySpace_Synergy Calc 1.1 rev 5-yr aug high1_bpace" xfId="331"/>
    <cellStyle name="_CurrencySpace_Synergy Calc 1.1 rev 5-yr aug high1_bpace_5515616_3" xfId="332"/>
    <cellStyle name="_CurrencySpace_Synergy Calc 1.1 rev 5-yr aug high1_bpace_5517854_3" xfId="333"/>
    <cellStyle name="_CurrencySpace_Synergy Calc 1.1 rev 5-yr aug high1_bpace_Book3" xfId="334"/>
    <cellStyle name="_CurrencySpace_Synergy Detail _gs" xfId="335"/>
    <cellStyle name="_CurrencySpace_Synergy Detail _gs_5515616_3" xfId="336"/>
    <cellStyle name="_CurrencySpace_Synergy Detail _gs_5517854_3" xfId="337"/>
    <cellStyle name="_CurrencySpace_Synergy Detail _gs_Book3" xfId="338"/>
    <cellStyle name="_DRE_Model" xfId="339"/>
    <cellStyle name="_Euro" xfId="340"/>
    <cellStyle name="_Euro_5515616_3" xfId="341"/>
    <cellStyle name="_Euro_5515616_3_5401007_6" xfId="342"/>
    <cellStyle name="_Euro_5515616_3_5963478_1" xfId="343"/>
    <cellStyle name="_Euro_5515616_3_FON" xfId="344"/>
    <cellStyle name="_Euro_5515616_3_Put Analysis" xfId="345"/>
    <cellStyle name="_Euro_5515616_3_Put Analysis.v2" xfId="346"/>
    <cellStyle name="_Euro_5515616_3_Spin Model v.2" xfId="347"/>
    <cellStyle name="_Euro_5517854_3" xfId="348"/>
    <cellStyle name="_Euro_5517854_3_5401007_6" xfId="349"/>
    <cellStyle name="_Euro_5517854_3_5963478_1" xfId="350"/>
    <cellStyle name="_Euro_5517854_3_FON" xfId="351"/>
    <cellStyle name="_Euro_5517854_3_Put Analysis" xfId="352"/>
    <cellStyle name="_Euro_5517854_3_Put Analysis.v2" xfId="353"/>
    <cellStyle name="_Euro_5517854_3_Spin Model v.2" xfId="354"/>
    <cellStyle name="_Euro_Book3" xfId="355"/>
    <cellStyle name="_Euro_Book3_5401007_6" xfId="356"/>
    <cellStyle name="_Euro_Book3_5963478_1" xfId="357"/>
    <cellStyle name="_Euro_Book3_FON" xfId="358"/>
    <cellStyle name="_Euro_Book3_Put Analysis" xfId="359"/>
    <cellStyle name="_Euro_Book3_Put Analysis.v2" xfId="360"/>
    <cellStyle name="_Euro_Book3_Spin Model v.2" xfId="361"/>
    <cellStyle name="_Heading" xfId="362"/>
    <cellStyle name="_Highlight" xfId="363"/>
    <cellStyle name="_Multiple" xfId="364"/>
    <cellStyle name="_Multiple_5515616_3" xfId="365"/>
    <cellStyle name="_Multiple_5515616_3_5401007_6" xfId="366"/>
    <cellStyle name="_Multiple_5515616_3_5963478_1" xfId="367"/>
    <cellStyle name="_Multiple_5515616_3_FON" xfId="368"/>
    <cellStyle name="_Multiple_5515616_3_Put Analysis" xfId="369"/>
    <cellStyle name="_Multiple_5515616_3_Put Analysis.v2" xfId="370"/>
    <cellStyle name="_Multiple_5515616_3_Spin Model v.2" xfId="371"/>
    <cellStyle name="_Multiple_5517854_3" xfId="372"/>
    <cellStyle name="_Multiple_5517854_3_5401007_6" xfId="373"/>
    <cellStyle name="_Multiple_5517854_3_5963478_1" xfId="374"/>
    <cellStyle name="_Multiple_5517854_3_FON" xfId="375"/>
    <cellStyle name="_Multiple_5517854_3_Put Analysis" xfId="376"/>
    <cellStyle name="_Multiple_5517854_3_Put Analysis.v2" xfId="377"/>
    <cellStyle name="_Multiple_5517854_3_Spin Model v.2" xfId="378"/>
    <cellStyle name="_Multiple_Book3" xfId="379"/>
    <cellStyle name="_Multiple_Book3_5401007_6" xfId="380"/>
    <cellStyle name="_Multiple_Book3_5963478_1" xfId="381"/>
    <cellStyle name="_Multiple_Book3_FON" xfId="382"/>
    <cellStyle name="_Multiple_Book3_Put Analysis" xfId="383"/>
    <cellStyle name="_Multiple_Book3_Put Analysis.v2" xfId="384"/>
    <cellStyle name="_Multiple_Book3_Spin Model v.2" xfId="385"/>
    <cellStyle name="_Multiple_Combined Synergy Presentation" xfId="386"/>
    <cellStyle name="_Multiple_Combined Synergy Presentation_5515616_3" xfId="387"/>
    <cellStyle name="_Multiple_Combined Synergy Presentation_5515616_3_5401007_6" xfId="388"/>
    <cellStyle name="_Multiple_Combined Synergy Presentation_5515616_3_5963478_1" xfId="389"/>
    <cellStyle name="_Multiple_Combined Synergy Presentation_5515616_3_FON" xfId="390"/>
    <cellStyle name="_Multiple_Combined Synergy Presentation_5515616_3_Put Analysis" xfId="391"/>
    <cellStyle name="_Multiple_Combined Synergy Presentation_5515616_3_Put Analysis.v2" xfId="392"/>
    <cellStyle name="_Multiple_Combined Synergy Presentation_5515616_3_Spin Model v.2" xfId="393"/>
    <cellStyle name="_Multiple_Combined Synergy Presentation_5517854_3" xfId="394"/>
    <cellStyle name="_Multiple_Combined Synergy Presentation_5517854_3_5401007_6" xfId="395"/>
    <cellStyle name="_Multiple_Combined Synergy Presentation_5517854_3_5963478_1" xfId="396"/>
    <cellStyle name="_Multiple_Combined Synergy Presentation_5517854_3_FON" xfId="397"/>
    <cellStyle name="_Multiple_Combined Synergy Presentation_5517854_3_Put Analysis" xfId="398"/>
    <cellStyle name="_Multiple_Combined Synergy Presentation_5517854_3_Put Analysis.v2" xfId="399"/>
    <cellStyle name="_Multiple_Combined Synergy Presentation_5517854_3_Spin Model v.2" xfId="400"/>
    <cellStyle name="_Multiple_Combined Synergy Presentation_Book3" xfId="401"/>
    <cellStyle name="_Multiple_Combined Synergy Presentation_Book3_5401007_6" xfId="402"/>
    <cellStyle name="_Multiple_Combined Synergy Presentation_Book3_5963478_1" xfId="403"/>
    <cellStyle name="_Multiple_Combined Synergy Presentation_Book3_FON" xfId="404"/>
    <cellStyle name="_Multiple_Combined Synergy Presentation_Book3_Put Analysis" xfId="405"/>
    <cellStyle name="_Multiple_Combined Synergy Presentation_Book3_Put Analysis.v2" xfId="406"/>
    <cellStyle name="_Multiple_Combined Synergy Presentation_Book3_Spin Model v.2" xfId="407"/>
    <cellStyle name="_Multiple_Synergy Analysis_co-advisors" xfId="408"/>
    <cellStyle name="_Multiple_Synergy Analysis_co-advisors_5515616_3" xfId="409"/>
    <cellStyle name="_Multiple_Synergy Analysis_co-advisors_5515616_3_5401007_6" xfId="410"/>
    <cellStyle name="_Multiple_Synergy Analysis_co-advisors_5515616_3_5401007_6_Project Kentucky Derby Model v75" xfId="411"/>
    <cellStyle name="_Multiple_Synergy Analysis_co-advisors_5515616_3_5401007_6_Project Kentucky Derby Model v76" xfId="412"/>
    <cellStyle name="_Multiple_Synergy Analysis_co-advisors_5515616_3_5401007_6_SBSAModel116(Company)" xfId="413"/>
    <cellStyle name="_Multiple_Synergy Analysis_co-advisors_5515616_3_5963478_1" xfId="414"/>
    <cellStyle name="_Multiple_Synergy Analysis_co-advisors_5515616_3_FON" xfId="415"/>
    <cellStyle name="_Multiple_Synergy Analysis_co-advisors_5515616_3_Put Analysis" xfId="416"/>
    <cellStyle name="_Multiple_Synergy Analysis_co-advisors_5515616_3_Put Analysis.v2" xfId="417"/>
    <cellStyle name="_Multiple_Synergy Analysis_co-advisors_5515616_3_Put Analysis.v2_Project Kentucky Derby Model v75" xfId="418"/>
    <cellStyle name="_Multiple_Synergy Analysis_co-advisors_5515616_3_Put Analysis.v2_Project Kentucky Derby Model v76" xfId="419"/>
    <cellStyle name="_Multiple_Synergy Analysis_co-advisors_5515616_3_Put Analysis.v2_SBSAModel116(Company)" xfId="420"/>
    <cellStyle name="_Multiple_Synergy Analysis_co-advisors_5515616_3_Put Analysis_Project Kentucky Derby Model v75" xfId="421"/>
    <cellStyle name="_Multiple_Synergy Analysis_co-advisors_5515616_3_Put Analysis_Project Kentucky Derby Model v76" xfId="422"/>
    <cellStyle name="_Multiple_Synergy Analysis_co-advisors_5515616_3_Put Analysis_SBSAModel116(Company)" xfId="423"/>
    <cellStyle name="_Multiple_Synergy Analysis_co-advisors_5515616_3_Spin Model v.2" xfId="424"/>
    <cellStyle name="_Multiple_Synergy Analysis_co-advisors_5515616_3_Spin Model v.2_Project Kentucky Derby Model v75" xfId="425"/>
    <cellStyle name="_Multiple_Synergy Analysis_co-advisors_5515616_3_Spin Model v.2_Project Kentucky Derby Model v76" xfId="426"/>
    <cellStyle name="_Multiple_Synergy Analysis_co-advisors_5515616_3_Spin Model v.2_SBSAModel116(Company)" xfId="427"/>
    <cellStyle name="_Multiple_Synergy Analysis_co-advisors_5517854_3" xfId="428"/>
    <cellStyle name="_Multiple_Synergy Analysis_co-advisors_5517854_3_5401007_6" xfId="429"/>
    <cellStyle name="_Multiple_Synergy Analysis_co-advisors_5517854_3_5401007_6_Project Kentucky Derby Model v75" xfId="430"/>
    <cellStyle name="_Multiple_Synergy Analysis_co-advisors_5517854_3_5401007_6_Project Kentucky Derby Model v76" xfId="431"/>
    <cellStyle name="_Multiple_Synergy Analysis_co-advisors_5517854_3_5401007_6_SBSAModel116(Company)" xfId="432"/>
    <cellStyle name="_Multiple_Synergy Analysis_co-advisors_5517854_3_5963478_1" xfId="433"/>
    <cellStyle name="_Multiple_Synergy Analysis_co-advisors_5517854_3_FON" xfId="434"/>
    <cellStyle name="_Multiple_Synergy Analysis_co-advisors_5517854_3_Put Analysis" xfId="435"/>
    <cellStyle name="_Multiple_Synergy Analysis_co-advisors_5517854_3_Put Analysis.v2" xfId="436"/>
    <cellStyle name="_Multiple_Synergy Analysis_co-advisors_5517854_3_Put Analysis.v2_Project Kentucky Derby Model v75" xfId="437"/>
    <cellStyle name="_Multiple_Synergy Analysis_co-advisors_5517854_3_Put Analysis.v2_Project Kentucky Derby Model v76" xfId="438"/>
    <cellStyle name="_Multiple_Synergy Analysis_co-advisors_5517854_3_Put Analysis.v2_SBSAModel116(Company)" xfId="439"/>
    <cellStyle name="_Multiple_Synergy Analysis_co-advisors_5517854_3_Put Analysis_Project Kentucky Derby Model v75" xfId="440"/>
    <cellStyle name="_Multiple_Synergy Analysis_co-advisors_5517854_3_Put Analysis_Project Kentucky Derby Model v76" xfId="441"/>
    <cellStyle name="_Multiple_Synergy Analysis_co-advisors_5517854_3_Put Analysis_SBSAModel116(Company)" xfId="442"/>
    <cellStyle name="_Multiple_Synergy Analysis_co-advisors_5517854_3_Spin Model v.2" xfId="443"/>
    <cellStyle name="_Multiple_Synergy Analysis_co-advisors_5517854_3_Spin Model v.2_Project Kentucky Derby Model v75" xfId="444"/>
    <cellStyle name="_Multiple_Synergy Analysis_co-advisors_5517854_3_Spin Model v.2_Project Kentucky Derby Model v76" xfId="445"/>
    <cellStyle name="_Multiple_Synergy Analysis_co-advisors_5517854_3_Spin Model v.2_SBSAModel116(Company)" xfId="446"/>
    <cellStyle name="_Multiple_Synergy Analysis_co-advisors_Book3" xfId="447"/>
    <cellStyle name="_Multiple_Synergy Analysis_co-advisors_Book3_5401007_6" xfId="448"/>
    <cellStyle name="_Multiple_Synergy Analysis_co-advisors_Book3_5401007_6_Project Kentucky Derby Model v75" xfId="449"/>
    <cellStyle name="_Multiple_Synergy Analysis_co-advisors_Book3_5401007_6_Project Kentucky Derby Model v76" xfId="450"/>
    <cellStyle name="_Multiple_Synergy Analysis_co-advisors_Book3_5401007_6_SBSAModel116(Company)" xfId="451"/>
    <cellStyle name="_Multiple_Synergy Analysis_co-advisors_Book3_5963478_1" xfId="452"/>
    <cellStyle name="_Multiple_Synergy Analysis_co-advisors_Book3_FON" xfId="453"/>
    <cellStyle name="_Multiple_Synergy Analysis_co-advisors_Book3_Put Analysis" xfId="454"/>
    <cellStyle name="_Multiple_Synergy Analysis_co-advisors_Book3_Put Analysis.v2" xfId="455"/>
    <cellStyle name="_Multiple_Synergy Analysis_co-advisors_Book3_Put Analysis.v2_Project Kentucky Derby Model v75" xfId="456"/>
    <cellStyle name="_Multiple_Synergy Analysis_co-advisors_Book3_Put Analysis.v2_Project Kentucky Derby Model v76" xfId="457"/>
    <cellStyle name="_Multiple_Synergy Analysis_co-advisors_Book3_Put Analysis.v2_SBSAModel116(Company)" xfId="458"/>
    <cellStyle name="_Multiple_Synergy Analysis_co-advisors_Book3_Put Analysis_Project Kentucky Derby Model v75" xfId="459"/>
    <cellStyle name="_Multiple_Synergy Analysis_co-advisors_Book3_Put Analysis_Project Kentucky Derby Model v76" xfId="460"/>
    <cellStyle name="_Multiple_Synergy Analysis_co-advisors_Book3_Put Analysis_SBSAModel116(Company)" xfId="461"/>
    <cellStyle name="_Multiple_Synergy Analysis_co-advisors_Book3_Spin Model v.2" xfId="462"/>
    <cellStyle name="_Multiple_Synergy Analysis_co-advisors_Book3_Spin Model v.2_Project Kentucky Derby Model v75" xfId="463"/>
    <cellStyle name="_Multiple_Synergy Analysis_co-advisors_Book3_Spin Model v.2_Project Kentucky Derby Model v76" xfId="464"/>
    <cellStyle name="_Multiple_Synergy Analysis_co-advisors_Book3_Spin Model v.2_SBSAModel116(Company)" xfId="465"/>
    <cellStyle name="_MultipleSpace" xfId="466"/>
    <cellStyle name="_MultipleSpace_5515616_3" xfId="467"/>
    <cellStyle name="_MultipleSpace_5515616_3_5401007_6" xfId="468"/>
    <cellStyle name="_MultipleSpace_5515616_3_5963478_1" xfId="469"/>
    <cellStyle name="_MultipleSpace_5515616_3_FON" xfId="470"/>
    <cellStyle name="_MultipleSpace_5515616_3_Put Analysis" xfId="471"/>
    <cellStyle name="_MultipleSpace_5515616_3_Put Analysis.v2" xfId="472"/>
    <cellStyle name="_MultipleSpace_5515616_3_Spin Model v.2" xfId="473"/>
    <cellStyle name="_MultipleSpace_5517854_3" xfId="474"/>
    <cellStyle name="_MultipleSpace_5517854_3_5401007_6" xfId="475"/>
    <cellStyle name="_MultipleSpace_5517854_3_5963478_1" xfId="476"/>
    <cellStyle name="_MultipleSpace_5517854_3_FON" xfId="477"/>
    <cellStyle name="_MultipleSpace_5517854_3_Put Analysis" xfId="478"/>
    <cellStyle name="_MultipleSpace_5517854_3_Put Analysis.v2" xfId="479"/>
    <cellStyle name="_MultipleSpace_5517854_3_Spin Model v.2" xfId="480"/>
    <cellStyle name="_MultipleSpace_Book3" xfId="481"/>
    <cellStyle name="_MultipleSpace_Book3_5401007_6" xfId="482"/>
    <cellStyle name="_MultipleSpace_Book3_5963478_1" xfId="483"/>
    <cellStyle name="_MultipleSpace_Book3_FON" xfId="484"/>
    <cellStyle name="_MultipleSpace_Book3_Put Analysis" xfId="485"/>
    <cellStyle name="_MultipleSpace_Book3_Put Analysis.v2" xfId="486"/>
    <cellStyle name="_MultipleSpace_Book3_Spin Model v.2" xfId="487"/>
    <cellStyle name="_MultipleSpace_Combined Synergy Presentation" xfId="488"/>
    <cellStyle name="_MultipleSpace_Combined Synergy Presentation_5515616_3" xfId="489"/>
    <cellStyle name="_MultipleSpace_Combined Synergy Presentation_5515616_3_5401007_6" xfId="490"/>
    <cellStyle name="_MultipleSpace_Combined Synergy Presentation_5515616_3_5963478_1" xfId="491"/>
    <cellStyle name="_MultipleSpace_Combined Synergy Presentation_5515616_3_FON" xfId="492"/>
    <cellStyle name="_MultipleSpace_Combined Synergy Presentation_5515616_3_Put Analysis" xfId="493"/>
    <cellStyle name="_MultipleSpace_Combined Synergy Presentation_5515616_3_Put Analysis.v2" xfId="494"/>
    <cellStyle name="_MultipleSpace_Combined Synergy Presentation_5515616_3_Spin Model v.2" xfId="495"/>
    <cellStyle name="_MultipleSpace_Combined Synergy Presentation_5517854_3" xfId="496"/>
    <cellStyle name="_MultipleSpace_Combined Synergy Presentation_5517854_3_5401007_6" xfId="497"/>
    <cellStyle name="_MultipleSpace_Combined Synergy Presentation_5517854_3_5963478_1" xfId="498"/>
    <cellStyle name="_MultipleSpace_Combined Synergy Presentation_5517854_3_FON" xfId="499"/>
    <cellStyle name="_MultipleSpace_Combined Synergy Presentation_5517854_3_Put Analysis" xfId="500"/>
    <cellStyle name="_MultipleSpace_Combined Synergy Presentation_5517854_3_Put Analysis.v2" xfId="501"/>
    <cellStyle name="_MultipleSpace_Combined Synergy Presentation_5517854_3_Spin Model v.2" xfId="502"/>
    <cellStyle name="_MultipleSpace_Combined Synergy Presentation_Book3" xfId="503"/>
    <cellStyle name="_MultipleSpace_Combined Synergy Presentation_Book3_5401007_6" xfId="504"/>
    <cellStyle name="_MultipleSpace_Combined Synergy Presentation_Book3_5963478_1" xfId="505"/>
    <cellStyle name="_MultipleSpace_Combined Synergy Presentation_Book3_FON" xfId="506"/>
    <cellStyle name="_MultipleSpace_Combined Synergy Presentation_Book3_Put Analysis" xfId="507"/>
    <cellStyle name="_MultipleSpace_Combined Synergy Presentation_Book3_Put Analysis.v2" xfId="508"/>
    <cellStyle name="_MultipleSpace_Combined Synergy Presentation_Book3_Spin Model v.2" xfId="509"/>
    <cellStyle name="_MultipleSpace_Synergy Analysis" xfId="510"/>
    <cellStyle name="_MultipleSpace_Synergy Analysis_5515616_3" xfId="511"/>
    <cellStyle name="_MultipleSpace_Synergy Analysis_5515616_3_5401007_6" xfId="512"/>
    <cellStyle name="_MultipleSpace_Synergy Analysis_5515616_3_5401007_6_Project Kentucky Derby Model v75" xfId="513"/>
    <cellStyle name="_MultipleSpace_Synergy Analysis_5515616_3_5401007_6_Project Kentucky Derby Model v76" xfId="514"/>
    <cellStyle name="_MultipleSpace_Synergy Analysis_5515616_3_5401007_6_SBSAModel116(Company)" xfId="515"/>
    <cellStyle name="_MultipleSpace_Synergy Analysis_5515616_3_5963478_1" xfId="516"/>
    <cellStyle name="_MultipleSpace_Synergy Analysis_5515616_3_FON" xfId="517"/>
    <cellStyle name="_MultipleSpace_Synergy Analysis_5515616_3_Put Analysis" xfId="518"/>
    <cellStyle name="_MultipleSpace_Synergy Analysis_5515616_3_Put Analysis.v2" xfId="519"/>
    <cellStyle name="_MultipleSpace_Synergy Analysis_5515616_3_Put Analysis.v2_Project Kentucky Derby Model v75" xfId="520"/>
    <cellStyle name="_MultipleSpace_Synergy Analysis_5515616_3_Put Analysis.v2_Project Kentucky Derby Model v76" xfId="521"/>
    <cellStyle name="_MultipleSpace_Synergy Analysis_5515616_3_Put Analysis.v2_SBSAModel116(Company)" xfId="522"/>
    <cellStyle name="_MultipleSpace_Synergy Analysis_5515616_3_Put Analysis_Project Kentucky Derby Model v75" xfId="523"/>
    <cellStyle name="_MultipleSpace_Synergy Analysis_5515616_3_Put Analysis_Project Kentucky Derby Model v76" xfId="524"/>
    <cellStyle name="_MultipleSpace_Synergy Analysis_5515616_3_Put Analysis_SBSAModel116(Company)" xfId="525"/>
    <cellStyle name="_MultipleSpace_Synergy Analysis_5515616_3_Spin Model v.2" xfId="526"/>
    <cellStyle name="_MultipleSpace_Synergy Analysis_5515616_3_Spin Model v.2_Project Kentucky Derby Model v75" xfId="527"/>
    <cellStyle name="_MultipleSpace_Synergy Analysis_5515616_3_Spin Model v.2_Project Kentucky Derby Model v76" xfId="528"/>
    <cellStyle name="_MultipleSpace_Synergy Analysis_5515616_3_Spin Model v.2_SBSAModel116(Company)" xfId="529"/>
    <cellStyle name="_MultipleSpace_Synergy Analysis_5517854_3" xfId="530"/>
    <cellStyle name="_MultipleSpace_Synergy Analysis_5517854_3_5401007_6" xfId="531"/>
    <cellStyle name="_MultipleSpace_Synergy Analysis_5517854_3_5401007_6_Project Kentucky Derby Model v75" xfId="532"/>
    <cellStyle name="_MultipleSpace_Synergy Analysis_5517854_3_5401007_6_Project Kentucky Derby Model v76" xfId="533"/>
    <cellStyle name="_MultipleSpace_Synergy Analysis_5517854_3_5401007_6_SBSAModel116(Company)" xfId="534"/>
    <cellStyle name="_MultipleSpace_Synergy Analysis_5517854_3_5963478_1" xfId="535"/>
    <cellStyle name="_MultipleSpace_Synergy Analysis_5517854_3_FON" xfId="536"/>
    <cellStyle name="_MultipleSpace_Synergy Analysis_5517854_3_Put Analysis" xfId="537"/>
    <cellStyle name="_MultipleSpace_Synergy Analysis_5517854_3_Put Analysis.v2" xfId="538"/>
    <cellStyle name="_MultipleSpace_Synergy Analysis_5517854_3_Put Analysis.v2_Project Kentucky Derby Model v75" xfId="539"/>
    <cellStyle name="_MultipleSpace_Synergy Analysis_5517854_3_Put Analysis.v2_Project Kentucky Derby Model v76" xfId="540"/>
    <cellStyle name="_MultipleSpace_Synergy Analysis_5517854_3_Put Analysis.v2_SBSAModel116(Company)" xfId="541"/>
    <cellStyle name="_MultipleSpace_Synergy Analysis_5517854_3_Put Analysis_Project Kentucky Derby Model v75" xfId="542"/>
    <cellStyle name="_MultipleSpace_Synergy Analysis_5517854_3_Put Analysis_Project Kentucky Derby Model v76" xfId="543"/>
    <cellStyle name="_MultipleSpace_Synergy Analysis_5517854_3_Put Analysis_SBSAModel116(Company)" xfId="544"/>
    <cellStyle name="_MultipleSpace_Synergy Analysis_5517854_3_Spin Model v.2" xfId="545"/>
    <cellStyle name="_MultipleSpace_Synergy Analysis_5517854_3_Spin Model v.2_Project Kentucky Derby Model v75" xfId="546"/>
    <cellStyle name="_MultipleSpace_Synergy Analysis_5517854_3_Spin Model v.2_Project Kentucky Derby Model v76" xfId="547"/>
    <cellStyle name="_MultipleSpace_Synergy Analysis_5517854_3_Spin Model v.2_SBSAModel116(Company)" xfId="548"/>
    <cellStyle name="_MultipleSpace_Synergy Analysis_Book3" xfId="549"/>
    <cellStyle name="_MultipleSpace_Synergy Analysis_Book3_5401007_6" xfId="550"/>
    <cellStyle name="_MultipleSpace_Synergy Analysis_Book3_5401007_6_Project Kentucky Derby Model v75" xfId="551"/>
    <cellStyle name="_MultipleSpace_Synergy Analysis_Book3_5401007_6_Project Kentucky Derby Model v76" xfId="552"/>
    <cellStyle name="_MultipleSpace_Synergy Analysis_Book3_5401007_6_SBSAModel116(Company)" xfId="553"/>
    <cellStyle name="_MultipleSpace_Synergy Analysis_Book3_5963478_1" xfId="554"/>
    <cellStyle name="_MultipleSpace_Synergy Analysis_Book3_FON" xfId="555"/>
    <cellStyle name="_MultipleSpace_Synergy Analysis_Book3_Put Analysis" xfId="556"/>
    <cellStyle name="_MultipleSpace_Synergy Analysis_Book3_Put Analysis.v2" xfId="557"/>
    <cellStyle name="_MultipleSpace_Synergy Analysis_Book3_Put Analysis.v2_Project Kentucky Derby Model v75" xfId="558"/>
    <cellStyle name="_MultipleSpace_Synergy Analysis_Book3_Put Analysis.v2_Project Kentucky Derby Model v76" xfId="559"/>
    <cellStyle name="_MultipleSpace_Synergy Analysis_Book3_Put Analysis.v2_SBSAModel116(Company)" xfId="560"/>
    <cellStyle name="_MultipleSpace_Synergy Analysis_Book3_Put Analysis_Project Kentucky Derby Model v75" xfId="561"/>
    <cellStyle name="_MultipleSpace_Synergy Analysis_Book3_Put Analysis_Project Kentucky Derby Model v76" xfId="562"/>
    <cellStyle name="_MultipleSpace_Synergy Analysis_Book3_Put Analysis_SBSAModel116(Company)" xfId="563"/>
    <cellStyle name="_MultipleSpace_Synergy Analysis_Book3_Spin Model v.2" xfId="564"/>
    <cellStyle name="_MultipleSpace_Synergy Analysis_Book3_Spin Model v.2_Project Kentucky Derby Model v75" xfId="565"/>
    <cellStyle name="_MultipleSpace_Synergy Analysis_Book3_Spin Model v.2_Project Kentucky Derby Model v76" xfId="566"/>
    <cellStyle name="_MultipleSpace_Synergy Analysis_Book3_Spin Model v.2_SBSAModel116(Company)" xfId="567"/>
    <cellStyle name="_MultipleSpace_Synergy Analysis_co-advisors" xfId="568"/>
    <cellStyle name="_MultipleSpace_Synergy Analysis_co-advisors_5515616_3" xfId="569"/>
    <cellStyle name="_MultipleSpace_Synergy Analysis_co-advisors_5515616_3_5401007_6" xfId="570"/>
    <cellStyle name="_MultipleSpace_Synergy Analysis_co-advisors_5515616_3_5401007_6_Project Kentucky Derby Model v75" xfId="571"/>
    <cellStyle name="_MultipleSpace_Synergy Analysis_co-advisors_5515616_3_5401007_6_Project Kentucky Derby Model v76" xfId="572"/>
    <cellStyle name="_MultipleSpace_Synergy Analysis_co-advisors_5515616_3_5401007_6_SBSAModel116(Company)" xfId="573"/>
    <cellStyle name="_MultipleSpace_Synergy Analysis_co-advisors_5515616_3_5963478_1" xfId="574"/>
    <cellStyle name="_MultipleSpace_Synergy Analysis_co-advisors_5515616_3_FON" xfId="575"/>
    <cellStyle name="_MultipleSpace_Synergy Analysis_co-advisors_5515616_3_Put Analysis" xfId="576"/>
    <cellStyle name="_MultipleSpace_Synergy Analysis_co-advisors_5515616_3_Put Analysis.v2" xfId="577"/>
    <cellStyle name="_MultipleSpace_Synergy Analysis_co-advisors_5515616_3_Put Analysis.v2_Project Kentucky Derby Model v75" xfId="578"/>
    <cellStyle name="_MultipleSpace_Synergy Analysis_co-advisors_5515616_3_Put Analysis.v2_Project Kentucky Derby Model v76" xfId="579"/>
    <cellStyle name="_MultipleSpace_Synergy Analysis_co-advisors_5515616_3_Put Analysis.v2_SBSAModel116(Company)" xfId="580"/>
    <cellStyle name="_MultipleSpace_Synergy Analysis_co-advisors_5515616_3_Put Analysis_Project Kentucky Derby Model v75" xfId="581"/>
    <cellStyle name="_MultipleSpace_Synergy Analysis_co-advisors_5515616_3_Put Analysis_Project Kentucky Derby Model v76" xfId="582"/>
    <cellStyle name="_MultipleSpace_Synergy Analysis_co-advisors_5515616_3_Put Analysis_SBSAModel116(Company)" xfId="583"/>
    <cellStyle name="_MultipleSpace_Synergy Analysis_co-advisors_5515616_3_Spin Model v.2" xfId="584"/>
    <cellStyle name="_MultipleSpace_Synergy Analysis_co-advisors_5515616_3_Spin Model v.2_Project Kentucky Derby Model v75" xfId="585"/>
    <cellStyle name="_MultipleSpace_Synergy Analysis_co-advisors_5515616_3_Spin Model v.2_Project Kentucky Derby Model v76" xfId="586"/>
    <cellStyle name="_MultipleSpace_Synergy Analysis_co-advisors_5515616_3_Spin Model v.2_SBSAModel116(Company)" xfId="587"/>
    <cellStyle name="_MultipleSpace_Synergy Analysis_co-advisors_5517854_3" xfId="588"/>
    <cellStyle name="_MultipleSpace_Synergy Analysis_co-advisors_5517854_3_5401007_6" xfId="589"/>
    <cellStyle name="_MultipleSpace_Synergy Analysis_co-advisors_5517854_3_5401007_6_Project Kentucky Derby Model v75" xfId="590"/>
    <cellStyle name="_MultipleSpace_Synergy Analysis_co-advisors_5517854_3_5401007_6_Project Kentucky Derby Model v76" xfId="591"/>
    <cellStyle name="_MultipleSpace_Synergy Analysis_co-advisors_5517854_3_5401007_6_SBSAModel116(Company)" xfId="592"/>
    <cellStyle name="_MultipleSpace_Synergy Analysis_co-advisors_5517854_3_5963478_1" xfId="593"/>
    <cellStyle name="_MultipleSpace_Synergy Analysis_co-advisors_5517854_3_FON" xfId="594"/>
    <cellStyle name="_MultipleSpace_Synergy Analysis_co-advisors_5517854_3_Put Analysis" xfId="595"/>
    <cellStyle name="_MultipleSpace_Synergy Analysis_co-advisors_5517854_3_Put Analysis.v2" xfId="596"/>
    <cellStyle name="_MultipleSpace_Synergy Analysis_co-advisors_5517854_3_Put Analysis.v2_Project Kentucky Derby Model v75" xfId="597"/>
    <cellStyle name="_MultipleSpace_Synergy Analysis_co-advisors_5517854_3_Put Analysis.v2_Project Kentucky Derby Model v76" xfId="598"/>
    <cellStyle name="_MultipleSpace_Synergy Analysis_co-advisors_5517854_3_Put Analysis.v2_SBSAModel116(Company)" xfId="599"/>
    <cellStyle name="_MultipleSpace_Synergy Analysis_co-advisors_5517854_3_Put Analysis_Project Kentucky Derby Model v75" xfId="600"/>
    <cellStyle name="_MultipleSpace_Synergy Analysis_co-advisors_5517854_3_Put Analysis_Project Kentucky Derby Model v76" xfId="601"/>
    <cellStyle name="_MultipleSpace_Synergy Analysis_co-advisors_5517854_3_Put Analysis_SBSAModel116(Company)" xfId="602"/>
    <cellStyle name="_MultipleSpace_Synergy Analysis_co-advisors_5517854_3_Spin Model v.2" xfId="603"/>
    <cellStyle name="_MultipleSpace_Synergy Analysis_co-advisors_5517854_3_Spin Model v.2_Project Kentucky Derby Model v75" xfId="604"/>
    <cellStyle name="_MultipleSpace_Synergy Analysis_co-advisors_5517854_3_Spin Model v.2_Project Kentucky Derby Model v76" xfId="605"/>
    <cellStyle name="_MultipleSpace_Synergy Analysis_co-advisors_5517854_3_Spin Model v.2_SBSAModel116(Company)" xfId="606"/>
    <cellStyle name="_MultipleSpace_Synergy Analysis_co-advisors_Book3" xfId="607"/>
    <cellStyle name="_MultipleSpace_Synergy Analysis_co-advisors_Book3_5401007_6" xfId="608"/>
    <cellStyle name="_MultipleSpace_Synergy Analysis_co-advisors_Book3_5401007_6_Project Kentucky Derby Model v75" xfId="609"/>
    <cellStyle name="_MultipleSpace_Synergy Analysis_co-advisors_Book3_5401007_6_Project Kentucky Derby Model v76" xfId="610"/>
    <cellStyle name="_MultipleSpace_Synergy Analysis_co-advisors_Book3_5401007_6_SBSAModel116(Company)" xfId="611"/>
    <cellStyle name="_MultipleSpace_Synergy Analysis_co-advisors_Book3_5963478_1" xfId="612"/>
    <cellStyle name="_MultipleSpace_Synergy Analysis_co-advisors_Book3_FON" xfId="613"/>
    <cellStyle name="_MultipleSpace_Synergy Analysis_co-advisors_Book3_Put Analysis" xfId="614"/>
    <cellStyle name="_MultipleSpace_Synergy Analysis_co-advisors_Book3_Put Analysis.v2" xfId="615"/>
    <cellStyle name="_MultipleSpace_Synergy Analysis_co-advisors_Book3_Put Analysis.v2_Project Kentucky Derby Model v75" xfId="616"/>
    <cellStyle name="_MultipleSpace_Synergy Analysis_co-advisors_Book3_Put Analysis.v2_Project Kentucky Derby Model v76" xfId="617"/>
    <cellStyle name="_MultipleSpace_Synergy Analysis_co-advisors_Book3_Put Analysis.v2_SBSAModel116(Company)" xfId="618"/>
    <cellStyle name="_MultipleSpace_Synergy Analysis_co-advisors_Book3_Put Analysis_Project Kentucky Derby Model v75" xfId="619"/>
    <cellStyle name="_MultipleSpace_Synergy Analysis_co-advisors_Book3_Put Analysis_Project Kentucky Derby Model v76" xfId="620"/>
    <cellStyle name="_MultipleSpace_Synergy Analysis_co-advisors_Book3_Put Analysis_SBSAModel116(Company)" xfId="621"/>
    <cellStyle name="_MultipleSpace_Synergy Analysis_co-advisors_Book3_Spin Model v.2" xfId="622"/>
    <cellStyle name="_MultipleSpace_Synergy Analysis_co-advisors_Book3_Spin Model v.2_Project Kentucky Derby Model v75" xfId="623"/>
    <cellStyle name="_MultipleSpace_Synergy Analysis_co-advisors_Book3_Spin Model v.2_Project Kentucky Derby Model v76" xfId="624"/>
    <cellStyle name="_MultipleSpace_Synergy Analysis_co-advisors_Book3_Spin Model v.2_SBSAModel116(Company)" xfId="625"/>
    <cellStyle name="_MultipleSpace_Synergy Calc 1.1 rev 5-yr aug high1_bpace" xfId="626"/>
    <cellStyle name="_MultipleSpace_Synergy Calc 1.1 rev 5-yr aug high1_bpace_5515616_3" xfId="627"/>
    <cellStyle name="_MultipleSpace_Synergy Calc 1.1 rev 5-yr aug high1_bpace_5515616_3_5401007_6" xfId="628"/>
    <cellStyle name="_MultipleSpace_Synergy Calc 1.1 rev 5-yr aug high1_bpace_5515616_3_5963478_1" xfId="629"/>
    <cellStyle name="_MultipleSpace_Synergy Calc 1.1 rev 5-yr aug high1_bpace_5515616_3_FON" xfId="630"/>
    <cellStyle name="_MultipleSpace_Synergy Calc 1.1 rev 5-yr aug high1_bpace_5515616_3_Put Analysis" xfId="631"/>
    <cellStyle name="_MultipleSpace_Synergy Calc 1.1 rev 5-yr aug high1_bpace_5515616_3_Put Analysis.v2" xfId="632"/>
    <cellStyle name="_MultipleSpace_Synergy Calc 1.1 rev 5-yr aug high1_bpace_5515616_3_Spin Model v.2" xfId="633"/>
    <cellStyle name="_MultipleSpace_Synergy Calc 1.1 rev 5-yr aug high1_bpace_5517854_3" xfId="634"/>
    <cellStyle name="_MultipleSpace_Synergy Calc 1.1 rev 5-yr aug high1_bpace_5517854_3_5401007_6" xfId="635"/>
    <cellStyle name="_MultipleSpace_Synergy Calc 1.1 rev 5-yr aug high1_bpace_5517854_3_5963478_1" xfId="636"/>
    <cellStyle name="_MultipleSpace_Synergy Calc 1.1 rev 5-yr aug high1_bpace_5517854_3_FON" xfId="637"/>
    <cellStyle name="_MultipleSpace_Synergy Calc 1.1 rev 5-yr aug high1_bpace_5517854_3_Put Analysis" xfId="638"/>
    <cellStyle name="_MultipleSpace_Synergy Calc 1.1 rev 5-yr aug high1_bpace_5517854_3_Put Analysis.v2" xfId="639"/>
    <cellStyle name="_MultipleSpace_Synergy Calc 1.1 rev 5-yr aug high1_bpace_5517854_3_Spin Model v.2" xfId="640"/>
    <cellStyle name="_MultipleSpace_Synergy Calc 1.1 rev 5-yr aug high1_bpace_Book3" xfId="641"/>
    <cellStyle name="_MultipleSpace_Synergy Calc 1.1 rev 5-yr aug high1_bpace_Book3_5401007_6" xfId="642"/>
    <cellStyle name="_MultipleSpace_Synergy Calc 1.1 rev 5-yr aug high1_bpace_Book3_5963478_1" xfId="643"/>
    <cellStyle name="_MultipleSpace_Synergy Calc 1.1 rev 5-yr aug high1_bpace_Book3_FON" xfId="644"/>
    <cellStyle name="_MultipleSpace_Synergy Calc 1.1 rev 5-yr aug high1_bpace_Book3_Put Analysis" xfId="645"/>
    <cellStyle name="_MultipleSpace_Synergy Calc 1.1 rev 5-yr aug high1_bpace_Book3_Put Analysis.v2" xfId="646"/>
    <cellStyle name="_MultipleSpace_Synergy Calc 1.1 rev 5-yr aug high1_bpace_Book3_Spin Model v.2" xfId="647"/>
    <cellStyle name="_MultipleSpace_Synergy Detail _gs" xfId="648"/>
    <cellStyle name="_MultipleSpace_Synergy Detail _gs_5515616_3" xfId="649"/>
    <cellStyle name="_MultipleSpace_Synergy Detail _gs_5515616_3_5401007_6" xfId="650"/>
    <cellStyle name="_MultipleSpace_Synergy Detail _gs_5515616_3_5401007_6_Project Kentucky Derby Model v75" xfId="651"/>
    <cellStyle name="_MultipleSpace_Synergy Detail _gs_5515616_3_5401007_6_Project Kentucky Derby Model v76" xfId="652"/>
    <cellStyle name="_MultipleSpace_Synergy Detail _gs_5515616_3_5401007_6_SBSAModel116(Company)" xfId="653"/>
    <cellStyle name="_MultipleSpace_Synergy Detail _gs_5515616_3_5963478_1" xfId="654"/>
    <cellStyle name="_MultipleSpace_Synergy Detail _gs_5515616_3_FON" xfId="655"/>
    <cellStyle name="_MultipleSpace_Synergy Detail _gs_5515616_3_Put Analysis" xfId="656"/>
    <cellStyle name="_MultipleSpace_Synergy Detail _gs_5515616_3_Put Analysis.v2" xfId="657"/>
    <cellStyle name="_MultipleSpace_Synergy Detail _gs_5515616_3_Put Analysis.v2_Project Kentucky Derby Model v75" xfId="658"/>
    <cellStyle name="_MultipleSpace_Synergy Detail _gs_5515616_3_Put Analysis.v2_Project Kentucky Derby Model v76" xfId="659"/>
    <cellStyle name="_MultipleSpace_Synergy Detail _gs_5515616_3_Put Analysis.v2_SBSAModel116(Company)" xfId="660"/>
    <cellStyle name="_MultipleSpace_Synergy Detail _gs_5515616_3_Put Analysis_Project Kentucky Derby Model v75" xfId="661"/>
    <cellStyle name="_MultipleSpace_Synergy Detail _gs_5515616_3_Put Analysis_Project Kentucky Derby Model v76" xfId="662"/>
    <cellStyle name="_MultipleSpace_Synergy Detail _gs_5515616_3_Put Analysis_SBSAModel116(Company)" xfId="663"/>
    <cellStyle name="_MultipleSpace_Synergy Detail _gs_5515616_3_Spin Model v.2" xfId="664"/>
    <cellStyle name="_MultipleSpace_Synergy Detail _gs_5515616_3_Spin Model v.2_Project Kentucky Derby Model v75" xfId="665"/>
    <cellStyle name="_MultipleSpace_Synergy Detail _gs_5515616_3_Spin Model v.2_Project Kentucky Derby Model v76" xfId="666"/>
    <cellStyle name="_MultipleSpace_Synergy Detail _gs_5515616_3_Spin Model v.2_SBSAModel116(Company)" xfId="667"/>
    <cellStyle name="_MultipleSpace_Synergy Detail _gs_5517854_3" xfId="668"/>
    <cellStyle name="_MultipleSpace_Synergy Detail _gs_5517854_3_5401007_6" xfId="669"/>
    <cellStyle name="_MultipleSpace_Synergy Detail _gs_5517854_3_5401007_6_Project Kentucky Derby Model v75" xfId="670"/>
    <cellStyle name="_MultipleSpace_Synergy Detail _gs_5517854_3_5401007_6_Project Kentucky Derby Model v76" xfId="671"/>
    <cellStyle name="_MultipleSpace_Synergy Detail _gs_5517854_3_5401007_6_SBSAModel116(Company)" xfId="672"/>
    <cellStyle name="_MultipleSpace_Synergy Detail _gs_5517854_3_5963478_1" xfId="673"/>
    <cellStyle name="_MultipleSpace_Synergy Detail _gs_5517854_3_FON" xfId="674"/>
    <cellStyle name="_MultipleSpace_Synergy Detail _gs_5517854_3_Put Analysis" xfId="675"/>
    <cellStyle name="_MultipleSpace_Synergy Detail _gs_5517854_3_Put Analysis.v2" xfId="676"/>
    <cellStyle name="_MultipleSpace_Synergy Detail _gs_5517854_3_Put Analysis.v2_Project Kentucky Derby Model v75" xfId="677"/>
    <cellStyle name="_MultipleSpace_Synergy Detail _gs_5517854_3_Put Analysis.v2_Project Kentucky Derby Model v76" xfId="678"/>
    <cellStyle name="_MultipleSpace_Synergy Detail _gs_5517854_3_Put Analysis.v2_SBSAModel116(Company)" xfId="679"/>
    <cellStyle name="_MultipleSpace_Synergy Detail _gs_5517854_3_Put Analysis_Project Kentucky Derby Model v75" xfId="680"/>
    <cellStyle name="_MultipleSpace_Synergy Detail _gs_5517854_3_Put Analysis_Project Kentucky Derby Model v76" xfId="681"/>
    <cellStyle name="_MultipleSpace_Synergy Detail _gs_5517854_3_Put Analysis_SBSAModel116(Company)" xfId="682"/>
    <cellStyle name="_MultipleSpace_Synergy Detail _gs_5517854_3_Spin Model v.2" xfId="683"/>
    <cellStyle name="_MultipleSpace_Synergy Detail _gs_5517854_3_Spin Model v.2_Project Kentucky Derby Model v75" xfId="684"/>
    <cellStyle name="_MultipleSpace_Synergy Detail _gs_5517854_3_Spin Model v.2_Project Kentucky Derby Model v76" xfId="685"/>
    <cellStyle name="_MultipleSpace_Synergy Detail _gs_5517854_3_Spin Model v.2_SBSAModel116(Company)" xfId="686"/>
    <cellStyle name="_MultipleSpace_Synergy Detail _gs_Book3" xfId="687"/>
    <cellStyle name="_MultipleSpace_Synergy Detail _gs_Book3_5401007_6" xfId="688"/>
    <cellStyle name="_MultipleSpace_Synergy Detail _gs_Book3_5401007_6_Project Kentucky Derby Model v75" xfId="689"/>
    <cellStyle name="_MultipleSpace_Synergy Detail _gs_Book3_5401007_6_Project Kentucky Derby Model v76" xfId="690"/>
    <cellStyle name="_MultipleSpace_Synergy Detail _gs_Book3_5401007_6_SBSAModel116(Company)" xfId="691"/>
    <cellStyle name="_MultipleSpace_Synergy Detail _gs_Book3_5963478_1" xfId="692"/>
    <cellStyle name="_MultipleSpace_Synergy Detail _gs_Book3_FON" xfId="693"/>
    <cellStyle name="_MultipleSpace_Synergy Detail _gs_Book3_Put Analysis" xfId="694"/>
    <cellStyle name="_MultipleSpace_Synergy Detail _gs_Book3_Put Analysis.v2" xfId="695"/>
    <cellStyle name="_MultipleSpace_Synergy Detail _gs_Book3_Put Analysis.v2_Project Kentucky Derby Model v75" xfId="696"/>
    <cellStyle name="_MultipleSpace_Synergy Detail _gs_Book3_Put Analysis.v2_Project Kentucky Derby Model v76" xfId="697"/>
    <cellStyle name="_MultipleSpace_Synergy Detail _gs_Book3_Put Analysis.v2_SBSAModel116(Company)" xfId="698"/>
    <cellStyle name="_MultipleSpace_Synergy Detail _gs_Book3_Put Analysis_Project Kentucky Derby Model v75" xfId="699"/>
    <cellStyle name="_MultipleSpace_Synergy Detail _gs_Book3_Put Analysis_Project Kentucky Derby Model v76" xfId="700"/>
    <cellStyle name="_MultipleSpace_Synergy Detail _gs_Book3_Put Analysis_SBSAModel116(Company)" xfId="701"/>
    <cellStyle name="_MultipleSpace_Synergy Detail _gs_Book3_Spin Model v.2" xfId="702"/>
    <cellStyle name="_MultipleSpace_Synergy Detail _gs_Book3_Spin Model v.2_Project Kentucky Derby Model v75" xfId="703"/>
    <cellStyle name="_MultipleSpace_Synergy Detail _gs_Book3_Spin Model v.2_Project Kentucky Derby Model v76" xfId="704"/>
    <cellStyle name="_MultipleSpace_Synergy Detail _gs_Book3_Spin Model v.2_SBSAModel116(Company)" xfId="705"/>
    <cellStyle name="_Percent" xfId="706"/>
    <cellStyle name="_Percent_5515616_3" xfId="707"/>
    <cellStyle name="_Percent_5515616_3_5401007_6" xfId="708"/>
    <cellStyle name="_Percent_5515616_3_5963478_1" xfId="709"/>
    <cellStyle name="_Percent_5515616_3_FON" xfId="710"/>
    <cellStyle name="_Percent_5515616_3_Put Analysis" xfId="711"/>
    <cellStyle name="_Percent_5515616_3_Put Analysis.v2" xfId="712"/>
    <cellStyle name="_Percent_5515616_3_Spin Model v.2" xfId="713"/>
    <cellStyle name="_Percent_5517854_3" xfId="714"/>
    <cellStyle name="_Percent_5517854_3_5401007_6" xfId="715"/>
    <cellStyle name="_Percent_5517854_3_5963478_1" xfId="716"/>
    <cellStyle name="_Percent_5517854_3_FON" xfId="717"/>
    <cellStyle name="_Percent_5517854_3_Put Analysis" xfId="718"/>
    <cellStyle name="_Percent_5517854_3_Put Analysis.v2" xfId="719"/>
    <cellStyle name="_Percent_5517854_3_Spin Model v.2" xfId="720"/>
    <cellStyle name="_Percent_Book3" xfId="721"/>
    <cellStyle name="_Percent_Book3_5401007_6" xfId="722"/>
    <cellStyle name="_Percent_Book3_5963478_1" xfId="723"/>
    <cellStyle name="_Percent_Book3_FON" xfId="724"/>
    <cellStyle name="_Percent_Book3_Put Analysis" xfId="725"/>
    <cellStyle name="_Percent_Book3_Put Analysis.v2" xfId="726"/>
    <cellStyle name="_Percent_Book3_Spin Model v.2" xfId="727"/>
    <cellStyle name="_PercentSpace" xfId="728"/>
    <cellStyle name="_PercentSpace_5515616_3" xfId="729"/>
    <cellStyle name="_PercentSpace_5515616_3_5401007_6" xfId="730"/>
    <cellStyle name="_PercentSpace_5515616_3_5401007_6_Project Kentucky Derby Model v75" xfId="731"/>
    <cellStyle name="_PercentSpace_5515616_3_5401007_6_Project Kentucky Derby Model v76" xfId="732"/>
    <cellStyle name="_PercentSpace_5515616_3_5401007_6_SBSAModel116(Company)" xfId="733"/>
    <cellStyle name="_PercentSpace_5515616_3_5963478_1" xfId="734"/>
    <cellStyle name="_PercentSpace_5515616_3_FON" xfId="735"/>
    <cellStyle name="_PercentSpace_5515616_3_Put Analysis" xfId="736"/>
    <cellStyle name="_PercentSpace_5515616_3_Put Analysis.v2" xfId="737"/>
    <cellStyle name="_PercentSpace_5515616_3_Put Analysis.v2_Project Kentucky Derby Model v75" xfId="738"/>
    <cellStyle name="_PercentSpace_5515616_3_Put Analysis.v2_Project Kentucky Derby Model v76" xfId="739"/>
    <cellStyle name="_PercentSpace_5515616_3_Put Analysis.v2_SBSAModel116(Company)" xfId="740"/>
    <cellStyle name="_PercentSpace_5515616_3_Put Analysis_Project Kentucky Derby Model v75" xfId="741"/>
    <cellStyle name="_PercentSpace_5515616_3_Put Analysis_Project Kentucky Derby Model v76" xfId="742"/>
    <cellStyle name="_PercentSpace_5515616_3_Put Analysis_SBSAModel116(Company)" xfId="743"/>
    <cellStyle name="_PercentSpace_5515616_3_Spin Model v.2" xfId="744"/>
    <cellStyle name="_PercentSpace_5515616_3_Spin Model v.2_Project Kentucky Derby Model v75" xfId="745"/>
    <cellStyle name="_PercentSpace_5515616_3_Spin Model v.2_Project Kentucky Derby Model v76" xfId="746"/>
    <cellStyle name="_PercentSpace_5515616_3_Spin Model v.2_SBSAModel116(Company)" xfId="747"/>
    <cellStyle name="_PercentSpace_5517854_3" xfId="748"/>
    <cellStyle name="_PercentSpace_5517854_3_5401007_6" xfId="749"/>
    <cellStyle name="_PercentSpace_5517854_3_5401007_6_Project Kentucky Derby Model v75" xfId="750"/>
    <cellStyle name="_PercentSpace_5517854_3_5401007_6_Project Kentucky Derby Model v76" xfId="751"/>
    <cellStyle name="_PercentSpace_5517854_3_5401007_6_SBSAModel116(Company)" xfId="752"/>
    <cellStyle name="_PercentSpace_5517854_3_5963478_1" xfId="753"/>
    <cellStyle name="_PercentSpace_5517854_3_FON" xfId="754"/>
    <cellStyle name="_PercentSpace_5517854_3_Put Analysis" xfId="755"/>
    <cellStyle name="_PercentSpace_5517854_3_Put Analysis.v2" xfId="756"/>
    <cellStyle name="_PercentSpace_5517854_3_Put Analysis.v2_Project Kentucky Derby Model v75" xfId="757"/>
    <cellStyle name="_PercentSpace_5517854_3_Put Analysis.v2_Project Kentucky Derby Model v76" xfId="758"/>
    <cellStyle name="_PercentSpace_5517854_3_Put Analysis.v2_SBSAModel116(Company)" xfId="759"/>
    <cellStyle name="_PercentSpace_5517854_3_Put Analysis_Project Kentucky Derby Model v75" xfId="760"/>
    <cellStyle name="_PercentSpace_5517854_3_Put Analysis_Project Kentucky Derby Model v76" xfId="761"/>
    <cellStyle name="_PercentSpace_5517854_3_Put Analysis_SBSAModel116(Company)" xfId="762"/>
    <cellStyle name="_PercentSpace_5517854_3_Spin Model v.2" xfId="763"/>
    <cellStyle name="_PercentSpace_5517854_3_Spin Model v.2_Project Kentucky Derby Model v75" xfId="764"/>
    <cellStyle name="_PercentSpace_5517854_3_Spin Model v.2_Project Kentucky Derby Model v76" xfId="765"/>
    <cellStyle name="_PercentSpace_5517854_3_Spin Model v.2_SBSAModel116(Company)" xfId="766"/>
    <cellStyle name="_PercentSpace_Book3" xfId="767"/>
    <cellStyle name="_PercentSpace_Book3_5401007_6" xfId="768"/>
    <cellStyle name="_PercentSpace_Book3_5401007_6_Project Kentucky Derby Model v75" xfId="769"/>
    <cellStyle name="_PercentSpace_Book3_5401007_6_Project Kentucky Derby Model v76" xfId="770"/>
    <cellStyle name="_PercentSpace_Book3_5401007_6_SBSAModel116(Company)" xfId="771"/>
    <cellStyle name="_PercentSpace_Book3_5963478_1" xfId="772"/>
    <cellStyle name="_PercentSpace_Book3_FON" xfId="773"/>
    <cellStyle name="_PercentSpace_Book3_Put Analysis" xfId="774"/>
    <cellStyle name="_PercentSpace_Book3_Put Analysis.v2" xfId="775"/>
    <cellStyle name="_PercentSpace_Book3_Put Analysis.v2_Project Kentucky Derby Model v75" xfId="776"/>
    <cellStyle name="_PercentSpace_Book3_Put Analysis.v2_Project Kentucky Derby Model v76" xfId="777"/>
    <cellStyle name="_PercentSpace_Book3_Put Analysis.v2_SBSAModel116(Company)" xfId="778"/>
    <cellStyle name="_PercentSpace_Book3_Put Analysis_Project Kentucky Derby Model v75" xfId="779"/>
    <cellStyle name="_PercentSpace_Book3_Put Analysis_Project Kentucky Derby Model v76" xfId="780"/>
    <cellStyle name="_PercentSpace_Book3_Put Analysis_SBSAModel116(Company)" xfId="781"/>
    <cellStyle name="_PercentSpace_Book3_Spin Model v.2" xfId="782"/>
    <cellStyle name="_PercentSpace_Book3_Spin Model v.2_Project Kentucky Derby Model v75" xfId="783"/>
    <cellStyle name="_PercentSpace_Book3_Spin Model v.2_Project Kentucky Derby Model v76" xfId="784"/>
    <cellStyle name="_PercentSpace_Book3_Spin Model v.2_SBSAModel116(Company)" xfId="785"/>
    <cellStyle name="_PercentSpace_Synergy Detail _gs" xfId="786"/>
    <cellStyle name="_PercentSpace_Synergy Detail _gs_5515616_3" xfId="787"/>
    <cellStyle name="_PercentSpace_Synergy Detail _gs_5515616_3_5401007_6" xfId="788"/>
    <cellStyle name="_PercentSpace_Synergy Detail _gs_5515616_3_5963478_1" xfId="789"/>
    <cellStyle name="_PercentSpace_Synergy Detail _gs_5515616_3_FON" xfId="790"/>
    <cellStyle name="_PercentSpace_Synergy Detail _gs_5515616_3_Put Analysis" xfId="791"/>
    <cellStyle name="_PercentSpace_Synergy Detail _gs_5515616_3_Put Analysis.v2" xfId="792"/>
    <cellStyle name="_PercentSpace_Synergy Detail _gs_5515616_3_Spin Model v.2" xfId="793"/>
    <cellStyle name="_PercentSpace_Synergy Detail _gs_5517854_3" xfId="794"/>
    <cellStyle name="_PercentSpace_Synergy Detail _gs_5517854_3_5401007_6" xfId="795"/>
    <cellStyle name="_PercentSpace_Synergy Detail _gs_5517854_3_5963478_1" xfId="796"/>
    <cellStyle name="_PercentSpace_Synergy Detail _gs_5517854_3_FON" xfId="797"/>
    <cellStyle name="_PercentSpace_Synergy Detail _gs_5517854_3_Put Analysis" xfId="798"/>
    <cellStyle name="_PercentSpace_Synergy Detail _gs_5517854_3_Put Analysis.v2" xfId="799"/>
    <cellStyle name="_PercentSpace_Synergy Detail _gs_5517854_3_Spin Model v.2" xfId="800"/>
    <cellStyle name="_PercentSpace_Synergy Detail _gs_Book3" xfId="801"/>
    <cellStyle name="_PercentSpace_Synergy Detail _gs_Book3_5401007_6" xfId="802"/>
    <cellStyle name="_PercentSpace_Synergy Detail _gs_Book3_5963478_1" xfId="803"/>
    <cellStyle name="_PercentSpace_Synergy Detail _gs_Book3_FON" xfId="804"/>
    <cellStyle name="_PercentSpace_Synergy Detail _gs_Book3_Put Analysis" xfId="805"/>
    <cellStyle name="_PercentSpace_Synergy Detail _gs_Book3_Put Analysis.v2" xfId="806"/>
    <cellStyle name="_PercentSpace_Synergy Detail _gs_Book3_Spin Model v.2" xfId="807"/>
    <cellStyle name="_SubHeading" xfId="808"/>
    <cellStyle name="_SubHeading_Combined Synergy Presentation" xfId="809"/>
    <cellStyle name="_SubHeading_prestemp" xfId="810"/>
    <cellStyle name="_SubHeading_Synergy Analysis" xfId="811"/>
    <cellStyle name="_SubHeading_Synergy Analysis_co-advisors" xfId="812"/>
    <cellStyle name="_SubHeading_Synergy Calc 1.1 rev 5-yr aug high1_bpace" xfId="813"/>
    <cellStyle name="_Table" xfId="814"/>
    <cellStyle name="_Table_Combined Synergy Presentation" xfId="815"/>
    <cellStyle name="_Table_Synergy Analysis" xfId="816"/>
    <cellStyle name="_Table_Synergy Analysis_co-advisors" xfId="817"/>
    <cellStyle name="_Table_Synergy Calc 1.1 rev 5-yr aug high1_bpace" xfId="818"/>
    <cellStyle name="_TableHead" xfId="819"/>
    <cellStyle name="_TableRowHead" xfId="820"/>
    <cellStyle name="_TableSuperHead" xfId="821"/>
    <cellStyle name="_TableSuperHead_Combined Synergy Presentation" xfId="822"/>
    <cellStyle name="_TableSuperHead_Synergy Analysis" xfId="823"/>
    <cellStyle name="_TableSuperHead_Synergy Analysis_co-advisors" xfId="824"/>
    <cellStyle name="_TableSuperHead_Synergy Calc 1.1 rev 5-yr aug high1_bpace" xfId="825"/>
    <cellStyle name="£ BP" xfId="826"/>
    <cellStyle name="¥ JY" xfId="827"/>
    <cellStyle name="=C:\WINNT35\SYSTEM32\COMMAND.COM" xfId="828"/>
    <cellStyle name="=C:\WINNT35\SYSTEM32\COMMAND.COM 2" xfId="829"/>
    <cellStyle name="=C:\WINNT35\SYSTEM32\COMMAND.COM 3" xfId="830"/>
    <cellStyle name="0" xfId="831"/>
    <cellStyle name="0%" xfId="832"/>
    <cellStyle name="0.0" xfId="833"/>
    <cellStyle name="0.0%" xfId="834"/>
    <cellStyle name="0.0_5401007_6" xfId="835"/>
    <cellStyle name="0.00" xfId="836"/>
    <cellStyle name="0.00%" xfId="837"/>
    <cellStyle name="0_300615_12" xfId="838"/>
    <cellStyle name="0_5401007_6" xfId="839"/>
    <cellStyle name="0_5894860_1" xfId="840"/>
    <cellStyle name="0_5963478_1" xfId="841"/>
    <cellStyle name="0_Affiliates-Public Valuation" xfId="842"/>
    <cellStyle name="0_BP2" xfId="843"/>
    <cellStyle name="0_FON" xfId="844"/>
    <cellStyle name="0_Put Analysis" xfId="845"/>
    <cellStyle name="0_Put Analysis.v2" xfId="846"/>
    <cellStyle name="0_Sheet1" xfId="847"/>
    <cellStyle name="0_Spin Model v.2" xfId="848"/>
    <cellStyle name="000" xfId="849"/>
    <cellStyle name="12" xfId="850"/>
    <cellStyle name="1Decimal" xfId="851"/>
    <cellStyle name="20% - Accent1 2" xfId="852"/>
    <cellStyle name="20% - Accent2 2" xfId="853"/>
    <cellStyle name="20% - Accent3 2" xfId="854"/>
    <cellStyle name="20% - Accent4 2" xfId="855"/>
    <cellStyle name="20% - Accent5 2" xfId="856"/>
    <cellStyle name="20% - Accent6 2" xfId="857"/>
    <cellStyle name="2DecimalPercent" xfId="858"/>
    <cellStyle name="2Decimals" xfId="859"/>
    <cellStyle name="40% - Accent1 2" xfId="860"/>
    <cellStyle name="40% - Accent2 2" xfId="861"/>
    <cellStyle name="40% - Accent3 2" xfId="862"/>
    <cellStyle name="40% - Accent4 2" xfId="863"/>
    <cellStyle name="40% - Accent5 2" xfId="864"/>
    <cellStyle name="40% - Accent6 2" xfId="865"/>
    <cellStyle name="60% - Accent1 2" xfId="866"/>
    <cellStyle name="60% - Accent2 2" xfId="867"/>
    <cellStyle name="60% - Accent3 2" xfId="868"/>
    <cellStyle name="60% - Accent4 2" xfId="869"/>
    <cellStyle name="60% - Accent5 2" xfId="870"/>
    <cellStyle name="60% - Accent6 2" xfId="871"/>
    <cellStyle name="752131" xfId="872"/>
    <cellStyle name="Accent1 2" xfId="873"/>
    <cellStyle name="Accent2 2" xfId="874"/>
    <cellStyle name="Accent3 2" xfId="875"/>
    <cellStyle name="Accent4 2" xfId="876"/>
    <cellStyle name="Accent5 2" xfId="877"/>
    <cellStyle name="Accent6 2" xfId="878"/>
    <cellStyle name="Acctg" xfId="879"/>
    <cellStyle name="Acctg$" xfId="880"/>
    <cellStyle name="Acctg_5515616_3" xfId="881"/>
    <cellStyle name="active" xfId="882"/>
    <cellStyle name="Actual Date" xfId="883"/>
    <cellStyle name="AFE" xfId="884"/>
    <cellStyle name="args.style" xfId="885"/>
    <cellStyle name="Arial 10" xfId="886"/>
    <cellStyle name="Arial 12" xfId="887"/>
    <cellStyle name="Arial6Bold" xfId="888"/>
    <cellStyle name="Arial8Bold" xfId="889"/>
    <cellStyle name="Arial8Italic" xfId="890"/>
    <cellStyle name="ArialNormal" xfId="891"/>
    <cellStyle name="Array" xfId="892"/>
    <cellStyle name="Array Enter" xfId="893"/>
    <cellStyle name="Bad 2" xfId="894"/>
    <cellStyle name="Balance" xfId="895"/>
    <cellStyle name="BalanceSheet" xfId="896"/>
    <cellStyle name="black" xfId="897"/>
    <cellStyle name="Black Days" xfId="898"/>
    <cellStyle name="Black Decimal" xfId="899"/>
    <cellStyle name="Black Dollar" xfId="900"/>
    <cellStyle name="Black EPS" xfId="901"/>
    <cellStyle name="Black Percent" xfId="902"/>
    <cellStyle name="Black Percent2" xfId="903"/>
    <cellStyle name="Black Times" xfId="904"/>
    <cellStyle name="Black Times Two Deci" xfId="905"/>
    <cellStyle name="Black Times Two Deci2" xfId="906"/>
    <cellStyle name="Black Times_1164468_1" xfId="907"/>
    <cellStyle name="Black Times2" xfId="908"/>
    <cellStyle name="BLACK_Affiliates-Public Valuation" xfId="909"/>
    <cellStyle name="BlackStrike" xfId="910"/>
    <cellStyle name="BlackText" xfId="911"/>
    <cellStyle name="Blank Out" xfId="912"/>
    <cellStyle name="Blue" xfId="913"/>
    <cellStyle name="Blue Decimal" xfId="914"/>
    <cellStyle name="Blue Dollar" xfId="915"/>
    <cellStyle name="Blue EPS" xfId="916"/>
    <cellStyle name="Blue Text" xfId="917"/>
    <cellStyle name="Blue Zero Deci" xfId="918"/>
    <cellStyle name="blue$00" xfId="919"/>
    <cellStyle name="blue_333149_13" xfId="920"/>
    <cellStyle name="bluenodec" xfId="921"/>
    <cellStyle name="bluepercent" xfId="922"/>
    <cellStyle name="Body" xfId="923"/>
    <cellStyle name="bold" xfId="924"/>
    <cellStyle name="bold big" xfId="925"/>
    <cellStyle name="Bold/Border" xfId="926"/>
    <cellStyle name="bold_Cellular 3Q01_no NextWave_in progress" xfId="927"/>
    <cellStyle name="BoldText" xfId="928"/>
    <cellStyle name="BoldText 2" xfId="929"/>
    <cellStyle name="BoldText 3" xfId="930"/>
    <cellStyle name="Border" xfId="931"/>
    <cellStyle name="Border Heavy" xfId="932"/>
    <cellStyle name="Border Thin" xfId="933"/>
    <cellStyle name="Border_Affiliates-Public Valuation" xfId="934"/>
    <cellStyle name="Bottom Edge" xfId="935"/>
    <cellStyle name="British Pound" xfId="936"/>
    <cellStyle name="Bullet" xfId="937"/>
    <cellStyle name="Calc Currency (0)" xfId="938"/>
    <cellStyle name="Calc Currency (0) 2" xfId="939"/>
    <cellStyle name="Calculation 2" xfId="940"/>
    <cellStyle name="Case" xfId="941"/>
    <cellStyle name="Cash Flow Statement" xfId="942"/>
    <cellStyle name="CashFlow" xfId="943"/>
    <cellStyle name="Category Name" xfId="944"/>
    <cellStyle name="Centered Heading" xfId="945"/>
    <cellStyle name="Cents" xfId="946"/>
    <cellStyle name="Changeable" xfId="947"/>
    <cellStyle name="Chart Fonts" xfId="948"/>
    <cellStyle name="Check" xfId="949"/>
    <cellStyle name="Check Cell 2" xfId="950"/>
    <cellStyle name="Clean" xfId="951"/>
    <cellStyle name="colheadleft" xfId="952"/>
    <cellStyle name="colheadright" xfId="953"/>
    <cellStyle name="Color" xfId="954"/>
    <cellStyle name="Column Headings" xfId="955"/>
    <cellStyle name="Comma  - Style1" xfId="956"/>
    <cellStyle name="Comma  - Style2" xfId="957"/>
    <cellStyle name="Comma  - Style3" xfId="958"/>
    <cellStyle name="Comma  - Style4" xfId="959"/>
    <cellStyle name="Comma  - Style5" xfId="960"/>
    <cellStyle name="Comma  - Style6" xfId="961"/>
    <cellStyle name="Comma  - Style7" xfId="962"/>
    <cellStyle name="Comma  - Style8" xfId="963"/>
    <cellStyle name="Comma [0] 2" xfId="964"/>
    <cellStyle name="Comma [1]" xfId="965"/>
    <cellStyle name="Comma 0" xfId="966"/>
    <cellStyle name="Comma 0*" xfId="967"/>
    <cellStyle name="Comma 0_87c_01_" xfId="968"/>
    <cellStyle name="Comma 10" xfId="969"/>
    <cellStyle name="Comma 2" xfId="970"/>
    <cellStyle name="Comma 2 2" xfId="971"/>
    <cellStyle name="Comma 2 2 2" xfId="972"/>
    <cellStyle name="Comma 2 2 2 2" xfId="973"/>
    <cellStyle name="Comma 2 2 3" xfId="974"/>
    <cellStyle name="Comma 2 3" xfId="975"/>
    <cellStyle name="Comma 2 3 2" xfId="976"/>
    <cellStyle name="Comma 2 3 2 2" xfId="977"/>
    <cellStyle name="Comma 2 3 3" xfId="978"/>
    <cellStyle name="Comma 2 4" xfId="979"/>
    <cellStyle name="Comma 2 4 2" xfId="980"/>
    <cellStyle name="Comma 2 4 2 2" xfId="981"/>
    <cellStyle name="Comma 2 4 3" xfId="982"/>
    <cellStyle name="Comma 2 5" xfId="983"/>
    <cellStyle name="Comma 2 6" xfId="984"/>
    <cellStyle name="Comma 2 6 2" xfId="985"/>
    <cellStyle name="Comma 2 7" xfId="986"/>
    <cellStyle name="Comma 2 8" xfId="987"/>
    <cellStyle name="Comma 2*" xfId="988"/>
    <cellStyle name="Comma 2_333149_13" xfId="989"/>
    <cellStyle name="Comma 3_MAA SS Comps" xfId="990"/>
    <cellStyle name="Comma 3 2" xfId="991"/>
    <cellStyle name="Comma 3*" xfId="992"/>
    <cellStyle name="Comma 4" xfId="993"/>
    <cellStyle name="Comma Cents" xfId="994"/>
    <cellStyle name="Comma Input" xfId="995"/>
    <cellStyle name="Comma*" xfId="996"/>
    <cellStyle name="Comma0" xfId="997"/>
    <cellStyle name="Comma0 - Modelo1" xfId="998"/>
    <cellStyle name="Comma0 - Style1" xfId="999"/>
    <cellStyle name="Comma1" xfId="1000"/>
    <cellStyle name="Comma1 - Modelo2" xfId="1001"/>
    <cellStyle name="Comma1 - Style2" xfId="1002"/>
    <cellStyle name="Comma1_315274_14" xfId="1003"/>
    <cellStyle name="Comma2" xfId="1004"/>
    <cellStyle name="Comma3" xfId="1005"/>
    <cellStyle name="CommaKM" xfId="1006"/>
    <cellStyle name="Company Name" xfId="1007"/>
    <cellStyle name="CompanyName" xfId="1008"/>
    <cellStyle name="Copied" xfId="1009"/>
    <cellStyle name="Cover Date" xfId="1010"/>
    <cellStyle name="Cover Subtitle" xfId="1011"/>
    <cellStyle name="Cover Title" xfId="1012"/>
    <cellStyle name="Coverage" xfId="1013"/>
    <cellStyle name="Cur" xfId="1014"/>
    <cellStyle name="Currency - UK" xfId="1015"/>
    <cellStyle name="Currency [1]" xfId="1016"/>
    <cellStyle name="Currency [2]" xfId="1017"/>
    <cellStyle name="Currency 0" xfId="1018"/>
    <cellStyle name="Currency 2" xfId="1019"/>
    <cellStyle name="Currency 2 2" xfId="1020"/>
    <cellStyle name="Currency 2*" xfId="1021"/>
    <cellStyle name="Currency 2_% Change" xfId="1022"/>
    <cellStyle name="Currency 3" xfId="1023"/>
    <cellStyle name="Currency 3 2" xfId="1024"/>
    <cellStyle name="Currency 3*" xfId="1025"/>
    <cellStyle name="Currency 4" xfId="1026"/>
    <cellStyle name="Currency 5" xfId="1027"/>
    <cellStyle name="Currency Input" xfId="1028"/>
    <cellStyle name="Currency*" xfId="1029"/>
    <cellStyle name="Currency0" xfId="1030"/>
    <cellStyle name="Currency1" xfId="1031"/>
    <cellStyle name="Currency1Blue" xfId="1032"/>
    <cellStyle name="Currency2" xfId="1033"/>
    <cellStyle name="Currency3" xfId="1034"/>
    <cellStyle name="Dash" xfId="1035"/>
    <cellStyle name="Date" xfId="1036"/>
    <cellStyle name="Date [d-mmm-yy]" xfId="1037"/>
    <cellStyle name="Date [mm-d-yy]" xfId="1038"/>
    <cellStyle name="Date [mm-d-yyyy]" xfId="1039"/>
    <cellStyle name="Date [mmm-d-yyyy]" xfId="1040"/>
    <cellStyle name="Date [mmm-yy]" xfId="1041"/>
    <cellStyle name="date 2" xfId="1042"/>
    <cellStyle name="date 3" xfId="1043"/>
    <cellStyle name="date 4" xfId="1044"/>
    <cellStyle name="date 5" xfId="1045"/>
    <cellStyle name="Date Aligned" xfId="1046"/>
    <cellStyle name="Date Aligned*" xfId="1047"/>
    <cellStyle name="Date Aligned_8sxj01_" xfId="1048"/>
    <cellStyle name="Date Day" xfId="1049"/>
    <cellStyle name="date month-year" xfId="1050"/>
    <cellStyle name="Date Year" xfId="1051"/>
    <cellStyle name="Date_04-10-03 NO Distribution" xfId="1052"/>
    <cellStyle name="Date1" xfId="1053"/>
    <cellStyle name="Date2" xfId="1054"/>
    <cellStyle name="Dates" xfId="1055"/>
    <cellStyle name="DateYear" xfId="1056"/>
    <cellStyle name="DateYearEstimate" xfId="1057"/>
    <cellStyle name="DateYearWholeEstimate" xfId="1058"/>
    <cellStyle name="decimal 0" xfId="1059"/>
    <cellStyle name="decimal 1" xfId="1060"/>
    <cellStyle name="decimal 2" xfId="1061"/>
    <cellStyle name="Deutschmark" xfId="1062"/>
    <cellStyle name="Dezimal [0]_Compiling Utility Macros" xfId="1063"/>
    <cellStyle name="Dezimal_Compiling Utility Macros" xfId="1064"/>
    <cellStyle name="Dia" xfId="1065"/>
    <cellStyle name="dolar" xfId="1066"/>
    <cellStyle name="dolar whole" xfId="1067"/>
    <cellStyle name="dollar" xfId="1068"/>
    <cellStyle name="Dollar (Canadian)" xfId="1069"/>
    <cellStyle name="Dollar Whole" xfId="1070"/>
    <cellStyle name="Dollar_4Q02 Note Figures" xfId="1071"/>
    <cellStyle name="Dollars" xfId="1072"/>
    <cellStyle name="DollarWhole" xfId="1073"/>
    <cellStyle name="Dotted Line" xfId="1074"/>
    <cellStyle name="Double Accounting" xfId="1075"/>
    <cellStyle name="dp*NumberGeneral" xfId="1076"/>
    <cellStyle name="Driver" xfId="1077"/>
    <cellStyle name="Encabez1" xfId="1078"/>
    <cellStyle name="Encabez2" xfId="1079"/>
    <cellStyle name="Entered" xfId="1080"/>
    <cellStyle name="Est - $" xfId="1081"/>
    <cellStyle name="Est - %" xfId="1082"/>
    <cellStyle name="Est 0,000.0" xfId="1083"/>
    <cellStyle name="Euro" xfId="1084"/>
    <cellStyle name="Explanatory Text 2" xfId="1085"/>
    <cellStyle name="F2" xfId="1086"/>
    <cellStyle name="F3" xfId="1087"/>
    <cellStyle name="F4" xfId="1088"/>
    <cellStyle name="F5" xfId="1089"/>
    <cellStyle name="F6" xfId="1090"/>
    <cellStyle name="F7" xfId="1091"/>
    <cellStyle name="F8" xfId="1092"/>
    <cellStyle name="FF_EURO" xfId="1093"/>
    <cellStyle name="Fijo" xfId="1094"/>
    <cellStyle name="Financiero" xfId="1095"/>
    <cellStyle name="Fixed" xfId="1096"/>
    <cellStyle name="Fixed0" xfId="1097"/>
    <cellStyle name="Footer SBILogo1" xfId="1098"/>
    <cellStyle name="Footer SBILogo2" xfId="1099"/>
    <cellStyle name="Footnote" xfId="1100"/>
    <cellStyle name="Footnote Reference" xfId="1101"/>
    <cellStyle name="Footnote_% Change" xfId="1102"/>
    <cellStyle name="Formula" xfId="1103"/>
    <cellStyle name="fourdecplace" xfId="1104"/>
    <cellStyle name="Gen. Number" xfId="1105"/>
    <cellStyle name="Gen. Percent" xfId="1106"/>
    <cellStyle name="Gen.Number" xfId="1107"/>
    <cellStyle name="Gen_Black_pD" xfId="1108"/>
    <cellStyle name="General" xfId="1109"/>
    <cellStyle name="Good 2" xfId="1110"/>
    <cellStyle name="Grand Total" xfId="1111"/>
    <cellStyle name="Grey" xfId="1112"/>
    <cellStyle name="growth" xfId="1113"/>
    <cellStyle name="GrowthLarge" xfId="1114"/>
    <cellStyle name="GrowthRate" xfId="1115"/>
    <cellStyle name="GrowthSeq" xfId="1116"/>
    <cellStyle name="GrowthSmall" xfId="1117"/>
    <cellStyle name="Hard Percent" xfId="1118"/>
    <cellStyle name="Head 1" xfId="1119"/>
    <cellStyle name="head1" xfId="1120"/>
    <cellStyle name="head2" xfId="1121"/>
    <cellStyle name="Header" xfId="1122"/>
    <cellStyle name="Header Draft Stamp" xfId="1123"/>
    <cellStyle name="Header_% Change" xfId="1124"/>
    <cellStyle name="Header1" xfId="1125"/>
    <cellStyle name="Header2" xfId="1126"/>
    <cellStyle name="heading" xfId="1127"/>
    <cellStyle name="Heading 1 2" xfId="1128"/>
    <cellStyle name="Heading 1 Above" xfId="1129"/>
    <cellStyle name="Heading 1+" xfId="1130"/>
    <cellStyle name="Heading 1+ 2" xfId="1131"/>
    <cellStyle name="Heading 1+ 3" xfId="1132"/>
    <cellStyle name="Heading 1+ 4" xfId="1133"/>
    <cellStyle name="Heading 2 2" xfId="1134"/>
    <cellStyle name="Heading 2 Below" xfId="1135"/>
    <cellStyle name="Heading 2+" xfId="1136"/>
    <cellStyle name="Heading 2+ 2" xfId="1137"/>
    <cellStyle name="Heading 2+ 3" xfId="1138"/>
    <cellStyle name="Heading 2+ 4" xfId="1139"/>
    <cellStyle name="Heading 3 2" xfId="1140"/>
    <cellStyle name="Heading 3+" xfId="1141"/>
    <cellStyle name="Heading 4 2" xfId="1142"/>
    <cellStyle name="Heading No Underline" xfId="1143"/>
    <cellStyle name="Heading With Underline" xfId="1144"/>
    <cellStyle name="Heading1" xfId="1145"/>
    <cellStyle name="Heading2" xfId="1146"/>
    <cellStyle name="HEADINGS" xfId="1147"/>
    <cellStyle name="HEADINGSTOP" xfId="1148"/>
    <cellStyle name="HeadlineStyle" xfId="1149"/>
    <cellStyle name="HeadlineStyle 2" xfId="1150"/>
    <cellStyle name="HeadlineStyleJustified" xfId="1151"/>
    <cellStyle name="HIGHLIGHT" xfId="1152"/>
    <cellStyle name="Hipervínculo_VARPXQ21" xfId="1153"/>
    <cellStyle name="Hyperlink 2" xfId="1154"/>
    <cellStyle name="Hyperlink 3" xfId="1155"/>
    <cellStyle name="Income" xfId="1156"/>
    <cellStyle name="income statement" xfId="1157"/>
    <cellStyle name="Income_Project Kentucky Derby Model v75" xfId="1158"/>
    <cellStyle name="IncomeStatement" xfId="1159"/>
    <cellStyle name="incomestatment" xfId="1160"/>
    <cellStyle name="Index" xfId="1161"/>
    <cellStyle name="Input [yellow]" xfId="1162"/>
    <cellStyle name="Input 2" xfId="1163"/>
    <cellStyle name="Input 3" xfId="1164"/>
    <cellStyle name="Input 4" xfId="1165"/>
    <cellStyle name="Input 5" xfId="1166"/>
    <cellStyle name="Input cell" xfId="1167"/>
    <cellStyle name="Input Currency" xfId="1168"/>
    <cellStyle name="Input Currency 2" xfId="1169"/>
    <cellStyle name="Input Currency_Exchange Ratio Analysis" xfId="1170"/>
    <cellStyle name="Input Multiple" xfId="1171"/>
    <cellStyle name="Input Percent" xfId="1172"/>
    <cellStyle name="Input1" xfId="1173"/>
    <cellStyle name="Input2" xfId="1174"/>
    <cellStyle name="InputCurrency" xfId="1175"/>
    <cellStyle name="InputCurrency2" xfId="1176"/>
    <cellStyle name="InputMultiple1" xfId="1177"/>
    <cellStyle name="InputPercent1" xfId="1178"/>
    <cellStyle name="Inputs" xfId="1179"/>
    <cellStyle name="Integer" xfId="1180"/>
    <cellStyle name="kopregel" xfId="1181"/>
    <cellStyle name="KP_Normal" xfId="1182"/>
    <cellStyle name="Lable8Left" xfId="1183"/>
    <cellStyle name="LeftSubtitle" xfId="1184"/>
    <cellStyle name="Lines" xfId="1185"/>
    <cellStyle name="Linked" xfId="1186"/>
    <cellStyle name="Linked Cell 2" xfId="1187"/>
    <cellStyle name="Lira" xfId="1188"/>
    <cellStyle name="Long Date" xfId="1189"/>
    <cellStyle name="MacroCode" xfId="1190"/>
    <cellStyle name="magrins" xfId="1191"/>
    <cellStyle name="margin" xfId="1192"/>
    <cellStyle name="Margins" xfId="1193"/>
    <cellStyle name="margsin" xfId="1194"/>
    <cellStyle name="marign" xfId="1195"/>
    <cellStyle name="marigns" xfId="1196"/>
    <cellStyle name="Mike" xfId="1197"/>
    <cellStyle name="Millares [0]_ MATRIZ DE ELIMINACIONES" xfId="1198"/>
    <cellStyle name="Millares_ MATRIZ DE ELIMINACIONES" xfId="1199"/>
    <cellStyle name="Milliers [0]_CREATIVE" xfId="1200"/>
    <cellStyle name="Milliers_CREATIVE" xfId="1201"/>
    <cellStyle name="Moneda [0]_ MATRIZ DE ELIMINACIONES" xfId="1202"/>
    <cellStyle name="Moneda_ MATRIZ DE ELIMINACIONES" xfId="1203"/>
    <cellStyle name="Monétaire [0]_CREATIVE" xfId="1204"/>
    <cellStyle name="Monétaire_CREATIVE" xfId="1205"/>
    <cellStyle name="Multiple" xfId="1206"/>
    <cellStyle name="Multiple Without" xfId="1207"/>
    <cellStyle name="Multiple_ACCC" xfId="1208"/>
    <cellStyle name="Multiple1" xfId="1209"/>
    <cellStyle name="MultipleBelow" xfId="1210"/>
    <cellStyle name="Multiples" xfId="1211"/>
    <cellStyle name="NavStyleDefault" xfId="1212"/>
    <cellStyle name="nbr" xfId="1213"/>
    <cellStyle name="Neutral 2" xfId="1214"/>
    <cellStyle name="no dec" xfId="1215"/>
    <cellStyle name="Nor" xfId="1216"/>
    <cellStyle name="Nor}al_Sheet1 (2)" xfId="1217"/>
    <cellStyle name="Normal - Style1" xfId="1218"/>
    <cellStyle name="Normal - Style1 2" xfId="1219"/>
    <cellStyle name="Normal 0" xfId="1220"/>
    <cellStyle name="Normal 10" xfId="1221"/>
    <cellStyle name="Normal 11" xfId="1222"/>
    <cellStyle name="Normal 12" xfId="1223"/>
    <cellStyle name="Normal 13" xfId="1224"/>
    <cellStyle name="Normal 14" xfId="1225"/>
    <cellStyle name="Normal 15" xfId="1226"/>
    <cellStyle name="Normal 16" xfId="1227"/>
    <cellStyle name="Normal 17" xfId="1228"/>
    <cellStyle name="Normal 2_MAA SS Comps" xfId="1229"/>
    <cellStyle name="Normal 2 2" xfId="1230"/>
    <cellStyle name="Normal 2 2 2" xfId="1231"/>
    <cellStyle name="Normal 2 2 2 2" xfId="1232"/>
    <cellStyle name="Normal 2 2 3" xfId="1233"/>
    <cellStyle name="Normal 2 3" xfId="1234"/>
    <cellStyle name="Normal 2 3 2" xfId="1235"/>
    <cellStyle name="Normal 2 3 2 2" xfId="1236"/>
    <cellStyle name="Normal 2 3 3" xfId="1237"/>
    <cellStyle name="Normal 2 4" xfId="1238"/>
    <cellStyle name="Normal 2 4 2" xfId="1239"/>
    <cellStyle name="Normal 2 4 2 2" xfId="1240"/>
    <cellStyle name="Normal 2 4 3" xfId="1241"/>
    <cellStyle name="Normal 2 5" xfId="1242"/>
    <cellStyle name="Normal 2 6" xfId="1243"/>
    <cellStyle name="Normal 2 6 2" xfId="1244"/>
    <cellStyle name="Normal 2 6 2 2" xfId="1245"/>
    <cellStyle name="Normal 2 6 3" xfId="1246"/>
    <cellStyle name="Normal 2 7" xfId="1247"/>
    <cellStyle name="Normal 2 8" xfId="1248"/>
    <cellStyle name="Normal 3" xfId="1249"/>
    <cellStyle name="Normal 3 2" xfId="1250"/>
    <cellStyle name="Normal 3 2 2" xfId="1251"/>
    <cellStyle name="Normal 3 2 2 2" xfId="1252"/>
    <cellStyle name="Normal 3 2 3" xfId="1253"/>
    <cellStyle name="Normal 3 3" xfId="1254"/>
    <cellStyle name="Normal 3 3 2" xfId="1255"/>
    <cellStyle name="Normal 3 3 2 2" xfId="1256"/>
    <cellStyle name="Normal 3 3 3" xfId="1257"/>
    <cellStyle name="Normal 3 4" xfId="1258"/>
    <cellStyle name="Normal 3 4 2" xfId="1259"/>
    <cellStyle name="Normal 3 4 2 2" xfId="1260"/>
    <cellStyle name="Normal 3 4 3" xfId="1261"/>
    <cellStyle name="Normal 3 5" xfId="1262"/>
    <cellStyle name="Normal 3 6" xfId="1263"/>
    <cellStyle name="Normal 3 6 2" xfId="1264"/>
    <cellStyle name="Normal 3 7" xfId="1265"/>
    <cellStyle name="Normal 4" xfId="1266"/>
    <cellStyle name="Normal 5" xfId="1267"/>
    <cellStyle name="Normal 5 2" xfId="1268"/>
    <cellStyle name="Normal 5 3" xfId="1269"/>
    <cellStyle name="Normal 6" xfId="1270"/>
    <cellStyle name="Normal 6 2" xfId="1271"/>
    <cellStyle name="Normal 7" xfId="1272"/>
    <cellStyle name="Normal 7 2" xfId="1273"/>
    <cellStyle name="Normal 7 3" xfId="1274"/>
    <cellStyle name="Normal 8" xfId="1275"/>
    <cellStyle name="Normal 9" xfId="1276"/>
    <cellStyle name="Normal new" xfId="1277"/>
    <cellStyle name="Normal2" xfId="1278"/>
    <cellStyle name="Normale_02SET1" xfId="1279"/>
    <cellStyle name="NormalGB" xfId="1280"/>
    <cellStyle name="NormalHelv" xfId="1281"/>
    <cellStyle name="NOT" xfId="1282"/>
    <cellStyle name="Note 2" xfId="1283"/>
    <cellStyle name="Note 3" xfId="1284"/>
    <cellStyle name="Notes" xfId="1285"/>
    <cellStyle name="nplosion" xfId="1286"/>
    <cellStyle name="number" xfId="1287"/>
    <cellStyle name="Number-2 Decimals" xfId="1288"/>
    <cellStyle name="Œ…‹æØ‚è [0.00]_GE 3 MINIMUM" xfId="1289"/>
    <cellStyle name="Œ…‹æØ‚è_GE 3 MINIMUM" xfId="1290"/>
    <cellStyle name="onedec" xfId="1291"/>
    <cellStyle name="outh America" xfId="1292"/>
    <cellStyle name="Output 2" xfId="1293"/>
    <cellStyle name="OUTPUT AMOUNTS" xfId="1294"/>
    <cellStyle name="p" xfId="1295"/>
    <cellStyle name="P&amp;L Numbers" xfId="1296"/>
    <cellStyle name="p_amtmod51" xfId="1297"/>
    <cellStyle name="p_amtmod51_315274_17" xfId="1298"/>
    <cellStyle name="p_amtmod51_318426_21" xfId="1299"/>
    <cellStyle name="p_amtmod51_5401007_6" xfId="1300"/>
    <cellStyle name="p_amtmod51_5401007_7" xfId="1301"/>
    <cellStyle name="p_amtmod51_5963478_1" xfId="1302"/>
    <cellStyle name="p_amtmod51_FON" xfId="1303"/>
    <cellStyle name="p_amtmod51_Put Analysis" xfId="1304"/>
    <cellStyle name="p_amtmod51_Put Analysis.v2" xfId="1305"/>
    <cellStyle name="p_amtmod51_Spin Model v.2" xfId="1306"/>
    <cellStyle name="p_ccimod4-b1" xfId="1307"/>
    <cellStyle name="p_ccimod4-b1_315274_17" xfId="1308"/>
    <cellStyle name="p_ccimod4-b1_318426_21" xfId="1309"/>
    <cellStyle name="p_ccimod4-b1_5401007_6" xfId="1310"/>
    <cellStyle name="p_ccimod4-b1_5401007_7" xfId="1311"/>
    <cellStyle name="p_ccimod4-b1_5963478_1" xfId="1312"/>
    <cellStyle name="p_ccimod4-b1_FON" xfId="1313"/>
    <cellStyle name="p_ccimod4-b1_Put Analysis" xfId="1314"/>
    <cellStyle name="p_ccimod4-b1_Put Analysis.v2" xfId="1315"/>
    <cellStyle name="p_ccimod4-b1_Spin Model v.2" xfId="1316"/>
    <cellStyle name="p_DCF" xfId="1317"/>
    <cellStyle name="p_DCF_315274_17" xfId="1318"/>
    <cellStyle name="p_DCF_318426_21" xfId="1319"/>
    <cellStyle name="p_DCF_5401007_6" xfId="1320"/>
    <cellStyle name="p_DCF_5401007_7" xfId="1321"/>
    <cellStyle name="p_DCF_5963478_1" xfId="1322"/>
    <cellStyle name="p_DCF_FON" xfId="1323"/>
    <cellStyle name="p_DCF_Put Analysis" xfId="1324"/>
    <cellStyle name="p_DCF_Put Analysis.v2" xfId="1325"/>
    <cellStyle name="p_DCF_Spin Model v.2" xfId="1326"/>
    <cellStyle name="p_DCF_VERA" xfId="1327"/>
    <cellStyle name="p_DCF_VERA_315274_17" xfId="1328"/>
    <cellStyle name="p_DCF_VERA_318426_21" xfId="1329"/>
    <cellStyle name="p_DCF_VERA_5401007_6" xfId="1330"/>
    <cellStyle name="p_DCF_VERA_5401007_7" xfId="1331"/>
    <cellStyle name="p_DCF_VERA_5963478_1" xfId="1332"/>
    <cellStyle name="p_DCF_VERA_FON" xfId="1333"/>
    <cellStyle name="p_DCF_VERA_Put Analysis" xfId="1334"/>
    <cellStyle name="p_DCF_VERA_Put Analysis.v2" xfId="1335"/>
    <cellStyle name="p_DCF_VERA_Spin Model v.2" xfId="1336"/>
    <cellStyle name="p_sitemod51" xfId="1337"/>
    <cellStyle name="p_sitemod51_315274_17" xfId="1338"/>
    <cellStyle name="p_sitemod51_318426_21" xfId="1339"/>
    <cellStyle name="p_sitemod51_5401007_6" xfId="1340"/>
    <cellStyle name="p_sitemod51_5401007_7" xfId="1341"/>
    <cellStyle name="p_sitemod51_5963478_1" xfId="1342"/>
    <cellStyle name="p_sitemod51_FON" xfId="1343"/>
    <cellStyle name="p_sitemod51_Put Analysis" xfId="1344"/>
    <cellStyle name="p_sitemod51_Put Analysis.v2" xfId="1345"/>
    <cellStyle name="p_sitemod51_Spin Model v.2" xfId="1346"/>
    <cellStyle name="p_VERA" xfId="1347"/>
    <cellStyle name="p_VERA_amtmod51" xfId="1348"/>
    <cellStyle name="p_VERA_amtmod51_315274_17" xfId="1349"/>
    <cellStyle name="p_VERA_amtmod51_318426_21" xfId="1350"/>
    <cellStyle name="p_VERA_amtmod51_5401007_6" xfId="1351"/>
    <cellStyle name="p_VERA_amtmod51_5401007_7" xfId="1352"/>
    <cellStyle name="p_VERA_amtmod51_5963478_1" xfId="1353"/>
    <cellStyle name="p_VERA_amtmod51_FON" xfId="1354"/>
    <cellStyle name="p_VERA_amtmod51_Put Analysis" xfId="1355"/>
    <cellStyle name="p_VERA_amtmod51_Put Analysis.v2" xfId="1356"/>
    <cellStyle name="p_VERA_amtmod51_Spin Model v.2" xfId="1357"/>
    <cellStyle name="p_VERA_ccimod4-b1" xfId="1358"/>
    <cellStyle name="p_VERA_ccimod4-b1_315274_17" xfId="1359"/>
    <cellStyle name="p_VERA_ccimod4-b1_318426_21" xfId="1360"/>
    <cellStyle name="p_VERA_ccimod4-b1_5401007_6" xfId="1361"/>
    <cellStyle name="p_VERA_ccimod4-b1_5401007_7" xfId="1362"/>
    <cellStyle name="p_VERA_ccimod4-b1_5963478_1" xfId="1363"/>
    <cellStyle name="p_VERA_ccimod4-b1_FON" xfId="1364"/>
    <cellStyle name="p_VERA_ccimod4-b1_Put Analysis" xfId="1365"/>
    <cellStyle name="p_VERA_ccimod4-b1_Put Analysis.v2" xfId="1366"/>
    <cellStyle name="p_VERA_ccimod4-b1_Spin Model v.2" xfId="1367"/>
    <cellStyle name="p_VERA_sitemod51" xfId="1368"/>
    <cellStyle name="p_VERA_sitemod51_315274_17" xfId="1369"/>
    <cellStyle name="p_VERA_sitemod51_318426_21" xfId="1370"/>
    <cellStyle name="p_VERA_sitemod51_5401007_6" xfId="1371"/>
    <cellStyle name="p_VERA_sitemod51_5401007_7" xfId="1372"/>
    <cellStyle name="p_VERA_sitemod51_5963478_1" xfId="1373"/>
    <cellStyle name="p_VERA_sitemod51_FON" xfId="1374"/>
    <cellStyle name="p_VERA_sitemod51_Put Analysis" xfId="1375"/>
    <cellStyle name="p_VERA_sitemod51_Put Analysis.v2" xfId="1376"/>
    <cellStyle name="p_VERA_sitemod51_Spin Model v.2" xfId="1377"/>
    <cellStyle name="Page Heading" xfId="1378"/>
    <cellStyle name="Page Heading Large" xfId="1379"/>
    <cellStyle name="Page Heading Small" xfId="1380"/>
    <cellStyle name="Page Number" xfId="1381"/>
    <cellStyle name="PB Table Heading" xfId="1382"/>
    <cellStyle name="PB Table Highlight1" xfId="1383"/>
    <cellStyle name="PB Table Highlight2" xfId="1384"/>
    <cellStyle name="PB Table Highlight2 2" xfId="1385"/>
    <cellStyle name="PB Table Highlight3" xfId="1386"/>
    <cellStyle name="PB Table Highlight3 2" xfId="1387"/>
    <cellStyle name="PB Table Standard Row" xfId="1388"/>
    <cellStyle name="PB Table Subtotal Row" xfId="1389"/>
    <cellStyle name="PB Table Total Row" xfId="1390"/>
    <cellStyle name="PE/LTGR" xfId="1391"/>
    <cellStyle name="Penetration" xfId="1392"/>
    <cellStyle name="per.style" xfId="1393"/>
    <cellStyle name="Percent (1)" xfId="1394"/>
    <cellStyle name="Percent [2]" xfId="1395"/>
    <cellStyle name="percent 1 decimal" xfId="1396"/>
    <cellStyle name="Percent 10" xfId="1397"/>
    <cellStyle name="Percent 100" xfId="1398"/>
    <cellStyle name="Percent 101" xfId="1399"/>
    <cellStyle name="Percent 102" xfId="1400"/>
    <cellStyle name="Percent 103" xfId="1401"/>
    <cellStyle name="Percent 104" xfId="1402"/>
    <cellStyle name="Percent 105" xfId="1403"/>
    <cellStyle name="Percent 106" xfId="1404"/>
    <cellStyle name="Percent 107" xfId="1405"/>
    <cellStyle name="Percent 108" xfId="1406"/>
    <cellStyle name="Percent 109" xfId="1407"/>
    <cellStyle name="Percent 11" xfId="1408"/>
    <cellStyle name="Percent 110" xfId="1409"/>
    <cellStyle name="Percent 111" xfId="1410"/>
    <cellStyle name="Percent 112" xfId="1411"/>
    <cellStyle name="Percent 113" xfId="1412"/>
    <cellStyle name="Percent 114" xfId="1413"/>
    <cellStyle name="Percent 115" xfId="1414"/>
    <cellStyle name="Percent 116" xfId="1415"/>
    <cellStyle name="Percent 117" xfId="1416"/>
    <cellStyle name="Percent 118" xfId="1417"/>
    <cellStyle name="Percent 119" xfId="1418"/>
    <cellStyle name="Percent 12" xfId="1419"/>
    <cellStyle name="Percent 120" xfId="1420"/>
    <cellStyle name="Percent 121" xfId="1421"/>
    <cellStyle name="Percent 122" xfId="1422"/>
    <cellStyle name="Percent 123" xfId="1423"/>
    <cellStyle name="Percent 124" xfId="1424"/>
    <cellStyle name="Percent 125" xfId="1425"/>
    <cellStyle name="Percent 126" xfId="1426"/>
    <cellStyle name="Percent 127" xfId="1427"/>
    <cellStyle name="Percent 128" xfId="1428"/>
    <cellStyle name="Percent 13" xfId="1429"/>
    <cellStyle name="Percent 14" xfId="1430"/>
    <cellStyle name="Percent 15" xfId="1431"/>
    <cellStyle name="Percent 16" xfId="1432"/>
    <cellStyle name="Percent 17" xfId="1433"/>
    <cellStyle name="Percent 18" xfId="1434"/>
    <cellStyle name="Percent 19" xfId="1435"/>
    <cellStyle name="Percent 2 2" xfId="1436"/>
    <cellStyle name="Percent 2 2 2" xfId="1437"/>
    <cellStyle name="Percent 2 2 2 2" xfId="1438"/>
    <cellStyle name="Percent 2 2 3" xfId="1439"/>
    <cellStyle name="Percent 2 3" xfId="1440"/>
    <cellStyle name="Percent 2 3 2" xfId="1441"/>
    <cellStyle name="Percent 2 3 2 2" xfId="1442"/>
    <cellStyle name="Percent 2 3 3" xfId="1443"/>
    <cellStyle name="Percent 2 4" xfId="1444"/>
    <cellStyle name="Percent 2 4 2" xfId="1445"/>
    <cellStyle name="Percent 2 4 2 2" xfId="1446"/>
    <cellStyle name="Percent 2 4 3" xfId="1447"/>
    <cellStyle name="Percent 2 5" xfId="1448"/>
    <cellStyle name="Percent 2 6" xfId="1449"/>
    <cellStyle name="Percent 2 6 2" xfId="1450"/>
    <cellStyle name="Percent 2 7" xfId="1451"/>
    <cellStyle name="Percent 2 8" xfId="1452"/>
    <cellStyle name="percent 2 decimal" xfId="1453"/>
    <cellStyle name="Percent 20" xfId="1454"/>
    <cellStyle name="Percent 21" xfId="1455"/>
    <cellStyle name="Percent 22" xfId="1456"/>
    <cellStyle name="Percent 23" xfId="1457"/>
    <cellStyle name="Percent 24" xfId="1458"/>
    <cellStyle name="Percent 25" xfId="1459"/>
    <cellStyle name="Percent 26" xfId="1460"/>
    <cellStyle name="Percent 27" xfId="1461"/>
    <cellStyle name="Percent 28" xfId="1462"/>
    <cellStyle name="Percent 29" xfId="1463"/>
    <cellStyle name="Percent 3" xfId="1464"/>
    <cellStyle name="Percent 3 2" xfId="1465"/>
    <cellStyle name="Percent 3 2 2" xfId="1466"/>
    <cellStyle name="Percent 3 2 2 2" xfId="1467"/>
    <cellStyle name="Percent 3 2 3" xfId="1468"/>
    <cellStyle name="Percent 3 3" xfId="1469"/>
    <cellStyle name="Percent 3 3 2" xfId="1470"/>
    <cellStyle name="Percent 3 3 2 2" xfId="1471"/>
    <cellStyle name="Percent 3 3 3" xfId="1472"/>
    <cellStyle name="Percent 3 4" xfId="1473"/>
    <cellStyle name="Percent 3 4 2" xfId="1474"/>
    <cellStyle name="Percent 3 4 2 2" xfId="1475"/>
    <cellStyle name="Percent 3 4 3" xfId="1476"/>
    <cellStyle name="Percent 3 5" xfId="1477"/>
    <cellStyle name="Percent 3 5 2" xfId="1478"/>
    <cellStyle name="Percent 3 6" xfId="1479"/>
    <cellStyle name="Percent 30" xfId="1480"/>
    <cellStyle name="Percent 31" xfId="1481"/>
    <cellStyle name="Percent 32" xfId="1482"/>
    <cellStyle name="Percent 33" xfId="1483"/>
    <cellStyle name="Percent 34" xfId="1484"/>
    <cellStyle name="Percent 35" xfId="1485"/>
    <cellStyle name="Percent 36" xfId="1486"/>
    <cellStyle name="Percent 37" xfId="1487"/>
    <cellStyle name="Percent 38" xfId="1488"/>
    <cellStyle name="Percent 39" xfId="1489"/>
    <cellStyle name="Percent 4" xfId="1490"/>
    <cellStyle name="Percent 4 2" xfId="1491"/>
    <cellStyle name="Percent 4 3" xfId="1492"/>
    <cellStyle name="Percent 40" xfId="1493"/>
    <cellStyle name="Percent 41" xfId="1494"/>
    <cellStyle name="Percent 42" xfId="1495"/>
    <cellStyle name="Percent 43" xfId="1496"/>
    <cellStyle name="Percent 44" xfId="1497"/>
    <cellStyle name="Percent 45" xfId="1498"/>
    <cellStyle name="Percent 46" xfId="1499"/>
    <cellStyle name="Percent 47" xfId="1500"/>
    <cellStyle name="Percent 48" xfId="1501"/>
    <cellStyle name="Percent 49" xfId="1502"/>
    <cellStyle name="Percent 5" xfId="1503"/>
    <cellStyle name="Percent 50" xfId="1504"/>
    <cellStyle name="Percent 51" xfId="1505"/>
    <cellStyle name="Percent 52" xfId="1506"/>
    <cellStyle name="Percent 53" xfId="1507"/>
    <cellStyle name="Percent 54" xfId="1508"/>
    <cellStyle name="Percent 55" xfId="1509"/>
    <cellStyle name="Percent 56" xfId="1510"/>
    <cellStyle name="Percent 57" xfId="1511"/>
    <cellStyle name="Percent 58" xfId="1512"/>
    <cellStyle name="Percent 59" xfId="1513"/>
    <cellStyle name="Percent 6" xfId="1514"/>
    <cellStyle name="Percent 60" xfId="1515"/>
    <cellStyle name="Percent 61" xfId="1516"/>
    <cellStyle name="Percent 62" xfId="1517"/>
    <cellStyle name="Percent 63" xfId="1518"/>
    <cellStyle name="Percent 64" xfId="1519"/>
    <cellStyle name="Percent 65" xfId="1520"/>
    <cellStyle name="Percent 66" xfId="1521"/>
    <cellStyle name="Percent 67" xfId="1522"/>
    <cellStyle name="Percent 68" xfId="1523"/>
    <cellStyle name="Percent 69" xfId="1524"/>
    <cellStyle name="Percent 7" xfId="1525"/>
    <cellStyle name="Percent 70" xfId="1526"/>
    <cellStyle name="Percent 71" xfId="1527"/>
    <cellStyle name="Percent 72" xfId="1528"/>
    <cellStyle name="Percent 73" xfId="1529"/>
    <cellStyle name="Percent 74" xfId="1530"/>
    <cellStyle name="Percent 75" xfId="1531"/>
    <cellStyle name="Percent 76" xfId="1532"/>
    <cellStyle name="Percent 77" xfId="1533"/>
    <cellStyle name="Percent 78" xfId="1534"/>
    <cellStyle name="Percent 79" xfId="1535"/>
    <cellStyle name="Percent 8" xfId="1536"/>
    <cellStyle name="Percent 80" xfId="1537"/>
    <cellStyle name="Percent 81" xfId="1538"/>
    <cellStyle name="Percent 82" xfId="1539"/>
    <cellStyle name="Percent 83" xfId="1540"/>
    <cellStyle name="Percent 84" xfId="1541"/>
    <cellStyle name="Percent 85" xfId="1542"/>
    <cellStyle name="Percent 86" xfId="1543"/>
    <cellStyle name="Percent 87" xfId="1544"/>
    <cellStyle name="Percent 88" xfId="1545"/>
    <cellStyle name="Percent 89" xfId="1546"/>
    <cellStyle name="Percent 9" xfId="1547"/>
    <cellStyle name="Percent 90" xfId="1548"/>
    <cellStyle name="Percent 91" xfId="1549"/>
    <cellStyle name="Percent 92" xfId="1550"/>
    <cellStyle name="Percent 93" xfId="1551"/>
    <cellStyle name="Percent 94" xfId="1552"/>
    <cellStyle name="Percent 95" xfId="1553"/>
    <cellStyle name="Percent 96" xfId="1554"/>
    <cellStyle name="Percent 97" xfId="1555"/>
    <cellStyle name="Percent 98" xfId="1556"/>
    <cellStyle name="Percent 99" xfId="1557"/>
    <cellStyle name="Percent Comma" xfId="1558"/>
    <cellStyle name="Percent Hard" xfId="1559"/>
    <cellStyle name="Percent Input" xfId="1560"/>
    <cellStyle name="percent no decimal" xfId="1561"/>
    <cellStyle name="Percent*" xfId="1562"/>
    <cellStyle name="Percent1" xfId="1563"/>
    <cellStyle name="Percent2" xfId="1564"/>
    <cellStyle name="PercentPresentation" xfId="1565"/>
    <cellStyle name="PerShare" xfId="1566"/>
    <cellStyle name="PlainDollar" xfId="1567"/>
    <cellStyle name="PlainDollarBoldwBorders" xfId="1568"/>
    <cellStyle name="PlainDollarSS" xfId="1569"/>
    <cellStyle name="PlainDollarUndLine" xfId="1570"/>
    <cellStyle name="POPS" xfId="1571"/>
    <cellStyle name="Population" xfId="1572"/>
    <cellStyle name="pound" xfId="1573"/>
    <cellStyle name="Pounds2" xfId="1574"/>
    <cellStyle name="Presentation" xfId="1575"/>
    <cellStyle name="PresentationMargins" xfId="1576"/>
    <cellStyle name="PresentationTitle" xfId="1577"/>
    <cellStyle name="PresentationZero" xfId="1578"/>
    <cellStyle name="Price" xfId="1579"/>
    <cellStyle name="PriceDecimal" xfId="1580"/>
    <cellStyle name="Private" xfId="1581"/>
    <cellStyle name="Private1" xfId="1582"/>
    <cellStyle name="PSChar" xfId="1583"/>
    <cellStyle name="PSDate" xfId="1584"/>
    <cellStyle name="PSDec" xfId="1585"/>
    <cellStyle name="PSHeading" xfId="1586"/>
    <cellStyle name="PSInt" xfId="1587"/>
    <cellStyle name="PSSpacer" xfId="1588"/>
    <cellStyle name="PTEscuados" xfId="1589"/>
    <cellStyle name="Ratio" xfId="1590"/>
    <cellStyle name="Ratio Comma" xfId="1591"/>
    <cellStyle name="Ratio_bigtexmodel14" xfId="1592"/>
    <cellStyle name="Red Text" xfId="1593"/>
    <cellStyle name="regstoresfromspecstores" xfId="1594"/>
    <cellStyle name="Report" xfId="1595"/>
    <cellStyle name="RevList" xfId="1596"/>
    <cellStyle name="RevList 2" xfId="1597"/>
    <cellStyle name="Right" xfId="1598"/>
    <cellStyle name="Row Headings" xfId="1599"/>
    <cellStyle name="Row Sub Total" xfId="1600"/>
    <cellStyle name="Row Title 1" xfId="1601"/>
    <cellStyle name="Row Title 2" xfId="1602"/>
    <cellStyle name="Row Title 3" xfId="1603"/>
    <cellStyle name="Row Total" xfId="1604"/>
    <cellStyle name="Salomon Logo" xfId="1605"/>
    <cellStyle name="Section" xfId="1606"/>
    <cellStyle name="Shaded" xfId="1607"/>
    <cellStyle name="SHADEDSTORES" xfId="1608"/>
    <cellStyle name="Shares" xfId="1609"/>
    <cellStyle name="Sheetmult" xfId="1610"/>
    <cellStyle name="Shtmultx" xfId="1611"/>
    <cellStyle name="Single Accounting" xfId="1612"/>
    <cellStyle name="specstores" xfId="1613"/>
    <cellStyle name="Sr Nts" xfId="1614"/>
    <cellStyle name="SS Col Hdr" xfId="1615"/>
    <cellStyle name="SS Dim 1 Blank" xfId="1616"/>
    <cellStyle name="SS Dim 1 Title" xfId="1617"/>
    <cellStyle name="SS Dim 1 Value" xfId="1618"/>
    <cellStyle name="SS Dim 2 Blank" xfId="1619"/>
    <cellStyle name="SS Dim 2 Title" xfId="1620"/>
    <cellStyle name="SS Dim 2 Value" xfId="1621"/>
    <cellStyle name="SS Dim 3 Blank" xfId="1622"/>
    <cellStyle name="SS Dim 3 Title" xfId="1623"/>
    <cellStyle name="SS Dim 3 Value" xfId="1624"/>
    <cellStyle name="SS Dim 4 Blank" xfId="1625"/>
    <cellStyle name="SS Dim 4 Title" xfId="1626"/>
    <cellStyle name="SS Dim 4 Value" xfId="1627"/>
    <cellStyle name="SS Dim 5 Blank" xfId="1628"/>
    <cellStyle name="SS Dim 5 Title" xfId="1629"/>
    <cellStyle name="SS Dim 5 Value" xfId="1630"/>
    <cellStyle name="SS Other Measure" xfId="1631"/>
    <cellStyle name="SS Sum Measure" xfId="1632"/>
    <cellStyle name="SS Unbound Dim" xfId="1633"/>
    <cellStyle name="SS WAvg Measure" xfId="1634"/>
    <cellStyle name="Standaard_TELECOM" xfId="1635"/>
    <cellStyle name="Standard_Anpassen der Amortisation" xfId="1636"/>
    <cellStyle name="Stock Comma" xfId="1637"/>
    <cellStyle name="Stock Price" xfId="1638"/>
    <cellStyle name="StockPrice" xfId="1639"/>
    <cellStyle name="Style 1" xfId="1640"/>
    <cellStyle name="Style 1 2" xfId="1641"/>
    <cellStyle name="Style 1 3" xfId="1642"/>
    <cellStyle name="Style 1 4" xfId="1643"/>
    <cellStyle name="Style 10" xfId="1644"/>
    <cellStyle name="Style 11" xfId="1645"/>
    <cellStyle name="Style 12" xfId="1646"/>
    <cellStyle name="Style 13" xfId="1647"/>
    <cellStyle name="Style 14" xfId="1648"/>
    <cellStyle name="Style 15" xfId="1649"/>
    <cellStyle name="Style 16" xfId="1650"/>
    <cellStyle name="Style 17" xfId="1651"/>
    <cellStyle name="Style 18" xfId="1652"/>
    <cellStyle name="Style 19" xfId="1653"/>
    <cellStyle name="Style 2" xfId="1654"/>
    <cellStyle name="Style 20" xfId="1655"/>
    <cellStyle name="Style 21" xfId="1656"/>
    <cellStyle name="Style 22" xfId="1657"/>
    <cellStyle name="Style 23" xfId="1658"/>
    <cellStyle name="Style 24" xfId="1659"/>
    <cellStyle name="Style 25" xfId="1660"/>
    <cellStyle name="Style 26" xfId="1661"/>
    <cellStyle name="Style 27" xfId="1662"/>
    <cellStyle name="Style 28" xfId="1663"/>
    <cellStyle name="Style 29" xfId="1664"/>
    <cellStyle name="Style 3" xfId="1665"/>
    <cellStyle name="Style 30" xfId="1666"/>
    <cellStyle name="Style 31" xfId="1667"/>
    <cellStyle name="Style 32" xfId="1668"/>
    <cellStyle name="Style 33" xfId="1669"/>
    <cellStyle name="Style 34" xfId="1670"/>
    <cellStyle name="Style 35" xfId="1671"/>
    <cellStyle name="Style 36" xfId="1672"/>
    <cellStyle name="Style 37" xfId="1673"/>
    <cellStyle name="Style 38" xfId="1674"/>
    <cellStyle name="Style 39" xfId="1675"/>
    <cellStyle name="Style 4" xfId="1676"/>
    <cellStyle name="Style 40" xfId="1677"/>
    <cellStyle name="Style 41" xfId="1678"/>
    <cellStyle name="Style 42" xfId="1679"/>
    <cellStyle name="Style 43" xfId="1680"/>
    <cellStyle name="Style 44" xfId="1681"/>
    <cellStyle name="Style 45" xfId="1682"/>
    <cellStyle name="Style 46" xfId="1683"/>
    <cellStyle name="Style 47" xfId="1684"/>
    <cellStyle name="Style 48" xfId="1685"/>
    <cellStyle name="Style 49" xfId="1686"/>
    <cellStyle name="Style 5" xfId="1687"/>
    <cellStyle name="Style 50" xfId="1688"/>
    <cellStyle name="Style 50 2" xfId="1689"/>
    <cellStyle name="Style 51" xfId="1690"/>
    <cellStyle name="Style 52" xfId="1691"/>
    <cellStyle name="Style 53" xfId="1692"/>
    <cellStyle name="Style 54" xfId="1693"/>
    <cellStyle name="Style 55" xfId="1694"/>
    <cellStyle name="Style 56" xfId="1695"/>
    <cellStyle name="Style 57" xfId="1696"/>
    <cellStyle name="Style 58" xfId="1697"/>
    <cellStyle name="Style 59" xfId="1698"/>
    <cellStyle name="Style 6" xfId="1699"/>
    <cellStyle name="Style 60" xfId="1700"/>
    <cellStyle name="Style 61" xfId="1701"/>
    <cellStyle name="Style 62" xfId="1702"/>
    <cellStyle name="Style 63" xfId="1703"/>
    <cellStyle name="Style 64" xfId="1704"/>
    <cellStyle name="Style 65" xfId="1705"/>
    <cellStyle name="Style 66" xfId="1706"/>
    <cellStyle name="Style 67" xfId="1707"/>
    <cellStyle name="Style 68" xfId="1708"/>
    <cellStyle name="Style 69" xfId="1709"/>
    <cellStyle name="Style 7" xfId="1710"/>
    <cellStyle name="Style 70" xfId="1711"/>
    <cellStyle name="Style 71" xfId="1712"/>
    <cellStyle name="Style 72" xfId="1713"/>
    <cellStyle name="Style 73" xfId="1714"/>
    <cellStyle name="Style 74" xfId="1715"/>
    <cellStyle name="Style 75" xfId="1716"/>
    <cellStyle name="Style 76" xfId="1717"/>
    <cellStyle name="Style 77" xfId="1718"/>
    <cellStyle name="Style 78" xfId="1719"/>
    <cellStyle name="Style 79" xfId="1720"/>
    <cellStyle name="Style 8" xfId="1721"/>
    <cellStyle name="Style 80" xfId="1722"/>
    <cellStyle name="Style 81" xfId="1723"/>
    <cellStyle name="Style 82" xfId="1724"/>
    <cellStyle name="Style 83" xfId="1725"/>
    <cellStyle name="Style 84" xfId="1726"/>
    <cellStyle name="Style 85" xfId="1727"/>
    <cellStyle name="Style 86" xfId="1728"/>
    <cellStyle name="Style 87" xfId="1729"/>
    <cellStyle name="Style 88" xfId="1730"/>
    <cellStyle name="Style 89" xfId="1731"/>
    <cellStyle name="Style 9" xfId="1732"/>
    <cellStyle name="Style 90" xfId="1733"/>
    <cellStyle name="Style 91" xfId="1734"/>
    <cellStyle name="Style 92" xfId="1735"/>
    <cellStyle name="Style 93" xfId="1736"/>
    <cellStyle name="Style 94" xfId="1737"/>
    <cellStyle name="Style 95" xfId="1738"/>
    <cellStyle name="Style 96" xfId="1739"/>
    <cellStyle name="SubDollar" xfId="1740"/>
    <cellStyle name="SubGrowth" xfId="1741"/>
    <cellStyle name="SubGrowthRate" xfId="1742"/>
    <cellStyle name="Subhead" xfId="1743"/>
    <cellStyle name="SubMargins" xfId="1744"/>
    <cellStyle name="SubPenetration" xfId="1745"/>
    <cellStyle name="Subscribers" xfId="1746"/>
    <cellStyle name="subscribes" xfId="1747"/>
    <cellStyle name="Subtotal" xfId="1748"/>
    <cellStyle name="SubVariable" xfId="1749"/>
    <cellStyle name="Summary" xfId="1750"/>
    <cellStyle name="Swedish Krona" xfId="1751"/>
    <cellStyle name="SymbolBlue" xfId="1752"/>
    <cellStyle name="t" xfId="1753"/>
    <cellStyle name="t_324470_2" xfId="1754"/>
    <cellStyle name="t_5293350_1" xfId="1755"/>
    <cellStyle name="t_Exchange Ratio Analysis" xfId="1756"/>
    <cellStyle name="t_Exchange Ratio Analysis_Project Kentucky Derby Model v75" xfId="1757"/>
    <cellStyle name="t_Exchange Ratio Analysis_Project Kentucky Derby Model v76" xfId="1758"/>
    <cellStyle name="t_Scratch" xfId="1759"/>
    <cellStyle name="t_Viacom Profile" xfId="1760"/>
    <cellStyle name="Table Col Head" xfId="1761"/>
    <cellStyle name="Table Head" xfId="1762"/>
    <cellStyle name="Table Head Aligned" xfId="1763"/>
    <cellStyle name="Table Head Blue" xfId="1764"/>
    <cellStyle name="Table Head Green" xfId="1765"/>
    <cellStyle name="Table Head_% Change" xfId="1766"/>
    <cellStyle name="Table Heading" xfId="1767"/>
    <cellStyle name="Table Source" xfId="1768"/>
    <cellStyle name="Table Sub Head" xfId="1769"/>
    <cellStyle name="Table Text" xfId="1770"/>
    <cellStyle name="Table Title" xfId="1771"/>
    <cellStyle name="Table Units" xfId="1772"/>
    <cellStyle name="Table Units 2" xfId="1773"/>
    <cellStyle name="Table Units 3" xfId="1774"/>
    <cellStyle name="Table Units 4" xfId="1775"/>
    <cellStyle name="Table_Header" xfId="1776"/>
    <cellStyle name="TableBase" xfId="1777"/>
    <cellStyle name="TableBody" xfId="1778"/>
    <cellStyle name="TableBodyR" xfId="1779"/>
    <cellStyle name="TableColHeads" xfId="1780"/>
    <cellStyle name="TableHead" xfId="1781"/>
    <cellStyle name="Test" xfId="1782"/>
    <cellStyle name="Text" xfId="1783"/>
    <cellStyle name="Text 1" xfId="1784"/>
    <cellStyle name="Text 2" xfId="1785"/>
    <cellStyle name="Text Head" xfId="1786"/>
    <cellStyle name="Text Head 1" xfId="1787"/>
    <cellStyle name="Text Head 2" xfId="1788"/>
    <cellStyle name="Text Head_PCS Valuation vbb" xfId="1789"/>
    <cellStyle name="Text Indent 1" xfId="1790"/>
    <cellStyle name="Text Indent 2" xfId="1791"/>
    <cellStyle name="Text_Exchange Ratio Analysis" xfId="1792"/>
    <cellStyle name="threedecplace" xfId="1793"/>
    <cellStyle name="Ticker" xfId="1794"/>
    <cellStyle name="Time" xfId="1795"/>
    <cellStyle name="Time Strip" xfId="1796"/>
    <cellStyle name="Times 10" xfId="1797"/>
    <cellStyle name="Times 12" xfId="1798"/>
    <cellStyle name="Tina" xfId="1799"/>
    <cellStyle name="Title II" xfId="1800"/>
    <cellStyle name="Title1" xfId="1801"/>
    <cellStyle name="Title2" xfId="1802"/>
    <cellStyle name="TitleII" xfId="1803"/>
    <cellStyle name="TitleSub" xfId="1804"/>
    <cellStyle name="TOC 1" xfId="1805"/>
    <cellStyle name="TOC 2" xfId="1806"/>
    <cellStyle name="tom" xfId="1807"/>
    <cellStyle name="Top Edge" xfId="1808"/>
    <cellStyle name="TopGrey" xfId="1809"/>
    <cellStyle name="Total 2" xfId="1810"/>
    <cellStyle name="Total Currency" xfId="1811"/>
    <cellStyle name="Total Normal" xfId="1812"/>
    <cellStyle name="TotalCurrency" xfId="1813"/>
    <cellStyle name="TwoDecimal" xfId="1814"/>
    <cellStyle name="twodecplace" xfId="1815"/>
    <cellStyle name="ubordinated Debt" xfId="1816"/>
    <cellStyle name="under" xfId="1817"/>
    <cellStyle name="underline 1 decimal" xfId="1818"/>
    <cellStyle name="underline 2 decimals" xfId="1819"/>
    <cellStyle name="underline flush left" xfId="1820"/>
    <cellStyle name="underline no decimals" xfId="1821"/>
    <cellStyle name="Underline_Single" xfId="1822"/>
    <cellStyle name="UnitPrice" xfId="1823"/>
    <cellStyle name="Units" xfId="1824"/>
    <cellStyle name="Unprot" xfId="1825"/>
    <cellStyle name="Unprot$" xfId="1826"/>
    <cellStyle name="Unprotect" xfId="1827"/>
    <cellStyle name="Upload Only" xfId="1828"/>
    <cellStyle name="Valuation" xfId="1829"/>
    <cellStyle name="Valuation Bold" xfId="1830"/>
    <cellStyle name="Valuta_Company Summary (2)" xfId="1831"/>
    <cellStyle name="w" xfId="1832"/>
    <cellStyle name="w_6hpd04_" xfId="1833"/>
    <cellStyle name="w_7f1801_" xfId="1834"/>
    <cellStyle name="w_7ggf02_" xfId="1835"/>
    <cellStyle name="w_7PHY01_" xfId="1836"/>
    <cellStyle name="w_7tby02_" xfId="1837"/>
    <cellStyle name="w_WACC" xfId="1838"/>
    <cellStyle name="Währung [0]_Compiling Utility Macros" xfId="1839"/>
    <cellStyle name="Währung_Compiling Utility Macros" xfId="1840"/>
    <cellStyle name="Warning Text 2" xfId="1841"/>
    <cellStyle name="Web Row Title 1" xfId="1842"/>
    <cellStyle name="Web Row Title 2" xfId="1843"/>
    <cellStyle name="Web_ Row Title 1" xfId="1844"/>
    <cellStyle name="WhitePattern" xfId="1845"/>
    <cellStyle name="WhitePattern1" xfId="1846"/>
    <cellStyle name="WhiteText" xfId="1847"/>
    <cellStyle name="WholeNumber" xfId="1848"/>
    <cellStyle name="WingdingsBlack" xfId="1849"/>
    <cellStyle name="WingdingsRed" xfId="1850"/>
    <cellStyle name="WingdingsWhite" xfId="1851"/>
    <cellStyle name="X" xfId="1852"/>
    <cellStyle name="X - None" xfId="1853"/>
    <cellStyle name="X_5515616_3" xfId="1854"/>
    <cellStyle name="X_5515616_3_5401007_6" xfId="1855"/>
    <cellStyle name="X_5515616_3_5401007_6_Project Kentucky Derby Model v75" xfId="1856"/>
    <cellStyle name="X_5515616_3_5401007_6_Project Kentucky Derby Model v76" xfId="1857"/>
    <cellStyle name="X_5515616_3_5401007_6_SBSAModel116(Company)" xfId="1858"/>
    <cellStyle name="X_5515616_3_5963478_1" xfId="1859"/>
    <cellStyle name="X_5515616_3_FON" xfId="1860"/>
    <cellStyle name="X_5515616_3_Put Analysis" xfId="1861"/>
    <cellStyle name="X_5515616_3_Put Analysis.v2" xfId="1862"/>
    <cellStyle name="X_5515616_3_Put Analysis.v2_Project Kentucky Derby Model v75" xfId="1863"/>
    <cellStyle name="X_5515616_3_Put Analysis.v2_Project Kentucky Derby Model v76" xfId="1864"/>
    <cellStyle name="X_5515616_3_Put Analysis.v2_SBSAModel116(Company)" xfId="1865"/>
    <cellStyle name="X_5515616_3_Put Analysis_Project Kentucky Derby Model v75" xfId="1866"/>
    <cellStyle name="X_5515616_3_Put Analysis_Project Kentucky Derby Model v76" xfId="1867"/>
    <cellStyle name="X_5515616_3_Put Analysis_SBSAModel116(Company)" xfId="1868"/>
    <cellStyle name="X_5515616_3_Spin Model v.2" xfId="1869"/>
    <cellStyle name="X_5515616_3_Spin Model v.2_Project Kentucky Derby Model v75" xfId="1870"/>
    <cellStyle name="X_5515616_3_Spin Model v.2_Project Kentucky Derby Model v76" xfId="1871"/>
    <cellStyle name="X_5515616_3_Spin Model v.2_SBSAModel116(Company)" xfId="1872"/>
    <cellStyle name="X_5517854_3" xfId="1873"/>
    <cellStyle name="X_5517854_3_5401007_6" xfId="1874"/>
    <cellStyle name="X_5517854_3_5401007_6_Project Kentucky Derby Model v75" xfId="1875"/>
    <cellStyle name="X_5517854_3_5401007_6_Project Kentucky Derby Model v76" xfId="1876"/>
    <cellStyle name="X_5517854_3_5401007_6_SBSAModel116(Company)" xfId="1877"/>
    <cellStyle name="X_5517854_3_5963478_1" xfId="1878"/>
    <cellStyle name="X_5517854_3_FON" xfId="1879"/>
    <cellStyle name="X_5517854_3_Put Analysis" xfId="1880"/>
    <cellStyle name="X_5517854_3_Put Analysis.v2" xfId="1881"/>
    <cellStyle name="X_5517854_3_Put Analysis.v2_Project Kentucky Derby Model v75" xfId="1882"/>
    <cellStyle name="X_5517854_3_Put Analysis.v2_Project Kentucky Derby Model v76" xfId="1883"/>
    <cellStyle name="X_5517854_3_Put Analysis.v2_SBSAModel116(Company)" xfId="1884"/>
    <cellStyle name="X_5517854_3_Put Analysis_Project Kentucky Derby Model v75" xfId="1885"/>
    <cellStyle name="X_5517854_3_Put Analysis_Project Kentucky Derby Model v76" xfId="1886"/>
    <cellStyle name="X_5517854_3_Put Analysis_SBSAModel116(Company)" xfId="1887"/>
    <cellStyle name="X_5517854_3_Spin Model v.2" xfId="1888"/>
    <cellStyle name="X_5517854_3_Spin Model v.2_Project Kentucky Derby Model v75" xfId="1889"/>
    <cellStyle name="X_5517854_3_Spin Model v.2_Project Kentucky Derby Model v76" xfId="1890"/>
    <cellStyle name="X_5517854_3_Spin Model v.2_SBSAModel116(Company)" xfId="1891"/>
    <cellStyle name="X_Book3" xfId="1892"/>
    <cellStyle name="X_Book3_5401007_6" xfId="1893"/>
    <cellStyle name="X_Book3_5401007_6_Project Kentucky Derby Model v75" xfId="1894"/>
    <cellStyle name="X_Book3_5401007_6_Project Kentucky Derby Model v76" xfId="1895"/>
    <cellStyle name="X_Book3_5401007_6_SBSAModel116(Company)" xfId="1896"/>
    <cellStyle name="X_Book3_5963478_1" xfId="1897"/>
    <cellStyle name="X_Book3_FON" xfId="1898"/>
    <cellStyle name="X_Book3_Put Analysis" xfId="1899"/>
    <cellStyle name="X_Book3_Put Analysis.v2" xfId="1900"/>
    <cellStyle name="X_Book3_Put Analysis.v2_Project Kentucky Derby Model v75" xfId="1901"/>
    <cellStyle name="X_Book3_Put Analysis.v2_Project Kentucky Derby Model v76" xfId="1902"/>
    <cellStyle name="X_Book3_Put Analysis.v2_SBSAModel116(Company)" xfId="1903"/>
    <cellStyle name="X_Book3_Put Analysis_Project Kentucky Derby Model v75" xfId="1904"/>
    <cellStyle name="X_Book3_Put Analysis_Project Kentucky Derby Model v76" xfId="1905"/>
    <cellStyle name="X_Book3_Put Analysis_SBSAModel116(Company)" xfId="1906"/>
    <cellStyle name="X_Book3_Spin Model v.2" xfId="1907"/>
    <cellStyle name="X_Book3_Spin Model v.2_Project Kentucky Derby Model v75" xfId="1908"/>
    <cellStyle name="X_Book3_Spin Model v.2_Project Kentucky Derby Model v76" xfId="1909"/>
    <cellStyle name="X_Book3_Spin Model v.2_SBSAModel116(Company)" xfId="1910"/>
    <cellStyle name="year" xfId="1911"/>
    <cellStyle name="Yen" xfId="1912"/>
    <cellStyle name="Comma 5" xfId="191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Client\C$\Users\CDIT\Downloads\12562410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gentUser\Documents\KEX%20US%20Equity_MODEL_SNR_May%2020%202024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Q ML_Model_Info"/>
      <sheetName val="Income Statement"/>
      <sheetName val="Key Assumptions"/>
      <sheetName val="Balance Sheet"/>
      <sheetName val="Cash Flow"/>
      <sheetName val="Acquisitions"/>
      <sheetName val="Dispositions"/>
      <sheetName val="Interest Expense"/>
      <sheetName val="Mortgage Book"/>
      <sheetName val="Development"/>
      <sheetName val="NAV Current"/>
      <sheetName val="SS Total (GAAP)"/>
      <sheetName val="Lease rate YY (monthly)"/>
      <sheetName val="Lease rate YY (quarterly)"/>
      <sheetName val="Multiples"/>
      <sheetName val="EV EBITDA"/>
    </sheetNames>
    <sheetDataSet>
      <sheetData sheetId="0"/>
      <sheetData sheetId="1"/>
      <sheetData sheetId="2">
        <row r="113">
          <cell r="CU113">
            <v>3.5499396518813731E-2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Drivers"/>
      <sheetName val="Op Stats"/>
      <sheetName val="OI By Segment"/>
      <sheetName val="IS Input"/>
      <sheetName val="IS"/>
      <sheetName val="BS"/>
      <sheetName val="CF"/>
      <sheetName val="Debt"/>
      <sheetName val="Equity"/>
      <sheetName val="Interest"/>
      <sheetName val="Valuation"/>
      <sheetName val="Export"/>
      <sheetName val="Snapshot"/>
      <sheetName val="Disclai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5:X286"/>
  <sheetViews>
    <sheetView workbookViewId="0">
      <selection activeCell="G147" sqref="G147:G149"/>
    </sheetView>
  </sheetViews>
  <sheetFormatPr baseColWidth="8" defaultRowHeight="14.25"/>
  <sheetData>
    <row r="5">
      <c r="S5" s="149">
        <f>#REF!</f>
        <v/>
      </c>
    </row>
    <row r="27">
      <c r="V27" s="150">
        <f>#REF!</f>
        <v/>
      </c>
      <c r="W27" s="151">
        <f>#REF!</f>
        <v/>
      </c>
      <c r="X27" s="151">
        <f>#REF!</f>
        <v/>
      </c>
    </row>
    <row r="28">
      <c r="V28" s="150">
        <f>#REF!</f>
        <v/>
      </c>
      <c r="W28" s="151">
        <f>#REF!</f>
        <v/>
      </c>
      <c r="X28" s="151">
        <f>#REF!</f>
        <v/>
      </c>
    </row>
    <row r="29">
      <c r="T29" s="152">
        <f>#REF!</f>
        <v/>
      </c>
      <c r="V29" s="153">
        <f>#REF!</f>
        <v/>
      </c>
      <c r="W29" s="154">
        <f>#REF!</f>
        <v/>
      </c>
      <c r="X29" s="154">
        <f>#REF!</f>
        <v/>
      </c>
    </row>
    <row r="36">
      <c r="L36" s="101">
        <f>#REF!</f>
        <v/>
      </c>
      <c r="M36" s="104">
        <f>#REF!</f>
        <v/>
      </c>
    </row>
    <row r="37">
      <c r="J37" s="105">
        <f>#REF!</f>
        <v/>
      </c>
      <c r="K37" s="105">
        <f>#REF!</f>
        <v/>
      </c>
    </row>
    <row r="128">
      <c r="G128" s="155">
        <f>#REF!</f>
        <v/>
      </c>
      <c r="H128" s="74">
        <f>#REF!</f>
        <v/>
      </c>
      <c r="I128" s="155">
        <f>#REF!</f>
        <v/>
      </c>
      <c r="J128" s="74">
        <f>#REF!</f>
        <v/>
      </c>
      <c r="K128" s="74">
        <f>#REF!</f>
        <v/>
      </c>
      <c r="L128" s="74">
        <f>#REF!</f>
        <v/>
      </c>
      <c r="M128" s="155">
        <f>#REF!</f>
        <v/>
      </c>
    </row>
    <row r="129">
      <c r="G129" s="155">
        <f>#REF!</f>
        <v/>
      </c>
      <c r="H129" s="74">
        <f>#REF!</f>
        <v/>
      </c>
      <c r="I129" s="155">
        <f>#REF!</f>
        <v/>
      </c>
      <c r="J129" s="74">
        <f>#REF!</f>
        <v/>
      </c>
      <c r="K129" s="74">
        <f>#REF!</f>
        <v/>
      </c>
      <c r="L129" s="74">
        <f>#REF!</f>
        <v/>
      </c>
      <c r="M129" s="155">
        <f>#REF!</f>
        <v/>
      </c>
    </row>
    <row r="130">
      <c r="G130" s="156">
        <f>#REF!</f>
        <v/>
      </c>
      <c r="H130" s="40">
        <f>#REF!</f>
        <v/>
      </c>
      <c r="I130" s="156">
        <f>#REF!</f>
        <v/>
      </c>
      <c r="J130" s="40">
        <f>#REF!</f>
        <v/>
      </c>
      <c r="K130" s="40">
        <f>#REF!</f>
        <v/>
      </c>
      <c r="L130" s="40">
        <f>#REF!</f>
        <v/>
      </c>
      <c r="M130" s="156">
        <f>#REF!</f>
        <v/>
      </c>
    </row>
    <row r="131">
      <c r="G131" s="157">
        <f>#REF!</f>
        <v/>
      </c>
      <c r="H131" s="39">
        <f>#REF!</f>
        <v/>
      </c>
      <c r="I131" s="157">
        <f>#REF!</f>
        <v/>
      </c>
      <c r="J131" s="39">
        <f>#REF!</f>
        <v/>
      </c>
      <c r="K131" s="39">
        <f>#REF!</f>
        <v/>
      </c>
      <c r="L131" s="39">
        <f>#REF!</f>
        <v/>
      </c>
      <c r="M131" s="157">
        <f>#REF!</f>
        <v/>
      </c>
    </row>
    <row r="134">
      <c r="K134" s="39">
        <f>#REF!</f>
        <v/>
      </c>
    </row>
    <row r="146" ht="14.65" customHeight="1" thickBot="1"/>
    <row r="147">
      <c r="G147" s="143">
        <f>#REF!</f>
        <v/>
      </c>
    </row>
    <row r="148">
      <c r="G148" s="158">
        <f>#REF!</f>
        <v/>
      </c>
    </row>
    <row r="149" ht="14.65" customHeight="1" thickBot="1">
      <c r="G149" s="159">
        <f>#REF!</f>
        <v/>
      </c>
    </row>
    <row r="192">
      <c r="E192" s="84">
        <f>#REF!</f>
        <v/>
      </c>
    </row>
    <row r="193">
      <c r="G193" s="85">
        <f>#REF!</f>
        <v/>
      </c>
    </row>
    <row r="194">
      <c r="G194" s="160">
        <f>#REF!</f>
        <v/>
      </c>
      <c r="H194" s="92">
        <f>#REF!</f>
        <v/>
      </c>
    </row>
    <row r="195">
      <c r="G195" s="161">
        <f>#REF!</f>
        <v/>
      </c>
      <c r="H195" s="91">
        <f>#REF!</f>
        <v/>
      </c>
    </row>
    <row r="196">
      <c r="G196" s="39">
        <f>#REF!</f>
        <v/>
      </c>
    </row>
    <row r="197">
      <c r="G197" s="90">
        <f>#REF!</f>
        <v/>
      </c>
    </row>
    <row r="198">
      <c r="G198" s="39">
        <f>#REF!</f>
        <v/>
      </c>
    </row>
    <row r="199">
      <c r="G199" s="88">
        <f>#REF!</f>
        <v/>
      </c>
      <c r="H199" s="74">
        <f>#REF!</f>
        <v/>
      </c>
      <c r="I199" s="160">
        <f>#REF!</f>
        <v/>
      </c>
      <c r="J199" s="74">
        <f>#REF!</f>
        <v/>
      </c>
    </row>
    <row r="200">
      <c r="G200" s="88">
        <f>#REF!</f>
        <v/>
      </c>
      <c r="H200" s="74">
        <f>#REF!</f>
        <v/>
      </c>
      <c r="I200" s="160">
        <f>#REF!</f>
        <v/>
      </c>
      <c r="J200" s="74">
        <f>#REF!</f>
        <v/>
      </c>
    </row>
    <row r="201">
      <c r="G201" s="88">
        <f>#REF!</f>
        <v/>
      </c>
      <c r="H201" s="74">
        <f>#REF!</f>
        <v/>
      </c>
      <c r="I201" s="160">
        <f>#REF!</f>
        <v/>
      </c>
      <c r="J201" s="74">
        <f>#REF!</f>
        <v/>
      </c>
    </row>
    <row r="202">
      <c r="G202" s="89">
        <f>#REF!</f>
        <v/>
      </c>
      <c r="H202" s="74">
        <f>#REF!</f>
        <v/>
      </c>
      <c r="I202" s="160">
        <f>#REF!</f>
        <v/>
      </c>
      <c r="J202" s="74">
        <f>#REF!</f>
        <v/>
      </c>
    </row>
    <row r="203">
      <c r="G203" s="93">
        <f>#REF!</f>
        <v/>
      </c>
    </row>
    <row r="204">
      <c r="G204" s="94">
        <f>#REF!</f>
        <v/>
      </c>
      <c r="H204" s="92">
        <f>#REF!</f>
        <v/>
      </c>
    </row>
    <row r="205">
      <c r="G205" s="93">
        <f>#REF!</f>
        <v/>
      </c>
    </row>
    <row r="242">
      <c r="P242" s="41">
        <f>#REF!</f>
        <v/>
      </c>
    </row>
    <row r="243">
      <c r="P243" s="41">
        <f>#REF!</f>
        <v/>
      </c>
    </row>
    <row r="244">
      <c r="P244" s="41">
        <f>#REF!</f>
        <v/>
      </c>
    </row>
    <row r="245">
      <c r="M245" s="102">
        <f>#REF!</f>
        <v/>
      </c>
      <c r="N245" s="102">
        <f>#REF!</f>
        <v/>
      </c>
      <c r="O245" s="102">
        <f>#REF!</f>
        <v/>
      </c>
      <c r="P245" s="41">
        <f>#REF!</f>
        <v/>
      </c>
    </row>
    <row r="246">
      <c r="M246" s="96">
        <f>#REF!</f>
        <v/>
      </c>
      <c r="N246" s="97">
        <f>#REF!</f>
        <v/>
      </c>
    </row>
    <row r="247">
      <c r="L247" s="162">
        <f>#REF!</f>
        <v/>
      </c>
    </row>
    <row r="282">
      <c r="K282" s="163">
        <f>#REF!</f>
        <v/>
      </c>
      <c r="L282" s="163">
        <f>#REF!</f>
        <v/>
      </c>
      <c r="M282" s="163">
        <f>#REF!</f>
        <v/>
      </c>
      <c r="N282" s="163">
        <f>#REF!</f>
        <v/>
      </c>
      <c r="O282" s="163">
        <f>#REF!</f>
        <v/>
      </c>
    </row>
    <row r="285">
      <c r="P285" s="164">
        <f>#REF!</f>
        <v/>
      </c>
    </row>
    <row r="286">
      <c r="P286" s="101">
        <f>#REF!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G168"/>
  <sheetViews>
    <sheetView showGridLines="0" tabSelected="1" zoomScale="85" zoomScaleNormal="85" zoomScaleSheetLayoutView="100" workbookViewId="0">
      <pane xSplit="9" ySplit="3" topLeftCell="AF122" activePane="bottomRight" state="frozen"/>
      <selection pane="topRight" activeCell="J1" sqref="J1"/>
      <selection pane="bottomLeft" activeCell="A4" sqref="A4"/>
      <selection pane="bottomRight" activeCell="G2" sqref="G2"/>
    </sheetView>
  </sheetViews>
  <sheetFormatPr baseColWidth="8" defaultColWidth="9.1328125" defaultRowHeight="14.25"/>
  <cols>
    <col width="2.73046875" customWidth="1" min="1" max="5"/>
    <col width="22.1328125" customWidth="1" min="6" max="6"/>
    <col width="9.73046875" customWidth="1" min="7" max="8"/>
    <col width="3.73046875" customWidth="1" min="9" max="9"/>
    <col width="9.73046875" customWidth="1" min="10" max="16"/>
    <col width="3.73046875" customWidth="1" min="17" max="17"/>
    <col width="9.73046875" customWidth="1" min="18" max="49"/>
  </cols>
  <sheetData>
    <row r="1">
      <c r="A1" s="25" t="inlineStr">
        <is>
          <t>Kirby Corp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</row>
    <row r="2">
      <c r="A2" s="3" t="inlineStr">
        <is>
          <t>US$mm unless otherwise specified</t>
        </is>
      </c>
      <c r="B2" s="2" t="n"/>
      <c r="C2" s="2" t="n"/>
      <c r="D2" s="2" t="n"/>
      <c r="E2" s="2" t="n"/>
      <c r="F2" s="2" t="n"/>
      <c r="G2" s="165" t="inlineStr">
        <is>
          <t>2Q24 LQA</t>
        </is>
      </c>
      <c r="H2" s="2" t="n"/>
      <c r="I2" s="2" t="n"/>
      <c r="J2" s="4" t="inlineStr">
        <is>
          <t>Act.</t>
        </is>
      </c>
      <c r="K2" s="4" t="inlineStr">
        <is>
          <t>Act.</t>
        </is>
      </c>
      <c r="L2" s="4" t="inlineStr">
        <is>
          <t>Act.</t>
        </is>
      </c>
      <c r="M2" s="4" t="inlineStr">
        <is>
          <t>Act.</t>
        </is>
      </c>
      <c r="N2" s="4" t="inlineStr">
        <is>
          <t>Act.</t>
        </is>
      </c>
      <c r="O2" s="4" t="inlineStr">
        <is>
          <t>Act.</t>
        </is>
      </c>
      <c r="P2" s="4" t="inlineStr">
        <is>
          <t>Est.</t>
        </is>
      </c>
      <c r="Q2" s="2" t="n"/>
      <c r="R2" s="4" t="inlineStr">
        <is>
          <t>Act.</t>
        </is>
      </c>
      <c r="S2" s="4" t="inlineStr">
        <is>
          <t>Act.</t>
        </is>
      </c>
      <c r="T2" s="4" t="inlineStr">
        <is>
          <t>Act.</t>
        </is>
      </c>
      <c r="U2" s="4" t="inlineStr">
        <is>
          <t>Act.</t>
        </is>
      </c>
      <c r="V2" s="4" t="inlineStr">
        <is>
          <t>Act.</t>
        </is>
      </c>
      <c r="W2" s="4" t="inlineStr">
        <is>
          <t>Act.</t>
        </is>
      </c>
      <c r="X2" s="4" t="inlineStr">
        <is>
          <t>Act.</t>
        </is>
      </c>
      <c r="Y2" s="4" t="inlineStr">
        <is>
          <t>Act.</t>
        </is>
      </c>
      <c r="Z2" s="4" t="inlineStr">
        <is>
          <t>Act.</t>
        </is>
      </c>
      <c r="AA2" s="4" t="inlineStr">
        <is>
          <t>Act.</t>
        </is>
      </c>
      <c r="AB2" s="4" t="inlineStr">
        <is>
          <t>Act.</t>
        </is>
      </c>
      <c r="AC2" s="4" t="inlineStr">
        <is>
          <t>Act.</t>
        </is>
      </c>
      <c r="AD2" s="4" t="inlineStr">
        <is>
          <t>Act.</t>
        </is>
      </c>
      <c r="AE2" s="4" t="inlineStr">
        <is>
          <t>Act.</t>
        </is>
      </c>
      <c r="AF2" s="4" t="inlineStr">
        <is>
          <t>Act.</t>
        </is>
      </c>
      <c r="AG2" s="4" t="inlineStr">
        <is>
          <t>Act.</t>
        </is>
      </c>
      <c r="AH2" s="4" t="inlineStr">
        <is>
          <t>Act.</t>
        </is>
      </c>
      <c r="AI2" s="4" t="inlineStr">
        <is>
          <t>Act.</t>
        </is>
      </c>
      <c r="AJ2" s="4" t="inlineStr">
        <is>
          <t>Act.</t>
        </is>
      </c>
      <c r="AK2" s="4" t="inlineStr">
        <is>
          <t>Act.</t>
        </is>
      </c>
      <c r="AL2" s="4" t="inlineStr">
        <is>
          <t>Act.</t>
        </is>
      </c>
      <c r="AM2" s="4" t="inlineStr">
        <is>
          <t>Act.</t>
        </is>
      </c>
      <c r="AN2" s="4" t="inlineStr">
        <is>
          <t>Act.</t>
        </is>
      </c>
      <c r="AO2" s="4" t="inlineStr">
        <is>
          <t>Act.</t>
        </is>
      </c>
      <c r="AP2" s="4" t="inlineStr">
        <is>
          <t>Act.</t>
        </is>
      </c>
      <c r="AQ2" s="4" t="inlineStr">
        <is>
          <t>Est.</t>
        </is>
      </c>
      <c r="AR2" s="4" t="inlineStr">
        <is>
          <t>Est.</t>
        </is>
      </c>
      <c r="AS2" s="4" t="inlineStr">
        <is>
          <t>Est.</t>
        </is>
      </c>
      <c r="AT2" s="4" t="inlineStr">
        <is>
          <t>Est.</t>
        </is>
      </c>
      <c r="AU2" s="4" t="inlineStr">
        <is>
          <t>Est.</t>
        </is>
      </c>
      <c r="AV2" s="4" t="inlineStr">
        <is>
          <t>Est.</t>
        </is>
      </c>
      <c r="AW2" s="4" t="inlineStr">
        <is>
          <t>Est.</t>
        </is>
      </c>
    </row>
    <row r="3">
      <c r="G3" s="53" t="inlineStr">
        <is>
          <t>LQA</t>
        </is>
      </c>
      <c r="H3" s="43" t="inlineStr">
        <is>
          <t>LTM</t>
        </is>
      </c>
      <c r="I3" s="42" t="n"/>
      <c r="J3" s="37" t="n">
        <v>2018</v>
      </c>
      <c r="K3" s="37">
        <f>J3+1</f>
        <v/>
      </c>
      <c r="L3" s="37">
        <f>K3+1</f>
        <v/>
      </c>
      <c r="M3" s="37">
        <f>L3+1</f>
        <v/>
      </c>
      <c r="N3" s="37">
        <f>M3+1</f>
        <v/>
      </c>
      <c r="O3" s="37">
        <f>N3+1</f>
        <v/>
      </c>
      <c r="P3" s="37">
        <f>O3+1</f>
        <v/>
      </c>
      <c r="Q3" s="42" t="n"/>
      <c r="R3" s="37" t="inlineStr">
        <is>
          <t>1Q18</t>
        </is>
      </c>
      <c r="S3" s="37" t="inlineStr">
        <is>
          <t>2Q18</t>
        </is>
      </c>
      <c r="T3" s="37" t="inlineStr">
        <is>
          <t>3Q18</t>
        </is>
      </c>
      <c r="U3" s="37" t="inlineStr">
        <is>
          <t>4Q18</t>
        </is>
      </c>
      <c r="V3" s="37" t="inlineStr">
        <is>
          <t>1Q19</t>
        </is>
      </c>
      <c r="W3" s="37" t="inlineStr">
        <is>
          <t>2Q19</t>
        </is>
      </c>
      <c r="X3" s="37" t="inlineStr">
        <is>
          <t>3Q19</t>
        </is>
      </c>
      <c r="Y3" s="37" t="inlineStr">
        <is>
          <t>4Q19</t>
        </is>
      </c>
      <c r="Z3" s="37" t="inlineStr">
        <is>
          <t>1Q20</t>
        </is>
      </c>
      <c r="AA3" s="37" t="inlineStr">
        <is>
          <t>2Q20</t>
        </is>
      </c>
      <c r="AB3" s="37" t="inlineStr">
        <is>
          <t>3Q20</t>
        </is>
      </c>
      <c r="AC3" s="37" t="inlineStr">
        <is>
          <t>4Q20</t>
        </is>
      </c>
      <c r="AD3" s="37" t="inlineStr">
        <is>
          <t>1Q21</t>
        </is>
      </c>
      <c r="AE3" s="37" t="inlineStr">
        <is>
          <t>2Q21</t>
        </is>
      </c>
      <c r="AF3" s="37" t="inlineStr">
        <is>
          <t>3Q21</t>
        </is>
      </c>
      <c r="AG3" s="37" t="inlineStr">
        <is>
          <t>4Q21</t>
        </is>
      </c>
      <c r="AH3" s="37" t="inlineStr">
        <is>
          <t>1Q22</t>
        </is>
      </c>
      <c r="AI3" s="37" t="inlineStr">
        <is>
          <t>2Q22</t>
        </is>
      </c>
      <c r="AJ3" s="37" t="inlineStr">
        <is>
          <t>3Q22</t>
        </is>
      </c>
      <c r="AK3" s="37" t="inlineStr">
        <is>
          <t>4Q22</t>
        </is>
      </c>
      <c r="AL3" s="37" t="inlineStr">
        <is>
          <t>1Q23</t>
        </is>
      </c>
      <c r="AM3" s="37" t="inlineStr">
        <is>
          <t>2Q23</t>
        </is>
      </c>
      <c r="AN3" s="37" t="inlineStr">
        <is>
          <t>3Q23</t>
        </is>
      </c>
      <c r="AO3" s="37" t="inlineStr">
        <is>
          <t>4Q23</t>
        </is>
      </c>
      <c r="AP3" s="37" t="inlineStr">
        <is>
          <t>1Q24</t>
        </is>
      </c>
      <c r="AQ3" s="37" t="inlineStr">
        <is>
          <t>2Q24</t>
        </is>
      </c>
      <c r="AR3" s="37" t="inlineStr">
        <is>
          <t>3Q24</t>
        </is>
      </c>
      <c r="AS3" s="37" t="inlineStr">
        <is>
          <t>4Q24</t>
        </is>
      </c>
      <c r="AT3" s="37" t="inlineStr">
        <is>
          <t>1Q25</t>
        </is>
      </c>
      <c r="AU3" s="37" t="inlineStr">
        <is>
          <t>2Q25</t>
        </is>
      </c>
      <c r="AV3" s="37" t="inlineStr">
        <is>
          <t>3Q25</t>
        </is>
      </c>
      <c r="AW3" s="37" t="inlineStr">
        <is>
          <t>4Q25</t>
        </is>
      </c>
    </row>
    <row r="4">
      <c r="G4" s="54" t="n"/>
      <c r="H4" s="44" t="n"/>
    </row>
    <row r="5" ht="15" customHeight="1">
      <c r="A5" s="22" t="inlineStr">
        <is>
          <t>x</t>
        </is>
      </c>
      <c r="B5" s="22" t="inlineStr">
        <is>
          <t>Income Statement</t>
        </is>
      </c>
      <c r="C5" s="23" t="n"/>
      <c r="D5" s="23" t="n"/>
      <c r="E5" s="23" t="n"/>
      <c r="F5" s="23" t="n"/>
      <c r="G5" s="166" t="n"/>
      <c r="H5" s="45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</row>
    <row r="6">
      <c r="G6" s="167" t="n"/>
      <c r="H6" s="30" t="n"/>
    </row>
    <row r="7">
      <c r="B7" s="114" t="inlineStr">
        <is>
          <t>Marine Transport</t>
        </is>
      </c>
      <c r="G7" s="57">
        <f>OFFSET(R7,0,MATCH($G$2,$R$3:$AW$3,0)-1)*4</f>
        <v/>
      </c>
      <c r="H7" s="33">
        <f>SUM(OFFSET(R7,0,MATCH($G$2,$R$3:$AW$3,0)-4),OFFSET(R7,0,MATCH($G$2,$R$3:$AW$3,0)-3),OFFSET(R7,0,MATCH($G$2,$R$3:$AW$3,0)-2),OFFSET(R7,0,MATCH($G$2,$R$3:$AW$3,0)-1))</f>
        <v/>
      </c>
      <c r="J7" s="9">
        <f>SUM(R7:U7)</f>
        <v/>
      </c>
      <c r="K7" s="9">
        <f>SUM(V7:Y7)</f>
        <v/>
      </c>
      <c r="L7" s="9">
        <f>SUM(Z7:AC7)</f>
        <v/>
      </c>
      <c r="M7" s="9">
        <f>SUM(AD7:AG7)</f>
        <v/>
      </c>
      <c r="N7" s="9">
        <f>SUM(AH7:AK7)</f>
        <v/>
      </c>
      <c r="O7" s="9">
        <f>SUM(AL7:AO7)</f>
        <v/>
      </c>
      <c r="P7" s="106" t="n"/>
      <c r="R7" s="10" t="n">
        <v>340.403</v>
      </c>
      <c r="S7" s="10" t="n">
        <v>378.163</v>
      </c>
      <c r="T7" s="10" t="n">
        <v>382.04</v>
      </c>
      <c r="U7" s="10" t="n">
        <v>382.537</v>
      </c>
      <c r="V7" s="10" t="n">
        <v>368.121</v>
      </c>
      <c r="W7" s="10" t="n">
        <v>404.286</v>
      </c>
      <c r="X7" s="10" t="n">
        <v>412.665</v>
      </c>
      <c r="Y7" s="10" t="n">
        <v>402.01</v>
      </c>
      <c r="Z7" s="10" t="n">
        <v>403.257</v>
      </c>
      <c r="AA7" s="10" t="n">
        <v>380.987</v>
      </c>
      <c r="AB7" s="10" t="n">
        <v>320.602</v>
      </c>
      <c r="AC7" s="10" t="n">
        <v>299.419</v>
      </c>
      <c r="AD7" s="10" t="n">
        <v>300.951</v>
      </c>
      <c r="AE7" s="10" t="n">
        <v>332.887</v>
      </c>
      <c r="AF7" s="10" t="n">
        <v>338.514</v>
      </c>
      <c r="AG7" s="10" t="n">
        <v>350.566</v>
      </c>
      <c r="AH7" s="10" t="n">
        <v>355.536</v>
      </c>
      <c r="AI7" s="10" t="n">
        <v>405.655</v>
      </c>
      <c r="AJ7" s="10" t="n">
        <v>433.04</v>
      </c>
      <c r="AK7" s="10" t="n">
        <v>422.736</v>
      </c>
      <c r="AL7" s="10" t="n">
        <v>412.495</v>
      </c>
      <c r="AM7" s="10" t="n">
        <v>426.962</v>
      </c>
      <c r="AN7" s="10" t="n">
        <v>429.885</v>
      </c>
      <c r="AO7" s="10" t="n">
        <v>452.595</v>
      </c>
      <c r="AP7" s="10" t="n">
        <v>475.412</v>
      </c>
      <c r="AQ7" s="106" t="n"/>
      <c r="AR7" s="106" t="n"/>
      <c r="AS7" s="106" t="n"/>
      <c r="AT7" s="106" t="n"/>
      <c r="AU7" s="106" t="n"/>
      <c r="AV7" s="106" t="n"/>
      <c r="AW7" s="106" t="n"/>
    </row>
    <row r="8">
      <c r="B8" s="115" t="inlineStr">
        <is>
          <t>Distribution &amp; Services</t>
        </is>
      </c>
      <c r="C8" s="7" t="n"/>
      <c r="D8" s="7" t="n"/>
      <c r="E8" s="7" t="n"/>
      <c r="F8" s="7" t="n"/>
      <c r="G8" s="58">
        <f>OFFSET(R8,0,MATCH($G$2,$R$3:$AW$3,0)-1)*4</f>
        <v/>
      </c>
      <c r="H8" s="46">
        <f>SUM(OFFSET(R8,0,MATCH($G$2,$R$3:$AW$3,0)-4),OFFSET(R8,0,MATCH($G$2,$R$3:$AW$3,0)-3),OFFSET(R8,0,MATCH($G$2,$R$3:$AW$3,0)-2),OFFSET(R8,0,MATCH($G$2,$R$3:$AW$3,0)-1))</f>
        <v/>
      </c>
      <c r="I8" s="7" t="n"/>
      <c r="J8" s="11">
        <f>SUM(R8:U8)</f>
        <v/>
      </c>
      <c r="K8" s="11">
        <f>SUM(V8:Y8)</f>
        <v/>
      </c>
      <c r="L8" s="11">
        <f>SUM(Z8:AC8)</f>
        <v/>
      </c>
      <c r="M8" s="11">
        <f>SUM(AD8:AG8)</f>
        <v/>
      </c>
      <c r="N8" s="11">
        <f>SUM(AH8:AK8)</f>
        <v/>
      </c>
      <c r="O8" s="11">
        <f>SUM(AL8:AO8)</f>
        <v/>
      </c>
      <c r="P8" s="107" t="n"/>
      <c r="Q8" s="7" t="n"/>
      <c r="R8" s="12" t="n">
        <v>401.285</v>
      </c>
      <c r="S8" s="12" t="n">
        <v>424.508</v>
      </c>
      <c r="T8" s="12" t="n">
        <v>322.805</v>
      </c>
      <c r="U8" s="12" t="n">
        <v>338.956</v>
      </c>
      <c r="V8" s="12" t="n">
        <v>376.5</v>
      </c>
      <c r="W8" s="12" t="n">
        <v>366.756</v>
      </c>
      <c r="X8" s="12" t="n">
        <v>254.144</v>
      </c>
      <c r="Y8" s="12" t="n">
        <v>253.917</v>
      </c>
      <c r="Z8" s="12" t="n">
        <v>240.669</v>
      </c>
      <c r="AA8" s="12" t="n">
        <v>160.172</v>
      </c>
      <c r="AB8" s="12" t="n">
        <v>175.965</v>
      </c>
      <c r="AC8" s="12" t="n">
        <v>190.337</v>
      </c>
      <c r="AD8" s="12" t="n">
        <v>195.899</v>
      </c>
      <c r="AE8" s="12" t="n">
        <v>226.737</v>
      </c>
      <c r="AF8" s="12" t="n">
        <v>260.406</v>
      </c>
      <c r="AG8" s="12" t="n">
        <v>240.7</v>
      </c>
      <c r="AH8" s="12" t="n">
        <v>255.246</v>
      </c>
      <c r="AI8" s="12" t="n">
        <v>292.309</v>
      </c>
      <c r="AJ8" s="12" t="n">
        <v>312.803</v>
      </c>
      <c r="AK8" s="12" t="n">
        <v>307.429</v>
      </c>
      <c r="AL8" s="12" t="n">
        <v>337.949</v>
      </c>
      <c r="AM8" s="12" t="n">
        <v>350.286</v>
      </c>
      <c r="AN8" s="12" t="n">
        <v>334.887</v>
      </c>
      <c r="AO8" s="12" t="n">
        <v>346.581</v>
      </c>
      <c r="AP8" s="12" t="n">
        <v>332.61</v>
      </c>
      <c r="AQ8" s="107" t="n"/>
      <c r="AR8" s="107" t="n"/>
      <c r="AS8" s="107" t="n"/>
      <c r="AT8" s="107" t="n"/>
      <c r="AU8" s="107" t="n"/>
      <c r="AV8" s="107" t="n"/>
      <c r="AW8" s="107" t="n"/>
    </row>
    <row r="9">
      <c r="B9" s="117" t="inlineStr">
        <is>
          <t>Total Revenues</t>
        </is>
      </c>
      <c r="C9" s="1" t="n"/>
      <c r="D9" s="1" t="n"/>
      <c r="E9" s="1" t="n"/>
      <c r="F9" s="1" t="n"/>
      <c r="G9" s="59">
        <f>SUM(G7:G8)</f>
        <v/>
      </c>
      <c r="H9" s="32">
        <f>SUM(H7:H8)</f>
        <v/>
      </c>
      <c r="I9" s="1" t="n"/>
      <c r="J9" s="13">
        <f>SUM(J7:J8)</f>
        <v/>
      </c>
      <c r="K9" s="13">
        <f>SUM(K7:K8)</f>
        <v/>
      </c>
      <c r="L9" s="13">
        <f>SUM(L7:L8)</f>
        <v/>
      </c>
      <c r="M9" s="13">
        <f>SUM(M7:M8)</f>
        <v/>
      </c>
      <c r="N9" s="13">
        <f>SUM(N7:N8)</f>
        <v/>
      </c>
      <c r="O9" s="13">
        <f>SUM(O7:O8)</f>
        <v/>
      </c>
      <c r="R9" s="13">
        <f>SUM(R7:R8)</f>
        <v/>
      </c>
      <c r="S9" s="13">
        <f>SUM(S7:S8)</f>
        <v/>
      </c>
      <c r="T9" s="13">
        <f>SUM(T7:T8)</f>
        <v/>
      </c>
      <c r="U9" s="13">
        <f>SUM(U7:U8)</f>
        <v/>
      </c>
      <c r="V9" s="13">
        <f>SUM(V7:V8)</f>
        <v/>
      </c>
      <c r="W9" s="13">
        <f>SUM(W7:W8)</f>
        <v/>
      </c>
      <c r="X9" s="13">
        <f>SUM(X7:X8)</f>
        <v/>
      </c>
      <c r="Y9" s="13">
        <f>SUM(Y7:Y8)</f>
        <v/>
      </c>
      <c r="Z9" s="13">
        <f>SUM(Z7:Z8)</f>
        <v/>
      </c>
      <c r="AA9" s="13">
        <f>SUM(AA7:AA8)</f>
        <v/>
      </c>
      <c r="AB9" s="13">
        <f>SUM(AB7:AB8)</f>
        <v/>
      </c>
      <c r="AC9" s="13">
        <f>SUM(AC7:AC8)</f>
        <v/>
      </c>
      <c r="AD9" s="13">
        <f>SUM(AD7:AD8)</f>
        <v/>
      </c>
      <c r="AE9" s="13">
        <f>SUM(AE7:AE8)</f>
        <v/>
      </c>
      <c r="AF9" s="13">
        <f>SUM(AF7:AF8)</f>
        <v/>
      </c>
      <c r="AG9" s="13">
        <f>SUM(AG7:AG8)</f>
        <v/>
      </c>
      <c r="AH9" s="13">
        <f>SUM(AH7:AH8)</f>
        <v/>
      </c>
      <c r="AI9" s="13">
        <f>SUM(AI7:AI8)</f>
        <v/>
      </c>
      <c r="AJ9" s="13">
        <f>SUM(AJ7:AJ8)</f>
        <v/>
      </c>
      <c r="AK9" s="13">
        <f>SUM(AK7:AK8)</f>
        <v/>
      </c>
      <c r="AL9" s="13">
        <f>SUM(AL7:AL8)</f>
        <v/>
      </c>
      <c r="AM9" s="13">
        <f>SUM(AM7:AM8)</f>
        <v/>
      </c>
      <c r="AN9" s="13">
        <f>SUM(AN7:AN8)</f>
        <v/>
      </c>
      <c r="AO9" s="13">
        <f>SUM(AO7:AO8)</f>
        <v/>
      </c>
      <c r="AP9" s="13">
        <f>SUM(AP7:AP8)</f>
        <v/>
      </c>
    </row>
    <row r="10">
      <c r="B10" s="114" t="n"/>
      <c r="C10" s="3" t="inlineStr">
        <is>
          <t>Y/Y Growth %</t>
        </is>
      </c>
      <c r="G10" s="168">
        <f>G9/G7</f>
        <v/>
      </c>
      <c r="H10" s="169">
        <f>H9/H7</f>
        <v/>
      </c>
      <c r="J10" s="170" t="n"/>
      <c r="K10" s="170">
        <f>K9/J9-1</f>
        <v/>
      </c>
      <c r="L10" s="170">
        <f>L9/K9-1</f>
        <v/>
      </c>
      <c r="M10" s="170">
        <f>M9/L9-1</f>
        <v/>
      </c>
      <c r="N10" s="170">
        <f>N9/M9-1</f>
        <v/>
      </c>
      <c r="O10" s="170">
        <f>O9/N9-1</f>
        <v/>
      </c>
      <c r="P10" s="106" t="n"/>
      <c r="R10" s="170" t="n"/>
      <c r="S10" s="170" t="n"/>
      <c r="T10" s="170" t="n"/>
      <c r="U10" s="170" t="n"/>
      <c r="V10" s="170">
        <f>V9/R9-1</f>
        <v/>
      </c>
      <c r="W10" s="170">
        <f>W9/S9-1</f>
        <v/>
      </c>
      <c r="X10" s="170">
        <f>X9/T9-1</f>
        <v/>
      </c>
      <c r="Y10" s="170">
        <f>Y9/U9-1</f>
        <v/>
      </c>
      <c r="Z10" s="170">
        <f>Z9/V9-1</f>
        <v/>
      </c>
      <c r="AA10" s="170">
        <f>AA9/W9-1</f>
        <v/>
      </c>
      <c r="AB10" s="170">
        <f>AB9/X9-1</f>
        <v/>
      </c>
      <c r="AC10" s="170">
        <f>AC9/Y9-1</f>
        <v/>
      </c>
      <c r="AD10" s="170">
        <f>AD9/Z9-1</f>
        <v/>
      </c>
      <c r="AE10" s="170">
        <f>AE9/AA9-1</f>
        <v/>
      </c>
      <c r="AF10" s="170">
        <f>AF9/AB9-1</f>
        <v/>
      </c>
      <c r="AG10" s="170">
        <f>AG9/AC9-1</f>
        <v/>
      </c>
      <c r="AH10" s="170">
        <f>AH9/AD9-1</f>
        <v/>
      </c>
      <c r="AI10" s="170">
        <f>AI9/AE9-1</f>
        <v/>
      </c>
      <c r="AJ10" s="170">
        <f>AJ9/AF9-1</f>
        <v/>
      </c>
      <c r="AK10" s="170">
        <f>AK9/AG9-1</f>
        <v/>
      </c>
      <c r="AL10" s="170">
        <f>AL9/AH9-1</f>
        <v/>
      </c>
      <c r="AM10" s="170">
        <f>AM9/AI9-1</f>
        <v/>
      </c>
      <c r="AN10" s="170">
        <f>AN9/AJ9-1</f>
        <v/>
      </c>
      <c r="AO10" s="170">
        <f>AO9/AK9-1</f>
        <v/>
      </c>
      <c r="AP10" s="170">
        <f>AP9/AL9-1</f>
        <v/>
      </c>
      <c r="AQ10" s="106" t="n"/>
      <c r="AR10" s="106" t="n"/>
      <c r="AS10" s="106" t="n"/>
      <c r="AT10" s="106" t="n"/>
      <c r="AU10" s="106" t="n"/>
      <c r="AV10" s="106" t="n"/>
      <c r="AW10" s="106" t="n"/>
    </row>
    <row r="11">
      <c r="B11" s="114" t="n"/>
      <c r="C11" s="3" t="inlineStr">
        <is>
          <t>Sequential Growth %</t>
        </is>
      </c>
      <c r="G11" s="108" t="n"/>
      <c r="H11" s="30" t="n"/>
      <c r="J11" s="170" t="n"/>
      <c r="K11" s="170" t="n"/>
      <c r="L11" s="170" t="n"/>
      <c r="M11" s="170" t="n"/>
      <c r="N11" s="170" t="n"/>
      <c r="O11" s="170" t="n"/>
      <c r="P11" s="106" t="n"/>
      <c r="R11" s="170" t="n"/>
      <c r="S11" s="170">
        <f>S9/R9-1</f>
        <v/>
      </c>
      <c r="T11" s="170">
        <f>T9/S9-1</f>
        <v/>
      </c>
      <c r="U11" s="170">
        <f>U9/T9-1</f>
        <v/>
      </c>
      <c r="V11" s="170">
        <f>V9/U9-1</f>
        <v/>
      </c>
      <c r="W11" s="170">
        <f>W9/V9-1</f>
        <v/>
      </c>
      <c r="X11" s="170">
        <f>X9/W9-1</f>
        <v/>
      </c>
      <c r="Y11" s="170">
        <f>Y9/X9-1</f>
        <v/>
      </c>
      <c r="Z11" s="170">
        <f>Z9/Y9-1</f>
        <v/>
      </c>
      <c r="AA11" s="170">
        <f>AA9/Z9-1</f>
        <v/>
      </c>
      <c r="AB11" s="170">
        <f>AB9/AA9-1</f>
        <v/>
      </c>
      <c r="AC11" s="170">
        <f>AC9/AB9-1</f>
        <v/>
      </c>
      <c r="AD11" s="170">
        <f>AD9/AC9-1</f>
        <v/>
      </c>
      <c r="AE11" s="170">
        <f>AE9/AD9-1</f>
        <v/>
      </c>
      <c r="AF11" s="170">
        <f>AF9/AE9-1</f>
        <v/>
      </c>
      <c r="AG11" s="170">
        <f>AG9/AF9-1</f>
        <v/>
      </c>
      <c r="AH11" s="170">
        <f>AH9/AG9-1</f>
        <v/>
      </c>
      <c r="AI11" s="170">
        <f>AI9/AH9-1</f>
        <v/>
      </c>
      <c r="AJ11" s="170">
        <f>AJ9/AI9-1</f>
        <v/>
      </c>
      <c r="AK11" s="170">
        <f>AK9/AJ9-1</f>
        <v/>
      </c>
      <c r="AL11" s="170">
        <f>AL9/AK9-1</f>
        <v/>
      </c>
      <c r="AM11" s="170">
        <f>AM9/AL9-1</f>
        <v/>
      </c>
      <c r="AN11" s="170">
        <f>AN9/AM9-1</f>
        <v/>
      </c>
      <c r="AO11" s="170">
        <f>AO9/AN9-1</f>
        <v/>
      </c>
      <c r="AP11" s="170">
        <f>AP9/AO9-1</f>
        <v/>
      </c>
      <c r="AQ11" s="106" t="n"/>
      <c r="AR11" s="106" t="n"/>
      <c r="AS11" s="106" t="n"/>
      <c r="AT11" s="106" t="n"/>
      <c r="AU11" s="106" t="n"/>
      <c r="AV11" s="106" t="n"/>
      <c r="AW11" s="106" t="n"/>
    </row>
    <row r="12">
      <c r="B12" s="114" t="n"/>
      <c r="C12" s="3" t="n"/>
      <c r="G12" s="108" t="n"/>
      <c r="H12" s="30" t="n"/>
      <c r="N12" s="116" t="n"/>
      <c r="O12" s="116" t="n"/>
      <c r="P12" s="106" t="n"/>
      <c r="AQ12" s="106" t="n"/>
      <c r="AR12" s="106" t="n"/>
      <c r="AS12" s="106" t="n"/>
      <c r="AT12" s="106" t="n"/>
      <c r="AU12" s="106" t="n"/>
      <c r="AV12" s="106" t="n"/>
      <c r="AW12" s="106" t="n"/>
    </row>
    <row r="13">
      <c r="B13" s="115" t="inlineStr">
        <is>
          <t>Cash COGS &amp; OpEX</t>
        </is>
      </c>
      <c r="C13" s="7" t="n"/>
      <c r="D13" s="7" t="n"/>
      <c r="E13" s="7" t="n"/>
      <c r="F13" s="7" t="n"/>
      <c r="G13" s="58">
        <f>OFFSET(R13,0,MATCH($G$2,$R$3:$AW$3,0)-1)*4</f>
        <v/>
      </c>
      <c r="H13" s="46">
        <f>SUM(OFFSET(R13,0,MATCH($G$2,$R$3:$AW$3,0)-4),OFFSET(R13,0,MATCH($G$2,$R$3:$AW$3,0)-3),OFFSET(R13,0,MATCH($G$2,$R$3:$AW$3,0)-2),OFFSET(R13,0,MATCH($G$2,$R$3:$AW$3,0)-1))</f>
        <v/>
      </c>
      <c r="I13" s="7" t="n"/>
      <c r="J13" s="11">
        <f>SUM(R13:U13)</f>
        <v/>
      </c>
      <c r="K13" s="11">
        <f>SUM(V13:Y13)</f>
        <v/>
      </c>
      <c r="L13" s="11">
        <f>SUM(Z13:AC13)</f>
        <v/>
      </c>
      <c r="M13" s="11">
        <f>SUM(AD13:AG13)</f>
        <v/>
      </c>
      <c r="N13" s="11">
        <f>SUM(AH13:AK13)</f>
        <v/>
      </c>
      <c r="O13" s="11">
        <f>SUM(AL13:AO13)</f>
        <v/>
      </c>
      <c r="P13" s="109" t="n"/>
      <c r="Q13" s="110" t="n"/>
      <c r="R13" s="12" t="n">
        <v>-553.317</v>
      </c>
      <c r="S13" s="12" t="n">
        <v>-588.6279999999999</v>
      </c>
      <c r="T13" s="12" t="n">
        <v>-498.421</v>
      </c>
      <c r="U13" s="12" t="n">
        <v>-520.5799999999999</v>
      </c>
      <c r="V13" s="12" t="n">
        <v>-536.655</v>
      </c>
      <c r="W13" s="12" t="n">
        <v>-563.495</v>
      </c>
      <c r="X13" s="12" t="n">
        <v>-458.514</v>
      </c>
      <c r="Y13" s="12" t="n">
        <v>-471.3819999999999</v>
      </c>
      <c r="Z13" s="12" t="n">
        <v>-453.568</v>
      </c>
      <c r="AA13" s="12" t="n">
        <v>-373.539</v>
      </c>
      <c r="AB13" s="12" t="n">
        <v>-340.764</v>
      </c>
      <c r="AC13" s="12" t="n">
        <v>-342.947</v>
      </c>
      <c r="AD13" s="12" t="n">
        <v>-363.04</v>
      </c>
      <c r="AE13" s="12" t="n">
        <v>-409.479</v>
      </c>
      <c r="AF13" s="12" t="n">
        <v>-446.519</v>
      </c>
      <c r="AG13" s="12" t="n">
        <v>-433.923</v>
      </c>
      <c r="AH13" s="12" t="n">
        <v>-450.618</v>
      </c>
      <c r="AI13" s="12" t="n">
        <v>-523.862</v>
      </c>
      <c r="AJ13" s="12" t="n">
        <v>-552.3920000000001</v>
      </c>
      <c r="AK13" s="12" t="n">
        <v>-534.069</v>
      </c>
      <c r="AL13" s="12" t="n">
        <v>-542.08</v>
      </c>
      <c r="AM13" s="12" t="n">
        <v>-546.069</v>
      </c>
      <c r="AN13" s="12" t="n">
        <v>-530.5410000000001</v>
      </c>
      <c r="AO13" s="12" t="n">
        <v>-561.732</v>
      </c>
      <c r="AP13" s="12" t="n">
        <v>-550.681</v>
      </c>
      <c r="AQ13" s="109" t="n"/>
      <c r="AR13" s="109" t="n"/>
      <c r="AS13" s="109" t="n"/>
      <c r="AT13" s="109" t="n"/>
      <c r="AU13" s="109" t="n"/>
      <c r="AV13" s="109" t="n"/>
      <c r="AW13" s="109" t="n"/>
    </row>
    <row r="14">
      <c r="B14" s="1" t="inlineStr">
        <is>
          <t>Cash Gross Profit</t>
        </is>
      </c>
      <c r="G14" s="59">
        <f>G9+SUM(G13:G13)</f>
        <v/>
      </c>
      <c r="H14" s="32">
        <f>H9+SUM(H13:H13)</f>
        <v/>
      </c>
      <c r="J14" s="13">
        <f>J9+SUM(J13:J13)</f>
        <v/>
      </c>
      <c r="K14" s="13">
        <f>K9+SUM(K13:K13)</f>
        <v/>
      </c>
      <c r="L14" s="13">
        <f>L9+SUM(L13:L13)</f>
        <v/>
      </c>
      <c r="M14" s="13">
        <f>M9+SUM(M13:M13)</f>
        <v/>
      </c>
      <c r="N14" s="13">
        <f>N9+SUM(N13:N13)</f>
        <v/>
      </c>
      <c r="O14" s="13">
        <f>O9+SUM(O13:O13)</f>
        <v/>
      </c>
      <c r="P14" s="106" t="n"/>
      <c r="R14" s="13">
        <f>R9+SUM(R13:R13)</f>
        <v/>
      </c>
      <c r="S14" s="13">
        <f>S9+SUM(S13:S13)</f>
        <v/>
      </c>
      <c r="T14" s="13">
        <f>T9+SUM(T13:T13)</f>
        <v/>
      </c>
      <c r="U14" s="13">
        <f>U9+SUM(U13:U13)</f>
        <v/>
      </c>
      <c r="V14" s="13">
        <f>V9+SUM(V13:V13)</f>
        <v/>
      </c>
      <c r="W14" s="13">
        <f>W9+SUM(W13:W13)</f>
        <v/>
      </c>
      <c r="X14" s="13">
        <f>X9+SUM(X13:X13)</f>
        <v/>
      </c>
      <c r="Y14" s="13">
        <f>Y9+SUM(Y13:Y13)</f>
        <v/>
      </c>
      <c r="Z14" s="13">
        <f>Z9+SUM(Z13:Z13)</f>
        <v/>
      </c>
      <c r="AA14" s="13">
        <f>AA9+SUM(AA13:AA13)</f>
        <v/>
      </c>
      <c r="AB14" s="13">
        <f>AB9+SUM(AB13:AB13)</f>
        <v/>
      </c>
      <c r="AC14" s="13">
        <f>AC9+SUM(AC13:AC13)</f>
        <v/>
      </c>
      <c r="AD14" s="13">
        <f>AD9+SUM(AD13:AD13)</f>
        <v/>
      </c>
      <c r="AE14" s="13">
        <f>AE9+SUM(AE13:AE13)</f>
        <v/>
      </c>
      <c r="AF14" s="13">
        <f>AF9+SUM(AF13:AF13)</f>
        <v/>
      </c>
      <c r="AG14" s="13">
        <f>AG9+SUM(AG13:AG13)</f>
        <v/>
      </c>
      <c r="AH14" s="13">
        <f>AH9+SUM(AH13:AH13)</f>
        <v/>
      </c>
      <c r="AI14" s="13">
        <f>AI9+SUM(AI13:AI13)</f>
        <v/>
      </c>
      <c r="AJ14" s="13">
        <f>AJ9+SUM(AJ13:AJ13)</f>
        <v/>
      </c>
      <c r="AK14" s="13">
        <f>AK9+SUM(AK13:AK13)</f>
        <v/>
      </c>
      <c r="AL14" s="13">
        <f>AL9+SUM(AL13:AL13)</f>
        <v/>
      </c>
      <c r="AM14" s="13">
        <f>AM9+SUM(AM13:AM13)</f>
        <v/>
      </c>
      <c r="AN14" s="13">
        <f>AN9+SUM(AN13:AN13)</f>
        <v/>
      </c>
      <c r="AO14" s="13">
        <f>AO9+SUM(AO13:AO13)</f>
        <v/>
      </c>
      <c r="AP14" s="13">
        <f>AP9+SUM(AP13:AP13)</f>
        <v/>
      </c>
      <c r="AQ14" s="106" t="n"/>
      <c r="AR14" s="106" t="n"/>
      <c r="AS14" s="106" t="n"/>
      <c r="AT14" s="106" t="n"/>
      <c r="AU14" s="106" t="n"/>
      <c r="AV14" s="106" t="n"/>
      <c r="AW14" s="106" t="n"/>
    </row>
    <row r="15">
      <c r="C15" s="3" t="inlineStr">
        <is>
          <t>Gross Margin %</t>
        </is>
      </c>
      <c r="G15" s="168">
        <f>G14/G9</f>
        <v/>
      </c>
      <c r="H15" s="169">
        <f>H14/H9</f>
        <v/>
      </c>
      <c r="J15" s="170">
        <f>J14/J9</f>
        <v/>
      </c>
      <c r="K15" s="170">
        <f>K14/K9</f>
        <v/>
      </c>
      <c r="L15" s="170">
        <f>L14/L9</f>
        <v/>
      </c>
      <c r="M15" s="170">
        <f>M14/M9</f>
        <v/>
      </c>
      <c r="N15" s="170">
        <f>N14/N9</f>
        <v/>
      </c>
      <c r="O15" s="170">
        <f>O14/O9</f>
        <v/>
      </c>
      <c r="P15" s="106" t="n"/>
      <c r="R15" s="170">
        <f>R14/R9</f>
        <v/>
      </c>
      <c r="S15" s="170">
        <f>S14/S9</f>
        <v/>
      </c>
      <c r="T15" s="170">
        <f>T14/T9</f>
        <v/>
      </c>
      <c r="U15" s="170">
        <f>U14/U9</f>
        <v/>
      </c>
      <c r="V15" s="170">
        <f>V14/V9</f>
        <v/>
      </c>
      <c r="W15" s="170">
        <f>W14/W9</f>
        <v/>
      </c>
      <c r="X15" s="170">
        <f>X14/X9</f>
        <v/>
      </c>
      <c r="Y15" s="170">
        <f>Y14/Y9</f>
        <v/>
      </c>
      <c r="Z15" s="170">
        <f>Z14/Z9</f>
        <v/>
      </c>
      <c r="AA15" s="170">
        <f>AA14/AA9</f>
        <v/>
      </c>
      <c r="AB15" s="170">
        <f>AB14/AB9</f>
        <v/>
      </c>
      <c r="AC15" s="170">
        <f>AC14/AC9</f>
        <v/>
      </c>
      <c r="AD15" s="170">
        <f>AD14/AD9</f>
        <v/>
      </c>
      <c r="AE15" s="170">
        <f>AE14/AE9</f>
        <v/>
      </c>
      <c r="AF15" s="170">
        <f>AF14/AF9</f>
        <v/>
      </c>
      <c r="AG15" s="170">
        <f>AG14/AG9</f>
        <v/>
      </c>
      <c r="AH15" s="170">
        <f>AH14/AH9</f>
        <v/>
      </c>
      <c r="AI15" s="170">
        <f>AI14/AI9</f>
        <v/>
      </c>
      <c r="AJ15" s="170">
        <f>AJ14/AJ9</f>
        <v/>
      </c>
      <c r="AK15" s="170">
        <f>AK14/AK9</f>
        <v/>
      </c>
      <c r="AL15" s="170">
        <f>AL14/AL9</f>
        <v/>
      </c>
      <c r="AM15" s="170">
        <f>AM14/AM9</f>
        <v/>
      </c>
      <c r="AN15" s="170">
        <f>AN14/AN9</f>
        <v/>
      </c>
      <c r="AO15" s="170">
        <f>AO14/AO9</f>
        <v/>
      </c>
      <c r="AP15" s="170">
        <f>AP14/AP9</f>
        <v/>
      </c>
      <c r="AQ15" s="106" t="n"/>
      <c r="AR15" s="106" t="n"/>
      <c r="AS15" s="106" t="n"/>
      <c r="AT15" s="106" t="n"/>
      <c r="AU15" s="106" t="n"/>
      <c r="AV15" s="106" t="n"/>
      <c r="AW15" s="106" t="n"/>
    </row>
    <row r="16">
      <c r="C16" s="3" t="n"/>
      <c r="G16" s="108" t="n"/>
      <c r="H16" s="30" t="n"/>
      <c r="J16" s="170" t="n"/>
      <c r="K16" s="170" t="n"/>
      <c r="L16" s="170" t="n"/>
      <c r="M16" s="170" t="n"/>
      <c r="N16" s="170" t="n"/>
      <c r="O16" s="170" t="n"/>
      <c r="P16" s="106" t="n"/>
      <c r="R16" s="170" t="n"/>
      <c r="S16" s="170" t="n"/>
      <c r="T16" s="170" t="n"/>
      <c r="U16" s="170" t="n"/>
      <c r="V16" s="170" t="n"/>
      <c r="W16" s="170" t="n"/>
      <c r="X16" s="170" t="n"/>
      <c r="Y16" s="170" t="n"/>
      <c r="Z16" s="170" t="n"/>
      <c r="AA16" s="170" t="n"/>
      <c r="AB16" s="170" t="n"/>
      <c r="AC16" s="170" t="n"/>
      <c r="AD16" s="170" t="n"/>
      <c r="AE16" s="170" t="n"/>
      <c r="AF16" s="170" t="n"/>
      <c r="AG16" s="170" t="n"/>
      <c r="AH16" s="170" t="n"/>
      <c r="AI16" s="170" t="n"/>
      <c r="AJ16" s="170" t="n"/>
      <c r="AK16" s="170" t="n"/>
      <c r="AL16" s="170" t="n"/>
      <c r="AM16" s="170" t="n"/>
      <c r="AN16" s="170" t="n"/>
      <c r="AO16" s="170" t="n"/>
      <c r="AP16" s="170" t="n"/>
      <c r="AQ16" s="106" t="n"/>
      <c r="AR16" s="106" t="n"/>
      <c r="AS16" s="106" t="n"/>
      <c r="AT16" s="106" t="n"/>
      <c r="AU16" s="106" t="n"/>
      <c r="AV16" s="106" t="n"/>
      <c r="AW16" s="106" t="n"/>
    </row>
    <row r="17">
      <c r="B17" s="114" t="inlineStr">
        <is>
          <t>SG&amp;A</t>
        </is>
      </c>
      <c r="G17" s="57">
        <f>OFFSET(R17,0,MATCH($G$2,$R$3:$AW$3,0)-1)*4</f>
        <v/>
      </c>
      <c r="H17" s="33">
        <f>SUM(OFFSET(R17,0,MATCH($G$2,$R$3:$AW$3,0)-4),OFFSET(R17,0,MATCH($G$2,$R$3:$AW$3,0)-3),OFFSET(R17,0,MATCH($G$2,$R$3:$AW$3,0)-2),OFFSET(R17,0,MATCH($G$2,$R$3:$AW$3,0)-1))</f>
        <v/>
      </c>
      <c r="J17" s="9">
        <f>SUM(R17:U17)</f>
        <v/>
      </c>
      <c r="K17" s="9">
        <f>SUM(V17:Y17)</f>
        <v/>
      </c>
      <c r="L17" s="9">
        <f>SUM(Z17:AC17)</f>
        <v/>
      </c>
      <c r="M17" s="9">
        <f>SUM(AD17:AG17)</f>
        <v/>
      </c>
      <c r="N17" s="9">
        <f>SUM(AH17:AK17)</f>
        <v/>
      </c>
      <c r="O17" s="9">
        <f>SUM(AL17:AO17)</f>
        <v/>
      </c>
      <c r="P17" s="106" t="n"/>
      <c r="R17" s="10" t="n">
        <v>-76.79600000000001</v>
      </c>
      <c r="S17" s="10" t="n">
        <v>-92.58799999999999</v>
      </c>
      <c r="T17" s="10" t="n">
        <v>-70.032</v>
      </c>
      <c r="U17" s="10" t="n">
        <v>-64.98099999999999</v>
      </c>
      <c r="V17" s="10" t="n">
        <v>-72.79600000000001</v>
      </c>
      <c r="W17" s="10" t="n">
        <v>-69.15000000000001</v>
      </c>
      <c r="X17" s="10" t="n">
        <v>-64.65600000000001</v>
      </c>
      <c r="Y17" s="10" t="n">
        <v>-70.786</v>
      </c>
      <c r="Z17" s="10" t="n">
        <v>-72.08</v>
      </c>
      <c r="AA17" s="10" t="n">
        <v>-65.61199999999999</v>
      </c>
      <c r="AB17" s="10" t="n">
        <v>-61.72</v>
      </c>
      <c r="AC17" s="10" t="n">
        <v>-58.86</v>
      </c>
      <c r="AD17" s="10" t="n">
        <v>-69.629</v>
      </c>
      <c r="AE17" s="10" t="n">
        <v>-62.74</v>
      </c>
      <c r="AF17" s="10" t="n">
        <v>-66.065</v>
      </c>
      <c r="AG17" s="10" t="n">
        <v>-68.477</v>
      </c>
      <c r="AH17" s="10" t="n">
        <v>-75.765</v>
      </c>
      <c r="AI17" s="10" t="n">
        <v>-69.27500000000001</v>
      </c>
      <c r="AJ17" s="10" t="n">
        <v>-75.381</v>
      </c>
      <c r="AK17" s="10" t="n">
        <v>-80.971</v>
      </c>
      <c r="AL17" s="10" t="n">
        <v>-88.849</v>
      </c>
      <c r="AM17" s="10" t="n">
        <v>-82.896</v>
      </c>
      <c r="AN17" s="10" t="n">
        <v>-79.125</v>
      </c>
      <c r="AO17" s="10" t="n">
        <v>-84.343</v>
      </c>
      <c r="AP17" s="10" t="n">
        <v>-90.206</v>
      </c>
      <c r="AQ17" s="106" t="n"/>
      <c r="AR17" s="106" t="n"/>
      <c r="AS17" s="106" t="n"/>
      <c r="AT17" s="106" t="n"/>
      <c r="AU17" s="106" t="n"/>
      <c r="AV17" s="106" t="n"/>
      <c r="AW17" s="106" t="n"/>
    </row>
    <row r="18">
      <c r="B18" s="114" t="inlineStr">
        <is>
          <t>Taxes other than Income</t>
        </is>
      </c>
      <c r="G18" s="57">
        <f>OFFSET(R18,0,MATCH($G$2,$R$3:$AW$3,0)-1)*4</f>
        <v/>
      </c>
      <c r="H18" s="33">
        <f>SUM(OFFSET(R18,0,MATCH($G$2,$R$3:$AW$3,0)-4),OFFSET(R18,0,MATCH($G$2,$R$3:$AW$3,0)-3),OFFSET(R18,0,MATCH($G$2,$R$3:$AW$3,0)-2),OFFSET(R18,0,MATCH($G$2,$R$3:$AW$3,0)-1))</f>
        <v/>
      </c>
      <c r="J18" s="9">
        <f>SUM(R18:U18)</f>
        <v/>
      </c>
      <c r="K18" s="9">
        <f>SUM(V18:Y18)</f>
        <v/>
      </c>
      <c r="L18" s="9">
        <f>SUM(Z18:AC18)</f>
        <v/>
      </c>
      <c r="M18" s="9">
        <f>SUM(AD18:AG18)</f>
        <v/>
      </c>
      <c r="N18" s="9">
        <f>SUM(AH18:AK18)</f>
        <v/>
      </c>
      <c r="O18" s="9">
        <f>SUM(AL18:AO18)</f>
        <v/>
      </c>
      <c r="P18" s="106" t="n"/>
      <c r="R18" s="10" t="n">
        <v>-8.535</v>
      </c>
      <c r="S18" s="10" t="n">
        <v>-10.552</v>
      </c>
      <c r="T18" s="10" t="n">
        <v>-10.523</v>
      </c>
      <c r="U18" s="10" t="n">
        <v>-9.641</v>
      </c>
      <c r="V18" s="10" t="n">
        <v>-9.997999999999999</v>
      </c>
      <c r="W18" s="10" t="n">
        <v>-10.579</v>
      </c>
      <c r="X18" s="10" t="n">
        <v>-10.909</v>
      </c>
      <c r="Y18" s="10" t="n">
        <v>-10.447</v>
      </c>
      <c r="Z18" s="10" t="n">
        <v>-11.406</v>
      </c>
      <c r="AA18" s="10" t="n">
        <v>-13.065</v>
      </c>
      <c r="AB18" s="10" t="n">
        <v>-9.077</v>
      </c>
      <c r="AC18" s="10" t="n">
        <v>-8.452</v>
      </c>
      <c r="AD18" s="10" t="n">
        <v>-8.26</v>
      </c>
      <c r="AE18" s="10" t="n">
        <v>-10.364</v>
      </c>
      <c r="AF18" s="10" t="n">
        <v>-9.917</v>
      </c>
      <c r="AG18" s="10" t="n">
        <v>-7.71</v>
      </c>
      <c r="AH18" s="10" t="n">
        <v>-9.59</v>
      </c>
      <c r="AI18" s="10" t="n">
        <v>-9.621</v>
      </c>
      <c r="AJ18" s="10" t="n">
        <v>-9.121</v>
      </c>
      <c r="AK18" s="10" t="n">
        <v>-6.739</v>
      </c>
      <c r="AL18" s="10" t="n">
        <v>-9.186</v>
      </c>
      <c r="AM18" s="10" t="n">
        <v>-9.757999999999999</v>
      </c>
      <c r="AN18" s="10" t="n">
        <v>-9.666</v>
      </c>
      <c r="AO18" s="10" t="n">
        <v>-6.156</v>
      </c>
      <c r="AP18" s="10" t="n">
        <v>-8.044</v>
      </c>
      <c r="AQ18" s="106" t="n"/>
      <c r="AR18" s="106" t="n"/>
      <c r="AS18" s="106" t="n"/>
      <c r="AT18" s="106" t="n"/>
      <c r="AU18" s="106" t="n"/>
      <c r="AV18" s="106" t="n"/>
      <c r="AW18" s="106" t="n"/>
    </row>
    <row r="19">
      <c r="B19" s="115" t="inlineStr">
        <is>
          <t>D&amp;A</t>
        </is>
      </c>
      <c r="C19" s="7" t="n"/>
      <c r="D19" s="7" t="n"/>
      <c r="E19" s="7" t="n"/>
      <c r="F19" s="7" t="n"/>
      <c r="G19" s="58">
        <f>OFFSET(R19,0,MATCH($G$2,$R$3:$AW$3,0)-1)*4</f>
        <v/>
      </c>
      <c r="H19" s="46">
        <f>SUM(OFFSET(R19,0,MATCH($G$2,$R$3:$AW$3,0)-4),OFFSET(R19,0,MATCH($G$2,$R$3:$AW$3,0)-3),OFFSET(R19,0,MATCH($G$2,$R$3:$AW$3,0)-2),OFFSET(R19,0,MATCH($G$2,$R$3:$AW$3,0)-1))</f>
        <v/>
      </c>
      <c r="I19" s="7" t="n"/>
      <c r="J19" s="11">
        <f>SUM(R19:U19)</f>
        <v/>
      </c>
      <c r="K19" s="11">
        <f>SUM(V19:Y19)</f>
        <v/>
      </c>
      <c r="L19" s="11">
        <f>SUM(Z19:AC19)</f>
        <v/>
      </c>
      <c r="M19" s="11">
        <f>SUM(AD19:AG19)</f>
        <v/>
      </c>
      <c r="N19" s="11">
        <f>SUM(AH19:AK19)</f>
        <v/>
      </c>
      <c r="O19" s="11">
        <f>SUM(AL19:AO19)</f>
        <v/>
      </c>
      <c r="P19" s="107" t="n"/>
      <c r="Q19" s="7" t="n"/>
      <c r="R19" s="12" t="n">
        <v>-54.218</v>
      </c>
      <c r="S19" s="12" t="n">
        <v>-55.492</v>
      </c>
      <c r="T19" s="12" t="n">
        <v>-57.93</v>
      </c>
      <c r="U19" s="12" t="n">
        <v>-57.332</v>
      </c>
      <c r="V19" s="12" t="n">
        <v>-55.223</v>
      </c>
      <c r="W19" s="12" t="n">
        <v>-55.093</v>
      </c>
      <c r="X19" s="12" t="n">
        <v>-54.455</v>
      </c>
      <c r="Y19" s="12" t="n">
        <v>-54.861</v>
      </c>
      <c r="Z19" s="12" t="n">
        <v>-55.789</v>
      </c>
      <c r="AA19" s="12" t="n">
        <v>-54.502</v>
      </c>
      <c r="AB19" s="12" t="n">
        <v>-54.779</v>
      </c>
      <c r="AC19" s="12" t="n">
        <v>-54.854</v>
      </c>
      <c r="AD19" s="12" t="n">
        <v>-54.89</v>
      </c>
      <c r="AE19" s="12" t="n">
        <v>-55.132</v>
      </c>
      <c r="AF19" s="12" t="n">
        <v>-53.462</v>
      </c>
      <c r="AG19" s="12" t="n">
        <v>-50.234</v>
      </c>
      <c r="AH19" s="12" t="n">
        <v>-49.964</v>
      </c>
      <c r="AI19" s="12" t="n">
        <v>-50.115</v>
      </c>
      <c r="AJ19" s="12" t="n">
        <v>-50.419</v>
      </c>
      <c r="AK19" s="12" t="n">
        <v>-50.945</v>
      </c>
      <c r="AL19" s="12" t="n">
        <v>-51.109</v>
      </c>
      <c r="AM19" s="12" t="n">
        <v>-51.697</v>
      </c>
      <c r="AN19" s="12" t="n">
        <v>-53.445</v>
      </c>
      <c r="AO19" s="12" t="n">
        <v>-54.905</v>
      </c>
      <c r="AP19" s="12" t="n">
        <v>-57.642</v>
      </c>
      <c r="AQ19" s="107" t="n"/>
      <c r="AR19" s="107" t="n"/>
      <c r="AS19" s="107" t="n"/>
      <c r="AT19" s="107" t="n"/>
      <c r="AU19" s="107" t="n"/>
      <c r="AV19" s="107" t="n"/>
      <c r="AW19" s="107" t="n"/>
    </row>
    <row r="20">
      <c r="B20" s="117" t="inlineStr">
        <is>
          <t>Core EBIT</t>
        </is>
      </c>
      <c r="G20" s="61">
        <f>G14+SUM(G17:G19)</f>
        <v/>
      </c>
      <c r="H20" s="48">
        <f>H14+SUM(H17:H19)</f>
        <v/>
      </c>
      <c r="J20" s="6">
        <f>J14+SUM(J17:J19)</f>
        <v/>
      </c>
      <c r="K20" s="6">
        <f>K14+SUM(K17:K19)</f>
        <v/>
      </c>
      <c r="L20" s="6">
        <f>L14+SUM(L17:L19)</f>
        <v/>
      </c>
      <c r="M20" s="6">
        <f>M14+SUM(M17:M19)</f>
        <v/>
      </c>
      <c r="N20" s="6">
        <f>N14+SUM(N17:N19)</f>
        <v/>
      </c>
      <c r="O20" s="6">
        <f>O14+SUM(O17:O19)</f>
        <v/>
      </c>
      <c r="P20" s="106" t="n"/>
      <c r="R20" s="6">
        <f>R14+SUM(R17:R19)</f>
        <v/>
      </c>
      <c r="S20" s="6">
        <f>S14+SUM(S17:S19)</f>
        <v/>
      </c>
      <c r="T20" s="6">
        <f>T14+SUM(T17:T19)</f>
        <v/>
      </c>
      <c r="U20" s="6">
        <f>U14+SUM(U17:U19)</f>
        <v/>
      </c>
      <c r="V20" s="6">
        <f>V14+SUM(V17:V19)</f>
        <v/>
      </c>
      <c r="W20" s="6">
        <f>W14+SUM(W17:W19)</f>
        <v/>
      </c>
      <c r="X20" s="6">
        <f>X14+SUM(X17:X19)</f>
        <v/>
      </c>
      <c r="Y20" s="6">
        <f>Y14+SUM(Y17:Y19)</f>
        <v/>
      </c>
      <c r="Z20" s="6">
        <f>Z14+SUM(Z17:Z19)</f>
        <v/>
      </c>
      <c r="AA20" s="6">
        <f>AA14+SUM(AA17:AA19)</f>
        <v/>
      </c>
      <c r="AB20" s="6">
        <f>AB14+SUM(AB17:AB19)</f>
        <v/>
      </c>
      <c r="AC20" s="6">
        <f>AC14+SUM(AC17:AC19)</f>
        <v/>
      </c>
      <c r="AD20" s="6">
        <f>AD14+SUM(AD17:AD19)</f>
        <v/>
      </c>
      <c r="AE20" s="6">
        <f>AE14+SUM(AE17:AE19)</f>
        <v/>
      </c>
      <c r="AF20" s="6">
        <f>AF14+SUM(AF17:AF19)</f>
        <v/>
      </c>
      <c r="AG20" s="6">
        <f>AG14+SUM(AG17:AG19)</f>
        <v/>
      </c>
      <c r="AH20" s="6">
        <f>AH14+SUM(AH17:AH19)</f>
        <v/>
      </c>
      <c r="AI20" s="6">
        <f>AI14+SUM(AI17:AI19)</f>
        <v/>
      </c>
      <c r="AJ20" s="6">
        <f>AJ14+SUM(AJ17:AJ19)</f>
        <v/>
      </c>
      <c r="AK20" s="6">
        <f>AK14+SUM(AK17:AK19)</f>
        <v/>
      </c>
      <c r="AL20" s="6">
        <f>AL14+SUM(AL17:AL19)</f>
        <v/>
      </c>
      <c r="AM20" s="6">
        <f>AM14+SUM(AM17:AM19)</f>
        <v/>
      </c>
      <c r="AN20" s="6">
        <f>AN14+SUM(AN17:AN19)</f>
        <v/>
      </c>
      <c r="AO20" s="6">
        <f>AO14+SUM(AO17:AO19)</f>
        <v/>
      </c>
      <c r="AP20" s="6">
        <f>AP14+SUM(AP17:AP19)</f>
        <v/>
      </c>
      <c r="AQ20" s="106" t="n"/>
      <c r="AR20" s="106" t="n"/>
      <c r="AS20" s="106" t="n"/>
      <c r="AT20" s="106" t="n"/>
      <c r="AU20" s="106" t="n"/>
      <c r="AV20" s="106" t="n"/>
      <c r="AW20" s="106" t="n"/>
    </row>
    <row r="21">
      <c r="B21" s="117" t="n"/>
      <c r="C21" s="3" t="inlineStr">
        <is>
          <t>% Margin</t>
        </is>
      </c>
      <c r="G21" s="168">
        <f>G20/G9</f>
        <v/>
      </c>
      <c r="H21" s="168">
        <f>H20/H9</f>
        <v/>
      </c>
      <c r="J21" s="170">
        <f>J20/J9</f>
        <v/>
      </c>
      <c r="K21" s="170">
        <f>K20/K9</f>
        <v/>
      </c>
      <c r="L21" s="170">
        <f>L20/L9</f>
        <v/>
      </c>
      <c r="M21" s="170">
        <f>M20/M9</f>
        <v/>
      </c>
      <c r="N21" s="170">
        <f>N20/N9</f>
        <v/>
      </c>
      <c r="O21" s="170">
        <f>O20/O9</f>
        <v/>
      </c>
      <c r="P21" s="106" t="n"/>
      <c r="R21" s="170">
        <f>R20/R9</f>
        <v/>
      </c>
      <c r="S21" s="170">
        <f>S20/S9</f>
        <v/>
      </c>
      <c r="T21" s="170">
        <f>T20/T9</f>
        <v/>
      </c>
      <c r="U21" s="170">
        <f>U20/U9</f>
        <v/>
      </c>
      <c r="V21" s="170">
        <f>V20/V9</f>
        <v/>
      </c>
      <c r="W21" s="170">
        <f>W20/W9</f>
        <v/>
      </c>
      <c r="X21" s="170">
        <f>X20/X9</f>
        <v/>
      </c>
      <c r="Y21" s="170">
        <f>Y20/Y9</f>
        <v/>
      </c>
      <c r="Z21" s="170">
        <f>Z20/Z9</f>
        <v/>
      </c>
      <c r="AA21" s="170">
        <f>AA20/AA9</f>
        <v/>
      </c>
      <c r="AB21" s="170">
        <f>AB20/AB9</f>
        <v/>
      </c>
      <c r="AC21" s="170">
        <f>AC20/AC9</f>
        <v/>
      </c>
      <c r="AD21" s="170">
        <f>AD20/AD9</f>
        <v/>
      </c>
      <c r="AE21" s="170">
        <f>AE20/AE9</f>
        <v/>
      </c>
      <c r="AF21" s="170">
        <f>AF20/AF9</f>
        <v/>
      </c>
      <c r="AG21" s="170">
        <f>AG20/AG9</f>
        <v/>
      </c>
      <c r="AH21" s="170">
        <f>AH20/AH9</f>
        <v/>
      </c>
      <c r="AI21" s="170">
        <f>AI20/AI9</f>
        <v/>
      </c>
      <c r="AJ21" s="170">
        <f>AJ20/AJ9</f>
        <v/>
      </c>
      <c r="AK21" s="170">
        <f>AK20/AK9</f>
        <v/>
      </c>
      <c r="AL21" s="170">
        <f>AL20/AL9</f>
        <v/>
      </c>
      <c r="AM21" s="170">
        <f>AM20/AM9</f>
        <v/>
      </c>
      <c r="AN21" s="170">
        <f>AN20/AN9</f>
        <v/>
      </c>
      <c r="AO21" s="170">
        <f>AO20/AO9</f>
        <v/>
      </c>
      <c r="AP21" s="170">
        <f>AP20/AP9</f>
        <v/>
      </c>
      <c r="AQ21" s="106" t="n"/>
      <c r="AR21" s="106" t="n"/>
      <c r="AS21" s="106" t="n"/>
      <c r="AT21" s="106" t="n"/>
      <c r="AU21" s="106" t="n"/>
      <c r="AV21" s="106" t="n"/>
      <c r="AW21" s="106" t="n"/>
    </row>
    <row r="22">
      <c r="B22" s="115" t="inlineStr">
        <is>
          <t>(+) D&amp;A</t>
        </is>
      </c>
      <c r="C22" s="75" t="n"/>
      <c r="D22" s="7" t="n"/>
      <c r="E22" s="7" t="n"/>
      <c r="F22" s="7" t="n"/>
      <c r="G22" s="58">
        <f>OFFSET(R22,0,MATCH($G$2,$R$3:$AW$3,0)-1)*4</f>
        <v/>
      </c>
      <c r="H22" s="46">
        <f>SUM(OFFSET(R22,0,MATCH($G$2,$R$3:$AW$3,0)-4),OFFSET(R22,0,MATCH($G$2,$R$3:$AW$3,0)-3),OFFSET(R22,0,MATCH($G$2,$R$3:$AW$3,0)-2),OFFSET(R22,0,MATCH($G$2,$R$3:$AW$3,0)-1))</f>
        <v/>
      </c>
      <c r="I22" s="7" t="n"/>
      <c r="J22" s="11">
        <f>SUM(R22:U22)</f>
        <v/>
      </c>
      <c r="K22" s="11">
        <f>SUM(V22:Y22)</f>
        <v/>
      </c>
      <c r="L22" s="11">
        <f>SUM(Z22:AC22)</f>
        <v/>
      </c>
      <c r="M22" s="11">
        <f>SUM(AD22:AG22)</f>
        <v/>
      </c>
      <c r="N22" s="11">
        <f>SUM(AH22:AK22)</f>
        <v/>
      </c>
      <c r="O22" s="11">
        <f>SUM(AL22:AO22)</f>
        <v/>
      </c>
      <c r="P22" s="107" t="n"/>
      <c r="Q22" s="7" t="n"/>
      <c r="R22" s="77">
        <f>-R19</f>
        <v/>
      </c>
      <c r="S22" s="77">
        <f>-S19</f>
        <v/>
      </c>
      <c r="T22" s="77">
        <f>-T19</f>
        <v/>
      </c>
      <c r="U22" s="77">
        <f>-U19</f>
        <v/>
      </c>
      <c r="V22" s="77">
        <f>-V19</f>
        <v/>
      </c>
      <c r="W22" s="77">
        <f>-W19</f>
        <v/>
      </c>
      <c r="X22" s="77">
        <f>-X19</f>
        <v/>
      </c>
      <c r="Y22" s="77">
        <f>-Y19</f>
        <v/>
      </c>
      <c r="Z22" s="77">
        <f>-Z19</f>
        <v/>
      </c>
      <c r="AA22" s="77">
        <f>-AA19</f>
        <v/>
      </c>
      <c r="AB22" s="77">
        <f>-AB19</f>
        <v/>
      </c>
      <c r="AC22" s="77">
        <f>-AC19</f>
        <v/>
      </c>
      <c r="AD22" s="77">
        <f>-AD19</f>
        <v/>
      </c>
      <c r="AE22" s="77">
        <f>-AE19</f>
        <v/>
      </c>
      <c r="AF22" s="77">
        <f>-AF19</f>
        <v/>
      </c>
      <c r="AG22" s="77">
        <f>-AG19</f>
        <v/>
      </c>
      <c r="AH22" s="77">
        <f>-AH19</f>
        <v/>
      </c>
      <c r="AI22" s="77">
        <f>-AI19</f>
        <v/>
      </c>
      <c r="AJ22" s="77">
        <f>-AJ19</f>
        <v/>
      </c>
      <c r="AK22" s="77">
        <f>-AK19</f>
        <v/>
      </c>
      <c r="AL22" s="77">
        <f>-AL19</f>
        <v/>
      </c>
      <c r="AM22" s="77">
        <f>-AM19</f>
        <v/>
      </c>
      <c r="AN22" s="77">
        <f>-AN19</f>
        <v/>
      </c>
      <c r="AO22" s="77">
        <f>-AO19</f>
        <v/>
      </c>
      <c r="AP22" s="77">
        <f>-AP19</f>
        <v/>
      </c>
      <c r="AQ22" s="107" t="n"/>
      <c r="AR22" s="107" t="n"/>
      <c r="AS22" s="107" t="n"/>
      <c r="AT22" s="107" t="n"/>
      <c r="AU22" s="107" t="n"/>
      <c r="AV22" s="107" t="n"/>
      <c r="AW22" s="107" t="n"/>
    </row>
    <row r="23">
      <c r="B23" s="117" t="inlineStr">
        <is>
          <t>Core EBITDA</t>
        </is>
      </c>
      <c r="C23" s="3" t="n"/>
      <c r="G23" s="61">
        <f>G20+G22</f>
        <v/>
      </c>
      <c r="H23" s="61">
        <f>H20+H22</f>
        <v/>
      </c>
      <c r="J23" s="6">
        <f>J20+J22</f>
        <v/>
      </c>
      <c r="K23" s="6">
        <f>K20+K22</f>
        <v/>
      </c>
      <c r="L23" s="6">
        <f>L20+L22</f>
        <v/>
      </c>
      <c r="M23" s="6">
        <f>M20+M22</f>
        <v/>
      </c>
      <c r="N23" s="6">
        <f>N20+N22</f>
        <v/>
      </c>
      <c r="O23" s="6">
        <f>O20+O22</f>
        <v/>
      </c>
      <c r="P23" s="106" t="n"/>
      <c r="R23" s="6">
        <f>R20+R22</f>
        <v/>
      </c>
      <c r="S23" s="6">
        <f>S20+S22</f>
        <v/>
      </c>
      <c r="T23" s="6">
        <f>T20+T22</f>
        <v/>
      </c>
      <c r="U23" s="6">
        <f>U20+U22</f>
        <v/>
      </c>
      <c r="V23" s="6">
        <f>V20+V22</f>
        <v/>
      </c>
      <c r="W23" s="6">
        <f>W20+W22</f>
        <v/>
      </c>
      <c r="X23" s="6">
        <f>X20+X22</f>
        <v/>
      </c>
      <c r="Y23" s="6">
        <f>Y20+Y22</f>
        <v/>
      </c>
      <c r="Z23" s="6">
        <f>Z20+Z22</f>
        <v/>
      </c>
      <c r="AA23" s="6">
        <f>AA20+AA22</f>
        <v/>
      </c>
      <c r="AB23" s="6">
        <f>AB20+AB22</f>
        <v/>
      </c>
      <c r="AC23" s="6">
        <f>AC20+AC22</f>
        <v/>
      </c>
      <c r="AD23" s="6">
        <f>AD20+AD22</f>
        <v/>
      </c>
      <c r="AE23" s="6">
        <f>AE20+AE22</f>
        <v/>
      </c>
      <c r="AF23" s="6">
        <f>AF20+AF22</f>
        <v/>
      </c>
      <c r="AG23" s="6">
        <f>AG20+AG22</f>
        <v/>
      </c>
      <c r="AH23" s="6">
        <f>AH20+AH22</f>
        <v/>
      </c>
      <c r="AI23" s="6">
        <f>AI20+AI22</f>
        <v/>
      </c>
      <c r="AJ23" s="6">
        <f>AJ20+AJ22</f>
        <v/>
      </c>
      <c r="AK23" s="6">
        <f>AK20+AK22</f>
        <v/>
      </c>
      <c r="AL23" s="6">
        <f>AL20+AL22</f>
        <v/>
      </c>
      <c r="AM23" s="6">
        <f>AM20+AM22</f>
        <v/>
      </c>
      <c r="AN23" s="6">
        <f>AN20+AN22</f>
        <v/>
      </c>
      <c r="AO23" s="6">
        <f>AO20+AO22</f>
        <v/>
      </c>
      <c r="AP23" s="6">
        <f>AP20+AP22</f>
        <v/>
      </c>
      <c r="AQ23" s="106" t="n"/>
      <c r="AR23" s="106" t="n"/>
      <c r="AS23" s="106" t="n"/>
      <c r="AT23" s="106" t="n"/>
      <c r="AU23" s="106" t="n"/>
      <c r="AV23" s="106" t="n"/>
      <c r="AW23" s="106" t="n"/>
    </row>
    <row r="24">
      <c r="B24" s="117" t="n"/>
      <c r="C24" s="3" t="inlineStr">
        <is>
          <t>% Margin</t>
        </is>
      </c>
      <c r="G24" s="168">
        <f>G23/G9</f>
        <v/>
      </c>
      <c r="H24" s="168">
        <f>H23/H9</f>
        <v/>
      </c>
      <c r="J24" s="170">
        <f>J23/J9</f>
        <v/>
      </c>
      <c r="K24" s="170">
        <f>K23/K9</f>
        <v/>
      </c>
      <c r="L24" s="170">
        <f>L23/L9</f>
        <v/>
      </c>
      <c r="M24" s="170">
        <f>M23/M9</f>
        <v/>
      </c>
      <c r="N24" s="170">
        <f>N23/N9</f>
        <v/>
      </c>
      <c r="O24" s="170">
        <f>O23/O9</f>
        <v/>
      </c>
      <c r="P24" s="106" t="n"/>
      <c r="R24" s="170">
        <f>R23/R9</f>
        <v/>
      </c>
      <c r="S24" s="170">
        <f>S23/S9</f>
        <v/>
      </c>
      <c r="T24" s="170">
        <f>T23/T9</f>
        <v/>
      </c>
      <c r="U24" s="170">
        <f>U23/U9</f>
        <v/>
      </c>
      <c r="V24" s="170">
        <f>V23/V9</f>
        <v/>
      </c>
      <c r="W24" s="170">
        <f>W23/W9</f>
        <v/>
      </c>
      <c r="X24" s="170">
        <f>X23/X9</f>
        <v/>
      </c>
      <c r="Y24" s="170">
        <f>Y23/Y9</f>
        <v/>
      </c>
      <c r="Z24" s="170">
        <f>Z23/Z9</f>
        <v/>
      </c>
      <c r="AA24" s="170">
        <f>AA23/AA9</f>
        <v/>
      </c>
      <c r="AB24" s="170">
        <f>AB23/AB9</f>
        <v/>
      </c>
      <c r="AC24" s="170">
        <f>AC23/AC9</f>
        <v/>
      </c>
      <c r="AD24" s="170">
        <f>AD23/AD9</f>
        <v/>
      </c>
      <c r="AE24" s="170">
        <f>AE23/AE9</f>
        <v/>
      </c>
      <c r="AF24" s="170">
        <f>AF23/AF9</f>
        <v/>
      </c>
      <c r="AG24" s="170">
        <f>AG23/AG9</f>
        <v/>
      </c>
      <c r="AH24" s="170">
        <f>AH23/AH9</f>
        <v/>
      </c>
      <c r="AI24" s="170">
        <f>AI23/AI9</f>
        <v/>
      </c>
      <c r="AJ24" s="170">
        <f>AJ23/AJ9</f>
        <v/>
      </c>
      <c r="AK24" s="170">
        <f>AK23/AK9</f>
        <v/>
      </c>
      <c r="AL24" s="170">
        <f>AL23/AL9</f>
        <v/>
      </c>
      <c r="AM24" s="170">
        <f>AM23/AM9</f>
        <v/>
      </c>
      <c r="AN24" s="170">
        <f>AN23/AN9</f>
        <v/>
      </c>
      <c r="AO24" s="170">
        <f>AO23/AO9</f>
        <v/>
      </c>
      <c r="AP24" s="170">
        <f>AP23/AP9</f>
        <v/>
      </c>
      <c r="AQ24" s="106" t="n"/>
      <c r="AR24" s="106" t="n"/>
      <c r="AS24" s="106" t="n"/>
      <c r="AT24" s="106" t="n"/>
      <c r="AU24" s="106" t="n"/>
      <c r="AV24" s="106" t="n"/>
      <c r="AW24" s="106" t="n"/>
    </row>
    <row r="25">
      <c r="C25" s="3" t="n"/>
      <c r="G25" s="108" t="n"/>
      <c r="H25" s="30" t="n"/>
      <c r="J25" s="170" t="n"/>
      <c r="K25" s="170" t="n"/>
      <c r="L25" s="170" t="n"/>
      <c r="M25" s="170" t="n"/>
      <c r="N25" s="170" t="n"/>
      <c r="O25" s="170" t="n"/>
      <c r="P25" s="106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6" t="n"/>
      <c r="AR25" s="106" t="n"/>
      <c r="AS25" s="106" t="n"/>
      <c r="AT25" s="106" t="n"/>
      <c r="AU25" s="106" t="n"/>
      <c r="AV25" s="106" t="n"/>
      <c r="AW25" s="106" t="n"/>
    </row>
    <row r="26">
      <c r="B26" s="114" t="inlineStr">
        <is>
          <t>Impairments &amp; other charges</t>
        </is>
      </c>
      <c r="G26" s="57">
        <f>OFFSET(R26,0,MATCH($G$2,$R$3:$AW$3,0)-1)*4</f>
        <v/>
      </c>
      <c r="H26" s="33">
        <f>SUM(OFFSET(R26,0,MATCH($G$2,$R$3:$AW$3,0)-4),OFFSET(R26,0,MATCH($G$2,$R$3:$AW$3,0)-3),OFFSET(R26,0,MATCH($G$2,$R$3:$AW$3,0)-2),OFFSET(R26,0,MATCH($G$2,$R$3:$AW$3,0)-1))</f>
        <v/>
      </c>
      <c r="J26" s="9">
        <f>SUM(R26:U26)</f>
        <v/>
      </c>
      <c r="K26" s="9">
        <f>SUM(V26:Y26)</f>
        <v/>
      </c>
      <c r="L26" s="9">
        <f>SUM(Z26:AC26)</f>
        <v/>
      </c>
      <c r="M26" s="9">
        <f>SUM(AD26:AG26)</f>
        <v/>
      </c>
      <c r="N26" s="9">
        <f>SUM(AH26:AK26)</f>
        <v/>
      </c>
      <c r="O26" s="9">
        <f>SUM(AL26:AO26)</f>
        <v/>
      </c>
      <c r="P26" s="106" t="n"/>
      <c r="R26" s="10" t="n">
        <v>0</v>
      </c>
      <c r="S26" s="10" t="n">
        <v>0</v>
      </c>
      <c r="T26" s="10" t="n">
        <v>0</v>
      </c>
      <c r="U26" s="10">
        <f>-82.705-2.702-2.403</f>
        <v/>
      </c>
      <c r="V26" s="10" t="n">
        <v>0</v>
      </c>
      <c r="W26" s="10" t="n">
        <v>0</v>
      </c>
      <c r="X26" s="10" t="n">
        <v>0</v>
      </c>
      <c r="Y26" s="10" t="n">
        <v>-35.525</v>
      </c>
      <c r="Z26" s="10" t="n">
        <v>-561.274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10" t="n">
        <v>-340.713</v>
      </c>
      <c r="AG26" s="10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0" t="n">
        <v>0</v>
      </c>
      <c r="AO26" s="10" t="n">
        <v>0</v>
      </c>
      <c r="AP26" s="10" t="n">
        <v>0</v>
      </c>
      <c r="AQ26" s="106" t="n"/>
      <c r="AR26" s="106" t="n"/>
      <c r="AS26" s="106" t="n"/>
      <c r="AT26" s="106" t="n"/>
      <c r="AU26" s="106" t="n"/>
      <c r="AV26" s="106" t="n"/>
      <c r="AW26" s="106" t="n"/>
    </row>
    <row r="27">
      <c r="B27" s="114" t="inlineStr">
        <is>
          <t>Gains on disposals</t>
        </is>
      </c>
      <c r="G27" s="57">
        <f>OFFSET(R27,0,MATCH($G$2,$R$3:$AW$3,0)-1)*4</f>
        <v/>
      </c>
      <c r="H27" s="33">
        <f>SUM(OFFSET(R27,0,MATCH($G$2,$R$3:$AW$3,0)-4),OFFSET(R27,0,MATCH($G$2,$R$3:$AW$3,0)-3),OFFSET(R27,0,MATCH($G$2,$R$3:$AW$3,0)-2),OFFSET(R27,0,MATCH($G$2,$R$3:$AW$3,0)-1))</f>
        <v/>
      </c>
      <c r="J27" s="9">
        <f>SUM(R27:U27)</f>
        <v/>
      </c>
      <c r="K27" s="9">
        <f>SUM(V27:Y27)</f>
        <v/>
      </c>
      <c r="L27" s="9">
        <f>SUM(Z27:AC27)</f>
        <v/>
      </c>
      <c r="M27" s="9">
        <f>SUM(AD27:AG27)</f>
        <v/>
      </c>
      <c r="N27" s="9">
        <f>SUM(AH27:AK27)</f>
        <v/>
      </c>
      <c r="O27" s="9">
        <f>SUM(AL27:AO27)</f>
        <v/>
      </c>
      <c r="P27" s="106" t="n"/>
      <c r="R27" s="10" t="n">
        <v>1.898</v>
      </c>
      <c r="S27" s="10" t="n">
        <v>0.442</v>
      </c>
      <c r="T27" s="10" t="n">
        <v>0.018</v>
      </c>
      <c r="U27" s="10" t="n">
        <v>-0.39</v>
      </c>
      <c r="V27" s="10" t="n">
        <v>2.157</v>
      </c>
      <c r="W27" s="10" t="n">
        <v>3.118</v>
      </c>
      <c r="X27" s="10" t="n">
        <v>-0.374</v>
      </c>
      <c r="Y27" s="10" t="n">
        <v>3.251</v>
      </c>
      <c r="Z27" s="10" t="n">
        <v>0.492</v>
      </c>
      <c r="AA27" s="10" t="n">
        <v>-0.189</v>
      </c>
      <c r="AB27" s="10" t="n">
        <v>-0.316</v>
      </c>
      <c r="AC27" s="10" t="n">
        <v>0.131</v>
      </c>
      <c r="AD27" s="10" t="n">
        <v>2.133</v>
      </c>
      <c r="AE27" s="10" t="n">
        <v>2.119</v>
      </c>
      <c r="AF27" s="10" t="n">
        <v>0.83</v>
      </c>
      <c r="AG27" s="10" t="n">
        <v>0.679</v>
      </c>
      <c r="AH27" s="10" t="n">
        <v>4.849</v>
      </c>
      <c r="AI27" s="10" t="n">
        <v>2.745</v>
      </c>
      <c r="AJ27" s="10" t="n">
        <v>0.377</v>
      </c>
      <c r="AK27" s="10" t="n">
        <v>0.308</v>
      </c>
      <c r="AL27" s="10" t="n">
        <v>2.23</v>
      </c>
      <c r="AM27" s="10" t="n">
        <v>0.472</v>
      </c>
      <c r="AN27" s="10" t="n">
        <v>1.528</v>
      </c>
      <c r="AO27" s="10" t="n">
        <v>0.779</v>
      </c>
      <c r="AP27" s="10" t="n">
        <v>0.074</v>
      </c>
      <c r="AQ27" s="106" t="n"/>
      <c r="AR27" s="106" t="n"/>
      <c r="AS27" s="106" t="n"/>
      <c r="AT27" s="106" t="n"/>
      <c r="AU27" s="106" t="n"/>
      <c r="AV27" s="106" t="n"/>
      <c r="AW27" s="106" t="n"/>
    </row>
    <row r="28">
      <c r="B28" s="115" t="inlineStr">
        <is>
          <t>Other Income/Expenses Net</t>
        </is>
      </c>
      <c r="C28" s="7" t="n"/>
      <c r="D28" s="7" t="n"/>
      <c r="E28" s="7" t="n"/>
      <c r="F28" s="7" t="n"/>
      <c r="G28" s="58">
        <f>OFFSET(R28,0,MATCH($G$2,$R$3:$AW$3,0)-1)*4</f>
        <v/>
      </c>
      <c r="H28" s="46">
        <f>SUM(OFFSET(R28,0,MATCH($G$2,$R$3:$AW$3,0)-4),OFFSET(R28,0,MATCH($G$2,$R$3:$AW$3,0)-3),OFFSET(R28,0,MATCH($G$2,$R$3:$AW$3,0)-2),OFFSET(R28,0,MATCH($G$2,$R$3:$AW$3,0)-1))</f>
        <v/>
      </c>
      <c r="I28" s="7" t="n"/>
      <c r="J28" s="11">
        <f>SUM(R28:U28)</f>
        <v/>
      </c>
      <c r="K28" s="11">
        <f>SUM(V28:Y28)</f>
        <v/>
      </c>
      <c r="L28" s="11">
        <f>SUM(Z28:AC28)</f>
        <v/>
      </c>
      <c r="M28" s="11">
        <f>SUM(AD28:AG28)</f>
        <v/>
      </c>
      <c r="N28" s="11">
        <f>SUM(AH28:AK28)</f>
        <v/>
      </c>
      <c r="O28" s="11">
        <f>SUM(AL28:AO28)</f>
        <v/>
      </c>
      <c r="P28" s="107" t="n"/>
      <c r="Q28" s="7" t="n"/>
      <c r="R28" s="12" t="n">
        <v>1.591</v>
      </c>
      <c r="S28" s="12" t="n">
        <v>1.541</v>
      </c>
      <c r="T28" s="12" t="n">
        <v>1.454</v>
      </c>
      <c r="U28" s="12" t="n">
        <v>1.14</v>
      </c>
      <c r="V28" s="12" t="n">
        <v>-0.5679999999999999</v>
      </c>
      <c r="W28" s="12" t="n">
        <v>2.381</v>
      </c>
      <c r="X28" s="12" t="n">
        <v>0.864</v>
      </c>
      <c r="Y28" s="12" t="n">
        <v>1.11</v>
      </c>
      <c r="Z28" s="12" t="n">
        <v>2.723</v>
      </c>
      <c r="AA28" s="12" t="n">
        <v>2.29</v>
      </c>
      <c r="AB28" s="12" t="n">
        <v>1.172</v>
      </c>
      <c r="AC28" s="12" t="n">
        <v>1.962</v>
      </c>
      <c r="AD28" s="12" t="n">
        <v>3.791</v>
      </c>
      <c r="AE28" s="12" t="n">
        <v>2.523</v>
      </c>
      <c r="AF28" s="12" t="n">
        <v>1.832</v>
      </c>
      <c r="AG28" s="12" t="n">
        <v>1.855</v>
      </c>
      <c r="AH28" s="12" t="n">
        <v>4.308</v>
      </c>
      <c r="AI28" s="12" t="n">
        <v>3.749</v>
      </c>
      <c r="AJ28" s="12" t="n">
        <v>3.805</v>
      </c>
      <c r="AK28" s="12" t="n">
        <v>4.824</v>
      </c>
      <c r="AL28" s="12" t="n">
        <v>6.443</v>
      </c>
      <c r="AM28" s="12" t="n">
        <v>1.264</v>
      </c>
      <c r="AN28" s="12" t="n">
        <v>1.589</v>
      </c>
      <c r="AO28" s="12" t="n">
        <v>1.745</v>
      </c>
      <c r="AP28" s="12" t="n">
        <v>3.269</v>
      </c>
      <c r="AQ28" s="107" t="n"/>
      <c r="AR28" s="107" t="n"/>
      <c r="AS28" s="107" t="n"/>
      <c r="AT28" s="107" t="n"/>
      <c r="AU28" s="107" t="n"/>
      <c r="AV28" s="107" t="n"/>
      <c r="AW28" s="107" t="n"/>
    </row>
    <row r="29">
      <c r="B29" s="117" t="inlineStr">
        <is>
          <t>Other EBIT Components</t>
        </is>
      </c>
      <c r="G29" s="59">
        <f>SUM(G26:G28)</f>
        <v/>
      </c>
      <c r="H29" s="32">
        <f>SUM(H26:H28)</f>
        <v/>
      </c>
      <c r="J29" s="13">
        <f>SUM(J26:J28)</f>
        <v/>
      </c>
      <c r="K29" s="13">
        <f>SUM(K26:K28)</f>
        <v/>
      </c>
      <c r="L29" s="13">
        <f>SUM(L26:L28)</f>
        <v/>
      </c>
      <c r="M29" s="13">
        <f>SUM(M26:M28)</f>
        <v/>
      </c>
      <c r="N29" s="13">
        <f>SUM(N26:N28)</f>
        <v/>
      </c>
      <c r="O29" s="13">
        <f>SUM(O26:O28)</f>
        <v/>
      </c>
      <c r="P29" s="106" t="n"/>
      <c r="R29" s="13">
        <f>SUM(R26:R28)</f>
        <v/>
      </c>
      <c r="S29" s="13">
        <f>SUM(S26:S28)</f>
        <v/>
      </c>
      <c r="T29" s="13">
        <f>SUM(T26:T28)</f>
        <v/>
      </c>
      <c r="U29" s="13">
        <f>SUM(U26:U28)</f>
        <v/>
      </c>
      <c r="V29" s="13">
        <f>SUM(V26:V28)</f>
        <v/>
      </c>
      <c r="W29" s="13">
        <f>SUM(W26:W28)</f>
        <v/>
      </c>
      <c r="X29" s="13">
        <f>SUM(X26:X28)</f>
        <v/>
      </c>
      <c r="Y29" s="13">
        <f>SUM(Y26:Y28)</f>
        <v/>
      </c>
      <c r="Z29" s="13">
        <f>SUM(Z26:Z28)</f>
        <v/>
      </c>
      <c r="AA29" s="13">
        <f>SUM(AA26:AA28)</f>
        <v/>
      </c>
      <c r="AB29" s="13">
        <f>SUM(AB26:AB28)</f>
        <v/>
      </c>
      <c r="AC29" s="13">
        <f>SUM(AC26:AC28)</f>
        <v/>
      </c>
      <c r="AD29" s="13">
        <f>SUM(AD26:AD28)</f>
        <v/>
      </c>
      <c r="AE29" s="13">
        <f>SUM(AE26:AE28)</f>
        <v/>
      </c>
      <c r="AF29" s="13">
        <f>SUM(AF26:AF28)</f>
        <v/>
      </c>
      <c r="AG29" s="13">
        <f>SUM(AG26:AG28)</f>
        <v/>
      </c>
      <c r="AH29" s="13">
        <f>SUM(AH26:AH28)</f>
        <v/>
      </c>
      <c r="AI29" s="13">
        <f>SUM(AI26:AI28)</f>
        <v/>
      </c>
      <c r="AJ29" s="13">
        <f>SUM(AJ26:AJ28)</f>
        <v/>
      </c>
      <c r="AK29" s="13">
        <f>SUM(AK26:AK28)</f>
        <v/>
      </c>
      <c r="AL29" s="13">
        <f>SUM(AL26:AL28)</f>
        <v/>
      </c>
      <c r="AM29" s="13">
        <f>SUM(AM26:AM28)</f>
        <v/>
      </c>
      <c r="AN29" s="13">
        <f>SUM(AN26:AN28)</f>
        <v/>
      </c>
      <c r="AO29" s="13">
        <f>SUM(AO26:AO28)</f>
        <v/>
      </c>
      <c r="AP29" s="13">
        <f>SUM(AP26:AP28)</f>
        <v/>
      </c>
      <c r="AQ29" s="106" t="n"/>
      <c r="AR29" s="106" t="n"/>
      <c r="AS29" s="106" t="n"/>
      <c r="AT29" s="106" t="n"/>
      <c r="AU29" s="106" t="n"/>
      <c r="AV29" s="106" t="n"/>
      <c r="AW29" s="106" t="n"/>
    </row>
    <row r="30">
      <c r="B30" s="115" t="inlineStr">
        <is>
          <t>As Reported Core EBIT</t>
        </is>
      </c>
      <c r="C30" s="7" t="n"/>
      <c r="D30" s="7" t="n"/>
      <c r="E30" s="7" t="n"/>
      <c r="F30" s="7" t="n"/>
      <c r="G30" s="58">
        <f>G20</f>
        <v/>
      </c>
      <c r="H30" s="46">
        <f>H20</f>
        <v/>
      </c>
      <c r="I30" s="7" t="n"/>
      <c r="J30" s="11">
        <f>J20</f>
        <v/>
      </c>
      <c r="K30" s="11">
        <f>K20</f>
        <v/>
      </c>
      <c r="L30" s="11">
        <f>L20</f>
        <v/>
      </c>
      <c r="M30" s="11">
        <f>M20</f>
        <v/>
      </c>
      <c r="N30" s="11">
        <f>N20</f>
        <v/>
      </c>
      <c r="O30" s="11">
        <f>O20</f>
        <v/>
      </c>
      <c r="P30" s="107" t="n"/>
      <c r="Q30" s="7" t="n"/>
      <c r="R30" s="11">
        <f>R20</f>
        <v/>
      </c>
      <c r="S30" s="11">
        <f>S20</f>
        <v/>
      </c>
      <c r="T30" s="11">
        <f>T20</f>
        <v/>
      </c>
      <c r="U30" s="11">
        <f>U20</f>
        <v/>
      </c>
      <c r="V30" s="11">
        <f>V20</f>
        <v/>
      </c>
      <c r="W30" s="11">
        <f>W20</f>
        <v/>
      </c>
      <c r="X30" s="11">
        <f>X20</f>
        <v/>
      </c>
      <c r="Y30" s="11">
        <f>Y20</f>
        <v/>
      </c>
      <c r="Z30" s="11">
        <f>Z20</f>
        <v/>
      </c>
      <c r="AA30" s="11">
        <f>AA20</f>
        <v/>
      </c>
      <c r="AB30" s="11">
        <f>AB20</f>
        <v/>
      </c>
      <c r="AC30" s="11">
        <f>AC20</f>
        <v/>
      </c>
      <c r="AD30" s="11">
        <f>AD20</f>
        <v/>
      </c>
      <c r="AE30" s="11">
        <f>AE20</f>
        <v/>
      </c>
      <c r="AF30" s="11">
        <f>AF20</f>
        <v/>
      </c>
      <c r="AG30" s="11">
        <f>AG20</f>
        <v/>
      </c>
      <c r="AH30" s="11">
        <f>AH20</f>
        <v/>
      </c>
      <c r="AI30" s="11">
        <f>AI20</f>
        <v/>
      </c>
      <c r="AJ30" s="11">
        <f>AJ20</f>
        <v/>
      </c>
      <c r="AK30" s="11">
        <f>AK20</f>
        <v/>
      </c>
      <c r="AL30" s="11">
        <f>AL20</f>
        <v/>
      </c>
      <c r="AM30" s="11">
        <f>AM20</f>
        <v/>
      </c>
      <c r="AN30" s="11">
        <f>AN20</f>
        <v/>
      </c>
      <c r="AO30" s="11">
        <f>AO20</f>
        <v/>
      </c>
      <c r="AP30" s="11">
        <f>AP20</f>
        <v/>
      </c>
      <c r="AQ30" s="107" t="n"/>
      <c r="AR30" s="107" t="n"/>
      <c r="AS30" s="107" t="n"/>
      <c r="AT30" s="107" t="n"/>
      <c r="AU30" s="107" t="n"/>
      <c r="AV30" s="107" t="n"/>
      <c r="AW30" s="107" t="n"/>
    </row>
    <row r="31">
      <c r="B31" s="117" t="inlineStr">
        <is>
          <t>Total EBIT</t>
        </is>
      </c>
      <c r="G31" s="59">
        <f>SUM(G29:G30)</f>
        <v/>
      </c>
      <c r="H31" s="32">
        <f>SUM(H29:H30)</f>
        <v/>
      </c>
      <c r="J31" s="13">
        <f>SUM(J29:J30)</f>
        <v/>
      </c>
      <c r="K31" s="13">
        <f>SUM(K29:K30)</f>
        <v/>
      </c>
      <c r="L31" s="13">
        <f>SUM(L29:L30)</f>
        <v/>
      </c>
      <c r="M31" s="13">
        <f>SUM(M29:M30)</f>
        <v/>
      </c>
      <c r="N31" s="13">
        <f>SUM(N29:N30)</f>
        <v/>
      </c>
      <c r="O31" s="13">
        <f>SUM(O29:O30)</f>
        <v/>
      </c>
      <c r="R31" s="13">
        <f>SUM(R29:R30)</f>
        <v/>
      </c>
      <c r="S31" s="13">
        <f>SUM(S29:S30)</f>
        <v/>
      </c>
      <c r="T31" s="13">
        <f>SUM(T29:T30)</f>
        <v/>
      </c>
      <c r="U31" s="13">
        <f>SUM(U29:U30)</f>
        <v/>
      </c>
      <c r="V31" s="13">
        <f>SUM(V29:V30)</f>
        <v/>
      </c>
      <c r="W31" s="13">
        <f>SUM(W29:W30)</f>
        <v/>
      </c>
      <c r="X31" s="13">
        <f>SUM(X29:X30)</f>
        <v/>
      </c>
      <c r="Y31" s="13">
        <f>SUM(Y29:Y30)</f>
        <v/>
      </c>
      <c r="Z31" s="13">
        <f>SUM(Z29:Z30)</f>
        <v/>
      </c>
      <c r="AA31" s="13">
        <f>SUM(AA29:AA30)</f>
        <v/>
      </c>
      <c r="AB31" s="13">
        <f>SUM(AB29:AB30)</f>
        <v/>
      </c>
      <c r="AC31" s="13">
        <f>SUM(AC29:AC30)</f>
        <v/>
      </c>
      <c r="AD31" s="13">
        <f>SUM(AD29:AD30)</f>
        <v/>
      </c>
      <c r="AE31" s="13">
        <f>SUM(AE29:AE30)</f>
        <v/>
      </c>
      <c r="AF31" s="13">
        <f>SUM(AF29:AF30)</f>
        <v/>
      </c>
      <c r="AG31" s="13">
        <f>SUM(AG29:AG30)</f>
        <v/>
      </c>
      <c r="AH31" s="13">
        <f>SUM(AH29:AH30)</f>
        <v/>
      </c>
      <c r="AI31" s="13">
        <f>SUM(AI29:AI30)</f>
        <v/>
      </c>
      <c r="AJ31" s="13">
        <f>SUM(AJ29:AJ30)</f>
        <v/>
      </c>
      <c r="AK31" s="13">
        <f>SUM(AK29:AK30)</f>
        <v/>
      </c>
      <c r="AL31" s="13">
        <f>SUM(AL29:AL30)</f>
        <v/>
      </c>
      <c r="AM31" s="13">
        <f>SUM(AM29:AM30)</f>
        <v/>
      </c>
      <c r="AN31" s="13">
        <f>SUM(AN29:AN30)</f>
        <v/>
      </c>
      <c r="AO31" s="13">
        <f>SUM(AO29:AO30)</f>
        <v/>
      </c>
      <c r="AP31" s="13">
        <f>SUM(AP29:AP30)</f>
        <v/>
      </c>
      <c r="AQ31" s="171" t="n">
        <v>484.8</v>
      </c>
    </row>
    <row r="32">
      <c r="B32" s="117" t="n"/>
      <c r="C32" s="3" t="inlineStr">
        <is>
          <t>% Margin</t>
        </is>
      </c>
      <c r="G32" s="168">
        <f>G31/G9</f>
        <v/>
      </c>
      <c r="H32" s="168">
        <f>H31/H9</f>
        <v/>
      </c>
      <c r="J32" s="170">
        <f>J31/J9</f>
        <v/>
      </c>
      <c r="K32" s="170">
        <f>K31/K9</f>
        <v/>
      </c>
      <c r="L32" s="170">
        <f>L31/L9</f>
        <v/>
      </c>
      <c r="M32" s="170">
        <f>M31/M9</f>
        <v/>
      </c>
      <c r="N32" s="170">
        <f>N31/N9</f>
        <v/>
      </c>
      <c r="O32" s="170">
        <f>O31/O9</f>
        <v/>
      </c>
      <c r="P32" s="106" t="n"/>
      <c r="R32" s="170">
        <f>R31/R9</f>
        <v/>
      </c>
      <c r="S32" s="170">
        <f>S31/S9</f>
        <v/>
      </c>
      <c r="T32" s="170">
        <f>T31/T9</f>
        <v/>
      </c>
      <c r="U32" s="170">
        <f>U31/U9</f>
        <v/>
      </c>
      <c r="V32" s="170">
        <f>V31/V9</f>
        <v/>
      </c>
      <c r="W32" s="170">
        <f>W31/W9</f>
        <v/>
      </c>
      <c r="X32" s="170">
        <f>X31/X9</f>
        <v/>
      </c>
      <c r="Y32" s="170">
        <f>Y31/Y9</f>
        <v/>
      </c>
      <c r="Z32" s="170">
        <f>Z31/Z9</f>
        <v/>
      </c>
      <c r="AA32" s="170">
        <f>AA31/AA9</f>
        <v/>
      </c>
      <c r="AB32" s="170">
        <f>AB31/AB9</f>
        <v/>
      </c>
      <c r="AC32" s="170">
        <f>AC31/AC9</f>
        <v/>
      </c>
      <c r="AD32" s="170">
        <f>AD31/AD9</f>
        <v/>
      </c>
      <c r="AE32" s="170">
        <f>AE31/AE9</f>
        <v/>
      </c>
      <c r="AF32" s="170">
        <f>AF31/AF9</f>
        <v/>
      </c>
      <c r="AG32" s="170">
        <f>AG31/AG9</f>
        <v/>
      </c>
      <c r="AH32" s="170">
        <f>AH31/AH9</f>
        <v/>
      </c>
      <c r="AI32" s="170">
        <f>AI31/AI9</f>
        <v/>
      </c>
      <c r="AJ32" s="170">
        <f>AJ31/AJ9</f>
        <v/>
      </c>
      <c r="AK32" s="170">
        <f>AK31/AK9</f>
        <v/>
      </c>
      <c r="AL32" s="170">
        <f>AL31/AL9</f>
        <v/>
      </c>
      <c r="AM32" s="170">
        <f>AM31/AM9</f>
        <v/>
      </c>
      <c r="AN32" s="170">
        <f>AN31/AN9</f>
        <v/>
      </c>
      <c r="AO32" s="170">
        <f>AO31/AO9</f>
        <v/>
      </c>
      <c r="AP32" s="170">
        <f>AP31/AP9</f>
        <v/>
      </c>
      <c r="AQ32" s="106" t="n"/>
      <c r="AR32" s="106" t="n"/>
      <c r="AS32" s="106" t="n"/>
      <c r="AT32" s="106" t="n"/>
      <c r="AU32" s="106" t="n"/>
      <c r="AV32" s="106" t="n"/>
      <c r="AW32" s="106" t="n"/>
    </row>
    <row r="33">
      <c r="B33" s="114" t="n"/>
      <c r="G33" s="108" t="n"/>
      <c r="H33" s="30" t="n"/>
      <c r="P33" s="106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106" t="n"/>
      <c r="AR33" s="106" t="n"/>
      <c r="AS33" s="106" t="n"/>
      <c r="AT33" s="106" t="n"/>
      <c r="AU33" s="106" t="n"/>
      <c r="AV33" s="106" t="n"/>
      <c r="AW33" s="106" t="n"/>
    </row>
    <row r="34">
      <c r="B34" s="114" t="inlineStr">
        <is>
          <t>Interest expense, net</t>
        </is>
      </c>
      <c r="G34" s="57">
        <f>OFFSET(R34,0,MATCH($G$2,$R$3:$AW$3,0)-1)*4</f>
        <v/>
      </c>
      <c r="H34" s="33">
        <f>SUM(OFFSET(R34,0,MATCH($G$2,$R$3:$AW$3,0)-4),OFFSET(R34,0,MATCH($G$2,$R$3:$AW$3,0)-3),OFFSET(R34,0,MATCH($G$2,$R$3:$AW$3,0)-2),OFFSET(R34,0,MATCH($G$2,$R$3:$AW$3,0)-1))</f>
        <v/>
      </c>
      <c r="J34" s="9">
        <f>SUM(R34:U34)</f>
        <v/>
      </c>
      <c r="K34" s="9">
        <f>SUM(V34:Y34)</f>
        <v/>
      </c>
      <c r="L34" s="9">
        <f>SUM(Z34:AC34)</f>
        <v/>
      </c>
      <c r="M34" s="9">
        <f>SUM(AD34:AG34)</f>
        <v/>
      </c>
      <c r="N34" s="9">
        <f>SUM(AH34:AK34)</f>
        <v/>
      </c>
      <c r="O34" s="9">
        <f>SUM(AL34:AO34)</f>
        <v/>
      </c>
      <c r="P34" s="106" t="n"/>
      <c r="R34" s="10" t="n">
        <v>-9.779999999999999</v>
      </c>
      <c r="S34" s="10" t="n">
        <v>-12.54</v>
      </c>
      <c r="T34" s="10" t="n">
        <v>-12.345</v>
      </c>
      <c r="U34" s="10" t="n">
        <v>-12.191</v>
      </c>
      <c r="V34" s="10" t="n">
        <v>-13.201</v>
      </c>
      <c r="W34" s="10" t="n">
        <v>-15.515</v>
      </c>
      <c r="X34" s="10" t="n">
        <v>-14.31</v>
      </c>
      <c r="Y34" s="10" t="n">
        <v>-12.968</v>
      </c>
      <c r="Z34" s="10" t="n">
        <v>-12.799</v>
      </c>
      <c r="AA34" s="10" t="n">
        <v>-12.708</v>
      </c>
      <c r="AB34" s="10" t="n">
        <v>-11.809</v>
      </c>
      <c r="AC34" s="10" t="n">
        <v>-11.423</v>
      </c>
      <c r="AD34" s="10" t="n">
        <v>-10.966</v>
      </c>
      <c r="AE34" s="10" t="n">
        <v>-10.706</v>
      </c>
      <c r="AF34" s="10" t="n">
        <v>-10.5</v>
      </c>
      <c r="AG34" s="10" t="n">
        <v>-10.297</v>
      </c>
      <c r="AH34" s="10" t="n">
        <v>-10.203</v>
      </c>
      <c r="AI34" s="10" t="n">
        <v>-10.649</v>
      </c>
      <c r="AJ34" s="10" t="n">
        <v>-11.755</v>
      </c>
      <c r="AK34" s="10" t="n">
        <v>-11.99</v>
      </c>
      <c r="AL34" s="10" t="n">
        <v>-13.221</v>
      </c>
      <c r="AM34" s="10" t="n">
        <v>-12.286</v>
      </c>
      <c r="AN34" s="10" t="n">
        <v>-13.386</v>
      </c>
      <c r="AO34" s="10" t="n">
        <v>-13.115</v>
      </c>
      <c r="AP34" s="10" t="n">
        <v>-13.151</v>
      </c>
      <c r="AQ34" s="106" t="n"/>
      <c r="AR34" s="106" t="n"/>
      <c r="AS34" s="106" t="n"/>
      <c r="AT34" s="106" t="n"/>
      <c r="AU34" s="106" t="n"/>
      <c r="AV34" s="106" t="n"/>
      <c r="AW34" s="106" t="n"/>
    </row>
    <row r="35">
      <c r="B35" s="114" t="n"/>
      <c r="G35" s="108" t="n"/>
      <c r="H35" s="30" t="n"/>
      <c r="J35" s="5" t="n"/>
      <c r="K35" s="5" t="n"/>
      <c r="L35" s="5" t="n"/>
      <c r="M35" s="5" t="n"/>
      <c r="N35" s="5" t="n"/>
      <c r="O35" s="5" t="n"/>
      <c r="P35" s="106" t="n"/>
      <c r="AQ35" s="106" t="n"/>
      <c r="AR35" s="106" t="n"/>
      <c r="AS35" s="106" t="n"/>
      <c r="AT35" s="106" t="n"/>
      <c r="AU35" s="106" t="n"/>
      <c r="AV35" s="106" t="n"/>
      <c r="AW35" s="106" t="n"/>
    </row>
    <row r="36">
      <c r="B36" s="117" t="inlineStr">
        <is>
          <t>PBT</t>
        </is>
      </c>
      <c r="G36" s="59">
        <f>G31+G34</f>
        <v/>
      </c>
      <c r="H36" s="32">
        <f>H31+H34</f>
        <v/>
      </c>
      <c r="J36" s="13">
        <f>J31+J34</f>
        <v/>
      </c>
      <c r="K36" s="13">
        <f>K31+K34</f>
        <v/>
      </c>
      <c r="L36" s="13">
        <f>L31+L34</f>
        <v/>
      </c>
      <c r="M36" s="13">
        <f>M31+M34</f>
        <v/>
      </c>
      <c r="N36" s="13">
        <f>N31+N34</f>
        <v/>
      </c>
      <c r="O36" s="13">
        <f>O31+O34</f>
        <v/>
      </c>
      <c r="P36" s="106" t="n"/>
      <c r="R36" s="13">
        <f>R31+R34</f>
        <v/>
      </c>
      <c r="S36" s="13">
        <f>S31+S34</f>
        <v/>
      </c>
      <c r="T36" s="13">
        <f>T31+T34</f>
        <v/>
      </c>
      <c r="U36" s="13">
        <f>U31+U34</f>
        <v/>
      </c>
      <c r="V36" s="13">
        <f>V31+V34</f>
        <v/>
      </c>
      <c r="W36" s="13">
        <f>W31+W34</f>
        <v/>
      </c>
      <c r="X36" s="13">
        <f>X31+X34</f>
        <v/>
      </c>
      <c r="Y36" s="13">
        <f>Y31+Y34</f>
        <v/>
      </c>
      <c r="Z36" s="13">
        <f>Z31+Z34</f>
        <v/>
      </c>
      <c r="AA36" s="13">
        <f>AA31+AA34</f>
        <v/>
      </c>
      <c r="AB36" s="13">
        <f>AB31+AB34</f>
        <v/>
      </c>
      <c r="AC36" s="13">
        <f>AC31+AC34</f>
        <v/>
      </c>
      <c r="AD36" s="13">
        <f>AD31+AD34</f>
        <v/>
      </c>
      <c r="AE36" s="13">
        <f>AE31+AE34</f>
        <v/>
      </c>
      <c r="AF36" s="13">
        <f>AF31+AF34</f>
        <v/>
      </c>
      <c r="AG36" s="13">
        <f>AG31+AG34</f>
        <v/>
      </c>
      <c r="AH36" s="13">
        <f>AH31+AH34</f>
        <v/>
      </c>
      <c r="AI36" s="13">
        <f>AI31+AI34</f>
        <v/>
      </c>
      <c r="AJ36" s="13">
        <f>AJ31+AJ34</f>
        <v/>
      </c>
      <c r="AK36" s="13">
        <f>AK31+AK34</f>
        <v/>
      </c>
      <c r="AL36" s="13">
        <f>AL31+AL34</f>
        <v/>
      </c>
      <c r="AM36" s="13">
        <f>AM31+AM34</f>
        <v/>
      </c>
      <c r="AN36" s="13">
        <f>AN31+AN34</f>
        <v/>
      </c>
      <c r="AO36" s="13">
        <f>AO31+AO34</f>
        <v/>
      </c>
      <c r="AP36" s="13">
        <f>AP31+AP34</f>
        <v/>
      </c>
      <c r="AQ36" s="106" t="n"/>
      <c r="AR36" s="106" t="n"/>
      <c r="AS36" s="106" t="n"/>
      <c r="AT36" s="106" t="n"/>
      <c r="AU36" s="106" t="n"/>
      <c r="AV36" s="106" t="n"/>
      <c r="AW36" s="106" t="n"/>
    </row>
    <row r="37">
      <c r="B37" s="115" t="inlineStr">
        <is>
          <t>(-) Taxes</t>
        </is>
      </c>
      <c r="C37" s="7" t="n"/>
      <c r="D37" s="7" t="n"/>
      <c r="E37" s="7" t="n"/>
      <c r="F37" s="7" t="n"/>
      <c r="G37" s="58">
        <f>OFFSET(R37,0,MATCH($G$2,$R$3:$AW$3,0)-1)*4</f>
        <v/>
      </c>
      <c r="H37" s="46">
        <f>SUM(OFFSET(R37,0,MATCH($G$2,$R$3:$AW$3,0)-4),OFFSET(R37,0,MATCH($G$2,$R$3:$AW$3,0)-3),OFFSET(R37,0,MATCH($G$2,$R$3:$AW$3,0)-2),OFFSET(R37,0,MATCH($G$2,$R$3:$AW$3,0)-1))</f>
        <v/>
      </c>
      <c r="I37" s="7" t="n"/>
      <c r="J37" s="11">
        <f>SUM(R37:U37)</f>
        <v/>
      </c>
      <c r="K37" s="11">
        <f>SUM(V37:Y37)</f>
        <v/>
      </c>
      <c r="L37" s="11">
        <f>SUM(Z37:AC37)</f>
        <v/>
      </c>
      <c r="M37" s="11">
        <f>SUM(AD37:AG37)</f>
        <v/>
      </c>
      <c r="N37" s="11">
        <f>SUM(AH37:AK37)</f>
        <v/>
      </c>
      <c r="O37" s="11">
        <f>SUM(AL37:AO37)</f>
        <v/>
      </c>
      <c r="P37" s="107" t="n"/>
      <c r="Q37" s="7" t="n"/>
      <c r="R37" s="12" t="n">
        <v>-9.865</v>
      </c>
      <c r="S37" s="12" t="n">
        <v>-16.061</v>
      </c>
      <c r="T37" s="12" t="n">
        <v>-15.116</v>
      </c>
      <c r="U37" s="12" t="n">
        <v>5.961</v>
      </c>
      <c r="V37" s="12" t="n">
        <v>-13.88</v>
      </c>
      <c r="W37" s="12" t="n">
        <v>-15.269</v>
      </c>
      <c r="X37" s="12" t="n">
        <v>-16.305</v>
      </c>
      <c r="Y37" s="12" t="n">
        <v>-1.347</v>
      </c>
      <c r="Z37" s="12" t="n">
        <v>172.809</v>
      </c>
      <c r="AA37" s="12" t="n">
        <v>1.429</v>
      </c>
      <c r="AB37" s="12" t="n">
        <v>8.419</v>
      </c>
      <c r="AC37" s="12" t="n">
        <v>7.102</v>
      </c>
      <c r="AD37" s="12" t="n">
        <v>0.891</v>
      </c>
      <c r="AE37" s="12" t="n">
        <v>-5.493</v>
      </c>
      <c r="AF37" s="12" t="n">
        <v>60.442</v>
      </c>
      <c r="AG37" s="12" t="n">
        <v>-12.01</v>
      </c>
      <c r="AH37" s="12" t="n">
        <v>-6.213</v>
      </c>
      <c r="AI37" s="12" t="n">
        <v>-11.03</v>
      </c>
      <c r="AJ37" s="12" t="n">
        <v>-11.713</v>
      </c>
      <c r="AK37" s="12" t="n">
        <v>-14.458</v>
      </c>
      <c r="AL37" s="12" t="n">
        <v>-14.051</v>
      </c>
      <c r="AM37" s="12" t="n">
        <v>-18.96</v>
      </c>
      <c r="AN37" s="12" t="n">
        <v>-18.722</v>
      </c>
      <c r="AO37" s="12" t="n">
        <v>-19.487</v>
      </c>
      <c r="AP37" s="12" t="n">
        <v>-21.726</v>
      </c>
      <c r="AQ37" s="107" t="n"/>
      <c r="AR37" s="107" t="n"/>
      <c r="AS37" s="107" t="n"/>
      <c r="AT37" s="107" t="n"/>
      <c r="AU37" s="107" t="n"/>
      <c r="AV37" s="107" t="n"/>
      <c r="AW37" s="107" t="n"/>
    </row>
    <row r="38">
      <c r="B38" s="117" t="inlineStr">
        <is>
          <t>Net Income</t>
        </is>
      </c>
      <c r="G38" s="59">
        <f>SUM(G36:G37)</f>
        <v/>
      </c>
      <c r="H38" s="32">
        <f>SUM(H36:H37)</f>
        <v/>
      </c>
      <c r="J38" s="13">
        <f>SUM(J36:J37)</f>
        <v/>
      </c>
      <c r="K38" s="13">
        <f>SUM(K36:K37)</f>
        <v/>
      </c>
      <c r="L38" s="13">
        <f>SUM(L36:L37)</f>
        <v/>
      </c>
      <c r="M38" s="13">
        <f>SUM(M36:M37)</f>
        <v/>
      </c>
      <c r="N38" s="13">
        <f>SUM(N36:N37)</f>
        <v/>
      </c>
      <c r="O38" s="13">
        <f>SUM(O36:O37)</f>
        <v/>
      </c>
      <c r="P38" s="106" t="n"/>
      <c r="R38" s="13">
        <f>SUM(R36:R37)</f>
        <v/>
      </c>
      <c r="S38" s="13">
        <f>SUM(S36:S37)</f>
        <v/>
      </c>
      <c r="T38" s="13">
        <f>SUM(T36:T37)</f>
        <v/>
      </c>
      <c r="U38" s="13">
        <f>SUM(U36:U37)</f>
        <v/>
      </c>
      <c r="V38" s="13">
        <f>SUM(V36:V37)</f>
        <v/>
      </c>
      <c r="W38" s="13">
        <f>SUM(W36:W37)</f>
        <v/>
      </c>
      <c r="X38" s="13">
        <f>SUM(X36:X37)</f>
        <v/>
      </c>
      <c r="Y38" s="13">
        <f>SUM(Y36:Y37)</f>
        <v/>
      </c>
      <c r="Z38" s="13">
        <f>SUM(Z36:Z37)</f>
        <v/>
      </c>
      <c r="AA38" s="13">
        <f>SUM(AA36:AA37)</f>
        <v/>
      </c>
      <c r="AB38" s="13">
        <f>SUM(AB36:AB37)</f>
        <v/>
      </c>
      <c r="AC38" s="13">
        <f>SUM(AC36:AC37)</f>
        <v/>
      </c>
      <c r="AD38" s="13">
        <f>SUM(AD36:AD37)</f>
        <v/>
      </c>
      <c r="AE38" s="13">
        <f>SUM(AE36:AE37)</f>
        <v/>
      </c>
      <c r="AF38" s="13">
        <f>SUM(AF36:AF37)</f>
        <v/>
      </c>
      <c r="AG38" s="13">
        <f>SUM(AG36:AG37)</f>
        <v/>
      </c>
      <c r="AH38" s="13">
        <f>SUM(AH36:AH37)</f>
        <v/>
      </c>
      <c r="AI38" s="13">
        <f>SUM(AI36:AI37)</f>
        <v/>
      </c>
      <c r="AJ38" s="13">
        <f>SUM(AJ36:AJ37)</f>
        <v/>
      </c>
      <c r="AK38" s="13">
        <f>SUM(AK36:AK37)</f>
        <v/>
      </c>
      <c r="AL38" s="13">
        <f>SUM(AL36:AL37)</f>
        <v/>
      </c>
      <c r="AM38" s="13">
        <f>SUM(AM36:AM37)</f>
        <v/>
      </c>
      <c r="AN38" s="13">
        <f>SUM(AN36:AN37)</f>
        <v/>
      </c>
      <c r="AO38" s="13">
        <f>SUM(AO36:AO37)</f>
        <v/>
      </c>
      <c r="AP38" s="13">
        <f>SUM(AP36:AP37)</f>
        <v/>
      </c>
      <c r="AQ38" s="106" t="n"/>
      <c r="AR38" s="106" t="n"/>
      <c r="AS38" s="106" t="n"/>
      <c r="AT38" s="106" t="n"/>
      <c r="AU38" s="106" t="n"/>
      <c r="AV38" s="106" t="n"/>
      <c r="AW38" s="106" t="n"/>
    </row>
    <row r="39">
      <c r="B39" s="115" t="inlineStr">
        <is>
          <t>(-) NCI</t>
        </is>
      </c>
      <c r="C39" s="7" t="n"/>
      <c r="D39" s="7" t="n"/>
      <c r="E39" s="7" t="n"/>
      <c r="F39" s="7" t="n"/>
      <c r="G39" s="58">
        <f>OFFSET(R39,0,MATCH($G$2,$R$3:$AW$3,0)-1)*4</f>
        <v/>
      </c>
      <c r="H39" s="46">
        <f>SUM(OFFSET(R39,0,MATCH($G$2,$R$3:$AW$3,0)-4),OFFSET(R39,0,MATCH($G$2,$R$3:$AW$3,0)-3),OFFSET(R39,0,MATCH($G$2,$R$3:$AW$3,0)-2),OFFSET(R39,0,MATCH($G$2,$R$3:$AW$3,0)-1))</f>
        <v/>
      </c>
      <c r="I39" s="7" t="n"/>
      <c r="J39" s="11">
        <f>SUM(R39:U39)</f>
        <v/>
      </c>
      <c r="K39" s="11">
        <f>SUM(V39:Y39)</f>
        <v/>
      </c>
      <c r="L39" s="11">
        <f>SUM(Z39:AC39)</f>
        <v/>
      </c>
      <c r="M39" s="11">
        <f>SUM(AD39:AG39)</f>
        <v/>
      </c>
      <c r="N39" s="11">
        <f>SUM(AH39:AK39)</f>
        <v/>
      </c>
      <c r="O39" s="11">
        <f>SUM(AL39:AO39)</f>
        <v/>
      </c>
      <c r="P39" s="107" t="n"/>
      <c r="Q39" s="7" t="n"/>
      <c r="R39" s="12" t="n">
        <v>-0.195</v>
      </c>
      <c r="S39" s="12" t="n">
        <v>-0.191</v>
      </c>
      <c r="T39" s="12" t="n">
        <v>-0.134</v>
      </c>
      <c r="U39" s="12" t="n">
        <v>-0.106</v>
      </c>
      <c r="V39" s="12" t="n">
        <v>-0.161</v>
      </c>
      <c r="W39" s="12" t="n">
        <v>-0.153</v>
      </c>
      <c r="X39" s="12" t="n">
        <v>-0.163</v>
      </c>
      <c r="Y39" s="12" t="n">
        <v>-0.195</v>
      </c>
      <c r="Z39" s="12" t="n">
        <v>-0.278</v>
      </c>
      <c r="AA39" s="12" t="n">
        <v>-0.261</v>
      </c>
      <c r="AB39" s="12" t="n">
        <v>-0.204</v>
      </c>
      <c r="AC39" s="12" t="n">
        <v>-0.211</v>
      </c>
      <c r="AD39" s="12" t="n">
        <v>-0.255</v>
      </c>
      <c r="AE39" s="12" t="n">
        <v>-0.162</v>
      </c>
      <c r="AF39" s="12" t="n">
        <v>0.422</v>
      </c>
      <c r="AG39" s="12" t="n">
        <v>-0.188</v>
      </c>
      <c r="AH39" s="12" t="n">
        <v>-0.152</v>
      </c>
      <c r="AI39" s="12" t="n">
        <v>-0.1499</v>
      </c>
      <c r="AJ39" s="12" t="n">
        <v>-0.153</v>
      </c>
      <c r="AK39" s="12" t="n">
        <v>-0.016</v>
      </c>
      <c r="AL39" s="12" t="n">
        <v>0.077</v>
      </c>
      <c r="AM39" s="12" t="n">
        <v>0.049</v>
      </c>
      <c r="AN39" s="12" t="n">
        <v>-0.4</v>
      </c>
      <c r="AO39" s="12" t="n">
        <v>-0.056</v>
      </c>
      <c r="AP39" s="12" t="n">
        <v>0.153</v>
      </c>
      <c r="AQ39" s="107" t="n"/>
      <c r="AR39" s="107" t="n"/>
      <c r="AS39" s="107" t="n"/>
      <c r="AT39" s="107" t="n"/>
      <c r="AU39" s="107" t="n"/>
      <c r="AV39" s="107" t="n"/>
      <c r="AW39" s="107" t="n"/>
    </row>
    <row r="40">
      <c r="B40" s="117" t="inlineStr">
        <is>
          <t>Net Income to Shareholders</t>
        </is>
      </c>
      <c r="G40" s="59">
        <f>SUM(G38:G39)</f>
        <v/>
      </c>
      <c r="H40" s="32">
        <f>SUM(H38:H39)</f>
        <v/>
      </c>
      <c r="J40" s="13">
        <f>SUM(J38:J39)</f>
        <v/>
      </c>
      <c r="K40" s="13">
        <f>SUM(K38:K39)</f>
        <v/>
      </c>
      <c r="L40" s="13">
        <f>SUM(L38:L39)</f>
        <v/>
      </c>
      <c r="M40" s="13">
        <f>SUM(M38:M39)</f>
        <v/>
      </c>
      <c r="N40" s="13">
        <f>SUM(N38:N39)</f>
        <v/>
      </c>
      <c r="O40" s="13">
        <f>SUM(O38:O39)</f>
        <v/>
      </c>
      <c r="P40" s="106" t="n"/>
      <c r="R40" s="13">
        <f>SUM(R38:R39)</f>
        <v/>
      </c>
      <c r="S40" s="13">
        <f>SUM(S38:S39)</f>
        <v/>
      </c>
      <c r="T40" s="13">
        <f>SUM(T38:T39)</f>
        <v/>
      </c>
      <c r="U40" s="13">
        <f>SUM(U38:U39)</f>
        <v/>
      </c>
      <c r="V40" s="13">
        <f>SUM(V38:V39)</f>
        <v/>
      </c>
      <c r="W40" s="13">
        <f>SUM(W38:W39)</f>
        <v/>
      </c>
      <c r="X40" s="13">
        <f>SUM(X38:X39)</f>
        <v/>
      </c>
      <c r="Y40" s="13">
        <f>SUM(Y38:Y39)</f>
        <v/>
      </c>
      <c r="Z40" s="13">
        <f>SUM(Z38:Z39)</f>
        <v/>
      </c>
      <c r="AA40" s="13">
        <f>SUM(AA38:AA39)</f>
        <v/>
      </c>
      <c r="AB40" s="13">
        <f>SUM(AB38:AB39)</f>
        <v/>
      </c>
      <c r="AC40" s="13">
        <f>SUM(AC38:AC39)</f>
        <v/>
      </c>
      <c r="AD40" s="13">
        <f>SUM(AD38:AD39)</f>
        <v/>
      </c>
      <c r="AE40" s="13">
        <f>SUM(AE38:AE39)</f>
        <v/>
      </c>
      <c r="AF40" s="13">
        <f>SUM(AF38:AF39)</f>
        <v/>
      </c>
      <c r="AG40" s="13">
        <f>SUM(AG38:AG39)</f>
        <v/>
      </c>
      <c r="AH40" s="13">
        <f>SUM(AH38:AH39)</f>
        <v/>
      </c>
      <c r="AI40" s="13">
        <f>SUM(AI38:AI39)</f>
        <v/>
      </c>
      <c r="AJ40" s="13">
        <f>SUM(AJ38:AJ39)</f>
        <v/>
      </c>
      <c r="AK40" s="13">
        <f>SUM(AK38:AK39)</f>
        <v/>
      </c>
      <c r="AL40" s="13">
        <f>SUM(AL38:AL39)</f>
        <v/>
      </c>
      <c r="AM40" s="13">
        <f>SUM(AM38:AM39)</f>
        <v/>
      </c>
      <c r="AN40" s="13">
        <f>SUM(AN38:AN39)</f>
        <v/>
      </c>
      <c r="AO40" s="13">
        <f>SUM(AO38:AO39)</f>
        <v/>
      </c>
      <c r="AP40" s="13">
        <f>SUM(AP38:AP39)</f>
        <v/>
      </c>
      <c r="AQ40" s="106" t="n"/>
      <c r="AR40" s="106" t="n"/>
      <c r="AS40" s="106" t="n"/>
      <c r="AT40" s="106" t="n"/>
      <c r="AU40" s="106" t="n"/>
      <c r="AV40" s="106" t="n"/>
      <c r="AW40" s="106" t="n"/>
    </row>
    <row r="41">
      <c r="G41" s="108" t="n"/>
      <c r="H41" s="30" t="n"/>
      <c r="P41" s="106" t="n"/>
      <c r="AQ41" s="106" t="n"/>
      <c r="AR41" s="106" t="n"/>
      <c r="AS41" s="106" t="n"/>
      <c r="AT41" s="106" t="n"/>
      <c r="AU41" s="106" t="n"/>
      <c r="AV41" s="106" t="n"/>
      <c r="AW41" s="106" t="n"/>
    </row>
    <row r="42">
      <c r="B42" t="inlineStr">
        <is>
          <t>Diluted Shares Outstanding</t>
        </is>
      </c>
      <c r="G42" s="167">
        <f>OFFSET(R42,0,MATCH($G$2,$R$3:$AW$3,0)-1)</f>
        <v/>
      </c>
      <c r="H42" s="172">
        <f>AVERAGE(OFFSET(R42,0,MATCH($G$2,$R$3:$AW$3,0)-4),OFFSET(R42,0,MATCH($G$2,$R$3:$AW$3,0)-3),OFFSET(R42,0,MATCH($G$2,$R$3:$AW$3,0)-2),OFFSET(R42,0,MATCH($G$2,$R$3:$AW$3,0)-1))</f>
        <v/>
      </c>
      <c r="J42" s="173" t="n">
        <v>59.689</v>
      </c>
      <c r="K42" s="173" t="n">
        <v>59.75</v>
      </c>
      <c r="L42" s="173" t="n">
        <v>59.912</v>
      </c>
      <c r="M42" s="173" t="n">
        <v>60.053</v>
      </c>
      <c r="N42" s="173" t="n">
        <v>60.329</v>
      </c>
      <c r="O42" s="173" t="n">
        <v>59.857</v>
      </c>
      <c r="P42" s="174" t="n"/>
      <c r="Q42" s="175" t="n"/>
      <c r="R42" s="173" t="n">
        <v>59.493</v>
      </c>
      <c r="S42" s="173" t="n">
        <v>59.72</v>
      </c>
      <c r="T42" s="173" t="n">
        <v>59.784</v>
      </c>
      <c r="U42" s="173" t="n">
        <v>59.645</v>
      </c>
      <c r="V42" s="173" t="n">
        <v>59.823</v>
      </c>
      <c r="W42" s="173" t="n">
        <v>59.907</v>
      </c>
      <c r="X42" s="173" t="n">
        <v>59.906</v>
      </c>
      <c r="Y42" s="173" t="n">
        <v>59.998</v>
      </c>
      <c r="Z42" s="173" t="n">
        <v>59.883</v>
      </c>
      <c r="AA42" s="173" t="n">
        <v>59.937</v>
      </c>
      <c r="AB42" s="173" t="n">
        <v>59.931</v>
      </c>
      <c r="AC42" s="173" t="n">
        <v>59.975</v>
      </c>
      <c r="AD42" s="173" t="n">
        <v>60.016</v>
      </c>
      <c r="AE42" s="173" t="n">
        <v>60.274</v>
      </c>
      <c r="AF42" s="173" t="n">
        <v>60.062</v>
      </c>
      <c r="AG42" s="173" t="n">
        <v>60.311</v>
      </c>
      <c r="AH42" s="173" t="n">
        <v>60.463</v>
      </c>
      <c r="AI42" s="173" t="n">
        <v>60.467</v>
      </c>
      <c r="AJ42" s="173" t="n">
        <v>60.182</v>
      </c>
      <c r="AK42" s="173" t="n">
        <v>60.211</v>
      </c>
      <c r="AL42" s="173" t="n">
        <v>60.272</v>
      </c>
      <c r="AM42" s="173" t="n">
        <v>60.085</v>
      </c>
      <c r="AN42" s="173" t="n">
        <v>59.764</v>
      </c>
      <c r="AO42" s="173" t="n">
        <v>59.335</v>
      </c>
      <c r="AP42" s="173" t="n">
        <v>58.819</v>
      </c>
      <c r="AQ42" s="174" t="n"/>
      <c r="AR42" s="174" t="n"/>
      <c r="AS42" s="174" t="n"/>
      <c r="AT42" s="174" t="n"/>
      <c r="AU42" s="174" t="n"/>
      <c r="AV42" s="174" t="n"/>
      <c r="AW42" s="174" t="n"/>
    </row>
    <row r="43" ht="15" customHeight="1">
      <c r="B43" t="inlineStr">
        <is>
          <t>Fully Diluted EPS</t>
        </is>
      </c>
      <c r="G43" s="176">
        <f>OFFSET(R43,0,MATCH($G$2,$R$3:$AW$3,0)-1)*4</f>
        <v/>
      </c>
      <c r="H43" s="177">
        <f>SUM(OFFSET(R43,0,MATCH($G$2,$R$3:$AW$3,0)-4),OFFSET(R43,0,MATCH($G$2,$R$3:$AW$3,0)-3),OFFSET(R43,0,MATCH($G$2,$R$3:$AW$3,0)-2),OFFSET(R43,0,MATCH($G$2,$R$3:$AW$3,0)-1))</f>
        <v/>
      </c>
      <c r="J43" s="178">
        <f>J40/J42</f>
        <v/>
      </c>
      <c r="K43" s="178">
        <f>K40/K42</f>
        <v/>
      </c>
      <c r="L43" s="178">
        <f>L40/L42</f>
        <v/>
      </c>
      <c r="M43" s="178">
        <f>M40/M42</f>
        <v/>
      </c>
      <c r="N43" s="178">
        <f>N40/N42</f>
        <v/>
      </c>
      <c r="O43" s="178">
        <f>O40/O42</f>
        <v/>
      </c>
      <c r="P43" s="106" t="n"/>
      <c r="R43" s="178">
        <f>R40/R42</f>
        <v/>
      </c>
      <c r="S43" s="178">
        <f>S40/S42</f>
        <v/>
      </c>
      <c r="T43" s="178">
        <f>T40/T42</f>
        <v/>
      </c>
      <c r="U43" s="178">
        <f>U40/U42</f>
        <v/>
      </c>
      <c r="V43" s="178">
        <f>V40/V42</f>
        <v/>
      </c>
      <c r="W43" s="178">
        <f>W40/W42</f>
        <v/>
      </c>
      <c r="X43" s="178">
        <f>X40/X42</f>
        <v/>
      </c>
      <c r="Y43" s="178">
        <f>Y40/Y42</f>
        <v/>
      </c>
      <c r="Z43" s="178">
        <f>Z40/Z42</f>
        <v/>
      </c>
      <c r="AA43" s="178">
        <f>AA40/AA42</f>
        <v/>
      </c>
      <c r="AB43" s="178">
        <f>AB40/AB42</f>
        <v/>
      </c>
      <c r="AC43" s="178">
        <f>AC40/AC42</f>
        <v/>
      </c>
      <c r="AD43" s="178">
        <f>AD40/AD42</f>
        <v/>
      </c>
      <c r="AE43" s="178">
        <f>AE40/AE42</f>
        <v/>
      </c>
      <c r="AF43" s="178">
        <f>AF40/AF42</f>
        <v/>
      </c>
      <c r="AG43" s="178">
        <f>AG40/AG42</f>
        <v/>
      </c>
      <c r="AH43" s="178">
        <f>AH40/AH42</f>
        <v/>
      </c>
      <c r="AI43" s="178">
        <f>AI40/AI42</f>
        <v/>
      </c>
      <c r="AJ43" s="178">
        <f>AJ40/AJ42</f>
        <v/>
      </c>
      <c r="AK43" s="178">
        <f>AK40/AK42</f>
        <v/>
      </c>
      <c r="AL43" s="178">
        <f>AL40/AL42</f>
        <v/>
      </c>
      <c r="AM43" s="178">
        <f>AM40/AM42</f>
        <v/>
      </c>
      <c r="AN43" s="178">
        <f>AN40/AN42</f>
        <v/>
      </c>
      <c r="AO43" s="178">
        <f>AO40/AO42</f>
        <v/>
      </c>
      <c r="AP43" s="178">
        <f>AP40/AP42</f>
        <v/>
      </c>
      <c r="AQ43" s="106" t="n"/>
      <c r="AR43" s="106" t="n"/>
      <c r="AS43" s="106" t="n"/>
      <c r="AT43" s="106" t="n"/>
      <c r="AU43" s="106" t="n"/>
      <c r="AV43" s="106" t="n"/>
      <c r="AW43" s="106" t="n"/>
    </row>
    <row r="44">
      <c r="G44" s="108" t="n"/>
      <c r="H44" s="30" t="n"/>
      <c r="P44" s="106" t="n"/>
      <c r="AQ44" s="106" t="n"/>
      <c r="AR44" s="106" t="n"/>
      <c r="AS44" s="106" t="n"/>
      <c r="AT44" s="106" t="n"/>
      <c r="AU44" s="106" t="n"/>
      <c r="AV44" s="106" t="n"/>
      <c r="AW44" s="106" t="n"/>
    </row>
    <row r="45">
      <c r="C45" s="3" t="n"/>
      <c r="G45" s="176" t="n"/>
      <c r="H45" s="30" t="n"/>
      <c r="J45" s="170" t="n"/>
      <c r="K45" s="170" t="n"/>
      <c r="L45" s="170" t="n"/>
      <c r="M45" s="170" t="n"/>
      <c r="N45" s="170" t="n"/>
      <c r="O45" s="170" t="n"/>
      <c r="P45" s="106" t="n"/>
      <c r="R45" s="178" t="n"/>
      <c r="S45" s="178" t="n"/>
      <c r="T45" s="178" t="n"/>
      <c r="U45" s="178" t="n"/>
      <c r="V45" s="170" t="n"/>
      <c r="W45" s="170" t="n"/>
      <c r="X45" s="170" t="n"/>
      <c r="Y45" s="170" t="n"/>
      <c r="Z45" s="170" t="n"/>
      <c r="AA45" s="170" t="n"/>
      <c r="AB45" s="170" t="n"/>
      <c r="AC45" s="170" t="n"/>
      <c r="AD45" s="170" t="n"/>
      <c r="AE45" s="170" t="n"/>
      <c r="AF45" s="170" t="n"/>
      <c r="AG45" s="170" t="n"/>
      <c r="AH45" s="170" t="n"/>
      <c r="AI45" s="170" t="n"/>
      <c r="AJ45" s="170" t="n"/>
      <c r="AK45" s="170" t="n"/>
      <c r="AL45" s="170" t="n"/>
      <c r="AM45" s="170" t="n"/>
      <c r="AN45" s="170" t="n"/>
      <c r="AO45" s="170" t="n"/>
      <c r="AP45" s="170" t="n"/>
      <c r="AQ45" s="106" t="n"/>
      <c r="AR45" s="106" t="n"/>
      <c r="AS45" s="106" t="n"/>
      <c r="AT45" s="106" t="n"/>
      <c r="AU45" s="106" t="n"/>
      <c r="AV45" s="106" t="n"/>
      <c r="AW45" s="106" t="n"/>
    </row>
    <row r="46" ht="15" customHeight="1">
      <c r="A46" s="22" t="inlineStr">
        <is>
          <t>x</t>
        </is>
      </c>
      <c r="B46" s="22" t="inlineStr">
        <is>
          <t>Balance Sheet</t>
        </is>
      </c>
      <c r="C46" s="23" t="n"/>
      <c r="D46" s="23" t="n"/>
      <c r="E46" s="23" t="n"/>
      <c r="F46" s="23" t="n"/>
      <c r="G46" s="166" t="n"/>
      <c r="H46" s="45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  <c r="AU46" s="23" t="n"/>
      <c r="AV46" s="23" t="n"/>
      <c r="AW46" s="23" t="n"/>
    </row>
    <row r="47">
      <c r="G47" s="108" t="n"/>
      <c r="H47" s="30" t="n"/>
      <c r="P47" s="106" t="n"/>
      <c r="AQ47" s="106" t="n"/>
      <c r="AR47" s="106" t="n"/>
      <c r="AS47" s="106" t="n"/>
      <c r="AT47" s="106" t="n"/>
      <c r="AU47" s="106" t="n"/>
      <c r="AV47" s="106" t="n"/>
      <c r="AW47" s="106" t="n"/>
      <c r="AY47" s="118" t="n"/>
    </row>
    <row r="48">
      <c r="B48" t="inlineStr">
        <is>
          <t>Cash and cash equivalents</t>
        </is>
      </c>
      <c r="G48" s="57">
        <f>OFFSET(R48,0,MATCH($G$2,$R$3:$AW$3,0)-1)</f>
        <v/>
      </c>
      <c r="H48" s="33">
        <f>G48</f>
        <v/>
      </c>
      <c r="J48" s="9">
        <f>U48</f>
        <v/>
      </c>
      <c r="K48" s="9">
        <f>Y48</f>
        <v/>
      </c>
      <c r="L48" s="9">
        <f>AC48</f>
        <v/>
      </c>
      <c r="M48" s="9">
        <f>AG48</f>
        <v/>
      </c>
      <c r="N48" s="9">
        <f>AK48</f>
        <v/>
      </c>
      <c r="O48" s="9">
        <f>AO48</f>
        <v/>
      </c>
      <c r="P48" s="106" t="n"/>
      <c r="R48" s="10" t="n">
        <v>7.01</v>
      </c>
      <c r="S48" s="10" t="n">
        <v>4.198</v>
      </c>
      <c r="T48" s="10" t="n">
        <v>3.617</v>
      </c>
      <c r="U48" s="10" t="n">
        <v>7.8</v>
      </c>
      <c r="V48" s="10" t="n">
        <v>7.289</v>
      </c>
      <c r="W48" s="10" t="n">
        <v>22.521</v>
      </c>
      <c r="X48" s="10" t="n">
        <v>9.425000000000001</v>
      </c>
      <c r="Y48" s="10" t="n">
        <v>24.737</v>
      </c>
      <c r="Z48" s="10" t="n">
        <v>322.571</v>
      </c>
      <c r="AA48" s="10" t="n">
        <v>108.471</v>
      </c>
      <c r="AB48" s="10" t="n">
        <v>119.586</v>
      </c>
      <c r="AC48" s="10" t="n">
        <v>80.33799999999999</v>
      </c>
      <c r="AD48" s="10" t="n">
        <v>52.333</v>
      </c>
      <c r="AE48" s="10" t="n">
        <v>53.052</v>
      </c>
      <c r="AF48" s="10" t="n">
        <v>54.377</v>
      </c>
      <c r="AG48" s="10" t="n">
        <v>34.813</v>
      </c>
      <c r="AH48" s="10" t="n">
        <v>32.398</v>
      </c>
      <c r="AI48" s="10" t="n">
        <v>25.104</v>
      </c>
      <c r="AJ48" s="10" t="n">
        <v>36.991</v>
      </c>
      <c r="AK48" s="10" t="n">
        <v>80.577</v>
      </c>
      <c r="AL48" s="10" t="n">
        <v>26.699</v>
      </c>
      <c r="AM48" s="10" t="n">
        <v>36.603</v>
      </c>
      <c r="AN48" s="10" t="n">
        <v>42.116</v>
      </c>
      <c r="AO48" s="10" t="n">
        <v>32.577</v>
      </c>
      <c r="AP48" s="10" t="n">
        <v>75.21599999999999</v>
      </c>
      <c r="AQ48" s="106" t="n"/>
      <c r="AR48" s="106" t="n"/>
      <c r="AS48" s="106" t="n"/>
      <c r="AT48" s="106" t="n"/>
      <c r="AU48" s="106" t="n"/>
      <c r="AV48" s="106" t="n"/>
      <c r="AW48" s="106" t="n"/>
      <c r="AY48" s="118" t="n"/>
    </row>
    <row r="49">
      <c r="B49" t="inlineStr">
        <is>
          <t>Trade Receivables</t>
        </is>
      </c>
      <c r="G49" s="57">
        <f>OFFSET(R49,0,MATCH($G$2,$R$3:$AW$3,0)-1)</f>
        <v/>
      </c>
      <c r="H49" s="33">
        <f>G49</f>
        <v/>
      </c>
      <c r="J49" s="9">
        <f>U49</f>
        <v/>
      </c>
      <c r="K49" s="9">
        <f>Y49</f>
        <v/>
      </c>
      <c r="L49" s="9">
        <f>AC49</f>
        <v/>
      </c>
      <c r="M49" s="9">
        <f>AG49</f>
        <v/>
      </c>
      <c r="N49" s="9">
        <f>AK49</f>
        <v/>
      </c>
      <c r="O49" s="9">
        <f>AO49</f>
        <v/>
      </c>
      <c r="P49" s="106" t="n"/>
      <c r="R49" s="10" t="n">
        <v>485.865</v>
      </c>
      <c r="S49" s="10" t="n">
        <v>448.281</v>
      </c>
      <c r="T49" s="10" t="n">
        <v>400.87</v>
      </c>
      <c r="U49" s="10" t="n">
        <v>417.644</v>
      </c>
      <c r="V49" s="10" t="n">
        <v>439.975</v>
      </c>
      <c r="W49" s="10" t="n">
        <v>450.958</v>
      </c>
      <c r="X49" s="10" t="n">
        <v>382.465</v>
      </c>
      <c r="Y49" s="10" t="n">
        <v>379.174</v>
      </c>
      <c r="Z49" s="10" t="n">
        <v>389.616</v>
      </c>
      <c r="AA49" s="10" t="n">
        <v>348.453</v>
      </c>
      <c r="AB49" s="10" t="n">
        <v>304.021</v>
      </c>
      <c r="AC49" s="10" t="n">
        <v>315.283</v>
      </c>
      <c r="AD49" s="10" t="n">
        <v>347.275</v>
      </c>
      <c r="AE49" s="10" t="n">
        <v>352.372</v>
      </c>
      <c r="AF49" s="10" t="n">
        <v>389.579</v>
      </c>
      <c r="AG49" s="10" t="n">
        <v>417.958</v>
      </c>
      <c r="AH49" s="10" t="n">
        <v>420.823</v>
      </c>
      <c r="AI49" s="10" t="n">
        <v>445.425</v>
      </c>
      <c r="AJ49" s="10" t="n">
        <v>482.744</v>
      </c>
      <c r="AK49" s="10" t="n">
        <v>483.406</v>
      </c>
      <c r="AL49" s="10" t="n">
        <v>526.489</v>
      </c>
      <c r="AM49" s="10" t="n">
        <v>519.741</v>
      </c>
      <c r="AN49" s="10" t="n">
        <v>514.631</v>
      </c>
      <c r="AO49" s="10" t="n">
        <v>526.691</v>
      </c>
      <c r="AP49" s="10" t="n">
        <v>529.141</v>
      </c>
      <c r="AQ49" s="106" t="n"/>
      <c r="AR49" s="106" t="n"/>
      <c r="AS49" s="106" t="n"/>
      <c r="AT49" s="106" t="n"/>
      <c r="AU49" s="106" t="n"/>
      <c r="AV49" s="106" t="n"/>
      <c r="AW49" s="106" t="n"/>
      <c r="AY49" s="118" t="n"/>
    </row>
    <row r="50">
      <c r="B50" t="inlineStr">
        <is>
          <t>Other Receivables</t>
        </is>
      </c>
      <c r="G50" s="57">
        <f>OFFSET(R50,0,MATCH($G$2,$R$3:$AW$3,0)-1)</f>
        <v/>
      </c>
      <c r="H50" s="33">
        <f>G50</f>
        <v/>
      </c>
      <c r="J50" s="9">
        <f>U50</f>
        <v/>
      </c>
      <c r="K50" s="9">
        <f>Y50</f>
        <v/>
      </c>
      <c r="L50" s="9">
        <f>AC50</f>
        <v/>
      </c>
      <c r="M50" s="9">
        <f>AG50</f>
        <v/>
      </c>
      <c r="N50" s="9">
        <f>AK50</f>
        <v/>
      </c>
      <c r="O50" s="9">
        <f>AO50</f>
        <v/>
      </c>
      <c r="P50" s="106" t="n"/>
      <c r="R50" s="10" t="n">
        <v>110.64</v>
      </c>
      <c r="S50" s="10" t="n">
        <v>116.673</v>
      </c>
      <c r="T50" s="10" t="n">
        <v>111.221</v>
      </c>
      <c r="U50" s="10" t="n">
        <v>104.239</v>
      </c>
      <c r="V50" s="10" t="n">
        <v>122.18</v>
      </c>
      <c r="W50" s="10" t="n">
        <v>99.568</v>
      </c>
      <c r="X50" s="10" t="n">
        <v>99.736</v>
      </c>
      <c r="Y50" s="10" t="n">
        <v>104.175</v>
      </c>
      <c r="Z50" s="10" t="n">
        <v>253.688</v>
      </c>
      <c r="AA50" s="10" t="n">
        <v>228.409</v>
      </c>
      <c r="AB50" s="10" t="n">
        <v>257.656</v>
      </c>
      <c r="AC50" s="10" t="n">
        <v>284.899</v>
      </c>
      <c r="AD50" s="10" t="n">
        <v>171.749</v>
      </c>
      <c r="AE50" s="10" t="n">
        <v>165.478</v>
      </c>
      <c r="AF50" s="10" t="n">
        <v>150.811</v>
      </c>
      <c r="AG50" s="10" t="n">
        <v>149.964</v>
      </c>
      <c r="AH50" s="10" t="n">
        <v>125.757</v>
      </c>
      <c r="AI50" s="10" t="n">
        <v>127.181</v>
      </c>
      <c r="AJ50" s="10" t="n">
        <v>133.278</v>
      </c>
      <c r="AK50" s="10" t="n">
        <v>114.556</v>
      </c>
      <c r="AL50" s="10" t="n">
        <v>109.539</v>
      </c>
      <c r="AM50" s="10" t="n">
        <v>40.011</v>
      </c>
      <c r="AN50" s="10" t="n">
        <v>53.936</v>
      </c>
      <c r="AO50" s="10" t="n">
        <v>52.025</v>
      </c>
      <c r="AP50" s="10" t="n">
        <v>55.949</v>
      </c>
      <c r="AQ50" s="106" t="n"/>
      <c r="AR50" s="106" t="n"/>
      <c r="AS50" s="106" t="n"/>
      <c r="AT50" s="106" t="n"/>
      <c r="AU50" s="106" t="n"/>
      <c r="AV50" s="106" t="n"/>
      <c r="AW50" s="106" t="n"/>
      <c r="AY50" s="118" t="n"/>
    </row>
    <row r="51">
      <c r="B51" t="inlineStr">
        <is>
          <t>Inventory</t>
        </is>
      </c>
      <c r="G51" s="57">
        <f>OFFSET(R51,0,MATCH($G$2,$R$3:$AW$3,0)-1)</f>
        <v/>
      </c>
      <c r="H51" s="33">
        <f>G51</f>
        <v/>
      </c>
      <c r="J51" s="9">
        <f>U51</f>
        <v/>
      </c>
      <c r="K51" s="9">
        <f>Y51</f>
        <v/>
      </c>
      <c r="L51" s="9">
        <f>AC51</f>
        <v/>
      </c>
      <c r="M51" s="9">
        <f>AG51</f>
        <v/>
      </c>
      <c r="N51" s="9">
        <f>AK51</f>
        <v/>
      </c>
      <c r="O51" s="9">
        <f>AO51</f>
        <v/>
      </c>
      <c r="P51" s="106" t="n"/>
      <c r="R51" s="10" t="n">
        <v>372.182</v>
      </c>
      <c r="S51" s="10" t="n">
        <v>384.007</v>
      </c>
      <c r="T51" s="10" t="n">
        <v>453.173</v>
      </c>
      <c r="U51" s="10" t="n">
        <v>507.441</v>
      </c>
      <c r="V51" s="10" t="n">
        <v>491.566</v>
      </c>
      <c r="W51" s="10" t="n">
        <v>428.26</v>
      </c>
      <c r="X51" s="10" t="n">
        <v>410.261</v>
      </c>
      <c r="Y51" s="10" t="n">
        <v>351.401</v>
      </c>
      <c r="Z51" s="10" t="n">
        <v>341.498</v>
      </c>
      <c r="AA51" s="10" t="n">
        <v>335.958</v>
      </c>
      <c r="AB51" s="10" t="n">
        <v>321.433</v>
      </c>
      <c r="AC51" s="10" t="n">
        <v>309.675</v>
      </c>
      <c r="AD51" s="10" t="n">
        <v>326.475</v>
      </c>
      <c r="AE51" s="10" t="n">
        <v>325.545</v>
      </c>
      <c r="AF51" s="10" t="n">
        <v>308.82</v>
      </c>
      <c r="AG51" s="10" t="n">
        <v>331.35</v>
      </c>
      <c r="AH51" s="10" t="n">
        <v>360.457</v>
      </c>
      <c r="AI51" s="10" t="n">
        <v>370.385</v>
      </c>
      <c r="AJ51" s="10" t="n">
        <v>392.47</v>
      </c>
      <c r="AK51" s="10" t="n">
        <v>461.848</v>
      </c>
      <c r="AL51" s="10" t="n">
        <v>475.218</v>
      </c>
      <c r="AM51" s="10" t="n">
        <v>504.514</v>
      </c>
      <c r="AN51" s="10" t="n">
        <v>505.506</v>
      </c>
      <c r="AO51" s="10" t="n">
        <v>454.389</v>
      </c>
      <c r="AP51" s="10" t="n">
        <v>446.803</v>
      </c>
      <c r="AQ51" s="106" t="n"/>
      <c r="AR51" s="106" t="n"/>
      <c r="AS51" s="106" t="n"/>
      <c r="AT51" s="106" t="n"/>
      <c r="AU51" s="106" t="n"/>
      <c r="AV51" s="106" t="n"/>
      <c r="AW51" s="106" t="n"/>
      <c r="AY51" s="118" t="n"/>
    </row>
    <row r="52">
      <c r="B52" s="7" t="inlineStr">
        <is>
          <t>Prepaid Expenses</t>
        </is>
      </c>
      <c r="C52" s="7" t="n"/>
      <c r="D52" s="7" t="n"/>
      <c r="E52" s="7" t="n"/>
      <c r="F52" s="7" t="n"/>
      <c r="G52" s="58">
        <f>OFFSET(R52,0,MATCH($G$2,$R$3:$AW$3,0)-1)</f>
        <v/>
      </c>
      <c r="H52" s="46">
        <f>G52</f>
        <v/>
      </c>
      <c r="I52" s="7" t="n"/>
      <c r="J52" s="11">
        <f>U52</f>
        <v/>
      </c>
      <c r="K52" s="11">
        <f>Y52</f>
        <v/>
      </c>
      <c r="L52" s="11">
        <f>AC52</f>
        <v/>
      </c>
      <c r="M52" s="11">
        <f>AG52</f>
        <v/>
      </c>
      <c r="N52" s="11">
        <f>AK52</f>
        <v/>
      </c>
      <c r="O52" s="11">
        <f>AO52</f>
        <v/>
      </c>
      <c r="P52" s="107" t="n"/>
      <c r="Q52" s="7" t="n"/>
      <c r="R52" s="12" t="n">
        <v>80.95699999999999</v>
      </c>
      <c r="S52" s="12" t="n">
        <v>82.173</v>
      </c>
      <c r="T52" s="12" t="n">
        <v>85.639</v>
      </c>
      <c r="U52" s="12" t="n">
        <v>59.365</v>
      </c>
      <c r="V52" s="12" t="n">
        <v>57.242</v>
      </c>
      <c r="W52" s="12" t="n">
        <v>52.953</v>
      </c>
      <c r="X52" s="12" t="n">
        <v>56.646</v>
      </c>
      <c r="Y52" s="12" t="n">
        <v>58.092</v>
      </c>
      <c r="Z52" s="12" t="n">
        <v>60.64</v>
      </c>
      <c r="AA52" s="12" t="n">
        <v>57.023</v>
      </c>
      <c r="AB52" s="12" t="n">
        <v>58.023</v>
      </c>
      <c r="AC52" s="12" t="n">
        <v>57.776</v>
      </c>
      <c r="AD52" s="12" t="n">
        <v>60.685</v>
      </c>
      <c r="AE52" s="12" t="n">
        <v>66.696</v>
      </c>
      <c r="AF52" s="12" t="n">
        <v>75.004</v>
      </c>
      <c r="AG52" s="12" t="n">
        <v>69.78</v>
      </c>
      <c r="AH52" s="12" t="n">
        <v>75.896</v>
      </c>
      <c r="AI52" s="12" t="n">
        <v>84.16</v>
      </c>
      <c r="AJ52" s="12" t="n">
        <v>80.899</v>
      </c>
      <c r="AK52" s="12" t="n">
        <v>71.372</v>
      </c>
      <c r="AL52" s="12" t="n">
        <v>62.421</v>
      </c>
      <c r="AM52" s="12" t="n">
        <v>67.78700000000001</v>
      </c>
      <c r="AN52" s="12" t="n">
        <v>79.38200000000001</v>
      </c>
      <c r="AO52" s="12" t="n">
        <v>69.479</v>
      </c>
      <c r="AP52" s="12" t="n">
        <v>68.369</v>
      </c>
      <c r="AQ52" s="107" t="n"/>
      <c r="AR52" s="107" t="n"/>
      <c r="AS52" s="107" t="n"/>
      <c r="AT52" s="107" t="n"/>
      <c r="AU52" s="107" t="n"/>
      <c r="AV52" s="107" t="n"/>
      <c r="AW52" s="107" t="n"/>
      <c r="AY52" s="118" t="n"/>
    </row>
    <row r="53">
      <c r="B53" s="1" t="inlineStr">
        <is>
          <t>Current Assets</t>
        </is>
      </c>
      <c r="G53" s="59">
        <f>SUM(G48:G52)</f>
        <v/>
      </c>
      <c r="H53" s="32">
        <f>SUM(H48:H52)</f>
        <v/>
      </c>
      <c r="J53" s="13">
        <f>SUM(J48:J52)</f>
        <v/>
      </c>
      <c r="K53" s="13">
        <f>SUM(K48:K52)</f>
        <v/>
      </c>
      <c r="L53" s="13">
        <f>SUM(L48:L52)</f>
        <v/>
      </c>
      <c r="M53" s="13">
        <f>SUM(M48:M52)</f>
        <v/>
      </c>
      <c r="N53" s="13">
        <f>SUM(N48:N52)</f>
        <v/>
      </c>
      <c r="O53" s="13">
        <f>SUM(O48:O52)</f>
        <v/>
      </c>
      <c r="P53" s="106" t="n"/>
      <c r="R53" s="13">
        <f>SUM(R48:R52)</f>
        <v/>
      </c>
      <c r="S53" s="13">
        <f>SUM(S48:S52)</f>
        <v/>
      </c>
      <c r="T53" s="13">
        <f>SUM(T48:T52)</f>
        <v/>
      </c>
      <c r="U53" s="13">
        <f>SUM(U48:U52)</f>
        <v/>
      </c>
      <c r="V53" s="13">
        <f>SUM(V48:V52)</f>
        <v/>
      </c>
      <c r="W53" s="13">
        <f>SUM(W48:W52)</f>
        <v/>
      </c>
      <c r="X53" s="13">
        <f>SUM(X48:X52)</f>
        <v/>
      </c>
      <c r="Y53" s="13">
        <f>SUM(Y48:Y52)</f>
        <v/>
      </c>
      <c r="Z53" s="13">
        <f>SUM(Z48:Z52)</f>
        <v/>
      </c>
      <c r="AA53" s="13">
        <f>SUM(AA48:AA52)</f>
        <v/>
      </c>
      <c r="AB53" s="13">
        <f>SUM(AB48:AB52)</f>
        <v/>
      </c>
      <c r="AC53" s="13">
        <f>SUM(AC48:AC52)</f>
        <v/>
      </c>
      <c r="AD53" s="13">
        <f>SUM(AD48:AD52)</f>
        <v/>
      </c>
      <c r="AE53" s="13">
        <f>SUM(AE48:AE52)</f>
        <v/>
      </c>
      <c r="AF53" s="13">
        <f>SUM(AF48:AF52)</f>
        <v/>
      </c>
      <c r="AG53" s="13">
        <f>SUM(AG48:AG52)</f>
        <v/>
      </c>
      <c r="AH53" s="13">
        <f>SUM(AH48:AH52)</f>
        <v/>
      </c>
      <c r="AI53" s="13">
        <f>SUM(AI48:AI52)</f>
        <v/>
      </c>
      <c r="AJ53" s="13">
        <f>SUM(AJ48:AJ52)</f>
        <v/>
      </c>
      <c r="AK53" s="13">
        <f>SUM(AK48:AK52)</f>
        <v/>
      </c>
      <c r="AL53" s="13">
        <f>SUM(AL48:AL52)</f>
        <v/>
      </c>
      <c r="AM53" s="13">
        <f>SUM(AM48:AM52)</f>
        <v/>
      </c>
      <c r="AN53" s="13">
        <f>SUM(AN48:AN52)</f>
        <v/>
      </c>
      <c r="AO53" s="13">
        <f>SUM(AO48:AO52)</f>
        <v/>
      </c>
      <c r="AP53" s="13">
        <f>SUM(AP48:AP52)</f>
        <v/>
      </c>
      <c r="AQ53" s="106" t="n"/>
      <c r="AR53" s="106" t="n"/>
      <c r="AS53" s="106" t="n"/>
      <c r="AT53" s="106" t="n"/>
      <c r="AU53" s="106" t="n"/>
      <c r="AV53" s="106" t="n"/>
      <c r="AW53" s="106" t="n"/>
    </row>
    <row r="54">
      <c r="B54" s="1" t="n"/>
      <c r="G54" s="108" t="n"/>
      <c r="H54" s="30" t="n"/>
      <c r="P54" s="106" t="n"/>
      <c r="R54" s="18" t="n"/>
      <c r="AQ54" s="106" t="n"/>
      <c r="AR54" s="106" t="n"/>
      <c r="AS54" s="106" t="n"/>
      <c r="AT54" s="106" t="n"/>
      <c r="AU54" s="106" t="n"/>
      <c r="AV54" s="106" t="n"/>
      <c r="AW54" s="106" t="n"/>
    </row>
    <row r="55">
      <c r="B55" t="inlineStr">
        <is>
          <t>PP&amp;E</t>
        </is>
      </c>
      <c r="G55" s="57">
        <f>OFFSET(R55,0,MATCH($G$2,$R$3:$AW$3,0)-1)</f>
        <v/>
      </c>
      <c r="H55" s="33">
        <f>G55</f>
        <v/>
      </c>
      <c r="J55" s="9">
        <f>U55</f>
        <v/>
      </c>
      <c r="K55" s="9">
        <f>Y55</f>
        <v/>
      </c>
      <c r="L55" s="9">
        <f>AC55</f>
        <v/>
      </c>
      <c r="M55" s="9">
        <f>AG55</f>
        <v/>
      </c>
      <c r="N55" s="9">
        <f>AK55</f>
        <v/>
      </c>
      <c r="O55" s="9">
        <f>AO55</f>
        <v/>
      </c>
      <c r="P55" s="106" t="n"/>
      <c r="R55" s="10" t="n">
        <v>3443.868</v>
      </c>
      <c r="S55" s="10" t="n">
        <v>3549.066</v>
      </c>
      <c r="T55" s="10" t="n">
        <v>3561.5</v>
      </c>
      <c r="U55" s="10" t="n">
        <v>3539.802</v>
      </c>
      <c r="V55" s="10" t="n">
        <v>3792.44</v>
      </c>
      <c r="W55" s="10" t="n">
        <v>3796.418</v>
      </c>
      <c r="X55" s="10" t="n">
        <v>3793.732</v>
      </c>
      <c r="Y55" s="10" t="n">
        <v>3777.11</v>
      </c>
      <c r="Z55" s="10" t="n">
        <v>3776.784</v>
      </c>
      <c r="AA55" s="10" t="n">
        <v>3976.025</v>
      </c>
      <c r="AB55" s="10" t="n">
        <v>3958.144</v>
      </c>
      <c r="AC55" s="10" t="n">
        <v>3917.07</v>
      </c>
      <c r="AD55" s="10" t="n">
        <v>3881.273</v>
      </c>
      <c r="AE55" s="10" t="n">
        <v>3862.806</v>
      </c>
      <c r="AF55" s="10" t="n">
        <v>3705.247</v>
      </c>
      <c r="AG55" s="10" t="n">
        <v>3678.514999999999</v>
      </c>
      <c r="AH55" s="10" t="n">
        <v>3660.314</v>
      </c>
      <c r="AI55" s="10" t="n">
        <v>3652.652</v>
      </c>
      <c r="AJ55" s="10" t="n">
        <v>3640.69</v>
      </c>
      <c r="AK55" s="10" t="n">
        <v>3633.462</v>
      </c>
      <c r="AL55" s="10" t="n">
        <v>3665.51</v>
      </c>
      <c r="AM55" s="10" t="n">
        <v>3697.939</v>
      </c>
      <c r="AN55" s="10" t="n">
        <v>3782.124</v>
      </c>
      <c r="AO55" s="10" t="n">
        <v>3861.105</v>
      </c>
      <c r="AP55" s="10" t="n">
        <v>3883.321</v>
      </c>
      <c r="AQ55" s="106" t="n"/>
      <c r="AR55" s="106" t="n"/>
      <c r="AS55" s="106" t="n"/>
      <c r="AT55" s="106" t="n"/>
      <c r="AU55" s="106" t="n"/>
      <c r="AV55" s="106" t="n"/>
      <c r="AW55" s="106" t="n"/>
    </row>
    <row r="56">
      <c r="B56" t="inlineStr">
        <is>
          <t>Operating Leases ROU</t>
        </is>
      </c>
      <c r="G56" s="57">
        <f>OFFSET(R56,0,MATCH($G$2,$R$3:$AW$3,0)-1)</f>
        <v/>
      </c>
      <c r="H56" s="33">
        <f>G56</f>
        <v/>
      </c>
      <c r="J56" s="9">
        <f>U56</f>
        <v/>
      </c>
      <c r="K56" s="9">
        <f>Y56</f>
        <v/>
      </c>
      <c r="L56" s="9">
        <f>AC56</f>
        <v/>
      </c>
      <c r="M56" s="9">
        <f>AG56</f>
        <v/>
      </c>
      <c r="N56" s="9">
        <f>AK56</f>
        <v/>
      </c>
      <c r="O56" s="9">
        <f>AO56</f>
        <v/>
      </c>
      <c r="P56" s="106" t="n"/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159.704</v>
      </c>
      <c r="W56" s="10" t="n">
        <v>158.917</v>
      </c>
      <c r="X56" s="10" t="n">
        <v>156.798</v>
      </c>
      <c r="Y56" s="10" t="n">
        <v>159.641</v>
      </c>
      <c r="Z56" s="10" t="n">
        <v>157.33</v>
      </c>
      <c r="AA56" s="10" t="n">
        <v>183.048</v>
      </c>
      <c r="AB56" s="10" t="n">
        <v>178.714</v>
      </c>
      <c r="AC56" s="10" t="n">
        <v>174.317</v>
      </c>
      <c r="AD56" s="10" t="n">
        <v>172.198</v>
      </c>
      <c r="AE56" s="10" t="n">
        <v>164.911</v>
      </c>
      <c r="AF56" s="10" t="n">
        <v>159.627</v>
      </c>
      <c r="AG56" s="10" t="n">
        <v>167.73</v>
      </c>
      <c r="AH56" s="10" t="n">
        <v>164.986</v>
      </c>
      <c r="AI56" s="10" t="n">
        <v>159.968</v>
      </c>
      <c r="AJ56" s="10" t="n">
        <v>153.723</v>
      </c>
      <c r="AK56" s="10" t="n">
        <v>154.507</v>
      </c>
      <c r="AL56" s="10" t="n">
        <v>155.306</v>
      </c>
      <c r="AM56" s="10" t="n">
        <v>152.504</v>
      </c>
      <c r="AN56" s="10" t="n">
        <v>155.098</v>
      </c>
      <c r="AO56" s="10" t="n">
        <v>152.216</v>
      </c>
      <c r="AP56" s="10" t="n">
        <v>149.412</v>
      </c>
      <c r="AQ56" s="106" t="n"/>
      <c r="AR56" s="106" t="n"/>
      <c r="AS56" s="106" t="n"/>
      <c r="AT56" s="106" t="n"/>
      <c r="AU56" s="106" t="n"/>
      <c r="AV56" s="106" t="n"/>
      <c r="AW56" s="106" t="n"/>
    </row>
    <row r="57">
      <c r="B57" t="inlineStr">
        <is>
          <t>Goodwill</t>
        </is>
      </c>
      <c r="G57" s="57">
        <f>OFFSET(R57,0,MATCH($G$2,$R$3:$AW$3,0)-1)</f>
        <v/>
      </c>
      <c r="H57" s="33">
        <f>G57</f>
        <v/>
      </c>
      <c r="J57" s="9">
        <f>U57</f>
        <v/>
      </c>
      <c r="K57" s="9">
        <f>Y57</f>
        <v/>
      </c>
      <c r="L57" s="9">
        <f>AC57</f>
        <v/>
      </c>
      <c r="M57" s="9">
        <f>AG57</f>
        <v/>
      </c>
      <c r="N57" s="9">
        <f>AK57</f>
        <v/>
      </c>
      <c r="O57" s="9">
        <f>AO57</f>
        <v/>
      </c>
      <c r="P57" s="106" t="n"/>
      <c r="R57" s="10" t="n">
        <v>0</v>
      </c>
      <c r="S57" s="10" t="n">
        <v>0</v>
      </c>
      <c r="T57" s="10" t="n">
        <v>0</v>
      </c>
      <c r="U57" s="10" t="n">
        <v>2.495</v>
      </c>
      <c r="V57" s="10" t="n">
        <v>0</v>
      </c>
      <c r="W57" s="10" t="n">
        <v>0</v>
      </c>
      <c r="X57" s="10" t="n">
        <v>0</v>
      </c>
      <c r="Y57" s="10" t="n">
        <v>2.025</v>
      </c>
      <c r="Z57" s="10" t="n">
        <v>0</v>
      </c>
      <c r="AA57" s="10" t="n">
        <v>0</v>
      </c>
      <c r="AB57" s="10" t="n">
        <v>0</v>
      </c>
      <c r="AC57" s="10" t="n">
        <v>2.689</v>
      </c>
      <c r="AD57" s="10" t="n">
        <v>0</v>
      </c>
      <c r="AE57" s="10" t="n">
        <v>0</v>
      </c>
      <c r="AF57" s="10" t="n">
        <v>0</v>
      </c>
      <c r="AG57" s="10" t="n">
        <v>2.134</v>
      </c>
      <c r="AH57" s="10" t="n">
        <v>2.41</v>
      </c>
      <c r="AI57" s="10" t="n">
        <v>0</v>
      </c>
      <c r="AJ57" s="10" t="n">
        <v>0</v>
      </c>
      <c r="AK57" s="10" t="n">
        <v>2.171</v>
      </c>
      <c r="AL57" s="10" t="n">
        <v>0</v>
      </c>
      <c r="AM57" s="10" t="n">
        <v>0</v>
      </c>
      <c r="AN57" s="10" t="n">
        <v>0</v>
      </c>
      <c r="AO57" s="10" t="n">
        <v>2.576</v>
      </c>
      <c r="AP57" s="10" t="n">
        <v>438.748</v>
      </c>
      <c r="AQ57" s="106" t="n"/>
      <c r="AR57" s="106" t="n"/>
      <c r="AS57" s="106" t="n"/>
      <c r="AT57" s="106" t="n"/>
      <c r="AU57" s="106" t="n"/>
      <c r="AV57" s="106" t="n"/>
      <c r="AW57" s="106" t="n"/>
    </row>
    <row r="58">
      <c r="B58" t="inlineStr">
        <is>
          <t>Other Intangibles</t>
        </is>
      </c>
      <c r="G58" s="57">
        <f>OFFSET(R58,0,MATCH($G$2,$R$3:$AW$3,0)-1)</f>
        <v/>
      </c>
      <c r="H58" s="33">
        <f>G58</f>
        <v/>
      </c>
      <c r="J58" s="9">
        <f>U58</f>
        <v/>
      </c>
      <c r="K58" s="9">
        <f>Y58</f>
        <v/>
      </c>
      <c r="L58" s="9">
        <f>AC58</f>
        <v/>
      </c>
      <c r="M58" s="9">
        <f>AG58</f>
        <v/>
      </c>
      <c r="N58" s="9">
        <f>AK58</f>
        <v/>
      </c>
      <c r="O58" s="9">
        <f>AO58</f>
        <v/>
      </c>
      <c r="P58" s="106" t="n"/>
      <c r="R58" s="10" t="n">
        <v>935.755</v>
      </c>
      <c r="S58" s="10" t="n">
        <v>961.745</v>
      </c>
      <c r="T58" s="10" t="n">
        <v>960.006</v>
      </c>
      <c r="U58" s="10" t="n">
        <v>953.826</v>
      </c>
      <c r="V58" s="10" t="n">
        <v>953.826</v>
      </c>
      <c r="W58" s="10" t="n">
        <v>953.826</v>
      </c>
      <c r="X58" s="10" t="n">
        <v>953.826</v>
      </c>
      <c r="Y58" s="10" t="n">
        <v>953.826</v>
      </c>
      <c r="Z58" s="10" t="n">
        <v>704.098</v>
      </c>
      <c r="AA58" s="10" t="n">
        <v>657.832</v>
      </c>
      <c r="AB58" s="10" t="n">
        <v>657.8</v>
      </c>
      <c r="AC58" s="10" t="n">
        <v>657.8</v>
      </c>
      <c r="AD58" s="10" t="n">
        <v>657.8</v>
      </c>
      <c r="AE58" s="10" t="n">
        <v>657.8</v>
      </c>
      <c r="AF58" s="10" t="n">
        <v>438.748</v>
      </c>
      <c r="AG58" s="10" t="n">
        <v>438.748</v>
      </c>
      <c r="AH58" s="10" t="n">
        <v>438.748</v>
      </c>
      <c r="AI58" s="10" t="n">
        <v>438.748</v>
      </c>
      <c r="AJ58" s="10" t="n">
        <v>438.748</v>
      </c>
      <c r="AK58" s="10" t="n">
        <v>438.748</v>
      </c>
      <c r="AL58" s="10" t="n">
        <v>438.748</v>
      </c>
      <c r="AM58" s="10" t="n">
        <v>438.748</v>
      </c>
      <c r="AN58" s="10" t="n">
        <v>438.748</v>
      </c>
      <c r="AO58" s="10" t="n">
        <v>438.748</v>
      </c>
      <c r="AP58" s="10" t="n">
        <v>40.797</v>
      </c>
      <c r="AQ58" s="106" t="n"/>
      <c r="AR58" s="106" t="n"/>
      <c r="AS58" s="106" t="n"/>
      <c r="AT58" s="106" t="n"/>
      <c r="AU58" s="106" t="n"/>
      <c r="AV58" s="106" t="n"/>
      <c r="AW58" s="106" t="n"/>
    </row>
    <row r="59">
      <c r="B59" s="7" t="inlineStr">
        <is>
          <t>Other assets</t>
        </is>
      </c>
      <c r="C59" s="7" t="n"/>
      <c r="D59" s="7" t="n"/>
      <c r="E59" s="7" t="n"/>
      <c r="F59" s="7" t="n"/>
      <c r="G59" s="58">
        <f>OFFSET(R59,0,MATCH($G$2,$R$3:$AW$3,0)-1)</f>
        <v/>
      </c>
      <c r="H59" s="46">
        <f>G59</f>
        <v/>
      </c>
      <c r="I59" s="7" t="n"/>
      <c r="J59" s="11">
        <f>U59</f>
        <v/>
      </c>
      <c r="K59" s="11">
        <f>Y59</f>
        <v/>
      </c>
      <c r="L59" s="11">
        <f>AC59</f>
        <v/>
      </c>
      <c r="M59" s="11">
        <f>AG59</f>
        <v/>
      </c>
      <c r="N59" s="11">
        <f>AK59</f>
        <v/>
      </c>
      <c r="O59" s="11">
        <f>AO59</f>
        <v/>
      </c>
      <c r="P59" s="107" t="n"/>
      <c r="Q59" s="7" t="n"/>
      <c r="R59" s="12" t="n">
        <v>278.223</v>
      </c>
      <c r="S59" s="12" t="n">
        <v>283.133</v>
      </c>
      <c r="T59" s="12" t="n">
        <v>278.307</v>
      </c>
      <c r="U59" s="12" t="n">
        <v>278.982</v>
      </c>
      <c r="V59" s="12" t="n">
        <v>276.47</v>
      </c>
      <c r="W59" s="12" t="n">
        <v>269.465</v>
      </c>
      <c r="X59" s="12" t="n">
        <v>264.996</v>
      </c>
      <c r="Y59" s="12" t="n">
        <v>268.916</v>
      </c>
      <c r="Z59" s="12" t="n">
        <v>131.349</v>
      </c>
      <c r="AA59" s="12" t="n">
        <v>121.792</v>
      </c>
      <c r="AB59" s="12" t="n">
        <v>125.743</v>
      </c>
      <c r="AC59" s="12" t="n">
        <v>124.327</v>
      </c>
      <c r="AD59" s="12" t="n">
        <v>118.298</v>
      </c>
      <c r="AE59" s="12" t="n">
        <v>119.155</v>
      </c>
      <c r="AF59" s="12" t="n">
        <v>107.669</v>
      </c>
      <c r="AG59" s="12" t="n">
        <v>108.071</v>
      </c>
      <c r="AH59" s="12" t="n">
        <v>103.413</v>
      </c>
      <c r="AI59" s="12" t="n">
        <v>101.533</v>
      </c>
      <c r="AJ59" s="12" t="n">
        <v>96.755</v>
      </c>
      <c r="AK59" s="12" t="n">
        <v>114.277</v>
      </c>
      <c r="AL59" s="12" t="n">
        <v>114.818</v>
      </c>
      <c r="AM59" s="12" t="n">
        <v>116.732</v>
      </c>
      <c r="AN59" s="12" t="n">
        <v>111.339</v>
      </c>
      <c r="AO59" s="12" t="n">
        <v>132.391</v>
      </c>
      <c r="AP59" s="12" t="n">
        <v>88.081</v>
      </c>
      <c r="AQ59" s="107" t="n"/>
      <c r="AR59" s="107" t="n"/>
      <c r="AS59" s="107" t="n"/>
      <c r="AT59" s="107" t="n"/>
      <c r="AU59" s="107" t="n"/>
      <c r="AV59" s="107" t="n"/>
      <c r="AW59" s="107" t="n"/>
    </row>
    <row r="60">
      <c r="B60" s="1" t="inlineStr">
        <is>
          <t>Total Assets</t>
        </is>
      </c>
      <c r="G60" s="59">
        <f>G53+SUM(G55:G59)</f>
        <v/>
      </c>
      <c r="H60" s="32">
        <f>H53+SUM(H55:H59)</f>
        <v/>
      </c>
      <c r="J60" s="13">
        <f>J53+SUM(J55:J59)</f>
        <v/>
      </c>
      <c r="K60" s="13">
        <f>K53+SUM(K55:K59)</f>
        <v/>
      </c>
      <c r="L60" s="13">
        <f>L53+SUM(L55:L59)</f>
        <v/>
      </c>
      <c r="M60" s="13">
        <f>M53+SUM(M55:M59)</f>
        <v/>
      </c>
      <c r="N60" s="13">
        <f>N53+SUM(N55:N59)</f>
        <v/>
      </c>
      <c r="O60" s="13">
        <f>O53+SUM(O55:O59)</f>
        <v/>
      </c>
      <c r="P60" s="106" t="n"/>
      <c r="R60" s="13">
        <f>R53+SUM(R55:R59)</f>
        <v/>
      </c>
      <c r="S60" s="13">
        <f>S53+SUM(S55:S59)</f>
        <v/>
      </c>
      <c r="T60" s="13">
        <f>T53+SUM(T55:T59)</f>
        <v/>
      </c>
      <c r="U60" s="13">
        <f>U53+SUM(U55:U59)</f>
        <v/>
      </c>
      <c r="V60" s="13">
        <f>V53+SUM(V55:V59)</f>
        <v/>
      </c>
      <c r="W60" s="13">
        <f>W53+SUM(W55:W59)</f>
        <v/>
      </c>
      <c r="X60" s="13">
        <f>X53+SUM(X55:X59)</f>
        <v/>
      </c>
      <c r="Y60" s="13">
        <f>Y53+SUM(Y55:Y59)</f>
        <v/>
      </c>
      <c r="Z60" s="13">
        <f>Z53+SUM(Z55:Z59)</f>
        <v/>
      </c>
      <c r="AA60" s="13">
        <f>AA53+SUM(AA55:AA59)</f>
        <v/>
      </c>
      <c r="AB60" s="13">
        <f>AB53+SUM(AB55:AB59)</f>
        <v/>
      </c>
      <c r="AC60" s="13">
        <f>AC53+SUM(AC55:AC59)</f>
        <v/>
      </c>
      <c r="AD60" s="13">
        <f>AD53+SUM(AD55:AD59)</f>
        <v/>
      </c>
      <c r="AE60" s="13">
        <f>AE53+SUM(AE55:AE59)</f>
        <v/>
      </c>
      <c r="AF60" s="13">
        <f>AF53+SUM(AF55:AF59)</f>
        <v/>
      </c>
      <c r="AG60" s="13">
        <f>AG53+SUM(AG55:AG59)</f>
        <v/>
      </c>
      <c r="AH60" s="13">
        <f>AH53+SUM(AH55:AH59)</f>
        <v/>
      </c>
      <c r="AI60" s="13">
        <f>AI53+SUM(AI55:AI59)</f>
        <v/>
      </c>
      <c r="AJ60" s="13">
        <f>AJ53+SUM(AJ55:AJ59)</f>
        <v/>
      </c>
      <c r="AK60" s="13">
        <f>AK53+SUM(AK55:AK59)</f>
        <v/>
      </c>
      <c r="AL60" s="13">
        <f>AL53+SUM(AL55:AL59)</f>
        <v/>
      </c>
      <c r="AM60" s="13">
        <f>AM53+SUM(AM55:AM59)</f>
        <v/>
      </c>
      <c r="AN60" s="13">
        <f>AN53+SUM(AN55:AN59)</f>
        <v/>
      </c>
      <c r="AO60" s="13">
        <f>AO53+SUM(AO55:AO59)</f>
        <v/>
      </c>
      <c r="AP60" s="13">
        <f>AP53+SUM(AP55:AP59)</f>
        <v/>
      </c>
      <c r="AQ60" s="106" t="n"/>
      <c r="AR60" s="106" t="n"/>
      <c r="AS60" s="106" t="n"/>
      <c r="AT60" s="106" t="n"/>
      <c r="AU60" s="106" t="n"/>
      <c r="AV60" s="106" t="n"/>
      <c r="AW60" s="106" t="n"/>
    </row>
    <row r="61">
      <c r="G61" s="108" t="n"/>
      <c r="H61" s="30" t="n"/>
      <c r="P61" s="106" t="n"/>
      <c r="AQ61" s="106" t="n"/>
      <c r="AR61" s="106" t="n"/>
      <c r="AS61" s="106" t="n"/>
      <c r="AT61" s="106" t="n"/>
      <c r="AU61" s="106" t="n"/>
      <c r="AV61" s="106" t="n"/>
      <c r="AW61" s="106" t="n"/>
    </row>
    <row r="62">
      <c r="B62" t="inlineStr">
        <is>
          <t>Current portion of debt</t>
        </is>
      </c>
      <c r="G62" s="57">
        <f>OFFSET(R62,0,MATCH($G$2,$R$3:$AW$3,0)-1)</f>
        <v/>
      </c>
      <c r="H62" s="33">
        <f>G62</f>
        <v/>
      </c>
      <c r="J62" s="9">
        <f>U62</f>
        <v/>
      </c>
      <c r="K62" s="9">
        <f>Y62</f>
        <v/>
      </c>
      <c r="L62" s="9">
        <f>AC62</f>
        <v/>
      </c>
      <c r="M62" s="9">
        <f>AG62</f>
        <v/>
      </c>
      <c r="N62" s="9">
        <f>AK62</f>
        <v/>
      </c>
      <c r="O62" s="9">
        <f>AO62</f>
        <v/>
      </c>
      <c r="P62" s="106" t="n"/>
      <c r="R62" s="10" t="n">
        <v>0.027</v>
      </c>
      <c r="S62" s="10" t="n">
        <v>0.017</v>
      </c>
      <c r="T62" s="10" t="n">
        <v>0.508</v>
      </c>
      <c r="U62" s="10" t="n">
        <v>0.019</v>
      </c>
      <c r="V62" s="10" t="n">
        <v>0.017</v>
      </c>
      <c r="W62" s="10" t="n">
        <v>0.011</v>
      </c>
      <c r="X62" s="10" t="n">
        <v>0.015</v>
      </c>
      <c r="Y62" s="10" t="n">
        <v>0.016</v>
      </c>
      <c r="Z62" s="10" t="n">
        <v>0</v>
      </c>
      <c r="AA62" s="10" t="n">
        <v>0.007</v>
      </c>
      <c r="AB62" s="10" t="n">
        <v>0.155</v>
      </c>
      <c r="AC62" s="10" t="n">
        <v>0.04</v>
      </c>
      <c r="AD62" s="10" t="n">
        <v>0.434</v>
      </c>
      <c r="AE62" s="10" t="n">
        <v>1.417</v>
      </c>
      <c r="AF62" s="10" t="n">
        <v>1.983</v>
      </c>
      <c r="AG62" s="10" t="n">
        <v>1.934</v>
      </c>
      <c r="AH62" s="10" t="n">
        <v>3.097</v>
      </c>
      <c r="AI62" s="10" t="n">
        <v>4.206</v>
      </c>
      <c r="AJ62" s="10" t="n">
        <v>3.599</v>
      </c>
      <c r="AK62" s="10" t="n">
        <v>3.292</v>
      </c>
      <c r="AL62" s="10" t="n">
        <v>3.983</v>
      </c>
      <c r="AM62" s="10" t="n">
        <v>7.447</v>
      </c>
      <c r="AN62" s="10" t="n">
        <v>9.608000000000001</v>
      </c>
      <c r="AO62" s="10" t="n">
        <v>8.068</v>
      </c>
      <c r="AP62" s="10" t="n">
        <v>8.643000000000001</v>
      </c>
      <c r="AQ62" s="106" t="n"/>
      <c r="AR62" s="106" t="n"/>
      <c r="AS62" s="106" t="n"/>
      <c r="AT62" s="106" t="n"/>
      <c r="AU62" s="106" t="n"/>
      <c r="AV62" s="106" t="n"/>
      <c r="AW62" s="106" t="n"/>
    </row>
    <row r="63">
      <c r="B63" t="inlineStr">
        <is>
          <t>Income Taxes Payable</t>
        </is>
      </c>
      <c r="G63" s="57">
        <f>OFFSET(R63,0,MATCH($G$2,$R$3:$AW$3,0)-1)</f>
        <v/>
      </c>
      <c r="H63" s="33">
        <f>G63</f>
        <v/>
      </c>
      <c r="J63" s="9">
        <f>U63</f>
        <v/>
      </c>
      <c r="K63" s="9">
        <f>Y63</f>
        <v/>
      </c>
      <c r="L63" s="9">
        <f>AC63</f>
        <v/>
      </c>
      <c r="M63" s="9">
        <f>AG63</f>
        <v/>
      </c>
      <c r="N63" s="9">
        <f>AK63</f>
        <v/>
      </c>
      <c r="O63" s="9">
        <f>AO63</f>
        <v/>
      </c>
      <c r="P63" s="106" t="n"/>
      <c r="R63" s="10" t="n">
        <v>1.936</v>
      </c>
      <c r="S63" s="10" t="n">
        <v>2.875</v>
      </c>
      <c r="T63" s="10" t="n">
        <v>3.765</v>
      </c>
      <c r="U63" s="10" t="n">
        <v>2.794</v>
      </c>
      <c r="V63" s="10" t="n">
        <v>1.441</v>
      </c>
      <c r="W63" s="10" t="n">
        <v>0.312</v>
      </c>
      <c r="X63" s="10" t="n">
        <v>1.196</v>
      </c>
      <c r="Y63" s="10" t="n">
        <v>0.665</v>
      </c>
      <c r="Z63" s="10" t="n">
        <v>0.698</v>
      </c>
      <c r="AA63" s="10" t="n">
        <v>0.694</v>
      </c>
      <c r="AB63" s="10" t="n">
        <v>0.459</v>
      </c>
      <c r="AC63" s="10" t="n">
        <v>0.474</v>
      </c>
      <c r="AD63" s="10" t="n">
        <v>0.489</v>
      </c>
      <c r="AE63" s="10" t="n">
        <v>0.497</v>
      </c>
      <c r="AF63" s="10" t="n">
        <v>0.499</v>
      </c>
      <c r="AG63" s="10" t="n">
        <v>0</v>
      </c>
      <c r="AH63" s="10" t="n">
        <v>0.093</v>
      </c>
      <c r="AI63" s="10" t="n">
        <v>0</v>
      </c>
      <c r="AJ63" s="10" t="n">
        <v>0</v>
      </c>
      <c r="AK63" s="10" t="n">
        <v>0.323</v>
      </c>
      <c r="AL63" s="10" t="n">
        <v>1.106</v>
      </c>
      <c r="AM63" s="10" t="n">
        <v>0</v>
      </c>
      <c r="AN63" s="10" t="n">
        <v>2.247</v>
      </c>
      <c r="AO63" s="10" t="n">
        <v>1.486</v>
      </c>
      <c r="AP63" s="10" t="n">
        <v>11.252</v>
      </c>
      <c r="AQ63" s="106" t="n"/>
      <c r="AR63" s="106" t="n"/>
      <c r="AS63" s="106" t="n"/>
      <c r="AT63" s="106" t="n"/>
      <c r="AU63" s="106" t="n"/>
      <c r="AV63" s="106" t="n"/>
      <c r="AW63" s="106" t="n"/>
    </row>
    <row r="64">
      <c r="B64" t="inlineStr">
        <is>
          <t>Accounts Payable</t>
        </is>
      </c>
      <c r="G64" s="57">
        <f>OFFSET(R64,0,MATCH($G$2,$R$3:$AW$3,0)-1)</f>
        <v/>
      </c>
      <c r="H64" s="33">
        <f>G64</f>
        <v/>
      </c>
      <c r="J64" s="9">
        <f>U64</f>
        <v/>
      </c>
      <c r="K64" s="9">
        <f>Y64</f>
        <v/>
      </c>
      <c r="L64" s="9">
        <f>AC64</f>
        <v/>
      </c>
      <c r="M64" s="9">
        <f>AG64</f>
        <v/>
      </c>
      <c r="N64" s="9">
        <f>AK64</f>
        <v/>
      </c>
      <c r="O64" s="9">
        <f>AO64</f>
        <v/>
      </c>
      <c r="P64" s="106" t="n"/>
      <c r="R64" s="10" t="n">
        <v>251.916</v>
      </c>
      <c r="S64" s="10" t="n">
        <v>263.47</v>
      </c>
      <c r="T64" s="10" t="n">
        <v>250.681</v>
      </c>
      <c r="U64" s="10" t="n">
        <v>278.057</v>
      </c>
      <c r="V64" s="10" t="n">
        <v>275.57</v>
      </c>
      <c r="W64" s="10" t="n">
        <v>212.147</v>
      </c>
      <c r="X64" s="10" t="n">
        <v>212.279</v>
      </c>
      <c r="Y64" s="10" t="n">
        <v>206.778</v>
      </c>
      <c r="Z64" s="10" t="n">
        <v>227.02</v>
      </c>
      <c r="AA64" s="10" t="n">
        <v>177.29</v>
      </c>
      <c r="AB64" s="10" t="n">
        <v>156.95</v>
      </c>
      <c r="AC64" s="10" t="n">
        <v>162.507</v>
      </c>
      <c r="AD64" s="10" t="n">
        <v>175.89</v>
      </c>
      <c r="AE64" s="10" t="n">
        <v>188.724</v>
      </c>
      <c r="AF64" s="10" t="n">
        <v>181.313</v>
      </c>
      <c r="AG64" s="10" t="n">
        <v>199.088</v>
      </c>
      <c r="AH64" s="10" t="n">
        <v>218.907</v>
      </c>
      <c r="AI64" s="10" t="n">
        <v>234.64</v>
      </c>
      <c r="AJ64" s="10" t="n">
        <v>241.623</v>
      </c>
      <c r="AK64" s="10" t="n">
        <v>278.081</v>
      </c>
      <c r="AL64" s="10" t="n">
        <v>278.467</v>
      </c>
      <c r="AM64" s="10" t="n">
        <v>279.519</v>
      </c>
      <c r="AN64" s="10" t="n">
        <v>258.126</v>
      </c>
      <c r="AO64" s="10" t="n">
        <v>269.378</v>
      </c>
      <c r="AP64" s="10" t="n">
        <v>249.644</v>
      </c>
      <c r="AQ64" s="106" t="n"/>
      <c r="AR64" s="106" t="n"/>
      <c r="AS64" s="106" t="n"/>
      <c r="AT64" s="106" t="n"/>
      <c r="AU64" s="106" t="n"/>
      <c r="AV64" s="106" t="n"/>
      <c r="AW64" s="106" t="n"/>
    </row>
    <row r="65">
      <c r="B65" t="inlineStr">
        <is>
          <t>Accrued Liabilities</t>
        </is>
      </c>
      <c r="G65" s="57">
        <f>OFFSET(R65,0,MATCH($G$2,$R$3:$AW$3,0)-1)</f>
        <v/>
      </c>
      <c r="H65" s="33">
        <f>G65</f>
        <v/>
      </c>
      <c r="J65" s="9">
        <f>U65</f>
        <v/>
      </c>
      <c r="K65" s="9">
        <f>Y65</f>
        <v/>
      </c>
      <c r="L65" s="9">
        <f>AC65</f>
        <v/>
      </c>
      <c r="M65" s="9">
        <f>AG65</f>
        <v/>
      </c>
      <c r="N65" s="9">
        <f>AK65</f>
        <v/>
      </c>
      <c r="O65" s="9">
        <f>AO65</f>
        <v/>
      </c>
      <c r="P65" s="106" t="n"/>
      <c r="R65" s="10" t="n">
        <v>196.063</v>
      </c>
      <c r="S65" s="10" t="n">
        <v>228.791</v>
      </c>
      <c r="T65" s="10" t="n">
        <v>237.129</v>
      </c>
      <c r="U65" s="10" t="n">
        <v>246.789</v>
      </c>
      <c r="V65" s="10" t="n">
        <v>204.724</v>
      </c>
      <c r="W65" s="10" t="n">
        <v>225.232</v>
      </c>
      <c r="X65" s="10" t="n">
        <v>225.402</v>
      </c>
      <c r="Y65" s="10" t="n">
        <v>236.35</v>
      </c>
      <c r="Z65" s="10" t="n">
        <v>205.667</v>
      </c>
      <c r="AA65" s="10" t="n">
        <v>230.296</v>
      </c>
      <c r="AB65" s="10" t="n">
        <v>228.764</v>
      </c>
      <c r="AC65" s="10" t="n">
        <v>224.855</v>
      </c>
      <c r="AD65" s="10" t="n">
        <v>198.487</v>
      </c>
      <c r="AE65" s="10" t="n">
        <v>231.603</v>
      </c>
      <c r="AF65" s="10" t="n">
        <v>228.375</v>
      </c>
      <c r="AG65" s="10" t="n">
        <v>236.078</v>
      </c>
      <c r="AH65" s="10" t="n">
        <v>188.302</v>
      </c>
      <c r="AI65" s="10" t="n">
        <v>198.191</v>
      </c>
      <c r="AJ65" s="10" t="n">
        <v>209.724</v>
      </c>
      <c r="AK65" s="10" t="n">
        <v>204.752</v>
      </c>
      <c r="AL65" s="10" t="n">
        <v>173.992</v>
      </c>
      <c r="AM65" s="10" t="n">
        <v>205.254</v>
      </c>
      <c r="AN65" s="10" t="n">
        <v>199.124</v>
      </c>
      <c r="AO65" s="10" t="n">
        <v>228.946</v>
      </c>
      <c r="AP65" s="10" t="n">
        <v>194.819</v>
      </c>
      <c r="AQ65" s="106" t="n"/>
      <c r="AR65" s="106" t="n"/>
      <c r="AS65" s="106" t="n"/>
      <c r="AT65" s="106" t="n"/>
      <c r="AU65" s="106" t="n"/>
      <c r="AV65" s="106" t="n"/>
      <c r="AW65" s="106" t="n"/>
    </row>
    <row r="66">
      <c r="B66" t="inlineStr">
        <is>
          <t>Current Op Lease Liabilities</t>
        </is>
      </c>
      <c r="G66" s="57">
        <f>OFFSET(R66,0,MATCH($G$2,$R$3:$AW$3,0)-1)</f>
        <v/>
      </c>
      <c r="H66" s="33">
        <f>G66</f>
        <v/>
      </c>
      <c r="J66" s="9">
        <f>U66</f>
        <v/>
      </c>
      <c r="K66" s="9">
        <f>Y66</f>
        <v/>
      </c>
      <c r="L66" s="9">
        <f>AC66</f>
        <v/>
      </c>
      <c r="M66" s="9">
        <f>AG66</f>
        <v/>
      </c>
      <c r="N66" s="9">
        <f>AK66</f>
        <v/>
      </c>
      <c r="O66" s="9">
        <f>AO66</f>
        <v/>
      </c>
      <c r="P66" s="106" t="n"/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28.586</v>
      </c>
      <c r="W66" s="10" t="n">
        <v>29.422</v>
      </c>
      <c r="X66" s="10" t="n">
        <v>29.001</v>
      </c>
      <c r="Y66" s="10" t="n">
        <v>27.324</v>
      </c>
      <c r="Z66" s="10" t="n">
        <v>25.92</v>
      </c>
      <c r="AA66" s="10" t="n">
        <v>33.761</v>
      </c>
      <c r="AB66" s="10" t="n">
        <v>32.545</v>
      </c>
      <c r="AC66" s="10" t="n">
        <v>32.75</v>
      </c>
      <c r="AD66" s="10" t="n">
        <v>32.722</v>
      </c>
      <c r="AE66" s="10" t="n">
        <v>31.963</v>
      </c>
      <c r="AF66" s="10" t="n">
        <v>32.813</v>
      </c>
      <c r="AG66" s="10" t="n">
        <v>33.902</v>
      </c>
      <c r="AH66" s="10" t="n">
        <v>34.454</v>
      </c>
      <c r="AI66" s="10" t="n">
        <v>34.667</v>
      </c>
      <c r="AJ66" s="10" t="n">
        <v>33.495</v>
      </c>
      <c r="AK66" s="10" t="n">
        <v>36.444</v>
      </c>
      <c r="AL66" s="10" t="n">
        <v>32.885</v>
      </c>
      <c r="AM66" s="10" t="n">
        <v>33.134</v>
      </c>
      <c r="AN66" s="10" t="n">
        <v>32.17</v>
      </c>
      <c r="AO66" s="10" t="n">
        <v>33.34</v>
      </c>
      <c r="AP66" s="10" t="n">
        <v>32.601</v>
      </c>
      <c r="AQ66" s="106" t="n"/>
      <c r="AR66" s="106" t="n"/>
      <c r="AS66" s="106" t="n"/>
      <c r="AT66" s="106" t="n"/>
      <c r="AU66" s="106" t="n"/>
      <c r="AV66" s="106" t="n"/>
      <c r="AW66" s="106" t="n"/>
    </row>
    <row r="67">
      <c r="B67" s="7" t="inlineStr">
        <is>
          <t>Deferred Revenues</t>
        </is>
      </c>
      <c r="C67" s="7" t="n"/>
      <c r="D67" s="7" t="n"/>
      <c r="E67" s="7" t="n"/>
      <c r="F67" s="7" t="n"/>
      <c r="G67" s="58">
        <f>OFFSET(R67,0,MATCH($G$2,$R$3:$AW$3,0)-1)</f>
        <v/>
      </c>
      <c r="H67" s="46">
        <f>G67</f>
        <v/>
      </c>
      <c r="I67" s="7" t="n"/>
      <c r="J67" s="11">
        <f>U67</f>
        <v/>
      </c>
      <c r="K67" s="11">
        <f>Y67</f>
        <v/>
      </c>
      <c r="L67" s="11">
        <f>AC67</f>
        <v/>
      </c>
      <c r="M67" s="11">
        <f>AG67</f>
        <v/>
      </c>
      <c r="N67" s="11">
        <f>AK67</f>
        <v/>
      </c>
      <c r="O67" s="11">
        <f>AO67</f>
        <v/>
      </c>
      <c r="P67" s="107" t="n"/>
      <c r="Q67" s="7" t="n"/>
      <c r="R67" s="12" t="n">
        <v>81.21599999999999</v>
      </c>
      <c r="S67" s="12" t="n">
        <v>61.165</v>
      </c>
      <c r="T67" s="12" t="n">
        <v>75.843</v>
      </c>
      <c r="U67" s="12" t="n">
        <v>80.123</v>
      </c>
      <c r="V67" s="12" t="n">
        <v>72.386</v>
      </c>
      <c r="W67" s="12" t="n">
        <v>58.909</v>
      </c>
      <c r="X67" s="12" t="n">
        <v>49.098</v>
      </c>
      <c r="Y67" s="12" t="n">
        <v>42.982</v>
      </c>
      <c r="Z67" s="12" t="n">
        <v>37.027</v>
      </c>
      <c r="AA67" s="12" t="n">
        <v>36.648</v>
      </c>
      <c r="AB67" s="12" t="n">
        <v>31.192</v>
      </c>
      <c r="AC67" s="12" t="n">
        <v>45.406</v>
      </c>
      <c r="AD67" s="12" t="n">
        <v>45.421</v>
      </c>
      <c r="AE67" s="12" t="n">
        <v>44.018</v>
      </c>
      <c r="AF67" s="12" t="n">
        <v>67.214</v>
      </c>
      <c r="AG67" s="12" t="n">
        <v>72.77</v>
      </c>
      <c r="AH67" s="12" t="n">
        <v>68.982</v>
      </c>
      <c r="AI67" s="12" t="n">
        <v>69.66800000000001</v>
      </c>
      <c r="AJ67" s="12" t="n">
        <v>82.12</v>
      </c>
      <c r="AK67" s="12" t="n">
        <v>119.305</v>
      </c>
      <c r="AL67" s="12" t="n">
        <v>124.355</v>
      </c>
      <c r="AM67" s="12" t="n">
        <v>130.943</v>
      </c>
      <c r="AN67" s="12" t="n">
        <v>134.577</v>
      </c>
      <c r="AO67" s="12" t="n">
        <v>134.577</v>
      </c>
      <c r="AP67" s="12" t="n">
        <v>153.435</v>
      </c>
      <c r="AQ67" s="107" t="n"/>
      <c r="AR67" s="107" t="n"/>
      <c r="AS67" s="107" t="n"/>
      <c r="AT67" s="107" t="n"/>
      <c r="AU67" s="107" t="n"/>
      <c r="AV67" s="107" t="n"/>
      <c r="AW67" s="107" t="n"/>
    </row>
    <row r="68">
      <c r="B68" s="1" t="inlineStr">
        <is>
          <t>Current Liablities</t>
        </is>
      </c>
      <c r="G68" s="59">
        <f>SUM(G62:G67)</f>
        <v/>
      </c>
      <c r="H68" s="32">
        <f>SUM(H62:H67)</f>
        <v/>
      </c>
      <c r="J68" s="13">
        <f>SUM(J62:J67)</f>
        <v/>
      </c>
      <c r="K68" s="13">
        <f>SUM(K62:K67)</f>
        <v/>
      </c>
      <c r="L68" s="13">
        <f>SUM(L62:L67)</f>
        <v/>
      </c>
      <c r="M68" s="13">
        <f>SUM(M62:M67)</f>
        <v/>
      </c>
      <c r="N68" s="13">
        <f>SUM(N62:N67)</f>
        <v/>
      </c>
      <c r="O68" s="13">
        <f>SUM(O62:O67)</f>
        <v/>
      </c>
      <c r="P68" s="106" t="n"/>
      <c r="R68" s="13">
        <f>SUM(R62:R67)</f>
        <v/>
      </c>
      <c r="S68" s="13">
        <f>SUM(S62:S67)</f>
        <v/>
      </c>
      <c r="T68" s="13">
        <f>SUM(T62:T67)</f>
        <v/>
      </c>
      <c r="U68" s="13">
        <f>SUM(U62:U67)</f>
        <v/>
      </c>
      <c r="V68" s="13">
        <f>SUM(V62:V67)</f>
        <v/>
      </c>
      <c r="W68" s="13">
        <f>SUM(W62:W67)</f>
        <v/>
      </c>
      <c r="X68" s="13">
        <f>SUM(X62:X67)</f>
        <v/>
      </c>
      <c r="Y68" s="13">
        <f>SUM(Y62:Y67)</f>
        <v/>
      </c>
      <c r="Z68" s="13">
        <f>SUM(Z62:Z67)</f>
        <v/>
      </c>
      <c r="AA68" s="13">
        <f>SUM(AA62:AA67)</f>
        <v/>
      </c>
      <c r="AB68" s="13">
        <f>SUM(AB62:AB67)</f>
        <v/>
      </c>
      <c r="AC68" s="13">
        <f>SUM(AC62:AC67)</f>
        <v/>
      </c>
      <c r="AD68" s="13">
        <f>SUM(AD62:AD67)</f>
        <v/>
      </c>
      <c r="AE68" s="13">
        <f>SUM(AE62:AE67)</f>
        <v/>
      </c>
      <c r="AF68" s="13">
        <f>SUM(AF62:AF67)</f>
        <v/>
      </c>
      <c r="AG68" s="13">
        <f>SUM(AG62:AG67)</f>
        <v/>
      </c>
      <c r="AH68" s="13">
        <f>SUM(AH62:AH67)</f>
        <v/>
      </c>
      <c r="AI68" s="13">
        <f>SUM(AI62:AI67)</f>
        <v/>
      </c>
      <c r="AJ68" s="13">
        <f>SUM(AJ62:AJ67)</f>
        <v/>
      </c>
      <c r="AK68" s="13">
        <f>SUM(AK62:AK67)</f>
        <v/>
      </c>
      <c r="AL68" s="13">
        <f>SUM(AL62:AL67)</f>
        <v/>
      </c>
      <c r="AM68" s="13">
        <f>SUM(AM62:AM67)</f>
        <v/>
      </c>
      <c r="AN68" s="13">
        <f>SUM(AN62:AN67)</f>
        <v/>
      </c>
      <c r="AO68" s="13">
        <f>SUM(AO62:AO67)</f>
        <v/>
      </c>
      <c r="AP68" s="13">
        <f>SUM(AP62:AP67)</f>
        <v/>
      </c>
      <c r="AQ68" s="106" t="n"/>
      <c r="AR68" s="106" t="n"/>
      <c r="AS68" s="106" t="n"/>
      <c r="AT68" s="106" t="n"/>
      <c r="AU68" s="106" t="n"/>
      <c r="AV68" s="106" t="n"/>
      <c r="AW68" s="106" t="n"/>
    </row>
    <row r="69">
      <c r="B69" s="1" t="n"/>
      <c r="G69" s="108" t="n"/>
      <c r="H69" s="30" t="n"/>
      <c r="P69" s="106" t="n"/>
      <c r="AQ69" s="106" t="n"/>
      <c r="AR69" s="106" t="n"/>
      <c r="AS69" s="106" t="n"/>
      <c r="AT69" s="106" t="n"/>
      <c r="AU69" s="106" t="n"/>
      <c r="AV69" s="106" t="n"/>
      <c r="AW69" s="106" t="n"/>
    </row>
    <row r="70">
      <c r="B70" t="inlineStr">
        <is>
          <t>Total Debt</t>
        </is>
      </c>
      <c r="G70" s="57">
        <f>OFFSET(R70,0,MATCH($G$2,$R$3:$AW$3,0)-1)</f>
        <v/>
      </c>
      <c r="H70" s="33">
        <f>G70</f>
        <v/>
      </c>
      <c r="J70" s="9">
        <f>U70</f>
        <v/>
      </c>
      <c r="K70" s="9">
        <f>Y70</f>
        <v/>
      </c>
      <c r="L70" s="9">
        <f>AC70</f>
        <v/>
      </c>
      <c r="M70" s="9">
        <f>AG70</f>
        <v/>
      </c>
      <c r="N70" s="9">
        <f>AK70</f>
        <v/>
      </c>
      <c r="O70" s="9">
        <f>AO70</f>
        <v/>
      </c>
      <c r="P70" s="106" t="n"/>
      <c r="R70" s="10" t="n">
        <v>1423.267</v>
      </c>
      <c r="S70" s="10" t="n">
        <v>1442.513</v>
      </c>
      <c r="T70" s="10" t="n">
        <v>1399.423</v>
      </c>
      <c r="U70" s="10" t="n">
        <v>1410.169</v>
      </c>
      <c r="V70" s="10" t="n">
        <v>1667.457</v>
      </c>
      <c r="W70" s="10" t="n">
        <v>1594.695</v>
      </c>
      <c r="X70" s="10" t="n">
        <v>1434.417</v>
      </c>
      <c r="Y70" s="10" t="n">
        <v>1369.751</v>
      </c>
      <c r="Z70" s="10" t="n">
        <v>1702.476</v>
      </c>
      <c r="AA70" s="10" t="n">
        <v>1642.832</v>
      </c>
      <c r="AB70" s="10" t="n">
        <v>1578.189</v>
      </c>
      <c r="AC70" s="10" t="n">
        <v>1468.546</v>
      </c>
      <c r="AD70" s="10" t="n">
        <v>1348.904</v>
      </c>
      <c r="AE70" s="10" t="n">
        <v>1274.262</v>
      </c>
      <c r="AF70" s="10" t="n">
        <v>1206.193</v>
      </c>
      <c r="AG70" s="10" t="n">
        <v>1161.433</v>
      </c>
      <c r="AH70" s="10" t="n">
        <v>1151.638</v>
      </c>
      <c r="AI70" s="10" t="n">
        <v>1131.849</v>
      </c>
      <c r="AJ70" s="10" t="n">
        <v>1114.86</v>
      </c>
      <c r="AK70" s="10" t="n">
        <v>1076.326</v>
      </c>
      <c r="AL70" s="10" t="n">
        <v>1075.658</v>
      </c>
      <c r="AM70" s="10" t="n">
        <v>990.954</v>
      </c>
      <c r="AN70" s="10" t="n">
        <v>1058.248</v>
      </c>
      <c r="AO70" s="10" t="n">
        <v>1008.527</v>
      </c>
      <c r="AP70" s="10" t="n">
        <v>1051.822</v>
      </c>
      <c r="AQ70" s="106" t="n"/>
      <c r="AR70" s="106" t="n"/>
      <c r="AS70" s="106" t="n"/>
      <c r="AT70" s="106" t="n"/>
      <c r="AU70" s="106" t="n"/>
      <c r="AV70" s="106" t="n"/>
      <c r="AW70" s="106" t="n"/>
    </row>
    <row r="71">
      <c r="B71" t="inlineStr">
        <is>
          <t>Deferred Income Taxes</t>
        </is>
      </c>
      <c r="G71" s="57">
        <f>OFFSET(R71,0,MATCH($G$2,$R$3:$AW$3,0)-1)</f>
        <v/>
      </c>
      <c r="H71" s="33">
        <f>G71</f>
        <v/>
      </c>
      <c r="J71" s="9">
        <f>U71</f>
        <v/>
      </c>
      <c r="K71" s="9">
        <f>Y71</f>
        <v/>
      </c>
      <c r="L71" s="9">
        <f>AC71</f>
        <v/>
      </c>
      <c r="M71" s="9">
        <f>AG71</f>
        <v/>
      </c>
      <c r="N71" s="9">
        <f>AK71</f>
        <v/>
      </c>
      <c r="O71" s="9">
        <f>AO71</f>
        <v/>
      </c>
      <c r="P71" s="106" t="n"/>
      <c r="R71" s="10" t="n">
        <v>517.421</v>
      </c>
      <c r="S71" s="10" t="n">
        <v>531.284</v>
      </c>
      <c r="T71" s="10" t="n">
        <v>544.8819999999999</v>
      </c>
      <c r="U71" s="10" t="n">
        <v>542.785</v>
      </c>
      <c r="V71" s="10" t="n">
        <v>555.414</v>
      </c>
      <c r="W71" s="10" t="n">
        <v>570.954</v>
      </c>
      <c r="X71" s="10" t="n">
        <v>585.5069999999999</v>
      </c>
      <c r="Y71" s="10" t="n">
        <v>588.204</v>
      </c>
      <c r="Z71" s="10" t="n">
        <v>582.15</v>
      </c>
      <c r="AA71" s="10" t="n">
        <v>568.816</v>
      </c>
      <c r="AB71" s="10" t="n">
        <v>591.346</v>
      </c>
      <c r="AC71" s="10" t="n">
        <v>606.8440000000001</v>
      </c>
      <c r="AD71" s="10" t="n">
        <v>606.561</v>
      </c>
      <c r="AE71" s="10" t="n">
        <v>612.682</v>
      </c>
      <c r="AF71" s="10" t="n">
        <v>552.913</v>
      </c>
      <c r="AG71" s="10" t="n">
        <v>574.152</v>
      </c>
      <c r="AH71" s="10" t="n">
        <v>580.014</v>
      </c>
      <c r="AI71" s="10" t="n">
        <v>590.876</v>
      </c>
      <c r="AJ71" s="10" t="n">
        <v>604.596</v>
      </c>
      <c r="AK71" s="10" t="n">
        <v>625.884</v>
      </c>
      <c r="AL71" s="10" t="n">
        <v>638.438</v>
      </c>
      <c r="AM71" s="10" t="n">
        <v>656.528</v>
      </c>
      <c r="AN71" s="10" t="n">
        <v>672.711</v>
      </c>
      <c r="AO71" s="10" t="n">
        <v>696.557</v>
      </c>
      <c r="AP71" s="10" t="n">
        <v>705.8339999999999</v>
      </c>
      <c r="AQ71" s="106" t="n"/>
      <c r="AR71" s="106" t="n"/>
      <c r="AS71" s="106" t="n"/>
      <c r="AT71" s="106" t="n"/>
      <c r="AU71" s="106" t="n"/>
      <c r="AV71" s="106" t="n"/>
      <c r="AW71" s="106" t="n"/>
    </row>
    <row r="72">
      <c r="B72" t="inlineStr">
        <is>
          <t>Operating Lease Liabilities</t>
        </is>
      </c>
      <c r="G72" s="57">
        <f>OFFSET(R72,0,MATCH($G$2,$R$3:$AW$3,0)-1)</f>
        <v/>
      </c>
      <c r="H72" s="33">
        <f>G72</f>
        <v/>
      </c>
      <c r="J72" s="9">
        <f>U72</f>
        <v/>
      </c>
      <c r="K72" s="9">
        <f>Y72</f>
        <v/>
      </c>
      <c r="L72" s="9">
        <f>AC72</f>
        <v/>
      </c>
      <c r="M72" s="9">
        <f>AG72</f>
        <v/>
      </c>
      <c r="N72" s="9">
        <f>AK72</f>
        <v/>
      </c>
      <c r="O72" s="9">
        <f>AO72</f>
        <v/>
      </c>
      <c r="P72" s="106" t="n"/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139.192</v>
      </c>
      <c r="W72" s="10" t="n">
        <v>136.97</v>
      </c>
      <c r="X72" s="10" t="n">
        <v>135.017</v>
      </c>
      <c r="Y72" s="10" t="n">
        <v>139.457</v>
      </c>
      <c r="Z72" s="10" t="n">
        <v>138.884</v>
      </c>
      <c r="AA72" s="10" t="n">
        <v>171.629</v>
      </c>
      <c r="AB72" s="10" t="n">
        <v>167.884</v>
      </c>
      <c r="AC72" s="10" t="n">
        <v>163.496</v>
      </c>
      <c r="AD72" s="10" t="n">
        <v>161.133</v>
      </c>
      <c r="AE72" s="10" t="n">
        <v>153.457</v>
      </c>
      <c r="AF72" s="10" t="n">
        <v>152.615</v>
      </c>
      <c r="AG72" s="10" t="n">
        <v>159.672</v>
      </c>
      <c r="AH72" s="10" t="n">
        <v>156.271</v>
      </c>
      <c r="AI72" s="10" t="n">
        <v>150.355</v>
      </c>
      <c r="AJ72" s="10" t="n">
        <v>144.201</v>
      </c>
      <c r="AK72" s="10" t="n">
        <v>142.14</v>
      </c>
      <c r="AL72" s="10" t="n">
        <v>146.445</v>
      </c>
      <c r="AM72" s="10" t="n">
        <v>142.47</v>
      </c>
      <c r="AN72" s="10" t="n">
        <v>142.237</v>
      </c>
      <c r="AO72" s="10" t="n">
        <v>138.811</v>
      </c>
      <c r="AP72" s="10" t="n">
        <v>136.98</v>
      </c>
      <c r="AQ72" s="106" t="n"/>
      <c r="AR72" s="106" t="n"/>
      <c r="AS72" s="106" t="n"/>
      <c r="AT72" s="106" t="n"/>
      <c r="AU72" s="106" t="n"/>
      <c r="AV72" s="106" t="n"/>
      <c r="AW72" s="106" t="n"/>
    </row>
    <row r="73">
      <c r="B73" s="7" t="inlineStr">
        <is>
          <t>Other LT Liabilities</t>
        </is>
      </c>
      <c r="C73" s="7" t="n"/>
      <c r="D73" s="7" t="n"/>
      <c r="E73" s="7" t="n"/>
      <c r="F73" s="7" t="n"/>
      <c r="G73" s="58">
        <f>OFFSET(R73,0,MATCH($G$2,$R$3:$AW$3,0)-1)</f>
        <v/>
      </c>
      <c r="H73" s="46">
        <f>G73</f>
        <v/>
      </c>
      <c r="I73" s="7" t="n"/>
      <c r="J73" s="11">
        <f>U73</f>
        <v/>
      </c>
      <c r="K73" s="11">
        <f>Y73</f>
        <v/>
      </c>
      <c r="L73" s="11">
        <f>AC73</f>
        <v/>
      </c>
      <c r="M73" s="11">
        <f>AG73</f>
        <v/>
      </c>
      <c r="N73" s="11">
        <f>AK73</f>
        <v/>
      </c>
      <c r="O73" s="11">
        <f>AO73</f>
        <v/>
      </c>
      <c r="P73" s="107" t="n"/>
      <c r="Q73" s="7" t="n"/>
      <c r="R73" s="12" t="n">
        <v>100.786</v>
      </c>
      <c r="S73" s="12" t="n">
        <v>111.47</v>
      </c>
      <c r="T73" s="12" t="n">
        <v>108.953</v>
      </c>
      <c r="U73" s="12" t="n">
        <v>94.45700000000001</v>
      </c>
      <c r="V73" s="12" t="n">
        <v>90.497</v>
      </c>
      <c r="W73" s="12" t="n">
        <v>82.066</v>
      </c>
      <c r="X73" s="12" t="n">
        <v>81.455</v>
      </c>
      <c r="Y73" s="12" t="n">
        <v>95.97799999999999</v>
      </c>
      <c r="Z73" s="12" t="n">
        <v>93.208</v>
      </c>
      <c r="AA73" s="12" t="n">
        <v>103.054</v>
      </c>
      <c r="AB73" s="12" t="n">
        <v>115.269</v>
      </c>
      <c r="AC73" s="12" t="n">
        <v>131.703</v>
      </c>
      <c r="AD73" s="12" t="n">
        <v>129.301</v>
      </c>
      <c r="AE73" s="12" t="n">
        <v>123.863</v>
      </c>
      <c r="AF73" s="12" t="n">
        <v>119.74</v>
      </c>
      <c r="AG73" s="12" t="n">
        <v>71.252</v>
      </c>
      <c r="AH73" s="12" t="n">
        <v>69.169</v>
      </c>
      <c r="AI73" s="12" t="n">
        <v>60.96</v>
      </c>
      <c r="AJ73" s="12" t="n">
        <v>46.717</v>
      </c>
      <c r="AK73" s="12" t="n">
        <v>23.209</v>
      </c>
      <c r="AL73" s="12" t="n">
        <v>14.279</v>
      </c>
      <c r="AM73" s="12" t="n">
        <v>15.521</v>
      </c>
      <c r="AN73" s="12" t="n">
        <v>15.75</v>
      </c>
      <c r="AO73" s="12" t="n">
        <v>15.83</v>
      </c>
      <c r="AP73" s="12" t="n">
        <v>14.066</v>
      </c>
      <c r="AQ73" s="107" t="n"/>
      <c r="AR73" s="107" t="n"/>
      <c r="AS73" s="107" t="n"/>
      <c r="AT73" s="107" t="n"/>
      <c r="AU73" s="107" t="n"/>
      <c r="AV73" s="107" t="n"/>
      <c r="AW73" s="107" t="n"/>
    </row>
    <row r="74">
      <c r="B74" s="1" t="inlineStr">
        <is>
          <t>Total Liabilities</t>
        </is>
      </c>
      <c r="G74" s="59">
        <f>SUM(G70:G73)+G68</f>
        <v/>
      </c>
      <c r="H74" s="32">
        <f>SUM(H70:H73)+H68</f>
        <v/>
      </c>
      <c r="J74" s="13">
        <f>SUM(J70:J73)+J68</f>
        <v/>
      </c>
      <c r="K74" s="13">
        <f>SUM(K70:K73)+K68</f>
        <v/>
      </c>
      <c r="L74" s="13">
        <f>SUM(L70:L73)+L68</f>
        <v/>
      </c>
      <c r="M74" s="13">
        <f>SUM(M70:M73)+M68</f>
        <v/>
      </c>
      <c r="N74" s="13">
        <f>SUM(N70:N73)+N68</f>
        <v/>
      </c>
      <c r="O74" s="13">
        <f>SUM(O70:O73)+O68</f>
        <v/>
      </c>
      <c r="P74" s="106" t="n"/>
      <c r="R74" s="13">
        <f>SUM(R70:R73)+R68</f>
        <v/>
      </c>
      <c r="S74" s="13">
        <f>SUM(S70:S73)+S68</f>
        <v/>
      </c>
      <c r="T74" s="13">
        <f>SUM(T70:T73)+T68</f>
        <v/>
      </c>
      <c r="U74" s="13">
        <f>SUM(U70:U73)+U68</f>
        <v/>
      </c>
      <c r="V74" s="13">
        <f>SUM(V70:V73)+V68</f>
        <v/>
      </c>
      <c r="W74" s="13">
        <f>SUM(W70:W73)+W68</f>
        <v/>
      </c>
      <c r="X74" s="13">
        <f>SUM(X70:X73)+X68</f>
        <v/>
      </c>
      <c r="Y74" s="13">
        <f>SUM(Y70:Y73)+Y68</f>
        <v/>
      </c>
      <c r="Z74" s="13">
        <f>SUM(Z70:Z73)+Z68</f>
        <v/>
      </c>
      <c r="AA74" s="13">
        <f>SUM(AA70:AA73)+AA68</f>
        <v/>
      </c>
      <c r="AB74" s="13">
        <f>SUM(AB70:AB73)+AB68</f>
        <v/>
      </c>
      <c r="AC74" s="13">
        <f>SUM(AC70:AC73)+AC68</f>
        <v/>
      </c>
      <c r="AD74" s="13">
        <f>SUM(AD70:AD73)+AD68</f>
        <v/>
      </c>
      <c r="AE74" s="13">
        <f>SUM(AE70:AE73)+AE68</f>
        <v/>
      </c>
      <c r="AF74" s="13">
        <f>SUM(AF70:AF73)+AF68</f>
        <v/>
      </c>
      <c r="AG74" s="13">
        <f>SUM(AG70:AG73)+AG68</f>
        <v/>
      </c>
      <c r="AH74" s="13">
        <f>SUM(AH70:AH73)+AH68</f>
        <v/>
      </c>
      <c r="AI74" s="13">
        <f>SUM(AI70:AI73)+AI68</f>
        <v/>
      </c>
      <c r="AJ74" s="13">
        <f>SUM(AJ70:AJ73)+AJ68</f>
        <v/>
      </c>
      <c r="AK74" s="13">
        <f>SUM(AK70:AK73)+AK68</f>
        <v/>
      </c>
      <c r="AL74" s="13">
        <f>SUM(AL70:AL73)+AL68</f>
        <v/>
      </c>
      <c r="AM74" s="13">
        <f>SUM(AM70:AM73)+AM68</f>
        <v/>
      </c>
      <c r="AN74" s="13">
        <f>SUM(AN70:AN73)+AN68</f>
        <v/>
      </c>
      <c r="AO74" s="13">
        <f>SUM(AO70:AO73)+AO68</f>
        <v/>
      </c>
      <c r="AP74" s="13">
        <f>SUM(AP70:AP73)+AP68</f>
        <v/>
      </c>
      <c r="AQ74" s="106" t="n"/>
      <c r="AR74" s="106" t="n"/>
      <c r="AS74" s="106" t="n"/>
      <c r="AT74" s="106" t="n"/>
      <c r="AU74" s="106" t="n"/>
      <c r="AV74" s="106" t="n"/>
      <c r="AW74" s="106" t="n"/>
    </row>
    <row r="75">
      <c r="B75" s="1" t="n"/>
      <c r="F75" s="179" t="n"/>
      <c r="G75" s="59" t="n"/>
      <c r="H75" s="32" t="n"/>
      <c r="J75" s="13" t="n"/>
      <c r="K75" s="13" t="n"/>
      <c r="L75" s="13" t="n"/>
      <c r="M75" s="13" t="n"/>
      <c r="N75" s="13" t="n"/>
      <c r="O75" s="13" t="n"/>
      <c r="P75" s="106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06" t="n"/>
      <c r="AR75" s="106" t="n"/>
      <c r="AS75" s="106" t="n"/>
      <c r="AT75" s="106" t="n"/>
      <c r="AU75" s="106" t="n"/>
      <c r="AV75" s="106" t="n"/>
      <c r="AW75" s="106" t="n"/>
    </row>
    <row r="76">
      <c r="B76" s="3" t="inlineStr">
        <is>
          <t>Net Debt</t>
        </is>
      </c>
      <c r="G76" s="63">
        <f>G70+G67-G48</f>
        <v/>
      </c>
      <c r="H76" s="51">
        <f>H70+H67-H48</f>
        <v/>
      </c>
      <c r="J76" s="26">
        <f>J70+J67-J48</f>
        <v/>
      </c>
      <c r="K76" s="26">
        <f>K70+K67-K48</f>
        <v/>
      </c>
      <c r="L76" s="26">
        <f>L70+L67-L48</f>
        <v/>
      </c>
      <c r="M76" s="26">
        <f>M70+M67-M48</f>
        <v/>
      </c>
      <c r="N76" s="26">
        <f>N70+N67-N48</f>
        <v/>
      </c>
      <c r="O76" s="26">
        <f>O70+O67-O48</f>
        <v/>
      </c>
      <c r="P76" s="106" t="n"/>
      <c r="R76" s="26">
        <f>R70+R62-R48</f>
        <v/>
      </c>
      <c r="S76" s="26">
        <f>S70+S62-S48</f>
        <v/>
      </c>
      <c r="T76" s="26">
        <f>T70+T62-T48</f>
        <v/>
      </c>
      <c r="U76" s="26">
        <f>U70+U62-U48</f>
        <v/>
      </c>
      <c r="V76" s="26">
        <f>V70+V62-V48</f>
        <v/>
      </c>
      <c r="W76" s="26">
        <f>W70+W62-W48</f>
        <v/>
      </c>
      <c r="X76" s="26">
        <f>X70+X62-X48</f>
        <v/>
      </c>
      <c r="Y76" s="26">
        <f>Y70+Y62-Y48</f>
        <v/>
      </c>
      <c r="Z76" s="26">
        <f>Z70+Z62-Z48</f>
        <v/>
      </c>
      <c r="AA76" s="26">
        <f>AA70+AA62-AA48</f>
        <v/>
      </c>
      <c r="AB76" s="26">
        <f>AB70+AB62-AB48</f>
        <v/>
      </c>
      <c r="AC76" s="26">
        <f>AC70+AC62-AC48</f>
        <v/>
      </c>
      <c r="AD76" s="26">
        <f>AD70+AD62-AD48</f>
        <v/>
      </c>
      <c r="AE76" s="26">
        <f>AE70+AE62-AE48</f>
        <v/>
      </c>
      <c r="AF76" s="26">
        <f>AF70+AF62-AF48</f>
        <v/>
      </c>
      <c r="AG76" s="26">
        <f>AG70+AG62-AG48</f>
        <v/>
      </c>
      <c r="AH76" s="26">
        <f>AH70+AH62-AH48</f>
        <v/>
      </c>
      <c r="AI76" s="26">
        <f>AI70+AI62-AI48</f>
        <v/>
      </c>
      <c r="AJ76" s="26">
        <f>AJ70+AJ62-AJ48</f>
        <v/>
      </c>
      <c r="AK76" s="26">
        <f>AK70+AK62-AK48</f>
        <v/>
      </c>
      <c r="AL76" s="26">
        <f>AL70+AL62-AL48</f>
        <v/>
      </c>
      <c r="AM76" s="26">
        <f>AM70+AM62-AM48</f>
        <v/>
      </c>
      <c r="AN76" s="26">
        <f>AN70+AN62-AN48</f>
        <v/>
      </c>
      <c r="AO76" s="26">
        <f>AO70+AO62-AO48</f>
        <v/>
      </c>
      <c r="AP76" s="26">
        <f>AP70+AP62-AP48</f>
        <v/>
      </c>
      <c r="AQ76" s="106" t="n"/>
      <c r="AR76" s="106" t="n"/>
      <c r="AS76" s="106" t="n"/>
      <c r="AT76" s="106" t="n"/>
      <c r="AU76" s="106" t="n"/>
      <c r="AV76" s="106" t="n"/>
      <c r="AW76" s="106" t="n"/>
    </row>
    <row r="77">
      <c r="B77" s="3" t="inlineStr">
        <is>
          <t>NWC</t>
        </is>
      </c>
      <c r="G77" s="63">
        <f>G49+G50+G51+G52-G63-G64-G65-G67</f>
        <v/>
      </c>
      <c r="H77" s="51">
        <f>H49+H50+H51+H52-H63-H64-H65-H67</f>
        <v/>
      </c>
      <c r="J77" s="26">
        <f>J49+J50+J51+J52-J63-J64-J65-J67</f>
        <v/>
      </c>
      <c r="K77" s="26">
        <f>K49+K50+K51+K52-K63-K64-K65-K67</f>
        <v/>
      </c>
      <c r="L77" s="26">
        <f>L49+L50+L51+L52-L63-L64-L65-L67</f>
        <v/>
      </c>
      <c r="M77" s="26">
        <f>M49+M50+M51+M52-M63-M64-M65-M67</f>
        <v/>
      </c>
      <c r="N77" s="26">
        <f>N49+N50+N51+N52-N63-N64-N65-N67</f>
        <v/>
      </c>
      <c r="O77" s="26">
        <f>O49+O50+O51+O52-O63-O64-O65-O67</f>
        <v/>
      </c>
      <c r="P77" s="106" t="n"/>
      <c r="R77" s="26">
        <f>R49+R50+R51+R52-R63-R64-R65-R67</f>
        <v/>
      </c>
      <c r="S77" s="26">
        <f>S49+S50+S51+S52-S63-S64-S65-S67</f>
        <v/>
      </c>
      <c r="T77" s="26">
        <f>T49+T50+T51+T52-T63-T64-T65-T67</f>
        <v/>
      </c>
      <c r="U77" s="26">
        <f>U49+U50+U51+U52-U63-U64-U65-U67</f>
        <v/>
      </c>
      <c r="V77" s="26">
        <f>V49+V50+V51+V52-V63-V64-V65-V67</f>
        <v/>
      </c>
      <c r="W77" s="26">
        <f>W49+W50+W51+W52-W63-W64-W65-W67</f>
        <v/>
      </c>
      <c r="X77" s="26">
        <f>X49+X50+X51+X52-X63-X64-X65-X67</f>
        <v/>
      </c>
      <c r="Y77" s="26">
        <f>Y49+Y50+Y51+Y52-Y63-Y64-Y65-Y67</f>
        <v/>
      </c>
      <c r="Z77" s="26">
        <f>Z49+Z50+Z51+Z52-Z63-Z64-Z65-Z67</f>
        <v/>
      </c>
      <c r="AA77" s="26">
        <f>AA49+AA50+AA51+AA52-AA63-AA64-AA65-AA67</f>
        <v/>
      </c>
      <c r="AB77" s="26">
        <f>AB49+AB50+AB51+AB52-AB63-AB64-AB65-AB67</f>
        <v/>
      </c>
      <c r="AC77" s="26">
        <f>AC49+AC50+AC51+AC52-AC63-AC64-AC65-AC67</f>
        <v/>
      </c>
      <c r="AD77" s="26">
        <f>AD49+AD50+AD51+AD52-AD63-AD64-AD65-AD67</f>
        <v/>
      </c>
      <c r="AE77" s="26">
        <f>AE49+AE50+AE51+AE52-AE63-AE64-AE65-AE67</f>
        <v/>
      </c>
      <c r="AF77" s="26">
        <f>AF49+AF50+AF51+AF52-AF63-AF64-AF65-AF67</f>
        <v/>
      </c>
      <c r="AG77" s="26">
        <f>AG49+AG50+AG51+AG52-AG63-AG64-AG65-AG67</f>
        <v/>
      </c>
      <c r="AH77" s="26">
        <f>AH49+AH50+AH51+AH52-AH63-AH64-AH65-AH67</f>
        <v/>
      </c>
      <c r="AI77" s="26">
        <f>AI49+AI50+AI51+AI52-AI63-AI64-AI65-AI67</f>
        <v/>
      </c>
      <c r="AJ77" s="26">
        <f>AJ49+AJ50+AJ51+AJ52-AJ63-AJ64-AJ65-AJ67</f>
        <v/>
      </c>
      <c r="AK77" s="26">
        <f>AK49+AK50+AK51+AK52-AK63-AK64-AK65-AK67</f>
        <v/>
      </c>
      <c r="AL77" s="26">
        <f>AL49+AL50+AL51+AL52-AL63-AL64-AL65-AL67</f>
        <v/>
      </c>
      <c r="AM77" s="26">
        <f>AM49+AM50+AM51+AM52-AM63-AM64-AM65-AM67</f>
        <v/>
      </c>
      <c r="AN77" s="26">
        <f>AN49+AN50+AN51+AN52-AN63-AN64-AN65-AN67</f>
        <v/>
      </c>
      <c r="AO77" s="26">
        <f>AO49+AO50+AO51+AO52-AO63-AO64-AO65-AO67</f>
        <v/>
      </c>
      <c r="AP77" s="26">
        <f>AP49+AP50+AP51+AP52-AP63-AP64-AP65-AP67</f>
        <v/>
      </c>
      <c r="AQ77" s="106" t="n"/>
      <c r="AR77" s="106" t="n"/>
      <c r="AS77" s="106" t="n"/>
      <c r="AT77" s="106" t="n"/>
      <c r="AU77" s="106" t="n"/>
      <c r="AV77" s="106" t="n"/>
      <c r="AW77" s="106" t="n"/>
    </row>
    <row r="78">
      <c r="G78" s="108" t="n"/>
      <c r="H78" s="30" t="n"/>
      <c r="P78" s="106" t="n"/>
      <c r="R78" s="111" t="n"/>
      <c r="S78" s="111" t="n"/>
      <c r="T78" s="111" t="n"/>
      <c r="U78" s="111" t="n"/>
      <c r="V78" s="111" t="n"/>
      <c r="W78" s="111" t="n"/>
      <c r="X78" s="111" t="n"/>
      <c r="Y78" s="111" t="n"/>
      <c r="Z78" s="111" t="n"/>
      <c r="AA78" s="111" t="n"/>
      <c r="AB78" s="111" t="n"/>
      <c r="AC78" s="111" t="n"/>
      <c r="AD78" s="111" t="n"/>
      <c r="AE78" s="111" t="n"/>
      <c r="AF78" s="111" t="n"/>
      <c r="AG78" s="111" t="n"/>
      <c r="AH78" s="111" t="n"/>
      <c r="AI78" s="111" t="n"/>
      <c r="AJ78" s="111" t="n"/>
      <c r="AK78" s="111" t="n"/>
      <c r="AL78" s="111" t="n"/>
      <c r="AM78" s="111" t="n"/>
      <c r="AN78" s="111" t="n"/>
      <c r="AO78" s="111" t="n"/>
      <c r="AP78" s="111" t="n"/>
      <c r="AQ78" s="106" t="n"/>
      <c r="AR78" s="106" t="n"/>
      <c r="AS78" s="106" t="n"/>
      <c r="AT78" s="106" t="n"/>
      <c r="AU78" s="106" t="n"/>
      <c r="AV78" s="106" t="n"/>
      <c r="AW78" s="106" t="n"/>
    </row>
    <row r="79">
      <c r="B79" t="inlineStr">
        <is>
          <t>Common Equity</t>
        </is>
      </c>
      <c r="G79" s="57">
        <f>OFFSET(R79,0,MATCH($G$2,$R$3:$AW$3,0)-1)</f>
        <v/>
      </c>
      <c r="H79" s="33">
        <f>G79</f>
        <v/>
      </c>
      <c r="J79" s="9">
        <f>U79</f>
        <v/>
      </c>
      <c r="K79" s="9">
        <f>Y79</f>
        <v/>
      </c>
      <c r="L79" s="9">
        <f>AC79</f>
        <v/>
      </c>
      <c r="M79" s="9">
        <f>AG79</f>
        <v/>
      </c>
      <c r="N79" s="9">
        <f>AK79</f>
        <v/>
      </c>
      <c r="O79" s="9">
        <f>AO79</f>
        <v/>
      </c>
      <c r="P79" s="106" t="n"/>
      <c r="R79" s="10" t="n">
        <v>3138.495</v>
      </c>
      <c r="S79" s="10" t="n">
        <v>3184.35</v>
      </c>
      <c r="T79" s="10" t="n">
        <v>3229.911</v>
      </c>
      <c r="U79" s="10" t="n">
        <v>3213.187</v>
      </c>
      <c r="V79" s="10" t="n">
        <v>3262.336</v>
      </c>
      <c r="W79" s="10" t="n">
        <v>3319.154</v>
      </c>
      <c r="X79" s="10" t="n">
        <v>3371.521</v>
      </c>
      <c r="Y79" s="10" t="n">
        <v>3368.623</v>
      </c>
      <c r="Z79" s="10" t="n">
        <v>3121.482</v>
      </c>
      <c r="AA79" s="10" t="n">
        <v>3048.853</v>
      </c>
      <c r="AB79" s="10" t="n">
        <v>3075.263</v>
      </c>
      <c r="AC79" s="10" t="n">
        <v>3084.306</v>
      </c>
      <c r="AD79" s="10" t="n">
        <v>3085.267</v>
      </c>
      <c r="AE79" s="10" t="n">
        <v>3101.69</v>
      </c>
      <c r="AF79" s="10" t="n">
        <v>2843.746</v>
      </c>
      <c r="AG79" s="10" t="n">
        <v>2886.324</v>
      </c>
      <c r="AH79" s="10" t="n">
        <v>2911.855</v>
      </c>
      <c r="AI79" s="10" t="n">
        <v>2927.387</v>
      </c>
      <c r="AJ79" s="10" t="n">
        <v>2973.057</v>
      </c>
      <c r="AK79" s="10" t="n">
        <v>3042.877</v>
      </c>
      <c r="AL79" s="10" t="n">
        <v>3082.926</v>
      </c>
      <c r="AM79" s="10" t="n">
        <v>3110.644</v>
      </c>
      <c r="AN79" s="10" t="n">
        <v>3156.892</v>
      </c>
      <c r="AO79" s="10" t="n">
        <v>3185.431</v>
      </c>
      <c r="AP79" s="10" t="n">
        <v>3215.648</v>
      </c>
      <c r="AQ79" s="106" t="n"/>
      <c r="AR79" s="106" t="n"/>
      <c r="AS79" s="106" t="n"/>
      <c r="AT79" s="106" t="n"/>
      <c r="AU79" s="106" t="n"/>
      <c r="AV79" s="106" t="n"/>
      <c r="AW79" s="106" t="n"/>
    </row>
    <row r="80">
      <c r="B80" s="7" t="inlineStr">
        <is>
          <t>NCI</t>
        </is>
      </c>
      <c r="C80" s="7" t="n"/>
      <c r="D80" s="7" t="n"/>
      <c r="E80" s="7" t="n"/>
      <c r="F80" s="7" t="n"/>
      <c r="G80" s="58">
        <f>OFFSET(R80,0,MATCH($G$2,$R$3:$AW$3,0)-1)</f>
        <v/>
      </c>
      <c r="H80" s="46">
        <f>G80</f>
        <v/>
      </c>
      <c r="I80" s="7" t="n"/>
      <c r="J80" s="11">
        <f>U80</f>
        <v/>
      </c>
      <c r="K80" s="11">
        <f>Y80</f>
        <v/>
      </c>
      <c r="L80" s="11">
        <f>AC80</f>
        <v/>
      </c>
      <c r="M80" s="11">
        <f>AG80</f>
        <v/>
      </c>
      <c r="N80" s="11">
        <f>AK80</f>
        <v/>
      </c>
      <c r="O80" s="11">
        <f>AO80</f>
        <v/>
      </c>
      <c r="P80" s="107" t="n"/>
      <c r="Q80" s="7" t="n"/>
      <c r="R80" s="12" t="n">
        <v>3.373</v>
      </c>
      <c r="S80" s="12" t="n">
        <v>3.373</v>
      </c>
      <c r="T80" s="12" t="n">
        <v>3.237</v>
      </c>
      <c r="U80" s="12" t="n">
        <v>3.237</v>
      </c>
      <c r="V80" s="12" t="n">
        <v>3.072</v>
      </c>
      <c r="W80" s="12" t="n">
        <v>3.018</v>
      </c>
      <c r="X80" s="12" t="n">
        <v>2.977</v>
      </c>
      <c r="Y80" s="12" t="n">
        <v>2.969</v>
      </c>
      <c r="Z80" s="12" t="n">
        <v>3.045</v>
      </c>
      <c r="AA80" s="12" t="n">
        <v>3.104</v>
      </c>
      <c r="AB80" s="12" t="n">
        <v>3.104</v>
      </c>
      <c r="AC80" s="12" t="n">
        <v>3.247</v>
      </c>
      <c r="AD80" s="12" t="n">
        <v>3.477</v>
      </c>
      <c r="AE80" s="12" t="n">
        <v>3.639</v>
      </c>
      <c r="AF80" s="12" t="n">
        <v>2.478</v>
      </c>
      <c r="AG80" s="12" t="n">
        <v>2.458</v>
      </c>
      <c r="AH80" s="12" t="n">
        <v>2.41</v>
      </c>
      <c r="AI80" s="12" t="n">
        <v>2.357</v>
      </c>
      <c r="AJ80" s="12" t="n">
        <v>2.306</v>
      </c>
      <c r="AK80" s="12" t="n">
        <v>2.291</v>
      </c>
      <c r="AL80" s="12" t="n">
        <v>2.214</v>
      </c>
      <c r="AM80" s="12" t="n">
        <v>2.165</v>
      </c>
      <c r="AN80" s="12" t="n">
        <v>1.19</v>
      </c>
      <c r="AO80" s="12" t="n">
        <v>1.246</v>
      </c>
      <c r="AP80" s="12" t="n">
        <v>1.093</v>
      </c>
      <c r="AQ80" s="107" t="n"/>
      <c r="AR80" s="107" t="n"/>
      <c r="AS80" s="107" t="n"/>
      <c r="AT80" s="107" t="n"/>
      <c r="AU80" s="107" t="n"/>
      <c r="AV80" s="107" t="n"/>
      <c r="AW80" s="107" t="n"/>
    </row>
    <row r="81">
      <c r="B81" s="1" t="inlineStr">
        <is>
          <t>Total Equity</t>
        </is>
      </c>
      <c r="G81" s="59">
        <f>SUM(G79:G80)</f>
        <v/>
      </c>
      <c r="H81" s="32">
        <f>SUM(H79:H80)</f>
        <v/>
      </c>
      <c r="J81" s="13">
        <f>SUM(J79:J80)</f>
        <v/>
      </c>
      <c r="K81" s="13">
        <f>SUM(K79:K80)</f>
        <v/>
      </c>
      <c r="L81" s="13">
        <f>SUM(L79:L80)</f>
        <v/>
      </c>
      <c r="M81" s="13">
        <f>SUM(M79:M80)</f>
        <v/>
      </c>
      <c r="N81" s="13">
        <f>SUM(N79:N80)</f>
        <v/>
      </c>
      <c r="O81" s="13">
        <f>SUM(O79:O80)</f>
        <v/>
      </c>
      <c r="P81" s="106" t="n"/>
      <c r="R81" s="18">
        <f>SUM(R79:R80)</f>
        <v/>
      </c>
      <c r="S81" s="18">
        <f>SUM(S79:S80)</f>
        <v/>
      </c>
      <c r="T81" s="18">
        <f>SUM(T79:T80)</f>
        <v/>
      </c>
      <c r="U81" s="18">
        <f>SUM(U79:U80)</f>
        <v/>
      </c>
      <c r="V81" s="18">
        <f>SUM(V79:V80)</f>
        <v/>
      </c>
      <c r="W81" s="18">
        <f>SUM(W79:W80)</f>
        <v/>
      </c>
      <c r="X81" s="18">
        <f>SUM(X79:X80)</f>
        <v/>
      </c>
      <c r="Y81" s="18">
        <f>SUM(Y79:Y80)</f>
        <v/>
      </c>
      <c r="Z81" s="18">
        <f>SUM(Z79:Z80)</f>
        <v/>
      </c>
      <c r="AA81" s="18">
        <f>SUM(AA79:AA80)</f>
        <v/>
      </c>
      <c r="AB81" s="18">
        <f>SUM(AB79:AB80)</f>
        <v/>
      </c>
      <c r="AC81" s="18">
        <f>SUM(AC79:AC80)</f>
        <v/>
      </c>
      <c r="AD81" s="18">
        <f>SUM(AD79:AD80)</f>
        <v/>
      </c>
      <c r="AE81" s="18">
        <f>SUM(AE79:AE80)</f>
        <v/>
      </c>
      <c r="AF81" s="18">
        <f>SUM(AF79:AF80)</f>
        <v/>
      </c>
      <c r="AG81" s="18">
        <f>SUM(AG79:AG80)</f>
        <v/>
      </c>
      <c r="AH81" s="18">
        <f>SUM(AH79:AH80)</f>
        <v/>
      </c>
      <c r="AI81" s="18">
        <f>SUM(AI79:AI80)</f>
        <v/>
      </c>
      <c r="AJ81" s="18">
        <f>SUM(AJ79:AJ80)</f>
        <v/>
      </c>
      <c r="AK81" s="18">
        <f>SUM(AK79:AK80)</f>
        <v/>
      </c>
      <c r="AL81" s="18">
        <f>SUM(AL79:AL80)</f>
        <v/>
      </c>
      <c r="AM81" s="18">
        <f>SUM(AM79:AM80)</f>
        <v/>
      </c>
      <c r="AN81" s="18">
        <f>SUM(AN79:AN80)</f>
        <v/>
      </c>
      <c r="AO81" s="18">
        <f>SUM(AO79:AO80)</f>
        <v/>
      </c>
      <c r="AP81" s="18">
        <f>SUM(AP79:AP80)</f>
        <v/>
      </c>
      <c r="AQ81" s="106" t="n"/>
      <c r="AR81" s="106" t="n"/>
      <c r="AS81" s="106" t="n"/>
      <c r="AT81" s="106" t="n"/>
      <c r="AU81" s="106" t="n"/>
      <c r="AV81" s="106" t="n"/>
      <c r="AW81" s="106" t="n"/>
    </row>
    <row r="82">
      <c r="G82" s="108" t="n"/>
      <c r="H82" s="30" t="n"/>
      <c r="P82" s="106" t="n"/>
      <c r="AQ82" s="106" t="n"/>
      <c r="AR82" s="106" t="n"/>
      <c r="AS82" s="106" t="n"/>
      <c r="AT82" s="106" t="n"/>
      <c r="AU82" s="106" t="n"/>
      <c r="AV82" s="106" t="n"/>
      <c r="AW82" s="106" t="n"/>
    </row>
    <row r="83">
      <c r="B83" s="1" t="inlineStr">
        <is>
          <t>Total L+E</t>
        </is>
      </c>
      <c r="G83" s="59">
        <f>SUM(G81,G74)</f>
        <v/>
      </c>
      <c r="H83" s="32">
        <f>SUM(H81,H74)</f>
        <v/>
      </c>
      <c r="J83" s="13">
        <f>SUM(J81,J74)</f>
        <v/>
      </c>
      <c r="K83" s="13">
        <f>SUM(K81,K74)</f>
        <v/>
      </c>
      <c r="L83" s="13">
        <f>SUM(L81,L74)</f>
        <v/>
      </c>
      <c r="M83" s="13">
        <f>SUM(M81,M74)</f>
        <v/>
      </c>
      <c r="N83" s="13">
        <f>SUM(N81,N74)</f>
        <v/>
      </c>
      <c r="O83" s="13">
        <f>SUM(O81,O74)</f>
        <v/>
      </c>
      <c r="P83" s="106" t="n"/>
      <c r="R83" s="13">
        <f>SUM(R81,R74)</f>
        <v/>
      </c>
      <c r="S83" s="13">
        <f>SUM(S81,S74)</f>
        <v/>
      </c>
      <c r="T83" s="13">
        <f>SUM(T81,T74)</f>
        <v/>
      </c>
      <c r="U83" s="13">
        <f>SUM(U81,U74)</f>
        <v/>
      </c>
      <c r="V83" s="13">
        <f>SUM(V81,V74)</f>
        <v/>
      </c>
      <c r="W83" s="13">
        <f>SUM(W81,W74)</f>
        <v/>
      </c>
      <c r="X83" s="13">
        <f>SUM(X81,X74)</f>
        <v/>
      </c>
      <c r="Y83" s="13">
        <f>SUM(Y81,Y74)</f>
        <v/>
      </c>
      <c r="Z83" s="13">
        <f>SUM(Z81,Z74)</f>
        <v/>
      </c>
      <c r="AA83" s="13">
        <f>SUM(AA81,AA74)</f>
        <v/>
      </c>
      <c r="AB83" s="13">
        <f>SUM(AB81,AB74)</f>
        <v/>
      </c>
      <c r="AC83" s="13">
        <f>SUM(AC81,AC74)</f>
        <v/>
      </c>
      <c r="AD83" s="13">
        <f>SUM(AD81,AD74)</f>
        <v/>
      </c>
      <c r="AE83" s="13">
        <f>SUM(AE81,AE74)</f>
        <v/>
      </c>
      <c r="AF83" s="13">
        <f>SUM(AF81,AF74)</f>
        <v/>
      </c>
      <c r="AG83" s="13">
        <f>SUM(AG81,AG74)</f>
        <v/>
      </c>
      <c r="AH83" s="13">
        <f>SUM(AH81,AH74)</f>
        <v/>
      </c>
      <c r="AI83" s="13">
        <f>SUM(AI81,AI74)</f>
        <v/>
      </c>
      <c r="AJ83" s="13">
        <f>SUM(AJ81,AJ74)</f>
        <v/>
      </c>
      <c r="AK83" s="13">
        <f>SUM(AK81,AK74)</f>
        <v/>
      </c>
      <c r="AL83" s="13">
        <f>SUM(AL81,AL74)</f>
        <v/>
      </c>
      <c r="AM83" s="13">
        <f>SUM(AM81,AM74)</f>
        <v/>
      </c>
      <c r="AN83" s="13">
        <f>SUM(AN81,AN74)</f>
        <v/>
      </c>
      <c r="AO83" s="13">
        <f>SUM(AO81,AO74)</f>
        <v/>
      </c>
      <c r="AP83" s="13">
        <f>SUM(AP81,AP74)</f>
        <v/>
      </c>
      <c r="AQ83" s="106" t="n"/>
      <c r="AR83" s="106" t="n"/>
      <c r="AS83" s="106" t="n"/>
      <c r="AT83" s="106" t="n"/>
      <c r="AU83" s="106" t="n"/>
      <c r="AV83" s="106" t="n"/>
      <c r="AW83" s="106" t="n"/>
    </row>
    <row r="84">
      <c r="B84" s="20" t="inlineStr">
        <is>
          <t>B/S Check</t>
        </is>
      </c>
      <c r="G84" s="64">
        <f>IF(ROUND(G83-G60,0)=0,"OK",G83-G60)</f>
        <v/>
      </c>
      <c r="H84" s="52">
        <f>IF(ROUND(H83-H60,0)=0,"OK",H83-H60)</f>
        <v/>
      </c>
      <c r="J84" s="19">
        <f>IF(ROUND(J83-J60,1)=0,"OK",J83-J60)</f>
        <v/>
      </c>
      <c r="K84" s="19">
        <f>IF(ROUND(K83-K60,1)=0,"OK",K83-K60)</f>
        <v/>
      </c>
      <c r="L84" s="19">
        <f>IF(ROUND(L83-L60,1)=0,"OK",L83-L60)</f>
        <v/>
      </c>
      <c r="M84" s="19">
        <f>IF(ROUND(M83-M60,1)=0,"OK",M83-M60)</f>
        <v/>
      </c>
      <c r="N84" s="19">
        <f>IF(ROUND(N83-N60,1)=0,"OK",N83-N60)</f>
        <v/>
      </c>
      <c r="O84" s="19">
        <f>IF(ROUND(O83-O60,1)=0,"OK",O83-O60)</f>
        <v/>
      </c>
      <c r="P84" s="106" t="n"/>
      <c r="R84" s="19">
        <f>IF(ROUND(R83-R60,1)=0,"OK",R83-R60)</f>
        <v/>
      </c>
      <c r="S84" s="19">
        <f>IF(ROUND(S83-S60,1)=0,"OK",S83-S60)</f>
        <v/>
      </c>
      <c r="T84" s="19">
        <f>IF(ROUND(T83-T60,1)=0,"OK",T83-T60)</f>
        <v/>
      </c>
      <c r="U84" s="19">
        <f>IF(ROUND(U83-U60,1)=0,"OK",U83-U60)</f>
        <v/>
      </c>
      <c r="V84" s="19">
        <f>IF(ROUND(V83-V60,1)=0,"OK",V83-V60)</f>
        <v/>
      </c>
      <c r="W84" s="19">
        <f>IF(ROUND(W83-W60,1)=0,"OK",W83-W60)</f>
        <v/>
      </c>
      <c r="X84" s="19">
        <f>IF(ROUND(X83-X60,1)=0,"OK",X83-X60)</f>
        <v/>
      </c>
      <c r="Y84" s="19">
        <f>IF(ROUND(Y83-Y60,1)=0,"OK",Y83-Y60)</f>
        <v/>
      </c>
      <c r="Z84" s="19">
        <f>IF(ROUND(Z83-Z60,1)=0,"OK",Z83-Z60)</f>
        <v/>
      </c>
      <c r="AA84" s="19">
        <f>IF(ROUND(AA83-AA60,1)=0,"OK",AA83-AA60)</f>
        <v/>
      </c>
      <c r="AB84" s="19">
        <f>IF(ROUND(AB83-AB60,1)=0,"OK",AB83-AB60)</f>
        <v/>
      </c>
      <c r="AC84" s="19">
        <f>IF(ROUND(AC83-AC60,1)=0,"OK",AC83-AC60)</f>
        <v/>
      </c>
      <c r="AD84" s="19">
        <f>IF(ROUND(AD83-AD60,1)=0,"OK",AD83-AD60)</f>
        <v/>
      </c>
      <c r="AE84" s="19">
        <f>IF(ROUND(AE83-AE60,1)=0,"OK",AE83-AE60)</f>
        <v/>
      </c>
      <c r="AF84" s="19">
        <f>IF(ROUND(AF83-AF60,1)=0,"OK",AF83-AF60)</f>
        <v/>
      </c>
      <c r="AG84" s="19">
        <f>IF(ROUND(AG83-AG60,1)=0,"OK",AG83-AG60)</f>
        <v/>
      </c>
      <c r="AH84" s="19">
        <f>IF(ROUND(AH83-AH60,1)=0,"OK",AH83-AH60)</f>
        <v/>
      </c>
      <c r="AI84" s="19">
        <f>IF(ROUND(AI83-AI60,1)=0,"OK",AI83-AI60)</f>
        <v/>
      </c>
      <c r="AJ84" s="19">
        <f>IF(ROUND(AJ83-AJ60,1)=0,"OK",AJ83-AJ60)</f>
        <v/>
      </c>
      <c r="AK84" s="19">
        <f>IF(ROUND(AK83-AK60,1)=0,"OK",AK83-AK60)</f>
        <v/>
      </c>
      <c r="AL84" s="19">
        <f>IF(ROUND(AL83-AL60,1)=0,"OK",AL83-AL60)</f>
        <v/>
      </c>
      <c r="AM84" s="19">
        <f>IF(ROUND(AM83-AM60,1)=0,"OK",AM83-AM60)</f>
        <v/>
      </c>
      <c r="AN84" s="19">
        <f>IF(ROUND(AN83-AN60,1)=0,"OK",AN83-AN60)</f>
        <v/>
      </c>
      <c r="AO84" s="19">
        <f>IF(ROUND(AO83-AO60,1)=0,"OK",AO83-AO60)</f>
        <v/>
      </c>
      <c r="AP84" s="19">
        <f>IF(ROUND(AP83-AP60,1)=0,"OK",AP83-AP60)</f>
        <v/>
      </c>
      <c r="AQ84" s="106" t="n"/>
      <c r="AR84" s="106" t="n"/>
      <c r="AS84" s="106" t="n"/>
      <c r="AT84" s="106" t="n"/>
      <c r="AU84" s="106" t="n"/>
      <c r="AV84" s="106" t="n"/>
      <c r="AW84" s="106" t="n"/>
    </row>
    <row r="85">
      <c r="G85" s="108" t="n"/>
      <c r="H85" s="30" t="n"/>
      <c r="P85" s="106" t="n"/>
      <c r="AQ85" s="106" t="n"/>
      <c r="AR85" s="106" t="n"/>
      <c r="AS85" s="106" t="n"/>
      <c r="AT85" s="106" t="n"/>
      <c r="AU85" s="106" t="n"/>
      <c r="AV85" s="106" t="n"/>
      <c r="AW85" s="106" t="n"/>
    </row>
    <row r="86" ht="15" customHeight="1">
      <c r="A86" s="22" t="inlineStr">
        <is>
          <t>x</t>
        </is>
      </c>
      <c r="B86" s="22" t="inlineStr">
        <is>
          <t>Segment</t>
        </is>
      </c>
      <c r="C86" s="23" t="n"/>
      <c r="D86" s="23" t="n"/>
      <c r="E86" s="23" t="n"/>
      <c r="F86" s="23" t="n"/>
      <c r="G86" s="166" t="n"/>
      <c r="H86" s="45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  <c r="AL86" s="23" t="n"/>
      <c r="AM86" s="23" t="n"/>
      <c r="AN86" s="23" t="n"/>
      <c r="AO86" s="23" t="n"/>
      <c r="AP86" s="23" t="n"/>
      <c r="AQ86" s="23" t="n"/>
      <c r="AR86" s="23" t="n"/>
      <c r="AS86" s="23" t="n"/>
      <c r="AT86" s="23" t="n"/>
      <c r="AU86" s="23" t="n"/>
      <c r="AV86" s="23" t="n"/>
      <c r="AW86" s="23" t="n"/>
    </row>
    <row r="87">
      <c r="G87" s="108" t="n"/>
      <c r="H87" s="30" t="n"/>
      <c r="P87" s="106" t="n"/>
      <c r="AQ87" s="106" t="n"/>
      <c r="AR87" s="106" t="n"/>
      <c r="AS87" s="106" t="n"/>
      <c r="AT87" s="106" t="n"/>
      <c r="AU87" s="106" t="n"/>
      <c r="AV87" s="106" t="n"/>
      <c r="AW87" s="106" t="n"/>
    </row>
    <row r="88">
      <c r="G88" s="108" t="n"/>
      <c r="H88" s="30" t="n"/>
      <c r="P88" s="106" t="n"/>
      <c r="AQ88" s="106" t="n"/>
      <c r="AR88" s="106" t="n"/>
      <c r="AS88" s="106" t="n"/>
      <c r="AT88" s="106" t="n"/>
      <c r="AU88" s="106" t="n"/>
      <c r="AV88" s="106" t="n"/>
      <c r="AW88" s="106" t="n"/>
    </row>
    <row r="89">
      <c r="B89" s="38" t="inlineStr">
        <is>
          <t>Segments</t>
        </is>
      </c>
      <c r="G89" s="108" t="n"/>
      <c r="H89" s="30" t="n"/>
      <c r="P89" s="106" t="n"/>
      <c r="AQ89" s="106" t="n"/>
      <c r="AR89" s="106" t="n"/>
      <c r="AS89" s="106" t="n"/>
      <c r="AT89" s="106" t="n"/>
      <c r="AU89" s="106" t="n"/>
      <c r="AV89" s="106" t="n"/>
      <c r="AW89" s="106" t="n"/>
    </row>
    <row r="90">
      <c r="B90" s="38" t="n"/>
      <c r="G90" s="108" t="n"/>
      <c r="H90" s="30" t="n"/>
      <c r="P90" s="106" t="n"/>
      <c r="AQ90" s="106" t="n"/>
      <c r="AR90" s="106" t="n"/>
      <c r="AS90" s="106" t="n"/>
      <c r="AT90" s="106" t="n"/>
      <c r="AU90" s="106" t="n"/>
      <c r="AV90" s="106" t="n"/>
      <c r="AW90" s="106" t="n"/>
    </row>
    <row r="91">
      <c r="B91" t="inlineStr">
        <is>
          <t>Marine Transport</t>
        </is>
      </c>
      <c r="G91" s="57">
        <f>OFFSET(R91,0,MATCH($G$2,$R$3:$AW$3,0)-1)*4</f>
        <v/>
      </c>
      <c r="H91" s="33">
        <f>SUM(OFFSET(R91,0,MATCH($G$2,$R$3:$AW$3,0)-4),OFFSET(R91,0,MATCH($G$2,$R$3:$AW$3,0)-3),OFFSET(R91,0,MATCH($G$2,$R$3:$AW$3,0)-2),OFFSET(R91,0,MATCH($G$2,$R$3:$AW$3,0)-1))</f>
        <v/>
      </c>
      <c r="J91" s="9">
        <f>SUM(R91:U91)</f>
        <v/>
      </c>
      <c r="K91" s="9">
        <f>SUM(V91:Y91)</f>
        <v/>
      </c>
      <c r="L91" s="9">
        <f>SUM(Z91:AC91)</f>
        <v/>
      </c>
      <c r="M91" s="9">
        <f>SUM(AD91:AG91)</f>
        <v/>
      </c>
      <c r="N91" s="9">
        <f>SUM(AH91:AK91)</f>
        <v/>
      </c>
      <c r="O91" s="9">
        <f>SUM(AL91:AO91)</f>
        <v/>
      </c>
      <c r="P91" s="106" t="n"/>
      <c r="R91" s="69">
        <f>R7</f>
        <v/>
      </c>
      <c r="S91" s="69">
        <f>S7</f>
        <v/>
      </c>
      <c r="T91" s="69">
        <f>T7</f>
        <v/>
      </c>
      <c r="U91" s="69">
        <f>U7</f>
        <v/>
      </c>
      <c r="V91" s="69">
        <f>V7</f>
        <v/>
      </c>
      <c r="W91" s="69">
        <f>W7</f>
        <v/>
      </c>
      <c r="X91" s="69">
        <f>X7</f>
        <v/>
      </c>
      <c r="Y91" s="69">
        <f>Y7</f>
        <v/>
      </c>
      <c r="Z91" s="69">
        <f>Z7</f>
        <v/>
      </c>
      <c r="AA91" s="69">
        <f>AA7</f>
        <v/>
      </c>
      <c r="AB91" s="69">
        <f>AB7</f>
        <v/>
      </c>
      <c r="AC91" s="69">
        <f>AC7</f>
        <v/>
      </c>
      <c r="AD91" s="69">
        <f>AD7</f>
        <v/>
      </c>
      <c r="AE91" s="69">
        <f>AE7</f>
        <v/>
      </c>
      <c r="AF91" s="69">
        <f>AF7</f>
        <v/>
      </c>
      <c r="AG91" s="69">
        <f>AG7</f>
        <v/>
      </c>
      <c r="AH91" s="69">
        <f>AH7</f>
        <v/>
      </c>
      <c r="AI91" s="69">
        <f>AI7</f>
        <v/>
      </c>
      <c r="AJ91" s="69">
        <f>AJ7</f>
        <v/>
      </c>
      <c r="AK91" s="69">
        <f>AK7</f>
        <v/>
      </c>
      <c r="AL91" s="69">
        <f>AL7</f>
        <v/>
      </c>
      <c r="AM91" s="69">
        <f>AM7</f>
        <v/>
      </c>
      <c r="AN91" s="69">
        <f>AN7</f>
        <v/>
      </c>
      <c r="AO91" s="69">
        <f>AO7</f>
        <v/>
      </c>
      <c r="AP91" s="69">
        <f>AP7</f>
        <v/>
      </c>
      <c r="AQ91" s="106" t="n"/>
      <c r="AR91" s="106" t="n"/>
      <c r="AS91" s="106" t="n"/>
      <c r="AT91" s="106" t="n"/>
      <c r="AU91" s="106" t="n"/>
      <c r="AV91" s="106" t="n"/>
      <c r="AW91" s="106" t="n"/>
    </row>
    <row r="92">
      <c r="B92" s="7" t="inlineStr">
        <is>
          <t>D&amp;S</t>
        </is>
      </c>
      <c r="C92" s="7" t="n"/>
      <c r="D92" s="7" t="n"/>
      <c r="E92" s="7" t="n"/>
      <c r="F92" s="7" t="n"/>
      <c r="G92" s="58">
        <f>OFFSET(R92,0,MATCH($G$2,$R$3:$AW$3,0)-1)*4</f>
        <v/>
      </c>
      <c r="H92" s="46">
        <f>SUM(OFFSET(R92,0,MATCH($G$2,$R$3:$AW$3,0)-4),OFFSET(R92,0,MATCH($G$2,$R$3:$AW$3,0)-3),OFFSET(R92,0,MATCH($G$2,$R$3:$AW$3,0)-2),OFFSET(R92,0,MATCH($G$2,$R$3:$AW$3,0)-1))</f>
        <v/>
      </c>
      <c r="I92" s="7" t="n"/>
      <c r="J92" s="11">
        <f>SUM(R92:U92)</f>
        <v/>
      </c>
      <c r="K92" s="11">
        <f>SUM(V92:Y92)</f>
        <v/>
      </c>
      <c r="L92" s="11">
        <f>SUM(Z92:AC92)</f>
        <v/>
      </c>
      <c r="M92" s="11">
        <f>SUM(AD92:AG92)</f>
        <v/>
      </c>
      <c r="N92" s="11">
        <f>SUM(AH92:AK92)</f>
        <v/>
      </c>
      <c r="O92" s="11">
        <f>SUM(AL92:AO92)</f>
        <v/>
      </c>
      <c r="P92" s="107" t="n"/>
      <c r="Q92" s="7" t="n"/>
      <c r="R92" s="77">
        <f>R8</f>
        <v/>
      </c>
      <c r="S92" s="77">
        <f>S8</f>
        <v/>
      </c>
      <c r="T92" s="77">
        <f>T8</f>
        <v/>
      </c>
      <c r="U92" s="77">
        <f>U8</f>
        <v/>
      </c>
      <c r="V92" s="77">
        <f>V8</f>
        <v/>
      </c>
      <c r="W92" s="77">
        <f>W8</f>
        <v/>
      </c>
      <c r="X92" s="77">
        <f>X8</f>
        <v/>
      </c>
      <c r="Y92" s="77">
        <f>Y8</f>
        <v/>
      </c>
      <c r="Z92" s="77">
        <f>Z8</f>
        <v/>
      </c>
      <c r="AA92" s="77">
        <f>AA8</f>
        <v/>
      </c>
      <c r="AB92" s="77">
        <f>AB8</f>
        <v/>
      </c>
      <c r="AC92" s="77">
        <f>AC8</f>
        <v/>
      </c>
      <c r="AD92" s="77">
        <f>AD8</f>
        <v/>
      </c>
      <c r="AE92" s="77">
        <f>AE8</f>
        <v/>
      </c>
      <c r="AF92" s="77">
        <f>AF8</f>
        <v/>
      </c>
      <c r="AG92" s="77">
        <f>AG8</f>
        <v/>
      </c>
      <c r="AH92" s="77">
        <f>AH8</f>
        <v/>
      </c>
      <c r="AI92" s="77">
        <f>AI8</f>
        <v/>
      </c>
      <c r="AJ92" s="77">
        <f>AJ8</f>
        <v/>
      </c>
      <c r="AK92" s="77">
        <f>AK8</f>
        <v/>
      </c>
      <c r="AL92" s="77">
        <f>AL8</f>
        <v/>
      </c>
      <c r="AM92" s="77">
        <f>AM8</f>
        <v/>
      </c>
      <c r="AN92" s="77">
        <f>AN8</f>
        <v/>
      </c>
      <c r="AO92" s="77">
        <f>AO8</f>
        <v/>
      </c>
      <c r="AP92" s="77">
        <f>AP8</f>
        <v/>
      </c>
      <c r="AQ92" s="107" t="n"/>
      <c r="AR92" s="107" t="n"/>
      <c r="AS92" s="107" t="n"/>
      <c r="AT92" s="107" t="n"/>
      <c r="AU92" s="107" t="n"/>
      <c r="AV92" s="107" t="n"/>
      <c r="AW92" s="107" t="n"/>
    </row>
    <row r="93">
      <c r="B93" s="1" t="inlineStr">
        <is>
          <t>Total Revenues</t>
        </is>
      </c>
      <c r="G93" s="61">
        <f>SUM(G91:G92)</f>
        <v/>
      </c>
      <c r="H93" s="61">
        <f>SUM(H91:H92)</f>
        <v/>
      </c>
      <c r="J93" s="6">
        <f>SUM(J91:J92)</f>
        <v/>
      </c>
      <c r="K93" s="6">
        <f>SUM(K91:K92)</f>
        <v/>
      </c>
      <c r="L93" s="6">
        <f>SUM(L91:L92)</f>
        <v/>
      </c>
      <c r="M93" s="6">
        <f>SUM(M91:M92)</f>
        <v/>
      </c>
      <c r="N93" s="6">
        <f>SUM(N91:N92)</f>
        <v/>
      </c>
      <c r="O93" s="6">
        <f>SUM(O91:O92)</f>
        <v/>
      </c>
      <c r="P93" s="106" t="n"/>
      <c r="R93" s="6">
        <f>SUM(R91:R92)</f>
        <v/>
      </c>
      <c r="S93" s="6">
        <f>SUM(S91:S92)</f>
        <v/>
      </c>
      <c r="T93" s="6">
        <f>SUM(T91:T92)</f>
        <v/>
      </c>
      <c r="U93" s="6">
        <f>SUM(U91:U92)</f>
        <v/>
      </c>
      <c r="V93" s="6">
        <f>SUM(V91:V92)</f>
        <v/>
      </c>
      <c r="W93" s="6">
        <f>SUM(W91:W92)</f>
        <v/>
      </c>
      <c r="X93" s="6">
        <f>SUM(X91:X92)</f>
        <v/>
      </c>
      <c r="Y93" s="6">
        <f>SUM(Y91:Y92)</f>
        <v/>
      </c>
      <c r="Z93" s="6">
        <f>SUM(Z91:Z92)</f>
        <v/>
      </c>
      <c r="AA93" s="6">
        <f>SUM(AA91:AA92)</f>
        <v/>
      </c>
      <c r="AB93" s="6">
        <f>SUM(AB91:AB92)</f>
        <v/>
      </c>
      <c r="AC93" s="6">
        <f>SUM(AC91:AC92)</f>
        <v/>
      </c>
      <c r="AD93" s="6">
        <f>SUM(AD91:AD92)</f>
        <v/>
      </c>
      <c r="AE93" s="6">
        <f>SUM(AE91:AE92)</f>
        <v/>
      </c>
      <c r="AF93" s="6">
        <f>SUM(AF91:AF92)</f>
        <v/>
      </c>
      <c r="AG93" s="6">
        <f>SUM(AG91:AG92)</f>
        <v/>
      </c>
      <c r="AH93" s="6">
        <f>SUM(AH91:AH92)</f>
        <v/>
      </c>
      <c r="AI93" s="6">
        <f>SUM(AI91:AI92)</f>
        <v/>
      </c>
      <c r="AJ93" s="6">
        <f>SUM(AJ91:AJ92)</f>
        <v/>
      </c>
      <c r="AK93" s="6">
        <f>SUM(AK91:AK92)</f>
        <v/>
      </c>
      <c r="AL93" s="6">
        <f>SUM(AL91:AL92)</f>
        <v/>
      </c>
      <c r="AM93" s="6">
        <f>SUM(AM91:AM92)</f>
        <v/>
      </c>
      <c r="AN93" s="6">
        <f>SUM(AN91:AN92)</f>
        <v/>
      </c>
      <c r="AO93" s="6">
        <f>SUM(AO91:AO92)</f>
        <v/>
      </c>
      <c r="AP93" s="6">
        <f>SUM(AP91:AP92)</f>
        <v/>
      </c>
      <c r="AQ93" s="180" t="n">
        <v>94.90000000000001</v>
      </c>
      <c r="AR93" s="106" t="n"/>
      <c r="AS93" s="106" t="n"/>
      <c r="AT93" s="106" t="n"/>
      <c r="AU93" s="106" t="n"/>
      <c r="AV93" s="106" t="n"/>
      <c r="AW93" s="106" t="n"/>
    </row>
    <row r="94">
      <c r="B94" s="3" t="inlineStr">
        <is>
          <t>Check</t>
        </is>
      </c>
      <c r="G94" s="64">
        <f>IF(ROUND(G93-G9,1)=0,"OK",G93-G9)</f>
        <v/>
      </c>
      <c r="H94" s="52">
        <f>IF(ROUND(H93-H9,1)=0,"OK",H93-H9)</f>
        <v/>
      </c>
      <c r="J94" s="19">
        <f>IF(ROUND(J93-J9,1)=0,"OK",J93-J9)</f>
        <v/>
      </c>
      <c r="K94" s="19">
        <f>IF(ROUND(K93-K9,1)=0,"OK",K93-K9)</f>
        <v/>
      </c>
      <c r="L94" s="19">
        <f>IF(ROUND(L93-L9,1)=0,"OK",L93-L9)</f>
        <v/>
      </c>
      <c r="M94" s="19">
        <f>IF(ROUND(M93-M9,1)=0,"OK",M93-M9)</f>
        <v/>
      </c>
      <c r="N94" s="19">
        <f>IF(ROUND(N93-N9,1)=0,"OK",N93-N9)</f>
        <v/>
      </c>
      <c r="O94" s="19">
        <f>IF(ROUND(O93-O9,1)=0,"OK",O93-O9)</f>
        <v/>
      </c>
      <c r="P94" s="106" t="n"/>
      <c r="R94" s="19">
        <f>IF(ROUND(R93-R9,1)=0,"OK",R93-R9)</f>
        <v/>
      </c>
      <c r="S94" s="19">
        <f>IF(ROUND(S93-S9,1)=0,"OK",S93-S9)</f>
        <v/>
      </c>
      <c r="T94" s="19">
        <f>IF(ROUND(T93-T9,1)=0,"OK",T93-T9)</f>
        <v/>
      </c>
      <c r="U94" s="19">
        <f>IF(ROUND(U93-U9,1)=0,"OK",U93-U9)</f>
        <v/>
      </c>
      <c r="V94" s="19">
        <f>IF(ROUND(V93-V9,1)=0,"OK",V93-V9)</f>
        <v/>
      </c>
      <c r="W94" s="19">
        <f>IF(ROUND(W93-W9,1)=0,"OK",W93-W9)</f>
        <v/>
      </c>
      <c r="X94" s="19">
        <f>IF(ROUND(X93-X9,1)=0,"OK",X93-X9)</f>
        <v/>
      </c>
      <c r="Y94" s="19">
        <f>IF(ROUND(Y93-Y9,1)=0,"OK",Y93-Y9)</f>
        <v/>
      </c>
      <c r="Z94" s="19">
        <f>IF(ROUND(Z93-Z9,1)=0,"OK",Z93-Z9)</f>
        <v/>
      </c>
      <c r="AA94" s="19">
        <f>IF(ROUND(AA93-AA9,1)=0,"OK",AA93-AA9)</f>
        <v/>
      </c>
      <c r="AB94" s="19">
        <f>IF(ROUND(AB93-AB9,1)=0,"OK",AB93-AB9)</f>
        <v/>
      </c>
      <c r="AC94" s="19">
        <f>IF(ROUND(AC93-AC9,1)=0,"OK",AC93-AC9)</f>
        <v/>
      </c>
      <c r="AD94" s="19">
        <f>IF(ROUND(AD93-AD9,1)=0,"OK",AD93-AD9)</f>
        <v/>
      </c>
      <c r="AE94" s="19">
        <f>IF(ROUND(AE93-AE9,1)=0,"OK",AE93-AE9)</f>
        <v/>
      </c>
      <c r="AF94" s="19">
        <f>IF(ROUND(AF93-AF9,1)=0,"OK",AF93-AF9)</f>
        <v/>
      </c>
      <c r="AG94" s="19">
        <f>IF(ROUND(AG93-AG9,1)=0,"OK",AG93-AG9)</f>
        <v/>
      </c>
      <c r="AH94" s="19">
        <f>IF(ROUND(AH93-AH9,1)=0,"OK",AH93-AH9)</f>
        <v/>
      </c>
      <c r="AI94" s="19">
        <f>IF(ROUND(AI93-AI9,1)=0,"OK",AI93-AI9)</f>
        <v/>
      </c>
      <c r="AJ94" s="19">
        <f>IF(ROUND(AJ93-AJ9,1)=0,"OK",AJ93-AJ9)</f>
        <v/>
      </c>
      <c r="AK94" s="19">
        <f>IF(ROUND(AK93-AK9,1)=0,"OK",AK93-AK9)</f>
        <v/>
      </c>
      <c r="AL94" s="19">
        <f>IF(ROUND(AL93-AL9,1)=0,"OK",AL93-AL9)</f>
        <v/>
      </c>
      <c r="AM94" s="19">
        <f>IF(ROUND(AM93-AM9,1)=0,"OK",AM93-AM9)</f>
        <v/>
      </c>
      <c r="AN94" s="19">
        <f>IF(ROUND(AN93-AN9,1)=0,"OK",AN93-AN9)</f>
        <v/>
      </c>
      <c r="AO94" s="19">
        <f>IF(ROUND(AO93-AO9,1)=0,"OK",AO93-AO9)</f>
        <v/>
      </c>
      <c r="AP94" s="19">
        <f>IF(ROUND(AP93-AP9,1)=0,"OK",AP93-AP9)</f>
        <v/>
      </c>
      <c r="AQ94" s="106" t="n"/>
      <c r="AR94" s="106" t="n"/>
      <c r="AS94" s="106" t="n"/>
      <c r="AT94" s="106" t="n"/>
      <c r="AU94" s="106" t="n"/>
      <c r="AV94" s="106" t="n"/>
      <c r="AW94" s="106" t="n"/>
    </row>
    <row r="95">
      <c r="G95" s="108" t="n"/>
      <c r="H95" s="30" t="n"/>
      <c r="P95" s="106" t="n"/>
      <c r="AQ95" s="106" t="n"/>
      <c r="AR95" s="106" t="n"/>
      <c r="AS95" s="106" t="n"/>
      <c r="AT95" s="106" t="n"/>
      <c r="AU95" s="106" t="n"/>
      <c r="AV95" s="106" t="n"/>
      <c r="AW95" s="106" t="n"/>
    </row>
    <row r="96">
      <c r="B96" t="inlineStr">
        <is>
          <t>Marine EBIT</t>
        </is>
      </c>
      <c r="G96" s="57">
        <f>OFFSET(R96,0,MATCH($G$2,$R$3:$AW$3,0)-1)*4</f>
        <v/>
      </c>
      <c r="H96" s="33">
        <f>SUM(OFFSET(R96,0,MATCH($G$2,$R$3:$AW$3,0)-4),OFFSET(R96,0,MATCH($G$2,$R$3:$AW$3,0)-3),OFFSET(R96,0,MATCH($G$2,$R$3:$AW$3,0)-2),OFFSET(R96,0,MATCH($G$2,$R$3:$AW$3,0)-1))</f>
        <v/>
      </c>
      <c r="J96" s="9">
        <f>SUM(R96:U96)</f>
        <v/>
      </c>
      <c r="K96" s="9">
        <f>SUM(V96:Y96)</f>
        <v/>
      </c>
      <c r="L96" s="9">
        <f>SUM(Z96:AC96)</f>
        <v/>
      </c>
      <c r="M96" s="9">
        <f>SUM(AD96:AG96)</f>
        <v/>
      </c>
      <c r="N96" s="9">
        <f>SUM(AH96:AK96)</f>
        <v/>
      </c>
      <c r="O96" s="9">
        <f>SUM(AL96:AO96)</f>
        <v/>
      </c>
      <c r="P96" s="106" t="n"/>
      <c r="R96" s="10" t="n">
        <v>16.18000000000006</v>
      </c>
      <c r="S96" s="10" t="n">
        <v>38.22800000000007</v>
      </c>
      <c r="T96" s="10" t="n">
        <v>48.517</v>
      </c>
      <c r="U96" s="10" t="n">
        <v>44.49100000000004</v>
      </c>
      <c r="V96" s="10" t="n">
        <v>35.42399999999998</v>
      </c>
      <c r="W96" s="10" t="n">
        <v>53.24300000000005</v>
      </c>
      <c r="X96" s="10" t="n">
        <v>72.697</v>
      </c>
      <c r="Y96" s="10" t="n">
        <v>54.47800000000007</v>
      </c>
      <c r="Z96" s="10" t="n">
        <v>50.71600000000007</v>
      </c>
      <c r="AA96" s="10" t="n">
        <v>51.37500000000006</v>
      </c>
      <c r="AB96" s="10" t="n">
        <v>32.40899999999999</v>
      </c>
      <c r="AC96" s="10" t="n">
        <v>29.15600000000001</v>
      </c>
      <c r="AD96" s="10" t="n">
        <v>1.939999999999998</v>
      </c>
      <c r="AE96" s="10" t="n">
        <v>18.47800000000001</v>
      </c>
      <c r="AF96" s="10" t="n">
        <v>16.91499999999996</v>
      </c>
      <c r="AG96" s="10" t="n">
        <v>25.68200000000002</v>
      </c>
      <c r="AH96" s="10" t="n">
        <v>16.935</v>
      </c>
      <c r="AI96" s="10" t="n">
        <v>30.81699999999995</v>
      </c>
      <c r="AJ96" s="10" t="n">
        <v>41.71300000000002</v>
      </c>
      <c r="AK96" s="10" t="n">
        <v>46.71899999999999</v>
      </c>
      <c r="AL96" s="10" t="n">
        <v>43.03599999999994</v>
      </c>
      <c r="AM96" s="10" t="n">
        <v>64.25099999999998</v>
      </c>
      <c r="AN96" s="10" t="n">
        <v>63.464</v>
      </c>
      <c r="AO96" s="10" t="n">
        <v>68.18900000000002</v>
      </c>
      <c r="AP96" s="10" t="n">
        <v>82.983</v>
      </c>
      <c r="AQ96" s="106" t="n"/>
      <c r="AR96" s="106" t="n"/>
      <c r="AS96" s="106" t="n"/>
      <c r="AT96" s="106" t="n"/>
      <c r="AU96" s="106" t="n"/>
      <c r="AV96" s="106" t="n"/>
      <c r="AW96" s="106" t="n"/>
    </row>
    <row r="97">
      <c r="B97" s="7" t="inlineStr">
        <is>
          <t>Marine D&amp;A</t>
        </is>
      </c>
      <c r="C97" s="7" t="n"/>
      <c r="D97" s="7" t="n"/>
      <c r="E97" s="7" t="n"/>
      <c r="F97" s="7" t="n"/>
      <c r="G97" s="58">
        <f>OFFSET(R97,0,MATCH($G$2,$R$3:$AW$3,0)-1)*4</f>
        <v/>
      </c>
      <c r="H97" s="46">
        <f>SUM(OFFSET(R97,0,MATCH($G$2,$R$3:$AW$3,0)-4),OFFSET(R97,0,MATCH($G$2,$R$3:$AW$3,0)-3),OFFSET(R97,0,MATCH($G$2,$R$3:$AW$3,0)-2),OFFSET(R97,0,MATCH($G$2,$R$3:$AW$3,0)-1))</f>
        <v/>
      </c>
      <c r="I97" s="7" t="n"/>
      <c r="J97" s="11">
        <f>SUM(R97:U97)</f>
        <v/>
      </c>
      <c r="K97" s="11">
        <f>SUM(V97:Y97)</f>
        <v/>
      </c>
      <c r="L97" s="11">
        <f>SUM(Z97:AC97)</f>
        <v/>
      </c>
      <c r="M97" s="11">
        <f>SUM(AD97:AG97)</f>
        <v/>
      </c>
      <c r="N97" s="11">
        <f>SUM(AH97:AK97)</f>
        <v/>
      </c>
      <c r="O97" s="11">
        <f>SUM(AL97:AO97)</f>
        <v/>
      </c>
      <c r="P97" s="107" t="n"/>
      <c r="Q97" s="7" t="n"/>
      <c r="R97" s="12" t="n">
        <v>43.34</v>
      </c>
      <c r="S97" s="12" t="n">
        <v>44.782</v>
      </c>
      <c r="T97" s="12" t="n">
        <v>47.144</v>
      </c>
      <c r="U97" s="12" t="n">
        <v>47.041</v>
      </c>
      <c r="V97" s="12" t="n">
        <v>45.324</v>
      </c>
      <c r="W97" s="12" t="n">
        <v>45.092</v>
      </c>
      <c r="X97" s="12" t="n">
        <v>44.445</v>
      </c>
      <c r="Y97" s="12" t="n">
        <v>44.881</v>
      </c>
      <c r="Z97" s="12" t="n">
        <v>45.299</v>
      </c>
      <c r="AA97" s="12" t="n">
        <v>46.684</v>
      </c>
      <c r="AB97" s="12" t="n">
        <v>47.312</v>
      </c>
      <c r="AC97" s="12" t="n">
        <v>47.503</v>
      </c>
      <c r="AD97" s="12" t="n">
        <v>47.579</v>
      </c>
      <c r="AE97" s="12" t="n">
        <v>47.501</v>
      </c>
      <c r="AF97" s="12" t="n">
        <v>46.48</v>
      </c>
      <c r="AG97" s="12" t="n">
        <v>44.419</v>
      </c>
      <c r="AH97" s="12" t="n">
        <v>44.086</v>
      </c>
      <c r="AI97" s="12" t="n">
        <v>44.211</v>
      </c>
      <c r="AJ97" s="12" t="n">
        <v>44.37</v>
      </c>
      <c r="AK97" s="12" t="n">
        <v>44.884</v>
      </c>
      <c r="AL97" s="12" t="n">
        <v>45.142</v>
      </c>
      <c r="AM97" s="12" t="n">
        <v>45.526</v>
      </c>
      <c r="AN97" s="12" t="n">
        <v>46.656</v>
      </c>
      <c r="AO97" s="12" t="n">
        <v>46.901</v>
      </c>
      <c r="AP97" s="12" t="n">
        <v>47.849</v>
      </c>
      <c r="AQ97" s="107" t="n"/>
      <c r="AR97" s="107" t="n"/>
      <c r="AS97" s="107" t="n"/>
      <c r="AT97" s="107" t="n"/>
      <c r="AU97" s="107" t="n"/>
      <c r="AV97" s="107" t="n"/>
      <c r="AW97" s="107" t="n"/>
    </row>
    <row r="98">
      <c r="B98" s="1" t="inlineStr">
        <is>
          <t>Marine Reported EBITDA</t>
        </is>
      </c>
      <c r="G98" s="61">
        <f>SUM(G96:G97)</f>
        <v/>
      </c>
      <c r="H98" s="61">
        <f>SUM(H96:H97)</f>
        <v/>
      </c>
      <c r="J98" s="6">
        <f>SUM(J96:J97)</f>
        <v/>
      </c>
      <c r="K98" s="6">
        <f>SUM(K96:K97)</f>
        <v/>
      </c>
      <c r="L98" s="6">
        <f>SUM(L96:L97)</f>
        <v/>
      </c>
      <c r="M98" s="6">
        <f>SUM(M96:M97)</f>
        <v/>
      </c>
      <c r="N98" s="6">
        <f>SUM(N96:N97)</f>
        <v/>
      </c>
      <c r="O98" s="6">
        <f>SUM(O96:O97)</f>
        <v/>
      </c>
      <c r="P98" s="106" t="n"/>
      <c r="R98" s="6">
        <f>SUM(R96:R97)</f>
        <v/>
      </c>
      <c r="S98" s="6">
        <f>SUM(S96:S97)</f>
        <v/>
      </c>
      <c r="T98" s="6">
        <f>SUM(T96:T97)</f>
        <v/>
      </c>
      <c r="U98" s="6">
        <f>SUM(U96:U97)</f>
        <v/>
      </c>
      <c r="V98" s="6">
        <f>SUM(V96:V97)</f>
        <v/>
      </c>
      <c r="W98" s="6">
        <f>SUM(W96:W97)</f>
        <v/>
      </c>
      <c r="X98" s="6">
        <f>SUM(X96:X97)</f>
        <v/>
      </c>
      <c r="Y98" s="6">
        <f>SUM(Y96:Y97)</f>
        <v/>
      </c>
      <c r="Z98" s="6">
        <f>SUM(Z96:Z97)</f>
        <v/>
      </c>
      <c r="AA98" s="6">
        <f>SUM(AA96:AA97)</f>
        <v/>
      </c>
      <c r="AB98" s="6">
        <f>SUM(AB96:AB97)</f>
        <v/>
      </c>
      <c r="AC98" s="6">
        <f>SUM(AC96:AC97)</f>
        <v/>
      </c>
      <c r="AD98" s="6">
        <f>SUM(AD96:AD97)</f>
        <v/>
      </c>
      <c r="AE98" s="6">
        <f>SUM(AE96:AE97)</f>
        <v/>
      </c>
      <c r="AF98" s="6">
        <f>SUM(AF96:AF97)</f>
        <v/>
      </c>
      <c r="AG98" s="6">
        <f>SUM(AG96:AG97)</f>
        <v/>
      </c>
      <c r="AH98" s="6">
        <f>SUM(AH96:AH97)</f>
        <v/>
      </c>
      <c r="AI98" s="6">
        <f>SUM(AI96:AI97)</f>
        <v/>
      </c>
      <c r="AJ98" s="6">
        <f>SUM(AJ96:AJ97)</f>
        <v/>
      </c>
      <c r="AK98" s="6">
        <f>SUM(AK96:AK97)</f>
        <v/>
      </c>
      <c r="AL98" s="6">
        <f>SUM(AL96:AL97)</f>
        <v/>
      </c>
      <c r="AM98" s="6">
        <f>SUM(AM96:AM97)</f>
        <v/>
      </c>
      <c r="AN98" s="6">
        <f>SUM(AN96:AN97)</f>
        <v/>
      </c>
      <c r="AO98" s="6">
        <f>SUM(AO96:AO97)</f>
        <v/>
      </c>
      <c r="AP98" s="6">
        <f>SUM(AP96:AP97)</f>
        <v/>
      </c>
      <c r="AQ98" s="106" t="n"/>
      <c r="AR98" s="106" t="n"/>
      <c r="AS98" s="106" t="n"/>
      <c r="AT98" s="106" t="n"/>
      <c r="AU98" s="106" t="n"/>
      <c r="AV98" s="106" t="n"/>
      <c r="AW98" s="106" t="n"/>
    </row>
    <row r="99">
      <c r="B99" s="3" t="inlineStr">
        <is>
          <t>Y/Y %</t>
        </is>
      </c>
      <c r="G99" s="64" t="n"/>
      <c r="H99" s="52" t="n"/>
      <c r="J99" s="19" t="n"/>
      <c r="K99" s="170">
        <f>K98/J98-1</f>
        <v/>
      </c>
      <c r="L99" s="170">
        <f>L98/K98-1</f>
        <v/>
      </c>
      <c r="M99" s="170">
        <f>M98/L98-1</f>
        <v/>
      </c>
      <c r="N99" s="170">
        <f>N98/M98-1</f>
        <v/>
      </c>
      <c r="O99" s="170">
        <f>O98/N98-1</f>
        <v/>
      </c>
      <c r="P99" s="106" t="n"/>
      <c r="R99" s="19" t="n"/>
      <c r="S99" s="170" t="n"/>
      <c r="T99" s="170" t="n"/>
      <c r="U99" s="170" t="n"/>
      <c r="V99" s="170">
        <f>V98/R98-1</f>
        <v/>
      </c>
      <c r="W99" s="170">
        <f>W98/S98-1</f>
        <v/>
      </c>
      <c r="X99" s="170">
        <f>X98/T98-1</f>
        <v/>
      </c>
      <c r="Y99" s="170">
        <f>Y98/U98-1</f>
        <v/>
      </c>
      <c r="Z99" s="170">
        <f>Z98/V98-1</f>
        <v/>
      </c>
      <c r="AA99" s="170">
        <f>AA98/W98-1</f>
        <v/>
      </c>
      <c r="AB99" s="170">
        <f>AB98/X98-1</f>
        <v/>
      </c>
      <c r="AC99" s="170">
        <f>AC98/Y98-1</f>
        <v/>
      </c>
      <c r="AD99" s="170">
        <f>AD98/Z98-1</f>
        <v/>
      </c>
      <c r="AE99" s="170">
        <f>AE98/AA98-1</f>
        <v/>
      </c>
      <c r="AF99" s="170">
        <f>AF98/AB98-1</f>
        <v/>
      </c>
      <c r="AG99" s="170">
        <f>AG98/AC98-1</f>
        <v/>
      </c>
      <c r="AH99" s="170">
        <f>AH98/AD98-1</f>
        <v/>
      </c>
      <c r="AI99" s="170">
        <f>AI98/AE98-1</f>
        <v/>
      </c>
      <c r="AJ99" s="170">
        <f>AJ98/AF98-1</f>
        <v/>
      </c>
      <c r="AK99" s="170">
        <f>AK98/AG98-1</f>
        <v/>
      </c>
      <c r="AL99" s="170">
        <f>AL98/AH98-1</f>
        <v/>
      </c>
      <c r="AM99" s="170">
        <f>AM98/AI98-1</f>
        <v/>
      </c>
      <c r="AN99" s="170">
        <f>AN98/AJ98-1</f>
        <v/>
      </c>
      <c r="AO99" s="170">
        <f>AO98/AK98-1</f>
        <v/>
      </c>
      <c r="AP99" s="170">
        <f>AP98/AL98-1</f>
        <v/>
      </c>
      <c r="AQ99" s="106" t="n"/>
      <c r="AR99" s="106" t="n"/>
      <c r="AS99" s="106" t="n"/>
      <c r="AT99" s="106" t="n"/>
      <c r="AU99" s="106" t="n"/>
      <c r="AV99" s="106" t="n"/>
      <c r="AW99" s="106" t="n"/>
    </row>
    <row r="100">
      <c r="G100" s="108" t="n"/>
      <c r="H100" s="30" t="n"/>
      <c r="P100" s="106" t="n"/>
      <c r="AQ100" s="106" t="n"/>
      <c r="AR100" s="106" t="n"/>
      <c r="AS100" s="106" t="n"/>
      <c r="AT100" s="106" t="n"/>
      <c r="AU100" s="106" t="n"/>
      <c r="AV100" s="106" t="n"/>
      <c r="AW100" s="106" t="n"/>
    </row>
    <row r="101">
      <c r="B101" t="inlineStr">
        <is>
          <t>D&amp;S EBIT</t>
        </is>
      </c>
      <c r="G101" s="57">
        <f>OFFSET(R101,0,MATCH($G$2,$R$3:$AW$3,0)-1)*4</f>
        <v/>
      </c>
      <c r="H101" s="33">
        <f>SUM(OFFSET(R101,0,MATCH($G$2,$R$3:$AW$3,0)-4),OFFSET(R101,0,MATCH($G$2,$R$3:$AW$3,0)-3),OFFSET(R101,0,MATCH($G$2,$R$3:$AW$3,0)-2),OFFSET(R101,0,MATCH($G$2,$R$3:$AW$3,0)-1))</f>
        <v/>
      </c>
      <c r="J101" s="9">
        <f>SUM(R101:U101)</f>
        <v/>
      </c>
      <c r="K101" s="9">
        <f>SUM(V101:Y101)</f>
        <v/>
      </c>
      <c r="L101" s="9">
        <f>SUM(Z101:AC101)</f>
        <v/>
      </c>
      <c r="M101" s="9">
        <f>SUM(AD101:AG101)</f>
        <v/>
      </c>
      <c r="N101" s="9">
        <f>SUM(AH101:AK101)</f>
        <v/>
      </c>
      <c r="O101" s="9">
        <f>SUM(AL101:AO101)</f>
        <v/>
      </c>
      <c r="P101" s="106" t="n"/>
      <c r="R101" s="10" t="n">
        <v>36.96500000000003</v>
      </c>
      <c r="S101" s="10" t="n">
        <v>40.18999999999994</v>
      </c>
      <c r="T101" s="10" t="n">
        <v>23.91400000000004</v>
      </c>
      <c r="U101" s="10" t="n">
        <v>28.23599999999999</v>
      </c>
      <c r="V101" s="10" t="n">
        <v>37.60900000000004</v>
      </c>
      <c r="W101" s="10" t="n">
        <v>23.12799999999993</v>
      </c>
      <c r="X101" s="10" t="n">
        <v>9.131999999999977</v>
      </c>
      <c r="Y101" s="10" t="n">
        <v>-2.667999999999978</v>
      </c>
      <c r="Z101" s="10" t="n">
        <v>3.717999999999989</v>
      </c>
      <c r="AA101" s="10" t="n">
        <v>-14.14700000000002</v>
      </c>
      <c r="AB101" s="10" t="n">
        <v>1.105500000000006</v>
      </c>
      <c r="AC101" s="10" t="n">
        <v>-2.865999999999985</v>
      </c>
      <c r="AD101" s="10" t="n">
        <v>2.911000000000001</v>
      </c>
      <c r="AE101" s="10" t="n">
        <v>6.156000000000006</v>
      </c>
      <c r="AF101" s="10" t="n">
        <v>11.03899999999999</v>
      </c>
      <c r="AG101" s="10" t="n">
        <v>7.501000000000005</v>
      </c>
      <c r="AH101" s="10" t="n">
        <v>10.971</v>
      </c>
      <c r="AI101" s="10" t="n">
        <v>16.73700000000008</v>
      </c>
      <c r="AJ101" s="10" t="n">
        <v>22.26799999999997</v>
      </c>
      <c r="AK101" s="10" t="n">
        <v>17.06099999999998</v>
      </c>
      <c r="AL101" s="10" t="n">
        <v>22.79200000000003</v>
      </c>
      <c r="AM101" s="10" t="n">
        <v>29.84200000000004</v>
      </c>
      <c r="AN101" s="10" t="n">
        <v>33.19399999999996</v>
      </c>
      <c r="AO101" s="10" t="n">
        <v>28.65300000000002</v>
      </c>
      <c r="AP101" s="10" t="n">
        <v>22.01400000000007</v>
      </c>
      <c r="AQ101" s="106" t="n"/>
      <c r="AR101" s="106" t="n"/>
      <c r="AS101" s="106" t="n"/>
      <c r="AT101" s="106" t="n"/>
      <c r="AU101" s="106" t="n"/>
      <c r="AV101" s="106" t="n"/>
      <c r="AW101" s="106" t="n"/>
    </row>
    <row r="102">
      <c r="B102" s="7" t="inlineStr">
        <is>
          <t>D&amp;S D&amp;A</t>
        </is>
      </c>
      <c r="C102" s="7" t="n"/>
      <c r="D102" s="7" t="n"/>
      <c r="E102" s="7" t="n"/>
      <c r="F102" s="7" t="n"/>
      <c r="G102" s="58">
        <f>OFFSET(R102,0,MATCH($G$2,$R$3:$AW$3,0)-1)*4</f>
        <v/>
      </c>
      <c r="H102" s="46">
        <f>SUM(OFFSET(R102,0,MATCH($G$2,$R$3:$AW$3,0)-4),OFFSET(R102,0,MATCH($G$2,$R$3:$AW$3,0)-3),OFFSET(R102,0,MATCH($G$2,$R$3:$AW$3,0)-2),OFFSET(R102,0,MATCH($G$2,$R$3:$AW$3,0)-1))</f>
        <v/>
      </c>
      <c r="I102" s="7" t="n"/>
      <c r="J102" s="11">
        <f>SUM(R102:U102)</f>
        <v/>
      </c>
      <c r="K102" s="11">
        <f>SUM(V102:Y102)</f>
        <v/>
      </c>
      <c r="L102" s="11">
        <f>SUM(Z102:AC102)</f>
        <v/>
      </c>
      <c r="M102" s="11">
        <f>SUM(AD102:AG102)</f>
        <v/>
      </c>
      <c r="N102" s="11">
        <f>SUM(AH102:AK102)</f>
        <v/>
      </c>
      <c r="O102" s="11">
        <f>SUM(AL102:AO102)</f>
        <v/>
      </c>
      <c r="P102" s="107" t="n"/>
      <c r="Q102" s="7" t="n"/>
      <c r="R102" s="12" t="n">
        <v>10.032</v>
      </c>
      <c r="S102" s="12" t="n">
        <v>9.877000000000001</v>
      </c>
      <c r="T102" s="12" t="n">
        <v>9.964</v>
      </c>
      <c r="U102" s="12" t="n">
        <v>9.476000000000001</v>
      </c>
      <c r="V102" s="12" t="n">
        <v>9.018000000000001</v>
      </c>
      <c r="W102" s="12" t="n">
        <v>9.064</v>
      </c>
      <c r="X102" s="12" t="n">
        <v>9.085000000000001</v>
      </c>
      <c r="Y102" s="12" t="n">
        <v>8.831</v>
      </c>
      <c r="Z102" s="12" t="n">
        <v>9.336</v>
      </c>
      <c r="AA102" s="12" t="n">
        <v>6.633</v>
      </c>
      <c r="AB102" s="12" t="n">
        <v>6.283</v>
      </c>
      <c r="AC102" s="12" t="n">
        <v>6.003</v>
      </c>
      <c r="AD102" s="12" t="n">
        <v>5.881</v>
      </c>
      <c r="AE102" s="12" t="n">
        <v>5.84</v>
      </c>
      <c r="AF102" s="12" t="n">
        <v>5.018</v>
      </c>
      <c r="AG102" s="12" t="n">
        <v>3.834</v>
      </c>
      <c r="AH102" s="12" t="n">
        <v>4.106</v>
      </c>
      <c r="AI102" s="12" t="n">
        <v>4.133</v>
      </c>
      <c r="AJ102" s="12" t="n">
        <v>4.274</v>
      </c>
      <c r="AK102" s="12" t="n">
        <v>4.263</v>
      </c>
      <c r="AL102" s="12" t="n">
        <v>4.245</v>
      </c>
      <c r="AM102" s="12" t="n">
        <v>4.394</v>
      </c>
      <c r="AN102" s="12" t="n">
        <v>5.017</v>
      </c>
      <c r="AO102" s="12" t="n">
        <v>6.186</v>
      </c>
      <c r="AP102" s="12" t="n">
        <v>7.844</v>
      </c>
      <c r="AQ102" s="107" t="n"/>
      <c r="AR102" s="107" t="n"/>
      <c r="AS102" s="107" t="n"/>
      <c r="AT102" s="107" t="n"/>
      <c r="AU102" s="107" t="n"/>
      <c r="AV102" s="107" t="n"/>
      <c r="AW102" s="107" t="n"/>
    </row>
    <row r="103">
      <c r="B103" s="1" t="inlineStr">
        <is>
          <t>D&amp;S Reported EBITDA</t>
        </is>
      </c>
      <c r="G103" s="61">
        <f>SUM(G101:G102)</f>
        <v/>
      </c>
      <c r="H103" s="61">
        <f>SUM(H101:H102)</f>
        <v/>
      </c>
      <c r="J103" s="6">
        <f>SUM(J101:J102)</f>
        <v/>
      </c>
      <c r="K103" s="6">
        <f>SUM(K101:K102)</f>
        <v/>
      </c>
      <c r="L103" s="6">
        <f>SUM(L101:L102)</f>
        <v/>
      </c>
      <c r="M103" s="6">
        <f>SUM(M101:M102)</f>
        <v/>
      </c>
      <c r="N103" s="6">
        <f>SUM(N101:N102)</f>
        <v/>
      </c>
      <c r="O103" s="6">
        <f>SUM(O101:O102)</f>
        <v/>
      </c>
      <c r="P103" s="106" t="n"/>
      <c r="R103" s="6">
        <f>SUM(R101:R102)</f>
        <v/>
      </c>
      <c r="S103" s="6">
        <f>SUM(S101:S102)</f>
        <v/>
      </c>
      <c r="T103" s="6">
        <f>SUM(T101:T102)</f>
        <v/>
      </c>
      <c r="U103" s="6">
        <f>SUM(U101:U102)</f>
        <v/>
      </c>
      <c r="V103" s="6">
        <f>SUM(V101:V102)</f>
        <v/>
      </c>
      <c r="W103" s="6">
        <f>SUM(W101:W102)</f>
        <v/>
      </c>
      <c r="X103" s="6">
        <f>SUM(X101:X102)</f>
        <v/>
      </c>
      <c r="Y103" s="6">
        <f>SUM(Y101:Y102)</f>
        <v/>
      </c>
      <c r="Z103" s="6">
        <f>SUM(Z101:Z102)</f>
        <v/>
      </c>
      <c r="AA103" s="6">
        <f>SUM(AA101:AA102)</f>
        <v/>
      </c>
      <c r="AB103" s="6">
        <f>SUM(AB101:AB102)</f>
        <v/>
      </c>
      <c r="AC103" s="6">
        <f>SUM(AC101:AC102)</f>
        <v/>
      </c>
      <c r="AD103" s="6">
        <f>SUM(AD101:AD102)</f>
        <v/>
      </c>
      <c r="AE103" s="6">
        <f>SUM(AE101:AE102)</f>
        <v/>
      </c>
      <c r="AF103" s="6">
        <f>SUM(AF101:AF102)</f>
        <v/>
      </c>
      <c r="AG103" s="6">
        <f>SUM(AG101:AG102)</f>
        <v/>
      </c>
      <c r="AH103" s="6">
        <f>SUM(AH101:AH102)</f>
        <v/>
      </c>
      <c r="AI103" s="6">
        <f>SUM(AI101:AI102)</f>
        <v/>
      </c>
      <c r="AJ103" s="6">
        <f>SUM(AJ101:AJ102)</f>
        <v/>
      </c>
      <c r="AK103" s="6">
        <f>SUM(AK101:AK102)</f>
        <v/>
      </c>
      <c r="AL103" s="6">
        <f>SUM(AL101:AL102)</f>
        <v/>
      </c>
      <c r="AM103" s="6">
        <f>SUM(AM101:AM102)</f>
        <v/>
      </c>
      <c r="AN103" s="6">
        <f>SUM(AN101:AN102)</f>
        <v/>
      </c>
      <c r="AO103" s="6">
        <f>SUM(AO101:AO102)</f>
        <v/>
      </c>
      <c r="AP103" s="6">
        <f>SUM(AP101:AP102)</f>
        <v/>
      </c>
      <c r="AQ103" s="106" t="n"/>
      <c r="AR103" s="106" t="n"/>
      <c r="AS103" s="106" t="n"/>
      <c r="AT103" s="106" t="n"/>
      <c r="AU103" s="106" t="n"/>
      <c r="AV103" s="106" t="n"/>
      <c r="AW103" s="106" t="n"/>
    </row>
    <row r="104">
      <c r="B104" s="3" t="inlineStr">
        <is>
          <t>Y/Y %</t>
        </is>
      </c>
      <c r="G104" s="64" t="n"/>
      <c r="H104" s="52" t="n"/>
      <c r="J104" s="19" t="n"/>
      <c r="K104" s="170">
        <f>K103/J103-1</f>
        <v/>
      </c>
      <c r="L104" s="170">
        <f>L103/K103-1</f>
        <v/>
      </c>
      <c r="M104" s="170">
        <f>M103/L103-1</f>
        <v/>
      </c>
      <c r="N104" s="170">
        <f>N103/M103-1</f>
        <v/>
      </c>
      <c r="O104" s="170">
        <f>O103/N103-1</f>
        <v/>
      </c>
      <c r="P104" s="106" t="n"/>
      <c r="R104" s="19" t="n"/>
      <c r="S104" s="19" t="n"/>
      <c r="T104" s="19" t="n"/>
      <c r="U104" s="19" t="n"/>
      <c r="V104" s="170">
        <f>V103/R103-1</f>
        <v/>
      </c>
      <c r="W104" s="170">
        <f>W103/S103-1</f>
        <v/>
      </c>
      <c r="X104" s="170">
        <f>X103/T103-1</f>
        <v/>
      </c>
      <c r="Y104" s="170">
        <f>Y103/U103-1</f>
        <v/>
      </c>
      <c r="Z104" s="170">
        <f>Z103/V103-1</f>
        <v/>
      </c>
      <c r="AA104" s="170">
        <f>AA103/W103-1</f>
        <v/>
      </c>
      <c r="AB104" s="170">
        <f>AB103/X103-1</f>
        <v/>
      </c>
      <c r="AC104" s="170">
        <f>AC103/Y103-1</f>
        <v/>
      </c>
      <c r="AD104" s="170">
        <f>AD103/Z103-1</f>
        <v/>
      </c>
      <c r="AE104" s="170">
        <f>AE103/AA103-1</f>
        <v/>
      </c>
      <c r="AF104" s="170">
        <f>AF103/AB103-1</f>
        <v/>
      </c>
      <c r="AG104" s="170">
        <f>AG103/AC103-1</f>
        <v/>
      </c>
      <c r="AH104" s="170">
        <f>AH103/AD103-1</f>
        <v/>
      </c>
      <c r="AI104" s="170">
        <f>AI103/AE103-1</f>
        <v/>
      </c>
      <c r="AJ104" s="170">
        <f>AJ103/AF103-1</f>
        <v/>
      </c>
      <c r="AK104" s="170">
        <f>AK103/AG103-1</f>
        <v/>
      </c>
      <c r="AL104" s="170">
        <f>AL103/AH103-1</f>
        <v/>
      </c>
      <c r="AM104" s="170">
        <f>AM103/AI103-1</f>
        <v/>
      </c>
      <c r="AN104" s="170">
        <f>AN103/AJ103-1</f>
        <v/>
      </c>
      <c r="AO104" s="170">
        <f>AO103/AK103-1</f>
        <v/>
      </c>
      <c r="AP104" s="170">
        <f>AP103/AL103-1</f>
        <v/>
      </c>
      <c r="AQ104" s="106" t="n"/>
      <c r="AR104" s="106" t="n"/>
      <c r="AS104" s="106" t="n"/>
      <c r="AT104" s="106" t="n"/>
      <c r="AU104" s="106" t="n"/>
      <c r="AV104" s="106" t="n"/>
      <c r="AW104" s="106" t="n"/>
    </row>
    <row r="105">
      <c r="G105" s="108" t="n"/>
      <c r="H105" s="30" t="n"/>
      <c r="P105" s="106" t="n"/>
      <c r="AN105" s="5" t="n"/>
      <c r="AO105" s="5" t="n"/>
      <c r="AP105" s="5" t="n"/>
      <c r="AQ105" s="106" t="n"/>
      <c r="AR105" s="106" t="n"/>
      <c r="AS105" s="106" t="n"/>
      <c r="AT105" s="106" t="n"/>
      <c r="AU105" s="106" t="n"/>
      <c r="AV105" s="106" t="n"/>
      <c r="AW105" s="106" t="n"/>
    </row>
    <row r="106">
      <c r="B106" t="inlineStr">
        <is>
          <t>Marine EBITDA</t>
        </is>
      </c>
      <c r="G106" s="57">
        <f>OFFSET(R106,0,MATCH($G$2,$R$3:$AW$3,0)-1)*4</f>
        <v/>
      </c>
      <c r="H106" s="33">
        <f>SUM(OFFSET(R106,0,MATCH($G$2,$R$3:$AW$3,0)-4),OFFSET(R106,0,MATCH($G$2,$R$3:$AW$3,0)-3),OFFSET(R106,0,MATCH($G$2,$R$3:$AW$3,0)-2),OFFSET(R106,0,MATCH($G$2,$R$3:$AW$3,0)-1))</f>
        <v/>
      </c>
      <c r="J106" s="9">
        <f>SUM(R106:U106)</f>
        <v/>
      </c>
      <c r="K106" s="9">
        <f>SUM(V106:Y106)</f>
        <v/>
      </c>
      <c r="L106" s="9">
        <f>SUM(Z106:AC106)</f>
        <v/>
      </c>
      <c r="M106" s="9">
        <f>SUM(AD106:AG106)</f>
        <v/>
      </c>
      <c r="N106" s="9">
        <f>SUM(AH106:AK106)</f>
        <v/>
      </c>
      <c r="O106" s="9">
        <f>SUM(AL106:AO106)</f>
        <v/>
      </c>
      <c r="P106" s="106" t="n"/>
      <c r="R106" s="69">
        <f>R98</f>
        <v/>
      </c>
      <c r="S106" s="69">
        <f>S98</f>
        <v/>
      </c>
      <c r="T106" s="69">
        <f>T98</f>
        <v/>
      </c>
      <c r="U106" s="69">
        <f>U98</f>
        <v/>
      </c>
      <c r="V106" s="69">
        <f>V98</f>
        <v/>
      </c>
      <c r="W106" s="69">
        <f>W98</f>
        <v/>
      </c>
      <c r="X106" s="69">
        <f>X98</f>
        <v/>
      </c>
      <c r="Y106" s="69">
        <f>Y98</f>
        <v/>
      </c>
      <c r="Z106" s="69">
        <f>Z98</f>
        <v/>
      </c>
      <c r="AA106" s="69">
        <f>AA98</f>
        <v/>
      </c>
      <c r="AB106" s="69">
        <f>AB98</f>
        <v/>
      </c>
      <c r="AC106" s="69">
        <f>AC98</f>
        <v/>
      </c>
      <c r="AD106" s="69">
        <f>AD98</f>
        <v/>
      </c>
      <c r="AE106" s="69">
        <f>AE98</f>
        <v/>
      </c>
      <c r="AF106" s="69">
        <f>AF98</f>
        <v/>
      </c>
      <c r="AG106" s="69">
        <f>AG98</f>
        <v/>
      </c>
      <c r="AH106" s="69">
        <f>AH98</f>
        <v/>
      </c>
      <c r="AI106" s="69">
        <f>AI98</f>
        <v/>
      </c>
      <c r="AJ106" s="69">
        <f>AJ98</f>
        <v/>
      </c>
      <c r="AK106" s="69">
        <f>AK98</f>
        <v/>
      </c>
      <c r="AL106" s="69">
        <f>AL98</f>
        <v/>
      </c>
      <c r="AM106" s="69">
        <f>AM98</f>
        <v/>
      </c>
      <c r="AN106" s="69">
        <f>AN98</f>
        <v/>
      </c>
      <c r="AO106" s="69">
        <f>AO98</f>
        <v/>
      </c>
      <c r="AP106" s="69">
        <f>AP98</f>
        <v/>
      </c>
      <c r="AQ106" s="106" t="n"/>
      <c r="AR106" s="106" t="n"/>
      <c r="AS106" s="106" t="n"/>
      <c r="AT106" s="106" t="n"/>
      <c r="AU106" s="106" t="n"/>
      <c r="AV106" s="106" t="n"/>
      <c r="AW106" s="106" t="n"/>
    </row>
    <row r="107">
      <c r="B107" t="inlineStr">
        <is>
          <t>D&amp;S EBITDA</t>
        </is>
      </c>
      <c r="G107" s="57">
        <f>OFFSET(R107,0,MATCH($G$2,$R$3:$AW$3,0)-1)*4</f>
        <v/>
      </c>
      <c r="H107" s="33">
        <f>SUM(OFFSET(R107,0,MATCH($G$2,$R$3:$AW$3,0)-4),OFFSET(R107,0,MATCH($G$2,$R$3:$AW$3,0)-3),OFFSET(R107,0,MATCH($G$2,$R$3:$AW$3,0)-2),OFFSET(R107,0,MATCH($G$2,$R$3:$AW$3,0)-1))</f>
        <v/>
      </c>
      <c r="J107" s="9">
        <f>SUM(R107:U107)</f>
        <v/>
      </c>
      <c r="K107" s="9">
        <f>SUM(V107:Y107)</f>
        <v/>
      </c>
      <c r="L107" s="9">
        <f>SUM(Z107:AC107)</f>
        <v/>
      </c>
      <c r="M107" s="9">
        <f>SUM(AD107:AG107)</f>
        <v/>
      </c>
      <c r="N107" s="9">
        <f>SUM(AH107:AK107)</f>
        <v/>
      </c>
      <c r="O107" s="9">
        <f>SUM(AL107:AO107)</f>
        <v/>
      </c>
      <c r="P107" s="106" t="n"/>
      <c r="R107" s="69">
        <f>R103</f>
        <v/>
      </c>
      <c r="S107" s="69">
        <f>S103</f>
        <v/>
      </c>
      <c r="T107" s="69">
        <f>T103</f>
        <v/>
      </c>
      <c r="U107" s="69">
        <f>U103</f>
        <v/>
      </c>
      <c r="V107" s="69">
        <f>V103</f>
        <v/>
      </c>
      <c r="W107" s="69">
        <f>W103</f>
        <v/>
      </c>
      <c r="X107" s="69">
        <f>X103</f>
        <v/>
      </c>
      <c r="Y107" s="69">
        <f>Y103</f>
        <v/>
      </c>
      <c r="Z107" s="69">
        <f>Z103</f>
        <v/>
      </c>
      <c r="AA107" s="69">
        <f>AA103</f>
        <v/>
      </c>
      <c r="AB107" s="69">
        <f>AB103</f>
        <v/>
      </c>
      <c r="AC107" s="69">
        <f>AC103</f>
        <v/>
      </c>
      <c r="AD107" s="69">
        <f>AD103</f>
        <v/>
      </c>
      <c r="AE107" s="69">
        <f>AE103</f>
        <v/>
      </c>
      <c r="AF107" s="69">
        <f>AF103</f>
        <v/>
      </c>
      <c r="AG107" s="69">
        <f>AG103</f>
        <v/>
      </c>
      <c r="AH107" s="69">
        <f>AH103</f>
        <v/>
      </c>
      <c r="AI107" s="69">
        <f>AI103</f>
        <v/>
      </c>
      <c r="AJ107" s="69">
        <f>AJ103</f>
        <v/>
      </c>
      <c r="AK107" s="69">
        <f>AK103</f>
        <v/>
      </c>
      <c r="AL107" s="69">
        <f>AL103</f>
        <v/>
      </c>
      <c r="AM107" s="69">
        <f>AM103</f>
        <v/>
      </c>
      <c r="AN107" s="69">
        <f>AN103</f>
        <v/>
      </c>
      <c r="AO107" s="69">
        <f>AO103</f>
        <v/>
      </c>
      <c r="AP107" s="69">
        <f>AP103</f>
        <v/>
      </c>
      <c r="AQ107" s="106" t="n"/>
      <c r="AR107" s="106" t="n"/>
      <c r="AS107" s="106" t="n"/>
      <c r="AT107" s="106" t="n"/>
      <c r="AU107" s="106" t="n"/>
      <c r="AV107" s="106" t="n"/>
      <c r="AW107" s="106" t="n"/>
    </row>
    <row r="108">
      <c r="B108" s="7" t="inlineStr">
        <is>
          <t>Implied Overhead</t>
        </is>
      </c>
      <c r="C108" s="7" t="n"/>
      <c r="D108" s="7" t="n"/>
      <c r="E108" s="7" t="n"/>
      <c r="F108" s="7" t="n"/>
      <c r="G108" s="58">
        <f>OFFSET(R108,0,MATCH($G$2,$R$3:$AW$3,0)-1)*4</f>
        <v/>
      </c>
      <c r="H108" s="46">
        <f>SUM(OFFSET(R108,0,MATCH($G$2,$R$3:$AW$3,0)-4),OFFSET(R108,0,MATCH($G$2,$R$3:$AW$3,0)-3),OFFSET(R108,0,MATCH($G$2,$R$3:$AW$3,0)-2),OFFSET(R108,0,MATCH($G$2,$R$3:$AW$3,0)-1))</f>
        <v/>
      </c>
      <c r="I108" s="7" t="n"/>
      <c r="J108" s="11">
        <f>SUM(R108:U108)</f>
        <v/>
      </c>
      <c r="K108" s="11">
        <f>SUM(V108:Y108)</f>
        <v/>
      </c>
      <c r="L108" s="11">
        <f>SUM(Z108:AC108)</f>
        <v/>
      </c>
      <c r="M108" s="11">
        <f>SUM(AD108:AG108)</f>
        <v/>
      </c>
      <c r="N108" s="11">
        <f>SUM(AH108:AK108)</f>
        <v/>
      </c>
      <c r="O108" s="11">
        <f>SUM(AL108:AO108)</f>
        <v/>
      </c>
      <c r="P108" s="107" t="n"/>
      <c r="Q108" s="7" t="n"/>
      <c r="R108" s="77">
        <f>R109-R107-R106</f>
        <v/>
      </c>
      <c r="S108" s="77">
        <f>S109-S107-S106</f>
        <v/>
      </c>
      <c r="T108" s="77">
        <f>T109-T107-T106</f>
        <v/>
      </c>
      <c r="U108" s="77">
        <f>U109-U107-U106</f>
        <v/>
      </c>
      <c r="V108" s="77">
        <f>V109-V107-V106</f>
        <v/>
      </c>
      <c r="W108" s="77">
        <f>W109-W107-W106</f>
        <v/>
      </c>
      <c r="X108" s="77">
        <f>X109-X107-X106</f>
        <v/>
      </c>
      <c r="Y108" s="77">
        <f>Y109-Y107-Y106</f>
        <v/>
      </c>
      <c r="Z108" s="77">
        <f>Z109-Z107-Z106</f>
        <v/>
      </c>
      <c r="AA108" s="77">
        <f>AA109-AA107-AA106</f>
        <v/>
      </c>
      <c r="AB108" s="77">
        <f>AB109-AB107-AB106</f>
        <v/>
      </c>
      <c r="AC108" s="77">
        <f>AC109-AC107-AC106</f>
        <v/>
      </c>
      <c r="AD108" s="77">
        <f>AD109-AD107-AD106</f>
        <v/>
      </c>
      <c r="AE108" s="77">
        <f>AE109-AE107-AE106</f>
        <v/>
      </c>
      <c r="AF108" s="77">
        <f>AF109-AF107-AF106</f>
        <v/>
      </c>
      <c r="AG108" s="77">
        <f>AG109-AG107-AG106</f>
        <v/>
      </c>
      <c r="AH108" s="77">
        <f>AH109-AH107-AH106</f>
        <v/>
      </c>
      <c r="AI108" s="77">
        <f>AI109-AI107-AI106</f>
        <v/>
      </c>
      <c r="AJ108" s="77">
        <f>AJ109-AJ107-AJ106</f>
        <v/>
      </c>
      <c r="AK108" s="77">
        <f>AK109-AK107-AK106</f>
        <v/>
      </c>
      <c r="AL108" s="77">
        <f>AL109-AL107-AL106</f>
        <v/>
      </c>
      <c r="AM108" s="77">
        <f>AM109-AM107-AM106</f>
        <v/>
      </c>
      <c r="AN108" s="77">
        <f>AN109-AN107-AN106</f>
        <v/>
      </c>
      <c r="AO108" s="77">
        <f>AO109-AO107-AO106</f>
        <v/>
      </c>
      <c r="AP108" s="77">
        <f>AP109-AP107-AP106</f>
        <v/>
      </c>
      <c r="AQ108" s="107" t="n"/>
      <c r="AR108" s="107" t="n"/>
      <c r="AS108" s="107" t="n"/>
      <c r="AT108" s="107" t="n"/>
      <c r="AU108" s="107" t="n"/>
      <c r="AV108" s="107" t="n"/>
      <c r="AW108" s="107" t="n"/>
    </row>
    <row r="109">
      <c r="B109" s="1" t="inlineStr">
        <is>
          <t>Total EBITDA</t>
        </is>
      </c>
      <c r="G109" s="61">
        <f>SUM(G106:G108)</f>
        <v/>
      </c>
      <c r="H109" s="80">
        <f>SUM(H106:H108)</f>
        <v/>
      </c>
      <c r="J109" s="6">
        <f>SUM(J106:J108)</f>
        <v/>
      </c>
      <c r="K109" s="6">
        <f>SUM(K106:K108)</f>
        <v/>
      </c>
      <c r="L109" s="6">
        <f>SUM(L106:L108)</f>
        <v/>
      </c>
      <c r="M109" s="6">
        <f>SUM(M106:M108)</f>
        <v/>
      </c>
      <c r="N109" s="6">
        <f>SUM(N106:N108)</f>
        <v/>
      </c>
      <c r="O109" s="6">
        <f>SUM(O106:O108)</f>
        <v/>
      </c>
      <c r="P109" s="106" t="n"/>
      <c r="R109" s="6">
        <f>R23</f>
        <v/>
      </c>
      <c r="S109" s="6">
        <f>S23</f>
        <v/>
      </c>
      <c r="T109" s="6">
        <f>T23</f>
        <v/>
      </c>
      <c r="U109" s="6">
        <f>U23</f>
        <v/>
      </c>
      <c r="V109" s="6">
        <f>V23</f>
        <v/>
      </c>
      <c r="W109" s="6">
        <f>W23</f>
        <v/>
      </c>
      <c r="X109" s="6">
        <f>X23</f>
        <v/>
      </c>
      <c r="Y109" s="6">
        <f>Y23</f>
        <v/>
      </c>
      <c r="Z109" s="6">
        <f>Z23</f>
        <v/>
      </c>
      <c r="AA109" s="6">
        <f>AA23</f>
        <v/>
      </c>
      <c r="AB109" s="6">
        <f>AB23</f>
        <v/>
      </c>
      <c r="AC109" s="6">
        <f>AC23</f>
        <v/>
      </c>
      <c r="AD109" s="6">
        <f>AD23</f>
        <v/>
      </c>
      <c r="AE109" s="6">
        <f>AE23</f>
        <v/>
      </c>
      <c r="AF109" s="6">
        <f>AF23</f>
        <v/>
      </c>
      <c r="AG109" s="6">
        <f>AG23</f>
        <v/>
      </c>
      <c r="AH109" s="6">
        <f>AH23</f>
        <v/>
      </c>
      <c r="AI109" s="6">
        <f>AI23</f>
        <v/>
      </c>
      <c r="AJ109" s="6">
        <f>AJ23</f>
        <v/>
      </c>
      <c r="AK109" s="6">
        <f>AK23</f>
        <v/>
      </c>
      <c r="AL109" s="6">
        <f>AL23</f>
        <v/>
      </c>
      <c r="AM109" s="6">
        <f>AM23</f>
        <v/>
      </c>
      <c r="AN109" s="6">
        <f>AN23</f>
        <v/>
      </c>
      <c r="AO109" s="6">
        <f>AO23</f>
        <v/>
      </c>
      <c r="AP109" s="6">
        <f>AP23</f>
        <v/>
      </c>
      <c r="AQ109" s="106" t="n"/>
      <c r="AR109" s="106" t="n"/>
      <c r="AS109" s="106" t="n"/>
      <c r="AT109" s="106" t="n"/>
      <c r="AU109" s="106" t="n"/>
      <c r="AV109" s="106" t="n"/>
      <c r="AW109" s="106" t="n"/>
    </row>
    <row r="110">
      <c r="B110" s="3" t="inlineStr">
        <is>
          <t>Check</t>
        </is>
      </c>
      <c r="G110" s="64" t="n"/>
      <c r="H110" s="64" t="n"/>
      <c r="J110" s="19" t="n"/>
      <c r="K110" s="170">
        <f>K109/J109-1</f>
        <v/>
      </c>
      <c r="L110" s="170">
        <f>L109/K109-1</f>
        <v/>
      </c>
      <c r="M110" s="170">
        <f>M109/L109-1</f>
        <v/>
      </c>
      <c r="N110" s="170">
        <f>N109/M109-1</f>
        <v/>
      </c>
      <c r="O110" s="170">
        <f>O109/N109-1</f>
        <v/>
      </c>
      <c r="P110" s="106" t="n"/>
      <c r="R110" s="19" t="n"/>
      <c r="S110" s="19" t="n"/>
      <c r="T110" s="19" t="n"/>
      <c r="U110" s="19" t="n"/>
      <c r="V110" s="170">
        <f>V109/R109-1</f>
        <v/>
      </c>
      <c r="W110" s="170">
        <f>W109/S109-1</f>
        <v/>
      </c>
      <c r="X110" s="170">
        <f>X109/T109-1</f>
        <v/>
      </c>
      <c r="Y110" s="170">
        <f>Y109/U109-1</f>
        <v/>
      </c>
      <c r="Z110" s="170">
        <f>Z109/V109-1</f>
        <v/>
      </c>
      <c r="AA110" s="170">
        <f>AA109/W109-1</f>
        <v/>
      </c>
      <c r="AB110" s="170">
        <f>AB109/X109-1</f>
        <v/>
      </c>
      <c r="AC110" s="170">
        <f>AC109/Y109-1</f>
        <v/>
      </c>
      <c r="AD110" s="170">
        <f>AD109/Z109-1</f>
        <v/>
      </c>
      <c r="AE110" s="170">
        <f>AE109/AA109-1</f>
        <v/>
      </c>
      <c r="AF110" s="170">
        <f>AF109/AB109-1</f>
        <v/>
      </c>
      <c r="AG110" s="170">
        <f>AG109/AC109-1</f>
        <v/>
      </c>
      <c r="AH110" s="170">
        <f>AH109/AD109-1</f>
        <v/>
      </c>
      <c r="AI110" s="170">
        <f>AI109/AE109-1</f>
        <v/>
      </c>
      <c r="AJ110" s="170">
        <f>AJ109/AF109-1</f>
        <v/>
      </c>
      <c r="AK110" s="170">
        <f>AK109/AG109-1</f>
        <v/>
      </c>
      <c r="AL110" s="170">
        <f>AL109/AH109-1</f>
        <v/>
      </c>
      <c r="AM110" s="170">
        <f>AM109/AI109-1</f>
        <v/>
      </c>
      <c r="AN110" s="170">
        <f>AN109/AJ109-1</f>
        <v/>
      </c>
      <c r="AO110" s="170">
        <f>AO109/AK109-1</f>
        <v/>
      </c>
      <c r="AP110" s="170">
        <f>AP109/AL109-1</f>
        <v/>
      </c>
      <c r="AQ110" s="106" t="n"/>
      <c r="AR110" s="106" t="n"/>
      <c r="AS110" s="106" t="n"/>
      <c r="AT110" s="106" t="n"/>
      <c r="AU110" s="106" t="n"/>
      <c r="AV110" s="106" t="n"/>
      <c r="AW110" s="106" t="n"/>
    </row>
    <row r="111">
      <c r="B111" s="3" t="n"/>
      <c r="G111" s="64" t="n"/>
      <c r="H111" s="52" t="n"/>
      <c r="J111" s="19" t="n"/>
      <c r="K111" s="170" t="n"/>
      <c r="L111" s="170" t="n"/>
      <c r="M111" s="170" t="n"/>
      <c r="N111" s="170" t="n"/>
      <c r="O111" s="170" t="n"/>
      <c r="P111" s="106" t="n"/>
      <c r="R111" s="19" t="n"/>
      <c r="S111" s="19" t="n"/>
      <c r="T111" s="19" t="n"/>
      <c r="U111" s="19" t="n"/>
      <c r="V111" s="170" t="n"/>
      <c r="W111" s="170" t="n"/>
      <c r="X111" s="170" t="n"/>
      <c r="Y111" s="170" t="n"/>
      <c r="Z111" s="170" t="n"/>
      <c r="AA111" s="170" t="n"/>
      <c r="AB111" s="170" t="n"/>
      <c r="AC111" s="170" t="n"/>
      <c r="AD111" s="170" t="n"/>
      <c r="AE111" s="170" t="n"/>
      <c r="AF111" s="170" t="n"/>
      <c r="AG111" s="170" t="n"/>
      <c r="AH111" s="170" t="n"/>
      <c r="AI111" s="170" t="n"/>
      <c r="AJ111" s="170" t="n"/>
      <c r="AK111" s="170" t="n"/>
      <c r="AL111" s="170" t="n"/>
      <c r="AM111" s="170" t="n"/>
      <c r="AN111" s="170" t="n"/>
      <c r="AO111" s="170" t="n"/>
      <c r="AP111" s="170" t="n"/>
      <c r="AQ111" s="106" t="n"/>
      <c r="AR111" s="106" t="n"/>
      <c r="AS111" s="106" t="n"/>
      <c r="AT111" s="106" t="n"/>
      <c r="AU111" s="106" t="n"/>
      <c r="AV111" s="106" t="n"/>
      <c r="AW111" s="106" t="n"/>
    </row>
    <row r="112">
      <c r="B112" t="inlineStr">
        <is>
          <t>Ton Miles (mm)</t>
        </is>
      </c>
      <c r="G112" s="57">
        <f>OFFSET(R112,0,MATCH($G$2,$R$3:$AW$3,0)-1)*4</f>
        <v/>
      </c>
      <c r="H112" s="33">
        <f>SUM(OFFSET(R112,0,MATCH($G$2,$R$3:$AW$3,0)-4),OFFSET(R112,0,MATCH($G$2,$R$3:$AW$3,0)-3),OFFSET(R112,0,MATCH($G$2,$R$3:$AW$3,0)-2),OFFSET(R112,0,MATCH($G$2,$R$3:$AW$3,0)-1))</f>
        <v/>
      </c>
      <c r="J112" s="9">
        <f>SUM(R112:U112)</f>
        <v/>
      </c>
      <c r="K112" s="9">
        <f>SUM(V112:Y112)</f>
        <v/>
      </c>
      <c r="L112" s="9">
        <f>SUM(Z112:AC112)</f>
        <v/>
      </c>
      <c r="M112" s="9">
        <f>SUM(AD112:AG112)</f>
        <v/>
      </c>
      <c r="N112" s="9">
        <f>SUM(AH112:AK112)</f>
        <v/>
      </c>
      <c r="O112" s="9">
        <f>SUM(AL112:AO112)</f>
        <v/>
      </c>
      <c r="P112" s="106" t="n"/>
      <c r="R112" s="10" t="n">
        <v>3182</v>
      </c>
      <c r="S112" s="10" t="n">
        <v>3921</v>
      </c>
      <c r="T112" s="10" t="n">
        <v>3721</v>
      </c>
      <c r="U112" s="10" t="n">
        <v>3677</v>
      </c>
      <c r="V112" s="10" t="n">
        <v>3146</v>
      </c>
      <c r="W112" s="10" t="n">
        <v>3707</v>
      </c>
      <c r="X112" s="10" t="n">
        <v>3958</v>
      </c>
      <c r="Y112" s="10" t="n">
        <v>3800</v>
      </c>
      <c r="Z112" s="10" t="n">
        <v>3619</v>
      </c>
      <c r="AA112" s="10" t="n">
        <v>3688</v>
      </c>
      <c r="AB112" s="10" t="n">
        <v>2794</v>
      </c>
      <c r="AC112" s="10" t="n">
        <v>2905</v>
      </c>
      <c r="AD112" s="10" t="n">
        <v>2981</v>
      </c>
      <c r="AE112" s="10" t="n">
        <v>3478</v>
      </c>
      <c r="AF112" s="10" t="n">
        <v>3393</v>
      </c>
      <c r="AG112" s="10" t="n">
        <v>3844</v>
      </c>
      <c r="AH112" s="10" t="n">
        <v>3168</v>
      </c>
      <c r="AI112" s="10" t="n">
        <v>3536</v>
      </c>
      <c r="AJ112" s="10" t="n">
        <v>3706</v>
      </c>
      <c r="AK112" s="10" t="n">
        <v>3365</v>
      </c>
      <c r="AL112" s="10" t="n">
        <v>3440</v>
      </c>
      <c r="AM112" s="10" t="n">
        <v>3500</v>
      </c>
      <c r="AN112" s="10" t="n">
        <v>3291</v>
      </c>
      <c r="AO112" s="10" t="n">
        <v>3340</v>
      </c>
      <c r="AP112" s="10" t="n">
        <v>3304</v>
      </c>
      <c r="AQ112" s="106" t="n"/>
      <c r="AR112" s="106" t="n"/>
      <c r="AS112" s="106" t="n"/>
      <c r="AT112" s="106" t="n"/>
      <c r="AU112" s="106" t="n"/>
      <c r="AV112" s="106" t="n"/>
      <c r="AW112" s="106" t="n"/>
    </row>
    <row r="113">
      <c r="B113" s="7" t="inlineStr">
        <is>
          <t>Revenue/ Ton Mile (cents/tm)</t>
        </is>
      </c>
      <c r="C113" s="7" t="n"/>
      <c r="D113" s="7" t="n"/>
      <c r="E113" s="7" t="n"/>
      <c r="F113" s="7" t="n"/>
      <c r="G113" s="181">
        <f>G114/G112*100</f>
        <v/>
      </c>
      <c r="H113" s="182">
        <f>H114/H112*100</f>
        <v/>
      </c>
      <c r="I113" s="183" t="n"/>
      <c r="J113" s="184">
        <f>J114/J112*100</f>
        <v/>
      </c>
      <c r="K113" s="184">
        <f>K114/K112*100</f>
        <v/>
      </c>
      <c r="L113" s="184">
        <f>L114/L112*100</f>
        <v/>
      </c>
      <c r="M113" s="184">
        <f>M114/M112*100</f>
        <v/>
      </c>
      <c r="N113" s="184">
        <f>N114/N112*100</f>
        <v/>
      </c>
      <c r="O113" s="184">
        <f>O114/O112*100</f>
        <v/>
      </c>
      <c r="P113" s="185" t="n"/>
      <c r="Q113" s="183" t="n"/>
      <c r="R113" s="186" t="n">
        <v>8</v>
      </c>
      <c r="S113" s="186" t="n">
        <v>7.3</v>
      </c>
      <c r="T113" s="186" t="n">
        <v>7.7</v>
      </c>
      <c r="U113" s="186" t="n">
        <v>7.9</v>
      </c>
      <c r="V113" s="186" t="n">
        <v>9</v>
      </c>
      <c r="W113" s="186" t="n">
        <v>8.4</v>
      </c>
      <c r="X113" s="186" t="n">
        <v>8</v>
      </c>
      <c r="Y113" s="186" t="n">
        <v>8.199999999999999</v>
      </c>
      <c r="Z113" s="186" t="n">
        <v>8.800000000000001</v>
      </c>
      <c r="AA113" s="186" t="n">
        <v>8.199999999999999</v>
      </c>
      <c r="AB113" s="186" t="n">
        <v>8.9</v>
      </c>
      <c r="AC113" s="186" t="n">
        <v>7.8</v>
      </c>
      <c r="AD113" s="186" t="n">
        <v>7.5</v>
      </c>
      <c r="AE113" s="186" t="n">
        <v>7.3</v>
      </c>
      <c r="AF113" s="186" t="n">
        <v>7.5</v>
      </c>
      <c r="AG113" s="186" t="n">
        <v>7.1</v>
      </c>
      <c r="AH113" s="186" t="n">
        <v>8.800000000000001</v>
      </c>
      <c r="AI113" s="186" t="n">
        <v>9</v>
      </c>
      <c r="AJ113" s="186" t="n">
        <v>9.300000000000001</v>
      </c>
      <c r="AK113" s="186" t="n">
        <v>10</v>
      </c>
      <c r="AL113" s="186" t="n">
        <v>9.800000000000001</v>
      </c>
      <c r="AM113" s="186" t="n">
        <v>10.1</v>
      </c>
      <c r="AN113" s="186" t="n">
        <v>10.7</v>
      </c>
      <c r="AO113" s="186" t="n">
        <v>11.2</v>
      </c>
      <c r="AP113" s="186" t="n">
        <v>11.7</v>
      </c>
      <c r="AQ113" s="107" t="n"/>
      <c r="AR113" s="107" t="n"/>
      <c r="AS113" s="107" t="n"/>
      <c r="AT113" s="107" t="n"/>
      <c r="AU113" s="107" t="n"/>
      <c r="AV113" s="107" t="n"/>
      <c r="AW113" s="107" t="n"/>
    </row>
    <row r="114">
      <c r="B114" s="1" t="inlineStr">
        <is>
          <t>Inland Revenues</t>
        </is>
      </c>
      <c r="G114" s="59">
        <f>OFFSET(R114,0,MATCH($G$2,$R$3:$AW$3,0)-1)*4</f>
        <v/>
      </c>
      <c r="H114" s="32">
        <f>SUM(OFFSET(R114,0,MATCH($G$2,$R$3:$AW$3,0)-4),OFFSET(R114,0,MATCH($G$2,$R$3:$AW$3,0)-3),OFFSET(R114,0,MATCH($G$2,$R$3:$AW$3,0)-2),OFFSET(R114,0,MATCH($G$2,$R$3:$AW$3,0)-1))</f>
        <v/>
      </c>
      <c r="J114" s="13">
        <f>SUM(R114:U114)</f>
        <v/>
      </c>
      <c r="K114" s="13">
        <f>SUM(V114:Y114)</f>
        <v/>
      </c>
      <c r="L114" s="13">
        <f>SUM(Z114:AC114)</f>
        <v/>
      </c>
      <c r="M114" s="13">
        <f>SUM(AD114:AG114)</f>
        <v/>
      </c>
      <c r="N114" s="13">
        <f>SUM(AH114:AK114)</f>
        <v/>
      </c>
      <c r="O114" s="13">
        <f>SUM(AL114:AO114)</f>
        <v/>
      </c>
      <c r="P114" s="106" t="n"/>
      <c r="R114" s="18">
        <f>R112*R113/100</f>
        <v/>
      </c>
      <c r="S114" s="18">
        <f>S112*S113/100</f>
        <v/>
      </c>
      <c r="T114" s="18">
        <f>T112*T113/100</f>
        <v/>
      </c>
      <c r="U114" s="18">
        <f>U112*U113/100</f>
        <v/>
      </c>
      <c r="V114" s="18">
        <f>V112*V113/100</f>
        <v/>
      </c>
      <c r="W114" s="18">
        <f>W112*W113/100</f>
        <v/>
      </c>
      <c r="X114" s="18">
        <f>X112*X113/100</f>
        <v/>
      </c>
      <c r="Y114" s="18">
        <f>Y112*Y113/100</f>
        <v/>
      </c>
      <c r="Z114" s="18">
        <f>Z112*Z113/100</f>
        <v/>
      </c>
      <c r="AA114" s="18">
        <f>AA112*AA113/100</f>
        <v/>
      </c>
      <c r="AB114" s="18">
        <f>AB112*AB113/100</f>
        <v/>
      </c>
      <c r="AC114" s="18">
        <f>AC112*AC113/100</f>
        <v/>
      </c>
      <c r="AD114" s="18">
        <f>AD112*AD113/100</f>
        <v/>
      </c>
      <c r="AE114" s="18">
        <f>AE112*AE113/100</f>
        <v/>
      </c>
      <c r="AF114" s="18">
        <f>AF112*AF113/100</f>
        <v/>
      </c>
      <c r="AG114" s="18">
        <f>AG112*AG113/100</f>
        <v/>
      </c>
      <c r="AH114" s="18">
        <f>AH112*AH113/100</f>
        <v/>
      </c>
      <c r="AI114" s="18">
        <f>AI112*AI113/100</f>
        <v/>
      </c>
      <c r="AJ114" s="18">
        <f>AJ112*AJ113/100</f>
        <v/>
      </c>
      <c r="AK114" s="18">
        <f>AK112*AK113/100</f>
        <v/>
      </c>
      <c r="AL114" s="18">
        <f>AL112*AL113/100</f>
        <v/>
      </c>
      <c r="AM114" s="18">
        <f>AM112*AM113/100</f>
        <v/>
      </c>
      <c r="AN114" s="18">
        <f>AN112*AN113/100</f>
        <v/>
      </c>
      <c r="AO114" s="18">
        <f>AO112*AO113/100</f>
        <v/>
      </c>
      <c r="AP114" s="18">
        <f>AP112*AP113/100</f>
        <v/>
      </c>
      <c r="AQ114" s="106" t="n"/>
      <c r="AR114" s="106" t="n"/>
      <c r="AS114" s="106" t="n"/>
      <c r="AT114" s="106" t="n"/>
      <c r="AU114" s="106" t="n"/>
      <c r="AV114" s="106" t="n"/>
      <c r="AW114" s="106" t="n"/>
    </row>
    <row r="115">
      <c r="B115" s="1" t="inlineStr">
        <is>
          <t>Coastal Revenues</t>
        </is>
      </c>
      <c r="G115" s="59">
        <f>G91-G114</f>
        <v/>
      </c>
      <c r="H115" s="59">
        <f>H91-H114</f>
        <v/>
      </c>
      <c r="J115" s="13">
        <f>J91-J114</f>
        <v/>
      </c>
      <c r="K115" s="13">
        <f>K91-K114</f>
        <v/>
      </c>
      <c r="L115" s="13">
        <f>L91-L114</f>
        <v/>
      </c>
      <c r="M115" s="13">
        <f>M91-M114</f>
        <v/>
      </c>
      <c r="N115" s="13">
        <f>N91-N114</f>
        <v/>
      </c>
      <c r="O115" s="13">
        <f>O91-O114</f>
        <v/>
      </c>
      <c r="P115" s="106" t="n"/>
      <c r="R115" s="13">
        <f>R91-R114</f>
        <v/>
      </c>
      <c r="S115" s="13">
        <f>S91-S114</f>
        <v/>
      </c>
      <c r="T115" s="13">
        <f>T91-T114</f>
        <v/>
      </c>
      <c r="U115" s="13">
        <f>U91-U114</f>
        <v/>
      </c>
      <c r="V115" s="13">
        <f>V91-V114</f>
        <v/>
      </c>
      <c r="W115" s="13">
        <f>W91-W114</f>
        <v/>
      </c>
      <c r="X115" s="13">
        <f>X91-X114</f>
        <v/>
      </c>
      <c r="Y115" s="13">
        <f>Y91-Y114</f>
        <v/>
      </c>
      <c r="Z115" s="13">
        <f>Z91-Z114</f>
        <v/>
      </c>
      <c r="AA115" s="13">
        <f>AA91-AA114</f>
        <v/>
      </c>
      <c r="AB115" s="13">
        <f>AB91-AB114</f>
        <v/>
      </c>
      <c r="AC115" s="13">
        <f>AC91-AC114</f>
        <v/>
      </c>
      <c r="AD115" s="13">
        <f>AD91-AD114</f>
        <v/>
      </c>
      <c r="AE115" s="13">
        <f>AE91-AE114</f>
        <v/>
      </c>
      <c r="AF115" s="13">
        <f>AF91-AF114</f>
        <v/>
      </c>
      <c r="AG115" s="13">
        <f>AG91-AG114</f>
        <v/>
      </c>
      <c r="AH115" s="13">
        <f>AH91-AH114</f>
        <v/>
      </c>
      <c r="AI115" s="13">
        <f>AI91-AI114</f>
        <v/>
      </c>
      <c r="AJ115" s="13">
        <f>AJ91-AJ114</f>
        <v/>
      </c>
      <c r="AK115" s="13">
        <f>AK91-AK114</f>
        <v/>
      </c>
      <c r="AL115" s="13">
        <f>AL91-AL114</f>
        <v/>
      </c>
      <c r="AM115" s="13">
        <f>AM91-AM114</f>
        <v/>
      </c>
      <c r="AN115" s="13">
        <f>AN91-AN114</f>
        <v/>
      </c>
      <c r="AO115" s="13">
        <f>AO91-AO114</f>
        <v/>
      </c>
      <c r="AP115" s="13">
        <f>AP91-AP114</f>
        <v/>
      </c>
      <c r="AQ115" s="106" t="n"/>
      <c r="AR115" s="106" t="n"/>
      <c r="AS115" s="106" t="n"/>
      <c r="AT115" s="106" t="n"/>
      <c r="AU115" s="106" t="n"/>
      <c r="AV115" s="106" t="n"/>
      <c r="AW115" s="106" t="n"/>
    </row>
    <row r="116">
      <c r="B116" s="3" t="n"/>
      <c r="G116" s="64" t="n"/>
      <c r="H116" s="52" t="n"/>
      <c r="J116" s="19" t="n"/>
      <c r="K116" s="170" t="n"/>
      <c r="L116" s="170" t="n"/>
      <c r="M116" s="170" t="n"/>
      <c r="N116" s="170" t="n"/>
      <c r="O116" s="170" t="n"/>
      <c r="P116" s="106" t="n"/>
      <c r="R116" s="19" t="n"/>
      <c r="S116" s="19" t="n"/>
      <c r="T116" s="19" t="n"/>
      <c r="U116" s="19" t="n"/>
      <c r="V116" s="170" t="n"/>
      <c r="W116" s="170" t="n"/>
      <c r="X116" s="170" t="n"/>
      <c r="Y116" s="170" t="n"/>
      <c r="Z116" s="170" t="n"/>
      <c r="AA116" s="170" t="n"/>
      <c r="AB116" s="170" t="n"/>
      <c r="AC116" s="170" t="n"/>
      <c r="AD116" s="170" t="n"/>
      <c r="AE116" s="170" t="n"/>
      <c r="AF116" s="170" t="n"/>
      <c r="AG116" s="170" t="n"/>
      <c r="AH116" s="170" t="n"/>
      <c r="AI116" s="170" t="n"/>
      <c r="AJ116" s="170" t="n"/>
      <c r="AK116" s="170" t="n"/>
      <c r="AL116" s="170" t="n"/>
      <c r="AM116" s="170" t="n"/>
      <c r="AN116" s="170" t="n"/>
      <c r="AO116" s="170" t="n"/>
      <c r="AP116" s="170" t="n"/>
      <c r="AQ116" s="106" t="n"/>
      <c r="AR116" s="106" t="n"/>
      <c r="AS116" s="106" t="n"/>
      <c r="AT116" s="106" t="n"/>
      <c r="AU116" s="106" t="n"/>
      <c r="AV116" s="106" t="n"/>
      <c r="AW116" s="106" t="n"/>
    </row>
    <row r="117">
      <c r="G117" s="108" t="n"/>
      <c r="H117" s="30" t="n"/>
      <c r="P117" s="106" t="n"/>
      <c r="AQ117" s="106" t="n"/>
      <c r="AR117" s="106" t="n"/>
      <c r="AS117" s="106" t="n"/>
      <c r="AT117" s="106" t="n"/>
      <c r="AU117" s="106" t="n"/>
      <c r="AV117" s="106" t="n"/>
      <c r="AW117" s="106" t="n"/>
    </row>
    <row r="118" ht="15" customHeight="1">
      <c r="A118" s="22" t="inlineStr">
        <is>
          <t>x</t>
        </is>
      </c>
      <c r="B118" s="22" t="inlineStr">
        <is>
          <t>CFS</t>
        </is>
      </c>
      <c r="C118" s="23" t="n"/>
      <c r="D118" s="23" t="n"/>
      <c r="E118" s="23" t="n"/>
      <c r="F118" s="23" t="n"/>
      <c r="G118" s="166" t="n"/>
      <c r="H118" s="45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  <c r="AA118" s="23" t="n"/>
      <c r="AB118" s="23" t="n"/>
      <c r="AC118" s="23" t="n"/>
      <c r="AD118" s="23" t="n"/>
      <c r="AE118" s="23" t="n"/>
      <c r="AF118" s="23" t="n"/>
      <c r="AG118" s="23" t="n"/>
      <c r="AH118" s="23" t="n"/>
      <c r="AI118" s="23" t="n"/>
      <c r="AJ118" s="23" t="n"/>
      <c r="AK118" s="23" t="n"/>
      <c r="AL118" s="23" t="n"/>
      <c r="AM118" s="23" t="n"/>
      <c r="AN118" s="23" t="n"/>
      <c r="AO118" s="23" t="n"/>
      <c r="AP118" s="23" t="n"/>
      <c r="AQ118" s="23" t="n"/>
      <c r="AR118" s="23" t="n"/>
      <c r="AS118" s="23" t="n"/>
      <c r="AT118" s="23" t="n"/>
      <c r="AU118" s="23" t="n"/>
      <c r="AV118" s="23" t="n"/>
      <c r="AW118" s="23" t="n"/>
    </row>
    <row r="119">
      <c r="G119" s="108" t="n"/>
      <c r="H119" s="30" t="n"/>
      <c r="P119" s="106" t="n"/>
      <c r="AQ119" s="106" t="n"/>
      <c r="AR119" s="106" t="n"/>
      <c r="AS119" s="106" t="n"/>
      <c r="AT119" s="106" t="n"/>
      <c r="AU119" s="106" t="n"/>
      <c r="AV119" s="106" t="n"/>
      <c r="AW119" s="106" t="n"/>
    </row>
    <row r="120">
      <c r="B120" t="inlineStr">
        <is>
          <t>As Reported EBITDA</t>
        </is>
      </c>
      <c r="G120" s="57">
        <f>OFFSET(R120,0,MATCH($G$2,$R$3:$AW$3,0)-1)*4</f>
        <v/>
      </c>
      <c r="H120" s="33">
        <f>SUM(OFFSET(R120,0,MATCH($G$2,$R$3:$AW$3,0)-4),OFFSET(R120,0,MATCH($G$2,$R$3:$AW$3,0)-3),OFFSET(R120,0,MATCH($G$2,$R$3:$AW$3,0)-2),OFFSET(R120,0,MATCH($G$2,$R$3:$AW$3,0)-1))</f>
        <v/>
      </c>
      <c r="J120" s="9">
        <f>SUM(R120:U120)</f>
        <v/>
      </c>
      <c r="K120" s="9">
        <f>SUM(V120:Y120)</f>
        <v/>
      </c>
      <c r="L120" s="9">
        <f>SUM(Z120:AC120)</f>
        <v/>
      </c>
      <c r="M120" s="9">
        <f>M23</f>
        <v/>
      </c>
      <c r="N120" s="9">
        <f>N23</f>
        <v/>
      </c>
      <c r="O120" s="9">
        <f>O23</f>
        <v/>
      </c>
      <c r="P120" s="106" t="n"/>
      <c r="R120" s="9">
        <f>R23</f>
        <v/>
      </c>
      <c r="S120" s="9">
        <f>S23</f>
        <v/>
      </c>
      <c r="T120" s="9">
        <f>T23</f>
        <v/>
      </c>
      <c r="U120" s="9">
        <f>U23</f>
        <v/>
      </c>
      <c r="V120" s="9">
        <f>V23</f>
        <v/>
      </c>
      <c r="W120" s="9">
        <f>W23</f>
        <v/>
      </c>
      <c r="X120" s="9">
        <f>X23</f>
        <v/>
      </c>
      <c r="Y120" s="9">
        <f>Y23</f>
        <v/>
      </c>
      <c r="Z120" s="9">
        <f>Z23</f>
        <v/>
      </c>
      <c r="AA120" s="9">
        <f>AA23</f>
        <v/>
      </c>
      <c r="AB120" s="9">
        <f>AB23</f>
        <v/>
      </c>
      <c r="AC120" s="9">
        <f>AC23</f>
        <v/>
      </c>
      <c r="AD120" s="9">
        <f>AD23</f>
        <v/>
      </c>
      <c r="AE120" s="9">
        <f>AE23</f>
        <v/>
      </c>
      <c r="AF120" s="9">
        <f>AF23</f>
        <v/>
      </c>
      <c r="AG120" s="9">
        <f>AG23</f>
        <v/>
      </c>
      <c r="AH120" s="9">
        <f>AH23</f>
        <v/>
      </c>
      <c r="AI120" s="9">
        <f>AI23</f>
        <v/>
      </c>
      <c r="AJ120" s="9">
        <f>AJ23</f>
        <v/>
      </c>
      <c r="AK120" s="69">
        <f>AK23</f>
        <v/>
      </c>
      <c r="AL120" s="9">
        <f>AL23</f>
        <v/>
      </c>
      <c r="AM120" s="9">
        <f>AM23</f>
        <v/>
      </c>
      <c r="AN120" s="9">
        <f>AN23</f>
        <v/>
      </c>
      <c r="AO120" s="69">
        <f>AO23</f>
        <v/>
      </c>
      <c r="AP120" s="9">
        <f>AP23</f>
        <v/>
      </c>
      <c r="AQ120" s="106" t="n"/>
      <c r="AR120" s="106" t="n"/>
      <c r="AS120" s="106" t="n"/>
      <c r="AT120" s="106" t="n"/>
      <c r="AU120" s="106" t="n"/>
      <c r="AV120" s="106" t="n"/>
      <c r="AW120" s="106" t="n"/>
    </row>
    <row r="121">
      <c r="B121" t="inlineStr">
        <is>
          <t>(+) Other Income</t>
        </is>
      </c>
      <c r="G121" s="57">
        <f>OFFSET(R121,0,MATCH($G$2,$R$3:$AW$3,0)-1)*4</f>
        <v/>
      </c>
      <c r="H121" s="33">
        <f>SUM(OFFSET(R121,0,MATCH($G$2,$R$3:$AW$3,0)-4),OFFSET(R121,0,MATCH($G$2,$R$3:$AW$3,0)-3),OFFSET(R121,0,MATCH($G$2,$R$3:$AW$3,0)-2),OFFSET(R121,0,MATCH($G$2,$R$3:$AW$3,0)-1))</f>
        <v/>
      </c>
      <c r="J121" s="9">
        <f>SUM(R121:U121)</f>
        <v/>
      </c>
      <c r="K121" s="9">
        <f>SUM(V121:Y121)</f>
        <v/>
      </c>
      <c r="L121" s="9">
        <f>SUM(Z121:AC121)</f>
        <v/>
      </c>
      <c r="M121" s="9">
        <f>M28</f>
        <v/>
      </c>
      <c r="N121" s="9">
        <f>N28</f>
        <v/>
      </c>
      <c r="O121" s="9">
        <f>O28</f>
        <v/>
      </c>
      <c r="P121" s="106" t="n"/>
      <c r="R121" s="9">
        <f>R28</f>
        <v/>
      </c>
      <c r="S121" s="9">
        <f>S28</f>
        <v/>
      </c>
      <c r="T121" s="9">
        <f>T28</f>
        <v/>
      </c>
      <c r="U121" s="9">
        <f>U28</f>
        <v/>
      </c>
      <c r="V121" s="9">
        <f>V28</f>
        <v/>
      </c>
      <c r="W121" s="9">
        <f>W28</f>
        <v/>
      </c>
      <c r="X121" s="9">
        <f>X28</f>
        <v/>
      </c>
      <c r="Y121" s="9">
        <f>Y28</f>
        <v/>
      </c>
      <c r="Z121" s="9">
        <f>Z28</f>
        <v/>
      </c>
      <c r="AA121" s="9">
        <f>AA28</f>
        <v/>
      </c>
      <c r="AB121" s="9">
        <f>AB28</f>
        <v/>
      </c>
      <c r="AC121" s="9">
        <f>AC28</f>
        <v/>
      </c>
      <c r="AD121" s="9">
        <f>AD28</f>
        <v/>
      </c>
      <c r="AE121" s="9">
        <f>AE28</f>
        <v/>
      </c>
      <c r="AF121" s="9">
        <f>AF28</f>
        <v/>
      </c>
      <c r="AG121" s="9">
        <f>AG28</f>
        <v/>
      </c>
      <c r="AH121" s="9">
        <f>AH28</f>
        <v/>
      </c>
      <c r="AI121" s="9">
        <f>AI28</f>
        <v/>
      </c>
      <c r="AJ121" s="9">
        <f>AJ28</f>
        <v/>
      </c>
      <c r="AK121" s="69">
        <f>AK28</f>
        <v/>
      </c>
      <c r="AL121" s="9">
        <f>AL28</f>
        <v/>
      </c>
      <c r="AM121" s="9">
        <f>AM28</f>
        <v/>
      </c>
      <c r="AN121" s="9">
        <f>AN28</f>
        <v/>
      </c>
      <c r="AO121" s="69">
        <f>AO28</f>
        <v/>
      </c>
      <c r="AP121" s="9">
        <f>AP28</f>
        <v/>
      </c>
      <c r="AQ121" s="106" t="n"/>
      <c r="AR121" s="106" t="n"/>
      <c r="AS121" s="106" t="n"/>
      <c r="AT121" s="106" t="n"/>
      <c r="AU121" s="106" t="n"/>
      <c r="AV121" s="106" t="n"/>
      <c r="AW121" s="106" t="n"/>
    </row>
    <row r="122">
      <c r="B122" t="inlineStr">
        <is>
          <t>(-) Cash Interest</t>
        </is>
      </c>
      <c r="G122" s="57">
        <f>OFFSET(R122,0,MATCH($G$2,$R$3:$AW$3,0)-1)*4</f>
        <v/>
      </c>
      <c r="H122" s="33">
        <f>SUM(OFFSET(R122,0,MATCH($G$2,$R$3:$AW$3,0)-4),OFFSET(R122,0,MATCH($G$2,$R$3:$AW$3,0)-3),OFFSET(R122,0,MATCH($G$2,$R$3:$AW$3,0)-2),OFFSET(R122,0,MATCH($G$2,$R$3:$AW$3,0)-1))</f>
        <v/>
      </c>
      <c r="J122" s="10">
        <f>- 40.772</f>
        <v/>
      </c>
      <c r="K122" s="10">
        <f>-55.766</f>
        <v/>
      </c>
      <c r="L122" s="10">
        <f>-48.721</f>
        <v/>
      </c>
      <c r="M122" s="10" t="n">
        <v>-40.878</v>
      </c>
      <c r="N122" s="10" t="n">
        <v>-42.816</v>
      </c>
      <c r="O122" s="10" t="n">
        <v>-49.317</v>
      </c>
      <c r="P122" s="106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 s="119" t="n"/>
      <c r="AH122" s="10" t="n">
        <v>-18.022</v>
      </c>
      <c r="AI122" s="10">
        <f>-20.161-AH122</f>
        <v/>
      </c>
      <c r="AJ122" s="10">
        <f>-39.754-AI122-AH122</f>
        <v/>
      </c>
      <c r="AK122" s="69">
        <f>N122-SUM(AH122:AJ122)</f>
        <v/>
      </c>
      <c r="AL122" s="10" t="n">
        <v>-20.293</v>
      </c>
      <c r="AM122" s="10">
        <f>-24.553-AL122</f>
        <v/>
      </c>
      <c r="AN122" s="10">
        <f>-45.276-AM122-AL122</f>
        <v/>
      </c>
      <c r="AO122" s="69">
        <f>O122-SUM(AL122:AN122)</f>
        <v/>
      </c>
      <c r="AP122" s="10" t="n">
        <v>-21.511</v>
      </c>
      <c r="AQ122" s="106" t="n"/>
      <c r="AR122" s="106" t="n"/>
      <c r="AS122" s="106" t="n"/>
      <c r="AT122" s="106" t="n"/>
      <c r="AU122" s="106" t="n"/>
      <c r="AV122" s="106" t="n"/>
      <c r="AW122" s="106" t="n"/>
    </row>
    <row r="123">
      <c r="B123" t="inlineStr">
        <is>
          <t>(-) Cash Tax</t>
        </is>
      </c>
      <c r="G123" s="57">
        <f>OFFSET(R123,0,MATCH($G$2,$R$3:$AW$3,0)-1)*4</f>
        <v/>
      </c>
      <c r="H123" s="33">
        <f>SUM(OFFSET(R123,0,MATCH($G$2,$R$3:$AW$3,0)-4),OFFSET(R123,0,MATCH($G$2,$R$3:$AW$3,0)-3),OFFSET(R123,0,MATCH($G$2,$R$3:$AW$3,0)-2),OFFSET(R123,0,MATCH($G$2,$R$3:$AW$3,0)-1))</f>
        <v/>
      </c>
      <c r="J123" s="9">
        <f>SUM(R123:U123)</f>
        <v/>
      </c>
      <c r="K123" s="9">
        <f>SUM(V123:Y123)</f>
        <v/>
      </c>
      <c r="L123" s="9">
        <f>SUM(Z123:AC123)</f>
        <v/>
      </c>
      <c r="M123" s="10" t="n">
        <v>116.648</v>
      </c>
      <c r="N123" s="10" t="n">
        <v>-2.553</v>
      </c>
      <c r="O123" s="10" t="n">
        <v>65.78700000000001</v>
      </c>
      <c r="P123" s="106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 s="119" t="n"/>
      <c r="AH123" s="10">
        <f>0.024</f>
        <v/>
      </c>
      <c r="AI123" s="10">
        <f>-1.19-AH123</f>
        <v/>
      </c>
      <c r="AJ123" s="10">
        <f>2.097-AI123-AH123</f>
        <v/>
      </c>
      <c r="AK123" s="69">
        <f>N123-SUM(AH123:AJ123)</f>
        <v/>
      </c>
      <c r="AL123" s="10" t="n">
        <v>-0.694</v>
      </c>
      <c r="AM123" s="10">
        <f>67.921-AL123</f>
        <v/>
      </c>
      <c r="AN123" s="10">
        <f>67.118-AM123-AL123</f>
        <v/>
      </c>
      <c r="AO123" s="69">
        <f>O123-SUM(AL123:AN123)</f>
        <v/>
      </c>
      <c r="AP123" s="10" t="n">
        <v>-1.062</v>
      </c>
      <c r="AQ123" s="106" t="n"/>
      <c r="AR123" s="106" t="n"/>
      <c r="AS123" s="106" t="n"/>
      <c r="AT123" s="106" t="n"/>
      <c r="AU123" s="106" t="n"/>
      <c r="AV123" s="106" t="n"/>
      <c r="AW123" s="106" t="n"/>
    </row>
    <row r="124">
      <c r="B124" t="inlineStr">
        <is>
          <t>SBC</t>
        </is>
      </c>
      <c r="G124" s="57">
        <f>OFFSET(R124,0,MATCH($G$2,$R$3:$AW$3,0)-1)*4</f>
        <v/>
      </c>
      <c r="H124" s="33">
        <f>SUM(OFFSET(R124,0,MATCH($G$2,$R$3:$AW$3,0)-4),OFFSET(R124,0,MATCH($G$2,$R$3:$AW$3,0)-3),OFFSET(R124,0,MATCH($G$2,$R$3:$AW$3,0)-2),OFFSET(R124,0,MATCH($G$2,$R$3:$AW$3,0)-1))</f>
        <v/>
      </c>
      <c r="J124" s="9">
        <f>SUM(R124:U124)</f>
        <v/>
      </c>
      <c r="K124" s="9">
        <f>SUM(V124:Y124)</f>
        <v/>
      </c>
      <c r="L124" s="9">
        <f>SUM(Z124:AC124)</f>
        <v/>
      </c>
      <c r="M124" s="10" t="n">
        <v>15.713</v>
      </c>
      <c r="N124" s="10" t="n">
        <v>13.865</v>
      </c>
      <c r="O124" s="10" t="n">
        <v>14.941</v>
      </c>
      <c r="P124" s="106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 s="119" t="n"/>
      <c r="AH124" s="10" t="n">
        <v>5.965</v>
      </c>
      <c r="AI124" s="10">
        <f>8.555-AH124</f>
        <v/>
      </c>
      <c r="AJ124" s="10">
        <f>11.448-AI124-AH124</f>
        <v/>
      </c>
      <c r="AK124" s="69">
        <f>N124-SUM(AH124:AJ124)</f>
        <v/>
      </c>
      <c r="AL124" s="10" t="n">
        <v>5.808</v>
      </c>
      <c r="AM124" s="10">
        <f>8.912-AL124</f>
        <v/>
      </c>
      <c r="AN124" s="10">
        <f>12.31-AM124-AL124</f>
        <v/>
      </c>
      <c r="AO124" s="69">
        <f>O124-SUM(AL124:AN124)</f>
        <v/>
      </c>
      <c r="AP124" s="10" t="n">
        <v>6.408</v>
      </c>
      <c r="AQ124" s="106" t="n"/>
      <c r="AR124" s="106" t="n"/>
      <c r="AS124" s="106" t="n"/>
      <c r="AT124" s="106" t="n"/>
      <c r="AU124" s="106" t="n"/>
      <c r="AV124" s="106" t="n"/>
      <c r="AW124" s="106" t="n"/>
    </row>
    <row r="125">
      <c r="B125" t="inlineStr">
        <is>
          <t>Amortization of maint. Costs</t>
        </is>
      </c>
      <c r="G125" s="57">
        <f>OFFSET(R125,0,MATCH($G$2,$R$3:$AW$3,0)-1)*4</f>
        <v/>
      </c>
      <c r="H125" s="33">
        <f>SUM(OFFSET(R125,0,MATCH($G$2,$R$3:$AW$3,0)-4),OFFSET(R125,0,MATCH($G$2,$R$3:$AW$3,0)-3),OFFSET(R125,0,MATCH($G$2,$R$3:$AW$3,0)-2),OFFSET(R125,0,MATCH($G$2,$R$3:$AW$3,0)-1))</f>
        <v/>
      </c>
      <c r="J125" s="9">
        <f>SUM(R125:U125)</f>
        <v/>
      </c>
      <c r="K125" s="9">
        <f>SUM(V125:Y125)</f>
        <v/>
      </c>
      <c r="L125" s="9">
        <f>SUM(Z125:AC125)</f>
        <v/>
      </c>
      <c r="M125" s="10" t="n">
        <v>33.213</v>
      </c>
      <c r="N125" s="10" t="n">
        <v>29.031</v>
      </c>
      <c r="O125" s="10" t="n">
        <v>28.966</v>
      </c>
      <c r="P125" s="106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 s="119" t="n"/>
      <c r="AH125" s="10" t="n">
        <v>7.113</v>
      </c>
      <c r="AI125" s="10">
        <f>14.405-AH125</f>
        <v/>
      </c>
      <c r="AJ125" s="10">
        <f>21.677-AI125-AH125</f>
        <v/>
      </c>
      <c r="AK125" s="69">
        <f>N125-SUM(AH125:AJ125)</f>
        <v/>
      </c>
      <c r="AL125" s="10" t="n">
        <v>6.992</v>
      </c>
      <c r="AM125" s="10">
        <f>14.043-AL125</f>
        <v/>
      </c>
      <c r="AN125" s="10">
        <f>21.05-AM125-AL125</f>
        <v/>
      </c>
      <c r="AO125" s="69">
        <f>O125-SUM(AL125:AN125)</f>
        <v/>
      </c>
      <c r="AP125" s="10" t="n">
        <v>8.345000000000001</v>
      </c>
      <c r="AQ125" s="106" t="n"/>
      <c r="AR125" s="106" t="n"/>
      <c r="AS125" s="106" t="n"/>
      <c r="AT125" s="106" t="n"/>
      <c r="AU125" s="106" t="n"/>
      <c r="AV125" s="106" t="n"/>
      <c r="AW125" s="106" t="n"/>
    </row>
    <row r="126">
      <c r="B126" t="inlineStr">
        <is>
          <t>Working Capital Ex-Tax</t>
        </is>
      </c>
      <c r="G126" s="57">
        <f>OFFSET(R126,0,MATCH($G$2,$R$3:$AW$3,0)-1)*4</f>
        <v/>
      </c>
      <c r="H126" s="33">
        <f>SUM(OFFSET(R126,0,MATCH($G$2,$R$3:$AW$3,0)-4),OFFSET(R126,0,MATCH($G$2,$R$3:$AW$3,0)-3),OFFSET(R126,0,MATCH($G$2,$R$3:$AW$3,0)-2),OFFSET(R126,0,MATCH($G$2,$R$3:$AW$3,0)-1))</f>
        <v/>
      </c>
      <c r="J126" s="9">
        <f>SUM(R126:U126)</f>
        <v/>
      </c>
      <c r="K126" s="9">
        <f>SUM(V126:Y126)</f>
        <v/>
      </c>
      <c r="L126" s="9">
        <f>SUM(Z126:AC126)</f>
        <v/>
      </c>
      <c r="M126" s="10">
        <f>29.126-19.248-38.335+0.48+15.951+27.974-M123</f>
        <v/>
      </c>
      <c r="N126" s="10">
        <f>-31.55-127.095-27.801+1.975+75.996+5.1-N123</f>
        <v/>
      </c>
      <c r="O126" s="10">
        <f>-50.135+7.695-37.688+71.604-18.271+31.703-O123</f>
        <v/>
      </c>
      <c r="P126" s="106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 s="119" t="n"/>
      <c r="AH126" s="10">
        <f>-50.782-AH123</f>
        <v/>
      </c>
      <c r="AI126" s="10">
        <f>-82.51-AH126-AI123</f>
        <v/>
      </c>
      <c r="AJ126" s="10">
        <f>-126.252-AI126-AH126-AJ123</f>
        <v/>
      </c>
      <c r="AK126" s="69">
        <f>N126-SUM(AH126:AJ126)</f>
        <v/>
      </c>
      <c r="AL126" s="10">
        <f>-98.321-AL123</f>
        <v/>
      </c>
      <c r="AM126" s="10">
        <f>-22.878-AL126-AM123</f>
        <v/>
      </c>
      <c r="AN126" s="10">
        <f>-64.767-AM126-AL126-AN123</f>
        <v/>
      </c>
      <c r="AO126" s="69">
        <f>O126-SUM(AL126:AN126)</f>
        <v/>
      </c>
      <c r="AP126" s="10">
        <f>-30.04-AP123</f>
        <v/>
      </c>
      <c r="AQ126" s="106" t="n"/>
      <c r="AR126" s="106" t="n"/>
      <c r="AS126" s="106" t="n"/>
      <c r="AT126" s="106" t="n"/>
      <c r="AU126" s="106" t="n"/>
      <c r="AV126" s="106" t="n"/>
      <c r="AW126" s="106" t="n"/>
    </row>
    <row r="127">
      <c r="B127" t="inlineStr">
        <is>
          <t>Other</t>
        </is>
      </c>
      <c r="G127" s="57">
        <f>OFFSET(R127,0,MATCH($G$2,$R$3:$AW$3,0)-1)*4</f>
        <v/>
      </c>
      <c r="H127" s="33">
        <f>SUM(OFFSET(R127,0,MATCH($G$2,$R$3:$AW$3,0)-4),OFFSET(R127,0,MATCH($G$2,$R$3:$AW$3,0)-3),OFFSET(R127,0,MATCH($G$2,$R$3:$AW$3,0)-2),OFFSET(R127,0,MATCH($G$2,$R$3:$AW$3,0)-1))</f>
        <v/>
      </c>
      <c r="J127" s="9">
        <f>SUM(R127:U127)</f>
        <v/>
      </c>
      <c r="K127" s="9">
        <f>SUM(V127:Y127)</f>
        <v/>
      </c>
      <c r="L127" s="9">
        <f>SUM(Z127:AC127)</f>
        <v/>
      </c>
      <c r="M127" s="10" t="n">
        <v>-0.64</v>
      </c>
      <c r="N127" s="10" t="n">
        <v>-0.283</v>
      </c>
      <c r="O127" s="10">
        <f>-3.338</f>
        <v/>
      </c>
      <c r="P127" s="106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 s="119" t="n"/>
      <c r="AH127" s="10" t="n">
        <v>-3.48</v>
      </c>
      <c r="AI127" s="10">
        <f>-6.412-AH127</f>
        <v/>
      </c>
      <c r="AJ127" s="10">
        <f>-7.608-AI127-AH127</f>
        <v/>
      </c>
      <c r="AK127" s="69">
        <f>N127-SUM(AH127:AJ127)</f>
        <v/>
      </c>
      <c r="AL127" s="10" t="n">
        <v>-2.302</v>
      </c>
      <c r="AM127" s="10">
        <f>-3.111-AL127</f>
        <v/>
      </c>
      <c r="AN127" s="10">
        <f>-8.001-AM127-AL127</f>
        <v/>
      </c>
      <c r="AO127" s="69">
        <f>O127-SUM(AL127:AN127)</f>
        <v/>
      </c>
      <c r="AP127" s="10" t="n">
        <v>1.607</v>
      </c>
      <c r="AQ127" s="106" t="n"/>
      <c r="AR127" s="106" t="n"/>
      <c r="AS127" s="106" t="n"/>
      <c r="AT127" s="106" t="n"/>
      <c r="AU127" s="106" t="n"/>
      <c r="AV127" s="106" t="n"/>
      <c r="AW127" s="106" t="n"/>
    </row>
    <row r="128">
      <c r="B128" s="7" t="inlineStr">
        <is>
          <t>Plug</t>
        </is>
      </c>
      <c r="C128" s="7" t="n"/>
      <c r="D128" s="7" t="n"/>
      <c r="E128" s="7" t="n"/>
      <c r="F128" s="7" t="n"/>
      <c r="G128" s="58">
        <f>OFFSET(R128,0,MATCH($G$2,$R$3:$AW$3,0)-1)*4</f>
        <v/>
      </c>
      <c r="H128" s="46">
        <f>SUM(OFFSET(R128,0,MATCH($G$2,$R$3:$AW$3,0)-4),OFFSET(R128,0,MATCH($G$2,$R$3:$AW$3,0)-3),OFFSET(R128,0,MATCH($G$2,$R$3:$AW$3,0)-2),OFFSET(R128,0,MATCH($G$2,$R$3:$AW$3,0)-1))</f>
        <v/>
      </c>
      <c r="I128" s="7" t="n"/>
      <c r="J128" s="11">
        <f>J129-SUM(J120:J127)</f>
        <v/>
      </c>
      <c r="K128" s="11">
        <f>K129-SUM(K120:K127)</f>
        <v/>
      </c>
      <c r="L128" s="11">
        <f>L129-SUM(L120:L127)</f>
        <v/>
      </c>
      <c r="M128" s="11">
        <f>M129-SUM(M120:M127)</f>
        <v/>
      </c>
      <c r="N128" s="11">
        <f>N129-SUM(N120:N127)</f>
        <v/>
      </c>
      <c r="O128" s="11">
        <f>O129-SUM(O120:O127)</f>
        <v/>
      </c>
      <c r="P128" s="107" t="n"/>
      <c r="Q128" s="7" t="n"/>
      <c r="R128" s="11">
        <f>R129-SUM(R120:R127)</f>
        <v/>
      </c>
      <c r="S128" s="11">
        <f>S129-SUM(S120:S127)</f>
        <v/>
      </c>
      <c r="T128" s="11">
        <f>T129-SUM(T120:T127)</f>
        <v/>
      </c>
      <c r="U128" s="11">
        <f>U129-SUM(U120:U127)</f>
        <v/>
      </c>
      <c r="V128" s="11">
        <f>V129-SUM(V120:V127)</f>
        <v/>
      </c>
      <c r="W128" s="11">
        <f>W129-SUM(W120:W127)</f>
        <v/>
      </c>
      <c r="X128" s="11">
        <f>X129-SUM(X120:X127)</f>
        <v/>
      </c>
      <c r="Y128" s="11">
        <f>Y129-SUM(Y120:Y127)</f>
        <v/>
      </c>
      <c r="Z128" s="11">
        <f>Z129-SUM(Z120:Z127)</f>
        <v/>
      </c>
      <c r="AA128" s="11">
        <f>AA129-SUM(AA120:AA127)</f>
        <v/>
      </c>
      <c r="AB128" s="11">
        <f>AB129-SUM(AB120:AB127)</f>
        <v/>
      </c>
      <c r="AC128" s="11">
        <f>AC129-SUM(AC120:AC127)</f>
        <v/>
      </c>
      <c r="AD128" s="11">
        <f>AD129-SUM(AD120:AD127)</f>
        <v/>
      </c>
      <c r="AE128" s="11">
        <f>AE129-SUM(AE120:AE127)</f>
        <v/>
      </c>
      <c r="AF128" s="11">
        <f>AF129-SUM(AF120:AF127)</f>
        <v/>
      </c>
      <c r="AG128" s="11">
        <f>AG129-SUM(AG120:AG127)</f>
        <v/>
      </c>
      <c r="AH128" s="11">
        <f>AH129-SUM(AH120:AH127)</f>
        <v/>
      </c>
      <c r="AI128" s="11">
        <f>AI129-SUM(AI120:AI127)</f>
        <v/>
      </c>
      <c r="AJ128" s="11">
        <f>AJ129-SUM(AJ120:AJ127)</f>
        <v/>
      </c>
      <c r="AK128" s="77">
        <f>AK129-SUM(AK120:AK127)</f>
        <v/>
      </c>
      <c r="AL128" s="11">
        <f>AL129-SUM(AL120:AL127)</f>
        <v/>
      </c>
      <c r="AM128" s="11">
        <f>AM129-SUM(AM120:AM127)</f>
        <v/>
      </c>
      <c r="AN128" s="11">
        <f>AN129-SUM(AN120:AN127)</f>
        <v/>
      </c>
      <c r="AO128" s="77">
        <f>AO129-SUM(AO120:AO127)</f>
        <v/>
      </c>
      <c r="AP128" s="11">
        <f>AP129-SUM(AP120:AP127)</f>
        <v/>
      </c>
      <c r="AQ128" s="107" t="n"/>
      <c r="AR128" s="107" t="n"/>
      <c r="AS128" s="107" t="n"/>
      <c r="AT128" s="107" t="n"/>
      <c r="AU128" s="107" t="n"/>
      <c r="AV128" s="107" t="n"/>
      <c r="AW128" s="107" t="n"/>
    </row>
    <row r="129">
      <c r="B129" s="1" t="inlineStr">
        <is>
          <t>CFO</t>
        </is>
      </c>
      <c r="G129" s="59">
        <f>SUM(G120:G128)</f>
        <v/>
      </c>
      <c r="H129" s="59">
        <f>SUM(H120:H128)</f>
        <v/>
      </c>
      <c r="J129" s="13">
        <f>SUM(R129:U129)</f>
        <v/>
      </c>
      <c r="K129" s="13">
        <f>SUM(V129:Y129)</f>
        <v/>
      </c>
      <c r="L129" s="13">
        <f>SUM(Z129:AC129)</f>
        <v/>
      </c>
      <c r="M129" s="17" t="n">
        <v>321.576</v>
      </c>
      <c r="N129" s="17" t="n">
        <v>294.128</v>
      </c>
      <c r="O129" s="17" t="n">
        <v>540.228</v>
      </c>
      <c r="P129" s="106" t="n"/>
      <c r="R129" s="17" t="n">
        <v>18.73400000000001</v>
      </c>
      <c r="S129" s="17" t="n">
        <v>135.021</v>
      </c>
      <c r="T129" s="17" t="n">
        <v>118.549</v>
      </c>
      <c r="U129" s="17" t="n">
        <v>74.69500000000004</v>
      </c>
      <c r="V129" s="17" t="n">
        <v>38.52900000000001</v>
      </c>
      <c r="W129" s="17" t="n">
        <v>149.668</v>
      </c>
      <c r="X129" s="17" t="n">
        <v>199.402</v>
      </c>
      <c r="Y129" s="17" t="n">
        <v>124.214</v>
      </c>
      <c r="Z129" s="17" t="n">
        <v>71.50400000000005</v>
      </c>
      <c r="AA129" s="17" t="n">
        <v>170.637</v>
      </c>
      <c r="AB129" s="17" t="n">
        <v>117.622</v>
      </c>
      <c r="AC129" s="17" t="n">
        <v>85.17699999999996</v>
      </c>
      <c r="AD129" s="17" t="n">
        <v>102.558</v>
      </c>
      <c r="AE129" s="17" t="n">
        <v>95.26000000000001</v>
      </c>
      <c r="AF129" s="17" t="n">
        <v>82.54399999999995</v>
      </c>
      <c r="AG129" s="17" t="n">
        <v>41.21399999999998</v>
      </c>
      <c r="AH129" s="17" t="n">
        <v>32.222</v>
      </c>
      <c r="AI129" s="17">
        <f>95.644-AH129</f>
        <v/>
      </c>
      <c r="AJ129" s="17">
        <f>161.185-AI129-AH129</f>
        <v/>
      </c>
      <c r="AK129" s="18">
        <f>N129-SUM(AH129:AJ129)</f>
        <v/>
      </c>
      <c r="AL129" s="17" t="n">
        <v>16.48</v>
      </c>
      <c r="AM129" s="17">
        <f>227.949-AL129</f>
        <v/>
      </c>
      <c r="AN129" s="17">
        <f>324.227-AM129-AL129</f>
        <v/>
      </c>
      <c r="AO129" s="18">
        <f>O129-SUM(AL129:AN129)</f>
        <v/>
      </c>
      <c r="AP129" s="17" t="n">
        <v>123.288</v>
      </c>
      <c r="AQ129" s="106" t="n"/>
      <c r="AR129" s="106" t="n"/>
      <c r="AS129" s="106" t="n"/>
      <c r="AT129" s="106" t="n"/>
      <c r="AU129" s="106" t="n"/>
      <c r="AV129" s="106" t="n"/>
      <c r="AW129" s="106" t="n"/>
    </row>
    <row r="130">
      <c r="G130" s="108" t="n"/>
      <c r="H130" s="30" t="n"/>
      <c r="P130" s="106" t="n"/>
      <c r="AQ130" s="106" t="n"/>
      <c r="AR130" s="106" t="n"/>
      <c r="AS130" s="106" t="n"/>
      <c r="AT130" s="106" t="n"/>
      <c r="AU130" s="106" t="n"/>
      <c r="AV130" s="106" t="n"/>
      <c r="AW130" s="106" t="n"/>
    </row>
    <row r="131">
      <c r="B131" t="inlineStr">
        <is>
          <t>CAPEX</t>
        </is>
      </c>
      <c r="G131" s="57">
        <f>OFFSET(R131,0,MATCH($G$2,$R$3:$AW$3,0)-1)*4</f>
        <v/>
      </c>
      <c r="H131" s="33">
        <f>SUM(OFFSET(R131,0,MATCH($G$2,$R$3:$AW$3,0)-4),OFFSET(R131,0,MATCH($G$2,$R$3:$AW$3,0)-3),OFFSET(R131,0,MATCH($G$2,$R$3:$AW$3,0)-2),OFFSET(R131,0,MATCH($G$2,$R$3:$AW$3,0)-1))</f>
        <v/>
      </c>
      <c r="J131" s="9">
        <f>SUM(R131:U131)</f>
        <v/>
      </c>
      <c r="K131" s="9">
        <f>SUM(V131:Y131)</f>
        <v/>
      </c>
      <c r="L131" s="9">
        <f>SUM(Z131:AC131)</f>
        <v/>
      </c>
      <c r="M131" s="9">
        <f>SUM(AD131:AG131)</f>
        <v/>
      </c>
      <c r="N131" s="9">
        <f>SUM(AH131:AK131)</f>
        <v/>
      </c>
      <c r="O131" s="9">
        <f>SUM(AL131:AO131)</f>
        <v/>
      </c>
      <c r="P131" s="106" t="n"/>
      <c r="R131" s="10" t="n">
        <v>-40.961</v>
      </c>
      <c r="S131" s="10" t="n">
        <v>-111.95</v>
      </c>
      <c r="T131" s="10" t="n">
        <v>-78.84100000000001</v>
      </c>
      <c r="U131" s="10" t="n">
        <v>-70.10899999999998</v>
      </c>
      <c r="V131" s="10" t="n">
        <v>-60.932</v>
      </c>
      <c r="W131" s="10" t="n">
        <v>-66.336</v>
      </c>
      <c r="X131" s="10" t="n">
        <v>-56.80000000000001</v>
      </c>
      <c r="Y131" s="10" t="n">
        <v>-64.09599999999998</v>
      </c>
      <c r="Z131" s="10" t="n">
        <v>-49.225</v>
      </c>
      <c r="AA131" s="10" t="n">
        <v>-43.605</v>
      </c>
      <c r="AB131" s="10" t="n">
        <v>-36.54100000000002</v>
      </c>
      <c r="AC131" s="10" t="n">
        <v>-18.81399999999999</v>
      </c>
      <c r="AD131" s="10" t="n">
        <v>-14.052</v>
      </c>
      <c r="AE131" s="10" t="n">
        <v>-24.317</v>
      </c>
      <c r="AF131" s="10" t="n">
        <v>-33.599</v>
      </c>
      <c r="AG131" s="10" t="n">
        <v>-26.047</v>
      </c>
      <c r="AH131" s="10" t="n">
        <v>-35.075</v>
      </c>
      <c r="AI131" s="10" t="n">
        <v>-43.98399999999999</v>
      </c>
      <c r="AJ131" s="10" t="n">
        <v>-41.20400000000001</v>
      </c>
      <c r="AK131" s="10" t="n">
        <v>-52.34299999999999</v>
      </c>
      <c r="AL131" s="10" t="n">
        <v>-73.199</v>
      </c>
      <c r="AM131" s="10" t="n">
        <v>-98.04600000000001</v>
      </c>
      <c r="AN131" s="10" t="n">
        <v>-103.718</v>
      </c>
      <c r="AO131" s="10" t="n">
        <v>-126.7</v>
      </c>
      <c r="AP131" s="10" t="n">
        <v>-81.047</v>
      </c>
      <c r="AQ131" s="106" t="n"/>
      <c r="AR131" s="106" t="n"/>
      <c r="AS131" s="106" t="n"/>
      <c r="AT131" s="106" t="n"/>
      <c r="AU131" s="106" t="n"/>
      <c r="AV131" s="106" t="n"/>
      <c r="AW131" s="106" t="n"/>
      <c r="AX131" s="5" t="n"/>
      <c r="AY131" s="5" t="n"/>
      <c r="AZ131" s="10" t="n"/>
      <c r="BA131" s="10" t="n"/>
      <c r="BB131" s="10" t="n"/>
      <c r="BC131" s="10" t="n"/>
      <c r="BD131" s="5" t="n"/>
      <c r="BE131" s="5" t="n"/>
      <c r="BF131" s="5" t="n"/>
      <c r="BG131" s="5" t="n"/>
    </row>
    <row r="132">
      <c r="B132" t="inlineStr">
        <is>
          <t>Acquisitions</t>
        </is>
      </c>
      <c r="G132" s="57">
        <f>OFFSET(R132,0,MATCH($G$2,$R$3:$AW$3,0)-1)*4</f>
        <v/>
      </c>
      <c r="H132" s="33">
        <f>SUM(OFFSET(R132,0,MATCH($G$2,$R$3:$AW$3,0)-4),OFFSET(R132,0,MATCH($G$2,$R$3:$AW$3,0)-3),OFFSET(R132,0,MATCH($G$2,$R$3:$AW$3,0)-2),OFFSET(R132,0,MATCH($G$2,$R$3:$AW$3,0)-1))</f>
        <v/>
      </c>
      <c r="J132" s="9">
        <f>SUM(R132:U132)</f>
        <v/>
      </c>
      <c r="K132" s="9">
        <f>SUM(V132:Y132)</f>
        <v/>
      </c>
      <c r="L132" s="9">
        <f>SUM(Z132:AC132)</f>
        <v/>
      </c>
      <c r="M132" s="9">
        <f>SUM(AD132:AG132)</f>
        <v/>
      </c>
      <c r="N132" s="9">
        <f>SUM(AH132:AK132)</f>
        <v/>
      </c>
      <c r="O132" s="9">
        <f>SUM(AL132:AO132)</f>
        <v/>
      </c>
      <c r="P132" s="106" t="n"/>
      <c r="R132" s="10" t="n">
        <v>-429.977</v>
      </c>
      <c r="S132" s="10" t="n">
        <v>-69.25</v>
      </c>
      <c r="T132" s="10" t="n">
        <v>-0.06800000000004047</v>
      </c>
      <c r="U132" s="10" t="n">
        <v>-34.60200000000003</v>
      </c>
      <c r="V132" s="10" t="n">
        <v>-247.47</v>
      </c>
      <c r="W132" s="10" t="n">
        <v>-5.370000000000005</v>
      </c>
      <c r="X132" s="10" t="n">
        <v>-4.700000000000017</v>
      </c>
      <c r="Y132" s="10" t="n">
        <v>-4.950999999999965</v>
      </c>
      <c r="Z132" s="10" t="n">
        <v>-60.422</v>
      </c>
      <c r="AA132" s="10" t="n">
        <v>-281.825</v>
      </c>
      <c r="AB132" s="10" t="n">
        <v>-6.524999999999949</v>
      </c>
      <c r="AC132" s="10" t="n">
        <v>-6.199999999999932</v>
      </c>
      <c r="AD132" s="10" t="n">
        <v>0</v>
      </c>
      <c r="AE132" s="10" t="n">
        <v>-7.47</v>
      </c>
      <c r="AF132" s="10" t="n">
        <v>0</v>
      </c>
      <c r="AG132" s="10" t="n">
        <v>-1.645</v>
      </c>
      <c r="AH132" s="10" t="n">
        <v>-3.9</v>
      </c>
      <c r="AI132" s="10" t="n">
        <v>0</v>
      </c>
      <c r="AJ132" s="10" t="n">
        <v>0</v>
      </c>
      <c r="AK132" s="10" t="n">
        <v>0</v>
      </c>
      <c r="AL132" s="10" t="n">
        <v>0</v>
      </c>
      <c r="AM132" s="10" t="n">
        <v>0</v>
      </c>
      <c r="AN132" s="10" t="n">
        <v>-37.5</v>
      </c>
      <c r="AO132" s="10" t="n">
        <v>0</v>
      </c>
      <c r="AP132" s="10" t="n">
        <v>0</v>
      </c>
      <c r="AQ132" s="106" t="n"/>
      <c r="AR132" s="106" t="n"/>
      <c r="AS132" s="106" t="n"/>
      <c r="AT132" s="106" t="n"/>
      <c r="AU132" s="106" t="n"/>
      <c r="AV132" s="106" t="n"/>
      <c r="AW132" s="106" t="n"/>
      <c r="AX132" s="5" t="n"/>
      <c r="AY132" s="5" t="n"/>
      <c r="AZ132" s="10" t="n"/>
      <c r="BA132" s="10" t="n"/>
      <c r="BB132" s="10" t="n"/>
      <c r="BC132" s="10" t="n"/>
      <c r="BD132" s="5" t="n"/>
      <c r="BE132" s="5" t="n"/>
      <c r="BF132" s="5" t="n"/>
      <c r="BG132" s="5" t="n"/>
    </row>
    <row r="133">
      <c r="B133" s="7" t="inlineStr">
        <is>
          <t>Disposals</t>
        </is>
      </c>
      <c r="C133" s="7" t="n"/>
      <c r="D133" s="7" t="n"/>
      <c r="E133" s="7" t="n"/>
      <c r="F133" s="7" t="n"/>
      <c r="G133" s="58">
        <f>OFFSET(R133,0,MATCH($G$2,$R$3:$AW$3,0)-1)*4</f>
        <v/>
      </c>
      <c r="H133" s="46">
        <f>SUM(OFFSET(R133,0,MATCH($G$2,$R$3:$AW$3,0)-4),OFFSET(R133,0,MATCH($G$2,$R$3:$AW$3,0)-3),OFFSET(R133,0,MATCH($G$2,$R$3:$AW$3,0)-2),OFFSET(R133,0,MATCH($G$2,$R$3:$AW$3,0)-1))</f>
        <v/>
      </c>
      <c r="I133" s="7" t="n"/>
      <c r="J133" s="11">
        <f>SUM(R133:U133)</f>
        <v/>
      </c>
      <c r="K133" s="11">
        <f>SUM(V133:Y133)</f>
        <v/>
      </c>
      <c r="L133" s="11">
        <f>SUM(Z133:AC133)</f>
        <v/>
      </c>
      <c r="M133" s="11">
        <f>SUM(AD133:AG133)</f>
        <v/>
      </c>
      <c r="N133" s="11">
        <f>SUM(AH133:AK133)</f>
        <v/>
      </c>
      <c r="O133" s="11">
        <f>SUM(AL133:AO133)</f>
        <v/>
      </c>
      <c r="P133" s="107" t="n"/>
      <c r="Q133" s="7" t="n"/>
      <c r="R133" s="12" t="n">
        <v>12.181</v>
      </c>
      <c r="S133" s="12" t="n">
        <v>13.027</v>
      </c>
      <c r="T133" s="12" t="n">
        <v>2.598000000000003</v>
      </c>
      <c r="U133" s="12" t="n">
        <v>25.586</v>
      </c>
      <c r="V133" s="12" t="n">
        <v>13.187</v>
      </c>
      <c r="W133" s="12" t="n">
        <v>10.177</v>
      </c>
      <c r="X133" s="12" t="n">
        <v>11.126</v>
      </c>
      <c r="Y133" s="12" t="n">
        <v>23.16699999999999</v>
      </c>
      <c r="Z133" s="12" t="n">
        <v>3.993</v>
      </c>
      <c r="AA133" s="12" t="n">
        <v>0.9250000000000003</v>
      </c>
      <c r="AB133" s="12" t="n">
        <v>1.62</v>
      </c>
      <c r="AC133" s="12" t="n">
        <v>10.772</v>
      </c>
      <c r="AD133" s="12" t="n">
        <v>4.754</v>
      </c>
      <c r="AE133" s="12" t="n">
        <v>11.977</v>
      </c>
      <c r="AF133" s="12" t="n">
        <v>22.432</v>
      </c>
      <c r="AG133" s="12" t="n">
        <v>12.179</v>
      </c>
      <c r="AH133" s="12" t="n">
        <v>14.28</v>
      </c>
      <c r="AI133" s="12" t="n">
        <v>9.031000000000001</v>
      </c>
      <c r="AJ133" s="12" t="n">
        <v>9.593000000000005</v>
      </c>
      <c r="AK133" s="12" t="n">
        <v>4.000999999999999</v>
      </c>
      <c r="AL133" s="12" t="n">
        <v>8.031000000000001</v>
      </c>
      <c r="AM133" s="12" t="n">
        <v>12.498</v>
      </c>
      <c r="AN133" s="12" t="n">
        <v>1.317</v>
      </c>
      <c r="AO133" s="12" t="n">
        <v>4.234999999999999</v>
      </c>
      <c r="AP133" s="12" t="n">
        <v>2.412</v>
      </c>
      <c r="AQ133" s="107" t="n"/>
      <c r="AR133" s="107" t="n"/>
      <c r="AS133" s="107" t="n"/>
      <c r="AT133" s="107" t="n"/>
      <c r="AU133" s="107" t="n"/>
      <c r="AV133" s="107" t="n"/>
      <c r="AW133" s="107" t="n"/>
      <c r="AX133" s="5" t="n"/>
      <c r="AY133" s="5" t="n"/>
      <c r="AZ133" s="10" t="n"/>
      <c r="BA133" s="10" t="n"/>
      <c r="BB133" s="10" t="n"/>
      <c r="BC133" s="10" t="n"/>
      <c r="BD133" s="5" t="n"/>
      <c r="BE133" s="5" t="n"/>
      <c r="BF133" s="5" t="n"/>
      <c r="BG133" s="5" t="n"/>
    </row>
    <row r="134">
      <c r="B134" s="1" t="inlineStr">
        <is>
          <t>CFI</t>
        </is>
      </c>
      <c r="G134" s="59">
        <f>SUM(G131:G133)</f>
        <v/>
      </c>
      <c r="H134" s="32">
        <f>SUM(H131:H133)</f>
        <v/>
      </c>
      <c r="J134" s="13">
        <f>SUM(J131:J133)</f>
        <v/>
      </c>
      <c r="K134" s="13">
        <f>SUM(K131:K133)</f>
        <v/>
      </c>
      <c r="L134" s="13">
        <f>SUM(L131:L133)</f>
        <v/>
      </c>
      <c r="M134" s="13">
        <f>SUM(M131:M133)</f>
        <v/>
      </c>
      <c r="N134" s="13">
        <f>SUM(N131:N133)</f>
        <v/>
      </c>
      <c r="O134" s="13">
        <f>SUM(O131:O133)</f>
        <v/>
      </c>
      <c r="P134" s="106" t="n"/>
      <c r="R134" s="18">
        <f>SUM(R131:R133)</f>
        <v/>
      </c>
      <c r="S134" s="18">
        <f>SUM(S131:S133)</f>
        <v/>
      </c>
      <c r="T134" s="18">
        <f>SUM(T131:T133)</f>
        <v/>
      </c>
      <c r="U134" s="18">
        <f>SUM(U131:U133)</f>
        <v/>
      </c>
      <c r="V134" s="18">
        <f>SUM(V131:V133)</f>
        <v/>
      </c>
      <c r="W134" s="18">
        <f>SUM(W131:W133)</f>
        <v/>
      </c>
      <c r="X134" s="18">
        <f>SUM(X131:X133)</f>
        <v/>
      </c>
      <c r="Y134" s="18">
        <f>SUM(Y131:Y133)</f>
        <v/>
      </c>
      <c r="Z134" s="18">
        <f>SUM(Z131:Z133)</f>
        <v/>
      </c>
      <c r="AA134" s="18">
        <f>SUM(AA131:AA133)</f>
        <v/>
      </c>
      <c r="AB134" s="18">
        <f>SUM(AB131:AB133)</f>
        <v/>
      </c>
      <c r="AC134" s="18">
        <f>SUM(AC131:AC133)</f>
        <v/>
      </c>
      <c r="AD134" s="18">
        <f>SUM(AD131:AD133)</f>
        <v/>
      </c>
      <c r="AE134" s="18">
        <f>SUM(AE131:AE133)</f>
        <v/>
      </c>
      <c r="AF134" s="18">
        <f>SUM(AF131:AF133)</f>
        <v/>
      </c>
      <c r="AG134" s="18">
        <f>SUM(AG131:AG133)</f>
        <v/>
      </c>
      <c r="AH134" s="18">
        <f>SUM(AH131:AH133)</f>
        <v/>
      </c>
      <c r="AI134" s="18">
        <f>SUM(AI131:AI133)</f>
        <v/>
      </c>
      <c r="AJ134" s="18">
        <f>SUM(AJ131:AJ133)</f>
        <v/>
      </c>
      <c r="AK134" s="18">
        <f>SUM(AK131:AK133)</f>
        <v/>
      </c>
      <c r="AL134" s="18">
        <f>SUM(AL131:AL133)</f>
        <v/>
      </c>
      <c r="AM134" s="18">
        <f>SUM(AM131:AM133)</f>
        <v/>
      </c>
      <c r="AN134" s="18">
        <f>SUM(AN131:AN133)</f>
        <v/>
      </c>
      <c r="AO134" s="18">
        <f>SUM(AO131:AO133)</f>
        <v/>
      </c>
      <c r="AP134" s="18">
        <f>SUM(AP131:AP133)</f>
        <v/>
      </c>
      <c r="AQ134" s="106" t="n"/>
      <c r="AR134" s="106" t="n"/>
      <c r="AS134" s="106" t="n"/>
      <c r="AT134" s="106" t="n"/>
      <c r="AU134" s="106" t="n"/>
      <c r="AV134" s="106" t="n"/>
      <c r="AW134" s="106" t="n"/>
      <c r="BC134" s="10" t="n"/>
    </row>
    <row r="135">
      <c r="G135" s="108" t="n"/>
      <c r="H135" s="30" t="n"/>
      <c r="P135" s="106" t="n"/>
      <c r="S135" s="187" t="n"/>
      <c r="AE135" s="188" t="n"/>
      <c r="AQ135" s="106" t="n"/>
      <c r="AR135" s="106" t="n"/>
      <c r="AS135" s="106" t="n"/>
      <c r="AT135" s="106" t="n"/>
      <c r="AU135" s="106" t="n"/>
      <c r="AV135" s="106" t="n"/>
      <c r="AW135" s="106" t="n"/>
    </row>
    <row r="136">
      <c r="B136" t="inlineStr">
        <is>
          <t>Change in debt</t>
        </is>
      </c>
      <c r="G136" s="57">
        <f>OFFSET(R136,0,MATCH($G$2,$R$3:$AW$3,0)-1)*4</f>
        <v/>
      </c>
      <c r="H136" s="33">
        <f>SUM(OFFSET(R136,0,MATCH($G$2,$R$3:$AW$3,0)-4),OFFSET(R136,0,MATCH($G$2,$R$3:$AW$3,0)-3),OFFSET(R136,0,MATCH($G$2,$R$3:$AW$3,0)-2),OFFSET(R136,0,MATCH($G$2,$R$3:$AW$3,0)-1))</f>
        <v/>
      </c>
      <c r="J136" s="10">
        <f>499.295-78.455-4.276</f>
        <v/>
      </c>
      <c r="K136" s="10">
        <f>-125-417.376+500</f>
        <v/>
      </c>
      <c r="L136" s="10">
        <f>-150+250.024</f>
        <v/>
      </c>
      <c r="M136" s="10">
        <f>-60-248.105</f>
        <v/>
      </c>
      <c r="N136" s="10">
        <f>310-395</f>
        <v/>
      </c>
      <c r="O136" s="10">
        <f>48.776+240-350</f>
        <v/>
      </c>
      <c r="P136" s="106" t="n"/>
      <c r="R136" s="10" t="n">
        <v>434.881</v>
      </c>
      <c r="S136" s="10">
        <f>-4.263+499.295-R136-45.485</f>
        <v/>
      </c>
      <c r="T136" s="10">
        <f>499.295-S136-R136-88.392-4.276</f>
        <v/>
      </c>
      <c r="U136" s="10">
        <f>J136-SUM(R136:T136)</f>
        <v/>
      </c>
      <c r="V136" s="10">
        <f>500-240.801</f>
        <v/>
      </c>
      <c r="W136" s="10">
        <f>500-V136-313.805</f>
        <v/>
      </c>
      <c r="X136" s="10">
        <f>500-60-W136-V136-417.377</f>
        <v/>
      </c>
      <c r="Y136" s="10">
        <f>K136-SUM(V136:X136)</f>
        <v/>
      </c>
      <c r="Z136" s="10">
        <f>485.001-150</f>
        <v/>
      </c>
      <c r="AA136" s="10">
        <f>-150-Z136+424.991</f>
        <v/>
      </c>
      <c r="AB136" s="10">
        <f>-150-AA136-Z136+360.139</f>
        <v/>
      </c>
      <c r="AC136" s="10">
        <f>L136-SUM(Z136:AB136)</f>
        <v/>
      </c>
      <c r="AD136" s="10" t="n">
        <v>-119.606</v>
      </c>
      <c r="AE136" s="10">
        <f>-193.623-AD136</f>
        <v/>
      </c>
      <c r="AF136" s="10">
        <f>-15-SUM(AD136:AE136)-248.057</f>
        <v/>
      </c>
      <c r="AG136" s="10">
        <f>M136-SUM(AD136:AF136)</f>
        <v/>
      </c>
      <c r="AH136" s="10">
        <f>1.163-10</f>
        <v/>
      </c>
      <c r="AI136" s="10">
        <f>-30-AH136+2.272</f>
        <v/>
      </c>
      <c r="AJ136" s="10">
        <f>250-315-AI136-AH136+21.664</f>
        <v/>
      </c>
      <c r="AK136" s="10">
        <f>N136-SUM(AH136:AJ136)</f>
        <v/>
      </c>
      <c r="AL136" s="10">
        <f>112.691+240-350</f>
        <v/>
      </c>
      <c r="AM136" s="10">
        <f>31.155+240-350-AL136</f>
        <v/>
      </c>
      <c r="AN136" s="10">
        <f>240-350+100.316-AM136-AL136</f>
        <v/>
      </c>
      <c r="AO136" s="10">
        <f>O136-SUM(AL136:AN136)</f>
        <v/>
      </c>
      <c r="AP136" s="10" t="n">
        <v>43.575</v>
      </c>
      <c r="AQ136" s="106" t="n"/>
      <c r="AR136" s="106" t="n"/>
      <c r="AS136" s="106" t="n"/>
      <c r="AT136" s="106" t="n"/>
      <c r="AU136" s="106" t="n"/>
      <c r="AV136" s="106" t="n"/>
      <c r="AW136" s="106" t="n"/>
    </row>
    <row r="137">
      <c r="B137" t="inlineStr">
        <is>
          <t>Other</t>
        </is>
      </c>
      <c r="G137" s="57">
        <f>OFFSET(R137,0,MATCH($G$2,$R$3:$AW$3,0)-1)*4</f>
        <v/>
      </c>
      <c r="H137" s="33">
        <f>SUM(OFFSET(R137,0,MATCH($G$2,$R$3:$AW$3,0)-4),OFFSET(R137,0,MATCH($G$2,$R$3:$AW$3,0)-3),OFFSET(R137,0,MATCH($G$2,$R$3:$AW$3,0)-2),OFFSET(R137,0,MATCH($G$2,$R$3:$AW$3,0)-1))</f>
        <v/>
      </c>
      <c r="J137" s="10" t="n">
        <v>-0.915</v>
      </c>
      <c r="K137" s="10" t="n">
        <v>-0.8169999999999999</v>
      </c>
      <c r="L137" s="10" t="n">
        <v>-0.676</v>
      </c>
      <c r="M137" s="10" t="n">
        <v>-0.981</v>
      </c>
      <c r="N137" s="10">
        <f>-0.722</f>
        <v/>
      </c>
      <c r="O137" s="10">
        <f>-0.099</f>
        <v/>
      </c>
      <c r="P137" s="106" t="n"/>
      <c r="R137" s="10" t="n">
        <v>0</v>
      </c>
      <c r="S137" s="10" t="n">
        <v>0</v>
      </c>
      <c r="T137" s="10">
        <f>0-S137-R137</f>
        <v/>
      </c>
      <c r="U137" s="10">
        <f>J137-SUM(R137:T137)</f>
        <v/>
      </c>
      <c r="V137" s="10" t="n">
        <v>0</v>
      </c>
      <c r="W137" s="10" t="n">
        <v>0</v>
      </c>
      <c r="X137" s="10" t="n">
        <v>0</v>
      </c>
      <c r="Y137" s="10">
        <f>K137-SUM(V137:X137)</f>
        <v/>
      </c>
      <c r="Z137" s="10" t="n">
        <v>-0.202</v>
      </c>
      <c r="AA137" s="10">
        <f>-0.404-Z137</f>
        <v/>
      </c>
      <c r="AB137" s="10">
        <f>-0.608-AA137-Z137</f>
        <v/>
      </c>
      <c r="AC137" s="10">
        <f>L137-SUM(Z137:AB137)</f>
        <v/>
      </c>
      <c r="AD137" s="10" t="n">
        <v>-0.025</v>
      </c>
      <c r="AE137" s="10">
        <f>-0.025-AD137</f>
        <v/>
      </c>
      <c r="AF137" s="10">
        <f>-0.764-SUM(AD137:AE137)</f>
        <v/>
      </c>
      <c r="AG137" s="10">
        <f>M137-SUM(AD137:AF137)</f>
        <v/>
      </c>
      <c r="AH137" s="10">
        <f>-0.348</f>
        <v/>
      </c>
      <c r="AI137" s="10">
        <f>-0.585-AH137</f>
        <v/>
      </c>
      <c r="AJ137" s="10">
        <f>-0.665-AI137-AH137</f>
        <v/>
      </c>
      <c r="AK137" s="10">
        <f>N137-SUM(AH137:AJ137)</f>
        <v/>
      </c>
      <c r="AL137" s="10" t="n">
        <v>-0.024</v>
      </c>
      <c r="AM137" s="10">
        <f>-0.049-AL137</f>
        <v/>
      </c>
      <c r="AN137" s="10">
        <f>-0.073-AM137-AL137</f>
        <v/>
      </c>
      <c r="AO137" s="10">
        <f>O137-SUM(AL137:AN137)</f>
        <v/>
      </c>
      <c r="AP137" s="10" t="n">
        <v>-0.024</v>
      </c>
      <c r="AQ137" s="106" t="n"/>
      <c r="AR137" s="106" t="n"/>
      <c r="AS137" s="106" t="n"/>
      <c r="AT137" s="106" t="n"/>
      <c r="AU137" s="106" t="n"/>
      <c r="AV137" s="106" t="n"/>
      <c r="AW137" s="106" t="n"/>
    </row>
    <row r="138">
      <c r="B138" t="inlineStr">
        <is>
          <t>Proceeds from exercise of SBC</t>
        </is>
      </c>
      <c r="G138" s="57">
        <f>OFFSET(R138,0,MATCH($G$2,$R$3:$AW$3,0)-1)*4</f>
        <v/>
      </c>
      <c r="H138" s="33">
        <f>SUM(OFFSET(R138,0,MATCH($G$2,$R$3:$AW$3,0)-4),OFFSET(R138,0,MATCH($G$2,$R$3:$AW$3,0)-3),OFFSET(R138,0,MATCH($G$2,$R$3:$AW$3,0)-2),OFFSET(R138,0,MATCH($G$2,$R$3:$AW$3,0)-1))</f>
        <v/>
      </c>
      <c r="J138" s="10" t="n">
        <v>13.264</v>
      </c>
      <c r="K138" s="10" t="n">
        <v>5.743</v>
      </c>
      <c r="L138" s="10" t="n">
        <v>0.353</v>
      </c>
      <c r="M138" s="10" t="n">
        <v>0.629</v>
      </c>
      <c r="N138" s="10">
        <f>3.887</f>
        <v/>
      </c>
      <c r="O138" s="10">
        <f>4.209</f>
        <v/>
      </c>
      <c r="P138" s="106" t="n"/>
      <c r="R138" s="10" t="n">
        <v>-3.766</v>
      </c>
      <c r="S138" s="10">
        <f>12.987-R138</f>
        <v/>
      </c>
      <c r="T138" s="10">
        <f>13.264-S138-R138</f>
        <v/>
      </c>
      <c r="U138" s="10">
        <f>J138-SUM(R138:T138)</f>
        <v/>
      </c>
      <c r="V138" s="10" t="n">
        <v>1.415</v>
      </c>
      <c r="W138" s="10">
        <f>1.903-V138</f>
        <v/>
      </c>
      <c r="X138" s="10">
        <f>3.563-W138-V138</f>
        <v/>
      </c>
      <c r="Y138" s="10">
        <f>K138-SUM(V138:X138)</f>
        <v/>
      </c>
      <c r="Z138" s="10" t="n">
        <v>0.353</v>
      </c>
      <c r="AA138" s="10">
        <f>0.353-Z138</f>
        <v/>
      </c>
      <c r="AB138" s="10">
        <f>0.353-AA138-Z138</f>
        <v/>
      </c>
      <c r="AC138" s="10">
        <f>L138-SUM(Z138:AB138)</f>
        <v/>
      </c>
      <c r="AD138" s="10" t="n">
        <v>0.411</v>
      </c>
      <c r="AE138" s="10">
        <f>0.505-AD138</f>
        <v/>
      </c>
      <c r="AF138" s="10">
        <f>0.629-SUM(AD138:AE138)</f>
        <v/>
      </c>
      <c r="AG138" s="10">
        <f>M138-SUM(AD138:AF138)</f>
        <v/>
      </c>
      <c r="AH138" s="10" t="n">
        <v>2.336</v>
      </c>
      <c r="AI138" s="10">
        <f>3.885-AH138</f>
        <v/>
      </c>
      <c r="AJ138" s="10">
        <f>3.885-AI138-AH138</f>
        <v/>
      </c>
      <c r="AK138" s="10">
        <f>N138-SUM(AH138:AJ138)</f>
        <v/>
      </c>
      <c r="AL138" s="10" t="n">
        <v>0.118</v>
      </c>
      <c r="AM138" s="10">
        <f>0.118-AL138</f>
        <v/>
      </c>
      <c r="AN138" s="10">
        <f>3.431-AM138-AL138</f>
        <v/>
      </c>
      <c r="AO138" s="10">
        <f>O138-SUM(AL138:AN138)</f>
        <v/>
      </c>
      <c r="AP138" s="10" t="n">
        <v>1.509</v>
      </c>
      <c r="AQ138" s="106" t="n"/>
      <c r="AR138" s="106" t="n"/>
      <c r="AS138" s="106" t="n"/>
      <c r="AT138" s="106" t="n"/>
      <c r="AU138" s="106" t="n"/>
      <c r="AV138" s="106" t="n"/>
      <c r="AW138" s="106" t="n"/>
    </row>
    <row r="139">
      <c r="B139" t="inlineStr">
        <is>
          <t>Equity issuance/repurchase</t>
        </is>
      </c>
      <c r="G139" s="57">
        <f>OFFSET(R139,0,MATCH($G$2,$R$3:$AW$3,0)-1)*4</f>
        <v/>
      </c>
      <c r="H139" s="33">
        <f>SUM(OFFSET(R139,0,MATCH($G$2,$R$3:$AW$3,0)-4),OFFSET(R139,0,MATCH($G$2,$R$3:$AW$3,0)-3),OFFSET(R139,0,MATCH($G$2,$R$3:$AW$3,0)-2),OFFSET(R139,0,MATCH($G$2,$R$3:$AW$3,0)-1))</f>
        <v/>
      </c>
      <c r="J139" s="10" t="n">
        <v>-0.776</v>
      </c>
      <c r="K139" s="10" t="n">
        <v>0</v>
      </c>
      <c r="L139" s="10" t="n">
        <v>0</v>
      </c>
      <c r="M139" s="10" t="n">
        <v>0</v>
      </c>
      <c r="N139" s="10">
        <f>-22.901</f>
        <v/>
      </c>
      <c r="O139" s="10">
        <f>-112.803</f>
        <v/>
      </c>
      <c r="P139" s="106" t="n"/>
      <c r="R139" s="10" t="n">
        <v>0</v>
      </c>
      <c r="S139" s="10" t="n">
        <v>0</v>
      </c>
      <c r="T139" s="10">
        <f>0-S139-R139</f>
        <v/>
      </c>
      <c r="U139" s="10">
        <f>J139-SUM(R139:T139)</f>
        <v/>
      </c>
      <c r="V139" s="10" t="n">
        <v>0</v>
      </c>
      <c r="W139" s="10" t="n">
        <v>0</v>
      </c>
      <c r="X139" s="10" t="n">
        <v>0</v>
      </c>
      <c r="Y139" s="10">
        <f>K139-SUM(V139:X139)</f>
        <v/>
      </c>
      <c r="Z139" s="10" t="n">
        <v>0</v>
      </c>
      <c r="AA139" s="10" t="n">
        <v>0</v>
      </c>
      <c r="AB139" s="10" t="n">
        <v>0</v>
      </c>
      <c r="AC139" s="10">
        <f>L139-SUM(Z139:AB139)</f>
        <v/>
      </c>
      <c r="AD139" s="10" t="n">
        <v>0</v>
      </c>
      <c r="AE139" s="10" t="n">
        <v>0</v>
      </c>
      <c r="AF139" s="10" t="n">
        <v>0</v>
      </c>
      <c r="AG139" s="10">
        <f>M139-SUM(AD139:AF139)</f>
        <v/>
      </c>
      <c r="AH139" s="10" t="n">
        <v>0</v>
      </c>
      <c r="AI139" s="10">
        <f>-18.085-AH139</f>
        <v/>
      </c>
      <c r="AJ139" s="10">
        <f>-22.901-AI139-AH139</f>
        <v/>
      </c>
      <c r="AK139" s="10">
        <f>N139-SUM(AH139:AJ139)</f>
        <v/>
      </c>
      <c r="AL139" s="10" t="n">
        <v>-3.184</v>
      </c>
      <c r="AM139" s="10">
        <f>-37.6-AL139</f>
        <v/>
      </c>
      <c r="AN139" s="10">
        <f>-60.91-AM139-AL139</f>
        <v/>
      </c>
      <c r="AO139" s="10">
        <f>O139-SUM(AL139:AN139)</f>
        <v/>
      </c>
      <c r="AP139" s="10" t="n">
        <v>-41.787</v>
      </c>
      <c r="AQ139" s="106" t="n"/>
      <c r="AR139" s="106" t="n"/>
      <c r="AS139" s="106" t="n"/>
      <c r="AT139" s="106" t="n"/>
      <c r="AU139" s="106" t="n"/>
      <c r="AV139" s="106" t="n"/>
      <c r="AW139" s="106" t="n"/>
    </row>
    <row r="140">
      <c r="B140" t="inlineStr">
        <is>
          <t>SBC Tax Withholding</t>
        </is>
      </c>
      <c r="G140" s="57">
        <f>OFFSET(R140,0,MATCH($G$2,$R$3:$AW$3,0)-1)*4</f>
        <v/>
      </c>
      <c r="H140" s="33">
        <f>SUM(OFFSET(R140,0,MATCH($G$2,$R$3:$AW$3,0)-4),OFFSET(R140,0,MATCH($G$2,$R$3:$AW$3,0)-3),OFFSET(R140,0,MATCH($G$2,$R$3:$AW$3,0)-2),OFFSET(R140,0,MATCH($G$2,$R$3:$AW$3,0)-1))</f>
        <v/>
      </c>
      <c r="J140" s="10" t="n">
        <v>-4.822</v>
      </c>
      <c r="K140" s="10" t="n">
        <v>-2.031</v>
      </c>
      <c r="L140" s="10" t="n">
        <v>-3.193</v>
      </c>
      <c r="M140" s="10" t="n">
        <v>-2.856</v>
      </c>
      <c r="N140" s="10">
        <f>-3.408</f>
        <v/>
      </c>
      <c r="O140" s="10">
        <f>-3.908</f>
        <v/>
      </c>
      <c r="P140" s="106" t="n"/>
      <c r="R140" s="10" t="n">
        <v>0.292</v>
      </c>
      <c r="S140" s="10">
        <f>-4.813-R140</f>
        <v/>
      </c>
      <c r="T140" s="10">
        <f>0-S140-R140</f>
        <v/>
      </c>
      <c r="U140" s="10">
        <f>J140-SUM(R140:T140)</f>
        <v/>
      </c>
      <c r="V140" s="10" t="n">
        <v>-2.003</v>
      </c>
      <c r="W140" s="10">
        <f>-2.023-V140</f>
        <v/>
      </c>
      <c r="X140" s="10">
        <f>-2.031-W140-V140</f>
        <v/>
      </c>
      <c r="Y140" s="10">
        <f>K140-SUM(V140:X140)</f>
        <v/>
      </c>
      <c r="Z140" s="10" t="n">
        <v>-3.165</v>
      </c>
      <c r="AA140" s="10">
        <f>-3.191-Z140</f>
        <v/>
      </c>
      <c r="AB140" s="10">
        <f>-3.193-AA140-Z140</f>
        <v/>
      </c>
      <c r="AC140" s="10">
        <f>L140-SUM(Z140:AB140)</f>
        <v/>
      </c>
      <c r="AD140" s="10" t="n">
        <v>-2.045</v>
      </c>
      <c r="AE140" s="10">
        <f>-2.853-AD140</f>
        <v/>
      </c>
      <c r="AF140" s="10">
        <f>-2.856-SUM(AD140:AE140)</f>
        <v/>
      </c>
      <c r="AG140" s="10">
        <f>M140-SUM(AD140:AF140)</f>
        <v/>
      </c>
      <c r="AH140" s="10" t="n">
        <v>-3.093</v>
      </c>
      <c r="AI140" s="10">
        <f>-3.192-AH140</f>
        <v/>
      </c>
      <c r="AJ140" s="10">
        <f>-3.193-AI140-AH140</f>
        <v/>
      </c>
      <c r="AK140" s="10">
        <f>N140-SUM(AH140:AJ140)</f>
        <v/>
      </c>
      <c r="AL140" s="10" t="n">
        <v>-3.555</v>
      </c>
      <c r="AM140" s="10">
        <f>-3.595-AL140</f>
        <v/>
      </c>
      <c r="AN140" s="10">
        <f>-3.598-AM140-AL140</f>
        <v/>
      </c>
      <c r="AO140" s="10">
        <f>O140-SUM(AL140:AN140)</f>
        <v/>
      </c>
      <c r="AP140" s="10" t="n">
        <v>-5.284</v>
      </c>
      <c r="AQ140" s="106" t="n"/>
      <c r="AR140" s="106" t="n"/>
      <c r="AS140" s="106" t="n"/>
      <c r="AT140" s="106" t="n"/>
      <c r="AU140" s="106" t="n"/>
      <c r="AV140" s="106" t="n"/>
      <c r="AW140" s="106" t="n"/>
    </row>
    <row r="141">
      <c r="B141" s="7" t="inlineStr">
        <is>
          <t>Debt issuance cost</t>
        </is>
      </c>
      <c r="C141" s="7" t="n"/>
      <c r="D141" s="7" t="n"/>
      <c r="E141" s="7" t="n"/>
      <c r="F141" s="7" t="n"/>
      <c r="G141" s="58">
        <f>OFFSET(R141,0,MATCH($G$2,$R$3:$AW$3,0)-1)*4</f>
        <v/>
      </c>
      <c r="H141" s="46">
        <f>SUM(OFFSET(R141,0,MATCH($G$2,$R$3:$AW$3,0)-4),OFFSET(R141,0,MATCH($G$2,$R$3:$AW$3,0)-3),OFFSET(R141,0,MATCH($G$2,$R$3:$AW$3,0)-2),OFFSET(R141,0,MATCH($G$2,$R$3:$AW$3,0)-1))</f>
        <v/>
      </c>
      <c r="I141" s="7" t="n"/>
      <c r="J141" s="12" t="n">
        <v>0</v>
      </c>
      <c r="K141" s="12" t="n">
        <v>-2.397</v>
      </c>
      <c r="L141" s="12" t="n">
        <v>0</v>
      </c>
      <c r="M141" s="12" t="n">
        <v>0</v>
      </c>
      <c r="N141" s="12">
        <f>1.358-1.977</f>
        <v/>
      </c>
      <c r="O141" s="12">
        <f>-1.254</f>
        <v/>
      </c>
      <c r="P141" s="107" t="n"/>
      <c r="Q141" s="7" t="n"/>
      <c r="R141" s="12">
        <f>-4.251-0.225</f>
        <v/>
      </c>
      <c r="S141" s="12">
        <f>-0.45-R141</f>
        <v/>
      </c>
      <c r="T141" s="12">
        <f>-4.821-0.686-S141-R141</f>
        <v/>
      </c>
      <c r="U141" s="12">
        <f>J141-SUM(R141:T141)</f>
        <v/>
      </c>
      <c r="V141" s="12">
        <f>-2.232-0.204</f>
        <v/>
      </c>
      <c r="W141" s="12">
        <f>-2.397-0.41-V141</f>
        <v/>
      </c>
      <c r="X141" s="12">
        <f>-2.397-0.614-W141-V141</f>
        <v/>
      </c>
      <c r="Y141" s="12">
        <f>K141-SUM(V141:X141)</f>
        <v/>
      </c>
      <c r="Z141" s="12" t="n">
        <v>0</v>
      </c>
      <c r="AA141" s="12" t="n">
        <v>0</v>
      </c>
      <c r="AB141" s="12" t="n">
        <v>0</v>
      </c>
      <c r="AC141" s="12">
        <f>L141-SUM(Z141:AB141)</f>
        <v/>
      </c>
      <c r="AD141" s="12">
        <f>[2]Equity!AD173</f>
        <v/>
      </c>
      <c r="AE141" s="12">
        <f>[2]Equity!AE173</f>
        <v/>
      </c>
      <c r="AF141" s="12" t="n">
        <v>0</v>
      </c>
      <c r="AG141" s="12">
        <f>M141-SUM(AD141:AF141)</f>
        <v/>
      </c>
      <c r="AH141" s="12" t="n">
        <v>0</v>
      </c>
      <c r="AI141" s="12" t="n">
        <v>0</v>
      </c>
      <c r="AJ141" s="12">
        <f>-1.538-AI141-AH141</f>
        <v/>
      </c>
      <c r="AK141" s="12">
        <f>N141-SUM(AH141:AJ141)</f>
        <v/>
      </c>
      <c r="AL141" s="12" t="n">
        <v>-1.236</v>
      </c>
      <c r="AM141" s="12">
        <f>-1.236-AL141</f>
        <v/>
      </c>
      <c r="AN141" s="12">
        <f>-1.237-AM141-AL141</f>
        <v/>
      </c>
      <c r="AO141" s="12">
        <f>O141-SUM(AL141:AN141)</f>
        <v/>
      </c>
      <c r="AP141" s="12" t="n">
        <v>-0.003</v>
      </c>
      <c r="AQ141" s="107" t="n"/>
      <c r="AR141" s="107" t="n"/>
      <c r="AS141" s="107" t="n"/>
      <c r="AT141" s="107" t="n"/>
      <c r="AU141" s="107" t="n"/>
      <c r="AV141" s="107" t="n"/>
      <c r="AW141" s="107" t="n"/>
    </row>
    <row r="142">
      <c r="B142" s="1" t="inlineStr">
        <is>
          <t>CFF</t>
        </is>
      </c>
      <c r="G142" s="59">
        <f>SUM(G136:G141)</f>
        <v/>
      </c>
      <c r="H142" s="32">
        <f>SUM(H136:H141)</f>
        <v/>
      </c>
      <c r="J142" s="18">
        <f>SUM(J136:J141)</f>
        <v/>
      </c>
      <c r="K142" s="18">
        <f>SUM(K136:K141)</f>
        <v/>
      </c>
      <c r="L142" s="18">
        <f>SUM(L136:L141)</f>
        <v/>
      </c>
      <c r="M142" s="18">
        <f>SUM(M136:M141)</f>
        <v/>
      </c>
      <c r="N142" s="18">
        <f>SUM(N136:N141)</f>
        <v/>
      </c>
      <c r="O142" s="18">
        <f>SUM(O136:O141)</f>
        <v/>
      </c>
      <c r="P142" s="106" t="n"/>
      <c r="R142" s="18">
        <f>SUM(R136:R141)</f>
        <v/>
      </c>
      <c r="S142" s="18">
        <f>SUM(S136:S141)</f>
        <v/>
      </c>
      <c r="T142" s="18">
        <f>SUM(T136:T141)</f>
        <v/>
      </c>
      <c r="U142" s="18">
        <f>SUM(U136:U141)</f>
        <v/>
      </c>
      <c r="V142" s="18">
        <f>SUM(V136:V141)</f>
        <v/>
      </c>
      <c r="W142" s="18">
        <f>SUM(W136:W141)</f>
        <v/>
      </c>
      <c r="X142" s="18">
        <f>SUM(X136:X141)</f>
        <v/>
      </c>
      <c r="Y142" s="18">
        <f>SUM(Y136:Y141)</f>
        <v/>
      </c>
      <c r="Z142" s="18">
        <f>SUM(Z136:Z141)</f>
        <v/>
      </c>
      <c r="AA142" s="18">
        <f>SUM(AA136:AA141)</f>
        <v/>
      </c>
      <c r="AB142" s="18">
        <f>SUM(AB136:AB141)</f>
        <v/>
      </c>
      <c r="AC142" s="18">
        <f>SUM(AC136:AC141)</f>
        <v/>
      </c>
      <c r="AD142" s="18">
        <f>SUM(AD136:AD141)</f>
        <v/>
      </c>
      <c r="AE142" s="18">
        <f>SUM(AE136:AE141)</f>
        <v/>
      </c>
      <c r="AF142" s="18">
        <f>SUM(AF136:AF141)</f>
        <v/>
      </c>
      <c r="AG142" s="18">
        <f>SUM(AG136:AG141)</f>
        <v/>
      </c>
      <c r="AH142" s="18">
        <f>SUM(AH136:AH141)</f>
        <v/>
      </c>
      <c r="AI142" s="18">
        <f>SUM(AI136:AI141)</f>
        <v/>
      </c>
      <c r="AJ142" s="18">
        <f>SUM(AJ136:AJ141)</f>
        <v/>
      </c>
      <c r="AK142" s="18">
        <f>SUM(AK136:AK141)</f>
        <v/>
      </c>
      <c r="AL142" s="18">
        <f>SUM(AL136:AL141)</f>
        <v/>
      </c>
      <c r="AM142" s="18">
        <f>SUM(AM136:AM141)</f>
        <v/>
      </c>
      <c r="AN142" s="18">
        <f>SUM(AN136:AN141)</f>
        <v/>
      </c>
      <c r="AO142" s="18">
        <f>SUM(AO136:AO141)</f>
        <v/>
      </c>
      <c r="AP142" s="18">
        <f>SUM(AP136:AP141)</f>
        <v/>
      </c>
      <c r="AQ142" s="106" t="n"/>
      <c r="AR142" s="106" t="n"/>
      <c r="AS142" s="106" t="n"/>
      <c r="AT142" s="106" t="n"/>
      <c r="AU142" s="106" t="n"/>
      <c r="AV142" s="106" t="n"/>
      <c r="AW142" s="106" t="n"/>
    </row>
    <row r="143">
      <c r="B143" s="1" t="n"/>
      <c r="G143" s="59" t="n"/>
      <c r="H143" s="32" t="n"/>
      <c r="J143" s="13" t="n"/>
      <c r="K143" s="13" t="n"/>
      <c r="L143" s="13" t="n"/>
      <c r="M143" s="13" t="n"/>
      <c r="N143" s="13" t="n"/>
      <c r="O143" s="13" t="n"/>
      <c r="P143" s="106" t="n"/>
      <c r="R143" s="17" t="n"/>
      <c r="S143" s="17" t="n"/>
      <c r="T143" s="17" t="n"/>
      <c r="U143" s="17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  <c r="AE143" s="13" t="n"/>
      <c r="AF143" s="13" t="n"/>
      <c r="AG143" s="13" t="n"/>
      <c r="AH143" s="13" t="n"/>
      <c r="AI143" s="13" t="n"/>
      <c r="AJ143" s="13" t="n"/>
      <c r="AK143" s="13" t="n"/>
      <c r="AL143" s="13" t="n"/>
      <c r="AM143" s="13" t="n"/>
      <c r="AN143" s="13" t="n"/>
      <c r="AO143" s="13" t="n"/>
      <c r="AP143" s="13" t="n"/>
      <c r="AQ143" s="106" t="n"/>
      <c r="AR143" s="106" t="n"/>
      <c r="AS143" s="106" t="n"/>
      <c r="AT143" s="106" t="n"/>
      <c r="AU143" s="106" t="n"/>
      <c r="AV143" s="106" t="n"/>
      <c r="AW143" s="106" t="n"/>
    </row>
    <row r="144">
      <c r="B144" s="1" t="inlineStr">
        <is>
          <t>Total Change in Cash</t>
        </is>
      </c>
      <c r="G144" s="78">
        <f>G142+G134+G129</f>
        <v/>
      </c>
      <c r="H144" s="79">
        <f>H142+H134+H129</f>
        <v/>
      </c>
      <c r="I144" s="1" t="n"/>
      <c r="J144" s="13" t="n"/>
      <c r="K144" s="13">
        <f>K142+K134+K129</f>
        <v/>
      </c>
      <c r="L144" s="13">
        <f>L142+L134+L129</f>
        <v/>
      </c>
      <c r="M144" s="13">
        <f>M142+M134+M129</f>
        <v/>
      </c>
      <c r="N144" s="13">
        <f>N142+N134+N129</f>
        <v/>
      </c>
      <c r="O144" s="13">
        <f>O142+O134+O129</f>
        <v/>
      </c>
      <c r="P144" s="65" t="n"/>
      <c r="Q144" s="1" t="n"/>
      <c r="R144" s="13">
        <f>R142+R134+R129</f>
        <v/>
      </c>
      <c r="S144" s="13">
        <f>S142+S134+S129</f>
        <v/>
      </c>
      <c r="T144" s="13">
        <f>T142+T134+T129</f>
        <v/>
      </c>
      <c r="U144" s="13">
        <f>U142+U134+U129</f>
        <v/>
      </c>
      <c r="V144" s="13">
        <f>V142+V134+V129</f>
        <v/>
      </c>
      <c r="W144" s="13">
        <f>W142+W134+W129</f>
        <v/>
      </c>
      <c r="X144" s="13">
        <f>X142+X134+X129</f>
        <v/>
      </c>
      <c r="Y144" s="13">
        <f>Y142+Y134+Y129</f>
        <v/>
      </c>
      <c r="Z144" s="13">
        <f>Z142+Z134+Z129</f>
        <v/>
      </c>
      <c r="AA144" s="13">
        <f>AA142+AA134+AA129</f>
        <v/>
      </c>
      <c r="AB144" s="13">
        <f>AB142+AB134+AB129</f>
        <v/>
      </c>
      <c r="AC144" s="13">
        <f>AC142+AC134+AC129</f>
        <v/>
      </c>
      <c r="AD144" s="13">
        <f>AD142+AD134+AD129</f>
        <v/>
      </c>
      <c r="AE144" s="13">
        <f>AE142+AE134+AE129</f>
        <v/>
      </c>
      <c r="AF144" s="13">
        <f>AF142+AF134+AF129</f>
        <v/>
      </c>
      <c r="AG144" s="13">
        <f>AG142+AG134+AG129</f>
        <v/>
      </c>
      <c r="AH144" s="13">
        <f>AH142+AH134+AH129</f>
        <v/>
      </c>
      <c r="AI144" s="13">
        <f>AI142+AI134+AI129</f>
        <v/>
      </c>
      <c r="AJ144" s="13">
        <f>AJ142+AJ134+AJ129</f>
        <v/>
      </c>
      <c r="AK144" s="13">
        <f>AK142+AK134+AK129</f>
        <v/>
      </c>
      <c r="AL144" s="13">
        <f>AL142+AL134+AL129</f>
        <v/>
      </c>
      <c r="AM144" s="13">
        <f>AM142+AM134+AM129</f>
        <v/>
      </c>
      <c r="AN144" s="13">
        <f>AN142+AN134+AN129</f>
        <v/>
      </c>
      <c r="AO144" s="13">
        <f>AO142+AO134+AO129</f>
        <v/>
      </c>
      <c r="AP144" s="13">
        <f>AP142+AP134+AP129</f>
        <v/>
      </c>
      <c r="AQ144" s="65" t="n"/>
      <c r="AR144" s="65" t="n"/>
      <c r="AS144" s="65" t="n"/>
      <c r="AT144" s="65" t="n"/>
      <c r="AU144" s="65" t="n"/>
      <c r="AV144" s="65" t="n"/>
      <c r="AW144" s="65" t="n"/>
    </row>
    <row r="145">
      <c r="B145" s="20" t="inlineStr">
        <is>
          <t>Cash Check</t>
        </is>
      </c>
      <c r="G145" s="63" t="n"/>
      <c r="H145" s="51" t="n"/>
      <c r="L145" s="19">
        <f>IF(ROUND(L144-(L48-K48),1)=0,"OK",ROUND(L144-(L48-K48),2))</f>
        <v/>
      </c>
      <c r="M145" s="19">
        <f>IF(ROUND(M144-(M48-L48),1)=0,"OK",ROUND(M144-(M48-L48),2))</f>
        <v/>
      </c>
      <c r="N145" s="19">
        <f>IF(ROUND(N144-(N48-M48),1)=0,"OK",ROUND(N144-(N48-M48),2))</f>
        <v/>
      </c>
      <c r="O145" s="19">
        <f>IF(ROUND(O144-(O48-N48),1)=0,"OK",ROUND(O144-(O48-N48),2))</f>
        <v/>
      </c>
      <c r="S145" s="19">
        <f>IF(ROUND(S144-(S48-R48),1)=0,"OK",ROUND(S144-(S48-R48),2))</f>
        <v/>
      </c>
      <c r="T145" s="19">
        <f>IF(ROUND(T144-(T48-S48),1)=0,"OK",ROUND(T144-(T48-S48),2))</f>
        <v/>
      </c>
      <c r="U145" s="19">
        <f>IF(ROUND(U144-(U48-T48),1)=0,"OK",ROUND(U144-(U48-T48),2))</f>
        <v/>
      </c>
      <c r="V145" s="19">
        <f>IF(ROUND(V144-(V48-U48),1)=0,"OK",ROUND(V144-(V48-U48),2))</f>
        <v/>
      </c>
      <c r="W145" s="19">
        <f>IF(ROUND(W144-(W48-V48),1)=0,"OK",ROUND(W144-(W48-V48),2))</f>
        <v/>
      </c>
      <c r="X145" s="19">
        <f>IF(ROUND(X144-(X48-W48),1)=0,"OK",ROUND(X144-(X48-W48),2))</f>
        <v/>
      </c>
      <c r="Y145" s="19">
        <f>IF(ROUND(Y144-(Y48-X48),1)=0,"OK",ROUND(Y144-(Y48-X48),2))</f>
        <v/>
      </c>
      <c r="Z145" s="19">
        <f>IF(ROUND(Z144-(Z48-Y48),1)=0,"OK",ROUND(Z144-(Z48-Y48),2))</f>
        <v/>
      </c>
      <c r="AA145" s="19">
        <f>IF(ROUND(AA144-(AA48-Z48),1)=0,"OK",ROUND(AA144-(AA48-Z48),2))</f>
        <v/>
      </c>
      <c r="AB145" s="19">
        <f>IF(ROUND(AB144-(AB48-AA48),1)=0,"OK",ROUND(AB144-(AB48-AA48),2))</f>
        <v/>
      </c>
      <c r="AC145" s="19">
        <f>IF(ROUND(AC144-(AC48-AB48),1)=0,"OK",ROUND(AC144-(AC48-AB48),2))</f>
        <v/>
      </c>
      <c r="AD145" s="19">
        <f>IF(ROUND(AD144-(AD48-AC48),1)=0,"OK",ROUND(AD144-(AD48-AC48),2))</f>
        <v/>
      </c>
      <c r="AE145" s="19">
        <f>IF(ROUND(AE144-(AE48-AD48),1)=0,"OK",ROUND(AE144-(AE48-AD48),2))</f>
        <v/>
      </c>
      <c r="AF145" s="19">
        <f>IF(ROUND(AF144-(AF48-AE48),1)=0,"OK",ROUND(AF144-(AF48-AE48),2))</f>
        <v/>
      </c>
      <c r="AG145" s="19">
        <f>IF(ROUND(AG144-(AG48-AF48),1)=0,"OK",ROUND(AG144-(AG48-AF48),2))</f>
        <v/>
      </c>
      <c r="AH145" s="19">
        <f>IF(ROUND(AH144-(AH48-AG48),1)=0,"OK",ROUND(AH144-(AH48-AG48),2))</f>
        <v/>
      </c>
      <c r="AI145" s="19">
        <f>IF(ROUND(AI144-(AI48-AH48),1)=0,"OK",ROUND(AI144-(AI48-AH48),2))</f>
        <v/>
      </c>
      <c r="AJ145" s="19">
        <f>IF(ROUND(AJ144-(AJ48-AI48),1)=0,"OK",ROUND(AJ144-(AJ48-AI48),2))</f>
        <v/>
      </c>
      <c r="AK145" s="19">
        <f>IF(ROUND(AK144-(AK48-AJ48),1)=0,"OK",ROUND(AK144-(AK48-AJ48),2))</f>
        <v/>
      </c>
      <c r="AL145" s="19">
        <f>IF(ROUND(AL144-(AL48-AK48),1)=0,"OK",ROUND(AL144-(AL48-AK48),2))</f>
        <v/>
      </c>
      <c r="AM145" s="19">
        <f>IF(ROUND(AM144-(AM48-AL48),1)=0,"OK",ROUND(AM144-(AM48-AL48),2))</f>
        <v/>
      </c>
      <c r="AN145" s="19">
        <f>IF(ROUND(AN144-(AN48-AM48),1)=0,"OK",ROUND(AN144-(AN48-AM48),2))</f>
        <v/>
      </c>
      <c r="AO145" s="19">
        <f>IF(ROUND(AO144-(AO48-AN48),1)=0,"OK",ROUND(AO144-(AO48-AN48),2))</f>
        <v/>
      </c>
      <c r="AP145" s="19">
        <f>IF(ROUND(AP144-(AP48-AO48),1)=0,"OK",ROUND(AP144-(AP48-AO48),2))</f>
        <v/>
      </c>
    </row>
    <row r="146">
      <c r="G146" s="63" t="n"/>
      <c r="H146" s="51" t="n"/>
      <c r="J146" s="83" t="n"/>
      <c r="K146" s="83" t="n"/>
      <c r="L146" s="83" t="n"/>
      <c r="M146" s="83" t="n"/>
      <c r="N146" s="83" t="n"/>
      <c r="O146" s="83" t="n"/>
    </row>
    <row r="147">
      <c r="B147" t="inlineStr">
        <is>
          <t>CFO</t>
        </is>
      </c>
      <c r="G147" s="57">
        <f>OFFSET(R147,0,MATCH($G$2,$R$3:$AW$3,0)-1)*4</f>
        <v/>
      </c>
      <c r="H147" s="33">
        <f>SUM(OFFSET(R147,0,MATCH($G$2,$R$3:$AW$3,0)-4),OFFSET(R147,0,MATCH($G$2,$R$3:$AW$3,0)-3),OFFSET(R147,0,MATCH($G$2,$R$3:$AW$3,0)-2),OFFSET(R147,0,MATCH($G$2,$R$3:$AW$3,0)-1))</f>
        <v/>
      </c>
      <c r="J147" s="5">
        <f>J129</f>
        <v/>
      </c>
      <c r="K147" s="5">
        <f>K129</f>
        <v/>
      </c>
      <c r="L147" s="5">
        <f>L129</f>
        <v/>
      </c>
      <c r="M147" s="5">
        <f>M129</f>
        <v/>
      </c>
      <c r="N147" s="5">
        <f>N129</f>
        <v/>
      </c>
      <c r="O147" s="5">
        <f>O129</f>
        <v/>
      </c>
      <c r="R147" s="5">
        <f>R129</f>
        <v/>
      </c>
      <c r="S147" s="5">
        <f>S129</f>
        <v/>
      </c>
      <c r="T147" s="5">
        <f>T129</f>
        <v/>
      </c>
      <c r="U147" s="5">
        <f>U129</f>
        <v/>
      </c>
      <c r="V147" s="5">
        <f>V129</f>
        <v/>
      </c>
      <c r="W147" s="5">
        <f>W129</f>
        <v/>
      </c>
      <c r="X147" s="5">
        <f>X129</f>
        <v/>
      </c>
      <c r="Y147" s="5">
        <f>Y129</f>
        <v/>
      </c>
      <c r="Z147" s="5">
        <f>Z129</f>
        <v/>
      </c>
      <c r="AA147" s="5">
        <f>AA129</f>
        <v/>
      </c>
      <c r="AB147" s="5">
        <f>AB129</f>
        <v/>
      </c>
      <c r="AC147" s="5">
        <f>AC129</f>
        <v/>
      </c>
      <c r="AD147" s="5">
        <f>AD129</f>
        <v/>
      </c>
      <c r="AE147" s="5">
        <f>AE129</f>
        <v/>
      </c>
      <c r="AF147" s="5">
        <f>AF129</f>
        <v/>
      </c>
      <c r="AG147" s="5">
        <f>AG129</f>
        <v/>
      </c>
      <c r="AH147" s="5">
        <f>AH129</f>
        <v/>
      </c>
      <c r="AI147" s="5">
        <f>AI129</f>
        <v/>
      </c>
      <c r="AJ147" s="5">
        <f>AJ129</f>
        <v/>
      </c>
      <c r="AK147" s="5">
        <f>AK129</f>
        <v/>
      </c>
      <c r="AL147" s="5">
        <f>AL129</f>
        <v/>
      </c>
      <c r="AM147" s="5">
        <f>AM129</f>
        <v/>
      </c>
      <c r="AN147" s="5">
        <f>AN129</f>
        <v/>
      </c>
      <c r="AO147" s="5">
        <f>AO129</f>
        <v/>
      </c>
      <c r="AP147" s="5">
        <f>AP129</f>
        <v/>
      </c>
    </row>
    <row r="148">
      <c r="B148" t="inlineStr">
        <is>
          <t>(+) Interest</t>
        </is>
      </c>
      <c r="G148" s="57">
        <f>OFFSET(R148,0,MATCH($G$2,$R$3:$AW$3,0)-1)*4</f>
        <v/>
      </c>
      <c r="H148" s="33">
        <f>SUM(OFFSET(R148,0,MATCH($G$2,$R$3:$AW$3,0)-4),OFFSET(R148,0,MATCH($G$2,$R$3:$AW$3,0)-3),OFFSET(R148,0,MATCH($G$2,$R$3:$AW$3,0)-2),OFFSET(R148,0,MATCH($G$2,$R$3:$AW$3,0)-1))</f>
        <v/>
      </c>
      <c r="J148" s="5">
        <f>-J122</f>
        <v/>
      </c>
      <c r="K148" s="5">
        <f>-K122</f>
        <v/>
      </c>
      <c r="L148" s="5">
        <f>-L122</f>
        <v/>
      </c>
      <c r="M148" s="5">
        <f>-M122</f>
        <v/>
      </c>
      <c r="N148" s="5">
        <f>-N122</f>
        <v/>
      </c>
      <c r="O148" s="5">
        <f>-O122</f>
        <v/>
      </c>
      <c r="R148" s="5">
        <f>-R122</f>
        <v/>
      </c>
      <c r="S148" s="5">
        <f>-S122</f>
        <v/>
      </c>
      <c r="T148" s="5">
        <f>-T122</f>
        <v/>
      </c>
      <c r="U148" s="5">
        <f>-U122</f>
        <v/>
      </c>
      <c r="V148" s="5">
        <f>-V122</f>
        <v/>
      </c>
      <c r="W148" s="5">
        <f>-W122</f>
        <v/>
      </c>
      <c r="X148" s="5">
        <f>-X122</f>
        <v/>
      </c>
      <c r="Y148" s="5">
        <f>-Y122</f>
        <v/>
      </c>
      <c r="Z148" s="5">
        <f>-Z122</f>
        <v/>
      </c>
      <c r="AA148" s="5">
        <f>-AA122</f>
        <v/>
      </c>
      <c r="AB148" s="5">
        <f>-AB122</f>
        <v/>
      </c>
      <c r="AC148" s="5">
        <f>-AC122</f>
        <v/>
      </c>
      <c r="AD148" s="5">
        <f>-AD122</f>
        <v/>
      </c>
      <c r="AE148" s="5">
        <f>-AE122</f>
        <v/>
      </c>
      <c r="AF148" s="5">
        <f>-AF122</f>
        <v/>
      </c>
      <c r="AG148" s="5">
        <f>-AG122</f>
        <v/>
      </c>
      <c r="AH148" s="5">
        <f>-AH122</f>
        <v/>
      </c>
      <c r="AI148" s="5">
        <f>-AI122</f>
        <v/>
      </c>
      <c r="AJ148" s="5">
        <f>-AJ122</f>
        <v/>
      </c>
      <c r="AK148" s="5">
        <f>-AK122</f>
        <v/>
      </c>
      <c r="AL148" s="5">
        <f>-AL122</f>
        <v/>
      </c>
      <c r="AM148" s="5">
        <f>-AM122</f>
        <v/>
      </c>
      <c r="AN148" s="5">
        <f>-AN122</f>
        <v/>
      </c>
      <c r="AO148" s="5">
        <f>-AO122</f>
        <v/>
      </c>
      <c r="AP148" s="5">
        <f>-AP122</f>
        <v/>
      </c>
    </row>
    <row r="149">
      <c r="B149" s="7" t="inlineStr">
        <is>
          <t>(-) Required CAPEX</t>
        </is>
      </c>
      <c r="C149" s="7" t="n"/>
      <c r="D149" s="7" t="n"/>
      <c r="E149" s="7" t="n"/>
      <c r="F149" s="7" t="n"/>
      <c r="G149" s="58">
        <f>OFFSET(R149,0,MATCH($G$2,$R$3:$AW$3,0)-1)*4</f>
        <v/>
      </c>
      <c r="H149" s="46">
        <f>SUM(OFFSET(R149,0,MATCH($G$2,$R$3:$AW$3,0)-4),OFFSET(R149,0,MATCH($G$2,$R$3:$AW$3,0)-3),OFFSET(R149,0,MATCH($G$2,$R$3:$AW$3,0)-2),OFFSET(R149,0,MATCH($G$2,$R$3:$AW$3,0)-1))</f>
        <v/>
      </c>
      <c r="I149" s="7" t="n"/>
      <c r="J149" s="110">
        <f>J131+J133</f>
        <v/>
      </c>
      <c r="K149" s="110">
        <f>K131+K133</f>
        <v/>
      </c>
      <c r="L149" s="110">
        <f>L131+L133</f>
        <v/>
      </c>
      <c r="M149" s="110">
        <f>M131+M133</f>
        <v/>
      </c>
      <c r="N149" s="110">
        <f>N131+N133</f>
        <v/>
      </c>
      <c r="O149" s="110">
        <f>O131+O133</f>
        <v/>
      </c>
      <c r="P149" s="7" t="n"/>
      <c r="Q149" s="7" t="n"/>
      <c r="R149" s="110">
        <f>R131+R133</f>
        <v/>
      </c>
      <c r="S149" s="110">
        <f>S131+S133</f>
        <v/>
      </c>
      <c r="T149" s="110">
        <f>T131+T133</f>
        <v/>
      </c>
      <c r="U149" s="110">
        <f>U131+U133</f>
        <v/>
      </c>
      <c r="V149" s="110">
        <f>V131+V133</f>
        <v/>
      </c>
      <c r="W149" s="110">
        <f>W131+W133</f>
        <v/>
      </c>
      <c r="X149" s="110">
        <f>X131+X133</f>
        <v/>
      </c>
      <c r="Y149" s="110">
        <f>Y131+Y133</f>
        <v/>
      </c>
      <c r="Z149" s="110">
        <f>Z131+Z133</f>
        <v/>
      </c>
      <c r="AA149" s="110">
        <f>AA131+AA133</f>
        <v/>
      </c>
      <c r="AB149" s="110">
        <f>AB131+AB133</f>
        <v/>
      </c>
      <c r="AC149" s="110">
        <f>AC131+AC133</f>
        <v/>
      </c>
      <c r="AD149" s="110">
        <f>AD131+AD133</f>
        <v/>
      </c>
      <c r="AE149" s="110">
        <f>AE131+AE133</f>
        <v/>
      </c>
      <c r="AF149" s="110">
        <f>AF131+AF133</f>
        <v/>
      </c>
      <c r="AG149" s="110">
        <f>AG131+AG133</f>
        <v/>
      </c>
      <c r="AH149" s="110">
        <f>AH131+AH133</f>
        <v/>
      </c>
      <c r="AI149" s="110">
        <f>AI131+AI133</f>
        <v/>
      </c>
      <c r="AJ149" s="110">
        <f>AJ131+AJ133</f>
        <v/>
      </c>
      <c r="AK149" s="110">
        <f>AK131+AK133</f>
        <v/>
      </c>
      <c r="AL149" s="110">
        <f>AL131+AL133</f>
        <v/>
      </c>
      <c r="AM149" s="110">
        <f>AM131+AM133</f>
        <v/>
      </c>
      <c r="AN149" s="110">
        <f>AN131+AN133</f>
        <v/>
      </c>
      <c r="AO149" s="110">
        <f>AO131+AO133</f>
        <v/>
      </c>
      <c r="AP149" s="110">
        <f>AP131+AP133</f>
        <v/>
      </c>
      <c r="AQ149" s="7" t="n"/>
      <c r="AR149" s="7" t="n"/>
      <c r="AS149" s="7" t="n"/>
      <c r="AT149" s="7" t="n"/>
      <c r="AU149" s="7" t="n"/>
      <c r="AV149" s="7" t="n"/>
      <c r="AW149" s="7" t="n"/>
    </row>
    <row r="150">
      <c r="B150" s="1" t="inlineStr">
        <is>
          <t>FCFF</t>
        </is>
      </c>
      <c r="G150" s="59">
        <f>OFFSET(R150,0,MATCH($G$2,$R$3:$AW$3,0)-1)*4</f>
        <v/>
      </c>
      <c r="H150" s="32">
        <f>SUM(OFFSET(R150,0,MATCH($G$2,$R$3:$AW$3,0)-4),OFFSET(R150,0,MATCH($G$2,$R$3:$AW$3,0)-3),OFFSET(R150,0,MATCH($G$2,$R$3:$AW$3,0)-2),OFFSET(R150,0,MATCH($G$2,$R$3:$AW$3,0)-1))</f>
        <v/>
      </c>
      <c r="J150" s="6">
        <f>SUM(J147:J149)</f>
        <v/>
      </c>
      <c r="K150" s="6">
        <f>SUM(K147:K149)</f>
        <v/>
      </c>
      <c r="L150" s="6">
        <f>SUM(L147:L149)</f>
        <v/>
      </c>
      <c r="M150" s="6">
        <f>SUM(M147:M149)</f>
        <v/>
      </c>
      <c r="N150" s="6">
        <f>SUM(N147:N149)</f>
        <v/>
      </c>
      <c r="O150" s="6">
        <f>SUM(O147:O149)</f>
        <v/>
      </c>
      <c r="R150" s="6">
        <f>SUM(R147:R149)</f>
        <v/>
      </c>
      <c r="S150" s="6">
        <f>SUM(S147:S149)</f>
        <v/>
      </c>
      <c r="T150" s="6">
        <f>SUM(T147:T149)</f>
        <v/>
      </c>
      <c r="U150" s="6">
        <f>SUM(U147:U149)</f>
        <v/>
      </c>
      <c r="V150" s="6">
        <f>SUM(V147:V149)</f>
        <v/>
      </c>
      <c r="W150" s="6">
        <f>SUM(W147:W149)</f>
        <v/>
      </c>
      <c r="X150" s="6">
        <f>SUM(X147:X149)</f>
        <v/>
      </c>
      <c r="Y150" s="6">
        <f>SUM(Y147:Y149)</f>
        <v/>
      </c>
      <c r="Z150" s="6">
        <f>SUM(Z147:Z149)</f>
        <v/>
      </c>
      <c r="AA150" s="6">
        <f>SUM(AA147:AA149)</f>
        <v/>
      </c>
      <c r="AB150" s="6">
        <f>SUM(AB147:AB149)</f>
        <v/>
      </c>
      <c r="AC150" s="6">
        <f>SUM(AC147:AC149)</f>
        <v/>
      </c>
      <c r="AD150" s="6">
        <f>SUM(AD147:AD149)</f>
        <v/>
      </c>
      <c r="AE150" s="6">
        <f>SUM(AE147:AE149)</f>
        <v/>
      </c>
      <c r="AF150" s="6">
        <f>SUM(AF147:AF149)</f>
        <v/>
      </c>
      <c r="AG150" s="6">
        <f>SUM(AG147:AG149)</f>
        <v/>
      </c>
      <c r="AH150" s="6">
        <f>SUM(AH147:AH149)</f>
        <v/>
      </c>
      <c r="AI150" s="6">
        <f>SUM(AI147:AI149)</f>
        <v/>
      </c>
      <c r="AJ150" s="6">
        <f>SUM(AJ147:AJ149)</f>
        <v/>
      </c>
      <c r="AK150" s="6">
        <f>SUM(AK147:AK149)</f>
        <v/>
      </c>
      <c r="AL150" s="6">
        <f>SUM(AL147:AL149)</f>
        <v/>
      </c>
      <c r="AM150" s="6">
        <f>SUM(AM147:AM149)</f>
        <v/>
      </c>
      <c r="AN150" s="6">
        <f>SUM(AN147:AN149)</f>
        <v/>
      </c>
      <c r="AO150" s="6">
        <f>SUM(AO147:AO149)</f>
        <v/>
      </c>
      <c r="AP150" s="6">
        <f>SUM(AP147:AP149)</f>
        <v/>
      </c>
    </row>
    <row r="157">
      <c r="AP157" s="118" t="n">
        <v>43575</v>
      </c>
      <c r="AQ157" t="n">
        <v>43.575</v>
      </c>
    </row>
    <row r="158">
      <c r="AP158" t="n">
        <v>3</v>
      </c>
      <c r="AQ158" t="n">
        <v>-0.003</v>
      </c>
    </row>
    <row r="159">
      <c r="AP159" s="118" t="n">
        <v>1509</v>
      </c>
      <c r="AQ159" t="n">
        <v>1.509</v>
      </c>
    </row>
    <row r="160">
      <c r="AP160" s="118" t="n">
        <v>5284</v>
      </c>
      <c r="AQ160" t="n">
        <v>-5.284</v>
      </c>
    </row>
    <row r="161">
      <c r="AP161" s="118" t="n">
        <v>41787</v>
      </c>
      <c r="AQ161" t="n">
        <v>-41.787</v>
      </c>
    </row>
    <row r="162">
      <c r="AP162" t="n">
        <v>24</v>
      </c>
      <c r="AQ162" t="n">
        <v>-0.024</v>
      </c>
    </row>
    <row r="168">
      <c r="AP168" t="inlineStr">
        <is>
          <t>)</t>
        </is>
      </c>
    </row>
  </sheetData>
  <pageMargins left="0.25" right="0.25" top="0.5" bottom="0.5" header="0" footer="0"/>
  <pageSetup orientation="landscape" scale="25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2:S30"/>
  <sheetViews>
    <sheetView workbookViewId="0">
      <selection activeCell="E28" sqref="E28:E30"/>
    </sheetView>
  </sheetViews>
  <sheetFormatPr baseColWidth="8" defaultRowHeight="14.25"/>
  <sheetData>
    <row r="2">
      <c r="K2" s="34">
        <f>'Marine DCF'!K2</f>
        <v/>
      </c>
      <c r="L2" s="34">
        <f>'Marine DCF'!L2</f>
        <v/>
      </c>
      <c r="M2" s="34">
        <f>'Marine DCF'!M2</f>
        <v/>
      </c>
      <c r="N2" s="34">
        <f>'Marine DCF'!N2</f>
        <v/>
      </c>
      <c r="O2" s="34">
        <f>'Marine DCF'!O2</f>
        <v/>
      </c>
      <c r="P2" s="34">
        <f>'Marine DCF'!P2</f>
        <v/>
      </c>
      <c r="Q2" s="34">
        <f>'Marine DCF'!Q2</f>
        <v/>
      </c>
      <c r="R2" s="34">
        <f>'Marine DCF'!R2</f>
        <v/>
      </c>
    </row>
    <row r="3">
      <c r="E3" s="37">
        <f>'Marine DCF'!E3</f>
        <v/>
      </c>
      <c r="F3" s="37">
        <f>'Marine DCF'!F3</f>
        <v/>
      </c>
      <c r="G3" s="37">
        <f>'Marine DCF'!G3</f>
        <v/>
      </c>
      <c r="H3" s="37">
        <f>'Marine DCF'!H3</f>
        <v/>
      </c>
      <c r="I3" s="37">
        <f>'Marine DCF'!I3</f>
        <v/>
      </c>
      <c r="J3" s="37">
        <f>'Marine DCF'!J3</f>
        <v/>
      </c>
      <c r="K3" s="37">
        <f>'Marine DCF'!K3</f>
        <v/>
      </c>
      <c r="L3" s="37">
        <f>'Marine DCF'!L3</f>
        <v/>
      </c>
      <c r="M3" s="37">
        <f>'Marine DCF'!M3</f>
        <v/>
      </c>
      <c r="N3" s="37">
        <f>'Marine DCF'!N3</f>
        <v/>
      </c>
      <c r="O3" s="37">
        <f>'Marine DCF'!O3</f>
        <v/>
      </c>
      <c r="P3" s="37">
        <f>'Marine DCF'!P3</f>
        <v/>
      </c>
      <c r="Q3" s="37">
        <f>'Marine DCF'!Q3</f>
        <v/>
      </c>
    </row>
    <row r="4">
      <c r="E4" s="9">
        <f>'Marine DCF'!E4</f>
        <v/>
      </c>
      <c r="F4" s="9">
        <f>'Marine DCF'!F4</f>
        <v/>
      </c>
      <c r="G4" s="9">
        <f>'Marine DCF'!G4</f>
        <v/>
      </c>
      <c r="H4" s="9">
        <f>'Marine DCF'!H4</f>
        <v/>
      </c>
      <c r="I4" s="9">
        <f>'Marine DCF'!I4</f>
        <v/>
      </c>
      <c r="J4" s="9">
        <f>'Marine DCF'!J4</f>
        <v/>
      </c>
      <c r="K4" s="9">
        <f>'Marine DCF'!K4</f>
        <v/>
      </c>
      <c r="L4" s="9">
        <f>'Marine DCF'!L4</f>
        <v/>
      </c>
      <c r="M4" s="9">
        <f>'Marine DCF'!M4</f>
        <v/>
      </c>
      <c r="N4" s="9">
        <f>'Marine DCF'!N4</f>
        <v/>
      </c>
      <c r="O4" s="9">
        <f>'Marine DCF'!O4</f>
        <v/>
      </c>
      <c r="P4" s="9">
        <f>'Marine DCF'!P4</f>
        <v/>
      </c>
      <c r="Q4" s="9">
        <f>'Marine DCF'!Q4</f>
        <v/>
      </c>
      <c r="R4" s="5">
        <f>'Marine DCF'!R4</f>
        <v/>
      </c>
    </row>
    <row r="5">
      <c r="F5" s="170">
        <f>'Marine DCF'!F5</f>
        <v/>
      </c>
      <c r="G5" s="170">
        <f>'Marine DCF'!G5</f>
        <v/>
      </c>
      <c r="H5" s="170">
        <f>'Marine DCF'!H5</f>
        <v/>
      </c>
      <c r="I5" s="170">
        <f>'Marine DCF'!I5</f>
        <v/>
      </c>
      <c r="J5" s="170">
        <f>'Marine DCF'!J5</f>
        <v/>
      </c>
      <c r="K5" s="170">
        <f>'Marine DCF'!K5</f>
        <v/>
      </c>
      <c r="L5" s="170">
        <f>'Marine DCF'!L5</f>
        <v/>
      </c>
      <c r="M5" s="170">
        <f>'Marine DCF'!M5</f>
        <v/>
      </c>
      <c r="N5" s="170">
        <f>'Marine DCF'!N5</f>
        <v/>
      </c>
      <c r="O5" s="170">
        <f>'Marine DCF'!O5</f>
        <v/>
      </c>
      <c r="P5" s="170">
        <f>'Marine DCF'!P5</f>
        <v/>
      </c>
      <c r="Q5" s="170">
        <f>'Marine DCF'!Q5</f>
        <v/>
      </c>
    </row>
    <row r="6">
      <c r="E6" s="175">
        <f>'Marine DCF'!E6</f>
        <v/>
      </c>
      <c r="F6" s="175">
        <f>'Marine DCF'!F6</f>
        <v/>
      </c>
      <c r="G6" s="175">
        <f>'Marine DCF'!G6</f>
        <v/>
      </c>
      <c r="H6" s="175">
        <f>'Marine DCF'!H6</f>
        <v/>
      </c>
      <c r="I6" s="175">
        <f>'Marine DCF'!I6</f>
        <v/>
      </c>
      <c r="J6" s="175">
        <f>'Marine DCF'!J6</f>
        <v/>
      </c>
      <c r="K6" s="9">
        <f>'Marine DCF'!K6</f>
        <v/>
      </c>
      <c r="L6" s="9">
        <f>'Marine DCF'!L6</f>
        <v/>
      </c>
      <c r="M6" s="9">
        <f>'Marine DCF'!M6</f>
        <v/>
      </c>
      <c r="N6" s="9">
        <f>'Marine DCF'!N6</f>
        <v/>
      </c>
      <c r="O6" s="9">
        <f>'Marine DCF'!O6</f>
        <v/>
      </c>
      <c r="P6" s="9">
        <f>'Marine DCF'!P6</f>
        <v/>
      </c>
      <c r="Q6" s="9">
        <f>'Marine DCF'!Q6</f>
        <v/>
      </c>
      <c r="R6" s="5">
        <f>'Marine DCF'!R6</f>
        <v/>
      </c>
    </row>
    <row r="7">
      <c r="F7" s="189">
        <f>'Marine DCF'!F7</f>
        <v/>
      </c>
      <c r="G7" s="189">
        <f>'Marine DCF'!G7</f>
        <v/>
      </c>
      <c r="H7" s="189">
        <f>'Marine DCF'!H7</f>
        <v/>
      </c>
      <c r="I7" s="189">
        <f>'Marine DCF'!I7</f>
        <v/>
      </c>
      <c r="J7" s="189">
        <f>'Marine DCF'!J7</f>
        <v/>
      </c>
      <c r="K7" s="189">
        <f>'Marine DCF'!K7</f>
        <v/>
      </c>
      <c r="L7" s="189">
        <f>'Marine DCF'!L7</f>
        <v/>
      </c>
      <c r="M7" s="189">
        <f>'Marine DCF'!M7</f>
        <v/>
      </c>
      <c r="N7" s="189">
        <f>'Marine DCF'!N7</f>
        <v/>
      </c>
      <c r="O7" s="189">
        <f>'Marine DCF'!O7</f>
        <v/>
      </c>
      <c r="P7" s="189">
        <f>'Marine DCF'!P7</f>
        <v/>
      </c>
      <c r="Q7" s="189">
        <f>'Marine DCF'!Q7</f>
        <v/>
      </c>
    </row>
    <row r="8">
      <c r="E8" s="13">
        <f>'Marine DCF'!$E$8</f>
        <v/>
      </c>
      <c r="F8" s="13">
        <f>'Marine DCF'!F8</f>
        <v/>
      </c>
      <c r="G8" s="13">
        <f>'Marine DCF'!G8</f>
        <v/>
      </c>
      <c r="H8" s="13">
        <f>'Marine DCF'!H8</f>
        <v/>
      </c>
      <c r="I8" s="13">
        <f>'Marine DCF'!I8</f>
        <v/>
      </c>
      <c r="J8" s="13">
        <f>'Marine DCF'!J8</f>
        <v/>
      </c>
      <c r="K8" s="13">
        <f>'Marine DCF'!K8</f>
        <v/>
      </c>
      <c r="L8" s="13">
        <f>'Marine DCF'!L8</f>
        <v/>
      </c>
      <c r="M8" s="13">
        <f>'Marine DCF'!M8</f>
        <v/>
      </c>
      <c r="N8" s="13">
        <f>'Marine DCF'!N8</f>
        <v/>
      </c>
      <c r="O8" s="13">
        <f>'Marine DCF'!O8</f>
        <v/>
      </c>
      <c r="P8" s="13">
        <f>'Marine DCF'!P8</f>
        <v/>
      </c>
      <c r="Q8" s="13">
        <f>'Marine DCF'!Q8</f>
        <v/>
      </c>
      <c r="R8" s="13">
        <f>'Marine DCF'!R8</f>
        <v/>
      </c>
    </row>
    <row r="9">
      <c r="F9" s="170">
        <f>'Marine DCF'!F9</f>
        <v/>
      </c>
      <c r="G9" s="170">
        <f>'Marine DCF'!G9</f>
        <v/>
      </c>
      <c r="H9" s="170">
        <f>'Marine DCF'!H9</f>
        <v/>
      </c>
      <c r="I9" s="170">
        <f>'Marine DCF'!I9</f>
        <v/>
      </c>
      <c r="J9" s="170">
        <f>'Marine DCF'!J9</f>
        <v/>
      </c>
      <c r="K9" s="170">
        <f>'Marine DCF'!K9</f>
        <v/>
      </c>
      <c r="L9" s="170">
        <f>'Marine DCF'!L9</f>
        <v/>
      </c>
      <c r="M9" s="170">
        <f>'Marine DCF'!M9</f>
        <v/>
      </c>
      <c r="N9" s="170">
        <f>'Marine DCF'!N9</f>
        <v/>
      </c>
      <c r="O9" s="170">
        <f>'Marine DCF'!O9</f>
        <v/>
      </c>
      <c r="P9" s="170">
        <f>'Marine DCF'!P9</f>
        <v/>
      </c>
      <c r="Q9" s="170">
        <f>'Marine DCF'!Q9</f>
        <v/>
      </c>
      <c r="R9" s="170">
        <f>'Marine DCF'!R9</f>
        <v/>
      </c>
    </row>
    <row r="10">
      <c r="E10" s="13">
        <f>'Marine DCF'!E10</f>
        <v/>
      </c>
      <c r="F10" s="13">
        <f>'Marine DCF'!F10</f>
        <v/>
      </c>
      <c r="G10" s="13">
        <f>'Marine DCF'!G10</f>
        <v/>
      </c>
      <c r="H10" s="13">
        <f>'Marine DCF'!H10</f>
        <v/>
      </c>
      <c r="I10" s="13">
        <f>'Marine DCF'!I10</f>
        <v/>
      </c>
      <c r="J10" s="13">
        <f>'Marine DCF'!J10</f>
        <v/>
      </c>
      <c r="K10" s="13">
        <f>'Marine DCF'!K10</f>
        <v/>
      </c>
      <c r="L10" s="13">
        <f>'Marine DCF'!L10</f>
        <v/>
      </c>
      <c r="M10" s="13">
        <f>'Marine DCF'!M10</f>
        <v/>
      </c>
      <c r="N10" s="13">
        <f>'Marine DCF'!N10</f>
        <v/>
      </c>
      <c r="O10" s="13">
        <f>'Marine DCF'!O10</f>
        <v/>
      </c>
      <c r="P10" s="13">
        <f>'Marine DCF'!P10</f>
        <v/>
      </c>
      <c r="Q10" s="13">
        <f>'Marine DCF'!Q10</f>
        <v/>
      </c>
      <c r="R10" s="13">
        <f>'Marine DCF'!R10</f>
        <v/>
      </c>
    </row>
    <row r="11">
      <c r="F11" s="189">
        <f>'Marine DCF'!F11</f>
        <v/>
      </c>
      <c r="G11" s="189">
        <f>'Marine DCF'!G11</f>
        <v/>
      </c>
      <c r="H11" s="189">
        <f>'Marine DCF'!H11</f>
        <v/>
      </c>
      <c r="I11" s="189">
        <f>'Marine DCF'!I11</f>
        <v/>
      </c>
      <c r="J11" s="189">
        <f>'Marine DCF'!J11</f>
        <v/>
      </c>
      <c r="K11" s="189">
        <f>'Marine DCF'!K11</f>
        <v/>
      </c>
      <c r="L11" s="189">
        <f>'Marine DCF'!L11</f>
        <v/>
      </c>
      <c r="M11" s="189">
        <f>'Marine DCF'!M11</f>
        <v/>
      </c>
      <c r="N11" s="189">
        <f>'Marine DCF'!N11</f>
        <v/>
      </c>
      <c r="O11" s="189">
        <f>'Marine DCF'!O11</f>
        <v/>
      </c>
      <c r="P11" s="189">
        <f>'Marine DCF'!P11</f>
        <v/>
      </c>
      <c r="Q11" s="189">
        <f>'Marine DCF'!Q11</f>
        <v/>
      </c>
      <c r="R11" s="189">
        <f>'Marine DCF'!R11</f>
        <v/>
      </c>
    </row>
    <row r="12">
      <c r="E12" s="6">
        <f>'Marine DCF'!E12</f>
        <v/>
      </c>
      <c r="F12" s="6">
        <f>'Marine DCF'!F12</f>
        <v/>
      </c>
      <c r="G12" s="6">
        <f>'Marine DCF'!G12</f>
        <v/>
      </c>
      <c r="H12" s="6">
        <f>'Marine DCF'!H12</f>
        <v/>
      </c>
      <c r="I12" s="6">
        <f>'Marine DCF'!I12</f>
        <v/>
      </c>
      <c r="J12" s="6">
        <f>'Marine DCF'!J12</f>
        <v/>
      </c>
      <c r="K12" s="6">
        <f>'Marine DCF'!K12</f>
        <v/>
      </c>
      <c r="L12" s="6">
        <f>'Marine DCF'!L12</f>
        <v/>
      </c>
      <c r="M12" s="6">
        <f>'Marine DCF'!M12</f>
        <v/>
      </c>
      <c r="N12" s="6">
        <f>'Marine DCF'!N12</f>
        <v/>
      </c>
      <c r="O12" s="6">
        <f>'Marine DCF'!O12</f>
        <v/>
      </c>
      <c r="P12" s="6">
        <f>'Marine DCF'!P12</f>
        <v/>
      </c>
      <c r="Q12" s="6">
        <f>'Marine DCF'!Q12</f>
        <v/>
      </c>
      <c r="R12" s="6">
        <f>'Marine DCF'!R12</f>
        <v/>
      </c>
    </row>
    <row r="14">
      <c r="E14" s="13">
        <f>'Marine DCF'!E14</f>
        <v/>
      </c>
      <c r="F14" s="13">
        <f>'Marine DCF'!F14</f>
        <v/>
      </c>
      <c r="G14" s="13">
        <f>'Marine DCF'!G14</f>
        <v/>
      </c>
      <c r="H14" s="13">
        <f>'Marine DCF'!H14</f>
        <v/>
      </c>
      <c r="I14" s="13">
        <f>'Marine DCF'!I14</f>
        <v/>
      </c>
      <c r="J14" s="13">
        <f>'Marine DCF'!J14</f>
        <v/>
      </c>
      <c r="K14" s="13">
        <f>'Marine DCF'!K14</f>
        <v/>
      </c>
      <c r="L14" s="13">
        <f>'Marine DCF'!L14</f>
        <v/>
      </c>
      <c r="M14" s="13">
        <f>'Marine DCF'!M14</f>
        <v/>
      </c>
      <c r="N14" s="13">
        <f>'Marine DCF'!N14</f>
        <v/>
      </c>
      <c r="O14" s="13">
        <f>'Marine DCF'!O14</f>
        <v/>
      </c>
      <c r="P14" s="13">
        <f>'Marine DCF'!P14</f>
        <v/>
      </c>
      <c r="Q14" s="13">
        <f>'Marine DCF'!Q14</f>
        <v/>
      </c>
      <c r="R14" s="13">
        <f>'Marine DCF'!R14</f>
        <v/>
      </c>
    </row>
    <row r="15">
      <c r="E15" s="170">
        <f>'Marine DCF'!E15</f>
        <v/>
      </c>
      <c r="F15" s="170">
        <f>'Marine DCF'!F15</f>
        <v/>
      </c>
      <c r="G15" s="170">
        <f>'Marine DCF'!G15</f>
        <v/>
      </c>
      <c r="H15" s="170">
        <f>'Marine DCF'!H15</f>
        <v/>
      </c>
      <c r="I15" s="170">
        <f>'Marine DCF'!I15</f>
        <v/>
      </c>
      <c r="J15" s="170">
        <f>'Marine DCF'!J15</f>
        <v/>
      </c>
      <c r="K15" s="170">
        <f>'Marine DCF'!K15</f>
        <v/>
      </c>
      <c r="L15" s="170">
        <f>'Marine DCF'!L15</f>
        <v/>
      </c>
      <c r="M15" s="170">
        <f>'Marine DCF'!M15</f>
        <v/>
      </c>
      <c r="N15" s="170">
        <f>'Marine DCF'!N15</f>
        <v/>
      </c>
      <c r="O15" s="170">
        <f>'Marine DCF'!O15</f>
        <v/>
      </c>
      <c r="P15" s="170">
        <f>'Marine DCF'!P15</f>
        <v/>
      </c>
      <c r="Q15" s="170">
        <f>'Marine DCF'!Q15</f>
        <v/>
      </c>
      <c r="R15" s="170">
        <f>'Marine DCF'!R15</f>
        <v/>
      </c>
    </row>
    <row r="16">
      <c r="E16" s="9">
        <f>'Marine DCF'!E16</f>
        <v/>
      </c>
      <c r="F16" s="9">
        <f>'Marine DCF'!F16</f>
        <v/>
      </c>
      <c r="G16" s="9">
        <f>'Marine DCF'!G16</f>
        <v/>
      </c>
      <c r="H16" s="9">
        <f>'Marine DCF'!H16</f>
        <v/>
      </c>
      <c r="I16" s="9">
        <f>'Marine DCF'!I16</f>
        <v/>
      </c>
      <c r="J16" s="9">
        <f>'Marine DCF'!J16</f>
        <v/>
      </c>
      <c r="K16" s="5">
        <f>'Marine DCF'!K16</f>
        <v/>
      </c>
      <c r="L16" s="5">
        <f>'Marine DCF'!L16</f>
        <v/>
      </c>
      <c r="M16" s="5">
        <f>'Marine DCF'!M16</f>
        <v/>
      </c>
      <c r="N16" s="5">
        <f>'Marine DCF'!N16</f>
        <v/>
      </c>
      <c r="O16" s="5">
        <f>'Marine DCF'!O16</f>
        <v/>
      </c>
      <c r="P16" s="5">
        <f>'Marine DCF'!P16</f>
        <v/>
      </c>
      <c r="Q16" s="5">
        <f>'Marine DCF'!Q16</f>
        <v/>
      </c>
      <c r="R16" s="5">
        <f>'Marine DCF'!R16</f>
        <v/>
      </c>
    </row>
    <row r="17">
      <c r="F17" s="129">
        <f>'Marine DCF'!F17</f>
        <v/>
      </c>
      <c r="G17" s="129">
        <f>'Marine DCF'!G17</f>
        <v/>
      </c>
      <c r="H17" s="129">
        <f>'Marine DCF'!H17</f>
        <v/>
      </c>
      <c r="I17" s="129">
        <f>'Marine DCF'!I17</f>
        <v/>
      </c>
      <c r="J17" s="129">
        <f>'Marine DCF'!J17</f>
        <v/>
      </c>
      <c r="K17" s="129">
        <f>'Marine DCF'!K17</f>
        <v/>
      </c>
      <c r="L17" s="129">
        <f>'Marine DCF'!L17</f>
        <v/>
      </c>
      <c r="M17" s="129">
        <f>'Marine DCF'!M17</f>
        <v/>
      </c>
      <c r="N17" s="129">
        <f>'Marine DCF'!N17</f>
        <v/>
      </c>
      <c r="O17" s="129">
        <f>'Marine DCF'!O17</f>
        <v/>
      </c>
      <c r="P17" s="129">
        <f>'Marine DCF'!P17</f>
        <v/>
      </c>
      <c r="Q17" s="129">
        <f>'Marine DCF'!Q17</f>
        <v/>
      </c>
    </row>
    <row r="18">
      <c r="E18" s="6">
        <f>'Marine DCF'!E18</f>
        <v/>
      </c>
      <c r="F18" s="6">
        <f>'Marine DCF'!F18</f>
        <v/>
      </c>
      <c r="G18" s="6">
        <f>'Marine DCF'!G18</f>
        <v/>
      </c>
      <c r="H18" s="6">
        <f>'Marine DCF'!H18</f>
        <v/>
      </c>
      <c r="I18" s="6">
        <f>'Marine DCF'!I18</f>
        <v/>
      </c>
      <c r="J18" s="6">
        <f>'Marine DCF'!J18</f>
        <v/>
      </c>
      <c r="K18" s="6">
        <f>'Marine DCF'!K18</f>
        <v/>
      </c>
      <c r="L18" s="6">
        <f>'Marine DCF'!L18</f>
        <v/>
      </c>
      <c r="M18" s="6">
        <f>'Marine DCF'!M18</f>
        <v/>
      </c>
      <c r="N18" s="6">
        <f>'Marine DCF'!N18</f>
        <v/>
      </c>
      <c r="O18" s="6">
        <f>'Marine DCF'!O18</f>
        <v/>
      </c>
      <c r="P18" s="6">
        <f>'Marine DCF'!P18</f>
        <v/>
      </c>
      <c r="Q18" s="6">
        <f>'Marine DCF'!Q18</f>
        <v/>
      </c>
      <c r="R18" s="6">
        <f>'Marine DCF'!R18</f>
        <v/>
      </c>
    </row>
    <row r="19" ht="14.65" customHeight="1" thickBot="1">
      <c r="E19" s="9">
        <f>'Marine DCF'!E19</f>
        <v/>
      </c>
      <c r="F19" s="9">
        <f>'Marine DCF'!F19</f>
        <v/>
      </c>
      <c r="G19" s="9">
        <f>'Marine DCF'!G19</f>
        <v/>
      </c>
      <c r="H19" s="9">
        <f>'Marine DCF'!H19</f>
        <v/>
      </c>
      <c r="I19" s="9">
        <f>'Marine DCF'!I19</f>
        <v/>
      </c>
      <c r="J19" s="9">
        <f>'Marine DCF'!J19</f>
        <v/>
      </c>
      <c r="K19" s="9">
        <f>'Marine DCF'!K19</f>
        <v/>
      </c>
      <c r="L19" s="9">
        <f>'Marine DCF'!L19</f>
        <v/>
      </c>
      <c r="M19" s="9">
        <f>'Marine DCF'!M19</f>
        <v/>
      </c>
      <c r="N19" s="5">
        <f>'Marine DCF'!N19</f>
        <v/>
      </c>
      <c r="O19" s="5">
        <f>'Marine DCF'!O19</f>
        <v/>
      </c>
      <c r="P19" s="5">
        <f>'Marine DCF'!P19</f>
        <v/>
      </c>
      <c r="Q19" s="5">
        <f>'Marine DCF'!Q19</f>
        <v/>
      </c>
      <c r="R19" s="5">
        <f>'Marine DCF'!R19</f>
        <v/>
      </c>
      <c r="S19" s="131">
        <f>'Marine DCF'!$S$19</f>
        <v/>
      </c>
    </row>
    <row r="20">
      <c r="E20" s="11">
        <f>'Marine DCF'!E20</f>
        <v/>
      </c>
      <c r="F20" s="11">
        <f>'Marine DCF'!F20</f>
        <v/>
      </c>
      <c r="G20" s="11">
        <f>'Marine DCF'!G20</f>
        <v/>
      </c>
      <c r="H20" s="11">
        <f>'Marine DCF'!H20</f>
        <v/>
      </c>
      <c r="I20" s="11">
        <f>'Marine DCF'!I20</f>
        <v/>
      </c>
      <c r="J20" s="11">
        <f>'Marine DCF'!J20</f>
        <v/>
      </c>
      <c r="K20" s="11">
        <f>'Marine DCF'!K20</f>
        <v/>
      </c>
      <c r="L20" s="11">
        <f>'Marine DCF'!L20</f>
        <v/>
      </c>
      <c r="M20" s="11">
        <f>'Marine DCF'!M20</f>
        <v/>
      </c>
      <c r="N20" s="11">
        <f>'Marine DCF'!N20</f>
        <v/>
      </c>
      <c r="O20" s="11">
        <f>'Marine DCF'!O20</f>
        <v/>
      </c>
      <c r="P20" s="11">
        <f>'Marine DCF'!P20</f>
        <v/>
      </c>
      <c r="Q20" s="11">
        <f>'Marine DCF'!Q20</f>
        <v/>
      </c>
      <c r="R20" s="11">
        <f>'Marine DCF'!R20</f>
        <v/>
      </c>
    </row>
    <row r="21">
      <c r="E21" s="6">
        <f>'Marine DCF'!E21</f>
        <v/>
      </c>
      <c r="F21" s="6">
        <f>'Marine DCF'!F21</f>
        <v/>
      </c>
      <c r="G21" s="6">
        <f>'Marine DCF'!G21</f>
        <v/>
      </c>
      <c r="H21" s="6">
        <f>'Marine DCF'!H21</f>
        <v/>
      </c>
      <c r="I21" s="6">
        <f>'Marine DCF'!I21</f>
        <v/>
      </c>
      <c r="J21" s="6">
        <f>'Marine DCF'!J21</f>
        <v/>
      </c>
      <c r="K21" s="6">
        <f>'Marine DCF'!K21</f>
        <v/>
      </c>
      <c r="L21" s="6">
        <f>'Marine DCF'!L21</f>
        <v/>
      </c>
      <c r="M21" s="6">
        <f>'Marine DCF'!M21</f>
        <v/>
      </c>
      <c r="N21" s="6">
        <f>'Marine DCF'!N21</f>
        <v/>
      </c>
      <c r="O21" s="6">
        <f>'Marine DCF'!O21</f>
        <v/>
      </c>
      <c r="P21" s="6">
        <f>'Marine DCF'!P21</f>
        <v/>
      </c>
      <c r="Q21" s="6">
        <f>'Marine DCF'!Q21</f>
        <v/>
      </c>
      <c r="R21" s="6">
        <f>'Marine DCF'!R21</f>
        <v/>
      </c>
    </row>
    <row r="22">
      <c r="E22" s="170">
        <f>'Marine DCF'!E22</f>
        <v/>
      </c>
      <c r="F22" s="170">
        <f>'Marine DCF'!F22</f>
        <v/>
      </c>
      <c r="G22" s="170">
        <f>'Marine DCF'!G22</f>
        <v/>
      </c>
      <c r="H22" s="170">
        <f>'Marine DCF'!H22</f>
        <v/>
      </c>
      <c r="I22" s="170">
        <f>'Marine DCF'!I22</f>
        <v/>
      </c>
      <c r="J22" s="170">
        <f>'Marine DCF'!J22</f>
        <v/>
      </c>
      <c r="K22" s="170">
        <f>'Marine DCF'!K22</f>
        <v/>
      </c>
      <c r="L22" s="170">
        <f>'Marine DCF'!L22</f>
        <v/>
      </c>
      <c r="M22" s="170">
        <f>'Marine DCF'!M22</f>
        <v/>
      </c>
      <c r="N22" s="170">
        <f>'Marine DCF'!N22</f>
        <v/>
      </c>
      <c r="O22" s="170">
        <f>'Marine DCF'!O22</f>
        <v/>
      </c>
      <c r="P22" s="170">
        <f>'Marine DCF'!P22</f>
        <v/>
      </c>
      <c r="Q22" s="170">
        <f>'Marine DCF'!Q22</f>
        <v/>
      </c>
      <c r="R22" s="170">
        <f>'Marine DCF'!R22</f>
        <v/>
      </c>
    </row>
    <row r="24">
      <c r="K24" s="170">
        <f>'Marine DCF'!K24</f>
        <v/>
      </c>
      <c r="L24" s="170">
        <f>'Marine DCF'!L24</f>
        <v/>
      </c>
      <c r="M24" s="170">
        <f>'Marine DCF'!M24</f>
        <v/>
      </c>
      <c r="N24" s="170">
        <f>'Marine DCF'!N24</f>
        <v/>
      </c>
      <c r="O24" s="170">
        <f>'Marine DCF'!O24</f>
        <v/>
      </c>
      <c r="P24" s="170">
        <f>'Marine DCF'!P24</f>
        <v/>
      </c>
      <c r="Q24" s="170">
        <f>'Marine DCF'!Q24</f>
        <v/>
      </c>
      <c r="R24" s="170">
        <f>'Marine DCF'!R24</f>
        <v/>
      </c>
      <c r="S24" s="135">
        <f>'Marine DCF'!S24</f>
        <v/>
      </c>
    </row>
    <row r="26" ht="14.65" customHeight="1" thickBot="1">
      <c r="K26" s="5">
        <f>'Marine DCF'!K25</f>
        <v/>
      </c>
      <c r="L26" s="5">
        <f>'Marine DCF'!L25</f>
        <v/>
      </c>
      <c r="M26" s="5">
        <f>'Marine DCF'!M25</f>
        <v/>
      </c>
      <c r="N26" s="5">
        <f>'Marine DCF'!N25</f>
        <v/>
      </c>
      <c r="O26" s="5">
        <f>'Marine DCF'!O25</f>
        <v/>
      </c>
      <c r="P26" s="5">
        <f>'Marine DCF'!P25</f>
        <v/>
      </c>
      <c r="Q26" s="5">
        <f>'Marine DCF'!Q25</f>
        <v/>
      </c>
      <c r="R26" s="5">
        <f>'Marine DCF'!R25</f>
        <v/>
      </c>
      <c r="S26" s="131">
        <f>'Marine DCF'!S26</f>
        <v/>
      </c>
    </row>
    <row r="28">
      <c r="E28" s="132">
        <f>'Marine DCF'!E27</f>
        <v/>
      </c>
    </row>
    <row r="29">
      <c r="E29" s="190">
        <f>'Marine DCF'!#REF!</f>
        <v/>
      </c>
    </row>
    <row r="30">
      <c r="E30" s="191">
        <f>'Marine DCF'!E28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28"/>
  <sheetViews>
    <sheetView showGridLines="0" workbookViewId="0">
      <selection activeCell="D21" sqref="D21"/>
    </sheetView>
  </sheetViews>
  <sheetFormatPr baseColWidth="8" defaultRowHeight="14.25"/>
  <cols>
    <col width="2.73046875" customWidth="1" min="1" max="3"/>
    <col width="13.73046875" customWidth="1" min="4" max="4"/>
    <col width="11.73046875" customWidth="1" min="5" max="17"/>
    <col width="13.73046875" customWidth="1" min="18" max="22"/>
  </cols>
  <sheetData>
    <row r="2">
      <c r="A2" t="inlineStr">
        <is>
          <t>x</t>
        </is>
      </c>
      <c r="B2" s="36" t="inlineStr">
        <is>
          <t>Marine Transport DCF</t>
        </is>
      </c>
      <c r="K2" s="4" t="n">
        <v>1</v>
      </c>
      <c r="L2" s="138">
        <f>K2+1</f>
        <v/>
      </c>
      <c r="M2" s="138">
        <f>L2+1</f>
        <v/>
      </c>
      <c r="N2" s="138">
        <f>M2+1</f>
        <v/>
      </c>
      <c r="O2" s="138">
        <f>N2+1</f>
        <v/>
      </c>
      <c r="P2" s="138">
        <f>O2+1</f>
        <v/>
      </c>
      <c r="Q2" s="138">
        <f>P2+1</f>
        <v/>
      </c>
      <c r="R2" s="138">
        <f>Q2+1</f>
        <v/>
      </c>
    </row>
    <row r="3">
      <c r="E3" s="37" t="n">
        <v>2018</v>
      </c>
      <c r="F3" s="37">
        <f>E3+1</f>
        <v/>
      </c>
      <c r="G3" s="37">
        <f>F3+1</f>
        <v/>
      </c>
      <c r="H3" s="37">
        <f>G3+1</f>
        <v/>
      </c>
      <c r="I3" s="37">
        <f>H3+1</f>
        <v/>
      </c>
      <c r="J3" s="37">
        <f>I3+1</f>
        <v/>
      </c>
      <c r="K3" s="37">
        <f>J3+1</f>
        <v/>
      </c>
      <c r="L3" s="37">
        <f>K3+1</f>
        <v/>
      </c>
      <c r="M3" s="37">
        <f>L3+1</f>
        <v/>
      </c>
      <c r="N3" s="37">
        <f>M3+1</f>
        <v/>
      </c>
      <c r="O3" s="37">
        <f>N3+1</f>
        <v/>
      </c>
      <c r="P3" s="37">
        <f>O3+1</f>
        <v/>
      </c>
      <c r="Q3" s="37">
        <f>P3+1</f>
        <v/>
      </c>
      <c r="R3" s="37" t="inlineStr">
        <is>
          <t>LT Normalized</t>
        </is>
      </c>
      <c r="S3" s="95" t="n"/>
    </row>
    <row r="4">
      <c r="B4" t="inlineStr">
        <is>
          <t>Ton Miles</t>
        </is>
      </c>
      <c r="E4" s="27">
        <f>'Model Shell'!J112</f>
        <v/>
      </c>
      <c r="F4" s="27">
        <f>'Model Shell'!K112</f>
        <v/>
      </c>
      <c r="G4" s="27">
        <f>'Model Shell'!L112</f>
        <v/>
      </c>
      <c r="H4" s="27">
        <f>'Model Shell'!M112</f>
        <v/>
      </c>
      <c r="I4" s="27">
        <f>'Model Shell'!N112</f>
        <v/>
      </c>
      <c r="J4" s="27">
        <f>'Model Shell'!O112</f>
        <v/>
      </c>
      <c r="K4" s="9">
        <f>J4*(1+K5)</f>
        <v/>
      </c>
      <c r="L4" s="9">
        <f>K4*(1+L5)</f>
        <v/>
      </c>
      <c r="M4" s="9">
        <f>L4*(1+M5)</f>
        <v/>
      </c>
      <c r="N4" s="9">
        <f>M4*(1+N5)</f>
        <v/>
      </c>
      <c r="O4" s="9">
        <f>N4*(1+O5)</f>
        <v/>
      </c>
      <c r="P4" s="9">
        <f>O4*(1+P5)</f>
        <v/>
      </c>
      <c r="Q4" s="9">
        <f>P4*(1+Q5)</f>
        <v/>
      </c>
      <c r="R4" s="9">
        <f>Q4</f>
        <v/>
      </c>
    </row>
    <row r="5">
      <c r="C5" s="3" t="inlineStr">
        <is>
          <t>% Growth</t>
        </is>
      </c>
      <c r="F5" s="170">
        <f>F4/E4-1</f>
        <v/>
      </c>
      <c r="G5" s="170">
        <f>G4/F4-1</f>
        <v/>
      </c>
      <c r="H5" s="170">
        <f>H4/G4-1</f>
        <v/>
      </c>
      <c r="I5" s="170">
        <f>I4/H4-1</f>
        <v/>
      </c>
      <c r="J5" s="170">
        <f>J4/I4-1</f>
        <v/>
      </c>
      <c r="K5" s="192" t="n">
        <v>0.02</v>
      </c>
      <c r="L5" s="192" t="n">
        <v>0.02</v>
      </c>
      <c r="M5" s="192" t="n">
        <v>0.02</v>
      </c>
      <c r="N5" s="192" t="n">
        <v>0.02</v>
      </c>
      <c r="O5" s="192" t="n">
        <v>0.02</v>
      </c>
      <c r="P5" s="192" t="n">
        <v>0.02</v>
      </c>
      <c r="Q5" s="192" t="n">
        <v>0.02</v>
      </c>
    </row>
    <row r="6">
      <c r="B6" t="inlineStr">
        <is>
          <t>Pricing</t>
        </is>
      </c>
      <c r="E6" s="193">
        <f>'Model Shell'!J113</f>
        <v/>
      </c>
      <c r="F6" s="193">
        <f>'Model Shell'!K113</f>
        <v/>
      </c>
      <c r="G6" s="193">
        <f>'Model Shell'!L113</f>
        <v/>
      </c>
      <c r="H6" s="193">
        <f>'Model Shell'!M113</f>
        <v/>
      </c>
      <c r="I6" s="193">
        <f>'Model Shell'!N113</f>
        <v/>
      </c>
      <c r="J6" s="193">
        <f>'Model Shell'!O113</f>
        <v/>
      </c>
      <c r="K6" s="9">
        <f>J6*(1+K7)</f>
        <v/>
      </c>
      <c r="L6" s="9">
        <f>K6*(1+L7)</f>
        <v/>
      </c>
      <c r="M6" s="9">
        <f>L6*(1+M7)</f>
        <v/>
      </c>
      <c r="N6" s="9">
        <f>M6*(1+N7)</f>
        <v/>
      </c>
      <c r="O6" s="9">
        <f>N6*(1+O7)</f>
        <v/>
      </c>
      <c r="P6" s="9">
        <f>O6*(1+P7)</f>
        <v/>
      </c>
      <c r="Q6" s="9">
        <f>P6*(1+Q7)</f>
        <v/>
      </c>
      <c r="R6" s="9">
        <f>Q6</f>
        <v/>
      </c>
    </row>
    <row r="7">
      <c r="B7" s="7" t="n"/>
      <c r="C7" s="75" t="inlineStr">
        <is>
          <t>% Growth</t>
        </is>
      </c>
      <c r="D7" s="7" t="n"/>
      <c r="E7" s="7" t="n"/>
      <c r="F7" s="189">
        <f>F6/E6-1</f>
        <v/>
      </c>
      <c r="G7" s="189">
        <f>G6/F6-1</f>
        <v/>
      </c>
      <c r="H7" s="189">
        <f>H6/G6-1</f>
        <v/>
      </c>
      <c r="I7" s="189">
        <f>I6/H6-1</f>
        <v/>
      </c>
      <c r="J7" s="189">
        <f>J6/I6-1</f>
        <v/>
      </c>
      <c r="K7" s="194" t="n">
        <v>0.07000000000000001</v>
      </c>
      <c r="L7" s="194" t="n">
        <v>0.07000000000000001</v>
      </c>
      <c r="M7" s="194" t="n">
        <v>0.05</v>
      </c>
      <c r="N7" s="194" t="n">
        <v>0.04</v>
      </c>
      <c r="O7" s="194" t="n">
        <v>0.03</v>
      </c>
      <c r="P7" s="194" t="n">
        <v>0</v>
      </c>
      <c r="Q7" s="194" t="n">
        <v>0</v>
      </c>
      <c r="R7" s="7" t="n"/>
    </row>
    <row r="8">
      <c r="B8" s="1" t="inlineStr">
        <is>
          <t>Inland Revenue</t>
        </is>
      </c>
      <c r="E8" s="13">
        <f>E6*E4/100</f>
        <v/>
      </c>
      <c r="F8" s="13">
        <f>F6*F4/100</f>
        <v/>
      </c>
      <c r="G8" s="13">
        <f>G6*G4/100</f>
        <v/>
      </c>
      <c r="H8" s="13">
        <f>H6*H4/100</f>
        <v/>
      </c>
      <c r="I8" s="13">
        <f>I6*I4/100</f>
        <v/>
      </c>
      <c r="J8" s="13">
        <f>J6*J4/100</f>
        <v/>
      </c>
      <c r="K8" s="13">
        <f>K6*K4/100</f>
        <v/>
      </c>
      <c r="L8" s="13">
        <f>L6*L4/100</f>
        <v/>
      </c>
      <c r="M8" s="13">
        <f>M6*M4/100</f>
        <v/>
      </c>
      <c r="N8" s="13">
        <f>N6*N4/100</f>
        <v/>
      </c>
      <c r="O8" s="13">
        <f>O6*O4/100</f>
        <v/>
      </c>
      <c r="P8" s="13">
        <f>P6*P4/100</f>
        <v/>
      </c>
      <c r="Q8" s="13">
        <f>Q6*Q4/100</f>
        <v/>
      </c>
      <c r="R8" s="13">
        <f>R6*R4/100</f>
        <v/>
      </c>
    </row>
    <row r="9">
      <c r="F9" s="170">
        <f>F8/E8-1</f>
        <v/>
      </c>
      <c r="G9" s="170">
        <f>G8/F8-1</f>
        <v/>
      </c>
      <c r="H9" s="170">
        <f>H8/G8-1</f>
        <v/>
      </c>
      <c r="I9" s="170">
        <f>I8/H8-1</f>
        <v/>
      </c>
      <c r="J9" s="170">
        <f>J8/I8-1</f>
        <v/>
      </c>
      <c r="K9" s="170">
        <f>K8/J8-1</f>
        <v/>
      </c>
      <c r="L9" s="170">
        <f>L8/K8-1</f>
        <v/>
      </c>
      <c r="M9" s="170">
        <f>M8/L8-1</f>
        <v/>
      </c>
      <c r="N9" s="170">
        <f>N8/M8-1</f>
        <v/>
      </c>
      <c r="O9" s="170">
        <f>O8/N8-1</f>
        <v/>
      </c>
      <c r="P9" s="170">
        <f>P8/O8-1</f>
        <v/>
      </c>
      <c r="Q9" s="170">
        <f>Q8/P8-1</f>
        <v/>
      </c>
      <c r="R9" s="170">
        <f>R8/Q8-1</f>
        <v/>
      </c>
    </row>
    <row r="10">
      <c r="B10" s="1" t="inlineStr">
        <is>
          <t>(+) Coastal Revenue</t>
        </is>
      </c>
      <c r="C10" s="1" t="n"/>
      <c r="D10" s="1" t="n"/>
      <c r="E10" s="70">
        <f>'Model Shell'!J115</f>
        <v/>
      </c>
      <c r="F10" s="70">
        <f>'Model Shell'!K115</f>
        <v/>
      </c>
      <c r="G10" s="70">
        <f>'Model Shell'!L115</f>
        <v/>
      </c>
      <c r="H10" s="70">
        <f>'Model Shell'!M115</f>
        <v/>
      </c>
      <c r="I10" s="70">
        <f>'Model Shell'!N115</f>
        <v/>
      </c>
      <c r="J10" s="70">
        <f>'Model Shell'!O115</f>
        <v/>
      </c>
      <c r="K10" s="13">
        <f>J10*(1+K11)</f>
        <v/>
      </c>
      <c r="L10" s="13">
        <f>K10*(1+L11)</f>
        <v/>
      </c>
      <c r="M10" s="13">
        <f>L10*(1+M11)</f>
        <v/>
      </c>
      <c r="N10" s="13">
        <f>M10*(1+N11)</f>
        <v/>
      </c>
      <c r="O10" s="13">
        <f>N10*(1+O11)</f>
        <v/>
      </c>
      <c r="P10" s="13">
        <f>O10*(1+P11)</f>
        <v/>
      </c>
      <c r="Q10" s="13">
        <f>P10*(1+Q11)</f>
        <v/>
      </c>
      <c r="R10" s="17">
        <f>350</f>
        <v/>
      </c>
    </row>
    <row r="11">
      <c r="C11" s="75" t="inlineStr">
        <is>
          <t>% Growth</t>
        </is>
      </c>
      <c r="D11" s="7" t="n"/>
      <c r="E11" s="7" t="n"/>
      <c r="F11" s="189">
        <f>F10/E10-1</f>
        <v/>
      </c>
      <c r="G11" s="189">
        <f>G10/F10-1</f>
        <v/>
      </c>
      <c r="H11" s="189">
        <f>H10/G10-1</f>
        <v/>
      </c>
      <c r="I11" s="189">
        <f>I10/H10-1</f>
        <v/>
      </c>
      <c r="J11" s="189">
        <f>J10/I10-1</f>
        <v/>
      </c>
      <c r="K11" s="194" t="n">
        <v>0.04</v>
      </c>
      <c r="L11" s="194" t="n">
        <v>0</v>
      </c>
      <c r="M11" s="194" t="n">
        <v>0</v>
      </c>
      <c r="N11" s="194" t="n">
        <v>0</v>
      </c>
      <c r="O11" s="194" t="n">
        <v>0</v>
      </c>
      <c r="P11" s="194" t="n">
        <v>0</v>
      </c>
      <c r="Q11" s="194" t="n">
        <v>0</v>
      </c>
      <c r="R11" s="189">
        <f>R10/Q10-1</f>
        <v/>
      </c>
    </row>
    <row r="12">
      <c r="B12" s="1" t="inlineStr">
        <is>
          <t>Total Revenue</t>
        </is>
      </c>
      <c r="E12" s="13">
        <f>E10+E8</f>
        <v/>
      </c>
      <c r="F12" s="13">
        <f>F10+F8</f>
        <v/>
      </c>
      <c r="G12" s="13">
        <f>G10+G8</f>
        <v/>
      </c>
      <c r="H12" s="13">
        <f>H10+H8</f>
        <v/>
      </c>
      <c r="I12" s="13">
        <f>I10+I8</f>
        <v/>
      </c>
      <c r="J12" s="13">
        <f>J10+J8</f>
        <v/>
      </c>
      <c r="K12" s="13">
        <f>K10+K8</f>
        <v/>
      </c>
      <c r="L12" s="13">
        <f>L10+L8</f>
        <v/>
      </c>
      <c r="M12" s="13">
        <f>M10+M8</f>
        <v/>
      </c>
      <c r="N12" s="13">
        <f>N10+N8</f>
        <v/>
      </c>
      <c r="O12" s="13">
        <f>O10+O8</f>
        <v/>
      </c>
      <c r="P12" s="13">
        <f>P10+P8</f>
        <v/>
      </c>
      <c r="Q12" s="13">
        <f>Q10+Q8</f>
        <v/>
      </c>
      <c r="R12" s="13">
        <f>R10+R8</f>
        <v/>
      </c>
    </row>
    <row r="14">
      <c r="B14" s="1" t="inlineStr">
        <is>
          <t>EBIT</t>
        </is>
      </c>
      <c r="E14" s="13">
        <f>E12*E15</f>
        <v/>
      </c>
      <c r="F14" s="13">
        <f>F12*F15</f>
        <v/>
      </c>
      <c r="G14" s="13">
        <f>G12*G15</f>
        <v/>
      </c>
      <c r="H14" s="13">
        <f>H12*H15</f>
        <v/>
      </c>
      <c r="I14" s="13">
        <f>I12*I15</f>
        <v/>
      </c>
      <c r="J14" s="13">
        <f>J12*J15</f>
        <v/>
      </c>
      <c r="K14" s="13">
        <f>K12*K15</f>
        <v/>
      </c>
      <c r="L14" s="13">
        <f>L12*L15</f>
        <v/>
      </c>
      <c r="M14" s="13">
        <f>M12*M15</f>
        <v/>
      </c>
      <c r="N14" s="13">
        <f>N12*N15</f>
        <v/>
      </c>
      <c r="O14" s="13">
        <f>O12*O15</f>
        <v/>
      </c>
      <c r="P14" s="13">
        <f>P12*P15</f>
        <v/>
      </c>
      <c r="Q14" s="13">
        <f>Q12*Q15</f>
        <v/>
      </c>
      <c r="R14" s="13">
        <f>R12*R15</f>
        <v/>
      </c>
    </row>
    <row r="15">
      <c r="C15" s="3" t="inlineStr">
        <is>
          <t>EBIT Margin %</t>
        </is>
      </c>
      <c r="E15" s="195">
        <f>'Model Shell'!J96/'Model Shell'!J91</f>
        <v/>
      </c>
      <c r="F15" s="195">
        <f>'Model Shell'!K96/'Model Shell'!K91</f>
        <v/>
      </c>
      <c r="G15" s="195">
        <f>'Model Shell'!L96/'Model Shell'!L91</f>
        <v/>
      </c>
      <c r="H15" s="195">
        <f>'Model Shell'!M96/'Model Shell'!M91</f>
        <v/>
      </c>
      <c r="I15" s="195">
        <f>'Model Shell'!N96/'Model Shell'!N91</f>
        <v/>
      </c>
      <c r="J15" s="195">
        <f>'Model Shell'!O96/'Model Shell'!O91</f>
        <v/>
      </c>
      <c r="K15" s="192" t="n">
        <v>0.17</v>
      </c>
      <c r="L15" s="192" t="n">
        <v>0.18</v>
      </c>
      <c r="M15" s="192" t="n">
        <v>0.19</v>
      </c>
      <c r="N15" s="192" t="n">
        <v>0.2</v>
      </c>
      <c r="O15" s="192" t="n">
        <v>0.2</v>
      </c>
      <c r="P15" s="192" t="n">
        <v>0.2</v>
      </c>
      <c r="Q15" s="192" t="n">
        <v>0.2</v>
      </c>
      <c r="R15" s="192" t="n">
        <v>0.13</v>
      </c>
    </row>
    <row r="16">
      <c r="B16" t="inlineStr">
        <is>
          <t>(+) D&amp;A</t>
        </is>
      </c>
      <c r="E16" s="27">
        <f>'Model Shell'!J97</f>
        <v/>
      </c>
      <c r="F16" s="27">
        <f>'Model Shell'!K97</f>
        <v/>
      </c>
      <c r="G16" s="27">
        <f>'Model Shell'!L97</f>
        <v/>
      </c>
      <c r="H16" s="27">
        <f>'Model Shell'!M97</f>
        <v/>
      </c>
      <c r="I16" s="27">
        <f>'Model Shell'!N97</f>
        <v/>
      </c>
      <c r="J16" s="27">
        <f>'Model Shell'!O97</f>
        <v/>
      </c>
      <c r="K16" s="9">
        <f>J16+K17</f>
        <v/>
      </c>
      <c r="L16" s="9">
        <f>K16+L17</f>
        <v/>
      </c>
      <c r="M16" s="9">
        <f>L16+M17</f>
        <v/>
      </c>
      <c r="N16" s="9">
        <f>M16+N17</f>
        <v/>
      </c>
      <c r="O16" s="9">
        <f>N16+O17</f>
        <v/>
      </c>
      <c r="P16" s="9">
        <f>O16+P17</f>
        <v/>
      </c>
      <c r="Q16" s="9">
        <f>P16+Q17</f>
        <v/>
      </c>
      <c r="R16" s="9">
        <f>Q16</f>
        <v/>
      </c>
      <c r="S16" s="95" t="n"/>
    </row>
    <row r="17" ht="14.65" customHeight="1" thickBot="1">
      <c r="B17" s="7" t="n"/>
      <c r="C17" s="75" t="inlineStr">
        <is>
          <t>Step-up $mm</t>
        </is>
      </c>
      <c r="D17" s="7" t="n"/>
      <c r="E17" s="7" t="n"/>
      <c r="F17" s="139">
        <f>F16-E16</f>
        <v/>
      </c>
      <c r="G17" s="139">
        <f>G16-F16</f>
        <v/>
      </c>
      <c r="H17" s="139">
        <f>H16-G16</f>
        <v/>
      </c>
      <c r="I17" s="139">
        <f>I16-H16</f>
        <v/>
      </c>
      <c r="J17" s="139">
        <f>J16-I16</f>
        <v/>
      </c>
      <c r="K17" s="140" t="n">
        <v>10</v>
      </c>
      <c r="L17" s="140" t="n">
        <v>10</v>
      </c>
      <c r="M17" s="140" t="n">
        <v>10</v>
      </c>
      <c r="N17" s="140" t="n">
        <v>10</v>
      </c>
      <c r="O17" s="140" t="n">
        <v>10</v>
      </c>
      <c r="P17" s="140" t="n">
        <v>10</v>
      </c>
      <c r="Q17" s="140" t="n">
        <v>10</v>
      </c>
      <c r="R17" s="129" t="n"/>
    </row>
    <row r="18">
      <c r="B18" s="1" t="inlineStr">
        <is>
          <t>EBITDA</t>
        </is>
      </c>
      <c r="E18" s="13">
        <f>E16+E14</f>
        <v/>
      </c>
      <c r="F18" s="13">
        <f>F16+F14</f>
        <v/>
      </c>
      <c r="G18" s="13">
        <f>G16+G14</f>
        <v/>
      </c>
      <c r="H18" s="13">
        <f>H16+H14</f>
        <v/>
      </c>
      <c r="I18" s="13">
        <f>I16+I14</f>
        <v/>
      </c>
      <c r="J18" s="13">
        <f>J16+J14</f>
        <v/>
      </c>
      <c r="K18" s="13">
        <f>K16+K14</f>
        <v/>
      </c>
      <c r="L18" s="13">
        <f>L16+L14</f>
        <v/>
      </c>
      <c r="M18" s="13">
        <f>M16+M14</f>
        <v/>
      </c>
      <c r="N18" s="13">
        <f>N16+N14</f>
        <v/>
      </c>
      <c r="O18" s="13">
        <f>O16+O14</f>
        <v/>
      </c>
      <c r="P18" s="13">
        <f>P16+P14</f>
        <v/>
      </c>
      <c r="Q18" s="13">
        <f>Q16+Q14</f>
        <v/>
      </c>
      <c r="R18" s="13">
        <f>R16+R14</f>
        <v/>
      </c>
      <c r="S18" s="130" t="inlineStr">
        <is>
          <t>Tax on EBITDA</t>
        </is>
      </c>
    </row>
    <row r="19" ht="14.65" customHeight="1" thickBot="1">
      <c r="B19" t="inlineStr">
        <is>
          <t>(-) Tax</t>
        </is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9">
        <f>N18*(-$S$19)</f>
        <v/>
      </c>
      <c r="O19" s="9">
        <f>O18*(-$S$19)</f>
        <v/>
      </c>
      <c r="P19" s="9">
        <f>P18*(-$S$19)</f>
        <v/>
      </c>
      <c r="Q19" s="9">
        <f>Q18*(-$S$19)</f>
        <v/>
      </c>
      <c r="R19" s="9">
        <f>R18*(-$S$19)</f>
        <v/>
      </c>
      <c r="S19" s="141" t="n">
        <v>0.1</v>
      </c>
    </row>
    <row r="20">
      <c r="B20" s="7" t="inlineStr">
        <is>
          <t>(-) mCAPEX</t>
        </is>
      </c>
      <c r="C20" s="7" t="n"/>
      <c r="D20" s="7" t="n"/>
      <c r="E20" s="12" t="n">
        <v>-150</v>
      </c>
      <c r="F20" s="12" t="n">
        <v>-150</v>
      </c>
      <c r="G20" s="12" t="n">
        <v>-150</v>
      </c>
      <c r="H20" s="12" t="n">
        <v>-150</v>
      </c>
      <c r="I20" s="12" t="n">
        <v>-150</v>
      </c>
      <c r="J20" s="12" t="n">
        <v>-240</v>
      </c>
      <c r="K20" s="12" t="n">
        <v>-240</v>
      </c>
      <c r="L20" s="12" t="n">
        <v>-240</v>
      </c>
      <c r="M20" s="12" t="n">
        <v>-200</v>
      </c>
      <c r="N20" s="12" t="n">
        <v>-200</v>
      </c>
      <c r="O20" s="12" t="n">
        <v>-200</v>
      </c>
      <c r="P20" s="12" t="n">
        <v>-200</v>
      </c>
      <c r="Q20" s="12" t="n">
        <v>-200</v>
      </c>
      <c r="R20" s="12" t="n">
        <v>-150</v>
      </c>
    </row>
    <row r="21">
      <c r="B21" s="1" t="inlineStr">
        <is>
          <t>FCFF</t>
        </is>
      </c>
      <c r="E21" s="13">
        <f>SUM(E18:E20)</f>
        <v/>
      </c>
      <c r="F21" s="13">
        <f>SUM(F18:F20)</f>
        <v/>
      </c>
      <c r="G21" s="13">
        <f>SUM(G18:G20)</f>
        <v/>
      </c>
      <c r="H21" s="13">
        <f>SUM(H18:H20)</f>
        <v/>
      </c>
      <c r="I21" s="13">
        <f>SUM(I18:I20)</f>
        <v/>
      </c>
      <c r="J21" s="13">
        <f>SUM(J18:J20)</f>
        <v/>
      </c>
      <c r="K21" s="13">
        <f>SUM(K18:K20)</f>
        <v/>
      </c>
      <c r="L21" s="13">
        <f>SUM(L18:L20)</f>
        <v/>
      </c>
      <c r="M21" s="13">
        <f>SUM(M18:M20)</f>
        <v/>
      </c>
      <c r="N21" s="13">
        <f>SUM(N18:N20)</f>
        <v/>
      </c>
      <c r="O21" s="13">
        <f>SUM(O18:O20)</f>
        <v/>
      </c>
      <c r="P21" s="13">
        <f>SUM(P18:P20)</f>
        <v/>
      </c>
      <c r="Q21" s="13">
        <f>SUM(Q18:Q20)</f>
        <v/>
      </c>
      <c r="R21" s="13">
        <f>SUM(R18:R20)</f>
        <v/>
      </c>
    </row>
    <row r="22" ht="14.65" customHeight="1" thickBot="1">
      <c r="C22" s="3" t="inlineStr">
        <is>
          <t>Conversion %</t>
        </is>
      </c>
      <c r="E22" s="170">
        <f>E21/E18</f>
        <v/>
      </c>
      <c r="F22" s="170">
        <f>F21/F18</f>
        <v/>
      </c>
      <c r="G22" s="170">
        <f>G21/G18</f>
        <v/>
      </c>
      <c r="H22" s="170">
        <f>H21/H18</f>
        <v/>
      </c>
      <c r="I22" s="170">
        <f>I21/I18</f>
        <v/>
      </c>
      <c r="J22" s="170">
        <f>J21/J18</f>
        <v/>
      </c>
      <c r="K22" s="170">
        <f>K21/K18</f>
        <v/>
      </c>
      <c r="L22" s="170">
        <f>L21/L18</f>
        <v/>
      </c>
      <c r="M22" s="170">
        <f>M21/M18</f>
        <v/>
      </c>
      <c r="N22" s="170">
        <f>N21/N18</f>
        <v/>
      </c>
      <c r="O22" s="170">
        <f>O21/O18</f>
        <v/>
      </c>
      <c r="P22" s="170">
        <f>P21/P18</f>
        <v/>
      </c>
      <c r="Q22" s="170">
        <f>Q21/Q18</f>
        <v/>
      </c>
      <c r="R22" s="170">
        <f>R21/R18</f>
        <v/>
      </c>
    </row>
    <row r="23">
      <c r="S23" s="130" t="inlineStr">
        <is>
          <t>Disc Rate</t>
        </is>
      </c>
    </row>
    <row r="24">
      <c r="B24" s="3" t="inlineStr">
        <is>
          <t>PV Factor</t>
        </is>
      </c>
      <c r="K24" s="170">
        <f>1/(1+$S$24)^K2</f>
        <v/>
      </c>
      <c r="L24" s="170">
        <f>1/(1+$S$24)^L2</f>
        <v/>
      </c>
      <c r="M24" s="170">
        <f>1/(1+$S$24)^M2</f>
        <v/>
      </c>
      <c r="N24" s="170">
        <f>1/(1+$S$24)^N2</f>
        <v/>
      </c>
      <c r="O24" s="170">
        <f>1/(1+$S$24)^O2</f>
        <v/>
      </c>
      <c r="P24" s="170">
        <f>1/(1+$S$24)^P2</f>
        <v/>
      </c>
      <c r="Q24" s="170">
        <f>1/(1+$S$24)^Q2</f>
        <v/>
      </c>
      <c r="R24" s="170">
        <f>1/(1+$S$24)^R2</f>
        <v/>
      </c>
      <c r="S24" s="142" t="n">
        <v>0.08</v>
      </c>
    </row>
    <row r="25">
      <c r="B25" s="1" t="inlineStr">
        <is>
          <t>PV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3">
        <f>K21*K24</f>
        <v/>
      </c>
      <c r="L25" s="13">
        <f>L21*L24</f>
        <v/>
      </c>
      <c r="M25" s="13">
        <f>M21*M24</f>
        <v/>
      </c>
      <c r="N25" s="13">
        <f>N21*N24</f>
        <v/>
      </c>
      <c r="O25" s="13">
        <f>O21*O24</f>
        <v/>
      </c>
      <c r="P25" s="13">
        <f>P21*P24</f>
        <v/>
      </c>
      <c r="Q25" s="13">
        <f>Q21*Q24</f>
        <v/>
      </c>
      <c r="R25" s="13">
        <f>(R21/(S24-S26))*Q24</f>
        <v/>
      </c>
      <c r="S25" s="136" t="inlineStr">
        <is>
          <t>Terminal G</t>
        </is>
      </c>
    </row>
    <row r="26" ht="14.65" customHeight="1" thickBot="1">
      <c r="S26" s="141" t="n">
        <v>0.02</v>
      </c>
    </row>
    <row r="27">
      <c r="A27" t="inlineStr">
        <is>
          <t>x</t>
        </is>
      </c>
      <c r="B27" s="146" t="inlineStr">
        <is>
          <t>TEV</t>
        </is>
      </c>
      <c r="C27" s="28" t="n"/>
      <c r="D27" s="28" t="n"/>
      <c r="E27" s="147">
        <f>SUM(K25:R25)</f>
        <v/>
      </c>
    </row>
    <row r="28">
      <c r="B28" s="29" t="n"/>
      <c r="C28" s="75" t="inlineStr">
        <is>
          <t>Impl FCF Yield</t>
        </is>
      </c>
      <c r="D28" s="7" t="n"/>
      <c r="E28" s="196">
        <f>K21/E27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CDIT</dc:creator>
  <dcterms:created xmlns:dcterms="http://purl.org/dc/terms/" xmlns:xsi="http://www.w3.org/2001/XMLSchema-instance" xsi:type="dcterms:W3CDTF">2023-08-01T17:48:52Z</dcterms:created>
  <dcterms:modified xmlns:dcterms="http://purl.org/dc/terms/" xmlns:xsi="http://www.w3.org/2001/XMLSchema-instance" xsi:type="dcterms:W3CDTF">2026-01-05T12:30:28Z</dcterms:modified>
  <cp:lastModifiedBy>Danial Azmi</cp:lastModifiedBy>
  <cp:lastPrinted>2024-01-19T10:49:36Z</cp:lastPrinted>
</cp:coreProperties>
</file>