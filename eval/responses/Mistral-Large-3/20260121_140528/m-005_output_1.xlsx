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2875" windowHeight="1443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calcMode="autoNoTable" fullCalcOnLoad="1" iterate="1"/>
</workbook>
</file>

<file path=xl/styles.xml><?xml version="1.0" encoding="utf-8"?>
<styleSheet xmlns="http://schemas.openxmlformats.org/spreadsheetml/2006/main">
  <numFmts count="3">
    <numFmt numFmtId="164" formatCode="_(* #,##0.0_);_(* \(#,##0.0\);_(* &quot;-&quot;_);_(@_)"/>
    <numFmt numFmtId="165" formatCode="_(* #,##0.0_);_(* \(#,##0.0\);_(* &quot;-&quot;??_);_(@_)"/>
    <numFmt numFmtId="166" formatCode="_([$€-2]* #,##0.00_);_([$€-2]* \(#,##0.00\);_([$€-2]* &quot;-&quot;??_)"/>
  </numFmts>
  <fonts count="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rial"/>
      <family val="2"/>
      <sz val="10"/>
    </font>
    <font>
      <name val="Aptos Narrow"/>
      <family val="2"/>
      <color rgb="FF0D5EFF"/>
      <sz val="11"/>
      <scheme val="minor"/>
    </font>
    <font>
      <name val="Aptos Narrow"/>
      <family val="2"/>
      <b val="1"/>
      <color rgb="FF0D5EFF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sz val="11"/>
      <scheme val="minor"/>
    </font>
    <font>
      <color rgb="000000FF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41" fontId="1" fillId="0" borderId="0"/>
    <xf numFmtId="9" fontId="1" fillId="0" borderId="0"/>
    <xf numFmtId="166" fontId="3" fillId="0" borderId="0"/>
    <xf numFmtId="43" fontId="1" fillId="0" borderId="0"/>
  </cellStyleXfs>
  <cellXfs count="20">
    <xf numFmtId="0" fontId="0" fillId="0" borderId="0" pivotButton="0" quotePrefix="0" xfId="0"/>
    <xf numFmtId="41" fontId="0" fillId="0" borderId="0" pivotButton="0" quotePrefix="0" xfId="1"/>
    <xf numFmtId="41" fontId="2" fillId="0" borderId="0" pivotButton="0" quotePrefix="0" xfId="1"/>
    <xf numFmtId="41" fontId="4" fillId="0" borderId="0" pivotButton="0" quotePrefix="0" xfId="1"/>
    <xf numFmtId="0" fontId="2" fillId="0" borderId="0" pivotButton="0" quotePrefix="0" xfId="0"/>
    <xf numFmtId="0" fontId="5" fillId="0" borderId="0" pivotButton="0" quotePrefix="0" xfId="0"/>
    <xf numFmtId="41" fontId="5" fillId="0" borderId="0" pivotButton="0" quotePrefix="0" xfId="1"/>
    <xf numFmtId="41" fontId="2" fillId="0" borderId="1" pivotButton="0" quotePrefix="0" xfId="1"/>
    <xf numFmtId="41" fontId="2" fillId="0" borderId="0" pivotButton="0" quotePrefix="0" xfId="1"/>
    <xf numFmtId="164" fontId="0" fillId="0" borderId="0" pivotButton="0" quotePrefix="0" xfId="1"/>
    <xf numFmtId="41" fontId="0" fillId="2" borderId="2" pivotButton="0" quotePrefix="0" xfId="1"/>
    <xf numFmtId="41" fontId="6" fillId="0" borderId="0" pivotButton="0" quotePrefix="0" xfId="1"/>
    <xf numFmtId="9" fontId="0" fillId="0" borderId="3" pivotButton="0" quotePrefix="0" xfId="2"/>
    <xf numFmtId="165" fontId="0" fillId="0" borderId="3" pivotButton="0" quotePrefix="0" xfId="4"/>
    <xf numFmtId="41" fontId="1" fillId="0" borderId="0" pivotButton="0" quotePrefix="0" xfId="1"/>
    <xf numFmtId="41" fontId="7" fillId="0" borderId="0" pivotButton="0" quotePrefix="0" xfId="1"/>
    <xf numFmtId="41" fontId="7" fillId="0" borderId="1" pivotButton="0" quotePrefix="0" xfId="1"/>
    <xf numFmtId="164" fontId="0" fillId="0" borderId="0" pivotButton="0" quotePrefix="0" xfId="1"/>
    <xf numFmtId="165" fontId="0" fillId="0" borderId="3" pivotButton="0" quotePrefix="0" xfId="4"/>
    <xf numFmtId="41" fontId="8" fillId="0" borderId="0" pivotButton="0" quotePrefix="0" xfId="1"/>
  </cellXfs>
  <cellStyles count="5">
    <cellStyle name="Normal" xfId="0" builtinId="0"/>
    <cellStyle name="Comma [0]" xfId="1" builtinId="6"/>
    <cellStyle name="Percent" xfId="2" builtinId="5"/>
    <cellStyle name="Normal 17" xfId="3"/>
    <cellStyle name="Comma" xfId="4" builtin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S35"/>
  <sheetViews>
    <sheetView showGridLines="0" tabSelected="1" workbookViewId="0">
      <selection activeCell="A9" sqref="A9"/>
    </sheetView>
  </sheetViews>
  <sheetFormatPr baseColWidth="8" defaultColWidth="10.59765625" defaultRowHeight="14.25"/>
  <cols>
    <col width="10.59765625" customWidth="1" style="1" min="1" max="1"/>
    <col width="35.59765625" customWidth="1" style="1" min="2" max="2"/>
    <col width="10.59765625" customWidth="1" style="1" min="3" max="16384"/>
  </cols>
  <sheetData>
    <row r="2">
      <c r="B2" s="1" t="inlineStr">
        <is>
          <t>Fill in the inputs for each segment of cost of goods every quarter and calculate the total sum and the yearly sum</t>
        </is>
      </c>
    </row>
    <row r="3">
      <c r="B3" s="1" t="inlineStr">
        <is>
          <t>Calculate the Q4 seasonal index, defined as the Q4 value divided by (yearly value divided by 4)</t>
        </is>
      </c>
    </row>
    <row r="4">
      <c r="B4" s="1" t="inlineStr">
        <is>
          <t>Use the seasonal index to estimate 2025 4Q  costs</t>
        </is>
      </c>
      <c r="Q4" s="4" t="n"/>
    </row>
    <row r="5">
      <c r="B5" s="1" t="inlineStr">
        <is>
          <t>Find quarterly auto credit revenue to adjust out of gross profit</t>
        </is>
      </c>
    </row>
    <row r="6" customFormat="1" s="8">
      <c r="B6" s="14" t="inlineStr">
        <is>
          <t>Calculate gross profit ex auto credit revenue as well as the margin for 4Q25 assume 450 as the auto credit revenue</t>
        </is>
      </c>
    </row>
    <row r="8">
      <c r="Q8" s="17" t="n"/>
    </row>
    <row r="9">
      <c r="O9" s="1" t="inlineStr">
        <is>
          <t>Circ</t>
        </is>
      </c>
      <c r="P9" s="10" t="n">
        <v>1</v>
      </c>
    </row>
    <row r="11">
      <c r="C11" s="6" t="inlineStr">
        <is>
          <t>1Q</t>
        </is>
      </c>
      <c r="D11" s="6" t="inlineStr">
        <is>
          <t>2Q</t>
        </is>
      </c>
      <c r="E11" s="6" t="inlineStr">
        <is>
          <t>3Q</t>
        </is>
      </c>
      <c r="F11" s="6" t="inlineStr">
        <is>
          <t>4Q</t>
        </is>
      </c>
      <c r="G11" s="5" t="n">
        <v>2023</v>
      </c>
      <c r="H11" s="6" t="inlineStr">
        <is>
          <t>1Q</t>
        </is>
      </c>
      <c r="I11" s="6" t="inlineStr">
        <is>
          <t>2Q</t>
        </is>
      </c>
      <c r="J11" s="6" t="inlineStr">
        <is>
          <t>3Q</t>
        </is>
      </c>
      <c r="K11" s="6" t="inlineStr">
        <is>
          <t>4Q</t>
        </is>
      </c>
      <c r="L11" s="5" t="n">
        <v>2024</v>
      </c>
      <c r="M11" s="6" t="inlineStr">
        <is>
          <t>1Q</t>
        </is>
      </c>
      <c r="N11" s="6" t="inlineStr">
        <is>
          <t>2Q</t>
        </is>
      </c>
      <c r="O11" s="6" t="inlineStr">
        <is>
          <t>3Q</t>
        </is>
      </c>
      <c r="P11" s="6" t="inlineStr">
        <is>
          <t>4QE</t>
        </is>
      </c>
    </row>
    <row r="12">
      <c r="G12" s="4" t="n"/>
    </row>
    <row r="13">
      <c r="B13" s="8" t="inlineStr">
        <is>
          <t>Revenue</t>
        </is>
      </c>
      <c r="C13" s="6" t="n">
        <v>23329</v>
      </c>
      <c r="D13" s="6" t="n">
        <v>24927</v>
      </c>
      <c r="E13" s="6" t="n">
        <v>23350</v>
      </c>
      <c r="F13" s="6" t="n">
        <v>25167</v>
      </c>
      <c r="G13" s="8">
        <f>+SUM(C13:F13)</f>
        <v/>
      </c>
      <c r="H13" s="6" t="n">
        <v>21301</v>
      </c>
      <c r="I13" s="6" t="n">
        <v>25500</v>
      </c>
      <c r="J13" s="6" t="n">
        <v>25182</v>
      </c>
      <c r="K13" s="6" t="n">
        <v>25707</v>
      </c>
      <c r="L13" s="8">
        <f>+SUM(H13:K13)</f>
        <v/>
      </c>
      <c r="M13" s="6" t="n">
        <v>19335</v>
      </c>
      <c r="N13" s="6" t="n">
        <v>22496</v>
      </c>
      <c r="O13" s="6" t="n">
        <v>28095</v>
      </c>
      <c r="P13" s="8">
        <f>+IF($P$9,P15*AVERAGE(M13:P13),P15*AVERAGE(M13:O13))</f>
        <v/>
      </c>
    </row>
    <row r="14"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>
      <c r="B15" s="12" t="inlineStr">
        <is>
          <t>Q4 seasonal index</t>
        </is>
      </c>
      <c r="C15" s="18" t="n"/>
      <c r="D15" s="18" t="n"/>
      <c r="E15" s="18" t="n"/>
      <c r="F15" s="18">
        <f>+F13/(G13/4)</f>
        <v/>
      </c>
      <c r="G15" s="18" t="n"/>
      <c r="H15" s="18" t="n"/>
      <c r="I15" s="18" t="n"/>
      <c r="J15" s="18" t="n"/>
      <c r="K15" s="18">
        <f>+K13/(L13/4)</f>
        <v/>
      </c>
      <c r="L15" s="18" t="n"/>
      <c r="M15" s="18" t="n"/>
      <c r="N15" s="18" t="n"/>
      <c r="O15" s="18" t="n"/>
      <c r="P15" s="18">
        <f>+AVERAGE(K15,F15)</f>
        <v/>
      </c>
    </row>
    <row r="16"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</row>
    <row r="17"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</row>
    <row r="18">
      <c r="B18" s="1" t="inlineStr">
        <is>
          <t>Automotive</t>
        </is>
      </c>
      <c r="C18" s="19" t="n">
        <v>15452</v>
      </c>
      <c r="D18" s="19" t="n">
        <v>16734</v>
      </c>
      <c r="E18" s="19" t="n">
        <v>17527</v>
      </c>
      <c r="F18" s="19" t="n">
        <v>17126</v>
      </c>
      <c r="G18" s="15" t="n"/>
      <c r="H18" s="19" t="n">
        <v>13682</v>
      </c>
      <c r="I18" s="19" t="n">
        <v>15292</v>
      </c>
      <c r="J18" s="19" t="n">
        <v>15019</v>
      </c>
      <c r="K18" s="19" t="n">
        <v>16619</v>
      </c>
      <c r="L18" s="19" t="n">
        <v>14500</v>
      </c>
      <c r="M18" s="19" t="n">
        <v>15000</v>
      </c>
      <c r="N18" s="19" t="n">
        <v>15500</v>
      </c>
      <c r="O18" s="15" t="n"/>
      <c r="P18" s="19" t="n">
        <v>15912.42843693321</v>
      </c>
      <c r="Q18" s="15" t="n"/>
      <c r="R18" s="15" t="n"/>
      <c r="S18" s="15" t="n"/>
    </row>
    <row r="19">
      <c r="B19" s="1" t="inlineStr">
        <is>
          <t>Automotive ex. leasing</t>
        </is>
      </c>
      <c r="C19" s="19" t="n">
        <v>14800</v>
      </c>
      <c r="D19" s="19" t="n">
        <v>16000</v>
      </c>
      <c r="E19" s="19" t="n">
        <v>16750</v>
      </c>
      <c r="F19" s="19" t="n">
        <v>16350</v>
      </c>
      <c r="G19" s="15" t="n"/>
      <c r="H19" s="19" t="n">
        <v>13000</v>
      </c>
      <c r="I19" s="19" t="n">
        <v>14500</v>
      </c>
      <c r="J19" s="19" t="n">
        <v>14250</v>
      </c>
      <c r="K19" s="19" t="n">
        <v>15800</v>
      </c>
      <c r="L19" s="19" t="n">
        <v>13800</v>
      </c>
      <c r="M19" s="19" t="n">
        <v>14300</v>
      </c>
      <c r="N19" s="19" t="n">
        <v>14800</v>
      </c>
      <c r="O19" s="15" t="n"/>
      <c r="P19" s="19" t="n">
        <v>15169.79519748086</v>
      </c>
      <c r="Q19" s="15" t="n"/>
      <c r="R19" s="15" t="n"/>
      <c r="S19" s="15" t="n"/>
    </row>
    <row r="20">
      <c r="B20" s="1" t="inlineStr">
        <is>
          <t>Energy generation and storage</t>
        </is>
      </c>
      <c r="C20" s="19" t="n">
        <v>1100</v>
      </c>
      <c r="D20" s="19" t="n">
        <v>1150</v>
      </c>
      <c r="E20" s="19" t="n">
        <v>1200</v>
      </c>
      <c r="F20" s="19" t="n">
        <v>1100</v>
      </c>
      <c r="G20" s="15" t="n"/>
      <c r="H20" s="19" t="n">
        <v>1200</v>
      </c>
      <c r="I20" s="19" t="n">
        <v>2200</v>
      </c>
      <c r="J20" s="19" t="n">
        <v>1700</v>
      </c>
      <c r="K20" s="19" t="n">
        <v>2200</v>
      </c>
      <c r="L20" s="19" t="n">
        <v>1300</v>
      </c>
      <c r="M20" s="19" t="n">
        <v>2300</v>
      </c>
      <c r="N20" s="19" t="n">
        <v>1800</v>
      </c>
      <c r="O20" s="15" t="n"/>
      <c r="P20" s="19" t="n">
        <v>1955.261177178985</v>
      </c>
      <c r="Q20" s="15" t="n"/>
      <c r="R20" s="15" t="n"/>
      <c r="S20" s="15" t="n"/>
    </row>
    <row r="21">
      <c r="B21" s="1" t="inlineStr">
        <is>
          <t>Serivce and other</t>
        </is>
      </c>
      <c r="C21" s="19" t="n">
        <v>1600</v>
      </c>
      <c r="D21" s="19" t="n">
        <v>1700</v>
      </c>
      <c r="E21" s="19" t="n">
        <v>1800</v>
      </c>
      <c r="F21" s="19" t="n">
        <v>1750</v>
      </c>
      <c r="G21" s="15" t="n"/>
      <c r="H21" s="19" t="n">
        <v>1800</v>
      </c>
      <c r="I21" s="19" t="n">
        <v>2000</v>
      </c>
      <c r="J21" s="19" t="n">
        <v>2100</v>
      </c>
      <c r="K21" s="19" t="n">
        <v>2200</v>
      </c>
      <c r="L21" s="19" t="n">
        <v>1900</v>
      </c>
      <c r="M21" s="19" t="n">
        <v>2100</v>
      </c>
      <c r="N21" s="19" t="n">
        <v>2200</v>
      </c>
      <c r="O21" s="15" t="n"/>
      <c r="P21" s="19" t="n">
        <v>2178.594815415578</v>
      </c>
      <c r="Q21" s="15" t="n"/>
      <c r="R21" s="15" t="n"/>
      <c r="S21" s="15" t="n"/>
    </row>
    <row r="22">
      <c r="B22" s="7" t="inlineStr">
        <is>
          <t>Total cost of goods</t>
        </is>
      </c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5" t="n"/>
      <c r="R22" s="15" t="n"/>
      <c r="S22" s="15" t="n"/>
    </row>
    <row r="23">
      <c r="B23" s="8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</row>
    <row r="24">
      <c r="B24" s="8" t="inlineStr">
        <is>
          <t>Q4 seasonal index</t>
        </is>
      </c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</row>
    <row r="25">
      <c r="B25" s="1" t="inlineStr">
        <is>
          <t>Automotive</t>
        </is>
      </c>
      <c r="C25" s="15" t="n"/>
      <c r="E25" s="15" t="n"/>
      <c r="F25" s="19" t="n">
        <v>1.024910606083275</v>
      </c>
      <c r="G25" s="15" t="n"/>
      <c r="H25" s="15" t="n"/>
      <c r="I25" s="15" t="n"/>
      <c r="J25" s="15" t="n"/>
      <c r="K25" s="19" t="n">
        <v>1.096746518841154</v>
      </c>
      <c r="L25" s="15" t="n"/>
      <c r="M25" s="15" t="n"/>
      <c r="N25" s="15" t="n"/>
      <c r="O25" s="15" t="n"/>
      <c r="P25" s="19" t="n">
        <v>1.060828562462214</v>
      </c>
      <c r="Q25" s="15" t="n"/>
      <c r="R25" s="15" t="n"/>
      <c r="S25" s="15" t="n"/>
    </row>
    <row r="26" customFormat="1" s="11">
      <c r="B26" s="1" t="inlineStr">
        <is>
          <t>Automotive ex. leasing</t>
        </is>
      </c>
      <c r="C26" s="15" t="n"/>
      <c r="D26" s="15" t="n"/>
      <c r="E26" s="15" t="n"/>
      <c r="F26" s="19" t="n">
        <v>1.023474178403756</v>
      </c>
      <c r="G26" s="15" t="n"/>
      <c r="H26" s="15" t="n"/>
      <c r="I26" s="15" t="n"/>
      <c r="J26" s="15" t="n"/>
      <c r="K26" s="19" t="n">
        <v>1.098175499565595</v>
      </c>
      <c r="L26" s="15" t="n"/>
      <c r="M26" s="15" t="n"/>
      <c r="N26" s="15" t="n"/>
      <c r="O26" s="15" t="n"/>
      <c r="P26" s="19" t="n">
        <v>1.060824838984675</v>
      </c>
      <c r="Q26" s="15" t="n"/>
      <c r="R26" s="15" t="n"/>
      <c r="S26" s="15" t="n"/>
    </row>
    <row r="27">
      <c r="B27" s="1" t="inlineStr">
        <is>
          <t>Energy generation and storage</t>
        </is>
      </c>
      <c r="C27" s="15" t="n"/>
      <c r="D27" s="15" t="n"/>
      <c r="E27" s="15" t="n"/>
      <c r="F27" s="19" t="n">
        <v>0.967032967032967</v>
      </c>
      <c r="G27" s="15" t="n"/>
      <c r="H27" s="15" t="n"/>
      <c r="I27" s="15" t="n"/>
      <c r="J27" s="15" t="n"/>
      <c r="K27" s="19" t="n">
        <v>1.205479452054794</v>
      </c>
      <c r="L27" s="15" t="n"/>
      <c r="M27" s="15" t="n"/>
      <c r="N27" s="15" t="n"/>
      <c r="O27" s="15" t="n"/>
      <c r="P27" s="19" t="n">
        <v>1.086256209543881</v>
      </c>
      <c r="Q27" s="15" t="n"/>
      <c r="R27" s="15" t="n"/>
      <c r="S27" s="15" t="n"/>
    </row>
    <row r="28">
      <c r="B28" s="1" t="inlineStr">
        <is>
          <t>Serivce and other</t>
        </is>
      </c>
      <c r="C28" s="15" t="n"/>
      <c r="D28" s="15" t="n"/>
      <c r="E28" s="15" t="n"/>
      <c r="F28" s="19" t="n">
        <v>1.021897810218978</v>
      </c>
      <c r="G28" s="15" t="n"/>
      <c r="H28" s="15" t="n"/>
      <c r="I28" s="15" t="n"/>
      <c r="J28" s="15" t="n"/>
      <c r="K28" s="19" t="n">
        <v>1.08641975308642</v>
      </c>
      <c r="L28" s="15" t="n"/>
      <c r="M28" s="15" t="n"/>
      <c r="N28" s="15" t="n"/>
      <c r="O28" s="15" t="n"/>
      <c r="P28" s="19" t="n">
        <v>1.054158781652699</v>
      </c>
      <c r="Q28" s="15" t="n"/>
      <c r="R28" s="15" t="n"/>
      <c r="S28" s="15" t="n"/>
    </row>
    <row r="29"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</row>
    <row r="30">
      <c r="B30" s="1" t="inlineStr">
        <is>
          <t>Auto credit revenue to adjust out of GM</t>
        </is>
      </c>
      <c r="C30" s="19" t="n">
        <v>521</v>
      </c>
      <c r="D30" s="19" t="n">
        <v>280</v>
      </c>
      <c r="E30" s="19" t="n">
        <v>282</v>
      </c>
      <c r="F30" s="19" t="n">
        <v>300</v>
      </c>
      <c r="G30" s="15" t="n"/>
      <c r="H30" s="19" t="n">
        <v>440</v>
      </c>
      <c r="I30" s="19" t="n">
        <v>350</v>
      </c>
      <c r="J30" s="19" t="n">
        <v>380</v>
      </c>
      <c r="K30" s="19" t="n">
        <v>400</v>
      </c>
      <c r="L30" s="19" t="n">
        <v>420</v>
      </c>
      <c r="M30" s="19" t="n">
        <v>430</v>
      </c>
      <c r="N30" s="19" t="n">
        <v>440</v>
      </c>
      <c r="O30" s="15" t="n"/>
      <c r="P30" s="19" t="n">
        <v>450</v>
      </c>
      <c r="Q30" s="15" t="n"/>
      <c r="R30" s="15" t="n"/>
      <c r="S30" s="15" t="n"/>
    </row>
    <row r="31"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</row>
    <row r="32">
      <c r="B32" s="1" t="inlineStr">
        <is>
          <t>Total gross profit ex auto credit revenue</t>
        </is>
      </c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</row>
    <row r="33">
      <c r="B33" s="11" t="inlineStr">
        <is>
          <t>% margin</t>
        </is>
      </c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</row>
    <row r="34"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</row>
    <row r="35"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Danial Azmi</dc:creator>
  <dcterms:created xmlns:dcterms="http://purl.org/dc/terms/" xmlns:xsi="http://www.w3.org/2001/XMLSchema-instance" xsi:type="dcterms:W3CDTF">2026-01-06T20:25:27Z</dcterms:created>
  <dcterms:modified xmlns:dcterms="http://purl.org/dc/terms/" xmlns:xsi="http://www.w3.org/2001/XMLSchema-instance" xsi:type="dcterms:W3CDTF">2026-01-06T22:06:54Z</dcterms:modified>
  <cp:lastModifiedBy>Danial Azmi</cp:lastModifiedBy>
</cp:coreProperties>
</file>