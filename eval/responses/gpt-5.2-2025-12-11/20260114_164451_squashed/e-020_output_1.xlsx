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353" windowWidth="28996" windowHeight="15944" tabRatio="600" firstSheet="0" activeTab="1" autoFilterDateGrouping="1"/>
  </bookViews>
  <sheets>
    <sheet xmlns:r="http://schemas.openxmlformats.org/officeDocument/2006/relationships" name="Holders" sheetId="1" state="visible" r:id="rId1"/>
    <sheet xmlns:r="http://schemas.openxmlformats.org/officeDocument/2006/relationships" name="Rubri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41" fontId="0" fillId="2" borderId="0" pivotButton="0" quotePrefix="0" xfId="0"/>
    <xf numFmtId="10" fontId="0" fillId="2" borderId="0" pivotButton="0" quotePrefix="0" xfId="0"/>
    <xf numFmtId="0" fontId="0" fillId="0" borderId="1" pivotButton="0" quotePrefix="0" xfId="0"/>
    <xf numFmtId="0" fontId="0" fillId="0" borderId="2" pivotButton="0" quotePrefix="0" xfId="0"/>
    <xf numFmtId="41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41" fontId="0" fillId="0" borderId="5" pivotButton="0" quotePrefix="0" xfId="0"/>
    <xf numFmtId="1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1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D4" sqref="D4"/>
    </sheetView>
  </sheetViews>
  <sheetFormatPr baseColWidth="8" defaultColWidth="11" defaultRowHeight="15.75"/>
  <cols>
    <col width="50.5625" customWidth="1" style="11" min="2" max="2"/>
    <col width="20.5625" customWidth="1" style="11" min="3" max="6"/>
  </cols>
  <sheetData>
    <row r="1">
      <c r="B1" s="2" t="inlineStr">
        <is>
          <t>Investor</t>
        </is>
      </c>
      <c r="C1" s="2" t="inlineStr">
        <is>
          <t>Shares Held</t>
        </is>
      </c>
      <c r="D1" s="2" t="inlineStr">
        <is>
          <t>Market Value ($)</t>
        </is>
      </c>
      <c r="E1" s="2" t="inlineStr">
        <is>
          <t>% of Portfolio</t>
        </is>
      </c>
      <c r="F1" s="2" t="inlineStr">
        <is>
          <t>% Ownership</t>
        </is>
      </c>
    </row>
    <row r="2">
      <c r="A2" s="3" t="n">
        <v>1</v>
      </c>
      <c r="B2" s="4" t="inlineStr">
        <is>
          <t>Vanguard Group Inc</t>
        </is>
      </c>
      <c r="C2" s="5" t="n">
        <v>1415932804</v>
      </c>
      <c r="D2" s="5" t="n">
        <v>356336138233</v>
      </c>
      <c r="E2" s="6" t="n"/>
      <c r="F2" s="6" t="n">
        <v>9.541</v>
      </c>
    </row>
    <row r="3">
      <c r="A3" s="3">
        <f>+A2+1</f>
        <v/>
      </c>
      <c r="B3" s="4" t="inlineStr">
        <is>
          <t>BlackRock Inc</t>
        </is>
      </c>
      <c r="C3" s="5" t="n">
        <v>1148838990</v>
      </c>
      <c r="D3" s="5" t="n">
        <v>291890587026</v>
      </c>
      <c r="E3" s="6" t="n"/>
      <c r="F3" s="6" t="n">
        <v>7.741</v>
      </c>
    </row>
    <row r="4">
      <c r="A4" s="3">
        <f>+A3+1</f>
        <v/>
      </c>
      <c r="B4" s="4" t="inlineStr">
        <is>
          <t>State Street Corp</t>
        </is>
      </c>
      <c r="C4" s="5" t="n">
        <v>601249995</v>
      </c>
      <c r="D4" s="5" t="n">
        <v>152141708403</v>
      </c>
      <c r="E4" s="6" t="n"/>
      <c r="F4" s="6" t="n">
        <v>4.051</v>
      </c>
    </row>
    <row r="5">
      <c r="A5" s="3">
        <f>+A4+1</f>
        <v/>
      </c>
      <c r="B5" s="4" t="inlineStr">
        <is>
          <t>Geode Capital Management LLC</t>
        </is>
      </c>
      <c r="C5" s="5" t="n">
        <v>354749794</v>
      </c>
      <c r="D5" s="5" t="n">
        <v>92700000000</v>
      </c>
      <c r="E5" s="6" t="n"/>
      <c r="F5" s="6" t="n">
        <v>2.39</v>
      </c>
    </row>
    <row r="6">
      <c r="A6" s="3">
        <f>+A5+1</f>
        <v/>
      </c>
      <c r="B6" s="4" t="inlineStr">
        <is>
          <t>FMR Inc</t>
        </is>
      </c>
      <c r="C6" s="5" t="n">
        <v>306758594</v>
      </c>
      <c r="D6" s="5" t="n">
        <v>74586000000</v>
      </c>
      <c r="E6" s="6" t="n"/>
      <c r="F6" s="6" t="n">
        <v>2.067</v>
      </c>
    </row>
    <row r="7">
      <c r="A7" s="3">
        <f>+A6+1</f>
        <v/>
      </c>
      <c r="B7" s="4" t="inlineStr">
        <is>
          <t>Berkshire Hathaway Inc</t>
        </is>
      </c>
      <c r="C7" s="5" t="n">
        <v>280000000</v>
      </c>
      <c r="D7" s="5" t="n">
        <v>73590000000</v>
      </c>
      <c r="E7" s="6" t="n"/>
      <c r="F7" s="6" t="n">
        <v>1.887</v>
      </c>
    </row>
    <row r="8">
      <c r="A8" s="3">
        <f>+A7+1</f>
        <v/>
      </c>
      <c r="B8" s="4" t="inlineStr">
        <is>
          <t>Morgan Stanley - Brokerage Accounts</t>
        </is>
      </c>
      <c r="C8" s="5" t="n">
        <v>233198646</v>
      </c>
      <c r="D8" s="5" t="n">
        <v>0</v>
      </c>
      <c r="E8" s="6" t="n"/>
      <c r="F8" s="6" t="n">
        <v>1.571</v>
      </c>
    </row>
    <row r="9">
      <c r="A9" s="3">
        <f>+A8+1</f>
        <v/>
      </c>
      <c r="B9" s="4" t="inlineStr">
        <is>
          <t>JPMorgan Chase &amp; Co</t>
        </is>
      </c>
      <c r="C9" s="5" t="n">
        <v>214606399</v>
      </c>
      <c r="D9" s="5" t="n">
        <v>35307000000</v>
      </c>
      <c r="E9" s="6" t="n"/>
      <c r="F9" s="6" t="n">
        <v>1.446</v>
      </c>
    </row>
    <row r="10">
      <c r="A10" s="3">
        <f>+A9+1</f>
        <v/>
      </c>
      <c r="B10" s="4" t="inlineStr">
        <is>
          <t>T. Rowe Price Associates, Inc.</t>
        </is>
      </c>
      <c r="C10" s="5" t="n">
        <v>202720404</v>
      </c>
      <c r="D10" s="5" t="n">
        <v>47516000000</v>
      </c>
      <c r="E10" s="6" t="n"/>
      <c r="F10" s="6" t="n">
        <v>1.366</v>
      </c>
    </row>
    <row r="11">
      <c r="A11" s="3">
        <f>+A10+1</f>
        <v/>
      </c>
      <c r="B11" s="4" t="inlineStr">
        <is>
          <t>Norges Bank</t>
        </is>
      </c>
      <c r="C11" s="5" t="n">
        <v>189804820</v>
      </c>
      <c r="D11" s="5" t="n">
        <v>49885000000</v>
      </c>
      <c r="E11" s="6" t="n"/>
      <c r="F11" s="6" t="n">
        <v>1.279</v>
      </c>
    </row>
    <row r="12">
      <c r="A12" s="3">
        <f>+A11+1</f>
        <v/>
      </c>
      <c r="B12" s="4" t="inlineStr">
        <is>
          <t>Northern Trust Corp</t>
        </is>
      </c>
      <c r="C12" s="5" t="n">
        <v>168000000</v>
      </c>
      <c r="D12" s="5" t="n">
        <v>0</v>
      </c>
      <c r="E12" s="6" t="n"/>
      <c r="F12" s="6" t="n">
        <v>1.14</v>
      </c>
    </row>
    <row r="13">
      <c r="A13" s="3">
        <f>+A12+1</f>
        <v/>
      </c>
      <c r="B13" s="4" t="inlineStr">
        <is>
          <t>Charles Schwab Investment Management Inc</t>
        </is>
      </c>
      <c r="C13" s="5" t="n">
        <v>98099411</v>
      </c>
      <c r="D13" s="5" t="n">
        <v>0</v>
      </c>
      <c r="E13" s="6" t="n"/>
      <c r="F13" s="6" t="n">
        <v>0.66</v>
      </c>
    </row>
    <row r="14">
      <c r="A14" s="3">
        <f>+A13+1</f>
        <v/>
      </c>
      <c r="B14" s="4" t="inlineStr">
        <is>
          <t>Wellington Management Group LLP</t>
        </is>
      </c>
      <c r="C14" s="5" t="n">
        <v>78395023</v>
      </c>
      <c r="D14" s="5" t="n">
        <v>0</v>
      </c>
      <c r="E14" s="6" t="n"/>
      <c r="F14" s="6" t="n">
        <v>0.53</v>
      </c>
    </row>
    <row r="15">
      <c r="A15" s="3">
        <f>+A14+1</f>
        <v/>
      </c>
      <c r="B15" s="4" t="inlineStr">
        <is>
          <t>Goldman Sachs Group Inc</t>
        </is>
      </c>
      <c r="C15" s="5" t="n">
        <v>78029275</v>
      </c>
      <c r="D15" s="5" t="n">
        <v>0</v>
      </c>
      <c r="E15" s="6" t="n"/>
      <c r="F15" s="6" t="n">
        <v>0.53</v>
      </c>
    </row>
    <row r="16">
      <c r="A16" s="3">
        <f>+A15+1</f>
        <v/>
      </c>
      <c r="B16" s="4" t="inlineStr">
        <is>
          <t>Capital International Investors</t>
        </is>
      </c>
      <c r="C16" s="5" t="n">
        <v>57070000</v>
      </c>
      <c r="D16" s="5" t="n">
        <v>12670000000</v>
      </c>
      <c r="E16" s="6" t="n">
        <v>2.49</v>
      </c>
      <c r="F16" s="6" t="n">
        <v>0.38</v>
      </c>
    </row>
    <row r="17">
      <c r="E17" s="1" t="n"/>
      <c r="F17" s="1" t="n"/>
    </row>
    <row r="18">
      <c r="E18" s="1" t="n"/>
      <c r="F18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E8"/>
  <sheetViews>
    <sheetView showGridLines="0" tabSelected="1" workbookViewId="0">
      <selection activeCell="B8" sqref="B8"/>
    </sheetView>
  </sheetViews>
  <sheetFormatPr baseColWidth="8" defaultRowHeight="15.75"/>
  <cols>
    <col width="17.0625" bestFit="1" customWidth="1" style="11" min="5" max="5"/>
  </cols>
  <sheetData>
    <row r="3">
      <c r="B3" s="7" t="inlineStr">
        <is>
          <t>Sum of  shares held</t>
        </is>
      </c>
      <c r="C3" s="8" t="n"/>
      <c r="D3" s="8" t="n"/>
      <c r="E3" s="9">
        <f>+SUM(Holders!C2:C16)</f>
        <v/>
      </c>
    </row>
    <row r="4">
      <c r="B4" s="10" t="inlineStr">
        <is>
          <t>Sum of market value</t>
        </is>
      </c>
      <c r="E4" s="12">
        <f>+SUM(Holders!D2:D16)</f>
        <v/>
      </c>
    </row>
    <row r="5">
      <c r="B5" s="10" t="inlineStr">
        <is>
          <t>Sum of % portfolio</t>
        </is>
      </c>
      <c r="E5" s="13">
        <f>+SUM(Holders!E2:E16)</f>
        <v/>
      </c>
    </row>
    <row r="6">
      <c r="B6" s="10" t="inlineStr">
        <is>
          <t>Sum of % ownership</t>
        </is>
      </c>
      <c r="E6" s="13">
        <f>+SUM(Holders!F2:F16)</f>
        <v/>
      </c>
    </row>
    <row r="7">
      <c r="B7" s="10" t="inlineStr">
        <is>
          <t>Company #3 market value</t>
        </is>
      </c>
      <c r="E7" s="12">
        <f>+Holders!D4</f>
        <v/>
      </c>
    </row>
    <row r="8">
      <c r="B8" s="14" t="inlineStr">
        <is>
          <t>Company #15 % ownership</t>
        </is>
      </c>
      <c r="C8" s="15" t="n"/>
      <c r="D8" s="15" t="n"/>
      <c r="E8" s="16">
        <f>+Holders!F16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Danial Azmi</dc:creator>
  <dcterms:created xmlns:dcterms="http://purl.org/dc/terms/" xmlns:xsi="http://www.w3.org/2001/XMLSchema-instance" xsi:type="dcterms:W3CDTF">2026-01-11T21:16:48Z</dcterms:created>
  <dcterms:modified xmlns:dcterms="http://purl.org/dc/terms/" xmlns:xsi="http://www.w3.org/2001/XMLSchema-instance" xsi:type="dcterms:W3CDTF">2026-01-11T21:31:42Z</dcterms:modified>
  <cp:lastModifiedBy>Danial Azmi</cp:lastModifiedBy>
</cp:coreProperties>
</file>