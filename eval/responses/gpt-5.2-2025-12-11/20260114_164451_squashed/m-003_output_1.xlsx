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gpt-5.2-2025-12-11\20260114_154950\"/>
    </mc:Choice>
  </mc:AlternateContent>
  <xr:revisionPtr revIDLastSave="0" documentId="13_ncr:20001_{9C0286A1-0FFF-4A26-9A70-89DC024EE8E0}" xr6:coauthVersionLast="47" xr6:coauthVersionMax="47" xr10:uidLastSave="{00000000-0000-0000-0000-000000000000}"/>
  <bookViews>
    <workbookView xWindow="-120" yWindow="330" windowWidth="29040" windowHeight="15990" activeTab="1" xr2:uid="{00000000-000D-0000-FFFF-FFFF00000000}"/>
  </bookViews>
  <sheets>
    <sheet name="Data" sheetId="1" r:id="rId1"/>
    <sheet name="Model" sheetId="2" r:id="rId2"/>
  </sheet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2" l="1"/>
  <c r="E109" i="2"/>
  <c r="E106" i="2"/>
  <c r="D106" i="2"/>
  <c r="C106" i="2"/>
  <c r="E102" i="2"/>
  <c r="D102" i="2"/>
  <c r="D109" i="2" s="1"/>
  <c r="C102" i="2"/>
  <c r="C109" i="2" s="1"/>
  <c r="C78" i="2"/>
  <c r="C77" i="2"/>
  <c r="C76" i="2"/>
  <c r="C75" i="2"/>
  <c r="C74" i="2"/>
  <c r="C79" i="2" s="1"/>
  <c r="C70" i="2"/>
  <c r="F64" i="2"/>
  <c r="F63" i="2"/>
  <c r="C51" i="2"/>
  <c r="D50" i="2"/>
  <c r="F49" i="2"/>
  <c r="E49" i="2"/>
  <c r="C47" i="2"/>
  <c r="C46" i="2"/>
  <c r="C45" i="2"/>
  <c r="C40" i="2"/>
  <c r="C41" i="2" s="1"/>
  <c r="F37" i="2"/>
  <c r="F51" i="2" s="1"/>
  <c r="E37" i="2"/>
  <c r="D37" i="2"/>
  <c r="D55" i="2" s="1"/>
  <c r="D62" i="2" s="1"/>
  <c r="C37" i="2"/>
  <c r="C55" i="2" s="1"/>
  <c r="C62" i="2" s="1"/>
  <c r="F36" i="2"/>
  <c r="G36" i="2" s="1"/>
  <c r="H36" i="2" s="1"/>
  <c r="I36" i="2" s="1"/>
  <c r="J36" i="2" s="1"/>
  <c r="K36" i="2" s="1"/>
  <c r="E36" i="2"/>
  <c r="D36" i="2"/>
  <c r="C36" i="2"/>
  <c r="F35" i="2"/>
  <c r="E35" i="2"/>
  <c r="D35" i="2"/>
  <c r="C35" i="2"/>
  <c r="G34" i="2"/>
  <c r="H34" i="2" s="1"/>
  <c r="I34" i="2" s="1"/>
  <c r="J34" i="2" s="1"/>
  <c r="K34" i="2" s="1"/>
  <c r="F34" i="2"/>
  <c r="E34" i="2"/>
  <c r="D34" i="2"/>
  <c r="C34" i="2"/>
  <c r="H33" i="2"/>
  <c r="I33" i="2" s="1"/>
  <c r="G33" i="2"/>
  <c r="F33" i="2"/>
  <c r="E33" i="2"/>
  <c r="D33" i="2"/>
  <c r="C33" i="2"/>
  <c r="F46" i="1"/>
  <c r="E46" i="1"/>
  <c r="D46" i="1"/>
  <c r="F43" i="1"/>
  <c r="E43" i="1"/>
  <c r="D43" i="1"/>
  <c r="C43" i="1"/>
  <c r="F42" i="1"/>
  <c r="E42" i="1"/>
  <c r="D42" i="1"/>
  <c r="C42" i="1"/>
  <c r="F41" i="1"/>
  <c r="E41" i="1"/>
  <c r="D41" i="1"/>
  <c r="C41" i="1"/>
  <c r="F38" i="1"/>
  <c r="E38" i="1"/>
  <c r="D38" i="1"/>
  <c r="F37" i="1"/>
  <c r="E37" i="1"/>
  <c r="D37" i="1"/>
  <c r="F36" i="1"/>
  <c r="E36" i="1"/>
  <c r="D36" i="1"/>
  <c r="F35" i="1"/>
  <c r="E35" i="1"/>
  <c r="D35" i="1"/>
  <c r="J33" i="2" l="1"/>
  <c r="G35" i="2"/>
  <c r="H35" i="2" s="1"/>
  <c r="I35" i="2" s="1"/>
  <c r="J35" i="2" s="1"/>
  <c r="K35" i="2" s="1"/>
  <c r="D49" i="2"/>
  <c r="D64" i="2"/>
  <c r="D63" i="2"/>
  <c r="D41" i="2"/>
  <c r="D42" i="2" s="1"/>
  <c r="D51" i="2"/>
  <c r="E64" i="2"/>
  <c r="F41" i="2"/>
  <c r="F42" i="2" s="1"/>
  <c r="E50" i="2"/>
  <c r="E52" i="2" s="1"/>
  <c r="E55" i="2"/>
  <c r="E62" i="2" s="1"/>
  <c r="C63" i="2"/>
  <c r="C42" i="2"/>
  <c r="C49" i="2"/>
  <c r="C52" i="2" s="1"/>
  <c r="F50" i="2"/>
  <c r="F52" i="2" s="1"/>
  <c r="E51" i="2"/>
  <c r="F55" i="2"/>
  <c r="F62" i="2" s="1"/>
  <c r="E41" i="2"/>
  <c r="E42" i="2" s="1"/>
  <c r="C50" i="2"/>
  <c r="E63" i="2"/>
  <c r="C54" i="2" l="1"/>
  <c r="C56" i="2" s="1"/>
  <c r="E54" i="2"/>
  <c r="E56" i="2" s="1"/>
  <c r="I37" i="2"/>
  <c r="D52" i="2"/>
  <c r="D54" i="2" s="1"/>
  <c r="D56" i="2" s="1"/>
  <c r="H37" i="2"/>
  <c r="K33" i="2"/>
  <c r="K37" i="2" s="1"/>
  <c r="J37" i="2"/>
  <c r="F54" i="2"/>
  <c r="G37" i="2"/>
  <c r="D58" i="2" l="1"/>
  <c r="D61" i="2" s="1"/>
  <c r="D65" i="2" s="1"/>
  <c r="D57" i="2"/>
  <c r="I64" i="2"/>
  <c r="I63" i="2"/>
  <c r="I41" i="2"/>
  <c r="I51" i="2"/>
  <c r="I55" i="2"/>
  <c r="I62" i="2" s="1"/>
  <c r="I50" i="2"/>
  <c r="I42" i="2"/>
  <c r="I49" i="2"/>
  <c r="J51" i="2"/>
  <c r="J64" i="2"/>
  <c r="J63" i="2"/>
  <c r="J55" i="2"/>
  <c r="J62" i="2" s="1"/>
  <c r="J50" i="2"/>
  <c r="J49" i="2"/>
  <c r="J41" i="2"/>
  <c r="J42" i="2" s="1"/>
  <c r="K55" i="2"/>
  <c r="K62" i="2" s="1"/>
  <c r="K50" i="2"/>
  <c r="K49" i="2"/>
  <c r="K52" i="2" s="1"/>
  <c r="K64" i="2"/>
  <c r="K63" i="2"/>
  <c r="K41" i="2"/>
  <c r="K42" i="2" s="1"/>
  <c r="K54" i="2" s="1"/>
  <c r="K51" i="2"/>
  <c r="E57" i="2"/>
  <c r="E58" i="2" s="1"/>
  <c r="E61" i="2" s="1"/>
  <c r="E65" i="2" s="1"/>
  <c r="G55" i="2"/>
  <c r="G62" i="2" s="1"/>
  <c r="G50" i="2"/>
  <c r="G49" i="2"/>
  <c r="G41" i="2"/>
  <c r="G42" i="2" s="1"/>
  <c r="G64" i="2"/>
  <c r="G63" i="2"/>
  <c r="G51" i="2"/>
  <c r="H49" i="2"/>
  <c r="H52" i="2" s="1"/>
  <c r="H64" i="2"/>
  <c r="H63" i="2"/>
  <c r="H41" i="2"/>
  <c r="H42" i="2" s="1"/>
  <c r="H54" i="2" s="1"/>
  <c r="H56" i="2" s="1"/>
  <c r="H51" i="2"/>
  <c r="H55" i="2"/>
  <c r="H62" i="2" s="1"/>
  <c r="H50" i="2"/>
  <c r="C58" i="2"/>
  <c r="C61" i="2" s="1"/>
  <c r="C65" i="2" s="1"/>
  <c r="C57" i="2"/>
  <c r="C69" i="2"/>
  <c r="F56" i="2"/>
  <c r="E108" i="2" l="1"/>
  <c r="E110" i="2"/>
  <c r="H57" i="2"/>
  <c r="H58" i="2" s="1"/>
  <c r="H61" i="2" s="1"/>
  <c r="H65" i="2" s="1"/>
  <c r="C114" i="2"/>
  <c r="K56" i="2"/>
  <c r="J54" i="2"/>
  <c r="J56" i="2" s="1"/>
  <c r="G52" i="2"/>
  <c r="G54" i="2" s="1"/>
  <c r="G56" i="2" s="1"/>
  <c r="C110" i="2"/>
  <c r="C108" i="2"/>
  <c r="F57" i="2"/>
  <c r="F58" i="2"/>
  <c r="F61" i="2" s="1"/>
  <c r="F65" i="2" s="1"/>
  <c r="C93" i="2"/>
  <c r="C92" i="2"/>
  <c r="C71" i="2"/>
  <c r="I52" i="2"/>
  <c r="I54" i="2" s="1"/>
  <c r="I56" i="2" s="1"/>
  <c r="J52" i="2"/>
  <c r="D108" i="2"/>
  <c r="D110" i="2"/>
  <c r="I57" i="2" l="1"/>
  <c r="I58" i="2" s="1"/>
  <c r="I61" i="2" s="1"/>
  <c r="I65" i="2" s="1"/>
  <c r="G57" i="2"/>
  <c r="G58" i="2" s="1"/>
  <c r="G61" i="2" s="1"/>
  <c r="G65" i="2" s="1"/>
  <c r="H108" i="2"/>
  <c r="F108" i="2"/>
  <c r="C141" i="2"/>
  <c r="C87" i="2"/>
  <c r="C81" i="2"/>
  <c r="C86" i="2" s="1"/>
  <c r="J58" i="2"/>
  <c r="J61" i="2" s="1"/>
  <c r="J65" i="2" s="1"/>
  <c r="J57" i="2"/>
  <c r="F100" i="2"/>
  <c r="K58" i="2"/>
  <c r="K61" i="2" s="1"/>
  <c r="K65" i="2" s="1"/>
  <c r="K57" i="2"/>
  <c r="F104" i="2"/>
  <c r="F106" i="2" s="1"/>
  <c r="G104" i="2" s="1"/>
  <c r="C116" i="2"/>
  <c r="G108" i="2" l="1"/>
  <c r="I108" i="2"/>
  <c r="K108" i="2"/>
  <c r="J108" i="2"/>
  <c r="F102" i="2"/>
  <c r="G100" i="2" s="1"/>
  <c r="F109" i="2" l="1"/>
  <c r="F110" i="2" s="1"/>
  <c r="G105" i="2"/>
  <c r="G106" i="2" s="1"/>
  <c r="H104" i="2" s="1"/>
  <c r="G101" i="2"/>
  <c r="G102" i="2"/>
  <c r="H100" i="2" s="1"/>
  <c r="G109" i="2" l="1"/>
  <c r="G110" i="2" s="1"/>
  <c r="H101" i="2"/>
  <c r="H105" i="2" s="1"/>
  <c r="H106" i="2" s="1"/>
  <c r="I104" i="2" s="1"/>
  <c r="H102" i="2" l="1"/>
  <c r="I100" i="2" l="1"/>
  <c r="H109" i="2"/>
  <c r="H110" i="2" s="1"/>
  <c r="I102" i="2" l="1"/>
  <c r="J100" i="2" s="1"/>
  <c r="I101" i="2"/>
  <c r="I105" i="2" s="1"/>
  <c r="I106" i="2" s="1"/>
  <c r="J104" i="2" s="1"/>
  <c r="J102" i="2" l="1"/>
  <c r="K100" i="2" s="1"/>
  <c r="J101" i="2"/>
  <c r="J105" i="2" s="1"/>
  <c r="J106" i="2" s="1"/>
  <c r="I109" i="2"/>
  <c r="I110" i="2" s="1"/>
  <c r="K104" i="2" l="1"/>
  <c r="J109" i="2"/>
  <c r="J110" i="2" s="1"/>
  <c r="K101" i="2"/>
  <c r="K102" i="2"/>
  <c r="K105" i="2" l="1"/>
  <c r="D130" i="2"/>
  <c r="C131" i="2"/>
  <c r="K106" i="2"/>
  <c r="K109" i="2" s="1"/>
  <c r="K110" i="2" s="1"/>
  <c r="E129" i="2" l="1"/>
  <c r="D129" i="2"/>
  <c r="C117" i="2"/>
  <c r="C118" i="2" s="1"/>
  <c r="C121" i="2" s="1"/>
  <c r="E130" i="2"/>
  <c r="E131" i="2"/>
  <c r="D131" i="2"/>
  <c r="C129" i="2"/>
  <c r="C130" i="2"/>
  <c r="C142" i="2" l="1"/>
  <c r="C88" i="2"/>
  <c r="C89" i="2"/>
  <c r="C94" i="2"/>
  <c r="C95" i="2"/>
  <c r="C120" i="2"/>
  <c r="C122" i="2"/>
  <c r="D135" i="2"/>
  <c r="E135" i="2"/>
  <c r="F135" i="2"/>
  <c r="D136" i="2"/>
  <c r="E136" i="2"/>
  <c r="F136" i="2"/>
  <c r="D137" i="2"/>
  <c r="E137" i="2"/>
  <c r="F137" i="2"/>
  <c r="C149" i="2"/>
</calcChain>
</file>

<file path=xl/sharedStrings.xml><?xml version="1.0" encoding="utf-8"?>
<sst xmlns="http://schemas.openxmlformats.org/spreadsheetml/2006/main" count="192" uniqueCount="159">
  <si>
    <t>Summary P&amp;L</t>
  </si>
  <si>
    <t>(€m, FYE 31-Dec)</t>
  </si>
  <si>
    <t>2017A</t>
  </si>
  <si>
    <t>2018A</t>
  </si>
  <si>
    <t>2019A</t>
  </si>
  <si>
    <t>2020E</t>
  </si>
  <si>
    <t>GAAP</t>
  </si>
  <si>
    <t>IFRS</t>
  </si>
  <si>
    <t>Output</t>
  </si>
  <si>
    <t>AMS Europe</t>
  </si>
  <si>
    <t>ECS Europe</t>
  </si>
  <si>
    <t>Americas &amp; Asia</t>
  </si>
  <si>
    <t>Others</t>
  </si>
  <si>
    <t>Total Output</t>
  </si>
  <si>
    <t>Gross profit</t>
  </si>
  <si>
    <t>Total Gross Profit</t>
  </si>
  <si>
    <t>Overheads and Other</t>
  </si>
  <si>
    <t>Personnel expenses</t>
  </si>
  <si>
    <t>Other operating expenses</t>
  </si>
  <si>
    <t>Other operating income</t>
  </si>
  <si>
    <t>Total Overheads and Other</t>
  </si>
  <si>
    <t>EBITDA</t>
  </si>
  <si>
    <t>Other items:</t>
  </si>
  <si>
    <t>D&amp;A</t>
  </si>
  <si>
    <t>Capex</t>
  </si>
  <si>
    <t>IFRS-16 leasing costs</t>
  </si>
  <si>
    <t>n.a.</t>
  </si>
  <si>
    <t>Financial lease costs (IAS 17)</t>
  </si>
  <si>
    <t>Factoring (fees and interest)</t>
  </si>
  <si>
    <t>% Growth</t>
  </si>
  <si>
    <t>% of Total Output</t>
  </si>
  <si>
    <t>Summary Balance sheet</t>
  </si>
  <si>
    <t>(€m)</t>
  </si>
  <si>
    <t>Assets</t>
  </si>
  <si>
    <t>Tangible assets(1)</t>
  </si>
  <si>
    <t>Intangible assets</t>
  </si>
  <si>
    <t>Financial assets</t>
  </si>
  <si>
    <t>Inventories</t>
  </si>
  <si>
    <t>Trade receivables</t>
  </si>
  <si>
    <t>Factor receivables(2)</t>
  </si>
  <si>
    <t>Cash</t>
  </si>
  <si>
    <t>Deferred tax assets</t>
  </si>
  <si>
    <t>Other assets</t>
  </si>
  <si>
    <t>Total</t>
  </si>
  <si>
    <t>Liabilities</t>
  </si>
  <si>
    <t>Provisions(3)</t>
  </si>
  <si>
    <t>Bank debt</t>
  </si>
  <si>
    <t>Shareholder loans</t>
  </si>
  <si>
    <t>Other financial liabilities</t>
  </si>
  <si>
    <t>Financial lease liabilties (IAS 17)</t>
  </si>
  <si>
    <t>IFRS 16 leasing liabilities</t>
  </si>
  <si>
    <t>Trade payables</t>
  </si>
  <si>
    <t>Deferred tax liabilities</t>
  </si>
  <si>
    <t>Accruals short term (tax and other provisions)</t>
  </si>
  <si>
    <t>Income tax liabilities</t>
  </si>
  <si>
    <t>Net assets</t>
  </si>
  <si>
    <t>Due diligence findings:</t>
  </si>
  <si>
    <t>(1) Tangible asset base underinvested. DD estimated a capex underinvestment of c.€1.75m.</t>
  </si>
  <si>
    <t>(2) Non-recourse factoring of 50% of annual receivables. Terms include 80% cash upfront with 10% all-in interest cost (incl. discount and fees)</t>
  </si>
  <si>
    <t>(3) FY20E includes a management transaction bonus of €4.5m.</t>
  </si>
  <si>
    <t>Reverse Logistics Group (RLG) - LBO Model (July 2020)</t>
  </si>
  <si>
    <t>€m, FY Dec</t>
  </si>
  <si>
    <t>Key Assumptions (Inputs)</t>
  </si>
  <si>
    <t>Entry EV / EBITDA multiple</t>
  </si>
  <si>
    <t>Exit EV / EBITDA multiple</t>
  </si>
  <si>
    <t>Entry date (FY2020E base)</t>
  </si>
  <si>
    <t>Exit year</t>
  </si>
  <si>
    <t>Tax rate</t>
  </si>
  <si>
    <t>D&amp;A as % of revenue</t>
  </si>
  <si>
    <t>Capex as % of revenue (incl. catch-up)</t>
  </si>
  <si>
    <t>NWC as % of revenue (Trade WC)</t>
  </si>
  <si>
    <t>Transaction fees (% of EV)</t>
  </si>
  <si>
    <t>Financing fees (% of new debt)</t>
  </si>
  <si>
    <t>Revolver (max)</t>
  </si>
  <si>
    <t>Cash minimum</t>
  </si>
  <si>
    <t>Senior debt interest rate</t>
  </si>
  <si>
    <t>Subordinated debt interest rate</t>
  </si>
  <si>
    <t>Senior debt % of total debt</t>
  </si>
  <si>
    <t>Amortization (% of opening senior debt)</t>
  </si>
  <si>
    <t>Revenue Growth Assumptions (CAGR 2020-2025)</t>
  </si>
  <si>
    <t>Europe AMS</t>
  </si>
  <si>
    <t>Europe ECS</t>
  </si>
  <si>
    <t>Operating Forecast</t>
  </si>
  <si>
    <t>Revenue</t>
  </si>
  <si>
    <t>Total Revenue</t>
  </si>
  <si>
    <t>Cost of Sales (variable)</t>
  </si>
  <si>
    <t>Gross margin (based on 2020E)</t>
  </si>
  <si>
    <t>COGS</t>
  </si>
  <si>
    <t>Gross Profit</t>
  </si>
  <si>
    <t>Operating Expenses (fixed / semi-fixed)</t>
  </si>
  <si>
    <t>Personnel expenses (% revenue)</t>
  </si>
  <si>
    <t>Other operating expenses (% revenue)</t>
  </si>
  <si>
    <t>Other operating income (% revenue)</t>
  </si>
  <si>
    <t>Total Opex</t>
  </si>
  <si>
    <t>EBIT</t>
  </si>
  <si>
    <t>Cash taxes</t>
  </si>
  <si>
    <t>NOPAT</t>
  </si>
  <si>
    <t>Unlevered Free Cash Flow</t>
  </si>
  <si>
    <t>+ D&amp;A</t>
  </si>
  <si>
    <t>- Capex</t>
  </si>
  <si>
    <t>- Change in NWC</t>
  </si>
  <si>
    <t>Unlevered FCF</t>
  </si>
  <si>
    <t>Valuation &amp; EV-to-Equity Bridge (Entry)</t>
  </si>
  <si>
    <t>Entry EBITDA (2020E)</t>
  </si>
  <si>
    <t>Entry EV / EBITDA</t>
  </si>
  <si>
    <t>Enterprise Value</t>
  </si>
  <si>
    <t>Less: Net Debt / (Cash)</t>
  </si>
  <si>
    <t>Lease liabilities (IAS17 + IFRS16)</t>
  </si>
  <si>
    <t>Less: Cash</t>
  </si>
  <si>
    <t>Net Debt</t>
  </si>
  <si>
    <t>Equity Value (pre-fees)</t>
  </si>
  <si>
    <t>Sources &amp; Uses</t>
  </si>
  <si>
    <t>Uses</t>
  </si>
  <si>
    <t>Equity purchase price</t>
  </si>
  <si>
    <t>Transaction fees</t>
  </si>
  <si>
    <t>Financing fees</t>
  </si>
  <si>
    <t>Total Uses</t>
  </si>
  <si>
    <t>Sources</t>
  </si>
  <si>
    <t>Senior debt</t>
  </si>
  <si>
    <t>Subordinated debt</t>
  </si>
  <si>
    <t>Sponsor equity</t>
  </si>
  <si>
    <t>Total Sources</t>
  </si>
  <si>
    <t>Total debt (x EBITDA)</t>
  </si>
  <si>
    <t>Debt Schedule &amp; Equity Returns</t>
  </si>
  <si>
    <t>Senior debt - opening</t>
  </si>
  <si>
    <t>Senior debt - amortization</t>
  </si>
  <si>
    <t>Senior debt - closing</t>
  </si>
  <si>
    <t>Sub debt - opening</t>
  </si>
  <si>
    <t>Sub debt - amortization</t>
  </si>
  <si>
    <t>Sub debt - closing</t>
  </si>
  <si>
    <t>Cash available for debt paydown</t>
  </si>
  <si>
    <t>Interest expense</t>
  </si>
  <si>
    <t>Levered FCF (after interest)</t>
  </si>
  <si>
    <t>Exit &amp; Returns (End of 2025)</t>
  </si>
  <si>
    <t>Exit EBITDA (2025)</t>
  </si>
  <si>
    <t>Exit EV / EBITDA</t>
  </si>
  <si>
    <t>Exit Enterprise Value</t>
  </si>
  <si>
    <t>Less: Net Debt at exit</t>
  </si>
  <si>
    <t>Exit Equity Value</t>
  </si>
  <si>
    <t>Sponsor equity invested</t>
  </si>
  <si>
    <t>Sponsor equity proceeds</t>
  </si>
  <si>
    <t>MOIC</t>
  </si>
  <si>
    <t>IRR</t>
  </si>
  <si>
    <t>IRR Sensitivities</t>
  </si>
  <si>
    <t>Entry x Exit Multiple (IRR %)</t>
  </si>
  <si>
    <t>Entry \ Exit</t>
  </si>
  <si>
    <t>A&amp;A CAGR x Gross Margin (IRR %)</t>
  </si>
  <si>
    <t>GM</t>
  </si>
  <si>
    <t>Investment Evaluation (bullets)</t>
  </si>
  <si>
    <t>1) Price to pay</t>
  </si>
  <si>
    <t>2) Exit equity proceeds</t>
  </si>
  <si>
    <t>3) Operating assumptions</t>
  </si>
  <si>
    <t>Segment CAGRs per case; margins held at 2020E levels; capex and NWC as % of revenue.</t>
  </si>
  <si>
    <t>4) Financing structure</t>
  </si>
  <si>
    <t>5.0x total debt at close split 75% senior / 25% sub; 2% financing fees; 5% senior amortization.</t>
  </si>
  <si>
    <t>5) Exit multiple rationale</t>
  </si>
  <si>
    <t>Assume exit multiple equals entry (8.0x) given stable business and similar market conditions.</t>
  </si>
  <si>
    <t>Model Checks</t>
  </si>
  <si>
    <t>Sources -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</si>
</sst>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,##0.0;\(#,##0.0\)"/>
    <numFmt numFmtId="167" formatCode="#,##0.0000000000000"/>
    <numFmt numFmtId="168" formatCode="0.0%"/>
    <numFmt numFmtId="169" formatCode="0.0\x"/>
    <numFmt numFmtId="170" formatCode="0.00\x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u/>
      <sz val="8"/>
      <color theme="1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b/>
      <sz val="14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sz val="11"/>
      <color rgb="FF0000FF"/>
      <name val="Calibri"/>
    </font>
    <font>
      <sz val="11"/>
      <color rgb="FF00B05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6">
    <xf numFmtId="0" fontId="0" fillId="0" borderId="0"/>
    <xf numFmtId="9" fontId="1" fillId="0" borderId="0"/>
    <xf numFmtId="0" fontId="2" fillId="0" borderId="0"/>
    <xf numFmtId="0" fontId="6" fillId="0" borderId="0"/>
    <xf numFmtId="9" fontId="6" fillId="0" borderId="0"/>
    <xf numFmtId="0" fontId="6" fillId="0" borderId="0"/>
  </cellStyleXfs>
  <cellXfs count="46">
    <xf numFmtId="0" fontId="0" fillId="0" borderId="0" xfId="0"/>
    <xf numFmtId="0" fontId="3" fillId="0" borderId="0" xfId="0" applyFont="1"/>
    <xf numFmtId="164" fontId="3" fillId="0" borderId="0" xfId="0" applyNumberFormat="1" applyFont="1"/>
    <xf numFmtId="164" fontId="5" fillId="0" borderId="0" xfId="2" applyNumberFormat="1" applyFont="1"/>
    <xf numFmtId="165" fontId="5" fillId="0" borderId="0" xfId="2" applyNumberFormat="1" applyFont="1"/>
    <xf numFmtId="0" fontId="5" fillId="0" borderId="0" xfId="2" applyFont="1"/>
    <xf numFmtId="0" fontId="4" fillId="0" borderId="0" xfId="2" applyFont="1"/>
    <xf numFmtId="0" fontId="5" fillId="0" borderId="0" xfId="2" applyFont="1" applyAlignment="1">
      <alignment horizontal="left" indent="1"/>
    </xf>
    <xf numFmtId="0" fontId="5" fillId="0" borderId="0" xfId="0" applyFont="1"/>
    <xf numFmtId="164" fontId="5" fillId="0" borderId="0" xfId="2" applyNumberFormat="1" applyFont="1" applyAlignment="1">
      <alignment horizontal="right"/>
    </xf>
    <xf numFmtId="166" fontId="5" fillId="0" borderId="0" xfId="3" applyNumberFormat="1" applyFont="1" applyAlignment="1">
      <alignment vertical="center"/>
    </xf>
    <xf numFmtId="167" fontId="3" fillId="0" borderId="0" xfId="0" applyNumberFormat="1" applyFont="1"/>
    <xf numFmtId="166" fontId="5" fillId="0" borderId="0" xfId="0" applyNumberFormat="1" applyFont="1"/>
    <xf numFmtId="164" fontId="5" fillId="0" borderId="0" xfId="0" applyNumberFormat="1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left"/>
    </xf>
    <xf numFmtId="17" fontId="5" fillId="0" borderId="0" xfId="2" applyNumberFormat="1" applyFont="1" applyAlignment="1">
      <alignment horizontal="right"/>
    </xf>
    <xf numFmtId="0" fontId="5" fillId="2" borderId="0" xfId="2" applyFont="1" applyFill="1"/>
    <xf numFmtId="0" fontId="5" fillId="0" borderId="0" xfId="0" quotePrefix="1" applyFont="1"/>
    <xf numFmtId="0" fontId="3" fillId="0" borderId="0" xfId="0" quotePrefix="1" applyFont="1"/>
    <xf numFmtId="0" fontId="7" fillId="0" borderId="0" xfId="0" applyFont="1"/>
    <xf numFmtId="9" fontId="5" fillId="0" borderId="0" xfId="1" applyFont="1"/>
    <xf numFmtId="168" fontId="3" fillId="0" borderId="0" xfId="1" applyNumberFormat="1" applyFont="1" applyAlignment="1">
      <alignment horizontal="right"/>
    </xf>
    <xf numFmtId="168" fontId="5" fillId="0" borderId="0" xfId="1" applyNumberFormat="1" applyFont="1"/>
    <xf numFmtId="168" fontId="3" fillId="0" borderId="0" xfId="1" applyNumberFormat="1" applyFont="1"/>
    <xf numFmtId="0" fontId="9" fillId="0" borderId="0" xfId="2" applyFont="1"/>
    <xf numFmtId="0" fontId="9" fillId="0" borderId="0" xfId="0" applyFont="1"/>
    <xf numFmtId="0" fontId="8" fillId="0" borderId="0" xfId="2" applyFont="1" applyAlignment="1">
      <alignment horizontal="right"/>
    </xf>
    <xf numFmtId="0" fontId="8" fillId="2" borderId="0" xfId="2" applyFont="1" applyFill="1"/>
    <xf numFmtId="0" fontId="9" fillId="0" borderId="0" xfId="2" applyFont="1" applyAlignment="1">
      <alignment horizontal="left"/>
    </xf>
    <xf numFmtId="17" fontId="8" fillId="0" borderId="0" xfId="2" applyNumberFormat="1" applyFont="1" applyAlignment="1">
      <alignment horizontal="right"/>
    </xf>
    <xf numFmtId="165" fontId="5" fillId="0" borderId="0" xfId="0" applyNumberFormat="1" applyFont="1"/>
    <xf numFmtId="0" fontId="10" fillId="0" borderId="0" xfId="0" applyFont="1"/>
    <xf numFmtId="0" fontId="11" fillId="0" borderId="0" xfId="0" applyFont="1"/>
    <xf numFmtId="0" fontId="12" fillId="3" borderId="1" xfId="0" applyFont="1" applyFill="1" applyBorder="1" applyAlignment="1">
      <alignment horizontal="center"/>
    </xf>
    <xf numFmtId="0" fontId="13" fillId="0" borderId="0" xfId="0" applyFont="1"/>
    <xf numFmtId="2" fontId="14" fillId="0" borderId="0" xfId="0" applyNumberFormat="1" applyFont="1"/>
    <xf numFmtId="1" fontId="14" fillId="0" borderId="0" xfId="0" applyNumberFormat="1" applyFont="1"/>
    <xf numFmtId="168" fontId="14" fillId="0" borderId="0" xfId="0" applyNumberFormat="1" applyFont="1"/>
    <xf numFmtId="165" fontId="15" fillId="0" borderId="0" xfId="0" applyNumberFormat="1" applyFont="1"/>
    <xf numFmtId="168" fontId="15" fillId="0" borderId="0" xfId="0" applyNumberFormat="1" applyFont="1"/>
    <xf numFmtId="165" fontId="14" fillId="0" borderId="0" xfId="0" applyNumberFormat="1" applyFont="1"/>
    <xf numFmtId="169" fontId="15" fillId="0" borderId="0" xfId="0" applyNumberFormat="1" applyFont="1"/>
    <xf numFmtId="169" fontId="14" fillId="0" borderId="0" xfId="0" applyNumberFormat="1" applyFont="1"/>
    <xf numFmtId="170" fontId="15" fillId="0" borderId="0" xfId="0" applyNumberFormat="1" applyFont="1"/>
    <xf numFmtId="0" fontId="16" fillId="0" borderId="0" xfId="0" applyFont="1"/>
  </cellXfs>
  <cellStyles count="6">
    <cellStyle name="Normal" xfId="0" builtinId="0"/>
    <cellStyle name="Normal 12 4 2 2 3" xfId="2" xr:uid="{00000000-0005-0000-0000-000002000000}"/>
    <cellStyle name="Normal 9" xfId="3" xr:uid="{00000000-0005-0000-0000-000003000000}"/>
    <cellStyle name="Normal 9 2" xfId="5" xr:uid="{00000000-0005-0000-0000-000005000000}"/>
    <cellStyle name="Percent" xfId="1" builtinId="5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4"/>
  <sheetViews>
    <sheetView showGridLines="0" topLeftCell="B1" zoomScale="115" zoomScaleNormal="115" workbookViewId="0"/>
  </sheetViews>
  <sheetFormatPr defaultColWidth="9.28515625" defaultRowHeight="11.25" x14ac:dyDescent="0.2"/>
  <cols>
    <col min="1" max="1" width="9.28515625" style="1" bestFit="1" customWidth="1"/>
    <col min="2" max="2" width="39.28515625" style="1" customWidth="1"/>
    <col min="3" max="6" width="9.5703125" style="1" customWidth="1"/>
    <col min="7" max="7" width="14.42578125" style="1" bestFit="1" customWidth="1"/>
    <col min="8" max="8" width="9.28515625" style="1" customWidth="1"/>
    <col min="9" max="16384" width="9.28515625" style="1"/>
  </cols>
  <sheetData>
    <row r="2" spans="2:6" x14ac:dyDescent="0.2">
      <c r="B2" s="28" t="s">
        <v>0</v>
      </c>
      <c r="C2" s="17"/>
      <c r="D2" s="17"/>
      <c r="E2" s="17"/>
      <c r="F2" s="17"/>
    </row>
    <row r="3" spans="2:6" x14ac:dyDescent="0.2">
      <c r="B3" s="6" t="s">
        <v>1</v>
      </c>
      <c r="C3" s="27" t="s">
        <v>2</v>
      </c>
      <c r="D3" s="27" t="s">
        <v>3</v>
      </c>
      <c r="E3" s="27" t="s">
        <v>4</v>
      </c>
      <c r="F3" s="27" t="s">
        <v>5</v>
      </c>
    </row>
    <row r="4" spans="2:6" x14ac:dyDescent="0.2">
      <c r="B4" s="6"/>
      <c r="C4" s="27" t="s">
        <v>6</v>
      </c>
      <c r="D4" s="27" t="s">
        <v>6</v>
      </c>
      <c r="E4" s="27" t="s">
        <v>7</v>
      </c>
      <c r="F4" s="27" t="s">
        <v>7</v>
      </c>
    </row>
    <row r="5" spans="2:6" x14ac:dyDescent="0.2">
      <c r="B5" s="25" t="s">
        <v>8</v>
      </c>
      <c r="C5" s="5"/>
      <c r="D5" s="5"/>
      <c r="E5" s="5"/>
      <c r="F5" s="5"/>
    </row>
    <row r="6" spans="2:6" x14ac:dyDescent="0.2">
      <c r="B6" s="5" t="s">
        <v>9</v>
      </c>
      <c r="C6" s="4">
        <v>31.5</v>
      </c>
      <c r="D6" s="4">
        <v>32.4</v>
      </c>
      <c r="E6" s="4">
        <v>37.299999999999997</v>
      </c>
      <c r="F6" s="4">
        <v>53.946401200510607</v>
      </c>
    </row>
    <row r="7" spans="2:6" x14ac:dyDescent="0.2">
      <c r="B7" s="5" t="s">
        <v>10</v>
      </c>
      <c r="C7" s="4">
        <v>31</v>
      </c>
      <c r="D7" s="4">
        <v>32.9</v>
      </c>
      <c r="E7" s="4">
        <v>38.9</v>
      </c>
      <c r="F7" s="4">
        <v>42.650782947560742</v>
      </c>
    </row>
    <row r="8" spans="2:6" x14ac:dyDescent="0.2">
      <c r="B8" s="5" t="s">
        <v>11</v>
      </c>
      <c r="C8" s="4">
        <v>18.600000000000001</v>
      </c>
      <c r="D8" s="4">
        <v>22.8</v>
      </c>
      <c r="E8" s="4">
        <v>28.3</v>
      </c>
      <c r="F8" s="4">
        <v>32.533501129463197</v>
      </c>
    </row>
    <row r="9" spans="2:6" x14ac:dyDescent="0.2">
      <c r="B9" s="5" t="s">
        <v>12</v>
      </c>
      <c r="C9" s="4">
        <v>62.8</v>
      </c>
      <c r="D9" s="4">
        <v>57.9</v>
      </c>
      <c r="E9" s="4">
        <v>42.6</v>
      </c>
      <c r="F9" s="4">
        <v>36.20233875574327</v>
      </c>
    </row>
    <row r="10" spans="2:6" x14ac:dyDescent="0.2">
      <c r="B10" s="15" t="s">
        <v>13</v>
      </c>
      <c r="C10" s="4">
        <v>143.9</v>
      </c>
      <c r="D10" s="4">
        <v>146</v>
      </c>
      <c r="E10" s="4">
        <v>147.1</v>
      </c>
      <c r="F10" s="4">
        <v>165.33302403327781</v>
      </c>
    </row>
    <row r="11" spans="2:6" x14ac:dyDescent="0.2">
      <c r="B11" s="8"/>
      <c r="C11" s="31"/>
      <c r="D11" s="31"/>
      <c r="E11" s="31"/>
      <c r="F11" s="31"/>
    </row>
    <row r="12" spans="2:6" x14ac:dyDescent="0.2">
      <c r="B12" s="25" t="s">
        <v>14</v>
      </c>
      <c r="C12" s="5"/>
      <c r="D12" s="5"/>
      <c r="E12" s="5"/>
      <c r="F12" s="5"/>
    </row>
    <row r="13" spans="2:6" x14ac:dyDescent="0.2">
      <c r="B13" s="5" t="s">
        <v>9</v>
      </c>
      <c r="C13" s="3">
        <v>9.5</v>
      </c>
      <c r="D13" s="3">
        <v>9.1999999999999993</v>
      </c>
      <c r="E13" s="3">
        <v>11.2</v>
      </c>
      <c r="F13" s="3">
        <v>15.56481125953708</v>
      </c>
    </row>
    <row r="14" spans="2:6" x14ac:dyDescent="0.2">
      <c r="B14" s="5" t="s">
        <v>10</v>
      </c>
      <c r="C14" s="3">
        <v>11.1</v>
      </c>
      <c r="D14" s="3">
        <v>10.3</v>
      </c>
      <c r="E14" s="3">
        <v>14.4</v>
      </c>
      <c r="F14" s="3">
        <v>15.21322970227984</v>
      </c>
    </row>
    <row r="15" spans="2:6" x14ac:dyDescent="0.2">
      <c r="B15" s="5" t="s">
        <v>11</v>
      </c>
      <c r="C15" s="3">
        <v>4</v>
      </c>
      <c r="D15" s="3">
        <v>3.8</v>
      </c>
      <c r="E15" s="3">
        <v>5.4</v>
      </c>
      <c r="F15" s="3">
        <v>6.918528094937475</v>
      </c>
    </row>
    <row r="16" spans="2:6" x14ac:dyDescent="0.2">
      <c r="B16" s="5" t="s">
        <v>12</v>
      </c>
      <c r="C16" s="3">
        <v>16</v>
      </c>
      <c r="D16" s="3">
        <v>15.6</v>
      </c>
      <c r="E16" s="3">
        <v>15</v>
      </c>
      <c r="F16" s="3">
        <v>14.52839687443806</v>
      </c>
    </row>
    <row r="17" spans="2:7" x14ac:dyDescent="0.2">
      <c r="B17" s="15" t="s">
        <v>15</v>
      </c>
      <c r="C17" s="3">
        <v>40.6</v>
      </c>
      <c r="D17" s="3">
        <v>38.9</v>
      </c>
      <c r="E17" s="3">
        <v>46</v>
      </c>
      <c r="F17" s="3">
        <v>52.224965931192443</v>
      </c>
    </row>
    <row r="18" spans="2:7" x14ac:dyDescent="0.2">
      <c r="B18" s="8"/>
      <c r="C18" s="21"/>
      <c r="D18" s="21"/>
      <c r="E18" s="21"/>
      <c r="F18" s="21"/>
    </row>
    <row r="19" spans="2:7" x14ac:dyDescent="0.2">
      <c r="B19" s="26" t="s">
        <v>16</v>
      </c>
      <c r="C19" s="8"/>
      <c r="D19" s="8"/>
      <c r="E19" s="8"/>
      <c r="F19" s="8"/>
    </row>
    <row r="20" spans="2:7" x14ac:dyDescent="0.2">
      <c r="B20" s="5" t="s">
        <v>17</v>
      </c>
      <c r="C20" s="3">
        <v>-23.77416152</v>
      </c>
      <c r="D20" s="3">
        <v>-24.428558209999998</v>
      </c>
      <c r="E20" s="3">
        <v>-25.728552310000001</v>
      </c>
      <c r="F20" s="3">
        <v>-26.453283845324449</v>
      </c>
    </row>
    <row r="21" spans="2:7" x14ac:dyDescent="0.2">
      <c r="B21" s="5" t="s">
        <v>18</v>
      </c>
      <c r="C21" s="3">
        <v>-11.35550407</v>
      </c>
      <c r="D21" s="3">
        <v>-9.1910144199999984</v>
      </c>
      <c r="E21" s="3">
        <v>-9.1900621000000005</v>
      </c>
      <c r="F21" s="3">
        <v>-9.3418151038012862</v>
      </c>
    </row>
    <row r="22" spans="2:7" x14ac:dyDescent="0.2">
      <c r="B22" s="5" t="s">
        <v>19</v>
      </c>
      <c r="C22" s="3">
        <v>1.9575444100000019</v>
      </c>
      <c r="D22" s="3">
        <v>1.916825780000001</v>
      </c>
      <c r="E22" s="3">
        <v>1.9825991500000011</v>
      </c>
      <c r="F22" s="3">
        <v>2.1493293124326112</v>
      </c>
    </row>
    <row r="23" spans="2:7" x14ac:dyDescent="0.2">
      <c r="B23" s="5" t="s">
        <v>20</v>
      </c>
      <c r="C23" s="3">
        <v>-33.172121179999998</v>
      </c>
      <c r="D23" s="3">
        <v>-31.70274684999999</v>
      </c>
      <c r="E23" s="3">
        <v>-32.936015259999998</v>
      </c>
      <c r="F23" s="3">
        <v>-33.645769636693117</v>
      </c>
    </row>
    <row r="24" spans="2:7" x14ac:dyDescent="0.2">
      <c r="B24" s="7"/>
      <c r="C24" s="3"/>
      <c r="D24" s="3"/>
      <c r="E24" s="3"/>
      <c r="F24" s="3"/>
    </row>
    <row r="25" spans="2:7" x14ac:dyDescent="0.2">
      <c r="B25" s="15" t="s">
        <v>21</v>
      </c>
      <c r="C25" s="3">
        <v>7.4278788200000037</v>
      </c>
      <c r="D25" s="3">
        <v>7.1972531500000052</v>
      </c>
      <c r="E25" s="3">
        <v>13.06398474</v>
      </c>
      <c r="F25" s="3">
        <v>18.579196294499319</v>
      </c>
      <c r="G25" s="2"/>
    </row>
    <row r="26" spans="2:7" x14ac:dyDescent="0.2">
      <c r="B26" s="15"/>
      <c r="C26" s="3"/>
      <c r="D26" s="3"/>
      <c r="E26" s="3"/>
      <c r="F26" s="3"/>
    </row>
    <row r="27" spans="2:7" x14ac:dyDescent="0.2">
      <c r="B27" s="29" t="s">
        <v>22</v>
      </c>
      <c r="C27" s="3"/>
      <c r="D27" s="3"/>
      <c r="E27" s="3"/>
      <c r="F27" s="3"/>
    </row>
    <row r="28" spans="2:7" x14ac:dyDescent="0.2">
      <c r="B28" s="5" t="s">
        <v>23</v>
      </c>
      <c r="C28" s="3">
        <v>-3.2109358800000001</v>
      </c>
      <c r="D28" s="3">
        <v>-2.9779364400000001</v>
      </c>
      <c r="E28" s="3">
        <v>-5.5279112000000001</v>
      </c>
      <c r="F28" s="3">
        <v>-4.3133125165505906</v>
      </c>
    </row>
    <row r="29" spans="2:7" x14ac:dyDescent="0.2">
      <c r="B29" s="5" t="s">
        <v>24</v>
      </c>
      <c r="C29" s="3">
        <v>-2</v>
      </c>
      <c r="D29" s="3">
        <v>-2.7</v>
      </c>
      <c r="E29" s="3">
        <v>-2.8</v>
      </c>
      <c r="F29" s="3">
        <v>-3.1403289647901</v>
      </c>
    </row>
    <row r="30" spans="2:7" x14ac:dyDescent="0.2">
      <c r="B30" s="5" t="s">
        <v>25</v>
      </c>
      <c r="C30" s="9" t="s">
        <v>26</v>
      </c>
      <c r="D30" s="9" t="s">
        <v>26</v>
      </c>
      <c r="E30" s="3">
        <v>-1.4</v>
      </c>
      <c r="F30" s="3">
        <v>-1.570164482395048</v>
      </c>
    </row>
    <row r="31" spans="2:7" x14ac:dyDescent="0.2">
      <c r="B31" s="5" t="s">
        <v>27</v>
      </c>
      <c r="C31" s="9" t="s">
        <v>26</v>
      </c>
      <c r="D31" s="9">
        <v>-1</v>
      </c>
      <c r="E31" s="3">
        <v>-1.4</v>
      </c>
      <c r="F31" s="3">
        <v>-1.4</v>
      </c>
    </row>
    <row r="32" spans="2:7" x14ac:dyDescent="0.2">
      <c r="B32" s="5" t="s">
        <v>28</v>
      </c>
      <c r="C32" s="9" t="s">
        <v>26</v>
      </c>
      <c r="D32" s="9">
        <v>-1.4432410604999999</v>
      </c>
      <c r="E32" s="3">
        <v>-1.726736525</v>
      </c>
      <c r="F32" s="3">
        <v>-1.936614544292321</v>
      </c>
    </row>
    <row r="33" spans="2:6" x14ac:dyDescent="0.2">
      <c r="B33" s="5"/>
      <c r="C33" s="9"/>
      <c r="D33" s="9"/>
      <c r="E33" s="3"/>
      <c r="F33" s="3"/>
    </row>
    <row r="34" spans="2:6" x14ac:dyDescent="0.2">
      <c r="B34" s="29" t="s">
        <v>29</v>
      </c>
      <c r="C34" s="8"/>
      <c r="D34" s="8"/>
      <c r="E34" s="8"/>
      <c r="F34" s="8"/>
    </row>
    <row r="35" spans="2:6" x14ac:dyDescent="0.2">
      <c r="B35" s="8" t="s">
        <v>13</v>
      </c>
      <c r="C35" s="22" t="s">
        <v>26</v>
      </c>
      <c r="D35" s="23">
        <f>+D10/C10-1</f>
        <v>1.459346768589298E-2</v>
      </c>
      <c r="E35" s="23">
        <f>+E10/D10-1</f>
        <v>7.5342465753425181E-3</v>
      </c>
      <c r="F35" s="23">
        <f>+F10/E10-1</f>
        <v>0.12394985746619858</v>
      </c>
    </row>
    <row r="36" spans="2:6" x14ac:dyDescent="0.2">
      <c r="B36" s="8" t="s">
        <v>15</v>
      </c>
      <c r="C36" s="22"/>
      <c r="D36" s="23">
        <f>D17/C17-1</f>
        <v>-4.1871921182266125E-2</v>
      </c>
      <c r="E36" s="23">
        <f>E17/D17-1</f>
        <v>0.18251928020565567</v>
      </c>
      <c r="F36" s="23">
        <f>F17/E17-1</f>
        <v>0.1353253463302706</v>
      </c>
    </row>
    <row r="37" spans="2:6" x14ac:dyDescent="0.2">
      <c r="B37" s="8" t="s">
        <v>20</v>
      </c>
      <c r="C37" s="22"/>
      <c r="D37" s="23">
        <f>D23/C23-1</f>
        <v>-4.4295458889313299E-2</v>
      </c>
      <c r="E37" s="23">
        <f>E23/D23-1</f>
        <v>3.8900995419581808E-2</v>
      </c>
      <c r="F37" s="23">
        <f>F23/E23-1</f>
        <v>2.1549491372597762E-2</v>
      </c>
    </row>
    <row r="38" spans="2:6" x14ac:dyDescent="0.2">
      <c r="B38" s="8" t="s">
        <v>21</v>
      </c>
      <c r="C38" s="23"/>
      <c r="D38" s="23">
        <f>D25/C25-1</f>
        <v>-3.1048658114753436E-2</v>
      </c>
      <c r="E38" s="23">
        <f>E25/D25-1</f>
        <v>0.81513481153570244</v>
      </c>
      <c r="F38" s="23">
        <f>F25/E25-1</f>
        <v>0.42216916693208861</v>
      </c>
    </row>
    <row r="39" spans="2:6" x14ac:dyDescent="0.2">
      <c r="B39" s="8"/>
      <c r="C39" s="22"/>
      <c r="D39" s="23"/>
      <c r="E39" s="23"/>
      <c r="F39" s="23"/>
    </row>
    <row r="40" spans="2:6" x14ac:dyDescent="0.2">
      <c r="B40" s="26" t="s">
        <v>30</v>
      </c>
      <c r="C40" s="22"/>
      <c r="D40" s="23"/>
      <c r="E40" s="23"/>
      <c r="F40" s="23"/>
    </row>
    <row r="41" spans="2:6" x14ac:dyDescent="0.2">
      <c r="B41" s="8" t="s">
        <v>15</v>
      </c>
      <c r="C41" s="23">
        <f>+C17/C10</f>
        <v>0.28214037526059765</v>
      </c>
      <c r="D41" s="23">
        <f>+D17/D10</f>
        <v>0.26643835616438355</v>
      </c>
      <c r="E41" s="23">
        <f>+E17/E10</f>
        <v>0.31271244051665537</v>
      </c>
      <c r="F41" s="23">
        <f>+F17/F10</f>
        <v>0.31587740100054501</v>
      </c>
    </row>
    <row r="42" spans="2:6" x14ac:dyDescent="0.2">
      <c r="B42" s="8" t="s">
        <v>20</v>
      </c>
      <c r="C42" s="23">
        <f>C23/C10</f>
        <v>-0.23052203738707433</v>
      </c>
      <c r="D42" s="23">
        <f>D23/D10</f>
        <v>-0.2171421017123287</v>
      </c>
      <c r="E42" s="23">
        <f>E23/E10</f>
        <v>-0.22390221114887832</v>
      </c>
      <c r="F42" s="23">
        <f>F23/F10</f>
        <v>-0.20350301963823625</v>
      </c>
    </row>
    <row r="43" spans="2:6" x14ac:dyDescent="0.2">
      <c r="B43" s="8" t="s">
        <v>21</v>
      </c>
      <c r="C43" s="24">
        <f>C25/C10</f>
        <v>5.1618337873523303E-2</v>
      </c>
      <c r="D43" s="24">
        <f>D25/D10</f>
        <v>4.9296254452054829E-2</v>
      </c>
      <c r="E43" s="24">
        <f>E25/E10</f>
        <v>8.8810229367777035E-2</v>
      </c>
      <c r="F43" s="24">
        <f>F25/F10</f>
        <v>0.11237438136230875</v>
      </c>
    </row>
    <row r="44" spans="2:6" x14ac:dyDescent="0.2">
      <c r="B44" s="8"/>
      <c r="C44" s="24"/>
      <c r="D44" s="24"/>
      <c r="E44" s="24"/>
      <c r="F44" s="24"/>
    </row>
    <row r="45" spans="2:6" x14ac:dyDescent="0.2">
      <c r="B45" s="28" t="s">
        <v>31</v>
      </c>
      <c r="C45" s="17"/>
      <c r="D45" s="17"/>
      <c r="E45" s="17"/>
      <c r="F45" s="17"/>
    </row>
    <row r="46" spans="2:6" x14ac:dyDescent="0.2">
      <c r="B46" s="6" t="s">
        <v>32</v>
      </c>
      <c r="C46" s="14"/>
      <c r="D46" s="30" t="str">
        <f>D3</f>
        <v>2018A</v>
      </c>
      <c r="E46" s="30" t="str">
        <f>E3</f>
        <v>2019A</v>
      </c>
      <c r="F46" s="30" t="str">
        <f>F3</f>
        <v>2020E</v>
      </c>
    </row>
    <row r="47" spans="2:6" x14ac:dyDescent="0.2">
      <c r="B47" s="25" t="s">
        <v>33</v>
      </c>
      <c r="C47" s="14"/>
      <c r="D47" s="16"/>
      <c r="E47" s="16"/>
      <c r="F47" s="16"/>
    </row>
    <row r="48" spans="2:6" x14ac:dyDescent="0.2">
      <c r="B48" s="5" t="s">
        <v>34</v>
      </c>
      <c r="C48" s="8"/>
      <c r="D48" s="10">
        <v>3.0813374599999999</v>
      </c>
      <c r="E48" s="10">
        <v>7.1965906900000007</v>
      </c>
      <c r="F48" s="10">
        <v>7.4236071382395048</v>
      </c>
    </row>
    <row r="49" spans="2:7" x14ac:dyDescent="0.2">
      <c r="B49" s="5" t="s">
        <v>35</v>
      </c>
      <c r="C49" s="8"/>
      <c r="D49" s="10">
        <v>44.430985339999999</v>
      </c>
      <c r="E49" s="10">
        <v>46.330678079999998</v>
      </c>
      <c r="F49" s="10">
        <v>46.330678079999998</v>
      </c>
    </row>
    <row r="50" spans="2:7" x14ac:dyDescent="0.2">
      <c r="B50" s="5" t="s">
        <v>36</v>
      </c>
      <c r="C50" s="8"/>
      <c r="D50" s="10">
        <v>5.5237091999999999</v>
      </c>
      <c r="E50" s="10">
        <v>7.4368546900000014</v>
      </c>
      <c r="F50" s="10">
        <v>8.3340341610917132</v>
      </c>
    </row>
    <row r="51" spans="2:7" x14ac:dyDescent="0.2">
      <c r="B51" s="5" t="s">
        <v>37</v>
      </c>
      <c r="C51" s="8"/>
      <c r="D51" s="10">
        <v>4.89567014</v>
      </c>
      <c r="E51" s="10">
        <v>1.2501710800000001</v>
      </c>
      <c r="F51" s="10">
        <v>0.95922502125845654</v>
      </c>
    </row>
    <row r="52" spans="2:7" x14ac:dyDescent="0.2">
      <c r="B52" s="5" t="s">
        <v>38</v>
      </c>
      <c r="C52" s="8"/>
      <c r="D52" s="10">
        <v>14.432410604999999</v>
      </c>
      <c r="E52" s="10">
        <v>17.267365250000001</v>
      </c>
      <c r="F52" s="10">
        <v>19.366145442923209</v>
      </c>
    </row>
    <row r="53" spans="2:7" x14ac:dyDescent="0.2">
      <c r="B53" s="5" t="s">
        <v>39</v>
      </c>
      <c r="C53" s="8"/>
      <c r="D53" s="10">
        <v>1.4432410604999999</v>
      </c>
      <c r="E53" s="10">
        <v>1.726736525</v>
      </c>
      <c r="F53" s="10">
        <v>1.9366145442923199</v>
      </c>
    </row>
    <row r="54" spans="2:7" x14ac:dyDescent="0.2">
      <c r="B54" s="5" t="s">
        <v>40</v>
      </c>
      <c r="C54" s="8"/>
      <c r="D54" s="10">
        <v>17.410772783999999</v>
      </c>
      <c r="E54" s="10">
        <v>21.633166320000001</v>
      </c>
      <c r="F54" s="10">
        <v>25.892916354338571</v>
      </c>
    </row>
    <row r="55" spans="2:7" x14ac:dyDescent="0.2">
      <c r="B55" s="5" t="s">
        <v>41</v>
      </c>
      <c r="C55" s="8"/>
      <c r="D55" s="10">
        <v>2.4459022300000002</v>
      </c>
      <c r="E55" s="10">
        <v>0.61386156999999997</v>
      </c>
      <c r="F55" s="10">
        <v>0.68847402451518691</v>
      </c>
    </row>
    <row r="56" spans="2:7" x14ac:dyDescent="0.2">
      <c r="B56" s="5" t="s">
        <v>42</v>
      </c>
      <c r="C56" s="8"/>
      <c r="D56" s="10">
        <v>1.9192557800000001</v>
      </c>
      <c r="E56" s="10">
        <v>1.75254797</v>
      </c>
      <c r="F56" s="10">
        <v>1.965563268705387</v>
      </c>
    </row>
    <row r="57" spans="2:7" x14ac:dyDescent="0.2">
      <c r="B57" s="5" t="s">
        <v>43</v>
      </c>
      <c r="C57" s="8"/>
      <c r="D57" s="10">
        <v>95.583284599500004</v>
      </c>
      <c r="E57" s="10">
        <v>105.20797217499999</v>
      </c>
      <c r="F57" s="10">
        <v>112.8972580353643</v>
      </c>
    </row>
    <row r="58" spans="2:7" x14ac:dyDescent="0.2">
      <c r="B58" s="7"/>
      <c r="C58" s="8"/>
      <c r="D58" s="10"/>
      <c r="E58" s="10"/>
      <c r="F58" s="10"/>
    </row>
    <row r="59" spans="2:7" x14ac:dyDescent="0.2">
      <c r="B59" s="25" t="s">
        <v>44</v>
      </c>
      <c r="C59" s="8"/>
      <c r="D59" s="8"/>
      <c r="E59" s="8"/>
      <c r="F59" s="8"/>
    </row>
    <row r="60" spans="2:7" x14ac:dyDescent="0.2">
      <c r="B60" s="5" t="s">
        <v>45</v>
      </c>
      <c r="C60" s="8"/>
      <c r="D60" s="10">
        <v>5.8420196600000001</v>
      </c>
      <c r="E60" s="10">
        <v>2.1252234200000002</v>
      </c>
      <c r="F60" s="10">
        <v>4.8344713013588434</v>
      </c>
    </row>
    <row r="61" spans="2:7" x14ac:dyDescent="0.2">
      <c r="B61" s="5" t="s">
        <v>46</v>
      </c>
      <c r="C61" s="8"/>
      <c r="D61" s="10">
        <v>25.364502779999999</v>
      </c>
      <c r="E61" s="10">
        <v>25.8827955</v>
      </c>
      <c r="F61" s="10">
        <v>28.133635280010239</v>
      </c>
      <c r="G61" s="11"/>
    </row>
    <row r="62" spans="2:7" x14ac:dyDescent="0.2">
      <c r="B62" s="5" t="s">
        <v>47</v>
      </c>
      <c r="C62" s="8"/>
      <c r="D62" s="10">
        <v>8.6999999999999993</v>
      </c>
      <c r="E62" s="10">
        <v>13.279202509999999</v>
      </c>
      <c r="F62" s="10">
        <v>15.139316780821909</v>
      </c>
    </row>
    <row r="63" spans="2:7" x14ac:dyDescent="0.2">
      <c r="B63" s="5" t="s">
        <v>48</v>
      </c>
      <c r="C63" s="8"/>
      <c r="D63" s="10">
        <v>17.22571039</v>
      </c>
      <c r="E63" s="10">
        <v>17.292547590000002</v>
      </c>
      <c r="F63" s="10">
        <v>17.504447156483661</v>
      </c>
    </row>
    <row r="64" spans="2:7" x14ac:dyDescent="0.2">
      <c r="B64" s="5" t="s">
        <v>49</v>
      </c>
      <c r="C64" s="8"/>
      <c r="D64" s="10">
        <v>1.2305627299999999</v>
      </c>
      <c r="E64" s="10">
        <v>1.8583791300000001</v>
      </c>
      <c r="F64" s="10">
        <v>1.8583791300000001</v>
      </c>
    </row>
    <row r="65" spans="2:6" x14ac:dyDescent="0.2">
      <c r="B65" s="5" t="s">
        <v>50</v>
      </c>
      <c r="C65" s="8"/>
      <c r="D65" s="10">
        <v>0</v>
      </c>
      <c r="E65" s="10">
        <v>3.7733252300000002</v>
      </c>
      <c r="F65" s="10">
        <v>3.7733252300000002</v>
      </c>
    </row>
    <row r="66" spans="2:6" x14ac:dyDescent="0.2">
      <c r="B66" s="5" t="s">
        <v>51</v>
      </c>
      <c r="C66" s="8"/>
      <c r="D66" s="10">
        <v>23.503779160000001</v>
      </c>
      <c r="E66" s="10">
        <v>26.8249809</v>
      </c>
      <c r="F66" s="10">
        <v>29.951474245060322</v>
      </c>
    </row>
    <row r="67" spans="2:6" x14ac:dyDescent="0.2">
      <c r="B67" s="5" t="s">
        <v>52</v>
      </c>
      <c r="C67" s="8"/>
      <c r="D67" s="10">
        <v>0.56064376999999999</v>
      </c>
      <c r="E67" s="10">
        <v>0.52455576999999998</v>
      </c>
      <c r="F67" s="10">
        <v>0.58831345649241851</v>
      </c>
    </row>
    <row r="68" spans="2:6" x14ac:dyDescent="0.2">
      <c r="B68" s="5" t="s">
        <v>53</v>
      </c>
      <c r="C68" s="8"/>
      <c r="D68" s="10">
        <v>0.79652328999999999</v>
      </c>
      <c r="E68" s="10">
        <v>1.0315279399999999</v>
      </c>
      <c r="F68" s="10">
        <v>1.1569060957043791</v>
      </c>
    </row>
    <row r="69" spans="2:6" x14ac:dyDescent="0.2">
      <c r="B69" s="5" t="s">
        <v>54</v>
      </c>
      <c r="C69" s="8"/>
      <c r="D69" s="10">
        <v>0.32406812000000002</v>
      </c>
      <c r="E69" s="10">
        <v>1.18942412</v>
      </c>
      <c r="F69" s="10">
        <v>1.3339939340914191</v>
      </c>
    </row>
    <row r="70" spans="2:6" x14ac:dyDescent="0.2">
      <c r="B70" s="5" t="s">
        <v>43</v>
      </c>
      <c r="C70" s="8"/>
      <c r="D70" s="12">
        <v>83.547809900000019</v>
      </c>
      <c r="E70" s="12">
        <v>93.781962110000009</v>
      </c>
      <c r="F70" s="12">
        <v>104.2742626100232</v>
      </c>
    </row>
    <row r="71" spans="2:6" x14ac:dyDescent="0.2">
      <c r="B71" s="5"/>
      <c r="C71" s="8"/>
      <c r="D71" s="12"/>
      <c r="E71" s="12"/>
      <c r="F71" s="12"/>
    </row>
    <row r="72" spans="2:6" x14ac:dyDescent="0.2">
      <c r="B72" s="8" t="s">
        <v>55</v>
      </c>
      <c r="C72" s="8"/>
      <c r="D72" s="13">
        <v>12.035474699499989</v>
      </c>
      <c r="E72" s="13">
        <v>11.42601006499997</v>
      </c>
      <c r="F72" s="13">
        <v>8.6229954253411449</v>
      </c>
    </row>
    <row r="73" spans="2:6" x14ac:dyDescent="0.2">
      <c r="B73" s="8"/>
      <c r="C73" s="8"/>
      <c r="D73" s="13"/>
      <c r="E73" s="13"/>
      <c r="F73" s="13"/>
    </row>
    <row r="74" spans="2:6" x14ac:dyDescent="0.2">
      <c r="B74" s="20" t="s">
        <v>56</v>
      </c>
      <c r="C74" s="8"/>
      <c r="D74" s="8"/>
      <c r="E74" s="8"/>
      <c r="F74" s="8"/>
    </row>
    <row r="75" spans="2:6" x14ac:dyDescent="0.2">
      <c r="B75" s="19" t="s">
        <v>57</v>
      </c>
      <c r="C75" s="8"/>
      <c r="D75" s="8"/>
      <c r="E75" s="8"/>
      <c r="F75" s="8"/>
    </row>
    <row r="76" spans="2:6" x14ac:dyDescent="0.2">
      <c r="B76" s="18" t="s">
        <v>58</v>
      </c>
      <c r="C76" s="8"/>
      <c r="D76" s="8"/>
      <c r="E76" s="8"/>
      <c r="F76" s="8"/>
    </row>
    <row r="77" spans="2:6" x14ac:dyDescent="0.2">
      <c r="B77" s="19" t="s">
        <v>59</v>
      </c>
      <c r="C77" s="8"/>
      <c r="D77" s="8"/>
      <c r="E77" s="8"/>
      <c r="F77" s="8"/>
    </row>
    <row r="79" spans="2:6" x14ac:dyDescent="0.2">
      <c r="D79" s="2"/>
      <c r="E79" s="2"/>
      <c r="F79" s="2"/>
    </row>
    <row r="81" spans="4:6" x14ac:dyDescent="0.2">
      <c r="D81" s="2"/>
      <c r="E81" s="2"/>
      <c r="F81" s="2"/>
    </row>
    <row r="83" spans="4:6" x14ac:dyDescent="0.2">
      <c r="E83" s="2"/>
    </row>
    <row r="84" spans="4:6" x14ac:dyDescent="0.2">
      <c r="E84" s="2"/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49"/>
  <sheetViews>
    <sheetView showGridLines="0" tabSelected="1" topLeftCell="B1" workbookViewId="0">
      <selection activeCell="I19" sqref="I19"/>
    </sheetView>
  </sheetViews>
  <sheetFormatPr defaultRowHeight="15" x14ac:dyDescent="0.25"/>
  <cols>
    <col min="1" max="1" width="3" customWidth="1"/>
    <col min="2" max="2" width="38" customWidth="1"/>
    <col min="3" max="11" width="14" customWidth="1"/>
  </cols>
  <sheetData>
    <row r="2" spans="2:11" ht="18.75" x14ac:dyDescent="0.3">
      <c r="B2" s="32" t="s">
        <v>60</v>
      </c>
    </row>
    <row r="4" spans="2:11" x14ac:dyDescent="0.25">
      <c r="B4" s="33" t="s">
        <v>61</v>
      </c>
      <c r="C4" s="34">
        <v>2017</v>
      </c>
      <c r="D4" s="34">
        <v>2018</v>
      </c>
      <c r="E4" s="34">
        <v>2019</v>
      </c>
      <c r="F4" s="34">
        <v>2020</v>
      </c>
      <c r="G4" s="34">
        <v>2021</v>
      </c>
      <c r="H4" s="34">
        <v>2022</v>
      </c>
      <c r="I4" s="34">
        <v>2023</v>
      </c>
      <c r="J4" s="34">
        <v>2024</v>
      </c>
      <c r="K4" s="34">
        <v>2025</v>
      </c>
    </row>
    <row r="6" spans="2:11" x14ac:dyDescent="0.25">
      <c r="B6" s="35" t="s">
        <v>62</v>
      </c>
    </row>
    <row r="7" spans="2:11" x14ac:dyDescent="0.25">
      <c r="B7" s="33" t="s">
        <v>63</v>
      </c>
      <c r="C7" s="36">
        <v>8</v>
      </c>
    </row>
    <row r="8" spans="2:11" x14ac:dyDescent="0.25">
      <c r="B8" s="33" t="s">
        <v>64</v>
      </c>
      <c r="C8" s="36">
        <v>8</v>
      </c>
    </row>
    <row r="9" spans="2:11" x14ac:dyDescent="0.25">
      <c r="B9" s="33" t="s">
        <v>65</v>
      </c>
      <c r="C9" s="37">
        <v>2020</v>
      </c>
    </row>
    <row r="10" spans="2:11" x14ac:dyDescent="0.25">
      <c r="B10" s="33" t="s">
        <v>66</v>
      </c>
      <c r="C10" s="37">
        <v>2025</v>
      </c>
    </row>
    <row r="11" spans="2:11" x14ac:dyDescent="0.25">
      <c r="B11" s="33" t="s">
        <v>67</v>
      </c>
      <c r="C11" s="36">
        <v>0.25</v>
      </c>
    </row>
    <row r="12" spans="2:11" x14ac:dyDescent="0.25">
      <c r="B12" s="33" t="s">
        <v>68</v>
      </c>
      <c r="C12" s="36">
        <v>2.6100000000000002E-2</v>
      </c>
    </row>
    <row r="13" spans="2:11" x14ac:dyDescent="0.25">
      <c r="B13" s="33" t="s">
        <v>69</v>
      </c>
      <c r="C13" s="36">
        <v>0.03</v>
      </c>
    </row>
    <row r="14" spans="2:11" x14ac:dyDescent="0.25">
      <c r="B14" s="33" t="s">
        <v>70</v>
      </c>
      <c r="C14" s="36">
        <v>0.03</v>
      </c>
    </row>
    <row r="15" spans="2:11" x14ac:dyDescent="0.25">
      <c r="B15" s="33" t="s">
        <v>71</v>
      </c>
      <c r="C15" s="36">
        <v>0.02</v>
      </c>
    </row>
    <row r="16" spans="2:11" x14ac:dyDescent="0.25">
      <c r="B16" s="33" t="s">
        <v>72</v>
      </c>
      <c r="C16" s="36">
        <v>0.02</v>
      </c>
    </row>
    <row r="17" spans="2:3" x14ac:dyDescent="0.25">
      <c r="B17" s="33" t="s">
        <v>73</v>
      </c>
      <c r="C17" s="36">
        <v>10</v>
      </c>
    </row>
    <row r="18" spans="2:3" x14ac:dyDescent="0.25">
      <c r="B18" s="33" t="s">
        <v>74</v>
      </c>
      <c r="C18" s="36">
        <v>5</v>
      </c>
    </row>
    <row r="19" spans="2:3" x14ac:dyDescent="0.25">
      <c r="B19" s="33" t="s">
        <v>75</v>
      </c>
      <c r="C19" s="36">
        <v>0.05</v>
      </c>
    </row>
    <row r="20" spans="2:3" x14ac:dyDescent="0.25">
      <c r="B20" s="33" t="s">
        <v>76</v>
      </c>
      <c r="C20" s="36">
        <v>0.08</v>
      </c>
    </row>
    <row r="21" spans="2:3" x14ac:dyDescent="0.25">
      <c r="B21" s="33" t="s">
        <v>77</v>
      </c>
      <c r="C21" s="36">
        <v>0.75</v>
      </c>
    </row>
    <row r="22" spans="2:3" x14ac:dyDescent="0.25">
      <c r="B22" s="33" t="s">
        <v>78</v>
      </c>
      <c r="C22" s="36">
        <v>0.05</v>
      </c>
    </row>
    <row r="25" spans="2:3" x14ac:dyDescent="0.25">
      <c r="B25" s="35" t="s">
        <v>79</v>
      </c>
    </row>
    <row r="26" spans="2:3" x14ac:dyDescent="0.25">
      <c r="B26" s="33" t="s">
        <v>80</v>
      </c>
      <c r="C26" s="38">
        <v>7.0000000000000007E-2</v>
      </c>
    </row>
    <row r="27" spans="2:3" x14ac:dyDescent="0.25">
      <c r="B27" s="33" t="s">
        <v>81</v>
      </c>
      <c r="C27" s="38">
        <v>0.05</v>
      </c>
    </row>
    <row r="28" spans="2:3" x14ac:dyDescent="0.25">
      <c r="B28" s="33" t="s">
        <v>11</v>
      </c>
      <c r="C28" s="38">
        <v>0.12</v>
      </c>
    </row>
    <row r="29" spans="2:3" x14ac:dyDescent="0.25">
      <c r="B29" s="33" t="s">
        <v>12</v>
      </c>
      <c r="C29" s="38">
        <v>-0.05</v>
      </c>
    </row>
    <row r="31" spans="2:3" x14ac:dyDescent="0.25">
      <c r="B31" s="35" t="s">
        <v>82</v>
      </c>
    </row>
    <row r="32" spans="2:3" x14ac:dyDescent="0.25">
      <c r="B32" s="33" t="s">
        <v>83</v>
      </c>
    </row>
    <row r="33" spans="2:11" x14ac:dyDescent="0.25">
      <c r="B33" s="33" t="s">
        <v>80</v>
      </c>
      <c r="C33" s="39">
        <f>Data!C6</f>
        <v>31.5</v>
      </c>
      <c r="D33" s="39">
        <f>Data!D6</f>
        <v>32.4</v>
      </c>
      <c r="E33" s="39">
        <f>Data!E6</f>
        <v>37.299999999999997</v>
      </c>
      <c r="F33" s="39">
        <f>Data!F6</f>
        <v>53.946401200510607</v>
      </c>
      <c r="G33" s="39">
        <f>F33*(1+$C$26)</f>
        <v>57.72264928454635</v>
      </c>
      <c r="H33" s="39">
        <f>G33*(1+$C$26)</f>
        <v>61.763234734464596</v>
      </c>
      <c r="I33" s="39">
        <f>H33*(1+$C$26)</f>
        <v>66.086661165877118</v>
      </c>
      <c r="J33" s="39">
        <f>I33*(1+$C$26)</f>
        <v>70.712727447488518</v>
      </c>
      <c r="K33" s="39">
        <f>J33*(1+$C$26)</f>
        <v>75.662618368812716</v>
      </c>
    </row>
    <row r="34" spans="2:11" x14ac:dyDescent="0.25">
      <c r="B34" s="33" t="s">
        <v>81</v>
      </c>
      <c r="C34" s="39">
        <f>Data!C7</f>
        <v>31</v>
      </c>
      <c r="D34" s="39">
        <f>Data!D7</f>
        <v>32.9</v>
      </c>
      <c r="E34" s="39">
        <f>Data!E7</f>
        <v>38.9</v>
      </c>
      <c r="F34" s="39">
        <f>Data!F7</f>
        <v>42.650782947560742</v>
      </c>
      <c r="G34" s="39">
        <f>F34*(1+$C$27)</f>
        <v>44.783322094938782</v>
      </c>
      <c r="H34" s="39">
        <f>G34*(1+$C$27)</f>
        <v>47.022488199685725</v>
      </c>
      <c r="I34" s="39">
        <f>H34*(1+$C$27)</f>
        <v>49.373612609670012</v>
      </c>
      <c r="J34" s="39">
        <f>I34*(1+$C$27)</f>
        <v>51.842293240153516</v>
      </c>
      <c r="K34" s="39">
        <f>J34*(1+$C$27)</f>
        <v>54.434407902161198</v>
      </c>
    </row>
    <row r="35" spans="2:11" x14ac:dyDescent="0.25">
      <c r="B35" s="33" t="s">
        <v>11</v>
      </c>
      <c r="C35" s="39">
        <f>Data!C8</f>
        <v>18.600000000000001</v>
      </c>
      <c r="D35" s="39">
        <f>Data!D8</f>
        <v>22.8</v>
      </c>
      <c r="E35" s="39">
        <f>Data!E8</f>
        <v>28.3</v>
      </c>
      <c r="F35" s="39">
        <f>Data!F8</f>
        <v>32.533501129463197</v>
      </c>
      <c r="G35" s="39">
        <f>F35*(1+$C$28)</f>
        <v>36.437521264998786</v>
      </c>
      <c r="H35" s="39">
        <f>G35*(1+$C$28)</f>
        <v>40.810023816798648</v>
      </c>
      <c r="I35" s="39">
        <f>H35*(1+$C$28)</f>
        <v>45.707226674814493</v>
      </c>
      <c r="J35" s="39">
        <f>I35*(1+$C$28)</f>
        <v>51.192093875792239</v>
      </c>
      <c r="K35" s="39">
        <f>J35*(1+$C$28)</f>
        <v>57.335145140887313</v>
      </c>
    </row>
    <row r="36" spans="2:11" x14ac:dyDescent="0.25">
      <c r="B36" s="33" t="s">
        <v>12</v>
      </c>
      <c r="C36" s="39">
        <f>Data!C9</f>
        <v>62.8</v>
      </c>
      <c r="D36" s="39">
        <f>Data!D9</f>
        <v>57.9</v>
      </c>
      <c r="E36" s="39">
        <f>Data!E9</f>
        <v>42.6</v>
      </c>
      <c r="F36" s="39">
        <f>Data!F9</f>
        <v>36.20233875574327</v>
      </c>
      <c r="G36" s="39">
        <f>F36*(1+$C$29)</f>
        <v>34.392221817956106</v>
      </c>
      <c r="H36" s="39">
        <f>G36*(1+$C$29)</f>
        <v>32.672610727058299</v>
      </c>
      <c r="I36" s="39">
        <f>H36*(1+$C$29)</f>
        <v>31.038980190705381</v>
      </c>
      <c r="J36" s="39">
        <f>I36*(1+$C$29)</f>
        <v>29.48703118117011</v>
      </c>
      <c r="K36" s="39">
        <f>J36*(1+$C$29)</f>
        <v>28.012679622111602</v>
      </c>
    </row>
    <row r="37" spans="2:11" x14ac:dyDescent="0.25">
      <c r="B37" s="33" t="s">
        <v>84</v>
      </c>
      <c r="C37" s="39">
        <f>Data!C10</f>
        <v>143.9</v>
      </c>
      <c r="D37" s="39">
        <f>Data!D10</f>
        <v>146</v>
      </c>
      <c r="E37" s="39">
        <f>Data!E10</f>
        <v>147.1</v>
      </c>
      <c r="F37" s="39">
        <f>Data!F10</f>
        <v>165.33302403327781</v>
      </c>
      <c r="G37" s="39">
        <f>SUM(G33:G36)</f>
        <v>173.33571446244002</v>
      </c>
      <c r="H37" s="39">
        <f>SUM(H33:H36)</f>
        <v>182.26835747800729</v>
      </c>
      <c r="I37" s="39">
        <f>SUM(I33:I36)</f>
        <v>192.206480641067</v>
      </c>
      <c r="J37" s="39">
        <f>SUM(J33:J36)</f>
        <v>203.2341457446044</v>
      </c>
      <c r="K37" s="39">
        <f>SUM(K33:K36)</f>
        <v>215.44485103397281</v>
      </c>
    </row>
    <row r="39" spans="2:11" x14ac:dyDescent="0.25">
      <c r="B39" s="33" t="s">
        <v>85</v>
      </c>
    </row>
    <row r="40" spans="2:11" x14ac:dyDescent="0.25">
      <c r="B40" s="33" t="s">
        <v>86</v>
      </c>
      <c r="C40" s="40">
        <f>Data!F17/Data!F10</f>
        <v>0.31587740100054501</v>
      </c>
    </row>
    <row r="41" spans="2:11" x14ac:dyDescent="0.25">
      <c r="B41" s="33" t="s">
        <v>87</v>
      </c>
      <c r="C41" s="39">
        <f t="shared" ref="C41:K41" si="0">-C37*(1-$C$40)</f>
        <v>-98.445241996021579</v>
      </c>
      <c r="D41" s="39">
        <f t="shared" si="0"/>
        <v>-99.88189945392044</v>
      </c>
      <c r="E41" s="39">
        <f t="shared" si="0"/>
        <v>-100.63443431281983</v>
      </c>
      <c r="F41" s="39">
        <f t="shared" si="0"/>
        <v>-113.10805810208538</v>
      </c>
      <c r="G41" s="39">
        <f t="shared" si="0"/>
        <v>-118.58287947747189</v>
      </c>
      <c r="H41" s="39">
        <f t="shared" si="0"/>
        <v>-124.69390243321611</v>
      </c>
      <c r="I41" s="39">
        <f t="shared" si="0"/>
        <v>-131.4927970807052</v>
      </c>
      <c r="J41" s="39">
        <f t="shared" si="0"/>
        <v>-139.0370719922328</v>
      </c>
      <c r="K41" s="39">
        <f t="shared" si="0"/>
        <v>-147.39069143041192</v>
      </c>
    </row>
    <row r="42" spans="2:11" x14ac:dyDescent="0.25">
      <c r="B42" s="33" t="s">
        <v>88</v>
      </c>
      <c r="C42" s="39">
        <f t="shared" ref="C42:K42" si="1">C37+C41</f>
        <v>45.454758003978426</v>
      </c>
      <c r="D42" s="39">
        <f t="shared" si="1"/>
        <v>46.11810054607956</v>
      </c>
      <c r="E42" s="39">
        <f t="shared" si="1"/>
        <v>46.46556568718016</v>
      </c>
      <c r="F42" s="39">
        <f t="shared" si="1"/>
        <v>52.224965931192429</v>
      </c>
      <c r="G42" s="39">
        <f t="shared" si="1"/>
        <v>54.752834984968132</v>
      </c>
      <c r="H42" s="39">
        <f t="shared" si="1"/>
        <v>57.574455044791179</v>
      </c>
      <c r="I42" s="39">
        <f t="shared" si="1"/>
        <v>60.713683560361801</v>
      </c>
      <c r="J42" s="39">
        <f t="shared" si="1"/>
        <v>64.197073752371608</v>
      </c>
      <c r="K42" s="39">
        <f t="shared" si="1"/>
        <v>68.05415960356089</v>
      </c>
    </row>
    <row r="44" spans="2:11" x14ac:dyDescent="0.25">
      <c r="B44" s="33" t="s">
        <v>89</v>
      </c>
    </row>
    <row r="45" spans="2:11" x14ac:dyDescent="0.25">
      <c r="B45" s="33" t="s">
        <v>90</v>
      </c>
      <c r="C45" s="40">
        <f>Data!F20/Data!F10</f>
        <v>-0.16</v>
      </c>
    </row>
    <row r="46" spans="2:11" x14ac:dyDescent="0.25">
      <c r="B46" s="33" t="s">
        <v>91</v>
      </c>
      <c r="C46" s="40">
        <f>Data!F21/Data!F10</f>
        <v>-5.6503019638236278E-2</v>
      </c>
    </row>
    <row r="47" spans="2:11" x14ac:dyDescent="0.25">
      <c r="B47" s="33" t="s">
        <v>92</v>
      </c>
      <c r="C47" s="40">
        <f>Data!F22/Data!F10</f>
        <v>1.2999999999999998E-2</v>
      </c>
    </row>
    <row r="49" spans="2:11" x14ac:dyDescent="0.25">
      <c r="B49" s="33" t="s">
        <v>17</v>
      </c>
      <c r="C49" s="39">
        <f t="shared" ref="C49:K49" si="2">C37*$C$45</f>
        <v>-23.024000000000001</v>
      </c>
      <c r="D49" s="39">
        <f t="shared" si="2"/>
        <v>-23.36</v>
      </c>
      <c r="E49" s="39">
        <f t="shared" si="2"/>
        <v>-23.535999999999998</v>
      </c>
      <c r="F49" s="39">
        <f t="shared" si="2"/>
        <v>-26.453283845324449</v>
      </c>
      <c r="G49" s="39">
        <f t="shared" si="2"/>
        <v>-27.733714313990404</v>
      </c>
      <c r="H49" s="39">
        <f t="shared" si="2"/>
        <v>-29.162937196481167</v>
      </c>
      <c r="I49" s="39">
        <f t="shared" si="2"/>
        <v>-30.75303690257072</v>
      </c>
      <c r="J49" s="39">
        <f t="shared" si="2"/>
        <v>-32.517463319136702</v>
      </c>
      <c r="K49" s="39">
        <f t="shared" si="2"/>
        <v>-34.471176165435651</v>
      </c>
    </row>
    <row r="50" spans="2:11" x14ac:dyDescent="0.25">
      <c r="B50" s="33" t="s">
        <v>18</v>
      </c>
      <c r="C50" s="39">
        <f t="shared" ref="C50:K50" si="3">C37*$C$46</f>
        <v>-8.1307845259422002</v>
      </c>
      <c r="D50" s="39">
        <f t="shared" si="3"/>
        <v>-8.2494408671824964</v>
      </c>
      <c r="E50" s="39">
        <f t="shared" si="3"/>
        <v>-8.3115941887845555</v>
      </c>
      <c r="F50" s="39">
        <f t="shared" si="3"/>
        <v>-9.3418151038012862</v>
      </c>
      <c r="G50" s="39">
        <f t="shared" si="3"/>
        <v>-9.7939912782789644</v>
      </c>
      <c r="H50" s="39">
        <f t="shared" si="3"/>
        <v>-10.298712582008916</v>
      </c>
      <c r="I50" s="39">
        <f t="shared" si="3"/>
        <v>-10.86024655025849</v>
      </c>
      <c r="J50" s="39">
        <f t="shared" si="3"/>
        <v>-11.483342928167557</v>
      </c>
      <c r="K50" s="39">
        <f t="shared" si="3"/>
        <v>-12.173284648929455</v>
      </c>
    </row>
    <row r="51" spans="2:11" x14ac:dyDescent="0.25">
      <c r="B51" s="33" t="s">
        <v>19</v>
      </c>
      <c r="C51" s="39">
        <f t="shared" ref="C51:K51" si="4">C37*$C$47</f>
        <v>1.8706999999999998</v>
      </c>
      <c r="D51" s="39">
        <f t="shared" si="4"/>
        <v>1.8979999999999997</v>
      </c>
      <c r="E51" s="39">
        <f t="shared" si="4"/>
        <v>1.9122999999999997</v>
      </c>
      <c r="F51" s="39">
        <f t="shared" si="4"/>
        <v>2.1493293124326112</v>
      </c>
      <c r="G51" s="39">
        <f t="shared" si="4"/>
        <v>2.2533642880117197</v>
      </c>
      <c r="H51" s="39">
        <f t="shared" si="4"/>
        <v>2.3694886472140944</v>
      </c>
      <c r="I51" s="39">
        <f t="shared" si="4"/>
        <v>2.4986842483338707</v>
      </c>
      <c r="J51" s="39">
        <f t="shared" si="4"/>
        <v>2.642043894679857</v>
      </c>
      <c r="K51" s="39">
        <f t="shared" si="4"/>
        <v>2.8007830634416462</v>
      </c>
    </row>
    <row r="52" spans="2:11" x14ac:dyDescent="0.25">
      <c r="B52" s="33" t="s">
        <v>93</v>
      </c>
      <c r="C52" s="39">
        <f t="shared" ref="C52:K52" si="5">SUM(C49:C51)</f>
        <v>-29.284084525942202</v>
      </c>
      <c r="D52" s="39">
        <f t="shared" si="5"/>
        <v>-29.711440867182496</v>
      </c>
      <c r="E52" s="39">
        <f t="shared" si="5"/>
        <v>-29.935294188784557</v>
      </c>
      <c r="F52" s="39">
        <f t="shared" si="5"/>
        <v>-33.645769636693124</v>
      </c>
      <c r="G52" s="39">
        <f t="shared" si="5"/>
        <v>-35.274341304257653</v>
      </c>
      <c r="H52" s="39">
        <f t="shared" si="5"/>
        <v>-37.092161131275986</v>
      </c>
      <c r="I52" s="39">
        <f t="shared" si="5"/>
        <v>-39.114599204495335</v>
      </c>
      <c r="J52" s="39">
        <f t="shared" si="5"/>
        <v>-41.358762352624403</v>
      </c>
      <c r="K52" s="39">
        <f t="shared" si="5"/>
        <v>-43.843677750923455</v>
      </c>
    </row>
    <row r="54" spans="2:11" x14ac:dyDescent="0.25">
      <c r="B54" s="33" t="s">
        <v>21</v>
      </c>
      <c r="C54" s="39">
        <f t="shared" ref="C54:K54" si="6">C42+C52</f>
        <v>16.170673478036225</v>
      </c>
      <c r="D54" s="39">
        <f t="shared" si="6"/>
        <v>16.406659678897064</v>
      </c>
      <c r="E54" s="39">
        <f t="shared" si="6"/>
        <v>16.530271498395603</v>
      </c>
      <c r="F54" s="39">
        <f t="shared" si="6"/>
        <v>18.579196294499305</v>
      </c>
      <c r="G54" s="39">
        <f t="shared" si="6"/>
        <v>19.478493680710478</v>
      </c>
      <c r="H54" s="39">
        <f t="shared" si="6"/>
        <v>20.482293913515193</v>
      </c>
      <c r="I54" s="39">
        <f t="shared" si="6"/>
        <v>21.599084355866466</v>
      </c>
      <c r="J54" s="39">
        <f t="shared" si="6"/>
        <v>22.838311399747205</v>
      </c>
      <c r="K54" s="39">
        <f t="shared" si="6"/>
        <v>24.210481852637436</v>
      </c>
    </row>
    <row r="55" spans="2:11" x14ac:dyDescent="0.25">
      <c r="B55" s="33" t="s">
        <v>23</v>
      </c>
      <c r="C55" s="39">
        <f t="shared" ref="C55:K55" si="7">-C37*$C$12</f>
        <v>-3.7557900000000002</v>
      </c>
      <c r="D55" s="39">
        <f t="shared" si="7"/>
        <v>-3.8106000000000004</v>
      </c>
      <c r="E55" s="39">
        <f t="shared" si="7"/>
        <v>-3.8393100000000002</v>
      </c>
      <c r="F55" s="39">
        <f t="shared" si="7"/>
        <v>-4.3151919272685513</v>
      </c>
      <c r="G55" s="39">
        <f t="shared" si="7"/>
        <v>-4.5240621474696852</v>
      </c>
      <c r="H55" s="39">
        <f t="shared" si="7"/>
        <v>-4.7572041301759906</v>
      </c>
      <c r="I55" s="39">
        <f t="shared" si="7"/>
        <v>-5.0165891447318494</v>
      </c>
      <c r="J55" s="39">
        <f t="shared" si="7"/>
        <v>-5.3044112039341753</v>
      </c>
      <c r="K55" s="39">
        <f t="shared" si="7"/>
        <v>-5.6231106119866903</v>
      </c>
    </row>
    <row r="56" spans="2:11" x14ac:dyDescent="0.25">
      <c r="B56" s="33" t="s">
        <v>94</v>
      </c>
      <c r="C56" s="39">
        <f t="shared" ref="C56:K56" si="8">C54+C55</f>
        <v>12.414883478036224</v>
      </c>
      <c r="D56" s="39">
        <f t="shared" si="8"/>
        <v>12.596059678897063</v>
      </c>
      <c r="E56" s="39">
        <f t="shared" si="8"/>
        <v>12.690961498395602</v>
      </c>
      <c r="F56" s="39">
        <f t="shared" si="8"/>
        <v>14.264004367230754</v>
      </c>
      <c r="G56" s="39">
        <f t="shared" si="8"/>
        <v>14.954431533240793</v>
      </c>
      <c r="H56" s="39">
        <f t="shared" si="8"/>
        <v>15.725089783339202</v>
      </c>
      <c r="I56" s="39">
        <f t="shared" si="8"/>
        <v>16.582495211134617</v>
      </c>
      <c r="J56" s="39">
        <f t="shared" si="8"/>
        <v>17.533900195813029</v>
      </c>
      <c r="K56" s="39">
        <f t="shared" si="8"/>
        <v>18.587371240650747</v>
      </c>
    </row>
    <row r="57" spans="2:11" x14ac:dyDescent="0.25">
      <c r="B57" s="33" t="s">
        <v>95</v>
      </c>
      <c r="C57" s="39">
        <f t="shared" ref="C57:K57" si="9">-MAX(0,C56)*$C$11</f>
        <v>-3.1037208695090559</v>
      </c>
      <c r="D57" s="39">
        <f t="shared" si="9"/>
        <v>-3.1490149197242658</v>
      </c>
      <c r="E57" s="39">
        <f t="shared" si="9"/>
        <v>-3.1727403745989005</v>
      </c>
      <c r="F57" s="39">
        <f t="shared" si="9"/>
        <v>-3.5660010918076885</v>
      </c>
      <c r="G57" s="39">
        <f t="shared" si="9"/>
        <v>-3.7386078833101983</v>
      </c>
      <c r="H57" s="39">
        <f t="shared" si="9"/>
        <v>-3.9312724458348005</v>
      </c>
      <c r="I57" s="39">
        <f t="shared" si="9"/>
        <v>-4.1456238027836543</v>
      </c>
      <c r="J57" s="39">
        <f t="shared" si="9"/>
        <v>-4.3834750489532572</v>
      </c>
      <c r="K57" s="39">
        <f t="shared" si="9"/>
        <v>-4.6468428101626866</v>
      </c>
    </row>
    <row r="58" spans="2:11" x14ac:dyDescent="0.25">
      <c r="B58" s="33" t="s">
        <v>96</v>
      </c>
      <c r="C58" s="39">
        <f t="shared" ref="C58:K58" si="10">C56+C57</f>
        <v>9.3111626085271677</v>
      </c>
      <c r="D58" s="39">
        <f t="shared" si="10"/>
        <v>9.4470447591727975</v>
      </c>
      <c r="E58" s="39">
        <f t="shared" si="10"/>
        <v>9.5182211237967014</v>
      </c>
      <c r="F58" s="39">
        <f t="shared" si="10"/>
        <v>10.698003275423066</v>
      </c>
      <c r="G58" s="39">
        <f t="shared" si="10"/>
        <v>11.215823649930595</v>
      </c>
      <c r="H58" s="39">
        <f t="shared" si="10"/>
        <v>11.793817337504402</v>
      </c>
      <c r="I58" s="39">
        <f t="shared" si="10"/>
        <v>12.436871408350964</v>
      </c>
      <c r="J58" s="39">
        <f t="shared" si="10"/>
        <v>13.150425146859771</v>
      </c>
      <c r="K58" s="39">
        <f t="shared" si="10"/>
        <v>13.94052843048806</v>
      </c>
    </row>
    <row r="60" spans="2:11" x14ac:dyDescent="0.25">
      <c r="B60" s="35" t="s">
        <v>97</v>
      </c>
    </row>
    <row r="61" spans="2:11" x14ac:dyDescent="0.25">
      <c r="B61" s="33" t="s">
        <v>96</v>
      </c>
      <c r="C61" s="39">
        <f t="shared" ref="C61:K61" si="11">C58</f>
        <v>9.3111626085271677</v>
      </c>
      <c r="D61" s="39">
        <f t="shared" si="11"/>
        <v>9.4470447591727975</v>
      </c>
      <c r="E61" s="39">
        <f t="shared" si="11"/>
        <v>9.5182211237967014</v>
      </c>
      <c r="F61" s="39">
        <f t="shared" si="11"/>
        <v>10.698003275423066</v>
      </c>
      <c r="G61" s="39">
        <f t="shared" si="11"/>
        <v>11.215823649930595</v>
      </c>
      <c r="H61" s="39">
        <f t="shared" si="11"/>
        <v>11.793817337504402</v>
      </c>
      <c r="I61" s="39">
        <f t="shared" si="11"/>
        <v>12.436871408350964</v>
      </c>
      <c r="J61" s="39">
        <f t="shared" si="11"/>
        <v>13.150425146859771</v>
      </c>
      <c r="K61" s="39">
        <f t="shared" si="11"/>
        <v>13.94052843048806</v>
      </c>
    </row>
    <row r="62" spans="2:11" x14ac:dyDescent="0.25">
      <c r="B62" s="33" t="s">
        <v>98</v>
      </c>
      <c r="C62" s="39">
        <f t="shared" ref="C62:K62" si="12">-C55</f>
        <v>3.7557900000000002</v>
      </c>
      <c r="D62" s="39">
        <f t="shared" si="12"/>
        <v>3.8106000000000004</v>
      </c>
      <c r="E62" s="39">
        <f t="shared" si="12"/>
        <v>3.8393100000000002</v>
      </c>
      <c r="F62" s="39">
        <f t="shared" si="12"/>
        <v>4.3151919272685513</v>
      </c>
      <c r="G62" s="39">
        <f t="shared" si="12"/>
        <v>4.5240621474696852</v>
      </c>
      <c r="H62" s="39">
        <f t="shared" si="12"/>
        <v>4.7572041301759906</v>
      </c>
      <c r="I62" s="39">
        <f t="shared" si="12"/>
        <v>5.0165891447318494</v>
      </c>
      <c r="J62" s="39">
        <f t="shared" si="12"/>
        <v>5.3044112039341753</v>
      </c>
      <c r="K62" s="39">
        <f t="shared" si="12"/>
        <v>5.6231106119866903</v>
      </c>
    </row>
    <row r="63" spans="2:11" x14ac:dyDescent="0.25">
      <c r="B63" s="33" t="s">
        <v>99</v>
      </c>
      <c r="C63" s="39">
        <f t="shared" ref="C63:K63" si="13">-C37*$C$13</f>
        <v>-4.3170000000000002</v>
      </c>
      <c r="D63" s="39">
        <f t="shared" si="13"/>
        <v>-4.38</v>
      </c>
      <c r="E63" s="39">
        <f t="shared" si="13"/>
        <v>-4.4129999999999994</v>
      </c>
      <c r="F63" s="39">
        <f t="shared" si="13"/>
        <v>-4.9599907209983343</v>
      </c>
      <c r="G63" s="39">
        <f t="shared" si="13"/>
        <v>-5.2000714338732008</v>
      </c>
      <c r="H63" s="39">
        <f t="shared" si="13"/>
        <v>-5.4680507243402188</v>
      </c>
      <c r="I63" s="39">
        <f t="shared" si="13"/>
        <v>-5.7661944192320096</v>
      </c>
      <c r="J63" s="39">
        <f t="shared" si="13"/>
        <v>-6.0970243723381321</v>
      </c>
      <c r="K63" s="39">
        <f t="shared" si="13"/>
        <v>-6.4633455310191836</v>
      </c>
    </row>
    <row r="64" spans="2:11" x14ac:dyDescent="0.25">
      <c r="B64" s="33" t="s">
        <v>100</v>
      </c>
      <c r="C64" s="41">
        <v>0</v>
      </c>
      <c r="D64" s="39">
        <f t="shared" ref="D64:K64" si="14">-(D37*$C$14-C37*$C$14)</f>
        <v>-6.2999999999999723E-2</v>
      </c>
      <c r="E64" s="39">
        <f t="shared" si="14"/>
        <v>-3.2999999999999474E-2</v>
      </c>
      <c r="F64" s="39">
        <f t="shared" si="14"/>
        <v>-0.5469907209983349</v>
      </c>
      <c r="G64" s="39">
        <f t="shared" si="14"/>
        <v>-0.24008071287486654</v>
      </c>
      <c r="H64" s="39">
        <f t="shared" si="14"/>
        <v>-0.26797929046701796</v>
      </c>
      <c r="I64" s="39">
        <f t="shared" si="14"/>
        <v>-0.29814369489179082</v>
      </c>
      <c r="J64" s="39">
        <f t="shared" si="14"/>
        <v>-0.33082995310612251</v>
      </c>
      <c r="K64" s="39">
        <f t="shared" si="14"/>
        <v>-0.36632115868105153</v>
      </c>
    </row>
    <row r="65" spans="2:11" x14ac:dyDescent="0.25">
      <c r="B65" s="33" t="s">
        <v>101</v>
      </c>
      <c r="C65" s="39">
        <f t="shared" ref="C65:K65" si="15">SUM(C61:C64)</f>
        <v>8.7499526085271668</v>
      </c>
      <c r="D65" s="39">
        <f t="shared" si="15"/>
        <v>8.8146447591728005</v>
      </c>
      <c r="E65" s="39">
        <f t="shared" si="15"/>
        <v>8.911531123796701</v>
      </c>
      <c r="F65" s="39">
        <f t="shared" si="15"/>
        <v>9.5062137606949477</v>
      </c>
      <c r="G65" s="39">
        <f t="shared" si="15"/>
        <v>10.299733650652211</v>
      </c>
      <c r="H65" s="39">
        <f t="shared" si="15"/>
        <v>10.814991452873155</v>
      </c>
      <c r="I65" s="39">
        <f t="shared" si="15"/>
        <v>11.389122438959014</v>
      </c>
      <c r="J65" s="39">
        <f t="shared" si="15"/>
        <v>12.026982025349692</v>
      </c>
      <c r="K65" s="39">
        <f t="shared" si="15"/>
        <v>12.733972352774517</v>
      </c>
    </row>
    <row r="68" spans="2:11" x14ac:dyDescent="0.25">
      <c r="B68" s="35" t="s">
        <v>102</v>
      </c>
    </row>
    <row r="69" spans="2:11" x14ac:dyDescent="0.25">
      <c r="B69" s="33" t="s">
        <v>103</v>
      </c>
      <c r="C69" s="39">
        <f>F54</f>
        <v>18.579196294499305</v>
      </c>
    </row>
    <row r="70" spans="2:11" x14ac:dyDescent="0.25">
      <c r="B70" s="33" t="s">
        <v>104</v>
      </c>
      <c r="C70" s="42">
        <f>$C$7</f>
        <v>8</v>
      </c>
    </row>
    <row r="71" spans="2:11" x14ac:dyDescent="0.25">
      <c r="B71" s="33" t="s">
        <v>105</v>
      </c>
      <c r="C71" s="39">
        <f>C69*C70</f>
        <v>148.63357035599444</v>
      </c>
    </row>
    <row r="73" spans="2:11" x14ac:dyDescent="0.25">
      <c r="B73" s="33" t="s">
        <v>106</v>
      </c>
    </row>
    <row r="74" spans="2:11" x14ac:dyDescent="0.25">
      <c r="B74" s="33" t="s">
        <v>46</v>
      </c>
      <c r="C74" s="39">
        <f>Data!F61</f>
        <v>28.133635280010239</v>
      </c>
    </row>
    <row r="75" spans="2:11" x14ac:dyDescent="0.25">
      <c r="B75" s="33" t="s">
        <v>47</v>
      </c>
      <c r="C75" s="39">
        <f>Data!F62</f>
        <v>15.139316780821909</v>
      </c>
    </row>
    <row r="76" spans="2:11" x14ac:dyDescent="0.25">
      <c r="B76" s="33" t="s">
        <v>48</v>
      </c>
      <c r="C76" s="39">
        <f>Data!F63</f>
        <v>17.504447156483661</v>
      </c>
    </row>
    <row r="77" spans="2:11" x14ac:dyDescent="0.25">
      <c r="B77" s="33" t="s">
        <v>107</v>
      </c>
      <c r="C77" s="39">
        <f>Data!F64+Data!F65</f>
        <v>5.6317043600000005</v>
      </c>
    </row>
    <row r="78" spans="2:11" x14ac:dyDescent="0.25">
      <c r="B78" s="33" t="s">
        <v>108</v>
      </c>
      <c r="C78" s="39">
        <f>-Data!F53</f>
        <v>-1.9366145442923199</v>
      </c>
    </row>
    <row r="79" spans="2:11" x14ac:dyDescent="0.25">
      <c r="B79" s="33" t="s">
        <v>109</v>
      </c>
      <c r="C79" s="39">
        <f>SUM(C74:C78)</f>
        <v>64.472489033023479</v>
      </c>
    </row>
    <row r="81" spans="2:3" x14ac:dyDescent="0.25">
      <c r="B81" s="33" t="s">
        <v>110</v>
      </c>
      <c r="C81" s="39">
        <f>C71-C79</f>
        <v>84.161081322970958</v>
      </c>
    </row>
    <row r="84" spans="2:3" x14ac:dyDescent="0.25">
      <c r="B84" s="35" t="s">
        <v>111</v>
      </c>
    </row>
    <row r="85" spans="2:3" x14ac:dyDescent="0.25">
      <c r="B85" s="33" t="s">
        <v>112</v>
      </c>
    </row>
    <row r="86" spans="2:3" x14ac:dyDescent="0.25">
      <c r="B86" s="33" t="s">
        <v>113</v>
      </c>
      <c r="C86" s="39">
        <f>C81</f>
        <v>84.161081322970958</v>
      </c>
    </row>
    <row r="87" spans="2:3" x14ac:dyDescent="0.25">
      <c r="B87" s="33" t="s">
        <v>114</v>
      </c>
      <c r="C87" s="39">
        <f>C71*$C$15</f>
        <v>2.972671407119889</v>
      </c>
    </row>
    <row r="88" spans="2:3" x14ac:dyDescent="0.25">
      <c r="B88" s="33" t="s">
        <v>115</v>
      </c>
      <c r="C88" s="39" t="e">
        <f ca="1">(C93+C94)*$C$16</f>
        <v>#VALUE!</v>
      </c>
    </row>
    <row r="89" spans="2:3" x14ac:dyDescent="0.25">
      <c r="B89" s="33" t="s">
        <v>116</v>
      </c>
      <c r="C89" s="39" t="e">
        <f ca="1">SUM(C86:C88)</f>
        <v>#VALUE!</v>
      </c>
    </row>
    <row r="91" spans="2:3" x14ac:dyDescent="0.25">
      <c r="B91" s="33" t="s">
        <v>117</v>
      </c>
    </row>
    <row r="92" spans="2:3" x14ac:dyDescent="0.25">
      <c r="B92" s="33" t="s">
        <v>118</v>
      </c>
      <c r="C92" s="39">
        <f>C96*C69*$C$20</f>
        <v>7.4316785177997211</v>
      </c>
    </row>
    <row r="93" spans="2:3" x14ac:dyDescent="0.25">
      <c r="B93" s="33" t="s">
        <v>119</v>
      </c>
      <c r="C93" s="39">
        <f>C96*C69*(1-$C$20)</f>
        <v>85.464302954696805</v>
      </c>
    </row>
    <row r="94" spans="2:3" x14ac:dyDescent="0.25">
      <c r="B94" s="33" t="s">
        <v>120</v>
      </c>
      <c r="C94" s="39" t="e">
        <f ca="1">C89-C92-C93</f>
        <v>#VALUE!</v>
      </c>
    </row>
    <row r="95" spans="2:3" x14ac:dyDescent="0.25">
      <c r="B95" s="33" t="s">
        <v>121</v>
      </c>
      <c r="C95" s="39" t="e">
        <f ca="1">SUM(C92:C94)</f>
        <v>#VALUE!</v>
      </c>
    </row>
    <row r="96" spans="2:3" x14ac:dyDescent="0.25">
      <c r="B96" s="33" t="s">
        <v>122</v>
      </c>
      <c r="C96" s="43">
        <v>5</v>
      </c>
    </row>
    <row r="99" spans="2:11" x14ac:dyDescent="0.25">
      <c r="B99" s="35" t="s">
        <v>123</v>
      </c>
    </row>
    <row r="100" spans="2:11" x14ac:dyDescent="0.25">
      <c r="B100" s="33" t="s">
        <v>124</v>
      </c>
      <c r="C100" s="41">
        <v>0</v>
      </c>
      <c r="D100" s="41">
        <v>0</v>
      </c>
      <c r="E100" s="41">
        <v>0</v>
      </c>
      <c r="F100" s="39">
        <f>C92</f>
        <v>7.4316785177997211</v>
      </c>
      <c r="G100" s="39">
        <f>F102</f>
        <v>7.4316785177997211</v>
      </c>
      <c r="H100" s="39">
        <f>G102</f>
        <v>1.8579196294499303</v>
      </c>
      <c r="I100" s="39">
        <f>H102</f>
        <v>0.46447990736248257</v>
      </c>
      <c r="J100" s="39">
        <f>I102</f>
        <v>0.11611997684062064</v>
      </c>
      <c r="K100" s="39">
        <f>J102</f>
        <v>2.9029994210155161E-2</v>
      </c>
    </row>
    <row r="101" spans="2:11" x14ac:dyDescent="0.25">
      <c r="B101" s="33" t="s">
        <v>125</v>
      </c>
      <c r="C101" s="41">
        <v>0</v>
      </c>
      <c r="D101" s="41">
        <v>0</v>
      </c>
      <c r="E101" s="41">
        <v>0</v>
      </c>
      <c r="F101" s="41">
        <v>0</v>
      </c>
      <c r="G101" s="39">
        <f>-MIN(G100*$C$21, G108)</f>
        <v>-5.5737588883497908</v>
      </c>
      <c r="H101" s="39">
        <f>-MIN(H100*$C$21, H108)</f>
        <v>-1.3934397220874477</v>
      </c>
      <c r="I101" s="39">
        <f>-MIN(I100*$C$21, I108)</f>
        <v>-0.34835993052186193</v>
      </c>
      <c r="J101" s="39">
        <f>-MIN(J100*$C$21, J108)</f>
        <v>-8.7089982630465482E-2</v>
      </c>
      <c r="K101" s="39">
        <f>-MIN(K100*$C$21, K108)</f>
        <v>-2.177249565761637E-2</v>
      </c>
    </row>
    <row r="102" spans="2:11" x14ac:dyDescent="0.25">
      <c r="B102" s="33" t="s">
        <v>126</v>
      </c>
      <c r="C102" s="39">
        <f t="shared" ref="C102:K102" si="16">C100+C101</f>
        <v>0</v>
      </c>
      <c r="D102" s="39">
        <f t="shared" si="16"/>
        <v>0</v>
      </c>
      <c r="E102" s="39">
        <f t="shared" si="16"/>
        <v>0</v>
      </c>
      <c r="F102" s="39">
        <f t="shared" si="16"/>
        <v>7.4316785177997211</v>
      </c>
      <c r="G102" s="39">
        <f t="shared" si="16"/>
        <v>1.8579196294499303</v>
      </c>
      <c r="H102" s="39">
        <f t="shared" si="16"/>
        <v>0.46447990736248257</v>
      </c>
      <c r="I102" s="39">
        <f t="shared" si="16"/>
        <v>0.11611997684062064</v>
      </c>
      <c r="J102" s="39">
        <f t="shared" si="16"/>
        <v>2.9029994210155161E-2</v>
      </c>
      <c r="K102" s="39">
        <f t="shared" si="16"/>
        <v>7.2574985525387901E-3</v>
      </c>
    </row>
    <row r="104" spans="2:11" x14ac:dyDescent="0.25">
      <c r="B104" s="33" t="s">
        <v>127</v>
      </c>
      <c r="C104" s="41">
        <v>0</v>
      </c>
      <c r="D104" s="41">
        <v>0</v>
      </c>
      <c r="E104" s="41">
        <v>0</v>
      </c>
      <c r="F104" s="39">
        <f>C93</f>
        <v>85.464302954696805</v>
      </c>
      <c r="G104" s="39">
        <f>F106</f>
        <v>85.464302954696805</v>
      </c>
      <c r="H104" s="39">
        <f>G106</f>
        <v>80.738328192394391</v>
      </c>
      <c r="I104" s="39">
        <f>H106</f>
        <v>71.316776461608683</v>
      </c>
      <c r="J104" s="39">
        <f>I106</f>
        <v>60.276013953171528</v>
      </c>
      <c r="K104" s="39">
        <f>J106</f>
        <v>48.336121910452299</v>
      </c>
    </row>
    <row r="105" spans="2:11" x14ac:dyDescent="0.25">
      <c r="B105" s="33" t="s">
        <v>128</v>
      </c>
      <c r="C105" s="41">
        <v>0</v>
      </c>
      <c r="D105" s="41">
        <v>0</v>
      </c>
      <c r="E105" s="41">
        <v>0</v>
      </c>
      <c r="F105" s="41">
        <v>0</v>
      </c>
      <c r="G105" s="39">
        <f>-MAX(0, MIN(G104, G108+G101))</f>
        <v>-4.7259747623024202</v>
      </c>
      <c r="H105" s="39">
        <f>-MAX(0, MIN(H104, H108+H101))</f>
        <v>-9.4215517307857066</v>
      </c>
      <c r="I105" s="39">
        <f>-MAX(0, MIN(I104, I108+I101))</f>
        <v>-11.040762508437151</v>
      </c>
      <c r="J105" s="39">
        <f>-MAX(0, MIN(J104, J108+J101))</f>
        <v>-11.939892042719228</v>
      </c>
      <c r="K105" s="39">
        <f>-MAX(0, MIN(K104, K108+K101))</f>
        <v>-12.7121998571169</v>
      </c>
    </row>
    <row r="106" spans="2:11" x14ac:dyDescent="0.25">
      <c r="B106" s="33" t="s">
        <v>129</v>
      </c>
      <c r="C106" s="39">
        <f t="shared" ref="C106:K106" si="17">C104+C105</f>
        <v>0</v>
      </c>
      <c r="D106" s="39">
        <f t="shared" si="17"/>
        <v>0</v>
      </c>
      <c r="E106" s="39">
        <f t="shared" si="17"/>
        <v>0</v>
      </c>
      <c r="F106" s="39">
        <f t="shared" si="17"/>
        <v>85.464302954696805</v>
      </c>
      <c r="G106" s="39">
        <f t="shared" si="17"/>
        <v>80.738328192394391</v>
      </c>
      <c r="H106" s="39">
        <f t="shared" si="17"/>
        <v>71.316776461608683</v>
      </c>
      <c r="I106" s="39">
        <f t="shared" si="17"/>
        <v>60.276013953171528</v>
      </c>
      <c r="J106" s="39">
        <f t="shared" si="17"/>
        <v>48.336121910452299</v>
      </c>
      <c r="K106" s="39">
        <f t="shared" si="17"/>
        <v>35.623922053335399</v>
      </c>
    </row>
    <row r="108" spans="2:11" x14ac:dyDescent="0.25">
      <c r="B108" s="33" t="s">
        <v>130</v>
      </c>
      <c r="C108" s="39">
        <f t="shared" ref="C108:K108" si="18">MAX(0,C65)</f>
        <v>8.7499526085271668</v>
      </c>
      <c r="D108" s="39">
        <f t="shared" si="18"/>
        <v>8.8146447591728005</v>
      </c>
      <c r="E108" s="39">
        <f t="shared" si="18"/>
        <v>8.911531123796701</v>
      </c>
      <c r="F108" s="39">
        <f t="shared" si="18"/>
        <v>9.5062137606949477</v>
      </c>
      <c r="G108" s="39">
        <f t="shared" si="18"/>
        <v>10.299733650652211</v>
      </c>
      <c r="H108" s="39">
        <f t="shared" si="18"/>
        <v>10.814991452873155</v>
      </c>
      <c r="I108" s="39">
        <f t="shared" si="18"/>
        <v>11.389122438959014</v>
      </c>
      <c r="J108" s="39">
        <f t="shared" si="18"/>
        <v>12.026982025349692</v>
      </c>
      <c r="K108" s="39">
        <f t="shared" si="18"/>
        <v>12.733972352774517</v>
      </c>
    </row>
    <row r="109" spans="2:11" x14ac:dyDescent="0.25">
      <c r="B109" s="33" t="s">
        <v>131</v>
      </c>
      <c r="C109" s="39">
        <f t="shared" ref="C109:K109" si="19">-(C100+C102)/2*$C$18-(C104+C106)/2*$C$19</f>
        <v>0</v>
      </c>
      <c r="D109" s="39">
        <f t="shared" si="19"/>
        <v>0</v>
      </c>
      <c r="E109" s="39">
        <f t="shared" si="19"/>
        <v>0</v>
      </c>
      <c r="F109" s="39">
        <f t="shared" si="19"/>
        <v>-41.431607736733447</v>
      </c>
      <c r="G109" s="39">
        <f t="shared" si="19"/>
        <v>-27.379061146801408</v>
      </c>
      <c r="H109" s="39">
        <f t="shared" si="19"/>
        <v>-9.6073764583811094</v>
      </c>
      <c r="I109" s="39">
        <f t="shared" si="19"/>
        <v>-4.7413194708772632</v>
      </c>
      <c r="J109" s="39">
        <f t="shared" si="19"/>
        <v>-3.0781783242175349</v>
      </c>
      <c r="K109" s="39">
        <f t="shared" si="19"/>
        <v>-2.1897198310014274</v>
      </c>
    </row>
    <row r="110" spans="2:11" x14ac:dyDescent="0.25">
      <c r="B110" s="33" t="s">
        <v>132</v>
      </c>
      <c r="C110" s="39">
        <f t="shared" ref="C110:K110" si="20">C65+C109</f>
        <v>8.7499526085271668</v>
      </c>
      <c r="D110" s="39">
        <f t="shared" si="20"/>
        <v>8.8146447591728005</v>
      </c>
      <c r="E110" s="39">
        <f t="shared" si="20"/>
        <v>8.911531123796701</v>
      </c>
      <c r="F110" s="39">
        <f t="shared" si="20"/>
        <v>-31.925393976038499</v>
      </c>
      <c r="G110" s="39">
        <f t="shared" si="20"/>
        <v>-17.079327496149197</v>
      </c>
      <c r="H110" s="39">
        <f t="shared" si="20"/>
        <v>1.2076149944920456</v>
      </c>
      <c r="I110" s="39">
        <f t="shared" si="20"/>
        <v>6.6478029680817503</v>
      </c>
      <c r="J110" s="39">
        <f t="shared" si="20"/>
        <v>8.9488037011321566</v>
      </c>
      <c r="K110" s="39">
        <f t="shared" si="20"/>
        <v>10.544252521773089</v>
      </c>
    </row>
    <row r="113" spans="2:6" x14ac:dyDescent="0.25">
      <c r="B113" s="35" t="s">
        <v>133</v>
      </c>
    </row>
    <row r="114" spans="2:6" x14ac:dyDescent="0.25">
      <c r="B114" s="33" t="s">
        <v>134</v>
      </c>
      <c r="C114" s="39">
        <f>K54</f>
        <v>24.210481852637436</v>
      </c>
    </row>
    <row r="115" spans="2:6" x14ac:dyDescent="0.25">
      <c r="B115" s="33" t="s">
        <v>135</v>
      </c>
      <c r="C115" s="42">
        <f>$C$8</f>
        <v>8</v>
      </c>
    </row>
    <row r="116" spans="2:6" x14ac:dyDescent="0.25">
      <c r="B116" s="33" t="s">
        <v>136</v>
      </c>
      <c r="C116" s="39">
        <f>C114*C115</f>
        <v>193.68385482109949</v>
      </c>
    </row>
    <row r="117" spans="2:6" x14ac:dyDescent="0.25">
      <c r="B117" s="33" t="s">
        <v>137</v>
      </c>
      <c r="C117" s="39">
        <f>K102+K106-$C$17</f>
        <v>25.631179551887939</v>
      </c>
    </row>
    <row r="118" spans="2:6" x14ac:dyDescent="0.25">
      <c r="B118" s="33" t="s">
        <v>138</v>
      </c>
      <c r="C118" s="39">
        <f>C116-C117</f>
        <v>168.05267526921153</v>
      </c>
    </row>
    <row r="120" spans="2:6" x14ac:dyDescent="0.25">
      <c r="B120" s="33" t="s">
        <v>139</v>
      </c>
      <c r="C120" s="39" t="e">
        <f ca="1">C94</f>
        <v>#VALUE!</v>
      </c>
    </row>
    <row r="121" spans="2:6" x14ac:dyDescent="0.25">
      <c r="B121" s="33" t="s">
        <v>140</v>
      </c>
      <c r="C121" s="39">
        <f>C118</f>
        <v>168.05267526921153</v>
      </c>
    </row>
    <row r="122" spans="2:6" x14ac:dyDescent="0.25">
      <c r="B122" s="33" t="s">
        <v>141</v>
      </c>
      <c r="C122" s="44" t="e">
        <f ca="1">C121/C120</f>
        <v>#VALUE!</v>
      </c>
    </row>
    <row r="123" spans="2:6" x14ac:dyDescent="0.25">
      <c r="B123" s="33" t="s">
        <v>142</v>
      </c>
      <c r="C123" s="40"/>
    </row>
    <row r="126" spans="2:6" x14ac:dyDescent="0.25">
      <c r="B126" s="35" t="s">
        <v>143</v>
      </c>
    </row>
    <row r="127" spans="2:6" x14ac:dyDescent="0.25">
      <c r="B127" s="33" t="s">
        <v>144</v>
      </c>
    </row>
    <row r="128" spans="2:6" x14ac:dyDescent="0.25">
      <c r="C128" s="33" t="s">
        <v>145</v>
      </c>
      <c r="D128" s="43">
        <v>7</v>
      </c>
      <c r="E128" s="43">
        <v>8</v>
      </c>
      <c r="F128" s="43">
        <v>9</v>
      </c>
    </row>
    <row r="129" spans="2:6" x14ac:dyDescent="0.25">
      <c r="B129" s="43">
        <v>7</v>
      </c>
      <c r="C129" s="40">
        <f>((7*C114)-(K102+K106-$C$17))/(((7*C69)-C79)+(7*C69)*$C$15+((96*C69)*$C$16))^(1/5)-1</f>
        <v>55.833027334443457</v>
      </c>
      <c r="D129" s="40">
        <f>((8*C114)-(K102+K106-$C$17))/(((7*C69)-C79)+(7*C69)*$C$15+((96*C69)*$C$16))^(1/5)-1</f>
        <v>65.398753108147119</v>
      </c>
      <c r="E129" s="40">
        <f>((9*C114)-(K102+K106-$C$17))/(((7*C69)-C79)+(7*C69)*$C$15+((96*C69)*$C$16))^(1/5)-1</f>
        <v>74.964478881850781</v>
      </c>
    </row>
    <row r="130" spans="2:6" x14ac:dyDescent="0.25">
      <c r="B130" s="43">
        <v>8</v>
      </c>
      <c r="C130" s="40">
        <f>((7*C114)-(K102+K106-$C$17))/(((8*C69)-C79)+(8*C69)*$C$15+((96*C69)*$C$16))^(1/5)-1</f>
        <v>53.959467267744436</v>
      </c>
      <c r="D130" s="40">
        <f>((8*C114)-(K102+K106-$C$17))/(((8*C69)-C79)+(8*C69)*$C$15+((96*C69)*$C$16))^(1/5)-1</f>
        <v>63.209848906898657</v>
      </c>
      <c r="E130" s="40">
        <f>((9*C114)-(K102+K106-$C$17))/(((8*C69)-C79)+(8*C69)*$C$15+((96*C69)*$C$16))^(1/5)-1</f>
        <v>72.460230546052884</v>
      </c>
    </row>
    <row r="131" spans="2:6" x14ac:dyDescent="0.25">
      <c r="B131" s="43">
        <v>9</v>
      </c>
      <c r="C131" s="40">
        <f>((7*C114)-(K102+K106-$C$17))/(((9*C69)-C79)+(9*C69)*$C$15+((96*C69)*$C$16))^(1/5)-1</f>
        <v>52.404474440475191</v>
      </c>
      <c r="D131" s="40">
        <f>((8*C114)-(K102+K106-$C$17))/(((9*C69)-C79)+(9*C69)*$C$15+((96*C69)*$C$16))^(1/5)-1</f>
        <v>61.393130888074836</v>
      </c>
      <c r="E131" s="40">
        <f>((9*C114)-(K102+K106-$C$17))/(((9*C69)-C79)+(9*C69)*$C$15+((96*C69)*$C$16))^(1/5)-1</f>
        <v>70.381787335674488</v>
      </c>
    </row>
    <row r="133" spans="2:6" x14ac:dyDescent="0.25">
      <c r="B133" s="33" t="s">
        <v>146</v>
      </c>
    </row>
    <row r="134" spans="2:6" x14ac:dyDescent="0.25">
      <c r="C134" s="33" t="s">
        <v>147</v>
      </c>
      <c r="D134" s="38">
        <v>0.3</v>
      </c>
      <c r="E134" s="38">
        <v>0.316</v>
      </c>
      <c r="F134" s="38">
        <v>0.33</v>
      </c>
    </row>
    <row r="135" spans="2:6" x14ac:dyDescent="0.25">
      <c r="B135" s="38">
        <v>0.1</v>
      </c>
      <c r="D135" s="40" t="e">
        <f ca="1">(((((F33*(1+$C$26)^5+F34*(1+$C$27)^5+F36*(1+$C$29)^5)+F35*(1+0.1)^5)*0.3+((F33*(1+$C$26)^5+F34*(1+$C$27)^5+F36*(1+$C$29)^5)+F35*(1+0.1)^5)*($C$45+$C$46+$C$47))*$C$8)-(K102+K106-$C$17)/C120)^(1/5)-1</f>
        <v>#VALUE!</v>
      </c>
      <c r="E135" s="40" t="e">
        <f ca="1">(((((F33*(1+$C$26)^5+F34*(1+$C$27)^5+F36*(1+$C$29)^5)+F35*(1+0.1)^5)*0.316+((F33*(1+$C$26)^5+F34*(1+$C$27)^5+F36*(1+$C$29)^5)+F35*(1+0.1)^5)*($C$45+$C$46+$C$47))*$C$8)-(K102+K106-$C$17)/C120)^(1/5)-1</f>
        <v>#VALUE!</v>
      </c>
      <c r="F135" s="40" t="e">
        <f ca="1">(((((F33*(1+$C$26)^5+F34*(1+$C$27)^5+F36*(1+$C$29)^5)+F35*(1+0.1)^5)*0.33+((F33*(1+$C$26)^5+F34*(1+$C$27)^5+F36*(1+$C$29)^5)+F35*(1+0.1)^5)*($C$45+$C$46+$C$47))*$C$8)-(K102+K106-$C$17)/C120)^(1/5)-1</f>
        <v>#VALUE!</v>
      </c>
    </row>
    <row r="136" spans="2:6" x14ac:dyDescent="0.25">
      <c r="B136" s="38">
        <v>0.12</v>
      </c>
      <c r="D136" s="40" t="e">
        <f ca="1">(((((F33*(1+$C$26)^5+F34*(1+$C$27)^5+F36*(1+$C$29)^5)+F35*(1+0.12)^5)*0.3+((F33*(1+$C$26)^5+F34*(1+$C$27)^5+F36*(1+$C$29)^5)+F35*(1+0.12)^5)*($C$45+$C$46+$C$47))*$C$8)-(K102+K106-$C$17)/C120)^(1/5)-1</f>
        <v>#VALUE!</v>
      </c>
      <c r="E136" s="40" t="e">
        <f ca="1">(((((F33*(1+$C$26)^5+F34*(1+$C$27)^5+F36*(1+$C$29)^5)+F35*(1+0.12)^5)*0.316+((F33*(1+$C$26)^5+F34*(1+$C$27)^5+F36*(1+$C$29)^5)+F35*(1+0.12)^5)*($C$45+$C$46+$C$47))*$C$8)-(K102+K106-$C$17)/C120)^(1/5)-1</f>
        <v>#VALUE!</v>
      </c>
      <c r="F136" s="40" t="e">
        <f ca="1">(((((F33*(1+$C$26)^5+F34*(1+$C$27)^5+F36*(1+$C$29)^5)+F35*(1+0.12)^5)*0.33+((F33*(1+$C$26)^5+F34*(1+$C$27)^5+F36*(1+$C$29)^5)+F35*(1+0.12)^5)*($C$45+$C$46+$C$47))*$C$8)-(K102+K106-$C$17)/C120)^(1/5)-1</f>
        <v>#VALUE!</v>
      </c>
    </row>
    <row r="137" spans="2:6" x14ac:dyDescent="0.25">
      <c r="B137" s="38">
        <v>0.14000000000000001</v>
      </c>
      <c r="D137" s="40" t="e">
        <f ca="1">(((((F33*(1+$C$26)^5+F34*(1+$C$27)^5+F36*(1+$C$29)^5)+F35*(1+0.14)^5)*0.3+((F33*(1+$C$26)^5+F34*(1+$C$27)^5+F36*(1+$C$29)^5)+F35*(1+0.14)^5)*($C$45+$C$46+$C$47))*$C$8)-(K102+K106-$C$17)/C120)^(1/5)-1</f>
        <v>#VALUE!</v>
      </c>
      <c r="E137" s="40" t="e">
        <f ca="1">(((((F33*(1+$C$26)^5+F34*(1+$C$27)^5+F36*(1+$C$29)^5)+F35*(1+0.14)^5)*0.316+((F33*(1+$C$26)^5+F34*(1+$C$27)^5+F36*(1+$C$29)^5)+F35*(1+0.14)^5)*($C$45+$C$46+$C$47))*$C$8)-(K102+K106-$C$17)/C120)^(1/5)-1</f>
        <v>#VALUE!</v>
      </c>
      <c r="F137" s="40" t="e">
        <f ca="1">(((((F33*(1+$C$26)^5+F34*(1+$C$27)^5+F36*(1+$C$29)^5)+F35*(1+0.14)^5)*0.33+((F33*(1+$C$26)^5+F34*(1+$C$27)^5+F36*(1+$C$29)^5)+F35*(1+0.14)^5)*($C$45+$C$46+$C$47))*$C$8)-(K102+K106-$C$17)/C120)^(1/5)-1</f>
        <v>#VALUE!</v>
      </c>
    </row>
    <row r="140" spans="2:6" x14ac:dyDescent="0.25">
      <c r="B140" s="35" t="s">
        <v>148</v>
      </c>
    </row>
    <row r="141" spans="2:6" x14ac:dyDescent="0.25">
      <c r="B141" s="33" t="s">
        <v>149</v>
      </c>
      <c r="C141" s="39">
        <f>C71</f>
        <v>148.63357035599444</v>
      </c>
    </row>
    <row r="142" spans="2:6" x14ac:dyDescent="0.25">
      <c r="B142" s="33" t="s">
        <v>150</v>
      </c>
      <c r="C142" s="39">
        <f>C121</f>
        <v>168.05267526921153</v>
      </c>
    </row>
    <row r="143" spans="2:6" x14ac:dyDescent="0.25">
      <c r="B143" s="33" t="s">
        <v>151</v>
      </c>
      <c r="C143" s="45" t="s">
        <v>152</v>
      </c>
    </row>
    <row r="144" spans="2:6" x14ac:dyDescent="0.25">
      <c r="B144" s="33" t="s">
        <v>153</v>
      </c>
      <c r="C144" s="45" t="s">
        <v>154</v>
      </c>
    </row>
    <row r="145" spans="2:3" x14ac:dyDescent="0.25">
      <c r="B145" s="33" t="s">
        <v>155</v>
      </c>
      <c r="C145" s="45" t="s">
        <v>156</v>
      </c>
    </row>
    <row r="148" spans="2:3" x14ac:dyDescent="0.25">
      <c r="B148" s="35" t="s">
        <v>157</v>
      </c>
    </row>
    <row r="149" spans="2:3" x14ac:dyDescent="0.25">
      <c r="B149" s="33" t="s">
        <v>158</v>
      </c>
      <c r="C149" s="39" t="e">
        <f ca="1">C95-C89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</dc:creator>
  <cp:lastModifiedBy>Danial Azmi</cp:lastModifiedBy>
  <dcterms:created xsi:type="dcterms:W3CDTF">2021-07-22T14:38:49Z</dcterms:created>
  <dcterms:modified xsi:type="dcterms:W3CDTF">2026-01-14T08:06:45Z</dcterms:modified>
</cp:coreProperties>
</file>