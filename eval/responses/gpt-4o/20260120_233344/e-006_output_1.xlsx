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875" windowHeight="14431" tabRatio="600" firstSheet="0" activeTab="0" autoFilterDateGrouping="1"/>
  </bookViews>
  <sheets>
    <sheet xmlns:r="http://schemas.openxmlformats.org/officeDocument/2006/relationships" name="Operating Model" sheetId="1" state="visible" r:id="rId1"/>
  </sheets>
  <definedNames>
    <definedName name="CIQWBGuid" hidden="1">"ad3d7874-e656-4b70-85f6-774c057cde64"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0">'Operating Model'!$2:$19</definedName>
    <definedName name="_xlnm.Print_Area" localSheetId="0">'Operating Model'!$B$2:$U$208</definedName>
  </definedNames>
  <calcPr calcId="191029" calcMode="autoNoTable" fullCalcOnLoad="1" iterate="1"/>
</workbook>
</file>

<file path=xl/styles.xml><?xml version="1.0" encoding="utf-8"?>
<styleSheet xmlns="http://schemas.openxmlformats.org/spreadsheetml/2006/main">
  <numFmts count="16">
    <numFmt numFmtId="164" formatCode="_(#,##0.0_);\(#,##0.0\);_(\−_)"/>
    <numFmt numFmtId="165" formatCode="#,##0_);\(#,##0\);\-_);@_)"/>
    <numFmt numFmtId="166" formatCode="_(#,##0_);\(#,##0\);_(\−_)"/>
    <numFmt numFmtId="167" formatCode="_(0.0%_);\(0.0%\);_(\-_);@_)"/>
    <numFmt numFmtId="168" formatCode="_(0.00%_);\(0.00%\);_(\-_);@_)"/>
    <numFmt numFmtId="169" formatCode="_(0.00%_);\(0.00%\);_(\-_)"/>
    <numFmt numFmtId="170" formatCode="_(0.0%_);\(0.0%\);_(\-_)"/>
    <numFmt numFmtId="171" formatCode="0.0\x"/>
    <numFmt numFmtId="172" formatCode="0.0%"/>
    <numFmt numFmtId="173" formatCode="_(#,##0.0%_);\(#,##0.0%\);_(\−_)"/>
    <numFmt numFmtId="174" formatCode="_(#,##0.00_);\(#,##0.00\);_(\−_)"/>
    <numFmt numFmtId="175" formatCode="_(&quot;L+&quot;0.00%_);\(0.00%\);_(\-_);@_)"/>
    <numFmt numFmtId="176" formatCode="#,##0;\(#,##0\)"/>
    <numFmt numFmtId="177" formatCode="#,##0.0"/>
    <numFmt numFmtId="178" formatCode="#,##0.0_);\(#,##0.0\);0.0_);@_)"/>
    <numFmt numFmtId="179" formatCode="0.0\ \x_);\(0.0\ \x\)"/>
  </numFmts>
  <fonts count="34">
    <font>
      <name val="Segoe UI"/>
      <family val="2"/>
      <color theme="1"/>
      <sz val="10"/>
      <scheme val="minor"/>
    </font>
    <font>
      <name val="Segoe UI"/>
      <family val="2"/>
      <b val="1"/>
      <color theme="0"/>
      <sz val="11"/>
      <scheme val="minor"/>
    </font>
    <font>
      <name val="Segoe UI"/>
      <family val="2"/>
      <b val="1"/>
      <color theme="1"/>
      <sz val="16"/>
      <scheme val="minor"/>
    </font>
    <font>
      <name val="Segoe UI"/>
      <family val="2"/>
      <color theme="1"/>
      <sz val="11"/>
      <scheme val="minor"/>
    </font>
    <font>
      <name val="Segoe UI"/>
      <family val="2"/>
      <color rgb="FF006100"/>
      <sz val="11"/>
      <scheme val="minor"/>
    </font>
    <font>
      <name val="Segoe UI"/>
      <family val="2"/>
      <color rgb="FF9C0006"/>
      <sz val="11"/>
      <scheme val="minor"/>
    </font>
    <font>
      <name val="Segoe UI"/>
      <family val="2"/>
      <color rgb="FF9C5700"/>
      <sz val="11"/>
      <scheme val="minor"/>
    </font>
    <font>
      <name val="Segoe UI"/>
      <family val="2"/>
      <b val="1"/>
      <color rgb="FF3F3F3F"/>
      <sz val="11"/>
      <scheme val="minor"/>
    </font>
    <font>
      <name val="Segoe UI"/>
      <family val="2"/>
      <b val="1"/>
      <color rgb="FFFA7D00"/>
      <sz val="11"/>
      <scheme val="minor"/>
    </font>
    <font>
      <name val="Segoe UI"/>
      <family val="2"/>
      <color rgb="FFFA7D00"/>
      <sz val="11"/>
      <scheme val="minor"/>
    </font>
    <font>
      <name val="Segoe UI"/>
      <family val="2"/>
      <color rgb="FFFF0000"/>
      <sz val="11"/>
      <scheme val="minor"/>
    </font>
    <font>
      <name val="Segoe UI"/>
      <family val="2"/>
      <i val="1"/>
      <color rgb="FF7F7F7F"/>
      <sz val="11"/>
      <scheme val="minor"/>
    </font>
    <font>
      <name val="Segoe UI"/>
      <family val="2"/>
      <b val="1"/>
      <color theme="1"/>
      <sz val="10"/>
      <scheme val="minor"/>
    </font>
    <font>
      <name val="Segoe UI"/>
      <family val="2"/>
      <color rgb="FF0000FF"/>
      <sz val="10"/>
      <scheme val="minor"/>
    </font>
    <font>
      <name val="Segoe UI"/>
      <family val="2"/>
      <b val="1"/>
      <color theme="1"/>
      <sz val="10"/>
      <u val="singleAccounting"/>
      <scheme val="minor"/>
    </font>
    <font>
      <name val="Segoe UI"/>
      <family val="2"/>
      <b val="1"/>
      <color theme="0"/>
      <sz val="10"/>
      <scheme val="minor"/>
    </font>
    <font>
      <name val="Segoe UI"/>
      <family val="2"/>
      <i val="1"/>
      <color theme="1"/>
      <sz val="10"/>
      <scheme val="minor"/>
    </font>
    <font>
      <name val="Segoe UI"/>
      <family val="2"/>
      <i val="1"/>
      <color rgb="FF0000FF"/>
      <sz val="10"/>
      <scheme val="minor"/>
    </font>
    <font>
      <name val="Segoe UI"/>
      <family val="2"/>
      <b val="1"/>
      <color theme="1"/>
      <sz val="10"/>
      <u val="single"/>
      <scheme val="minor"/>
    </font>
    <font>
      <name val="Segoe UI"/>
      <family val="2"/>
      <b val="1"/>
      <sz val="10"/>
      <scheme val="minor"/>
    </font>
    <font>
      <name val="Segoe UI"/>
      <family val="2"/>
      <i val="1"/>
      <sz val="10"/>
      <scheme val="minor"/>
    </font>
    <font>
      <name val="Segoe UI"/>
      <family val="2"/>
      <i val="1"/>
      <color rgb="FFC00000"/>
      <sz val="10"/>
      <scheme val="minor"/>
    </font>
    <font>
      <name val="Segoe UI"/>
      <family val="2"/>
      <sz val="10"/>
      <scheme val="minor"/>
    </font>
    <font>
      <name val="Segoe UI"/>
      <family val="2"/>
      <color theme="0"/>
      <sz val="10"/>
      <scheme val="minor"/>
    </font>
    <font>
      <name val="Segoe UI"/>
      <family val="2"/>
      <color theme="1"/>
      <sz val="8"/>
      <scheme val="minor"/>
    </font>
    <font>
      <name val="Segoe UI"/>
      <family val="2"/>
      <b val="1"/>
      <i val="1"/>
      <color theme="1"/>
      <sz val="10"/>
      <scheme val="minor"/>
    </font>
    <font>
      <name val="Segoe UI"/>
      <family val="2"/>
      <color rgb="FFFF0000"/>
      <sz val="10"/>
      <scheme val="minor"/>
    </font>
    <font>
      <name val="Segoe UI"/>
      <family val="2"/>
      <i val="1"/>
      <color rgb="FFFF0000"/>
      <sz val="10"/>
      <scheme val="minor"/>
    </font>
    <font>
      <name val="Segoe UI"/>
      <family val="2"/>
      <color rgb="FF0000FF"/>
      <sz val="11"/>
      <scheme val="minor"/>
    </font>
    <font>
      <name val="Arial"/>
      <family val="2"/>
      <sz val="10"/>
    </font>
    <font>
      <name val="Segoe UI"/>
      <family val="2"/>
      <b val="1"/>
      <color rgb="FFFF0000"/>
      <sz val="10"/>
      <scheme val="minor"/>
    </font>
    <font>
      <name val="Segoe UI"/>
      <family val="2"/>
      <b val="1"/>
      <i val="1"/>
      <color rgb="FFFF0000"/>
      <sz val="10"/>
      <scheme val="minor"/>
    </font>
    <font>
      <color rgb="000000FF"/>
    </font>
    <font>
      <color rgb="0000FF00"/>
    </font>
  </fonts>
  <fills count="1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lightUp">
        <fgColor theme="0" tint="-0.3499862666707358"/>
        <bgColor indexed="65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0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dash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auto="1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dashed">
        <color auto="1"/>
      </right>
      <top style="thin">
        <color indexed="64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ashed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dashed">
        <color auto="1"/>
      </right>
      <top style="hair">
        <color auto="1"/>
      </top>
      <bottom/>
      <diagonal/>
    </border>
    <border>
      <left style="dashed">
        <color auto="1"/>
      </left>
      <right/>
      <top/>
      <bottom style="hair">
        <color auto="1"/>
      </bottom>
      <diagonal/>
    </border>
  </borders>
  <cellStyleXfs count="13">
    <xf numFmtId="164" fontId="0" fillId="0" borderId="0"/>
    <xf numFmtId="0" fontId="4" fillId="3" borderId="0"/>
    <xf numFmtId="0" fontId="5" fillId="4" borderId="0"/>
    <xf numFmtId="0" fontId="6" fillId="5" borderId="0"/>
    <xf numFmtId="0" fontId="7" fillId="6" borderId="17"/>
    <xf numFmtId="0" fontId="8" fillId="6" borderId="16"/>
    <xf numFmtId="0" fontId="9" fillId="0" borderId="18"/>
    <xf numFmtId="0" fontId="1" fillId="7" borderId="19"/>
    <xf numFmtId="0" fontId="10" fillId="0" borderId="0"/>
    <xf numFmtId="0" fontId="3" fillId="8" borderId="20"/>
    <xf numFmtId="0" fontId="11" fillId="0" borderId="0"/>
    <xf numFmtId="178" fontId="28" fillId="12" borderId="22"/>
    <xf numFmtId="179" fontId="29" fillId="0" borderId="0"/>
  </cellStyleXfs>
  <cellXfs count="378">
    <xf numFmtId="164" fontId="0" fillId="0" borderId="0" pivotButton="0" quotePrefix="0" xfId="0"/>
    <xf numFmtId="164" fontId="2" fillId="0" borderId="0" pivotButton="0" quotePrefix="0" xfId="0"/>
    <xf numFmtId="164" fontId="0" fillId="0" borderId="0" applyAlignment="1" pivotButton="0" quotePrefix="0" xfId="0">
      <alignment horizontal="center"/>
    </xf>
    <xf numFmtId="164" fontId="12" fillId="0" borderId="0" pivotButton="0" quotePrefix="0" xfId="0"/>
    <xf numFmtId="164" fontId="0" fillId="0" borderId="2" pivotButton="0" quotePrefix="0" xfId="0"/>
    <xf numFmtId="164" fontId="0" fillId="0" borderId="3" pivotButton="0" quotePrefix="0" xfId="0"/>
    <xf numFmtId="164" fontId="15" fillId="0" borderId="0" pivotButton="0" quotePrefix="0" xfId="0"/>
    <xf numFmtId="165" fontId="15" fillId="0" borderId="0" applyAlignment="1" pivotButton="0" quotePrefix="0" xfId="0">
      <alignment horizontal="center"/>
    </xf>
    <xf numFmtId="165" fontId="15" fillId="0" borderId="5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16" fillId="0" borderId="0" pivotButton="0" quotePrefix="0" xfId="0"/>
    <xf numFmtId="165" fontId="0" fillId="0" borderId="5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165" fontId="16" fillId="0" borderId="5" applyAlignment="1" pivotButton="0" quotePrefix="0" xfId="0">
      <alignment horizontal="center"/>
    </xf>
    <xf numFmtId="164" fontId="12" fillId="2" borderId="1" pivotButton="0" quotePrefix="0" xfId="0"/>
    <xf numFmtId="164" fontId="0" fillId="0" borderId="0" applyAlignment="1" pivotButton="0" quotePrefix="0" xfId="0">
      <alignment horizontal="left" indent="1"/>
    </xf>
    <xf numFmtId="164" fontId="18" fillId="0" borderId="0" pivotButton="0" quotePrefix="0" xfId="0"/>
    <xf numFmtId="166" fontId="0" fillId="0" borderId="0" applyAlignment="1" pivotButton="0" quotePrefix="0" xfId="0">
      <alignment horizontal="center"/>
    </xf>
    <xf numFmtId="167" fontId="16" fillId="0" borderId="0" pivotButton="0" quotePrefix="0" xfId="0"/>
    <xf numFmtId="167" fontId="0" fillId="0" borderId="0" pivotButton="0" quotePrefix="0" xfId="0"/>
    <xf numFmtId="167" fontId="16" fillId="0" borderId="0" applyAlignment="1" pivotButton="0" quotePrefix="0" xfId="0">
      <alignment horizontal="left" indent="1"/>
    </xf>
    <xf numFmtId="166" fontId="0" fillId="0" borderId="0" pivotButton="0" quotePrefix="0" xfId="0"/>
    <xf numFmtId="166" fontId="12" fillId="2" borderId="1" pivotButton="0" quotePrefix="0" xfId="0"/>
    <xf numFmtId="166" fontId="12" fillId="0" borderId="0" pivotButton="0" quotePrefix="0" xfId="0"/>
    <xf numFmtId="166" fontId="12" fillId="0" borderId="1" pivotButton="0" quotePrefix="0" xfId="0"/>
    <xf numFmtId="166" fontId="0" fillId="9" borderId="0" applyAlignment="1" pivotButton="0" quotePrefix="0" xfId="0">
      <alignment horizontal="center"/>
    </xf>
    <xf numFmtId="166" fontId="0" fillId="9" borderId="5" applyAlignment="1" pivotButton="0" quotePrefix="0" xfId="0">
      <alignment horizontal="center"/>
    </xf>
    <xf numFmtId="166" fontId="12" fillId="9" borderId="1" applyAlignment="1" pivotButton="0" quotePrefix="0" xfId="0">
      <alignment horizontal="center"/>
    </xf>
    <xf numFmtId="166" fontId="12" fillId="9" borderId="7" applyAlignment="1" pivotButton="0" quotePrefix="0" xfId="0">
      <alignment horizontal="center"/>
    </xf>
    <xf numFmtId="167" fontId="16" fillId="9" borderId="0" applyAlignment="1" pivotButton="0" quotePrefix="0" xfId="0">
      <alignment horizontal="center"/>
    </xf>
    <xf numFmtId="167" fontId="16" fillId="9" borderId="5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164" fontId="12" fillId="0" borderId="1" pivotButton="0" quotePrefix="0" xfId="0"/>
    <xf numFmtId="164" fontId="12" fillId="9" borderId="1" applyAlignment="1" pivotButton="0" quotePrefix="0" xfId="0">
      <alignment horizontal="center"/>
    </xf>
    <xf numFmtId="164" fontId="16" fillId="0" borderId="0" applyAlignment="1" pivotButton="0" quotePrefix="0" xfId="0">
      <alignment horizontal="left" indent="1"/>
    </xf>
    <xf numFmtId="164" fontId="18" fillId="10" borderId="24" pivotButton="0" quotePrefix="0" xfId="0"/>
    <xf numFmtId="164" fontId="12" fillId="10" borderId="24" pivotButton="0" quotePrefix="0" xfId="0"/>
    <xf numFmtId="168" fontId="0" fillId="0" borderId="0" pivotButton="0" quotePrefix="0" xfId="0"/>
    <xf numFmtId="164" fontId="14" fillId="0" borderId="0" applyAlignment="1" pivotButton="0" quotePrefix="0" xfId="0">
      <alignment horizontal="centerContinuous"/>
    </xf>
    <xf numFmtId="164" fontId="14" fillId="0" borderId="5" applyAlignment="1" pivotButton="0" quotePrefix="0" xfId="0">
      <alignment horizontal="centerContinuous"/>
    </xf>
    <xf numFmtId="17" fontId="14" fillId="0" borderId="0" applyAlignment="1" pivotButton="0" quotePrefix="0" xfId="0">
      <alignment horizontal="center"/>
    </xf>
    <xf numFmtId="17" fontId="14" fillId="0" borderId="5" applyAlignment="1" pivotButton="0" quotePrefix="0" xfId="0">
      <alignment horizontal="center"/>
    </xf>
    <xf numFmtId="164" fontId="13" fillId="0" borderId="5" applyAlignment="1" pivotButton="0" quotePrefix="0" xfId="0">
      <alignment horizontal="center"/>
    </xf>
    <xf numFmtId="167" fontId="16" fillId="0" borderId="0" applyAlignment="1" pivotButton="0" quotePrefix="0" xfId="0">
      <alignment horizontal="left" indent="3"/>
    </xf>
    <xf numFmtId="166" fontId="0" fillId="0" borderId="0" applyAlignment="1" pivotButton="0" quotePrefix="0" xfId="0">
      <alignment horizontal="left" indent="2"/>
    </xf>
    <xf numFmtId="164" fontId="16" fillId="0" borderId="0" applyAlignment="1" pivotButton="0" quotePrefix="0" xfId="0">
      <alignment horizontal="left" indent="3"/>
    </xf>
    <xf numFmtId="166" fontId="0" fillId="0" borderId="0" applyAlignment="1" pivotButton="0" quotePrefix="0" xfId="0">
      <alignment horizontal="left" indent="1"/>
    </xf>
    <xf numFmtId="164" fontId="21" fillId="0" borderId="0" pivotButton="0" quotePrefix="0" xfId="0"/>
    <xf numFmtId="169" fontId="18" fillId="0" borderId="0" applyAlignment="1" pivotButton="0" quotePrefix="0" xfId="0">
      <alignment horizontal="center"/>
    </xf>
    <xf numFmtId="164" fontId="0" fillId="0" borderId="3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12" fillId="0" borderId="5" applyAlignment="1" pivotButton="0" quotePrefix="0" xfId="0">
      <alignment horizontal="center"/>
    </xf>
    <xf numFmtId="170" fontId="17" fillId="11" borderId="6" applyAlignment="1" pivotButton="0" quotePrefix="0" xfId="0">
      <alignment horizontal="center"/>
    </xf>
    <xf numFmtId="167" fontId="17" fillId="11" borderId="4" applyAlignment="1" pivotButton="0" quotePrefix="0" xfId="0">
      <alignment horizontal="center"/>
    </xf>
    <xf numFmtId="166" fontId="13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left"/>
    </xf>
    <xf numFmtId="164" fontId="20" fillId="0" borderId="0" applyAlignment="1" pivotButton="0" quotePrefix="0" xfId="0">
      <alignment horizontal="left" indent="4"/>
    </xf>
    <xf numFmtId="164" fontId="16" fillId="0" borderId="0" applyAlignment="1" pivotButton="0" quotePrefix="0" xfId="0">
      <alignment horizontal="left" indent="4"/>
    </xf>
    <xf numFmtId="164" fontId="0" fillId="0" borderId="8" pivotButton="0" quotePrefix="0" xfId="0"/>
    <xf numFmtId="166" fontId="12" fillId="2" borderId="1" applyAlignment="1" pivotButton="0" quotePrefix="0" xfId="0">
      <alignment horizontal="center"/>
    </xf>
    <xf numFmtId="166" fontId="12" fillId="2" borderId="7" applyAlignment="1" pivotButton="0" quotePrefix="0" xfId="0">
      <alignment horizontal="center"/>
    </xf>
    <xf numFmtId="166" fontId="12" fillId="0" borderId="5" applyAlignment="1" pivotButton="0" quotePrefix="0" xfId="0">
      <alignment horizontal="center"/>
    </xf>
    <xf numFmtId="166" fontId="12" fillId="0" borderId="1" applyAlignment="1" pivotButton="0" quotePrefix="0" xfId="0">
      <alignment horizontal="center"/>
    </xf>
    <xf numFmtId="166" fontId="0" fillId="0" borderId="5" applyAlignment="1" pivotButton="0" quotePrefix="0" xfId="0">
      <alignment horizontal="center"/>
    </xf>
    <xf numFmtId="169" fontId="18" fillId="0" borderId="1" applyAlignment="1" pivotButton="0" quotePrefix="0" xfId="0">
      <alignment horizontal="center"/>
    </xf>
    <xf numFmtId="166" fontId="16" fillId="0" borderId="0" applyAlignment="1" pivotButton="0" quotePrefix="0" xfId="0">
      <alignment horizontal="center"/>
    </xf>
    <xf numFmtId="166" fontId="13" fillId="11" borderId="9" applyAlignment="1" pivotButton="0" quotePrefix="0" xfId="0">
      <alignment horizontal="center"/>
    </xf>
    <xf numFmtId="166" fontId="13" fillId="11" borderId="4" applyAlignment="1" pivotButton="0" quotePrefix="0" xfId="0">
      <alignment horizontal="center"/>
    </xf>
    <xf numFmtId="1" fontId="17" fillId="11" borderId="6" applyAlignment="1" pivotButton="0" quotePrefix="0" xfId="0">
      <alignment horizontal="center"/>
    </xf>
    <xf numFmtId="1" fontId="17" fillId="11" borderId="4" applyAlignment="1" pivotButton="0" quotePrefix="0" xfId="0">
      <alignment horizontal="center"/>
    </xf>
    <xf numFmtId="164" fontId="12" fillId="12" borderId="10" pivotButton="0" quotePrefix="0" xfId="0"/>
    <xf numFmtId="164" fontId="12" fillId="12" borderId="1" pivotButton="0" quotePrefix="0" xfId="0"/>
    <xf numFmtId="164" fontId="12" fillId="12" borderId="23" pivotButton="0" quotePrefix="0" xfId="0"/>
    <xf numFmtId="164" fontId="12" fillId="12" borderId="0" pivotButton="0" quotePrefix="0" xfId="0"/>
    <xf numFmtId="164" fontId="12" fillId="12" borderId="31" pivotButton="0" quotePrefix="0" xfId="0"/>
    <xf numFmtId="164" fontId="12" fillId="12" borderId="32" pivotButton="0" quotePrefix="0" xfId="0"/>
    <xf numFmtId="171" fontId="22" fillId="0" borderId="26" applyAlignment="1" pivotButton="0" quotePrefix="0" xfId="0">
      <alignment horizontal="center"/>
    </xf>
    <xf numFmtId="164" fontId="0" fillId="2" borderId="1" pivotButton="0" quotePrefix="0" xfId="0"/>
    <xf numFmtId="166" fontId="0" fillId="9" borderId="13" applyAlignment="1" pivotButton="0" quotePrefix="0" xfId="0">
      <alignment horizontal="center"/>
    </xf>
    <xf numFmtId="171" fontId="13" fillId="11" borderId="28" applyAlignment="1" pivotButton="0" quotePrefix="0" xfId="0">
      <alignment horizontal="center"/>
    </xf>
    <xf numFmtId="166" fontId="0" fillId="9" borderId="1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164" fontId="12" fillId="0" borderId="8" pivotButton="0" quotePrefix="0" xfId="0"/>
    <xf numFmtId="166" fontId="12" fillId="9" borderId="8" applyAlignment="1" pivotButton="0" quotePrefix="0" xfId="0">
      <alignment horizontal="center"/>
    </xf>
    <xf numFmtId="166" fontId="12" fillId="0" borderId="8" applyAlignment="1" pivotButton="0" quotePrefix="0" xfId="0">
      <alignment horizontal="center"/>
    </xf>
    <xf numFmtId="172" fontId="12" fillId="12" borderId="29" applyAlignment="1" pivotButton="0" quotePrefix="0" xfId="0">
      <alignment horizontal="center"/>
    </xf>
    <xf numFmtId="171" fontId="12" fillId="12" borderId="30" applyAlignment="1" pivotButton="0" quotePrefix="0" xfId="0">
      <alignment horizontal="center"/>
    </xf>
    <xf numFmtId="166" fontId="12" fillId="12" borderId="33" applyAlignment="1" pivotButton="0" quotePrefix="0" xfId="0">
      <alignment horizontal="center"/>
    </xf>
    <xf numFmtId="164" fontId="0" fillId="0" borderId="0" applyAlignment="1" pivotButton="0" quotePrefix="0" xfId="0">
      <alignment vertical="center"/>
    </xf>
    <xf numFmtId="164" fontId="23" fillId="0" borderId="0" pivotButton="0" quotePrefix="0" xfId="0"/>
    <xf numFmtId="164" fontId="0" fillId="0" borderId="0" applyAlignment="1" pivotButton="0" quotePrefix="0" xfId="0">
      <alignment horizontal="left" vertical="center"/>
    </xf>
    <xf numFmtId="166" fontId="22" fillId="0" borderId="0" applyAlignment="1" pivotButton="0" quotePrefix="0" xfId="0">
      <alignment horizontal="centerContinuous" vertical="center"/>
    </xf>
    <xf numFmtId="166" fontId="0" fillId="0" borderId="0" applyAlignment="1" pivotButton="0" quotePrefix="0" xfId="0">
      <alignment horizontal="center" vertical="center"/>
    </xf>
    <xf numFmtId="166" fontId="13" fillId="11" borderId="4" applyAlignment="1" pivotButton="0" quotePrefix="0" xfId="0">
      <alignment horizontal="center" vertical="center"/>
    </xf>
    <xf numFmtId="172" fontId="13" fillId="11" borderId="4" applyAlignment="1" pivotButton="0" quotePrefix="0" xfId="0">
      <alignment horizontal="center" vertical="center"/>
    </xf>
    <xf numFmtId="166" fontId="12" fillId="2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Continuous" vertical="center"/>
    </xf>
    <xf numFmtId="164" fontId="12" fillId="2" borderId="1" applyAlignment="1" pivotButton="0" quotePrefix="0" xfId="0">
      <alignment horizontal="left" vertical="center" indent="1"/>
    </xf>
    <xf numFmtId="164" fontId="14" fillId="2" borderId="1" applyAlignment="1" pivotButton="0" quotePrefix="0" xfId="0">
      <alignment horizontal="centerContinuous"/>
    </xf>
    <xf numFmtId="166" fontId="19" fillId="0" borderId="1" applyAlignment="1" pivotButton="0" quotePrefix="0" xfId="0">
      <alignment horizontal="center"/>
    </xf>
    <xf numFmtId="166" fontId="22" fillId="0" borderId="34" applyAlignment="1" pivotButton="0" quotePrefix="0" xfId="0">
      <alignment horizontal="center"/>
    </xf>
    <xf numFmtId="164" fontId="0" fillId="9" borderId="14" applyAlignment="1" pivotButton="0" quotePrefix="0" xfId="0">
      <alignment horizontal="center"/>
    </xf>
    <xf numFmtId="166" fontId="19" fillId="0" borderId="37" applyAlignment="1" pivotButton="0" quotePrefix="0" xfId="0">
      <alignment horizontal="center"/>
    </xf>
    <xf numFmtId="164" fontId="24" fillId="0" borderId="0" pivotButton="0" quotePrefix="0" xfId="0"/>
    <xf numFmtId="17" fontId="14" fillId="0" borderId="0" applyAlignment="1" pivotButton="0" quotePrefix="1" xfId="0">
      <alignment horizontal="center"/>
    </xf>
    <xf numFmtId="173" fontId="12" fillId="2" borderId="1" applyAlignment="1" pivotButton="0" quotePrefix="0" xfId="0">
      <alignment horizontal="center"/>
    </xf>
    <xf numFmtId="166" fontId="12" fillId="2" borderId="1" applyAlignment="1" pivotButton="0" quotePrefix="0" xfId="0">
      <alignment horizontal="left" indent="1"/>
    </xf>
    <xf numFmtId="164" fontId="0" fillId="0" borderId="5" pivotButton="0" quotePrefix="0" xfId="0"/>
    <xf numFmtId="173" fontId="17" fillId="11" borderId="6" applyAlignment="1" pivotButton="0" quotePrefix="0" xfId="0">
      <alignment horizontal="center"/>
    </xf>
    <xf numFmtId="173" fontId="16" fillId="0" borderId="0" pivotButton="0" quotePrefix="0" xfId="0"/>
    <xf numFmtId="173" fontId="0" fillId="0" borderId="0" pivotButton="0" quotePrefix="0" xfId="0"/>
    <xf numFmtId="173" fontId="16" fillId="9" borderId="0" applyAlignment="1" pivotButton="0" quotePrefix="0" xfId="0">
      <alignment horizontal="center"/>
    </xf>
    <xf numFmtId="173" fontId="16" fillId="9" borderId="5" applyAlignment="1" pivotButton="0" quotePrefix="0" xfId="0">
      <alignment horizontal="center"/>
    </xf>
    <xf numFmtId="164" fontId="12" fillId="2" borderId="1" applyAlignment="1" pivotButton="0" quotePrefix="0" xfId="0">
      <alignment horizontal="left" indent="1"/>
    </xf>
    <xf numFmtId="173" fontId="16" fillId="9" borderId="1" applyAlignment="1" pivotButton="0" quotePrefix="0" xfId="0">
      <alignment horizontal="center"/>
    </xf>
    <xf numFmtId="174" fontId="0" fillId="0" borderId="0" applyAlignment="1" pivotButton="0" quotePrefix="0" xfId="0">
      <alignment horizontal="center"/>
    </xf>
    <xf numFmtId="164" fontId="25" fillId="2" borderId="0" applyAlignment="1" pivotButton="0" quotePrefix="0" xfId="0">
      <alignment horizontal="left" vertical="center" indent="1"/>
    </xf>
    <xf numFmtId="164" fontId="25" fillId="2" borderId="0" pivotButton="0" quotePrefix="0" xfId="0"/>
    <xf numFmtId="171" fontId="25" fillId="2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left" vertical="center" indent="1"/>
    </xf>
    <xf numFmtId="172" fontId="17" fillId="11" borderId="4" applyAlignment="1" pivotButton="0" quotePrefix="0" xfId="0">
      <alignment horizontal="center" vertical="center"/>
    </xf>
    <xf numFmtId="166" fontId="0" fillId="0" borderId="8" applyAlignment="1" pivotButton="0" quotePrefix="0" xfId="0">
      <alignment horizontal="center"/>
    </xf>
    <xf numFmtId="173" fontId="16" fillId="9" borderId="8" applyAlignment="1" pivotButton="0" quotePrefix="0" xfId="0">
      <alignment horizontal="center"/>
    </xf>
    <xf numFmtId="166" fontId="16" fillId="0" borderId="0" pivotButton="0" quotePrefix="0" xfId="0"/>
    <xf numFmtId="166" fontId="17" fillId="11" borderId="4" applyAlignment="1" pivotButton="0" quotePrefix="0" xfId="0">
      <alignment horizontal="center"/>
    </xf>
    <xf numFmtId="166" fontId="17" fillId="11" borderId="6" applyAlignment="1" pivotButton="0" quotePrefix="0" xfId="0">
      <alignment horizontal="center"/>
    </xf>
    <xf numFmtId="171" fontId="13" fillId="11" borderId="26" applyAlignment="1" pivotButton="0" quotePrefix="0" xfId="0">
      <alignment horizontal="center" vertical="center"/>
    </xf>
    <xf numFmtId="164" fontId="16" fillId="0" borderId="8" applyAlignment="1" pivotButton="0" quotePrefix="0" xfId="0">
      <alignment horizontal="left" indent="1"/>
    </xf>
    <xf numFmtId="168" fontId="17" fillId="0" borderId="39" applyAlignment="1" pivotButton="0" quotePrefix="0" xfId="0">
      <alignment horizontal="center"/>
    </xf>
    <xf numFmtId="168" fontId="20" fillId="0" borderId="39" applyAlignment="1" pivotButton="0" quotePrefix="0" xfId="0">
      <alignment horizontal="center"/>
    </xf>
    <xf numFmtId="175" fontId="17" fillId="11" borderId="4" applyAlignment="1" pivotButton="0" quotePrefix="0" xfId="0">
      <alignment horizontal="center"/>
    </xf>
    <xf numFmtId="166" fontId="12" fillId="0" borderId="1" applyAlignment="1" pivotButton="0" quotePrefix="0" xfId="0">
      <alignment horizontal="left" indent="1"/>
    </xf>
    <xf numFmtId="167" fontId="16" fillId="9" borderId="1" applyAlignment="1" pivotButton="0" quotePrefix="0" xfId="0">
      <alignment horizontal="center"/>
    </xf>
    <xf numFmtId="167" fontId="16" fillId="9" borderId="7" applyAlignment="1" pivotButton="0" quotePrefix="0" xfId="0">
      <alignment horizontal="center"/>
    </xf>
    <xf numFmtId="171" fontId="22" fillId="0" borderId="40" applyAlignment="1" pivotButton="0" quotePrefix="0" xfId="0">
      <alignment horizontal="center"/>
    </xf>
    <xf numFmtId="166" fontId="12" fillId="0" borderId="21" applyAlignment="1" pivotButton="0" quotePrefix="0" xfId="0">
      <alignment horizontal="center"/>
    </xf>
    <xf numFmtId="164" fontId="0" fillId="0" borderId="0" applyAlignment="1" pivotButton="0" quotePrefix="0" xfId="0">
      <alignment horizontal="left" vertical="center" indent="1"/>
    </xf>
    <xf numFmtId="166" fontId="13" fillId="0" borderId="0" applyAlignment="1" pivotButton="0" quotePrefix="0" xfId="0">
      <alignment horizontal="center" vertical="center"/>
    </xf>
    <xf numFmtId="164" fontId="0" fillId="0" borderId="8" applyAlignment="1" pivotButton="0" quotePrefix="0" xfId="0">
      <alignment vertical="center"/>
    </xf>
    <xf numFmtId="166" fontId="0" fillId="0" borderId="8" applyAlignment="1" pivotButton="0" quotePrefix="0" xfId="0">
      <alignment horizontal="center" vertical="center"/>
    </xf>
    <xf numFmtId="176" fontId="13" fillId="0" borderId="0" applyAlignment="1" pivotButton="0" quotePrefix="0" xfId="0">
      <alignment horizontal="center" vertical="center"/>
    </xf>
    <xf numFmtId="1" fontId="13" fillId="0" borderId="38" applyAlignment="1" pivotButton="0" quotePrefix="0" xfId="0">
      <alignment horizontal="center" vertical="center"/>
    </xf>
    <xf numFmtId="15" fontId="22" fillId="0" borderId="4" applyAlignment="1" pivotButton="0" quotePrefix="0" xfId="0">
      <alignment horizontal="center" vertical="center"/>
    </xf>
    <xf numFmtId="166" fontId="19" fillId="0" borderId="35" applyAlignment="1" pivotButton="0" quotePrefix="0" xfId="0">
      <alignment horizontal="center"/>
    </xf>
    <xf numFmtId="166" fontId="22" fillId="0" borderId="3" applyAlignment="1" pivotButton="0" quotePrefix="0" xfId="0">
      <alignment horizontal="center"/>
    </xf>
    <xf numFmtId="166" fontId="22" fillId="0" borderId="25" applyAlignment="1" pivotButton="0" quotePrefix="0" xfId="0">
      <alignment horizontal="center"/>
    </xf>
    <xf numFmtId="164" fontId="0" fillId="0" borderId="27" applyAlignment="1" pivotButton="0" quotePrefix="0" xfId="0">
      <alignment horizontal="center"/>
    </xf>
    <xf numFmtId="164" fontId="12" fillId="0" borderId="1" applyAlignment="1" pivotButton="0" quotePrefix="0" xfId="0">
      <alignment horizontal="left" indent="1"/>
    </xf>
    <xf numFmtId="166" fontId="13" fillId="0" borderId="5" applyAlignment="1" pivotButton="0" quotePrefix="0" xfId="0">
      <alignment horizontal="center"/>
    </xf>
    <xf numFmtId="166" fontId="0" fillId="0" borderId="8" applyAlignment="1" pivotButton="0" quotePrefix="0" xfId="0">
      <alignment horizontal="left" indent="1"/>
    </xf>
    <xf numFmtId="166" fontId="22" fillId="0" borderId="8" applyAlignment="1" pivotButton="0" quotePrefix="0" xfId="0">
      <alignment horizontal="center"/>
    </xf>
    <xf numFmtId="166" fontId="22" fillId="0" borderId="21" applyAlignment="1" pivotButton="0" quotePrefix="0" xfId="0">
      <alignment horizontal="center"/>
    </xf>
    <xf numFmtId="165" fontId="24" fillId="0" borderId="0" applyAlignment="1" pivotButton="0" quotePrefix="0" xfId="0">
      <alignment horizontal="center"/>
    </xf>
    <xf numFmtId="165" fontId="24" fillId="0" borderId="5" applyAlignment="1" pivotButton="0" quotePrefix="0" xfId="0">
      <alignment horizontal="center"/>
    </xf>
    <xf numFmtId="166" fontId="16" fillId="0" borderId="0" applyAlignment="1" pivotButton="0" quotePrefix="0" xfId="0">
      <alignment horizontal="left" indent="1"/>
    </xf>
    <xf numFmtId="166" fontId="20" fillId="0" borderId="0" applyAlignment="1" pivotButton="0" quotePrefix="0" xfId="0">
      <alignment horizontal="center"/>
    </xf>
    <xf numFmtId="166" fontId="20" fillId="0" borderId="5" applyAlignment="1" pivotButton="0" quotePrefix="0" xfId="0">
      <alignment horizontal="center"/>
    </xf>
    <xf numFmtId="166" fontId="0" fillId="0" borderId="4" applyAlignment="1" pivotButton="0" quotePrefix="0" xfId="0">
      <alignment horizontal="center"/>
    </xf>
    <xf numFmtId="164" fontId="0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 indent="2"/>
    </xf>
    <xf numFmtId="167" fontId="16" fillId="0" borderId="0" applyAlignment="1" pivotButton="0" quotePrefix="0" xfId="0">
      <alignment horizontal="left" indent="4"/>
    </xf>
    <xf numFmtId="173" fontId="0" fillId="0" borderId="0" applyAlignment="1" pivotButton="0" quotePrefix="0" xfId="0">
      <alignment horizontal="center"/>
    </xf>
    <xf numFmtId="166" fontId="16" fillId="0" borderId="5" applyAlignment="1" pivotButton="0" quotePrefix="0" xfId="0">
      <alignment horizontal="center"/>
    </xf>
    <xf numFmtId="173" fontId="16" fillId="0" borderId="0" applyAlignment="1" pivotButton="0" quotePrefix="0" xfId="0">
      <alignment horizontal="center"/>
    </xf>
    <xf numFmtId="173" fontId="16" fillId="0" borderId="5" applyAlignment="1" pivotButton="0" quotePrefix="0" xfId="0">
      <alignment horizontal="center"/>
    </xf>
    <xf numFmtId="173" fontId="13" fillId="0" borderId="0" applyAlignment="1" pivotButton="0" quotePrefix="0" xfId="0">
      <alignment horizontal="center"/>
    </xf>
    <xf numFmtId="173" fontId="13" fillId="0" borderId="5" applyAlignment="1" pivotButton="0" quotePrefix="0" xfId="0">
      <alignment horizontal="center"/>
    </xf>
    <xf numFmtId="167" fontId="16" fillId="0" borderId="0" applyAlignment="1" pivotButton="0" quotePrefix="0" xfId="0">
      <alignment horizontal="left"/>
    </xf>
    <xf numFmtId="166" fontId="22" fillId="0" borderId="0" applyAlignment="1" pivotButton="0" quotePrefix="0" xfId="0">
      <alignment horizontal="left" indent="1"/>
    </xf>
    <xf numFmtId="167" fontId="20" fillId="0" borderId="0" applyAlignment="1" pivotButton="0" quotePrefix="0" xfId="0">
      <alignment horizontal="left" indent="1"/>
    </xf>
    <xf numFmtId="167" fontId="20" fillId="0" borderId="0" applyAlignment="1" pivotButton="0" quotePrefix="0" xfId="0">
      <alignment horizontal="left" indent="2"/>
    </xf>
    <xf numFmtId="166" fontId="12" fillId="0" borderId="7" applyAlignment="1" pivotButton="0" quotePrefix="0" xfId="0">
      <alignment horizontal="center"/>
    </xf>
    <xf numFmtId="173" fontId="16" fillId="0" borderId="0" applyAlignment="1" pivotButton="0" quotePrefix="0" xfId="0">
      <alignment horizontal="left" indent="1"/>
    </xf>
    <xf numFmtId="173" fontId="16" fillId="0" borderId="0" applyAlignment="1" pivotButton="0" quotePrefix="0" xfId="0">
      <alignment horizontal="left" indent="3"/>
    </xf>
    <xf numFmtId="173" fontId="12" fillId="0" borderId="1" applyAlignment="1" pivotButton="0" quotePrefix="0" xfId="0">
      <alignment horizontal="center"/>
    </xf>
    <xf numFmtId="173" fontId="12" fillId="0" borderId="0" applyAlignment="1" pivotButton="0" quotePrefix="0" xfId="0">
      <alignment horizontal="center"/>
    </xf>
    <xf numFmtId="173" fontId="16" fillId="0" borderId="0" applyAlignment="1" pivotButton="0" quotePrefix="0" xfId="0">
      <alignment horizontal="left"/>
    </xf>
    <xf numFmtId="173" fontId="16" fillId="0" borderId="0" applyAlignment="1" pivotButton="0" quotePrefix="0" xfId="0">
      <alignment horizontal="left" indent="4"/>
    </xf>
    <xf numFmtId="3" fontId="22" fillId="0" borderId="0" applyAlignment="1" pivotButton="0" quotePrefix="0" xfId="0">
      <alignment horizontal="center"/>
    </xf>
    <xf numFmtId="177" fontId="22" fillId="0" borderId="0" applyAlignment="1" pivotButton="0" quotePrefix="0" xfId="0">
      <alignment horizontal="center"/>
    </xf>
    <xf numFmtId="177" fontId="16" fillId="0" borderId="0" applyAlignment="1" pivotButton="0" quotePrefix="0" xfId="0">
      <alignment horizontal="center"/>
    </xf>
    <xf numFmtId="177" fontId="16" fillId="9" borderId="0" applyAlignment="1" pivotButton="0" quotePrefix="0" xfId="0">
      <alignment horizontal="center"/>
    </xf>
    <xf numFmtId="177" fontId="16" fillId="9" borderId="5" applyAlignment="1" pivotButton="0" quotePrefix="0" xfId="0">
      <alignment horizontal="center"/>
    </xf>
    <xf numFmtId="177" fontId="17" fillId="11" borderId="6" applyAlignment="1" pivotButton="0" quotePrefix="0" xfId="0">
      <alignment horizontal="center"/>
    </xf>
    <xf numFmtId="177" fontId="17" fillId="11" borderId="4" applyAlignment="1" pivotButton="0" quotePrefix="0" xfId="0">
      <alignment horizontal="center"/>
    </xf>
    <xf numFmtId="173" fontId="22" fillId="0" borderId="0" applyAlignment="1" pivotButton="0" quotePrefix="0" xfId="0">
      <alignment horizontal="center"/>
    </xf>
    <xf numFmtId="166" fontId="22" fillId="0" borderId="0" applyAlignment="1" pivotButton="0" quotePrefix="0" xfId="0">
      <alignment horizontal="center"/>
    </xf>
    <xf numFmtId="10" fontId="0" fillId="0" borderId="0" pivotButton="0" quotePrefix="0" xfId="0"/>
    <xf numFmtId="164" fontId="22" fillId="11" borderId="36" applyAlignment="1" pivotButton="0" quotePrefix="0" xfId="0">
      <alignment horizontal="center"/>
    </xf>
    <xf numFmtId="164" fontId="22" fillId="11" borderId="26" applyAlignment="1" pivotButton="0" quotePrefix="0" xfId="0">
      <alignment horizontal="center"/>
    </xf>
    <xf numFmtId="167" fontId="27" fillId="11" borderId="4" applyAlignment="1" pivotButton="0" quotePrefix="0" xfId="0">
      <alignment horizontal="center"/>
    </xf>
    <xf numFmtId="171" fontId="22" fillId="0" borderId="0" applyAlignment="1" pivotButton="0" quotePrefix="0" xfId="0">
      <alignment horizontal="center"/>
    </xf>
    <xf numFmtId="166" fontId="12" fillId="9" borderId="0" applyAlignment="1" pivotButton="0" quotePrefix="0" xfId="0">
      <alignment horizontal="center"/>
    </xf>
    <xf numFmtId="171" fontId="19" fillId="0" borderId="0" applyAlignment="1" pivotButton="0" quotePrefix="0" xfId="0">
      <alignment horizontal="center"/>
    </xf>
    <xf numFmtId="171" fontId="26" fillId="0" borderId="8" applyAlignment="1" pivotButton="0" quotePrefix="0" xfId="0">
      <alignment horizontal="center" vertical="center"/>
    </xf>
    <xf numFmtId="171" fontId="26" fillId="0" borderId="0" applyAlignment="1" pivotButton="0" quotePrefix="0" xfId="0">
      <alignment horizontal="center" vertical="center"/>
    </xf>
    <xf numFmtId="171" fontId="30" fillId="2" borderId="1" applyAlignment="1" pivotButton="0" quotePrefix="0" xfId="0">
      <alignment horizontal="center" vertical="center"/>
    </xf>
    <xf numFmtId="164" fontId="31" fillId="2" borderId="0" applyAlignment="1" pivotButton="0" quotePrefix="0" xfId="0">
      <alignment horizontal="left" vertical="center" indent="1"/>
    </xf>
    <xf numFmtId="164" fontId="31" fillId="2" borderId="0" pivotButton="0" quotePrefix="0" xfId="0"/>
    <xf numFmtId="171" fontId="31" fillId="2" borderId="0" applyAlignment="1" pivotButton="0" quotePrefix="0" xfId="0">
      <alignment horizontal="center" vertical="center"/>
    </xf>
    <xf numFmtId="164" fontId="22" fillId="0" borderId="0" pivotButton="0" quotePrefix="0" xfId="0"/>
    <xf numFmtId="166" fontId="22" fillId="9" borderId="13" applyAlignment="1" pivotButton="0" quotePrefix="0" xfId="0">
      <alignment horizontal="center"/>
    </xf>
    <xf numFmtId="172" fontId="20" fillId="0" borderId="5" applyAlignment="1" pivotButton="0" quotePrefix="0" xfId="0">
      <alignment horizontal="center"/>
    </xf>
    <xf numFmtId="172" fontId="20" fillId="0" borderId="0" applyAlignment="1" pivotButton="0" quotePrefix="0" xfId="0">
      <alignment horizontal="center"/>
    </xf>
    <xf numFmtId="172" fontId="20" fillId="0" borderId="41" applyAlignment="1" pivotButton="0" quotePrefix="0" xfId="0">
      <alignment horizontal="center"/>
    </xf>
    <xf numFmtId="172" fontId="20" fillId="0" borderId="38" applyAlignment="1" pivotButton="0" quotePrefix="0" xfId="0">
      <alignment horizontal="center"/>
    </xf>
    <xf numFmtId="167" fontId="17" fillId="0" borderId="0" applyAlignment="1" pivotButton="0" quotePrefix="0" xfId="0">
      <alignment horizontal="center"/>
    </xf>
    <xf numFmtId="170" fontId="17" fillId="14" borderId="6" applyAlignment="1" pivotButton="0" quotePrefix="0" xfId="0">
      <alignment horizontal="center"/>
    </xf>
    <xf numFmtId="170" fontId="17" fillId="14" borderId="4" applyAlignment="1" pivotButton="0" quotePrefix="0" xfId="0">
      <alignment horizontal="center"/>
    </xf>
    <xf numFmtId="164" fontId="12" fillId="13" borderId="10" pivotButton="0" quotePrefix="0" xfId="0"/>
    <xf numFmtId="172" fontId="12" fillId="13" borderId="11" pivotButton="0" quotePrefix="0" xfId="0"/>
    <xf numFmtId="164" fontId="12" fillId="13" borderId="12" pivotButton="0" quotePrefix="0" xfId="0"/>
    <xf numFmtId="171" fontId="19" fillId="13" borderId="15" applyAlignment="1" pivotButton="0" quotePrefix="0" xfId="0">
      <alignment horizontal="right" vertical="center"/>
    </xf>
    <xf numFmtId="173" fontId="20" fillId="11" borderId="6" applyAlignment="1" pivotButton="0" quotePrefix="0" xfId="0">
      <alignment horizontal="center"/>
    </xf>
    <xf numFmtId="164" fontId="0" fillId="15" borderId="0" pivotButton="0" quotePrefix="0" xfId="0"/>
    <xf numFmtId="164" fontId="0" fillId="15" borderId="0" applyAlignment="1" pivotButton="0" quotePrefix="0" xfId="0">
      <alignment horizontal="center"/>
    </xf>
    <xf numFmtId="164" fontId="15" fillId="16" borderId="2" applyAlignment="1" pivotButton="0" quotePrefix="0" xfId="0">
      <alignment vertical="center"/>
    </xf>
    <xf numFmtId="164" fontId="23" fillId="16" borderId="3" pivotButton="0" quotePrefix="0" xfId="0"/>
    <xf numFmtId="164" fontId="23" fillId="16" borderId="25" pivotButton="0" quotePrefix="0" xfId="0"/>
    <xf numFmtId="164" fontId="15" fillId="16" borderId="2" pivotButton="0" quotePrefix="0" xfId="0"/>
    <xf numFmtId="164" fontId="15" fillId="16" borderId="3" pivotButton="0" quotePrefix="0" xfId="0"/>
    <xf numFmtId="164" fontId="15" fillId="16" borderId="3" applyAlignment="1" pivotButton="0" quotePrefix="0" xfId="0">
      <alignment horizontal="center"/>
    </xf>
    <xf numFmtId="164" fontId="15" fillId="16" borderId="25" applyAlignment="1" pivotButton="0" quotePrefix="0" xfId="0">
      <alignment horizontal="center"/>
    </xf>
    <xf numFmtId="164" fontId="15" fillId="16" borderId="13" pivotButton="0" quotePrefix="0" xfId="0"/>
    <xf numFmtId="164" fontId="15" fillId="16" borderId="13" applyAlignment="1" pivotButton="0" quotePrefix="0" xfId="0">
      <alignment horizontal="center"/>
    </xf>
    <xf numFmtId="164" fontId="15" fillId="16" borderId="0" pivotButton="0" quotePrefix="0" xfId="0"/>
    <xf numFmtId="164" fontId="23" fillId="16" borderId="0" pivotButton="0" quotePrefix="0" xfId="0"/>
    <xf numFmtId="165" fontId="15" fillId="16" borderId="0" applyAlignment="1" pivotButton="0" quotePrefix="0" xfId="0">
      <alignment horizontal="center"/>
    </xf>
    <xf numFmtId="164" fontId="15" fillId="16" borderId="5" pivotButton="0" quotePrefix="0" xfId="0"/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0" pivotButton="0" quotePrefix="0" xfId="0"/>
    <xf numFmtId="164" fontId="12" fillId="0" borderId="0" pivotButton="0" quotePrefix="0" xfId="0"/>
    <xf numFmtId="164" fontId="0" fillId="0" borderId="0" applyAlignment="1" pivotButton="0" quotePrefix="0" xfId="0">
      <alignment vertical="center"/>
    </xf>
    <xf numFmtId="0" fontId="32" fillId="0" borderId="0" pivotButton="0" quotePrefix="0" xfId="0"/>
    <xf numFmtId="164" fontId="32" fillId="15" borderId="0" pivotButton="0" quotePrefix="0" xfId="0"/>
    <xf numFmtId="164" fontId="0" fillId="15" borderId="0" pivotButton="0" quotePrefix="0" xfId="0"/>
    <xf numFmtId="164" fontId="0" fillId="15" borderId="0" applyAlignment="1" pivotButton="0" quotePrefix="0" xfId="0">
      <alignment horizontal="center"/>
    </xf>
    <xf numFmtId="164" fontId="15" fillId="16" borderId="2" applyAlignment="1" pivotButton="0" quotePrefix="0" xfId="0">
      <alignment vertical="center"/>
    </xf>
    <xf numFmtId="164" fontId="23" fillId="16" borderId="3" pivotButton="0" quotePrefix="0" xfId="0"/>
    <xf numFmtId="164" fontId="23" fillId="16" borderId="25" pivotButton="0" quotePrefix="0" xfId="0"/>
    <xf numFmtId="164" fontId="15" fillId="16" borderId="2" pivotButton="0" quotePrefix="0" xfId="0"/>
    <xf numFmtId="164" fontId="15" fillId="16" borderId="3" pivotButton="0" quotePrefix="0" xfId="0"/>
    <xf numFmtId="164" fontId="15" fillId="16" borderId="3" applyAlignment="1" pivotButton="0" quotePrefix="0" xfId="0">
      <alignment horizontal="center"/>
    </xf>
    <xf numFmtId="164" fontId="15" fillId="16" borderId="25" applyAlignment="1" pivotButton="0" quotePrefix="0" xfId="0">
      <alignment horizontal="center"/>
    </xf>
    <xf numFmtId="164" fontId="23" fillId="0" borderId="0" pivotButton="0" quotePrefix="0" xfId="0"/>
    <xf numFmtId="164" fontId="15" fillId="16" borderId="13" pivotButton="0" quotePrefix="0" xfId="0"/>
    <xf numFmtId="164" fontId="15" fillId="16" borderId="13" applyAlignment="1" pivotButton="0" quotePrefix="0" xfId="0">
      <alignment horizontal="center"/>
    </xf>
    <xf numFmtId="164" fontId="0" fillId="0" borderId="0" applyAlignment="1" pivotButton="0" quotePrefix="0" xfId="0">
      <alignment horizontal="left" vertical="center" indent="1"/>
    </xf>
    <xf numFmtId="17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centerContinuous"/>
    </xf>
    <xf numFmtId="171" fontId="13" fillId="11" borderId="26" applyAlignment="1" pivotButton="0" quotePrefix="0" xfId="0">
      <alignment horizontal="center" vertical="center"/>
    </xf>
    <xf numFmtId="172" fontId="13" fillId="11" borderId="4" applyAlignment="1" pivotButton="0" quotePrefix="0" xfId="0">
      <alignment horizontal="center" vertical="center"/>
    </xf>
    <xf numFmtId="164" fontId="16" fillId="0" borderId="8" applyAlignment="1" pivotButton="0" quotePrefix="0" xfId="0">
      <alignment horizontal="left" indent="1"/>
    </xf>
    <xf numFmtId="164" fontId="0" fillId="0" borderId="8" pivotButton="0" quotePrefix="0" xfId="0"/>
    <xf numFmtId="171" fontId="26" fillId="0" borderId="8" applyAlignment="1" pivotButton="0" quotePrefix="0" xfId="0">
      <alignment horizontal="center" vertical="center"/>
    </xf>
    <xf numFmtId="164" fontId="16" fillId="0" borderId="0" applyAlignment="1" pivotButton="0" quotePrefix="0" xfId="0">
      <alignment horizontal="left" indent="1"/>
    </xf>
    <xf numFmtId="171" fontId="26" fillId="0" borderId="0" applyAlignment="1" pivotButton="0" quotePrefix="0" xfId="0">
      <alignment horizontal="center" vertical="center"/>
    </xf>
    <xf numFmtId="164" fontId="0" fillId="0" borderId="8" applyAlignment="1" pivotButton="0" quotePrefix="0" xfId="0">
      <alignment vertical="center"/>
    </xf>
    <xf numFmtId="164" fontId="16" fillId="0" borderId="0" applyAlignment="1" pivotButton="0" quotePrefix="0" xfId="0">
      <alignment horizontal="left" vertical="center" indent="1"/>
    </xf>
    <xf numFmtId="164" fontId="16" fillId="0" borderId="0" pivotButton="0" quotePrefix="0" xfId="0"/>
    <xf numFmtId="172" fontId="17" fillId="11" borderId="4" applyAlignment="1" pivotButton="0" quotePrefix="0" xfId="0">
      <alignment horizontal="center" vertical="center"/>
    </xf>
    <xf numFmtId="176" fontId="13" fillId="0" borderId="0" applyAlignment="1" pivotButton="0" quotePrefix="0" xfId="0">
      <alignment horizontal="center" vertical="center"/>
    </xf>
    <xf numFmtId="164" fontId="12" fillId="2" borderId="1" applyAlignment="1" pivotButton="0" quotePrefix="0" xfId="0">
      <alignment horizontal="left" vertical="center" indent="1"/>
    </xf>
    <xf numFmtId="164" fontId="14" fillId="2" borderId="1" applyAlignment="1" pivotButton="0" quotePrefix="0" xfId="0">
      <alignment horizontal="centerContinuous"/>
    </xf>
    <xf numFmtId="171" fontId="30" fillId="2" borderId="1" applyAlignment="1" pivotButton="0" quotePrefix="0" xfId="0">
      <alignment horizontal="center" vertical="center"/>
    </xf>
    <xf numFmtId="164" fontId="12" fillId="2" borderId="1" pivotButton="0" quotePrefix="0" xfId="0"/>
    <xf numFmtId="164" fontId="25" fillId="2" borderId="0" applyAlignment="1" pivotButton="0" quotePrefix="0" xfId="0">
      <alignment horizontal="left" vertical="center" indent="1"/>
    </xf>
    <xf numFmtId="164" fontId="25" fillId="2" borderId="0" pivotButton="0" quotePrefix="0" xfId="0"/>
    <xf numFmtId="171" fontId="25" fillId="2" borderId="0" applyAlignment="1" pivotButton="0" quotePrefix="0" xfId="0">
      <alignment horizontal="center" vertical="center"/>
    </xf>
    <xf numFmtId="164" fontId="12" fillId="13" borderId="10" pivotButton="0" quotePrefix="0" xfId="0"/>
    <xf numFmtId="172" fontId="12" fillId="13" borderId="11" pivotButton="0" quotePrefix="0" xfId="0"/>
    <xf numFmtId="164" fontId="15" fillId="16" borderId="0" pivotButton="0" quotePrefix="0" xfId="0"/>
    <xf numFmtId="164" fontId="23" fillId="16" borderId="0" pivotButton="0" quotePrefix="0" xfId="0"/>
    <xf numFmtId="164" fontId="31" fillId="2" borderId="0" applyAlignment="1" pivotButton="0" quotePrefix="0" xfId="0">
      <alignment horizontal="left" vertical="center" indent="1"/>
    </xf>
    <xf numFmtId="164" fontId="31" fillId="2" borderId="0" pivotButton="0" quotePrefix="0" xfId="0"/>
    <xf numFmtId="171" fontId="31" fillId="2" borderId="0" applyAlignment="1" pivotButton="0" quotePrefix="0" xfId="0">
      <alignment horizontal="center" vertical="center"/>
    </xf>
    <xf numFmtId="164" fontId="12" fillId="13" borderId="12" pivotButton="0" quotePrefix="0" xfId="0"/>
    <xf numFmtId="171" fontId="19" fillId="13" borderId="15" applyAlignment="1" pivotButton="0" quotePrefix="0" xfId="0">
      <alignment horizontal="right" vertical="center"/>
    </xf>
    <xf numFmtId="164" fontId="14" fillId="0" borderId="5" applyAlignment="1" pivotButton="0" quotePrefix="0" xfId="0">
      <alignment horizontal="centerContinuous"/>
    </xf>
    <xf numFmtId="165" fontId="16" fillId="0" borderId="5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165" fontId="15" fillId="16" borderId="0" applyAlignment="1" pivotButton="0" quotePrefix="0" xfId="0">
      <alignment horizontal="center"/>
    </xf>
    <xf numFmtId="164" fontId="15" fillId="0" borderId="0" pivotButton="0" quotePrefix="0" xfId="0"/>
    <xf numFmtId="165" fontId="15" fillId="0" borderId="0" applyAlignment="1" pivotButton="0" quotePrefix="0" xfId="0">
      <alignment horizontal="center"/>
    </xf>
    <xf numFmtId="165" fontId="15" fillId="0" borderId="5" applyAlignment="1" pivotButton="0" quotePrefix="0" xfId="0">
      <alignment horizontal="center"/>
    </xf>
    <xf numFmtId="173" fontId="0" fillId="0" borderId="0" applyAlignment="1" pivotButton="0" quotePrefix="0" xfId="0">
      <alignment horizontal="center"/>
    </xf>
    <xf numFmtId="164" fontId="16" fillId="0" borderId="0" applyAlignment="1" pivotButton="0" quotePrefix="0" xfId="0">
      <alignment horizontal="left" indent="3"/>
    </xf>
    <xf numFmtId="173" fontId="16" fillId="0" borderId="0" applyAlignment="1" pivotButton="0" quotePrefix="0" xfId="0">
      <alignment horizontal="center"/>
    </xf>
    <xf numFmtId="173" fontId="16" fillId="0" borderId="5" applyAlignment="1" pivotButton="0" quotePrefix="0" xfId="0">
      <alignment horizontal="center"/>
    </xf>
    <xf numFmtId="170" fontId="17" fillId="11" borderId="6" applyAlignment="1" pivotButton="0" quotePrefix="0" xfId="0">
      <alignment horizontal="center"/>
    </xf>
    <xf numFmtId="173" fontId="13" fillId="0" borderId="0" applyAlignment="1" pivotButton="0" quotePrefix="0" xfId="0">
      <alignment horizontal="center"/>
    </xf>
    <xf numFmtId="173" fontId="13" fillId="0" borderId="5" applyAlignment="1" pivotButton="0" quotePrefix="0" xfId="0">
      <alignment horizontal="center"/>
    </xf>
    <xf numFmtId="170" fontId="17" fillId="14" borderId="6" applyAlignment="1" pivotButton="0" quotePrefix="0" xfId="0">
      <alignment horizontal="center"/>
    </xf>
    <xf numFmtId="170" fontId="17" fillId="14" borderId="4" applyAlignment="1" pivotButton="0" quotePrefix="0" xfId="0">
      <alignment horizontal="center"/>
    </xf>
    <xf numFmtId="177" fontId="22" fillId="0" borderId="0" applyAlignment="1" pivotButton="0" quotePrefix="0" xfId="0">
      <alignment horizontal="center"/>
    </xf>
    <xf numFmtId="177" fontId="16" fillId="0" borderId="0" applyAlignment="1" pivotButton="0" quotePrefix="0" xfId="0">
      <alignment horizontal="center"/>
    </xf>
    <xf numFmtId="177" fontId="16" fillId="9" borderId="0" applyAlignment="1" pivotButton="0" quotePrefix="0" xfId="0">
      <alignment horizontal="center"/>
    </xf>
    <xf numFmtId="177" fontId="16" fillId="9" borderId="5" applyAlignment="1" pivotButton="0" quotePrefix="0" xfId="0">
      <alignment horizontal="center"/>
    </xf>
    <xf numFmtId="177" fontId="17" fillId="11" borderId="6" applyAlignment="1" pivotButton="0" quotePrefix="0" xfId="0">
      <alignment horizontal="center"/>
    </xf>
    <xf numFmtId="177" fontId="17" fillId="11" borderId="4" applyAlignment="1" pivotButton="0" quotePrefix="0" xfId="0">
      <alignment horizontal="center"/>
    </xf>
    <xf numFmtId="173" fontId="22" fillId="0" borderId="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5" applyAlignment="1" pivotButton="0" quotePrefix="0" xfId="0">
      <alignment horizontal="center"/>
    </xf>
    <xf numFmtId="173" fontId="12" fillId="2" borderId="1" applyAlignment="1" pivotButton="0" quotePrefix="0" xfId="0">
      <alignment horizontal="center"/>
    </xf>
    <xf numFmtId="173" fontId="17" fillId="11" borderId="6" applyAlignment="1" pivotButton="0" quotePrefix="0" xfId="0">
      <alignment horizontal="center"/>
    </xf>
    <xf numFmtId="164" fontId="20" fillId="0" borderId="0" applyAlignment="1" pivotButton="0" quotePrefix="0" xfId="0">
      <alignment horizontal="left" indent="4"/>
    </xf>
    <xf numFmtId="164" fontId="16" fillId="0" borderId="0" applyAlignment="1" pivotButton="0" quotePrefix="0" xfId="0">
      <alignment horizontal="left" indent="4"/>
    </xf>
    <xf numFmtId="164" fontId="0" fillId="0" borderId="0" applyAlignment="1" pivotButton="0" quotePrefix="0" xfId="0">
      <alignment horizontal="left" indent="1"/>
    </xf>
    <xf numFmtId="165" fontId="0" fillId="0" borderId="0" applyAlignment="1" pivotButton="0" quotePrefix="0" xfId="0">
      <alignment horizontal="center"/>
    </xf>
    <xf numFmtId="165" fontId="0" fillId="0" borderId="5" applyAlignment="1" pivotButton="0" quotePrefix="0" xfId="0">
      <alignment horizontal="center"/>
    </xf>
    <xf numFmtId="173" fontId="12" fillId="0" borderId="1" applyAlignment="1" pivotButton="0" quotePrefix="0" xfId="0">
      <alignment horizontal="center"/>
    </xf>
    <xf numFmtId="173" fontId="0" fillId="0" borderId="0" pivotButton="0" quotePrefix="0" xfId="0"/>
    <xf numFmtId="173" fontId="16" fillId="0" borderId="0" pivotButton="0" quotePrefix="0" xfId="0"/>
    <xf numFmtId="173" fontId="16" fillId="0" borderId="0" applyAlignment="1" pivotButton="0" quotePrefix="0" xfId="0">
      <alignment horizontal="left" indent="1"/>
    </xf>
    <xf numFmtId="173" fontId="16" fillId="0" borderId="0" applyAlignment="1" pivotButton="0" quotePrefix="0" xfId="0">
      <alignment horizontal="left" indent="3"/>
    </xf>
    <xf numFmtId="173" fontId="16" fillId="9" borderId="0" applyAlignment="1" pivotButton="0" quotePrefix="0" xfId="0">
      <alignment horizontal="center"/>
    </xf>
    <xf numFmtId="173" fontId="12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12" fillId="0" borderId="5" applyAlignment="1" pivotButton="0" quotePrefix="0" xfId="0">
      <alignment horizontal="center"/>
    </xf>
    <xf numFmtId="164" fontId="0" fillId="0" borderId="0" applyAlignment="1" pivotButton="0" quotePrefix="0" xfId="0">
      <alignment horizontal="left"/>
    </xf>
    <xf numFmtId="173" fontId="16" fillId="0" borderId="0" applyAlignment="1" pivotButton="0" quotePrefix="0" xfId="0">
      <alignment horizontal="left"/>
    </xf>
    <xf numFmtId="173" fontId="16" fillId="0" borderId="0" applyAlignment="1" pivotButton="0" quotePrefix="0" xfId="0">
      <alignment horizontal="left" indent="4"/>
    </xf>
    <xf numFmtId="173" fontId="16" fillId="9" borderId="5" applyAlignment="1" pivotButton="0" quotePrefix="0" xfId="0">
      <alignment horizontal="center"/>
    </xf>
    <xf numFmtId="173" fontId="20" fillId="11" borderId="6" applyAlignment="1" pivotButton="0" quotePrefix="0" xfId="0">
      <alignment horizontal="center"/>
    </xf>
    <xf numFmtId="172" fontId="20" fillId="0" borderId="0" applyAlignment="1" pivotButton="0" quotePrefix="0" xfId="0">
      <alignment horizontal="center"/>
    </xf>
    <xf numFmtId="172" fontId="20" fillId="0" borderId="5" applyAlignment="1" pivotButton="0" quotePrefix="0" xfId="0">
      <alignment horizontal="center"/>
    </xf>
    <xf numFmtId="172" fontId="20" fillId="0" borderId="41" applyAlignment="1" pivotButton="0" quotePrefix="0" xfId="0">
      <alignment horizontal="center"/>
    </xf>
    <xf numFmtId="172" fontId="20" fillId="0" borderId="38" applyAlignment="1" pivotButton="0" quotePrefix="0" xfId="0">
      <alignment horizontal="center"/>
    </xf>
    <xf numFmtId="164" fontId="12" fillId="2" borderId="1" applyAlignment="1" pivotButton="0" quotePrefix="0" xfId="0">
      <alignment horizontal="left" indent="1"/>
    </xf>
    <xf numFmtId="173" fontId="16" fillId="9" borderId="1" applyAlignment="1" pivotButton="0" quotePrefix="0" xfId="0">
      <alignment horizontal="center"/>
    </xf>
    <xf numFmtId="164" fontId="21" fillId="0" borderId="0" pivotButton="0" quotePrefix="0" xfId="0"/>
    <xf numFmtId="173" fontId="16" fillId="9" borderId="8" applyAlignment="1" pivotButton="0" quotePrefix="0" xfId="0">
      <alignment horizontal="center"/>
    </xf>
    <xf numFmtId="164" fontId="24" fillId="0" borderId="0" pivotButton="0" quotePrefix="0" xfId="0"/>
    <xf numFmtId="165" fontId="24" fillId="0" borderId="0" applyAlignment="1" pivotButton="0" quotePrefix="0" xfId="0">
      <alignment horizontal="center"/>
    </xf>
    <xf numFmtId="165" fontId="24" fillId="0" borderId="5" applyAlignment="1" pivotButton="0" quotePrefix="0" xfId="0">
      <alignment horizontal="center"/>
    </xf>
    <xf numFmtId="164" fontId="12" fillId="10" borderId="24" pivotButton="0" quotePrefix="0" xfId="0"/>
    <xf numFmtId="164" fontId="18" fillId="10" borderId="24" pivotButton="0" quotePrefix="0" xfId="0"/>
    <xf numFmtId="164" fontId="18" fillId="0" borderId="0" pivotButton="0" quotePrefix="0" xfId="0"/>
    <xf numFmtId="164" fontId="0" fillId="9" borderId="0" applyAlignment="1" pivotButton="0" quotePrefix="0" xfId="0">
      <alignment horizontal="center"/>
    </xf>
    <xf numFmtId="164" fontId="0" fillId="9" borderId="14" applyAlignment="1" pivotButton="0" quotePrefix="0" xfId="0">
      <alignment horizontal="center"/>
    </xf>
    <xf numFmtId="164" fontId="12" fillId="0" borderId="1" applyAlignment="1" pivotButton="0" quotePrefix="0" xfId="0">
      <alignment horizontal="left" indent="1"/>
    </xf>
    <xf numFmtId="164" fontId="12" fillId="0" borderId="1" pivotButton="0" quotePrefix="0" xfId="0"/>
    <xf numFmtId="164" fontId="12" fillId="9" borderId="1" applyAlignment="1" pivotButton="0" quotePrefix="0" xfId="0">
      <alignment horizontal="center"/>
    </xf>
    <xf numFmtId="166" fontId="33" fillId="0" borderId="1" applyAlignment="1" pivotButton="0" quotePrefix="0" xfId="0">
      <alignment horizontal="center"/>
    </xf>
    <xf numFmtId="164" fontId="0" fillId="0" borderId="2" pivotButton="0" quotePrefix="0" xfId="0"/>
    <xf numFmtId="164" fontId="0" fillId="0" borderId="3" pivotButton="0" quotePrefix="0" xfId="0"/>
    <xf numFmtId="164" fontId="0" fillId="0" borderId="3" applyAlignment="1" pivotButton="0" quotePrefix="0" xfId="0">
      <alignment horizontal="center"/>
    </xf>
    <xf numFmtId="164" fontId="0" fillId="0" borderId="27" applyAlignment="1" pivotButton="0" quotePrefix="0" xfId="0">
      <alignment horizontal="center"/>
    </xf>
    <xf numFmtId="169" fontId="18" fillId="0" borderId="0" applyAlignment="1" pivotButton="0" quotePrefix="0" xfId="0">
      <alignment horizontal="center"/>
    </xf>
    <xf numFmtId="168" fontId="17" fillId="0" borderId="39" applyAlignment="1" pivotButton="0" quotePrefix="0" xfId="0">
      <alignment horizontal="center"/>
    </xf>
    <xf numFmtId="175" fontId="17" fillId="11" borderId="4" applyAlignment="1" pivotButton="0" quotePrefix="0" xfId="0">
      <alignment horizontal="center"/>
    </xf>
    <xf numFmtId="168" fontId="0" fillId="0" borderId="0" pivotButton="0" quotePrefix="0" xfId="0"/>
    <xf numFmtId="164" fontId="22" fillId="11" borderId="36" applyAlignment="1" pivotButton="0" quotePrefix="0" xfId="0">
      <alignment horizontal="center"/>
    </xf>
    <xf numFmtId="164" fontId="22" fillId="11" borderId="26" applyAlignment="1" pivotButton="0" quotePrefix="0" xfId="0">
      <alignment horizontal="center"/>
    </xf>
    <xf numFmtId="169" fontId="18" fillId="0" borderId="1" applyAlignment="1" pivotButton="0" quotePrefix="0" xfId="0">
      <alignment horizontal="center"/>
    </xf>
    <xf numFmtId="168" fontId="20" fillId="0" borderId="39" applyAlignment="1" pivotButton="0" quotePrefix="0" xfId="0">
      <alignment horizontal="center"/>
    </xf>
    <xf numFmtId="164" fontId="0" fillId="0" borderId="5" pivotButton="0" quotePrefix="0" xfId="0"/>
    <xf numFmtId="171" fontId="22" fillId="0" borderId="0" applyAlignment="1" pivotButton="0" quotePrefix="0" xfId="0">
      <alignment horizontal="center"/>
    </xf>
    <xf numFmtId="171" fontId="19" fillId="0" borderId="0" applyAlignment="1" pivotButton="0" quotePrefix="0" xfId="0">
      <alignment horizontal="center"/>
    </xf>
    <xf numFmtId="164" fontId="15" fillId="16" borderId="5" pivotButton="0" quotePrefix="0" xfId="0"/>
    <xf numFmtId="164" fontId="22" fillId="0" borderId="0" pivotButton="0" quotePrefix="0" xfId="0"/>
    <xf numFmtId="171" fontId="22" fillId="0" borderId="40" applyAlignment="1" pivotButton="0" quotePrefix="0" xfId="0">
      <alignment horizontal="center"/>
    </xf>
    <xf numFmtId="171" fontId="13" fillId="11" borderId="28" applyAlignment="1" pivotButton="0" quotePrefix="0" xfId="0">
      <alignment horizontal="center"/>
    </xf>
    <xf numFmtId="171" fontId="22" fillId="0" borderId="26" applyAlignment="1" pivotButton="0" quotePrefix="0" xfId="0">
      <alignment horizontal="center"/>
    </xf>
    <xf numFmtId="164" fontId="0" fillId="2" borderId="1" pivotButton="0" quotePrefix="0" xfId="0"/>
    <xf numFmtId="164" fontId="12" fillId="0" borderId="8" pivotButton="0" quotePrefix="0" xfId="0"/>
    <xf numFmtId="164" fontId="12" fillId="12" borderId="10" pivotButton="0" quotePrefix="0" xfId="0"/>
    <xf numFmtId="164" fontId="12" fillId="12" borderId="1" pivotButton="0" quotePrefix="0" xfId="0"/>
    <xf numFmtId="172" fontId="12" fillId="12" borderId="29" applyAlignment="1" pivotButton="0" quotePrefix="0" xfId="0">
      <alignment horizontal="center"/>
    </xf>
    <xf numFmtId="164" fontId="12" fillId="12" borderId="23" pivotButton="0" quotePrefix="0" xfId="0"/>
    <xf numFmtId="164" fontId="12" fillId="12" borderId="0" pivotButton="0" quotePrefix="0" xfId="0"/>
    <xf numFmtId="171" fontId="12" fillId="12" borderId="30" applyAlignment="1" pivotButton="0" quotePrefix="0" xfId="0">
      <alignment horizontal="center"/>
    </xf>
    <xf numFmtId="164" fontId="12" fillId="12" borderId="31" pivotButton="0" quotePrefix="0" xfId="0"/>
    <xf numFmtId="164" fontId="12" fillId="12" borderId="32" pivotButton="0" quotePrefix="0" xfId="0"/>
  </cellXfs>
  <cellStyles count="13">
    <cellStyle name="Normal" xfId="0" builtinId="0"/>
    <cellStyle name="Good" xfId="1" builtinId="26" hidden="1"/>
    <cellStyle name="Bad" xfId="2" builtinId="27" hidden="1"/>
    <cellStyle name="Neutral" xfId="3" builtinId="28" hidden="1"/>
    <cellStyle name="Output" xfId="4" builtinId="21" hidden="1"/>
    <cellStyle name="Calculation" xfId="5" builtinId="22" hidden="1"/>
    <cellStyle name="Linked Cell" xfId="6" builtinId="24" hidden="1"/>
    <cellStyle name="Check Cell" xfId="7" builtinId="23" hidden="1"/>
    <cellStyle name="Warning Text" xfId="8" builtinId="11" hidden="1"/>
    <cellStyle name="Note" xfId="9" builtinId="10" hidden="1"/>
    <cellStyle name="Explanatory Text" xfId="10" builtinId="53" hidden="1"/>
    <cellStyle name="I" xfId="11"/>
    <cellStyle name="Multiple" xfId="1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eme2 - Colour">
  <a:themeElements>
    <a:clrScheme name="Apollo Design Colors">
      <a:dk1>
        <a:srgbClr val="111111"/>
      </a:dk1>
      <a:lt1>
        <a:sysClr val="window" lastClr="FFFFFF"/>
      </a:lt1>
      <a:dk2>
        <a:srgbClr val="007D55"/>
      </a:dk2>
      <a:lt2>
        <a:srgbClr val="FFFFFF"/>
      </a:lt2>
      <a:accent1>
        <a:srgbClr val="007D55"/>
      </a:accent1>
      <a:accent2>
        <a:srgbClr val="3867B0"/>
      </a:accent2>
      <a:accent3>
        <a:srgbClr val="FDAE2A"/>
      </a:accent3>
      <a:accent4>
        <a:srgbClr val="888888"/>
      </a:accent4>
      <a:accent5>
        <a:srgbClr val="A6C773"/>
      </a:accent5>
      <a:accent6>
        <a:srgbClr val="1BAFDC"/>
      </a:accent6>
      <a:hlink>
        <a:srgbClr val="1BAFDC"/>
      </a:hlink>
      <a:folHlink>
        <a:srgbClr val="72D1ED"/>
      </a:folHlink>
    </a:clrScheme>
    <a:fontScheme name="Apollo Design Fonts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Coutur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8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9050" h="3175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>
            <a:lumMod val="20000"/>
            <a:lumOff val="80000"/>
          </a:schemeClr>
        </a:solidFill>
        <a:ln w="12700">
          <a:noFill/>
        </a:ln>
      </a:spPr>
      <a:bodyPr rot="0" spcFirstLastPara="0" vertOverflow="overflow" horzOverflow="overflow" vert="horz" wrap="square" lIns="27432" tIns="27432" rIns="27432" bIns="27432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lnSpc>
            <a:spcPct val="90000"/>
          </a:lnSpc>
          <a:defRPr sz="1200" b="1" dirty="0" err="1" smtClean="0">
            <a:solidFill>
              <a:schemeClr val="tx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accent1"/>
          </a:solidFill>
          <a:prstDash val="soli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  <a:ln>
          <a:noFill/>
        </a:ln>
      </a:spPr>
      <a:bodyPr wrap="square" lIns="45720" rIns="45720" rtlCol="0">
        <a:noAutofit/>
      </a:bodyPr>
      <a:lstStyle>
        <a:defPPr algn="l">
          <a:defRPr dirty="0"/>
        </a:defPPr>
      </a:lstStyle>
    </a:txDef>
  </a:objectDefaults>
  <a:extraClrSchemeLst/>
  <a:custClrLst>
    <a:custClr name="Apollo S1">
      <a:srgbClr val="FF8551"/>
    </a:custClr>
    <a:custClr name="Apollo S2">
      <a:srgbClr val="667896"/>
    </a:custClr>
    <a:custClr name="Apollo S3">
      <a:srgbClr val="60978E"/>
    </a:custClr>
    <a:custClr name="Apollo S4">
      <a:srgbClr val="8471D3"/>
    </a:custClr>
    <a:custClr name="Apollo S5">
      <a:srgbClr val="F76E8E"/>
    </a:custClr>
    <a:custClr name="Apollo S6">
      <a:srgbClr val="96B3CC"/>
    </a:custClr>
    <a:custClr name="Apollo S7">
      <a:srgbClr val="C00000"/>
    </a:custClr>
    <a:custClr name="Apollo T1">
      <a:srgbClr val="6DB29A"/>
    </a:custClr>
    <a:custClr name="Apollo T2">
      <a:srgbClr val="9ECCBB"/>
    </a:custClr>
    <a:custClr name="Apollo T3">
      <a:srgbClr val="CFE6DD"/>
    </a:custClr>
  </a:custClrLst>
  <a:extLst>
    <a:ext uri="{05A4C25C-085E-4340-85A3-A5531E510DB2}">
      <thm15:themeFamily xmlns:thm15="http://schemas.microsoft.com/office/thememl/2012/main" name="Theme2 - Colour" id="{34493E22-5899-4EF3-AB23-1F5417F7AEB5}" vid="{B928AC05-CF92-45CA-A99F-A6BB2B08F3D9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7"/>
  <sheetViews>
    <sheetView showGridLines="0" tabSelected="1" view="pageBreakPreview" zoomScale="88" zoomScaleNormal="88" zoomScaleSheetLayoutView="88" workbookViewId="0">
      <selection activeCell="V224" sqref="V224"/>
    </sheetView>
  </sheetViews>
  <sheetFormatPr baseColWidth="8" defaultColWidth="9.1328125" defaultRowHeight="15.4"/>
  <cols>
    <col width="1.73046875" customWidth="1" style="230" min="1" max="2"/>
    <col width="11.73046875" customWidth="1" style="230" min="3" max="6"/>
    <col width="2.73046875" customWidth="1" style="230" min="7" max="7"/>
    <col width="12.73046875" customWidth="1" style="231" min="8" max="15"/>
    <col width="2.73046875" customWidth="1" style="230" min="16" max="16"/>
    <col width="12.73046875" customWidth="1" style="230" min="17" max="17"/>
    <col width="12.73046875" customWidth="1" style="231" min="18" max="18"/>
    <col width="1.73046875" customWidth="1" style="230" min="19" max="19"/>
  </cols>
  <sheetData>
    <row r="1" ht="9" customHeight="1" s="230">
      <c r="H1" s="232" t="n"/>
      <c r="I1" s="232" t="n"/>
      <c r="J1" s="232" t="n"/>
      <c r="K1" s="232" t="n"/>
      <c r="L1" s="232" t="n"/>
      <c r="M1" s="232" t="n"/>
      <c r="N1" s="232" t="n"/>
      <c r="O1" s="232" t="n"/>
      <c r="R1" s="232" t="n"/>
    </row>
    <row r="2" ht="9" customHeight="1" s="230">
      <c r="H2" s="232" t="n"/>
      <c r="I2" s="232" t="n"/>
      <c r="J2" s="232" t="n"/>
      <c r="K2" s="232" t="n"/>
      <c r="L2" s="232" t="n"/>
      <c r="M2" s="232" t="n"/>
      <c r="N2" s="232" t="n"/>
      <c r="O2" s="232" t="n"/>
      <c r="R2" s="232" t="n"/>
    </row>
    <row r="3" ht="24" customHeight="1" s="230">
      <c r="C3" s="233" t="inlineStr">
        <is>
          <t>Model</t>
        </is>
      </c>
      <c r="D3" s="233" t="n"/>
      <c r="E3" s="233" t="n"/>
      <c r="F3" s="233" t="n"/>
      <c r="G3" s="234" t="n"/>
      <c r="H3" s="234" t="n"/>
      <c r="I3" s="234" t="n"/>
      <c r="J3" s="234" t="n"/>
      <c r="K3" s="234" t="n"/>
      <c r="L3" s="234" t="n"/>
      <c r="M3" s="234" t="n"/>
      <c r="N3" s="234" t="n"/>
      <c r="O3" s="234" t="n"/>
      <c r="P3" s="234" t="n"/>
      <c r="Q3" s="234" t="n"/>
      <c r="R3" s="234" t="n"/>
      <c r="S3" s="234" t="n"/>
      <c r="T3" s="234" t="n"/>
    </row>
    <row r="4" ht="3" customHeight="1" s="230">
      <c r="P4" s="231" t="n"/>
      <c r="Q4" s="231" t="n"/>
      <c r="U4" s="235" t="n"/>
    </row>
    <row r="5" ht="3" customHeight="1" s="230">
      <c r="B5" s="236" t="inlineStr">
        <is>
          <t>Circ Switch</t>
        </is>
      </c>
      <c r="C5" s="237" t="n">
        <v>1</v>
      </c>
      <c r="D5" s="238" t="n"/>
      <c r="E5" s="238" t="n"/>
      <c r="F5" s="238" t="n"/>
      <c r="G5" s="238" t="n"/>
      <c r="H5" s="239" t="n"/>
      <c r="I5" s="239" t="n"/>
      <c r="J5" s="239" t="n"/>
      <c r="K5" s="239" t="n"/>
      <c r="L5" s="239" t="n"/>
      <c r="M5" s="239" t="n"/>
      <c r="N5" s="239" t="n"/>
      <c r="O5" s="239" t="n"/>
      <c r="P5" s="239" t="n"/>
      <c r="Q5" s="239" t="n"/>
      <c r="R5" s="239" t="n"/>
      <c r="U5" s="235" t="n"/>
    </row>
    <row r="6" ht="5.1" customHeight="1" s="230">
      <c r="U6" s="235" t="n"/>
    </row>
    <row r="7">
      <c r="A7" s="234" t="n"/>
      <c r="B7" s="234" t="n"/>
      <c r="C7" s="240" t="inlineStr">
        <is>
          <t>Entry assumptions</t>
        </is>
      </c>
      <c r="D7" s="241" t="n"/>
      <c r="E7" s="241" t="n"/>
      <c r="F7" s="242" t="n"/>
      <c r="G7" s="234" t="n"/>
      <c r="H7" s="232" t="n"/>
      <c r="I7" s="243" t="inlineStr">
        <is>
          <t>Sources</t>
        </is>
      </c>
      <c r="J7" s="244" t="n"/>
      <c r="K7" s="245" t="inlineStr">
        <is>
          <t>£m</t>
        </is>
      </c>
      <c r="L7" s="246" t="inlineStr">
        <is>
          <t>xEBITDA</t>
        </is>
      </c>
      <c r="M7" s="247" t="n"/>
      <c r="N7" s="248" t="inlineStr">
        <is>
          <t>Uses</t>
        </is>
      </c>
      <c r="O7" s="248" t="n"/>
      <c r="P7" s="248" t="n"/>
      <c r="Q7" s="248" t="n"/>
      <c r="R7" s="249" t="inlineStr">
        <is>
          <t>£m</t>
        </is>
      </c>
    </row>
    <row r="8" ht="5.1" customHeight="1" s="230">
      <c r="H8" s="232" t="n"/>
      <c r="I8" s="232" t="n"/>
      <c r="J8" s="232" t="n"/>
      <c r="K8" s="232" t="n"/>
      <c r="L8" s="232" t="n"/>
      <c r="M8" s="232" t="n"/>
      <c r="N8" s="232" t="n"/>
      <c r="O8" s="232" t="n"/>
      <c r="R8" s="232" t="n"/>
    </row>
    <row r="9" ht="17.65" customHeight="1" s="230">
      <c r="A9" s="234" t="n"/>
      <c r="B9" s="234" t="n"/>
      <c r="C9" s="250" t="inlineStr">
        <is>
          <t>Undisturbed share price (£p)</t>
        </is>
      </c>
      <c r="F9" s="142" t="n">
        <v>150</v>
      </c>
      <c r="G9" s="234" t="n"/>
      <c r="H9" s="251" t="n"/>
      <c r="I9" s="252" t="inlineStr">
        <is>
          <t>Net debt at closing</t>
        </is>
      </c>
      <c r="J9" s="253" t="n"/>
      <c r="K9" s="92">
        <f>L9*$J$107</f>
        <v/>
      </c>
      <c r="L9" s="254" t="n">
        <v>4.5</v>
      </c>
      <c r="M9" s="253" t="n"/>
      <c r="N9" s="252" t="inlineStr">
        <is>
          <t>Cash consideration to shareholders</t>
        </is>
      </c>
      <c r="O9" s="253" t="n"/>
      <c r="R9" s="93">
        <f>+F12</f>
        <v/>
      </c>
    </row>
    <row r="10" ht="17.65" customHeight="1" s="230">
      <c r="A10" s="234" t="n"/>
      <c r="B10" s="234" t="n"/>
      <c r="C10" s="250" t="inlineStr">
        <is>
          <t>Premium to current share price (%)</t>
        </is>
      </c>
      <c r="F10" s="255" t="n">
        <v>0.3</v>
      </c>
      <c r="H10" s="232" t="n"/>
      <c r="I10" s="256" t="inlineStr">
        <is>
          <t>o/w acquisition financing</t>
        </is>
      </c>
      <c r="J10" s="257" t="n"/>
      <c r="K10" s="122">
        <f>+K9+K11</f>
        <v/>
      </c>
      <c r="L10" s="258">
        <f>K10/$J$107</f>
        <v/>
      </c>
      <c r="M10" s="232" t="n"/>
      <c r="N10" s="252" t="inlineStr">
        <is>
          <t>Repay existing net debt</t>
        </is>
      </c>
      <c r="O10" s="253" t="n"/>
      <c r="R10" s="93">
        <f>+F13</f>
        <v/>
      </c>
    </row>
    <row r="11" ht="17.65" customHeight="1" s="230">
      <c r="A11" s="234" t="n"/>
      <c r="B11" s="234" t="n"/>
      <c r="C11" s="250" t="inlineStr">
        <is>
          <t>Diluted TSO (m)</t>
        </is>
      </c>
      <c r="F11" s="138" t="n">
        <v>2413</v>
      </c>
      <c r="H11" s="232" t="n"/>
      <c r="I11" s="259" t="inlineStr">
        <is>
          <t>o/w min cash</t>
        </is>
      </c>
      <c r="J11" s="232" t="n"/>
      <c r="K11" s="68" t="n">
        <v>250</v>
      </c>
      <c r="L11" s="260">
        <f>K11/$J$107</f>
        <v/>
      </c>
      <c r="M11" s="232" t="n"/>
      <c r="N11" s="252" t="inlineStr">
        <is>
          <t>Transaction fees</t>
        </is>
      </c>
      <c r="O11" s="253" t="n"/>
      <c r="R11" s="97">
        <f>+R12*F14</f>
        <v/>
      </c>
    </row>
    <row r="12" ht="17.65" customHeight="1" s="230">
      <c r="A12" s="234" t="n"/>
      <c r="B12" s="234" t="n"/>
      <c r="C12" s="261" t="inlineStr">
        <is>
          <t>Equity purchase price</t>
        </is>
      </c>
      <c r="D12" s="257" t="n"/>
      <c r="E12" s="257" t="n"/>
      <c r="F12" s="140">
        <f>+F9*(1+F10)*F11/100</f>
        <v/>
      </c>
      <c r="H12" s="232" t="n"/>
      <c r="I12" s="252" t="inlineStr">
        <is>
          <t>Equity</t>
        </is>
      </c>
      <c r="J12" s="253" t="n"/>
      <c r="K12" s="97">
        <f>$R$13-K9</f>
        <v/>
      </c>
      <c r="L12" s="260">
        <f>K12/$J$107</f>
        <v/>
      </c>
      <c r="M12" s="232" t="n"/>
      <c r="N12" s="262" t="inlineStr">
        <is>
          <t>Memo: transaction fees as % of EV</t>
        </is>
      </c>
      <c r="O12" s="263" t="n"/>
      <c r="P12" s="263" t="n"/>
      <c r="Q12" s="263" t="n"/>
      <c r="R12" s="264" t="n">
        <v>0.01</v>
      </c>
    </row>
    <row r="13" ht="17.65" customHeight="1" s="230">
      <c r="A13" s="234" t="n"/>
      <c r="B13" s="234" t="n"/>
      <c r="C13" s="250" t="inlineStr">
        <is>
          <t>Plus: Net debt and debt-like items¹</t>
        </is>
      </c>
      <c r="F13" s="265">
        <f>54+1986+36-240</f>
        <v/>
      </c>
      <c r="G13" s="234" t="n"/>
      <c r="H13" s="232" t="n"/>
      <c r="I13" s="266" t="inlineStr">
        <is>
          <t>Total Sources</t>
        </is>
      </c>
      <c r="J13" s="267" t="n"/>
      <c r="K13" s="96">
        <f>+K9+K12</f>
        <v/>
      </c>
      <c r="L13" s="268">
        <f>K13/$J$107</f>
        <v/>
      </c>
      <c r="M13" s="232" t="n"/>
      <c r="N13" s="266" t="inlineStr">
        <is>
          <t>Total Uses</t>
        </is>
      </c>
      <c r="O13" s="267" t="n"/>
      <c r="P13" s="267" t="n"/>
      <c r="Q13" s="267" t="n"/>
      <c r="R13" s="96">
        <f>SUM(R9:R11)</f>
        <v/>
      </c>
    </row>
    <row r="14">
      <c r="A14" s="234" t="n"/>
      <c r="B14" s="234" t="n"/>
      <c r="C14" s="266" t="inlineStr">
        <is>
          <t>Enterprise Value ¹</t>
        </is>
      </c>
      <c r="D14" s="269" t="n"/>
      <c r="E14" s="269" t="n"/>
      <c r="F14" s="96">
        <f>+F12+F13</f>
        <v/>
      </c>
      <c r="G14" s="234" t="n"/>
      <c r="H14" s="232" t="n"/>
      <c r="I14" s="232" t="n"/>
      <c r="J14" s="232" t="n"/>
      <c r="K14" s="232" t="n"/>
      <c r="L14" s="232" t="n"/>
      <c r="M14" s="232" t="n"/>
      <c r="N14" s="232" t="n"/>
      <c r="O14" s="232" t="n"/>
      <c r="R14" s="232" t="n"/>
    </row>
    <row r="15">
      <c r="A15" s="234" t="n"/>
      <c r="B15" s="234" t="n"/>
      <c r="C15" s="270" t="inlineStr">
        <is>
          <t>Implied EV / FY22 EBITDA</t>
        </is>
      </c>
      <c r="D15" s="271" t="n"/>
      <c r="E15" s="271" t="n"/>
      <c r="F15" s="272">
        <f>+F14/$K$107</f>
        <v/>
      </c>
      <c r="G15" s="234" t="n"/>
      <c r="H15" s="232" t="n"/>
      <c r="I15" s="273" t="inlineStr">
        <is>
          <t>IRR</t>
        </is>
      </c>
      <c r="J15" s="274">
        <f>F205</f>
        <v/>
      </c>
      <c r="K15" s="232" t="n"/>
      <c r="L15" s="232" t="n"/>
      <c r="M15" s="232" t="n"/>
      <c r="N15" s="275" t="inlineStr">
        <is>
          <t>Operating case</t>
        </is>
      </c>
      <c r="O15" s="276" t="n"/>
      <c r="P15" s="94" t="n">
        <v>1</v>
      </c>
      <c r="Q15" s="259" t="inlineStr">
        <is>
          <t>(1) = Base Case; (2) = Downside Case</t>
        </is>
      </c>
      <c r="R15" s="232" t="n"/>
    </row>
    <row r="16">
      <c r="A16" s="234" t="n"/>
      <c r="B16" s="234" t="n"/>
      <c r="C16" s="277" t="inlineStr">
        <is>
          <t>Implied EV / FY21 EBITDA</t>
        </is>
      </c>
      <c r="D16" s="278" t="n"/>
      <c r="E16" s="278" t="n"/>
      <c r="F16" s="279">
        <f>+F14/$J$107</f>
        <v/>
      </c>
      <c r="G16" s="234" t="n"/>
      <c r="H16" s="232" t="n"/>
      <c r="I16" s="280" t="inlineStr">
        <is>
          <t>MOIC</t>
        </is>
      </c>
      <c r="J16" s="281">
        <f>F206</f>
        <v/>
      </c>
      <c r="K16" s="232" t="n"/>
      <c r="L16" s="232" t="n"/>
      <c r="M16" s="232" t="n"/>
      <c r="N16" s="232" t="n"/>
      <c r="O16" s="232" t="n"/>
      <c r="R16" s="232" t="n"/>
    </row>
    <row r="17">
      <c r="C17" s="259" t="inlineStr">
        <is>
          <t>¹ Excludes leases (EBITDA shown net of lease costs)</t>
        </is>
      </c>
      <c r="H17" s="232" t="n"/>
      <c r="I17" s="232" t="n"/>
      <c r="J17" s="232" t="n"/>
      <c r="K17" s="188" t="n"/>
      <c r="L17" s="232" t="n"/>
      <c r="M17" s="232" t="n"/>
    </row>
    <row r="18" ht="17.65" customHeight="1" s="230">
      <c r="A18" s="234" t="n"/>
      <c r="B18" s="234" t="n"/>
      <c r="G18" s="234" t="n"/>
      <c r="H18" s="253" t="inlineStr">
        <is>
          <t>Actuals</t>
        </is>
      </c>
      <c r="I18" s="253" t="n"/>
      <c r="J18" s="282" t="n"/>
      <c r="K18" s="253">
        <f>"Projections - "&amp;CHOOSE($P$15,C78,C79)</f>
        <v/>
      </c>
      <c r="L18" s="253" t="n"/>
      <c r="M18" s="253" t="n"/>
      <c r="N18" s="253" t="n"/>
      <c r="O18" s="253" t="n"/>
      <c r="Q18" s="253" t="inlineStr">
        <is>
          <t>CAGR</t>
        </is>
      </c>
      <c r="R18" s="253" t="n"/>
    </row>
    <row r="19" ht="17.65" customHeight="1" s="230">
      <c r="A19" s="234" t="n"/>
      <c r="B19" s="234" t="n"/>
      <c r="C19" s="234" t="inlineStr">
        <is>
          <t>As of Jan, £m</t>
        </is>
      </c>
      <c r="D19" s="234" t="n"/>
      <c r="E19" s="234" t="n"/>
      <c r="F19" s="234" t="n"/>
      <c r="G19" s="234" t="n"/>
      <c r="H19" s="41" t="n">
        <v>43496</v>
      </c>
      <c r="I19" s="41">
        <f>EOMONTH(H19,12)</f>
        <v/>
      </c>
      <c r="J19" s="42">
        <f>EOMONTH(I19,12)</f>
        <v/>
      </c>
      <c r="K19" s="41">
        <f>EOMONTH(J19,12)</f>
        <v/>
      </c>
      <c r="L19" s="41">
        <f>EOMONTH(K19,12)</f>
        <v/>
      </c>
      <c r="M19" s="41">
        <f>EOMONTH(L19,12)</f>
        <v/>
      </c>
      <c r="N19" s="41">
        <f>EOMONTH(M19,12)</f>
        <v/>
      </c>
      <c r="O19" s="41">
        <f>EOMONTH(N19,12)</f>
        <v/>
      </c>
      <c r="Q19" s="105" t="inlineStr">
        <is>
          <t>'19-'21</t>
        </is>
      </c>
      <c r="R19" s="105" t="inlineStr">
        <is>
          <t>'21-'26</t>
        </is>
      </c>
    </row>
    <row r="20" ht="5.1" customHeight="1" s="230">
      <c r="A20" s="234" t="n"/>
      <c r="B20" s="234" t="n"/>
      <c r="C20" s="234" t="n"/>
      <c r="D20" s="234" t="n"/>
      <c r="E20" s="234" t="n"/>
      <c r="F20" s="234" t="n"/>
      <c r="G20" s="234" t="n"/>
      <c r="H20" s="41" t="n"/>
      <c r="I20" s="41" t="n"/>
      <c r="J20" s="283" t="n"/>
      <c r="K20" s="284" t="n"/>
      <c r="L20" s="41" t="n"/>
      <c r="M20" s="41" t="n"/>
      <c r="N20" s="41" t="n"/>
      <c r="O20" s="41" t="n"/>
      <c r="R20" s="41" t="n"/>
    </row>
    <row r="21">
      <c r="B21" s="232" t="inlineStr">
        <is>
          <t>x</t>
        </is>
      </c>
      <c r="C21" s="275" t="inlineStr">
        <is>
          <t>KPIs</t>
        </is>
      </c>
      <c r="D21" s="275" t="n"/>
      <c r="E21" s="275" t="n"/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85" t="n"/>
      <c r="O21" s="285" t="n"/>
      <c r="P21" s="285" t="n"/>
      <c r="Q21" s="285" t="n"/>
      <c r="R21" s="285" t="n"/>
      <c r="U21" s="285" t="inlineStr">
        <is>
          <t>Step-up</t>
        </is>
      </c>
    </row>
    <row r="22" ht="5.1" customHeight="1" s="230">
      <c r="C22" s="286" t="n"/>
      <c r="D22" s="286" t="n"/>
      <c r="E22" s="286" t="n"/>
      <c r="F22" s="286" t="n"/>
      <c r="G22" s="286" t="n"/>
      <c r="H22" s="287" t="n"/>
      <c r="I22" s="287" t="n"/>
      <c r="J22" s="288" t="n"/>
      <c r="K22" s="287" t="n"/>
      <c r="L22" s="287" t="n"/>
      <c r="M22" s="287" t="n"/>
      <c r="N22" s="287" t="n"/>
      <c r="O22" s="287" t="n"/>
      <c r="R22" s="287" t="n"/>
    </row>
    <row r="23" customFormat="1" s="21">
      <c r="C23" s="21" t="inlineStr">
        <is>
          <t>Total number of stores</t>
        </is>
      </c>
      <c r="H23" s="55" t="n">
        <v>494</v>
      </c>
      <c r="I23" s="55" t="n">
        <v>492</v>
      </c>
      <c r="J23" s="149" t="n">
        <v>497</v>
      </c>
      <c r="K23" s="17">
        <f>J23+K24</f>
        <v/>
      </c>
      <c r="L23" s="17">
        <f>K23+L24</f>
        <v/>
      </c>
      <c r="M23" s="17">
        <f>L23+M24</f>
        <v/>
      </c>
      <c r="N23" s="17">
        <f>M23+N24</f>
        <v/>
      </c>
      <c r="O23" s="17">
        <f>N23+O24</f>
        <v/>
      </c>
      <c r="P23" s="232" t="n"/>
      <c r="Q23" s="289">
        <f>IFERROR((J23/H23)^0.5-1,"n.a.")</f>
        <v/>
      </c>
      <c r="R23" s="289">
        <f>IFERROR((O23/J23)^(1/5)-1,"n.a.")</f>
        <v/>
      </c>
    </row>
    <row r="24" customFormat="1" s="19">
      <c r="C24" s="20">
        <f>+"Change in no. of stores: "&amp;CHOOSE($P$15,C25,C26)</f>
        <v/>
      </c>
      <c r="D24" s="20" t="n"/>
      <c r="E24" s="44" t="n"/>
      <c r="F24" s="44" t="n"/>
      <c r="G24" s="20" t="n"/>
      <c r="H24" s="66" t="inlineStr">
        <is>
          <t>n.a.</t>
        </is>
      </c>
      <c r="I24" s="66">
        <f>I23-H23</f>
        <v/>
      </c>
      <c r="J24" s="163">
        <f>J23-I23</f>
        <v/>
      </c>
      <c r="K24" s="66">
        <f>+CHOOSE($P$15,K25,K26)</f>
        <v/>
      </c>
      <c r="L24" s="66">
        <f>+CHOOSE($P$15,L25,L26)</f>
        <v/>
      </c>
      <c r="M24" s="66">
        <f>+CHOOSE($P$15,M25,M26)</f>
        <v/>
      </c>
      <c r="N24" s="66">
        <f>+CHOOSE($P$15,N25,N26)</f>
        <v/>
      </c>
      <c r="O24" s="66">
        <f>+CHOOSE($P$15,O25,O26)</f>
        <v/>
      </c>
      <c r="P24" s="232" t="n"/>
      <c r="Q24" s="29" t="n"/>
      <c r="R24" s="29" t="n"/>
    </row>
    <row r="25" customFormat="1" s="19">
      <c r="A25" s="18" t="n"/>
      <c r="B25" s="18" t="n"/>
      <c r="C25" s="160" t="inlineStr">
        <is>
          <t>Base Case</t>
        </is>
      </c>
      <c r="D25" s="160" t="n"/>
      <c r="E25" s="161" t="n"/>
      <c r="F25" s="161" t="n"/>
      <c r="G25" s="18" t="n"/>
      <c r="H25" s="29" t="n"/>
      <c r="I25" s="29" t="n"/>
      <c r="J25" s="30" t="n"/>
      <c r="K25" s="69">
        <f>4+$U$25</f>
        <v/>
      </c>
      <c r="L25" s="69">
        <f>K25+1</f>
        <v/>
      </c>
      <c r="M25" s="69">
        <f>L25+1</f>
        <v/>
      </c>
      <c r="N25" s="69">
        <f>M25+1</f>
        <v/>
      </c>
      <c r="O25" s="69">
        <f>N25+1</f>
        <v/>
      </c>
      <c r="P25" s="232" t="n"/>
      <c r="Q25" s="29" t="n"/>
      <c r="R25" s="29" t="n"/>
      <c r="U25" s="69" t="n">
        <v>0</v>
      </c>
    </row>
    <row r="26" customFormat="1" s="19">
      <c r="A26" s="18" t="n"/>
      <c r="B26" s="18" t="n"/>
      <c r="C26" s="160" t="inlineStr">
        <is>
          <t>Downside Case</t>
        </is>
      </c>
      <c r="D26" s="160" t="n"/>
      <c r="E26" s="161" t="n"/>
      <c r="F26" s="161" t="n"/>
      <c r="G26" s="18" t="n"/>
      <c r="H26" s="29" t="n"/>
      <c r="I26" s="29" t="n"/>
      <c r="J26" s="30" t="n"/>
      <c r="K26" s="69" t="n">
        <v>4</v>
      </c>
      <c r="L26" s="69">
        <f>L25-1</f>
        <v/>
      </c>
      <c r="M26" s="69">
        <f>M25-1</f>
        <v/>
      </c>
      <c r="N26" s="69">
        <f>N25-1</f>
        <v/>
      </c>
      <c r="O26" s="69">
        <f>O25-1</f>
        <v/>
      </c>
      <c r="P26" s="232" t="n"/>
      <c r="Q26" s="29" t="n"/>
      <c r="R26" s="29" t="n"/>
    </row>
    <row r="27">
      <c r="A27" s="263" t="n"/>
      <c r="B27" s="263" t="n"/>
      <c r="C27" s="290" t="n"/>
      <c r="D27" s="290" t="n"/>
      <c r="E27" s="290" t="n"/>
      <c r="F27" s="290" t="n"/>
      <c r="G27" s="263" t="n"/>
      <c r="H27" s="284" t="n"/>
      <c r="I27" s="284" t="n"/>
      <c r="J27" s="283" t="n"/>
      <c r="K27" s="284" t="n"/>
      <c r="L27" s="284" t="n"/>
      <c r="M27" s="284" t="n"/>
      <c r="N27" s="284" t="n"/>
      <c r="O27" s="284" t="n"/>
      <c r="R27" s="232" t="n"/>
    </row>
    <row r="28" customFormat="1" s="21">
      <c r="C28" s="21" t="inlineStr">
        <is>
          <t>Petrol filling stations</t>
        </is>
      </c>
      <c r="H28" s="55" t="n">
        <v>335</v>
      </c>
      <c r="I28" s="55" t="n">
        <v>335</v>
      </c>
      <c r="J28" s="149" t="n">
        <v>338</v>
      </c>
      <c r="K28" s="17">
        <f>J28+K29</f>
        <v/>
      </c>
      <c r="L28" s="17">
        <f>K28+L29</f>
        <v/>
      </c>
      <c r="M28" s="17">
        <f>L28+M29</f>
        <v/>
      </c>
      <c r="N28" s="17">
        <f>M28+N29</f>
        <v/>
      </c>
      <c r="O28" s="17">
        <f>N28+O29</f>
        <v/>
      </c>
      <c r="P28" s="232" t="n"/>
      <c r="Q28" s="289">
        <f>IFERROR((J28/H28)^0.5-1,"n.a.")</f>
        <v/>
      </c>
      <c r="R28" s="289">
        <f>IFERROR((O28/J28)^(1/5)-1,"n.a.")</f>
        <v/>
      </c>
    </row>
    <row r="29" customFormat="1" s="19">
      <c r="C29" s="20">
        <f>+"Change in no. of stations: "&amp;CHOOSE($P$15,C30,C31)</f>
        <v/>
      </c>
      <c r="D29" s="20" t="n"/>
      <c r="E29" s="44" t="n"/>
      <c r="F29" s="44" t="n"/>
      <c r="G29" s="20" t="n"/>
      <c r="H29" s="66" t="inlineStr">
        <is>
          <t>n.a.</t>
        </is>
      </c>
      <c r="I29" s="66">
        <f>I28-H28</f>
        <v/>
      </c>
      <c r="J29" s="163">
        <f>J28-I28</f>
        <v/>
      </c>
      <c r="K29" s="66">
        <f>+CHOOSE($P$15,K30,K31)</f>
        <v/>
      </c>
      <c r="L29" s="66">
        <f>+CHOOSE($P$15,L30,L31)</f>
        <v/>
      </c>
      <c r="M29" s="66">
        <f>+CHOOSE($P$15,M30,M31)</f>
        <v/>
      </c>
      <c r="N29" s="66">
        <f>+CHOOSE($P$15,N30,N31)</f>
        <v/>
      </c>
      <c r="O29" s="66">
        <f>+CHOOSE($P$15,O30,O31)</f>
        <v/>
      </c>
      <c r="P29" s="232" t="n"/>
      <c r="Q29" s="29" t="n"/>
      <c r="R29" s="29" t="n"/>
    </row>
    <row r="30" customFormat="1" s="19">
      <c r="A30" s="18" t="n"/>
      <c r="B30" s="18" t="n"/>
      <c r="C30" s="160" t="inlineStr">
        <is>
          <t>Base Case</t>
        </is>
      </c>
      <c r="D30" s="160" t="n"/>
      <c r="E30" s="161" t="n"/>
      <c r="F30" s="161" t="n"/>
      <c r="G30" s="18" t="n"/>
      <c r="H30" s="29" t="n"/>
      <c r="I30" s="29" t="n"/>
      <c r="J30" s="30" t="n"/>
      <c r="K30" s="69" t="n">
        <v>3</v>
      </c>
      <c r="L30" s="70" t="n">
        <v>3</v>
      </c>
      <c r="M30" s="70" t="n">
        <v>3</v>
      </c>
      <c r="N30" s="70" t="n">
        <v>3</v>
      </c>
      <c r="O30" s="70" t="n">
        <v>3</v>
      </c>
      <c r="P30" s="232" t="n"/>
      <c r="Q30" s="29" t="n"/>
      <c r="R30" s="29" t="n"/>
    </row>
    <row r="31" customFormat="1" s="19">
      <c r="A31" s="18" t="n"/>
      <c r="B31" s="18" t="n"/>
      <c r="C31" s="160" t="inlineStr">
        <is>
          <t>Downside Case</t>
        </is>
      </c>
      <c r="D31" s="160" t="n"/>
      <c r="E31" s="161" t="n"/>
      <c r="F31" s="161" t="n"/>
      <c r="G31" s="18" t="n"/>
      <c r="H31" s="29" t="n"/>
      <c r="I31" s="29" t="n"/>
      <c r="J31" s="30" t="n"/>
      <c r="K31" s="69">
        <f>K30-1</f>
        <v/>
      </c>
      <c r="L31" s="69">
        <f>L30-1</f>
        <v/>
      </c>
      <c r="M31" s="69">
        <f>M30-1</f>
        <v/>
      </c>
      <c r="N31" s="69">
        <f>N30-1</f>
        <v/>
      </c>
      <c r="O31" s="69">
        <f>O30-1</f>
        <v/>
      </c>
      <c r="P31" s="232" t="n"/>
      <c r="Q31" s="29" t="n"/>
      <c r="R31" s="29" t="n"/>
    </row>
    <row r="32">
      <c r="A32" s="263" t="n"/>
      <c r="B32" s="263" t="n"/>
      <c r="C32" s="290" t="n"/>
      <c r="D32" s="290" t="n"/>
      <c r="E32" s="290" t="n"/>
      <c r="F32" s="290" t="n"/>
      <c r="G32" s="263" t="n"/>
      <c r="H32" s="284" t="n"/>
      <c r="I32" s="284" t="n"/>
      <c r="J32" s="283" t="n"/>
      <c r="K32" s="284" t="n"/>
      <c r="L32" s="284" t="n"/>
      <c r="M32" s="284" t="n"/>
      <c r="N32" s="284" t="n"/>
      <c r="O32" s="284" t="n"/>
      <c r="R32" s="232" t="n"/>
    </row>
    <row r="33" customFormat="1" s="21">
      <c r="C33" s="21" t="inlineStr">
        <is>
          <t>Employees (FTE)</t>
        </is>
      </c>
      <c r="H33" s="55" t="n">
        <v>72120</v>
      </c>
      <c r="I33" s="55" t="n">
        <v>71263</v>
      </c>
      <c r="J33" s="149" t="n">
        <v>76991</v>
      </c>
      <c r="K33" s="17">
        <f>ROUND(+J33*(1+K34),0)</f>
        <v/>
      </c>
      <c r="L33" s="17">
        <f>ROUND(+K33*(1+L34),0)</f>
        <v/>
      </c>
      <c r="M33" s="17">
        <f>ROUND(+L33*(1+M34),0)</f>
        <v/>
      </c>
      <c r="N33" s="17">
        <f>ROUND(+M33*(1+N34),0)</f>
        <v/>
      </c>
      <c r="O33" s="17">
        <f>ROUND(+N33*(1+O34),0)</f>
        <v/>
      </c>
      <c r="P33" s="232" t="n"/>
      <c r="Q33" s="289">
        <f>IFERROR((J33/H33)^0.5-1,"n.a.")</f>
        <v/>
      </c>
      <c r="R33" s="289">
        <f>IFERROR((O33/J33)^(1/5)-1,"n.a.")</f>
        <v/>
      </c>
    </row>
    <row r="34" customFormat="1" s="19">
      <c r="C34" s="20">
        <f>+"% growth: "&amp;CHOOSE($P$15,C35,C36)</f>
        <v/>
      </c>
      <c r="D34" s="20" t="n"/>
      <c r="E34" s="44" t="n"/>
      <c r="F34" s="44" t="n"/>
      <c r="G34" s="20" t="n"/>
      <c r="H34" s="291" t="n"/>
      <c r="I34" s="291">
        <f>IFERROR(I33/H33-1,"n.a.")</f>
        <v/>
      </c>
      <c r="J34" s="292">
        <f>IFERROR(J33/I33-1,"n.a.")</f>
        <v/>
      </c>
      <c r="K34" s="291">
        <f>+CHOOSE($P$15,K35,K36)</f>
        <v/>
      </c>
      <c r="L34" s="291">
        <f>+CHOOSE($P$15,L35,L36)</f>
        <v/>
      </c>
      <c r="M34" s="291">
        <f>+CHOOSE($P$15,M35,M36)</f>
        <v/>
      </c>
      <c r="N34" s="291">
        <f>+CHOOSE($P$15,N35,N36)</f>
        <v/>
      </c>
      <c r="O34" s="291">
        <f>+CHOOSE($P$15,O35,O36)</f>
        <v/>
      </c>
      <c r="P34" s="232" t="n"/>
      <c r="Q34" s="29" t="n"/>
      <c r="R34" s="29" t="n"/>
    </row>
    <row r="35" customFormat="1" s="19">
      <c r="A35" s="18" t="n"/>
      <c r="B35" s="18" t="n"/>
      <c r="C35" s="160" t="inlineStr">
        <is>
          <t>Base Case</t>
        </is>
      </c>
      <c r="D35" s="160" t="n"/>
      <c r="E35" s="161" t="n"/>
      <c r="F35" s="161" t="n"/>
      <c r="G35" s="18" t="n"/>
      <c r="H35" s="29" t="n"/>
      <c r="I35" s="29" t="n"/>
      <c r="J35" s="30" t="n"/>
      <c r="K35" s="293">
        <f>K74*0.6</f>
        <v/>
      </c>
      <c r="L35" s="293">
        <f>L74*0.5</f>
        <v/>
      </c>
      <c r="M35" s="293">
        <f>M74*0.4</f>
        <v/>
      </c>
      <c r="N35" s="293">
        <f>N74*0.3</f>
        <v/>
      </c>
      <c r="O35" s="293">
        <f>O74*0.2</f>
        <v/>
      </c>
      <c r="P35" s="232" t="n"/>
      <c r="Q35" s="29" t="n"/>
      <c r="R35" s="29" t="n"/>
    </row>
    <row r="36" customFormat="1" s="19">
      <c r="A36" s="18" t="n"/>
      <c r="B36" s="18" t="n"/>
      <c r="C36" s="160" t="inlineStr">
        <is>
          <t>Downside Case</t>
        </is>
      </c>
      <c r="D36" s="160" t="n"/>
      <c r="E36" s="161" t="n"/>
      <c r="F36" s="161" t="n"/>
      <c r="G36" s="18" t="n"/>
      <c r="H36" s="29" t="n"/>
      <c r="I36" s="29" t="n"/>
      <c r="J36" s="30" t="n"/>
      <c r="K36" s="293">
        <f>K74*0.3</f>
        <v/>
      </c>
      <c r="L36" s="293">
        <f>L74*0.2</f>
        <v/>
      </c>
      <c r="M36" s="293">
        <f>M74*0.1</f>
        <v/>
      </c>
      <c r="N36" s="293">
        <f>M36</f>
        <v/>
      </c>
      <c r="O36" s="293">
        <f>N36</f>
        <v/>
      </c>
      <c r="P36" s="232" t="n"/>
      <c r="Q36" s="29" t="n"/>
      <c r="R36" s="29" t="n"/>
    </row>
    <row r="37">
      <c r="A37" s="263" t="n"/>
      <c r="B37" s="263" t="n"/>
      <c r="C37" s="290" t="n"/>
      <c r="D37" s="290" t="n"/>
      <c r="E37" s="290" t="n"/>
      <c r="F37" s="290" t="n"/>
      <c r="G37" s="263" t="n"/>
      <c r="H37" s="284" t="n"/>
      <c r="I37" s="284" t="n"/>
      <c r="J37" s="283" t="n"/>
      <c r="K37" s="284" t="n"/>
      <c r="L37" s="284" t="n"/>
      <c r="M37" s="284" t="n"/>
      <c r="N37" s="284" t="n"/>
      <c r="O37" s="284" t="n"/>
      <c r="R37" s="232" t="n"/>
    </row>
    <row r="38" customFormat="1" s="21">
      <c r="C38" s="21" t="inlineStr">
        <is>
          <t>% LfL revenue growth (excl. fuel)</t>
        </is>
      </c>
      <c r="H38" s="294" t="n">
        <v>0.048</v>
      </c>
      <c r="I38" s="294" t="n">
        <v>-0.008</v>
      </c>
      <c r="J38" s="295" t="n">
        <v>0.08599999999999999</v>
      </c>
      <c r="K38" s="291">
        <f>+CHOOSE($P$15,K39,K40)</f>
        <v/>
      </c>
      <c r="L38" s="291">
        <f>+CHOOSE($P$15,L39,L40)</f>
        <v/>
      </c>
      <c r="M38" s="291">
        <f>+CHOOSE($P$15,M39,M40)</f>
        <v/>
      </c>
      <c r="N38" s="291">
        <f>+CHOOSE($P$15,N39,N40)</f>
        <v/>
      </c>
      <c r="O38" s="291">
        <f>+CHOOSE($P$15,O39,O40)</f>
        <v/>
      </c>
      <c r="P38" s="232" t="n"/>
      <c r="Q38" s="29" t="n"/>
      <c r="R38" s="29" t="n"/>
    </row>
    <row r="39" customFormat="1" s="19">
      <c r="A39" s="18" t="n"/>
      <c r="B39" s="18" t="n"/>
      <c r="C39" s="160" t="inlineStr">
        <is>
          <t>Base Case</t>
        </is>
      </c>
      <c r="D39" s="160" t="n"/>
      <c r="E39" s="161" t="n"/>
      <c r="F39" s="161" t="n"/>
      <c r="G39" s="18" t="n"/>
      <c r="H39" s="29" t="n"/>
      <c r="I39" s="29" t="n"/>
      <c r="J39" s="30" t="n"/>
      <c r="K39" s="296" t="n"/>
      <c r="L39" s="297" t="n"/>
      <c r="M39" s="297" t="n"/>
      <c r="N39" s="297" t="n"/>
      <c r="O39" s="297" t="n"/>
      <c r="P39" s="232" t="n"/>
      <c r="Q39" s="29" t="n"/>
      <c r="R39" s="29" t="n"/>
    </row>
    <row r="40" customFormat="1" s="19">
      <c r="A40" s="18" t="n"/>
      <c r="B40" s="18" t="n"/>
      <c r="C40" s="160" t="inlineStr">
        <is>
          <t>Downside Case</t>
        </is>
      </c>
      <c r="D40" s="160" t="n"/>
      <c r="E40" s="161" t="n"/>
      <c r="F40" s="161" t="n"/>
      <c r="G40" s="18" t="n"/>
      <c r="H40" s="29" t="n"/>
      <c r="I40" s="29" t="n"/>
      <c r="J40" s="30" t="n"/>
      <c r="K40" s="296" t="n"/>
      <c r="L40" s="297" t="n"/>
      <c r="M40" s="297" t="n"/>
      <c r="N40" s="297" t="n"/>
      <c r="O40" s="297" t="n"/>
      <c r="P40" s="232" t="n"/>
      <c r="Q40" s="29" t="n"/>
      <c r="R40" s="29" t="n"/>
    </row>
    <row r="41">
      <c r="A41" s="263" t="n"/>
      <c r="B41" s="263" t="n"/>
      <c r="C41" s="290" t="n"/>
      <c r="D41" s="290" t="n"/>
      <c r="E41" s="290" t="n"/>
      <c r="F41" s="290" t="n"/>
      <c r="G41" s="263" t="n"/>
      <c r="H41" s="284" t="n"/>
      <c r="I41" s="284" t="n"/>
      <c r="J41" s="283" t="n"/>
      <c r="K41" s="284" t="n"/>
      <c r="L41" s="284" t="n"/>
      <c r="M41" s="284" t="n"/>
      <c r="N41" s="284" t="n"/>
      <c r="O41" s="284" t="n"/>
      <c r="R41" s="232" t="n"/>
    </row>
    <row r="42">
      <c r="A42" s="263" t="n"/>
      <c r="B42" s="263" t="n"/>
      <c r="C42" s="21" t="inlineStr">
        <is>
          <t>Revenue/Store</t>
        </is>
      </c>
      <c r="D42" s="21" t="n"/>
      <c r="E42" s="21" t="n"/>
      <c r="F42" s="21" t="n"/>
      <c r="G42" s="21" t="n"/>
      <c r="H42" s="298">
        <f>H67/H23</f>
        <v/>
      </c>
      <c r="I42" s="298">
        <f>I67/I23</f>
        <v/>
      </c>
      <c r="J42" s="298">
        <f>J67/J23</f>
        <v/>
      </c>
      <c r="K42" s="299">
        <f>+CHOOSE($P$15,K43,K44)</f>
        <v/>
      </c>
      <c r="L42" s="299">
        <f>+CHOOSE($P$15,L43,L44)</f>
        <v/>
      </c>
      <c r="M42" s="299">
        <f>+CHOOSE($P$15,M43,M44)</f>
        <v/>
      </c>
      <c r="N42" s="299">
        <f>+CHOOSE($P$15,N43,N44)</f>
        <v/>
      </c>
      <c r="O42" s="299">
        <f>+CHOOSE($P$15,O43,O44)</f>
        <v/>
      </c>
      <c r="R42" s="232" t="n"/>
    </row>
    <row r="43">
      <c r="A43" s="263" t="n"/>
      <c r="B43" s="263" t="n"/>
      <c r="C43" s="160" t="inlineStr">
        <is>
          <t>Base Case</t>
        </is>
      </c>
      <c r="D43" s="160" t="n"/>
      <c r="E43" s="161" t="n"/>
      <c r="F43" s="161" t="n"/>
      <c r="G43" s="18" t="n"/>
      <c r="H43" s="300" t="n"/>
      <c r="I43" s="300" t="n"/>
      <c r="J43" s="301" t="n"/>
      <c r="K43" s="302">
        <f>J42+1</f>
        <v/>
      </c>
      <c r="L43" s="302">
        <f>K43+1</f>
        <v/>
      </c>
      <c r="M43" s="302">
        <f>L43+1</f>
        <v/>
      </c>
      <c r="N43" s="302">
        <f>M43+1</f>
        <v/>
      </c>
      <c r="O43" s="302">
        <f>N43+1</f>
        <v/>
      </c>
      <c r="R43" s="232" t="n"/>
    </row>
    <row r="44">
      <c r="A44" s="263" t="n"/>
      <c r="B44" s="263" t="n"/>
      <c r="C44" s="160" t="inlineStr">
        <is>
          <t>Downside Case</t>
        </is>
      </c>
      <c r="D44" s="160" t="n"/>
      <c r="E44" s="161" t="n"/>
      <c r="F44" s="161" t="n"/>
      <c r="G44" s="18" t="n"/>
      <c r="H44" s="300" t="n"/>
      <c r="I44" s="300" t="n"/>
      <c r="J44" s="301" t="n"/>
      <c r="K44" s="302">
        <f>J42</f>
        <v/>
      </c>
      <c r="L44" s="302">
        <f>K44+0.25</f>
        <v/>
      </c>
      <c r="M44" s="302">
        <f>L44+0.25</f>
        <v/>
      </c>
      <c r="N44" s="302">
        <f>M44+0.25</f>
        <v/>
      </c>
      <c r="O44" s="302">
        <f>N44+0.25</f>
        <v/>
      </c>
      <c r="R44" s="232" t="n"/>
    </row>
    <row r="45">
      <c r="A45" s="263" t="n"/>
      <c r="B45" s="263" t="n"/>
      <c r="C45" s="290" t="n"/>
      <c r="D45" s="290" t="n"/>
      <c r="E45" s="290" t="n"/>
      <c r="F45" s="290" t="n"/>
      <c r="G45" s="263" t="n"/>
      <c r="H45" s="284" t="n"/>
      <c r="I45" s="284" t="n"/>
      <c r="J45" s="284" t="n"/>
      <c r="K45" s="284" t="n"/>
      <c r="L45" s="284" t="n"/>
      <c r="M45" s="284" t="n"/>
      <c r="N45" s="284" t="n"/>
      <c r="O45" s="284" t="n"/>
      <c r="R45" s="232" t="n"/>
    </row>
    <row r="46">
      <c r="A46" s="263" t="n"/>
      <c r="B46" s="263" t="n"/>
      <c r="C46" s="21" t="inlineStr">
        <is>
          <t>Revenue/Petrol Station</t>
        </is>
      </c>
      <c r="D46" s="21" t="n"/>
      <c r="E46" s="21" t="n"/>
      <c r="F46" s="21" t="n"/>
      <c r="G46" s="21" t="n"/>
      <c r="H46" s="298">
        <f>H70/H28</f>
        <v/>
      </c>
      <c r="I46" s="298">
        <f>I70/I28</f>
        <v/>
      </c>
      <c r="J46" s="298">
        <f>J70/J28</f>
        <v/>
      </c>
      <c r="K46" s="299">
        <f>+CHOOSE($P$15,K47,K48)</f>
        <v/>
      </c>
      <c r="L46" s="299">
        <f>+CHOOSE($P$15,L47,L48)</f>
        <v/>
      </c>
      <c r="M46" s="299">
        <f>+CHOOSE($P$15,M47,M48)</f>
        <v/>
      </c>
      <c r="N46" s="299">
        <f>+CHOOSE($P$15,N47,N48)</f>
        <v/>
      </c>
      <c r="O46" s="299">
        <f>+CHOOSE($P$15,O47,O48)</f>
        <v/>
      </c>
      <c r="R46" s="232" t="n"/>
    </row>
    <row r="47">
      <c r="A47" s="263" t="n"/>
      <c r="B47" s="263" t="n"/>
      <c r="C47" s="160" t="inlineStr">
        <is>
          <t>Base Case</t>
        </is>
      </c>
      <c r="D47" s="160" t="n"/>
      <c r="E47" s="161" t="n"/>
      <c r="F47" s="161" t="n"/>
      <c r="G47" s="18" t="n"/>
      <c r="H47" s="300" t="n"/>
      <c r="I47" s="300" t="n"/>
      <c r="J47" s="301" t="n"/>
      <c r="K47" s="302" t="n">
        <v>11</v>
      </c>
      <c r="L47" s="303">
        <f>K47</f>
        <v/>
      </c>
      <c r="M47" s="303">
        <f>L47</f>
        <v/>
      </c>
      <c r="N47" s="303">
        <f>M47</f>
        <v/>
      </c>
      <c r="O47" s="303">
        <f>N47</f>
        <v/>
      </c>
      <c r="R47" s="232" t="n"/>
    </row>
    <row r="48">
      <c r="A48" s="263" t="n"/>
      <c r="B48" s="263" t="n"/>
      <c r="C48" s="160" t="inlineStr">
        <is>
          <t>Downside Case</t>
        </is>
      </c>
      <c r="D48" s="160" t="n"/>
      <c r="E48" s="161" t="n"/>
      <c r="F48" s="161" t="n"/>
      <c r="G48" s="18" t="n"/>
      <c r="H48" s="300" t="n"/>
      <c r="I48" s="300" t="n"/>
      <c r="J48" s="301" t="n"/>
      <c r="K48" s="302" t="n">
        <v>11</v>
      </c>
      <c r="L48" s="303">
        <f>K48</f>
        <v/>
      </c>
      <c r="M48" s="303">
        <f>L48</f>
        <v/>
      </c>
      <c r="N48" s="303">
        <f>M48</f>
        <v/>
      </c>
      <c r="O48" s="303">
        <f>N48</f>
        <v/>
      </c>
      <c r="R48" s="232" t="n"/>
    </row>
    <row r="49">
      <c r="A49" s="263" t="n"/>
      <c r="B49" s="263" t="n"/>
      <c r="C49" s="290" t="n"/>
      <c r="D49" s="290" t="n"/>
      <c r="E49" s="290" t="n"/>
      <c r="F49" s="290" t="n"/>
      <c r="G49" s="263" t="n"/>
      <c r="H49" s="284" t="n"/>
      <c r="I49" s="284" t="n"/>
      <c r="J49" s="284" t="n"/>
      <c r="K49" s="284" t="n"/>
      <c r="L49" s="284" t="n"/>
      <c r="M49" s="284" t="n"/>
      <c r="N49" s="284" t="n"/>
      <c r="O49" s="284" t="n"/>
      <c r="R49" s="232" t="n"/>
    </row>
    <row r="50">
      <c r="A50" s="263" t="n"/>
      <c r="B50" s="263" t="n"/>
      <c r="C50" s="21" t="inlineStr">
        <is>
          <t>Comp/FTE</t>
        </is>
      </c>
      <c r="D50" s="21" t="n"/>
      <c r="E50" s="21" t="n"/>
      <c r="F50" s="21" t="n"/>
      <c r="G50" s="21" t="n"/>
      <c r="H50" s="179">
        <f>-(H89*10^6)/H33</f>
        <v/>
      </c>
      <c r="I50" s="179">
        <f>-(I89*10^6)/I33</f>
        <v/>
      </c>
      <c r="J50" s="179">
        <f>-(J89*10^6)/J33</f>
        <v/>
      </c>
      <c r="K50" s="17">
        <f>ROUND(+J50*(1+K51),0)</f>
        <v/>
      </c>
      <c r="L50" s="17">
        <f>ROUND(+K50*(1+L51),0)</f>
        <v/>
      </c>
      <c r="M50" s="17">
        <f>ROUND(+L50*(1+M51),0)</f>
        <v/>
      </c>
      <c r="N50" s="17">
        <f>ROUND(+M50*(1+N51),0)</f>
        <v/>
      </c>
      <c r="O50" s="17">
        <f>ROUND(+N50*(1+O51),0)</f>
        <v/>
      </c>
      <c r="R50" s="232" t="n"/>
    </row>
    <row r="51">
      <c r="A51" s="263" t="n"/>
      <c r="B51" s="263" t="n"/>
      <c r="C51" s="20">
        <f>+"% growth: "&amp;CHOOSE($P$15,C52,C53)</f>
        <v/>
      </c>
      <c r="D51" s="20" t="n"/>
      <c r="E51" s="44" t="n"/>
      <c r="F51" s="44" t="n"/>
      <c r="G51" s="20" t="n"/>
      <c r="H51" s="291" t="n"/>
      <c r="I51" s="291">
        <f>IFERROR(I50/H50-1,"n.a.")</f>
        <v/>
      </c>
      <c r="J51" s="292">
        <f>IFERROR(J50/I50-1,"n.a.")</f>
        <v/>
      </c>
      <c r="K51" s="291">
        <f>+CHOOSE($P$15,K52,K53)</f>
        <v/>
      </c>
      <c r="L51" s="291">
        <f>+CHOOSE($P$15,L52,L53)</f>
        <v/>
      </c>
      <c r="M51" s="291">
        <f>+CHOOSE($P$15,M52,M53)</f>
        <v/>
      </c>
      <c r="N51" s="291">
        <f>+CHOOSE($P$15,N52,N53)</f>
        <v/>
      </c>
      <c r="O51" s="291">
        <f>+CHOOSE($P$15,O52,O53)</f>
        <v/>
      </c>
      <c r="R51" s="232" t="n"/>
    </row>
    <row r="52">
      <c r="A52" s="263" t="n"/>
      <c r="B52" s="263" t="n"/>
      <c r="C52" s="160" t="inlineStr">
        <is>
          <t>Base Case</t>
        </is>
      </c>
      <c r="D52" s="160" t="n"/>
      <c r="E52" s="161" t="n"/>
      <c r="F52" s="161" t="n"/>
      <c r="G52" s="18" t="n"/>
      <c r="H52" s="300" t="n"/>
      <c r="I52" s="300" t="n"/>
      <c r="J52" s="301" t="n"/>
      <c r="K52" s="293" t="n">
        <v>0.07000000000000001</v>
      </c>
      <c r="L52" s="293">
        <f>K52-2%</f>
        <v/>
      </c>
      <c r="M52" s="293">
        <f>L52-2%</f>
        <v/>
      </c>
      <c r="N52" s="293">
        <f>M52-2%</f>
        <v/>
      </c>
      <c r="O52" s="293" t="n">
        <v>0.01</v>
      </c>
      <c r="R52" s="232" t="n"/>
    </row>
    <row r="53">
      <c r="A53" s="263" t="n"/>
      <c r="B53" s="263" t="n"/>
      <c r="C53" s="160" t="inlineStr">
        <is>
          <t>Downside Case</t>
        </is>
      </c>
      <c r="D53" s="160" t="n"/>
      <c r="E53" s="161" t="n"/>
      <c r="F53" s="161" t="n"/>
      <c r="G53" s="18" t="n"/>
      <c r="H53" s="300" t="n"/>
      <c r="I53" s="300" t="n"/>
      <c r="J53" s="301" t="n"/>
      <c r="K53" s="293">
        <f>K52</f>
        <v/>
      </c>
      <c r="L53" s="293">
        <f>L52</f>
        <v/>
      </c>
      <c r="M53" s="293">
        <f>M52</f>
        <v/>
      </c>
      <c r="N53" s="293">
        <f>N52</f>
        <v/>
      </c>
      <c r="O53" s="293">
        <f>O52</f>
        <v/>
      </c>
      <c r="R53" s="232" t="n"/>
    </row>
    <row r="54">
      <c r="A54" s="263" t="n"/>
      <c r="B54" s="263" t="n"/>
      <c r="C54" s="290" t="n"/>
      <c r="D54" s="290" t="n"/>
      <c r="E54" s="290" t="n"/>
      <c r="F54" s="290" t="n"/>
      <c r="G54" s="263" t="n"/>
      <c r="H54" s="284" t="n"/>
      <c r="I54" s="284" t="n"/>
      <c r="J54" s="284" t="n"/>
      <c r="K54" s="284" t="n"/>
      <c r="L54" s="284" t="n"/>
      <c r="M54" s="284" t="n"/>
      <c r="N54" s="284" t="n"/>
      <c r="O54" s="284" t="n"/>
      <c r="R54" s="232" t="n"/>
    </row>
    <row r="55">
      <c r="A55" s="263" t="n"/>
      <c r="B55" s="263" t="n"/>
      <c r="C55" s="21" t="inlineStr">
        <is>
          <t>Maintenance Capex</t>
        </is>
      </c>
      <c r="D55" s="21" t="n"/>
      <c r="E55" s="21" t="n"/>
      <c r="F55" s="21" t="n"/>
      <c r="G55" s="21" t="n"/>
      <c r="H55" s="179" t="n"/>
      <c r="I55" s="232" t="n"/>
      <c r="J55" s="232" t="n"/>
      <c r="K55" s="17">
        <f>K56*K$73</f>
        <v/>
      </c>
      <c r="L55" s="17">
        <f>L56*L73</f>
        <v/>
      </c>
      <c r="M55" s="17">
        <f>M56*M73</f>
        <v/>
      </c>
      <c r="N55" s="17">
        <f>N56*N73</f>
        <v/>
      </c>
      <c r="O55" s="17">
        <f>O56*O73</f>
        <v/>
      </c>
      <c r="R55" s="232" t="n"/>
    </row>
    <row r="56">
      <c r="A56" s="263" t="n"/>
      <c r="B56" s="263" t="n"/>
      <c r="C56" s="20">
        <f>+"% sales: "&amp;CHOOSE($P$15,C57,C58)</f>
        <v/>
      </c>
      <c r="D56" s="20" t="n"/>
      <c r="E56" s="44" t="n"/>
      <c r="F56" s="44" t="n"/>
      <c r="G56" s="20" t="n"/>
      <c r="H56" s="291" t="n"/>
      <c r="I56" s="304">
        <f>I124/I73</f>
        <v/>
      </c>
      <c r="J56" s="304">
        <f>I56</f>
        <v/>
      </c>
      <c r="K56" s="291">
        <f>+CHOOSE($P$15,K57,K58)</f>
        <v/>
      </c>
      <c r="L56" s="291">
        <f>+CHOOSE($P$15,L57,L58)</f>
        <v/>
      </c>
      <c r="M56" s="291">
        <f>+CHOOSE($P$15,M57,M58)</f>
        <v/>
      </c>
      <c r="N56" s="291">
        <f>+CHOOSE($P$15,N57,N58)</f>
        <v/>
      </c>
      <c r="O56" s="291">
        <f>+CHOOSE($P$15,O57,O58)</f>
        <v/>
      </c>
      <c r="R56" s="232" t="n"/>
    </row>
    <row r="57">
      <c r="A57" s="263" t="n"/>
      <c r="B57" s="263" t="n"/>
      <c r="C57" s="160" t="inlineStr">
        <is>
          <t>Base Case</t>
        </is>
      </c>
      <c r="D57" s="160" t="n"/>
      <c r="E57" s="161" t="n"/>
      <c r="F57" s="161" t="n"/>
      <c r="G57" s="18" t="n"/>
      <c r="H57" s="300" t="n"/>
      <c r="I57" s="300" t="n"/>
      <c r="J57" s="301" t="n"/>
      <c r="K57" s="293" t="n">
        <v>-0.03</v>
      </c>
      <c r="L57" s="293">
        <f>K57</f>
        <v/>
      </c>
      <c r="M57" s="293">
        <f>L57</f>
        <v/>
      </c>
      <c r="N57" s="293">
        <f>M57</f>
        <v/>
      </c>
      <c r="O57" s="293">
        <f>N57</f>
        <v/>
      </c>
      <c r="R57" s="232" t="n"/>
    </row>
    <row r="58">
      <c r="A58" s="263" t="n"/>
      <c r="B58" s="263" t="n"/>
      <c r="C58" s="160" t="inlineStr">
        <is>
          <t>Downside Case</t>
        </is>
      </c>
      <c r="D58" s="160" t="n"/>
      <c r="E58" s="161" t="n"/>
      <c r="F58" s="161" t="n"/>
      <c r="G58" s="18" t="n"/>
      <c r="H58" s="300" t="n"/>
      <c r="I58" s="300" t="n"/>
      <c r="J58" s="301" t="n"/>
      <c r="K58" s="293">
        <f>K57</f>
        <v/>
      </c>
      <c r="L58" s="293">
        <f>K58</f>
        <v/>
      </c>
      <c r="M58" s="293">
        <f>L58</f>
        <v/>
      </c>
      <c r="N58" s="293">
        <f>M58</f>
        <v/>
      </c>
      <c r="O58" s="293">
        <f>N58</f>
        <v/>
      </c>
      <c r="R58" s="232" t="n"/>
    </row>
    <row r="59">
      <c r="A59" s="263" t="n"/>
      <c r="B59" s="263" t="n"/>
      <c r="C59" s="290" t="n"/>
      <c r="D59" s="290" t="n"/>
      <c r="E59" s="290" t="n"/>
      <c r="F59" s="290" t="n"/>
      <c r="G59" s="263" t="n"/>
      <c r="H59" s="284" t="n"/>
      <c r="I59" s="284" t="n"/>
      <c r="J59" s="284" t="n"/>
      <c r="K59" s="284" t="n"/>
      <c r="L59" s="284" t="n"/>
      <c r="M59" s="284" t="n"/>
      <c r="N59" s="284" t="n"/>
      <c r="O59" s="284" t="n"/>
      <c r="R59" s="232" t="n"/>
    </row>
    <row r="60">
      <c r="A60" s="263" t="n"/>
      <c r="B60" s="263" t="n"/>
      <c r="C60" s="21" t="inlineStr">
        <is>
          <t>Implied Growth Capex</t>
        </is>
      </c>
      <c r="D60" s="21" t="n"/>
      <c r="E60" s="21" t="n"/>
      <c r="F60" s="21" t="n"/>
      <c r="G60" s="21" t="n"/>
      <c r="H60" s="298" t="n"/>
      <c r="I60" s="298" t="n"/>
      <c r="J60" s="298">
        <f>J124-J56*J73</f>
        <v/>
      </c>
      <c r="K60" s="17">
        <f>K61*K$73</f>
        <v/>
      </c>
      <c r="L60" s="17">
        <f>L61*L$73</f>
        <v/>
      </c>
      <c r="M60" s="17">
        <f>M61*M$73</f>
        <v/>
      </c>
      <c r="N60" s="17">
        <f>N61*N$73</f>
        <v/>
      </c>
      <c r="O60" s="17">
        <f>O61*O$73</f>
        <v/>
      </c>
      <c r="R60" s="232" t="n"/>
    </row>
    <row r="61">
      <c r="A61" s="263" t="n"/>
      <c r="B61" s="263" t="n"/>
      <c r="C61" s="20">
        <f>+"% sales: "&amp;CHOOSE($P$15,C62,C63)</f>
        <v/>
      </c>
      <c r="D61" s="20" t="n"/>
      <c r="E61" s="44" t="n"/>
      <c r="F61" s="44" t="n"/>
      <c r="G61" s="20" t="n"/>
      <c r="H61" s="291" t="n"/>
      <c r="I61" s="291" t="n"/>
      <c r="J61" s="291">
        <f>J60/J73</f>
        <v/>
      </c>
      <c r="K61" s="291">
        <f>+CHOOSE($P$15,K62,K63)</f>
        <v/>
      </c>
      <c r="L61" s="291">
        <f>+CHOOSE($P$15,L62,L63)</f>
        <v/>
      </c>
      <c r="M61" s="291">
        <f>+CHOOSE($P$15,M62,M63)</f>
        <v/>
      </c>
      <c r="N61" s="291">
        <f>+CHOOSE($P$15,N62,N63)</f>
        <v/>
      </c>
      <c r="O61" s="291">
        <f>+CHOOSE($P$15,O62,O63)</f>
        <v/>
      </c>
      <c r="R61" s="232" t="n"/>
    </row>
    <row r="62">
      <c r="A62" s="263" t="n"/>
      <c r="B62" s="263" t="n"/>
      <c r="C62" s="160" t="inlineStr">
        <is>
          <t>Base Case</t>
        </is>
      </c>
      <c r="D62" s="160" t="n"/>
      <c r="E62" s="161" t="n"/>
      <c r="F62" s="161" t="n"/>
      <c r="G62" s="18" t="n"/>
      <c r="H62" s="300" t="n"/>
      <c r="I62" s="300" t="n"/>
      <c r="J62" s="301" t="n"/>
      <c r="K62" s="293">
        <f>J61</f>
        <v/>
      </c>
      <c r="L62" s="293">
        <f>K62</f>
        <v/>
      </c>
      <c r="M62" s="293">
        <f>L62</f>
        <v/>
      </c>
      <c r="N62" s="293">
        <f>M62</f>
        <v/>
      </c>
      <c r="O62" s="293">
        <f>N62</f>
        <v/>
      </c>
      <c r="R62" s="232" t="n"/>
    </row>
    <row r="63">
      <c r="A63" s="263" t="n"/>
      <c r="B63" s="263" t="n"/>
      <c r="C63" s="160" t="inlineStr">
        <is>
          <t>Downside Case</t>
        </is>
      </c>
      <c r="D63" s="160" t="n"/>
      <c r="E63" s="161" t="n"/>
      <c r="F63" s="161" t="n"/>
      <c r="G63" s="18" t="n"/>
      <c r="H63" s="300" t="n"/>
      <c r="I63" s="300" t="n"/>
      <c r="J63" s="301" t="n"/>
      <c r="K63" s="293">
        <f>K62</f>
        <v/>
      </c>
      <c r="L63" s="293">
        <f>K63</f>
        <v/>
      </c>
      <c r="M63" s="293">
        <f>L63</f>
        <v/>
      </c>
      <c r="N63" s="293">
        <f>M63</f>
        <v/>
      </c>
      <c r="O63" s="293">
        <f>N63</f>
        <v/>
      </c>
      <c r="R63" s="232" t="n"/>
    </row>
    <row r="64">
      <c r="A64" s="263" t="n"/>
      <c r="B64" s="263" t="n"/>
      <c r="C64" s="290" t="n"/>
      <c r="D64" s="290" t="n"/>
      <c r="E64" s="290" t="n"/>
      <c r="F64" s="290" t="n"/>
      <c r="G64" s="263" t="n"/>
      <c r="H64" s="284" t="n"/>
      <c r="I64" s="284" t="n"/>
      <c r="J64" s="284" t="n"/>
      <c r="K64" s="284" t="n"/>
      <c r="L64" s="284" t="n"/>
      <c r="M64" s="284" t="n"/>
      <c r="N64" s="284" t="n"/>
      <c r="O64" s="284" t="n"/>
      <c r="R64" s="232" t="n"/>
    </row>
    <row r="65">
      <c r="B65" s="232" t="inlineStr">
        <is>
          <t>x</t>
        </is>
      </c>
      <c r="C65" s="275" t="inlineStr">
        <is>
          <t>P&amp;L</t>
        </is>
      </c>
      <c r="D65" s="275" t="n"/>
      <c r="E65" s="275" t="n"/>
      <c r="F65" s="275" t="n"/>
      <c r="G65" s="275" t="n"/>
      <c r="H65" s="275" t="n"/>
      <c r="I65" s="275" t="n"/>
      <c r="J65" s="275" t="n"/>
      <c r="K65" s="275" t="n"/>
      <c r="L65" s="275" t="n"/>
      <c r="M65" s="275" t="n"/>
      <c r="N65" s="275" t="n"/>
      <c r="O65" s="275" t="n"/>
      <c r="P65" s="275" t="n"/>
      <c r="Q65" s="275" t="n"/>
      <c r="R65" s="275" t="n"/>
    </row>
    <row r="66" ht="5.1" customHeight="1" s="230">
      <c r="C66" s="286" t="n"/>
      <c r="D66" s="286" t="n"/>
      <c r="E66" s="286" t="n"/>
      <c r="F66" s="286" t="n"/>
      <c r="G66" s="286" t="n"/>
      <c r="H66" s="287" t="n"/>
      <c r="I66" s="287" t="n"/>
      <c r="J66" s="288" t="n"/>
      <c r="K66" s="287" t="n"/>
      <c r="L66" s="287" t="n"/>
      <c r="M66" s="287" t="n"/>
      <c r="N66" s="287" t="n"/>
      <c r="O66" s="287" t="n"/>
      <c r="R66" s="287" t="n"/>
    </row>
    <row r="67" customFormat="1" s="21">
      <c r="C67" s="21" t="inlineStr">
        <is>
          <t>Revenue excl. fuel (stores)</t>
        </is>
      </c>
      <c r="H67" s="55" t="n">
        <v>13970</v>
      </c>
      <c r="I67" s="55" t="n">
        <v>13865</v>
      </c>
      <c r="J67" s="149" t="n">
        <v>15105</v>
      </c>
      <c r="K67" s="17">
        <f>K23*K42</f>
        <v/>
      </c>
      <c r="L67" s="17">
        <f>L23*L42</f>
        <v/>
      </c>
      <c r="M67" s="17">
        <f>M23*M42</f>
        <v/>
      </c>
      <c r="N67" s="17">
        <f>N23*N42</f>
        <v/>
      </c>
      <c r="O67" s="17">
        <f>O23*O42</f>
        <v/>
      </c>
      <c r="P67" s="232" t="n"/>
      <c r="Q67" s="289">
        <f>IFERROR((J67/H67)^0.5-1,"n.a.")</f>
        <v/>
      </c>
      <c r="R67" s="289">
        <f>IFERROR((O67/J67)^(1/5)-1,"n.a.")</f>
        <v/>
      </c>
    </row>
    <row r="68" customFormat="1" s="19">
      <c r="C68" s="168">
        <f>+"% growth: "&amp;CHOOSE($P$15,C43,C44)</f>
        <v/>
      </c>
      <c r="D68" s="20" t="n"/>
      <c r="E68" s="44" t="n"/>
      <c r="F68" s="44" t="n"/>
      <c r="G68" s="20" t="n"/>
      <c r="H68" s="291" t="n"/>
      <c r="I68" s="291">
        <f>IFERROR(I67/H67-1,"n.a.")</f>
        <v/>
      </c>
      <c r="J68" s="292">
        <f>IFERROR(J67/I67-1,"n.a.")</f>
        <v/>
      </c>
      <c r="K68" s="291">
        <f>IFERROR(K67/J67-1,"n.a.")</f>
        <v/>
      </c>
      <c r="L68" s="291">
        <f>IFERROR(L67/K67-1,"n.a.")</f>
        <v/>
      </c>
      <c r="M68" s="291">
        <f>IFERROR(M67/L67-1,"n.a.")</f>
        <v/>
      </c>
      <c r="N68" s="291">
        <f>IFERROR(N67/M67-1,"n.a.")</f>
        <v/>
      </c>
      <c r="O68" s="291">
        <f>IFERROR(O67/N67-1,"n.a.")</f>
        <v/>
      </c>
      <c r="P68" s="232" t="n"/>
      <c r="Q68" s="29" t="n"/>
      <c r="R68" s="29" t="n"/>
    </row>
    <row r="69" customFormat="1" s="21">
      <c r="H69" s="305" t="n"/>
      <c r="I69" s="305" t="n"/>
      <c r="J69" s="306" t="n"/>
      <c r="K69" s="231" t="n"/>
      <c r="L69" s="231" t="n"/>
      <c r="M69" s="231" t="n"/>
      <c r="N69" s="231" t="n"/>
      <c r="O69" s="231" t="n"/>
      <c r="P69" s="232" t="n"/>
      <c r="Q69" s="232" t="n"/>
      <c r="R69" s="232" t="n"/>
    </row>
    <row r="70" customFormat="1" s="21">
      <c r="C70" s="21" t="inlineStr">
        <is>
          <t>Fuel revenues</t>
        </is>
      </c>
      <c r="H70" s="55" t="n">
        <v>3765</v>
      </c>
      <c r="I70" s="55" t="n">
        <v>3671</v>
      </c>
      <c r="J70" s="149" t="n">
        <v>2493</v>
      </c>
      <c r="K70" s="17">
        <f>K28*K46</f>
        <v/>
      </c>
      <c r="L70" s="17">
        <f>L28*L46</f>
        <v/>
      </c>
      <c r="M70" s="17">
        <f>M28*M46</f>
        <v/>
      </c>
      <c r="N70" s="17">
        <f>N28*N46</f>
        <v/>
      </c>
      <c r="O70" s="17">
        <f>O28*O46</f>
        <v/>
      </c>
      <c r="P70" s="232" t="n"/>
      <c r="Q70" s="289">
        <f>IFERROR((J70/H70)^0.5-1,"n.a.")</f>
        <v/>
      </c>
      <c r="R70" s="289">
        <f>IFERROR((O70/J70)^(1/5)-1,"n.a.")</f>
        <v/>
      </c>
    </row>
    <row r="71" customFormat="1" s="19">
      <c r="C71" s="168">
        <f>+"% growth: "&amp;CHOOSE($P$15,C47,C48)</f>
        <v/>
      </c>
      <c r="D71" s="20" t="n"/>
      <c r="E71" s="44" t="n"/>
      <c r="F71" s="44" t="n"/>
      <c r="G71" s="20" t="n"/>
      <c r="H71" s="291" t="n"/>
      <c r="I71" s="291">
        <f>IFERROR(I70/H70-1,"n.a.")</f>
        <v/>
      </c>
      <c r="J71" s="292">
        <f>IFERROR(J70/I70-1,"n.a.")</f>
        <v/>
      </c>
      <c r="K71" s="291">
        <f>IFERROR(K70/J70-1,"n.a.")</f>
        <v/>
      </c>
      <c r="L71" s="291">
        <f>IFERROR(L70/K70-1,"n.a.")</f>
        <v/>
      </c>
      <c r="M71" s="291">
        <f>IFERROR(M70/L70-1,"n.a.")</f>
        <v/>
      </c>
      <c r="N71" s="291">
        <f>IFERROR(N70/M70-1,"n.a.")</f>
        <v/>
      </c>
      <c r="O71" s="291">
        <f>IFERROR(O70/N70-1,"n.a.")</f>
        <v/>
      </c>
      <c r="P71" s="232" t="n"/>
      <c r="Q71" s="29" t="n"/>
      <c r="R71" s="29" t="n"/>
    </row>
    <row r="72" customFormat="1" s="21">
      <c r="H72" s="291">
        <f>H70/H67</f>
        <v/>
      </c>
      <c r="I72" s="291">
        <f>I70/I67</f>
        <v/>
      </c>
      <c r="J72" s="291">
        <f>J70/J67</f>
        <v/>
      </c>
      <c r="K72" s="291">
        <f>K70/K67</f>
        <v/>
      </c>
      <c r="L72" s="291">
        <f>L70/L67</f>
        <v/>
      </c>
      <c r="M72" s="291">
        <f>M70/M67</f>
        <v/>
      </c>
      <c r="N72" s="291">
        <f>N70/N67</f>
        <v/>
      </c>
      <c r="O72" s="291">
        <f>O70/O67</f>
        <v/>
      </c>
      <c r="P72" s="232" t="n"/>
      <c r="Q72" s="232" t="n"/>
      <c r="R72" s="232" t="n"/>
    </row>
    <row r="73" customFormat="1" s="21">
      <c r="A73" s="23" t="n"/>
      <c r="B73" s="23" t="n"/>
      <c r="C73" s="107" t="inlineStr">
        <is>
          <t>Total revenue</t>
        </is>
      </c>
      <c r="D73" s="22" t="n"/>
      <c r="E73" s="22" t="n"/>
      <c r="F73" s="22" t="n"/>
      <c r="G73" s="232" t="n"/>
      <c r="H73" s="60">
        <f>H67+H70</f>
        <v/>
      </c>
      <c r="I73" s="60">
        <f>I67+I70</f>
        <v/>
      </c>
      <c r="J73" s="61">
        <f>J67+J70</f>
        <v/>
      </c>
      <c r="K73" s="60">
        <f>K67+K70</f>
        <v/>
      </c>
      <c r="L73" s="60">
        <f>L67+L70</f>
        <v/>
      </c>
      <c r="M73" s="60">
        <f>M67+M70</f>
        <v/>
      </c>
      <c r="N73" s="60">
        <f>N67+N70</f>
        <v/>
      </c>
      <c r="O73" s="60">
        <f>O67+O70</f>
        <v/>
      </c>
      <c r="P73" s="232" t="n"/>
      <c r="Q73" s="307">
        <f>IFERROR((J73/H73)^0.5-1,"n.a.")</f>
        <v/>
      </c>
      <c r="R73" s="307">
        <f>IFERROR((O73/J73)^(1/5)-1,"n.a.")</f>
        <v/>
      </c>
    </row>
    <row r="74" customFormat="1" s="18">
      <c r="C74" s="20" t="inlineStr">
        <is>
          <t>% growth</t>
        </is>
      </c>
      <c r="D74" s="20" t="n"/>
      <c r="E74" s="44" t="n"/>
      <c r="F74" s="44" t="n"/>
      <c r="G74" s="20" t="n"/>
      <c r="H74" s="291" t="n"/>
      <c r="I74" s="291">
        <f>IFERROR(I73/H73-1,"n.a.")</f>
        <v/>
      </c>
      <c r="J74" s="292">
        <f>IFERROR(J73/I73-1,"n.a.")</f>
        <v/>
      </c>
      <c r="K74" s="291">
        <f>IFERROR(K73/J73-1,"n.a.")</f>
        <v/>
      </c>
      <c r="L74" s="291">
        <f>IFERROR(L73/K73-1,"n.a.")</f>
        <v/>
      </c>
      <c r="M74" s="291">
        <f>IFERROR(M73/L73-1,"n.a.")</f>
        <v/>
      </c>
      <c r="N74" s="291">
        <f>IFERROR(N73/M73-1,"n.a.")</f>
        <v/>
      </c>
      <c r="O74" s="291">
        <f>IFERROR(O73/N73-1,"n.a.")</f>
        <v/>
      </c>
      <c r="P74" s="232" t="n"/>
      <c r="Q74" s="29" t="n"/>
      <c r="R74" s="29" t="n"/>
    </row>
    <row r="75">
      <c r="A75" s="263" t="n"/>
      <c r="B75" s="263" t="n"/>
      <c r="C75" s="290" t="n"/>
      <c r="D75" s="290" t="n"/>
      <c r="E75" s="290" t="n"/>
      <c r="F75" s="290" t="n"/>
      <c r="G75" s="263" t="n"/>
      <c r="H75" s="232" t="n"/>
      <c r="I75" s="284" t="n"/>
      <c r="J75" s="283" t="n"/>
      <c r="K75" s="284" t="n"/>
      <c r="L75" s="284" t="n"/>
      <c r="M75" s="284" t="n"/>
      <c r="N75" s="284" t="n"/>
      <c r="O75" s="284" t="n"/>
      <c r="R75" s="232" t="n"/>
    </row>
    <row r="76" customFormat="1" s="21">
      <c r="C76" s="169" t="inlineStr">
        <is>
          <t>COGS</t>
        </is>
      </c>
      <c r="D76" s="45" t="n"/>
      <c r="E76" s="45" t="n"/>
      <c r="F76" s="45" t="n"/>
      <c r="H76" s="55" t="n">
        <v>-13772</v>
      </c>
      <c r="I76" s="55" t="n">
        <v>-13608</v>
      </c>
      <c r="J76" s="149" t="n">
        <v>-13472</v>
      </c>
      <c r="K76" s="17">
        <f>K77*K$73</f>
        <v/>
      </c>
      <c r="L76" s="17">
        <f>L77*L$73</f>
        <v/>
      </c>
      <c r="M76" s="17">
        <f>M77*M$73</f>
        <v/>
      </c>
      <c r="N76" s="17">
        <f>N77*N$73</f>
        <v/>
      </c>
      <c r="O76" s="17">
        <f>O77*O$73</f>
        <v/>
      </c>
      <c r="P76" s="232" t="n"/>
      <c r="Q76" s="289">
        <f>IFERROR((J76/H76)^0.5-1,"n.a.")</f>
        <v/>
      </c>
      <c r="R76" s="289">
        <f>IFERROR((O76/J76)^(1/5)-1,"n.a.")</f>
        <v/>
      </c>
      <c r="T76" s="19" t="n"/>
      <c r="W76" s="232" t="n"/>
      <c r="X76" s="232" t="n"/>
      <c r="Y76" s="232" t="n"/>
      <c r="Z76" s="232" t="n"/>
      <c r="AA76" s="232" t="n"/>
      <c r="AB76" s="232" t="n"/>
    </row>
    <row r="77" customFormat="1" s="19">
      <c r="A77" s="18" t="n"/>
      <c r="B77" s="18" t="n"/>
      <c r="C77" s="170">
        <f>+"% of revenues: "&amp;CHOOSE($P$15,C78,C79)</f>
        <v/>
      </c>
      <c r="D77" s="44" t="n"/>
      <c r="E77" s="44" t="n"/>
      <c r="F77" s="44" t="n"/>
      <c r="G77" s="18" t="n"/>
      <c r="H77" s="291">
        <f>H76/H$73</f>
        <v/>
      </c>
      <c r="I77" s="291">
        <f>I76/I$73</f>
        <v/>
      </c>
      <c r="J77" s="292">
        <f>J76/J$73</f>
        <v/>
      </c>
      <c r="K77" s="291">
        <f>+CHOOSE($P$15,K78,K79)</f>
        <v/>
      </c>
      <c r="L77" s="291">
        <f>+CHOOSE($P$15,L78,L79)</f>
        <v/>
      </c>
      <c r="M77" s="291">
        <f>+CHOOSE($P$15,M78,M79)</f>
        <v/>
      </c>
      <c r="N77" s="291">
        <f>+CHOOSE($P$15,N78,N79)</f>
        <v/>
      </c>
      <c r="O77" s="291">
        <f>+CHOOSE($P$15,O78,O79)</f>
        <v/>
      </c>
      <c r="P77" s="232" t="n"/>
      <c r="Q77" s="29" t="n"/>
      <c r="R77" s="29" t="n"/>
      <c r="W77" s="232" t="n"/>
      <c r="X77" s="232" t="n"/>
      <c r="Y77" s="232" t="n"/>
      <c r="Z77" s="232" t="n"/>
      <c r="AA77" s="232" t="n"/>
      <c r="AB77" s="232" t="n"/>
    </row>
    <row r="78" customFormat="1" s="19">
      <c r="A78" s="18" t="n"/>
      <c r="B78" s="18" t="n"/>
      <c r="C78" s="171" t="inlineStr">
        <is>
          <t>Base Case</t>
        </is>
      </c>
      <c r="D78" s="161" t="n"/>
      <c r="E78" s="161" t="n"/>
      <c r="F78" s="161" t="n"/>
      <c r="G78" s="18" t="n"/>
      <c r="H78" s="29" t="n"/>
      <c r="I78" s="29" t="n"/>
      <c r="J78" s="30" t="n"/>
      <c r="K78" s="308">
        <f>J77-$U$78+0.2%</f>
        <v/>
      </c>
      <c r="L78" s="308">
        <f>K78+0.2%</f>
        <v/>
      </c>
      <c r="M78" s="308">
        <f>L78+0.2%</f>
        <v/>
      </c>
      <c r="N78" s="308">
        <f>M78+0.2%</f>
        <v/>
      </c>
      <c r="O78" s="308">
        <f>N78+0.2%</f>
        <v/>
      </c>
      <c r="P78" s="232" t="n"/>
      <c r="Q78" s="29" t="n"/>
      <c r="R78" s="29" t="n"/>
      <c r="T78" s="232" t="n"/>
      <c r="U78" s="308" t="n">
        <v>0</v>
      </c>
      <c r="W78" s="232" t="n"/>
      <c r="X78" s="232" t="n"/>
      <c r="Y78" s="232" t="n"/>
      <c r="Z78" s="232" t="n"/>
      <c r="AA78" s="232" t="n"/>
      <c r="AB78" s="232" t="n"/>
    </row>
    <row r="79" customFormat="1" s="19">
      <c r="A79" s="18" t="n"/>
      <c r="B79" s="18" t="n"/>
      <c r="C79" s="171" t="inlineStr">
        <is>
          <t>Downside Case</t>
        </is>
      </c>
      <c r="D79" s="161" t="n"/>
      <c r="E79" s="161" t="n"/>
      <c r="F79" s="161" t="n"/>
      <c r="G79" s="18" t="n"/>
      <c r="H79" s="29" t="n"/>
      <c r="I79" s="29" t="n"/>
      <c r="J79" s="30" t="n"/>
      <c r="K79" s="308">
        <f>J77-$U$78</f>
        <v/>
      </c>
      <c r="L79" s="308">
        <f>K79</f>
        <v/>
      </c>
      <c r="M79" s="308">
        <f>L79</f>
        <v/>
      </c>
      <c r="N79" s="308">
        <f>M79</f>
        <v/>
      </c>
      <c r="O79" s="308">
        <f>N79</f>
        <v/>
      </c>
      <c r="P79" s="232" t="n"/>
      <c r="Q79" s="29" t="n"/>
      <c r="R79" s="29" t="n"/>
      <c r="T79" s="21" t="n"/>
      <c r="W79" s="232" t="n"/>
      <c r="X79" s="232" t="n"/>
      <c r="Y79" s="232" t="n"/>
      <c r="Z79" s="232" t="n"/>
      <c r="AA79" s="232" t="n"/>
      <c r="AB79" s="232" t="n"/>
    </row>
    <row r="80" customFormat="1" s="21">
      <c r="H80" s="305" t="n"/>
      <c r="I80" s="305" t="n"/>
      <c r="J80" s="306" t="n"/>
      <c r="K80" s="231" t="n"/>
      <c r="L80" s="231" t="n"/>
      <c r="M80" s="231" t="n"/>
      <c r="N80" s="231" t="n"/>
      <c r="O80" s="231" t="n"/>
      <c r="P80" s="232" t="n"/>
      <c r="Q80" s="232" t="n"/>
      <c r="R80" s="232" t="n"/>
      <c r="W80" s="232" t="n"/>
      <c r="X80" s="232" t="n"/>
      <c r="Y80" s="232" t="n"/>
      <c r="Z80" s="232" t="n"/>
      <c r="AA80" s="232" t="n"/>
      <c r="AB80" s="232" t="n"/>
    </row>
    <row r="81" customFormat="1" s="21">
      <c r="A81" s="23" t="n"/>
      <c r="B81" s="23" t="n"/>
      <c r="C81" s="107" t="inlineStr">
        <is>
          <t>Gross profit</t>
        </is>
      </c>
      <c r="D81" s="22" t="n"/>
      <c r="E81" s="22" t="n"/>
      <c r="F81" s="22" t="n"/>
      <c r="G81" s="232" t="n"/>
      <c r="H81" s="60">
        <f>+H73+H76</f>
        <v/>
      </c>
      <c r="I81" s="60">
        <f>+I73+I76</f>
        <v/>
      </c>
      <c r="J81" s="61">
        <f>+J73+J76</f>
        <v/>
      </c>
      <c r="K81" s="60">
        <f>+K73+K76</f>
        <v/>
      </c>
      <c r="L81" s="60">
        <f>+L73+L76</f>
        <v/>
      </c>
      <c r="M81" s="60">
        <f>+M73+M76</f>
        <v/>
      </c>
      <c r="N81" s="60">
        <f>+N73+N76</f>
        <v/>
      </c>
      <c r="O81" s="60">
        <f>+O73+O76</f>
        <v/>
      </c>
      <c r="P81" s="232" t="n"/>
      <c r="Q81" s="307">
        <f>IFERROR((J81/H81)^0.5-1,"n.a.")</f>
        <v/>
      </c>
      <c r="R81" s="307">
        <f>IFERROR((O81/J81)^(1/5)-1,"n.a.")</f>
        <v/>
      </c>
      <c r="W81" s="232" t="n"/>
      <c r="X81" s="232" t="n"/>
      <c r="Y81" s="232" t="n"/>
      <c r="Z81" s="232" t="n"/>
      <c r="AA81" s="232" t="n"/>
      <c r="AB81" s="232" t="n"/>
    </row>
    <row r="82" customFormat="1" s="18">
      <c r="C82" s="20" t="inlineStr">
        <is>
          <t>% gross margin</t>
        </is>
      </c>
      <c r="D82" s="20" t="n"/>
      <c r="E82" s="44" t="n"/>
      <c r="F82" s="44" t="n"/>
      <c r="G82" s="20" t="n"/>
      <c r="H82" s="291">
        <f>+H81/H73</f>
        <v/>
      </c>
      <c r="I82" s="291">
        <f>+I81/I73</f>
        <v/>
      </c>
      <c r="J82" s="292">
        <f>+J81/J73</f>
        <v/>
      </c>
      <c r="K82" s="291">
        <f>+K81/K73</f>
        <v/>
      </c>
      <c r="L82" s="291">
        <f>+L81/L73</f>
        <v/>
      </c>
      <c r="M82" s="291">
        <f>+M81/M73</f>
        <v/>
      </c>
      <c r="N82" s="291">
        <f>+N81/N73</f>
        <v/>
      </c>
      <c r="O82" s="291">
        <f>+O81/O73</f>
        <v/>
      </c>
      <c r="P82" s="232" t="n"/>
      <c r="Q82" s="29" t="n"/>
      <c r="R82" s="29" t="n"/>
      <c r="W82" s="232" t="n"/>
      <c r="X82" s="232" t="n"/>
      <c r="Y82" s="232" t="n"/>
      <c r="Z82" s="232" t="n"/>
      <c r="AA82" s="232" t="n"/>
      <c r="AB82" s="232" t="n"/>
    </row>
    <row r="83">
      <c r="A83" s="263" t="n"/>
      <c r="B83" s="263" t="n"/>
      <c r="C83" s="309" t="n"/>
      <c r="D83" s="290" t="n"/>
      <c r="E83" s="290" t="n"/>
      <c r="F83" s="290" t="n"/>
      <c r="G83" s="263" t="n"/>
      <c r="H83" s="284" t="n"/>
      <c r="I83" s="284" t="n"/>
      <c r="J83" s="283" t="n"/>
      <c r="K83" s="284" t="n"/>
      <c r="L83" s="284" t="n"/>
      <c r="M83" s="284" t="n"/>
      <c r="N83" s="284" t="n"/>
      <c r="O83" s="284" t="n"/>
      <c r="R83" s="232" t="n"/>
    </row>
    <row r="84" customFormat="1" s="21">
      <c r="C84" s="56" t="inlineStr">
        <is>
          <t>Other operating income</t>
        </is>
      </c>
      <c r="D84" s="45" t="n"/>
      <c r="E84" s="45" t="n"/>
      <c r="F84" s="45" t="n"/>
      <c r="G84" s="232" t="n"/>
      <c r="H84" s="55" t="n">
        <v>88</v>
      </c>
      <c r="I84" s="55" t="n">
        <v>94</v>
      </c>
      <c r="J84" s="149" t="n">
        <v>92</v>
      </c>
      <c r="K84" s="17">
        <f>K85*K$73</f>
        <v/>
      </c>
      <c r="L84" s="17">
        <f>L85*L$73</f>
        <v/>
      </c>
      <c r="M84" s="17">
        <f>M85*M$73</f>
        <v/>
      </c>
      <c r="N84" s="17">
        <f>N85*N$73</f>
        <v/>
      </c>
      <c r="O84" s="17">
        <f>O85*O$73</f>
        <v/>
      </c>
      <c r="P84" s="232" t="n"/>
      <c r="Q84" s="289">
        <f>IFERROR((J84/H84)^0.5-1,"n.a.")</f>
        <v/>
      </c>
      <c r="R84" s="289">
        <f>IFERROR((O84/J84)^(1/5)-1,"n.a.")</f>
        <v/>
      </c>
      <c r="W84" s="232" t="n"/>
      <c r="X84" s="232" t="n"/>
      <c r="Y84" s="232" t="n"/>
      <c r="Z84" s="232" t="n"/>
      <c r="AA84" s="232" t="n"/>
      <c r="AB84" s="232" t="n"/>
    </row>
    <row r="85" customFormat="1" s="19">
      <c r="A85" s="18" t="n"/>
      <c r="B85" s="18" t="n"/>
      <c r="C85" s="168">
        <f>+"% of revenues: "&amp;CHOOSE($P$15,C86,C87)</f>
        <v/>
      </c>
      <c r="D85" s="44" t="n"/>
      <c r="E85" s="44" t="n"/>
      <c r="F85" s="44" t="n"/>
      <c r="G85" s="232" t="n"/>
      <c r="H85" s="291">
        <f>H84/H$73</f>
        <v/>
      </c>
      <c r="I85" s="291">
        <f>I84/I$73</f>
        <v/>
      </c>
      <c r="J85" s="292">
        <f>J84/J$73</f>
        <v/>
      </c>
      <c r="K85" s="291">
        <f>+CHOOSE($P$15,K86,K87)</f>
        <v/>
      </c>
      <c r="L85" s="291">
        <f>+CHOOSE($P$15,L86,L87)</f>
        <v/>
      </c>
      <c r="M85" s="291">
        <f>+CHOOSE($P$15,M86,M87)</f>
        <v/>
      </c>
      <c r="N85" s="291">
        <f>+CHOOSE($P$15,N86,N87)</f>
        <v/>
      </c>
      <c r="O85" s="291">
        <f>+CHOOSE($P$15,O86,O87)</f>
        <v/>
      </c>
      <c r="P85" s="232" t="n"/>
      <c r="Q85" s="29" t="n"/>
      <c r="R85" s="29" t="n"/>
      <c r="W85" s="232" t="n"/>
      <c r="X85" s="232" t="n"/>
      <c r="Y85" s="232" t="n"/>
      <c r="Z85" s="232" t="n"/>
      <c r="AA85" s="232" t="n"/>
      <c r="AB85" s="232" t="n"/>
    </row>
    <row r="86" customFormat="1" s="19">
      <c r="A86" s="18" t="n"/>
      <c r="B86" s="18" t="n"/>
      <c r="C86" s="20" t="inlineStr">
        <is>
          <t>Base Case</t>
        </is>
      </c>
      <c r="D86" s="161" t="n"/>
      <c r="E86" s="161" t="n"/>
      <c r="F86" s="161" t="n"/>
      <c r="G86" s="232" t="n"/>
      <c r="H86" s="29" t="n"/>
      <c r="I86" s="29" t="n"/>
      <c r="J86" s="30" t="n"/>
      <c r="K86" s="308" t="n">
        <v>0.005</v>
      </c>
      <c r="L86" s="308">
        <f>K86</f>
        <v/>
      </c>
      <c r="M86" s="308">
        <f>L86</f>
        <v/>
      </c>
      <c r="N86" s="308">
        <f>M86</f>
        <v/>
      </c>
      <c r="O86" s="308">
        <f>N86</f>
        <v/>
      </c>
      <c r="P86" s="232" t="n"/>
      <c r="Q86" s="29" t="n"/>
      <c r="R86" s="29" t="n"/>
      <c r="W86" s="232" t="n"/>
      <c r="X86" s="232" t="n"/>
      <c r="Y86" s="232" t="n"/>
      <c r="Z86" s="232" t="n"/>
      <c r="AA86" s="232" t="n"/>
      <c r="AB86" s="232" t="n"/>
    </row>
    <row r="87" customFormat="1" s="19">
      <c r="A87" s="18" t="n"/>
      <c r="B87" s="18" t="n"/>
      <c r="C87" s="20" t="inlineStr">
        <is>
          <t>Downside Case</t>
        </is>
      </c>
      <c r="D87" s="161" t="n"/>
      <c r="E87" s="161" t="n"/>
      <c r="F87" s="161" t="n"/>
      <c r="G87" s="232" t="n"/>
      <c r="H87" s="29" t="n"/>
      <c r="I87" s="29" t="n"/>
      <c r="J87" s="30" t="n"/>
      <c r="K87" s="308">
        <f>K86</f>
        <v/>
      </c>
      <c r="L87" s="308">
        <f>L86</f>
        <v/>
      </c>
      <c r="M87" s="308">
        <f>M86</f>
        <v/>
      </c>
      <c r="N87" s="308">
        <f>N86</f>
        <v/>
      </c>
      <c r="O87" s="308">
        <f>O86</f>
        <v/>
      </c>
      <c r="P87" s="232" t="n"/>
      <c r="Q87" s="29" t="n"/>
      <c r="R87" s="29" t="n"/>
    </row>
    <row r="88">
      <c r="A88" s="263" t="n"/>
      <c r="B88" s="263" t="n"/>
      <c r="C88" s="309" t="n"/>
      <c r="D88" s="290" t="n"/>
      <c r="E88" s="290" t="n"/>
      <c r="F88" s="290" t="n"/>
      <c r="G88" s="263" t="n"/>
      <c r="H88" s="284" t="n"/>
      <c r="I88" s="284" t="n"/>
      <c r="J88" s="283" t="n"/>
      <c r="K88" s="284" t="n"/>
      <c r="L88" s="284" t="n"/>
      <c r="M88" s="284" t="n"/>
      <c r="N88" s="284" t="n"/>
      <c r="O88" s="284" t="n"/>
      <c r="R88" s="232" t="n"/>
    </row>
    <row r="89" customFormat="1" s="21">
      <c r="C89" s="47" t="inlineStr">
        <is>
          <t>Employee costs</t>
        </is>
      </c>
      <c r="D89" s="45" t="n"/>
      <c r="E89" s="45" t="n"/>
      <c r="F89" s="45" t="n"/>
      <c r="G89" s="232" t="n"/>
      <c r="H89" s="55" t="n">
        <v>-1900</v>
      </c>
      <c r="I89" s="55" t="n">
        <v>-1845</v>
      </c>
      <c r="J89" s="149" t="n">
        <v>-2138</v>
      </c>
      <c r="K89" s="17">
        <f>-K50*K33/10^6</f>
        <v/>
      </c>
      <c r="L89" s="17">
        <f>-L50*L33/10^6</f>
        <v/>
      </c>
      <c r="M89" s="17">
        <f>-M50*M33/10^6</f>
        <v/>
      </c>
      <c r="N89" s="17">
        <f>-N50*N33/10^6</f>
        <v/>
      </c>
      <c r="O89" s="17">
        <f>-O50*O33/10^6</f>
        <v/>
      </c>
      <c r="P89" s="232" t="n"/>
      <c r="Q89" s="289">
        <f>IFERROR((J89/H89)^0.5-1,"n.a.")</f>
        <v/>
      </c>
      <c r="R89" s="289">
        <f>IFERROR((O89/J89)^(1/5)-1,"n.a.")</f>
        <v/>
      </c>
    </row>
    <row r="90" customFormat="1" s="19">
      <c r="A90" s="18" t="n"/>
      <c r="B90" s="18" t="n"/>
      <c r="C90" s="20">
        <f>+"% of revenues: "&amp;CHOOSE($P$15,C86,C87)</f>
        <v/>
      </c>
      <c r="D90" s="44" t="n"/>
      <c r="E90" s="44" t="n"/>
      <c r="F90" s="44" t="n"/>
      <c r="G90" s="232" t="n"/>
      <c r="H90" s="291">
        <f>H89/H$73</f>
        <v/>
      </c>
      <c r="I90" s="291">
        <f>I89/I$73</f>
        <v/>
      </c>
      <c r="J90" s="292">
        <f>J89/J$73</f>
        <v/>
      </c>
      <c r="K90" s="291">
        <f>K89/K$73</f>
        <v/>
      </c>
      <c r="L90" s="291">
        <f>L89/L$73</f>
        <v/>
      </c>
      <c r="M90" s="291">
        <f>M89/M$73</f>
        <v/>
      </c>
      <c r="N90" s="291">
        <f>N89/N$73</f>
        <v/>
      </c>
      <c r="O90" s="291">
        <f>O89/O$73</f>
        <v/>
      </c>
      <c r="P90" s="232" t="n"/>
      <c r="Q90" s="29" t="n"/>
      <c r="R90" s="29" t="n"/>
    </row>
    <row r="91" ht="14.25" customHeight="1" s="230">
      <c r="A91" s="263" t="n"/>
      <c r="B91" s="263" t="n"/>
      <c r="C91" s="290" t="n"/>
      <c r="D91" s="290" t="n"/>
      <c r="E91" s="290" t="n"/>
      <c r="F91" s="290" t="n"/>
      <c r="G91" s="263" t="n"/>
      <c r="H91" s="284" t="n"/>
      <c r="I91" s="284" t="n"/>
      <c r="J91" s="283" t="n"/>
      <c r="K91" s="284" t="n"/>
      <c r="L91" s="284" t="n"/>
      <c r="M91" s="284" t="n"/>
      <c r="N91" s="284" t="n"/>
      <c r="O91" s="284" t="n"/>
      <c r="R91" s="232" t="n"/>
    </row>
    <row r="92" customFormat="1" s="21">
      <c r="C92" s="47" t="inlineStr">
        <is>
          <t>Administrative expenses</t>
        </is>
      </c>
      <c r="D92" s="45" t="n"/>
      <c r="E92" s="45" t="n"/>
      <c r="F92" s="45" t="n"/>
      <c r="G92" s="232" t="n"/>
      <c r="H92" s="55" t="n">
        <v>-274</v>
      </c>
      <c r="I92" s="55" t="n">
        <v>-262</v>
      </c>
      <c r="J92" s="149" t="n">
        <v>-287</v>
      </c>
      <c r="K92" s="17">
        <f>K93*K$73</f>
        <v/>
      </c>
      <c r="L92" s="17">
        <f>L93*L$73</f>
        <v/>
      </c>
      <c r="M92" s="17">
        <f>M93*M$73</f>
        <v/>
      </c>
      <c r="N92" s="17">
        <f>N93*N$73</f>
        <v/>
      </c>
      <c r="O92" s="17">
        <f>O93*O$73</f>
        <v/>
      </c>
      <c r="P92" s="232" t="n"/>
      <c r="Q92" s="289">
        <f>IFERROR((J92/H92)^0.5-1,"n.a.")</f>
        <v/>
      </c>
      <c r="R92" s="289">
        <f>IFERROR((O92/J92)^(1/5)-1,"n.a.")</f>
        <v/>
      </c>
    </row>
    <row r="93" customFormat="1" s="19">
      <c r="A93" s="18" t="n"/>
      <c r="B93" s="18" t="n"/>
      <c r="C93" s="20">
        <f>+"% of revenues: "&amp;CHOOSE($P$15,C94,C95)</f>
        <v/>
      </c>
      <c r="D93" s="44" t="n"/>
      <c r="E93" s="44" t="n"/>
      <c r="F93" s="44" t="n"/>
      <c r="G93" s="232" t="n"/>
      <c r="H93" s="291">
        <f>H92/H$73</f>
        <v/>
      </c>
      <c r="I93" s="291">
        <f>I92/I$73</f>
        <v/>
      </c>
      <c r="J93" s="292">
        <f>J92/J$73</f>
        <v/>
      </c>
      <c r="K93" s="291">
        <f>+CHOOSE($P$15,K94,K95)</f>
        <v/>
      </c>
      <c r="L93" s="291">
        <f>+CHOOSE($P$15,L94,L95)</f>
        <v/>
      </c>
      <c r="M93" s="291">
        <f>+CHOOSE($P$15,M94,M95)</f>
        <v/>
      </c>
      <c r="N93" s="291">
        <f>+CHOOSE($P$15,N94,N95)</f>
        <v/>
      </c>
      <c r="O93" s="291">
        <f>+CHOOSE($P$15,O94,O95)</f>
        <v/>
      </c>
      <c r="P93" s="232" t="n"/>
      <c r="Q93" s="29" t="n"/>
      <c r="R93" s="29" t="n"/>
    </row>
    <row r="94" customFormat="1" s="19">
      <c r="A94" s="18" t="n"/>
      <c r="B94" s="18" t="n"/>
      <c r="C94" s="160" t="inlineStr">
        <is>
          <t>Base Case</t>
        </is>
      </c>
      <c r="D94" s="161" t="n"/>
      <c r="E94" s="161" t="n"/>
      <c r="F94" s="161" t="n"/>
      <c r="G94" s="232" t="n"/>
      <c r="H94" s="29" t="n"/>
      <c r="I94" s="29" t="n"/>
      <c r="J94" s="30" t="n"/>
      <c r="K94" s="308" t="n">
        <v>-0.016</v>
      </c>
      <c r="L94" s="308">
        <f>K94</f>
        <v/>
      </c>
      <c r="M94" s="308">
        <f>L94</f>
        <v/>
      </c>
      <c r="N94" s="308">
        <f>M94</f>
        <v/>
      </c>
      <c r="O94" s="308">
        <f>N94</f>
        <v/>
      </c>
      <c r="P94" s="232" t="n"/>
      <c r="Q94" s="29" t="n"/>
      <c r="R94" s="29" t="n"/>
    </row>
    <row r="95" customFormat="1" s="19">
      <c r="A95" s="18" t="n"/>
      <c r="B95" s="18" t="n"/>
      <c r="C95" s="160" t="inlineStr">
        <is>
          <t>Downside Case</t>
        </is>
      </c>
      <c r="D95" s="161" t="n"/>
      <c r="E95" s="161" t="n"/>
      <c r="F95" s="161" t="n"/>
      <c r="G95" s="232" t="n"/>
      <c r="H95" s="29" t="n"/>
      <c r="I95" s="29" t="n"/>
      <c r="J95" s="30" t="n"/>
      <c r="K95" s="308">
        <f>K94</f>
        <v/>
      </c>
      <c r="L95" s="308">
        <f>L94</f>
        <v/>
      </c>
      <c r="M95" s="308">
        <f>M94</f>
        <v/>
      </c>
      <c r="N95" s="308">
        <f>N94</f>
        <v/>
      </c>
      <c r="O95" s="308">
        <f>O94</f>
        <v/>
      </c>
      <c r="P95" s="232" t="n"/>
      <c r="Q95" s="29" t="n"/>
      <c r="R95" s="29" t="n"/>
    </row>
    <row r="96" ht="14.25" customHeight="1" s="230">
      <c r="A96" s="263" t="n"/>
      <c r="B96" s="263" t="n"/>
      <c r="C96" s="310" t="n"/>
      <c r="D96" s="290" t="n"/>
      <c r="E96" s="290" t="n"/>
      <c r="F96" s="290" t="n"/>
      <c r="G96" s="263" t="n"/>
      <c r="H96" s="284" t="n"/>
      <c r="I96" s="284" t="n"/>
      <c r="J96" s="283" t="n"/>
      <c r="K96" s="284" t="n"/>
      <c r="L96" s="284" t="n"/>
      <c r="M96" s="284" t="n"/>
      <c r="N96" s="284" t="n"/>
      <c r="O96" s="284" t="n"/>
      <c r="R96" s="232" t="n"/>
    </row>
    <row r="97" customFormat="1" s="21">
      <c r="C97" s="47" t="inlineStr">
        <is>
          <t>Other costs</t>
        </is>
      </c>
      <c r="D97" s="45" t="n"/>
      <c r="E97" s="45" t="n"/>
      <c r="F97" s="45" t="n"/>
      <c r="G97" s="232" t="n"/>
      <c r="H97" s="55" t="n">
        <v>-866</v>
      </c>
      <c r="I97" s="55" t="n">
        <v>-877</v>
      </c>
      <c r="J97" s="149" t="n">
        <v>-946</v>
      </c>
      <c r="K97" s="17">
        <f>K98*K$73</f>
        <v/>
      </c>
      <c r="L97" s="17">
        <f>L98*L$73</f>
        <v/>
      </c>
      <c r="M97" s="17">
        <f>M98*M$73</f>
        <v/>
      </c>
      <c r="N97" s="17">
        <f>N98*N$73</f>
        <v/>
      </c>
      <c r="O97" s="17">
        <f>O98*O$73</f>
        <v/>
      </c>
      <c r="P97" s="232" t="n"/>
      <c r="Q97" s="289">
        <f>IFERROR((J97/H97)^0.5-1,"n.a.")</f>
        <v/>
      </c>
      <c r="R97" s="289">
        <f>IFERROR((O97/J97)^(1/5)-1,"n.a.")</f>
        <v/>
      </c>
    </row>
    <row r="98" customFormat="1" s="19">
      <c r="A98" s="18" t="n"/>
      <c r="B98" s="18" t="n"/>
      <c r="C98" s="20">
        <f>+"% of revenues: "&amp;CHOOSE($P$15,C99,C100)</f>
        <v/>
      </c>
      <c r="D98" s="44" t="n"/>
      <c r="E98" s="44" t="n"/>
      <c r="F98" s="44" t="n"/>
      <c r="G98" s="232" t="n"/>
      <c r="H98" s="291">
        <f>H97/H$73</f>
        <v/>
      </c>
      <c r="I98" s="291">
        <f>I97/I$73</f>
        <v/>
      </c>
      <c r="J98" s="292">
        <f>J97/J$73</f>
        <v/>
      </c>
      <c r="K98" s="291">
        <f>+CHOOSE($P$15,K99,K100)</f>
        <v/>
      </c>
      <c r="L98" s="291">
        <f>+CHOOSE($P$15,L99,L100)</f>
        <v/>
      </c>
      <c r="M98" s="291">
        <f>+CHOOSE($P$15,M99,M100)</f>
        <v/>
      </c>
      <c r="N98" s="291">
        <f>+CHOOSE($P$15,N99,N100)</f>
        <v/>
      </c>
      <c r="O98" s="291">
        <f>+CHOOSE($P$15,O99,O100)</f>
        <v/>
      </c>
      <c r="P98" s="232" t="n"/>
      <c r="Q98" s="29" t="n"/>
      <c r="R98" s="29" t="n"/>
    </row>
    <row r="99" customFormat="1" s="19">
      <c r="A99" s="18" t="n"/>
      <c r="B99" s="18" t="n"/>
      <c r="C99" s="160" t="inlineStr">
        <is>
          <t>Base Case</t>
        </is>
      </c>
      <c r="D99" s="161" t="n"/>
      <c r="E99" s="161" t="n"/>
      <c r="F99" s="161" t="n"/>
      <c r="G99" s="232" t="n"/>
      <c r="H99" s="29" t="n"/>
      <c r="I99" s="29" t="n"/>
      <c r="J99" s="30" t="n"/>
      <c r="K99" s="308" t="n">
        <v>-0.05</v>
      </c>
      <c r="L99" s="308">
        <f>K99</f>
        <v/>
      </c>
      <c r="M99" s="308">
        <f>L99</f>
        <v/>
      </c>
      <c r="N99" s="308">
        <f>M99</f>
        <v/>
      </c>
      <c r="O99" s="308">
        <f>N99</f>
        <v/>
      </c>
      <c r="P99" s="232" t="n"/>
      <c r="Q99" s="29" t="n"/>
      <c r="R99" s="29" t="n"/>
    </row>
    <row r="100" customFormat="1" s="19">
      <c r="A100" s="18" t="n"/>
      <c r="B100" s="18" t="n"/>
      <c r="C100" s="160" t="inlineStr">
        <is>
          <t>Downside Case</t>
        </is>
      </c>
      <c r="D100" s="161" t="n"/>
      <c r="E100" s="161" t="n"/>
      <c r="F100" s="161" t="n"/>
      <c r="G100" s="232" t="n"/>
      <c r="H100" s="29" t="n"/>
      <c r="I100" s="29" t="n"/>
      <c r="J100" s="30" t="n"/>
      <c r="K100" s="308">
        <f>K99</f>
        <v/>
      </c>
      <c r="L100" s="308">
        <f>L99</f>
        <v/>
      </c>
      <c r="M100" s="308">
        <f>M99</f>
        <v/>
      </c>
      <c r="N100" s="308">
        <f>N99</f>
        <v/>
      </c>
      <c r="O100" s="308">
        <f>O99</f>
        <v/>
      </c>
      <c r="P100" s="232" t="n"/>
      <c r="Q100" s="29" t="n"/>
      <c r="R100" s="29" t="n"/>
    </row>
    <row r="101">
      <c r="A101" s="263" t="n"/>
      <c r="B101" s="263" t="n"/>
      <c r="C101" s="309" t="n"/>
      <c r="D101" s="290" t="n"/>
      <c r="E101" s="290" t="n"/>
      <c r="F101" s="290" t="n"/>
      <c r="G101" s="263" t="n"/>
      <c r="H101" s="284" t="n"/>
      <c r="I101" s="284" t="n"/>
      <c r="J101" s="283" t="n"/>
      <c r="K101" s="284" t="n"/>
      <c r="L101" s="284" t="n"/>
      <c r="M101" s="284" t="n"/>
      <c r="N101" s="284" t="n"/>
      <c r="O101" s="284" t="n"/>
      <c r="R101" s="232" t="n"/>
    </row>
    <row r="102" customFormat="1" s="21">
      <c r="C102" s="47" t="inlineStr">
        <is>
          <t>Rent expense</t>
        </is>
      </c>
      <c r="D102" s="45" t="n"/>
      <c r="E102" s="45" t="n"/>
      <c r="F102" s="45" t="n"/>
      <c r="G102" s="232" t="n"/>
      <c r="H102" s="55" t="n">
        <v>-134</v>
      </c>
      <c r="I102" s="55" t="n">
        <v>-130</v>
      </c>
      <c r="J102" s="149" t="n">
        <v>-141</v>
      </c>
      <c r="K102" s="17">
        <f>K103*K$73</f>
        <v/>
      </c>
      <c r="L102" s="17">
        <f>L103*L$73</f>
        <v/>
      </c>
      <c r="M102" s="17">
        <f>M103*M$73</f>
        <v/>
      </c>
      <c r="N102" s="17">
        <f>N103*N$73</f>
        <v/>
      </c>
      <c r="O102" s="17">
        <f>O103*O$73</f>
        <v/>
      </c>
      <c r="P102" s="232" t="n"/>
      <c r="Q102" s="289">
        <f>IFERROR((J102/H102)^0.5-1,"n.a.")</f>
        <v/>
      </c>
      <c r="R102" s="289">
        <f>IFERROR((O102/J102)^(1/5)-1,"n.a.")</f>
        <v/>
      </c>
    </row>
    <row r="103" customFormat="1" s="19">
      <c r="A103" s="18" t="n"/>
      <c r="B103" s="18" t="n"/>
      <c r="C103" s="20">
        <f>+"% of revenues: "&amp;CHOOSE($P$15,C104,C105)</f>
        <v/>
      </c>
      <c r="D103" s="44" t="n"/>
      <c r="E103" s="44" t="n"/>
      <c r="F103" s="44" t="n"/>
      <c r="G103" s="232" t="n"/>
      <c r="H103" s="291">
        <f>H102/H$73</f>
        <v/>
      </c>
      <c r="I103" s="291">
        <f>I102/I$73</f>
        <v/>
      </c>
      <c r="J103" s="292">
        <f>J102/J$73</f>
        <v/>
      </c>
      <c r="K103" s="291">
        <f>+CHOOSE($P$15,K104,K105)</f>
        <v/>
      </c>
      <c r="L103" s="291">
        <f>+CHOOSE($P$15,L104,L105)</f>
        <v/>
      </c>
      <c r="M103" s="291">
        <f>+CHOOSE($P$15,M104,M105)</f>
        <v/>
      </c>
      <c r="N103" s="291">
        <f>+CHOOSE($P$15,N104,N105)</f>
        <v/>
      </c>
      <c r="O103" s="291">
        <f>+CHOOSE($P$15,O104,O105)</f>
        <v/>
      </c>
      <c r="P103" s="232" t="n"/>
      <c r="Q103" s="29" t="n"/>
      <c r="R103" s="29" t="n"/>
    </row>
    <row r="104" customFormat="1" s="19">
      <c r="C104" s="20" t="inlineStr">
        <is>
          <t>Base Case</t>
        </is>
      </c>
      <c r="D104" s="161" t="n"/>
      <c r="E104" s="161" t="n"/>
      <c r="F104" s="161" t="n"/>
      <c r="G104" s="18" t="n"/>
      <c r="H104" s="29" t="n"/>
      <c r="I104" s="29" t="n"/>
      <c r="J104" s="30" t="n"/>
      <c r="K104" s="308" t="n">
        <v>-0.008</v>
      </c>
      <c r="L104" s="308">
        <f>K104</f>
        <v/>
      </c>
      <c r="M104" s="308">
        <f>L104</f>
        <v/>
      </c>
      <c r="N104" s="308">
        <f>M104</f>
        <v/>
      </c>
      <c r="O104" s="308">
        <f>N104</f>
        <v/>
      </c>
      <c r="P104" s="232" t="n"/>
      <c r="Q104" s="29" t="n"/>
      <c r="R104" s="29" t="n"/>
    </row>
    <row r="105" customFormat="1" s="19">
      <c r="C105" s="20" t="inlineStr">
        <is>
          <t>Downside Case</t>
        </is>
      </c>
      <c r="D105" s="161" t="n"/>
      <c r="E105" s="161" t="n"/>
      <c r="F105" s="161" t="n"/>
      <c r="G105" s="18" t="n"/>
      <c r="H105" s="29" t="n"/>
      <c r="I105" s="29" t="n"/>
      <c r="J105" s="30" t="n"/>
      <c r="K105" s="308">
        <f>K104</f>
        <v/>
      </c>
      <c r="L105" s="308">
        <f>L104</f>
        <v/>
      </c>
      <c r="M105" s="308">
        <f>M104</f>
        <v/>
      </c>
      <c r="N105" s="308">
        <f>N104</f>
        <v/>
      </c>
      <c r="O105" s="308">
        <f>O104</f>
        <v/>
      </c>
      <c r="P105" s="232" t="n"/>
      <c r="Q105" s="29" t="n"/>
      <c r="R105" s="29" t="n"/>
    </row>
    <row r="106">
      <c r="C106" s="311" t="n"/>
      <c r="H106" s="312" t="n"/>
      <c r="I106" s="312" t="n"/>
      <c r="J106" s="313" t="n"/>
      <c r="K106" s="312" t="n"/>
      <c r="L106" s="312" t="n"/>
      <c r="M106" s="312" t="n"/>
      <c r="N106" s="312" t="n"/>
      <c r="O106" s="312" t="n"/>
      <c r="R106" s="232" t="n"/>
    </row>
    <row r="107" customFormat="1" s="21">
      <c r="A107" s="23" t="n"/>
      <c r="B107" s="23" t="n"/>
      <c r="C107" s="107" t="inlineStr">
        <is>
          <t>Adj. EBITDA (pre IFRS-16)</t>
        </is>
      </c>
      <c r="D107" s="22" t="n"/>
      <c r="E107" s="22" t="n"/>
      <c r="F107" s="22" t="n"/>
      <c r="G107" s="232" t="n"/>
      <c r="H107" s="60">
        <f>+H81+H84+H89+H92+H97+H102</f>
        <v/>
      </c>
      <c r="I107" s="60">
        <f>+I81+I84+I89+I92+I97+I102</f>
        <v/>
      </c>
      <c r="J107" s="61">
        <f>+J81+J84+J89+J92+J97+J102</f>
        <v/>
      </c>
      <c r="K107" s="60">
        <f>+K81+K84+K89+K92+K97+K102</f>
        <v/>
      </c>
      <c r="L107" s="60">
        <f>+L81+L84+L89+L92+L97+L102</f>
        <v/>
      </c>
      <c r="M107" s="60">
        <f>+M81+M84+M89+M92+M97+M102</f>
        <v/>
      </c>
      <c r="N107" s="60">
        <f>+N81+N84+N89+N92+N97+N102</f>
        <v/>
      </c>
      <c r="O107" s="60">
        <f>+O81+O84+O89+O92+O97+O102</f>
        <v/>
      </c>
      <c r="P107" s="232" t="n"/>
      <c r="Q107" s="307">
        <f>IFERROR((J107/H107)^0.5-1,"n.a.")</f>
        <v/>
      </c>
      <c r="R107" s="307">
        <f>IFERROR((O107/J107)^(1/5)-1,"n.a.")</f>
        <v/>
      </c>
    </row>
    <row r="108" customFormat="1" s="19">
      <c r="A108" s="18" t="n"/>
      <c r="B108" s="18" t="n"/>
      <c r="C108" s="20" t="inlineStr">
        <is>
          <t>% margin</t>
        </is>
      </c>
      <c r="D108" s="44" t="n"/>
      <c r="E108" s="44" t="n"/>
      <c r="F108" s="44" t="n"/>
      <c r="G108" s="232" t="n"/>
      <c r="H108" s="291">
        <f>H107/H$73</f>
        <v/>
      </c>
      <c r="I108" s="291">
        <f>I107/I$73</f>
        <v/>
      </c>
      <c r="J108" s="292">
        <f>J107/J$73</f>
        <v/>
      </c>
      <c r="K108" s="291">
        <f>K107/K$73</f>
        <v/>
      </c>
      <c r="L108" s="291">
        <f>L107/L$73</f>
        <v/>
      </c>
      <c r="M108" s="291">
        <f>M107/M$73</f>
        <v/>
      </c>
      <c r="N108" s="291">
        <f>N107/N$73</f>
        <v/>
      </c>
      <c r="O108" s="291">
        <f>O107/O$73</f>
        <v/>
      </c>
      <c r="P108" s="232" t="n"/>
      <c r="Q108" s="29" t="n"/>
      <c r="R108" s="29" t="n"/>
    </row>
    <row r="109" customFormat="1" s="19">
      <c r="A109" s="18" t="n"/>
      <c r="B109" s="18" t="n"/>
      <c r="C109" s="20" t="inlineStr">
        <is>
          <t>% growth</t>
        </is>
      </c>
      <c r="D109" s="44" t="n"/>
      <c r="E109" s="44" t="n"/>
      <c r="F109" s="44" t="n"/>
      <c r="G109" s="232" t="n"/>
      <c r="H109" s="291" t="n"/>
      <c r="I109" s="291">
        <f>IFERROR(I108/H108-1,"n.a.")</f>
        <v/>
      </c>
      <c r="J109" s="292">
        <f>IFERROR(J108/I108-1,"n.a.")</f>
        <v/>
      </c>
      <c r="K109" s="291">
        <f>IFERROR(K108/J108-1,"n.a.")</f>
        <v/>
      </c>
      <c r="L109" s="291">
        <f>IFERROR(L108/K108-1,"n.a.")</f>
        <v/>
      </c>
      <c r="M109" s="291">
        <f>IFERROR(M108/L108-1,"n.a.")</f>
        <v/>
      </c>
      <c r="N109" s="291">
        <f>IFERROR(N108/M108-1,"n.a.")</f>
        <v/>
      </c>
      <c r="O109" s="291">
        <f>IFERROR(O108/N108-1,"n.a.")</f>
        <v/>
      </c>
      <c r="P109" s="232" t="n"/>
      <c r="Q109" s="29" t="n"/>
      <c r="R109" s="29" t="n"/>
    </row>
    <row r="110">
      <c r="A110" s="263" t="n"/>
      <c r="B110" s="263" t="n"/>
      <c r="C110" s="309" t="n"/>
      <c r="D110" s="290" t="n"/>
      <c r="E110" s="290" t="n"/>
      <c r="F110" s="290" t="n"/>
      <c r="G110" s="263" t="n"/>
      <c r="H110" s="284" t="n"/>
      <c r="I110" s="284" t="n"/>
      <c r="J110" s="283" t="n"/>
      <c r="K110" s="284" t="n"/>
      <c r="L110" s="284" t="n"/>
      <c r="M110" s="284" t="n"/>
      <c r="N110" s="284" t="n"/>
      <c r="O110" s="284" t="n"/>
      <c r="R110" s="232" t="n"/>
    </row>
    <row r="111" customFormat="1" s="21">
      <c r="C111" s="47" t="inlineStr">
        <is>
          <t>D&amp;A</t>
        </is>
      </c>
      <c r="D111" s="45" t="n"/>
      <c r="E111" s="45" t="n"/>
      <c r="F111" s="45" t="n"/>
      <c r="H111" s="55" t="n">
        <v>-443</v>
      </c>
      <c r="I111" s="55" t="n">
        <v>-465</v>
      </c>
      <c r="J111" s="149" t="n">
        <v>-478</v>
      </c>
      <c r="K111" s="17">
        <f>K112*K73</f>
        <v/>
      </c>
      <c r="L111" s="17">
        <f>L112*L73</f>
        <v/>
      </c>
      <c r="M111" s="17">
        <f>M112*M73</f>
        <v/>
      </c>
      <c r="N111" s="17">
        <f>N112*N73</f>
        <v/>
      </c>
      <c r="O111" s="17">
        <f>O112*O73</f>
        <v/>
      </c>
      <c r="Q111" s="289">
        <f>IFERROR((J111/H111)^0.5-1,"n.a.")</f>
        <v/>
      </c>
      <c r="R111" s="289">
        <f>IFERROR((O111/J111)^(1/5)-1,"n.a.")</f>
        <v/>
      </c>
    </row>
    <row r="112" customFormat="1" s="19">
      <c r="A112" s="18" t="n"/>
      <c r="B112" s="18" t="n"/>
      <c r="C112" s="20">
        <f>+"% of revenues: "&amp;CHOOSE($P$15,C113,C114)</f>
        <v/>
      </c>
      <c r="D112" s="44" t="n"/>
      <c r="E112" s="44" t="n"/>
      <c r="F112" s="44" t="n"/>
      <c r="G112" s="232" t="n"/>
      <c r="H112" s="291">
        <f>H111/H$73</f>
        <v/>
      </c>
      <c r="I112" s="291">
        <f>I111/I$73</f>
        <v/>
      </c>
      <c r="J112" s="292">
        <f>J111/J$73</f>
        <v/>
      </c>
      <c r="K112" s="291">
        <f>+CHOOSE($P$15,K113,K114)</f>
        <v/>
      </c>
      <c r="L112" s="291">
        <f>+CHOOSE($P$15,L113,L114)</f>
        <v/>
      </c>
      <c r="M112" s="291">
        <f>+CHOOSE($P$15,M113,M114)</f>
        <v/>
      </c>
      <c r="N112" s="291">
        <f>+CHOOSE($P$15,N113,N114)</f>
        <v/>
      </c>
      <c r="O112" s="291">
        <f>+CHOOSE($P$15,O113,O114)</f>
        <v/>
      </c>
      <c r="P112" s="232" t="n"/>
      <c r="Q112" s="29" t="n"/>
      <c r="R112" s="29" t="n"/>
    </row>
    <row r="113" customFormat="1" s="19">
      <c r="C113" s="20" t="inlineStr">
        <is>
          <t>Base Case</t>
        </is>
      </c>
      <c r="D113" s="161" t="n"/>
      <c r="E113" s="161" t="n"/>
      <c r="F113" s="161" t="n"/>
      <c r="G113" s="18" t="n"/>
      <c r="H113" s="29" t="n"/>
      <c r="I113" s="29" t="n"/>
      <c r="J113" s="30" t="n"/>
      <c r="K113" s="308">
        <f>K126*80%</f>
        <v/>
      </c>
      <c r="L113" s="308">
        <f>L126*80%</f>
        <v/>
      </c>
      <c r="M113" s="308">
        <f>M126*80%</f>
        <v/>
      </c>
      <c r="N113" s="308">
        <f>N126*80%</f>
        <v/>
      </c>
      <c r="O113" s="308">
        <f>O126*80%</f>
        <v/>
      </c>
      <c r="P113" s="232" t="n"/>
      <c r="Q113" s="29" t="n"/>
      <c r="R113" s="29" t="n"/>
    </row>
    <row r="114" customFormat="1" s="19">
      <c r="C114" s="20" t="inlineStr">
        <is>
          <t>Downside Case</t>
        </is>
      </c>
      <c r="D114" s="161" t="n"/>
      <c r="E114" s="161" t="n"/>
      <c r="F114" s="161" t="n"/>
      <c r="G114" s="18" t="n"/>
      <c r="H114" s="29" t="n"/>
      <c r="I114" s="29" t="n"/>
      <c r="J114" s="30" t="n"/>
      <c r="K114" s="308">
        <f>K127*80%</f>
        <v/>
      </c>
      <c r="L114" s="308">
        <f>L127*80%</f>
        <v/>
      </c>
      <c r="M114" s="308">
        <f>M127*80%</f>
        <v/>
      </c>
      <c r="N114" s="308">
        <f>N127*80%</f>
        <v/>
      </c>
      <c r="O114" s="308">
        <f>O127*80%</f>
        <v/>
      </c>
      <c r="P114" s="232" t="n"/>
      <c r="Q114" s="29" t="n"/>
      <c r="R114" s="29" t="n"/>
    </row>
    <row r="115">
      <c r="A115" s="263" t="n"/>
      <c r="B115" s="263" t="n"/>
      <c r="C115" s="309" t="n"/>
      <c r="D115" s="290" t="n"/>
      <c r="E115" s="290" t="n"/>
      <c r="F115" s="290" t="n"/>
      <c r="G115" s="263" t="n"/>
      <c r="H115" s="284" t="n"/>
      <c r="I115" s="284" t="n"/>
      <c r="J115" s="283" t="n"/>
      <c r="K115" s="284" t="n"/>
      <c r="L115" s="284" t="n"/>
      <c r="M115" s="284" t="n"/>
      <c r="N115" s="284" t="n"/>
      <c r="O115" s="284" t="n"/>
      <c r="R115" s="232" t="n"/>
    </row>
    <row r="116" customFormat="1" s="21">
      <c r="A116" s="23" t="n"/>
      <c r="B116" s="23" t="n"/>
      <c r="C116" s="132" t="inlineStr">
        <is>
          <t>Adj. EBIT</t>
        </is>
      </c>
      <c r="D116" s="24" t="n"/>
      <c r="E116" s="24" t="n"/>
      <c r="F116" s="24" t="n"/>
      <c r="G116" s="232" t="n"/>
      <c r="H116" s="63">
        <f>+H107+H111</f>
        <v/>
      </c>
      <c r="I116" s="63">
        <f>+I107+I111</f>
        <v/>
      </c>
      <c r="J116" s="172">
        <f>+J107+J111</f>
        <v/>
      </c>
      <c r="K116" s="63">
        <f>+K107+K111</f>
        <v/>
      </c>
      <c r="L116" s="63">
        <f>+L107+L111</f>
        <v/>
      </c>
      <c r="M116" s="63">
        <f>+M107+M111</f>
        <v/>
      </c>
      <c r="N116" s="63">
        <f>+N107+N111</f>
        <v/>
      </c>
      <c r="O116" s="63">
        <f>+O107+O111</f>
        <v/>
      </c>
      <c r="P116" s="232" t="n"/>
      <c r="Q116" s="314">
        <f>IFERROR((J116/H116)^0.5-1,"n.a.")</f>
        <v/>
      </c>
      <c r="R116" s="314">
        <f>IFERROR((O116/J116)^(1/5)-1,"n.a.")</f>
        <v/>
      </c>
    </row>
    <row r="117" customFormat="1" s="315">
      <c r="A117" s="316" t="n"/>
      <c r="B117" s="316" t="n"/>
      <c r="C117" s="317" t="inlineStr">
        <is>
          <t>% margin</t>
        </is>
      </c>
      <c r="D117" s="318" t="n"/>
      <c r="E117" s="318" t="n"/>
      <c r="F117" s="318" t="n"/>
      <c r="H117" s="291">
        <f>H116/H$73</f>
        <v/>
      </c>
      <c r="I117" s="291">
        <f>I116/I$73</f>
        <v/>
      </c>
      <c r="J117" s="292">
        <f>J116/J$73</f>
        <v/>
      </c>
      <c r="K117" s="291">
        <f>K116/K$73</f>
        <v/>
      </c>
      <c r="L117" s="291">
        <f>L116/L$73</f>
        <v/>
      </c>
      <c r="M117" s="291">
        <f>M116/M$73</f>
        <v/>
      </c>
      <c r="N117" s="291">
        <f>N116/N$73</f>
        <v/>
      </c>
      <c r="O117" s="291">
        <f>O116/O$73</f>
        <v/>
      </c>
      <c r="Q117" s="319" t="n"/>
      <c r="R117" s="319" t="n"/>
    </row>
    <row r="118" customFormat="1" s="315">
      <c r="A118" s="316" t="n"/>
      <c r="B118" s="316" t="n"/>
      <c r="C118" s="317" t="inlineStr">
        <is>
          <t>% growth</t>
        </is>
      </c>
      <c r="D118" s="318" t="n"/>
      <c r="E118" s="318" t="n"/>
      <c r="F118" s="318" t="n"/>
      <c r="H118" s="291" t="n"/>
      <c r="I118" s="291">
        <f>IFERROR(I117/H117-1,"n.a.")</f>
        <v/>
      </c>
      <c r="J118" s="292">
        <f>IFERROR(J117/I117-1,"n.a.")</f>
        <v/>
      </c>
      <c r="K118" s="291">
        <f>IFERROR(K117/J117-1,"n.a.")</f>
        <v/>
      </c>
      <c r="L118" s="291">
        <f>IFERROR(L117/K117-1,"n.a.")</f>
        <v/>
      </c>
      <c r="M118" s="291">
        <f>IFERROR(M117/L117-1,"n.a.")</f>
        <v/>
      </c>
      <c r="N118" s="291">
        <f>IFERROR(N117/M117-1,"n.a.")</f>
        <v/>
      </c>
      <c r="O118" s="291">
        <f>IFERROR(O117/N117-1,"n.a.")</f>
        <v/>
      </c>
      <c r="Q118" s="319" t="n"/>
      <c r="R118" s="319" t="n"/>
    </row>
    <row r="119">
      <c r="C119" s="311" t="n"/>
      <c r="D119" s="311" t="n"/>
      <c r="E119" s="311" t="n"/>
      <c r="F119" s="311" t="n"/>
      <c r="G119" s="311" t="n"/>
      <c r="H119" s="312" t="n"/>
      <c r="I119" s="312" t="n"/>
      <c r="J119" s="313" t="n"/>
      <c r="K119" s="312" t="n"/>
      <c r="L119" s="312" t="n"/>
      <c r="M119" s="312" t="n"/>
      <c r="N119" s="312" t="n"/>
      <c r="O119" s="312" t="n"/>
      <c r="R119" s="312" t="n"/>
    </row>
    <row r="120">
      <c r="C120" s="275" t="inlineStr">
        <is>
          <t>Cash Flows</t>
        </is>
      </c>
      <c r="D120" s="275" t="n"/>
      <c r="E120" s="275" t="n"/>
      <c r="F120" s="275" t="n"/>
      <c r="G120" s="275" t="n"/>
      <c r="H120" s="285" t="n"/>
      <c r="I120" s="285" t="n"/>
      <c r="J120" s="285" t="n"/>
      <c r="K120" s="285" t="n"/>
      <c r="L120" s="285" t="n"/>
      <c r="M120" s="285" t="n"/>
      <c r="N120" s="285" t="n"/>
      <c r="O120" s="285" t="n"/>
      <c r="P120" s="285" t="n"/>
      <c r="Q120" s="285" t="n"/>
      <c r="R120" s="285" t="n"/>
    </row>
    <row r="121" ht="5.1" customHeight="1" s="230">
      <c r="H121" s="312" t="n"/>
      <c r="I121" s="312" t="n"/>
      <c r="J121" s="313" t="n"/>
      <c r="K121" s="312" t="n"/>
      <c r="L121" s="312" t="n"/>
      <c r="M121" s="312" t="n"/>
      <c r="N121" s="312" t="n"/>
      <c r="O121" s="312" t="n"/>
      <c r="R121" s="312" t="n"/>
    </row>
    <row r="122" customFormat="1" s="234">
      <c r="C122" s="234" t="inlineStr">
        <is>
          <t>Adj. EBITDA</t>
        </is>
      </c>
      <c r="G122" s="232" t="n"/>
      <c r="H122" s="82">
        <f>+H107</f>
        <v/>
      </c>
      <c r="I122" s="82">
        <f>+I107</f>
        <v/>
      </c>
      <c r="J122" s="62">
        <f>+J107</f>
        <v/>
      </c>
      <c r="K122" s="82">
        <f>+K107</f>
        <v/>
      </c>
      <c r="L122" s="82">
        <f>+L107</f>
        <v/>
      </c>
      <c r="M122" s="82">
        <f>+M107</f>
        <v/>
      </c>
      <c r="N122" s="82">
        <f>+N107</f>
        <v/>
      </c>
      <c r="O122" s="82">
        <f>+O107</f>
        <v/>
      </c>
      <c r="P122" s="232" t="n"/>
      <c r="Q122" s="320">
        <f>IFERROR((J122/H122)^0.5-1,"n.a.")</f>
        <v/>
      </c>
      <c r="R122" s="320">
        <f>IFERROR((O122/J122)^(1/5)-1,"n.a.")</f>
        <v/>
      </c>
    </row>
    <row r="123" customFormat="1" s="234">
      <c r="H123" s="321" t="n"/>
      <c r="I123" s="321" t="n"/>
      <c r="J123" s="322" t="n"/>
      <c r="K123" s="321" t="n"/>
      <c r="L123" s="321" t="n"/>
      <c r="M123" s="321" t="n"/>
      <c r="N123" s="321" t="n"/>
      <c r="O123" s="321" t="n"/>
      <c r="P123" s="232" t="n"/>
      <c r="Q123" s="232" t="n"/>
      <c r="R123" s="232" t="n"/>
    </row>
    <row r="124">
      <c r="C124" s="323" t="inlineStr">
        <is>
          <t>Capex</t>
        </is>
      </c>
      <c r="D124" s="311" t="n"/>
      <c r="E124" s="311" t="n"/>
      <c r="F124" s="311" t="n"/>
      <c r="H124" s="55" t="n">
        <v>-458</v>
      </c>
      <c r="I124" s="55" t="n">
        <v>-510</v>
      </c>
      <c r="J124" s="149" t="n">
        <v>-538</v>
      </c>
      <c r="K124" s="17">
        <f>K125*K73</f>
        <v/>
      </c>
      <c r="L124" s="17">
        <f>L125*L73</f>
        <v/>
      </c>
      <c r="M124" s="17">
        <f>M125*M73</f>
        <v/>
      </c>
      <c r="N124" s="17">
        <f>N125*N73</f>
        <v/>
      </c>
      <c r="O124" s="17">
        <f>O125*O73</f>
        <v/>
      </c>
      <c r="Q124" s="319" t="n"/>
      <c r="R124" s="319" t="n"/>
    </row>
    <row r="125" customFormat="1" s="315">
      <c r="C125" s="324">
        <f>+"% of revenues: "&amp;CHOOSE($P$15,C126,C127)</f>
        <v/>
      </c>
      <c r="D125" s="318" t="n"/>
      <c r="E125" s="318" t="n"/>
      <c r="F125" s="318" t="n"/>
      <c r="G125" s="316" t="n"/>
      <c r="H125" s="291">
        <f>H124/H$73</f>
        <v/>
      </c>
      <c r="I125" s="291">
        <f>I124/I$73</f>
        <v/>
      </c>
      <c r="J125" s="292">
        <f>J124/J$73</f>
        <v/>
      </c>
      <c r="K125" s="291">
        <f>+CHOOSE($P$15,K126,K127)</f>
        <v/>
      </c>
      <c r="L125" s="291">
        <f>+CHOOSE($P$15,L126,L127)</f>
        <v/>
      </c>
      <c r="M125" s="291">
        <f>+CHOOSE($P$15,M126,M127)</f>
        <v/>
      </c>
      <c r="N125" s="291">
        <f>+CHOOSE($P$15,N126,N127)</f>
        <v/>
      </c>
      <c r="O125" s="291">
        <f>+CHOOSE($P$15,O126,O127)</f>
        <v/>
      </c>
      <c r="Q125" s="319" t="n"/>
      <c r="R125" s="319" t="n"/>
    </row>
    <row r="126" customFormat="1" s="315">
      <c r="C126" s="317" t="inlineStr">
        <is>
          <t>Base Case</t>
        </is>
      </c>
      <c r="D126" s="325" t="n"/>
      <c r="E126" s="325" t="n"/>
      <c r="F126" s="325" t="n"/>
      <c r="G126" s="316" t="n"/>
      <c r="H126" s="319" t="n"/>
      <c r="I126" s="319" t="n"/>
      <c r="J126" s="326" t="n"/>
      <c r="K126" s="327">
        <f>K57+K62</f>
        <v/>
      </c>
      <c r="L126" s="327">
        <f>L57+L62</f>
        <v/>
      </c>
      <c r="M126" s="327">
        <f>M57+M62</f>
        <v/>
      </c>
      <c r="N126" s="327">
        <f>N57+N62</f>
        <v/>
      </c>
      <c r="O126" s="327">
        <f>O57+O62</f>
        <v/>
      </c>
      <c r="Q126" s="319" t="n"/>
      <c r="R126" s="319" t="n"/>
    </row>
    <row r="127" customFormat="1" s="315">
      <c r="C127" s="317" t="inlineStr">
        <is>
          <t>Downside Case</t>
        </is>
      </c>
      <c r="D127" s="325" t="n"/>
      <c r="E127" s="325" t="n"/>
      <c r="F127" s="325" t="n"/>
      <c r="G127" s="316" t="n"/>
      <c r="H127" s="319" t="n"/>
      <c r="I127" s="319" t="n"/>
      <c r="J127" s="326" t="n"/>
      <c r="K127" s="327">
        <f>K58+K63</f>
        <v/>
      </c>
      <c r="L127" s="327">
        <f>L58+L63</f>
        <v/>
      </c>
      <c r="M127" s="327">
        <f>M58+M63</f>
        <v/>
      </c>
      <c r="N127" s="327">
        <f>N58+N63</f>
        <v/>
      </c>
      <c r="O127" s="327">
        <f>O58+O63</f>
        <v/>
      </c>
      <c r="Q127" s="319" t="n"/>
      <c r="R127" s="319" t="n"/>
    </row>
    <row r="128" ht="14.25" customHeight="1" s="230">
      <c r="I128" s="312" t="n"/>
      <c r="J128" s="313" t="n"/>
      <c r="K128" s="312" t="n"/>
      <c r="L128" s="312" t="n"/>
      <c r="M128" s="312" t="n"/>
      <c r="N128" s="312" t="n"/>
      <c r="O128" s="312" t="n"/>
      <c r="Q128" s="231" t="n"/>
      <c r="R128" s="232" t="n"/>
    </row>
    <row r="129">
      <c r="C129" s="323" t="inlineStr">
        <is>
          <t>Change in working capital</t>
        </is>
      </c>
      <c r="D129" s="311" t="n"/>
      <c r="E129" s="311" t="n"/>
      <c r="F129" s="311" t="n"/>
      <c r="H129" s="55" t="n">
        <v>-2</v>
      </c>
      <c r="I129" s="55" t="n">
        <v>68</v>
      </c>
      <c r="J129" s="149" t="n">
        <v>-424</v>
      </c>
      <c r="K129" s="17">
        <f>-(K150-J150)</f>
        <v/>
      </c>
      <c r="L129" s="17">
        <f>-(L150-K150)</f>
        <v/>
      </c>
      <c r="M129" s="17">
        <f>-(M150-L150)</f>
        <v/>
      </c>
      <c r="N129" s="17">
        <f>-(N150-M150)</f>
        <v/>
      </c>
      <c r="O129" s="17">
        <f>-(O150-N150)</f>
        <v/>
      </c>
      <c r="Q129" s="319" t="n"/>
      <c r="R129" s="319" t="n"/>
    </row>
    <row r="130">
      <c r="C130" s="323" t="inlineStr">
        <is>
          <t>Taxes</t>
        </is>
      </c>
      <c r="D130" s="311" t="n"/>
      <c r="E130" s="311" t="n"/>
      <c r="F130" s="54" t="n">
        <v>0.23</v>
      </c>
      <c r="H130" s="55" t="n">
        <v>-76</v>
      </c>
      <c r="I130" s="55" t="n">
        <v>-87</v>
      </c>
      <c r="J130" s="149" t="n">
        <v>-81</v>
      </c>
      <c r="K130" s="17">
        <f>-$F$130*(K116+K136)</f>
        <v/>
      </c>
      <c r="L130" s="17">
        <f>-$F$130*(L116+L136)</f>
        <v/>
      </c>
      <c r="M130" s="17">
        <f>-$F$130*(M116+M136)</f>
        <v/>
      </c>
      <c r="N130" s="17">
        <f>-$F$130*(N116+N136)</f>
        <v/>
      </c>
      <c r="O130" s="17">
        <f>-$F$130*(O116+O136)</f>
        <v/>
      </c>
      <c r="Q130" s="319" t="n"/>
      <c r="R130" s="319" t="n"/>
      <c r="U130" s="188" t="n"/>
    </row>
    <row r="131" customFormat="1" s="263">
      <c r="C131" s="259" t="inlineStr">
        <is>
          <t>% ETR</t>
        </is>
      </c>
      <c r="D131" s="259" t="n"/>
      <c r="E131" s="259" t="n"/>
      <c r="F131" s="207" t="n"/>
      <c r="H131" s="328">
        <f>H130/(H116+H136)</f>
        <v/>
      </c>
      <c r="I131" s="328">
        <f>I130/(I116+I136)</f>
        <v/>
      </c>
      <c r="J131" s="329">
        <f>J130/(J116+J136)</f>
        <v/>
      </c>
      <c r="K131" s="330">
        <f>K130/(K116+K136)</f>
        <v/>
      </c>
      <c r="L131" s="331">
        <f>L130/(L116+L136)</f>
        <v/>
      </c>
      <c r="M131" s="331">
        <f>M130/(M116+M136)</f>
        <v/>
      </c>
      <c r="N131" s="331">
        <f>N130/(N116+N136)</f>
        <v/>
      </c>
      <c r="O131" s="331">
        <f>O130/(O116+O136)</f>
        <v/>
      </c>
      <c r="Q131" s="319" t="n"/>
      <c r="R131" s="319" t="n"/>
    </row>
    <row r="132">
      <c r="C132" s="323" t="inlineStr">
        <is>
          <t>Others &amp; exceptionals</t>
        </is>
      </c>
      <c r="D132" s="311" t="n"/>
      <c r="E132" s="311" t="n"/>
      <c r="F132" s="311" t="n"/>
      <c r="H132" s="55" t="n">
        <v>36</v>
      </c>
      <c r="I132" s="55" t="n">
        <v>-22</v>
      </c>
      <c r="J132" s="149" t="n">
        <v>-56</v>
      </c>
      <c r="K132" s="67" t="n">
        <v>0</v>
      </c>
      <c r="L132" s="67" t="n">
        <v>0</v>
      </c>
      <c r="M132" s="67" t="n">
        <v>0</v>
      </c>
      <c r="N132" s="67" t="n">
        <v>0</v>
      </c>
      <c r="O132" s="67" t="n">
        <v>0</v>
      </c>
      <c r="Q132" s="319" t="n"/>
      <c r="R132" s="319" t="n"/>
    </row>
    <row r="133">
      <c r="C133" s="332" t="inlineStr">
        <is>
          <t>Unlevered FCF</t>
        </is>
      </c>
      <c r="D133" s="269" t="n"/>
      <c r="E133" s="269" t="n"/>
      <c r="F133" s="269" t="n"/>
      <c r="H133" s="60">
        <f>H122+H124+SUM(H129:H132)</f>
        <v/>
      </c>
      <c r="I133" s="60">
        <f>I122+I124+SUM(I129:I132)</f>
        <v/>
      </c>
      <c r="J133" s="61">
        <f>J122+J124+SUM(J129:J132)</f>
        <v/>
      </c>
      <c r="K133" s="60">
        <f>K122+K124+SUM(K129:K132)</f>
        <v/>
      </c>
      <c r="L133" s="60">
        <f>L122+L124+SUM(L129:L132)</f>
        <v/>
      </c>
      <c r="M133" s="60">
        <f>M122+M124+SUM(M129:M132)</f>
        <v/>
      </c>
      <c r="N133" s="60">
        <f>N122+N124+SUM(N129:N132)</f>
        <v/>
      </c>
      <c r="O133" s="60">
        <f>O122+O124+SUM(O129:O132)</f>
        <v/>
      </c>
      <c r="Q133" s="333" t="n"/>
      <c r="R133" s="333" t="n"/>
    </row>
    <row r="134" customFormat="1" s="263">
      <c r="C134" s="259" t="inlineStr">
        <is>
          <t>% EBITDA conversion</t>
        </is>
      </c>
      <c r="D134" s="259" t="n"/>
      <c r="E134" s="259" t="n"/>
      <c r="F134" s="207" t="n"/>
      <c r="H134" s="328">
        <f>H133/H122</f>
        <v/>
      </c>
      <c r="I134" s="328">
        <f>I133/I122</f>
        <v/>
      </c>
      <c r="J134" s="329">
        <f>J133/J122</f>
        <v/>
      </c>
      <c r="K134" s="330">
        <f>K133/K122</f>
        <v/>
      </c>
      <c r="L134" s="331">
        <f>L133/L122</f>
        <v/>
      </c>
      <c r="M134" s="331">
        <f>M133/M122</f>
        <v/>
      </c>
      <c r="N134" s="331">
        <f>N133/N122</f>
        <v/>
      </c>
      <c r="O134" s="331">
        <f>O133/O122</f>
        <v/>
      </c>
      <c r="Q134" s="319" t="n"/>
      <c r="R134" s="319" t="n"/>
    </row>
    <row r="135" ht="14.25" customHeight="1" s="230">
      <c r="H135" s="312" t="n"/>
      <c r="I135" s="312" t="n"/>
      <c r="J135" s="313" t="n"/>
      <c r="K135" s="312" t="n"/>
      <c r="L135" s="312" t="n"/>
      <c r="M135" s="312" t="n"/>
      <c r="N135" s="312" t="n"/>
      <c r="O135" s="312" t="n"/>
      <c r="Q135" s="312" t="n"/>
      <c r="R135" s="232" t="n"/>
    </row>
    <row r="136" customFormat="1" s="21">
      <c r="C136" s="56" t="inlineStr">
        <is>
          <t>Interest expense</t>
        </is>
      </c>
      <c r="D136" s="47" t="n"/>
      <c r="E136" s="47" t="n"/>
      <c r="F136" s="47" t="n"/>
      <c r="H136" s="55" t="n">
        <v>-54</v>
      </c>
      <c r="I136" s="55" t="n">
        <v>-41</v>
      </c>
      <c r="J136" s="149" t="n">
        <v>-56</v>
      </c>
      <c r="K136" s="17">
        <f>K164</f>
        <v/>
      </c>
      <c r="L136" s="17">
        <f>L164</f>
        <v/>
      </c>
      <c r="M136" s="17">
        <f>M164</f>
        <v/>
      </c>
      <c r="N136" s="17">
        <f>N164</f>
        <v/>
      </c>
      <c r="O136" s="17">
        <f>O164</f>
        <v/>
      </c>
      <c r="P136" s="232" t="n"/>
      <c r="Q136" s="319" t="n"/>
      <c r="R136" s="319" t="n"/>
      <c r="T136" s="334" t="n"/>
    </row>
    <row r="137" customFormat="1" s="21">
      <c r="C137" s="107" t="inlineStr">
        <is>
          <t>Levered FCF</t>
        </is>
      </c>
      <c r="D137" s="22" t="n"/>
      <c r="E137" s="22" t="n"/>
      <c r="F137" s="22" t="n"/>
      <c r="G137" s="232" t="n"/>
      <c r="H137" s="60">
        <f>+H133+H136</f>
        <v/>
      </c>
      <c r="I137" s="60">
        <f>+I133+I136</f>
        <v/>
      </c>
      <c r="J137" s="61">
        <f>+J133+J136</f>
        <v/>
      </c>
      <c r="K137" s="60">
        <f>+K133+K136</f>
        <v/>
      </c>
      <c r="L137" s="60">
        <f>+L133+L136</f>
        <v/>
      </c>
      <c r="M137" s="60">
        <f>+M133+M136</f>
        <v/>
      </c>
      <c r="N137" s="60">
        <f>+N133+N136</f>
        <v/>
      </c>
      <c r="O137" s="60">
        <f>+O133+O136</f>
        <v/>
      </c>
      <c r="P137" s="232" t="n"/>
      <c r="Q137" s="333" t="n"/>
      <c r="R137" s="333" t="n"/>
    </row>
    <row r="138" ht="8.1" customHeight="1" s="230">
      <c r="H138" s="312" t="n"/>
      <c r="I138" s="312" t="n"/>
      <c r="J138" s="313" t="n"/>
      <c r="K138" s="312" t="n"/>
      <c r="L138" s="312" t="n"/>
      <c r="M138" s="312" t="n"/>
      <c r="N138" s="312" t="n"/>
      <c r="O138" s="312" t="n"/>
      <c r="Q138" s="312" t="n"/>
      <c r="R138" s="232" t="n"/>
    </row>
    <row r="139" customFormat="1" s="21">
      <c r="C139" s="56" t="inlineStr">
        <is>
          <t>RCF draw</t>
        </is>
      </c>
      <c r="D139" s="232" t="n"/>
      <c r="E139" s="232" t="n"/>
      <c r="F139" s="158">
        <f>+K11</f>
        <v/>
      </c>
      <c r="H139" s="29" t="n"/>
      <c r="I139" s="29" t="n"/>
      <c r="J139" s="30" t="n"/>
      <c r="K139" s="17">
        <f>-MIN(K137+K160-$F$139,0)</f>
        <v/>
      </c>
      <c r="L139" s="17">
        <f>-MIN(L137+L160-$F$139,0)</f>
        <v/>
      </c>
      <c r="M139" s="17">
        <f>-MIN(M137+M160-$F$139,0)</f>
        <v/>
      </c>
      <c r="N139" s="17">
        <f>-MIN(N137+N160-$F$139,0)</f>
        <v/>
      </c>
      <c r="O139" s="17">
        <f>-MIN(O137+O160-$F$139,0)</f>
        <v/>
      </c>
      <c r="P139" s="232" t="n"/>
      <c r="Q139" s="319" t="n"/>
      <c r="R139" s="319" t="n"/>
    </row>
    <row r="140" customFormat="1" s="21">
      <c r="C140" s="56" t="inlineStr">
        <is>
          <t>RCF repay</t>
        </is>
      </c>
      <c r="D140" s="47" t="n"/>
      <c r="E140" s="47" t="n"/>
      <c r="F140" s="47" t="n"/>
      <c r="H140" s="29" t="n"/>
      <c r="I140" s="29" t="n"/>
      <c r="J140" s="30" t="n"/>
      <c r="K140" s="17">
        <f>-MAX(MIN(K137+K139+K160-$F$139,K168),0)</f>
        <v/>
      </c>
      <c r="L140" s="17">
        <f>-MAX(MIN(L137+L139+L160-$F$139,L168),0)</f>
        <v/>
      </c>
      <c r="M140" s="17">
        <f>-MAX(MIN(M137+M139+M160-$F$139,M168),0)</f>
        <v/>
      </c>
      <c r="N140" s="17">
        <f>-MAX(MIN(N137+N139+N160-$F$139,N168),0)</f>
        <v/>
      </c>
      <c r="O140" s="17">
        <f>-MAX(MIN(O137+O139+O160-$F$139,O168),0)</f>
        <v/>
      </c>
      <c r="P140" s="232" t="n"/>
      <c r="Q140" s="319" t="n"/>
      <c r="R140" s="319" t="n"/>
    </row>
    <row r="141" customFormat="1" s="21">
      <c r="C141" s="56" t="inlineStr">
        <is>
          <t>Debt repayments</t>
        </is>
      </c>
      <c r="D141" s="47" t="n"/>
      <c r="E141" s="47" t="n"/>
      <c r="F141" s="47" t="n"/>
      <c r="H141" s="29" t="n"/>
      <c r="I141" s="29" t="n"/>
      <c r="J141" s="30" t="n"/>
      <c r="K141" s="187">
        <f>K178</f>
        <v/>
      </c>
      <c r="L141" s="187">
        <f>L178</f>
        <v/>
      </c>
      <c r="M141" s="187">
        <f>M178</f>
        <v/>
      </c>
      <c r="N141" s="187">
        <f>N178</f>
        <v/>
      </c>
      <c r="O141" s="187">
        <f>O178</f>
        <v/>
      </c>
      <c r="P141" s="232" t="n"/>
      <c r="Q141" s="319" t="n"/>
      <c r="R141" s="319" t="n"/>
    </row>
    <row r="142" customFormat="1" s="21">
      <c r="C142" s="107" t="inlineStr">
        <is>
          <t>Change in Cash</t>
        </is>
      </c>
      <c r="D142" s="22" t="n"/>
      <c r="E142" s="22" t="n"/>
      <c r="F142" s="22" t="n"/>
      <c r="G142" s="232" t="n"/>
      <c r="H142" s="133" t="n"/>
      <c r="I142" s="133" t="n"/>
      <c r="J142" s="134" t="n"/>
      <c r="K142" s="60">
        <f>K137+SUM(K139:K141)</f>
        <v/>
      </c>
      <c r="L142" s="60">
        <f>L137+SUM(L139:L141)</f>
        <v/>
      </c>
      <c r="M142" s="60">
        <f>M137+SUM(M139:M141)</f>
        <v/>
      </c>
      <c r="N142" s="60">
        <f>N137+SUM(N139:N141)</f>
        <v/>
      </c>
      <c r="O142" s="60">
        <f>O137+SUM(O139:O141)</f>
        <v/>
      </c>
      <c r="P142" s="232" t="n"/>
      <c r="Q142" s="333" t="n"/>
      <c r="R142" s="333" t="n"/>
    </row>
    <row r="143">
      <c r="H143" s="312" t="n"/>
      <c r="I143" s="312" t="n"/>
      <c r="J143" s="313" t="n"/>
      <c r="K143" s="312" t="n"/>
      <c r="L143" s="312" t="n"/>
      <c r="M143" s="312" t="n"/>
      <c r="N143" s="312" t="n"/>
      <c r="O143" s="312" t="n"/>
      <c r="R143" s="312" t="n"/>
    </row>
    <row r="144">
      <c r="H144" s="312" t="n"/>
      <c r="I144" s="312" t="n"/>
      <c r="J144" s="313" t="n"/>
      <c r="K144" s="312" t="n"/>
      <c r="L144" s="312" t="n"/>
      <c r="M144" s="312" t="n"/>
      <c r="N144" s="312" t="n"/>
      <c r="O144" s="312" t="n"/>
      <c r="R144" s="312" t="n"/>
    </row>
    <row r="145">
      <c r="C145" s="275" t="inlineStr">
        <is>
          <t>Working Capital Schedule</t>
        </is>
      </c>
      <c r="D145" s="275" t="n"/>
      <c r="E145" s="275" t="n"/>
      <c r="F145" s="275" t="n"/>
      <c r="G145" s="275" t="n"/>
      <c r="H145" s="275" t="n"/>
      <c r="I145" s="275" t="n"/>
      <c r="J145" s="275" t="n"/>
      <c r="K145" s="275" t="n"/>
      <c r="L145" s="275" t="n"/>
      <c r="M145" s="275" t="n"/>
      <c r="N145" s="285" t="n"/>
      <c r="O145" s="285" t="n"/>
      <c r="P145" s="285" t="n"/>
      <c r="Q145" s="285" t="n"/>
      <c r="R145" s="285" t="n"/>
    </row>
    <row r="146" ht="8.1" customHeight="1" s="230">
      <c r="H146" s="312" t="n"/>
      <c r="I146" s="312" t="n"/>
      <c r="J146" s="313" t="n"/>
      <c r="K146" s="312" t="n"/>
      <c r="L146" s="312" t="n"/>
      <c r="M146" s="312" t="n"/>
      <c r="N146" s="312" t="n"/>
      <c r="O146" s="312" t="n"/>
      <c r="R146" s="312" t="n"/>
    </row>
    <row r="147" customFormat="1" s="21">
      <c r="C147" s="56" t="inlineStr">
        <is>
          <t>Inventories</t>
        </is>
      </c>
      <c r="D147" s="47" t="n"/>
      <c r="E147" s="47" t="n"/>
      <c r="F147" s="47" t="n"/>
      <c r="H147" s="55" t="n">
        <v>660</v>
      </c>
      <c r="I147" s="55" t="n">
        <v>713</v>
      </c>
      <c r="J147" s="149" t="n">
        <v>814</v>
      </c>
      <c r="K147" s="17">
        <f>-K152*K76/365</f>
        <v/>
      </c>
      <c r="L147" s="17">
        <f>-L152*L76/365</f>
        <v/>
      </c>
      <c r="M147" s="17">
        <f>-M152*M76/365</f>
        <v/>
      </c>
      <c r="N147" s="17">
        <f>-N152*N76/365</f>
        <v/>
      </c>
      <c r="O147" s="17">
        <f>-O152*O76/365</f>
        <v/>
      </c>
      <c r="P147" s="232" t="n"/>
      <c r="Q147" s="319" t="n"/>
      <c r="R147" s="319" t="n"/>
      <c r="T147" s="334" t="n"/>
    </row>
    <row r="148" customFormat="1" s="21">
      <c r="C148" s="56" t="inlineStr">
        <is>
          <t>Trade receivables</t>
        </is>
      </c>
      <c r="D148" s="47" t="n"/>
      <c r="E148" s="47" t="n"/>
      <c r="F148" s="47" t="n"/>
      <c r="H148" s="55" t="n">
        <v>344</v>
      </c>
      <c r="I148" s="55" t="n">
        <v>353</v>
      </c>
      <c r="J148" s="149" t="n">
        <v>336</v>
      </c>
      <c r="K148" s="17">
        <f>K153*K73/365</f>
        <v/>
      </c>
      <c r="L148" s="17">
        <f>L153*L73/365</f>
        <v/>
      </c>
      <c r="M148" s="17">
        <f>M153*M73/365</f>
        <v/>
      </c>
      <c r="N148" s="17">
        <f>N153*N73/365</f>
        <v/>
      </c>
      <c r="O148" s="17">
        <f>O153*O73/365</f>
        <v/>
      </c>
      <c r="P148" s="232" t="n"/>
      <c r="Q148" s="319" t="n"/>
      <c r="R148" s="319" t="n"/>
      <c r="T148" s="334" t="n"/>
    </row>
    <row r="149" customFormat="1" s="21">
      <c r="C149" s="56" t="inlineStr">
        <is>
          <t>Trade payables</t>
        </is>
      </c>
      <c r="D149" s="47" t="n"/>
      <c r="E149" s="47" t="n"/>
      <c r="F149" s="47" t="n"/>
      <c r="H149" s="55" t="n">
        <v>-3070</v>
      </c>
      <c r="I149" s="55" t="n">
        <v>-3051</v>
      </c>
      <c r="J149" s="149" t="n">
        <v>-2837</v>
      </c>
      <c r="K149" s="17">
        <f>+K154*K76/365</f>
        <v/>
      </c>
      <c r="L149" s="17">
        <f>+L154*L76/365</f>
        <v/>
      </c>
      <c r="M149" s="17">
        <f>+M154*M76/365</f>
        <v/>
      </c>
      <c r="N149" s="17">
        <f>+N154*N76/365</f>
        <v/>
      </c>
      <c r="O149" s="17">
        <f>+O154*O76/365</f>
        <v/>
      </c>
      <c r="P149" s="232" t="n"/>
      <c r="Q149" s="319" t="n"/>
      <c r="R149" s="319" t="n"/>
      <c r="T149" s="334" t="n"/>
    </row>
    <row r="150" customFormat="1" s="21">
      <c r="C150" s="150" t="inlineStr">
        <is>
          <t>Net trade working capital</t>
        </is>
      </c>
      <c r="D150" s="150" t="n"/>
      <c r="E150" s="150" t="n"/>
      <c r="F150" s="150" t="n"/>
      <c r="H150" s="151">
        <f>SUM(H147:H149)</f>
        <v/>
      </c>
      <c r="I150" s="151">
        <f>SUM(I147:I149)</f>
        <v/>
      </c>
      <c r="J150" s="152">
        <f>SUM(J147:J149)</f>
        <v/>
      </c>
      <c r="K150" s="151">
        <f>SUM(K147:K149)</f>
        <v/>
      </c>
      <c r="L150" s="151">
        <f>SUM(L147:L149)</f>
        <v/>
      </c>
      <c r="M150" s="151">
        <f>SUM(M147:M149)</f>
        <v/>
      </c>
      <c r="N150" s="151">
        <f>SUM(N147:N149)</f>
        <v/>
      </c>
      <c r="O150" s="151">
        <f>SUM(O147:O149)</f>
        <v/>
      </c>
      <c r="P150" s="232" t="n"/>
      <c r="Q150" s="335" t="n"/>
      <c r="R150" s="335" t="n"/>
      <c r="T150" s="334" t="n"/>
    </row>
    <row r="151" ht="5.1" customHeight="1" s="230">
      <c r="C151" s="336" t="n"/>
      <c r="D151" s="336" t="n"/>
      <c r="E151" s="336" t="n"/>
      <c r="F151" s="336" t="n"/>
      <c r="G151" s="21" t="n"/>
      <c r="H151" s="337" t="n"/>
      <c r="I151" s="337" t="n"/>
      <c r="J151" s="338" t="n"/>
      <c r="L151" s="232" t="n"/>
      <c r="M151" s="232" t="n"/>
      <c r="N151" s="232" t="n"/>
      <c r="O151" s="232" t="n"/>
      <c r="R151" s="232" t="n"/>
    </row>
    <row r="152" customFormat="1" s="124">
      <c r="C152" s="155" t="inlineStr">
        <is>
          <t>DIO</t>
        </is>
      </c>
      <c r="D152" s="155" t="n"/>
      <c r="E152" s="155" t="n"/>
      <c r="F152" s="155" t="n"/>
      <c r="H152" s="156">
        <f>-H147/H76*365</f>
        <v/>
      </c>
      <c r="I152" s="156">
        <f>-I147/I76*365</f>
        <v/>
      </c>
      <c r="J152" s="157">
        <f>-J147/J76*365</f>
        <v/>
      </c>
      <c r="K152" s="126">
        <f>AVERAGE(H152:J152)</f>
        <v/>
      </c>
      <c r="L152" s="125">
        <f>K152</f>
        <v/>
      </c>
      <c r="M152" s="125">
        <f>L152</f>
        <v/>
      </c>
      <c r="N152" s="125">
        <f>M152</f>
        <v/>
      </c>
      <c r="O152" s="125">
        <f>N152</f>
        <v/>
      </c>
      <c r="P152" s="263" t="n"/>
      <c r="Q152" s="319" t="n"/>
      <c r="R152" s="319" t="n"/>
      <c r="T152" s="334" t="n"/>
    </row>
    <row r="153" customFormat="1" s="124">
      <c r="C153" s="155" t="inlineStr">
        <is>
          <t>DSO</t>
        </is>
      </c>
      <c r="D153" s="155" t="n"/>
      <c r="E153" s="155" t="n"/>
      <c r="F153" s="155" t="n"/>
      <c r="H153" s="156">
        <f>+H148/H73*365</f>
        <v/>
      </c>
      <c r="I153" s="156">
        <f>+I148/I73*365</f>
        <v/>
      </c>
      <c r="J153" s="157">
        <f>+J148/J73*365</f>
        <v/>
      </c>
      <c r="K153" s="126">
        <f>AVERAGE(H153:J153)</f>
        <v/>
      </c>
      <c r="L153" s="125">
        <f>K153</f>
        <v/>
      </c>
      <c r="M153" s="125">
        <f>L153</f>
        <v/>
      </c>
      <c r="N153" s="125">
        <f>M153</f>
        <v/>
      </c>
      <c r="O153" s="125">
        <f>N153</f>
        <v/>
      </c>
      <c r="P153" s="263" t="n"/>
      <c r="Q153" s="319" t="n"/>
      <c r="R153" s="319" t="n"/>
      <c r="T153" s="334" t="n"/>
    </row>
    <row r="154" customFormat="1" s="124">
      <c r="C154" s="155" t="inlineStr">
        <is>
          <t>DPO</t>
        </is>
      </c>
      <c r="D154" s="155" t="n"/>
      <c r="E154" s="155" t="n"/>
      <c r="F154" s="155" t="n"/>
      <c r="H154" s="156">
        <f>+H149/H76*365</f>
        <v/>
      </c>
      <c r="I154" s="156">
        <f>+I149/I76*365</f>
        <v/>
      </c>
      <c r="J154" s="157">
        <f>+J149/J76*365</f>
        <v/>
      </c>
      <c r="K154" s="126">
        <f>AVERAGE(H154:J154)</f>
        <v/>
      </c>
      <c r="L154" s="125">
        <f>K154</f>
        <v/>
      </c>
      <c r="M154" s="125">
        <f>L154</f>
        <v/>
      </c>
      <c r="N154" s="125">
        <f>M154</f>
        <v/>
      </c>
      <c r="O154" s="125">
        <f>N154</f>
        <v/>
      </c>
      <c r="P154" s="263" t="n"/>
      <c r="Q154" s="319" t="n"/>
      <c r="R154" s="319" t="n"/>
      <c r="T154" s="334" t="n"/>
    </row>
    <row r="155">
      <c r="H155" s="232" t="n"/>
      <c r="I155" s="232" t="n"/>
      <c r="J155" s="313" t="n"/>
      <c r="K155" s="312" t="n"/>
      <c r="L155" s="232" t="n"/>
      <c r="M155" s="232" t="n"/>
      <c r="N155" s="232" t="n"/>
      <c r="O155" s="232" t="n"/>
      <c r="R155" s="232" t="n"/>
    </row>
    <row r="156">
      <c r="C156" s="275" t="inlineStr">
        <is>
          <t>Cash &amp; Debt Schedule</t>
        </is>
      </c>
      <c r="D156" s="275" t="n"/>
      <c r="E156" s="275" t="n"/>
      <c r="F156" s="275" t="n"/>
      <c r="G156" s="275" t="n"/>
      <c r="H156" s="275" t="n"/>
      <c r="I156" s="275" t="n"/>
      <c r="J156" s="275" t="n"/>
      <c r="K156" s="275" t="n"/>
      <c r="L156" s="275" t="n"/>
      <c r="M156" s="275" t="n"/>
      <c r="N156" s="285" t="n"/>
      <c r="O156" s="285" t="n"/>
      <c r="P156" s="285" t="n"/>
      <c r="Q156" s="285" t="n"/>
      <c r="R156" s="285" t="n"/>
    </row>
    <row r="157" ht="8.1" customHeight="1" s="230">
      <c r="H157" s="312" t="n"/>
      <c r="I157" s="312" t="n"/>
      <c r="J157" s="313" t="n"/>
      <c r="K157" s="312" t="n"/>
      <c r="L157" s="312" t="n"/>
      <c r="M157" s="312" t="n"/>
      <c r="N157" s="312" t="n"/>
      <c r="O157" s="312" t="n"/>
      <c r="R157" s="312" t="n"/>
    </row>
    <row r="158" ht="15.75" customHeight="1" s="230" thickBot="1">
      <c r="C158" s="339" t="inlineStr">
        <is>
          <t>Cash</t>
        </is>
      </c>
      <c r="D158" s="340" t="n"/>
      <c r="E158" s="340" t="n"/>
      <c r="F158" s="340" t="n"/>
      <c r="H158" s="312" t="n"/>
      <c r="I158" s="312" t="n"/>
      <c r="J158" s="313" t="n"/>
      <c r="K158" s="312" t="n"/>
      <c r="L158" s="312" t="n"/>
      <c r="M158" s="312" t="n"/>
      <c r="N158" s="312" t="n"/>
      <c r="O158" s="312" t="n"/>
      <c r="R158" s="312" t="n"/>
    </row>
    <row r="159" ht="5.1" customHeight="1" s="230" thickTop="1">
      <c r="C159" s="341" t="n"/>
      <c r="D159" s="341" t="n"/>
      <c r="E159" s="341" t="n"/>
      <c r="F159" s="341" t="n"/>
      <c r="H159" s="312" t="n"/>
      <c r="I159" s="312" t="n"/>
      <c r="J159" s="313" t="n"/>
      <c r="K159" s="312" t="n"/>
      <c r="L159" s="312" t="n"/>
      <c r="M159" s="312" t="n"/>
      <c r="N159" s="312" t="n"/>
      <c r="O159" s="312" t="n"/>
      <c r="Q159" s="312" t="n"/>
      <c r="R159" s="312" t="n"/>
    </row>
    <row r="160">
      <c r="C160" s="232" t="inlineStr">
        <is>
          <t>BoP balance</t>
        </is>
      </c>
      <c r="H160" s="342" t="n"/>
      <c r="I160" s="342" t="n"/>
      <c r="J160" s="342" t="n"/>
      <c r="K160" s="101">
        <f>J162</f>
        <v/>
      </c>
      <c r="L160" s="17">
        <f>+K162</f>
        <v/>
      </c>
      <c r="M160" s="17">
        <f>+L162</f>
        <v/>
      </c>
      <c r="N160" s="17">
        <f>+M162</f>
        <v/>
      </c>
      <c r="O160" s="17">
        <f>+N162</f>
        <v/>
      </c>
      <c r="Q160" s="342" t="n"/>
      <c r="R160" s="342" t="n"/>
    </row>
    <row r="161">
      <c r="C161" s="232" t="inlineStr">
        <is>
          <t>Change in Cash</t>
        </is>
      </c>
      <c r="H161" s="342" t="n"/>
      <c r="I161" s="342" t="n"/>
      <c r="J161" s="343" t="n"/>
      <c r="K161" s="17">
        <f>+K142</f>
        <v/>
      </c>
      <c r="L161" s="17">
        <f>+L142</f>
        <v/>
      </c>
      <c r="M161" s="17">
        <f>+M142</f>
        <v/>
      </c>
      <c r="N161" s="17">
        <f>+N142</f>
        <v/>
      </c>
      <c r="O161" s="17">
        <f>+O142</f>
        <v/>
      </c>
      <c r="Q161" s="342" t="n"/>
      <c r="R161" s="342" t="n"/>
    </row>
    <row r="162">
      <c r="C162" s="344" t="inlineStr">
        <is>
          <t>EoP balance</t>
        </is>
      </c>
      <c r="D162" s="345" t="n"/>
      <c r="E162" s="345" t="n"/>
      <c r="F162" s="345" t="n"/>
      <c r="H162" s="346" t="n"/>
      <c r="I162" s="346" t="n"/>
      <c r="J162" s="103">
        <f>+K11</f>
        <v/>
      </c>
      <c r="K162" s="347">
        <f>IF(B5, B10*(K166+K169)/2, B10*K166)</f>
        <v/>
      </c>
      <c r="L162" s="347">
        <f>IF(B5, B10*(L166+L169)/2, B10*L166)</f>
        <v/>
      </c>
      <c r="M162" s="347">
        <f>IF(B5, B10*(M166+M169)/2, B10*M166)</f>
        <v/>
      </c>
      <c r="N162" s="347">
        <f>IF(B5, B10*(N166+N169)/2, B10*N166)</f>
        <v/>
      </c>
      <c r="O162" s="347">
        <f>IF(B5, B10*(O166+O169)/2, B10*O166)</f>
        <v/>
      </c>
      <c r="Q162" s="346" t="n"/>
      <c r="R162" s="346" t="n"/>
    </row>
    <row r="163" ht="5.1" customHeight="1" s="230">
      <c r="H163" s="312" t="n"/>
      <c r="I163" s="312" t="n"/>
      <c r="J163" s="313" t="n"/>
      <c r="K163" s="312" t="n"/>
      <c r="L163" s="312" t="n"/>
      <c r="M163" s="312" t="n"/>
      <c r="N163" s="312" t="n"/>
      <c r="O163" s="312" t="n"/>
      <c r="Q163" s="312" t="n"/>
      <c r="R163" s="312" t="n"/>
    </row>
    <row r="164">
      <c r="C164" s="348" t="inlineStr">
        <is>
          <t>Total Cash Interest</t>
        </is>
      </c>
      <c r="D164" s="349" t="n"/>
      <c r="E164" s="349" t="n"/>
      <c r="F164" s="349" t="n"/>
      <c r="G164" s="349" t="n"/>
      <c r="H164" s="350" t="n"/>
      <c r="I164" s="350" t="n"/>
      <c r="J164" s="351" t="n"/>
      <c r="K164" s="145">
        <f>+K173+K181</f>
        <v/>
      </c>
      <c r="L164" s="145">
        <f>+L173+L181</f>
        <v/>
      </c>
      <c r="M164" s="145">
        <f>+M173+M181</f>
        <v/>
      </c>
      <c r="N164" s="145">
        <f>+N173+N181</f>
        <v/>
      </c>
      <c r="O164" s="146">
        <f>+O173+O181</f>
        <v/>
      </c>
      <c r="Q164" s="350" t="n"/>
      <c r="R164" s="350" t="n"/>
    </row>
    <row r="165">
      <c r="J165" s="313" t="n"/>
      <c r="K165" s="312" t="n"/>
      <c r="Q165" s="231" t="n"/>
    </row>
    <row r="166" ht="15.75" customHeight="1" s="230" thickBot="1">
      <c r="C166" s="339" t="inlineStr">
        <is>
          <t>RCF</t>
        </is>
      </c>
      <c r="D166" s="340" t="n"/>
      <c r="E166" s="340" t="n"/>
      <c r="F166" s="340" t="n"/>
      <c r="J166" s="313" t="n"/>
      <c r="K166" s="312" t="n"/>
      <c r="Q166" s="231" t="n"/>
    </row>
    <row r="167" ht="3" customHeight="1" s="230" thickTop="1">
      <c r="C167" s="341" t="n"/>
      <c r="D167" s="341" t="n"/>
      <c r="E167" s="341" t="n"/>
      <c r="F167" s="341" t="n"/>
      <c r="H167" s="312" t="n"/>
      <c r="I167" s="312" t="n"/>
      <c r="J167" s="313" t="n"/>
      <c r="K167" s="312" t="n"/>
      <c r="L167" s="312" t="n"/>
      <c r="M167" s="312" t="n"/>
      <c r="N167" s="312" t="n"/>
      <c r="O167" s="312" t="n"/>
      <c r="Q167" s="312" t="n"/>
      <c r="R167" s="312" t="n"/>
    </row>
    <row r="168" customFormat="1" s="21">
      <c r="C168" s="21" t="inlineStr">
        <is>
          <t>BoP balance</t>
        </is>
      </c>
      <c r="H168" s="25" t="n"/>
      <c r="I168" s="25" t="n"/>
      <c r="J168" s="26" t="n"/>
      <c r="K168" s="67" t="n">
        <v>0</v>
      </c>
      <c r="L168" s="17">
        <f>+K171</f>
        <v/>
      </c>
      <c r="M168" s="17">
        <f>+L171</f>
        <v/>
      </c>
      <c r="N168" s="17">
        <f>+M171</f>
        <v/>
      </c>
      <c r="O168" s="17">
        <f>+N171</f>
        <v/>
      </c>
      <c r="P168" s="232" t="n"/>
      <c r="Q168" s="25" t="n"/>
      <c r="R168" s="25" t="n"/>
    </row>
    <row r="169" customFormat="1" s="21">
      <c r="C169" s="21" t="inlineStr">
        <is>
          <t>Draw</t>
        </is>
      </c>
      <c r="G169" s="232" t="n"/>
      <c r="H169" s="25" t="n"/>
      <c r="I169" s="25" t="n"/>
      <c r="J169" s="26" t="n"/>
      <c r="K169" s="17">
        <f>+K139</f>
        <v/>
      </c>
      <c r="L169" s="17">
        <f>+L139</f>
        <v/>
      </c>
      <c r="M169" s="17">
        <f>+M139</f>
        <v/>
      </c>
      <c r="N169" s="17">
        <f>+N139</f>
        <v/>
      </c>
      <c r="O169" s="17">
        <f>+O139</f>
        <v/>
      </c>
      <c r="P169" s="232" t="n"/>
      <c r="Q169" s="25" t="n"/>
      <c r="R169" s="25" t="n"/>
    </row>
    <row r="170" customFormat="1" s="21">
      <c r="C170" s="21" t="inlineStr">
        <is>
          <t>Repayment</t>
        </is>
      </c>
      <c r="G170" s="232" t="n"/>
      <c r="H170" s="25" t="n"/>
      <c r="I170" s="25" t="n"/>
      <c r="J170" s="26" t="n"/>
      <c r="K170" s="17">
        <f>+K140</f>
        <v/>
      </c>
      <c r="L170" s="17">
        <f>+L140</f>
        <v/>
      </c>
      <c r="M170" s="17">
        <f>+M140</f>
        <v/>
      </c>
      <c r="N170" s="17">
        <f>+N140</f>
        <v/>
      </c>
      <c r="O170" s="17">
        <f>+O140</f>
        <v/>
      </c>
      <c r="P170" s="232" t="n"/>
      <c r="Q170" s="25" t="n"/>
      <c r="R170" s="25" t="n"/>
    </row>
    <row r="171" customFormat="1" s="21">
      <c r="C171" s="132" t="inlineStr">
        <is>
          <t>EoP balance</t>
        </is>
      </c>
      <c r="D171" s="24" t="n"/>
      <c r="E171" s="24" t="n"/>
      <c r="F171" s="24" t="n"/>
      <c r="G171" s="232" t="n"/>
      <c r="H171" s="27" t="n"/>
      <c r="I171" s="27" t="n"/>
      <c r="J171" s="28" t="n"/>
      <c r="K171" s="63">
        <f>SUM(K168:K170)</f>
        <v/>
      </c>
      <c r="L171" s="63">
        <f>SUM(L168:L170)</f>
        <v/>
      </c>
      <c r="M171" s="63">
        <f>SUM(M168:M170)</f>
        <v/>
      </c>
      <c r="N171" s="63">
        <f>SUM(N168:N170)</f>
        <v/>
      </c>
      <c r="O171" s="63">
        <f>SUM(O168:O170)</f>
        <v/>
      </c>
      <c r="P171" s="232" t="n"/>
      <c r="Q171" s="27" t="n"/>
      <c r="R171" s="27" t="n"/>
    </row>
    <row r="172">
      <c r="E172" s="352" t="inlineStr">
        <is>
          <t>LIBOR</t>
        </is>
      </c>
      <c r="F172" s="352" t="inlineStr">
        <is>
          <t>Margin</t>
        </is>
      </c>
      <c r="H172" s="312" t="n"/>
      <c r="I172" s="312" t="n"/>
      <c r="J172" s="313" t="n"/>
      <c r="Q172" s="312" t="n"/>
      <c r="R172" s="312" t="n"/>
    </row>
    <row r="173" customFormat="1" s="263">
      <c r="C173" s="263" t="inlineStr">
        <is>
          <t>Cash interest</t>
        </is>
      </c>
      <c r="E173" s="353" t="n">
        <v>0.009878</v>
      </c>
      <c r="F173" s="354" t="n">
        <v>0.02</v>
      </c>
      <c r="G173" s="232" t="n"/>
      <c r="H173" s="25" t="n"/>
      <c r="I173" s="25" t="n"/>
      <c r="J173" s="26" t="n"/>
      <c r="K173" s="66">
        <f>-K168*SUM($E$173:$F$173)</f>
        <v/>
      </c>
      <c r="L173" s="66">
        <f>-L168*SUM($E$173:$F$173)</f>
        <v/>
      </c>
      <c r="M173" s="66">
        <f>-M168*SUM($E$173:$F$173)</f>
        <v/>
      </c>
      <c r="N173" s="66">
        <f>-N168*SUM($E$173:$F$173)</f>
        <v/>
      </c>
      <c r="O173" s="66">
        <f>-O168*SUM($E$173:$F$173)</f>
        <v/>
      </c>
      <c r="P173" s="232" t="n"/>
      <c r="Q173" s="25" t="n"/>
      <c r="R173" s="25" t="n"/>
      <c r="T173" s="334" t="n"/>
    </row>
    <row r="174">
      <c r="F174" s="355" t="n"/>
      <c r="H174" s="312" t="n"/>
      <c r="I174" s="312" t="n"/>
      <c r="J174" s="313" t="n"/>
      <c r="Q174" s="312" t="n"/>
      <c r="R174" s="312" t="n"/>
    </row>
    <row r="175" ht="15.75" customHeight="1" s="230" thickBot="1">
      <c r="C175" s="339" t="inlineStr">
        <is>
          <t>Acquisition financing</t>
        </is>
      </c>
      <c r="D175" s="340" t="n"/>
      <c r="E175" s="340" t="n"/>
      <c r="F175" s="340" t="n"/>
      <c r="H175" s="312" t="n"/>
      <c r="I175" s="312" t="n"/>
      <c r="J175" s="313" t="n"/>
      <c r="Q175" s="312" t="n"/>
      <c r="R175" s="312" t="n"/>
    </row>
    <row r="176" ht="3" customHeight="1" s="230" thickTop="1">
      <c r="C176" s="341" t="n"/>
      <c r="D176" s="341" t="n"/>
      <c r="E176" s="341" t="n"/>
      <c r="F176" s="341" t="n"/>
      <c r="H176" s="312" t="n"/>
      <c r="I176" s="312" t="n"/>
      <c r="J176" s="313" t="n"/>
      <c r="Q176" s="312" t="n"/>
      <c r="R176" s="312" t="n"/>
    </row>
    <row r="177" customFormat="1" s="21">
      <c r="C177" s="21" t="inlineStr">
        <is>
          <t>BoP Balance</t>
        </is>
      </c>
      <c r="G177" s="232" t="n"/>
      <c r="H177" s="25" t="n"/>
      <c r="I177" s="25" t="n"/>
      <c r="J177" s="25" t="n"/>
      <c r="K177" s="101">
        <f>J179</f>
        <v/>
      </c>
      <c r="L177" s="17">
        <f>+K179</f>
        <v/>
      </c>
      <c r="M177" s="17">
        <f>+L179</f>
        <v/>
      </c>
      <c r="N177" s="17">
        <f>+M179</f>
        <v/>
      </c>
      <c r="O177" s="17">
        <f>+N179</f>
        <v/>
      </c>
      <c r="P177" s="232" t="n"/>
      <c r="Q177" s="25" t="n"/>
      <c r="R177" s="25" t="n"/>
    </row>
    <row r="178" customFormat="1" s="21">
      <c r="C178" s="21" t="inlineStr">
        <is>
          <t>Repayment</t>
        </is>
      </c>
      <c r="E178" s="352" t="n"/>
      <c r="F178" s="352" t="n"/>
      <c r="G178" s="232" t="n"/>
      <c r="H178" s="25" t="n"/>
      <c r="I178" s="25" t="n"/>
      <c r="J178" s="26" t="n"/>
      <c r="K178" s="356">
        <f>-MIN(K177,K137+K139+K140)</f>
        <v/>
      </c>
      <c r="L178" s="357">
        <f>-MIN(L177,L137+L139+L140)</f>
        <v/>
      </c>
      <c r="M178" s="357">
        <f>-MIN(M177,M137+M139+M140)</f>
        <v/>
      </c>
      <c r="N178" s="357">
        <f>-MIN(N177,N137+N139+N140)</f>
        <v/>
      </c>
      <c r="O178" s="357">
        <f>-MIN(O177,O137+O139+O140)</f>
        <v/>
      </c>
      <c r="P178" s="232" t="n"/>
      <c r="Q178" s="25" t="n"/>
      <c r="R178" s="25" t="n"/>
    </row>
    <row r="179" customFormat="1" s="23">
      <c r="C179" s="132" t="inlineStr">
        <is>
          <t>EoP Balance</t>
        </is>
      </c>
      <c r="D179" s="24" t="n"/>
      <c r="E179" s="358" t="n"/>
      <c r="F179" s="358" t="n"/>
      <c r="G179" s="234" t="n"/>
      <c r="H179" s="27" t="n"/>
      <c r="I179" s="27" t="n"/>
      <c r="J179" s="144">
        <f>+K10</f>
        <v/>
      </c>
      <c r="K179" s="100">
        <f>K177+K178</f>
        <v/>
      </c>
      <c r="L179" s="100">
        <f>L177+L178</f>
        <v/>
      </c>
      <c r="M179" s="100">
        <f>M177+M178</f>
        <v/>
      </c>
      <c r="N179" s="100">
        <f>N177+N178</f>
        <v/>
      </c>
      <c r="O179" s="100">
        <f>O177+O178</f>
        <v/>
      </c>
      <c r="P179" s="234" t="n"/>
      <c r="Q179" s="27" t="n"/>
      <c r="R179" s="27" t="n"/>
    </row>
    <row r="180" customFormat="1" s="21">
      <c r="E180" s="352" t="inlineStr">
        <is>
          <t>LIBOR</t>
        </is>
      </c>
      <c r="F180" s="352" t="inlineStr">
        <is>
          <t>Margin</t>
        </is>
      </c>
      <c r="G180" s="232" t="n"/>
      <c r="H180" s="17" t="n"/>
      <c r="I180" s="17" t="n"/>
      <c r="J180" s="64" t="n"/>
      <c r="K180" s="305" t="n"/>
      <c r="L180" s="231" t="n"/>
      <c r="M180" s="231" t="n"/>
      <c r="N180" s="231" t="n"/>
      <c r="O180" s="231" t="n"/>
      <c r="P180" s="232" t="n"/>
      <c r="Q180" s="17" t="n"/>
      <c r="R180" s="17" t="n"/>
    </row>
    <row r="181" customFormat="1" s="263">
      <c r="C181" s="263" t="inlineStr">
        <is>
          <t>Cash interest</t>
        </is>
      </c>
      <c r="E181" s="359">
        <f>+E173</f>
        <v/>
      </c>
      <c r="F181" s="354" t="n">
        <v>0.025</v>
      </c>
      <c r="G181" s="232" t="n"/>
      <c r="H181" s="25" t="n"/>
      <c r="I181" s="25" t="n"/>
      <c r="J181" s="26" t="n"/>
      <c r="K181" s="66">
        <f>-K177*SUM($E181:$F181)</f>
        <v/>
      </c>
      <c r="L181" s="66">
        <f>-L177*SUM($E181:$F181)</f>
        <v/>
      </c>
      <c r="M181" s="66">
        <f>-M177*SUM($E181:$F181)</f>
        <v/>
      </c>
      <c r="N181" s="66">
        <f>-N177*SUM($E181:$F181)</f>
        <v/>
      </c>
      <c r="O181" s="66">
        <f>-O177*SUM($E181:$F181)</f>
        <v/>
      </c>
      <c r="P181" s="232" t="n"/>
      <c r="Q181" s="25" t="n"/>
      <c r="R181" s="25" t="n"/>
      <c r="T181" s="334" t="n"/>
    </row>
    <row r="182" ht="9" customHeight="1" s="230">
      <c r="H182" s="312" t="n"/>
      <c r="I182" s="312" t="n"/>
      <c r="J182" s="360" t="n"/>
      <c r="K182" s="232" t="n"/>
      <c r="L182" s="232" t="n"/>
      <c r="M182" s="17" t="n"/>
      <c r="N182" s="17" t="n"/>
      <c r="O182" s="17" t="n"/>
      <c r="R182" s="232" t="n"/>
    </row>
    <row r="183" customFormat="1" s="21">
      <c r="C183" s="21" t="inlineStr">
        <is>
          <t>Total Debt</t>
        </is>
      </c>
      <c r="G183" s="232" t="n"/>
      <c r="H183" s="25" t="n"/>
      <c r="I183" s="25" t="n"/>
      <c r="J183" s="25" t="n"/>
      <c r="K183" s="101">
        <f>K171+K179</f>
        <v/>
      </c>
      <c r="L183" s="187">
        <f>L171+L179</f>
        <v/>
      </c>
      <c r="M183" s="187">
        <f>M171+M179</f>
        <v/>
      </c>
      <c r="N183" s="187">
        <f>N171+N179</f>
        <v/>
      </c>
      <c r="O183" s="187">
        <f>O171+O179</f>
        <v/>
      </c>
      <c r="P183" s="232" t="n"/>
      <c r="Q183" s="25" t="n"/>
      <c r="R183" s="25" t="n"/>
    </row>
    <row r="184" customFormat="1" s="21">
      <c r="C184" s="21" t="inlineStr">
        <is>
          <t>Net Debt</t>
        </is>
      </c>
      <c r="G184" s="232" t="n"/>
      <c r="H184" s="25" t="n"/>
      <c r="I184" s="25" t="n"/>
      <c r="J184" s="25" t="n"/>
      <c r="K184" s="101">
        <f>K183-K162</f>
        <v/>
      </c>
      <c r="L184" s="187">
        <f>L183-L162</f>
        <v/>
      </c>
      <c r="M184" s="187">
        <f>M183-M162</f>
        <v/>
      </c>
      <c r="N184" s="187">
        <f>N183-N162</f>
        <v/>
      </c>
      <c r="O184" s="187">
        <f>O183-O162</f>
        <v/>
      </c>
      <c r="P184" s="232" t="n"/>
      <c r="Q184" s="25" t="n"/>
      <c r="R184" s="25" t="n"/>
    </row>
    <row r="185">
      <c r="C185" s="232" t="inlineStr">
        <is>
          <t>Total Debt / EBITDA</t>
        </is>
      </c>
      <c r="H185" s="25" t="n"/>
      <c r="I185" s="25" t="n"/>
      <c r="J185" s="25" t="n"/>
      <c r="K185" s="361">
        <f>K183/K$107</f>
        <v/>
      </c>
      <c r="L185" s="361">
        <f>L183/L$107</f>
        <v/>
      </c>
      <c r="M185" s="361">
        <f>M183/M$107</f>
        <v/>
      </c>
      <c r="N185" s="361">
        <f>N183/N$107</f>
        <v/>
      </c>
      <c r="O185" s="361">
        <f>O183/O$107</f>
        <v/>
      </c>
      <c r="Q185" s="25" t="n"/>
      <c r="R185" s="25" t="n"/>
    </row>
    <row r="186">
      <c r="C186" s="234" t="inlineStr">
        <is>
          <t>Net Debt / EBITDA</t>
        </is>
      </c>
      <c r="D186" s="234" t="n"/>
      <c r="E186" s="234" t="n"/>
      <c r="F186" s="234" t="n"/>
      <c r="G186" s="234" t="n"/>
      <c r="H186" s="193" t="n"/>
      <c r="I186" s="193" t="n"/>
      <c r="J186" s="193" t="n"/>
      <c r="K186" s="362">
        <f>K184/K$107</f>
        <v/>
      </c>
      <c r="L186" s="362">
        <f>L184/L$107</f>
        <v/>
      </c>
      <c r="M186" s="362">
        <f>M184/M$107</f>
        <v/>
      </c>
      <c r="N186" s="362">
        <f>N184/N$107</f>
        <v/>
      </c>
      <c r="O186" s="362">
        <f>O184/O$107</f>
        <v/>
      </c>
      <c r="Q186" s="25" t="n"/>
      <c r="R186" s="25" t="n"/>
    </row>
    <row r="187">
      <c r="C187" s="232" t="inlineStr">
        <is>
          <t>EBITDA / Interest Expense</t>
        </is>
      </c>
      <c r="H187" s="25" t="n"/>
      <c r="I187" s="25" t="n"/>
      <c r="J187" s="25" t="n"/>
      <c r="K187" s="361">
        <f>-K107/K136</f>
        <v/>
      </c>
      <c r="L187" s="361">
        <f>-L107/L136</f>
        <v/>
      </c>
      <c r="M187" s="361">
        <f>-M107/M136</f>
        <v/>
      </c>
      <c r="N187" s="361">
        <f>-N107/N136</f>
        <v/>
      </c>
      <c r="O187" s="361">
        <f>-O107/O136</f>
        <v/>
      </c>
      <c r="Q187" s="25" t="n"/>
      <c r="R187" s="25" t="n"/>
    </row>
    <row r="188" ht="9" customHeight="1" s="230">
      <c r="H188" s="312" t="n"/>
      <c r="I188" s="312" t="n"/>
      <c r="J188" s="360" t="n"/>
      <c r="K188" s="232" t="n"/>
      <c r="L188" s="232" t="n"/>
      <c r="M188" s="17" t="n"/>
      <c r="N188" s="17" t="n"/>
      <c r="O188" s="17" t="n"/>
      <c r="R188" s="232" t="n"/>
    </row>
    <row r="189">
      <c r="C189" s="275" t="inlineStr">
        <is>
          <t>Returns</t>
        </is>
      </c>
      <c r="D189" s="275" t="n"/>
      <c r="E189" s="275" t="n"/>
      <c r="F189" s="275" t="n"/>
      <c r="G189" s="275" t="n"/>
      <c r="H189" s="275" t="n"/>
      <c r="I189" s="275" t="n"/>
      <c r="J189" s="363" t="n"/>
      <c r="K189" s="275" t="n"/>
      <c r="L189" s="275" t="n"/>
      <c r="M189" s="275" t="n"/>
      <c r="N189" s="285" t="n"/>
      <c r="O189" s="285" t="n"/>
      <c r="P189" s="285" t="n"/>
      <c r="Q189" s="285" t="n"/>
      <c r="R189" s="275" t="n"/>
    </row>
    <row r="190" ht="8.1" customHeight="1" s="230">
      <c r="H190" s="312" t="n"/>
      <c r="I190" s="312" t="n"/>
      <c r="J190" s="313" t="n"/>
      <c r="K190" s="312" t="n"/>
      <c r="L190" s="312" t="n"/>
      <c r="M190" s="312" t="n"/>
      <c r="N190" s="312" t="n"/>
      <c r="O190" s="312" t="n"/>
      <c r="Q190" s="312" t="n"/>
      <c r="R190" s="312" t="n"/>
    </row>
    <row r="191">
      <c r="C191" s="232" t="inlineStr">
        <is>
          <t>EBITDA</t>
        </is>
      </c>
      <c r="H191" s="25" t="n"/>
      <c r="I191" s="25" t="n"/>
      <c r="J191" s="64">
        <f>+J107</f>
        <v/>
      </c>
      <c r="K191" s="17">
        <f>+K107</f>
        <v/>
      </c>
      <c r="L191" s="17">
        <f>+L107</f>
        <v/>
      </c>
      <c r="M191" s="17">
        <f>+M107</f>
        <v/>
      </c>
      <c r="N191" s="17">
        <f>+N107</f>
        <v/>
      </c>
      <c r="O191" s="17">
        <f>+O107</f>
        <v/>
      </c>
      <c r="Q191" s="25" t="n"/>
      <c r="R191" s="25" t="n"/>
    </row>
    <row r="192">
      <c r="C192" s="364" t="inlineStr">
        <is>
          <t>EV / EBITDA (x)</t>
        </is>
      </c>
      <c r="D192" s="364" t="n"/>
      <c r="E192" s="364" t="n"/>
      <c r="F192" s="364" t="n"/>
      <c r="G192" s="364" t="n"/>
      <c r="H192" s="202" t="n"/>
      <c r="I192" s="202" t="n"/>
      <c r="J192" s="365">
        <f>$L$13</f>
        <v/>
      </c>
      <c r="K192" s="366" t="n">
        <v>10</v>
      </c>
      <c r="L192" s="367">
        <f>$K192</f>
        <v/>
      </c>
      <c r="M192" s="367">
        <f>$K192</f>
        <v/>
      </c>
      <c r="N192" s="367">
        <f>$K192</f>
        <v/>
      </c>
      <c r="O192" s="367">
        <f>$K192</f>
        <v/>
      </c>
      <c r="Q192" s="79" t="n"/>
      <c r="R192" s="79" t="n"/>
    </row>
    <row r="193">
      <c r="C193" s="269" t="inlineStr">
        <is>
          <t>Enterprise value</t>
        </is>
      </c>
      <c r="D193" s="368" t="n"/>
      <c r="E193" s="368" t="n"/>
      <c r="F193" s="368" t="n"/>
      <c r="G193" s="368" t="n"/>
      <c r="H193" s="81" t="n"/>
      <c r="I193" s="81" t="n"/>
      <c r="J193" s="61">
        <f>J191*J192</f>
        <v/>
      </c>
      <c r="K193" s="60">
        <f>K191*K192</f>
        <v/>
      </c>
      <c r="L193" s="60">
        <f>L191*L192</f>
        <v/>
      </c>
      <c r="M193" s="60">
        <f>M191*M192</f>
        <v/>
      </c>
      <c r="N193" s="60">
        <f>N191*N192</f>
        <v/>
      </c>
      <c r="O193" s="60">
        <f>O191*O192</f>
        <v/>
      </c>
      <c r="Q193" s="81" t="n"/>
      <c r="R193" s="81" t="n"/>
    </row>
    <row r="194" ht="5.1" customHeight="1" s="230">
      <c r="C194" s="234" t="n"/>
      <c r="H194" s="17" t="n"/>
      <c r="I194" s="17" t="n"/>
      <c r="J194" s="62" t="n"/>
      <c r="K194" s="82" t="n"/>
      <c r="L194" s="82" t="n"/>
      <c r="M194" s="82" t="n"/>
      <c r="N194" s="82" t="n"/>
      <c r="O194" s="82" t="n"/>
      <c r="Q194" s="17" t="n"/>
      <c r="R194" s="17" t="n"/>
    </row>
    <row r="195">
      <c r="C195" s="232" t="inlineStr">
        <is>
          <t>Less: net debt</t>
        </is>
      </c>
      <c r="H195" s="25" t="n"/>
      <c r="I195" s="25" t="n"/>
      <c r="J195" s="64">
        <f>-(J171+J179-J162)</f>
        <v/>
      </c>
      <c r="K195" s="17">
        <f>-(K171+K179-K162)</f>
        <v/>
      </c>
      <c r="L195" s="17">
        <f>-(L171+L179-L162)</f>
        <v/>
      </c>
      <c r="M195" s="17">
        <f>-(M171+M179-M162)</f>
        <v/>
      </c>
      <c r="N195" s="17">
        <f>-(N171+N179-N162)</f>
        <v/>
      </c>
      <c r="O195" s="17">
        <f>-(O171+O179-O162)</f>
        <v/>
      </c>
      <c r="Q195" s="25" t="n"/>
      <c r="R195" s="25" t="n"/>
    </row>
    <row r="196">
      <c r="C196" s="369" t="inlineStr">
        <is>
          <t xml:space="preserve">Equity value </t>
        </is>
      </c>
      <c r="D196" s="369" t="n"/>
      <c r="E196" s="369" t="n"/>
      <c r="F196" s="369" t="n"/>
      <c r="G196" s="369" t="n"/>
      <c r="H196" s="84" t="n"/>
      <c r="I196" s="84" t="n"/>
      <c r="J196" s="136">
        <f>J193+J195</f>
        <v/>
      </c>
      <c r="K196" s="85">
        <f>K193+K195</f>
        <v/>
      </c>
      <c r="L196" s="85">
        <f>L193+L195</f>
        <v/>
      </c>
      <c r="M196" s="85">
        <f>M193+M195</f>
        <v/>
      </c>
      <c r="N196" s="85">
        <f>N193+N195</f>
        <v/>
      </c>
      <c r="O196" s="85">
        <f>O193+O195</f>
        <v/>
      </c>
      <c r="Q196" s="84" t="n"/>
      <c r="R196" s="84" t="n"/>
    </row>
    <row r="197" ht="5.1" customHeight="1" s="230">
      <c r="C197" s="234" t="n"/>
      <c r="D197" s="234" t="n"/>
      <c r="E197" s="234" t="n"/>
      <c r="F197" s="234" t="n"/>
      <c r="G197" s="234" t="n"/>
      <c r="H197" s="82" t="n"/>
      <c r="I197" s="82" t="n"/>
      <c r="J197" s="322" t="n"/>
      <c r="K197" s="321" t="n"/>
      <c r="L197" s="321" t="n"/>
      <c r="M197" s="321" t="n"/>
      <c r="N197" s="321" t="n"/>
      <c r="O197" s="321" t="n"/>
      <c r="Q197" s="82" t="n"/>
      <c r="R197" s="82" t="n"/>
    </row>
    <row r="198">
      <c r="C198" s="232" t="inlineStr">
        <is>
          <t>Management incentive plan</t>
        </is>
      </c>
      <c r="E198" s="263" t="n"/>
      <c r="F198" s="191" t="n">
        <v>0.1</v>
      </c>
      <c r="H198" s="25" t="n"/>
      <c r="I198" s="25" t="n"/>
      <c r="J198" s="64" t="n">
        <v>0</v>
      </c>
      <c r="K198" s="17">
        <f>-K196*$F198</f>
        <v/>
      </c>
      <c r="L198" s="17">
        <f>-L196*$F198</f>
        <v/>
      </c>
      <c r="M198" s="17">
        <f>-M196*$F198</f>
        <v/>
      </c>
      <c r="N198" s="17">
        <f>-N196*$F198</f>
        <v/>
      </c>
      <c r="O198" s="17">
        <f>-O196*$F198</f>
        <v/>
      </c>
      <c r="Q198" s="25" t="n"/>
      <c r="R198" s="25" t="n"/>
    </row>
    <row r="199">
      <c r="C199" s="269" t="inlineStr">
        <is>
          <t>Attributable equity value</t>
        </is>
      </c>
      <c r="D199" s="269" t="n"/>
      <c r="E199" s="269" t="n"/>
      <c r="F199" s="269" t="n"/>
      <c r="G199" s="269" t="n"/>
      <c r="H199" s="27" t="n"/>
      <c r="I199" s="27" t="n"/>
      <c r="J199" s="61">
        <f>J196+J198</f>
        <v/>
      </c>
      <c r="K199" s="60">
        <f>K196+K198</f>
        <v/>
      </c>
      <c r="L199" s="60">
        <f>L196+L198</f>
        <v/>
      </c>
      <c r="M199" s="60">
        <f>M196+M198</f>
        <v/>
      </c>
      <c r="N199" s="60">
        <f>N196+N198</f>
        <v/>
      </c>
      <c r="O199" s="60">
        <f>O196+O198</f>
        <v/>
      </c>
      <c r="Q199" s="27" t="n"/>
      <c r="R199" s="27" t="n"/>
    </row>
    <row r="200" ht="5.1" customHeight="1" s="230">
      <c r="H200" s="17" t="n"/>
      <c r="I200" s="17" t="n"/>
      <c r="J200" s="64" t="n"/>
      <c r="Q200" s="17" t="n"/>
      <c r="R200" s="17" t="n"/>
    </row>
    <row r="201" ht="5.1" customHeight="1" s="230">
      <c r="H201" s="17" t="n"/>
      <c r="I201" s="17" t="n"/>
      <c r="J201" s="64" t="n"/>
      <c r="Q201" s="17" t="n"/>
      <c r="R201" s="17" t="n"/>
    </row>
    <row r="202" ht="14.25" customHeight="1" s="230">
      <c r="F202" s="352" t="inlineStr">
        <is>
          <t>Exit date</t>
        </is>
      </c>
      <c r="H202" s="17" t="n"/>
      <c r="I202" s="17" t="n"/>
      <c r="J202" s="64" t="n"/>
      <c r="Q202" s="17" t="n"/>
      <c r="R202" s="17" t="n"/>
    </row>
    <row r="203">
      <c r="C203" s="232" t="inlineStr">
        <is>
          <t>Net equity cash flows</t>
        </is>
      </c>
      <c r="F203" s="143">
        <f>+O19</f>
        <v/>
      </c>
      <c r="H203" s="25" t="n"/>
      <c r="I203" s="25" t="n"/>
      <c r="J203" s="64">
        <f>-J199</f>
        <v/>
      </c>
      <c r="K203" s="17">
        <f>K$199*(K19=$F$203)</f>
        <v/>
      </c>
      <c r="L203" s="17">
        <f>L$199*(L19=$F$203)</f>
        <v/>
      </c>
      <c r="M203" s="17">
        <f>M$199*(M19=$F$203)</f>
        <v/>
      </c>
      <c r="N203" s="17">
        <f>N$199*(N19=$F$203)</f>
        <v/>
      </c>
      <c r="O203" s="17">
        <f>O$199*(O19=$F$203)</f>
        <v/>
      </c>
      <c r="Q203" s="25" t="n"/>
      <c r="R203" s="25" t="n"/>
    </row>
    <row r="204">
      <c r="R204" s="232" t="n"/>
    </row>
    <row r="205">
      <c r="C205" s="370" t="inlineStr">
        <is>
          <t>IRR</t>
        </is>
      </c>
      <c r="D205" s="371" t="n"/>
      <c r="E205" s="371" t="n"/>
      <c r="F205" s="372">
        <f>IFERROR(XIRR(J203:O203,J19:O19),"n/a")</f>
        <v/>
      </c>
      <c r="O205" s="17" t="n"/>
      <c r="R205" s="232" t="n"/>
    </row>
    <row r="206">
      <c r="C206" s="373" t="inlineStr">
        <is>
          <t>MOIC</t>
        </is>
      </c>
      <c r="D206" s="374" t="n"/>
      <c r="E206" s="374" t="n"/>
      <c r="F206" s="375">
        <f>-SUM(K203:O203)/J203</f>
        <v/>
      </c>
    </row>
    <row r="207" ht="15.75" customHeight="1" s="230" thickBot="1">
      <c r="C207" s="376" t="inlineStr">
        <is>
          <t>Net profit (£m)</t>
        </is>
      </c>
      <c r="D207" s="377" t="n"/>
      <c r="E207" s="377" t="n"/>
      <c r="F207" s="88">
        <f>SUM(K203:O203)+J203</f>
        <v/>
      </c>
    </row>
    <row r="208">
      <c r="I208" s="232" t="n"/>
      <c r="J208" s="232" t="n"/>
      <c r="K208" s="232" t="n"/>
    </row>
    <row r="209">
      <c r="I209" s="232" t="n"/>
      <c r="J209" s="232" t="n"/>
      <c r="K209" s="232" t="n"/>
    </row>
    <row r="210">
      <c r="I210" s="232" t="n"/>
      <c r="J210" s="232" t="n"/>
      <c r="K210" s="232" t="n"/>
    </row>
    <row r="211">
      <c r="I211" s="232" t="n"/>
      <c r="J211" s="232" t="n"/>
      <c r="K211" s="232" t="n"/>
    </row>
    <row r="212">
      <c r="I212" s="232" t="n"/>
      <c r="J212" s="232" t="n"/>
      <c r="K212" s="232" t="n"/>
    </row>
    <row r="213">
      <c r="I213" s="232" t="n"/>
      <c r="J213" s="232" t="n"/>
      <c r="K213" s="232" t="n"/>
    </row>
    <row r="214">
      <c r="I214" s="232" t="n"/>
      <c r="J214" s="232" t="n"/>
      <c r="K214" s="232" t="n"/>
    </row>
    <row r="215">
      <c r="I215" s="232" t="n"/>
      <c r="J215" s="232" t="n"/>
      <c r="K215" s="232" t="n"/>
    </row>
    <row r="216">
      <c r="I216" s="232" t="n"/>
      <c r="J216" s="232" t="n"/>
      <c r="K216" s="232" t="n"/>
    </row>
    <row r="217">
      <c r="I217" s="232" t="n"/>
      <c r="J217" s="232" t="n"/>
      <c r="K217" s="232" t="n"/>
    </row>
    <row r="218">
      <c r="I218" s="232" t="n"/>
      <c r="J218" s="232" t="n"/>
      <c r="K218" s="232" t="n"/>
    </row>
    <row r="219">
      <c r="I219" s="232" t="n"/>
      <c r="J219" s="232" t="n"/>
      <c r="K219" s="232" t="n"/>
    </row>
    <row r="220">
      <c r="I220" s="232" t="n"/>
      <c r="J220" s="232" t="n"/>
      <c r="K220" s="232" t="n"/>
    </row>
    <row r="221">
      <c r="I221" s="232" t="n"/>
      <c r="J221" s="232" t="n"/>
      <c r="K221" s="232" t="n"/>
    </row>
    <row r="222">
      <c r="I222" s="232" t="n"/>
      <c r="J222" s="232" t="n"/>
      <c r="K222" s="232" t="n"/>
    </row>
    <row r="223">
      <c r="I223" s="232" t="n"/>
      <c r="J223" s="232" t="n"/>
      <c r="K223" s="232" t="n"/>
    </row>
    <row r="224">
      <c r="I224" s="232" t="n"/>
      <c r="J224" s="232" t="n"/>
      <c r="K224" s="232" t="n"/>
    </row>
    <row r="225">
      <c r="I225" s="232" t="n"/>
      <c r="J225" s="232" t="n"/>
      <c r="K225" s="232" t="n"/>
    </row>
    <row r="226">
      <c r="I226" s="232" t="n"/>
      <c r="J226" s="232" t="n"/>
      <c r="K226" s="232" t="n"/>
    </row>
    <row r="227">
      <c r="I227" s="232" t="n"/>
      <c r="J227" s="232" t="n"/>
      <c r="K227" s="232" t="n"/>
    </row>
    <row r="228">
      <c r="I228" s="232" t="n"/>
      <c r="J228" s="232" t="n"/>
      <c r="K228" s="232" t="n"/>
    </row>
    <row r="229">
      <c r="I229" s="232" t="n"/>
      <c r="J229" s="232" t="n"/>
      <c r="K229" s="232" t="n"/>
    </row>
    <row r="230">
      <c r="I230" s="232" t="n"/>
      <c r="J230" s="232" t="n"/>
      <c r="K230" s="232" t="n"/>
    </row>
    <row r="231">
      <c r="I231" s="232" t="n"/>
      <c r="J231" s="232" t="n"/>
      <c r="K231" s="232" t="n"/>
    </row>
    <row r="232">
      <c r="I232" s="232" t="n"/>
      <c r="J232" s="232" t="n"/>
      <c r="K232" s="232" t="n"/>
    </row>
    <row r="233">
      <c r="I233" s="232" t="n"/>
      <c r="J233" s="232" t="n"/>
      <c r="K233" s="232" t="n"/>
    </row>
    <row r="234">
      <c r="I234" s="232" t="n"/>
      <c r="J234" s="232" t="n"/>
      <c r="K234" s="232" t="n"/>
    </row>
    <row r="235">
      <c r="I235" s="232" t="n"/>
      <c r="J235" s="232" t="n"/>
      <c r="K235" s="232" t="n"/>
    </row>
    <row r="236">
      <c r="I236" s="232" t="n"/>
      <c r="J236" s="232" t="n"/>
      <c r="K236" s="232" t="n"/>
    </row>
    <row r="237">
      <c r="I237" s="232" t="n"/>
      <c r="J237" s="232" t="n"/>
      <c r="K237" s="232" t="n"/>
    </row>
    <row r="238">
      <c r="I238" s="232" t="n"/>
      <c r="J238" s="232" t="n"/>
      <c r="K238" s="232" t="n"/>
    </row>
    <row r="239">
      <c r="I239" s="232" t="n"/>
      <c r="J239" s="232" t="n"/>
      <c r="K239" s="232" t="n"/>
    </row>
    <row r="240">
      <c r="I240" s="232" t="n"/>
      <c r="J240" s="232" t="n"/>
      <c r="K240" s="232" t="n"/>
    </row>
    <row r="241">
      <c r="I241" s="232" t="n"/>
      <c r="J241" s="232" t="n"/>
      <c r="K241" s="232" t="n"/>
    </row>
    <row r="242">
      <c r="I242" s="232" t="n"/>
      <c r="J242" s="232" t="n"/>
      <c r="K242" s="232" t="n"/>
    </row>
    <row r="243">
      <c r="I243" s="232" t="n"/>
      <c r="J243" s="232" t="n"/>
      <c r="K243" s="232" t="n"/>
    </row>
    <row r="244">
      <c r="I244" s="232" t="n"/>
      <c r="J244" s="232" t="n"/>
      <c r="K244" s="232" t="n"/>
    </row>
    <row r="245">
      <c r="I245" s="232" t="n"/>
      <c r="J245" s="232" t="n"/>
      <c r="K245" s="232" t="n"/>
    </row>
    <row r="246">
      <c r="I246" s="232" t="n"/>
      <c r="J246" s="232" t="n"/>
      <c r="K246" s="232" t="n"/>
    </row>
    <row r="247">
      <c r="I247" s="232" t="n"/>
      <c r="J247" s="232" t="n"/>
      <c r="K247" s="232" t="n"/>
    </row>
  </sheetData>
  <pageMargins left="0.7086614173228347" right="0.7086614173228347" top="0.7480314960629921" bottom="0.7480314960629921" header="0.3149606299212598" footer="0.3149606299212598"/>
  <pageSetup orientation="portrait" scale="18"/>
  <rowBreaks count="1" manualBreakCount="1">
    <brk id="241" min="1" max="20" man="1"/>
  </rowBreak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2019-11-13T17:33:36Z</dcterms:created>
  <dcterms:modified xmlns:dcterms="http://purl.org/dc/terms/" xmlns:xsi="http://www.w3.org/2001/XMLSchema-instance" xsi:type="dcterms:W3CDTF">2025-12-29T00:55:51Z</dcterms:modified>
</cp:coreProperties>
</file>