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353" windowWidth="28996" windowHeight="15944" tabRatio="600" firstSheet="0" activeTab="3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\$#,##0.00"/>
  </numFmts>
  <fonts count="1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1"/>
    </font>
    <font>
      <name val="Calibri"/>
      <color rgb="FF0000FF"/>
      <sz val="11"/>
    </font>
    <font>
      <name val="Calibri"/>
      <i val="1"/>
      <sz val="11"/>
    </font>
    <font>
      <name val="Calibri"/>
      <color rgb="FF000000"/>
      <sz val="11"/>
    </font>
    <font>
      <name val="Calibri"/>
      <i val="1"/>
      <color rgb="FF666666"/>
      <sz val="11"/>
    </font>
    <font>
      <name val="Calibri"/>
      <b val="1"/>
      <sz val="11"/>
    </font>
    <font>
      <name val="Calibri"/>
      <color rgb="FFFF0000"/>
      <sz val="11"/>
    </font>
    <font>
      <name val="Calibri"/>
      <family val="2"/>
      <color rgb="FF00B050"/>
      <sz val="11"/>
      <scheme val="minor"/>
    </font>
    <font>
      <name val="Calibri"/>
      <family val="2"/>
      <color rgb="FF00B050"/>
      <sz val="11"/>
    </font>
    <font>
      <name val="Calibri"/>
      <family val="2"/>
      <color rgb="FF0000FF"/>
      <sz val="11"/>
    </font>
    <font>
      <color rgb="00008000"/>
    </font>
  </fonts>
  <fills count="6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CE6F1"/>
      </patternFill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4" fontId="4" fillId="3" borderId="0" pivotButton="0" quotePrefix="0" xfId="0"/>
    <xf numFmtId="1" fontId="4" fillId="3" borderId="0" pivotButton="0" quotePrefix="0" xfId="0"/>
    <xf numFmtId="0" fontId="5" fillId="0" borderId="0" pivotButton="0" quotePrefix="0" xfId="0"/>
    <xf numFmtId="0" fontId="3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165" fontId="0" fillId="0" borderId="0" pivotButton="0" quotePrefix="0" xfId="0"/>
    <xf numFmtId="41" fontId="0" fillId="0" borderId="0" pivotButton="0" quotePrefix="0" xfId="0"/>
    <xf numFmtId="41" fontId="4" fillId="0" borderId="0" pivotButton="0" quotePrefix="0" xfId="0"/>
    <xf numFmtId="41" fontId="6" fillId="0" borderId="0" pivotButton="0" quotePrefix="0" xfId="0"/>
    <xf numFmtId="41" fontId="3" fillId="4" borderId="0" pivotButton="0" quotePrefix="0" xfId="0"/>
    <xf numFmtId="41" fontId="8" fillId="4" borderId="0" pivotButton="0" quotePrefix="0" xfId="0"/>
    <xf numFmtId="41" fontId="3" fillId="0" borderId="0" pivotButton="0" quotePrefix="0" xfId="0"/>
    <xf numFmtId="41" fontId="3" fillId="0" borderId="1" pivotButton="0" quotePrefix="0" xfId="0"/>
    <xf numFmtId="41" fontId="9" fillId="0" borderId="0" pivotButton="0" quotePrefix="0" xfId="0"/>
    <xf numFmtId="41" fontId="10" fillId="0" borderId="0" pivotButton="0" quotePrefix="0" xfId="0"/>
    <xf numFmtId="41" fontId="6" fillId="5" borderId="0" pivotButton="0" quotePrefix="0" xfId="0"/>
    <xf numFmtId="41" fontId="11" fillId="0" borderId="0" pivotButton="0" quotePrefix="0" xfId="0"/>
    <xf numFmtId="41" fontId="12" fillId="0" borderId="0" pivotButton="0" quotePrefix="0" xfId="0"/>
    <xf numFmtId="41" fontId="11" fillId="5" borderId="0" pivotButton="0" quotePrefix="0" xfId="0"/>
    <xf numFmtId="41" fontId="8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41" fontId="13" fillId="0" borderId="0" pivotButton="0" quotePrefix="0" xfId="0"/>
    <xf numFmtId="41" fontId="13" fillId="0" borderId="1" pivotButton="0" quotePrefix="0" xfId="0"/>
    <xf numFmtId="41" fontId="13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:E1"/>
    </sheetView>
  </sheetViews>
  <sheetFormatPr baseColWidth="8" defaultRowHeight="14.25"/>
  <cols>
    <col width="30" customWidth="1" style="26" min="1" max="1"/>
    <col width="14" customWidth="1" style="26" min="2" max="7"/>
  </cols>
  <sheetData>
    <row r="1" ht="18" customHeight="1" s="26">
      <c r="A1" s="25" t="inlineStr">
        <is>
          <t>3S Model Drivers</t>
        </is>
      </c>
    </row>
    <row r="2" ht="15.75" customHeight="1" s="26">
      <c r="A2" s="1" t="inlineStr">
        <is>
          <t>Assumptions &amp; Drivers</t>
        </is>
      </c>
    </row>
    <row r="4">
      <c r="A4" s="2" t="inlineStr">
        <is>
          <t>Fiscal Year</t>
        </is>
      </c>
      <c r="B4" s="2" t="inlineStr">
        <is>
          <t>FY2023</t>
        </is>
      </c>
      <c r="C4" s="2" t="inlineStr">
        <is>
          <t>FY2024</t>
        </is>
      </c>
      <c r="D4" s="2" t="inlineStr">
        <is>
          <t>FY2025</t>
        </is>
      </c>
      <c r="E4" s="2" t="inlineStr">
        <is>
          <t>FY2026E</t>
        </is>
      </c>
      <c r="F4" s="2" t="inlineStr">
        <is>
          <t>FY2027E</t>
        </is>
      </c>
      <c r="G4" s="2" t="inlineStr">
        <is>
          <t>FY2028E</t>
        </is>
      </c>
    </row>
    <row r="6" ht="15.75" customHeight="1" s="26">
      <c r="A6" s="1" t="inlineStr">
        <is>
          <t>Revenue Growth Assumptions</t>
        </is>
      </c>
    </row>
    <row r="7">
      <c r="A7" t="inlineStr">
        <is>
          <t>Revenue Growth Rate</t>
        </is>
      </c>
      <c r="C7" s="3" t="n"/>
      <c r="D7" s="3" t="n"/>
      <c r="E7" s="4" t="n">
        <v>0.25</v>
      </c>
      <c r="F7" s="4" t="n">
        <v>0.2</v>
      </c>
      <c r="G7" s="4" t="n">
        <v>0.15</v>
      </c>
    </row>
    <row r="9" ht="15.75" customHeight="1" s="26">
      <c r="A9" s="1" t="inlineStr">
        <is>
          <t>Margin Assumptions</t>
        </is>
      </c>
    </row>
    <row r="10">
      <c r="A10" t="inlineStr">
        <is>
          <t>Gross Margin</t>
        </is>
      </c>
      <c r="E10" s="4" t="n">
        <v>0.73</v>
      </c>
      <c r="F10" s="4" t="n">
        <v>0.72</v>
      </c>
      <c r="G10" s="4" t="n">
        <v>0.71</v>
      </c>
    </row>
    <row r="11">
      <c r="A11" t="inlineStr">
        <is>
          <t>R&amp;D as % of Revenue</t>
        </is>
      </c>
      <c r="E11" s="4" t="n">
        <v>0.1</v>
      </c>
      <c r="F11" s="4" t="n">
        <v>0.1</v>
      </c>
      <c r="G11" s="4" t="n">
        <v>0.1</v>
      </c>
    </row>
    <row r="12">
      <c r="A12" t="inlineStr">
        <is>
          <t>SG&amp;A as % of Revenue</t>
        </is>
      </c>
      <c r="E12" s="4" t="n">
        <v>0.03</v>
      </c>
      <c r="F12" s="4" t="n">
        <v>0.03</v>
      </c>
      <c r="G12" s="4" t="n">
        <v>0.03</v>
      </c>
    </row>
    <row r="14" ht="15.75" customHeight="1" s="26">
      <c r="A14" s="1" t="inlineStr">
        <is>
          <t>Other Assumptions</t>
        </is>
      </c>
    </row>
    <row r="15">
      <c r="A15" t="inlineStr">
        <is>
          <t>Effective Tax Rate</t>
        </is>
      </c>
      <c r="E15" s="4" t="n">
        <v>0.12</v>
      </c>
      <c r="F15" s="4" t="n">
        <v>0.13</v>
      </c>
      <c r="G15" s="4" t="n">
        <v>0.14</v>
      </c>
    </row>
    <row r="16">
      <c r="A16" t="inlineStr">
        <is>
          <t>Depreciation as % of PP&amp;E</t>
        </is>
      </c>
      <c r="E16" s="4" t="n">
        <v>0.2</v>
      </c>
      <c r="F16" s="4" t="n">
        <v>0.2</v>
      </c>
      <c r="G16" s="4" t="n">
        <v>0.2</v>
      </c>
    </row>
    <row r="17">
      <c r="A17" t="inlineStr">
        <is>
          <t>CapEx as % of Revenue</t>
        </is>
      </c>
      <c r="E17" s="4" t="n">
        <v>0.02</v>
      </c>
      <c r="F17" s="4" t="n">
        <v>0.02</v>
      </c>
      <c r="G17" s="4" t="n">
        <v>0.02</v>
      </c>
    </row>
    <row r="19" ht="15.75" customHeight="1" s="26">
      <c r="A19" s="1" t="inlineStr">
        <is>
          <t>Working Capital Assumptions</t>
        </is>
      </c>
    </row>
    <row r="20">
      <c r="A20" t="inlineStr">
        <is>
          <t>Days Sales Outstanding (DSO)</t>
        </is>
      </c>
      <c r="E20" s="5" t="n">
        <v>45</v>
      </c>
      <c r="F20" s="5" t="n">
        <v>45</v>
      </c>
      <c r="G20" s="5" t="n">
        <v>45</v>
      </c>
    </row>
    <row r="21">
      <c r="A21" t="inlineStr">
        <is>
          <t>Days Inventory Outstanding (DIO)</t>
        </is>
      </c>
      <c r="E21" s="5" t="n">
        <v>90</v>
      </c>
      <c r="F21" s="5" t="n">
        <v>85</v>
      </c>
      <c r="G21" s="5" t="n">
        <v>80</v>
      </c>
    </row>
    <row r="22">
      <c r="A22" t="inlineStr">
        <is>
          <t>Days Payable Outstanding (DPO)</t>
        </is>
      </c>
      <c r="E22" s="5" t="n">
        <v>30</v>
      </c>
      <c r="F22" s="5" t="n">
        <v>30</v>
      </c>
      <c r="G22" s="5" t="n">
        <v>30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C30" sqref="C30"/>
    </sheetView>
  </sheetViews>
  <sheetFormatPr baseColWidth="8" defaultRowHeight="14.25"/>
  <cols>
    <col width="30" customWidth="1" style="26" min="1" max="1"/>
    <col width="14" customWidth="1" style="26" min="2" max="7"/>
  </cols>
  <sheetData>
    <row r="1" ht="18" customHeight="1" s="26">
      <c r="A1" s="25" t="inlineStr">
        <is>
          <t>Income Statement</t>
        </is>
      </c>
    </row>
    <row r="2">
      <c r="A2" s="6" t="inlineStr">
        <is>
          <t>($ in millions)</t>
        </is>
      </c>
    </row>
    <row r="4">
      <c r="A4" s="2" t="inlineStr">
        <is>
          <t>Fiscal Year</t>
        </is>
      </c>
      <c r="B4" s="2" t="n"/>
      <c r="C4" s="2" t="n"/>
      <c r="D4" s="2" t="inlineStr">
        <is>
          <t>FY2025</t>
        </is>
      </c>
      <c r="E4" s="2" t="inlineStr">
        <is>
          <t>FY2026E</t>
        </is>
      </c>
      <c r="F4" s="2" t="inlineStr">
        <is>
          <t>FY2027E</t>
        </is>
      </c>
      <c r="G4" s="2" t="inlineStr">
        <is>
          <t>FY2028E</t>
        </is>
      </c>
    </row>
    <row r="5">
      <c r="A5" t="inlineStr">
        <is>
          <t>Revenue</t>
        </is>
      </c>
      <c r="B5" s="12" t="n"/>
      <c r="C5" s="12" t="n"/>
      <c r="D5" s="12" t="n">
        <v>130497</v>
      </c>
      <c r="E5" s="13">
        <f>D5*(1+Assumptions!E7)</f>
        <v/>
      </c>
      <c r="F5" s="13">
        <f>E5*(1+Assumptions!F7)</f>
        <v/>
      </c>
      <c r="G5" s="13">
        <f>F5*(1+Assumptions!G7)</f>
        <v/>
      </c>
    </row>
    <row r="6">
      <c r="A6" t="inlineStr">
        <is>
          <t>Cost of Revenue</t>
        </is>
      </c>
      <c r="B6" s="12" t="n"/>
      <c r="C6" s="12" t="n"/>
      <c r="D6" s="12" t="n">
        <v>35312</v>
      </c>
      <c r="E6" s="13">
        <f>E5*(1-Assumptions!E10)</f>
        <v/>
      </c>
      <c r="F6" s="13">
        <f>F5*(1-Assumptions!F10)</f>
        <v/>
      </c>
      <c r="G6" s="13">
        <f>G5*(1-Assumptions!G10)</f>
        <v/>
      </c>
    </row>
    <row r="7">
      <c r="A7" s="7" t="inlineStr">
        <is>
          <t>Gross Profit</t>
        </is>
      </c>
      <c r="B7" s="17" t="n"/>
      <c r="C7" s="17" t="n"/>
      <c r="D7" s="17">
        <f>D5-D6</f>
        <v/>
      </c>
      <c r="E7" s="17">
        <f>E5-E6</f>
        <v/>
      </c>
      <c r="F7" s="17">
        <f>F5-F6</f>
        <v/>
      </c>
      <c r="G7" s="17">
        <f>G5-G6</f>
        <v/>
      </c>
    </row>
    <row r="8">
      <c r="A8" t="inlineStr">
        <is>
          <t>Gross Margin %</t>
        </is>
      </c>
      <c r="B8" s="8" t="n"/>
      <c r="C8" s="8" t="n"/>
      <c r="D8" s="8">
        <f>D7/D5</f>
        <v/>
      </c>
      <c r="E8" s="8">
        <f>E7/E5</f>
        <v/>
      </c>
      <c r="F8" s="8">
        <f>F7/F5</f>
        <v/>
      </c>
      <c r="G8" s="8">
        <f>G7/G5</f>
        <v/>
      </c>
    </row>
    <row r="10">
      <c r="A10" s="7" t="inlineStr">
        <is>
          <t>Operating Expenses:</t>
        </is>
      </c>
    </row>
    <row r="11">
      <c r="A11" t="inlineStr">
        <is>
          <t>Research &amp; Development</t>
        </is>
      </c>
      <c r="B11" s="12" t="n"/>
      <c r="C11" s="12" t="n"/>
      <c r="D11" s="12" t="n">
        <v>12912</v>
      </c>
      <c r="E11" s="13">
        <f>E5*Assumptions!E11</f>
        <v/>
      </c>
      <c r="F11" s="13">
        <f>F5*Assumptions!F11</f>
        <v/>
      </c>
      <c r="G11" s="13">
        <f>G5*Assumptions!G11</f>
        <v/>
      </c>
    </row>
    <row r="12">
      <c r="A12" t="inlineStr">
        <is>
          <t>Selling, General &amp; Admin</t>
        </is>
      </c>
      <c r="B12" s="12" t="n"/>
      <c r="C12" s="12" t="n"/>
      <c r="D12" s="12" t="n">
        <v>3667</v>
      </c>
      <c r="E12" s="13">
        <f>E5*Assumptions!E12</f>
        <v/>
      </c>
      <c r="F12" s="13">
        <f>F5*Assumptions!F12</f>
        <v/>
      </c>
      <c r="G12" s="13">
        <f>G5*Assumptions!G12</f>
        <v/>
      </c>
    </row>
    <row r="13">
      <c r="A13" s="7" t="inlineStr">
        <is>
          <t>Total Operating Expenses</t>
        </is>
      </c>
      <c r="B13" s="17" t="n"/>
      <c r="C13" s="17" t="n"/>
      <c r="D13" s="17">
        <f>D11+D12</f>
        <v/>
      </c>
      <c r="E13" s="17">
        <f>E11+E12</f>
        <v/>
      </c>
      <c r="F13" s="17">
        <f>F11+F12</f>
        <v/>
      </c>
      <c r="G13" s="17">
        <f>G11+G12</f>
        <v/>
      </c>
    </row>
    <row r="14">
      <c r="B14" s="11" t="n"/>
      <c r="C14" s="11" t="n"/>
      <c r="D14" s="11" t="n"/>
      <c r="E14" s="11" t="n"/>
      <c r="F14" s="11" t="n"/>
      <c r="G14" s="11" t="n"/>
    </row>
    <row r="15">
      <c r="A15" s="7" t="inlineStr">
        <is>
          <t>Operating Income (EBIT)</t>
        </is>
      </c>
      <c r="B15" s="16" t="n"/>
      <c r="C15" s="16" t="n"/>
      <c r="D15" s="16">
        <f>D7-D13</f>
        <v/>
      </c>
      <c r="E15" s="16">
        <f>E7-E13</f>
        <v/>
      </c>
      <c r="F15" s="16">
        <f>F7-F13</f>
        <v/>
      </c>
      <c r="G15" s="16">
        <f>G7-G13</f>
        <v/>
      </c>
    </row>
    <row r="16">
      <c r="A16" t="inlineStr">
        <is>
          <t>Operating Margin %</t>
        </is>
      </c>
      <c r="B16" s="8" t="n"/>
      <c r="C16" s="8" t="n"/>
      <c r="D16" s="8">
        <f>D15/D5</f>
        <v/>
      </c>
      <c r="E16" s="8">
        <f>E15/E5</f>
        <v/>
      </c>
      <c r="F16" s="8">
        <f>F15/F5</f>
        <v/>
      </c>
      <c r="G16" s="8">
        <f>G15/G5</f>
        <v/>
      </c>
    </row>
    <row r="18">
      <c r="A18" t="inlineStr">
        <is>
          <t>Interest Income (Expense), net</t>
        </is>
      </c>
      <c r="B18" s="12" t="n"/>
      <c r="C18" s="12" t="n"/>
      <c r="D18" s="12" t="n">
        <v>1500</v>
      </c>
      <c r="E18" s="12" t="n">
        <v>1800</v>
      </c>
      <c r="F18" s="12" t="n">
        <v>2000</v>
      </c>
      <c r="G18" s="12" t="n">
        <v>2200</v>
      </c>
    </row>
    <row r="19">
      <c r="A19" t="inlineStr">
        <is>
          <t>Other Income (Expense)</t>
        </is>
      </c>
      <c r="B19" s="12" t="n"/>
      <c r="C19" s="12" t="n"/>
      <c r="D19" s="12" t="n">
        <v>500</v>
      </c>
      <c r="E19" s="12" t="n">
        <v>400</v>
      </c>
      <c r="F19" s="12" t="n">
        <v>400</v>
      </c>
      <c r="G19" s="12" t="n">
        <v>400</v>
      </c>
    </row>
    <row r="20">
      <c r="B20" s="11" t="n"/>
      <c r="C20" s="11" t="n"/>
      <c r="D20" s="11" t="n"/>
      <c r="E20" s="11" t="n"/>
      <c r="F20" s="11" t="n"/>
      <c r="G20" s="11" t="n"/>
    </row>
    <row r="21">
      <c r="A21" s="7" t="inlineStr">
        <is>
          <t>Income Before Taxes</t>
        </is>
      </c>
      <c r="B21" s="16" t="n"/>
      <c r="C21" s="16" t="n"/>
      <c r="D21" s="16">
        <f>D15+D18+D19</f>
        <v/>
      </c>
      <c r="E21" s="16">
        <f>E15+E18+E19</f>
        <v/>
      </c>
      <c r="F21" s="16">
        <f>F15+F18+F19</f>
        <v/>
      </c>
      <c r="G21" s="16">
        <f>G15+G18+G19</f>
        <v/>
      </c>
    </row>
    <row r="22">
      <c r="A22" t="inlineStr">
        <is>
          <t>Income Tax Expense</t>
        </is>
      </c>
      <c r="B22" s="12" t="n"/>
      <c r="C22" s="12" t="n"/>
      <c r="D22" s="12" t="n">
        <v>-8935</v>
      </c>
      <c r="E22" s="13">
        <f>-E21*Assumptions!E15</f>
        <v/>
      </c>
      <c r="F22" s="13">
        <f>-F21*Assumptions!F15</f>
        <v/>
      </c>
      <c r="G22" s="13">
        <f>-G21*Assumptions!G15</f>
        <v/>
      </c>
    </row>
    <row r="23">
      <c r="B23" s="11" t="n"/>
      <c r="C23" s="11" t="n"/>
      <c r="D23" s="11" t="n"/>
      <c r="E23" s="11" t="n"/>
      <c r="F23" s="11" t="n"/>
      <c r="G23" s="11" t="n"/>
    </row>
    <row r="24">
      <c r="A24" s="9" t="inlineStr">
        <is>
          <t>Net Income</t>
        </is>
      </c>
      <c r="B24" s="15" t="n"/>
      <c r="C24" s="15" t="n"/>
      <c r="D24" s="15">
        <f>D21+D22</f>
        <v/>
      </c>
      <c r="E24" s="15">
        <f>E21+E22</f>
        <v/>
      </c>
      <c r="F24" s="15">
        <f>F21+F22</f>
        <v/>
      </c>
      <c r="G24" s="15">
        <f>G21+G22</f>
        <v/>
      </c>
    </row>
    <row r="25">
      <c r="A25" t="inlineStr">
        <is>
          <t>Net Margin %</t>
        </is>
      </c>
      <c r="B25" s="8" t="n"/>
      <c r="C25" s="8" t="n"/>
      <c r="D25" s="8">
        <f>D24/D5</f>
        <v/>
      </c>
      <c r="E25" s="8">
        <f>E24/E5</f>
        <v/>
      </c>
      <c r="F25" s="8">
        <f>F24/F5</f>
        <v/>
      </c>
      <c r="G25" s="8">
        <f>G24/G5</f>
        <v/>
      </c>
    </row>
    <row r="27">
      <c r="A27" t="inlineStr">
        <is>
          <t>Shares Outstanding (millions)</t>
        </is>
      </c>
      <c r="B27" s="12" t="n"/>
      <c r="C27" s="12" t="n"/>
      <c r="D27" s="12" t="n">
        <v>24610</v>
      </c>
      <c r="E27" s="12" t="n">
        <v>24500</v>
      </c>
      <c r="F27" s="12" t="n">
        <v>24400</v>
      </c>
      <c r="G27" s="12" t="n">
        <v>24300</v>
      </c>
    </row>
    <row r="28">
      <c r="A28" t="inlineStr">
        <is>
          <t>Earnings Per Share (EPS)</t>
        </is>
      </c>
      <c r="B28" s="10" t="n"/>
      <c r="C28" s="10" t="n"/>
      <c r="D28" s="10">
        <f>D24/D27</f>
        <v/>
      </c>
      <c r="E28" s="10">
        <f>E24/E27</f>
        <v/>
      </c>
      <c r="F28" s="10">
        <f>F24/F27</f>
        <v/>
      </c>
      <c r="G28" s="10">
        <f>G24/G27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selection activeCell="C20" sqref="C20"/>
    </sheetView>
  </sheetViews>
  <sheetFormatPr baseColWidth="8" defaultRowHeight="14.25"/>
  <cols>
    <col width="30" customWidth="1" style="26" min="1" max="1"/>
    <col width="14" customWidth="1" style="26" min="2" max="7"/>
  </cols>
  <sheetData>
    <row r="1" ht="18" customHeight="1" s="26">
      <c r="A1" s="25" t="inlineStr">
        <is>
          <t>Balance Sheet</t>
        </is>
      </c>
    </row>
    <row r="2">
      <c r="A2" s="6" t="inlineStr">
        <is>
          <t>($ in millions)</t>
        </is>
      </c>
    </row>
    <row r="4">
      <c r="A4" s="2" t="inlineStr">
        <is>
          <t>Fiscal Year</t>
        </is>
      </c>
      <c r="B4" s="2" t="n"/>
      <c r="C4" s="2" t="n"/>
      <c r="D4" s="2" t="inlineStr">
        <is>
          <t>FY2025</t>
        </is>
      </c>
      <c r="E4" s="2" t="inlineStr">
        <is>
          <t>FY2026E</t>
        </is>
      </c>
      <c r="F4" s="2" t="inlineStr">
        <is>
          <t>FY2027E</t>
        </is>
      </c>
      <c r="G4" s="2" t="inlineStr">
        <is>
          <t>FY2028E</t>
        </is>
      </c>
    </row>
    <row r="5" ht="15.75" customHeight="1" s="26">
      <c r="A5" s="1" t="inlineStr">
        <is>
          <t>ASSETS</t>
        </is>
      </c>
    </row>
    <row r="6">
      <c r="A6" s="7" t="inlineStr">
        <is>
          <t>Current Assets:</t>
        </is>
      </c>
      <c r="C6" s="12" t="n"/>
      <c r="D6" s="12" t="n"/>
    </row>
    <row r="7">
      <c r="A7" t="inlineStr">
        <is>
          <t>Cash &amp; Cash Equivalents</t>
        </is>
      </c>
      <c r="B7" s="12" t="n"/>
      <c r="C7" s="12" t="n"/>
      <c r="D7" s="27">
        <f>Cash Flow!D27</f>
        <v/>
      </c>
      <c r="E7" s="21">
        <f>+'Cash Flow'!E27</f>
        <v/>
      </c>
      <c r="F7" s="21">
        <f>+'Cash Flow'!F27</f>
        <v/>
      </c>
      <c r="G7" s="21">
        <f>+'Cash Flow'!G27</f>
        <v/>
      </c>
    </row>
    <row r="8">
      <c r="A8" t="inlineStr">
        <is>
          <t>Short-term Investments</t>
        </is>
      </c>
      <c r="B8" s="12" t="n"/>
      <c r="C8" s="12" t="n"/>
      <c r="D8" s="12" t="n">
        <v>34255</v>
      </c>
      <c r="E8" s="12">
        <f>+D8</f>
        <v/>
      </c>
      <c r="F8" s="12">
        <f>+E8</f>
        <v/>
      </c>
      <c r="G8" s="12">
        <f>+F8</f>
        <v/>
      </c>
    </row>
    <row r="9">
      <c r="A9" t="inlineStr">
        <is>
          <t>Accounts Receivable</t>
        </is>
      </c>
      <c r="B9" s="12" t="n"/>
      <c r="C9" s="12" t="n"/>
      <c r="D9" s="12" t="n">
        <v>17693</v>
      </c>
      <c r="E9" s="20" t="n"/>
      <c r="F9" s="20" t="n"/>
      <c r="G9" s="20" t="n"/>
    </row>
    <row r="10">
      <c r="A10" t="inlineStr">
        <is>
          <t>Inventories</t>
        </is>
      </c>
      <c r="B10" s="12" t="n"/>
      <c r="C10" s="12" t="n"/>
      <c r="D10" s="12" t="n">
        <v>8669</v>
      </c>
      <c r="E10" s="20" t="n"/>
      <c r="F10" s="20" t="n"/>
      <c r="G10" s="20" t="n"/>
    </row>
    <row r="11">
      <c r="A11" t="inlineStr">
        <is>
          <t>Other Current Assets</t>
        </is>
      </c>
      <c r="B11" s="12" t="n"/>
      <c r="C11" s="12" t="n"/>
      <c r="D11" s="12" t="n">
        <v>2468</v>
      </c>
      <c r="E11" s="12">
        <f>+D11</f>
        <v/>
      </c>
      <c r="F11" s="12">
        <f>+E11</f>
        <v/>
      </c>
      <c r="G11" s="12">
        <f>+F11</f>
        <v/>
      </c>
    </row>
    <row r="12">
      <c r="A12" s="7" t="inlineStr">
        <is>
          <t>Total Current Assets</t>
        </is>
      </c>
      <c r="B12" s="17" t="n"/>
      <c r="C12" s="17" t="n"/>
      <c r="D12" s="17">
        <f>SUM(D7:D11)</f>
        <v/>
      </c>
      <c r="E12" s="17">
        <f>SUM(E7:E11)</f>
        <v/>
      </c>
      <c r="F12" s="17">
        <f>SUM(F7:F11)</f>
        <v/>
      </c>
      <c r="G12" s="17">
        <f>SUM(G7:G11)</f>
        <v/>
      </c>
    </row>
    <row r="13">
      <c r="B13" s="11" t="n"/>
      <c r="C13" s="11" t="n"/>
      <c r="D13" s="11" t="n"/>
      <c r="E13" s="11" t="n"/>
      <c r="F13" s="11" t="n"/>
      <c r="G13" s="11" t="n"/>
    </row>
    <row r="14">
      <c r="A14" s="7" t="inlineStr">
        <is>
          <t>Non-Current Assets:</t>
        </is>
      </c>
      <c r="B14" s="11" t="n"/>
      <c r="C14" s="11" t="n"/>
      <c r="D14" s="11" t="n"/>
      <c r="E14" s="11" t="n"/>
      <c r="F14" s="11" t="n"/>
      <c r="G14" s="11" t="n"/>
    </row>
    <row r="15">
      <c r="A15" t="inlineStr">
        <is>
          <t>Property, Plant &amp; Equipment, net</t>
        </is>
      </c>
      <c r="B15" s="12" t="n"/>
      <c r="C15" s="12" t="n"/>
      <c r="D15" s="12" t="n">
        <v>5769</v>
      </c>
      <c r="E15" s="20" t="n"/>
      <c r="F15" s="20" t="n"/>
      <c r="G15" s="20" t="n"/>
    </row>
    <row r="16">
      <c r="A16" t="inlineStr">
        <is>
          <t>Goodwill &amp; Intangibles</t>
        </is>
      </c>
      <c r="B16" s="12" t="n"/>
      <c r="C16" s="12" t="n"/>
      <c r="D16" s="12" t="n">
        <v>4943</v>
      </c>
      <c r="E16" s="12">
        <f>+D16</f>
        <v/>
      </c>
      <c r="F16" s="12">
        <f>+E16</f>
        <v/>
      </c>
      <c r="G16" s="12">
        <f>+F16</f>
        <v/>
      </c>
    </row>
    <row r="17">
      <c r="A17" t="inlineStr">
        <is>
          <t>Other Non-Current Assets</t>
        </is>
      </c>
      <c r="B17" s="12" t="n"/>
      <c r="C17" s="12" t="n"/>
      <c r="D17" s="12" t="n">
        <v>21946</v>
      </c>
      <c r="E17" s="12">
        <f>+D17</f>
        <v/>
      </c>
      <c r="F17" s="12">
        <f>+E17</f>
        <v/>
      </c>
      <c r="G17" s="12">
        <f>+F17</f>
        <v/>
      </c>
    </row>
    <row r="18">
      <c r="A18" s="7" t="inlineStr">
        <is>
          <t>Total Non-Current Assets</t>
        </is>
      </c>
      <c r="B18" s="17" t="n"/>
      <c r="C18" s="17" t="n"/>
      <c r="D18" s="17">
        <f>SUM(D15:D17)</f>
        <v/>
      </c>
      <c r="E18" s="17">
        <f>SUM(E15:E17)</f>
        <v/>
      </c>
      <c r="F18" s="17">
        <f>SUM(F15:F17)</f>
        <v/>
      </c>
      <c r="G18" s="17">
        <f>SUM(G15:G17)</f>
        <v/>
      </c>
    </row>
    <row r="19">
      <c r="B19" s="11" t="n"/>
      <c r="C19" s="11" t="n"/>
      <c r="D19" s="11" t="n"/>
      <c r="E19" s="11" t="n"/>
      <c r="F19" s="11" t="n"/>
      <c r="G19" s="11" t="n"/>
    </row>
    <row r="20">
      <c r="A20" s="9" t="inlineStr">
        <is>
          <t>TOTAL ASSETS</t>
        </is>
      </c>
      <c r="B20" s="15" t="n"/>
      <c r="C20" s="15" t="n"/>
      <c r="D20" s="15">
        <f>D12+D18</f>
        <v/>
      </c>
      <c r="E20" s="24">
        <f>E12+E18</f>
        <v/>
      </c>
      <c r="F20" s="24">
        <f>F12+F18</f>
        <v/>
      </c>
      <c r="G20" s="24">
        <f>G12+G18</f>
        <v/>
      </c>
    </row>
    <row r="21">
      <c r="B21" s="11" t="n"/>
      <c r="C21" s="11" t="n"/>
      <c r="D21" s="11" t="n"/>
      <c r="E21" s="11" t="n"/>
      <c r="F21" s="11" t="n"/>
      <c r="G21" s="11" t="n"/>
    </row>
    <row r="22" ht="15.75" customHeight="1" s="26">
      <c r="A22" s="1" t="inlineStr">
        <is>
          <t>LIABILITIES &amp; EQUITY</t>
        </is>
      </c>
      <c r="B22" s="11" t="n"/>
      <c r="C22" s="11" t="n"/>
      <c r="D22" s="11" t="n"/>
      <c r="E22" s="11" t="n"/>
      <c r="F22" s="11" t="n"/>
      <c r="G22" s="11" t="n"/>
    </row>
    <row r="23">
      <c r="A23" s="7" t="inlineStr">
        <is>
          <t>Current Liabilities:</t>
        </is>
      </c>
      <c r="B23" s="11" t="n"/>
      <c r="C23" s="11" t="n"/>
      <c r="D23" s="11" t="n"/>
      <c r="E23" s="11" t="n"/>
      <c r="F23" s="11" t="n"/>
      <c r="G23" s="11" t="n"/>
    </row>
    <row r="24">
      <c r="A24" t="inlineStr">
        <is>
          <t>Accounts Payable</t>
        </is>
      </c>
      <c r="B24" s="12" t="n"/>
      <c r="C24" s="12" t="n"/>
      <c r="D24" s="12" t="n">
        <v>3546</v>
      </c>
      <c r="E24" s="20" t="n"/>
      <c r="F24" s="20" t="n"/>
      <c r="G24" s="20" t="n"/>
    </row>
    <row r="25">
      <c r="A25" t="inlineStr">
        <is>
          <t>Accrued Liabilities</t>
        </is>
      </c>
      <c r="B25" s="12" t="n"/>
      <c r="C25" s="12" t="n"/>
      <c r="D25" s="12" t="n">
        <v>13709</v>
      </c>
      <c r="E25" s="12">
        <f>+D25</f>
        <v/>
      </c>
      <c r="F25" s="12">
        <f>+E25</f>
        <v/>
      </c>
      <c r="G25" s="12">
        <f>+F25</f>
        <v/>
      </c>
    </row>
    <row r="26">
      <c r="A26" t="inlineStr">
        <is>
          <t>Deferred Revenue</t>
        </is>
      </c>
      <c r="B26" s="12" t="n"/>
      <c r="C26" s="12" t="n"/>
      <c r="D26" s="12" t="n">
        <v>985</v>
      </c>
      <c r="E26" s="12">
        <f>+D26</f>
        <v/>
      </c>
      <c r="F26" s="12">
        <f>+E26</f>
        <v/>
      </c>
      <c r="G26" s="12">
        <f>+F26</f>
        <v/>
      </c>
    </row>
    <row r="27">
      <c r="A27" t="inlineStr">
        <is>
          <t>Short-term Debt</t>
        </is>
      </c>
      <c r="B27" s="12" t="n"/>
      <c r="C27" s="12" t="n"/>
      <c r="D27" s="12" t="n">
        <v>99</v>
      </c>
      <c r="E27" s="12" t="n">
        <v>100</v>
      </c>
      <c r="F27" s="12" t="n">
        <v>100</v>
      </c>
      <c r="G27" s="12" t="n">
        <v>100</v>
      </c>
      <c r="H27" s="22" t="n"/>
    </row>
    <row r="28">
      <c r="A28" s="7" t="inlineStr">
        <is>
          <t>Total Current Liabilities</t>
        </is>
      </c>
      <c r="B28" s="17" t="n"/>
      <c r="C28" s="17" t="n"/>
      <c r="D28" s="17">
        <f>SUM(D24:D27)</f>
        <v/>
      </c>
      <c r="E28" s="17">
        <f>SUM(E24:E27)</f>
        <v/>
      </c>
      <c r="F28" s="17">
        <f>SUM(F24:F27)</f>
        <v/>
      </c>
      <c r="G28" s="17">
        <f>SUM(G24:G27)</f>
        <v/>
      </c>
    </row>
    <row r="29">
      <c r="B29" s="11" t="n"/>
      <c r="C29" s="11" t="n"/>
      <c r="D29" s="11" t="n"/>
      <c r="E29" s="11" t="n"/>
      <c r="F29" s="11" t="n"/>
      <c r="G29" s="11" t="n"/>
    </row>
    <row r="30">
      <c r="A30" s="7" t="inlineStr">
        <is>
          <t>Non-Current Liabilities:</t>
        </is>
      </c>
      <c r="B30" s="11" t="n"/>
      <c r="C30" s="11" t="n"/>
      <c r="D30" s="11" t="n"/>
      <c r="E30" s="11" t="n"/>
      <c r="F30" s="11" t="n"/>
      <c r="G30" s="11" t="n"/>
    </row>
    <row r="31">
      <c r="A31" t="inlineStr">
        <is>
          <t>Long-term Debt</t>
        </is>
      </c>
      <c r="B31" s="12" t="n"/>
      <c r="C31" s="12" t="n"/>
      <c r="D31" s="12" t="n">
        <v>8458</v>
      </c>
      <c r="E31" s="12" t="n">
        <v>8000</v>
      </c>
      <c r="F31" s="12" t="n">
        <v>7500</v>
      </c>
      <c r="G31" s="12" t="n">
        <v>7000</v>
      </c>
      <c r="H31" s="22" t="n"/>
    </row>
    <row r="32">
      <c r="A32" t="inlineStr">
        <is>
          <t>Other Non-Current Liabilities</t>
        </is>
      </c>
      <c r="B32" s="12" t="n"/>
      <c r="C32" s="12" t="n"/>
      <c r="D32" s="12" t="n">
        <v>3719</v>
      </c>
      <c r="E32" s="12">
        <f>+D32</f>
        <v/>
      </c>
      <c r="F32" s="12">
        <f>+E32</f>
        <v/>
      </c>
      <c r="G32" s="12">
        <f>+F32</f>
        <v/>
      </c>
    </row>
    <row r="33">
      <c r="A33" s="7" t="inlineStr">
        <is>
          <t>Total Non-Current Liabilities</t>
        </is>
      </c>
      <c r="B33" s="17" t="n"/>
      <c r="C33" s="17" t="n"/>
      <c r="D33" s="17">
        <f>D31+D32</f>
        <v/>
      </c>
      <c r="E33" s="17">
        <f>E31+E32</f>
        <v/>
      </c>
      <c r="F33" s="17">
        <f>F31+F32</f>
        <v/>
      </c>
      <c r="G33" s="17">
        <f>G31+G32</f>
        <v/>
      </c>
    </row>
    <row r="34">
      <c r="B34" s="11" t="n"/>
      <c r="C34" s="11" t="n"/>
      <c r="D34" s="11" t="n"/>
      <c r="E34" s="11" t="n"/>
      <c r="F34" s="11" t="n"/>
      <c r="G34" s="11" t="n"/>
    </row>
    <row r="35">
      <c r="A35" s="7" t="inlineStr">
        <is>
          <t>Total Liabilities</t>
        </is>
      </c>
      <c r="B35" s="16" t="n"/>
      <c r="C35" s="16" t="n"/>
      <c r="D35" s="27">
        <f>SUM(D28:D34)</f>
        <v/>
      </c>
      <c r="E35" s="16">
        <f>E28+E33</f>
        <v/>
      </c>
      <c r="F35" s="16">
        <f>F28+F33</f>
        <v/>
      </c>
      <c r="G35" s="16">
        <f>G28+G33</f>
        <v/>
      </c>
    </row>
    <row r="36">
      <c r="B36" s="11" t="n"/>
      <c r="C36" s="11" t="n"/>
      <c r="D36" s="11" t="n"/>
      <c r="E36" s="11" t="n"/>
      <c r="F36" s="11" t="n"/>
      <c r="G36" s="11" t="n"/>
    </row>
    <row r="37">
      <c r="A37" s="7" t="inlineStr">
        <is>
          <t>Shareholders' Equity:</t>
        </is>
      </c>
      <c r="B37" s="11" t="n"/>
      <c r="C37" s="11" t="n"/>
      <c r="D37" s="11" t="n"/>
      <c r="E37" s="11" t="n"/>
      <c r="F37" s="11" t="n"/>
      <c r="G37" s="11" t="n"/>
    </row>
    <row r="38">
      <c r="A38" t="inlineStr">
        <is>
          <t>Common Stock &amp; APIC</t>
        </is>
      </c>
      <c r="B38" s="12" t="n"/>
      <c r="C38" s="12" t="n"/>
      <c r="D38" s="12" t="n">
        <v>16377</v>
      </c>
      <c r="E38" s="20" t="n"/>
      <c r="F38" s="20" t="n"/>
      <c r="G38" s="20" t="n"/>
      <c r="J38" s="12" t="n"/>
      <c r="K38" s="12" t="n"/>
      <c r="L38" s="12" t="n"/>
    </row>
    <row r="39">
      <c r="A39" t="inlineStr">
        <is>
          <t>Retained Earnings</t>
        </is>
      </c>
      <c r="B39" s="12" t="n"/>
      <c r="C39" s="12" t="n"/>
      <c r="D39" s="12" t="n">
        <v>154544</v>
      </c>
      <c r="E39" s="20" t="n"/>
      <c r="F39" s="20" t="n"/>
      <c r="G39" s="20" t="n"/>
    </row>
    <row r="40">
      <c r="A40" t="inlineStr">
        <is>
          <t>AOCI &amp; Other</t>
        </is>
      </c>
      <c r="B40" s="12" t="n"/>
      <c r="C40" s="12" t="n"/>
      <c r="D40" s="12" t="n">
        <v>-67</v>
      </c>
      <c r="E40" s="12">
        <f>+D40</f>
        <v/>
      </c>
      <c r="F40" s="12">
        <f>+E40</f>
        <v/>
      </c>
      <c r="G40" s="12">
        <f>+F40</f>
        <v/>
      </c>
    </row>
    <row r="41">
      <c r="A41" s="7" t="inlineStr">
        <is>
          <t>Total Shareholders' Equity</t>
        </is>
      </c>
      <c r="B41" s="17" t="n"/>
      <c r="C41" s="17" t="n"/>
      <c r="D41" s="28">
        <f>SUM(D36:D40)</f>
        <v/>
      </c>
      <c r="E41" s="17">
        <f>SUM(E38:E40)</f>
        <v/>
      </c>
      <c r="F41" s="17">
        <f>SUM(F38:F40)</f>
        <v/>
      </c>
      <c r="G41" s="17">
        <f>SUM(G38:G40)</f>
        <v/>
      </c>
    </row>
    <row r="42">
      <c r="B42" s="11" t="n"/>
      <c r="C42" s="11" t="n"/>
      <c r="D42" s="11" t="n"/>
      <c r="E42" s="11" t="n"/>
      <c r="F42" s="11" t="n"/>
      <c r="G42" s="11" t="n"/>
    </row>
    <row r="43">
      <c r="A43" t="inlineStr">
        <is>
          <t>Dividends &amp; Buybacks (estimate)</t>
        </is>
      </c>
      <c r="B43" s="11" t="n"/>
      <c r="C43" s="11" t="n"/>
      <c r="D43" s="11" t="n"/>
      <c r="E43" s="12" t="n">
        <v>15000</v>
      </c>
      <c r="F43" s="12" t="n">
        <v>18000</v>
      </c>
      <c r="G43" s="12" t="n">
        <v>20000</v>
      </c>
    </row>
    <row r="44">
      <c r="B44" s="11" t="n"/>
      <c r="C44" s="11" t="n"/>
      <c r="D44" s="11" t="n"/>
      <c r="E44" s="11" t="n"/>
      <c r="F44" s="11" t="n"/>
      <c r="G44" s="11" t="n"/>
    </row>
    <row r="45">
      <c r="A45" s="9" t="inlineStr">
        <is>
          <t>TOTAL LIABILITIES &amp; EQUITY</t>
        </is>
      </c>
      <c r="B45" s="15" t="n"/>
      <c r="C45" s="15" t="n"/>
      <c r="D45" s="15">
        <f>D35+D41</f>
        <v/>
      </c>
      <c r="E45" s="24">
        <f>E35+E41</f>
        <v/>
      </c>
      <c r="F45" s="24">
        <f>F35+F41</f>
        <v/>
      </c>
      <c r="G45" s="24">
        <f>G35+G41</f>
        <v/>
      </c>
    </row>
    <row r="46">
      <c r="B46" s="11" t="n"/>
      <c r="C46" s="11" t="n"/>
      <c r="D46" s="11" t="n"/>
      <c r="E46" s="11" t="n"/>
      <c r="F46" s="11" t="n"/>
      <c r="G46" s="11" t="n"/>
    </row>
    <row r="47">
      <c r="A47" t="inlineStr">
        <is>
          <t>Balance Check (Assets - L&amp;E)</t>
        </is>
      </c>
      <c r="B47" s="18" t="n"/>
      <c r="C47" s="18" t="n"/>
      <c r="D47" s="18">
        <f>D20-D45</f>
        <v/>
      </c>
      <c r="E47" s="18">
        <f>E20-E45</f>
        <v/>
      </c>
      <c r="F47" s="18">
        <f>F20-F45</f>
        <v/>
      </c>
      <c r="G47" s="18">
        <f>G20-G45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tabSelected="1" workbookViewId="0">
      <selection activeCell="E10" sqref="E10"/>
    </sheetView>
  </sheetViews>
  <sheetFormatPr baseColWidth="8" defaultRowHeight="14.25"/>
  <cols>
    <col width="35" customWidth="1" style="26" min="1" max="1"/>
    <col width="14" customWidth="1" style="26" min="2" max="7"/>
  </cols>
  <sheetData>
    <row r="1" ht="18" customHeight="1" s="26">
      <c r="A1" s="25" t="inlineStr">
        <is>
          <t>Cash Flow Statement</t>
        </is>
      </c>
    </row>
    <row r="2">
      <c r="A2" s="6" t="inlineStr">
        <is>
          <t>($ in millions)</t>
        </is>
      </c>
    </row>
    <row r="4">
      <c r="A4" s="2" t="inlineStr">
        <is>
          <t>Fiscal Year</t>
        </is>
      </c>
      <c r="B4" s="2" t="n"/>
      <c r="C4" s="2" t="n"/>
      <c r="D4" s="2" t="inlineStr">
        <is>
          <t>FY2025</t>
        </is>
      </c>
      <c r="E4" s="2" t="inlineStr">
        <is>
          <t>FY2026E</t>
        </is>
      </c>
      <c r="F4" s="2" t="inlineStr">
        <is>
          <t>FY2027E</t>
        </is>
      </c>
      <c r="G4" s="2" t="inlineStr">
        <is>
          <t>FY2028E</t>
        </is>
      </c>
    </row>
    <row r="5" ht="15.75" customHeight="1" s="26">
      <c r="A5" s="1" t="inlineStr">
        <is>
          <t>Operating Activities</t>
        </is>
      </c>
      <c r="B5" s="11" t="n"/>
      <c r="C5" s="11" t="n"/>
      <c r="D5" s="11" t="n"/>
      <c r="E5" s="11" t="n"/>
      <c r="F5" s="11" t="n"/>
      <c r="G5" s="11" t="n"/>
    </row>
    <row r="6">
      <c r="A6" t="inlineStr">
        <is>
          <t>Net Income</t>
        </is>
      </c>
      <c r="B6" s="19" t="n"/>
      <c r="C6" s="19" t="n"/>
      <c r="D6" s="19" t="n"/>
      <c r="E6" s="19">
        <f>+'Income Statement'!E24</f>
        <v/>
      </c>
      <c r="F6" s="19">
        <f>+'Income Statement'!F24</f>
        <v/>
      </c>
      <c r="G6" s="19">
        <f>+'Income Statement'!G24</f>
        <v/>
      </c>
    </row>
    <row r="7">
      <c r="B7" s="11" t="n"/>
      <c r="C7" s="11" t="n"/>
      <c r="D7" s="11" t="n"/>
      <c r="E7" s="11" t="n"/>
      <c r="F7" s="11" t="n"/>
      <c r="G7" s="11" t="n"/>
    </row>
    <row r="8">
      <c r="A8" s="7" t="inlineStr">
        <is>
          <t>Adjustments:</t>
        </is>
      </c>
      <c r="B8" s="11" t="n"/>
      <c r="C8" s="11" t="n"/>
      <c r="D8" s="11" t="n"/>
      <c r="E8" s="11" t="n"/>
      <c r="F8" s="11" t="n"/>
      <c r="G8" s="11" t="n"/>
    </row>
    <row r="9">
      <c r="A9" t="inlineStr">
        <is>
          <t>Depreciation &amp; Amortization</t>
        </is>
      </c>
      <c r="B9" s="12" t="n"/>
      <c r="C9" s="12" t="n"/>
      <c r="D9" s="12" t="n"/>
      <c r="E9" s="20" t="n"/>
      <c r="F9" s="20" t="n"/>
      <c r="G9" s="20" t="n"/>
    </row>
    <row r="10">
      <c r="A10" t="inlineStr">
        <is>
          <t>Stock-Based Compensation</t>
        </is>
      </c>
      <c r="B10" s="12" t="n"/>
      <c r="C10" s="12" t="n"/>
      <c r="D10" s="12" t="n"/>
      <c r="E10" s="12" t="n">
        <v>5000</v>
      </c>
      <c r="F10" s="12" t="n">
        <v>5500</v>
      </c>
      <c r="G10" s="12" t="n">
        <v>6000</v>
      </c>
      <c r="H10" s="22" t="n"/>
    </row>
    <row r="11">
      <c r="B11" s="11" t="n"/>
      <c r="C11" s="11" t="n"/>
      <c r="D11" s="11" t="n"/>
      <c r="E11" s="11" t="n"/>
      <c r="F11" s="11" t="n"/>
      <c r="G11" s="11" t="n"/>
    </row>
    <row r="12">
      <c r="A12" s="7" t="inlineStr">
        <is>
          <t>Changes in Working Capital:</t>
        </is>
      </c>
      <c r="B12" s="11" t="n"/>
      <c r="C12" s="11" t="n"/>
      <c r="D12" s="11" t="n"/>
      <c r="E12" s="11" t="n"/>
      <c r="F12" s="11" t="n"/>
      <c r="G12" s="11" t="n"/>
    </row>
    <row r="13">
      <c r="A13" t="inlineStr">
        <is>
          <t>(Increase) Decrease in A/R</t>
        </is>
      </c>
      <c r="B13" s="12" t="n"/>
      <c r="C13" s="12" t="n"/>
      <c r="D13" s="12" t="n"/>
      <c r="E13" s="23" t="n"/>
      <c r="F13" s="23" t="n"/>
      <c r="G13" s="23" t="n"/>
    </row>
    <row r="14">
      <c r="A14" t="inlineStr">
        <is>
          <t>(Increase) Decrease in Inventory</t>
        </is>
      </c>
      <c r="B14" s="12" t="n"/>
      <c r="C14" s="12" t="n"/>
      <c r="D14" s="12" t="n"/>
      <c r="E14" s="23" t="n"/>
      <c r="F14" s="23" t="n"/>
      <c r="G14" s="23" t="n"/>
    </row>
    <row r="15">
      <c r="A15" t="inlineStr">
        <is>
          <t>Increase (Decrease) in A/P</t>
        </is>
      </c>
      <c r="B15" s="12" t="n"/>
      <c r="C15" s="12" t="n"/>
      <c r="D15" s="12" t="n"/>
      <c r="E15" s="23" t="n"/>
      <c r="F15" s="23" t="n"/>
      <c r="G15" s="23" t="n"/>
    </row>
    <row r="16">
      <c r="A16" t="inlineStr">
        <is>
          <t>Other Working Capital Changes</t>
        </is>
      </c>
      <c r="B16" s="12" t="n"/>
      <c r="C16" s="12" t="n"/>
      <c r="D16" s="12" t="n"/>
      <c r="E16" s="23" t="n"/>
      <c r="F16" s="23" t="n"/>
      <c r="G16" s="23" t="n"/>
    </row>
    <row r="17">
      <c r="B17" s="11" t="n"/>
      <c r="C17" s="11" t="n"/>
      <c r="D17" s="11" t="n"/>
      <c r="E17" s="11" t="n"/>
      <c r="F17" s="11" t="n"/>
      <c r="G17" s="11" t="n"/>
    </row>
    <row r="18">
      <c r="A18" s="7" t="inlineStr">
        <is>
          <t>Net Cash from Operating Activities</t>
        </is>
      </c>
      <c r="B18" s="14" t="n"/>
      <c r="C18" s="14" t="n"/>
      <c r="D18" s="14" t="n"/>
      <c r="E18" s="29">
        <f>E4 + E5 + E6 + E7 + E8 + E9 + E10 + E11 + E12 + E13 + E14 + E15 + E16 + E17</f>
        <v/>
      </c>
      <c r="F18" s="14">
        <f>F6+F9+F10+F13+F14+F15+F16</f>
        <v/>
      </c>
      <c r="G18" s="14">
        <f>G6+G9+G10+G13+G14+G15+G16</f>
        <v/>
      </c>
    </row>
    <row r="19">
      <c r="B19" s="11" t="n"/>
      <c r="C19" s="11" t="n"/>
      <c r="D19" s="11" t="n"/>
      <c r="E19" s="11" t="n"/>
      <c r="F19" s="11" t="n"/>
      <c r="G19" s="11" t="n"/>
    </row>
    <row r="20" ht="15.75" customHeight="1" s="26">
      <c r="A20" s="1" t="inlineStr">
        <is>
          <t>Investing Activities</t>
        </is>
      </c>
      <c r="B20" s="11" t="n"/>
      <c r="C20" s="11" t="n"/>
      <c r="D20" s="11" t="n"/>
      <c r="E20" s="11" t="n"/>
      <c r="F20" s="11" t="n"/>
      <c r="G20" s="11" t="n"/>
    </row>
    <row r="21">
      <c r="A21" t="inlineStr">
        <is>
          <t>Capital Expenditures</t>
        </is>
      </c>
      <c r="B21" s="12" t="n"/>
      <c r="C21" s="12" t="n"/>
      <c r="D21" s="12" t="n"/>
      <c r="E21" s="23" t="n"/>
      <c r="F21" s="23" t="n"/>
      <c r="G21" s="23" t="n"/>
    </row>
    <row r="22">
      <c r="A22" s="7" t="inlineStr">
        <is>
          <t>Net Cash from Investing Activities</t>
        </is>
      </c>
      <c r="B22" s="14" t="n"/>
      <c r="C22" s="14" t="n"/>
      <c r="D22" s="14" t="n"/>
      <c r="E22" s="29">
        <f>E19 + E20 + E21</f>
        <v/>
      </c>
      <c r="F22" s="14">
        <f>+F21</f>
        <v/>
      </c>
      <c r="G22" s="14">
        <f>+G21</f>
        <v/>
      </c>
    </row>
    <row r="23">
      <c r="B23" s="11" t="n"/>
      <c r="C23" s="11" t="n"/>
      <c r="D23" s="11" t="n"/>
      <c r="E23" s="11" t="n"/>
      <c r="F23" s="11" t="n"/>
      <c r="G23" s="11" t="n"/>
    </row>
    <row r="24" ht="15.75" customHeight="1" s="26">
      <c r="A24" s="1" t="inlineStr">
        <is>
          <t>Financing Activities</t>
        </is>
      </c>
      <c r="B24" s="11" t="n"/>
      <c r="C24" s="11" t="n"/>
      <c r="D24" s="11" t="n"/>
      <c r="E24" s="11" t="n"/>
      <c r="F24" s="11" t="n"/>
      <c r="G24" s="11" t="n"/>
    </row>
    <row r="25">
      <c r="A25" t="inlineStr">
        <is>
          <t>Dividends &amp; Share Repurchases</t>
        </is>
      </c>
      <c r="B25" s="12" t="n"/>
      <c r="C25" s="12" t="n"/>
      <c r="D25" s="12" t="n"/>
      <c r="E25" s="23" t="n"/>
      <c r="F25" s="23" t="n"/>
      <c r="G25" s="23" t="n"/>
    </row>
    <row r="26">
      <c r="A26" t="inlineStr">
        <is>
          <t>Debt &amp; Other Financing</t>
        </is>
      </c>
      <c r="B26" s="12" t="n"/>
      <c r="C26" s="12" t="n"/>
      <c r="D26" s="12" t="n"/>
      <c r="E26" s="23" t="n"/>
      <c r="F26" s="23" t="n"/>
      <c r="G26" s="23" t="n"/>
    </row>
    <row r="27">
      <c r="A27" s="9" t="inlineStr">
        <is>
          <t>Ending Cash &amp; Equivalents</t>
        </is>
      </c>
      <c r="B27" s="15" t="n"/>
      <c r="C27" s="15" t="n"/>
      <c r="D27" s="15">
        <f>+'Balance Sheet'!D7</f>
        <v/>
      </c>
      <c r="E27" s="29">
        <f>E23 + E24 + E25 + E26</f>
        <v/>
      </c>
      <c r="F27" s="15">
        <f>E27+F18+F22+F25+F26</f>
        <v/>
      </c>
      <c r="G27" s="15">
        <f>F27+G18+G22+G25+G26</f>
        <v/>
      </c>
    </row>
    <row r="28">
      <c r="B28" s="11" t="n"/>
      <c r="C28" s="11" t="n"/>
      <c r="D28" s="11" t="n"/>
      <c r="E28" s="11" t="n"/>
      <c r="F28" s="11" t="n"/>
      <c r="G28" s="11" t="n"/>
    </row>
    <row r="29">
      <c r="A29" s="7" t="inlineStr">
        <is>
          <t>Free Cash Flow (CFO - CapEx)</t>
        </is>
      </c>
      <c r="B29" s="16" t="n"/>
      <c r="C29" s="16" t="n"/>
      <c r="D29" s="16" t="n"/>
      <c r="E29" s="16">
        <f>E18+E21</f>
        <v/>
      </c>
      <c r="F29" s="16">
        <f>F18+F21</f>
        <v/>
      </c>
      <c r="G29" s="16">
        <f>G18+G21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2025-12-12T03:51:48Z</dcterms:created>
  <dcterms:modified xmlns:dcterms="http://purl.org/dc/terms/" xmlns:xsi="http://www.w3.org/2001/XMLSchema-instance" xsi:type="dcterms:W3CDTF">2026-01-11T04:15:52Z</dcterms:modified>
  <cp:lastModifiedBy>Danial Azmi</cp:lastModifiedBy>
</cp:coreProperties>
</file>