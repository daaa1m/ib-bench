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875" windowHeight="14431" tabRatio="600" firstSheet="0" activeTab="1" autoFilterDateGrouping="1"/>
  </bookViews>
  <sheets>
    <sheet xmlns:r="http://schemas.openxmlformats.org/officeDocument/2006/relationships" name="LBO" sheetId="1" state="visible" r:id="rId1"/>
    <sheet xmlns:r="http://schemas.openxmlformats.org/officeDocument/2006/relationships" name="Mgmt Return Analysis" sheetId="2" state="visible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'LBO'!$A$1:$P$216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6">
    <numFmt numFmtId="164" formatCode="#,##0.0_);\(#,##0.0\);0.0_);@_)"/>
    <numFmt numFmtId="165" formatCode="#,##0.00_);\(#,##0.00\);0.00_);@_)"/>
    <numFmt numFmtId="166" formatCode="#&quot; years&quot;"/>
    <numFmt numFmtId="167" formatCode="0.0%"/>
    <numFmt numFmtId="168" formatCode="#,##0_);\(#,##0\);0_);@_)"/>
    <numFmt numFmtId="169" formatCode="&quot;L +&quot;#"/>
    <numFmt numFmtId="170" formatCode="0.0\ \x_);\(0.0\ \x\)"/>
    <numFmt numFmtId="171" formatCode="&quot;FY&quot;#"/>
    <numFmt numFmtId="172" formatCode="dd\-mmm\-yy_)"/>
    <numFmt numFmtId="173" formatCode="#,##0.000_);\(#,##0.000\);0.000_);@_)"/>
    <numFmt numFmtId="174" formatCode="0.0%_);\(0.0%\)"/>
    <numFmt numFmtId="175" formatCode=";;;"/>
    <numFmt numFmtId="176" formatCode="_-* #,##0.00_-;\-* #,##0.00_-;_-* &quot;-&quot;??_-;_-@_-"/>
    <numFmt numFmtId="177" formatCode="_-* #,##0_-;\-* #,##0_-;_-* &quot;-&quot;_-;_-@_-"/>
    <numFmt numFmtId="178" formatCode="_-&quot;£&quot;* #,##0.00_-;\-&quot;£&quot;* #,##0.00_-;_-&quot;£&quot;* &quot;-&quot;??_-;_-@_-"/>
    <numFmt numFmtId="179" formatCode="_-&quot;£&quot;* #,##0_-;\-&quot;£&quot;* #,##0_-;_-&quot;£&quot;* &quot;-&quot;_-;_-@_-"/>
  </numFmts>
  <fonts count="39">
    <font>
      <name val="Calibri"/>
      <family val="2"/>
      <sz val="11"/>
      <scheme val="minor"/>
    </font>
    <font>
      <name val="Arial"/>
      <family val="2"/>
      <color indexed="12"/>
      <sz val="10"/>
    </font>
    <font>
      <name val="Cambria"/>
      <family val="2"/>
      <b val="1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6"/>
    </font>
    <font>
      <name val="Arial"/>
      <family val="2"/>
      <color rgb="FF9C0006"/>
      <sz val="16"/>
    </font>
    <font>
      <name val="Arial"/>
      <family val="2"/>
      <color rgb="FF9C6500"/>
      <sz val="16"/>
    </font>
    <font>
      <name val="Arial"/>
      <family val="2"/>
      <b val="1"/>
      <color rgb="FF3F3F3F"/>
      <sz val="16"/>
    </font>
    <font>
      <name val="Arial"/>
      <family val="2"/>
      <b val="1"/>
      <color rgb="FFFA7D00"/>
      <sz val="16"/>
    </font>
    <font>
      <name val="Arial"/>
      <family val="2"/>
      <color rgb="FFFA7D00"/>
      <sz val="16"/>
    </font>
    <font>
      <name val="Arial"/>
      <family val="2"/>
      <b val="1"/>
      <color theme="0"/>
      <sz val="16"/>
    </font>
    <font>
      <name val="Arial"/>
      <family val="2"/>
      <color rgb="FFFF0000"/>
      <sz val="16"/>
    </font>
    <font>
      <name val="Arial"/>
      <family val="2"/>
      <sz val="10"/>
    </font>
    <font>
      <name val="Arial"/>
      <family val="2"/>
      <i val="1"/>
      <color rgb="FF7F7F7F"/>
      <sz val="16"/>
    </font>
    <font>
      <name val="Arial"/>
      <family val="2"/>
      <b val="1"/>
      <color theme="1"/>
      <sz val="16"/>
    </font>
    <font>
      <name val="Arial"/>
      <family val="2"/>
      <color theme="0"/>
      <sz val="16"/>
    </font>
    <font>
      <name val="Arial"/>
      <family val="2"/>
      <color theme="1"/>
      <sz val="16"/>
    </font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sz val="11"/>
    </font>
    <font>
      <name val="Calibri"/>
      <family val="2"/>
      <color rgb="FF0000FF"/>
      <sz val="11"/>
    </font>
    <font>
      <name val="Calibri"/>
      <family val="2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i val="1"/>
      <color rgb="FF0000FF"/>
      <sz val="11"/>
      <scheme val="minor"/>
    </font>
    <font>
      <name val="Calibri"/>
      <family val="2"/>
      <color theme="0" tint="-0.0499893185216834"/>
      <sz val="11"/>
      <scheme val="minor"/>
    </font>
    <font>
      <name val="Calibri"/>
      <family val="2"/>
      <b val="1"/>
      <sz val="18"/>
      <u val="single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i val="1"/>
      <sz val="10"/>
      <scheme val="minor"/>
    </font>
    <font>
      <name val="Calibri"/>
      <family val="2"/>
      <i val="1"/>
      <color rgb="FF0000FF"/>
      <sz val="10"/>
      <scheme val="minor"/>
    </font>
    <font>
      <name val="Calibri"/>
      <family val="2"/>
      <b val="1"/>
      <color rgb="FFFF0000"/>
      <sz val="11"/>
      <scheme val="minor"/>
    </font>
  </fonts>
  <fills count="3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164" fontId="26" fillId="0" borderId="0"/>
    <xf numFmtId="164" fontId="1" fillId="2" borderId="1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3" borderId="0"/>
    <xf numFmtId="0" fontId="7" fillId="4" borderId="0"/>
    <xf numFmtId="0" fontId="8" fillId="5" borderId="0"/>
    <xf numFmtId="0" fontId="9" fillId="6" borderId="5"/>
    <xf numFmtId="0" fontId="10" fillId="6" borderId="6"/>
    <xf numFmtId="0" fontId="11" fillId="0" borderId="7"/>
    <xf numFmtId="0" fontId="12" fillId="7" borderId="8"/>
    <xf numFmtId="0" fontId="13" fillId="0" borderId="0"/>
    <xf numFmtId="0" fontId="20" fillId="8" borderId="9"/>
    <xf numFmtId="0" fontId="15" fillId="0" borderId="0"/>
    <xf numFmtId="0" fontId="16" fillId="0" borderId="10"/>
    <xf numFmtId="0" fontId="17" fillId="9" borderId="0"/>
    <xf numFmtId="0" fontId="18" fillId="10" borderId="0"/>
    <xf numFmtId="0" fontId="18" fillId="11" borderId="0"/>
    <xf numFmtId="0" fontId="17" fillId="12" borderId="0"/>
    <xf numFmtId="0" fontId="17" fillId="13" borderId="0"/>
    <xf numFmtId="0" fontId="18" fillId="14" borderId="0"/>
    <xf numFmtId="0" fontId="18" fillId="15" borderId="0"/>
    <xf numFmtId="0" fontId="17" fillId="16" borderId="0"/>
    <xf numFmtId="0" fontId="17" fillId="17" borderId="0"/>
    <xf numFmtId="0" fontId="18" fillId="18" borderId="0"/>
    <xf numFmtId="0" fontId="18" fillId="19" borderId="0"/>
    <xf numFmtId="0" fontId="17" fillId="20" borderId="0"/>
    <xf numFmtId="0" fontId="17" fillId="21" borderId="0"/>
    <xf numFmtId="0" fontId="18" fillId="22" borderId="0"/>
    <xf numFmtId="0" fontId="18" fillId="23" borderId="0"/>
    <xf numFmtId="0" fontId="17" fillId="24" borderId="0"/>
    <xf numFmtId="0" fontId="17" fillId="25" borderId="0"/>
    <xf numFmtId="0" fontId="18" fillId="26" borderId="0"/>
    <xf numFmtId="0" fontId="18" fillId="27" borderId="0"/>
    <xf numFmtId="0" fontId="17" fillId="28" borderId="0"/>
    <xf numFmtId="0" fontId="17" fillId="29" borderId="0"/>
    <xf numFmtId="0" fontId="18" fillId="30" borderId="0"/>
    <xf numFmtId="0" fontId="18" fillId="31" borderId="0"/>
    <xf numFmtId="0" fontId="17" fillId="32" borderId="0"/>
    <xf numFmtId="174" fontId="24" fillId="33" borderId="1"/>
    <xf numFmtId="172" fontId="20" fillId="0" borderId="0"/>
    <xf numFmtId="175" fontId="23" fillId="0" borderId="0"/>
    <xf numFmtId="176" fontId="20" fillId="0" borderId="0"/>
    <xf numFmtId="177" fontId="20" fillId="0" borderId="0"/>
    <xf numFmtId="178" fontId="20" fillId="0" borderId="0"/>
    <xf numFmtId="179" fontId="20" fillId="0" borderId="0"/>
    <xf numFmtId="174" fontId="20" fillId="0" borderId="0"/>
    <xf numFmtId="164" fontId="25" fillId="34" borderId="1"/>
    <xf numFmtId="170" fontId="20" fillId="0" borderId="0"/>
    <xf numFmtId="164" fontId="21" fillId="0" borderId="0"/>
    <xf numFmtId="164" fontId="22" fillId="0" borderId="0"/>
  </cellStyleXfs>
  <cellXfs count="130">
    <xf numFmtId="164" fontId="0" fillId="0" borderId="0" pivotButton="0" quotePrefix="0" xfId="0"/>
    <xf numFmtId="164" fontId="25" fillId="34" borderId="1" pivotButton="0" quotePrefix="0" xfId="50"/>
    <xf numFmtId="164" fontId="27" fillId="0" borderId="0" pivotButton="0" quotePrefix="0" xfId="0"/>
    <xf numFmtId="164" fontId="28" fillId="0" borderId="0" pivotButton="0" quotePrefix="0" xfId="0"/>
    <xf numFmtId="165" fontId="25" fillId="0" borderId="0" pivotButton="0" quotePrefix="0" xfId="0"/>
    <xf numFmtId="164" fontId="25" fillId="0" borderId="0" pivotButton="0" quotePrefix="0" xfId="0"/>
    <xf numFmtId="164" fontId="0" fillId="0" borderId="11" pivotButton="0" quotePrefix="0" xfId="0"/>
    <xf numFmtId="164" fontId="0" fillId="0" borderId="12" pivotButton="0" quotePrefix="0" xfId="0"/>
    <xf numFmtId="164" fontId="28" fillId="0" borderId="12" pivotButton="0" quotePrefix="0" xfId="0"/>
    <xf numFmtId="166" fontId="25" fillId="0" borderId="0" pivotButton="0" quotePrefix="0" xfId="0"/>
    <xf numFmtId="167" fontId="25" fillId="0" borderId="0" pivotButton="0" quotePrefix="0" xfId="0"/>
    <xf numFmtId="168" fontId="0" fillId="0" borderId="0" pivotButton="0" quotePrefix="0" xfId="0"/>
    <xf numFmtId="164" fontId="0" fillId="0" borderId="0" applyAlignment="1" pivotButton="0" quotePrefix="0" xfId="0">
      <alignment horizontal="right"/>
    </xf>
    <xf numFmtId="164" fontId="0" fillId="0" borderId="11" applyAlignment="1" pivotButton="0" quotePrefix="0" xfId="0">
      <alignment horizontal="right"/>
    </xf>
    <xf numFmtId="169" fontId="25" fillId="0" borderId="0" pivotButton="0" quotePrefix="0" xfId="0"/>
    <xf numFmtId="170" fontId="0" fillId="0" borderId="0" pivotButton="0" quotePrefix="0" xfId="51"/>
    <xf numFmtId="170" fontId="25" fillId="0" borderId="0" pivotButton="0" quotePrefix="0" xfId="51"/>
    <xf numFmtId="171" fontId="28" fillId="0" borderId="0" pivotButton="0" quotePrefix="0" xfId="0"/>
    <xf numFmtId="172" fontId="0" fillId="0" borderId="0" pivotButton="0" quotePrefix="0" xfId="43"/>
    <xf numFmtId="164" fontId="27" fillId="0" borderId="0" applyAlignment="1" pivotButton="0" quotePrefix="0" xfId="0">
      <alignment horizontal="left" indent="1"/>
    </xf>
    <xf numFmtId="167" fontId="27" fillId="0" borderId="0" pivotButton="0" quotePrefix="0" xfId="0"/>
    <xf numFmtId="164" fontId="28" fillId="0" borderId="13" pivotButton="0" quotePrefix="0" xfId="0"/>
    <xf numFmtId="173" fontId="27" fillId="0" borderId="0" pivotButton="0" quotePrefix="0" xfId="0"/>
    <xf numFmtId="164" fontId="28" fillId="0" borderId="0" applyAlignment="1" pivotButton="0" quotePrefix="0" xfId="0">
      <alignment horizontal="right"/>
    </xf>
    <xf numFmtId="164" fontId="29" fillId="35" borderId="0" applyAlignment="1" pivotButton="0" quotePrefix="0" xfId="0">
      <alignment horizontal="right"/>
    </xf>
    <xf numFmtId="164" fontId="27" fillId="35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right"/>
    </xf>
    <xf numFmtId="164" fontId="0" fillId="0" borderId="13" pivotButton="0" quotePrefix="0" xfId="0"/>
    <xf numFmtId="164" fontId="0" fillId="35" borderId="13" pivotButton="0" quotePrefix="0" xfId="0"/>
    <xf numFmtId="164" fontId="27" fillId="35" borderId="13" pivotButton="0" quotePrefix="0" xfId="0"/>
    <xf numFmtId="170" fontId="26" fillId="0" borderId="0" pivotButton="0" quotePrefix="0" xfId="51"/>
    <xf numFmtId="164" fontId="28" fillId="36" borderId="14" pivotButton="0" quotePrefix="0" xfId="0"/>
    <xf numFmtId="164" fontId="28" fillId="36" borderId="12" pivotButton="0" quotePrefix="0" xfId="0"/>
    <xf numFmtId="170" fontId="28" fillId="36" borderId="12" pivotButton="0" quotePrefix="0" xfId="51"/>
    <xf numFmtId="170" fontId="28" fillId="36" borderId="15" pivotButton="0" quotePrefix="0" xfId="51"/>
    <xf numFmtId="164" fontId="28" fillId="36" borderId="16" pivotButton="0" quotePrefix="0" xfId="0"/>
    <xf numFmtId="164" fontId="28" fillId="36" borderId="0" pivotButton="0" quotePrefix="0" xfId="0"/>
    <xf numFmtId="167" fontId="28" fillId="36" borderId="0" pivotButton="0" quotePrefix="0" xfId="0"/>
    <xf numFmtId="167" fontId="28" fillId="36" borderId="17" pivotButton="0" quotePrefix="0" xfId="0"/>
    <xf numFmtId="164" fontId="28" fillId="36" borderId="18" pivotButton="0" quotePrefix="0" xfId="0"/>
    <xf numFmtId="164" fontId="28" fillId="36" borderId="11" pivotButton="0" quotePrefix="0" xfId="0"/>
    <xf numFmtId="164" fontId="28" fillId="36" borderId="19" pivotButton="0" quotePrefix="0" xfId="0"/>
    <xf numFmtId="164" fontId="30" fillId="34" borderId="1" pivotButton="0" quotePrefix="0" xfId="50"/>
    <xf numFmtId="164" fontId="27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Continuous"/>
    </xf>
    <xf numFmtId="164" fontId="28" fillId="0" borderId="0" applyAlignment="1" pivotButton="0" quotePrefix="0" xfId="0">
      <alignment horizontal="centerContinuous"/>
    </xf>
    <xf numFmtId="167" fontId="31" fillId="0" borderId="0" pivotButton="0" quotePrefix="0" xfId="0"/>
    <xf numFmtId="167" fontId="0" fillId="0" borderId="11" pivotButton="0" quotePrefix="0" xfId="0"/>
    <xf numFmtId="170" fontId="0" fillId="0" borderId="17" pivotButton="0" quotePrefix="0" xfId="51"/>
    <xf numFmtId="164" fontId="0" fillId="0" borderId="17" pivotButton="0" quotePrefix="0" xfId="0"/>
    <xf numFmtId="164" fontId="32" fillId="0" borderId="0" pivotButton="0" quotePrefix="0" xfId="0"/>
    <xf numFmtId="164" fontId="33" fillId="0" borderId="0" pivotButton="0" quotePrefix="0" xfId="0"/>
    <xf numFmtId="164" fontId="25" fillId="0" borderId="0" pivotButton="0" quotePrefix="0" xfId="50"/>
    <xf numFmtId="167" fontId="25" fillId="0" borderId="0" pivotButton="0" quotePrefix="0" xfId="50"/>
    <xf numFmtId="171" fontId="28" fillId="37" borderId="0" applyAlignment="1" pivotButton="0" quotePrefix="0" xfId="0">
      <alignment horizontal="right"/>
    </xf>
    <xf numFmtId="164" fontId="0" fillId="37" borderId="0" pivotButton="0" quotePrefix="0" xfId="0"/>
    <xf numFmtId="164" fontId="28" fillId="37" borderId="13" pivotButton="0" quotePrefix="0" xfId="0"/>
    <xf numFmtId="170" fontId="25" fillId="0" borderId="0" pivotButton="0" quotePrefix="0" xfId="50"/>
    <xf numFmtId="164" fontId="34" fillId="38" borderId="0" pivotButton="0" quotePrefix="0" xfId="0"/>
    <xf numFmtId="164" fontId="35" fillId="38" borderId="0" pivotButton="0" quotePrefix="0" xfId="0"/>
    <xf numFmtId="164" fontId="36" fillId="0" borderId="0" pivotButton="0" quotePrefix="0" xfId="0"/>
    <xf numFmtId="164" fontId="35" fillId="0" borderId="0" pivotButton="0" quotePrefix="0" xfId="0"/>
    <xf numFmtId="37" fontId="37" fillId="0" borderId="0" pivotButton="0" quotePrefix="0" xfId="0"/>
    <xf numFmtId="164" fontId="38" fillId="0" borderId="0" pivotButton="0" quotePrefix="0" xfId="0"/>
    <xf numFmtId="0" fontId="0" fillId="0" borderId="0" pivotButton="0" quotePrefix="0" xfId="0"/>
    <xf numFmtId="164" fontId="27" fillId="0" borderId="0" pivotButton="0" quotePrefix="0" xfId="0"/>
    <xf numFmtId="164" fontId="32" fillId="0" borderId="0" pivotButton="0" quotePrefix="0" xfId="0"/>
    <xf numFmtId="164" fontId="33" fillId="0" borderId="0" pivotButton="0" quotePrefix="0" xfId="0"/>
    <xf numFmtId="164" fontId="0" fillId="0" borderId="0" pivotButton="0" quotePrefix="0" xfId="0"/>
    <xf numFmtId="164" fontId="28" fillId="0" borderId="0" pivotButton="0" quotePrefix="0" xfId="0"/>
    <xf numFmtId="165" fontId="25" fillId="0" borderId="0" pivotButton="0" quotePrefix="0" xfId="0"/>
    <xf numFmtId="164" fontId="25" fillId="0" borderId="0" pivotButton="0" quotePrefix="0" xfId="0"/>
    <xf numFmtId="164" fontId="0" fillId="0" borderId="11" pivotButton="0" quotePrefix="0" xfId="0"/>
    <xf numFmtId="167" fontId="25" fillId="0" borderId="0" pivotButton="0" quotePrefix="0" xfId="50"/>
    <xf numFmtId="164" fontId="28" fillId="0" borderId="12" pivotButton="0" quotePrefix="0" xfId="0"/>
    <xf numFmtId="164" fontId="0" fillId="0" borderId="11" applyAlignment="1" pivotButton="0" quotePrefix="0" xfId="0">
      <alignment horizontal="right"/>
    </xf>
    <xf numFmtId="164" fontId="0" fillId="0" borderId="12" pivotButton="0" quotePrefix="0" xfId="0"/>
    <xf numFmtId="170" fontId="25" fillId="0" borderId="0" pivotButton="0" quotePrefix="0" xfId="51"/>
    <xf numFmtId="169" fontId="25" fillId="0" borderId="0" pivotButton="0" quotePrefix="0" xfId="0"/>
    <xf numFmtId="167" fontId="25" fillId="0" borderId="0" pivotButton="0" quotePrefix="0" xfId="0"/>
    <xf numFmtId="170" fontId="0" fillId="0" borderId="0" pivotButton="0" quotePrefix="0" xfId="51"/>
    <xf numFmtId="164" fontId="28" fillId="0" borderId="13" pivotButton="0" quotePrefix="0" xfId="0"/>
    <xf numFmtId="166" fontId="25" fillId="0" borderId="0" pivotButton="0" quotePrefix="0" xfId="0"/>
    <xf numFmtId="172" fontId="0" fillId="0" borderId="0" pivotButton="0" quotePrefix="0" xfId="43"/>
    <xf numFmtId="164" fontId="25" fillId="34" borderId="1" pivotButton="0" quotePrefix="0" xfId="50"/>
    <xf numFmtId="164" fontId="0" fillId="0" borderId="0" applyAlignment="1" pivotButton="0" quotePrefix="0" xfId="0">
      <alignment horizontal="right"/>
    </xf>
    <xf numFmtId="168" fontId="0" fillId="0" borderId="0" pivotButton="0" quotePrefix="0" xfId="0"/>
    <xf numFmtId="171" fontId="28" fillId="0" borderId="0" pivotButton="0" quotePrefix="0" xfId="0"/>
    <xf numFmtId="164" fontId="27" fillId="0" borderId="0" applyAlignment="1" pivotButton="0" quotePrefix="0" xfId="0">
      <alignment horizontal="right"/>
    </xf>
    <xf numFmtId="164" fontId="25" fillId="0" borderId="0" pivotButton="0" quotePrefix="0" xfId="50"/>
    <xf numFmtId="164" fontId="30" fillId="34" borderId="1" pivotButton="0" quotePrefix="0" xfId="50"/>
    <xf numFmtId="167" fontId="0" fillId="0" borderId="0" pivotButton="0" quotePrefix="0" xfId="0"/>
    <xf numFmtId="167" fontId="0" fillId="0" borderId="0" applyAlignment="1" pivotButton="0" quotePrefix="0" xfId="0">
      <alignment horizontal="right"/>
    </xf>
    <xf numFmtId="164" fontId="27" fillId="0" borderId="0" applyAlignment="1" pivotButton="0" quotePrefix="0" xfId="0">
      <alignment horizontal="left" indent="1"/>
    </xf>
    <xf numFmtId="167" fontId="27" fillId="0" borderId="0" pivotButton="0" quotePrefix="0" xfId="0"/>
    <xf numFmtId="164" fontId="29" fillId="35" borderId="0" applyAlignment="1" pivotButton="0" quotePrefix="0" xfId="0">
      <alignment horizontal="right"/>
    </xf>
    <xf numFmtId="171" fontId="28" fillId="37" borderId="0" applyAlignment="1" pivotButton="0" quotePrefix="0" xfId="0">
      <alignment horizontal="right"/>
    </xf>
    <xf numFmtId="164" fontId="27" fillId="35" borderId="0" pivotButton="0" quotePrefix="0" xfId="0"/>
    <xf numFmtId="164" fontId="0" fillId="37" borderId="0" pivotButton="0" quotePrefix="0" xfId="0"/>
    <xf numFmtId="164" fontId="0" fillId="0" borderId="13" pivotButton="0" quotePrefix="0" xfId="0"/>
    <xf numFmtId="164" fontId="27" fillId="35" borderId="13" pivotButton="0" quotePrefix="0" xfId="0"/>
    <xf numFmtId="164" fontId="28" fillId="37" borderId="13" pivotButton="0" quotePrefix="0" xfId="0"/>
    <xf numFmtId="164" fontId="0" fillId="35" borderId="13" pivotButton="0" quotePrefix="0" xfId="0"/>
    <xf numFmtId="173" fontId="27" fillId="0" borderId="0" pivotButton="0" quotePrefix="0" xfId="0"/>
    <xf numFmtId="170" fontId="25" fillId="0" borderId="0" pivotButton="0" quotePrefix="0" xfId="50"/>
    <xf numFmtId="170" fontId="26" fillId="0" borderId="0" pivotButton="0" quotePrefix="0" xfId="51"/>
    <xf numFmtId="164" fontId="28" fillId="36" borderId="14" pivotButton="0" quotePrefix="0" xfId="0"/>
    <xf numFmtId="164" fontId="28" fillId="36" borderId="12" pivotButton="0" quotePrefix="0" xfId="0"/>
    <xf numFmtId="170" fontId="28" fillId="36" borderId="12" pivotButton="0" quotePrefix="0" xfId="51"/>
    <xf numFmtId="170" fontId="28" fillId="36" borderId="15" pivotButton="0" quotePrefix="0" xfId="51"/>
    <xf numFmtId="164" fontId="28" fillId="36" borderId="16" pivotButton="0" quotePrefix="0" xfId="0"/>
    <xf numFmtId="164" fontId="28" fillId="36" borderId="0" pivotButton="0" quotePrefix="0" xfId="0"/>
    <xf numFmtId="167" fontId="28" fillId="36" borderId="0" pivotButton="0" quotePrefix="0" xfId="0"/>
    <xf numFmtId="167" fontId="28" fillId="36" borderId="17" pivotButton="0" quotePrefix="0" xfId="0"/>
    <xf numFmtId="164" fontId="28" fillId="36" borderId="18" pivotButton="0" quotePrefix="0" xfId="0"/>
    <xf numFmtId="164" fontId="28" fillId="36" borderId="11" pivotButton="0" quotePrefix="0" xfId="0"/>
    <xf numFmtId="164" fontId="28" fillId="36" borderId="19" pivotButton="0" quotePrefix="0" xfId="0"/>
    <xf numFmtId="164" fontId="28" fillId="0" borderId="0" applyAlignment="1" pivotButton="0" quotePrefix="0" xfId="0">
      <alignment horizontal="centerContinuous"/>
    </xf>
    <xf numFmtId="164" fontId="0" fillId="0" borderId="0" applyAlignment="1" pivotButton="0" quotePrefix="0" xfId="0">
      <alignment horizontal="centerContinuous"/>
    </xf>
    <xf numFmtId="167" fontId="31" fillId="0" borderId="0" pivotButton="0" quotePrefix="0" xfId="0"/>
    <xf numFmtId="167" fontId="0" fillId="0" borderId="11" pivotButton="0" quotePrefix="0" xfId="0"/>
    <xf numFmtId="170" fontId="0" fillId="0" borderId="17" pivotButton="0" quotePrefix="0" xfId="51"/>
    <xf numFmtId="164" fontId="28" fillId="0" borderId="0" applyAlignment="1" pivotButton="0" quotePrefix="0" xfId="0">
      <alignment horizontal="right"/>
    </xf>
    <xf numFmtId="164" fontId="0" fillId="0" borderId="17" pivotButton="0" quotePrefix="0" xfId="0"/>
    <xf numFmtId="164" fontId="38" fillId="0" borderId="0" pivotButton="0" quotePrefix="0" xfId="0"/>
    <xf numFmtId="164" fontId="34" fillId="38" borderId="0" pivotButton="0" quotePrefix="0" xfId="0"/>
    <xf numFmtId="164" fontId="35" fillId="38" borderId="0" pivotButton="0" quotePrefix="0" xfId="0"/>
    <xf numFmtId="164" fontId="36" fillId="0" borderId="0" pivotButton="0" quotePrefix="0" xfId="0"/>
    <xf numFmtId="164" fontId="35" fillId="0" borderId="0" pivotButton="0" quotePrefix="0" xfId="0"/>
  </cellXfs>
  <cellStyles count="54">
    <cellStyle name="Normal" xfId="0" builtinId="0"/>
    <cellStyle name="Input" xfId="1" builtinId="20" hidden="1"/>
    <cellStyle name="Title" xfId="2" builtinId="15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Good" xfId="7" builtinId="26" hidden="1"/>
    <cellStyle name="Bad" xfId="8" builtinId="27" hidden="1"/>
    <cellStyle name="Neutral" xfId="9" builtinId="28" hidden="1"/>
    <cellStyle name="Output" xfId="10" builtinId="21" hidden="1"/>
    <cellStyle name="Calculation" xfId="11" builtinId="22" hidden="1"/>
    <cellStyle name="Linked Cell" xfId="12" builtinId="24" hidden="1"/>
    <cellStyle name="Check Cell" xfId="13" builtinId="23" hidden="1"/>
    <cellStyle name="Warning Text" xfId="14" builtinId="11" hidden="1"/>
    <cellStyle name="Note" xfId="15" builtinId="10" hidden="1"/>
    <cellStyle name="Explanatory Text" xfId="16" builtinId="53" hidden="1"/>
    <cellStyle name="Total" xfId="17" builtinId="25" hidden="1"/>
    <cellStyle name="Accent1" xfId="18" builtinId="29" hidden="1"/>
    <cellStyle name="20% - Accent1" xfId="19" builtinId="30" hidden="1"/>
    <cellStyle name="40% - Accent1" xfId="20" builtinId="31" hidden="1"/>
    <cellStyle name="60% - Accent1" xfId="21" builtinId="32" hidden="1"/>
    <cellStyle name="Accent2" xfId="22" builtinId="33" hidden="1"/>
    <cellStyle name="20% - Accent2" xfId="23" builtinId="34" hidden="1"/>
    <cellStyle name="40% - Accent2" xfId="24" builtinId="35" hidden="1"/>
    <cellStyle name="60% - Accent2" xfId="25" builtinId="36" hidden="1"/>
    <cellStyle name="Accent3" xfId="26" builtinId="37" hidden="1"/>
    <cellStyle name="20% - Accent3" xfId="27" builtinId="38" hidden="1"/>
    <cellStyle name="40% - Accent3" xfId="28" builtinId="39" hidden="1"/>
    <cellStyle name="60% - Accent3" xfId="29" builtinId="40" hidden="1"/>
    <cellStyle name="Accent4" xfId="30" builtinId="41" hidden="1"/>
    <cellStyle name="20% - Accent4" xfId="31" builtinId="42" hidden="1"/>
    <cellStyle name="40% - Accent4" xfId="32" builtinId="43" hidden="1"/>
    <cellStyle name="60% - Accent4" xfId="33" builtinId="44" hidden="1"/>
    <cellStyle name="Accent5" xfId="34" builtinId="45" hidden="1"/>
    <cellStyle name="20% - Accent5" xfId="35" builtinId="46" hidden="1"/>
    <cellStyle name="40% - Accent5" xfId="36" builtinId="47" hidden="1"/>
    <cellStyle name="60% - Accent5" xfId="37" builtinId="48" hidden="1"/>
    <cellStyle name="Accent6" xfId="38" builtinId="49" hidden="1"/>
    <cellStyle name="20% - Accent6" xfId="39" builtinId="50" hidden="1"/>
    <cellStyle name="40% - Accent6" xfId="40" builtinId="51" hidden="1"/>
    <cellStyle name="60% - Accent6" xfId="41" builtinId="52" hidden="1"/>
    <cellStyle name="Blue" xfId="42"/>
    <cellStyle name="Date" xfId="43"/>
    <cellStyle name="Blank" xfId="44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Percent" xfId="49" builtinId="5"/>
    <cellStyle name="I" xfId="50"/>
    <cellStyle name="Multiple" xfId="51"/>
    <cellStyle name="Hyperlink" xfId="52" builtinId="8" hidden="1"/>
    <cellStyle name="Followed Hyperlink" xfId="53" builtinId="9" hidden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showGridLines="0" view="pageBreakPreview" zoomScale="90" zoomScaleNormal="85" zoomScaleSheetLayoutView="90" workbookViewId="0">
      <selection activeCell="L193" sqref="L193"/>
    </sheetView>
  </sheetViews>
  <sheetFormatPr baseColWidth="8" defaultColWidth="9.1328125" defaultRowHeight="14.25"/>
  <cols>
    <col width="2.6640625" customWidth="1" style="65" min="1" max="1"/>
    <col width="42.6640625" bestFit="1" customWidth="1" style="65" min="2" max="2"/>
    <col width="1.6640625" customWidth="1" style="65" min="4" max="4"/>
    <col width="29" bestFit="1" customWidth="1" style="65" min="5" max="5"/>
    <col width="10.33203125" customWidth="1" style="65" min="6" max="7"/>
    <col width="29" bestFit="1" customWidth="1" style="65" min="8" max="8"/>
    <col width="9.1328125" customWidth="1" style="65" min="10" max="10"/>
    <col width="9.796875" bestFit="1" customWidth="1" style="65" min="12" max="12"/>
    <col width="9.1328125" customWidth="1" style="65" min="18" max="18"/>
  </cols>
  <sheetData>
    <row r="1">
      <c r="A1" s="66" t="inlineStr">
        <is>
          <t>as of 3Q2021</t>
        </is>
      </c>
    </row>
    <row r="2" ht="23.25" customHeight="1" s="65">
      <c r="B2" s="67" t="inlineStr">
        <is>
          <t>Dave &amp; Buster's (Public-to-Private)</t>
        </is>
      </c>
      <c r="Q2" s="68" t="inlineStr">
        <is>
          <t>Additional work / comments</t>
        </is>
      </c>
    </row>
    <row r="3">
      <c r="B3" s="66" t="inlineStr">
        <is>
          <t>(in US$m unless otherwise stated)</t>
        </is>
      </c>
    </row>
    <row r="5">
      <c r="A5" s="69" t="inlineStr">
        <is>
          <t>x</t>
        </is>
      </c>
      <c r="B5" s="70" t="inlineStr">
        <is>
          <t>Transaction Dashboard</t>
        </is>
      </c>
      <c r="E5" s="69" t="inlineStr">
        <is>
          <t>Last Close Price</t>
        </is>
      </c>
      <c r="F5" s="71" t="n">
        <v>39.82</v>
      </c>
      <c r="G5" s="70" t="n"/>
      <c r="H5" s="69" t="inlineStr">
        <is>
          <t>Equity Purchase Price</t>
        </is>
      </c>
      <c r="I5" s="69">
        <f>F8</f>
        <v/>
      </c>
    </row>
    <row r="6">
      <c r="E6" s="69" t="inlineStr">
        <is>
          <t>FDSO (m)</t>
        </is>
      </c>
      <c r="F6" s="72" t="n">
        <v>49.257269</v>
      </c>
      <c r="H6" s="69" t="inlineStr">
        <is>
          <t>(-) Acquired BV</t>
        </is>
      </c>
      <c r="I6" s="69">
        <f>-G120</f>
        <v/>
      </c>
    </row>
    <row r="7">
      <c r="B7" s="73" t="inlineStr">
        <is>
          <t>Sources</t>
        </is>
      </c>
      <c r="C7" s="73" t="n"/>
      <c r="E7" s="69" t="inlineStr">
        <is>
          <t>Control Premium</t>
        </is>
      </c>
      <c r="F7" s="74" t="n">
        <v>0.35</v>
      </c>
      <c r="H7" s="69" t="inlineStr">
        <is>
          <t>(+) Existing Goodwill</t>
        </is>
      </c>
      <c r="I7" s="69">
        <f>G105</f>
        <v/>
      </c>
    </row>
    <row r="8">
      <c r="B8" s="69" t="inlineStr">
        <is>
          <t>Existing Cash</t>
        </is>
      </c>
      <c r="C8" s="69">
        <f>G100</f>
        <v/>
      </c>
      <c r="E8" s="69" t="inlineStr">
        <is>
          <t>Equity Purchase Price</t>
        </is>
      </c>
      <c r="F8" s="69">
        <f>F5*(1+F7)*F6</f>
        <v/>
      </c>
      <c r="H8" s="75" t="inlineStr">
        <is>
          <t>Pro Forma Goodwill</t>
        </is>
      </c>
      <c r="I8" s="75">
        <f>SUM(I5:I7)</f>
        <v/>
      </c>
    </row>
    <row r="9">
      <c r="B9" s="69" t="inlineStr">
        <is>
          <t>Rollover Leases</t>
        </is>
      </c>
      <c r="C9" s="69">
        <f>G113</f>
        <v/>
      </c>
      <c r="E9" s="69" t="inlineStr">
        <is>
          <t>(+) Existing Debt</t>
        </is>
      </c>
      <c r="F9" s="69">
        <f>G114+G113</f>
        <v/>
      </c>
    </row>
    <row r="10">
      <c r="B10" s="69" t="inlineStr">
        <is>
          <t>Term Loan</t>
        </is>
      </c>
      <c r="C10" s="69">
        <f>I11*$I$18</f>
        <v/>
      </c>
      <c r="E10" s="69" t="inlineStr">
        <is>
          <t>(-) Existing Cash</t>
        </is>
      </c>
      <c r="F10" s="69">
        <f>-G100</f>
        <v/>
      </c>
      <c r="H10" s="73" t="inlineStr">
        <is>
          <t>Instrument</t>
        </is>
      </c>
      <c r="I10" s="76" t="inlineStr">
        <is>
          <t>xEBITDA</t>
        </is>
      </c>
      <c r="J10" s="76" t="inlineStr">
        <is>
          <t>Margin</t>
        </is>
      </c>
      <c r="K10" s="76" t="inlineStr">
        <is>
          <t>Floor</t>
        </is>
      </c>
      <c r="L10" s="76" t="inlineStr">
        <is>
          <t>DFF</t>
        </is>
      </c>
      <c r="M10" s="76" t="inlineStr">
        <is>
          <t>Amort</t>
        </is>
      </c>
      <c r="N10" s="76" t="inlineStr">
        <is>
          <t>PIK</t>
        </is>
      </c>
      <c r="O10" s="76" t="inlineStr">
        <is>
          <t>Sweep</t>
        </is>
      </c>
    </row>
    <row r="11">
      <c r="B11" s="69" t="inlineStr">
        <is>
          <t>Senior Notes</t>
        </is>
      </c>
      <c r="C11" s="69">
        <f>I12*$I$18</f>
        <v/>
      </c>
      <c r="E11" s="77" t="inlineStr">
        <is>
          <t>Acquisition EV</t>
        </is>
      </c>
      <c r="F11" s="77">
        <f>F8+F9</f>
        <v/>
      </c>
      <c r="H11" s="69" t="inlineStr">
        <is>
          <t>Term Loan</t>
        </is>
      </c>
      <c r="I11" s="78" t="n">
        <v>4</v>
      </c>
      <c r="J11" s="79" t="n">
        <v>400</v>
      </c>
      <c r="K11" s="80" t="n">
        <v>0.0125</v>
      </c>
      <c r="L11" s="80" t="n">
        <v>0.01</v>
      </c>
      <c r="M11" s="80" t="n">
        <v>0</v>
      </c>
      <c r="N11" s="80" t="n">
        <v>0</v>
      </c>
      <c r="O11" s="80" t="n">
        <v>1</v>
      </c>
    </row>
    <row r="12">
      <c r="B12" s="69" t="inlineStr">
        <is>
          <t>Common Equity</t>
        </is>
      </c>
      <c r="C12" s="69">
        <f>C24-SUM(C8:C11)</f>
        <v/>
      </c>
      <c r="E12" s="69" t="inlineStr">
        <is>
          <t>Implied LTM EBITDA Multiple</t>
        </is>
      </c>
      <c r="F12" s="81">
        <f>F11/I18</f>
        <v/>
      </c>
      <c r="H12" s="69" t="inlineStr">
        <is>
          <t>Senior Notes</t>
        </is>
      </c>
      <c r="I12" s="78" t="n">
        <v>2</v>
      </c>
      <c r="J12" s="80" t="n">
        <v>0.09</v>
      </c>
      <c r="L12" s="80" t="n">
        <v>0.01</v>
      </c>
      <c r="M12" s="80" t="n">
        <v>0</v>
      </c>
      <c r="N12" s="80" t="n">
        <v>0</v>
      </c>
      <c r="O12" s="80" t="n">
        <v>1</v>
      </c>
    </row>
    <row r="13">
      <c r="B13" s="66" t="inlineStr">
        <is>
          <t>o/w Sponsor</t>
        </is>
      </c>
      <c r="C13" s="66">
        <f>C12*(1-F17)</f>
        <v/>
      </c>
      <c r="E13" s="69" t="inlineStr">
        <is>
          <t>Implied FY22 EBITDA Multiple</t>
        </is>
      </c>
      <c r="F13" s="81">
        <f>F11/L92</f>
        <v/>
      </c>
      <c r="H13" s="69" t="inlineStr">
        <is>
          <t>RCF</t>
        </is>
      </c>
      <c r="I13" s="78" t="n">
        <v>0</v>
      </c>
      <c r="J13" s="79" t="n">
        <v>350</v>
      </c>
      <c r="K13" s="80" t="n">
        <v>0.0125</v>
      </c>
    </row>
    <row r="14">
      <c r="B14" s="66" t="inlineStr">
        <is>
          <t>o/w Management</t>
        </is>
      </c>
      <c r="C14" s="66">
        <f>C12*F17</f>
        <v/>
      </c>
    </row>
    <row r="15">
      <c r="B15" s="82" t="inlineStr">
        <is>
          <t>Total</t>
        </is>
      </c>
      <c r="C15" s="82">
        <f>SUM(C8:C12)</f>
        <v/>
      </c>
      <c r="E15" s="69" t="inlineStr">
        <is>
          <t>Hold Period</t>
        </is>
      </c>
      <c r="F15" s="83" t="n">
        <v>5</v>
      </c>
      <c r="H15" s="69" t="inlineStr">
        <is>
          <t>9M21 Adjusted EBITDA</t>
        </is>
      </c>
      <c r="I15" s="72" t="n">
        <v>264.066</v>
      </c>
    </row>
    <row r="16">
      <c r="E16" s="69" t="inlineStr">
        <is>
          <t>Entry Date</t>
        </is>
      </c>
      <c r="F16" s="84" t="n">
        <v>44227</v>
      </c>
      <c r="H16" s="69" t="inlineStr">
        <is>
          <t>FY20 Adjusted EBITDA</t>
        </is>
      </c>
      <c r="I16" s="69">
        <f>K92</f>
        <v/>
      </c>
    </row>
    <row r="17">
      <c r="B17" s="73" t="inlineStr">
        <is>
          <t>Uses</t>
        </is>
      </c>
      <c r="C17" s="73" t="n"/>
      <c r="E17" s="69" t="inlineStr">
        <is>
          <t>Management Rollover</t>
        </is>
      </c>
      <c r="F17" s="80" t="n">
        <v>0.05</v>
      </c>
      <c r="H17" s="69" t="inlineStr">
        <is>
          <t>9M20 Adjusted EBITDA</t>
        </is>
      </c>
      <c r="I17" s="72" t="n">
        <v>-65.22799999999999</v>
      </c>
    </row>
    <row r="18">
      <c r="B18" s="69" t="inlineStr">
        <is>
          <t>EPP</t>
        </is>
      </c>
      <c r="C18" s="69">
        <f>F8</f>
        <v/>
      </c>
      <c r="E18" s="69" t="inlineStr">
        <is>
          <t>Sweet Equity Pot</t>
        </is>
      </c>
      <c r="F18" s="80" t="n">
        <v>0.05</v>
      </c>
      <c r="H18" s="77" t="inlineStr">
        <is>
          <t>LTM EBITDA</t>
        </is>
      </c>
      <c r="I18" s="77">
        <f>I15+I16-I17</f>
        <v/>
      </c>
    </row>
    <row r="19">
      <c r="B19" s="69" t="inlineStr">
        <is>
          <t>Refi Debt</t>
        </is>
      </c>
      <c r="C19" s="69">
        <f>G114</f>
        <v/>
      </c>
      <c r="E19" s="69" t="inlineStr">
        <is>
          <t>Cash Interest</t>
        </is>
      </c>
      <c r="F19" s="80" t="n">
        <v>0.01</v>
      </c>
    </row>
    <row r="20">
      <c r="B20" s="69" t="inlineStr">
        <is>
          <t>Rollover Leases</t>
        </is>
      </c>
      <c r="C20" s="69">
        <f>G113</f>
        <v/>
      </c>
      <c r="E20" s="69" t="inlineStr">
        <is>
          <t>Circularity Toggle</t>
        </is>
      </c>
      <c r="F20" s="85" t="n">
        <v>1</v>
      </c>
    </row>
    <row r="21">
      <c r="B21" s="69" t="inlineStr">
        <is>
          <t>Fund Cash Balance</t>
        </is>
      </c>
      <c r="C21" s="69">
        <f>F21</f>
        <v/>
      </c>
      <c r="E21" s="69" t="inlineStr">
        <is>
          <t>Min. Cash Balance</t>
        </is>
      </c>
      <c r="F21" s="72" t="n">
        <v>15</v>
      </c>
    </row>
    <row r="22">
      <c r="B22" s="69" t="inlineStr">
        <is>
          <t>Financing Fees</t>
        </is>
      </c>
      <c r="C22" s="69">
        <f>SUMPRODUCT(L11:L12,C10:C11)</f>
        <v/>
      </c>
      <c r="E22" s="69" t="inlineStr">
        <is>
          <t>Transaction Fees</t>
        </is>
      </c>
      <c r="F22" s="80" t="n">
        <v>0.005</v>
      </c>
      <c r="G22" s="86" t="n"/>
    </row>
    <row r="23">
      <c r="B23" s="69" t="inlineStr">
        <is>
          <t>Transaction Fees</t>
        </is>
      </c>
      <c r="C23" s="69">
        <f>F22*C18</f>
        <v/>
      </c>
      <c r="E23" s="69" t="inlineStr">
        <is>
          <t>DFF Amortisation</t>
        </is>
      </c>
      <c r="F23" s="83" t="n">
        <v>8</v>
      </c>
    </row>
    <row r="24">
      <c r="B24" s="82" t="inlineStr">
        <is>
          <t>Total</t>
        </is>
      </c>
      <c r="C24" s="82">
        <f>SUM(C18:C23)</f>
        <v/>
      </c>
      <c r="F24" s="72" t="n"/>
    </row>
    <row r="25">
      <c r="F25" s="87" t="n"/>
    </row>
    <row r="26">
      <c r="A26" s="69" t="inlineStr">
        <is>
          <t>x</t>
        </is>
      </c>
      <c r="B26" s="70" t="inlineStr">
        <is>
          <t>Operating Assumptions</t>
        </is>
      </c>
      <c r="F26" s="87" t="n"/>
      <c r="I26" s="88" t="n">
        <v>2019</v>
      </c>
      <c r="J26" s="88">
        <f>I26+1</f>
        <v/>
      </c>
      <c r="K26" s="88">
        <f>J26+1</f>
        <v/>
      </c>
      <c r="L26" s="88">
        <f>K26+1</f>
        <v/>
      </c>
      <c r="M26" s="88">
        <f>L26+1</f>
        <v/>
      </c>
      <c r="N26" s="88">
        <f>M26+1</f>
        <v/>
      </c>
      <c r="O26" s="88">
        <f>N26+1</f>
        <v/>
      </c>
      <c r="P26" s="88">
        <f>O26+1</f>
        <v/>
      </c>
      <c r="R26" s="88" t="inlineStr">
        <is>
          <t>9MFY22</t>
        </is>
      </c>
      <c r="S26" s="89" t="inlineStr">
        <is>
          <t>Step-Up</t>
        </is>
      </c>
    </row>
    <row r="27">
      <c r="F27" s="87" t="n"/>
      <c r="S27" s="66" t="n"/>
    </row>
    <row r="28">
      <c r="B28" s="69" t="inlineStr">
        <is>
          <t>Number of Stores</t>
        </is>
      </c>
      <c r="F28" s="87" t="n"/>
      <c r="H28" s="72" t="n">
        <v>106</v>
      </c>
      <c r="I28" s="72" t="n">
        <v>121</v>
      </c>
      <c r="J28" s="72" t="n">
        <v>136</v>
      </c>
      <c r="K28" s="72" t="n">
        <v>140</v>
      </c>
      <c r="L28" s="69">
        <f>K28+L29</f>
        <v/>
      </c>
      <c r="M28" s="69">
        <f>L28+M29</f>
        <v/>
      </c>
      <c r="N28" s="69">
        <f>M28+N29</f>
        <v/>
      </c>
      <c r="O28" s="69">
        <f>N28+O29</f>
        <v/>
      </c>
      <c r="P28" s="69">
        <f>O28+P29</f>
        <v/>
      </c>
      <c r="S28" s="66" t="n"/>
    </row>
    <row r="29">
      <c r="B29" s="69" t="inlineStr">
        <is>
          <t>New Stores</t>
        </is>
      </c>
      <c r="F29" s="87" t="n"/>
      <c r="I29" s="69">
        <f>I28-H28</f>
        <v/>
      </c>
      <c r="J29" s="69">
        <f>J28-I28</f>
        <v/>
      </c>
      <c r="K29" s="69">
        <f>K28-J28</f>
        <v/>
      </c>
      <c r="L29" s="90" t="n">
        <v>4</v>
      </c>
      <c r="M29" s="90">
        <f>L29+1+$S$29</f>
        <v/>
      </c>
      <c r="N29" s="90">
        <f>M29+1</f>
        <v/>
      </c>
      <c r="O29" s="90">
        <f>N29+1</f>
        <v/>
      </c>
      <c r="P29" s="90">
        <f>O29+1</f>
        <v/>
      </c>
      <c r="S29" s="91" t="n">
        <v>0</v>
      </c>
    </row>
    <row r="30">
      <c r="B30" s="69" t="inlineStr">
        <is>
          <t>F&amp;B / Store</t>
        </is>
      </c>
      <c r="F30" s="87" t="n"/>
      <c r="I30" s="69">
        <f>I63/I28</f>
        <v/>
      </c>
      <c r="J30" s="69">
        <f>J63/J28</f>
        <v/>
      </c>
      <c r="K30" s="69">
        <f>K63/K28</f>
        <v/>
      </c>
      <c r="L30" s="90">
        <f>R30</f>
        <v/>
      </c>
      <c r="M30" s="90">
        <f>L30+0.25+$S$30</f>
        <v/>
      </c>
      <c r="N30" s="90">
        <f>M30+0.25</f>
        <v/>
      </c>
      <c r="O30" s="90">
        <f>N30+0.25</f>
        <v/>
      </c>
      <c r="P30" s="90">
        <f>O30+0.25</f>
        <v/>
      </c>
      <c r="R30" s="72">
        <f>316.5/143</f>
        <v/>
      </c>
      <c r="S30" s="91" t="n">
        <v>0</v>
      </c>
    </row>
    <row r="31">
      <c r="B31" s="69" t="inlineStr">
        <is>
          <t>Amusement / Store</t>
        </is>
      </c>
      <c r="F31" s="87" t="n"/>
      <c r="I31" s="69">
        <f>I64/I28</f>
        <v/>
      </c>
      <c r="J31" s="69">
        <f>J64/J28</f>
        <v/>
      </c>
      <c r="K31" s="69">
        <f>K64/K28</f>
        <v/>
      </c>
      <c r="L31" s="90">
        <f>R31</f>
        <v/>
      </c>
      <c r="M31" s="90">
        <f>L31+0.25+$S$30</f>
        <v/>
      </c>
      <c r="N31" s="90">
        <f>M31+0.25</f>
        <v/>
      </c>
      <c r="O31" s="90">
        <f>N31+0.25</f>
        <v/>
      </c>
      <c r="P31" s="90">
        <f>O31+0.25</f>
        <v/>
      </c>
      <c r="R31" s="72">
        <f>644.443/143</f>
        <v/>
      </c>
    </row>
    <row r="32">
      <c r="B32" s="69" t="inlineStr">
        <is>
          <t>COGS Spend - F&amp;B</t>
        </is>
      </c>
      <c r="F32" s="87" t="n"/>
      <c r="I32" s="92">
        <f>I67/I63</f>
        <v/>
      </c>
      <c r="J32" s="92">
        <f>J67/J63</f>
        <v/>
      </c>
      <c r="K32" s="92">
        <f>K67/K63</f>
        <v/>
      </c>
      <c r="L32" s="74" t="n">
        <v>0.28</v>
      </c>
      <c r="M32" s="74">
        <f>L32</f>
        <v/>
      </c>
      <c r="N32" s="74">
        <f>M32</f>
        <v/>
      </c>
      <c r="O32" s="74">
        <f>N32</f>
        <v/>
      </c>
      <c r="P32" s="74">
        <f>O32</f>
        <v/>
      </c>
      <c r="R32" s="80">
        <f>86.366/316.5</f>
        <v/>
      </c>
      <c r="S32" s="66" t="n"/>
    </row>
    <row r="33">
      <c r="B33" s="69" t="inlineStr">
        <is>
          <t>COGS Spend - Amusement</t>
        </is>
      </c>
      <c r="F33" s="87" t="n"/>
      <c r="I33" s="92">
        <f>I68/I64</f>
        <v/>
      </c>
      <c r="J33" s="92">
        <f>J68/J64</f>
        <v/>
      </c>
      <c r="K33" s="92">
        <f>K68/K64</f>
        <v/>
      </c>
      <c r="L33" s="74" t="n">
        <v>0.1</v>
      </c>
      <c r="M33" s="74">
        <f>L33</f>
        <v/>
      </c>
      <c r="N33" s="74">
        <f>M33</f>
        <v/>
      </c>
      <c r="O33" s="74">
        <f>N33</f>
        <v/>
      </c>
      <c r="P33" s="74">
        <f>O33</f>
        <v/>
      </c>
      <c r="R33" s="80">
        <f>63.729/644.443</f>
        <v/>
      </c>
      <c r="S33" s="66" t="n"/>
    </row>
    <row r="34">
      <c r="B34" s="69" t="inlineStr">
        <is>
          <t>SG&amp;A Spend</t>
        </is>
      </c>
      <c r="F34" s="87" t="n"/>
      <c r="I34" s="92">
        <f>I71/I65</f>
        <v/>
      </c>
      <c r="J34" s="92">
        <f>J71/J65</f>
        <v/>
      </c>
      <c r="K34" s="92">
        <f>K71/K65</f>
        <v/>
      </c>
      <c r="L34" s="74" t="n">
        <v>0.6</v>
      </c>
      <c r="M34" s="74" t="n">
        <v>0.595</v>
      </c>
      <c r="N34" s="74" t="n">
        <v>0.59</v>
      </c>
      <c r="O34" s="74" t="n">
        <v>0.58</v>
      </c>
      <c r="P34" s="74" t="n">
        <v>0.57</v>
      </c>
      <c r="R34" s="80" t="n">
        <v>0.5832173028053372</v>
      </c>
      <c r="S34" s="66" t="n"/>
    </row>
    <row r="35">
      <c r="B35" s="69" t="inlineStr">
        <is>
          <t>SBC / Sales</t>
        </is>
      </c>
      <c r="F35" s="87" t="n"/>
      <c r="I35" s="92">
        <f>I88/I65</f>
        <v/>
      </c>
      <c r="J35" s="92">
        <f>J88/J65</f>
        <v/>
      </c>
      <c r="K35" s="92">
        <f>K88/K65</f>
        <v/>
      </c>
      <c r="L35" s="74">
        <f>AVERAGE(I35:J35)</f>
        <v/>
      </c>
      <c r="M35" s="74">
        <f>L35</f>
        <v/>
      </c>
      <c r="N35" s="74">
        <f>M35</f>
        <v/>
      </c>
      <c r="O35" s="74">
        <f>N35</f>
        <v/>
      </c>
      <c r="P35" s="74">
        <f>O35</f>
        <v/>
      </c>
      <c r="S35" s="66" t="n"/>
    </row>
    <row r="36">
      <c r="B36" s="69" t="inlineStr">
        <is>
          <t>Pre-Opening Cost / Sales</t>
        </is>
      </c>
      <c r="F36" s="87" t="n"/>
      <c r="I36" s="92">
        <f>I89/I65</f>
        <v/>
      </c>
      <c r="J36" s="92">
        <f>J89/J65</f>
        <v/>
      </c>
      <c r="K36" s="92">
        <f>K89/K65</f>
        <v/>
      </c>
      <c r="L36" s="74">
        <f>AVERAGE(I36:J36)</f>
        <v/>
      </c>
      <c r="M36" s="74">
        <f>L36</f>
        <v/>
      </c>
      <c r="N36" s="74">
        <f>M36</f>
        <v/>
      </c>
      <c r="O36" s="74">
        <f>N36</f>
        <v/>
      </c>
      <c r="P36" s="74">
        <f>O36</f>
        <v/>
      </c>
    </row>
    <row r="37">
      <c r="B37" s="69" t="inlineStr">
        <is>
          <t>D&amp;A Spend</t>
        </is>
      </c>
      <c r="F37" s="87" t="n"/>
      <c r="I37" s="92">
        <f>I72/I65</f>
        <v/>
      </c>
      <c r="J37" s="92">
        <f>J72/J65</f>
        <v/>
      </c>
      <c r="K37" s="92">
        <f>K72/K65</f>
        <v/>
      </c>
      <c r="L37" s="74" t="n">
        <v>0.12</v>
      </c>
      <c r="M37" s="74" t="n">
        <v>0.095</v>
      </c>
      <c r="N37" s="74" t="n">
        <v>0.095</v>
      </c>
      <c r="O37" s="74" t="n">
        <v>0.095</v>
      </c>
      <c r="P37" s="74" t="n">
        <v>0.095</v>
      </c>
    </row>
    <row r="38">
      <c r="B38" s="69" t="inlineStr">
        <is>
          <t>Effective Tax Rate</t>
        </is>
      </c>
      <c r="F38" s="87" t="n"/>
      <c r="I38" s="92">
        <f>I81</f>
        <v/>
      </c>
      <c r="J38" s="92">
        <f>J81</f>
        <v/>
      </c>
      <c r="K38" s="93">
        <f>K81</f>
        <v/>
      </c>
      <c r="L38" s="74" t="n">
        <v>0.21</v>
      </c>
      <c r="M38" s="74">
        <f>L38</f>
        <v/>
      </c>
      <c r="N38" s="74">
        <f>M38</f>
        <v/>
      </c>
      <c r="O38" s="74">
        <f>N38</f>
        <v/>
      </c>
      <c r="P38" s="74">
        <f>O38</f>
        <v/>
      </c>
    </row>
    <row r="39">
      <c r="F39" s="87" t="n"/>
    </row>
    <row r="40">
      <c r="B40" s="69" t="inlineStr">
        <is>
          <t>Maintenance Capex</t>
        </is>
      </c>
      <c r="F40" s="87" t="n"/>
      <c r="I40" s="72">
        <f>29+22.5</f>
        <v/>
      </c>
      <c r="J40" s="72">
        <f>19+22</f>
        <v/>
      </c>
      <c r="K40" s="72" t="n">
        <v>19</v>
      </c>
      <c r="L40" s="69">
        <f>L41*L65</f>
        <v/>
      </c>
      <c r="M40" s="69">
        <f>M41*M65</f>
        <v/>
      </c>
      <c r="N40" s="69">
        <f>N41*N65</f>
        <v/>
      </c>
      <c r="O40" s="69">
        <f>O41*O65</f>
        <v/>
      </c>
      <c r="P40" s="69">
        <f>P41*P65</f>
        <v/>
      </c>
    </row>
    <row r="41">
      <c r="B41" s="69" t="inlineStr">
        <is>
          <t>Maintenance Capex / Sales</t>
        </is>
      </c>
      <c r="F41" s="87" t="n"/>
      <c r="I41" s="92">
        <f>I40/I65</f>
        <v/>
      </c>
      <c r="J41" s="92">
        <f>J40/J65</f>
        <v/>
      </c>
      <c r="K41" s="92">
        <f>K40/K65</f>
        <v/>
      </c>
      <c r="L41" s="74" t="n">
        <v>0.035</v>
      </c>
      <c r="M41" s="74" t="n">
        <v>0.035</v>
      </c>
      <c r="N41" s="74" t="n">
        <v>0.035</v>
      </c>
      <c r="O41" s="74" t="n">
        <v>0.035</v>
      </c>
      <c r="P41" s="74" t="n">
        <v>0.035</v>
      </c>
    </row>
    <row r="42">
      <c r="B42" s="69" t="inlineStr">
        <is>
          <t>Growth Capex</t>
        </is>
      </c>
      <c r="F42" s="87" t="n"/>
      <c r="I42" s="72" t="n">
        <v>164.5</v>
      </c>
      <c r="J42" s="72" t="n">
        <v>187</v>
      </c>
      <c r="K42" s="72" t="n">
        <v>64</v>
      </c>
      <c r="L42" s="69">
        <f>+L43*L29</f>
        <v/>
      </c>
      <c r="M42" s="69">
        <f>+M43*M29</f>
        <v/>
      </c>
      <c r="N42" s="69">
        <f>+N43*N29</f>
        <v/>
      </c>
      <c r="O42" s="69">
        <f>+O43*O29</f>
        <v/>
      </c>
      <c r="P42" s="69">
        <f>+P43*P29</f>
        <v/>
      </c>
    </row>
    <row r="43">
      <c r="B43" s="69" t="inlineStr">
        <is>
          <t>Growth Capex / New Stores</t>
        </is>
      </c>
      <c r="F43" s="87" t="n"/>
      <c r="I43" s="69">
        <f>I42/I29</f>
        <v/>
      </c>
      <c r="J43" s="69">
        <f>J42/J29</f>
        <v/>
      </c>
      <c r="K43" s="69">
        <f>K42/K29</f>
        <v/>
      </c>
      <c r="L43" s="90">
        <f>AVERAGE(I43:J43)</f>
        <v/>
      </c>
      <c r="M43" s="90">
        <f>L43</f>
        <v/>
      </c>
      <c r="N43" s="90">
        <f>M43</f>
        <v/>
      </c>
      <c r="O43" s="90">
        <f>N43</f>
        <v/>
      </c>
      <c r="P43" s="90">
        <f>O43</f>
        <v/>
      </c>
    </row>
    <row r="44">
      <c r="B44" s="69" t="inlineStr">
        <is>
          <t>Total Capex</t>
        </is>
      </c>
      <c r="F44" s="87" t="n"/>
      <c r="I44" s="69">
        <f>I40+I42</f>
        <v/>
      </c>
      <c r="J44" s="69">
        <f>J40+J42</f>
        <v/>
      </c>
      <c r="K44" s="69">
        <f>K40+K42</f>
        <v/>
      </c>
      <c r="L44" s="69">
        <f>L40+L42</f>
        <v/>
      </c>
      <c r="M44" s="69">
        <f>M40+M42</f>
        <v/>
      </c>
      <c r="N44" s="69">
        <f>N40+N42</f>
        <v/>
      </c>
      <c r="O44" s="69">
        <f>O40+O42</f>
        <v/>
      </c>
      <c r="P44" s="69">
        <f>P40+P42</f>
        <v/>
      </c>
    </row>
    <row r="45">
      <c r="F45" s="87" t="n"/>
    </row>
    <row r="46">
      <c r="B46" s="69" t="inlineStr">
        <is>
          <t>Inventory Days</t>
        </is>
      </c>
      <c r="F46" s="87" t="n"/>
      <c r="J46" s="69">
        <f>F101/J69*365</f>
        <v/>
      </c>
      <c r="K46" s="69">
        <f>G101/K69*365</f>
        <v/>
      </c>
      <c r="L46" s="90">
        <f>J46</f>
        <v/>
      </c>
      <c r="M46" s="90">
        <f>L46</f>
        <v/>
      </c>
      <c r="N46" s="90">
        <f>M46</f>
        <v/>
      </c>
      <c r="O46" s="90">
        <f>N46</f>
        <v/>
      </c>
      <c r="P46" s="90">
        <f>O46</f>
        <v/>
      </c>
    </row>
    <row r="47">
      <c r="B47" s="69" t="inlineStr">
        <is>
          <t>OCA / Sales</t>
        </is>
      </c>
      <c r="F47" s="87" t="n"/>
      <c r="J47" s="92">
        <f>F102/J65</f>
        <v/>
      </c>
      <c r="K47" s="92">
        <f>G102/K65</f>
        <v/>
      </c>
      <c r="L47" s="74">
        <f>J47</f>
        <v/>
      </c>
      <c r="M47" s="74">
        <f>L47</f>
        <v/>
      </c>
      <c r="N47" s="74">
        <f>M47</f>
        <v/>
      </c>
      <c r="O47" s="74">
        <f>N47</f>
        <v/>
      </c>
      <c r="P47" s="74">
        <f>O47</f>
        <v/>
      </c>
    </row>
    <row r="48">
      <c r="B48" s="69" t="inlineStr">
        <is>
          <t>Payable Days</t>
        </is>
      </c>
      <c r="F48" s="87" t="n"/>
      <c r="J48" s="69">
        <f>F110/J69*365</f>
        <v/>
      </c>
      <c r="K48" s="69">
        <f>G110/K69*365</f>
        <v/>
      </c>
      <c r="L48" s="90">
        <f>J48</f>
        <v/>
      </c>
      <c r="M48" s="90">
        <f>L48</f>
        <v/>
      </c>
      <c r="N48" s="90">
        <f>M48</f>
        <v/>
      </c>
      <c r="O48" s="90">
        <f>N48</f>
        <v/>
      </c>
      <c r="P48" s="90">
        <f>O48</f>
        <v/>
      </c>
    </row>
    <row r="49">
      <c r="B49" s="69" t="inlineStr">
        <is>
          <t>Accrued Liabilities / Sales</t>
        </is>
      </c>
      <c r="F49" s="87" t="n"/>
      <c r="J49" s="92">
        <f>F111/J65</f>
        <v/>
      </c>
      <c r="K49" s="92">
        <f>G111/K65</f>
        <v/>
      </c>
      <c r="L49" s="74">
        <f>J49</f>
        <v/>
      </c>
      <c r="M49" s="74">
        <f>L49</f>
        <v/>
      </c>
      <c r="N49" s="74">
        <f>M49</f>
        <v/>
      </c>
      <c r="O49" s="74">
        <f>N49</f>
        <v/>
      </c>
      <c r="P49" s="74">
        <f>O49</f>
        <v/>
      </c>
    </row>
    <row r="50">
      <c r="B50" s="69" t="inlineStr">
        <is>
          <t>OCL / Sales</t>
        </is>
      </c>
      <c r="F50" s="87" t="n"/>
      <c r="J50" s="92">
        <f>F112/J65</f>
        <v/>
      </c>
      <c r="K50" s="92">
        <f>G112/K65</f>
        <v/>
      </c>
      <c r="L50" s="74">
        <f>J50</f>
        <v/>
      </c>
      <c r="M50" s="74">
        <f>L50</f>
        <v/>
      </c>
      <c r="N50" s="74">
        <f>M50</f>
        <v/>
      </c>
      <c r="O50" s="74">
        <f>N50</f>
        <v/>
      </c>
      <c r="P50" s="74">
        <f>O50</f>
        <v/>
      </c>
    </row>
    <row r="51">
      <c r="F51" s="87" t="n"/>
    </row>
    <row r="52">
      <c r="B52" s="69" t="inlineStr">
        <is>
          <t>BoP DFF</t>
        </is>
      </c>
      <c r="F52" s="87" t="n"/>
      <c r="L52" s="69">
        <f>K54</f>
        <v/>
      </c>
      <c r="M52" s="69">
        <f>L54</f>
        <v/>
      </c>
      <c r="N52" s="69">
        <f>M54</f>
        <v/>
      </c>
      <c r="O52" s="69">
        <f>N54</f>
        <v/>
      </c>
      <c r="P52" s="69">
        <f>O54</f>
        <v/>
      </c>
    </row>
    <row r="53">
      <c r="B53" s="69" t="inlineStr">
        <is>
          <t>(-) Amortisation</t>
        </is>
      </c>
      <c r="F53" s="87" t="n"/>
      <c r="L53" s="69">
        <f>-$C$22/$F$23</f>
        <v/>
      </c>
      <c r="M53" s="69">
        <f>-$C$22/$F$23</f>
        <v/>
      </c>
      <c r="N53" s="69">
        <f>-$C$22/$F$23</f>
        <v/>
      </c>
      <c r="O53" s="69">
        <f>-$C$22/$F$23</f>
        <v/>
      </c>
      <c r="P53" s="69">
        <f>-$C$22/$F$23</f>
        <v/>
      </c>
    </row>
    <row r="54">
      <c r="B54" s="69" t="inlineStr">
        <is>
          <t>EoP DFF</t>
        </is>
      </c>
      <c r="F54" s="87" t="n"/>
      <c r="K54" s="69">
        <f>K106</f>
        <v/>
      </c>
      <c r="L54" s="69">
        <f>SUM(L52:L53)</f>
        <v/>
      </c>
      <c r="M54" s="69">
        <f>SUM(M52:M53)</f>
        <v/>
      </c>
      <c r="N54" s="69">
        <f>SUM(N52:N53)</f>
        <v/>
      </c>
      <c r="O54" s="69">
        <f>SUM(O52:O53)</f>
        <v/>
      </c>
      <c r="P54" s="69">
        <f>SUM(P52:P53)</f>
        <v/>
      </c>
    </row>
    <row r="55">
      <c r="F55" s="87" t="n"/>
    </row>
    <row r="56">
      <c r="B56" s="69" t="inlineStr">
        <is>
          <t>BoP PP&amp;E</t>
        </is>
      </c>
      <c r="F56" s="87" t="n"/>
      <c r="L56" s="69">
        <f>K59</f>
        <v/>
      </c>
      <c r="M56" s="69">
        <f>L59</f>
        <v/>
      </c>
      <c r="N56" s="69">
        <f>M59</f>
        <v/>
      </c>
      <c r="O56" s="69">
        <f>N59</f>
        <v/>
      </c>
      <c r="P56" s="69">
        <f>O59</f>
        <v/>
      </c>
    </row>
    <row r="57">
      <c r="B57" s="69" t="inlineStr">
        <is>
          <t>(+) Capex</t>
        </is>
      </c>
      <c r="F57" s="87" t="n"/>
      <c r="L57" s="69">
        <f>L44</f>
        <v/>
      </c>
      <c r="M57" s="69">
        <f>M44</f>
        <v/>
      </c>
      <c r="N57" s="69">
        <f>N44</f>
        <v/>
      </c>
      <c r="O57" s="69">
        <f>O44</f>
        <v/>
      </c>
      <c r="P57" s="69">
        <f>P44</f>
        <v/>
      </c>
    </row>
    <row r="58">
      <c r="B58" s="69" t="inlineStr">
        <is>
          <t>(-) D&amp;A</t>
        </is>
      </c>
      <c r="F58" s="87" t="n"/>
      <c r="L58" s="69">
        <f>-L37*L65</f>
        <v/>
      </c>
      <c r="M58" s="69">
        <f>-M37*M65</f>
        <v/>
      </c>
      <c r="N58" s="69">
        <f>-N37*N65</f>
        <v/>
      </c>
      <c r="O58" s="69">
        <f>-O37*O65</f>
        <v/>
      </c>
      <c r="P58" s="69">
        <f>-P37*P65</f>
        <v/>
      </c>
    </row>
    <row r="59">
      <c r="B59" s="69" t="inlineStr">
        <is>
          <t>EoP PP&amp;E</t>
        </is>
      </c>
      <c r="F59" s="87" t="n"/>
      <c r="K59" s="69">
        <f>K103</f>
        <v/>
      </c>
      <c r="L59" s="69">
        <f>SUM(L56:L58)</f>
        <v/>
      </c>
      <c r="M59" s="69">
        <f>SUM(M56:M58)</f>
        <v/>
      </c>
      <c r="N59" s="69">
        <f>SUM(N56:N58)</f>
        <v/>
      </c>
      <c r="O59" s="69">
        <f>SUM(O56:O58)</f>
        <v/>
      </c>
      <c r="P59" s="69">
        <f>SUM(P56:P58)</f>
        <v/>
      </c>
    </row>
    <row r="60">
      <c r="F60" s="87" t="n"/>
    </row>
    <row r="61">
      <c r="A61" s="69" t="inlineStr">
        <is>
          <t>x</t>
        </is>
      </c>
      <c r="B61" s="70" t="inlineStr">
        <is>
          <t>Income Statement</t>
        </is>
      </c>
      <c r="I61" s="88" t="n">
        <v>2019</v>
      </c>
      <c r="J61" s="88">
        <f>I61+1</f>
        <v/>
      </c>
      <c r="K61" s="88">
        <f>J61+1</f>
        <v/>
      </c>
      <c r="L61" s="88">
        <f>K61+1</f>
        <v/>
      </c>
      <c r="M61" s="88">
        <f>L61+1</f>
        <v/>
      </c>
      <c r="N61" s="88">
        <f>M61+1</f>
        <v/>
      </c>
      <c r="O61" s="88">
        <f>N61+1</f>
        <v/>
      </c>
      <c r="P61" s="88">
        <f>O61+1</f>
        <v/>
      </c>
      <c r="Q61" s="88" t="n"/>
      <c r="R61" s="88" t="n"/>
    </row>
    <row r="63">
      <c r="B63" s="69" t="inlineStr">
        <is>
          <t>Food and beverage revenues</t>
        </is>
      </c>
      <c r="I63" s="72" t="n">
        <v>536.4690000000001</v>
      </c>
      <c r="J63" s="72" t="n">
        <v>563.576</v>
      </c>
      <c r="K63" s="72" t="n">
        <v>159.501</v>
      </c>
      <c r="L63" s="69">
        <f>L28*L30</f>
        <v/>
      </c>
      <c r="M63" s="69">
        <f>M28*M30</f>
        <v/>
      </c>
      <c r="N63" s="69">
        <f>N28*N30</f>
        <v/>
      </c>
      <c r="O63" s="69">
        <f>O28*O30</f>
        <v/>
      </c>
      <c r="P63" s="69">
        <f>P28*P30</f>
        <v/>
      </c>
    </row>
    <row r="64">
      <c r="B64" s="69" t="inlineStr">
        <is>
          <t>Amusement and other revenues</t>
        </is>
      </c>
      <c r="I64" s="72" t="n">
        <v>728.832</v>
      </c>
      <c r="J64" s="72" t="n">
        <v>791.115</v>
      </c>
      <c r="K64" s="72" t="n">
        <v>277.011</v>
      </c>
      <c r="L64" s="69">
        <f>L28*L31</f>
        <v/>
      </c>
      <c r="M64" s="69">
        <f>M28*M31</f>
        <v/>
      </c>
      <c r="N64" s="69">
        <f>N28*N31</f>
        <v/>
      </c>
      <c r="O64" s="69">
        <f>O28*O31</f>
        <v/>
      </c>
      <c r="P64" s="69">
        <f>P28*P31</f>
        <v/>
      </c>
    </row>
    <row r="65" customFormat="1" s="70">
      <c r="B65" s="75" t="inlineStr">
        <is>
          <t>Total revenues</t>
        </is>
      </c>
      <c r="C65" s="75" t="n"/>
      <c r="D65" s="75" t="n"/>
      <c r="E65" s="75" t="n"/>
      <c r="F65" s="75" t="n"/>
      <c r="G65" s="75" t="n"/>
      <c r="H65" s="75" t="n"/>
      <c r="I65" s="75">
        <f>SUM(I63:I64)</f>
        <v/>
      </c>
      <c r="J65" s="75">
        <f>SUM(J63:J64)</f>
        <v/>
      </c>
      <c r="K65" s="75">
        <f>SUM(K63:K64)</f>
        <v/>
      </c>
      <c r="L65" s="75">
        <f>SUM(L63:L64)</f>
        <v/>
      </c>
      <c r="M65" s="75">
        <f>SUM(M63:M64)</f>
        <v/>
      </c>
      <c r="N65" s="75">
        <f>SUM(N63:N64)</f>
        <v/>
      </c>
      <c r="O65" s="75">
        <f>SUM(O63:O64)</f>
        <v/>
      </c>
      <c r="P65" s="75">
        <f>SUM(P63:P64)</f>
        <v/>
      </c>
    </row>
    <row r="66" customFormat="1" s="66">
      <c r="B66" s="94" t="inlineStr">
        <is>
          <t>% growth</t>
        </is>
      </c>
      <c r="J66" s="95">
        <f>J65/I65-1</f>
        <v/>
      </c>
      <c r="K66" s="95">
        <f>K65/J65-1</f>
        <v/>
      </c>
      <c r="L66" s="95">
        <f>L65/K65-1</f>
        <v/>
      </c>
      <c r="M66" s="95">
        <f>M65/L65-1</f>
        <v/>
      </c>
      <c r="N66" s="95">
        <f>N65/M65-1</f>
        <v/>
      </c>
      <c r="O66" s="95">
        <f>O65/N65-1</f>
        <v/>
      </c>
      <c r="P66" s="95">
        <f>P65/O65-1</f>
        <v/>
      </c>
    </row>
    <row r="67">
      <c r="B67" s="69" t="inlineStr">
        <is>
          <t>Cost of food and beverage</t>
        </is>
      </c>
      <c r="I67" s="72" t="n">
        <v>139.199</v>
      </c>
      <c r="J67" s="72" t="n">
        <v>148.196</v>
      </c>
      <c r="K67" s="72" t="n">
        <v>45.207</v>
      </c>
      <c r="L67" s="69">
        <f>L32*L63</f>
        <v/>
      </c>
      <c r="M67" s="69">
        <f>M32*M63</f>
        <v/>
      </c>
      <c r="N67" s="69">
        <f>N32*N63</f>
        <v/>
      </c>
      <c r="O67" s="69">
        <f>O32*O63</f>
        <v/>
      </c>
      <c r="P67" s="69">
        <f>P32*P63</f>
        <v/>
      </c>
    </row>
    <row r="68">
      <c r="B68" s="69" t="inlineStr">
        <is>
          <t>Cost of amusement and other</t>
        </is>
      </c>
      <c r="I68" s="72" t="n">
        <v>81.06399999999999</v>
      </c>
      <c r="J68" s="72" t="n">
        <v>85.11499999999999</v>
      </c>
      <c r="K68" s="72" t="n">
        <v>29.698</v>
      </c>
      <c r="L68" s="69">
        <f>L33*L64</f>
        <v/>
      </c>
      <c r="M68" s="69">
        <f>M33*M64</f>
        <v/>
      </c>
      <c r="N68" s="69">
        <f>N33*N64</f>
        <v/>
      </c>
      <c r="O68" s="69">
        <f>O33*O64</f>
        <v/>
      </c>
      <c r="P68" s="69">
        <f>P33*P64</f>
        <v/>
      </c>
    </row>
    <row r="69" customFormat="1" s="70">
      <c r="B69" s="77" t="inlineStr">
        <is>
          <t>Total cost of products</t>
        </is>
      </c>
      <c r="C69" s="77" t="n"/>
      <c r="D69" s="77" t="n"/>
      <c r="E69" s="77" t="n"/>
      <c r="F69" s="77" t="n"/>
      <c r="G69" s="77" t="n"/>
      <c r="H69" s="77" t="n"/>
      <c r="I69" s="77">
        <f>SUM(I67:I68)</f>
        <v/>
      </c>
      <c r="J69" s="77">
        <f>SUM(J67:J68)</f>
        <v/>
      </c>
      <c r="K69" s="77">
        <f>SUM(K67:K68)</f>
        <v/>
      </c>
      <c r="L69" s="77">
        <f>SUM(L67:L68)</f>
        <v/>
      </c>
      <c r="M69" s="77">
        <f>SUM(M67:M68)</f>
        <v/>
      </c>
      <c r="N69" s="77">
        <f>SUM(N67:N68)</f>
        <v/>
      </c>
      <c r="O69" s="77">
        <f>SUM(O67:O68)</f>
        <v/>
      </c>
      <c r="P69" s="77">
        <f>SUM(P67:P68)</f>
        <v/>
      </c>
    </row>
    <row r="70" customFormat="1" s="70">
      <c r="B70" s="94" t="inlineStr">
        <is>
          <t>% margin</t>
        </is>
      </c>
      <c r="C70" s="66" t="n"/>
      <c r="D70" s="66" t="n"/>
      <c r="E70" s="66" t="n"/>
      <c r="F70" s="66" t="n"/>
      <c r="G70" s="66" t="n"/>
      <c r="H70" s="66" t="n"/>
      <c r="I70" s="95">
        <f>I69/I$65</f>
        <v/>
      </c>
      <c r="J70" s="95">
        <f>J69/J$65</f>
        <v/>
      </c>
      <c r="K70" s="95">
        <f>K69/K$65</f>
        <v/>
      </c>
      <c r="L70" s="95">
        <f>L69/L$65</f>
        <v/>
      </c>
      <c r="M70" s="95">
        <f>M69/M$65</f>
        <v/>
      </c>
      <c r="N70" s="95">
        <f>N69/N$65</f>
        <v/>
      </c>
      <c r="O70" s="95">
        <f>O69/O$65</f>
        <v/>
      </c>
      <c r="P70" s="95">
        <f>P69/P$65</f>
        <v/>
      </c>
    </row>
    <row r="71">
      <c r="B71" s="69" t="inlineStr">
        <is>
          <t>SG&amp;A</t>
        </is>
      </c>
      <c r="I71" s="72" t="n">
        <v>742.5999999999999</v>
      </c>
      <c r="J71" s="72" t="n">
        <v>821.8700000000001</v>
      </c>
      <c r="K71" s="72" t="n">
        <v>464.154</v>
      </c>
      <c r="L71" s="69">
        <f>L34*L65</f>
        <v/>
      </c>
      <c r="M71" s="69">
        <f>M34*M65</f>
        <v/>
      </c>
      <c r="N71" s="69">
        <f>N34*N65</f>
        <v/>
      </c>
      <c r="O71" s="69">
        <f>O34*O65</f>
        <v/>
      </c>
      <c r="P71" s="69">
        <f>P34*P65</f>
        <v/>
      </c>
    </row>
    <row r="72">
      <c r="B72" s="69" t="inlineStr">
        <is>
          <t>Depreciation and amortization expense</t>
        </is>
      </c>
      <c r="I72" s="72" t="n">
        <v>118.275</v>
      </c>
      <c r="J72" s="72" t="n">
        <v>132.46</v>
      </c>
      <c r="K72" s="72" t="n">
        <v>138.789</v>
      </c>
      <c r="L72" s="69">
        <f>L37*L65</f>
        <v/>
      </c>
      <c r="M72" s="69">
        <f>M37*M65</f>
        <v/>
      </c>
      <c r="N72" s="69">
        <f>N37*N65</f>
        <v/>
      </c>
      <c r="O72" s="69">
        <f>O37*O65</f>
        <v/>
      </c>
      <c r="P72" s="69">
        <f>P37*P65</f>
        <v/>
      </c>
    </row>
    <row r="73">
      <c r="B73" s="69" t="inlineStr">
        <is>
          <t>DFF Amortisation</t>
        </is>
      </c>
      <c r="I73" s="72" t="n">
        <v>0</v>
      </c>
      <c r="J73" s="72" t="n">
        <v>0</v>
      </c>
      <c r="K73" s="72" t="n">
        <v>0</v>
      </c>
      <c r="L73" s="69">
        <f>L53</f>
        <v/>
      </c>
      <c r="M73" s="69">
        <f>M53</f>
        <v/>
      </c>
      <c r="N73" s="69">
        <f>N53</f>
        <v/>
      </c>
      <c r="O73" s="69">
        <f>O53</f>
        <v/>
      </c>
      <c r="P73" s="69">
        <f>P53</f>
        <v/>
      </c>
    </row>
    <row r="74">
      <c r="B74" s="69" t="inlineStr">
        <is>
          <t>Pre-opening costs</t>
        </is>
      </c>
      <c r="I74" s="72" t="n">
        <v>23.163</v>
      </c>
      <c r="J74" s="72" t="n">
        <v>18.971</v>
      </c>
      <c r="K74" s="72" t="n">
        <v>11.276</v>
      </c>
      <c r="L74" s="69">
        <f>L36*L65</f>
        <v/>
      </c>
      <c r="M74" s="69">
        <f>M36*M65</f>
        <v/>
      </c>
      <c r="N74" s="69">
        <f>N36*N65</f>
        <v/>
      </c>
      <c r="O74" s="69">
        <f>O36*O65</f>
        <v/>
      </c>
      <c r="P74" s="69">
        <f>P36*P65</f>
        <v/>
      </c>
    </row>
    <row r="75">
      <c r="B75" s="75" t="inlineStr">
        <is>
          <t>Operating income (loss)</t>
        </is>
      </c>
      <c r="C75" s="75" t="n"/>
      <c r="D75" s="75" t="n"/>
      <c r="E75" s="75" t="n"/>
      <c r="F75" s="75" t="n"/>
      <c r="G75" s="75" t="n"/>
      <c r="H75" s="75" t="n"/>
      <c r="I75" s="75">
        <f>I65-I69-SUM(I71:I74)</f>
        <v/>
      </c>
      <c r="J75" s="75">
        <f>J65-J69-SUM(J71:J74)</f>
        <v/>
      </c>
      <c r="K75" s="75">
        <f>K65-K69-SUM(K71:K74)</f>
        <v/>
      </c>
      <c r="L75" s="75">
        <f>L65-L69-SUM(L71:L74)</f>
        <v/>
      </c>
      <c r="M75" s="75">
        <f>M65-M69-SUM(M71:M74)</f>
        <v/>
      </c>
      <c r="N75" s="75">
        <f>N65-N69-SUM(N71:N74)</f>
        <v/>
      </c>
      <c r="O75" s="75">
        <f>O65-O69-SUM(O71:O74)</f>
        <v/>
      </c>
      <c r="P75" s="75">
        <f>P65-P69-SUM(P71:P74)</f>
        <v/>
      </c>
    </row>
    <row r="76">
      <c r="B76" s="94" t="inlineStr">
        <is>
          <t>% margin</t>
        </is>
      </c>
      <c r="C76" s="66" t="n"/>
      <c r="D76" s="66" t="n"/>
      <c r="E76" s="66" t="n"/>
      <c r="F76" s="66" t="n"/>
      <c r="G76" s="66" t="n"/>
      <c r="H76" s="66" t="n"/>
      <c r="I76" s="95">
        <f>I75/I$65</f>
        <v/>
      </c>
      <c r="J76" s="95">
        <f>J75/J$65</f>
        <v/>
      </c>
      <c r="K76" s="95">
        <f>K75/K$65</f>
        <v/>
      </c>
      <c r="L76" s="95">
        <f>L75/L$65</f>
        <v/>
      </c>
      <c r="M76" s="95">
        <f>M75/M$65</f>
        <v/>
      </c>
      <c r="N76" s="95">
        <f>N75/N$65</f>
        <v/>
      </c>
      <c r="O76" s="95">
        <f>O75/O$65</f>
        <v/>
      </c>
      <c r="P76" s="95">
        <f>P75/P$65</f>
        <v/>
      </c>
    </row>
    <row r="77">
      <c r="B77" s="69" t="inlineStr">
        <is>
          <t>Interest expense, net</t>
        </is>
      </c>
      <c r="I77" s="72" t="n">
        <v>13.113</v>
      </c>
      <c r="J77" s="72" t="n">
        <v>20.937</v>
      </c>
      <c r="K77" s="72" t="n">
        <v>36.89</v>
      </c>
      <c r="L77" s="69">
        <f>IF($F$20=1,L177,0)</f>
        <v/>
      </c>
      <c r="M77" s="69">
        <f>IF($F$20=1,M177,0)</f>
        <v/>
      </c>
      <c r="N77" s="69">
        <f>IF($F$20=1,N177,0)</f>
        <v/>
      </c>
      <c r="O77" s="69">
        <f>IF($F$20=1,O177,0)</f>
        <v/>
      </c>
      <c r="P77" s="69">
        <f>IF($F$20=1,P177,0)</f>
        <v/>
      </c>
    </row>
    <row r="78">
      <c r="B78" s="69" t="inlineStr">
        <is>
          <t>Loss on debt refinance</t>
        </is>
      </c>
      <c r="I78" s="72" t="n">
        <v>0</v>
      </c>
      <c r="J78" s="72" t="n">
        <v>0</v>
      </c>
      <c r="K78" s="72" t="n">
        <v>0.904</v>
      </c>
      <c r="L78" s="72" t="n">
        <v>0</v>
      </c>
      <c r="M78" s="72" t="n">
        <v>0</v>
      </c>
      <c r="N78" s="72" t="n">
        <v>0</v>
      </c>
      <c r="O78" s="72" t="n">
        <v>0</v>
      </c>
      <c r="P78" s="72" t="n">
        <v>0</v>
      </c>
    </row>
    <row r="79">
      <c r="B79" s="77" t="inlineStr">
        <is>
          <t>Income (loss) before provision (benefit) for income taxes</t>
        </is>
      </c>
      <c r="C79" s="77" t="n"/>
      <c r="D79" s="77" t="n"/>
      <c r="E79" s="77" t="n"/>
      <c r="F79" s="77" t="n"/>
      <c r="G79" s="77" t="n"/>
      <c r="H79" s="77" t="n"/>
      <c r="I79" s="77">
        <f>I75-SUM(I77:I78)</f>
        <v/>
      </c>
      <c r="J79" s="77">
        <f>J75-SUM(J77:J78)</f>
        <v/>
      </c>
      <c r="K79" s="77">
        <f>K75-SUM(K77:K78)</f>
        <v/>
      </c>
      <c r="L79" s="77">
        <f>L75-SUM(L77:L78)</f>
        <v/>
      </c>
      <c r="M79" s="77">
        <f>M75-SUM(M77:M78)</f>
        <v/>
      </c>
      <c r="N79" s="77">
        <f>N75-SUM(N77:N78)</f>
        <v/>
      </c>
      <c r="O79" s="77">
        <f>O75-SUM(O77:O78)</f>
        <v/>
      </c>
      <c r="P79" s="77">
        <f>P75-SUM(P77:P78)</f>
        <v/>
      </c>
    </row>
    <row r="80">
      <c r="B80" s="69" t="inlineStr">
        <is>
          <t>Provision (benefit) for income taxes</t>
        </is>
      </c>
      <c r="I80" s="72" t="n">
        <v>30.666</v>
      </c>
      <c r="J80" s="72" t="n">
        <v>26.879</v>
      </c>
      <c r="K80" s="72" t="n">
        <v>-83.432</v>
      </c>
      <c r="L80" s="69">
        <f>L38*L79</f>
        <v/>
      </c>
      <c r="M80" s="69">
        <f>M38*M79</f>
        <v/>
      </c>
      <c r="N80" s="69">
        <f>N38*N79</f>
        <v/>
      </c>
      <c r="O80" s="69">
        <f>O38*O79</f>
        <v/>
      </c>
      <c r="P80" s="69">
        <f>P38*P79</f>
        <v/>
      </c>
    </row>
    <row r="81">
      <c r="B81" s="94" t="inlineStr">
        <is>
          <t>% ETR</t>
        </is>
      </c>
      <c r="C81" s="66" t="n"/>
      <c r="D81" s="66" t="n"/>
      <c r="E81" s="66" t="n"/>
      <c r="F81" s="66" t="n"/>
      <c r="G81" s="66" t="n"/>
      <c r="H81" s="66" t="n"/>
      <c r="I81" s="95">
        <f>I80/I79</f>
        <v/>
      </c>
      <c r="J81" s="95">
        <f>J80/J79</f>
        <v/>
      </c>
      <c r="K81" s="95">
        <f>K80/K79</f>
        <v/>
      </c>
      <c r="L81" s="95">
        <f>L80/L79</f>
        <v/>
      </c>
      <c r="M81" s="95">
        <f>M80/M79</f>
        <v/>
      </c>
      <c r="N81" s="95">
        <f>N80/N79</f>
        <v/>
      </c>
      <c r="O81" s="95">
        <f>O80/O79</f>
        <v/>
      </c>
      <c r="P81" s="95">
        <f>P80/P79</f>
        <v/>
      </c>
    </row>
    <row r="82">
      <c r="B82" s="82" t="inlineStr">
        <is>
          <t>Net income (loss)</t>
        </is>
      </c>
      <c r="C82" s="82" t="n"/>
      <c r="D82" s="82" t="n"/>
      <c r="E82" s="82" t="n"/>
      <c r="F82" s="82" t="n"/>
      <c r="G82" s="82" t="n"/>
      <c r="H82" s="82" t="n"/>
      <c r="I82" s="82">
        <f>I79-I80</f>
        <v/>
      </c>
      <c r="J82" s="82">
        <f>J79-J80</f>
        <v/>
      </c>
      <c r="K82" s="82">
        <f>K79-K80</f>
        <v/>
      </c>
      <c r="L82" s="82">
        <f>L79-L80</f>
        <v/>
      </c>
      <c r="M82" s="82">
        <f>M79-M80</f>
        <v/>
      </c>
      <c r="N82" s="82">
        <f>N79-N80</f>
        <v/>
      </c>
      <c r="O82" s="82">
        <f>O79-O80</f>
        <v/>
      </c>
      <c r="P82" s="82">
        <f>P79-P80</f>
        <v/>
      </c>
    </row>
    <row r="83">
      <c r="B83" s="94" t="inlineStr">
        <is>
          <t>% margin</t>
        </is>
      </c>
      <c r="C83" s="66" t="n"/>
      <c r="D83" s="66" t="n"/>
      <c r="E83" s="66" t="n"/>
      <c r="F83" s="66" t="n"/>
      <c r="G83" s="66" t="n"/>
      <c r="H83" s="66" t="n"/>
      <c r="I83" s="95">
        <f>I82/I$65</f>
        <v/>
      </c>
      <c r="J83" s="95">
        <f>J82/J$65</f>
        <v/>
      </c>
      <c r="K83" s="95">
        <f>K82/K$65</f>
        <v/>
      </c>
      <c r="L83" s="95">
        <f>L82/L$65</f>
        <v/>
      </c>
      <c r="M83" s="95">
        <f>M82/M$65</f>
        <v/>
      </c>
      <c r="N83" s="95">
        <f>N82/N$65</f>
        <v/>
      </c>
      <c r="O83" s="95">
        <f>O82/O$65</f>
        <v/>
      </c>
      <c r="P83" s="95">
        <f>P82/P$65</f>
        <v/>
      </c>
    </row>
    <row r="85">
      <c r="B85" s="69" t="inlineStr">
        <is>
          <t>EBITDA</t>
        </is>
      </c>
      <c r="I85" s="69">
        <f>I82+I77+I78+I80+I72</f>
        <v/>
      </c>
      <c r="J85" s="69">
        <f>J82+J77+J78+J80+J72</f>
        <v/>
      </c>
      <c r="K85" s="69">
        <f>K82+K77+K78+K80+K72</f>
        <v/>
      </c>
      <c r="L85" s="69">
        <f>L82+L77+L78+L80+L72</f>
        <v/>
      </c>
      <c r="M85" s="69">
        <f>M82+M77+M78+M80+M72</f>
        <v/>
      </c>
      <c r="N85" s="69">
        <f>N82+N77+N78+N80+N72</f>
        <v/>
      </c>
      <c r="O85" s="69">
        <f>O82+O77+O78+O80+O72</f>
        <v/>
      </c>
      <c r="P85" s="69">
        <f>P82+P77+P78+P80+P72</f>
        <v/>
      </c>
    </row>
    <row r="86">
      <c r="B86" s="69" t="inlineStr">
        <is>
          <t>Loss on asset disposal</t>
        </is>
      </c>
      <c r="I86" s="72" t="n">
        <v>1.121</v>
      </c>
      <c r="J86" s="72" t="n">
        <v>1.813</v>
      </c>
      <c r="K86" s="72" t="n">
        <v>0.577</v>
      </c>
      <c r="L86" s="72" t="n">
        <v>0</v>
      </c>
      <c r="M86" s="72" t="n">
        <v>0</v>
      </c>
      <c r="N86" s="72" t="n">
        <v>0</v>
      </c>
      <c r="O86" s="72" t="n">
        <v>0</v>
      </c>
      <c r="P86" s="72" t="n">
        <v>0</v>
      </c>
    </row>
    <row r="87">
      <c r="B87" s="69" t="inlineStr">
        <is>
          <t>Impairment of long-lived assets and lease termination costs</t>
        </is>
      </c>
      <c r="I87" s="72" t="n">
        <v>0</v>
      </c>
      <c r="J87" s="72" t="n">
        <v>0</v>
      </c>
      <c r="K87" s="72" t="n">
        <v>13.727</v>
      </c>
      <c r="L87" s="72" t="n">
        <v>0</v>
      </c>
      <c r="M87" s="72" t="n">
        <v>0</v>
      </c>
      <c r="N87" s="72" t="n">
        <v>0</v>
      </c>
      <c r="O87" s="72" t="n">
        <v>0</v>
      </c>
      <c r="P87" s="72" t="n">
        <v>0</v>
      </c>
    </row>
    <row r="88">
      <c r="B88" s="69" t="inlineStr">
        <is>
          <t>Share-based compensation</t>
        </is>
      </c>
      <c r="I88" s="72" t="n">
        <v>7.422</v>
      </c>
      <c r="J88" s="72" t="n">
        <v>6.857</v>
      </c>
      <c r="K88" s="72" t="n">
        <v>6.985</v>
      </c>
      <c r="L88" s="69">
        <f>L35*L65</f>
        <v/>
      </c>
      <c r="M88" s="69">
        <f>M35*M65</f>
        <v/>
      </c>
      <c r="N88" s="69">
        <f>N35*N65</f>
        <v/>
      </c>
      <c r="O88" s="69">
        <f>O35*O65</f>
        <v/>
      </c>
      <c r="P88" s="69">
        <f>P35*P65</f>
        <v/>
      </c>
    </row>
    <row r="89">
      <c r="B89" s="69" t="inlineStr">
        <is>
          <t>Pre-opening costs</t>
        </is>
      </c>
      <c r="I89" s="69">
        <f>I74</f>
        <v/>
      </c>
      <c r="J89" s="69">
        <f>J74</f>
        <v/>
      </c>
      <c r="K89" s="69">
        <f>K74</f>
        <v/>
      </c>
      <c r="L89" s="69">
        <f>L74</f>
        <v/>
      </c>
      <c r="M89" s="69">
        <f>M74</f>
        <v/>
      </c>
      <c r="N89" s="69">
        <f>N74</f>
        <v/>
      </c>
      <c r="O89" s="69">
        <f>O74</f>
        <v/>
      </c>
      <c r="P89" s="69">
        <f>P74</f>
        <v/>
      </c>
    </row>
    <row r="90">
      <c r="B90" s="69" t="inlineStr">
        <is>
          <t>Other costs</t>
        </is>
      </c>
      <c r="I90" s="72" t="n">
        <v>0.136</v>
      </c>
      <c r="J90" s="72" t="n">
        <v>0.042</v>
      </c>
      <c r="K90" s="72" t="n">
        <v>-0.015</v>
      </c>
      <c r="L90" s="72" t="n">
        <v>0</v>
      </c>
      <c r="M90" s="72" t="n">
        <v>0</v>
      </c>
      <c r="N90" s="72" t="n">
        <v>0</v>
      </c>
      <c r="O90" s="72" t="n">
        <v>0</v>
      </c>
      <c r="P90" s="72" t="n">
        <v>0</v>
      </c>
    </row>
    <row r="91">
      <c r="B91" s="69" t="inlineStr">
        <is>
          <t>DFF Amortisation</t>
        </is>
      </c>
      <c r="I91" s="69">
        <f>-I73</f>
        <v/>
      </c>
      <c r="J91" s="69">
        <f>-J73</f>
        <v/>
      </c>
      <c r="K91" s="69">
        <f>-K73</f>
        <v/>
      </c>
      <c r="L91" s="69">
        <f>-L73</f>
        <v/>
      </c>
      <c r="M91" s="69">
        <f>-M73</f>
        <v/>
      </c>
      <c r="N91" s="69">
        <f>-N73</f>
        <v/>
      </c>
      <c r="O91" s="69">
        <f>-O73</f>
        <v/>
      </c>
      <c r="P91" s="69">
        <f>-P73</f>
        <v/>
      </c>
    </row>
    <row r="92">
      <c r="B92" s="75" t="inlineStr">
        <is>
          <t>Adjusted EBITDA</t>
        </is>
      </c>
      <c r="C92" s="75" t="n"/>
      <c r="D92" s="75" t="n"/>
      <c r="E92" s="75" t="n"/>
      <c r="F92" s="75" t="n"/>
      <c r="G92" s="75" t="n"/>
      <c r="H92" s="75" t="n"/>
      <c r="I92" s="75">
        <f>SUM(I85:I91)</f>
        <v/>
      </c>
      <c r="J92" s="75">
        <f>SUM(J85:J91)</f>
        <v/>
      </c>
      <c r="K92" s="75">
        <f>SUM(K85:K91)</f>
        <v/>
      </c>
      <c r="L92" s="75">
        <f>SUM(L85:L91)</f>
        <v/>
      </c>
      <c r="M92" s="75">
        <f>SUM(M85:M91)</f>
        <v/>
      </c>
      <c r="N92" s="75">
        <f>SUM(N85:N91)</f>
        <v/>
      </c>
      <c r="O92" s="75">
        <f>SUM(O85:O91)</f>
        <v/>
      </c>
      <c r="P92" s="75">
        <f>SUM(P85:P91)</f>
        <v/>
      </c>
    </row>
    <row r="93">
      <c r="B93" s="94" t="inlineStr">
        <is>
          <t>% margin</t>
        </is>
      </c>
      <c r="C93" s="66" t="n"/>
      <c r="D93" s="66" t="n"/>
      <c r="E93" s="66" t="n"/>
      <c r="F93" s="66" t="n"/>
      <c r="G93" s="66" t="n"/>
      <c r="H93" s="66" t="n"/>
      <c r="I93" s="95">
        <f>I92/I$65</f>
        <v/>
      </c>
      <c r="J93" s="95">
        <f>J92/J$65</f>
        <v/>
      </c>
      <c r="K93" s="95">
        <f>K92/K$65</f>
        <v/>
      </c>
      <c r="L93" s="95">
        <f>L92/L$65</f>
        <v/>
      </c>
      <c r="M93" s="95">
        <f>M92/M$65</f>
        <v/>
      </c>
      <c r="N93" s="95">
        <f>N92/N$65</f>
        <v/>
      </c>
      <c r="O93" s="95">
        <f>O92/O$65</f>
        <v/>
      </c>
      <c r="P93" s="95">
        <f>P92/P$65</f>
        <v/>
      </c>
    </row>
    <row r="94">
      <c r="B94" s="94" t="n"/>
      <c r="C94" s="66" t="n"/>
      <c r="D94" s="66" t="n"/>
      <c r="E94" s="66" t="n"/>
      <c r="F94" s="66" t="n"/>
      <c r="G94" s="66" t="n"/>
      <c r="H94" s="66" t="n"/>
      <c r="I94" s="95" t="n"/>
      <c r="J94" s="95" t="n"/>
      <c r="K94" s="95" t="n"/>
      <c r="L94" s="95" t="n"/>
      <c r="M94" s="95" t="n"/>
      <c r="N94" s="95" t="n"/>
      <c r="O94" s="95" t="n"/>
      <c r="P94" s="95" t="n"/>
    </row>
    <row r="95">
      <c r="B95" s="69" t="inlineStr">
        <is>
          <t>NOPAT</t>
        </is>
      </c>
      <c r="I95" s="69">
        <f>(I92-I72)*(1-I81)</f>
        <v/>
      </c>
      <c r="J95" s="69">
        <f>(J92-J72)*(1-J81)</f>
        <v/>
      </c>
      <c r="K95" s="69">
        <f>(K92-K72)*(1-K81)</f>
        <v/>
      </c>
      <c r="L95" s="69">
        <f>(L92-L72)*(1-L81)</f>
        <v/>
      </c>
      <c r="M95" s="69">
        <f>(M92-M72)*(1-M81)</f>
        <v/>
      </c>
      <c r="N95" s="69">
        <f>(N92-N72)*(1-N81)</f>
        <v/>
      </c>
      <c r="O95" s="69">
        <f>(O92-O72)*(1-O81)</f>
        <v/>
      </c>
      <c r="P95" s="69">
        <f>(P92-P72)*(1-P81)</f>
        <v/>
      </c>
    </row>
    <row r="96">
      <c r="B96" s="94" t="inlineStr">
        <is>
          <t>% margin</t>
        </is>
      </c>
      <c r="C96" s="66" t="n"/>
      <c r="D96" s="66" t="n"/>
      <c r="E96" s="66" t="n"/>
      <c r="F96" s="66" t="n"/>
      <c r="G96" s="66" t="n"/>
      <c r="H96" s="66" t="n"/>
      <c r="I96" s="95">
        <f>I95/I$65</f>
        <v/>
      </c>
      <c r="J96" s="95">
        <f>J95/J$65</f>
        <v/>
      </c>
      <c r="K96" s="95">
        <f>K95/K$65</f>
        <v/>
      </c>
      <c r="L96" s="95">
        <f>L95/L$65</f>
        <v/>
      </c>
      <c r="M96" s="95">
        <f>M95/M$65</f>
        <v/>
      </c>
      <c r="N96" s="95">
        <f>N95/N$65</f>
        <v/>
      </c>
      <c r="O96" s="95">
        <f>O95/O$65</f>
        <v/>
      </c>
      <c r="P96" s="95">
        <f>P95/P$65</f>
        <v/>
      </c>
    </row>
    <row r="97">
      <c r="B97" s="94" t="n"/>
      <c r="C97" s="66" t="n"/>
      <c r="D97" s="66" t="n"/>
      <c r="E97" s="66" t="n"/>
      <c r="F97" s="66" t="n"/>
      <c r="G97" s="66" t="n"/>
      <c r="H97" s="66" t="n"/>
      <c r="I97" s="95" t="n"/>
      <c r="J97" s="95" t="n"/>
      <c r="K97" s="95" t="n"/>
      <c r="L97" s="95" t="n"/>
      <c r="M97" s="95" t="n"/>
      <c r="N97" s="95" t="n"/>
      <c r="O97" s="95" t="n"/>
      <c r="P97" s="95" t="n"/>
    </row>
    <row r="98">
      <c r="A98" s="69" t="inlineStr">
        <is>
          <t>x</t>
        </is>
      </c>
      <c r="B98" s="70" t="inlineStr">
        <is>
          <t>Balance Sheet</t>
        </is>
      </c>
      <c r="F98" s="88" t="n">
        <v>2020</v>
      </c>
      <c r="G98" s="88">
        <f>F98+1</f>
        <v/>
      </c>
      <c r="I98" s="96" t="inlineStr">
        <is>
          <t>Debit</t>
        </is>
      </c>
      <c r="J98" s="96" t="inlineStr">
        <is>
          <t>Credit</t>
        </is>
      </c>
      <c r="K98" s="97" t="inlineStr">
        <is>
          <t>PF FY2021</t>
        </is>
      </c>
      <c r="L98" s="88">
        <f>G98+1</f>
        <v/>
      </c>
      <c r="M98" s="88">
        <f>L98+1</f>
        <v/>
      </c>
      <c r="N98" s="88">
        <f>M98+1</f>
        <v/>
      </c>
      <c r="O98" s="88">
        <f>N98+1</f>
        <v/>
      </c>
      <c r="P98" s="88">
        <f>O98+1</f>
        <v/>
      </c>
    </row>
    <row r="99">
      <c r="I99" s="98" t="n"/>
      <c r="J99" s="98" t="n"/>
      <c r="K99" s="99" t="n"/>
    </row>
    <row r="100">
      <c r="B100" s="69" t="inlineStr">
        <is>
          <t>Cash and cash equivalents</t>
        </is>
      </c>
      <c r="F100" s="72" t="n">
        <v>24.655</v>
      </c>
      <c r="G100" s="72" t="n">
        <v>11.891</v>
      </c>
      <c r="I100" s="98">
        <f>F21</f>
        <v/>
      </c>
      <c r="J100" s="98">
        <f>G100</f>
        <v/>
      </c>
      <c r="K100" s="99">
        <f>G100+I100-J100</f>
        <v/>
      </c>
      <c r="L100" s="69">
        <f>IF($F$20=1,L150,0)</f>
        <v/>
      </c>
      <c r="M100" s="69">
        <f>IF($F$20=1,M150,0)</f>
        <v/>
      </c>
      <c r="N100" s="69">
        <f>IF($F$20=1,N150,0)</f>
        <v/>
      </c>
      <c r="O100" s="69">
        <f>IF($F$20=1,O150,0)</f>
        <v/>
      </c>
      <c r="P100" s="69">
        <f>IF($F$20=1,P150,0)</f>
        <v/>
      </c>
    </row>
    <row r="101">
      <c r="B101" s="69" t="inlineStr">
        <is>
          <t>Inventories</t>
        </is>
      </c>
      <c r="F101" s="72" t="n">
        <v>34.477</v>
      </c>
      <c r="G101" s="72" t="n">
        <v>23.807</v>
      </c>
      <c r="I101" s="98" t="n"/>
      <c r="J101" s="98" t="n"/>
      <c r="K101" s="99">
        <f>G101+I101-J101</f>
        <v/>
      </c>
      <c r="L101" s="69">
        <f>L46*L69/365</f>
        <v/>
      </c>
      <c r="M101" s="69">
        <f>M46*M69/365</f>
        <v/>
      </c>
      <c r="N101" s="69">
        <f>N46*N69/365</f>
        <v/>
      </c>
      <c r="O101" s="69">
        <f>O46*O69/365</f>
        <v/>
      </c>
      <c r="P101" s="69">
        <f>P46*P69/365</f>
        <v/>
      </c>
    </row>
    <row r="102">
      <c r="B102" s="69" t="inlineStr">
        <is>
          <t>Other current assets</t>
        </is>
      </c>
      <c r="F102" s="72" t="n">
        <v>19.845</v>
      </c>
      <c r="G102" s="72" t="n">
        <v>83.173</v>
      </c>
      <c r="I102" s="98" t="n"/>
      <c r="J102" s="98" t="n"/>
      <c r="K102" s="99">
        <f>G102+I102-J102</f>
        <v/>
      </c>
      <c r="L102" s="69">
        <f>L47*L65</f>
        <v/>
      </c>
      <c r="M102" s="69">
        <f>M47*M65</f>
        <v/>
      </c>
      <c r="N102" s="69">
        <f>N47*N65</f>
        <v/>
      </c>
      <c r="O102" s="69">
        <f>O47*O65</f>
        <v/>
      </c>
      <c r="P102" s="69">
        <f>P47*P65</f>
        <v/>
      </c>
    </row>
    <row r="103">
      <c r="B103" s="69" t="inlineStr">
        <is>
          <t>PP&amp;E</t>
        </is>
      </c>
      <c r="F103" s="72" t="n">
        <v>900.6369999999999</v>
      </c>
      <c r="G103" s="72" t="n">
        <v>815.027</v>
      </c>
      <c r="I103" s="98" t="n"/>
      <c r="J103" s="98" t="n"/>
      <c r="K103" s="99">
        <f>G103+I103-J103</f>
        <v/>
      </c>
      <c r="L103" s="69">
        <f>L59</f>
        <v/>
      </c>
      <c r="M103" s="69">
        <f>M59</f>
        <v/>
      </c>
      <c r="N103" s="69">
        <f>N59</f>
        <v/>
      </c>
      <c r="O103" s="69">
        <f>O59</f>
        <v/>
      </c>
      <c r="P103" s="69">
        <f>P59</f>
        <v/>
      </c>
    </row>
    <row r="104">
      <c r="B104" s="69" t="inlineStr">
        <is>
          <t>Operating Leases</t>
        </is>
      </c>
      <c r="F104" s="72" t="n">
        <v>1011.568</v>
      </c>
      <c r="G104" s="72" t="n">
        <v>1037.569</v>
      </c>
      <c r="I104" s="98" t="n"/>
      <c r="J104" s="98" t="n"/>
      <c r="K104" s="99">
        <f>G104+I104-J104</f>
        <v/>
      </c>
      <c r="L104" s="72">
        <f>K104</f>
        <v/>
      </c>
      <c r="M104" s="72">
        <f>L104</f>
        <v/>
      </c>
      <c r="N104" s="72">
        <f>M104</f>
        <v/>
      </c>
      <c r="O104" s="72">
        <f>N104</f>
        <v/>
      </c>
      <c r="P104" s="72">
        <f>O104</f>
        <v/>
      </c>
      <c r="Q104" s="69" t="inlineStr">
        <is>
          <t>&lt;&lt; assumed future increase offset by repayments</t>
        </is>
      </c>
    </row>
    <row r="105">
      <c r="B105" s="69" t="inlineStr">
        <is>
          <t>Goodwill</t>
        </is>
      </c>
      <c r="F105" s="72" t="n">
        <v>272.636</v>
      </c>
      <c r="G105" s="72" t="n">
        <v>272.597</v>
      </c>
      <c r="I105" s="98">
        <f>I8</f>
        <v/>
      </c>
      <c r="J105" s="98">
        <f>G105</f>
        <v/>
      </c>
      <c r="K105" s="99">
        <f>G105+I105-J105</f>
        <v/>
      </c>
      <c r="L105" s="69">
        <f>K105</f>
        <v/>
      </c>
      <c r="M105" s="69">
        <f>L105</f>
        <v/>
      </c>
      <c r="N105" s="69">
        <f>M105</f>
        <v/>
      </c>
      <c r="O105" s="69">
        <f>N105</f>
        <v/>
      </c>
      <c r="P105" s="69">
        <f>O105</f>
        <v/>
      </c>
    </row>
    <row r="106">
      <c r="B106" s="69" t="inlineStr">
        <is>
          <t>Deferred Financing Fees</t>
        </is>
      </c>
      <c r="F106" s="72" t="n">
        <v>0</v>
      </c>
      <c r="G106" s="72" t="n">
        <v>0</v>
      </c>
      <c r="I106" s="98">
        <f>C22</f>
        <v/>
      </c>
      <c r="J106" s="98" t="n"/>
      <c r="K106" s="99">
        <f>G106+I106-J106</f>
        <v/>
      </c>
      <c r="L106" s="69">
        <f>K106+L73</f>
        <v/>
      </c>
      <c r="M106" s="69">
        <f>L106+M73</f>
        <v/>
      </c>
      <c r="N106" s="69">
        <f>M106+N73</f>
        <v/>
      </c>
      <c r="O106" s="69">
        <f>N106+O73</f>
        <v/>
      </c>
      <c r="P106" s="69">
        <f>O106+P73</f>
        <v/>
      </c>
    </row>
    <row r="107">
      <c r="B107" s="69" t="inlineStr">
        <is>
          <t>Other Non-Current Assets</t>
        </is>
      </c>
      <c r="F107" s="72" t="n">
        <v>106.321</v>
      </c>
      <c r="G107" s="72" t="n">
        <v>108.76</v>
      </c>
      <c r="I107" s="98" t="n"/>
      <c r="J107" s="98" t="n"/>
      <c r="K107" s="99">
        <f>G107+I107-J107</f>
        <v/>
      </c>
      <c r="L107" s="69">
        <f>K107</f>
        <v/>
      </c>
      <c r="M107" s="69">
        <f>L107</f>
        <v/>
      </c>
      <c r="N107" s="69">
        <f>M107</f>
        <v/>
      </c>
      <c r="O107" s="69">
        <f>N107</f>
        <v/>
      </c>
      <c r="P107" s="69">
        <f>O107</f>
        <v/>
      </c>
    </row>
    <row r="108">
      <c r="B108" s="82" t="inlineStr">
        <is>
          <t>Total Assets</t>
        </is>
      </c>
      <c r="C108" s="82" t="n"/>
      <c r="D108" s="82" t="n"/>
      <c r="E108" s="82" t="n"/>
      <c r="F108" s="82">
        <f>SUM(F100:F107)</f>
        <v/>
      </c>
      <c r="G108" s="82">
        <f>SUM(G100:G107)</f>
        <v/>
      </c>
      <c r="H108" s="100" t="n"/>
      <c r="I108" s="101" t="n"/>
      <c r="J108" s="101" t="n"/>
      <c r="K108" s="102">
        <f>SUM(K100:K107)</f>
        <v/>
      </c>
      <c r="L108" s="82">
        <f>SUM(L100:L107)</f>
        <v/>
      </c>
      <c r="M108" s="82">
        <f>SUM(M100:M107)</f>
        <v/>
      </c>
      <c r="N108" s="82">
        <f>SUM(N100:N107)</f>
        <v/>
      </c>
      <c r="O108" s="82">
        <f>SUM(O100:O107)</f>
        <v/>
      </c>
      <c r="P108" s="82">
        <f>SUM(P100:P107)</f>
        <v/>
      </c>
    </row>
    <row r="109">
      <c r="I109" s="98" t="n"/>
      <c r="J109" s="98" t="n"/>
      <c r="K109" s="99" t="n"/>
    </row>
    <row r="110">
      <c r="B110" s="69" t="inlineStr">
        <is>
          <t>Accounts payable</t>
        </is>
      </c>
      <c r="F110" s="72" t="n">
        <v>65.35899999999999</v>
      </c>
      <c r="G110" s="72" t="n">
        <v>36.4</v>
      </c>
      <c r="I110" s="98" t="n"/>
      <c r="J110" s="98" t="n"/>
      <c r="K110" s="99">
        <f>G110+J110-I110</f>
        <v/>
      </c>
      <c r="L110" s="69">
        <f>L48*L69/365</f>
        <v/>
      </c>
      <c r="M110" s="69">
        <f>M48*M69/365</f>
        <v/>
      </c>
      <c r="N110" s="69">
        <f>N48*N69/365</f>
        <v/>
      </c>
      <c r="O110" s="69">
        <f>O48*O69/365</f>
        <v/>
      </c>
      <c r="P110" s="69">
        <f>P48*P69/365</f>
        <v/>
      </c>
    </row>
    <row r="111">
      <c r="B111" s="69" t="inlineStr">
        <is>
          <t>Accrued liabilities</t>
        </is>
      </c>
      <c r="F111" s="72" t="n">
        <v>207.452</v>
      </c>
      <c r="G111" s="72" t="n">
        <v>234.79</v>
      </c>
      <c r="I111" s="98" t="n"/>
      <c r="J111" s="98" t="n"/>
      <c r="K111" s="99">
        <f>G111+J111-I111</f>
        <v/>
      </c>
      <c r="L111" s="69">
        <f>L49*L65</f>
        <v/>
      </c>
      <c r="M111" s="69">
        <f>M49*M65</f>
        <v/>
      </c>
      <c r="N111" s="69">
        <f>N49*N65</f>
        <v/>
      </c>
      <c r="O111" s="69">
        <f>O49*O65</f>
        <v/>
      </c>
      <c r="P111" s="69">
        <f>P49*P65</f>
        <v/>
      </c>
    </row>
    <row r="112">
      <c r="B112" s="69" t="inlineStr">
        <is>
          <t>Other current liabilities</t>
        </is>
      </c>
      <c r="F112" s="72" t="n">
        <v>3.054</v>
      </c>
      <c r="G112" s="72" t="n">
        <v>0.446</v>
      </c>
      <c r="I112" s="98" t="n"/>
      <c r="J112" s="98" t="n"/>
      <c r="K112" s="99">
        <f>G112+J112-I112</f>
        <v/>
      </c>
      <c r="L112" s="69">
        <f>L50*L65</f>
        <v/>
      </c>
      <c r="M112" s="69">
        <f>M50*M65</f>
        <v/>
      </c>
      <c r="N112" s="69">
        <f>N50*N65</f>
        <v/>
      </c>
      <c r="O112" s="69">
        <f>O50*O65</f>
        <v/>
      </c>
      <c r="P112" s="69">
        <f>P50*P65</f>
        <v/>
      </c>
    </row>
    <row r="113">
      <c r="B113" s="69" t="inlineStr">
        <is>
          <t>Operating Leases</t>
        </is>
      </c>
      <c r="F113" s="72" t="n">
        <v>1222.054</v>
      </c>
      <c r="G113" s="72" t="n">
        <v>1267.791</v>
      </c>
      <c r="I113" s="98" t="n"/>
      <c r="J113" s="98" t="n"/>
      <c r="K113" s="99">
        <f>G113+J113-I113</f>
        <v/>
      </c>
      <c r="L113" s="69">
        <f>K113</f>
        <v/>
      </c>
      <c r="M113" s="69">
        <f>L113</f>
        <v/>
      </c>
      <c r="N113" s="69">
        <f>M113</f>
        <v/>
      </c>
      <c r="O113" s="69">
        <f>N113</f>
        <v/>
      </c>
      <c r="P113" s="69">
        <f>O113</f>
        <v/>
      </c>
    </row>
    <row r="114">
      <c r="B114" s="69" t="inlineStr">
        <is>
          <t>Existing Debt</t>
        </is>
      </c>
      <c r="F114" s="72">
        <f>(632689+15000)/1000</f>
        <v/>
      </c>
      <c r="G114" s="72" t="n">
        <v>596.388</v>
      </c>
      <c r="I114" s="98">
        <f>G114</f>
        <v/>
      </c>
      <c r="J114" s="98" t="n"/>
      <c r="K114" s="99">
        <f>G114+J114-I114</f>
        <v/>
      </c>
      <c r="L114" s="69">
        <f>K114</f>
        <v/>
      </c>
      <c r="M114" s="69">
        <f>L114</f>
        <v/>
      </c>
      <c r="N114" s="69">
        <f>M114</f>
        <v/>
      </c>
      <c r="O114" s="69">
        <f>N114</f>
        <v/>
      </c>
      <c r="P114" s="69">
        <f>O114</f>
        <v/>
      </c>
    </row>
    <row r="115">
      <c r="B115" s="69" t="inlineStr">
        <is>
          <t>Revolver</t>
        </is>
      </c>
      <c r="F115" s="72" t="n">
        <v>0</v>
      </c>
      <c r="G115" s="72" t="n">
        <v>0</v>
      </c>
      <c r="I115" s="98" t="n"/>
      <c r="J115" s="98" t="n"/>
      <c r="K115" s="99">
        <f>G115+J115-I115</f>
        <v/>
      </c>
      <c r="L115" s="69">
        <f>L161</f>
        <v/>
      </c>
      <c r="M115" s="69">
        <f>M161</f>
        <v/>
      </c>
      <c r="N115" s="69">
        <f>N161</f>
        <v/>
      </c>
      <c r="O115" s="69">
        <f>O161</f>
        <v/>
      </c>
      <c r="P115" s="69">
        <f>P161</f>
        <v/>
      </c>
    </row>
    <row r="116">
      <c r="B116" s="69" t="inlineStr">
        <is>
          <t>Term Loan</t>
        </is>
      </c>
      <c r="F116" s="72" t="n">
        <v>0</v>
      </c>
      <c r="G116" s="72" t="n">
        <v>0</v>
      </c>
      <c r="I116" s="98" t="n"/>
      <c r="J116" s="98">
        <f>C10</f>
        <v/>
      </c>
      <c r="K116" s="99">
        <f>G116+J116-I116</f>
        <v/>
      </c>
      <c r="L116" s="69">
        <f>L167</f>
        <v/>
      </c>
      <c r="M116" s="69">
        <f>M167</f>
        <v/>
      </c>
      <c r="N116" s="69">
        <f>N167</f>
        <v/>
      </c>
      <c r="O116" s="69">
        <f>O167</f>
        <v/>
      </c>
      <c r="P116" s="69">
        <f>P167</f>
        <v/>
      </c>
    </row>
    <row r="117">
      <c r="B117" s="69" t="inlineStr">
        <is>
          <t>Senior Notes</t>
        </is>
      </c>
      <c r="F117" s="72" t="n">
        <v>0</v>
      </c>
      <c r="G117" s="72" t="n">
        <v>0</v>
      </c>
      <c r="I117" s="98" t="n"/>
      <c r="J117" s="98">
        <f>C11</f>
        <v/>
      </c>
      <c r="K117" s="99">
        <f>G117+J117-I117</f>
        <v/>
      </c>
      <c r="L117" s="69">
        <f>L172</f>
        <v/>
      </c>
      <c r="M117" s="69">
        <f>M172</f>
        <v/>
      </c>
      <c r="N117" s="69">
        <f>N172</f>
        <v/>
      </c>
      <c r="O117" s="69">
        <f>O172</f>
        <v/>
      </c>
      <c r="P117" s="69">
        <f>P172</f>
        <v/>
      </c>
    </row>
    <row r="118">
      <c r="B118" s="69" t="inlineStr">
        <is>
          <t>Other Non-Current Assets</t>
        </is>
      </c>
      <c r="F118" s="72" t="n">
        <v>54.881</v>
      </c>
      <c r="G118" s="72" t="n">
        <v>63.777</v>
      </c>
      <c r="I118" s="98" t="n"/>
      <c r="J118" s="98" t="n"/>
      <c r="K118" s="99">
        <f>G118+J118-I118</f>
        <v/>
      </c>
      <c r="L118" s="69">
        <f>K118</f>
        <v/>
      </c>
      <c r="M118" s="69">
        <f>L118</f>
        <v/>
      </c>
      <c r="N118" s="69">
        <f>M118</f>
        <v/>
      </c>
      <c r="O118" s="69">
        <f>N118</f>
        <v/>
      </c>
      <c r="P118" s="69">
        <f>O118</f>
        <v/>
      </c>
    </row>
    <row r="119">
      <c r="I119" s="98" t="n"/>
      <c r="J119" s="98" t="n"/>
      <c r="K119" s="99" t="n"/>
    </row>
    <row r="120">
      <c r="B120" s="69" t="inlineStr">
        <is>
          <t>Shareholder Equity</t>
        </is>
      </c>
      <c r="F120" s="72" t="n">
        <v>169.65</v>
      </c>
      <c r="G120" s="72" t="n">
        <v>153.232</v>
      </c>
      <c r="I120" s="98">
        <f>G120</f>
        <v/>
      </c>
      <c r="J120" s="98">
        <f>C12-C23</f>
        <v/>
      </c>
      <c r="K120" s="99">
        <f>G120+J120-I120</f>
        <v/>
      </c>
      <c r="L120" s="69">
        <f>K120+L82</f>
        <v/>
      </c>
      <c r="M120" s="69">
        <f>L120+M82</f>
        <v/>
      </c>
      <c r="N120" s="69">
        <f>M120+N82</f>
        <v/>
      </c>
      <c r="O120" s="69">
        <f>N120+O82</f>
        <v/>
      </c>
      <c r="P120" s="69">
        <f>O120+P82</f>
        <v/>
      </c>
    </row>
    <row r="121">
      <c r="B121" s="82" t="inlineStr">
        <is>
          <t>Total Liabilities</t>
        </is>
      </c>
      <c r="C121" s="82" t="n"/>
      <c r="D121" s="82" t="n"/>
      <c r="E121" s="82" t="n"/>
      <c r="F121" s="82">
        <f>F120+SUM(F110:F118)</f>
        <v/>
      </c>
      <c r="G121" s="82">
        <f>G120+SUM(G110:G118)</f>
        <v/>
      </c>
      <c r="H121" s="100" t="n"/>
      <c r="I121" s="103" t="n"/>
      <c r="J121" s="103" t="n"/>
      <c r="K121" s="102">
        <f>K120+SUM(K110:K118)</f>
        <v/>
      </c>
      <c r="L121" s="82">
        <f>L120+SUM(L110:L118)</f>
        <v/>
      </c>
      <c r="M121" s="82">
        <f>M120+SUM(M110:M118)</f>
        <v/>
      </c>
      <c r="N121" s="82">
        <f>N120+SUM(N110:N118)</f>
        <v/>
      </c>
      <c r="O121" s="82">
        <f>O120+SUM(O110:O118)</f>
        <v/>
      </c>
      <c r="P121" s="82">
        <f>P120+SUM(P110:P118)</f>
        <v/>
      </c>
    </row>
    <row r="123" customFormat="1" s="66">
      <c r="B123" s="66" t="inlineStr">
        <is>
          <t>Check</t>
        </is>
      </c>
      <c r="F123" s="104">
        <f>F108-F121</f>
        <v/>
      </c>
      <c r="G123" s="104">
        <f>G108-G121</f>
        <v/>
      </c>
      <c r="I123" s="69" t="n"/>
      <c r="J123" s="69" t="n"/>
      <c r="K123" s="104">
        <f>K108-K121</f>
        <v/>
      </c>
      <c r="L123" s="104">
        <f>L108-L121</f>
        <v/>
      </c>
      <c r="M123" s="104">
        <f>M108-M121</f>
        <v/>
      </c>
      <c r="N123" s="104">
        <f>N108-N121</f>
        <v/>
      </c>
      <c r="O123" s="104">
        <f>O108-O121</f>
        <v/>
      </c>
      <c r="P123" s="104">
        <f>P108-P121</f>
        <v/>
      </c>
    </row>
    <row r="124" customFormat="1" s="66">
      <c r="F124" s="104" t="n"/>
      <c r="G124" s="104" t="n"/>
      <c r="I124" s="69" t="n"/>
      <c r="J124" s="69" t="n"/>
      <c r="K124" s="69" t="n"/>
      <c r="L124" s="69" t="n"/>
      <c r="M124" s="69" t="n"/>
      <c r="N124" s="69" t="n"/>
      <c r="O124" s="69" t="n"/>
      <c r="P124" s="69" t="n"/>
    </row>
    <row r="125" customFormat="1" s="66">
      <c r="B125" s="69" t="inlineStr">
        <is>
          <t>Net Working Capital</t>
        </is>
      </c>
      <c r="C125" s="69" t="n"/>
      <c r="D125" s="69" t="n"/>
      <c r="E125" s="69" t="n"/>
      <c r="F125" s="69">
        <f>SUM(F101:F102)-SUM(F110:F112)</f>
        <v/>
      </c>
      <c r="G125" s="69">
        <f>SUM(G101:G102)-SUM(G110:G112)</f>
        <v/>
      </c>
      <c r="I125" s="69" t="n"/>
      <c r="J125" s="69" t="n"/>
      <c r="K125" s="69">
        <f>SUM(K101:K102)-SUM(K110:K112)</f>
        <v/>
      </c>
      <c r="L125" s="69">
        <f>SUM(L101:L102)-SUM(L110:L112)</f>
        <v/>
      </c>
      <c r="M125" s="69">
        <f>SUM(M101:M102)-SUM(M110:M112)</f>
        <v/>
      </c>
      <c r="N125" s="69">
        <f>SUM(N101:N102)-SUM(N110:N112)</f>
        <v/>
      </c>
      <c r="O125" s="69">
        <f>SUM(O101:O102)-SUM(O110:O112)</f>
        <v/>
      </c>
      <c r="P125" s="69">
        <f>SUM(P101:P102)-SUM(P110:P112)</f>
        <v/>
      </c>
    </row>
    <row r="126" customFormat="1" s="66">
      <c r="B126" s="69" t="inlineStr">
        <is>
          <t>NWC / Sales</t>
        </is>
      </c>
      <c r="C126" s="69" t="n"/>
      <c r="D126" s="69" t="n"/>
      <c r="E126" s="69" t="n"/>
      <c r="F126" s="69" t="n"/>
      <c r="G126" s="69" t="n"/>
      <c r="I126" s="69" t="n"/>
      <c r="J126" s="69" t="n"/>
      <c r="K126" s="92">
        <f>K125/K65</f>
        <v/>
      </c>
      <c r="L126" s="92">
        <f>L125/L65</f>
        <v/>
      </c>
      <c r="M126" s="92">
        <f>M125/M65</f>
        <v/>
      </c>
      <c r="N126" s="92">
        <f>N125/N65</f>
        <v/>
      </c>
      <c r="O126" s="92">
        <f>O125/O65</f>
        <v/>
      </c>
      <c r="P126" s="92">
        <f>P125/P65</f>
        <v/>
      </c>
    </row>
    <row r="127" customFormat="1" s="66">
      <c r="B127" s="69" t="inlineStr">
        <is>
          <t>Invested Capital</t>
        </is>
      </c>
      <c r="C127" s="69" t="n"/>
      <c r="D127" s="69" t="n"/>
      <c r="E127" s="69" t="n"/>
      <c r="F127" s="69" t="n"/>
      <c r="G127" s="69" t="n"/>
      <c r="I127" s="69" t="n"/>
      <c r="J127" s="69" t="n"/>
      <c r="K127" s="69">
        <f>K108-SUM(K110:K112)-K100-K105</f>
        <v/>
      </c>
      <c r="L127" s="69">
        <f>L108-SUM(L110:L112)-L100-L105</f>
        <v/>
      </c>
      <c r="M127" s="69">
        <f>M108-SUM(M110:M112)-M100-M105</f>
        <v/>
      </c>
      <c r="N127" s="69">
        <f>N108-SUM(N110:N112)-N100-N105</f>
        <v/>
      </c>
      <c r="O127" s="69">
        <f>O108-SUM(O110:O112)-O100-O105</f>
        <v/>
      </c>
      <c r="P127" s="69">
        <f>P108-SUM(P110:P112)-P100-P105</f>
        <v/>
      </c>
    </row>
    <row r="128" customFormat="1" s="66">
      <c r="B128" s="69" t="inlineStr">
        <is>
          <t>ROIC</t>
        </is>
      </c>
      <c r="C128" s="69" t="n"/>
      <c r="D128" s="69" t="n"/>
      <c r="E128" s="69" t="n"/>
      <c r="F128" s="69" t="n"/>
      <c r="G128" s="69" t="n"/>
      <c r="I128" s="69" t="n"/>
      <c r="J128" s="69" t="n"/>
      <c r="K128" s="69" t="n"/>
      <c r="L128" s="92">
        <f>L95/AVERAGE(K127:L127)</f>
        <v/>
      </c>
      <c r="M128" s="92">
        <f>M95/AVERAGE(L127:M127)</f>
        <v/>
      </c>
      <c r="N128" s="92">
        <f>N95/AVERAGE(M127:N127)</f>
        <v/>
      </c>
      <c r="O128" s="92">
        <f>O95/AVERAGE(N127:O127)</f>
        <v/>
      </c>
      <c r="P128" s="92">
        <f>P95/AVERAGE(O127:P127)</f>
        <v/>
      </c>
    </row>
    <row r="130">
      <c r="A130" s="69" t="inlineStr">
        <is>
          <t>x</t>
        </is>
      </c>
      <c r="B130" s="70" t="inlineStr">
        <is>
          <t>Cash Flow Statement</t>
        </is>
      </c>
      <c r="I130" s="88" t="n"/>
      <c r="J130" s="88" t="n"/>
      <c r="K130" s="88" t="n">
        <v>2021</v>
      </c>
      <c r="L130" s="88">
        <f>K130+1</f>
        <v/>
      </c>
      <c r="M130" s="88">
        <f>L130+1</f>
        <v/>
      </c>
      <c r="N130" s="88">
        <f>M130+1</f>
        <v/>
      </c>
      <c r="O130" s="88">
        <f>N130+1</f>
        <v/>
      </c>
      <c r="P130" s="88">
        <f>O130+1</f>
        <v/>
      </c>
    </row>
    <row r="132">
      <c r="B132" s="69" t="inlineStr">
        <is>
          <t>Net Income</t>
        </is>
      </c>
      <c r="L132" s="69">
        <f>L82</f>
        <v/>
      </c>
      <c r="M132" s="69">
        <f>M82</f>
        <v/>
      </c>
      <c r="N132" s="69">
        <f>N82</f>
        <v/>
      </c>
      <c r="O132" s="69">
        <f>O82</f>
        <v/>
      </c>
      <c r="P132" s="69">
        <f>P82</f>
        <v/>
      </c>
    </row>
    <row r="133">
      <c r="B133" s="69" t="inlineStr">
        <is>
          <t>(+) D&amp;A</t>
        </is>
      </c>
      <c r="L133" s="69">
        <f>L72</f>
        <v/>
      </c>
      <c r="M133" s="69">
        <f>M72</f>
        <v/>
      </c>
      <c r="N133" s="69">
        <f>N72</f>
        <v/>
      </c>
      <c r="O133" s="69">
        <f>O72</f>
        <v/>
      </c>
      <c r="P133" s="69">
        <f>P72</f>
        <v/>
      </c>
    </row>
    <row r="134">
      <c r="B134" s="69" t="inlineStr">
        <is>
          <t>(+) DFF Amortisation</t>
        </is>
      </c>
      <c r="L134" s="69">
        <f>-L73</f>
        <v/>
      </c>
      <c r="M134" s="69">
        <f>-M73</f>
        <v/>
      </c>
      <c r="N134" s="69">
        <f>-N73</f>
        <v/>
      </c>
      <c r="O134" s="69">
        <f>-O73</f>
        <v/>
      </c>
      <c r="P134" s="69">
        <f>-P73</f>
        <v/>
      </c>
    </row>
    <row r="135">
      <c r="B135" s="69" t="inlineStr">
        <is>
          <t>(-) Delta NWC</t>
        </is>
      </c>
      <c r="L135" s="69">
        <f>K125-L125</f>
        <v/>
      </c>
      <c r="M135" s="69">
        <f>L125-M125</f>
        <v/>
      </c>
      <c r="N135" s="69">
        <f>M125-N125</f>
        <v/>
      </c>
      <c r="O135" s="69">
        <f>N125-O125</f>
        <v/>
      </c>
      <c r="P135" s="69">
        <f>O125-P125</f>
        <v/>
      </c>
    </row>
    <row r="136">
      <c r="B136" s="75" t="inlineStr">
        <is>
          <t>Cash from Operations</t>
        </is>
      </c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>
        <f>SUM(L132:L135)</f>
        <v/>
      </c>
      <c r="M136" s="75">
        <f>SUM(M132:M135)</f>
        <v/>
      </c>
      <c r="N136" s="75">
        <f>SUM(N132:N135)</f>
        <v/>
      </c>
      <c r="O136" s="75">
        <f>SUM(O132:O135)</f>
        <v/>
      </c>
      <c r="P136" s="75">
        <f>SUM(P132:P135)</f>
        <v/>
      </c>
    </row>
    <row r="138">
      <c r="B138" s="69" t="inlineStr">
        <is>
          <t>(-) Maintenance Capex</t>
        </is>
      </c>
      <c r="L138" s="69">
        <f>-L40</f>
        <v/>
      </c>
      <c r="M138" s="69">
        <f>-M40</f>
        <v/>
      </c>
      <c r="N138" s="69">
        <f>-N40</f>
        <v/>
      </c>
      <c r="O138" s="69">
        <f>-O40</f>
        <v/>
      </c>
      <c r="P138" s="69">
        <f>-P40</f>
        <v/>
      </c>
    </row>
    <row r="139">
      <c r="B139" s="69" t="inlineStr">
        <is>
          <t>(-) Growth Capex</t>
        </is>
      </c>
      <c r="L139" s="69">
        <f>-L42</f>
        <v/>
      </c>
      <c r="M139" s="69">
        <f>-M42</f>
        <v/>
      </c>
      <c r="N139" s="69">
        <f>-N42</f>
        <v/>
      </c>
      <c r="O139" s="69">
        <f>-O42</f>
        <v/>
      </c>
      <c r="P139" s="69">
        <f>-P42</f>
        <v/>
      </c>
    </row>
    <row r="140">
      <c r="B140" s="75" t="inlineStr">
        <is>
          <t>Cash from Investing</t>
        </is>
      </c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>
        <f>SUM(L138:L139)</f>
        <v/>
      </c>
      <c r="M140" s="75">
        <f>SUM(M138:M139)</f>
        <v/>
      </c>
      <c r="N140" s="75">
        <f>SUM(N138:N139)</f>
        <v/>
      </c>
      <c r="O140" s="75">
        <f>SUM(O138:O139)</f>
        <v/>
      </c>
      <c r="P140" s="75">
        <f>SUM(P138:P139)</f>
        <v/>
      </c>
    </row>
    <row r="142">
      <c r="B142" s="69" t="inlineStr">
        <is>
          <t>BoP Cash &amp; Cash Equivalents</t>
        </is>
      </c>
      <c r="L142" s="69">
        <f>K150</f>
        <v/>
      </c>
      <c r="M142" s="69">
        <f>L150</f>
        <v/>
      </c>
      <c r="N142" s="69">
        <f>M150</f>
        <v/>
      </c>
      <c r="O142" s="69">
        <f>N150</f>
        <v/>
      </c>
      <c r="P142" s="69">
        <f>O150</f>
        <v/>
      </c>
    </row>
    <row r="143">
      <c r="B143" s="69" t="inlineStr">
        <is>
          <t>(+) Free Cash Flow</t>
        </is>
      </c>
      <c r="L143" s="69">
        <f>L136+L140</f>
        <v/>
      </c>
      <c r="M143" s="69">
        <f>M136+M140</f>
        <v/>
      </c>
      <c r="N143" s="69">
        <f>N136+N140</f>
        <v/>
      </c>
      <c r="O143" s="69">
        <f>O136+O140</f>
        <v/>
      </c>
      <c r="P143" s="69">
        <f>P136+P140</f>
        <v/>
      </c>
    </row>
    <row r="144">
      <c r="B144" s="69" t="inlineStr">
        <is>
          <t>(-) Min. Cash Balance</t>
        </is>
      </c>
      <c r="L144" s="69">
        <f>-$F$21</f>
        <v/>
      </c>
      <c r="M144" s="69">
        <f>-$F$21</f>
        <v/>
      </c>
      <c r="N144" s="69">
        <f>-$F$21</f>
        <v/>
      </c>
      <c r="O144" s="69">
        <f>-$F$21</f>
        <v/>
      </c>
      <c r="P144" s="69">
        <f>-$F$21</f>
        <v/>
      </c>
    </row>
    <row r="145">
      <c r="B145" s="75" t="inlineStr">
        <is>
          <t>CFADS</t>
        </is>
      </c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>
        <f>SUM(L142:L144)</f>
        <v/>
      </c>
      <c r="M145" s="75">
        <f>SUM(M142:M144)</f>
        <v/>
      </c>
      <c r="N145" s="75">
        <f>SUM(N142:N144)</f>
        <v/>
      </c>
      <c r="O145" s="75">
        <f>SUM(O142:O144)</f>
        <v/>
      </c>
      <c r="P145" s="75">
        <f>SUM(P142:P144)</f>
        <v/>
      </c>
    </row>
    <row r="146">
      <c r="B146" s="69" t="inlineStr">
        <is>
          <t>(-) Mandatory Amortisation</t>
        </is>
      </c>
      <c r="L146" s="69">
        <f>L165</f>
        <v/>
      </c>
      <c r="M146" s="69">
        <f>M165</f>
        <v/>
      </c>
      <c r="N146" s="69">
        <f>N165</f>
        <v/>
      </c>
      <c r="O146" s="69">
        <f>O165</f>
        <v/>
      </c>
      <c r="P146" s="69">
        <f>P165</f>
        <v/>
      </c>
    </row>
    <row r="147">
      <c r="B147" s="69" t="inlineStr">
        <is>
          <t>(-) Revolver Drawdown / (Repayment)</t>
        </is>
      </c>
      <c r="L147" s="69">
        <f>L160</f>
        <v/>
      </c>
      <c r="M147" s="69">
        <f>M160</f>
        <v/>
      </c>
      <c r="N147" s="69">
        <f>N160</f>
        <v/>
      </c>
      <c r="O147" s="69">
        <f>O160</f>
        <v/>
      </c>
      <c r="P147" s="69">
        <f>P160</f>
        <v/>
      </c>
    </row>
    <row r="148">
      <c r="B148" s="69" t="inlineStr">
        <is>
          <t>(-) Cash Sweep</t>
        </is>
      </c>
      <c r="L148" s="69">
        <f>L166+L171</f>
        <v/>
      </c>
      <c r="M148" s="69">
        <f>M166+M171</f>
        <v/>
      </c>
      <c r="N148" s="69">
        <f>N166+N171</f>
        <v/>
      </c>
      <c r="O148" s="69">
        <f>O166+O171</f>
        <v/>
      </c>
      <c r="P148" s="69">
        <f>P166+P171</f>
        <v/>
      </c>
    </row>
    <row r="149">
      <c r="B149" s="69" t="inlineStr">
        <is>
          <t>(+) Min. Cash Balance</t>
        </is>
      </c>
      <c r="L149" s="69">
        <f>$F$21</f>
        <v/>
      </c>
      <c r="M149" s="69">
        <f>$F$21</f>
        <v/>
      </c>
      <c r="N149" s="69">
        <f>$F$21</f>
        <v/>
      </c>
      <c r="O149" s="69">
        <f>$F$21</f>
        <v/>
      </c>
      <c r="P149" s="69">
        <f>$F$21</f>
        <v/>
      </c>
    </row>
    <row r="150">
      <c r="B150" s="82" t="inlineStr">
        <is>
          <t>EoP Cash &amp; Cash Equivalents</t>
        </is>
      </c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>
        <f>K100</f>
        <v/>
      </c>
      <c r="L150" s="82">
        <f>SUM(L145:L149)</f>
        <v/>
      </c>
      <c r="M150" s="82">
        <f>SUM(M145:M149)</f>
        <v/>
      </c>
      <c r="N150" s="82">
        <f>SUM(N145:N149)</f>
        <v/>
      </c>
      <c r="O150" s="82">
        <f>SUM(O145:O149)</f>
        <v/>
      </c>
      <c r="P150" s="82">
        <f>SUM(P145:P149)</f>
        <v/>
      </c>
    </row>
    <row r="152">
      <c r="B152" s="69" t="inlineStr">
        <is>
          <t>FCFF</t>
        </is>
      </c>
      <c r="L152" s="69">
        <f>L95+L72+L138+L139+L135</f>
        <v/>
      </c>
      <c r="M152" s="69">
        <f>M95+M72+M138+M139+M135</f>
        <v/>
      </c>
      <c r="N152" s="69">
        <f>N95+N72+N138+N139+N135</f>
        <v/>
      </c>
      <c r="O152" s="69">
        <f>O95+O72+O138+O139+O135</f>
        <v/>
      </c>
      <c r="P152" s="69">
        <f>P95+P72+P138+P139+P135</f>
        <v/>
      </c>
    </row>
    <row r="153">
      <c r="B153" s="69" t="inlineStr">
        <is>
          <t>FCFF / EBITDA Conversion</t>
        </is>
      </c>
      <c r="L153" s="92">
        <f>L152/L92</f>
        <v/>
      </c>
      <c r="M153" s="92">
        <f>M152/M92</f>
        <v/>
      </c>
      <c r="N153" s="92">
        <f>N152/N92</f>
        <v/>
      </c>
      <c r="O153" s="92">
        <f>O152/O92</f>
        <v/>
      </c>
      <c r="P153" s="92">
        <f>P152/P92</f>
        <v/>
      </c>
    </row>
    <row r="155">
      <c r="A155" s="69" t="inlineStr">
        <is>
          <t>x</t>
        </is>
      </c>
      <c r="B155" s="70" t="inlineStr">
        <is>
          <t>Debt Schedule</t>
        </is>
      </c>
      <c r="I155" s="88" t="n"/>
      <c r="J155" s="88" t="n"/>
      <c r="K155" s="88" t="n">
        <v>2021</v>
      </c>
      <c r="L155" s="88">
        <f>K155+1</f>
        <v/>
      </c>
      <c r="M155" s="88">
        <f>L155+1</f>
        <v/>
      </c>
      <c r="N155" s="88">
        <f>M155+1</f>
        <v/>
      </c>
      <c r="O155" s="88">
        <f>N155+1</f>
        <v/>
      </c>
      <c r="P155" s="88">
        <f>O155+1</f>
        <v/>
      </c>
    </row>
    <row r="157">
      <c r="B157" s="69" t="inlineStr">
        <is>
          <t>LIBOR</t>
        </is>
      </c>
      <c r="K157" s="80" t="n"/>
      <c r="L157" s="80" t="n">
        <v>0.0125</v>
      </c>
      <c r="M157" s="80" t="n">
        <v>0.015</v>
      </c>
      <c r="N157" s="80" t="n">
        <v>0.0175</v>
      </c>
      <c r="O157" s="80" t="n">
        <v>0.02</v>
      </c>
      <c r="P157" s="80" t="n">
        <v>0.0225</v>
      </c>
    </row>
    <row r="159">
      <c r="B159" s="69" t="inlineStr">
        <is>
          <t>BoP Revolver</t>
        </is>
      </c>
      <c r="L159" s="69">
        <f>K161</f>
        <v/>
      </c>
      <c r="M159" s="69">
        <f>L161</f>
        <v/>
      </c>
      <c r="N159" s="69">
        <f>M161</f>
        <v/>
      </c>
      <c r="O159" s="69">
        <f>N161</f>
        <v/>
      </c>
      <c r="P159" s="69">
        <f>O161</f>
        <v/>
      </c>
    </row>
    <row r="160">
      <c r="B160" s="69" t="inlineStr">
        <is>
          <t>(+) Drawdown / (Repayment)</t>
        </is>
      </c>
      <c r="L160" s="69">
        <f>-MIN(L159,L145+L146)</f>
        <v/>
      </c>
      <c r="M160" s="69">
        <f>-MIN(M159,M145+M146)</f>
        <v/>
      </c>
      <c r="N160" s="69">
        <f>-MIN(N159,N145+N146)</f>
        <v/>
      </c>
      <c r="O160" s="69">
        <f>-MIN(O159,O145+O146)</f>
        <v/>
      </c>
      <c r="P160" s="69">
        <f>-MIN(P159,P145+P146)</f>
        <v/>
      </c>
    </row>
    <row r="161">
      <c r="B161" s="69" t="inlineStr">
        <is>
          <t>EoP Revolver</t>
        </is>
      </c>
      <c r="K161" s="69">
        <f>K115</f>
        <v/>
      </c>
      <c r="L161" s="69">
        <f>SUM(L159:L160)</f>
        <v/>
      </c>
      <c r="M161" s="69">
        <f>SUM(M159:M160)</f>
        <v/>
      </c>
      <c r="N161" s="69">
        <f>SUM(N159:N160)</f>
        <v/>
      </c>
      <c r="O161" s="69">
        <f>SUM(O159:O160)</f>
        <v/>
      </c>
      <c r="P161" s="69">
        <f>SUM(P159:P160)</f>
        <v/>
      </c>
    </row>
    <row r="162">
      <c r="B162" s="69" t="inlineStr">
        <is>
          <t>Interest</t>
        </is>
      </c>
      <c r="L162" s="69">
        <f>AVERAGE(K161:L161)*(MAX(L157,$K$13)+$J$13/10000)</f>
        <v/>
      </c>
      <c r="M162" s="69">
        <f>AVERAGE(L161:M161)*(MAX(M157,$K$13)+$J$13/10000)</f>
        <v/>
      </c>
      <c r="N162" s="69">
        <f>AVERAGE(M161:N161)*(MAX(N157,$K$13)+$J$13/10000)</f>
        <v/>
      </c>
      <c r="O162" s="69">
        <f>AVERAGE(N161:O161)*(MAX(O157,$K$13)+$J$13/10000)</f>
        <v/>
      </c>
      <c r="P162" s="69">
        <f>AVERAGE(O161:P161)*(MAX(P157,$K$13)+$J$13/10000)</f>
        <v/>
      </c>
    </row>
    <row r="164">
      <c r="B164" s="69" t="inlineStr">
        <is>
          <t>BoP Term Loan</t>
        </is>
      </c>
      <c r="L164" s="69">
        <f>K167</f>
        <v/>
      </c>
      <c r="M164" s="69">
        <f>L167</f>
        <v/>
      </c>
      <c r="N164" s="69">
        <f>M167</f>
        <v/>
      </c>
      <c r="O164" s="69">
        <f>N167</f>
        <v/>
      </c>
      <c r="P164" s="69">
        <f>O167</f>
        <v/>
      </c>
    </row>
    <row r="165">
      <c r="B165" s="69" t="inlineStr">
        <is>
          <t>(-) Mandatory Amortisation</t>
        </is>
      </c>
      <c r="L165" s="69">
        <f>-MIN(L164,$M$11*$C$10)</f>
        <v/>
      </c>
      <c r="M165" s="69">
        <f>-MIN(M164,$M$11*$C$10)</f>
        <v/>
      </c>
      <c r="N165" s="69">
        <f>-MIN(N164,$M$11*$C$10)</f>
        <v/>
      </c>
      <c r="O165" s="69">
        <f>-MIN(O164,$M$11*$C$10)</f>
        <v/>
      </c>
      <c r="P165" s="69">
        <f>-MIN(P164,$M$11*$C$10)</f>
        <v/>
      </c>
    </row>
    <row r="166">
      <c r="B166" s="69" t="inlineStr">
        <is>
          <t>(-) Cash Sweep</t>
        </is>
      </c>
      <c r="L166" s="69">
        <f>-MIN(SUM(L164:L165),SUM(L145:L147))</f>
        <v/>
      </c>
      <c r="M166" s="69">
        <f>-MIN(SUM(M164:M165),SUM(M145:M147))</f>
        <v/>
      </c>
      <c r="N166" s="69">
        <f>-MIN(SUM(N164:N165),SUM(N145:N147))</f>
        <v/>
      </c>
      <c r="O166" s="69">
        <f>-MIN(SUM(O164:O165),SUM(O145:O147))</f>
        <v/>
      </c>
      <c r="P166" s="69">
        <f>-MIN(SUM(P164:P165),SUM(P145:P147))</f>
        <v/>
      </c>
    </row>
    <row r="167">
      <c r="B167" s="69" t="inlineStr">
        <is>
          <t>EoP Term Loan</t>
        </is>
      </c>
      <c r="K167" s="69">
        <f>K116</f>
        <v/>
      </c>
      <c r="L167" s="69">
        <f>SUM(L164:L166)</f>
        <v/>
      </c>
      <c r="M167" s="69">
        <f>SUM(M164:M166)</f>
        <v/>
      </c>
      <c r="N167" s="69">
        <f>SUM(N164:N166)</f>
        <v/>
      </c>
      <c r="O167" s="69">
        <f>SUM(O164:O166)</f>
        <v/>
      </c>
      <c r="P167" s="69">
        <f>SUM(P164:P166)</f>
        <v/>
      </c>
    </row>
    <row r="168">
      <c r="B168" s="69" t="inlineStr">
        <is>
          <t>Interest</t>
        </is>
      </c>
      <c r="L168" s="69">
        <f>AVERAGE(K167:L167)*(MAX(L157,$K$11)+$J$11/10000)</f>
        <v/>
      </c>
      <c r="M168" s="69">
        <f>AVERAGE(L167:M167)*(MAX(M157,$K$11)+$J$11/10000)</f>
        <v/>
      </c>
      <c r="N168" s="69">
        <f>AVERAGE(M167:N167)*(MAX(N157,$K$11)+$J$11/10000)</f>
        <v/>
      </c>
      <c r="O168" s="69">
        <f>AVERAGE(N167:O167)*(MAX(O157,$K$11)+$J$11/10000)</f>
        <v/>
      </c>
      <c r="P168" s="69">
        <f>AVERAGE(O167:P167)*(MAX(P157,$K$11)+$J$11/10000)</f>
        <v/>
      </c>
    </row>
    <row r="170">
      <c r="B170" s="69" t="inlineStr">
        <is>
          <t>BoP Senior Notes</t>
        </is>
      </c>
      <c r="L170" s="69">
        <f>K172</f>
        <v/>
      </c>
      <c r="M170" s="69">
        <f>L172</f>
        <v/>
      </c>
      <c r="N170" s="69">
        <f>M172</f>
        <v/>
      </c>
      <c r="O170" s="69">
        <f>N172</f>
        <v/>
      </c>
      <c r="P170" s="69">
        <f>O172</f>
        <v/>
      </c>
    </row>
    <row r="171">
      <c r="B171" s="69" t="inlineStr">
        <is>
          <t>(-) Cash Sweep</t>
        </is>
      </c>
      <c r="L171" s="69">
        <f>-MIN(L170,SUM(L145:L147,L166))</f>
        <v/>
      </c>
      <c r="M171" s="69">
        <f>-MIN(M170,SUM(M145:M147,M166))</f>
        <v/>
      </c>
      <c r="N171" s="69">
        <f>-MIN(N170,SUM(N145:N147,N166))</f>
        <v/>
      </c>
      <c r="O171" s="69">
        <f>-MIN(O170,SUM(O145:O147,O166))</f>
        <v/>
      </c>
      <c r="P171" s="69">
        <f>-MIN(P170,SUM(P145:P147,P166))</f>
        <v/>
      </c>
    </row>
    <row r="172">
      <c r="B172" s="69" t="inlineStr">
        <is>
          <t>EoP Senior Notes</t>
        </is>
      </c>
      <c r="K172" s="69">
        <f>K117</f>
        <v/>
      </c>
      <c r="L172" s="69">
        <f>SUM(L170:L171)</f>
        <v/>
      </c>
      <c r="M172" s="69">
        <f>SUM(M170:M171)</f>
        <v/>
      </c>
      <c r="N172" s="69">
        <f>SUM(N170:N171)</f>
        <v/>
      </c>
      <c r="O172" s="69">
        <f>SUM(O170:O171)</f>
        <v/>
      </c>
      <c r="P172" s="69">
        <f>SUM(P170:P171)</f>
        <v/>
      </c>
    </row>
    <row r="173">
      <c r="B173" s="69" t="inlineStr">
        <is>
          <t>Interest</t>
        </is>
      </c>
      <c r="L173" s="69">
        <f>AVERAGE(K172:L172)*$J$12</f>
        <v/>
      </c>
      <c r="M173" s="69">
        <f>AVERAGE(L172:M172)*$J$12</f>
        <v/>
      </c>
      <c r="N173" s="69">
        <f>AVERAGE(M172:N172)*$J$12</f>
        <v/>
      </c>
      <c r="O173" s="69">
        <f>AVERAGE(N172:O172)*$J$12</f>
        <v/>
      </c>
      <c r="P173" s="69">
        <f>AVERAGE(O172:P172)*$J$12</f>
        <v/>
      </c>
    </row>
    <row r="175">
      <c r="B175" s="69" t="inlineStr">
        <is>
          <t>Interest Expense</t>
        </is>
      </c>
      <c r="L175" s="69">
        <f>L162+L168+L173</f>
        <v/>
      </c>
      <c r="M175" s="69">
        <f>M162+M168+M173</f>
        <v/>
      </c>
      <c r="N175" s="69">
        <f>N162+N168+N173</f>
        <v/>
      </c>
      <c r="O175" s="69">
        <f>O162+O168+O173</f>
        <v/>
      </c>
      <c r="P175" s="69">
        <f>P162+P168+P173</f>
        <v/>
      </c>
    </row>
    <row r="176">
      <c r="B176" s="69" t="inlineStr">
        <is>
          <t>Interest Income</t>
        </is>
      </c>
      <c r="L176" s="69">
        <f>AVERAGE(K150:L150)*$F$19</f>
        <v/>
      </c>
      <c r="M176" s="69">
        <f>AVERAGE(L150:M150)*$F$19</f>
        <v/>
      </c>
      <c r="N176" s="69">
        <f>AVERAGE(M150:N150)*$F$19</f>
        <v/>
      </c>
      <c r="O176" s="69">
        <f>AVERAGE(N150:O150)*$F$19</f>
        <v/>
      </c>
      <c r="P176" s="69">
        <f>AVERAGE(O150:P150)*$F$19</f>
        <v/>
      </c>
    </row>
    <row r="177">
      <c r="B177" s="69" t="inlineStr">
        <is>
          <t>Net Interest Expense</t>
        </is>
      </c>
      <c r="L177" s="69">
        <f>L175-L176</f>
        <v/>
      </c>
      <c r="M177" s="69">
        <f>M175-M176</f>
        <v/>
      </c>
      <c r="N177" s="69">
        <f>N175-N176</f>
        <v/>
      </c>
      <c r="O177" s="69">
        <f>O175-O176</f>
        <v/>
      </c>
      <c r="P177" s="69">
        <f>P175-P176</f>
        <v/>
      </c>
    </row>
    <row r="179">
      <c r="B179" s="69" t="inlineStr">
        <is>
          <t>Total Debt</t>
        </is>
      </c>
      <c r="L179" s="69">
        <f>L161+L167+L172</f>
        <v/>
      </c>
      <c r="M179" s="69">
        <f>M161+M167+M172</f>
        <v/>
      </c>
      <c r="N179" s="69">
        <f>N161+N167+N172</f>
        <v/>
      </c>
      <c r="O179" s="69">
        <f>O161+O167+O172</f>
        <v/>
      </c>
      <c r="P179" s="69">
        <f>P161+P167+P172</f>
        <v/>
      </c>
    </row>
    <row r="180">
      <c r="B180" s="69" t="inlineStr">
        <is>
          <t>Net Debt</t>
        </is>
      </c>
      <c r="L180" s="69">
        <f>L179-L150</f>
        <v/>
      </c>
      <c r="M180" s="69">
        <f>M179-M150</f>
        <v/>
      </c>
      <c r="N180" s="69">
        <f>N179-N150</f>
        <v/>
      </c>
      <c r="O180" s="69">
        <f>O179-O150</f>
        <v/>
      </c>
      <c r="P180" s="69">
        <f>P179-P150</f>
        <v/>
      </c>
    </row>
    <row r="181">
      <c r="B181" s="69" t="inlineStr">
        <is>
          <t>Net Debt / EBITDA</t>
        </is>
      </c>
      <c r="L181" s="81">
        <f>L180/L92</f>
        <v/>
      </c>
      <c r="M181" s="81">
        <f>M180/M92</f>
        <v/>
      </c>
      <c r="N181" s="81">
        <f>N180/N92</f>
        <v/>
      </c>
      <c r="O181" s="81">
        <f>O180/O92</f>
        <v/>
      </c>
      <c r="P181" s="81">
        <f>P180/P92</f>
        <v/>
      </c>
    </row>
    <row r="182">
      <c r="B182" s="69" t="inlineStr">
        <is>
          <t>Net Debt / (EBITDA - Capex)</t>
        </is>
      </c>
      <c r="L182" s="81">
        <f>L180/(L92-L57)</f>
        <v/>
      </c>
      <c r="M182" s="81">
        <f>M180/(M92-M57)</f>
        <v/>
      </c>
      <c r="N182" s="81">
        <f>N180/(N92-N57)</f>
        <v/>
      </c>
      <c r="O182" s="81">
        <f>O180/(O92-O57)</f>
        <v/>
      </c>
      <c r="P182" s="81">
        <f>P180/(P92-P57)</f>
        <v/>
      </c>
    </row>
    <row r="183">
      <c r="B183" s="69" t="inlineStr">
        <is>
          <t>Interest Coverage</t>
        </is>
      </c>
      <c r="L183" s="81">
        <f>L92/L77</f>
        <v/>
      </c>
      <c r="M183" s="81">
        <f>M92/M77</f>
        <v/>
      </c>
      <c r="N183" s="81">
        <f>N92/N77</f>
        <v/>
      </c>
      <c r="O183" s="81">
        <f>O92/O77</f>
        <v/>
      </c>
      <c r="P183" s="81">
        <f>P92/P77</f>
        <v/>
      </c>
    </row>
    <row r="185">
      <c r="A185" s="69" t="inlineStr">
        <is>
          <t>x</t>
        </is>
      </c>
      <c r="B185" s="70" t="inlineStr">
        <is>
          <t>Returns Analysis</t>
        </is>
      </c>
      <c r="I185" s="88" t="n"/>
      <c r="J185" s="88" t="n"/>
      <c r="K185" s="88" t="n"/>
      <c r="L185" s="88" t="n">
        <v>2022</v>
      </c>
      <c r="M185" s="88">
        <f>L185+1</f>
        <v/>
      </c>
      <c r="N185" s="88">
        <f>M185+1</f>
        <v/>
      </c>
      <c r="O185" s="88">
        <f>N185+1</f>
        <v/>
      </c>
      <c r="P185" s="88">
        <f>O185+1</f>
        <v/>
      </c>
    </row>
    <row r="186">
      <c r="B186" s="66" t="inlineStr">
        <is>
          <t>Implied Hold</t>
        </is>
      </c>
      <c r="I186" s="88" t="n"/>
      <c r="J186" s="88" t="n"/>
      <c r="K186" s="88" t="n"/>
      <c r="L186" s="66">
        <f>L155-$K$155</f>
        <v/>
      </c>
      <c r="M186" s="66">
        <f>M155-$K$155</f>
        <v/>
      </c>
      <c r="N186" s="66">
        <f>N155-$K$155</f>
        <v/>
      </c>
      <c r="O186" s="66">
        <f>O155-$K$155</f>
        <v/>
      </c>
      <c r="P186" s="66">
        <f>P155-$K$155</f>
        <v/>
      </c>
    </row>
    <row r="188">
      <c r="B188" s="69" t="inlineStr">
        <is>
          <t>Exit LTM EBITDA Multiple</t>
        </is>
      </c>
      <c r="C188" s="105" t="n">
        <v>18.2</v>
      </c>
      <c r="L188" s="106">
        <f>$C$188</f>
        <v/>
      </c>
      <c r="M188" s="106">
        <f>$C$188</f>
        <v/>
      </c>
      <c r="N188" s="106">
        <f>$C$188</f>
        <v/>
      </c>
      <c r="O188" s="106">
        <f>$C$188</f>
        <v/>
      </c>
      <c r="P188" s="106">
        <f>$C$188</f>
        <v/>
      </c>
    </row>
    <row r="189">
      <c r="B189" s="69" t="inlineStr">
        <is>
          <t>Exit Enterprise Value</t>
        </is>
      </c>
      <c r="L189" s="69">
        <f>L188*L92</f>
        <v/>
      </c>
      <c r="M189" s="69">
        <f>M188*M92</f>
        <v/>
      </c>
      <c r="N189" s="69">
        <f>N188*N92</f>
        <v/>
      </c>
      <c r="O189" s="69">
        <f>O188*O92</f>
        <v/>
      </c>
      <c r="P189" s="69">
        <f>P188*P92</f>
        <v/>
      </c>
    </row>
    <row r="190">
      <c r="B190" s="69" t="inlineStr">
        <is>
          <t>(-) Net Debt</t>
        </is>
      </c>
      <c r="L190" s="69">
        <f>-L180</f>
        <v/>
      </c>
      <c r="M190" s="69">
        <f>-M180</f>
        <v/>
      </c>
      <c r="N190" s="69">
        <f>-N180</f>
        <v/>
      </c>
      <c r="O190" s="69">
        <f>-O180</f>
        <v/>
      </c>
      <c r="P190" s="69">
        <f>-P180</f>
        <v/>
      </c>
    </row>
    <row r="191">
      <c r="B191" s="69" t="inlineStr">
        <is>
          <t>(-) Operating Leases</t>
        </is>
      </c>
      <c r="L191" s="69">
        <f>-L113</f>
        <v/>
      </c>
      <c r="M191" s="69">
        <f>-M113</f>
        <v/>
      </c>
      <c r="N191" s="69">
        <f>-N113</f>
        <v/>
      </c>
      <c r="O191" s="69">
        <f>-O113</f>
        <v/>
      </c>
      <c r="P191" s="69">
        <f>-P113</f>
        <v/>
      </c>
    </row>
    <row r="192">
      <c r="B192" s="77" t="inlineStr">
        <is>
          <t>Exit Equity Value</t>
        </is>
      </c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>
        <f>SUM(L189:L191)</f>
        <v/>
      </c>
      <c r="M192" s="77">
        <f>SUM(M189:M191)</f>
        <v/>
      </c>
      <c r="N192" s="77">
        <f>SUM(N189:N191)</f>
        <v/>
      </c>
      <c r="O192" s="77">
        <f>SUM(O189:O191)</f>
        <v/>
      </c>
      <c r="P192" s="77">
        <f>SUM(P189:P191)</f>
        <v/>
      </c>
    </row>
    <row r="193">
      <c r="B193" s="69" t="inlineStr">
        <is>
          <t>(-) Attributable to Management (incl. MIP)</t>
        </is>
      </c>
      <c r="L193" s="66">
        <f>-($F$17+$F$18)*L192</f>
        <v/>
      </c>
      <c r="M193" s="69">
        <f>-($F$17+$F$18)*M192</f>
        <v/>
      </c>
      <c r="N193" s="69">
        <f>-($F$17+$F$18)*N192</f>
        <v/>
      </c>
      <c r="O193" s="69">
        <f>-($F$17+$F$18)*O192</f>
        <v/>
      </c>
      <c r="P193" s="69">
        <f>-($F$17+$F$18)*P192</f>
        <v/>
      </c>
    </row>
    <row r="194">
      <c r="B194" s="82" t="inlineStr">
        <is>
          <t>Sponsor Equity Value</t>
        </is>
      </c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>
        <f>SUM(L192:L193)</f>
        <v/>
      </c>
      <c r="M194" s="82">
        <f>SUM(M192:M193)</f>
        <v/>
      </c>
      <c r="N194" s="82">
        <f>SUM(N192:N193)</f>
        <v/>
      </c>
      <c r="O194" s="82">
        <f>SUM(O192:O193)</f>
        <v/>
      </c>
      <c r="P194" s="82">
        <f>SUM(P192:P193)</f>
        <v/>
      </c>
    </row>
    <row r="196">
      <c r="B196" s="107" t="inlineStr">
        <is>
          <t>MOIC</t>
        </is>
      </c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9">
        <f>L194/$C$13</f>
        <v/>
      </c>
      <c r="M196" s="109">
        <f>M194/$C$13</f>
        <v/>
      </c>
      <c r="N196" s="109">
        <f>N194/$C$13</f>
        <v/>
      </c>
      <c r="O196" s="109">
        <f>O194/$C$13</f>
        <v/>
      </c>
      <c r="P196" s="110">
        <f>P194/$C$13</f>
        <v/>
      </c>
    </row>
    <row r="197">
      <c r="B197" s="111" t="inlineStr">
        <is>
          <t xml:space="preserve">IRR </t>
        </is>
      </c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3">
        <f>L196^(1/L186)-1</f>
        <v/>
      </c>
      <c r="M197" s="113">
        <f>M196^(1/M186)-1</f>
        <v/>
      </c>
      <c r="N197" s="113">
        <f>N196^(1/N186)-1</f>
        <v/>
      </c>
      <c r="O197" s="113">
        <f>O196^(1/O186)-1</f>
        <v/>
      </c>
      <c r="P197" s="114">
        <f>P196^(1/P186)-1</f>
        <v/>
      </c>
    </row>
    <row r="198">
      <c r="B198" s="115" t="inlineStr">
        <is>
          <t>Equity Value Creation</t>
        </is>
      </c>
      <c r="C198" s="116" t="n"/>
      <c r="D198" s="116" t="n"/>
      <c r="E198" s="116" t="n"/>
      <c r="F198" s="116" t="n"/>
      <c r="G198" s="116" t="n"/>
      <c r="H198" s="116" t="n"/>
      <c r="I198" s="116" t="n"/>
      <c r="J198" s="116" t="n"/>
      <c r="K198" s="116" t="n"/>
      <c r="L198" s="116">
        <f>L194-$C$13</f>
        <v/>
      </c>
      <c r="M198" s="116">
        <f>M194-$C$13</f>
        <v/>
      </c>
      <c r="N198" s="116">
        <f>N194-$C$13</f>
        <v/>
      </c>
      <c r="O198" s="116">
        <f>O194-$C$13</f>
        <v/>
      </c>
      <c r="P198" s="117">
        <f>P194-$C$13</f>
        <v/>
      </c>
    </row>
    <row r="201">
      <c r="J201" s="118" t="inlineStr">
        <is>
          <t>Control Premium</t>
        </is>
      </c>
      <c r="K201" s="119" t="n"/>
      <c r="L201" s="119" t="n"/>
      <c r="M201" s="119" t="n"/>
      <c r="N201" s="119" t="n"/>
    </row>
    <row r="202">
      <c r="I202" s="120">
        <f>P197</f>
        <v/>
      </c>
      <c r="J202" s="121">
        <f>K202-5%</f>
        <v/>
      </c>
      <c r="K202" s="121">
        <f>L202-5%</f>
        <v/>
      </c>
      <c r="L202" s="121" t="n">
        <v>0.35</v>
      </c>
      <c r="M202" s="121">
        <f>L202+5%</f>
        <v/>
      </c>
      <c r="N202" s="121">
        <f>M202+5%</f>
        <v/>
      </c>
      <c r="O202" s="92" t="n"/>
    </row>
    <row r="203">
      <c r="I203" s="122">
        <f>I204-1</f>
        <v/>
      </c>
      <c r="J203" s="92">
        <f/>
        <v/>
      </c>
      <c r="K203" s="92" t="n">
        <v>0.1869226569137077</v>
      </c>
      <c r="L203" s="92" t="n">
        <v>0.1735341488032276</v>
      </c>
      <c r="M203" s="92" t="n">
        <v>0.1610035616424834</v>
      </c>
      <c r="N203" s="92" t="n">
        <v>0.1492352013280818</v>
      </c>
    </row>
    <row r="204">
      <c r="I204" s="122">
        <f>I205-1</f>
        <v/>
      </c>
      <c r="J204" s="92" t="n">
        <v>0.2234855281635788</v>
      </c>
      <c r="K204" s="92" t="n">
        <v>0.208859453232132</v>
      </c>
      <c r="L204" s="92" t="n">
        <v>0.1952234976795535</v>
      </c>
      <c r="M204" s="92" t="n">
        <v>0.1824613192380342</v>
      </c>
      <c r="N204" s="92" t="n">
        <v>0.1704754551783674</v>
      </c>
    </row>
    <row r="205">
      <c r="H205" s="123" t="inlineStr">
        <is>
          <t>Exit LTM EBITDA Multiple</t>
        </is>
      </c>
      <c r="I205" s="122" t="n">
        <v>18.2</v>
      </c>
      <c r="J205" s="92" t="n">
        <v>0.2441841399785449</v>
      </c>
      <c r="K205" s="92" t="n">
        <v>0.2293106248931986</v>
      </c>
      <c r="L205" s="113" t="n">
        <v>0.2154439797703622</v>
      </c>
      <c r="M205" s="92" t="n">
        <v>0.2024658940938218</v>
      </c>
      <c r="N205" s="92" t="n">
        <v>0.1902772562851178</v>
      </c>
    </row>
    <row r="206">
      <c r="I206" s="122">
        <f>I205+1</f>
        <v/>
      </c>
      <c r="J206" s="92" t="n">
        <v>0.2635905129219893</v>
      </c>
      <c r="K206" s="92" t="n">
        <v>0.2484850056648644</v>
      </c>
      <c r="L206" s="92" t="n">
        <v>0.2344020731950982</v>
      </c>
      <c r="M206" s="92" t="n">
        <v>0.2212215596281528</v>
      </c>
      <c r="N206" s="92" t="n">
        <v>0.2088428074759305</v>
      </c>
    </row>
    <row r="207">
      <c r="I207" s="122">
        <f>I206+1</f>
        <v/>
      </c>
      <c r="J207" s="92" t="n">
        <v>0.2818731159366457</v>
      </c>
      <c r="K207" s="92" t="n">
        <v>0.2665490505392902</v>
      </c>
      <c r="L207" s="92" t="n">
        <v>0.2522623553307302</v>
      </c>
      <c r="M207" s="92" t="n">
        <v>0.2388911359183314</v>
      </c>
      <c r="N207" s="92" t="n">
        <v>0.2263332784237522</v>
      </c>
    </row>
    <row r="209">
      <c r="J209" s="118" t="inlineStr">
        <is>
          <t>Store Add Step-Up</t>
        </is>
      </c>
      <c r="K209" s="119" t="n"/>
      <c r="L209" s="119" t="n"/>
      <c r="M209" s="119" t="n"/>
      <c r="N209" s="119" t="n"/>
    </row>
    <row r="210">
      <c r="I210" s="120">
        <f>P197</f>
        <v/>
      </c>
      <c r="J210" s="73">
        <f>K210-2</f>
        <v/>
      </c>
      <c r="K210" s="73">
        <f>L210-2</f>
        <v/>
      </c>
      <c r="L210" s="73" t="n">
        <v>0</v>
      </c>
      <c r="M210" s="73">
        <f>L210+2</f>
        <v/>
      </c>
      <c r="N210" s="73">
        <f>M210+2</f>
        <v/>
      </c>
    </row>
    <row r="211">
      <c r="I211" s="124">
        <f>I212-0.5</f>
        <v/>
      </c>
      <c r="J211" s="92">
        <f/>
        <v/>
      </c>
      <c r="K211" s="92" t="n">
        <v>0.09782212707515625</v>
      </c>
      <c r="L211" s="92" t="n">
        <v>0.1120909875273783</v>
      </c>
      <c r="M211" s="92" t="n">
        <v>0.1256776057264999</v>
      </c>
      <c r="N211" s="92" t="n">
        <v>0.1386529233350715</v>
      </c>
    </row>
    <row r="212">
      <c r="I212" s="124">
        <f>I213-0.5</f>
        <v/>
      </c>
      <c r="J212" s="92" t="n">
        <v>0.1395016978521983</v>
      </c>
      <c r="K212" s="92" t="n">
        <v>0.154271195491656</v>
      </c>
      <c r="L212" s="92" t="n">
        <v>0.1683212994483758</v>
      </c>
      <c r="M212" s="92" t="n">
        <v>0.1817269336777494</v>
      </c>
      <c r="N212" s="92" t="n">
        <v>0.1945557637047433</v>
      </c>
    </row>
    <row r="213">
      <c r="H213" s="123" t="inlineStr">
        <is>
          <t>Revenue / Store Step-Up (US$m)</t>
        </is>
      </c>
      <c r="I213" s="124" t="n">
        <v>0</v>
      </c>
      <c r="J213" s="92" t="n">
        <v>0.1867672634113444</v>
      </c>
      <c r="K213" s="92" t="n">
        <v>0.2014477830565393</v>
      </c>
      <c r="L213" s="113" t="n">
        <v>0.2154439797234868</v>
      </c>
      <c r="M213" s="92" t="n">
        <v>0.2288236954821061</v>
      </c>
      <c r="N213" s="92" t="n">
        <v>0.2416448536836453</v>
      </c>
    </row>
    <row r="214">
      <c r="I214" s="124">
        <f>I213+0.5</f>
        <v/>
      </c>
      <c r="J214" s="92" t="n">
        <v>0.2275185103289457</v>
      </c>
      <c r="K214" s="92" t="n">
        <v>0.2422018887674022</v>
      </c>
      <c r="L214" s="92" t="n">
        <v>0.2562221435255128</v>
      </c>
      <c r="M214" s="92" t="n">
        <v>0.269643074406825</v>
      </c>
      <c r="N214" s="92" t="n">
        <v>0.2825194150404282</v>
      </c>
    </row>
    <row r="215">
      <c r="I215" s="124">
        <f>I214+0.5</f>
        <v/>
      </c>
      <c r="J215" s="92" t="n">
        <v>0.2634823834644562</v>
      </c>
      <c r="K215" s="92" t="n">
        <v>0.2782182299818927</v>
      </c>
      <c r="L215" s="92" t="n">
        <v>0.2923043088121384</v>
      </c>
      <c r="M215" s="92" t="n">
        <v>0.3058017339490695</v>
      </c>
      <c r="N215" s="92" t="n">
        <v>0.31876311989948</v>
      </c>
    </row>
  </sheetData>
  <pageMargins left="0.7" right="0.7" top="0.75" bottom="0.75" header="0.3" footer="0.3"/>
  <pageSetup orientation="portrait" paperSize="9" scale="22"/>
  <colBreaks count="1" manualBreakCount="1">
    <brk id="16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36"/>
  <sheetViews>
    <sheetView showGridLines="0" tabSelected="1" workbookViewId="0">
      <selection activeCell="P29" sqref="P29"/>
    </sheetView>
  </sheetViews>
  <sheetFormatPr baseColWidth="8" defaultColWidth="10.59765625" defaultRowHeight="14.25"/>
  <cols>
    <col width="1.59765625" customWidth="1" style="65" min="1" max="1"/>
  </cols>
  <sheetData>
    <row r="2">
      <c r="B2" s="125" t="n">
        <v>89.37074425</v>
      </c>
    </row>
    <row r="3">
      <c r="B3" s="69" t="n">
        <v>89.37074425</v>
      </c>
    </row>
    <row r="4">
      <c r="B4" s="69" t="n">
        <v>89.37074425</v>
      </c>
    </row>
    <row r="5">
      <c r="B5" s="69" t="n">
        <v>89.37074425</v>
      </c>
    </row>
    <row r="6">
      <c r="B6" s="69" t="n">
        <v>89.37074425</v>
      </c>
    </row>
    <row r="7">
      <c r="B7" t="n">
        <v>89.37074425</v>
      </c>
    </row>
    <row r="8">
      <c r="B8" s="126" t="n">
        <v>89.37074425</v>
      </c>
      <c r="C8" s="127" t="n"/>
      <c r="D8" s="127" t="n"/>
      <c r="E8" s="127" t="n"/>
      <c r="F8" s="127" t="n"/>
      <c r="G8" s="127" t="n"/>
      <c r="H8" s="127" t="n"/>
      <c r="I8" s="127" t="n"/>
      <c r="J8" s="127" t="n"/>
      <c r="K8" s="127" t="n"/>
      <c r="L8" s="127" t="n"/>
      <c r="M8" s="127" t="n"/>
      <c r="N8" s="127" t="n"/>
      <c r="O8" s="127" t="n"/>
      <c r="P8" s="127" t="n"/>
      <c r="Q8" s="127" t="n"/>
    </row>
    <row r="9">
      <c r="B9" s="128" t="n">
        <v>89.37074425</v>
      </c>
      <c r="C9" s="129" t="n"/>
      <c r="D9" s="129" t="n"/>
      <c r="E9" s="129" t="n"/>
      <c r="F9" s="63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</row>
    <row r="10">
      <c r="B10" s="129" t="n">
        <v>89.37074425</v>
      </c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</row>
    <row r="11"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</row>
    <row r="12"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</row>
    <row r="13"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</row>
    <row r="14"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</row>
    <row r="15"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</row>
    <row r="16"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</row>
    <row r="17"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</row>
    <row r="18"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</row>
    <row r="19"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</row>
    <row r="20"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</row>
    <row r="21"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</row>
    <row r="22"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</row>
    <row r="23"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</row>
    <row r="24"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</row>
    <row r="25"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</row>
    <row r="26"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</row>
    <row r="27"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</row>
    <row r="28"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</row>
    <row r="29"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</row>
    <row r="30"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</row>
    <row r="31"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</row>
    <row r="32"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</row>
    <row r="33"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</row>
    <row r="34"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</row>
    <row r="35"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</row>
    <row r="36"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Andrew Kolosov</dc:creator>
  <dcterms:created xmlns:dcterms="http://purl.org/dc/terms/" xmlns:xsi="http://www.w3.org/2001/XMLSchema-instance" xsi:type="dcterms:W3CDTF">2009-10-20T07:07:16Z</dcterms:created>
  <dcterms:modified xmlns:dcterms="http://purl.org/dc/terms/" xmlns:xsi="http://www.w3.org/2001/XMLSchema-instance" xsi:type="dcterms:W3CDTF">2026-01-06T03:16:04Z</dcterms:modified>
  <cp:lastModifiedBy>Danial Azmi</cp:lastModifiedBy>
</cp:coreProperties>
</file>