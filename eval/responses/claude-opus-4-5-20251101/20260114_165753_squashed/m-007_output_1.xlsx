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07_063702_squashed\"/>
    </mc:Choice>
  </mc:AlternateContent>
  <xr:revisionPtr revIDLastSave="0" documentId="13_ncr:1_{F369EAE3-A09C-47F2-A66F-D2C486216A28}" xr6:coauthVersionLast="47" xr6:coauthVersionMax="47" xr10:uidLastSave="{00000000-0000-0000-0000-000000000000}"/>
  <bookViews>
    <workbookView xWindow="-98" yWindow="-98" windowWidth="22875" windowHeight="14431" xr2:uid="{00000000-000D-0000-FFFF-FFFF00000000}"/>
  </bookViews>
  <sheets>
    <sheet name="LBO" sheetId="1" r:id="rId1"/>
    <sheet name="Mgmt Return Analysis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LBO!$A$1:$P$216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I214" i="1"/>
  <c r="I215" i="1" s="1"/>
  <c r="I212" i="1"/>
  <c r="I211" i="1" s="1"/>
  <c r="M210" i="1"/>
  <c r="N210" i="1" s="1"/>
  <c r="K210" i="1"/>
  <c r="J210" i="1" s="1"/>
  <c r="I206" i="1"/>
  <c r="I207" i="1" s="1"/>
  <c r="I204" i="1"/>
  <c r="I203" i="1"/>
  <c r="M202" i="1"/>
  <c r="N202" i="1" s="1"/>
  <c r="K202" i="1"/>
  <c r="J202" i="1"/>
  <c r="P188" i="1"/>
  <c r="O188" i="1"/>
  <c r="N188" i="1"/>
  <c r="M188" i="1"/>
  <c r="L188" i="1"/>
  <c r="N186" i="1"/>
  <c r="O185" i="1"/>
  <c r="P185" i="1" s="1"/>
  <c r="M185" i="1"/>
  <c r="N185" i="1" s="1"/>
  <c r="O155" i="1"/>
  <c r="N155" i="1"/>
  <c r="M155" i="1"/>
  <c r="M186" i="1" s="1"/>
  <c r="L155" i="1"/>
  <c r="L186" i="1" s="1"/>
  <c r="P149" i="1"/>
  <c r="O149" i="1"/>
  <c r="N149" i="1"/>
  <c r="M149" i="1"/>
  <c r="L149" i="1"/>
  <c r="P144" i="1"/>
  <c r="O144" i="1"/>
  <c r="N144" i="1"/>
  <c r="M144" i="1"/>
  <c r="L144" i="1"/>
  <c r="P130" i="1"/>
  <c r="L130" i="1"/>
  <c r="M130" i="1" s="1"/>
  <c r="N130" i="1" s="1"/>
  <c r="O130" i="1" s="1"/>
  <c r="G125" i="1"/>
  <c r="F125" i="1"/>
  <c r="G121" i="1"/>
  <c r="I120" i="1"/>
  <c r="L118" i="1"/>
  <c r="M118" i="1" s="1"/>
  <c r="N118" i="1" s="1"/>
  <c r="O118" i="1" s="1"/>
  <c r="P118" i="1" s="1"/>
  <c r="K118" i="1"/>
  <c r="K115" i="1"/>
  <c r="K161" i="1" s="1"/>
  <c r="I114" i="1"/>
  <c r="K114" i="1" s="1"/>
  <c r="L114" i="1" s="1"/>
  <c r="M114" i="1" s="1"/>
  <c r="N114" i="1" s="1"/>
  <c r="O114" i="1" s="1"/>
  <c r="P114" i="1" s="1"/>
  <c r="F114" i="1"/>
  <c r="F121" i="1" s="1"/>
  <c r="L113" i="1"/>
  <c r="L191" i="1" s="1"/>
  <c r="K113" i="1"/>
  <c r="K112" i="1"/>
  <c r="K111" i="1"/>
  <c r="K110" i="1"/>
  <c r="G108" i="1"/>
  <c r="G123" i="1" s="1"/>
  <c r="F108" i="1"/>
  <c r="F123" i="1" s="1"/>
  <c r="N107" i="1"/>
  <c r="O107" i="1" s="1"/>
  <c r="P107" i="1" s="1"/>
  <c r="L107" i="1"/>
  <c r="M107" i="1" s="1"/>
  <c r="K107" i="1"/>
  <c r="J105" i="1"/>
  <c r="O104" i="1"/>
  <c r="P104" i="1" s="1"/>
  <c r="K104" i="1"/>
  <c r="L104" i="1" s="1"/>
  <c r="M104" i="1" s="1"/>
  <c r="N104" i="1" s="1"/>
  <c r="K103" i="1"/>
  <c r="K102" i="1"/>
  <c r="K101" i="1"/>
  <c r="K125" i="1" s="1"/>
  <c r="K100" i="1"/>
  <c r="J100" i="1"/>
  <c r="I100" i="1"/>
  <c r="O98" i="1"/>
  <c r="P98" i="1" s="1"/>
  <c r="G98" i="1"/>
  <c r="L98" i="1" s="1"/>
  <c r="M98" i="1" s="1"/>
  <c r="N98" i="1" s="1"/>
  <c r="K91" i="1"/>
  <c r="J91" i="1"/>
  <c r="I91" i="1"/>
  <c r="K89" i="1"/>
  <c r="J89" i="1"/>
  <c r="I89" i="1"/>
  <c r="K69" i="1"/>
  <c r="K70" i="1" s="1"/>
  <c r="J69" i="1"/>
  <c r="J46" i="1" s="1"/>
  <c r="L46" i="1" s="1"/>
  <c r="I69" i="1"/>
  <c r="I75" i="1" s="1"/>
  <c r="K66" i="1"/>
  <c r="K65" i="1"/>
  <c r="K50" i="1" s="1"/>
  <c r="J65" i="1"/>
  <c r="I65" i="1"/>
  <c r="L61" i="1"/>
  <c r="M61" i="1" s="1"/>
  <c r="N61" i="1" s="1"/>
  <c r="O61" i="1" s="1"/>
  <c r="P61" i="1" s="1"/>
  <c r="J61" i="1"/>
  <c r="K61" i="1" s="1"/>
  <c r="K59" i="1"/>
  <c r="L56" i="1" s="1"/>
  <c r="K49" i="1"/>
  <c r="K48" i="1"/>
  <c r="J48" i="1"/>
  <c r="L48" i="1" s="1"/>
  <c r="J47" i="1"/>
  <c r="L47" i="1" s="1"/>
  <c r="K46" i="1"/>
  <c r="K44" i="1"/>
  <c r="K43" i="1"/>
  <c r="K41" i="1"/>
  <c r="I41" i="1"/>
  <c r="J40" i="1"/>
  <c r="I40" i="1"/>
  <c r="I44" i="1" s="1"/>
  <c r="N38" i="1"/>
  <c r="M38" i="1"/>
  <c r="K37" i="1"/>
  <c r="I37" i="1"/>
  <c r="K36" i="1"/>
  <c r="I36" i="1"/>
  <c r="K35" i="1"/>
  <c r="I35" i="1"/>
  <c r="K34" i="1"/>
  <c r="I34" i="1"/>
  <c r="R33" i="1"/>
  <c r="M33" i="1"/>
  <c r="N33" i="1" s="1"/>
  <c r="K33" i="1"/>
  <c r="J33" i="1"/>
  <c r="I33" i="1"/>
  <c r="R32" i="1"/>
  <c r="M32" i="1"/>
  <c r="K32" i="1"/>
  <c r="J32" i="1"/>
  <c r="I32" i="1"/>
  <c r="R31" i="1"/>
  <c r="L31" i="1"/>
  <c r="M31" i="1" s="1"/>
  <c r="N31" i="1" s="1"/>
  <c r="O31" i="1" s="1"/>
  <c r="P31" i="1" s="1"/>
  <c r="K31" i="1"/>
  <c r="J31" i="1"/>
  <c r="I31" i="1"/>
  <c r="R30" i="1"/>
  <c r="L30" i="1" s="1"/>
  <c r="M30" i="1" s="1"/>
  <c r="N30" i="1" s="1"/>
  <c r="O30" i="1" s="1"/>
  <c r="P30" i="1" s="1"/>
  <c r="K30" i="1"/>
  <c r="J30" i="1"/>
  <c r="I30" i="1"/>
  <c r="M29" i="1"/>
  <c r="N29" i="1" s="1"/>
  <c r="O29" i="1" s="1"/>
  <c r="P29" i="1" s="1"/>
  <c r="K29" i="1"/>
  <c r="J29" i="1"/>
  <c r="J43" i="1" s="1"/>
  <c r="I29" i="1"/>
  <c r="I43" i="1" s="1"/>
  <c r="L43" i="1" s="1"/>
  <c r="M28" i="1"/>
  <c r="L28" i="1"/>
  <c r="J26" i="1"/>
  <c r="K26" i="1" s="1"/>
  <c r="L26" i="1" s="1"/>
  <c r="M26" i="1" s="1"/>
  <c r="N26" i="1" s="1"/>
  <c r="O26" i="1" s="1"/>
  <c r="P26" i="1" s="1"/>
  <c r="C21" i="1"/>
  <c r="C20" i="1"/>
  <c r="C19" i="1"/>
  <c r="F10" i="1"/>
  <c r="F9" i="1"/>
  <c r="C9" i="1"/>
  <c r="F8" i="1"/>
  <c r="F11" i="1" s="1"/>
  <c r="C8" i="1"/>
  <c r="I7" i="1"/>
  <c r="I6" i="1"/>
  <c r="M43" i="1" l="1"/>
  <c r="L42" i="1"/>
  <c r="L139" i="1" s="1"/>
  <c r="M46" i="1"/>
  <c r="I79" i="1"/>
  <c r="I76" i="1"/>
  <c r="M64" i="1"/>
  <c r="M63" i="1"/>
  <c r="N28" i="1"/>
  <c r="M48" i="1"/>
  <c r="C18" i="1"/>
  <c r="J44" i="1"/>
  <c r="J41" i="1"/>
  <c r="I70" i="1"/>
  <c r="O33" i="1"/>
  <c r="O38" i="1"/>
  <c r="M47" i="1"/>
  <c r="I5" i="1"/>
  <c r="I8" i="1" s="1"/>
  <c r="I105" i="1" s="1"/>
  <c r="K105" i="1" s="1"/>
  <c r="L105" i="1" s="1"/>
  <c r="M105" i="1" s="1"/>
  <c r="N105" i="1" s="1"/>
  <c r="O105" i="1" s="1"/>
  <c r="P105" i="1" s="1"/>
  <c r="J66" i="1"/>
  <c r="J49" i="1"/>
  <c r="L49" i="1" s="1"/>
  <c r="J34" i="1"/>
  <c r="J50" i="1"/>
  <c r="L50" i="1" s="1"/>
  <c r="J37" i="1"/>
  <c r="J36" i="1"/>
  <c r="L36" i="1" s="1"/>
  <c r="J35" i="1"/>
  <c r="L35" i="1" s="1"/>
  <c r="J75" i="1"/>
  <c r="L64" i="1"/>
  <c r="L68" i="1" s="1"/>
  <c r="L63" i="1"/>
  <c r="M67" i="1"/>
  <c r="N32" i="1"/>
  <c r="M68" i="1"/>
  <c r="J70" i="1"/>
  <c r="K126" i="1"/>
  <c r="K47" i="1"/>
  <c r="K75" i="1"/>
  <c r="L159" i="1"/>
  <c r="K150" i="1"/>
  <c r="M113" i="1"/>
  <c r="O186" i="1"/>
  <c r="P155" i="1"/>
  <c r="P186" i="1" s="1"/>
  <c r="N48" i="1" l="1"/>
  <c r="N63" i="1"/>
  <c r="O28" i="1"/>
  <c r="N64" i="1"/>
  <c r="N68" i="1" s="1"/>
  <c r="I82" i="1"/>
  <c r="I81" i="1"/>
  <c r="I38" i="1" s="1"/>
  <c r="N43" i="1"/>
  <c r="M42" i="1"/>
  <c r="M139" i="1" s="1"/>
  <c r="O32" i="1"/>
  <c r="N67" i="1"/>
  <c r="C23" i="1"/>
  <c r="M65" i="1"/>
  <c r="N46" i="1"/>
  <c r="K76" i="1"/>
  <c r="K79" i="1"/>
  <c r="L67" i="1"/>
  <c r="L69" i="1" s="1"/>
  <c r="L65" i="1"/>
  <c r="L88" i="1"/>
  <c r="M35" i="1"/>
  <c r="M102" i="1"/>
  <c r="N47" i="1"/>
  <c r="P33" i="1"/>
  <c r="L74" i="1"/>
  <c r="L89" i="1" s="1"/>
  <c r="M36" i="1"/>
  <c r="L111" i="1"/>
  <c r="M49" i="1"/>
  <c r="P38" i="1"/>
  <c r="M191" i="1"/>
  <c r="N113" i="1"/>
  <c r="L142" i="1"/>
  <c r="M69" i="1"/>
  <c r="J79" i="1"/>
  <c r="J76" i="1"/>
  <c r="L112" i="1"/>
  <c r="M50" i="1"/>
  <c r="M70" i="1" l="1"/>
  <c r="M112" i="1"/>
  <c r="N50" i="1"/>
  <c r="L70" i="1"/>
  <c r="L101" i="1"/>
  <c r="L110" i="1"/>
  <c r="M101" i="1"/>
  <c r="N69" i="1"/>
  <c r="N110" i="1" s="1"/>
  <c r="N42" i="1"/>
  <c r="N139" i="1" s="1"/>
  <c r="O43" i="1"/>
  <c r="O64" i="1"/>
  <c r="O68" i="1" s="1"/>
  <c r="P28" i="1"/>
  <c r="O63" i="1"/>
  <c r="O65" i="1" s="1"/>
  <c r="J81" i="1"/>
  <c r="J38" i="1" s="1"/>
  <c r="J82" i="1"/>
  <c r="N191" i="1"/>
  <c r="O113" i="1"/>
  <c r="M111" i="1"/>
  <c r="N49" i="1"/>
  <c r="M88" i="1"/>
  <c r="N35" i="1"/>
  <c r="K82" i="1"/>
  <c r="K81" i="1"/>
  <c r="K38" i="1" s="1"/>
  <c r="M72" i="1"/>
  <c r="M133" i="1" s="1"/>
  <c r="M66" i="1"/>
  <c r="M40" i="1"/>
  <c r="M71" i="1"/>
  <c r="M58" i="1"/>
  <c r="P32" i="1"/>
  <c r="N65" i="1"/>
  <c r="I85" i="1"/>
  <c r="I92" i="1" s="1"/>
  <c r="I83" i="1"/>
  <c r="O48" i="1"/>
  <c r="N36" i="1"/>
  <c r="M74" i="1"/>
  <c r="M89" i="1" s="1"/>
  <c r="O47" i="1"/>
  <c r="L58" i="1"/>
  <c r="L72" i="1"/>
  <c r="L133" i="1" s="1"/>
  <c r="L66" i="1"/>
  <c r="L40" i="1"/>
  <c r="L71" i="1"/>
  <c r="L102" i="1"/>
  <c r="N101" i="1"/>
  <c r="O46" i="1"/>
  <c r="M110" i="1"/>
  <c r="L125" i="1" l="1"/>
  <c r="P46" i="1"/>
  <c r="L138" i="1"/>
  <c r="L140" i="1" s="1"/>
  <c r="L44" i="1"/>
  <c r="L57" i="1" s="1"/>
  <c r="L59" i="1" s="1"/>
  <c r="O36" i="1"/>
  <c r="N74" i="1"/>
  <c r="N89" i="1" s="1"/>
  <c r="P64" i="1"/>
  <c r="P68" i="1" s="1"/>
  <c r="P63" i="1"/>
  <c r="P67" i="1" s="1"/>
  <c r="N70" i="1"/>
  <c r="O191" i="1"/>
  <c r="P113" i="1"/>
  <c r="P191" i="1" s="1"/>
  <c r="P47" i="1"/>
  <c r="O102" i="1"/>
  <c r="O67" i="1"/>
  <c r="O69" i="1" s="1"/>
  <c r="O70" i="1" s="1"/>
  <c r="M138" i="1"/>
  <c r="M140" i="1" s="1"/>
  <c r="M44" i="1"/>
  <c r="M57" i="1" s="1"/>
  <c r="K85" i="1"/>
  <c r="K92" i="1" s="1"/>
  <c r="K83" i="1"/>
  <c r="N111" i="1"/>
  <c r="O49" i="1"/>
  <c r="J83" i="1"/>
  <c r="J85" i="1"/>
  <c r="J92" i="1" s="1"/>
  <c r="M125" i="1"/>
  <c r="N112" i="1"/>
  <c r="O50" i="1"/>
  <c r="O110" i="1"/>
  <c r="P48" i="1"/>
  <c r="N72" i="1"/>
  <c r="N133" i="1" s="1"/>
  <c r="N66" i="1"/>
  <c r="N40" i="1"/>
  <c r="N71" i="1"/>
  <c r="N58" i="1"/>
  <c r="O71" i="1"/>
  <c r="O58" i="1"/>
  <c r="O40" i="1"/>
  <c r="O66" i="1"/>
  <c r="O72" i="1"/>
  <c r="O133" i="1" s="1"/>
  <c r="N102" i="1"/>
  <c r="I95" i="1"/>
  <c r="I96" i="1" s="1"/>
  <c r="I93" i="1"/>
  <c r="N88" i="1"/>
  <c r="O35" i="1"/>
  <c r="O42" i="1"/>
  <c r="O139" i="1" s="1"/>
  <c r="P43" i="1"/>
  <c r="P42" i="1" s="1"/>
  <c r="P139" i="1" s="1"/>
  <c r="N125" i="1" l="1"/>
  <c r="N126" i="1" s="1"/>
  <c r="P69" i="1"/>
  <c r="P110" i="1" s="1"/>
  <c r="P65" i="1"/>
  <c r="P71" i="1" s="1"/>
  <c r="P66" i="1"/>
  <c r="O74" i="1"/>
  <c r="O89" i="1" s="1"/>
  <c r="P36" i="1"/>
  <c r="P74" i="1" s="1"/>
  <c r="P89" i="1" s="1"/>
  <c r="O101" i="1"/>
  <c r="O112" i="1"/>
  <c r="P50" i="1"/>
  <c r="K95" i="1"/>
  <c r="K96" i="1" s="1"/>
  <c r="K93" i="1"/>
  <c r="I16" i="1"/>
  <c r="I18" i="1" s="1"/>
  <c r="O88" i="1"/>
  <c r="P35" i="1"/>
  <c r="P88" i="1" s="1"/>
  <c r="O111" i="1"/>
  <c r="P49" i="1"/>
  <c r="P101" i="1"/>
  <c r="M126" i="1"/>
  <c r="N138" i="1"/>
  <c r="N140" i="1" s="1"/>
  <c r="N44" i="1"/>
  <c r="N57" i="1" s="1"/>
  <c r="J95" i="1"/>
  <c r="J96" i="1" s="1"/>
  <c r="J93" i="1"/>
  <c r="L103" i="1"/>
  <c r="M56" i="1"/>
  <c r="M59" i="1" s="1"/>
  <c r="M135" i="1"/>
  <c r="L126" i="1"/>
  <c r="L135" i="1"/>
  <c r="O138" i="1"/>
  <c r="O140" i="1" s="1"/>
  <c r="O44" i="1"/>
  <c r="O57" i="1" s="1"/>
  <c r="N135" i="1" l="1"/>
  <c r="P112" i="1"/>
  <c r="P72" i="1"/>
  <c r="P133" i="1" s="1"/>
  <c r="P102" i="1"/>
  <c r="P40" i="1"/>
  <c r="P138" i="1" s="1"/>
  <c r="P140" i="1" s="1"/>
  <c r="P111" i="1"/>
  <c r="P58" i="1"/>
  <c r="P70" i="1"/>
  <c r="O125" i="1"/>
  <c r="N56" i="1"/>
  <c r="N59" i="1" s="1"/>
  <c r="M103" i="1"/>
  <c r="C11" i="1"/>
  <c r="J117" i="1" s="1"/>
  <c r="K117" i="1" s="1"/>
  <c r="K172" i="1" s="1"/>
  <c r="C10" i="1"/>
  <c r="F12" i="1"/>
  <c r="P44" i="1"/>
  <c r="P57" i="1" s="1"/>
  <c r="P125" i="1" l="1"/>
  <c r="P126" i="1" s="1"/>
  <c r="J116" i="1"/>
  <c r="K116" i="1" s="1"/>
  <c r="K167" i="1" s="1"/>
  <c r="C22" i="1"/>
  <c r="N103" i="1"/>
  <c r="O56" i="1"/>
  <c r="O59" i="1" s="1"/>
  <c r="L170" i="1"/>
  <c r="P135" i="1"/>
  <c r="O126" i="1"/>
  <c r="O135" i="1"/>
  <c r="I106" i="1" l="1"/>
  <c r="K106" i="1" s="1"/>
  <c r="M53" i="1"/>
  <c r="M73" i="1" s="1"/>
  <c r="P53" i="1"/>
  <c r="P73" i="1" s="1"/>
  <c r="L53" i="1"/>
  <c r="L73" i="1" s="1"/>
  <c r="O53" i="1"/>
  <c r="O73" i="1" s="1"/>
  <c r="N53" i="1"/>
  <c r="N73" i="1" s="1"/>
  <c r="C24" i="1"/>
  <c r="C12" i="1" s="1"/>
  <c r="O103" i="1"/>
  <c r="P56" i="1"/>
  <c r="P59" i="1" s="1"/>
  <c r="P103" i="1" s="1"/>
  <c r="L164" i="1"/>
  <c r="L91" i="1" l="1"/>
  <c r="L134" i="1"/>
  <c r="L75" i="1"/>
  <c r="L165" i="1"/>
  <c r="L146" i="1" s="1"/>
  <c r="C14" i="2"/>
  <c r="C18" i="2" s="1"/>
  <c r="J120" i="1"/>
  <c r="K120" i="1" s="1"/>
  <c r="C14" i="1"/>
  <c r="C13" i="1"/>
  <c r="C15" i="1"/>
  <c r="P91" i="1"/>
  <c r="P134" i="1"/>
  <c r="P75" i="1"/>
  <c r="N134" i="1"/>
  <c r="N91" i="1"/>
  <c r="N75" i="1"/>
  <c r="M134" i="1"/>
  <c r="M91" i="1"/>
  <c r="M75" i="1"/>
  <c r="O134" i="1"/>
  <c r="O91" i="1"/>
  <c r="O75" i="1"/>
  <c r="K54" i="1"/>
  <c r="L52" i="1" s="1"/>
  <c r="L54" i="1" s="1"/>
  <c r="M52" i="1" s="1"/>
  <c r="M54" i="1" s="1"/>
  <c r="N52" i="1" s="1"/>
  <c r="N54" i="1" s="1"/>
  <c r="O52" i="1" s="1"/>
  <c r="O54" i="1" s="1"/>
  <c r="P52" i="1" s="1"/>
  <c r="P54" i="1" s="1"/>
  <c r="L106" i="1"/>
  <c r="M106" i="1" s="1"/>
  <c r="N106" i="1" s="1"/>
  <c r="O106" i="1" s="1"/>
  <c r="P106" i="1" s="1"/>
  <c r="K108" i="1"/>
  <c r="O76" i="1" l="1"/>
  <c r="L76" i="1"/>
  <c r="N76" i="1"/>
  <c r="M76" i="1"/>
  <c r="K121" i="1"/>
  <c r="K123" i="1" s="1"/>
  <c r="K127" i="1"/>
  <c r="P76" i="1"/>
  <c r="F13" i="1"/>
  <c r="L77" i="1"/>
  <c r="M77" i="1"/>
  <c r="N77" i="1"/>
  <c r="O77" i="1"/>
  <c r="P77" i="1"/>
  <c r="L79" i="1"/>
  <c r="M79" i="1"/>
  <c r="N79" i="1"/>
  <c r="O79" i="1"/>
  <c r="P79" i="1"/>
  <c r="L80" i="1"/>
  <c r="M80" i="1"/>
  <c r="N80" i="1"/>
  <c r="O80" i="1"/>
  <c r="P80" i="1"/>
  <c r="L81" i="1"/>
  <c r="M81" i="1"/>
  <c r="N81" i="1"/>
  <c r="O81" i="1"/>
  <c r="P81" i="1"/>
  <c r="L82" i="1"/>
  <c r="M82" i="1"/>
  <c r="N82" i="1"/>
  <c r="O82" i="1"/>
  <c r="P82" i="1"/>
  <c r="L83" i="1"/>
  <c r="M83" i="1"/>
  <c r="N83" i="1"/>
  <c r="O83" i="1"/>
  <c r="P83" i="1"/>
  <c r="L85" i="1"/>
  <c r="M85" i="1"/>
  <c r="N85" i="1"/>
  <c r="O85" i="1"/>
  <c r="P85" i="1"/>
  <c r="L92" i="1"/>
  <c r="M92" i="1"/>
  <c r="N92" i="1"/>
  <c r="O92" i="1"/>
  <c r="P92" i="1"/>
  <c r="L93" i="1"/>
  <c r="M93" i="1"/>
  <c r="N93" i="1"/>
  <c r="O93" i="1"/>
  <c r="P93" i="1"/>
  <c r="L95" i="1"/>
  <c r="M95" i="1"/>
  <c r="N95" i="1"/>
  <c r="O95" i="1"/>
  <c r="P95" i="1"/>
  <c r="L96" i="1"/>
  <c r="M96" i="1"/>
  <c r="N96" i="1"/>
  <c r="O96" i="1"/>
  <c r="P96" i="1"/>
  <c r="L100" i="1"/>
  <c r="M100" i="1"/>
  <c r="N100" i="1"/>
  <c r="O100" i="1"/>
  <c r="P100" i="1"/>
  <c r="L108" i="1"/>
  <c r="M108" i="1"/>
  <c r="N108" i="1"/>
  <c r="O108" i="1"/>
  <c r="P108" i="1"/>
  <c r="L115" i="1"/>
  <c r="M115" i="1"/>
  <c r="N115" i="1"/>
  <c r="O115" i="1"/>
  <c r="P115" i="1"/>
  <c r="L116" i="1"/>
  <c r="M116" i="1"/>
  <c r="N116" i="1"/>
  <c r="O116" i="1"/>
  <c r="P116" i="1"/>
  <c r="L117" i="1"/>
  <c r="M117" i="1"/>
  <c r="N117" i="1"/>
  <c r="O117" i="1"/>
  <c r="P117" i="1"/>
  <c r="L120" i="1"/>
  <c r="M120" i="1"/>
  <c r="N120" i="1"/>
  <c r="O120" i="1"/>
  <c r="P120" i="1"/>
  <c r="L121" i="1"/>
  <c r="M121" i="1"/>
  <c r="N121" i="1"/>
  <c r="O121" i="1"/>
  <c r="P121" i="1"/>
  <c r="L123" i="1"/>
  <c r="M123" i="1"/>
  <c r="N123" i="1"/>
  <c r="O123" i="1"/>
  <c r="P123" i="1"/>
  <c r="L127" i="1"/>
  <c r="M127" i="1"/>
  <c r="N127" i="1"/>
  <c r="O127" i="1"/>
  <c r="P127" i="1"/>
  <c r="L128" i="1"/>
  <c r="M128" i="1"/>
  <c r="N128" i="1"/>
  <c r="O128" i="1"/>
  <c r="P128" i="1"/>
  <c r="L132" i="1"/>
  <c r="M132" i="1"/>
  <c r="N132" i="1"/>
  <c r="O132" i="1"/>
  <c r="P132" i="1"/>
  <c r="L136" i="1"/>
  <c r="M136" i="1"/>
  <c r="N136" i="1"/>
  <c r="O136" i="1"/>
  <c r="P136" i="1"/>
  <c r="M142" i="1"/>
  <c r="N142" i="1"/>
  <c r="O142" i="1"/>
  <c r="P142" i="1"/>
  <c r="L143" i="1"/>
  <c r="M143" i="1"/>
  <c r="N143" i="1"/>
  <c r="O143" i="1"/>
  <c r="P143" i="1"/>
  <c r="L145" i="1"/>
  <c r="M145" i="1"/>
  <c r="N145" i="1"/>
  <c r="O145" i="1"/>
  <c r="P145" i="1"/>
  <c r="M146" i="1"/>
  <c r="N146" i="1"/>
  <c r="O146" i="1"/>
  <c r="P146" i="1"/>
  <c r="L147" i="1"/>
  <c r="M147" i="1"/>
  <c r="N147" i="1"/>
  <c r="O147" i="1"/>
  <c r="P147" i="1"/>
  <c r="L148" i="1"/>
  <c r="M148" i="1"/>
  <c r="N148" i="1"/>
  <c r="O148" i="1"/>
  <c r="P148" i="1"/>
  <c r="L150" i="1"/>
  <c r="M150" i="1"/>
  <c r="N150" i="1"/>
  <c r="O150" i="1"/>
  <c r="P150" i="1"/>
  <c r="L152" i="1"/>
  <c r="M152" i="1"/>
  <c r="N152" i="1"/>
  <c r="O152" i="1"/>
  <c r="P152" i="1"/>
  <c r="L153" i="1"/>
  <c r="M153" i="1"/>
  <c r="N153" i="1"/>
  <c r="O153" i="1"/>
  <c r="P153" i="1"/>
  <c r="M159" i="1"/>
  <c r="N159" i="1"/>
  <c r="O159" i="1"/>
  <c r="P159" i="1"/>
  <c r="L160" i="1"/>
  <c r="M160" i="1"/>
  <c r="N160" i="1"/>
  <c r="O160" i="1"/>
  <c r="P160" i="1"/>
  <c r="L161" i="1"/>
  <c r="M161" i="1"/>
  <c r="N161" i="1"/>
  <c r="O161" i="1"/>
  <c r="P161" i="1"/>
  <c r="L162" i="1"/>
  <c r="M162" i="1"/>
  <c r="N162" i="1"/>
  <c r="O162" i="1"/>
  <c r="P162" i="1"/>
  <c r="M164" i="1"/>
  <c r="N164" i="1"/>
  <c r="O164" i="1"/>
  <c r="P164" i="1"/>
  <c r="M165" i="1"/>
  <c r="N165" i="1"/>
  <c r="O165" i="1"/>
  <c r="P165" i="1"/>
  <c r="L166" i="1"/>
  <c r="M166" i="1"/>
  <c r="N166" i="1"/>
  <c r="O166" i="1"/>
  <c r="P166" i="1"/>
  <c r="L167" i="1"/>
  <c r="M167" i="1"/>
  <c r="N167" i="1"/>
  <c r="O167" i="1"/>
  <c r="P167" i="1"/>
  <c r="L168" i="1"/>
  <c r="M168" i="1"/>
  <c r="N168" i="1"/>
  <c r="O168" i="1"/>
  <c r="P168" i="1"/>
  <c r="M170" i="1"/>
  <c r="N170" i="1"/>
  <c r="O170" i="1"/>
  <c r="P170" i="1"/>
  <c r="L171" i="1"/>
  <c r="M171" i="1"/>
  <c r="N171" i="1"/>
  <c r="O171" i="1"/>
  <c r="P171" i="1"/>
  <c r="L172" i="1"/>
  <c r="M172" i="1"/>
  <c r="N172" i="1"/>
  <c r="O172" i="1"/>
  <c r="P172" i="1"/>
  <c r="L173" i="1"/>
  <c r="M173" i="1"/>
  <c r="N173" i="1"/>
  <c r="O173" i="1"/>
  <c r="P173" i="1"/>
  <c r="L175" i="1"/>
  <c r="M175" i="1"/>
  <c r="N175" i="1"/>
  <c r="O175" i="1"/>
  <c r="P175" i="1"/>
  <c r="L176" i="1"/>
  <c r="M176" i="1"/>
  <c r="N176" i="1"/>
  <c r="O176" i="1"/>
  <c r="P176" i="1"/>
  <c r="L177" i="1"/>
  <c r="M177" i="1"/>
  <c r="N177" i="1"/>
  <c r="O177" i="1"/>
  <c r="P177" i="1"/>
  <c r="L179" i="1"/>
  <c r="M179" i="1"/>
  <c r="N179" i="1"/>
  <c r="O179" i="1"/>
  <c r="P179" i="1"/>
  <c r="L180" i="1"/>
  <c r="M180" i="1"/>
  <c r="N180" i="1"/>
  <c r="O180" i="1"/>
  <c r="P180" i="1"/>
  <c r="L181" i="1"/>
  <c r="M181" i="1"/>
  <c r="N181" i="1"/>
  <c r="O181" i="1"/>
  <c r="P181" i="1"/>
  <c r="L182" i="1"/>
  <c r="M182" i="1"/>
  <c r="N182" i="1"/>
  <c r="O182" i="1"/>
  <c r="P182" i="1"/>
  <c r="L183" i="1"/>
  <c r="M183" i="1"/>
  <c r="N183" i="1"/>
  <c r="O183" i="1"/>
  <c r="P183" i="1"/>
  <c r="L189" i="1"/>
  <c r="M189" i="1"/>
  <c r="N189" i="1"/>
  <c r="O189" i="1"/>
  <c r="P189" i="1"/>
  <c r="L190" i="1"/>
  <c r="M190" i="1"/>
  <c r="N190" i="1"/>
  <c r="O190" i="1"/>
  <c r="P190" i="1"/>
  <c r="L192" i="1"/>
  <c r="M192" i="1"/>
  <c r="N192" i="1"/>
  <c r="O192" i="1"/>
  <c r="P192" i="1"/>
  <c r="L193" i="1"/>
  <c r="M193" i="1"/>
  <c r="N193" i="1"/>
  <c r="O193" i="1"/>
  <c r="P193" i="1"/>
  <c r="L194" i="1"/>
  <c r="M194" i="1"/>
  <c r="N194" i="1"/>
  <c r="O194" i="1"/>
  <c r="P194" i="1"/>
  <c r="L196" i="1"/>
  <c r="M196" i="1"/>
  <c r="N196" i="1"/>
  <c r="O196" i="1"/>
  <c r="P196" i="1"/>
  <c r="L197" i="1"/>
  <c r="M197" i="1"/>
  <c r="N197" i="1"/>
  <c r="O197" i="1"/>
  <c r="P197" i="1"/>
  <c r="L198" i="1"/>
  <c r="M198" i="1"/>
  <c r="N198" i="1"/>
  <c r="O198" i="1"/>
  <c r="P198" i="1"/>
  <c r="I202" i="1"/>
  <c r="I210" i="1"/>
  <c r="C12" i="2"/>
  <c r="C13" i="2"/>
  <c r="C23" i="2"/>
  <c r="D23" i="2"/>
  <c r="E23" i="2"/>
  <c r="F23" i="2"/>
  <c r="G23" i="2"/>
  <c r="H23" i="2"/>
  <c r="I23" i="2"/>
  <c r="J23" i="2"/>
  <c r="K23" i="2"/>
  <c r="C24" i="2"/>
  <c r="D24" i="2"/>
  <c r="E24" i="2"/>
  <c r="F24" i="2"/>
  <c r="G24" i="2"/>
  <c r="H24" i="2"/>
  <c r="I24" i="2"/>
  <c r="J24" i="2"/>
  <c r="K24" i="2"/>
  <c r="C25" i="2"/>
  <c r="D25" i="2"/>
  <c r="E25" i="2"/>
  <c r="F25" i="2"/>
  <c r="G25" i="2"/>
  <c r="H25" i="2"/>
  <c r="I25" i="2"/>
  <c r="J25" i="2"/>
  <c r="K25" i="2"/>
  <c r="C26" i="2"/>
  <c r="D26" i="2"/>
  <c r="E26" i="2"/>
  <c r="F26" i="2"/>
  <c r="G26" i="2"/>
  <c r="H26" i="2"/>
  <c r="I26" i="2"/>
  <c r="J26" i="2"/>
  <c r="K26" i="2"/>
  <c r="C29" i="2"/>
  <c r="D29" i="2"/>
  <c r="E29" i="2"/>
  <c r="F29" i="2"/>
  <c r="G29" i="2"/>
  <c r="H29" i="2"/>
  <c r="I29" i="2"/>
  <c r="J29" i="2"/>
  <c r="K29" i="2"/>
  <c r="C30" i="2"/>
  <c r="D30" i="2"/>
  <c r="E30" i="2"/>
  <c r="F30" i="2"/>
  <c r="G30" i="2"/>
  <c r="H30" i="2"/>
  <c r="I30" i="2"/>
  <c r="J30" i="2"/>
  <c r="K30" i="2"/>
  <c r="C31" i="2"/>
  <c r="D31" i="2"/>
  <c r="E31" i="2"/>
  <c r="F31" i="2"/>
  <c r="G31" i="2"/>
  <c r="H31" i="2"/>
  <c r="I31" i="2"/>
  <c r="J31" i="2"/>
  <c r="K31" i="2"/>
</calcChain>
</file>

<file path=xl/sharedStrings.xml><?xml version="1.0" encoding="utf-8"?>
<sst xmlns="http://schemas.openxmlformats.org/spreadsheetml/2006/main" count="253" uniqueCount="221">
  <si>
    <t>as of 3Q2021</t>
  </si>
  <si>
    <t>Dave &amp; Buster's (Public-to-Private)</t>
  </si>
  <si>
    <t>Additional work / comments</t>
  </si>
  <si>
    <t>(in US$m unless otherwise stated)</t>
  </si>
  <si>
    <t>x</t>
  </si>
  <si>
    <t>Transaction Dashboard</t>
  </si>
  <si>
    <t>Last Close Price</t>
  </si>
  <si>
    <t>Equity Purchase Price</t>
  </si>
  <si>
    <t>FDSO (m)</t>
  </si>
  <si>
    <t>(-) Acquired BV</t>
  </si>
  <si>
    <t>Sources</t>
  </si>
  <si>
    <t>Control Premium</t>
  </si>
  <si>
    <t>(+) Existing Goodwill</t>
  </si>
  <si>
    <t>Existing Cash</t>
  </si>
  <si>
    <t>Pro Forma Goodwill</t>
  </si>
  <si>
    <t>Rollover Leases</t>
  </si>
  <si>
    <t>(+) Existing Debt</t>
  </si>
  <si>
    <t>Term Loan</t>
  </si>
  <si>
    <t>(-) Existing Cash</t>
  </si>
  <si>
    <t>Instrument</t>
  </si>
  <si>
    <t>xEBITDA</t>
  </si>
  <si>
    <t>Margin</t>
  </si>
  <si>
    <t>Floor</t>
  </si>
  <si>
    <t>DFF</t>
  </si>
  <si>
    <t>Amort</t>
  </si>
  <si>
    <t>PIK</t>
  </si>
  <si>
    <t>Sweep</t>
  </si>
  <si>
    <t>Senior Notes</t>
  </si>
  <si>
    <t>Acquisition EV</t>
  </si>
  <si>
    <t>Common Equity</t>
  </si>
  <si>
    <t>Implied LTM EBITDA Multiple</t>
  </si>
  <si>
    <t>o/w Sponsor</t>
  </si>
  <si>
    <t>Implied FY22 EBITDA Multiple</t>
  </si>
  <si>
    <t>RCF</t>
  </si>
  <si>
    <t>o/w Management</t>
  </si>
  <si>
    <t>Total</t>
  </si>
  <si>
    <t>Hold Period</t>
  </si>
  <si>
    <t>9M21 Adjusted EBITDA</t>
  </si>
  <si>
    <t>Entry Date</t>
  </si>
  <si>
    <t>FY20 Adjusted EBITDA</t>
  </si>
  <si>
    <t>Uses</t>
  </si>
  <si>
    <t>Management Rollover</t>
  </si>
  <si>
    <t>9M20 Adjusted EBITDA</t>
  </si>
  <si>
    <t>EPP</t>
  </si>
  <si>
    <t>Sweet Equity Pot</t>
  </si>
  <si>
    <t>LTM EBITDA</t>
  </si>
  <si>
    <t>Refi Debt</t>
  </si>
  <si>
    <t>Cash Interest</t>
  </si>
  <si>
    <t>Circularity Toggle</t>
  </si>
  <si>
    <t>Fund Cash Balance</t>
  </si>
  <si>
    <t>Min. Cash Balance</t>
  </si>
  <si>
    <t>Financing Fees</t>
  </si>
  <si>
    <t>Transaction Fees</t>
  </si>
  <si>
    <t>DFF Amortisation</t>
  </si>
  <si>
    <t>Operating Assumptions</t>
  </si>
  <si>
    <t>9MFY22</t>
  </si>
  <si>
    <t>Step-Up</t>
  </si>
  <si>
    <t>Number of Stores</t>
  </si>
  <si>
    <t>New Stores</t>
  </si>
  <si>
    <t>F&amp;B / Store</t>
  </si>
  <si>
    <t>Amusement / Store</t>
  </si>
  <si>
    <t>COGS Spend - F&amp;B</t>
  </si>
  <si>
    <t>COGS Spend - Amusement</t>
  </si>
  <si>
    <t>SG&amp;A Spend</t>
  </si>
  <si>
    <t>SBC / Sales</t>
  </si>
  <si>
    <t>Pre-Opening Cost / Sales</t>
  </si>
  <si>
    <t>D&amp;A Spend</t>
  </si>
  <si>
    <t>Effective Tax Rate</t>
  </si>
  <si>
    <t>Maintenance Capex</t>
  </si>
  <si>
    <t>Maintenance Capex / Sales</t>
  </si>
  <si>
    <t>Growth Capex</t>
  </si>
  <si>
    <t>Growth Capex / New Stores</t>
  </si>
  <si>
    <t>Total Capex</t>
  </si>
  <si>
    <t>Inventory Days</t>
  </si>
  <si>
    <t>OCA / Sales</t>
  </si>
  <si>
    <t>Payable Days</t>
  </si>
  <si>
    <t>Accrued Liabilities / Sales</t>
  </si>
  <si>
    <t>OCL / Sales</t>
  </si>
  <si>
    <t>BoP DFF</t>
  </si>
  <si>
    <t>(-) Amortisation</t>
  </si>
  <si>
    <t>EoP DFF</t>
  </si>
  <si>
    <t>BoP PP&amp;E</t>
  </si>
  <si>
    <t>(+) Capex</t>
  </si>
  <si>
    <t>(-) D&amp;A</t>
  </si>
  <si>
    <t>EoP PP&amp;E</t>
  </si>
  <si>
    <t>Income Statement</t>
  </si>
  <si>
    <t>Food and beverage revenues</t>
  </si>
  <si>
    <t>Amusement and other revenues</t>
  </si>
  <si>
    <t>Total revenues</t>
  </si>
  <si>
    <t>% growth</t>
  </si>
  <si>
    <t>Cost of food and beverage</t>
  </si>
  <si>
    <t>Cost of amusement and other</t>
  </si>
  <si>
    <t>Total cost of products</t>
  </si>
  <si>
    <t>% margin</t>
  </si>
  <si>
    <t>SG&amp;A</t>
  </si>
  <si>
    <t>Depreciation and amortization expense</t>
  </si>
  <si>
    <t>Pre-opening costs</t>
  </si>
  <si>
    <t>Operating income (loss)</t>
  </si>
  <si>
    <t>Interest expense, net</t>
  </si>
  <si>
    <t>Loss on debt refinance</t>
  </si>
  <si>
    <t>Income (loss) before provision (benefit) for income taxes</t>
  </si>
  <si>
    <t>Provision (benefit) for income taxes</t>
  </si>
  <si>
    <t>% ETR</t>
  </si>
  <si>
    <t>Net income (loss)</t>
  </si>
  <si>
    <t>EBITDA</t>
  </si>
  <si>
    <t>Loss on asset disposal</t>
  </si>
  <si>
    <t>Impairment of long-lived assets and lease termination costs</t>
  </si>
  <si>
    <t>Share-based compensation</t>
  </si>
  <si>
    <t>Other costs</t>
  </si>
  <si>
    <t>Adjusted EBITDA</t>
  </si>
  <si>
    <t>NOPAT</t>
  </si>
  <si>
    <t>Balance Sheet</t>
  </si>
  <si>
    <t>Debit</t>
  </si>
  <si>
    <t>Credit</t>
  </si>
  <si>
    <t>PF FY2021</t>
  </si>
  <si>
    <t>Cash and cash equivalents</t>
  </si>
  <si>
    <t>Inventories</t>
  </si>
  <si>
    <t>Other current assets</t>
  </si>
  <si>
    <t>PP&amp;E</t>
  </si>
  <si>
    <t>Operating Leases</t>
  </si>
  <si>
    <t>&lt;&lt; assumed future increase offset by repayments</t>
  </si>
  <si>
    <t>Goodwill</t>
  </si>
  <si>
    <t>Deferred Financing Fees</t>
  </si>
  <si>
    <t>Other Non-Current Assets</t>
  </si>
  <si>
    <t>Total Assets</t>
  </si>
  <si>
    <t>Accounts payable</t>
  </si>
  <si>
    <t>Accrued liabilities</t>
  </si>
  <si>
    <t>Other current liabilities</t>
  </si>
  <si>
    <t>Existing Debt</t>
  </si>
  <si>
    <t>Revolver</t>
  </si>
  <si>
    <t>Shareholder Equity</t>
  </si>
  <si>
    <t>Total Liabilities</t>
  </si>
  <si>
    <t>Check</t>
  </si>
  <si>
    <t>Net Working Capital</t>
  </si>
  <si>
    <t>NWC / Sales</t>
  </si>
  <si>
    <t>Invested Capital</t>
  </si>
  <si>
    <t>ROIC</t>
  </si>
  <si>
    <t>Cash Flow Statement</t>
  </si>
  <si>
    <t>Net Income</t>
  </si>
  <si>
    <t>(+) D&amp;A</t>
  </si>
  <si>
    <t>(+) DFF Amortisation</t>
  </si>
  <si>
    <t>(-) Delta NWC</t>
  </si>
  <si>
    <t>Cash from Operations</t>
  </si>
  <si>
    <t>(-) Maintenance Capex</t>
  </si>
  <si>
    <t>(-) Growth Capex</t>
  </si>
  <si>
    <t>Cash from Investing</t>
  </si>
  <si>
    <t>BoP Cash &amp; Cash Equivalents</t>
  </si>
  <si>
    <t>(+) Free Cash Flow</t>
  </si>
  <si>
    <t>(-) Min. Cash Balance</t>
  </si>
  <si>
    <t>CFADS</t>
  </si>
  <si>
    <t>(-) Mandatory Amortisation</t>
  </si>
  <si>
    <t>(-) Revolver Drawdown / (Repayment)</t>
  </si>
  <si>
    <t>(-) Cash Sweep</t>
  </si>
  <si>
    <t>(+) Min. Cash Balance</t>
  </si>
  <si>
    <t>EoP Cash &amp; Cash Equivalents</t>
  </si>
  <si>
    <t>FCFF</t>
  </si>
  <si>
    <t>FCFF / EBITDA Conversion</t>
  </si>
  <si>
    <t>Debt Schedule</t>
  </si>
  <si>
    <t>LIBOR</t>
  </si>
  <si>
    <t>BoP Revolver</t>
  </si>
  <si>
    <t>(+) Drawdown / (Repayment)</t>
  </si>
  <si>
    <t>EoP Revolver</t>
  </si>
  <si>
    <t>Interest</t>
  </si>
  <si>
    <t>BoP Term Loan</t>
  </si>
  <si>
    <t>EoP Term Loan</t>
  </si>
  <si>
    <t>BoP Senior Notes</t>
  </si>
  <si>
    <t>EoP Senior Notes</t>
  </si>
  <si>
    <t>Interest Expense</t>
  </si>
  <si>
    <t>Interest Income</t>
  </si>
  <si>
    <t>Net Interest Expense</t>
  </si>
  <si>
    <t>Total Debt</t>
  </si>
  <si>
    <t>Net Debt</t>
  </si>
  <si>
    <t>Net Debt / EBITDA</t>
  </si>
  <si>
    <t>Net Debt / (EBITDA - Capex)</t>
  </si>
  <si>
    <t>Interest Coverage</t>
  </si>
  <si>
    <t>Returns Analysis</t>
  </si>
  <si>
    <t>Implied Hold</t>
  </si>
  <si>
    <t>Exit LTM EBITDA Multiple</t>
  </si>
  <si>
    <t>Exit Enterprise Value</t>
  </si>
  <si>
    <t>(-) Net Debt</t>
  </si>
  <si>
    <t>(-) Operating Leases</t>
  </si>
  <si>
    <t>Exit Equity Value</t>
  </si>
  <si>
    <t>(-) Attributable to Management (incl. MIP)</t>
  </si>
  <si>
    <t>Sponsor Equity Value</t>
  </si>
  <si>
    <t>MOIC</t>
  </si>
  <si>
    <t xml:space="preserve">IRR </t>
  </si>
  <si>
    <t>Equity Value Creation</t>
  </si>
  <si>
    <t>Store Add Step-Up</t>
  </si>
  <si>
    <t>Revenue / Store Step-Up (US$m)</t>
  </si>
  <si>
    <t>Assumptions and guide</t>
  </si>
  <si>
    <t>Assume FY26 exit</t>
  </si>
  <si>
    <t>Exit multiple range from 15x to 19x; 0.5x increments</t>
  </si>
  <si>
    <t>Use circularity</t>
  </si>
  <si>
    <t>Mgmt has sweet equity hurdle rate of 200% - meaning total exit equity value has to be at least 200% higher than entry equity value for mgmt to earn their sweet equity</t>
  </si>
  <si>
    <t>Mgmt return analysis</t>
  </si>
  <si>
    <t>($ in millions, except per share values)</t>
  </si>
  <si>
    <t>Key Inputs</t>
  </si>
  <si>
    <t>LTM Adjusted EBITDA (FY26)</t>
  </si>
  <si>
    <t>Net Debt (FY26)</t>
  </si>
  <si>
    <t>Entry Equity Value</t>
  </si>
  <si>
    <t>Management Rollover %</t>
  </si>
  <si>
    <t>Sweet Equity Pot %</t>
  </si>
  <si>
    <t>Sweet Equity Hurdle</t>
  </si>
  <si>
    <t>Hurdle Threshold (3x Entry Equity)</t>
  </si>
  <si>
    <t>Exit Multiple Sensitivity Analysis</t>
  </si>
  <si>
    <t>Exit Multiple</t>
  </si>
  <si>
    <t>15.0x</t>
  </si>
  <si>
    <t>15.5x</t>
  </si>
  <si>
    <t>16.0x</t>
  </si>
  <si>
    <t>16.5x</t>
  </si>
  <si>
    <t>17.0x</t>
  </si>
  <si>
    <t>17.5x</t>
  </si>
  <si>
    <t>18.0x</t>
  </si>
  <si>
    <t>18.5x</t>
  </si>
  <si>
    <t>19.0x</t>
  </si>
  <si>
    <t>Equity Gain</t>
  </si>
  <si>
    <t>Hurdle Met?</t>
  </si>
  <si>
    <t>Management Returns</t>
  </si>
  <si>
    <t>Mgmt Rollover Value at Exit</t>
  </si>
  <si>
    <t>Sweet Equity Value</t>
  </si>
  <si>
    <t>Total Mgmt Equity Value at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</si>
</sst>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#,##0.0_);\(#,##0.0\);0.0_);@_)"/>
    <numFmt numFmtId="165" formatCode="#,##0.00_);\(#,##0.00\);0.00_);@_)"/>
    <numFmt numFmtId="166" formatCode="#&quot; years&quot;"/>
    <numFmt numFmtId="167" formatCode="0.0%"/>
    <numFmt numFmtId="168" formatCode="#,##0_);\(#,##0\);0_);@_)"/>
    <numFmt numFmtId="169" formatCode="&quot;L +&quot;#"/>
    <numFmt numFmtId="170" formatCode="0.0\ \x_);\(0.0\ \x\)"/>
    <numFmt numFmtId="171" formatCode="&quot;FY&quot;#"/>
    <numFmt numFmtId="172" formatCode="dd\-mmm\-yy_)"/>
    <numFmt numFmtId="173" formatCode="#,##0.000_);\(#,##0.000\);0.000_);@_)"/>
    <numFmt numFmtId="174" formatCode="0.0%_);\(0.0%\)"/>
    <numFmt numFmtId="175" formatCode=";;;"/>
    <numFmt numFmtId="176" formatCode="_-* #,##0.00_-;\-* #,##0.00_-;_-* &quot;-&quot;??_-;_-@_-"/>
    <numFmt numFmtId="177" formatCode="_-* #,##0_-;\-* #,##0_-;_-* &quot;-&quot;_-;_-@_-"/>
    <numFmt numFmtId="178" formatCode="_-&quot;£&quot;* #,##0.00_-;\-&quot;£&quot;* #,##0.00_-;_-&quot;£&quot;* &quot;-&quot;??_-;_-@_-"/>
    <numFmt numFmtId="179" formatCode="_-&quot;£&quot;* #,##0_-;\-&quot;£&quot;* #,##0_-;_-&quot;£&quot;* &quot;-&quot;_-;_-@_-"/>
    <numFmt numFmtId="180" formatCode="#,##0.0"/>
  </numFmts>
  <fonts count="38" x14ac:knownFonts="1">
    <font>
      <sz val="1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18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</font>
  </fonts>
  <fills count="3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3">
    <xf numFmtId="164" fontId="0" fillId="0" borderId="0"/>
    <xf numFmtId="164" fontId="1" fillId="2" borderId="1"/>
    <xf numFmtId="0" fontId="2" fillId="0" borderId="0"/>
    <xf numFmtId="0" fontId="3" fillId="0" borderId="2"/>
    <xf numFmtId="0" fontId="4" fillId="0" borderId="3"/>
    <xf numFmtId="0" fontId="5" fillId="0" borderId="4"/>
    <xf numFmtId="0" fontId="5" fillId="0" borderId="0"/>
    <xf numFmtId="0" fontId="6" fillId="3" borderId="0"/>
    <xf numFmtId="0" fontId="7" fillId="4" borderId="0"/>
    <xf numFmtId="0" fontId="8" fillId="5" borderId="0"/>
    <xf numFmtId="0" fontId="9" fillId="6" borderId="5"/>
    <xf numFmtId="0" fontId="10" fillId="6" borderId="6"/>
    <xf numFmtId="0" fontId="11" fillId="0" borderId="7"/>
    <xf numFmtId="0" fontId="12" fillId="7" borderId="8"/>
    <xf numFmtId="0" fontId="13" fillId="0" borderId="0"/>
    <xf numFmtId="0" fontId="18" fillId="8" borderId="9"/>
    <xf numFmtId="0" fontId="14" fillId="0" borderId="0"/>
    <xf numFmtId="0" fontId="15" fillId="0" borderId="10"/>
    <xf numFmtId="0" fontId="16" fillId="9" borderId="0"/>
    <xf numFmtId="0" fontId="17" fillId="10" borderId="0"/>
    <xf numFmtId="0" fontId="17" fillId="11" borderId="0"/>
    <xf numFmtId="0" fontId="16" fillId="12" borderId="0"/>
    <xf numFmtId="0" fontId="16" fillId="13" borderId="0"/>
    <xf numFmtId="0" fontId="17" fillId="14" borderId="0"/>
    <xf numFmtId="0" fontId="17" fillId="15" borderId="0"/>
    <xf numFmtId="0" fontId="16" fillId="16" borderId="0"/>
    <xf numFmtId="0" fontId="16" fillId="17" borderId="0"/>
    <xf numFmtId="0" fontId="17" fillId="18" borderId="0"/>
    <xf numFmtId="0" fontId="17" fillId="19" borderId="0"/>
    <xf numFmtId="0" fontId="16" fillId="20" borderId="0"/>
    <xf numFmtId="0" fontId="16" fillId="21" borderId="0"/>
    <xf numFmtId="0" fontId="17" fillId="22" borderId="0"/>
    <xf numFmtId="0" fontId="17" fillId="23" borderId="0"/>
    <xf numFmtId="0" fontId="16" fillId="24" borderId="0"/>
    <xf numFmtId="0" fontId="16" fillId="25" borderId="0"/>
    <xf numFmtId="0" fontId="17" fillId="26" borderId="0"/>
    <xf numFmtId="0" fontId="17" fillId="27" borderId="0"/>
    <xf numFmtId="0" fontId="16" fillId="28" borderId="0"/>
    <xf numFmtId="0" fontId="16" fillId="29" borderId="0"/>
    <xf numFmtId="0" fontId="17" fillId="30" borderId="0"/>
    <xf numFmtId="0" fontId="17" fillId="31" borderId="0"/>
    <xf numFmtId="0" fontId="16" fillId="32" borderId="0"/>
    <xf numFmtId="174" fontId="22" fillId="33" borderId="1"/>
    <xf numFmtId="172" fontId="18" fillId="0" borderId="0"/>
    <xf numFmtId="175" fontId="21" fillId="0" borderId="0"/>
    <xf numFmtId="176" fontId="18" fillId="0" borderId="0"/>
    <xf numFmtId="177" fontId="18" fillId="0" borderId="0"/>
    <xf numFmtId="178" fontId="18" fillId="0" borderId="0"/>
    <xf numFmtId="179" fontId="18" fillId="0" borderId="0"/>
    <xf numFmtId="164" fontId="23" fillId="34" borderId="1"/>
    <xf numFmtId="170" fontId="18" fillId="0" borderId="0"/>
    <xf numFmtId="164" fontId="19" fillId="0" borderId="0"/>
    <xf numFmtId="164" fontId="20" fillId="0" borderId="0"/>
  </cellStyleXfs>
  <cellXfs count="70">
    <xf numFmtId="164" fontId="0" fillId="0" borderId="0" xfId="0"/>
    <xf numFmtId="164" fontId="23" fillId="34" borderId="1" xfId="49"/>
    <xf numFmtId="164" fontId="25" fillId="0" borderId="0" xfId="0" applyFont="1"/>
    <xf numFmtId="164" fontId="26" fillId="0" borderId="0" xfId="0" applyFont="1"/>
    <xf numFmtId="165" fontId="23" fillId="0" borderId="0" xfId="0" applyNumberFormat="1" applyFont="1"/>
    <xf numFmtId="164" fontId="23" fillId="0" borderId="0" xfId="0" applyFont="1"/>
    <xf numFmtId="164" fontId="0" fillId="0" borderId="11" xfId="0" applyBorder="1"/>
    <xf numFmtId="164" fontId="0" fillId="0" borderId="12" xfId="0" applyBorder="1"/>
    <xf numFmtId="164" fontId="26" fillId="0" borderId="12" xfId="0" applyFont="1" applyBorder="1"/>
    <xf numFmtId="166" fontId="23" fillId="0" borderId="0" xfId="0" applyNumberFormat="1" applyFont="1"/>
    <xf numFmtId="167" fontId="23" fillId="0" borderId="0" xfId="0" applyNumberFormat="1" applyFont="1"/>
    <xf numFmtId="168" fontId="0" fillId="0" borderId="0" xfId="0" applyNumberFormat="1"/>
    <xf numFmtId="164" fontId="0" fillId="0" borderId="0" xfId="0" applyAlignment="1">
      <alignment horizontal="right"/>
    </xf>
    <xf numFmtId="164" fontId="0" fillId="0" borderId="11" xfId="0" applyBorder="1" applyAlignment="1">
      <alignment horizontal="right"/>
    </xf>
    <xf numFmtId="169" fontId="23" fillId="0" borderId="0" xfId="0" applyNumberFormat="1" applyFont="1"/>
    <xf numFmtId="170" fontId="0" fillId="0" borderId="0" xfId="50" applyFont="1"/>
    <xf numFmtId="170" fontId="23" fillId="0" borderId="0" xfId="50" applyFont="1"/>
    <xf numFmtId="171" fontId="26" fillId="0" borderId="0" xfId="0" applyNumberFormat="1" applyFont="1"/>
    <xf numFmtId="172" fontId="0" fillId="0" borderId="0" xfId="43" applyFont="1"/>
    <xf numFmtId="164" fontId="25" fillId="0" borderId="0" xfId="0" applyFont="1" applyAlignment="1">
      <alignment horizontal="left" indent="1"/>
    </xf>
    <xf numFmtId="167" fontId="25" fillId="0" borderId="0" xfId="0" applyNumberFormat="1" applyFont="1"/>
    <xf numFmtId="164" fontId="26" fillId="0" borderId="13" xfId="0" applyFont="1" applyBorder="1"/>
    <xf numFmtId="173" fontId="25" fillId="0" borderId="0" xfId="0" applyNumberFormat="1" applyFont="1"/>
    <xf numFmtId="164" fontId="26" fillId="0" borderId="0" xfId="0" applyFont="1" applyAlignment="1">
      <alignment horizontal="right"/>
    </xf>
    <xf numFmtId="164" fontId="27" fillId="35" borderId="0" xfId="0" applyFont="1" applyFill="1" applyAlignment="1">
      <alignment horizontal="right"/>
    </xf>
    <xf numFmtId="164" fontId="25" fillId="35" borderId="0" xfId="0" applyFont="1" applyFill="1"/>
    <xf numFmtId="167" fontId="0" fillId="0" borderId="0" xfId="0" applyNumberFormat="1"/>
    <xf numFmtId="167" fontId="0" fillId="0" borderId="0" xfId="0" applyNumberFormat="1" applyAlignment="1">
      <alignment horizontal="right"/>
    </xf>
    <xf numFmtId="164" fontId="0" fillId="0" borderId="13" xfId="0" applyBorder="1"/>
    <xf numFmtId="164" fontId="0" fillId="35" borderId="13" xfId="0" applyFill="1" applyBorder="1"/>
    <xf numFmtId="164" fontId="25" fillId="35" borderId="13" xfId="0" applyFont="1" applyFill="1" applyBorder="1"/>
    <xf numFmtId="170" fontId="24" fillId="0" borderId="0" xfId="50" applyFont="1"/>
    <xf numFmtId="164" fontId="26" fillId="36" borderId="14" xfId="0" applyFont="1" applyFill="1" applyBorder="1"/>
    <xf numFmtId="164" fontId="26" fillId="36" borderId="12" xfId="0" applyFont="1" applyFill="1" applyBorder="1"/>
    <xf numFmtId="170" fontId="26" fillId="36" borderId="12" xfId="50" applyFont="1" applyFill="1" applyBorder="1"/>
    <xf numFmtId="170" fontId="26" fillId="36" borderId="15" xfId="50" applyFont="1" applyFill="1" applyBorder="1"/>
    <xf numFmtId="164" fontId="26" fillId="36" borderId="16" xfId="0" applyFont="1" applyFill="1" applyBorder="1"/>
    <xf numFmtId="164" fontId="26" fillId="36" borderId="0" xfId="0" applyFont="1" applyFill="1"/>
    <xf numFmtId="167" fontId="26" fillId="36" borderId="0" xfId="0" applyNumberFormat="1" applyFont="1" applyFill="1"/>
    <xf numFmtId="167" fontId="26" fillId="36" borderId="17" xfId="0" applyNumberFormat="1" applyFont="1" applyFill="1" applyBorder="1"/>
    <xf numFmtId="164" fontId="26" fillId="36" borderId="18" xfId="0" applyFont="1" applyFill="1" applyBorder="1"/>
    <xf numFmtId="164" fontId="26" fillId="36" borderId="11" xfId="0" applyFont="1" applyFill="1" applyBorder="1"/>
    <xf numFmtId="164" fontId="26" fillId="36" borderId="19" xfId="0" applyFont="1" applyFill="1" applyBorder="1"/>
    <xf numFmtId="164" fontId="28" fillId="34" borderId="1" xfId="49" applyFont="1"/>
    <xf numFmtId="164" fontId="25" fillId="0" borderId="0" xfId="0" applyFont="1" applyAlignment="1">
      <alignment horizontal="right"/>
    </xf>
    <xf numFmtId="164" fontId="0" fillId="0" borderId="0" xfId="0" applyAlignment="1">
      <alignment horizontal="centerContinuous"/>
    </xf>
    <xf numFmtId="164" fontId="26" fillId="0" borderId="0" xfId="0" applyFont="1" applyAlignment="1">
      <alignment horizontal="centerContinuous"/>
    </xf>
    <xf numFmtId="167" fontId="29" fillId="0" borderId="0" xfId="0" applyNumberFormat="1" applyFont="1"/>
    <xf numFmtId="167" fontId="0" fillId="0" borderId="11" xfId="0" applyNumberFormat="1" applyBorder="1"/>
    <xf numFmtId="170" fontId="0" fillId="0" borderId="17" xfId="50" applyFont="1" applyBorder="1"/>
    <xf numFmtId="164" fontId="0" fillId="0" borderId="17" xfId="0" applyBorder="1"/>
    <xf numFmtId="164" fontId="30" fillId="0" borderId="0" xfId="0" applyFont="1"/>
    <xf numFmtId="164" fontId="31" fillId="0" borderId="0" xfId="0" applyFont="1"/>
    <xf numFmtId="164" fontId="23" fillId="0" borderId="0" xfId="49" applyFill="1" applyBorder="1"/>
    <xf numFmtId="167" fontId="23" fillId="0" borderId="0" xfId="49" applyNumberFormat="1" applyFill="1" applyBorder="1"/>
    <xf numFmtId="171" fontId="26" fillId="37" borderId="0" xfId="0" applyNumberFormat="1" applyFont="1" applyFill="1" applyAlignment="1">
      <alignment horizontal="right"/>
    </xf>
    <xf numFmtId="164" fontId="0" fillId="37" borderId="0" xfId="0" applyFill="1"/>
    <xf numFmtId="164" fontId="26" fillId="37" borderId="13" xfId="0" applyFont="1" applyFill="1" applyBorder="1"/>
    <xf numFmtId="170" fontId="23" fillId="0" borderId="0" xfId="49" applyNumberFormat="1" applyFill="1" applyBorder="1"/>
    <xf numFmtId="164" fontId="32" fillId="38" borderId="0" xfId="0" applyFont="1" applyFill="1"/>
    <xf numFmtId="164" fontId="33" fillId="38" borderId="0" xfId="0" applyFont="1" applyFill="1"/>
    <xf numFmtId="164" fontId="34" fillId="0" borderId="0" xfId="0" applyFont="1"/>
    <xf numFmtId="164" fontId="33" fillId="0" borderId="0" xfId="0" applyFont="1"/>
    <xf numFmtId="37" fontId="35" fillId="0" borderId="0" xfId="0" applyNumberFormat="1" applyFont="1"/>
    <xf numFmtId="164" fontId="36" fillId="0" borderId="0" xfId="0" applyFont="1"/>
    <xf numFmtId="0" fontId="0" fillId="0" borderId="0" xfId="0" applyNumberFormat="1"/>
    <xf numFmtId="164" fontId="37" fillId="0" borderId="0" xfId="0" applyFont="1"/>
    <xf numFmtId="180" fontId="33" fillId="0" borderId="0" xfId="0" applyNumberFormat="1" applyFont="1"/>
    <xf numFmtId="167" fontId="33" fillId="0" borderId="0" xfId="0" applyNumberFormat="1" applyFont="1"/>
    <xf numFmtId="180" fontId="37" fillId="0" borderId="0" xfId="0" applyNumberFormat="1" applyFont="1"/>
  </cellXfs>
  <cellStyles count="53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2C000000}"/>
    <cellStyle name="Blue" xfId="42" xr:uid="{00000000-0005-0000-0000-00002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e" xfId="43" xr:uid="{00000000-0005-0000-0000-00002B000000}"/>
    <cellStyle name="Explanatory Text" xfId="16" builtinId="53" hidden="1"/>
    <cellStyle name="Followed Hyperlink" xfId="52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1" builtinId="8" hidden="1"/>
    <cellStyle name="I" xfId="49" xr:uid="{00000000-0005-0000-0000-000032000000}"/>
    <cellStyle name="Input" xfId="1" builtinId="20" hidden="1"/>
    <cellStyle name="Linked Cell" xfId="12" builtinId="24" hidden="1"/>
    <cellStyle name="Multiple" xfId="50" xr:uid="{00000000-0005-0000-0000-000033000000}"/>
    <cellStyle name="Neutral" xfId="9" builtinId="28" hidden="1"/>
    <cellStyle name="Normal" xfId="0" builtinId="0"/>
    <cellStyle name="Note" xfId="15" builtinId="10" hidden="1"/>
    <cellStyle name="Output" xfId="10" builtinId="21" hidden="1"/>
    <cellStyle name="Title" xfId="2" builtinId="15" hidden="1"/>
    <cellStyle name="Total" xfId="17" builtinId="25" hidden="1"/>
    <cellStyle name="Warning Text" xfId="14" builtinId="11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showGridLines="0" tabSelected="1" view="pageBreakPreview" zoomScale="90" zoomScaleNormal="85" zoomScaleSheetLayoutView="90" workbookViewId="0">
      <selection activeCell="F20" sqref="F20"/>
    </sheetView>
  </sheetViews>
  <sheetFormatPr defaultColWidth="9.1328125" defaultRowHeight="14.25" x14ac:dyDescent="0.45"/>
  <cols>
    <col min="1" max="1" width="2.6640625" style="65" customWidth="1"/>
    <col min="2" max="2" width="42.6640625" style="65" bestFit="1" customWidth="1"/>
    <col min="4" max="4" width="1.6640625" style="65" customWidth="1"/>
    <col min="5" max="5" width="29" style="65" bestFit="1" customWidth="1"/>
    <col min="6" max="7" width="10.33203125" style="65" customWidth="1"/>
    <col min="8" max="8" width="29" style="65" bestFit="1" customWidth="1"/>
    <col min="10" max="10" width="9.1328125" style="65" customWidth="1"/>
    <col min="12" max="12" width="9.796875" style="65" bestFit="1" customWidth="1"/>
    <col min="18" max="18" width="9.1328125" style="65" customWidth="1"/>
  </cols>
  <sheetData>
    <row r="1" spans="1:17" x14ac:dyDescent="0.45">
      <c r="A1" s="2" t="s">
        <v>0</v>
      </c>
    </row>
    <row r="2" spans="1:17" ht="23.25" customHeight="1" x14ac:dyDescent="0.7">
      <c r="B2" s="51" t="s">
        <v>1</v>
      </c>
      <c r="Q2" s="52" t="s">
        <v>2</v>
      </c>
    </row>
    <row r="3" spans="1:17" x14ac:dyDescent="0.45">
      <c r="B3" s="2" t="s">
        <v>3</v>
      </c>
    </row>
    <row r="5" spans="1:17" x14ac:dyDescent="0.45">
      <c r="A5" t="s">
        <v>4</v>
      </c>
      <c r="B5" s="3" t="s">
        <v>5</v>
      </c>
      <c r="E5" t="s">
        <v>6</v>
      </c>
      <c r="F5" s="4">
        <v>39.82</v>
      </c>
      <c r="G5" s="3"/>
      <c r="H5" t="s">
        <v>7</v>
      </c>
      <c r="I5">
        <f>F8</f>
        <v>2647.9230096330002</v>
      </c>
    </row>
    <row r="6" spans="1:17" x14ac:dyDescent="0.45">
      <c r="E6" t="s">
        <v>8</v>
      </c>
      <c r="F6" s="5">
        <v>49.257269000000001</v>
      </c>
      <c r="H6" t="s">
        <v>9</v>
      </c>
      <c r="I6">
        <f>-G120</f>
        <v>-153.232</v>
      </c>
    </row>
    <row r="7" spans="1:17" x14ac:dyDescent="0.45">
      <c r="B7" s="6" t="s">
        <v>10</v>
      </c>
      <c r="C7" s="6"/>
      <c r="E7" t="s">
        <v>11</v>
      </c>
      <c r="F7" s="54">
        <v>0.35</v>
      </c>
      <c r="H7" t="s">
        <v>12</v>
      </c>
      <c r="I7">
        <f>G105</f>
        <v>272.59699999999998</v>
      </c>
    </row>
    <row r="8" spans="1:17" x14ac:dyDescent="0.45">
      <c r="B8" t="s">
        <v>13</v>
      </c>
      <c r="C8">
        <f>G100</f>
        <v>11.891</v>
      </c>
      <c r="E8" t="s">
        <v>7</v>
      </c>
      <c r="F8">
        <f>F5*(1+F7)*F6</f>
        <v>2647.9230096330002</v>
      </c>
      <c r="H8" s="8" t="s">
        <v>14</v>
      </c>
      <c r="I8" s="8">
        <f>SUM(I5:I7)</f>
        <v>2767.288009633</v>
      </c>
    </row>
    <row r="9" spans="1:17" x14ac:dyDescent="0.45">
      <c r="B9" t="s">
        <v>15</v>
      </c>
      <c r="C9">
        <f>G113</f>
        <v>1267.7909999999999</v>
      </c>
      <c r="E9" t="s">
        <v>16</v>
      </c>
      <c r="F9">
        <f>G114+G113</f>
        <v>1864.1790000000001</v>
      </c>
    </row>
    <row r="10" spans="1:17" x14ac:dyDescent="0.45">
      <c r="B10" t="s">
        <v>17</v>
      </c>
      <c r="C10">
        <f>I11*$I$18</f>
        <v>992.08400000000051</v>
      </c>
      <c r="E10" t="s">
        <v>18</v>
      </c>
      <c r="F10">
        <f>-G100</f>
        <v>-11.891</v>
      </c>
      <c r="H10" s="6" t="s">
        <v>19</v>
      </c>
      <c r="I10" s="13" t="s">
        <v>20</v>
      </c>
      <c r="J10" s="13" t="s">
        <v>21</v>
      </c>
      <c r="K10" s="13" t="s">
        <v>22</v>
      </c>
      <c r="L10" s="13" t="s">
        <v>23</v>
      </c>
      <c r="M10" s="13" t="s">
        <v>24</v>
      </c>
      <c r="N10" s="13" t="s">
        <v>25</v>
      </c>
      <c r="O10" s="13" t="s">
        <v>26</v>
      </c>
    </row>
    <row r="11" spans="1:17" x14ac:dyDescent="0.45">
      <c r="B11" t="s">
        <v>27</v>
      </c>
      <c r="C11">
        <f>I12*$I$18</f>
        <v>496.04200000000026</v>
      </c>
      <c r="E11" s="7" t="s">
        <v>28</v>
      </c>
      <c r="F11" s="7">
        <f>F8+F9</f>
        <v>4512.1020096330003</v>
      </c>
      <c r="H11" t="s">
        <v>17</v>
      </c>
      <c r="I11" s="16">
        <v>4</v>
      </c>
      <c r="J11" s="14">
        <v>400</v>
      </c>
      <c r="K11" s="10">
        <v>1.2500000000000001E-2</v>
      </c>
      <c r="L11" s="10">
        <v>0.01</v>
      </c>
      <c r="M11" s="10">
        <v>0</v>
      </c>
      <c r="N11" s="10">
        <v>0</v>
      </c>
      <c r="O11" s="10">
        <v>1</v>
      </c>
    </row>
    <row r="12" spans="1:17" x14ac:dyDescent="0.45">
      <c r="B12" t="s">
        <v>29</v>
      </c>
      <c r="C12">
        <f>C24-SUM(C8:C11)</f>
        <v>1787.4148846811649</v>
      </c>
      <c r="E12" t="s">
        <v>30</v>
      </c>
      <c r="F12" s="15">
        <f>F11/I18</f>
        <v>18.192419229149944</v>
      </c>
      <c r="H12" t="s">
        <v>27</v>
      </c>
      <c r="I12" s="16">
        <v>2</v>
      </c>
      <c r="J12" s="10">
        <v>0.09</v>
      </c>
      <c r="L12" s="10">
        <v>0.01</v>
      </c>
      <c r="M12" s="10">
        <v>0</v>
      </c>
      <c r="N12" s="10">
        <v>0</v>
      </c>
      <c r="O12" s="10">
        <v>1</v>
      </c>
    </row>
    <row r="13" spans="1:17" x14ac:dyDescent="0.45">
      <c r="B13" s="2" t="s">
        <v>31</v>
      </c>
      <c r="C13" s="2">
        <f>C12*(1-F17)</f>
        <v>1698.0441404471067</v>
      </c>
      <c r="E13" t="s">
        <v>32</v>
      </c>
      <c r="F13" s="15">
        <f ca="1">F11/L92</f>
        <v>18.649839960251416</v>
      </c>
      <c r="H13" t="s">
        <v>33</v>
      </c>
      <c r="I13" s="16">
        <v>0</v>
      </c>
      <c r="J13" s="14">
        <v>350</v>
      </c>
      <c r="K13" s="10">
        <v>1.2500000000000001E-2</v>
      </c>
    </row>
    <row r="14" spans="1:17" x14ac:dyDescent="0.45">
      <c r="B14" s="2" t="s">
        <v>34</v>
      </c>
      <c r="C14" s="2">
        <f>C12*F17</f>
        <v>89.37074423405825</v>
      </c>
    </row>
    <row r="15" spans="1:17" x14ac:dyDescent="0.45">
      <c r="B15" s="21" t="s">
        <v>35</v>
      </c>
      <c r="C15" s="21">
        <f>SUM(C8:C12)</f>
        <v>4555.2228846811659</v>
      </c>
      <c r="E15" t="s">
        <v>36</v>
      </c>
      <c r="F15" s="9">
        <v>5</v>
      </c>
      <c r="H15" t="s">
        <v>37</v>
      </c>
      <c r="I15" s="5">
        <v>264.06599999999997</v>
      </c>
    </row>
    <row r="16" spans="1:17" x14ac:dyDescent="0.45">
      <c r="E16" t="s">
        <v>38</v>
      </c>
      <c r="F16" s="18">
        <v>44227</v>
      </c>
      <c r="H16" t="s">
        <v>39</v>
      </c>
      <c r="I16">
        <f>K92</f>
        <v>-81.272999999999868</v>
      </c>
    </row>
    <row r="17" spans="1:19" x14ac:dyDescent="0.45">
      <c r="B17" s="6" t="s">
        <v>40</v>
      </c>
      <c r="C17" s="6"/>
      <c r="E17" t="s">
        <v>41</v>
      </c>
      <c r="F17" s="10">
        <v>0.05</v>
      </c>
      <c r="H17" t="s">
        <v>42</v>
      </c>
      <c r="I17" s="5">
        <v>-65.227999999999994</v>
      </c>
    </row>
    <row r="18" spans="1:19" x14ac:dyDescent="0.45">
      <c r="B18" t="s">
        <v>43</v>
      </c>
      <c r="C18">
        <f>F8</f>
        <v>2647.9230096330002</v>
      </c>
      <c r="E18" t="s">
        <v>44</v>
      </c>
      <c r="F18" s="10">
        <v>0.05</v>
      </c>
      <c r="H18" s="7" t="s">
        <v>45</v>
      </c>
      <c r="I18" s="7">
        <f>I15+I16-I17</f>
        <v>248.02100000000013</v>
      </c>
    </row>
    <row r="19" spans="1:19" x14ac:dyDescent="0.45">
      <c r="B19" t="s">
        <v>46</v>
      </c>
      <c r="C19">
        <f>G114</f>
        <v>596.38800000000003</v>
      </c>
      <c r="E19" t="s">
        <v>47</v>
      </c>
      <c r="F19" s="10">
        <v>0.01</v>
      </c>
    </row>
    <row r="20" spans="1:19" x14ac:dyDescent="0.45">
      <c r="B20" t="s">
        <v>15</v>
      </c>
      <c r="C20">
        <f>G113</f>
        <v>1267.7909999999999</v>
      </c>
      <c r="E20" t="s">
        <v>48</v>
      </c>
      <c r="F20" s="1">
        <v>1</v>
      </c>
    </row>
    <row r="21" spans="1:19" x14ac:dyDescent="0.45">
      <c r="B21" t="s">
        <v>49</v>
      </c>
      <c r="C21">
        <f>F21</f>
        <v>15</v>
      </c>
      <c r="E21" t="s">
        <v>50</v>
      </c>
      <c r="F21" s="5">
        <v>15</v>
      </c>
    </row>
    <row r="22" spans="1:19" x14ac:dyDescent="0.45">
      <c r="B22" t="s">
        <v>51</v>
      </c>
      <c r="C22">
        <f>SUMPRODUCT(L11:L12,C10:C11)</f>
        <v>14.881260000000008</v>
      </c>
      <c r="E22" t="s">
        <v>52</v>
      </c>
      <c r="F22" s="10">
        <v>5.0000000000000001E-3</v>
      </c>
      <c r="G22" s="12"/>
    </row>
    <row r="23" spans="1:19" x14ac:dyDescent="0.45">
      <c r="B23" t="s">
        <v>52</v>
      </c>
      <c r="C23">
        <f>F22*C18</f>
        <v>13.239615048165001</v>
      </c>
      <c r="E23" t="s">
        <v>53</v>
      </c>
      <c r="F23" s="9">
        <v>8</v>
      </c>
    </row>
    <row r="24" spans="1:19" x14ac:dyDescent="0.45">
      <c r="B24" s="21" t="s">
        <v>35</v>
      </c>
      <c r="C24" s="21">
        <f>SUM(C18:C23)</f>
        <v>4555.2228846811659</v>
      </c>
      <c r="F24" s="5"/>
    </row>
    <row r="25" spans="1:19" x14ac:dyDescent="0.45">
      <c r="F25" s="11"/>
    </row>
    <row r="26" spans="1:19" x14ac:dyDescent="0.45">
      <c r="A26" t="s">
        <v>4</v>
      </c>
      <c r="B26" s="3" t="s">
        <v>54</v>
      </c>
      <c r="F26" s="11"/>
      <c r="I26" s="17">
        <v>2019</v>
      </c>
      <c r="J26" s="17">
        <f t="shared" ref="J26:P26" si="0">I26+1</f>
        <v>2020</v>
      </c>
      <c r="K26" s="17">
        <f t="shared" si="0"/>
        <v>2021</v>
      </c>
      <c r="L26" s="17">
        <f t="shared" si="0"/>
        <v>2022</v>
      </c>
      <c r="M26" s="17">
        <f t="shared" si="0"/>
        <v>2023</v>
      </c>
      <c r="N26" s="17">
        <f t="shared" si="0"/>
        <v>2024</v>
      </c>
      <c r="O26" s="17">
        <f t="shared" si="0"/>
        <v>2025</v>
      </c>
      <c r="P26" s="17">
        <f t="shared" si="0"/>
        <v>2026</v>
      </c>
      <c r="R26" s="17" t="s">
        <v>55</v>
      </c>
      <c r="S26" s="44" t="s">
        <v>56</v>
      </c>
    </row>
    <row r="27" spans="1:19" x14ac:dyDescent="0.45">
      <c r="F27" s="11"/>
      <c r="S27" s="2"/>
    </row>
    <row r="28" spans="1:19" x14ac:dyDescent="0.45">
      <c r="B28" t="s">
        <v>57</v>
      </c>
      <c r="F28" s="11"/>
      <c r="H28" s="5">
        <v>106</v>
      </c>
      <c r="I28" s="5">
        <v>121</v>
      </c>
      <c r="J28" s="5">
        <v>136</v>
      </c>
      <c r="K28" s="5">
        <v>140</v>
      </c>
      <c r="L28">
        <f>K28+L29</f>
        <v>144</v>
      </c>
      <c r="M28">
        <f>L28+M29</f>
        <v>149</v>
      </c>
      <c r="N28">
        <f>M28+N29</f>
        <v>155</v>
      </c>
      <c r="O28">
        <f>N28+O29</f>
        <v>162</v>
      </c>
      <c r="P28">
        <f>O28+P29</f>
        <v>170</v>
      </c>
      <c r="S28" s="2"/>
    </row>
    <row r="29" spans="1:19" x14ac:dyDescent="0.45">
      <c r="B29" t="s">
        <v>58</v>
      </c>
      <c r="F29" s="11"/>
      <c r="I29">
        <f>I28-H28</f>
        <v>15</v>
      </c>
      <c r="J29">
        <f>J28-I28</f>
        <v>15</v>
      </c>
      <c r="K29">
        <f>K28-J28</f>
        <v>4</v>
      </c>
      <c r="L29" s="53">
        <v>4</v>
      </c>
      <c r="M29" s="53">
        <f>L29+1+$S$29</f>
        <v>5</v>
      </c>
      <c r="N29" s="53">
        <f>M29+1</f>
        <v>6</v>
      </c>
      <c r="O29" s="53">
        <f>N29+1</f>
        <v>7</v>
      </c>
      <c r="P29" s="53">
        <f>O29+1</f>
        <v>8</v>
      </c>
      <c r="S29" s="43">
        <v>0</v>
      </c>
    </row>
    <row r="30" spans="1:19" x14ac:dyDescent="0.45">
      <c r="B30" t="s">
        <v>59</v>
      </c>
      <c r="F30" s="11"/>
      <c r="I30">
        <f>I63/I28</f>
        <v>4.4336280991735544</v>
      </c>
      <c r="J30">
        <f>J63/J28</f>
        <v>4.1439411764705882</v>
      </c>
      <c r="K30">
        <f>K63/K28</f>
        <v>1.1392928571428571</v>
      </c>
      <c r="L30" s="53">
        <f>R30</f>
        <v>2.2132867132867133</v>
      </c>
      <c r="M30" s="53">
        <f>L30+0.25+$S$30</f>
        <v>2.4632867132867133</v>
      </c>
      <c r="N30" s="53">
        <f t="shared" ref="N30:P31" si="1">M30+0.25</f>
        <v>2.7132867132867133</v>
      </c>
      <c r="O30" s="53">
        <f t="shared" si="1"/>
        <v>2.9632867132867133</v>
      </c>
      <c r="P30" s="53">
        <f t="shared" si="1"/>
        <v>3.2132867132867133</v>
      </c>
      <c r="R30" s="5">
        <f>316.5/143</f>
        <v>2.2132867132867133</v>
      </c>
      <c r="S30" s="43">
        <v>0</v>
      </c>
    </row>
    <row r="31" spans="1:19" x14ac:dyDescent="0.45">
      <c r="B31" t="s">
        <v>60</v>
      </c>
      <c r="F31" s="11"/>
      <c r="I31">
        <f>I64/I28</f>
        <v>6.0234049586776859</v>
      </c>
      <c r="J31">
        <f>J64/J28</f>
        <v>5.8170220588235297</v>
      </c>
      <c r="K31">
        <f>K64/K28</f>
        <v>1.9786500000000002</v>
      </c>
      <c r="L31" s="53">
        <f>R31</f>
        <v>4.5065944055944058</v>
      </c>
      <c r="M31" s="53">
        <f>L31+0.25+$S$30</f>
        <v>4.7565944055944058</v>
      </c>
      <c r="N31" s="53">
        <f t="shared" si="1"/>
        <v>5.0065944055944058</v>
      </c>
      <c r="O31" s="53">
        <f t="shared" si="1"/>
        <v>5.2565944055944058</v>
      </c>
      <c r="P31" s="53">
        <f t="shared" si="1"/>
        <v>5.5065944055944058</v>
      </c>
      <c r="R31" s="5">
        <f>644.443/143</f>
        <v>4.5065944055944058</v>
      </c>
    </row>
    <row r="32" spans="1:19" x14ac:dyDescent="0.45">
      <c r="B32" t="s">
        <v>61</v>
      </c>
      <c r="F32" s="11"/>
      <c r="I32" s="26">
        <f t="shared" ref="I32:K33" si="2">I67/I63</f>
        <v>0.25947258835086462</v>
      </c>
      <c r="J32" s="26">
        <f t="shared" si="2"/>
        <v>0.26295654889491388</v>
      </c>
      <c r="K32" s="26">
        <f t="shared" si="2"/>
        <v>0.28342769010852598</v>
      </c>
      <c r="L32" s="54">
        <v>0.28000000000000003</v>
      </c>
      <c r="M32" s="54">
        <f t="shared" ref="M32:P33" si="3">L32</f>
        <v>0.28000000000000003</v>
      </c>
      <c r="N32" s="54">
        <f t="shared" si="3"/>
        <v>0.28000000000000003</v>
      </c>
      <c r="O32" s="54">
        <f t="shared" si="3"/>
        <v>0.28000000000000003</v>
      </c>
      <c r="P32" s="54">
        <f t="shared" si="3"/>
        <v>0.28000000000000003</v>
      </c>
      <c r="R32" s="10">
        <f>86.366/316.5</f>
        <v>0.27287835703001578</v>
      </c>
      <c r="S32" s="2"/>
    </row>
    <row r="33" spans="2:19" x14ac:dyDescent="0.45">
      <c r="B33" t="s">
        <v>62</v>
      </c>
      <c r="F33" s="11"/>
      <c r="I33" s="26">
        <f t="shared" si="2"/>
        <v>0.11122453459782226</v>
      </c>
      <c r="J33" s="26">
        <f t="shared" si="2"/>
        <v>0.10758865651643565</v>
      </c>
      <c r="K33" s="26">
        <f t="shared" si="2"/>
        <v>0.10720873900314427</v>
      </c>
      <c r="L33" s="54">
        <v>0.1</v>
      </c>
      <c r="M33" s="54">
        <f t="shared" si="3"/>
        <v>0.1</v>
      </c>
      <c r="N33" s="54">
        <f t="shared" si="3"/>
        <v>0.1</v>
      </c>
      <c r="O33" s="54">
        <f t="shared" si="3"/>
        <v>0.1</v>
      </c>
      <c r="P33" s="54">
        <f t="shared" si="3"/>
        <v>0.1</v>
      </c>
      <c r="R33" s="10">
        <f>63.729/644.443</f>
        <v>9.8890049236317251E-2</v>
      </c>
      <c r="S33" s="2"/>
    </row>
    <row r="34" spans="2:19" x14ac:dyDescent="0.45">
      <c r="B34" t="s">
        <v>63</v>
      </c>
      <c r="F34" s="11"/>
      <c r="I34" s="26">
        <f>I71/I65</f>
        <v>0.58689592436898408</v>
      </c>
      <c r="J34" s="26">
        <f>J71/J65</f>
        <v>0.60668447638612799</v>
      </c>
      <c r="K34" s="26">
        <f>K71/K65</f>
        <v>1.0633247195953375</v>
      </c>
      <c r="L34" s="54">
        <v>0.6</v>
      </c>
      <c r="M34" s="54">
        <v>0.59499999999999997</v>
      </c>
      <c r="N34" s="54">
        <v>0.59</v>
      </c>
      <c r="O34" s="54">
        <v>0.57999999999999996</v>
      </c>
      <c r="P34" s="54">
        <v>0.56999999999999995</v>
      </c>
      <c r="R34" s="10">
        <v>0.58321730280533723</v>
      </c>
      <c r="S34" s="2"/>
    </row>
    <row r="35" spans="2:19" x14ac:dyDescent="0.45">
      <c r="B35" t="s">
        <v>64</v>
      </c>
      <c r="F35" s="11"/>
      <c r="I35" s="26">
        <f>I88/I65</f>
        <v>5.8657979405690817E-3</v>
      </c>
      <c r="J35" s="26">
        <f>J88/J65</f>
        <v>5.0616708902620601E-3</v>
      </c>
      <c r="K35" s="26">
        <f>K88/K65</f>
        <v>1.6001851037313979E-2</v>
      </c>
      <c r="L35" s="54">
        <f>AVERAGE(I35:J35)</f>
        <v>5.4637344154155713E-3</v>
      </c>
      <c r="M35" s="54">
        <f t="shared" ref="M35:P36" si="4">L35</f>
        <v>5.4637344154155713E-3</v>
      </c>
      <c r="N35" s="54">
        <f t="shared" si="4"/>
        <v>5.4637344154155713E-3</v>
      </c>
      <c r="O35" s="54">
        <f t="shared" si="4"/>
        <v>5.4637344154155713E-3</v>
      </c>
      <c r="P35" s="54">
        <f t="shared" si="4"/>
        <v>5.4637344154155713E-3</v>
      </c>
      <c r="S35" s="2"/>
    </row>
    <row r="36" spans="2:19" x14ac:dyDescent="0.45">
      <c r="B36" t="s">
        <v>65</v>
      </c>
      <c r="F36" s="11"/>
      <c r="I36" s="26">
        <f>I89/I65</f>
        <v>1.8306316046537544E-2</v>
      </c>
      <c r="J36" s="26">
        <f>J89/J65</f>
        <v>1.4003931523867804E-2</v>
      </c>
      <c r="K36" s="26">
        <f>K89/K65</f>
        <v>2.5832050436185028E-2</v>
      </c>
      <c r="L36" s="54">
        <f>AVERAGE(I36:J36)</f>
        <v>1.6155123785202674E-2</v>
      </c>
      <c r="M36" s="54">
        <f t="shared" si="4"/>
        <v>1.6155123785202674E-2</v>
      </c>
      <c r="N36" s="54">
        <f t="shared" si="4"/>
        <v>1.6155123785202674E-2</v>
      </c>
      <c r="O36" s="54">
        <f t="shared" si="4"/>
        <v>1.6155123785202674E-2</v>
      </c>
      <c r="P36" s="54">
        <f t="shared" si="4"/>
        <v>1.6155123785202674E-2</v>
      </c>
    </row>
    <row r="37" spans="2:19" x14ac:dyDescent="0.45">
      <c r="B37" t="s">
        <v>66</v>
      </c>
      <c r="F37" s="11"/>
      <c r="I37" s="26">
        <f>I72/I65</f>
        <v>9.3475781651954762E-2</v>
      </c>
      <c r="J37" s="26">
        <f>J72/J65</f>
        <v>9.7778755450504948E-2</v>
      </c>
      <c r="K37" s="26">
        <f>K72/K65</f>
        <v>0.31795002199252248</v>
      </c>
      <c r="L37" s="54">
        <v>0.12</v>
      </c>
      <c r="M37" s="54">
        <v>9.5000000000000001E-2</v>
      </c>
      <c r="N37" s="54">
        <v>9.5000000000000001E-2</v>
      </c>
      <c r="O37" s="54">
        <v>9.5000000000000001E-2</v>
      </c>
      <c r="P37" s="54">
        <v>9.5000000000000001E-2</v>
      </c>
    </row>
    <row r="38" spans="2:19" x14ac:dyDescent="0.45">
      <c r="B38" t="s">
        <v>67</v>
      </c>
      <c r="F38" s="11"/>
      <c r="I38" s="26">
        <f>I81</f>
        <v>0.20736102564796077</v>
      </c>
      <c r="J38" s="26">
        <f>J81</f>
        <v>0.21140929039971065</v>
      </c>
      <c r="K38" s="27">
        <f>K81</f>
        <v>0.28729433964862999</v>
      </c>
      <c r="L38" s="54">
        <v>0.21</v>
      </c>
      <c r="M38" s="54">
        <f>L38</f>
        <v>0.21</v>
      </c>
      <c r="N38" s="54">
        <f>M38</f>
        <v>0.21</v>
      </c>
      <c r="O38" s="54">
        <f>N38</f>
        <v>0.21</v>
      </c>
      <c r="P38" s="54">
        <f>O38</f>
        <v>0.21</v>
      </c>
    </row>
    <row r="39" spans="2:19" x14ac:dyDescent="0.45">
      <c r="F39" s="11"/>
    </row>
    <row r="40" spans="2:19" x14ac:dyDescent="0.45">
      <c r="B40" t="s">
        <v>68</v>
      </c>
      <c r="F40" s="11"/>
      <c r="I40" s="5">
        <f>29+22.5</f>
        <v>51.5</v>
      </c>
      <c r="J40" s="5">
        <f>19+22</f>
        <v>41</v>
      </c>
      <c r="K40" s="5">
        <v>19</v>
      </c>
      <c r="L40">
        <f>L41*L65</f>
        <v>33.868200839160842</v>
      </c>
      <c r="M40">
        <f>M41*M65</f>
        <v>37.65168003496504</v>
      </c>
      <c r="N40">
        <f>N41*N65</f>
        <v>41.880355069930076</v>
      </c>
      <c r="O40">
        <f>O41*O65</f>
        <v>46.606725944055952</v>
      </c>
      <c r="P40">
        <f>P41*P65</f>
        <v>51.883292657342665</v>
      </c>
    </row>
    <row r="41" spans="2:19" x14ac:dyDescent="0.45">
      <c r="B41" t="s">
        <v>69</v>
      </c>
      <c r="F41" s="11"/>
      <c r="I41" s="26">
        <f>I40/I65</f>
        <v>4.0701777679777382E-2</v>
      </c>
      <c r="J41" s="26">
        <f>J40/J65</f>
        <v>3.0265204389783352E-2</v>
      </c>
      <c r="K41" s="26">
        <f>K40/K65</f>
        <v>4.3526867531705878E-2</v>
      </c>
      <c r="L41" s="54">
        <v>3.5000000000000003E-2</v>
      </c>
      <c r="M41" s="54">
        <v>3.5000000000000003E-2</v>
      </c>
      <c r="N41" s="54">
        <v>3.5000000000000003E-2</v>
      </c>
      <c r="O41" s="54">
        <v>3.5000000000000003E-2</v>
      </c>
      <c r="P41" s="54">
        <v>3.5000000000000003E-2</v>
      </c>
    </row>
    <row r="42" spans="2:19" x14ac:dyDescent="0.45">
      <c r="B42" t="s">
        <v>70</v>
      </c>
      <c r="F42" s="11"/>
      <c r="I42" s="5">
        <v>164.5</v>
      </c>
      <c r="J42" s="5">
        <v>187</v>
      </c>
      <c r="K42" s="5">
        <v>64</v>
      </c>
      <c r="L42">
        <f>+L43*L29</f>
        <v>46.866666666666667</v>
      </c>
      <c r="M42">
        <f>+M43*M29</f>
        <v>58.583333333333336</v>
      </c>
      <c r="N42">
        <f>+N43*N29</f>
        <v>70.3</v>
      </c>
      <c r="O42">
        <f>+O43*O29</f>
        <v>82.016666666666666</v>
      </c>
      <c r="P42">
        <f>+P43*P29</f>
        <v>93.733333333333334</v>
      </c>
    </row>
    <row r="43" spans="2:19" x14ac:dyDescent="0.45">
      <c r="B43" t="s">
        <v>71</v>
      </c>
      <c r="F43" s="11"/>
      <c r="I43">
        <f>I42/I29</f>
        <v>10.966666666666667</v>
      </c>
      <c r="J43">
        <f>J42/J29</f>
        <v>12.466666666666667</v>
      </c>
      <c r="K43">
        <f>K42/K29</f>
        <v>16</v>
      </c>
      <c r="L43" s="53">
        <f>AVERAGE(I43:J43)</f>
        <v>11.716666666666667</v>
      </c>
      <c r="M43" s="53">
        <f>L43</f>
        <v>11.716666666666667</v>
      </c>
      <c r="N43" s="53">
        <f>M43</f>
        <v>11.716666666666667</v>
      </c>
      <c r="O43" s="53">
        <f>N43</f>
        <v>11.716666666666667</v>
      </c>
      <c r="P43" s="53">
        <f>O43</f>
        <v>11.716666666666667</v>
      </c>
    </row>
    <row r="44" spans="2:19" x14ac:dyDescent="0.45">
      <c r="B44" t="s">
        <v>72</v>
      </c>
      <c r="F44" s="11"/>
      <c r="I44">
        <f t="shared" ref="I44:P44" si="5">I40+I42</f>
        <v>216</v>
      </c>
      <c r="J44">
        <f t="shared" si="5"/>
        <v>228</v>
      </c>
      <c r="K44">
        <f t="shared" si="5"/>
        <v>83</v>
      </c>
      <c r="L44">
        <f t="shared" si="5"/>
        <v>80.734867505827509</v>
      </c>
      <c r="M44">
        <f t="shared" si="5"/>
        <v>96.235013368298382</v>
      </c>
      <c r="N44">
        <f t="shared" si="5"/>
        <v>112.18035506993007</v>
      </c>
      <c r="O44">
        <f t="shared" si="5"/>
        <v>128.62339261072262</v>
      </c>
      <c r="P44">
        <f t="shared" si="5"/>
        <v>145.616625990676</v>
      </c>
    </row>
    <row r="45" spans="2:19" x14ac:dyDescent="0.45">
      <c r="F45" s="11"/>
    </row>
    <row r="46" spans="2:19" x14ac:dyDescent="0.45">
      <c r="B46" t="s">
        <v>73</v>
      </c>
      <c r="F46" s="11"/>
      <c r="J46">
        <f>F101/J69*365</f>
        <v>53.937041116792606</v>
      </c>
      <c r="K46">
        <f>G101/K69*365</f>
        <v>116.0076763900941</v>
      </c>
      <c r="L46" s="53">
        <f>J46</f>
        <v>53.937041116792606</v>
      </c>
      <c r="M46" s="53">
        <f t="shared" ref="M46:P50" si="6">L46</f>
        <v>53.937041116792606</v>
      </c>
      <c r="N46" s="53">
        <f t="shared" si="6"/>
        <v>53.937041116792606</v>
      </c>
      <c r="O46" s="53">
        <f t="shared" si="6"/>
        <v>53.937041116792606</v>
      </c>
      <c r="P46" s="53">
        <f t="shared" si="6"/>
        <v>53.937041116792606</v>
      </c>
    </row>
    <row r="47" spans="2:19" x14ac:dyDescent="0.45">
      <c r="B47" t="s">
        <v>74</v>
      </c>
      <c r="F47" s="11"/>
      <c r="J47" s="26">
        <f>F102/J65</f>
        <v>1.4649097100371966E-2</v>
      </c>
      <c r="K47" s="26">
        <f>G102/K65</f>
        <v>0.1905400080639249</v>
      </c>
      <c r="L47" s="54">
        <f>J47</f>
        <v>1.4649097100371966E-2</v>
      </c>
      <c r="M47" s="54">
        <f t="shared" si="6"/>
        <v>1.4649097100371966E-2</v>
      </c>
      <c r="N47" s="54">
        <f t="shared" si="6"/>
        <v>1.4649097100371966E-2</v>
      </c>
      <c r="O47" s="54">
        <f t="shared" si="6"/>
        <v>1.4649097100371966E-2</v>
      </c>
      <c r="P47" s="54">
        <f t="shared" si="6"/>
        <v>1.4649097100371966E-2</v>
      </c>
    </row>
    <row r="48" spans="2:19" x14ac:dyDescent="0.45">
      <c r="B48" t="s">
        <v>75</v>
      </c>
      <c r="F48" s="11"/>
      <c r="J48">
        <f>F110/J69*365</f>
        <v>102.2499367796632</v>
      </c>
      <c r="K48">
        <f>G110/K69*365</f>
        <v>177.37133702690073</v>
      </c>
      <c r="L48" s="53">
        <f>J48</f>
        <v>102.2499367796632</v>
      </c>
      <c r="M48" s="53">
        <f t="shared" si="6"/>
        <v>102.2499367796632</v>
      </c>
      <c r="N48" s="53">
        <f t="shared" si="6"/>
        <v>102.2499367796632</v>
      </c>
      <c r="O48" s="53">
        <f t="shared" si="6"/>
        <v>102.2499367796632</v>
      </c>
      <c r="P48" s="53">
        <f t="shared" si="6"/>
        <v>102.2499367796632</v>
      </c>
    </row>
    <row r="49" spans="1:18" x14ac:dyDescent="0.45">
      <c r="B49" t="s">
        <v>76</v>
      </c>
      <c r="F49" s="11"/>
      <c r="J49" s="26">
        <f>F111/J65</f>
        <v>0.15313602880656918</v>
      </c>
      <c r="K49" s="26">
        <f>G111/K65</f>
        <v>0.53787753830364338</v>
      </c>
      <c r="L49" s="54">
        <f>J49</f>
        <v>0.15313602880656918</v>
      </c>
      <c r="M49" s="54">
        <f t="shared" si="6"/>
        <v>0.15313602880656918</v>
      </c>
      <c r="N49" s="54">
        <f t="shared" si="6"/>
        <v>0.15313602880656918</v>
      </c>
      <c r="O49" s="54">
        <f t="shared" si="6"/>
        <v>0.15313602880656918</v>
      </c>
      <c r="P49" s="54">
        <f t="shared" si="6"/>
        <v>0.15313602880656918</v>
      </c>
    </row>
    <row r="50" spans="1:18" x14ac:dyDescent="0.45">
      <c r="B50" t="s">
        <v>77</v>
      </c>
      <c r="F50" s="11"/>
      <c r="J50" s="26">
        <f>F112/J65</f>
        <v>2.2543886391804477E-3</v>
      </c>
      <c r="K50" s="26">
        <f>G112/K65</f>
        <v>1.0217359431126749E-3</v>
      </c>
      <c r="L50" s="54">
        <f>J50</f>
        <v>2.2543886391804477E-3</v>
      </c>
      <c r="M50" s="54">
        <f t="shared" si="6"/>
        <v>2.2543886391804477E-3</v>
      </c>
      <c r="N50" s="54">
        <f t="shared" si="6"/>
        <v>2.2543886391804477E-3</v>
      </c>
      <c r="O50" s="54">
        <f t="shared" si="6"/>
        <v>2.2543886391804477E-3</v>
      </c>
      <c r="P50" s="54">
        <f t="shared" si="6"/>
        <v>2.2543886391804477E-3</v>
      </c>
    </row>
    <row r="51" spans="1:18" x14ac:dyDescent="0.45">
      <c r="F51" s="11"/>
    </row>
    <row r="52" spans="1:18" x14ac:dyDescent="0.45">
      <c r="B52" t="s">
        <v>78</v>
      </c>
      <c r="F52" s="11"/>
      <c r="L52">
        <f>K54</f>
        <v>14.881260000000008</v>
      </c>
      <c r="M52">
        <f>L54</f>
        <v>13.021102500000007</v>
      </c>
      <c r="N52">
        <f>M54</f>
        <v>11.160945000000005</v>
      </c>
      <c r="O52">
        <f>N54</f>
        <v>9.3007875000000038</v>
      </c>
      <c r="P52">
        <f>O54</f>
        <v>7.4406300000000023</v>
      </c>
    </row>
    <row r="53" spans="1:18" x14ac:dyDescent="0.45">
      <c r="B53" t="s">
        <v>79</v>
      </c>
      <c r="F53" s="11"/>
      <c r="L53">
        <f>-$C$22/$F$23</f>
        <v>-1.860157500000001</v>
      </c>
      <c r="M53">
        <f>-$C$22/$F$23</f>
        <v>-1.860157500000001</v>
      </c>
      <c r="N53">
        <f>-$C$22/$F$23</f>
        <v>-1.860157500000001</v>
      </c>
      <c r="O53">
        <f>-$C$22/$F$23</f>
        <v>-1.860157500000001</v>
      </c>
      <c r="P53">
        <f>-$C$22/$F$23</f>
        <v>-1.860157500000001</v>
      </c>
    </row>
    <row r="54" spans="1:18" x14ac:dyDescent="0.45">
      <c r="B54" t="s">
        <v>80</v>
      </c>
      <c r="F54" s="11"/>
      <c r="K54">
        <f>K106</f>
        <v>14.881260000000008</v>
      </c>
      <c r="L54">
        <f>SUM(L52:L53)</f>
        <v>13.021102500000007</v>
      </c>
      <c r="M54">
        <f>SUM(M52:M53)</f>
        <v>11.160945000000005</v>
      </c>
      <c r="N54">
        <f>SUM(N52:N53)</f>
        <v>9.3007875000000038</v>
      </c>
      <c r="O54">
        <f>SUM(O52:O53)</f>
        <v>7.4406300000000023</v>
      </c>
      <c r="P54">
        <f>SUM(P52:P53)</f>
        <v>5.5804725000000008</v>
      </c>
    </row>
    <row r="55" spans="1:18" x14ac:dyDescent="0.45">
      <c r="F55" s="11"/>
    </row>
    <row r="56" spans="1:18" x14ac:dyDescent="0.45">
      <c r="B56" t="s">
        <v>81</v>
      </c>
      <c r="F56" s="11"/>
      <c r="L56">
        <f>K59</f>
        <v>815.02700000000004</v>
      </c>
      <c r="M56">
        <f>L59</f>
        <v>779.64232177156191</v>
      </c>
      <c r="N56">
        <f>M59</f>
        <v>773.67991790209805</v>
      </c>
      <c r="O56">
        <f>N59</f>
        <v>772.18502349650362</v>
      </c>
      <c r="P56">
        <f>O59</f>
        <v>774.30444568764574</v>
      </c>
    </row>
    <row r="57" spans="1:18" x14ac:dyDescent="0.45">
      <c r="B57" t="s">
        <v>82</v>
      </c>
      <c r="F57" s="11"/>
      <c r="L57">
        <f>L44</f>
        <v>80.734867505827509</v>
      </c>
      <c r="M57">
        <f>M44</f>
        <v>96.235013368298382</v>
      </c>
      <c r="N57">
        <f>N44</f>
        <v>112.18035506993007</v>
      </c>
      <c r="O57">
        <f>O44</f>
        <v>128.62339261072262</v>
      </c>
      <c r="P57">
        <f>P44</f>
        <v>145.616625990676</v>
      </c>
    </row>
    <row r="58" spans="1:18" x14ac:dyDescent="0.45">
      <c r="B58" t="s">
        <v>83</v>
      </c>
      <c r="F58" s="11"/>
      <c r="L58">
        <f>-L37*L65</f>
        <v>-116.11954573426573</v>
      </c>
      <c r="M58">
        <f>-M37*M65</f>
        <v>-102.19741723776225</v>
      </c>
      <c r="N58">
        <f>-N37*N65</f>
        <v>-113.67524947552448</v>
      </c>
      <c r="O58">
        <f>-O37*O65</f>
        <v>-126.50397041958044</v>
      </c>
      <c r="P58">
        <f>-P37*P65</f>
        <v>-140.8260800699301</v>
      </c>
    </row>
    <row r="59" spans="1:18" x14ac:dyDescent="0.45">
      <c r="B59" t="s">
        <v>84</v>
      </c>
      <c r="F59" s="11"/>
      <c r="K59">
        <f>K103</f>
        <v>815.02700000000004</v>
      </c>
      <c r="L59">
        <f>SUM(L56:L58)</f>
        <v>779.64232177156191</v>
      </c>
      <c r="M59">
        <f>SUM(M56:M58)</f>
        <v>773.67991790209805</v>
      </c>
      <c r="N59">
        <f>SUM(N56:N58)</f>
        <v>772.18502349650362</v>
      </c>
      <c r="O59">
        <f>SUM(O56:O58)</f>
        <v>774.30444568764574</v>
      </c>
      <c r="P59">
        <f>SUM(P56:P58)</f>
        <v>779.09499160839164</v>
      </c>
    </row>
    <row r="60" spans="1:18" x14ac:dyDescent="0.45">
      <c r="F60" s="11"/>
    </row>
    <row r="61" spans="1:18" x14ac:dyDescent="0.45">
      <c r="A61" t="s">
        <v>4</v>
      </c>
      <c r="B61" s="3" t="s">
        <v>85</v>
      </c>
      <c r="I61" s="17">
        <v>2019</v>
      </c>
      <c r="J61" s="17">
        <f t="shared" ref="J61:P61" si="7">I61+1</f>
        <v>2020</v>
      </c>
      <c r="K61" s="17">
        <f t="shared" si="7"/>
        <v>2021</v>
      </c>
      <c r="L61" s="17">
        <f t="shared" si="7"/>
        <v>2022</v>
      </c>
      <c r="M61" s="17">
        <f t="shared" si="7"/>
        <v>2023</v>
      </c>
      <c r="N61" s="17">
        <f t="shared" si="7"/>
        <v>2024</v>
      </c>
      <c r="O61" s="17">
        <f t="shared" si="7"/>
        <v>2025</v>
      </c>
      <c r="P61" s="17">
        <f t="shared" si="7"/>
        <v>2026</v>
      </c>
      <c r="Q61" s="17"/>
      <c r="R61" s="17"/>
    </row>
    <row r="63" spans="1:18" x14ac:dyDescent="0.45">
      <c r="B63" t="s">
        <v>86</v>
      </c>
      <c r="I63" s="5">
        <v>536.46900000000005</v>
      </c>
      <c r="J63" s="5">
        <v>563.57600000000002</v>
      </c>
      <c r="K63" s="5">
        <v>159.501</v>
      </c>
      <c r="L63">
        <f>L28*L30</f>
        <v>318.71328671328672</v>
      </c>
      <c r="M63">
        <f>M28*M30</f>
        <v>367.02972027972027</v>
      </c>
      <c r="N63">
        <f>N28*N30</f>
        <v>420.55944055944059</v>
      </c>
      <c r="O63">
        <f>O28*O30</f>
        <v>480.05244755244757</v>
      </c>
      <c r="P63">
        <f>P28*P30</f>
        <v>546.25874125874122</v>
      </c>
    </row>
    <row r="64" spans="1:18" x14ac:dyDescent="0.45">
      <c r="B64" t="s">
        <v>87</v>
      </c>
      <c r="I64" s="5">
        <v>728.83199999999999</v>
      </c>
      <c r="J64" s="5">
        <v>791.11500000000001</v>
      </c>
      <c r="K64" s="5">
        <v>277.01100000000002</v>
      </c>
      <c r="L64">
        <f>L28*L31</f>
        <v>648.94959440559444</v>
      </c>
      <c r="M64">
        <f>M28*M31</f>
        <v>708.73256643356649</v>
      </c>
      <c r="N64">
        <f>N28*N31</f>
        <v>776.02213286713288</v>
      </c>
      <c r="O64">
        <f>O28*O31</f>
        <v>851.56829370629373</v>
      </c>
      <c r="P64">
        <f>P28*P31</f>
        <v>936.12104895104903</v>
      </c>
    </row>
    <row r="65" spans="2:16" s="3" customFormat="1" x14ac:dyDescent="0.45">
      <c r="B65" s="8" t="s">
        <v>88</v>
      </c>
      <c r="C65" s="8"/>
      <c r="D65" s="8"/>
      <c r="E65" s="8"/>
      <c r="F65" s="8"/>
      <c r="G65" s="8"/>
      <c r="H65" s="8"/>
      <c r="I65" s="8">
        <f t="shared" ref="I65:P65" si="8">SUM(I63:I64)</f>
        <v>1265.3009999999999</v>
      </c>
      <c r="J65" s="8">
        <f t="shared" si="8"/>
        <v>1354.691</v>
      </c>
      <c r="K65" s="8">
        <f t="shared" si="8"/>
        <v>436.51200000000006</v>
      </c>
      <c r="L65" s="8">
        <f t="shared" si="8"/>
        <v>967.66288111888116</v>
      </c>
      <c r="M65" s="8">
        <f t="shared" si="8"/>
        <v>1075.7622867132868</v>
      </c>
      <c r="N65" s="8">
        <f t="shared" si="8"/>
        <v>1196.5815734265734</v>
      </c>
      <c r="O65" s="8">
        <f t="shared" si="8"/>
        <v>1331.6207412587414</v>
      </c>
      <c r="P65" s="8">
        <f t="shared" si="8"/>
        <v>1482.3797902097904</v>
      </c>
    </row>
    <row r="66" spans="2:16" s="2" customFormat="1" x14ac:dyDescent="0.45">
      <c r="B66" s="19" t="s">
        <v>89</v>
      </c>
      <c r="J66" s="20">
        <f t="shared" ref="J66:P66" si="9">J65/I65-1</f>
        <v>7.0647221491170864E-2</v>
      </c>
      <c r="K66" s="20">
        <f t="shared" si="9"/>
        <v>-0.67777744149772889</v>
      </c>
      <c r="L66" s="20">
        <f t="shared" si="9"/>
        <v>1.2168070548321261</v>
      </c>
      <c r="M66" s="20">
        <f t="shared" si="9"/>
        <v>0.11171184480013685</v>
      </c>
      <c r="N66" s="20">
        <f t="shared" si="9"/>
        <v>0.11231039441103552</v>
      </c>
      <c r="O66" s="20">
        <f t="shared" si="9"/>
        <v>0.11285412614659029</v>
      </c>
      <c r="P66" s="20">
        <f t="shared" si="9"/>
        <v>0.11321470466774275</v>
      </c>
    </row>
    <row r="67" spans="2:16" x14ac:dyDescent="0.45">
      <c r="B67" t="s">
        <v>90</v>
      </c>
      <c r="I67" s="5">
        <v>139.19900000000001</v>
      </c>
      <c r="J67" s="5">
        <v>148.196</v>
      </c>
      <c r="K67" s="5">
        <v>45.207000000000001</v>
      </c>
      <c r="L67">
        <f t="shared" ref="L67:P68" si="10">L32*L63</f>
        <v>89.239720279720288</v>
      </c>
      <c r="M67">
        <f t="shared" si="10"/>
        <v>102.76832167832168</v>
      </c>
      <c r="N67">
        <f t="shared" si="10"/>
        <v>117.75664335664338</v>
      </c>
      <c r="O67">
        <f t="shared" si="10"/>
        <v>134.41468531468533</v>
      </c>
      <c r="P67">
        <f t="shared" si="10"/>
        <v>152.95244755244755</v>
      </c>
    </row>
    <row r="68" spans="2:16" x14ac:dyDescent="0.45">
      <c r="B68" t="s">
        <v>91</v>
      </c>
      <c r="I68" s="5">
        <v>81.063999999999993</v>
      </c>
      <c r="J68" s="5">
        <v>85.114999999999995</v>
      </c>
      <c r="K68" s="5">
        <v>29.698</v>
      </c>
      <c r="L68">
        <f t="shared" si="10"/>
        <v>64.894959440559447</v>
      </c>
      <c r="M68">
        <f t="shared" si="10"/>
        <v>70.873256643356655</v>
      </c>
      <c r="N68">
        <f t="shared" si="10"/>
        <v>77.602213286713294</v>
      </c>
      <c r="O68">
        <f t="shared" si="10"/>
        <v>85.156829370629382</v>
      </c>
      <c r="P68">
        <f t="shared" si="10"/>
        <v>93.612104895104906</v>
      </c>
    </row>
    <row r="69" spans="2:16" s="3" customFormat="1" x14ac:dyDescent="0.45">
      <c r="B69" s="7" t="s">
        <v>92</v>
      </c>
      <c r="C69" s="7"/>
      <c r="D69" s="7"/>
      <c r="E69" s="7"/>
      <c r="F69" s="7"/>
      <c r="G69" s="7"/>
      <c r="H69" s="7"/>
      <c r="I69" s="7">
        <f t="shared" ref="I69:P69" si="11">SUM(I67:I68)</f>
        <v>220.26300000000001</v>
      </c>
      <c r="J69" s="7">
        <f t="shared" si="11"/>
        <v>233.31099999999998</v>
      </c>
      <c r="K69" s="7">
        <f t="shared" si="11"/>
        <v>74.905000000000001</v>
      </c>
      <c r="L69" s="7">
        <f t="shared" si="11"/>
        <v>154.13467972027973</v>
      </c>
      <c r="M69" s="7">
        <f t="shared" si="11"/>
        <v>173.64157832167834</v>
      </c>
      <c r="N69" s="7">
        <f t="shared" si="11"/>
        <v>195.35885664335666</v>
      </c>
      <c r="O69" s="7">
        <f t="shared" si="11"/>
        <v>219.5715146853147</v>
      </c>
      <c r="P69" s="7">
        <f t="shared" si="11"/>
        <v>246.56455244755244</v>
      </c>
    </row>
    <row r="70" spans="2:16" s="3" customFormat="1" x14ac:dyDescent="0.45">
      <c r="B70" s="19" t="s">
        <v>93</v>
      </c>
      <c r="C70" s="2"/>
      <c r="D70" s="2"/>
      <c r="E70" s="2"/>
      <c r="F70" s="2"/>
      <c r="G70" s="2"/>
      <c r="H70" s="2"/>
      <c r="I70" s="20">
        <f t="shared" ref="I70:P70" si="12">I69/I$65</f>
        <v>0.17407952732195739</v>
      </c>
      <c r="J70" s="20">
        <f t="shared" si="12"/>
        <v>0.17222451466792058</v>
      </c>
      <c r="K70" s="20">
        <f t="shared" si="12"/>
        <v>0.17159894802433837</v>
      </c>
      <c r="L70" s="20">
        <f t="shared" si="12"/>
        <v>0.15928551433331634</v>
      </c>
      <c r="M70" s="20">
        <f t="shared" si="12"/>
        <v>0.16141259130043983</v>
      </c>
      <c r="N70" s="20">
        <f t="shared" si="12"/>
        <v>0.16326413592006112</v>
      </c>
      <c r="O70" s="20">
        <f t="shared" si="12"/>
        <v>0.16489042854481245</v>
      </c>
      <c r="P70" s="20">
        <f t="shared" si="12"/>
        <v>0.16633021717913327</v>
      </c>
    </row>
    <row r="71" spans="2:16" x14ac:dyDescent="0.45">
      <c r="B71" t="s">
        <v>94</v>
      </c>
      <c r="I71" s="5">
        <v>742.59999999999991</v>
      </c>
      <c r="J71" s="5">
        <v>821.87000000000012</v>
      </c>
      <c r="K71" s="5">
        <v>464.154</v>
      </c>
      <c r="L71">
        <f>L34*L65</f>
        <v>580.5977286713287</v>
      </c>
      <c r="M71">
        <f>M34*M65</f>
        <v>640.07856059440564</v>
      </c>
      <c r="N71">
        <f>N34*N65</f>
        <v>705.98312832167824</v>
      </c>
      <c r="O71">
        <f>O34*O65</f>
        <v>772.34002993006993</v>
      </c>
      <c r="P71">
        <f>P34*P65</f>
        <v>844.95648041958043</v>
      </c>
    </row>
    <row r="72" spans="2:16" x14ac:dyDescent="0.45">
      <c r="B72" t="s">
        <v>95</v>
      </c>
      <c r="I72" s="5">
        <v>118.27500000000001</v>
      </c>
      <c r="J72" s="5">
        <v>132.46</v>
      </c>
      <c r="K72" s="5">
        <v>138.78899999999999</v>
      </c>
      <c r="L72">
        <f>L37*L65</f>
        <v>116.11954573426573</v>
      </c>
      <c r="M72">
        <f>M37*M65</f>
        <v>102.19741723776225</v>
      </c>
      <c r="N72">
        <f>N37*N65</f>
        <v>113.67524947552448</v>
      </c>
      <c r="O72">
        <f>O37*O65</f>
        <v>126.50397041958044</v>
      </c>
      <c r="P72">
        <f>P37*P65</f>
        <v>140.8260800699301</v>
      </c>
    </row>
    <row r="73" spans="2:16" x14ac:dyDescent="0.45">
      <c r="B73" t="s">
        <v>53</v>
      </c>
      <c r="I73" s="5">
        <v>0</v>
      </c>
      <c r="J73" s="5">
        <v>0</v>
      </c>
      <c r="K73" s="5">
        <v>0</v>
      </c>
      <c r="L73">
        <f>L53</f>
        <v>-1.860157500000001</v>
      </c>
      <c r="M73">
        <f>M53</f>
        <v>-1.860157500000001</v>
      </c>
      <c r="N73">
        <f>N53</f>
        <v>-1.860157500000001</v>
      </c>
      <c r="O73">
        <f>O53</f>
        <v>-1.860157500000001</v>
      </c>
      <c r="P73">
        <f>P53</f>
        <v>-1.860157500000001</v>
      </c>
    </row>
    <row r="74" spans="2:16" x14ac:dyDescent="0.45">
      <c r="B74" t="s">
        <v>96</v>
      </c>
      <c r="I74" s="5">
        <v>23.163</v>
      </c>
      <c r="J74" s="5">
        <v>18.971</v>
      </c>
      <c r="K74" s="5">
        <v>11.276</v>
      </c>
      <c r="L74">
        <f>L36*L65</f>
        <v>15.632713626821385</v>
      </c>
      <c r="M74">
        <f>M36*M65</f>
        <v>17.37907290530584</v>
      </c>
      <c r="N74">
        <f>N36*N65</f>
        <v>19.330923437798877</v>
      </c>
      <c r="O74">
        <f>O36*O65</f>
        <v>21.512497909978311</v>
      </c>
      <c r="P74">
        <f>P36*P65</f>
        <v>23.948029007521935</v>
      </c>
    </row>
    <row r="75" spans="2:16" x14ac:dyDescent="0.45">
      <c r="B75" s="8" t="s">
        <v>97</v>
      </c>
      <c r="C75" s="8"/>
      <c r="D75" s="8"/>
      <c r="E75" s="8"/>
      <c r="F75" s="8"/>
      <c r="G75" s="8"/>
      <c r="H75" s="8"/>
      <c r="I75" s="8">
        <f t="shared" ref="I75:P75" si="13">I65-I69-SUM(I71:I74)</f>
        <v>161.00000000000011</v>
      </c>
      <c r="J75" s="8">
        <f t="shared" si="13"/>
        <v>148.07899999999995</v>
      </c>
      <c r="K75" s="8">
        <f t="shared" si="13"/>
        <v>-252.61199999999985</v>
      </c>
      <c r="L75" s="8">
        <f t="shared" si="13"/>
        <v>103.03837086618546</v>
      </c>
      <c r="M75" s="8">
        <f t="shared" si="13"/>
        <v>144.32581515413472</v>
      </c>
      <c r="N75" s="8">
        <f t="shared" si="13"/>
        <v>164.09357304821515</v>
      </c>
      <c r="O75" s="8">
        <f t="shared" si="13"/>
        <v>193.55288581379807</v>
      </c>
      <c r="P75" s="8">
        <f t="shared" si="13"/>
        <v>227.94480576520561</v>
      </c>
    </row>
    <row r="76" spans="2:16" x14ac:dyDescent="0.45">
      <c r="B76" s="19" t="s">
        <v>93</v>
      </c>
      <c r="C76" s="2"/>
      <c r="D76" s="2"/>
      <c r="E76" s="2"/>
      <c r="F76" s="2"/>
      <c r="G76" s="2"/>
      <c r="H76" s="2"/>
      <c r="I76" s="20">
        <f t="shared" ref="I76:P76" si="14">I75/I$65</f>
        <v>0.12724245061056627</v>
      </c>
      <c r="J76" s="20">
        <f t="shared" si="14"/>
        <v>0.10930832197157872</v>
      </c>
      <c r="K76" s="20">
        <f t="shared" si="14"/>
        <v>-0.57870574004838315</v>
      </c>
      <c r="L76" s="20">
        <f t="shared" si="14"/>
        <v>0.10648168166484294</v>
      </c>
      <c r="M76" s="20">
        <f t="shared" si="14"/>
        <v>0.13416143783501175</v>
      </c>
      <c r="N76" s="20">
        <f t="shared" si="14"/>
        <v>0.13713530000157947</v>
      </c>
      <c r="O76" s="20">
        <f t="shared" si="14"/>
        <v>0.14535136005078916</v>
      </c>
      <c r="P76" s="20">
        <f t="shared" si="14"/>
        <v>0.15376950446210971</v>
      </c>
    </row>
    <row r="77" spans="2:16" x14ac:dyDescent="0.45">
      <c r="B77" t="s">
        <v>98</v>
      </c>
      <c r="I77" s="5">
        <v>13.113</v>
      </c>
      <c r="J77" s="5">
        <v>20.937000000000001</v>
      </c>
      <c r="K77" s="5">
        <v>36.89</v>
      </c>
      <c r="L77">
        <f ca="1">IF($F$20=1,L177,0)</f>
        <v>95.65916549546435</v>
      </c>
      <c r="M77">
        <f ca="1">IF($F$20=1,M177,0)</f>
        <v>95.364630863393742</v>
      </c>
      <c r="N77">
        <f ca="1">IF($F$20=1,N177,0)</f>
        <v>93.558370243010089</v>
      </c>
      <c r="O77">
        <f ca="1">IF($F$20=1,O177,0)</f>
        <v>90.215274036041919</v>
      </c>
      <c r="P77">
        <f ca="1">IF($F$20=1,P177,0)</f>
        <v>84.662796871174805</v>
      </c>
    </row>
    <row r="78" spans="2:16" x14ac:dyDescent="0.45">
      <c r="B78" t="s">
        <v>99</v>
      </c>
      <c r="I78" s="5">
        <v>0</v>
      </c>
      <c r="J78" s="5">
        <v>0</v>
      </c>
      <c r="K78" s="5">
        <v>0.90400000000000003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</row>
    <row r="79" spans="2:16" x14ac:dyDescent="0.45">
      <c r="B79" s="7" t="s">
        <v>100</v>
      </c>
      <c r="C79" s="7"/>
      <c r="D79" s="7"/>
      <c r="E79" s="7"/>
      <c r="F79" s="7"/>
      <c r="G79" s="7"/>
      <c r="H79" s="7"/>
      <c r="I79" s="7">
        <f t="shared" ref="I79:P79" si="15">I75-SUM(I77:I78)</f>
        <v>147.88700000000011</v>
      </c>
      <c r="J79" s="7">
        <f t="shared" si="15"/>
        <v>127.14199999999995</v>
      </c>
      <c r="K79" s="7">
        <f t="shared" si="15"/>
        <v>-290.40599999999984</v>
      </c>
      <c r="L79" s="7">
        <f t="shared" ca="1" si="15"/>
        <v>7.3792053707211096</v>
      </c>
      <c r="M79" s="7">
        <f t="shared" ca="1" si="15"/>
        <v>48.961184290740974</v>
      </c>
      <c r="N79" s="7">
        <f t="shared" ca="1" si="15"/>
        <v>70.53520280520506</v>
      </c>
      <c r="O79" s="7">
        <f t="shared" ca="1" si="15"/>
        <v>103.33761177775615</v>
      </c>
      <c r="P79" s="7">
        <f t="shared" ca="1" si="15"/>
        <v>143.28200889403081</v>
      </c>
    </row>
    <row r="80" spans="2:16" x14ac:dyDescent="0.45">
      <c r="B80" t="s">
        <v>101</v>
      </c>
      <c r="I80" s="5">
        <v>30.666</v>
      </c>
      <c r="J80" s="5">
        <v>26.879000000000001</v>
      </c>
      <c r="K80" s="5">
        <v>-83.432000000000002</v>
      </c>
      <c r="L80">
        <f ca="1">L38*L79</f>
        <v>1.549633127851433</v>
      </c>
      <c r="M80">
        <f ca="1">M38*M79</f>
        <v>10.281848701055605</v>
      </c>
      <c r="N80">
        <f ca="1">N38*N79</f>
        <v>14.812392589093061</v>
      </c>
      <c r="O80">
        <f ca="1">O38*O79</f>
        <v>21.700898473328792</v>
      </c>
      <c r="P80">
        <f ca="1">P38*P79</f>
        <v>30.08922186774647</v>
      </c>
    </row>
    <row r="81" spans="2:16" x14ac:dyDescent="0.45">
      <c r="B81" s="19" t="s">
        <v>102</v>
      </c>
      <c r="C81" s="2"/>
      <c r="D81" s="2"/>
      <c r="E81" s="2"/>
      <c r="F81" s="2"/>
      <c r="G81" s="2"/>
      <c r="H81" s="2"/>
      <c r="I81" s="20">
        <f t="shared" ref="I81:P81" si="16">I80/I79</f>
        <v>0.20736102564796077</v>
      </c>
      <c r="J81" s="20">
        <f t="shared" si="16"/>
        <v>0.21140929039971065</v>
      </c>
      <c r="K81" s="20">
        <f t="shared" si="16"/>
        <v>0.28729433964862999</v>
      </c>
      <c r="L81" s="20">
        <f t="shared" ca="1" si="16"/>
        <v>0.21</v>
      </c>
      <c r="M81" s="20">
        <f t="shared" ca="1" si="16"/>
        <v>0.21</v>
      </c>
      <c r="N81" s="20">
        <f t="shared" ca="1" si="16"/>
        <v>0.21</v>
      </c>
      <c r="O81" s="20">
        <f t="shared" ca="1" si="16"/>
        <v>0.21</v>
      </c>
      <c r="P81" s="20">
        <f t="shared" ca="1" si="16"/>
        <v>0.21</v>
      </c>
    </row>
    <row r="82" spans="2:16" x14ac:dyDescent="0.45">
      <c r="B82" s="21" t="s">
        <v>103</v>
      </c>
      <c r="C82" s="21"/>
      <c r="D82" s="21"/>
      <c r="E82" s="21"/>
      <c r="F82" s="21"/>
      <c r="G82" s="21"/>
      <c r="H82" s="21"/>
      <c r="I82" s="21">
        <f t="shared" ref="I82:P82" si="17">I79-I80</f>
        <v>117.22100000000012</v>
      </c>
      <c r="J82" s="21">
        <f t="shared" si="17"/>
        <v>100.26299999999995</v>
      </c>
      <c r="K82" s="21">
        <f t="shared" si="17"/>
        <v>-206.97399999999982</v>
      </c>
      <c r="L82" s="21">
        <f t="shared" ca="1" si="17"/>
        <v>5.829572242869677</v>
      </c>
      <c r="M82" s="21">
        <f t="shared" ca="1" si="17"/>
        <v>38.679335589685365</v>
      </c>
      <c r="N82" s="21">
        <f t="shared" ca="1" si="17"/>
        <v>55.722810216111995</v>
      </c>
      <c r="O82" s="21">
        <f t="shared" ca="1" si="17"/>
        <v>81.63671330442736</v>
      </c>
      <c r="P82" s="21">
        <f t="shared" ca="1" si="17"/>
        <v>113.19278702628434</v>
      </c>
    </row>
    <row r="83" spans="2:16" x14ac:dyDescent="0.45">
      <c r="B83" s="19" t="s">
        <v>93</v>
      </c>
      <c r="C83" s="2"/>
      <c r="D83" s="2"/>
      <c r="E83" s="2"/>
      <c r="F83" s="2"/>
      <c r="G83" s="2"/>
      <c r="H83" s="2"/>
      <c r="I83" s="20">
        <f t="shared" ref="I83:P83" si="18">I82/I$65</f>
        <v>9.2642778279634741E-2</v>
      </c>
      <c r="J83" s="20">
        <f t="shared" si="18"/>
        <v>7.4011711895923094E-2</v>
      </c>
      <c r="K83" s="20">
        <f t="shared" si="18"/>
        <v>-0.47415420423722554</v>
      </c>
      <c r="L83" s="20">
        <f t="shared" ca="1" si="18"/>
        <v>6.0243834465667501E-3</v>
      </c>
      <c r="M83" s="20">
        <f t="shared" ca="1" si="18"/>
        <v>3.5955281261866937E-2</v>
      </c>
      <c r="N83" s="20">
        <f t="shared" ca="1" si="18"/>
        <v>4.6568333871749489E-2</v>
      </c>
      <c r="O83" s="20">
        <f t="shared" ca="1" si="18"/>
        <v>6.1306279464570825E-2</v>
      </c>
      <c r="P83" s="20">
        <f t="shared" ca="1" si="18"/>
        <v>7.6358830425140231E-2</v>
      </c>
    </row>
    <row r="85" spans="2:16" x14ac:dyDescent="0.45">
      <c r="B85" t="s">
        <v>104</v>
      </c>
      <c r="I85">
        <f t="shared" ref="I85:P85" si="19">I82+I77+I78+I80+I72</f>
        <v>279.27500000000009</v>
      </c>
      <c r="J85">
        <f t="shared" si="19"/>
        <v>280.53899999999999</v>
      </c>
      <c r="K85">
        <f t="shared" si="19"/>
        <v>-113.82299999999987</v>
      </c>
      <c r="L85">
        <f t="shared" ca="1" si="19"/>
        <v>219.15791660045119</v>
      </c>
      <c r="M85">
        <f t="shared" ca="1" si="19"/>
        <v>246.52323239189695</v>
      </c>
      <c r="N85">
        <f t="shared" ca="1" si="19"/>
        <v>277.76882252373963</v>
      </c>
      <c r="O85">
        <f t="shared" ca="1" si="19"/>
        <v>320.05685623337854</v>
      </c>
      <c r="P85">
        <f t="shared" ca="1" si="19"/>
        <v>368.77088583513569</v>
      </c>
    </row>
    <row r="86" spans="2:16" x14ac:dyDescent="0.45">
      <c r="B86" t="s">
        <v>105</v>
      </c>
      <c r="I86" s="5">
        <v>1.121</v>
      </c>
      <c r="J86" s="5">
        <v>1.8129999999999999</v>
      </c>
      <c r="K86" s="5">
        <v>0.57699999999999996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</row>
    <row r="87" spans="2:16" x14ac:dyDescent="0.45">
      <c r="B87" t="s">
        <v>106</v>
      </c>
      <c r="I87" s="5">
        <v>0</v>
      </c>
      <c r="J87" s="5">
        <v>0</v>
      </c>
      <c r="K87" s="5">
        <v>13.727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2:16" x14ac:dyDescent="0.45">
      <c r="B88" t="s">
        <v>107</v>
      </c>
      <c r="I88" s="5">
        <v>7.4219999999999997</v>
      </c>
      <c r="J88" s="5">
        <v>6.8570000000000002</v>
      </c>
      <c r="K88" s="5">
        <v>6.9850000000000003</v>
      </c>
      <c r="L88">
        <f>L35*L65</f>
        <v>5.2870529860894173</v>
      </c>
      <c r="M88">
        <f>M35*M65</f>
        <v>5.8776794287215379</v>
      </c>
      <c r="N88">
        <f>N35*N65</f>
        <v>6.5378039235828833</v>
      </c>
      <c r="O88">
        <f>O35*O65</f>
        <v>7.2756220722965796</v>
      </c>
      <c r="P88">
        <f>P35*P65</f>
        <v>8.099329476485746</v>
      </c>
    </row>
    <row r="89" spans="2:16" x14ac:dyDescent="0.45">
      <c r="B89" t="s">
        <v>96</v>
      </c>
      <c r="I89">
        <f t="shared" ref="I89:P89" si="20">I74</f>
        <v>23.163</v>
      </c>
      <c r="J89">
        <f t="shared" si="20"/>
        <v>18.971</v>
      </c>
      <c r="K89">
        <f t="shared" si="20"/>
        <v>11.276</v>
      </c>
      <c r="L89">
        <f t="shared" si="20"/>
        <v>15.632713626821385</v>
      </c>
      <c r="M89">
        <f t="shared" si="20"/>
        <v>17.37907290530584</v>
      </c>
      <c r="N89">
        <f t="shared" si="20"/>
        <v>19.330923437798877</v>
      </c>
      <c r="O89">
        <f t="shared" si="20"/>
        <v>21.512497909978311</v>
      </c>
      <c r="P89">
        <f t="shared" si="20"/>
        <v>23.948029007521935</v>
      </c>
    </row>
    <row r="90" spans="2:16" x14ac:dyDescent="0.45">
      <c r="B90" t="s">
        <v>108</v>
      </c>
      <c r="I90" s="5">
        <v>0.13600000000000001</v>
      </c>
      <c r="J90" s="5">
        <v>4.2000000000000003E-2</v>
      </c>
      <c r="K90" s="5">
        <v>-1.4999999999999999E-2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</row>
    <row r="91" spans="2:16" x14ac:dyDescent="0.45">
      <c r="B91" t="s">
        <v>53</v>
      </c>
      <c r="I91">
        <f t="shared" ref="I91:P91" si="21">-I73</f>
        <v>0</v>
      </c>
      <c r="J91">
        <f t="shared" si="21"/>
        <v>0</v>
      </c>
      <c r="K91">
        <f t="shared" si="21"/>
        <v>0</v>
      </c>
      <c r="L91">
        <f t="shared" si="21"/>
        <v>1.860157500000001</v>
      </c>
      <c r="M91">
        <f t="shared" si="21"/>
        <v>1.860157500000001</v>
      </c>
      <c r="N91">
        <f t="shared" si="21"/>
        <v>1.860157500000001</v>
      </c>
      <c r="O91">
        <f t="shared" si="21"/>
        <v>1.860157500000001</v>
      </c>
      <c r="P91">
        <f t="shared" si="21"/>
        <v>1.860157500000001</v>
      </c>
    </row>
    <row r="92" spans="2:16" x14ac:dyDescent="0.45">
      <c r="B92" s="8" t="s">
        <v>109</v>
      </c>
      <c r="C92" s="8"/>
      <c r="D92" s="8"/>
      <c r="E92" s="8"/>
      <c r="F92" s="8"/>
      <c r="G92" s="8"/>
      <c r="H92" s="8"/>
      <c r="I92" s="8">
        <f t="shared" ref="I92:P92" si="22">SUM(I85:I91)</f>
        <v>311.11700000000013</v>
      </c>
      <c r="J92" s="8">
        <f t="shared" si="22"/>
        <v>308.22199999999998</v>
      </c>
      <c r="K92" s="8">
        <f t="shared" si="22"/>
        <v>-81.272999999999868</v>
      </c>
      <c r="L92" s="8">
        <f t="shared" ca="1" si="22"/>
        <v>241.93784071336199</v>
      </c>
      <c r="M92" s="8">
        <f t="shared" ca="1" si="22"/>
        <v>271.64014222592436</v>
      </c>
      <c r="N92" s="8">
        <f t="shared" ca="1" si="22"/>
        <v>305.49770738512143</v>
      </c>
      <c r="O92" s="8">
        <f t="shared" ca="1" si="22"/>
        <v>350.70513371565346</v>
      </c>
      <c r="P92" s="8">
        <f t="shared" ca="1" si="22"/>
        <v>402.6784018191434</v>
      </c>
    </row>
    <row r="93" spans="2:16" x14ac:dyDescent="0.45">
      <c r="B93" s="19" t="s">
        <v>93</v>
      </c>
      <c r="C93" s="2"/>
      <c r="D93" s="2"/>
      <c r="E93" s="2"/>
      <c r="F93" s="2"/>
      <c r="G93" s="2"/>
      <c r="H93" s="2"/>
      <c r="I93" s="20">
        <f t="shared" ref="I93:P93" si="23">I92/I$65</f>
        <v>0.24588378575532632</v>
      </c>
      <c r="J93" s="20">
        <f t="shared" si="23"/>
        <v>0.22752199579092205</v>
      </c>
      <c r="K93" s="20">
        <f t="shared" si="23"/>
        <v>-0.18618732131075402</v>
      </c>
      <c r="L93" s="20">
        <f t="shared" ca="1" si="23"/>
        <v>0.25002285964882326</v>
      </c>
      <c r="M93" s="20">
        <f t="shared" ca="1" si="23"/>
        <v>0.2525094489562843</v>
      </c>
      <c r="N93" s="20">
        <f t="shared" ca="1" si="23"/>
        <v>0.25530871790904097</v>
      </c>
      <c r="O93" s="20">
        <f t="shared" ca="1" si="23"/>
        <v>0.26336713063221168</v>
      </c>
      <c r="P93" s="20">
        <f t="shared" ca="1" si="23"/>
        <v>0.27164320808917347</v>
      </c>
    </row>
    <row r="94" spans="2:16" x14ac:dyDescent="0.45">
      <c r="B94" s="19"/>
      <c r="C94" s="2"/>
      <c r="D94" s="2"/>
      <c r="E94" s="2"/>
      <c r="F94" s="2"/>
      <c r="G94" s="2"/>
      <c r="H94" s="2"/>
      <c r="I94" s="20"/>
      <c r="J94" s="20"/>
      <c r="K94" s="20"/>
      <c r="L94" s="20"/>
      <c r="M94" s="20"/>
      <c r="N94" s="20"/>
      <c r="O94" s="20"/>
      <c r="P94" s="20"/>
    </row>
    <row r="95" spans="2:16" x14ac:dyDescent="0.45">
      <c r="B95" t="s">
        <v>110</v>
      </c>
      <c r="I95">
        <f t="shared" ref="I95:P95" si="24">(I92-I72)*(1-I81)</f>
        <v>152.85408509199604</v>
      </c>
      <c r="J95">
        <f t="shared" si="24"/>
        <v>138.60428030076602</v>
      </c>
      <c r="K95">
        <f t="shared" si="24"/>
        <v>-156.83943302824306</v>
      </c>
      <c r="L95">
        <f t="shared" ca="1" si="24"/>
        <v>99.396453033486054</v>
      </c>
      <c r="M95">
        <f t="shared" ca="1" si="24"/>
        <v>133.85975274064808</v>
      </c>
      <c r="N95">
        <f t="shared" ca="1" si="24"/>
        <v>151.5397417485816</v>
      </c>
      <c r="O95">
        <f t="shared" ca="1" si="24"/>
        <v>177.1189190038977</v>
      </c>
      <c r="P95">
        <f t="shared" ca="1" si="24"/>
        <v>206.86333418187849</v>
      </c>
    </row>
    <row r="96" spans="2:16" x14ac:dyDescent="0.45">
      <c r="B96" s="19" t="s">
        <v>93</v>
      </c>
      <c r="C96" s="2"/>
      <c r="D96" s="2"/>
      <c r="E96" s="2"/>
      <c r="F96" s="2"/>
      <c r="G96" s="2"/>
      <c r="H96" s="2"/>
      <c r="I96" s="20">
        <f t="shared" ref="I96:P96" si="25">I95/I$65</f>
        <v>0.12080452405553781</v>
      </c>
      <c r="J96" s="20">
        <f t="shared" si="25"/>
        <v>0.10231431396589039</v>
      </c>
      <c r="K96" s="20">
        <f t="shared" si="25"/>
        <v>-0.35930153816674693</v>
      </c>
      <c r="L96" s="20">
        <f t="shared" ca="1" si="25"/>
        <v>0.10271805912257041</v>
      </c>
      <c r="M96" s="20">
        <f t="shared" ca="1" si="25"/>
        <v>0.12443246467546459</v>
      </c>
      <c r="N96" s="20">
        <f t="shared" ca="1" si="25"/>
        <v>0.12664388714814237</v>
      </c>
      <c r="O96" s="20">
        <f t="shared" ca="1" si="25"/>
        <v>0.13301003319944721</v>
      </c>
      <c r="P96" s="20">
        <f t="shared" ca="1" si="25"/>
        <v>0.13954813439044703</v>
      </c>
    </row>
    <row r="97" spans="1:17" x14ac:dyDescent="0.45">
      <c r="B97" s="19"/>
      <c r="C97" s="2"/>
      <c r="D97" s="2"/>
      <c r="E97" s="2"/>
      <c r="F97" s="2"/>
      <c r="G97" s="2"/>
      <c r="H97" s="2"/>
      <c r="I97" s="20"/>
      <c r="J97" s="20"/>
      <c r="K97" s="20"/>
      <c r="L97" s="20"/>
      <c r="M97" s="20"/>
      <c r="N97" s="20"/>
      <c r="O97" s="20"/>
      <c r="P97" s="20"/>
    </row>
    <row r="98" spans="1:17" x14ac:dyDescent="0.45">
      <c r="A98" t="s">
        <v>4</v>
      </c>
      <c r="B98" s="3" t="s">
        <v>111</v>
      </c>
      <c r="F98" s="17">
        <v>2020</v>
      </c>
      <c r="G98" s="17">
        <f>F98+1</f>
        <v>2021</v>
      </c>
      <c r="I98" s="24" t="s">
        <v>112</v>
      </c>
      <c r="J98" s="24" t="s">
        <v>113</v>
      </c>
      <c r="K98" s="55" t="s">
        <v>114</v>
      </c>
      <c r="L98" s="17">
        <f>G98+1</f>
        <v>2022</v>
      </c>
      <c r="M98" s="17">
        <f>L98+1</f>
        <v>2023</v>
      </c>
      <c r="N98" s="17">
        <f>M98+1</f>
        <v>2024</v>
      </c>
      <c r="O98" s="17">
        <f>N98+1</f>
        <v>2025</v>
      </c>
      <c r="P98" s="17">
        <f>O98+1</f>
        <v>2026</v>
      </c>
    </row>
    <row r="99" spans="1:17" x14ac:dyDescent="0.45">
      <c r="I99" s="25"/>
      <c r="J99" s="25"/>
      <c r="K99" s="56"/>
    </row>
    <row r="100" spans="1:17" x14ac:dyDescent="0.45">
      <c r="B100" t="s">
        <v>115</v>
      </c>
      <c r="F100" s="5">
        <v>24.655000000000001</v>
      </c>
      <c r="G100" s="5">
        <v>11.891</v>
      </c>
      <c r="I100" s="25">
        <f>F21</f>
        <v>15</v>
      </c>
      <c r="J100" s="25">
        <f>G100</f>
        <v>11.891</v>
      </c>
      <c r="K100" s="56">
        <f t="shared" ref="K100:K107" si="26">G100+I100-J100</f>
        <v>14.999999999999998</v>
      </c>
      <c r="L100">
        <f ca="1">IF($F$20=1,L150,0)</f>
        <v>15</v>
      </c>
      <c r="M100">
        <f ca="1">IF($F$20=1,M150,0)</f>
        <v>15</v>
      </c>
      <c r="N100">
        <f ca="1">IF($F$20=1,N150,0)</f>
        <v>15</v>
      </c>
      <c r="O100">
        <f ca="1">IF($F$20=1,O150,0)</f>
        <v>15</v>
      </c>
      <c r="P100">
        <f ca="1">IF($F$20=1,P150,0)</f>
        <v>15</v>
      </c>
    </row>
    <row r="101" spans="1:17" x14ac:dyDescent="0.45">
      <c r="B101" t="s">
        <v>116</v>
      </c>
      <c r="F101" s="5">
        <v>34.476999999999997</v>
      </c>
      <c r="G101" s="5">
        <v>23.806999999999999</v>
      </c>
      <c r="I101" s="25"/>
      <c r="J101" s="25"/>
      <c r="K101" s="56">
        <f t="shared" si="26"/>
        <v>23.806999999999999</v>
      </c>
      <c r="L101">
        <f>L46*L69/365</f>
        <v>22.77690015779832</v>
      </c>
      <c r="M101">
        <f>M46*M69/365</f>
        <v>25.659487532934598</v>
      </c>
      <c r="N101">
        <f>N46*N69/365</f>
        <v>28.868708721376223</v>
      </c>
      <c r="O101">
        <f>O46*O69/365</f>
        <v>32.446678947008905</v>
      </c>
      <c r="P101">
        <f>P46*P69/365</f>
        <v>36.435513433718363</v>
      </c>
    </row>
    <row r="102" spans="1:17" x14ac:dyDescent="0.45">
      <c r="B102" t="s">
        <v>117</v>
      </c>
      <c r="F102" s="5">
        <v>19.844999999999999</v>
      </c>
      <c r="G102" s="5">
        <v>83.173000000000002</v>
      </c>
      <c r="I102" s="25"/>
      <c r="J102" s="25"/>
      <c r="K102" s="56">
        <f t="shared" si="26"/>
        <v>83.173000000000002</v>
      </c>
      <c r="L102">
        <f>L47*L65</f>
        <v>14.175387505936184</v>
      </c>
      <c r="M102">
        <f>M47*M65</f>
        <v>15.758946194981124</v>
      </c>
      <c r="N102">
        <f>N47*N65</f>
        <v>17.52883965764174</v>
      </c>
      <c r="O102">
        <f>O47*O65</f>
        <v>19.507041539568597</v>
      </c>
      <c r="P102">
        <f>P47*P65</f>
        <v>21.715525486412243</v>
      </c>
    </row>
    <row r="103" spans="1:17" x14ac:dyDescent="0.45">
      <c r="B103" t="s">
        <v>118</v>
      </c>
      <c r="F103" s="5">
        <v>900.63699999999994</v>
      </c>
      <c r="G103" s="5">
        <v>815.02700000000004</v>
      </c>
      <c r="I103" s="25"/>
      <c r="J103" s="25"/>
      <c r="K103" s="56">
        <f t="shared" si="26"/>
        <v>815.02700000000004</v>
      </c>
      <c r="L103">
        <f>L59</f>
        <v>779.64232177156191</v>
      </c>
      <c r="M103">
        <f>M59</f>
        <v>773.67991790209805</v>
      </c>
      <c r="N103">
        <f>N59</f>
        <v>772.18502349650362</v>
      </c>
      <c r="O103">
        <f>O59</f>
        <v>774.30444568764574</v>
      </c>
      <c r="P103">
        <f>P59</f>
        <v>779.09499160839164</v>
      </c>
    </row>
    <row r="104" spans="1:17" x14ac:dyDescent="0.45">
      <c r="B104" t="s">
        <v>119</v>
      </c>
      <c r="F104" s="5">
        <v>1011.568</v>
      </c>
      <c r="G104" s="5">
        <v>1037.569</v>
      </c>
      <c r="I104" s="25"/>
      <c r="J104" s="25"/>
      <c r="K104" s="56">
        <f t="shared" si="26"/>
        <v>1037.569</v>
      </c>
      <c r="L104" s="5">
        <f t="shared" ref="L104:P105" si="27">K104</f>
        <v>1037.569</v>
      </c>
      <c r="M104" s="5">
        <f t="shared" si="27"/>
        <v>1037.569</v>
      </c>
      <c r="N104" s="5">
        <f t="shared" si="27"/>
        <v>1037.569</v>
      </c>
      <c r="O104" s="5">
        <f t="shared" si="27"/>
        <v>1037.569</v>
      </c>
      <c r="P104" s="5">
        <f t="shared" si="27"/>
        <v>1037.569</v>
      </c>
      <c r="Q104" t="s">
        <v>120</v>
      </c>
    </row>
    <row r="105" spans="1:17" x14ac:dyDescent="0.45">
      <c r="B105" t="s">
        <v>121</v>
      </c>
      <c r="F105" s="5">
        <v>272.63600000000002</v>
      </c>
      <c r="G105" s="5">
        <v>272.59699999999998</v>
      </c>
      <c r="I105" s="25">
        <f>I8</f>
        <v>2767.288009633</v>
      </c>
      <c r="J105" s="25">
        <f>G105</f>
        <v>272.59699999999998</v>
      </c>
      <c r="K105" s="56">
        <f t="shared" si="26"/>
        <v>2767.288009633</v>
      </c>
      <c r="L105">
        <f t="shared" si="27"/>
        <v>2767.288009633</v>
      </c>
      <c r="M105">
        <f t="shared" si="27"/>
        <v>2767.288009633</v>
      </c>
      <c r="N105">
        <f t="shared" si="27"/>
        <v>2767.288009633</v>
      </c>
      <c r="O105">
        <f t="shared" si="27"/>
        <v>2767.288009633</v>
      </c>
      <c r="P105">
        <f t="shared" si="27"/>
        <v>2767.288009633</v>
      </c>
    </row>
    <row r="106" spans="1:17" x14ac:dyDescent="0.45">
      <c r="B106" t="s">
        <v>122</v>
      </c>
      <c r="F106" s="5">
        <v>0</v>
      </c>
      <c r="G106" s="5">
        <v>0</v>
      </c>
      <c r="I106" s="25">
        <f>C22</f>
        <v>14.881260000000008</v>
      </c>
      <c r="J106" s="25"/>
      <c r="K106" s="56">
        <f t="shared" si="26"/>
        <v>14.881260000000008</v>
      </c>
      <c r="L106">
        <f>K106+L73</f>
        <v>13.021102500000007</v>
      </c>
      <c r="M106">
        <f>L106+M73</f>
        <v>11.160945000000005</v>
      </c>
      <c r="N106">
        <f>M106+N73</f>
        <v>9.3007875000000038</v>
      </c>
      <c r="O106">
        <f>N106+O73</f>
        <v>7.4406300000000023</v>
      </c>
      <c r="P106">
        <f>O106+P73</f>
        <v>5.5804725000000008</v>
      </c>
    </row>
    <row r="107" spans="1:17" x14ac:dyDescent="0.45">
      <c r="B107" t="s">
        <v>123</v>
      </c>
      <c r="F107" s="5">
        <v>106.321</v>
      </c>
      <c r="G107" s="5">
        <v>108.76</v>
      </c>
      <c r="I107" s="25"/>
      <c r="J107" s="25"/>
      <c r="K107" s="56">
        <f t="shared" si="26"/>
        <v>108.76</v>
      </c>
      <c r="L107">
        <f>K107</f>
        <v>108.76</v>
      </c>
      <c r="M107">
        <f>L107</f>
        <v>108.76</v>
      </c>
      <c r="N107">
        <f>M107</f>
        <v>108.76</v>
      </c>
      <c r="O107">
        <f>N107</f>
        <v>108.76</v>
      </c>
      <c r="P107">
        <f>O107</f>
        <v>108.76</v>
      </c>
    </row>
    <row r="108" spans="1:17" x14ac:dyDescent="0.45">
      <c r="B108" s="21" t="s">
        <v>124</v>
      </c>
      <c r="C108" s="21"/>
      <c r="D108" s="21"/>
      <c r="E108" s="21"/>
      <c r="F108" s="21">
        <f>SUM(F100:F107)</f>
        <v>2370.1389999999997</v>
      </c>
      <c r="G108" s="21">
        <f>SUM(G100:G107)</f>
        <v>2352.8240000000005</v>
      </c>
      <c r="H108" s="28"/>
      <c r="I108" s="30"/>
      <c r="J108" s="30"/>
      <c r="K108" s="57">
        <f t="shared" ref="K108:P108" si="28">SUM(K100:K107)</f>
        <v>4865.5052696330004</v>
      </c>
      <c r="L108" s="21">
        <f t="shared" ca="1" si="28"/>
        <v>4758.2327215682963</v>
      </c>
      <c r="M108" s="21">
        <f t="shared" ca="1" si="28"/>
        <v>4754.8763062630132</v>
      </c>
      <c r="N108" s="21">
        <f t="shared" ca="1" si="28"/>
        <v>4756.5003690085223</v>
      </c>
      <c r="O108" s="21">
        <f t="shared" ca="1" si="28"/>
        <v>4762.3158058072231</v>
      </c>
      <c r="P108" s="21">
        <f t="shared" ca="1" si="28"/>
        <v>4771.4435126615226</v>
      </c>
    </row>
    <row r="109" spans="1:17" x14ac:dyDescent="0.45">
      <c r="I109" s="25"/>
      <c r="J109" s="25"/>
      <c r="K109" s="56"/>
    </row>
    <row r="110" spans="1:17" x14ac:dyDescent="0.45">
      <c r="B110" t="s">
        <v>125</v>
      </c>
      <c r="F110" s="5">
        <v>65.358999999999995</v>
      </c>
      <c r="G110" s="5">
        <v>36.4</v>
      </c>
      <c r="I110" s="25"/>
      <c r="J110" s="25"/>
      <c r="K110" s="56">
        <f t="shared" ref="K110:K118" si="29">G110+J110-I110</f>
        <v>36.4</v>
      </c>
      <c r="L110">
        <f>L48*L69/365</f>
        <v>43.178797964252709</v>
      </c>
      <c r="M110">
        <f>M48*M69/365</f>
        <v>48.643398371815202</v>
      </c>
      <c r="N110">
        <f>N48*N69/365</f>
        <v>54.727207509946588</v>
      </c>
      <c r="O110">
        <f>O48*O69/365</f>
        <v>61.510064370378956</v>
      </c>
      <c r="P110">
        <f>P48*P69/365</f>
        <v>69.071807944844352</v>
      </c>
    </row>
    <row r="111" spans="1:17" x14ac:dyDescent="0.45">
      <c r="B111" t="s">
        <v>126</v>
      </c>
      <c r="F111" s="5">
        <v>207.452</v>
      </c>
      <c r="G111" s="5">
        <v>234.79</v>
      </c>
      <c r="I111" s="25"/>
      <c r="J111" s="25"/>
      <c r="K111" s="56">
        <f t="shared" si="29"/>
        <v>234.79</v>
      </c>
      <c r="L111">
        <f>L49*L65</f>
        <v>148.18405083806871</v>
      </c>
      <c r="M111">
        <f>M49*M65</f>
        <v>164.73796452714663</v>
      </c>
      <c r="N111">
        <f>N49*N65</f>
        <v>183.23975029766163</v>
      </c>
      <c r="O111">
        <f>O49*O65</f>
        <v>203.91911219282363</v>
      </c>
      <c r="P111">
        <f>P49*P65</f>
        <v>227.00575425584245</v>
      </c>
    </row>
    <row r="112" spans="1:17" x14ac:dyDescent="0.45">
      <c r="B112" t="s">
        <v>127</v>
      </c>
      <c r="F112" s="5">
        <v>3.0539999999999998</v>
      </c>
      <c r="G112" s="5">
        <v>0.44600000000000001</v>
      </c>
      <c r="I112" s="25"/>
      <c r="J112" s="25"/>
      <c r="K112" s="56">
        <f t="shared" si="29"/>
        <v>0.44600000000000001</v>
      </c>
      <c r="L112">
        <f>L50*L65</f>
        <v>2.1814882057510259</v>
      </c>
      <c r="M112">
        <f>M50*M65</f>
        <v>2.4251862776252131</v>
      </c>
      <c r="N112">
        <f>N50*N65</f>
        <v>2.6975599049855319</v>
      </c>
      <c r="O112">
        <f>O50*O65</f>
        <v>3.0019906707907529</v>
      </c>
      <c r="P112">
        <f>P50*P65</f>
        <v>3.3418601579996468</v>
      </c>
    </row>
    <row r="113" spans="2:16" x14ac:dyDescent="0.45">
      <c r="B113" t="s">
        <v>119</v>
      </c>
      <c r="F113" s="5">
        <v>1222.0540000000001</v>
      </c>
      <c r="G113" s="5">
        <v>1267.7909999999999</v>
      </c>
      <c r="I113" s="25"/>
      <c r="J113" s="25"/>
      <c r="K113" s="56">
        <f t="shared" si="29"/>
        <v>1267.7909999999999</v>
      </c>
      <c r="L113">
        <f t="shared" ref="L113:P114" si="30">K113</f>
        <v>1267.7909999999999</v>
      </c>
      <c r="M113">
        <f t="shared" si="30"/>
        <v>1267.7909999999999</v>
      </c>
      <c r="N113">
        <f t="shared" si="30"/>
        <v>1267.7909999999999</v>
      </c>
      <c r="O113">
        <f t="shared" si="30"/>
        <v>1267.7909999999999</v>
      </c>
      <c r="P113">
        <f t="shared" si="30"/>
        <v>1267.7909999999999</v>
      </c>
    </row>
    <row r="114" spans="2:16" x14ac:dyDescent="0.45">
      <c r="B114" t="s">
        <v>128</v>
      </c>
      <c r="F114" s="5">
        <f>(632689+15000)/1000</f>
        <v>647.68899999999996</v>
      </c>
      <c r="G114" s="5">
        <v>596.38800000000003</v>
      </c>
      <c r="I114" s="25">
        <f>G114</f>
        <v>596.38800000000003</v>
      </c>
      <c r="J114" s="25"/>
      <c r="K114" s="56">
        <f t="shared" si="29"/>
        <v>0</v>
      </c>
      <c r="L114">
        <f t="shared" si="30"/>
        <v>0</v>
      </c>
      <c r="M114">
        <f t="shared" si="30"/>
        <v>0</v>
      </c>
      <c r="N114">
        <f t="shared" si="30"/>
        <v>0</v>
      </c>
      <c r="O114">
        <f t="shared" si="30"/>
        <v>0</v>
      </c>
      <c r="P114">
        <f t="shared" si="30"/>
        <v>0</v>
      </c>
    </row>
    <row r="115" spans="2:16" x14ac:dyDescent="0.45">
      <c r="B115" t="s">
        <v>129</v>
      </c>
      <c r="F115" s="5">
        <v>0</v>
      </c>
      <c r="G115" s="5">
        <v>0</v>
      </c>
      <c r="I115" s="25"/>
      <c r="J115" s="25"/>
      <c r="K115" s="56">
        <f t="shared" si="29"/>
        <v>0</v>
      </c>
      <c r="L115">
        <f ca="1">L161</f>
        <v>0</v>
      </c>
      <c r="M115">
        <f ca="1">M161</f>
        <v>0</v>
      </c>
      <c r="N115">
        <f ca="1">N161</f>
        <v>0</v>
      </c>
      <c r="O115">
        <f ca="1">O161</f>
        <v>0</v>
      </c>
      <c r="P115">
        <f ca="1">P161</f>
        <v>0</v>
      </c>
    </row>
    <row r="116" spans="2:16" x14ac:dyDescent="0.45">
      <c r="B116" t="s">
        <v>17</v>
      </c>
      <c r="F116" s="5">
        <v>0</v>
      </c>
      <c r="G116" s="5">
        <v>0</v>
      </c>
      <c r="I116" s="25"/>
      <c r="J116" s="25">
        <f>C10</f>
        <v>992.08400000000051</v>
      </c>
      <c r="K116" s="56">
        <f t="shared" si="29"/>
        <v>992.08400000000051</v>
      </c>
      <c r="L116">
        <f ca="1">L167</f>
        <v>957.07354268435461</v>
      </c>
      <c r="M116">
        <f ca="1">M167</f>
        <v>892.77557962087201</v>
      </c>
      <c r="N116">
        <f ca="1">N167</f>
        <v>813.81886361426109</v>
      </c>
      <c r="O116">
        <f ca="1">O167</f>
        <v>710.23093758713583</v>
      </c>
      <c r="P116">
        <f ca="1">P167</f>
        <v>575.17760229045734</v>
      </c>
    </row>
    <row r="117" spans="2:16" x14ac:dyDescent="0.45">
      <c r="B117" t="s">
        <v>27</v>
      </c>
      <c r="F117" s="5">
        <v>0</v>
      </c>
      <c r="G117" s="5">
        <v>0</v>
      </c>
      <c r="I117" s="25"/>
      <c r="J117" s="25">
        <f>C11</f>
        <v>496.04200000000026</v>
      </c>
      <c r="K117" s="56">
        <f t="shared" si="29"/>
        <v>496.04200000000026</v>
      </c>
      <c r="L117">
        <f ca="1">L172</f>
        <v>496.04200000000026</v>
      </c>
      <c r="M117">
        <f ca="1">M172</f>
        <v>496.04200000000026</v>
      </c>
      <c r="N117">
        <f ca="1">N172</f>
        <v>496.04200000000026</v>
      </c>
      <c r="O117">
        <f ca="1">O172</f>
        <v>496.04200000000026</v>
      </c>
      <c r="P117">
        <f ca="1">P172</f>
        <v>496.04200000000026</v>
      </c>
    </row>
    <row r="118" spans="2:16" x14ac:dyDescent="0.45">
      <c r="B118" t="s">
        <v>123</v>
      </c>
      <c r="F118" s="5">
        <v>54.881</v>
      </c>
      <c r="G118" s="5">
        <v>63.777000000000001</v>
      </c>
      <c r="I118" s="25"/>
      <c r="J118" s="25"/>
      <c r="K118" s="56">
        <f t="shared" si="29"/>
        <v>63.777000000000001</v>
      </c>
      <c r="L118">
        <f>K118</f>
        <v>63.777000000000001</v>
      </c>
      <c r="M118">
        <f>L118</f>
        <v>63.777000000000001</v>
      </c>
      <c r="N118">
        <f>M118</f>
        <v>63.777000000000001</v>
      </c>
      <c r="O118">
        <f>N118</f>
        <v>63.777000000000001</v>
      </c>
      <c r="P118">
        <f>O118</f>
        <v>63.777000000000001</v>
      </c>
    </row>
    <row r="119" spans="2:16" x14ac:dyDescent="0.45">
      <c r="I119" s="25"/>
      <c r="J119" s="25"/>
      <c r="K119" s="56"/>
    </row>
    <row r="120" spans="2:16" x14ac:dyDescent="0.45">
      <c r="B120" t="s">
        <v>130</v>
      </c>
      <c r="F120" s="5">
        <v>169.65</v>
      </c>
      <c r="G120" s="5">
        <v>153.232</v>
      </c>
      <c r="I120" s="25">
        <f>G120</f>
        <v>153.232</v>
      </c>
      <c r="J120" s="25">
        <f>C12-C23</f>
        <v>1774.175269633</v>
      </c>
      <c r="K120" s="56">
        <f>G120+J120-I120</f>
        <v>1774.175269633</v>
      </c>
      <c r="L120">
        <f ca="1">K120+L82</f>
        <v>1780.0048418758697</v>
      </c>
      <c r="M120">
        <f ca="1">L120+M82</f>
        <v>1818.684177465555</v>
      </c>
      <c r="N120">
        <f ca="1">M120+N82</f>
        <v>1874.406987681667</v>
      </c>
      <c r="O120">
        <f ca="1">N120+O82</f>
        <v>1956.0437009860943</v>
      </c>
      <c r="P120">
        <f ca="1">O120+P82</f>
        <v>2069.2364880123787</v>
      </c>
    </row>
    <row r="121" spans="2:16" x14ac:dyDescent="0.45">
      <c r="B121" s="21" t="s">
        <v>131</v>
      </c>
      <c r="C121" s="21"/>
      <c r="D121" s="21"/>
      <c r="E121" s="21"/>
      <c r="F121" s="21">
        <f>F120+SUM(F110:F118)</f>
        <v>2370.1390000000001</v>
      </c>
      <c r="G121" s="21">
        <f>G120+SUM(G110:G118)</f>
        <v>2352.8240000000001</v>
      </c>
      <c r="H121" s="28"/>
      <c r="I121" s="29"/>
      <c r="J121" s="29"/>
      <c r="K121" s="57">
        <f t="shared" ref="K121:P121" si="31">K120+SUM(K110:K118)</f>
        <v>4865.5052696330004</v>
      </c>
      <c r="L121" s="21">
        <f t="shared" ca="1" si="31"/>
        <v>4758.2327215682972</v>
      </c>
      <c r="M121" s="21">
        <f t="shared" ca="1" si="31"/>
        <v>4754.8763062630151</v>
      </c>
      <c r="N121" s="21">
        <f t="shared" ca="1" si="31"/>
        <v>4756.5003690085223</v>
      </c>
      <c r="O121" s="21">
        <f t="shared" ca="1" si="31"/>
        <v>4762.315805807224</v>
      </c>
      <c r="P121" s="21">
        <f t="shared" ca="1" si="31"/>
        <v>4771.4435126615226</v>
      </c>
    </row>
    <row r="123" spans="2:16" s="2" customFormat="1" x14ac:dyDescent="0.45">
      <c r="B123" s="2" t="s">
        <v>132</v>
      </c>
      <c r="F123" s="22">
        <f>F108-F121</f>
        <v>0</v>
      </c>
      <c r="G123" s="22">
        <f>G108-G121</f>
        <v>0</v>
      </c>
      <c r="I123"/>
      <c r="J123"/>
      <c r="K123" s="22">
        <f t="shared" ref="K123:P123" si="32">K108-K121</f>
        <v>0</v>
      </c>
      <c r="L123" s="22">
        <f t="shared" ca="1" si="32"/>
        <v>0</v>
      </c>
      <c r="M123" s="22">
        <f t="shared" ca="1" si="32"/>
        <v>0</v>
      </c>
      <c r="N123" s="22">
        <f t="shared" ca="1" si="32"/>
        <v>0</v>
      </c>
      <c r="O123" s="22">
        <f t="shared" ca="1" si="32"/>
        <v>0</v>
      </c>
      <c r="P123" s="22">
        <f t="shared" ca="1" si="32"/>
        <v>0</v>
      </c>
    </row>
    <row r="124" spans="2:16" s="2" customFormat="1" x14ac:dyDescent="0.45">
      <c r="F124" s="22"/>
      <c r="G124" s="22"/>
      <c r="I124"/>
      <c r="J124"/>
      <c r="K124"/>
      <c r="L124"/>
      <c r="M124"/>
      <c r="N124"/>
      <c r="O124"/>
      <c r="P124"/>
    </row>
    <row r="125" spans="2:16" s="2" customFormat="1" x14ac:dyDescent="0.45">
      <c r="B125" t="s">
        <v>133</v>
      </c>
      <c r="C125"/>
      <c r="D125"/>
      <c r="E125"/>
      <c r="F125">
        <f>SUM(F101:F102)-SUM(F110:F112)</f>
        <v>-221.54299999999995</v>
      </c>
      <c r="G125">
        <f>SUM(G101:G102)-SUM(G110:G112)</f>
        <v>-164.65600000000001</v>
      </c>
      <c r="I125"/>
      <c r="J125"/>
      <c r="K125">
        <f t="shared" ref="K125:P125" si="33">SUM(K101:K102)-SUM(K110:K112)</f>
        <v>-164.65600000000001</v>
      </c>
      <c r="L125">
        <f t="shared" si="33"/>
        <v>-156.59204934433797</v>
      </c>
      <c r="M125">
        <f t="shared" si="33"/>
        <v>-174.38811544867133</v>
      </c>
      <c r="N125">
        <f t="shared" si="33"/>
        <v>-194.26696933357579</v>
      </c>
      <c r="O125">
        <f t="shared" si="33"/>
        <v>-216.47744674741583</v>
      </c>
      <c r="P125">
        <f t="shared" si="33"/>
        <v>-241.26838343855582</v>
      </c>
    </row>
    <row r="126" spans="2:16" s="2" customFormat="1" x14ac:dyDescent="0.45">
      <c r="B126" t="s">
        <v>134</v>
      </c>
      <c r="C126"/>
      <c r="D126"/>
      <c r="E126"/>
      <c r="F126"/>
      <c r="G126"/>
      <c r="I126"/>
      <c r="J126"/>
      <c r="K126" s="26">
        <f t="shared" ref="K126:P126" si="34">K125/K65</f>
        <v>-0.37720841580529285</v>
      </c>
      <c r="L126" s="26">
        <f t="shared" si="34"/>
        <v>-0.16182500372782205</v>
      </c>
      <c r="M126" s="26">
        <f t="shared" si="34"/>
        <v>-0.16210655235132762</v>
      </c>
      <c r="N126" s="26">
        <f t="shared" si="34"/>
        <v>-0.16235163038426709</v>
      </c>
      <c r="O126" s="26">
        <f t="shared" si="34"/>
        <v>-0.16256689314014899</v>
      </c>
      <c r="P126" s="26">
        <f t="shared" si="34"/>
        <v>-0.16275746946361894</v>
      </c>
    </row>
    <row r="127" spans="2:16" s="2" customFormat="1" x14ac:dyDescent="0.45">
      <c r="B127" t="s">
        <v>135</v>
      </c>
      <c r="C127"/>
      <c r="D127"/>
      <c r="E127"/>
      <c r="F127"/>
      <c r="G127"/>
      <c r="I127"/>
      <c r="J127"/>
      <c r="K127">
        <f t="shared" ref="K127:P127" si="35">K108-SUM(K110:K112)-K100-K105</f>
        <v>1811.5812599999999</v>
      </c>
      <c r="L127">
        <f t="shared" ca="1" si="35"/>
        <v>1782.4003749272242</v>
      </c>
      <c r="M127">
        <f t="shared" ca="1" si="35"/>
        <v>1756.7817474534259</v>
      </c>
      <c r="N127">
        <f t="shared" ca="1" si="35"/>
        <v>1733.5478416629285</v>
      </c>
      <c r="O127">
        <f t="shared" ca="1" si="35"/>
        <v>1711.5966289402295</v>
      </c>
      <c r="P127">
        <f t="shared" ca="1" si="35"/>
        <v>1689.7360806698362</v>
      </c>
    </row>
    <row r="128" spans="2:16" s="2" customFormat="1" x14ac:dyDescent="0.45">
      <c r="B128" t="s">
        <v>136</v>
      </c>
      <c r="C128"/>
      <c r="D128"/>
      <c r="E128"/>
      <c r="F128"/>
      <c r="G128"/>
      <c r="I128"/>
      <c r="J128"/>
      <c r="K128"/>
      <c r="L128" s="26">
        <f ca="1">L95/AVERAGE(K127:L127)</f>
        <v>5.5312721727638306E-2</v>
      </c>
      <c r="M128" s="26">
        <f ca="1">M95/AVERAGE(L127:M127)</f>
        <v>7.5644455759516879E-2</v>
      </c>
      <c r="N128" s="26">
        <f ca="1">N95/AVERAGE(M127:N127)</f>
        <v>8.6834058434548514E-2</v>
      </c>
      <c r="O128" s="26">
        <f ca="1">O95/AVERAGE(N127:O127)</f>
        <v>0.10282234635744529</v>
      </c>
      <c r="P128" s="26">
        <f ca="1">P95/AVERAGE(O127:P127)</f>
        <v>0.12163663589710613</v>
      </c>
    </row>
    <row r="130" spans="1:16" x14ac:dyDescent="0.45">
      <c r="A130" t="s">
        <v>4</v>
      </c>
      <c r="B130" s="3" t="s">
        <v>137</v>
      </c>
      <c r="I130" s="17"/>
      <c r="J130" s="17"/>
      <c r="K130" s="17">
        <v>2021</v>
      </c>
      <c r="L130" s="17">
        <f>K130+1</f>
        <v>2022</v>
      </c>
      <c r="M130" s="17">
        <f>L130+1</f>
        <v>2023</v>
      </c>
      <c r="N130" s="17">
        <f>M130+1</f>
        <v>2024</v>
      </c>
      <c r="O130" s="17">
        <f>N130+1</f>
        <v>2025</v>
      </c>
      <c r="P130" s="17">
        <f>O130+1</f>
        <v>2026</v>
      </c>
    </row>
    <row r="132" spans="1:16" x14ac:dyDescent="0.45">
      <c r="B132" t="s">
        <v>138</v>
      </c>
      <c r="L132">
        <f ca="1">L82</f>
        <v>5.829572242869677</v>
      </c>
      <c r="M132">
        <f ca="1">M82</f>
        <v>38.679335589685365</v>
      </c>
      <c r="N132">
        <f ca="1">N82</f>
        <v>55.722810216111995</v>
      </c>
      <c r="O132">
        <f ca="1">O82</f>
        <v>81.63671330442736</v>
      </c>
      <c r="P132">
        <f ca="1">P82</f>
        <v>113.19278702628434</v>
      </c>
    </row>
    <row r="133" spans="1:16" x14ac:dyDescent="0.45">
      <c r="B133" t="s">
        <v>139</v>
      </c>
      <c r="L133">
        <f>L72</f>
        <v>116.11954573426573</v>
      </c>
      <c r="M133">
        <f>M72</f>
        <v>102.19741723776225</v>
      </c>
      <c r="N133">
        <f>N72</f>
        <v>113.67524947552448</v>
      </c>
      <c r="O133">
        <f>O72</f>
        <v>126.50397041958044</v>
      </c>
      <c r="P133">
        <f>P72</f>
        <v>140.8260800699301</v>
      </c>
    </row>
    <row r="134" spans="1:16" x14ac:dyDescent="0.45">
      <c r="B134" t="s">
        <v>140</v>
      </c>
      <c r="L134">
        <f>-L73</f>
        <v>1.860157500000001</v>
      </c>
      <c r="M134">
        <f>-M73</f>
        <v>1.860157500000001</v>
      </c>
      <c r="N134">
        <f>-N73</f>
        <v>1.860157500000001</v>
      </c>
      <c r="O134">
        <f>-O73</f>
        <v>1.860157500000001</v>
      </c>
      <c r="P134">
        <f>-P73</f>
        <v>1.860157500000001</v>
      </c>
    </row>
    <row r="135" spans="1:16" x14ac:dyDescent="0.45">
      <c r="B135" t="s">
        <v>141</v>
      </c>
      <c r="L135">
        <f>K125-L125</f>
        <v>-8.0639506556620404</v>
      </c>
      <c r="M135">
        <f>L125-M125</f>
        <v>17.796066104333363</v>
      </c>
      <c r="N135">
        <f>M125-N125</f>
        <v>19.878853884904458</v>
      </c>
      <c r="O135">
        <f>N125-O125</f>
        <v>22.210477413840039</v>
      </c>
      <c r="P135">
        <f>O125-P125</f>
        <v>24.79093669113999</v>
      </c>
    </row>
    <row r="136" spans="1:16" x14ac:dyDescent="0.45">
      <c r="B136" s="8" t="s">
        <v>142</v>
      </c>
      <c r="C136" s="8"/>
      <c r="D136" s="8"/>
      <c r="E136" s="8"/>
      <c r="F136" s="8"/>
      <c r="G136" s="8"/>
      <c r="H136" s="8"/>
      <c r="I136" s="8"/>
      <c r="J136" s="8"/>
      <c r="K136" s="8"/>
      <c r="L136" s="8">
        <f ca="1">SUM(L132:L135)</f>
        <v>115.74532482147336</v>
      </c>
      <c r="M136" s="8">
        <f ca="1">SUM(M132:M135)</f>
        <v>160.53297643178098</v>
      </c>
      <c r="N136" s="8">
        <f ca="1">SUM(N132:N135)</f>
        <v>191.13707107654096</v>
      </c>
      <c r="O136" s="8">
        <f ca="1">SUM(O132:O135)</f>
        <v>232.21131863784785</v>
      </c>
      <c r="P136" s="8">
        <f ca="1">SUM(P132:P135)</f>
        <v>280.66996128735445</v>
      </c>
    </row>
    <row r="138" spans="1:16" x14ac:dyDescent="0.45">
      <c r="B138" t="s">
        <v>143</v>
      </c>
      <c r="L138">
        <f>-L40</f>
        <v>-33.868200839160842</v>
      </c>
      <c r="M138">
        <f>-M40</f>
        <v>-37.65168003496504</v>
      </c>
      <c r="N138">
        <f>-N40</f>
        <v>-41.880355069930076</v>
      </c>
      <c r="O138">
        <f>-O40</f>
        <v>-46.606725944055952</v>
      </c>
      <c r="P138">
        <f>-P40</f>
        <v>-51.883292657342665</v>
      </c>
    </row>
    <row r="139" spans="1:16" x14ac:dyDescent="0.45">
      <c r="B139" t="s">
        <v>144</v>
      </c>
      <c r="L139">
        <f>-L42</f>
        <v>-46.866666666666667</v>
      </c>
      <c r="M139">
        <f>-M42</f>
        <v>-58.583333333333336</v>
      </c>
      <c r="N139">
        <f>-N42</f>
        <v>-70.3</v>
      </c>
      <c r="O139">
        <f>-O42</f>
        <v>-82.016666666666666</v>
      </c>
      <c r="P139">
        <f>-P42</f>
        <v>-93.733333333333334</v>
      </c>
    </row>
    <row r="140" spans="1:16" x14ac:dyDescent="0.45">
      <c r="B140" s="8" t="s">
        <v>145</v>
      </c>
      <c r="C140" s="8"/>
      <c r="D140" s="8"/>
      <c r="E140" s="8"/>
      <c r="F140" s="8"/>
      <c r="G140" s="8"/>
      <c r="H140" s="8"/>
      <c r="I140" s="8"/>
      <c r="J140" s="8"/>
      <c r="K140" s="8"/>
      <c r="L140" s="8">
        <f>SUM(L138:L139)</f>
        <v>-80.734867505827509</v>
      </c>
      <c r="M140" s="8">
        <f>SUM(M138:M139)</f>
        <v>-96.235013368298382</v>
      </c>
      <c r="N140" s="8">
        <f>SUM(N138:N139)</f>
        <v>-112.18035506993007</v>
      </c>
      <c r="O140" s="8">
        <f>SUM(O138:O139)</f>
        <v>-128.62339261072262</v>
      </c>
      <c r="P140" s="8">
        <f>SUM(P138:P139)</f>
        <v>-145.616625990676</v>
      </c>
    </row>
    <row r="142" spans="1:16" x14ac:dyDescent="0.45">
      <c r="B142" t="s">
        <v>146</v>
      </c>
      <c r="L142">
        <f>K150</f>
        <v>14.999999999999998</v>
      </c>
      <c r="M142">
        <f ca="1">L150</f>
        <v>15</v>
      </c>
      <c r="N142">
        <f ca="1">M150</f>
        <v>15</v>
      </c>
      <c r="O142">
        <f ca="1">N150</f>
        <v>15</v>
      </c>
      <c r="P142">
        <f ca="1">O150</f>
        <v>15</v>
      </c>
    </row>
    <row r="143" spans="1:16" x14ac:dyDescent="0.45">
      <c r="B143" t="s">
        <v>147</v>
      </c>
      <c r="L143">
        <f ca="1">L136+L140</f>
        <v>35.010457315645851</v>
      </c>
      <c r="M143">
        <f ca="1">M136+M140</f>
        <v>64.297963063482598</v>
      </c>
      <c r="N143">
        <f ca="1">N136+N140</f>
        <v>78.95671600661089</v>
      </c>
      <c r="O143">
        <f ca="1">O136+O140</f>
        <v>103.58792602712523</v>
      </c>
      <c r="P143">
        <f ca="1">P136+P140</f>
        <v>135.05333529667845</v>
      </c>
    </row>
    <row r="144" spans="1:16" x14ac:dyDescent="0.45">
      <c r="B144" t="s">
        <v>148</v>
      </c>
      <c r="L144">
        <f>-$F$21</f>
        <v>-15</v>
      </c>
      <c r="M144">
        <f>-$F$21</f>
        <v>-15</v>
      </c>
      <c r="N144">
        <f>-$F$21</f>
        <v>-15</v>
      </c>
      <c r="O144">
        <f>-$F$21</f>
        <v>-15</v>
      </c>
      <c r="P144">
        <f>-$F$21</f>
        <v>-15</v>
      </c>
    </row>
    <row r="145" spans="1:16" x14ac:dyDescent="0.45">
      <c r="B145" s="8" t="s">
        <v>149</v>
      </c>
      <c r="C145" s="8"/>
      <c r="D145" s="8"/>
      <c r="E145" s="8"/>
      <c r="F145" s="8"/>
      <c r="G145" s="8"/>
      <c r="H145" s="8"/>
      <c r="I145" s="8"/>
      <c r="J145" s="8"/>
      <c r="K145" s="8"/>
      <c r="L145" s="8">
        <f ca="1">SUM(L142:L144)</f>
        <v>35.010457315645851</v>
      </c>
      <c r="M145" s="8">
        <f ca="1">SUM(M142:M144)</f>
        <v>64.297963063482598</v>
      </c>
      <c r="N145" s="8">
        <f ca="1">SUM(N142:N144)</f>
        <v>78.95671600661089</v>
      </c>
      <c r="O145" s="8">
        <f ca="1">SUM(O142:O144)</f>
        <v>103.58792602712523</v>
      </c>
      <c r="P145" s="8">
        <f ca="1">SUM(P142:P144)</f>
        <v>135.05333529667845</v>
      </c>
    </row>
    <row r="146" spans="1:16" x14ac:dyDescent="0.45">
      <c r="B146" t="s">
        <v>150</v>
      </c>
      <c r="L146">
        <f>L165</f>
        <v>0</v>
      </c>
      <c r="M146">
        <f ca="1">M165</f>
        <v>0</v>
      </c>
      <c r="N146">
        <f ca="1">N165</f>
        <v>0</v>
      </c>
      <c r="O146">
        <f ca="1">O165</f>
        <v>0</v>
      </c>
      <c r="P146">
        <f ca="1">P165</f>
        <v>0</v>
      </c>
    </row>
    <row r="147" spans="1:16" x14ac:dyDescent="0.45">
      <c r="B147" t="s">
        <v>151</v>
      </c>
      <c r="L147">
        <f ca="1">L160</f>
        <v>0</v>
      </c>
      <c r="M147">
        <f ca="1">M160</f>
        <v>0</v>
      </c>
      <c r="N147">
        <f ca="1">N160</f>
        <v>0</v>
      </c>
      <c r="O147">
        <f ca="1">O160</f>
        <v>0</v>
      </c>
      <c r="P147">
        <f ca="1">P160</f>
        <v>0</v>
      </c>
    </row>
    <row r="148" spans="1:16" x14ac:dyDescent="0.45">
      <c r="B148" t="s">
        <v>152</v>
      </c>
      <c r="L148">
        <f ca="1">L166+L171</f>
        <v>-35.010457315645851</v>
      </c>
      <c r="M148">
        <f ca="1">M166+M171</f>
        <v>-64.297963063482598</v>
      </c>
      <c r="N148">
        <f ca="1">N166+N171</f>
        <v>-78.95671600661089</v>
      </c>
      <c r="O148">
        <f ca="1">O166+O171</f>
        <v>-103.58792602712523</v>
      </c>
      <c r="P148">
        <f ca="1">P166+P171</f>
        <v>-135.05333529667845</v>
      </c>
    </row>
    <row r="149" spans="1:16" x14ac:dyDescent="0.45">
      <c r="B149" t="s">
        <v>153</v>
      </c>
      <c r="L149">
        <f>$F$21</f>
        <v>15</v>
      </c>
      <c r="M149">
        <f>$F$21</f>
        <v>15</v>
      </c>
      <c r="N149">
        <f>$F$21</f>
        <v>15</v>
      </c>
      <c r="O149">
        <f>$F$21</f>
        <v>15</v>
      </c>
      <c r="P149">
        <f>$F$21</f>
        <v>15</v>
      </c>
    </row>
    <row r="150" spans="1:16" x14ac:dyDescent="0.45">
      <c r="B150" s="21" t="s">
        <v>154</v>
      </c>
      <c r="C150" s="21"/>
      <c r="D150" s="21"/>
      <c r="E150" s="21"/>
      <c r="F150" s="21"/>
      <c r="G150" s="21"/>
      <c r="H150" s="21"/>
      <c r="I150" s="21"/>
      <c r="J150" s="21"/>
      <c r="K150" s="21">
        <f>K100</f>
        <v>14.999999999999998</v>
      </c>
      <c r="L150" s="21">
        <f ca="1">SUM(L145:L149)</f>
        <v>15</v>
      </c>
      <c r="M150" s="21">
        <f ca="1">SUM(M145:M149)</f>
        <v>15</v>
      </c>
      <c r="N150" s="21">
        <f ca="1">SUM(N145:N149)</f>
        <v>15</v>
      </c>
      <c r="O150" s="21">
        <f ca="1">SUM(O145:O149)</f>
        <v>15</v>
      </c>
      <c r="P150" s="21">
        <f ca="1">SUM(P145:P149)</f>
        <v>15</v>
      </c>
    </row>
    <row r="152" spans="1:16" x14ac:dyDescent="0.45">
      <c r="B152" t="s">
        <v>155</v>
      </c>
      <c r="L152">
        <f ca="1">L95+L72+L138+L139+L135</f>
        <v>126.71718060626225</v>
      </c>
      <c r="M152">
        <f ca="1">M95+M72+M138+M139+M135</f>
        <v>157.61822271444532</v>
      </c>
      <c r="N152">
        <f ca="1">N95+N72+N138+N139+N135</f>
        <v>172.91349003908044</v>
      </c>
      <c r="O152">
        <f ca="1">O95+O72+O138+O139+O135</f>
        <v>197.20997422659556</v>
      </c>
      <c r="P152">
        <f ca="1">P95+P72+P138+P139+P135</f>
        <v>226.86372495227252</v>
      </c>
    </row>
    <row r="153" spans="1:16" x14ac:dyDescent="0.45">
      <c r="B153" t="s">
        <v>156</v>
      </c>
      <c r="L153" s="26">
        <f ca="1">L152/L92</f>
        <v>0.52375924424485354</v>
      </c>
      <c r="M153" s="26">
        <f ca="1">M152/M92</f>
        <v>0.58024642979075425</v>
      </c>
      <c r="N153" s="26">
        <f ca="1">N152/N92</f>
        <v>0.56600585162853434</v>
      </c>
      <c r="O153" s="26">
        <f ca="1">O152/O92</f>
        <v>0.56232417283771641</v>
      </c>
      <c r="P153" s="26">
        <f ca="1">P152/P92</f>
        <v>0.56338687132806475</v>
      </c>
    </row>
    <row r="155" spans="1:16" x14ac:dyDescent="0.45">
      <c r="A155" t="s">
        <v>4</v>
      </c>
      <c r="B155" s="3" t="s">
        <v>157</v>
      </c>
      <c r="I155" s="17"/>
      <c r="J155" s="17"/>
      <c r="K155" s="17">
        <v>2021</v>
      </c>
      <c r="L155" s="17">
        <f>K155+1</f>
        <v>2022</v>
      </c>
      <c r="M155" s="17">
        <f>L155+1</f>
        <v>2023</v>
      </c>
      <c r="N155" s="17">
        <f>M155+1</f>
        <v>2024</v>
      </c>
      <c r="O155" s="17">
        <f>N155+1</f>
        <v>2025</v>
      </c>
      <c r="P155" s="17">
        <f>O155+1</f>
        <v>2026</v>
      </c>
    </row>
    <row r="157" spans="1:16" x14ac:dyDescent="0.45">
      <c r="B157" t="s">
        <v>158</v>
      </c>
      <c r="K157" s="10"/>
      <c r="L157" s="10">
        <v>1.2500000000000001E-2</v>
      </c>
      <c r="M157" s="10">
        <v>1.4999999999999999E-2</v>
      </c>
      <c r="N157" s="10">
        <v>1.7500000000000002E-2</v>
      </c>
      <c r="O157" s="10">
        <v>0.02</v>
      </c>
      <c r="P157" s="10">
        <v>2.2499999999999999E-2</v>
      </c>
    </row>
    <row r="159" spans="1:16" x14ac:dyDescent="0.45">
      <c r="B159" t="s">
        <v>159</v>
      </c>
      <c r="L159">
        <f>K161</f>
        <v>0</v>
      </c>
      <c r="M159">
        <f ca="1">L161</f>
        <v>0</v>
      </c>
      <c r="N159">
        <f ca="1">M161</f>
        <v>0</v>
      </c>
      <c r="O159">
        <f ca="1">N161</f>
        <v>0</v>
      </c>
      <c r="P159">
        <f ca="1">O161</f>
        <v>0</v>
      </c>
    </row>
    <row r="160" spans="1:16" x14ac:dyDescent="0.45">
      <c r="B160" t="s">
        <v>160</v>
      </c>
      <c r="L160">
        <f ca="1">-MIN(L159,L145+L146)</f>
        <v>0</v>
      </c>
      <c r="M160">
        <f ca="1">-MIN(M159,M145+M146)</f>
        <v>0</v>
      </c>
      <c r="N160">
        <f ca="1">-MIN(N159,N145+N146)</f>
        <v>0</v>
      </c>
      <c r="O160">
        <f ca="1">-MIN(O159,O145+O146)</f>
        <v>0</v>
      </c>
      <c r="P160">
        <f ca="1">-MIN(P159,P145+P146)</f>
        <v>0</v>
      </c>
    </row>
    <row r="161" spans="2:16" x14ac:dyDescent="0.45">
      <c r="B161" t="s">
        <v>161</v>
      </c>
      <c r="K161">
        <f>K115</f>
        <v>0</v>
      </c>
      <c r="L161">
        <f ca="1">SUM(L159:L160)</f>
        <v>0</v>
      </c>
      <c r="M161">
        <f ca="1">SUM(M159:M160)</f>
        <v>0</v>
      </c>
      <c r="N161">
        <f ca="1">SUM(N159:N160)</f>
        <v>0</v>
      </c>
      <c r="O161">
        <f ca="1">SUM(O159:O160)</f>
        <v>0</v>
      </c>
      <c r="P161">
        <f ca="1">SUM(P159:P160)</f>
        <v>0</v>
      </c>
    </row>
    <row r="162" spans="2:16" x14ac:dyDescent="0.45">
      <c r="B162" t="s">
        <v>162</v>
      </c>
      <c r="L162">
        <f ca="1">AVERAGE(K161:L161)*(MAX(L157,$K$13)+$J$13/10000)</f>
        <v>0</v>
      </c>
      <c r="M162">
        <f ca="1">AVERAGE(L161:M161)*(MAX(M157,$K$13)+$J$13/10000)</f>
        <v>0</v>
      </c>
      <c r="N162">
        <f ca="1">AVERAGE(M161:N161)*(MAX(N157,$K$13)+$J$13/10000)</f>
        <v>0</v>
      </c>
      <c r="O162">
        <f ca="1">AVERAGE(N161:O161)*(MAX(O157,$K$13)+$J$13/10000)</f>
        <v>0</v>
      </c>
      <c r="P162">
        <f ca="1">AVERAGE(O161:P161)*(MAX(P157,$K$13)+$J$13/10000)</f>
        <v>0</v>
      </c>
    </row>
    <row r="164" spans="2:16" x14ac:dyDescent="0.45">
      <c r="B164" t="s">
        <v>163</v>
      </c>
      <c r="L164">
        <f>K167</f>
        <v>992.08400000000051</v>
      </c>
      <c r="M164">
        <f ca="1">L167</f>
        <v>957.07354268435461</v>
      </c>
      <c r="N164">
        <f ca="1">M167</f>
        <v>892.77557962087201</v>
      </c>
      <c r="O164">
        <f ca="1">N167</f>
        <v>813.81886361426109</v>
      </c>
      <c r="P164">
        <f ca="1">O167</f>
        <v>710.23093758713583</v>
      </c>
    </row>
    <row r="165" spans="2:16" x14ac:dyDescent="0.45">
      <c r="B165" t="s">
        <v>150</v>
      </c>
      <c r="L165">
        <f>-MIN(L164,$M$11*$C$10)</f>
        <v>0</v>
      </c>
      <c r="M165">
        <f ca="1">-MIN(M164,$M$11*$C$10)</f>
        <v>0</v>
      </c>
      <c r="N165">
        <f ca="1">-MIN(N164,$M$11*$C$10)</f>
        <v>0</v>
      </c>
      <c r="O165">
        <f ca="1">-MIN(O164,$M$11*$C$10)</f>
        <v>0</v>
      </c>
      <c r="P165">
        <f ca="1">-MIN(P164,$M$11*$C$10)</f>
        <v>0</v>
      </c>
    </row>
    <row r="166" spans="2:16" x14ac:dyDescent="0.45">
      <c r="B166" t="s">
        <v>152</v>
      </c>
      <c r="L166">
        <f ca="1">-MIN(SUM(L164:L165),SUM(L145:L147))</f>
        <v>-35.010457315645851</v>
      </c>
      <c r="M166">
        <f ca="1">-MIN(SUM(M164:M165),SUM(M145:M147))</f>
        <v>-64.297963063482598</v>
      </c>
      <c r="N166">
        <f ca="1">-MIN(SUM(N164:N165),SUM(N145:N147))</f>
        <v>-78.95671600661089</v>
      </c>
      <c r="O166">
        <f ca="1">-MIN(SUM(O164:O165),SUM(O145:O147))</f>
        <v>-103.58792602712523</v>
      </c>
      <c r="P166">
        <f ca="1">-MIN(SUM(P164:P165),SUM(P145:P147))</f>
        <v>-135.05333529667845</v>
      </c>
    </row>
    <row r="167" spans="2:16" x14ac:dyDescent="0.45">
      <c r="B167" t="s">
        <v>164</v>
      </c>
      <c r="K167">
        <f>K116</f>
        <v>992.08400000000051</v>
      </c>
      <c r="L167">
        <f ca="1">SUM(L164:L166)</f>
        <v>957.07354268435461</v>
      </c>
      <c r="M167">
        <f ca="1">SUM(M164:M166)</f>
        <v>892.77557962087201</v>
      </c>
      <c r="N167">
        <f ca="1">SUM(N164:N166)</f>
        <v>813.81886361426109</v>
      </c>
      <c r="O167">
        <f ca="1">SUM(O164:O166)</f>
        <v>710.23093758713583</v>
      </c>
      <c r="P167">
        <f ca="1">SUM(P164:P166)</f>
        <v>575.17760229045734</v>
      </c>
    </row>
    <row r="168" spans="2:16" x14ac:dyDescent="0.45">
      <c r="B168" t="s">
        <v>162</v>
      </c>
      <c r="L168">
        <f ca="1">AVERAGE(K167:L167)*(MAX(L157,$K$11)+$J$11/10000)</f>
        <v>51.165385495464328</v>
      </c>
      <c r="M168">
        <f ca="1">AVERAGE(L167:M167)*(MAX(M157,$K$11)+$J$11/10000)</f>
        <v>50.870850863393727</v>
      </c>
      <c r="N168">
        <f ca="1">AVERAGE(M167:N167)*(MAX(N157,$K$11)+$J$11/10000)</f>
        <v>49.064590243010073</v>
      </c>
      <c r="O168">
        <f ca="1">AVERAGE(N167:O167)*(MAX(O157,$K$11)+$J$11/10000)</f>
        <v>45.721494036041904</v>
      </c>
      <c r="P168">
        <f ca="1">AVERAGE(O167:P167)*(MAX(P157,$K$11)+$J$11/10000)</f>
        <v>40.16901687117479</v>
      </c>
    </row>
    <row r="170" spans="2:16" x14ac:dyDescent="0.45">
      <c r="B170" t="s">
        <v>165</v>
      </c>
      <c r="L170">
        <f>K172</f>
        <v>496.04200000000026</v>
      </c>
      <c r="M170">
        <f ca="1">L172</f>
        <v>496.04200000000026</v>
      </c>
      <c r="N170">
        <f ca="1">M172</f>
        <v>496.04200000000026</v>
      </c>
      <c r="O170">
        <f ca="1">N172</f>
        <v>496.04200000000026</v>
      </c>
      <c r="P170">
        <f ca="1">O172</f>
        <v>496.04200000000026</v>
      </c>
    </row>
    <row r="171" spans="2:16" x14ac:dyDescent="0.45">
      <c r="B171" t="s">
        <v>152</v>
      </c>
      <c r="L171">
        <f ca="1">-MIN(L170,SUM(L145:L147,L166))</f>
        <v>0</v>
      </c>
      <c r="M171">
        <f ca="1">-MIN(M170,SUM(M145:M147,M166))</f>
        <v>0</v>
      </c>
      <c r="N171">
        <f ca="1">-MIN(N170,SUM(N145:N147,N166))</f>
        <v>0</v>
      </c>
      <c r="O171">
        <f ca="1">-MIN(O170,SUM(O145:O147,O166))</f>
        <v>0</v>
      </c>
      <c r="P171">
        <f ca="1">-MIN(P170,SUM(P145:P147,P166))</f>
        <v>0</v>
      </c>
    </row>
    <row r="172" spans="2:16" x14ac:dyDescent="0.45">
      <c r="B172" t="s">
        <v>166</v>
      </c>
      <c r="K172">
        <f>K117</f>
        <v>496.04200000000026</v>
      </c>
      <c r="L172">
        <f ca="1">SUM(L170:L171)</f>
        <v>496.04200000000026</v>
      </c>
      <c r="M172">
        <f ca="1">SUM(M170:M171)</f>
        <v>496.04200000000026</v>
      </c>
      <c r="N172">
        <f ca="1">SUM(N170:N171)</f>
        <v>496.04200000000026</v>
      </c>
      <c r="O172">
        <f ca="1">SUM(O170:O171)</f>
        <v>496.04200000000026</v>
      </c>
      <c r="P172">
        <f ca="1">SUM(P170:P171)</f>
        <v>496.04200000000026</v>
      </c>
    </row>
    <row r="173" spans="2:16" x14ac:dyDescent="0.45">
      <c r="B173" t="s">
        <v>162</v>
      </c>
      <c r="L173">
        <f ca="1">AVERAGE(K172:L172)*$J$12</f>
        <v>44.643780000000021</v>
      </c>
      <c r="M173">
        <f ca="1">AVERAGE(L172:M172)*$J$12</f>
        <v>44.643780000000021</v>
      </c>
      <c r="N173">
        <f ca="1">AVERAGE(M172:N172)*$J$12</f>
        <v>44.643780000000021</v>
      </c>
      <c r="O173">
        <f ca="1">AVERAGE(N172:O172)*$J$12</f>
        <v>44.643780000000021</v>
      </c>
      <c r="P173">
        <f ca="1">AVERAGE(O172:P172)*$J$12</f>
        <v>44.643780000000021</v>
      </c>
    </row>
    <row r="175" spans="2:16" x14ac:dyDescent="0.45">
      <c r="B175" t="s">
        <v>167</v>
      </c>
      <c r="L175">
        <f ca="1">L162+L168+L173</f>
        <v>95.809165495464356</v>
      </c>
      <c r="M175">
        <f ca="1">M162+M168+M173</f>
        <v>95.514630863393748</v>
      </c>
      <c r="N175">
        <f ca="1">N162+N168+N173</f>
        <v>93.708370243010094</v>
      </c>
      <c r="O175">
        <f ca="1">O162+O168+O173</f>
        <v>90.365274036041924</v>
      </c>
      <c r="P175">
        <f ca="1">P162+P168+P173</f>
        <v>84.812796871174811</v>
      </c>
    </row>
    <row r="176" spans="2:16" x14ac:dyDescent="0.45">
      <c r="B176" t="s">
        <v>168</v>
      </c>
      <c r="L176">
        <f ca="1">AVERAGE(K150:L150)*$F$19</f>
        <v>0.15</v>
      </c>
      <c r="M176">
        <f ca="1">AVERAGE(L150:M150)*$F$19</f>
        <v>0.15</v>
      </c>
      <c r="N176">
        <f ca="1">AVERAGE(M150:N150)*$F$19</f>
        <v>0.15</v>
      </c>
      <c r="O176">
        <f ca="1">AVERAGE(N150:O150)*$F$19</f>
        <v>0.15</v>
      </c>
      <c r="P176">
        <f ca="1">AVERAGE(O150:P150)*$F$19</f>
        <v>0.15</v>
      </c>
    </row>
    <row r="177" spans="1:16" x14ac:dyDescent="0.45">
      <c r="B177" t="s">
        <v>169</v>
      </c>
      <c r="L177">
        <f ca="1">L175-L176</f>
        <v>95.65916549546435</v>
      </c>
      <c r="M177">
        <f ca="1">M175-M176</f>
        <v>95.364630863393742</v>
      </c>
      <c r="N177">
        <f ca="1">N175-N176</f>
        <v>93.558370243010089</v>
      </c>
      <c r="O177">
        <f ca="1">O175-O176</f>
        <v>90.215274036041919</v>
      </c>
      <c r="P177">
        <f ca="1">P175-P176</f>
        <v>84.662796871174805</v>
      </c>
    </row>
    <row r="179" spans="1:16" x14ac:dyDescent="0.45">
      <c r="B179" t="s">
        <v>170</v>
      </c>
      <c r="L179">
        <f ca="1">L161+L167+L172</f>
        <v>1453.1155426843548</v>
      </c>
      <c r="M179">
        <f ca="1">M161+M167+M172</f>
        <v>1388.8175796208723</v>
      </c>
      <c r="N179">
        <f ca="1">N161+N167+N172</f>
        <v>1309.8608636142612</v>
      </c>
      <c r="O179">
        <f ca="1">O161+O167+O172</f>
        <v>1206.2729375871361</v>
      </c>
      <c r="P179">
        <f ca="1">P161+P167+P172</f>
        <v>1071.2196022904577</v>
      </c>
    </row>
    <row r="180" spans="1:16" x14ac:dyDescent="0.45">
      <c r="B180" t="s">
        <v>171</v>
      </c>
      <c r="L180">
        <f ca="1">L179-L150</f>
        <v>1438.1155426843548</v>
      </c>
      <c r="M180">
        <f ca="1">M179-M150</f>
        <v>1373.8175796208723</v>
      </c>
      <c r="N180">
        <f ca="1">N179-N150</f>
        <v>1294.8608636142612</v>
      </c>
      <c r="O180">
        <f ca="1">O179-O150</f>
        <v>1191.2729375871361</v>
      </c>
      <c r="P180">
        <f ca="1">P179-P150</f>
        <v>1056.2196022904577</v>
      </c>
    </row>
    <row r="181" spans="1:16" x14ac:dyDescent="0.45">
      <c r="B181" t="s">
        <v>172</v>
      </c>
      <c r="L181" s="15">
        <f ca="1">L180/L92</f>
        <v>5.9441530041105679</v>
      </c>
      <c r="M181" s="15">
        <f ca="1">M180/M92</f>
        <v>5.0574910186811115</v>
      </c>
      <c r="N181" s="15">
        <f ca="1">N180/N92</f>
        <v>4.2385289064769083</v>
      </c>
      <c r="O181" s="15">
        <f ca="1">O180/O92</f>
        <v>3.3967935540772625</v>
      </c>
      <c r="P181" s="15">
        <f ca="1">P180/P92</f>
        <v>2.6229854830029895</v>
      </c>
    </row>
    <row r="182" spans="1:16" x14ac:dyDescent="0.45">
      <c r="B182" t="s">
        <v>173</v>
      </c>
      <c r="L182" s="15">
        <f ca="1">L180/(L92-L57)</f>
        <v>8.9211477559592467</v>
      </c>
      <c r="M182" s="15">
        <f ca="1">M180/(M92-M57)</f>
        <v>7.8322543278422705</v>
      </c>
      <c r="N182" s="15">
        <f ca="1">N180/(N92-N57)</f>
        <v>6.6981098598074889</v>
      </c>
      <c r="O182" s="15">
        <f ca="1">O180/(O92-O57)</f>
        <v>5.3641192277228882</v>
      </c>
      <c r="P182" s="15">
        <f ca="1">P180/(P92-P57)</f>
        <v>4.1088162519940488</v>
      </c>
    </row>
    <row r="183" spans="1:16" x14ac:dyDescent="0.45">
      <c r="B183" t="s">
        <v>174</v>
      </c>
      <c r="L183" s="15">
        <f ca="1">L92/L77</f>
        <v>2.5291652865697789</v>
      </c>
      <c r="M183" s="15">
        <f ca="1">M92/M77</f>
        <v>2.8484369914359413</v>
      </c>
      <c r="N183" s="15">
        <f ca="1">N92/N77</f>
        <v>3.2653166850984743</v>
      </c>
      <c r="O183" s="15">
        <f ca="1">O92/O77</f>
        <v>3.8874252443720692</v>
      </c>
      <c r="P183" s="15">
        <f ca="1">P92/P77</f>
        <v>4.7562615068324483</v>
      </c>
    </row>
    <row r="185" spans="1:16" x14ac:dyDescent="0.45">
      <c r="A185" t="s">
        <v>4</v>
      </c>
      <c r="B185" s="3" t="s">
        <v>175</v>
      </c>
      <c r="I185" s="17"/>
      <c r="J185" s="17"/>
      <c r="K185" s="17"/>
      <c r="L185" s="17">
        <v>2022</v>
      </c>
      <c r="M185" s="17">
        <f>L185+1</f>
        <v>2023</v>
      </c>
      <c r="N185" s="17">
        <f>M185+1</f>
        <v>2024</v>
      </c>
      <c r="O185" s="17">
        <f>N185+1</f>
        <v>2025</v>
      </c>
      <c r="P185" s="17">
        <f>O185+1</f>
        <v>2026</v>
      </c>
    </row>
    <row r="186" spans="1:16" x14ac:dyDescent="0.45">
      <c r="B186" s="2" t="s">
        <v>176</v>
      </c>
      <c r="I186" s="17"/>
      <c r="J186" s="17"/>
      <c r="K186" s="17"/>
      <c r="L186" s="2">
        <f>L155-$K$155</f>
        <v>1</v>
      </c>
      <c r="M186" s="2">
        <f>M155-$K$155</f>
        <v>2</v>
      </c>
      <c r="N186" s="2">
        <f>N155-$K$155</f>
        <v>3</v>
      </c>
      <c r="O186" s="2">
        <f>O155-$K$155</f>
        <v>4</v>
      </c>
      <c r="P186" s="2">
        <f>P155-$K$155</f>
        <v>5</v>
      </c>
    </row>
    <row r="188" spans="1:16" x14ac:dyDescent="0.45">
      <c r="B188" t="s">
        <v>177</v>
      </c>
      <c r="C188" s="58">
        <v>18.2</v>
      </c>
      <c r="L188" s="31">
        <f>$C$188</f>
        <v>18.2</v>
      </c>
      <c r="M188" s="31">
        <f>$C$188</f>
        <v>18.2</v>
      </c>
      <c r="N188" s="31">
        <f>$C$188</f>
        <v>18.2</v>
      </c>
      <c r="O188" s="31">
        <f>$C$188</f>
        <v>18.2</v>
      </c>
      <c r="P188" s="31">
        <f>$C$188</f>
        <v>18.2</v>
      </c>
    </row>
    <row r="189" spans="1:16" x14ac:dyDescent="0.45">
      <c r="B189" t="s">
        <v>178</v>
      </c>
      <c r="L189">
        <f ca="1">L188*L92</f>
        <v>4403.268700983188</v>
      </c>
      <c r="M189">
        <f ca="1">M188*M92</f>
        <v>4943.8505885118229</v>
      </c>
      <c r="N189">
        <f ca="1">N188*N92</f>
        <v>5560.0582744092098</v>
      </c>
      <c r="O189">
        <f ca="1">O188*O92</f>
        <v>6382.8334336248927</v>
      </c>
      <c r="P189">
        <f ca="1">P188*P92</f>
        <v>7328.7469131084099</v>
      </c>
    </row>
    <row r="190" spans="1:16" x14ac:dyDescent="0.45">
      <c r="B190" t="s">
        <v>179</v>
      </c>
      <c r="L190">
        <f ca="1">-L180</f>
        <v>-1438.1155426843548</v>
      </c>
      <c r="M190">
        <f ca="1">-M180</f>
        <v>-1373.8175796208723</v>
      </c>
      <c r="N190">
        <f ca="1">-N180</f>
        <v>-1294.8608636142612</v>
      </c>
      <c r="O190">
        <f ca="1">-O180</f>
        <v>-1191.2729375871361</v>
      </c>
      <c r="P190">
        <f ca="1">-P180</f>
        <v>-1056.2196022904577</v>
      </c>
    </row>
    <row r="191" spans="1:16" x14ac:dyDescent="0.45">
      <c r="B191" t="s">
        <v>180</v>
      </c>
      <c r="L191">
        <f>-L113</f>
        <v>-1267.7909999999999</v>
      </c>
      <c r="M191">
        <f>-M113</f>
        <v>-1267.7909999999999</v>
      </c>
      <c r="N191">
        <f>-N113</f>
        <v>-1267.7909999999999</v>
      </c>
      <c r="O191">
        <f>-O113</f>
        <v>-1267.7909999999999</v>
      </c>
      <c r="P191">
        <f>-P113</f>
        <v>-1267.7909999999999</v>
      </c>
    </row>
    <row r="192" spans="1:16" x14ac:dyDescent="0.45">
      <c r="B192" s="7" t="s">
        <v>181</v>
      </c>
      <c r="C192" s="7"/>
      <c r="D192" s="7"/>
      <c r="E192" s="7"/>
      <c r="F192" s="7"/>
      <c r="G192" s="7"/>
      <c r="H192" s="7"/>
      <c r="I192" s="7"/>
      <c r="J192" s="7"/>
      <c r="K192" s="7"/>
      <c r="L192" s="7">
        <f ca="1">SUM(L189:L191)</f>
        <v>1697.3621582988333</v>
      </c>
      <c r="M192" s="7">
        <f ca="1">SUM(M189:M191)</f>
        <v>2302.2420088909503</v>
      </c>
      <c r="N192" s="7">
        <f ca="1">SUM(N189:N191)</f>
        <v>2997.406410794948</v>
      </c>
      <c r="O192" s="7">
        <f ca="1">SUM(O189:O191)</f>
        <v>3923.7694960377567</v>
      </c>
      <c r="P192" s="7">
        <f ca="1">SUM(P189:P191)</f>
        <v>5004.7363108179516</v>
      </c>
    </row>
    <row r="193" spans="2:16" x14ac:dyDescent="0.45">
      <c r="B193" t="s">
        <v>182</v>
      </c>
      <c r="L193" s="2">
        <f ca="1">-($F$17+$F$18)*L192</f>
        <v>-169.73621582988335</v>
      </c>
      <c r="M193">
        <f ca="1">-($F$17+$F$18)*M192</f>
        <v>-230.22420088909504</v>
      </c>
      <c r="N193">
        <f ca="1">-($F$17+$F$18)*N192</f>
        <v>-299.74064107949482</v>
      </c>
      <c r="O193">
        <f ca="1">-($F$17+$F$18)*O192</f>
        <v>-392.3769496037757</v>
      </c>
      <c r="P193">
        <f ca="1">-($F$17+$F$18)*P192</f>
        <v>-500.47363108179519</v>
      </c>
    </row>
    <row r="194" spans="2:16" x14ac:dyDescent="0.45">
      <c r="B194" s="21" t="s">
        <v>183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>
        <f ca="1">SUM(L192:L193)</f>
        <v>1527.6259424689499</v>
      </c>
      <c r="M194" s="21">
        <f ca="1">SUM(M192:M193)</f>
        <v>2072.0178080018554</v>
      </c>
      <c r="N194" s="21">
        <f ca="1">SUM(N192:N193)</f>
        <v>2697.6657697154533</v>
      </c>
      <c r="O194" s="21">
        <f ca="1">SUM(O192:O193)</f>
        <v>3531.3925464339809</v>
      </c>
      <c r="P194" s="21">
        <f ca="1">SUM(P192:P193)</f>
        <v>4504.2626797361563</v>
      </c>
    </row>
    <row r="196" spans="2:16" x14ac:dyDescent="0.45">
      <c r="B196" s="32" t="s">
        <v>184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4">
        <f ca="1">L194/$C$13</f>
        <v>0.89963853475959432</v>
      </c>
      <c r="M196" s="34">
        <f ca="1">M194/$C$13</f>
        <v>1.2202378952624158</v>
      </c>
      <c r="N196" s="34">
        <f ca="1">N194/$C$13</f>
        <v>1.5886900142684981</v>
      </c>
      <c r="O196" s="34">
        <f ca="1">O194/$C$13</f>
        <v>2.0796824195065629</v>
      </c>
      <c r="P196" s="35">
        <f ca="1">P194/$C$13</f>
        <v>2.6526181342672004</v>
      </c>
    </row>
    <row r="197" spans="2:16" x14ac:dyDescent="0.45">
      <c r="B197" s="36" t="s">
        <v>185</v>
      </c>
      <c r="C197" s="37"/>
      <c r="D197" s="37"/>
      <c r="E197" s="37"/>
      <c r="F197" s="37"/>
      <c r="G197" s="37"/>
      <c r="H197" s="37"/>
      <c r="I197" s="37"/>
      <c r="J197" s="37"/>
      <c r="K197" s="37"/>
      <c r="L197" s="38">
        <f ca="1">L196^(1/L186)-1</f>
        <v>-0.10036146524040568</v>
      </c>
      <c r="M197" s="38">
        <f ca="1">M196^(1/M186)-1</f>
        <v>0.1046437865947627</v>
      </c>
      <c r="N197" s="38">
        <f ca="1">N196^(1/N186)-1</f>
        <v>0.16684469288051851</v>
      </c>
      <c r="O197" s="38">
        <f ca="1">O196^(1/O186)-1</f>
        <v>0.20087901337160674</v>
      </c>
      <c r="P197" s="39">
        <f ca="1">P196^(1/P186)-1</f>
        <v>0.21544397977036223</v>
      </c>
    </row>
    <row r="198" spans="2:16" x14ac:dyDescent="0.45">
      <c r="B198" s="40" t="s">
        <v>186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>
        <f ca="1">L194-$C$13</f>
        <v>-170.41819797815674</v>
      </c>
      <c r="M198" s="41">
        <f ca="1">M194-$C$13</f>
        <v>373.97366755474877</v>
      </c>
      <c r="N198" s="41">
        <f ca="1">N194-$C$13</f>
        <v>999.62162926834662</v>
      </c>
      <c r="O198" s="41">
        <f ca="1">O194-$C$13</f>
        <v>1833.3484059868742</v>
      </c>
      <c r="P198" s="42">
        <f ca="1">P194-$C$13</f>
        <v>2806.2185392890497</v>
      </c>
    </row>
    <row r="201" spans="2:16" x14ac:dyDescent="0.45">
      <c r="J201" s="46" t="s">
        <v>11</v>
      </c>
      <c r="K201" s="45"/>
      <c r="L201" s="45"/>
      <c r="M201" s="45"/>
      <c r="N201" s="45"/>
    </row>
    <row r="202" spans="2:16" x14ac:dyDescent="0.45">
      <c r="I202" s="47">
        <f ca="1">P197</f>
        <v>0.21544397977036223</v>
      </c>
      <c r="J202" s="48">
        <f>K202-5%</f>
        <v>0.25</v>
      </c>
      <c r="K202" s="48">
        <f>L202-5%</f>
        <v>0.3</v>
      </c>
      <c r="L202" s="48">
        <v>0.35</v>
      </c>
      <c r="M202" s="48">
        <f>L202+5%</f>
        <v>0.39999999999999997</v>
      </c>
      <c r="N202" s="48">
        <f>M202+5%</f>
        <v>0.44999999999999996</v>
      </c>
      <c r="O202" s="26"/>
    </row>
    <row r="203" spans="2:16" x14ac:dyDescent="0.45">
      <c r="I203" s="49">
        <f>I204-1</f>
        <v>16.2</v>
      </c>
      <c r="J203" s="26">
        <f t="dataTable" ref="J203:N207" dt2D="1" dtr="1" r1="F7" r2="C188" ca="1"/>
        <v>0.2012833170149857</v>
      </c>
      <c r="K203" s="26">
        <v>0.18692265691370769</v>
      </c>
      <c r="L203" s="26">
        <v>0.17353414880322759</v>
      </c>
      <c r="M203" s="26">
        <v>0.16100356164248342</v>
      </c>
      <c r="N203" s="26">
        <v>0.14923520132808177</v>
      </c>
    </row>
    <row r="204" spans="2:16" x14ac:dyDescent="0.45">
      <c r="I204" s="49">
        <f>I205-1</f>
        <v>17.2</v>
      </c>
      <c r="J204" s="26">
        <v>0.22348552816357881</v>
      </c>
      <c r="K204" s="26">
        <v>0.20885945323213195</v>
      </c>
      <c r="L204" s="26">
        <v>0.19522349767955349</v>
      </c>
      <c r="M204" s="26">
        <v>0.18246131923803421</v>
      </c>
      <c r="N204" s="26">
        <v>0.17047545517836737</v>
      </c>
    </row>
    <row r="205" spans="2:16" x14ac:dyDescent="0.45">
      <c r="H205" s="23" t="s">
        <v>177</v>
      </c>
      <c r="I205" s="49">
        <v>18.2</v>
      </c>
      <c r="J205" s="26">
        <v>0.24418413997854493</v>
      </c>
      <c r="K205" s="26">
        <v>0.22931062489319864</v>
      </c>
      <c r="L205" s="38">
        <v>0.21544397977036223</v>
      </c>
      <c r="M205" s="26">
        <v>0.20246589409382176</v>
      </c>
      <c r="N205" s="26">
        <v>0.19027725628511782</v>
      </c>
    </row>
    <row r="206" spans="2:16" x14ac:dyDescent="0.45">
      <c r="I206" s="49">
        <f>I205+1</f>
        <v>19.2</v>
      </c>
      <c r="J206" s="26">
        <v>0.26359051292198932</v>
      </c>
      <c r="K206" s="26">
        <v>0.24848500566486442</v>
      </c>
      <c r="L206" s="26">
        <v>0.2344020731950982</v>
      </c>
      <c r="M206" s="26">
        <v>0.22122155962815282</v>
      </c>
      <c r="N206" s="26">
        <v>0.20884280747593054</v>
      </c>
    </row>
    <row r="207" spans="2:16" x14ac:dyDescent="0.45">
      <c r="I207" s="49">
        <f>I206+1</f>
        <v>20.2</v>
      </c>
      <c r="J207" s="26">
        <v>0.28187311593664566</v>
      </c>
      <c r="K207" s="26">
        <v>0.26654905053929023</v>
      </c>
      <c r="L207" s="26">
        <v>0.25226235533073016</v>
      </c>
      <c r="M207" s="26">
        <v>0.23889113591833144</v>
      </c>
      <c r="N207" s="26">
        <v>0.22633327842375217</v>
      </c>
    </row>
    <row r="209" spans="8:14" x14ac:dyDescent="0.45">
      <c r="J209" s="46" t="s">
        <v>187</v>
      </c>
      <c r="K209" s="45"/>
      <c r="L209" s="45"/>
      <c r="M209" s="45"/>
      <c r="N209" s="45"/>
    </row>
    <row r="210" spans="8:14" x14ac:dyDescent="0.45">
      <c r="I210" s="47">
        <f ca="1">P197</f>
        <v>0.21544397977036223</v>
      </c>
      <c r="J210" s="6">
        <f>K210-2</f>
        <v>-4</v>
      </c>
      <c r="K210" s="6">
        <f>L210-2</f>
        <v>-2</v>
      </c>
      <c r="L210" s="6">
        <v>0</v>
      </c>
      <c r="M210" s="6">
        <f>L210+2</f>
        <v>2</v>
      </c>
      <c r="N210" s="6">
        <f>M210+2</f>
        <v>4</v>
      </c>
    </row>
    <row r="211" spans="8:14" x14ac:dyDescent="0.45">
      <c r="I211" s="50">
        <f>I212-0.5</f>
        <v>-1</v>
      </c>
      <c r="J211" s="26">
        <f t="dataTable" ref="J211:N215" dt2D="1" dtr="1" r1="S29" r2="S30" ca="1"/>
        <v>8.277538640004467E-2</v>
      </c>
      <c r="K211" s="26">
        <v>9.7822127075156251E-2</v>
      </c>
      <c r="L211" s="26">
        <v>0.11209098752737834</v>
      </c>
      <c r="M211" s="26">
        <v>0.12567760572649989</v>
      </c>
      <c r="N211" s="26">
        <v>0.13865292333507151</v>
      </c>
    </row>
    <row r="212" spans="8:14" x14ac:dyDescent="0.45">
      <c r="I212" s="50">
        <f>I213-0.5</f>
        <v>-0.5</v>
      </c>
      <c r="J212" s="26">
        <v>0.13950169785219835</v>
      </c>
      <c r="K212" s="26">
        <v>0.15427119549165602</v>
      </c>
      <c r="L212" s="26">
        <v>0.16832129944837582</v>
      </c>
      <c r="M212" s="26">
        <v>0.18172693367774939</v>
      </c>
      <c r="N212" s="26">
        <v>0.19455576370474326</v>
      </c>
    </row>
    <row r="213" spans="8:14" x14ac:dyDescent="0.45">
      <c r="H213" s="23" t="s">
        <v>188</v>
      </c>
      <c r="I213" s="50">
        <v>0</v>
      </c>
      <c r="J213" s="26">
        <v>0.18676726341134442</v>
      </c>
      <c r="K213" s="26">
        <v>0.20144778305653932</v>
      </c>
      <c r="L213" s="38">
        <v>0.21544397972348683</v>
      </c>
      <c r="M213" s="26">
        <v>0.22882369548210613</v>
      </c>
      <c r="N213" s="26">
        <v>0.2416448536836453</v>
      </c>
    </row>
    <row r="214" spans="8:14" x14ac:dyDescent="0.45">
      <c r="I214" s="50">
        <f>I213+0.5</f>
        <v>0.5</v>
      </c>
      <c r="J214" s="26">
        <v>0.22751851032894566</v>
      </c>
      <c r="K214" s="26">
        <v>0.24220188876740223</v>
      </c>
      <c r="L214" s="26">
        <v>0.25622214352551276</v>
      </c>
      <c r="M214" s="26">
        <v>0.269643074406825</v>
      </c>
      <c r="N214" s="26">
        <v>0.28251941504042821</v>
      </c>
    </row>
    <row r="215" spans="8:14" x14ac:dyDescent="0.45">
      <c r="I215" s="50">
        <f>I214+0.5</f>
        <v>1</v>
      </c>
      <c r="J215" s="26">
        <v>0.26348238346445618</v>
      </c>
      <c r="K215" s="26">
        <v>0.27821822998189272</v>
      </c>
      <c r="L215" s="26">
        <v>0.29230430881213842</v>
      </c>
      <c r="M215" s="26">
        <v>0.30580173394906951</v>
      </c>
      <c r="N215" s="26">
        <v>0.31876311989948003</v>
      </c>
    </row>
  </sheetData>
  <pageMargins left="0.7" right="0.7" top="0.75" bottom="0.75" header="0.3" footer="0.3"/>
  <pageSetup paperSize="9" scale="22" orientation="portrait" r:id="rId1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36"/>
  <sheetViews>
    <sheetView showGridLines="0" workbookViewId="0">
      <selection activeCell="C12" sqref="C12"/>
    </sheetView>
  </sheetViews>
  <sheetFormatPr defaultColWidth="10.59765625" defaultRowHeight="14.25" x14ac:dyDescent="0.45"/>
  <cols>
    <col min="1" max="1" width="1.59765625" style="65" customWidth="1"/>
    <col min="2" max="2" width="35" style="65" customWidth="1"/>
    <col min="3" max="11" width="12" style="65" customWidth="1"/>
  </cols>
  <sheetData>
    <row r="2" spans="2:17" x14ac:dyDescent="0.45">
      <c r="B2" s="64" t="s">
        <v>189</v>
      </c>
    </row>
    <row r="3" spans="2:17" x14ac:dyDescent="0.45">
      <c r="B3" t="s">
        <v>190</v>
      </c>
    </row>
    <row r="4" spans="2:17" x14ac:dyDescent="0.45">
      <c r="B4" t="s">
        <v>191</v>
      </c>
    </row>
    <row r="5" spans="2:17" x14ac:dyDescent="0.45">
      <c r="B5" t="s">
        <v>192</v>
      </c>
    </row>
    <row r="6" spans="2:17" x14ac:dyDescent="0.45">
      <c r="B6" t="s">
        <v>193</v>
      </c>
    </row>
    <row r="8" spans="2:17" x14ac:dyDescent="0.45">
      <c r="B8" s="59" t="s">
        <v>194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</row>
    <row r="9" spans="2:17" x14ac:dyDescent="0.45">
      <c r="B9" s="61" t="s">
        <v>195</v>
      </c>
      <c r="C9" s="62"/>
      <c r="D9" s="62"/>
      <c r="E9" s="62"/>
      <c r="F9" s="63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spans="2:17" x14ac:dyDescent="0.45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</row>
    <row r="11" spans="2:17" x14ac:dyDescent="0.45">
      <c r="B11" s="66" t="s">
        <v>196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</row>
    <row r="12" spans="2:17" x14ac:dyDescent="0.45">
      <c r="B12" s="62" t="s">
        <v>197</v>
      </c>
      <c r="C12" s="67">
        <f ca="1">LBO!P92</f>
        <v>402.6784018191434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spans="2:17" x14ac:dyDescent="0.45">
      <c r="B13" s="62" t="s">
        <v>198</v>
      </c>
      <c r="C13" s="67">
        <f ca="1">LBO!P179-LBO!P100</f>
        <v>1056.2196022904577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spans="2:17" x14ac:dyDescent="0.45">
      <c r="B14" s="62" t="s">
        <v>199</v>
      </c>
      <c r="C14" s="67">
        <f>LBO!C12</f>
        <v>1787.4148846811649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</row>
    <row r="15" spans="2:17" x14ac:dyDescent="0.45">
      <c r="B15" s="62" t="s">
        <v>200</v>
      </c>
      <c r="C15" s="68">
        <f>LBO!F17</f>
        <v>0.05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spans="2:17" x14ac:dyDescent="0.45">
      <c r="B16" s="62" t="s">
        <v>201</v>
      </c>
      <c r="C16" s="68">
        <f>LBO!F18</f>
        <v>0.05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</row>
    <row r="17" spans="2:17" x14ac:dyDescent="0.45">
      <c r="B17" s="62" t="s">
        <v>202</v>
      </c>
      <c r="C17" s="68">
        <v>2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spans="2:17" x14ac:dyDescent="0.45">
      <c r="B18" s="62" t="s">
        <v>203</v>
      </c>
      <c r="C18" s="67">
        <f>C14*(1+C17)</f>
        <v>5362.2446540434948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spans="2:17" x14ac:dyDescent="0.45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</row>
    <row r="20" spans="2:17" x14ac:dyDescent="0.45">
      <c r="B20" s="66" t="s">
        <v>204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</row>
    <row r="21" spans="2:17" x14ac:dyDescent="0.45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spans="2:17" x14ac:dyDescent="0.45">
      <c r="B22" s="66" t="s">
        <v>205</v>
      </c>
      <c r="C22" s="66" t="s">
        <v>206</v>
      </c>
      <c r="D22" s="66" t="s">
        <v>207</v>
      </c>
      <c r="E22" s="66" t="s">
        <v>208</v>
      </c>
      <c r="F22" s="66" t="s">
        <v>209</v>
      </c>
      <c r="G22" s="66" t="s">
        <v>210</v>
      </c>
      <c r="H22" s="66" t="s">
        <v>211</v>
      </c>
      <c r="I22" s="66" t="s">
        <v>212</v>
      </c>
      <c r="J22" s="66" t="s">
        <v>213</v>
      </c>
      <c r="K22" s="66" t="s">
        <v>214</v>
      </c>
      <c r="L22" s="62"/>
      <c r="M22" s="62"/>
      <c r="N22" s="62"/>
      <c r="O22" s="62"/>
      <c r="P22" s="62"/>
      <c r="Q22" s="62"/>
    </row>
    <row r="23" spans="2:17" x14ac:dyDescent="0.45">
      <c r="B23" s="62" t="s">
        <v>178</v>
      </c>
      <c r="C23" s="67">
        <f ca="1">$C$12*15</f>
        <v>6040.1760272871506</v>
      </c>
      <c r="D23" s="67">
        <f ca="1">$C$12*15.5</f>
        <v>6241.515228196723</v>
      </c>
      <c r="E23" s="67">
        <f ca="1">$C$12*16</f>
        <v>6442.8544291062944</v>
      </c>
      <c r="F23" s="67">
        <f ca="1">$C$12*16.5</f>
        <v>6644.1936300158659</v>
      </c>
      <c r="G23" s="67">
        <f ca="1">$C$12*17</f>
        <v>6845.5328309254382</v>
      </c>
      <c r="H23" s="67">
        <f ca="1">$C$12*17.5</f>
        <v>7046.8720318350097</v>
      </c>
      <c r="I23" s="67">
        <f ca="1">$C$12*18</f>
        <v>7248.2112327445811</v>
      </c>
      <c r="J23" s="67">
        <f ca="1">$C$12*18.5</f>
        <v>7449.5504336541526</v>
      </c>
      <c r="K23" s="67">
        <f ca="1">$C$12*19</f>
        <v>7650.8896345637249</v>
      </c>
      <c r="L23" s="62"/>
      <c r="M23" s="62"/>
      <c r="N23" s="62"/>
      <c r="O23" s="62"/>
      <c r="P23" s="62"/>
      <c r="Q23" s="62"/>
    </row>
    <row r="24" spans="2:17" x14ac:dyDescent="0.45">
      <c r="B24" s="62" t="s">
        <v>181</v>
      </c>
      <c r="C24" s="67">
        <f t="shared" ref="C24:K24" ca="1" si="0">C23-$C$13</f>
        <v>4983.9564249966934</v>
      </c>
      <c r="D24" s="67">
        <f t="shared" ca="1" si="0"/>
        <v>5185.2956259062648</v>
      </c>
      <c r="E24" s="67">
        <f t="shared" ca="1" si="0"/>
        <v>5386.6348268158363</v>
      </c>
      <c r="F24" s="67">
        <f t="shared" ca="1" si="0"/>
        <v>5587.9740277254077</v>
      </c>
      <c r="G24" s="67">
        <f t="shared" ca="1" si="0"/>
        <v>5789.313228634981</v>
      </c>
      <c r="H24" s="67">
        <f t="shared" ca="1" si="0"/>
        <v>5990.6524295445524</v>
      </c>
      <c r="I24" s="67">
        <f t="shared" ca="1" si="0"/>
        <v>6191.9916304541239</v>
      </c>
      <c r="J24" s="67">
        <f t="shared" ca="1" si="0"/>
        <v>6393.3308313636953</v>
      </c>
      <c r="K24" s="67">
        <f t="shared" ca="1" si="0"/>
        <v>6594.6700322732668</v>
      </c>
      <c r="L24" s="62"/>
      <c r="M24" s="62"/>
      <c r="N24" s="62"/>
      <c r="O24" s="62"/>
      <c r="P24" s="62"/>
      <c r="Q24" s="62"/>
    </row>
    <row r="25" spans="2:17" x14ac:dyDescent="0.45">
      <c r="B25" s="62" t="s">
        <v>215</v>
      </c>
      <c r="C25" s="67">
        <f t="shared" ref="C25:K25" ca="1" si="1">C24-$C$14</f>
        <v>3196.5415403155284</v>
      </c>
      <c r="D25" s="67">
        <f t="shared" ca="1" si="1"/>
        <v>3397.8807412250999</v>
      </c>
      <c r="E25" s="67">
        <f t="shared" ca="1" si="1"/>
        <v>3599.2199421346713</v>
      </c>
      <c r="F25" s="67">
        <f t="shared" ca="1" si="1"/>
        <v>3800.5591430442428</v>
      </c>
      <c r="G25" s="67">
        <f t="shared" ca="1" si="1"/>
        <v>4001.898343953816</v>
      </c>
      <c r="H25" s="67">
        <f t="shared" ca="1" si="1"/>
        <v>4203.2375448633875</v>
      </c>
      <c r="I25" s="67">
        <f t="shared" ca="1" si="1"/>
        <v>4404.5767457729589</v>
      </c>
      <c r="J25" s="67">
        <f t="shared" ca="1" si="1"/>
        <v>4605.9159466825304</v>
      </c>
      <c r="K25" s="67">
        <f t="shared" ca="1" si="1"/>
        <v>4807.2551475921018</v>
      </c>
      <c r="L25" s="62"/>
      <c r="M25" s="62"/>
      <c r="N25" s="62"/>
      <c r="O25" s="62"/>
      <c r="P25" s="62"/>
      <c r="Q25" s="62"/>
    </row>
    <row r="26" spans="2:17" x14ac:dyDescent="0.45">
      <c r="B26" s="62" t="s">
        <v>216</v>
      </c>
      <c r="C26" s="62" t="str">
        <f t="shared" ref="C26:K26" ca="1" si="2">IF(C24&gt;=$C$18,"Yes","No")</f>
        <v>No</v>
      </c>
      <c r="D26" s="62" t="str">
        <f t="shared" ca="1" si="2"/>
        <v>No</v>
      </c>
      <c r="E26" s="62" t="str">
        <f t="shared" ca="1" si="2"/>
        <v>Yes</v>
      </c>
      <c r="F26" s="62" t="str">
        <f t="shared" ca="1" si="2"/>
        <v>Yes</v>
      </c>
      <c r="G26" s="62" t="str">
        <f t="shared" ca="1" si="2"/>
        <v>Yes</v>
      </c>
      <c r="H26" s="62" t="str">
        <f t="shared" ca="1" si="2"/>
        <v>Yes</v>
      </c>
      <c r="I26" s="62" t="str">
        <f t="shared" ca="1" si="2"/>
        <v>Yes</v>
      </c>
      <c r="J26" s="62" t="str">
        <f t="shared" ca="1" si="2"/>
        <v>Yes</v>
      </c>
      <c r="K26" s="62" t="str">
        <f t="shared" ca="1" si="2"/>
        <v>Yes</v>
      </c>
      <c r="L26" s="62"/>
      <c r="M26" s="62"/>
      <c r="N26" s="62"/>
      <c r="O26" s="62"/>
      <c r="P26" s="62"/>
      <c r="Q26" s="62"/>
    </row>
    <row r="27" spans="2:17" x14ac:dyDescent="0.45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spans="2:17" x14ac:dyDescent="0.45">
      <c r="B28" s="66" t="s">
        <v>217</v>
      </c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spans="2:17" x14ac:dyDescent="0.45">
      <c r="B29" s="62" t="s">
        <v>218</v>
      </c>
      <c r="C29" s="67">
        <f t="shared" ref="C29:K29" ca="1" si="3">$C$15*C24</f>
        <v>249.19782124983467</v>
      </c>
      <c r="D29" s="67">
        <f t="shared" ca="1" si="3"/>
        <v>259.26478129531324</v>
      </c>
      <c r="E29" s="67">
        <f t="shared" ca="1" si="3"/>
        <v>269.33174134079184</v>
      </c>
      <c r="F29" s="67">
        <f t="shared" ca="1" si="3"/>
        <v>279.39870138627037</v>
      </c>
      <c r="G29" s="67">
        <f t="shared" ca="1" si="3"/>
        <v>289.46566143174908</v>
      </c>
      <c r="H29" s="67">
        <f t="shared" ca="1" si="3"/>
        <v>299.53262147722762</v>
      </c>
      <c r="I29" s="67">
        <f t="shared" ca="1" si="3"/>
        <v>309.59958152270622</v>
      </c>
      <c r="J29" s="67">
        <f t="shared" ca="1" si="3"/>
        <v>319.66654156818481</v>
      </c>
      <c r="K29" s="67">
        <f t="shared" ca="1" si="3"/>
        <v>329.73350161366335</v>
      </c>
      <c r="L29" s="62"/>
      <c r="M29" s="62"/>
      <c r="N29" s="62"/>
      <c r="O29" s="62"/>
      <c r="P29" s="62"/>
      <c r="Q29" s="62"/>
    </row>
    <row r="30" spans="2:17" x14ac:dyDescent="0.45">
      <c r="B30" s="62" t="s">
        <v>219</v>
      </c>
      <c r="C30" s="67">
        <f t="shared" ref="C30:K30" ca="1" si="4">IF(C24&gt;=$C$18,$C$16*C25,0)</f>
        <v>0</v>
      </c>
      <c r="D30" s="67">
        <f t="shared" ca="1" si="4"/>
        <v>0</v>
      </c>
      <c r="E30" s="67">
        <f t="shared" ca="1" si="4"/>
        <v>179.96099710673357</v>
      </c>
      <c r="F30" s="67">
        <f t="shared" ca="1" si="4"/>
        <v>190.02795715221214</v>
      </c>
      <c r="G30" s="67">
        <f t="shared" ca="1" si="4"/>
        <v>200.09491719769082</v>
      </c>
      <c r="H30" s="67">
        <f t="shared" ca="1" si="4"/>
        <v>210.16187724316939</v>
      </c>
      <c r="I30" s="67">
        <f t="shared" ca="1" si="4"/>
        <v>220.22883728864795</v>
      </c>
      <c r="J30" s="67">
        <f t="shared" ca="1" si="4"/>
        <v>230.29579733412652</v>
      </c>
      <c r="K30" s="67">
        <f t="shared" ca="1" si="4"/>
        <v>240.36275737960511</v>
      </c>
      <c r="L30" s="62"/>
      <c r="M30" s="62"/>
      <c r="N30" s="62"/>
      <c r="O30" s="62"/>
      <c r="P30" s="62"/>
      <c r="Q30" s="62"/>
    </row>
    <row r="31" spans="2:17" x14ac:dyDescent="0.45">
      <c r="B31" s="66" t="s">
        <v>220</v>
      </c>
      <c r="C31" s="69">
        <f t="shared" ref="C31:K31" ca="1" si="5">C29+C30</f>
        <v>249.19782124983467</v>
      </c>
      <c r="D31" s="69">
        <f t="shared" ca="1" si="5"/>
        <v>259.26478129531324</v>
      </c>
      <c r="E31" s="69">
        <f t="shared" ca="1" si="5"/>
        <v>449.29273844752538</v>
      </c>
      <c r="F31" s="69">
        <f t="shared" ca="1" si="5"/>
        <v>469.42665853848251</v>
      </c>
      <c r="G31" s="69">
        <f t="shared" ca="1" si="5"/>
        <v>489.56057862943987</v>
      </c>
      <c r="H31" s="69">
        <f t="shared" ca="1" si="5"/>
        <v>509.69449872039701</v>
      </c>
      <c r="I31" s="69">
        <f t="shared" ca="1" si="5"/>
        <v>529.82841881135414</v>
      </c>
      <c r="J31" s="69">
        <f t="shared" ca="1" si="5"/>
        <v>549.96233890231133</v>
      </c>
      <c r="K31" s="69">
        <f t="shared" ca="1" si="5"/>
        <v>570.09625899326852</v>
      </c>
      <c r="L31" s="62"/>
      <c r="M31" s="62"/>
      <c r="N31" s="62"/>
      <c r="O31" s="62"/>
      <c r="P31" s="62"/>
      <c r="Q31" s="62"/>
    </row>
    <row r="32" spans="2:17" x14ac:dyDescent="0.45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spans="2:17" x14ac:dyDescent="0.45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</row>
    <row r="34" spans="2:17" x14ac:dyDescent="0.45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</row>
    <row r="35" spans="2:17" x14ac:dyDescent="0.45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</row>
    <row r="36" spans="2:17" x14ac:dyDescent="0.45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LBO</vt:lpstr>
      <vt:lpstr>Mgmt Return Analysis</vt:lpstr>
      <vt:lpstr>LBO!Print_Area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Kolosov</dc:creator>
  <cp:lastModifiedBy>Danial Azmi</cp:lastModifiedBy>
  <dcterms:created xsi:type="dcterms:W3CDTF">2009-10-20T07:07:16Z</dcterms:created>
  <dcterms:modified xsi:type="dcterms:W3CDTF">2026-01-06T23:11:57Z</dcterms:modified>
</cp:coreProperties>
</file>