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Mac\Home\Code\ib-bench\eval\responses\claude-opus-4-5-20251101\20260106_203330\"/>
    </mc:Choice>
  </mc:AlternateContent>
  <xr:revisionPtr revIDLastSave="0" documentId="13_ncr:1_{082C2FA2-38FC-4E2B-95FF-D3DBDA96E2D7}" xr6:coauthVersionLast="47" xr6:coauthVersionMax="47" xr10:uidLastSave="{00000000-0000-0000-0000-000000000000}"/>
  <bookViews>
    <workbookView xWindow="-98" yWindow="-98" windowWidth="22875" windowHeight="14431" firstSheet="1" activeTab="3" xr2:uid="{00000000-000D-0000-FFFF-FFFF00000000}"/>
  </bookViews>
  <sheets>
    <sheet name="BBPTACShadowWks0001" sheetId="1" state="veryHidden" r:id="rId1"/>
    <sheet name="Model Shell" sheetId="2" r:id="rId2"/>
    <sheet name="BBPTACShadowWks0002" sheetId="3" state="veryHidden" r:id="rId3"/>
    <sheet name="Marine DCF" sheetId="4" r:id="rId4"/>
  </sheets>
  <externalReferences>
    <externalReference r:id="rId5"/>
  </externalReferences>
  <definedNames>
    <definedName name="__FDS_HYPERLINK_TOGGLE_STATE__" hidden="1">"ON"</definedName>
    <definedName name="__FDS_UNIQUE_RANGE_ID_GENERATOR_COUNTER" hidden="1">1</definedName>
    <definedName name="_bdm.37E89C6F8EB84A6588A4721AAA3AF7F7.edm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anscount" hidden="1">1</definedName>
    <definedName name="bb_OTZCOTgxQUY0ODA1NDBENk" hidden="1">#REF!</definedName>
    <definedName name="bb_RDBCNzlFRTIzQTRDNDY5ND" hidden="1">'[1]Key Assumptions'!#REF!</definedName>
    <definedName name="BBPTAutoColor_Changed" localSheetId="3" hidden="1">TRUE</definedName>
    <definedName name="BBPTAutoColor_ShadowWksName" localSheetId="3" hidden="1">"BBPTACShadowWks0002"</definedName>
    <definedName name="BLPH1" hidden="1">#REF!</definedName>
    <definedName name="BLPH2" hidden="1">#REF!</definedName>
    <definedName name="BLPH3" hidden="1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mg_12_Mo_Mkt_Vac_Chng" hidden="1">"IMG_12"</definedName>
    <definedName name="Img_24_Mo_Mkt_Vac_Chng" hidden="1">"IMG_12"</definedName>
    <definedName name="Img_24_Mo_Mkt_Vac_Chng_Est" hidden="1">"IMG_12"</definedName>
    <definedName name="Img_AFFO_Mult" hidden="1">"IMG_10"</definedName>
    <definedName name="Img_AFFO_Mult__2_" hidden="1">"IMG_12"</definedName>
    <definedName name="Img_AFFO_Mult__3_" hidden="1">"IMG_17"</definedName>
    <definedName name="Img_Annual_Net_Absorption" hidden="1">"IMG_12"</definedName>
    <definedName name="Img_Apartment_" hidden="1">"IMG_10"</definedName>
    <definedName name="Img_Avg_Rent_Chart" hidden="1">"IMG_12"</definedName>
    <definedName name="Img_BBB_Chart__for_L_" hidden="1">"IMG_17"</definedName>
    <definedName name="Img_cbd_vs_sub" hidden="1">"IMG_12"</definedName>
    <definedName name="Img_Chart1" hidden="1">"IMG_11"</definedName>
    <definedName name="Img_Chart2" hidden="1">"IMG_13"</definedName>
    <definedName name="Img_Chart4" hidden="1">"IMG_10"</definedName>
    <definedName name="Img_Debt_Exp" hidden="1">"IMG_12"</definedName>
    <definedName name="Img_Diversified" hidden="1">"IMG_10"</definedName>
    <definedName name="Img_EE_Trends" hidden="1">"IMG_12"</definedName>
    <definedName name="Img_Empl._Chart_2006E" hidden="1">"IMG_12"</definedName>
    <definedName name="Img_GDP_Growth" hidden="1">"IMG_12"</definedName>
    <definedName name="Img_Global_Div_Yld" hidden="1">"IMG_12"</definedName>
    <definedName name="Img_Global_Div_Yld_Cht" hidden="1">"IMG_12"</definedName>
    <definedName name="Img_Impl_Cap_Chart" hidden="1">"IMG_13"</definedName>
    <definedName name="Img_Impl_Cap_Chart__2_" hidden="1">"IMG_17"</definedName>
    <definedName name="Img_Industrial" hidden="1">"IMG_10"</definedName>
    <definedName name="Img_Manufactured_Homes" hidden="1">"IMG_10"</definedName>
    <definedName name="Img_Mkt_Vac_Rate" hidden="1">"IMG_12"</definedName>
    <definedName name="Img_ML_1y7a6c1t" hidden="1">"IMG_12"</definedName>
    <definedName name="Img_ML_2e1r5p2m" hidden="1">"IMG_17"</definedName>
    <definedName name="Img_ML_2v6s9i5c" hidden="1">"IMG_12"</definedName>
    <definedName name="Img_ML_2x1b8j5c" hidden="1">"IMG_11"</definedName>
    <definedName name="Img_ML_3b3j3x9k" hidden="1">"IMG_10"</definedName>
    <definedName name="Img_ML_3c7g1a7g" hidden="1">"IMG_3"</definedName>
    <definedName name="Img_ML_3d6s8l7p" hidden="1">"IMG_11"</definedName>
    <definedName name="Img_ML_3e2q4k7i" hidden="1">"IMG_10"</definedName>
    <definedName name="Img_ML_5h6q3g8u" hidden="1">"IMG_12"</definedName>
    <definedName name="Img_ML_6f2p1m9g" hidden="1">"IMG_10"</definedName>
    <definedName name="Img_ML_6y9f7y3n" hidden="1">"IMG_12"</definedName>
    <definedName name="Img_ML_7g5e5e2b" hidden="1">"IMG_3"</definedName>
    <definedName name="Img_ML_7n6h3t1t" hidden="1">"IMG_10"</definedName>
    <definedName name="Img_ML_8b9j5t1p" hidden="1">"IMG_12"</definedName>
    <definedName name="Img_ML_8h3m3i1m" hidden="1">"IMG_12"</definedName>
    <definedName name="Img_ML_8h7g4d4d" hidden="1">"IMG_3"</definedName>
    <definedName name="Img_ML_8j3w6p4c" hidden="1">"IMG_10"</definedName>
    <definedName name="Img_ML_8r1k8t4y" hidden="1">"IMG_10"</definedName>
    <definedName name="Img_ML_8s3q3c1i" hidden="1">"IMG_10"</definedName>
    <definedName name="Img_ML_9j3t2m3v" hidden="1">"IMG_11"</definedName>
    <definedName name="Img_ML_9u8u6t5w" hidden="1">"IMG_18"</definedName>
    <definedName name="Img_Newly_Delivered_Space" hidden="1">"IMG_12"</definedName>
    <definedName name="Img_Occupancy" hidden="1">"IMG_6"</definedName>
    <definedName name="Img_Office" hidden="1">"IMG_10"</definedName>
    <definedName name="Img_Production_Breakdown" hidden="1">"IMG_3"</definedName>
    <definedName name="Img_Qtr_Net_Abs" hidden="1">"IMG_12"</definedName>
    <definedName name="Img_Regional_Malls" hidden="1">"IMG_10"</definedName>
    <definedName name="Img_REIT_Div_Yld" hidden="1">"IMG_12"</definedName>
    <definedName name="Img_Self_Storage" hidden="1">"IMG_10"</definedName>
    <definedName name="Img_Shopping_Centers" hidden="1">"IMG_10"</definedName>
    <definedName name="Img_Space_UC" hidden="1">"IMG_12"</definedName>
    <definedName name="Img_Total_Reits" hidden="1">"IMG_10"</definedName>
    <definedName name="Img_TTl_Return" hidden="1">"IMG_12"</definedName>
    <definedName name="Img_US_Vac_Rate" hidden="1">"IMG_12"</definedName>
    <definedName name="Img_Utility_Chart" hidden="1">"IMG_17"</definedName>
    <definedName name="Img_Weekly_Chart" hidden="1">"IMG_10"</definedName>
    <definedName name="Img_YA1" hidden="1">"IMG_12"</definedName>
    <definedName name="Img_YIELD_Chart" hidden="1">"IMG_10"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"c252"</definedName>
    <definedName name="IQ_EBITDA_HIGH_EST" hidden="1">"c265"</definedName>
    <definedName name="IQ_EBITDA_INT" hidden="1">"c373"</definedName>
    <definedName name="IQ_EBITDA_LOW_EST" hidden="1">"c266"</definedName>
    <definedName name="IQ_EBITDA_MARGIN" hidden="1">"c372"</definedName>
    <definedName name="IQ_EBITDA_NUM_EST" hidden="1">"c267"</definedName>
    <definedName name="IQ_EBITDA_OVER_TOTAL_IE" hidden="1">"c1371"</definedName>
    <definedName name="IQ_EBITDA_STDDEV_EST" hidden="1">"c268"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"c273"</definedName>
    <definedName name="IQ_FFO_HIGH_EST" hidden="1">"c274"</definedName>
    <definedName name="IQ_FFO_LOW_EST" hidden="1">"c275"</definedName>
    <definedName name="IQ_FFO_NUM_EST" hidden="1">"c276"</definedName>
    <definedName name="IQ_FFO_STDDEV_EST" hidden="1">"c277"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"c264"</definedName>
    <definedName name="IQ_REV_UTI" hidden="1">"c1125"</definedName>
    <definedName name="IQ_REVENUE" hidden="1">"c1422"</definedName>
    <definedName name="IQ_REVENUE_EST" hidden="1">"c188"</definedName>
    <definedName name="IQ_REVENUE_HIGH_EST" hidden="1">"c261"</definedName>
    <definedName name="IQ_REVENUE_LOW_EST" hidden="1">"c262"</definedName>
    <definedName name="IQ_REVENUE_NUM_EST" hidden="1">"c263"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limcount" hidden="1">2</definedName>
    <definedName name="M_PlaceofPath" hidden="1">"F:\danders\COMPANY\HET\HET_VDF.XLS"</definedName>
    <definedName name="nsv" hidden="1">{"Exist1",#N/A,FALSE,"Exist";"exist2",#N/A,FALSE,"Exist"}</definedName>
    <definedName name="s" hidden="1">{"Exist1",#N/A,FALSE,"Exist";"exist2",#N/A,FALSE,"Exist"}</definedName>
    <definedName name="sencount" hidden="1">1</definedName>
    <definedName name="solver_cvg" hidden="1">0.0001</definedName>
    <definedName name="solver_drv" hidden="1">2</definedName>
    <definedName name="solver_eng" hidden="1">1</definedName>
    <definedName name="solver_est" hidden="1">1</definedName>
    <definedName name="solver_itr" hidden="1">2147483647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eg" hidden="1">1</definedName>
    <definedName name="solver_nod" hidden="1">2147483647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bv" hidden="1">2</definedName>
    <definedName name="solver_rlx" hidden="1">2</definedName>
    <definedName name="solver_rsd" hidden="1">0</definedName>
    <definedName name="solver_scl" hidden="1">2</definedName>
    <definedName name="solver_sho" hidden="1">2</definedName>
    <definedName name="solver_ssz" hidden="1">100</definedName>
    <definedName name="solver_tim" hidden="1">2147483647</definedName>
    <definedName name="solver_tol" hidden="1">0.01</definedName>
    <definedName name="solver_typ" hidden="1">3</definedName>
    <definedName name="solver_val" hidden="1">-232.5</definedName>
    <definedName name="solver_ver" hidden="1">3</definedName>
    <definedName name="sw.ShowDisc" hidden="1">"Yes"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xist." hidden="1">{"Exist1",#N/A,FALSE,"Exist";"exist2",#N/A,FALSE,"Exist"}</definedName>
    <definedName name="wrn.FOschedules." hidden="1">{"FOschedule1",#N/A,FALSE,"Sheet1";"FOschedule2",#N/A,FALSE,"Sheet1";"FOschedule3",#N/A,FALSE,"Sheet1"}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schedules." hidden="1">{"schedule1",#N/A,FALSE,"Sheet1";"schedule2",#N/A,FALSE,"Sheet1";"schedule3",#N/A,FALSE,"Sheet1";"schedule4",#N/A,FALSE,"Sheet1";"schedule5",#N/A,FALSE,"Sheet1";"schedule6",#N/A,FALSE,"Sheet1"}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4" l="1"/>
  <c r="R10" i="4"/>
  <c r="R10" i="3" s="1"/>
  <c r="L3" i="4"/>
  <c r="H3" i="4"/>
  <c r="I3" i="4" s="1"/>
  <c r="J3" i="4" s="1"/>
  <c r="K3" i="4" s="1"/>
  <c r="G3" i="4"/>
  <c r="F3" i="4"/>
  <c r="L2" i="4"/>
  <c r="E29" i="3"/>
  <c r="S26" i="3"/>
  <c r="S24" i="3"/>
  <c r="K24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S19" i="3"/>
  <c r="M19" i="3"/>
  <c r="L19" i="3"/>
  <c r="K19" i="3"/>
  <c r="J19" i="3"/>
  <c r="I19" i="3"/>
  <c r="H19" i="3"/>
  <c r="G19" i="3"/>
  <c r="F19" i="3"/>
  <c r="E19" i="3"/>
  <c r="Q17" i="3"/>
  <c r="P17" i="3"/>
  <c r="O17" i="3"/>
  <c r="N17" i="3"/>
  <c r="M17" i="3"/>
  <c r="L17" i="3"/>
  <c r="R15" i="3"/>
  <c r="Q15" i="3"/>
  <c r="P15" i="3"/>
  <c r="O15" i="3"/>
  <c r="N15" i="3"/>
  <c r="M15" i="3"/>
  <c r="L15" i="3"/>
  <c r="Q11" i="3"/>
  <c r="P11" i="3"/>
  <c r="O11" i="3"/>
  <c r="N11" i="3"/>
  <c r="M11" i="3"/>
  <c r="L11" i="3"/>
  <c r="K11" i="3"/>
  <c r="Q7" i="3"/>
  <c r="P7" i="3"/>
  <c r="O7" i="3"/>
  <c r="N7" i="3"/>
  <c r="M7" i="3"/>
  <c r="L7" i="3"/>
  <c r="K7" i="3"/>
  <c r="Q5" i="3"/>
  <c r="P5" i="3"/>
  <c r="O5" i="3"/>
  <c r="N5" i="3"/>
  <c r="M5" i="3"/>
  <c r="L5" i="3"/>
  <c r="K5" i="3"/>
  <c r="J4" i="3"/>
  <c r="H4" i="3"/>
  <c r="K3" i="3"/>
  <c r="I3" i="3"/>
  <c r="G3" i="3"/>
  <c r="F3" i="3"/>
  <c r="E3" i="3"/>
  <c r="K2" i="3"/>
  <c r="AH115" i="2"/>
  <c r="S115" i="2"/>
  <c r="AQ114" i="2"/>
  <c r="AP114" i="2"/>
  <c r="AO114" i="2"/>
  <c r="AN114" i="2"/>
  <c r="AM114" i="2"/>
  <c r="AL114" i="2"/>
  <c r="O114" i="2" s="1"/>
  <c r="AK114" i="2"/>
  <c r="AJ114" i="2"/>
  <c r="AI114" i="2"/>
  <c r="AH114" i="2"/>
  <c r="N114" i="2" s="1"/>
  <c r="AG114" i="2"/>
  <c r="AF114" i="2"/>
  <c r="AE114" i="2"/>
  <c r="AD114" i="2"/>
  <c r="M114" i="2" s="1"/>
  <c r="M113" i="2" s="1"/>
  <c r="H6" i="4" s="1"/>
  <c r="AC114" i="2"/>
  <c r="AB114" i="2"/>
  <c r="AA114" i="2"/>
  <c r="Z114" i="2"/>
  <c r="L114" i="2" s="1"/>
  <c r="L113" i="2" s="1"/>
  <c r="G6" i="4" s="1"/>
  <c r="Y114" i="2"/>
  <c r="X114" i="2"/>
  <c r="W114" i="2"/>
  <c r="V114" i="2"/>
  <c r="U114" i="2"/>
  <c r="T114" i="2"/>
  <c r="S114" i="2"/>
  <c r="R114" i="2"/>
  <c r="J114" i="2" s="1"/>
  <c r="J113" i="2" s="1"/>
  <c r="E6" i="4" s="1"/>
  <c r="K114" i="2"/>
  <c r="K113" i="2" s="1"/>
  <c r="F6" i="4" s="1"/>
  <c r="O113" i="2"/>
  <c r="J6" i="4" s="1"/>
  <c r="N113" i="2"/>
  <c r="I6" i="4" s="1"/>
  <c r="O112" i="2"/>
  <c r="J4" i="4" s="1"/>
  <c r="J5" i="4" s="1"/>
  <c r="J5" i="3" s="1"/>
  <c r="N112" i="2"/>
  <c r="I4" i="4" s="1"/>
  <c r="M112" i="2"/>
  <c r="H4" i="4" s="1"/>
  <c r="L112" i="2"/>
  <c r="G4" i="4" s="1"/>
  <c r="K112" i="2"/>
  <c r="F4" i="4" s="1"/>
  <c r="F5" i="4" s="1"/>
  <c r="F5" i="3" s="1"/>
  <c r="J112" i="2"/>
  <c r="E4" i="4" s="1"/>
  <c r="E4" i="3" s="1"/>
  <c r="AQ107" i="2"/>
  <c r="AN107" i="2"/>
  <c r="AJ107" i="2"/>
  <c r="AI107" i="2"/>
  <c r="AF107" i="2"/>
  <c r="AB107" i="2"/>
  <c r="AA107" i="2"/>
  <c r="X107" i="2"/>
  <c r="T107" i="2"/>
  <c r="S107" i="2"/>
  <c r="AP106" i="2"/>
  <c r="AH106" i="2"/>
  <c r="N106" i="2" s="1"/>
  <c r="Z106" i="2"/>
  <c r="R106" i="2"/>
  <c r="AQ104" i="2"/>
  <c r="AN104" i="2"/>
  <c r="AM104" i="2"/>
  <c r="AJ104" i="2"/>
  <c r="AI104" i="2"/>
  <c r="AF104" i="2"/>
  <c r="AE104" i="2"/>
  <c r="AB104" i="2"/>
  <c r="AA104" i="2"/>
  <c r="X104" i="2"/>
  <c r="W104" i="2"/>
  <c r="AQ103" i="2"/>
  <c r="AP103" i="2"/>
  <c r="AO103" i="2"/>
  <c r="AO107" i="2" s="1"/>
  <c r="AN103" i="2"/>
  <c r="AM103" i="2"/>
  <c r="AM107" i="2" s="1"/>
  <c r="AL103" i="2"/>
  <c r="AK103" i="2"/>
  <c r="AK107" i="2" s="1"/>
  <c r="AJ103" i="2"/>
  <c r="AI103" i="2"/>
  <c r="AH103" i="2"/>
  <c r="AG103" i="2"/>
  <c r="AG107" i="2" s="1"/>
  <c r="AF103" i="2"/>
  <c r="AE103" i="2"/>
  <c r="AE107" i="2" s="1"/>
  <c r="AD103" i="2"/>
  <c r="AC103" i="2"/>
  <c r="AC107" i="2" s="1"/>
  <c r="AB103" i="2"/>
  <c r="AA103" i="2"/>
  <c r="Z103" i="2"/>
  <c r="Y103" i="2"/>
  <c r="Y107" i="2" s="1"/>
  <c r="X103" i="2"/>
  <c r="W103" i="2"/>
  <c r="W107" i="2" s="1"/>
  <c r="V103" i="2"/>
  <c r="U103" i="2"/>
  <c r="U107" i="2" s="1"/>
  <c r="T103" i="2"/>
  <c r="S103" i="2"/>
  <c r="R103" i="2"/>
  <c r="R107" i="2" s="1"/>
  <c r="M103" i="2"/>
  <c r="N104" i="2" s="1"/>
  <c r="O102" i="2"/>
  <c r="N102" i="2"/>
  <c r="M102" i="2"/>
  <c r="L102" i="2"/>
  <c r="K102" i="2"/>
  <c r="J102" i="2"/>
  <c r="O101" i="2"/>
  <c r="O103" i="2" s="1"/>
  <c r="O104" i="2" s="1"/>
  <c r="N101" i="2"/>
  <c r="N103" i="2" s="1"/>
  <c r="M101" i="2"/>
  <c r="L101" i="2"/>
  <c r="L103" i="2" s="1"/>
  <c r="L104" i="2" s="1"/>
  <c r="K101" i="2"/>
  <c r="K103" i="2" s="1"/>
  <c r="K104" i="2" s="1"/>
  <c r="J101" i="2"/>
  <c r="J103" i="2" s="1"/>
  <c r="AO99" i="2"/>
  <c r="AJ99" i="2"/>
  <c r="AE99" i="2"/>
  <c r="AA99" i="2"/>
  <c r="Y99" i="2"/>
  <c r="V99" i="2"/>
  <c r="AQ98" i="2"/>
  <c r="AP98" i="2"/>
  <c r="AO98" i="2"/>
  <c r="AO106" i="2" s="1"/>
  <c r="AN98" i="2"/>
  <c r="AM98" i="2"/>
  <c r="AM106" i="2" s="1"/>
  <c r="AL98" i="2"/>
  <c r="AK98" i="2"/>
  <c r="AK106" i="2" s="1"/>
  <c r="AJ98" i="2"/>
  <c r="AJ106" i="2" s="1"/>
  <c r="AI98" i="2"/>
  <c r="AI106" i="2" s="1"/>
  <c r="AH98" i="2"/>
  <c r="AG98" i="2"/>
  <c r="AG106" i="2" s="1"/>
  <c r="AF98" i="2"/>
  <c r="AE98" i="2"/>
  <c r="AE106" i="2" s="1"/>
  <c r="AD98" i="2"/>
  <c r="AC98" i="2"/>
  <c r="AC99" i="2" s="1"/>
  <c r="AB98" i="2"/>
  <c r="AA98" i="2"/>
  <c r="AA106" i="2" s="1"/>
  <c r="Z98" i="2"/>
  <c r="Y98" i="2"/>
  <c r="Y106" i="2" s="1"/>
  <c r="X98" i="2"/>
  <c r="W98" i="2"/>
  <c r="W106" i="2" s="1"/>
  <c r="V98" i="2"/>
  <c r="V106" i="2" s="1"/>
  <c r="U98" i="2"/>
  <c r="U106" i="2" s="1"/>
  <c r="T98" i="2"/>
  <c r="T106" i="2" s="1"/>
  <c r="S98" i="2"/>
  <c r="S106" i="2" s="1"/>
  <c r="R98" i="2"/>
  <c r="O97" i="2"/>
  <c r="J16" i="4" s="1"/>
  <c r="N97" i="2"/>
  <c r="I16" i="4" s="1"/>
  <c r="M97" i="2"/>
  <c r="H16" i="4" s="1"/>
  <c r="L97" i="2"/>
  <c r="G16" i="4" s="1"/>
  <c r="K97" i="2"/>
  <c r="F16" i="4" s="1"/>
  <c r="J97" i="2"/>
  <c r="E16" i="4" s="1"/>
  <c r="O96" i="2"/>
  <c r="N96" i="2"/>
  <c r="M96" i="2"/>
  <c r="L96" i="2"/>
  <c r="K96" i="2"/>
  <c r="J96" i="2"/>
  <c r="E15" i="4" s="1"/>
  <c r="E15" i="3" s="1"/>
  <c r="AN93" i="2"/>
  <c r="AJ93" i="2"/>
  <c r="AF93" i="2"/>
  <c r="X93" i="2"/>
  <c r="T93" i="2"/>
  <c r="AQ92" i="2"/>
  <c r="AP92" i="2"/>
  <c r="AO92" i="2"/>
  <c r="AN92" i="2"/>
  <c r="AM92" i="2"/>
  <c r="AL92" i="2"/>
  <c r="O92" i="2" s="1"/>
  <c r="AK92" i="2"/>
  <c r="AJ92" i="2"/>
  <c r="AI92" i="2"/>
  <c r="AH92" i="2"/>
  <c r="N92" i="2" s="1"/>
  <c r="AG92" i="2"/>
  <c r="AF92" i="2"/>
  <c r="AE92" i="2"/>
  <c r="AD92" i="2"/>
  <c r="M92" i="2" s="1"/>
  <c r="AC92" i="2"/>
  <c r="AB92" i="2"/>
  <c r="AA92" i="2"/>
  <c r="Z92" i="2"/>
  <c r="Y92" i="2"/>
  <c r="X92" i="2"/>
  <c r="W92" i="2"/>
  <c r="V92" i="2"/>
  <c r="K92" i="2" s="1"/>
  <c r="U92" i="2"/>
  <c r="T92" i="2"/>
  <c r="S92" i="2"/>
  <c r="R92" i="2"/>
  <c r="J92" i="2" s="1"/>
  <c r="L92" i="2"/>
  <c r="AQ91" i="2"/>
  <c r="AQ115" i="2" s="1"/>
  <c r="AP91" i="2"/>
  <c r="AP115" i="2" s="1"/>
  <c r="AO91" i="2"/>
  <c r="AO115" i="2" s="1"/>
  <c r="AN91" i="2"/>
  <c r="AM91" i="2"/>
  <c r="AM115" i="2" s="1"/>
  <c r="AL91" i="2"/>
  <c r="AL115" i="2" s="1"/>
  <c r="AK91" i="2"/>
  <c r="AK115" i="2" s="1"/>
  <c r="AJ91" i="2"/>
  <c r="AJ115" i="2" s="1"/>
  <c r="AI91" i="2"/>
  <c r="AI115" i="2" s="1"/>
  <c r="AH91" i="2"/>
  <c r="AH93" i="2" s="1"/>
  <c r="AG91" i="2"/>
  <c r="AG115" i="2" s="1"/>
  <c r="AF91" i="2"/>
  <c r="AF115" i="2" s="1"/>
  <c r="AE91" i="2"/>
  <c r="AE115" i="2" s="1"/>
  <c r="AD91" i="2"/>
  <c r="AD115" i="2" s="1"/>
  <c r="AC91" i="2"/>
  <c r="AC115" i="2" s="1"/>
  <c r="AB91" i="2"/>
  <c r="AA91" i="2"/>
  <c r="AA115" i="2" s="1"/>
  <c r="Z91" i="2"/>
  <c r="Z115" i="2" s="1"/>
  <c r="Y91" i="2"/>
  <c r="Y115" i="2" s="1"/>
  <c r="X91" i="2"/>
  <c r="W91" i="2"/>
  <c r="W115" i="2" s="1"/>
  <c r="V91" i="2"/>
  <c r="V115" i="2" s="1"/>
  <c r="U91" i="2"/>
  <c r="U115" i="2" s="1"/>
  <c r="T91" i="2"/>
  <c r="T115" i="2" s="1"/>
  <c r="S91" i="2"/>
  <c r="S93" i="2" s="1"/>
  <c r="R91" i="2"/>
  <c r="R115" i="2" s="1"/>
  <c r="N91" i="2"/>
  <c r="N115" i="2" s="1"/>
  <c r="I10" i="4" s="1"/>
  <c r="J91" i="2"/>
  <c r="J115" i="2" s="1"/>
  <c r="E10" i="4" s="1"/>
  <c r="AK83" i="2"/>
  <c r="AC83" i="2"/>
  <c r="U83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M81" i="2"/>
  <c r="O80" i="2"/>
  <c r="N80" i="2"/>
  <c r="M80" i="2"/>
  <c r="L80" i="2"/>
  <c r="K80" i="2"/>
  <c r="J80" i="2"/>
  <c r="O79" i="2"/>
  <c r="O81" i="2" s="1"/>
  <c r="N79" i="2"/>
  <c r="N81" i="2" s="1"/>
  <c r="M79" i="2"/>
  <c r="L79" i="2"/>
  <c r="L81" i="2" s="1"/>
  <c r="L83" i="2" s="1"/>
  <c r="L84" i="2" s="1"/>
  <c r="K79" i="2"/>
  <c r="K81" i="2" s="1"/>
  <c r="J79" i="2"/>
  <c r="J81" i="2" s="1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O77" i="2"/>
  <c r="N77" i="2"/>
  <c r="K77" i="2"/>
  <c r="J77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AO74" i="2"/>
  <c r="AO83" i="2" s="1"/>
  <c r="AO84" i="2" s="1"/>
  <c r="AN74" i="2"/>
  <c r="AN83" i="2" s="1"/>
  <c r="AN84" i="2" s="1"/>
  <c r="AK74" i="2"/>
  <c r="AJ74" i="2"/>
  <c r="AJ83" i="2" s="1"/>
  <c r="AJ84" i="2" s="1"/>
  <c r="AG74" i="2"/>
  <c r="AG83" i="2" s="1"/>
  <c r="AG84" i="2" s="1"/>
  <c r="AF74" i="2"/>
  <c r="AF83" i="2" s="1"/>
  <c r="AF84" i="2" s="1"/>
  <c r="AC74" i="2"/>
  <c r="AB74" i="2"/>
  <c r="AB83" i="2" s="1"/>
  <c r="AB84" i="2" s="1"/>
  <c r="Y74" i="2"/>
  <c r="Y83" i="2" s="1"/>
  <c r="Y84" i="2" s="1"/>
  <c r="X74" i="2"/>
  <c r="X83" i="2" s="1"/>
  <c r="X84" i="2" s="1"/>
  <c r="U74" i="2"/>
  <c r="T74" i="2"/>
  <c r="T83" i="2" s="1"/>
  <c r="T84" i="2" s="1"/>
  <c r="O73" i="2"/>
  <c r="N73" i="2"/>
  <c r="M73" i="2"/>
  <c r="L73" i="2"/>
  <c r="K73" i="2"/>
  <c r="J73" i="2"/>
  <c r="O72" i="2"/>
  <c r="N72" i="2"/>
  <c r="M72" i="2"/>
  <c r="L72" i="2"/>
  <c r="K72" i="2"/>
  <c r="J72" i="2"/>
  <c r="O71" i="2"/>
  <c r="O74" i="2" s="1"/>
  <c r="N71" i="2"/>
  <c r="M71" i="2"/>
  <c r="L71" i="2"/>
  <c r="K71" i="2"/>
  <c r="J71" i="2"/>
  <c r="O70" i="2"/>
  <c r="O76" i="2" s="1"/>
  <c r="N70" i="2"/>
  <c r="N76" i="2" s="1"/>
  <c r="M70" i="2"/>
  <c r="L70" i="2"/>
  <c r="K70" i="2"/>
  <c r="K76" i="2" s="1"/>
  <c r="J70" i="2"/>
  <c r="J76" i="2" s="1"/>
  <c r="AQ68" i="2"/>
  <c r="AQ74" i="2" s="1"/>
  <c r="AP68" i="2"/>
  <c r="AP74" i="2" s="1"/>
  <c r="AO68" i="2"/>
  <c r="AN68" i="2"/>
  <c r="AM68" i="2"/>
  <c r="AM74" i="2" s="1"/>
  <c r="AL68" i="2"/>
  <c r="AL74" i="2" s="1"/>
  <c r="AK68" i="2"/>
  <c r="AJ68" i="2"/>
  <c r="AI68" i="2"/>
  <c r="AI74" i="2" s="1"/>
  <c r="AH68" i="2"/>
  <c r="AH74" i="2" s="1"/>
  <c r="AG68" i="2"/>
  <c r="AF68" i="2"/>
  <c r="AE68" i="2"/>
  <c r="AE74" i="2" s="1"/>
  <c r="AD68" i="2"/>
  <c r="AD74" i="2" s="1"/>
  <c r="AC68" i="2"/>
  <c r="AB68" i="2"/>
  <c r="AA68" i="2"/>
  <c r="AA74" i="2" s="1"/>
  <c r="Z68" i="2"/>
  <c r="Z74" i="2" s="1"/>
  <c r="Y68" i="2"/>
  <c r="X68" i="2"/>
  <c r="W68" i="2"/>
  <c r="W74" i="2" s="1"/>
  <c r="V68" i="2"/>
  <c r="V74" i="2" s="1"/>
  <c r="U68" i="2"/>
  <c r="T68" i="2"/>
  <c r="S68" i="2"/>
  <c r="S74" i="2" s="1"/>
  <c r="R68" i="2"/>
  <c r="R74" i="2" s="1"/>
  <c r="L68" i="2"/>
  <c r="L74" i="2" s="1"/>
  <c r="O67" i="2"/>
  <c r="N67" i="2"/>
  <c r="M67" i="2"/>
  <c r="M76" i="2" s="1"/>
  <c r="L67" i="2"/>
  <c r="L76" i="2" s="1"/>
  <c r="K67" i="2"/>
  <c r="J67" i="2"/>
  <c r="O66" i="2"/>
  <c r="N66" i="2"/>
  <c r="M66" i="2"/>
  <c r="L66" i="2"/>
  <c r="K66" i="2"/>
  <c r="J66" i="2"/>
  <c r="O65" i="2"/>
  <c r="N65" i="2"/>
  <c r="M65" i="2"/>
  <c r="L65" i="2"/>
  <c r="K65" i="2"/>
  <c r="J65" i="2"/>
  <c r="O64" i="2"/>
  <c r="N64" i="2"/>
  <c r="M64" i="2"/>
  <c r="L64" i="2"/>
  <c r="K64" i="2"/>
  <c r="J64" i="2"/>
  <c r="O63" i="2"/>
  <c r="N63" i="2"/>
  <c r="M63" i="2"/>
  <c r="L63" i="2"/>
  <c r="K63" i="2"/>
  <c r="J63" i="2"/>
  <c r="O62" i="2"/>
  <c r="O68" i="2" s="1"/>
  <c r="N62" i="2"/>
  <c r="N68" i="2" s="1"/>
  <c r="N74" i="2" s="1"/>
  <c r="M62" i="2"/>
  <c r="M68" i="2" s="1"/>
  <c r="M74" i="2" s="1"/>
  <c r="L62" i="2"/>
  <c r="K62" i="2"/>
  <c r="K68" i="2" s="1"/>
  <c r="K74" i="2" s="1"/>
  <c r="J62" i="2"/>
  <c r="J68" i="2" s="1"/>
  <c r="J74" i="2" s="1"/>
  <c r="AO60" i="2"/>
  <c r="AN60" i="2"/>
  <c r="AK60" i="2"/>
  <c r="AJ60" i="2"/>
  <c r="AG60" i="2"/>
  <c r="AF60" i="2"/>
  <c r="AC60" i="2"/>
  <c r="AB60" i="2"/>
  <c r="Y60" i="2"/>
  <c r="X60" i="2"/>
  <c r="U60" i="2"/>
  <c r="T60" i="2"/>
  <c r="O59" i="2"/>
  <c r="N59" i="2"/>
  <c r="M59" i="2"/>
  <c r="L59" i="2"/>
  <c r="K59" i="2"/>
  <c r="J59" i="2"/>
  <c r="O58" i="2"/>
  <c r="N58" i="2"/>
  <c r="M58" i="2"/>
  <c r="L58" i="2"/>
  <c r="K58" i="2"/>
  <c r="J58" i="2"/>
  <c r="O57" i="2"/>
  <c r="N57" i="2"/>
  <c r="M57" i="2"/>
  <c r="L57" i="2"/>
  <c r="K57" i="2"/>
  <c r="J57" i="2"/>
  <c r="O56" i="2"/>
  <c r="N56" i="2"/>
  <c r="M56" i="2"/>
  <c r="L56" i="2"/>
  <c r="K56" i="2"/>
  <c r="K60" i="2" s="1"/>
  <c r="J56" i="2"/>
  <c r="O55" i="2"/>
  <c r="N55" i="2"/>
  <c r="M55" i="2"/>
  <c r="L55" i="2"/>
  <c r="K55" i="2"/>
  <c r="J55" i="2"/>
  <c r="AQ53" i="2"/>
  <c r="AQ60" i="2" s="1"/>
  <c r="AP53" i="2"/>
  <c r="AP60" i="2" s="1"/>
  <c r="AO53" i="2"/>
  <c r="AN53" i="2"/>
  <c r="AM53" i="2"/>
  <c r="AM60" i="2" s="1"/>
  <c r="AL53" i="2"/>
  <c r="AL60" i="2" s="1"/>
  <c r="AK53" i="2"/>
  <c r="AJ53" i="2"/>
  <c r="AI53" i="2"/>
  <c r="AI60" i="2" s="1"/>
  <c r="AH53" i="2"/>
  <c r="AH60" i="2" s="1"/>
  <c r="AG53" i="2"/>
  <c r="AF53" i="2"/>
  <c r="AE53" i="2"/>
  <c r="AE60" i="2" s="1"/>
  <c r="AD53" i="2"/>
  <c r="AD60" i="2" s="1"/>
  <c r="AC53" i="2"/>
  <c r="AB53" i="2"/>
  <c r="AA53" i="2"/>
  <c r="AA60" i="2" s="1"/>
  <c r="Z53" i="2"/>
  <c r="Z60" i="2" s="1"/>
  <c r="Y53" i="2"/>
  <c r="X53" i="2"/>
  <c r="W53" i="2"/>
  <c r="W60" i="2" s="1"/>
  <c r="V53" i="2"/>
  <c r="V60" i="2" s="1"/>
  <c r="U53" i="2"/>
  <c r="T53" i="2"/>
  <c r="S53" i="2"/>
  <c r="S60" i="2" s="1"/>
  <c r="R53" i="2"/>
  <c r="R60" i="2" s="1"/>
  <c r="L53" i="2"/>
  <c r="L60" i="2" s="1"/>
  <c r="O52" i="2"/>
  <c r="N52" i="2"/>
  <c r="M52" i="2"/>
  <c r="L52" i="2"/>
  <c r="K52" i="2"/>
  <c r="J52" i="2"/>
  <c r="O51" i="2"/>
  <c r="N51" i="2"/>
  <c r="M51" i="2"/>
  <c r="L51" i="2"/>
  <c r="K51" i="2"/>
  <c r="J51" i="2"/>
  <c r="O50" i="2"/>
  <c r="N50" i="2"/>
  <c r="M50" i="2"/>
  <c r="L50" i="2"/>
  <c r="K50" i="2"/>
  <c r="J50" i="2"/>
  <c r="O49" i="2"/>
  <c r="N49" i="2"/>
  <c r="M49" i="2"/>
  <c r="M77" i="2" s="1"/>
  <c r="L49" i="2"/>
  <c r="L77" i="2" s="1"/>
  <c r="K49" i="2"/>
  <c r="J49" i="2"/>
  <c r="O48" i="2"/>
  <c r="O53" i="2" s="1"/>
  <c r="O60" i="2" s="1"/>
  <c r="N48" i="2"/>
  <c r="N53" i="2" s="1"/>
  <c r="N60" i="2" s="1"/>
  <c r="M48" i="2"/>
  <c r="M53" i="2" s="1"/>
  <c r="M60" i="2" s="1"/>
  <c r="L48" i="2"/>
  <c r="K48" i="2"/>
  <c r="K53" i="2" s="1"/>
  <c r="J48" i="2"/>
  <c r="J53" i="2" s="1"/>
  <c r="J60" i="2" s="1"/>
  <c r="O39" i="2"/>
  <c r="N39" i="2"/>
  <c r="M39" i="2"/>
  <c r="L39" i="2"/>
  <c r="K39" i="2"/>
  <c r="J39" i="2"/>
  <c r="O37" i="2"/>
  <c r="N37" i="2"/>
  <c r="M37" i="2"/>
  <c r="L37" i="2"/>
  <c r="K37" i="2"/>
  <c r="J37" i="2"/>
  <c r="O34" i="2"/>
  <c r="N34" i="2"/>
  <c r="M34" i="2"/>
  <c r="L34" i="2"/>
  <c r="K34" i="2"/>
  <c r="J34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T29" i="2"/>
  <c r="S29" i="2"/>
  <c r="R29" i="2"/>
  <c r="O28" i="2"/>
  <c r="N28" i="2"/>
  <c r="M28" i="2"/>
  <c r="L28" i="2"/>
  <c r="K28" i="2"/>
  <c r="J28" i="2"/>
  <c r="O27" i="2"/>
  <c r="N27" i="2"/>
  <c r="N29" i="2" s="1"/>
  <c r="M27" i="2"/>
  <c r="L27" i="2"/>
  <c r="L29" i="2" s="1"/>
  <c r="K27" i="2"/>
  <c r="J27" i="2"/>
  <c r="J29" i="2" s="1"/>
  <c r="U26" i="2"/>
  <c r="U29" i="2" s="1"/>
  <c r="O26" i="2"/>
  <c r="O29" i="2" s="1"/>
  <c r="N26" i="2"/>
  <c r="M26" i="2"/>
  <c r="M29" i="2" s="1"/>
  <c r="L26" i="2"/>
  <c r="K26" i="2"/>
  <c r="K29" i="2" s="1"/>
  <c r="J26" i="2"/>
  <c r="AQ22" i="2"/>
  <c r="AP22" i="2"/>
  <c r="AO22" i="2"/>
  <c r="AN22" i="2"/>
  <c r="AM22" i="2"/>
  <c r="AL22" i="2"/>
  <c r="AK22" i="2"/>
  <c r="AJ22" i="2"/>
  <c r="AI22" i="2"/>
  <c r="AH22" i="2"/>
  <c r="AG22" i="2"/>
  <c r="M22" i="2" s="1"/>
  <c r="AF22" i="2"/>
  <c r="AE22" i="2"/>
  <c r="AD22" i="2"/>
  <c r="AC22" i="2"/>
  <c r="AB22" i="2"/>
  <c r="AA22" i="2"/>
  <c r="Z22" i="2"/>
  <c r="Y22" i="2"/>
  <c r="K22" i="2" s="1"/>
  <c r="X22" i="2"/>
  <c r="W22" i="2"/>
  <c r="V22" i="2"/>
  <c r="U22" i="2"/>
  <c r="T22" i="2"/>
  <c r="S22" i="2"/>
  <c r="R22" i="2"/>
  <c r="O22" i="2"/>
  <c r="O19" i="2"/>
  <c r="N19" i="2"/>
  <c r="M19" i="2"/>
  <c r="L19" i="2"/>
  <c r="K19" i="2"/>
  <c r="J19" i="2"/>
  <c r="O18" i="2"/>
  <c r="N18" i="2"/>
  <c r="M18" i="2"/>
  <c r="L18" i="2"/>
  <c r="K18" i="2"/>
  <c r="J18" i="2"/>
  <c r="O17" i="2"/>
  <c r="N17" i="2"/>
  <c r="M17" i="2"/>
  <c r="L17" i="2"/>
  <c r="K17" i="2"/>
  <c r="J17" i="2"/>
  <c r="O13" i="2"/>
  <c r="N13" i="2"/>
  <c r="M13" i="2"/>
  <c r="L13" i="2"/>
  <c r="K13" i="2"/>
  <c r="J13" i="2"/>
  <c r="X11" i="2"/>
  <c r="AN10" i="2"/>
  <c r="AJ10" i="2"/>
  <c r="AF10" i="2"/>
  <c r="AB10" i="2"/>
  <c r="X10" i="2"/>
  <c r="V10" i="2"/>
  <c r="K10" i="2"/>
  <c r="AQ9" i="2"/>
  <c r="AP9" i="2"/>
  <c r="AP10" i="2" s="1"/>
  <c r="AO9" i="2"/>
  <c r="AO14" i="2" s="1"/>
  <c r="AN9" i="2"/>
  <c r="AN14" i="2" s="1"/>
  <c r="AM9" i="2"/>
  <c r="AL9" i="2"/>
  <c r="AL10" i="2" s="1"/>
  <c r="AK9" i="2"/>
  <c r="AK11" i="2" s="1"/>
  <c r="AJ9" i="2"/>
  <c r="AJ14" i="2" s="1"/>
  <c r="AI9" i="2"/>
  <c r="AH9" i="2"/>
  <c r="AG9" i="2"/>
  <c r="AG14" i="2" s="1"/>
  <c r="AF9" i="2"/>
  <c r="AF14" i="2" s="1"/>
  <c r="AE9" i="2"/>
  <c r="AD9" i="2"/>
  <c r="AD10" i="2" s="1"/>
  <c r="AC9" i="2"/>
  <c r="AC10" i="2" s="1"/>
  <c r="AB9" i="2"/>
  <c r="AB14" i="2" s="1"/>
  <c r="AA9" i="2"/>
  <c r="Z9" i="2"/>
  <c r="Z10" i="2" s="1"/>
  <c r="Y9" i="2"/>
  <c r="Y11" i="2" s="1"/>
  <c r="X9" i="2"/>
  <c r="X14" i="2" s="1"/>
  <c r="W9" i="2"/>
  <c r="V9" i="2"/>
  <c r="U9" i="2"/>
  <c r="U14" i="2" s="1"/>
  <c r="T9" i="2"/>
  <c r="T14" i="2" s="1"/>
  <c r="S9" i="2"/>
  <c r="S14" i="2" s="1"/>
  <c r="S20" i="2" s="1"/>
  <c r="S30" i="2" s="1"/>
  <c r="R9" i="2"/>
  <c r="R14" i="2" s="1"/>
  <c r="O9" i="2"/>
  <c r="O14" i="2" s="1"/>
  <c r="K9" i="2"/>
  <c r="K14" i="2" s="1"/>
  <c r="O8" i="2"/>
  <c r="N8" i="2"/>
  <c r="M8" i="2"/>
  <c r="L8" i="2"/>
  <c r="K8" i="2"/>
  <c r="J8" i="2"/>
  <c r="H8" i="2"/>
  <c r="G8" i="2"/>
  <c r="O7" i="2"/>
  <c r="N7" i="2"/>
  <c r="N9" i="2" s="1"/>
  <c r="N14" i="2" s="1"/>
  <c r="M7" i="2"/>
  <c r="M9" i="2" s="1"/>
  <c r="L7" i="2"/>
  <c r="L9" i="2" s="1"/>
  <c r="K7" i="2"/>
  <c r="J7" i="2"/>
  <c r="J9" i="2" s="1"/>
  <c r="J14" i="2" s="1"/>
  <c r="H7" i="2"/>
  <c r="G7" i="2"/>
  <c r="L3" i="2"/>
  <c r="M3" i="2" s="1"/>
  <c r="N3" i="2" s="1"/>
  <c r="O3" i="2" s="1"/>
  <c r="P3" i="2" s="1"/>
  <c r="K3" i="2"/>
  <c r="G2" i="2"/>
  <c r="P286" i="1"/>
  <c r="P285" i="1"/>
  <c r="O282" i="1"/>
  <c r="N282" i="1"/>
  <c r="M282" i="1"/>
  <c r="L282" i="1"/>
  <c r="K282" i="1"/>
  <c r="L247" i="1"/>
  <c r="N246" i="1"/>
  <c r="M246" i="1"/>
  <c r="P245" i="1"/>
  <c r="O245" i="1"/>
  <c r="N245" i="1"/>
  <c r="M245" i="1"/>
  <c r="P244" i="1"/>
  <c r="P243" i="1"/>
  <c r="P242" i="1"/>
  <c r="G205" i="1"/>
  <c r="H204" i="1"/>
  <c r="G204" i="1"/>
  <c r="G203" i="1"/>
  <c r="J202" i="1"/>
  <c r="I202" i="1"/>
  <c r="H202" i="1"/>
  <c r="G202" i="1"/>
  <c r="J201" i="1"/>
  <c r="I201" i="1"/>
  <c r="H201" i="1"/>
  <c r="G201" i="1"/>
  <c r="J200" i="1"/>
  <c r="I200" i="1"/>
  <c r="H200" i="1"/>
  <c r="G200" i="1"/>
  <c r="J199" i="1"/>
  <c r="I199" i="1"/>
  <c r="H199" i="1"/>
  <c r="G199" i="1"/>
  <c r="G198" i="1"/>
  <c r="G197" i="1"/>
  <c r="G196" i="1"/>
  <c r="H195" i="1"/>
  <c r="G195" i="1"/>
  <c r="H194" i="1"/>
  <c r="G194" i="1"/>
  <c r="G193" i="1"/>
  <c r="E192" i="1"/>
  <c r="G149" i="1"/>
  <c r="G148" i="1"/>
  <c r="G147" i="1"/>
  <c r="K134" i="1"/>
  <c r="M131" i="1"/>
  <c r="L131" i="1"/>
  <c r="K131" i="1"/>
  <c r="J131" i="1"/>
  <c r="I131" i="1"/>
  <c r="H131" i="1"/>
  <c r="G131" i="1"/>
  <c r="M130" i="1"/>
  <c r="L130" i="1"/>
  <c r="K130" i="1"/>
  <c r="J130" i="1"/>
  <c r="I130" i="1"/>
  <c r="H130" i="1"/>
  <c r="G130" i="1"/>
  <c r="M129" i="1"/>
  <c r="L129" i="1"/>
  <c r="K129" i="1"/>
  <c r="J129" i="1"/>
  <c r="I129" i="1"/>
  <c r="H129" i="1"/>
  <c r="G129" i="1"/>
  <c r="M128" i="1"/>
  <c r="L128" i="1"/>
  <c r="K128" i="1"/>
  <c r="J128" i="1"/>
  <c r="I128" i="1"/>
  <c r="H128" i="1"/>
  <c r="G128" i="1"/>
  <c r="K37" i="1"/>
  <c r="J37" i="1"/>
  <c r="M36" i="1"/>
  <c r="L36" i="1"/>
  <c r="X29" i="1"/>
  <c r="W29" i="1"/>
  <c r="V29" i="1"/>
  <c r="T29" i="1"/>
  <c r="X28" i="1"/>
  <c r="W28" i="1"/>
  <c r="V28" i="1"/>
  <c r="X27" i="1"/>
  <c r="W27" i="1"/>
  <c r="V27" i="1"/>
  <c r="S5" i="1"/>
  <c r="G9" i="2" l="1"/>
  <c r="H9" i="2"/>
  <c r="G10" i="2"/>
  <c r="H10" i="2"/>
  <c r="O15" i="2"/>
  <c r="O20" i="2"/>
  <c r="AO15" i="2"/>
  <c r="AO20" i="2"/>
  <c r="K15" i="2"/>
  <c r="K20" i="2"/>
  <c r="AG15" i="2"/>
  <c r="AG20" i="2"/>
  <c r="L14" i="2"/>
  <c r="L10" i="2"/>
  <c r="M10" i="2"/>
  <c r="M14" i="2"/>
  <c r="U15" i="2"/>
  <c r="U20" i="2"/>
  <c r="W10" i="2"/>
  <c r="W14" i="2"/>
  <c r="AA10" i="2"/>
  <c r="AA14" i="2"/>
  <c r="AE10" i="2"/>
  <c r="AE14" i="2"/>
  <c r="AI10" i="2"/>
  <c r="AI14" i="2"/>
  <c r="AJ11" i="2"/>
  <c r="AM10" i="2"/>
  <c r="AM14" i="2"/>
  <c r="AN11" i="2"/>
  <c r="AQ10" i="2"/>
  <c r="AQ14" i="2"/>
  <c r="N10" i="2"/>
  <c r="Y10" i="2"/>
  <c r="AO10" i="2"/>
  <c r="U11" i="2"/>
  <c r="AA11" i="2"/>
  <c r="AF11" i="2"/>
  <c r="AM11" i="2"/>
  <c r="AK14" i="2"/>
  <c r="S15" i="2"/>
  <c r="J22" i="2"/>
  <c r="N22" i="2"/>
  <c r="S23" i="2"/>
  <c r="S31" i="2"/>
  <c r="J83" i="2"/>
  <c r="J84" i="2" s="1"/>
  <c r="N83" i="2"/>
  <c r="N84" i="2" s="1"/>
  <c r="AH94" i="2"/>
  <c r="T20" i="2"/>
  <c r="T15" i="2"/>
  <c r="X20" i="2"/>
  <c r="X15" i="2"/>
  <c r="AB20" i="2"/>
  <c r="AB15" i="2"/>
  <c r="AF20" i="2"/>
  <c r="AF15" i="2"/>
  <c r="AJ20" i="2"/>
  <c r="AJ15" i="2"/>
  <c r="AN20" i="2"/>
  <c r="AN15" i="2"/>
  <c r="O10" i="2"/>
  <c r="AK10" i="2"/>
  <c r="W11" i="2"/>
  <c r="AB11" i="2"/>
  <c r="AG11" i="2"/>
  <c r="AO11" i="2"/>
  <c r="Y14" i="2"/>
  <c r="L22" i="2"/>
  <c r="K83" i="2"/>
  <c r="K84" i="2" s="1"/>
  <c r="O83" i="2"/>
  <c r="O84" i="2" s="1"/>
  <c r="AG10" i="2"/>
  <c r="S11" i="2"/>
  <c r="AC11" i="2"/>
  <c r="AI11" i="2"/>
  <c r="AQ11" i="2"/>
  <c r="AC14" i="2"/>
  <c r="H114" i="2"/>
  <c r="G107" i="2"/>
  <c r="G114" i="2"/>
  <c r="H97" i="2"/>
  <c r="H96" i="2"/>
  <c r="H91" i="2"/>
  <c r="H39" i="2"/>
  <c r="H34" i="2"/>
  <c r="H112" i="2"/>
  <c r="H102" i="2"/>
  <c r="H101" i="2"/>
  <c r="G97" i="2"/>
  <c r="K16" i="4" s="1"/>
  <c r="G96" i="2"/>
  <c r="G91" i="2"/>
  <c r="G73" i="2"/>
  <c r="H73" i="2" s="1"/>
  <c r="G72" i="2"/>
  <c r="H72" i="2" s="1"/>
  <c r="G71" i="2"/>
  <c r="H71" i="2" s="1"/>
  <c r="G70" i="2"/>
  <c r="G59" i="2"/>
  <c r="H59" i="2" s="1"/>
  <c r="G58" i="2"/>
  <c r="H58" i="2" s="1"/>
  <c r="G57" i="2"/>
  <c r="H57" i="2" s="1"/>
  <c r="G56" i="2"/>
  <c r="H56" i="2" s="1"/>
  <c r="G55" i="2"/>
  <c r="H55" i="2" s="1"/>
  <c r="G39" i="2"/>
  <c r="G34" i="2"/>
  <c r="G112" i="2"/>
  <c r="K4" i="4" s="1"/>
  <c r="G102" i="2"/>
  <c r="G101" i="2"/>
  <c r="H92" i="2"/>
  <c r="G67" i="2"/>
  <c r="H67" i="2" s="1"/>
  <c r="G66" i="2"/>
  <c r="H66" i="2" s="1"/>
  <c r="G65" i="2"/>
  <c r="H65" i="2" s="1"/>
  <c r="G64" i="2"/>
  <c r="H64" i="2" s="1"/>
  <c r="G63" i="2"/>
  <c r="H63" i="2" s="1"/>
  <c r="G62" i="2"/>
  <c r="G52" i="2"/>
  <c r="H52" i="2" s="1"/>
  <c r="G51" i="2"/>
  <c r="H51" i="2" s="1"/>
  <c r="G50" i="2"/>
  <c r="H50" i="2" s="1"/>
  <c r="G49" i="2"/>
  <c r="G48" i="2"/>
  <c r="G26" i="2"/>
  <c r="H42" i="2"/>
  <c r="H37" i="2"/>
  <c r="H22" i="2"/>
  <c r="H19" i="2"/>
  <c r="H18" i="2"/>
  <c r="H17" i="2"/>
  <c r="G92" i="2"/>
  <c r="G80" i="2"/>
  <c r="H80" i="2" s="1"/>
  <c r="G79" i="2"/>
  <c r="G42" i="2"/>
  <c r="G37" i="2"/>
  <c r="H28" i="2"/>
  <c r="H27" i="2"/>
  <c r="G22" i="2"/>
  <c r="G19" i="2"/>
  <c r="G18" i="2"/>
  <c r="G17" i="2"/>
  <c r="G13" i="2"/>
  <c r="G14" i="2" s="1"/>
  <c r="G28" i="2"/>
  <c r="G27" i="2"/>
  <c r="H26" i="2"/>
  <c r="J20" i="2"/>
  <c r="J15" i="2"/>
  <c r="N20" i="2"/>
  <c r="N15" i="2"/>
  <c r="R15" i="2"/>
  <c r="R20" i="2"/>
  <c r="V11" i="2"/>
  <c r="V14" i="2"/>
  <c r="Z11" i="2"/>
  <c r="Z14" i="2"/>
  <c r="AD11" i="2"/>
  <c r="AD14" i="2"/>
  <c r="AH11" i="2"/>
  <c r="AH14" i="2"/>
  <c r="AL11" i="2"/>
  <c r="AL14" i="2"/>
  <c r="AP11" i="2"/>
  <c r="AP14" i="2"/>
  <c r="AH10" i="2"/>
  <c r="T11" i="2"/>
  <c r="AE11" i="2"/>
  <c r="H13" i="2"/>
  <c r="H14" i="2" s="1"/>
  <c r="S21" i="2"/>
  <c r="M83" i="2"/>
  <c r="M84" i="2" s="1"/>
  <c r="U84" i="2"/>
  <c r="AC84" i="2"/>
  <c r="AK84" i="2"/>
  <c r="S94" i="2"/>
  <c r="X94" i="2"/>
  <c r="AN94" i="2"/>
  <c r="E16" i="3"/>
  <c r="I17" i="4"/>
  <c r="I17" i="3" s="1"/>
  <c r="I16" i="3"/>
  <c r="K106" i="2"/>
  <c r="J8" i="4"/>
  <c r="J7" i="4"/>
  <c r="J7" i="3" s="1"/>
  <c r="J6" i="3"/>
  <c r="R83" i="2"/>
  <c r="R84" i="2" s="1"/>
  <c r="V83" i="2"/>
  <c r="V84" i="2" s="1"/>
  <c r="Z83" i="2"/>
  <c r="Z84" i="2" s="1"/>
  <c r="AD83" i="2"/>
  <c r="AD84" i="2" s="1"/>
  <c r="AH83" i="2"/>
  <c r="AH84" i="2" s="1"/>
  <c r="AL83" i="2"/>
  <c r="AL84" i="2" s="1"/>
  <c r="AP83" i="2"/>
  <c r="AP84" i="2" s="1"/>
  <c r="E10" i="3"/>
  <c r="X115" i="2"/>
  <c r="K91" i="2"/>
  <c r="AB115" i="2"/>
  <c r="L91" i="2"/>
  <c r="AN115" i="2"/>
  <c r="O91" i="2"/>
  <c r="J93" i="2"/>
  <c r="J94" i="2" s="1"/>
  <c r="AB93" i="2"/>
  <c r="AB94" i="2" s="1"/>
  <c r="S83" i="2"/>
  <c r="S84" i="2" s="1"/>
  <c r="W83" i="2"/>
  <c r="W84" i="2" s="1"/>
  <c r="AA83" i="2"/>
  <c r="AA84" i="2" s="1"/>
  <c r="AE83" i="2"/>
  <c r="AE84" i="2" s="1"/>
  <c r="AI83" i="2"/>
  <c r="AI84" i="2" s="1"/>
  <c r="AM83" i="2"/>
  <c r="AM84" i="2" s="1"/>
  <c r="AQ83" i="2"/>
  <c r="AQ84" i="2" s="1"/>
  <c r="I10" i="3"/>
  <c r="N93" i="2"/>
  <c r="N94" i="2" s="1"/>
  <c r="AF94" i="2"/>
  <c r="I15" i="4"/>
  <c r="I15" i="3" s="1"/>
  <c r="G17" i="4"/>
  <c r="G17" i="3" s="1"/>
  <c r="G16" i="3"/>
  <c r="J98" i="2"/>
  <c r="X106" i="2"/>
  <c r="X99" i="2"/>
  <c r="AB106" i="2"/>
  <c r="AB99" i="2"/>
  <c r="AF106" i="2"/>
  <c r="AF99" i="2"/>
  <c r="AN106" i="2"/>
  <c r="H106" i="2" s="1"/>
  <c r="AN99" i="2"/>
  <c r="M104" i="2"/>
  <c r="J106" i="2"/>
  <c r="E6" i="3"/>
  <c r="E8" i="4"/>
  <c r="E8" i="3" s="1"/>
  <c r="G8" i="4"/>
  <c r="G6" i="3"/>
  <c r="G7" i="4"/>
  <c r="G7" i="3" s="1"/>
  <c r="L24" i="4"/>
  <c r="L24" i="3" s="1"/>
  <c r="M2" i="4"/>
  <c r="L2" i="3"/>
  <c r="M3" i="4"/>
  <c r="L3" i="3"/>
  <c r="T94" i="2"/>
  <c r="AJ94" i="2"/>
  <c r="F15" i="4"/>
  <c r="F15" i="3" s="1"/>
  <c r="N98" i="2"/>
  <c r="J107" i="2"/>
  <c r="L106" i="2"/>
  <c r="G5" i="4"/>
  <c r="G5" i="3" s="1"/>
  <c r="G4" i="3"/>
  <c r="U93" i="2"/>
  <c r="U94" i="2" s="1"/>
  <c r="Y93" i="2"/>
  <c r="Y94" i="2" s="1"/>
  <c r="AC93" i="2"/>
  <c r="AC94" i="2" s="1"/>
  <c r="AG93" i="2"/>
  <c r="AG94" i="2" s="1"/>
  <c r="AK93" i="2"/>
  <c r="AK94" i="2" s="1"/>
  <c r="AO93" i="2"/>
  <c r="AO94" i="2" s="1"/>
  <c r="J15" i="4"/>
  <c r="J15" i="3" s="1"/>
  <c r="F16" i="3"/>
  <c r="F17" i="4"/>
  <c r="F17" i="3" s="1"/>
  <c r="J16" i="3"/>
  <c r="J17" i="4"/>
  <c r="J17" i="3" s="1"/>
  <c r="K98" i="2"/>
  <c r="K99" i="2" s="1"/>
  <c r="O98" i="2"/>
  <c r="AK99" i="2"/>
  <c r="V107" i="2"/>
  <c r="K107" i="2" s="1"/>
  <c r="V104" i="2"/>
  <c r="Z107" i="2"/>
  <c r="L107" i="2" s="1"/>
  <c r="Z104" i="2"/>
  <c r="AD107" i="2"/>
  <c r="M107" i="2" s="1"/>
  <c r="AD104" i="2"/>
  <c r="AH107" i="2"/>
  <c r="N107" i="2" s="1"/>
  <c r="AH104" i="2"/>
  <c r="AL107" i="2"/>
  <c r="O107" i="2" s="1"/>
  <c r="AL104" i="2"/>
  <c r="AP107" i="2"/>
  <c r="H107" i="2" s="1"/>
  <c r="AP104" i="2"/>
  <c r="AC106" i="2"/>
  <c r="F8" i="4"/>
  <c r="F7" i="4"/>
  <c r="F7" i="3" s="1"/>
  <c r="F6" i="3"/>
  <c r="R93" i="2"/>
  <c r="R94" i="2" s="1"/>
  <c r="V93" i="2"/>
  <c r="V94" i="2" s="1"/>
  <c r="Z93" i="2"/>
  <c r="Z94" i="2" s="1"/>
  <c r="AD93" i="2"/>
  <c r="AD94" i="2" s="1"/>
  <c r="AL93" i="2"/>
  <c r="AL94" i="2" s="1"/>
  <c r="AP93" i="2"/>
  <c r="AP94" i="2" s="1"/>
  <c r="G15" i="4"/>
  <c r="G15" i="3" s="1"/>
  <c r="L98" i="2"/>
  <c r="L99" i="2" s="1"/>
  <c r="Z99" i="2"/>
  <c r="AD99" i="2"/>
  <c r="AH99" i="2"/>
  <c r="AL99" i="2"/>
  <c r="AP99" i="2"/>
  <c r="W99" i="2"/>
  <c r="AG99" i="2"/>
  <c r="AM99" i="2"/>
  <c r="AD106" i="2"/>
  <c r="M106" i="2" s="1"/>
  <c r="AL106" i="2"/>
  <c r="O106" i="2" s="1"/>
  <c r="M91" i="2"/>
  <c r="W93" i="2"/>
  <c r="W94" i="2" s="1"/>
  <c r="AA93" i="2"/>
  <c r="AA94" i="2" s="1"/>
  <c r="AE93" i="2"/>
  <c r="AE94" i="2" s="1"/>
  <c r="AI93" i="2"/>
  <c r="AI94" i="2" s="1"/>
  <c r="AM93" i="2"/>
  <c r="AM94" i="2" s="1"/>
  <c r="AQ93" i="2"/>
  <c r="AQ94" i="2" s="1"/>
  <c r="H17" i="4"/>
  <c r="H17" i="3" s="1"/>
  <c r="H16" i="3"/>
  <c r="M98" i="2"/>
  <c r="AQ99" i="2"/>
  <c r="AQ106" i="2"/>
  <c r="G106" i="2" s="1"/>
  <c r="AI99" i="2"/>
  <c r="I7" i="4"/>
  <c r="I7" i="3" s="1"/>
  <c r="I6" i="3"/>
  <c r="I8" i="4"/>
  <c r="H7" i="4"/>
  <c r="H7" i="3" s="1"/>
  <c r="H8" i="4"/>
  <c r="H6" i="3"/>
  <c r="Y104" i="2"/>
  <c r="AC104" i="2"/>
  <c r="AG104" i="2"/>
  <c r="AK104" i="2"/>
  <c r="AO104" i="2"/>
  <c r="I5" i="4"/>
  <c r="I5" i="3" s="1"/>
  <c r="I4" i="3"/>
  <c r="F4" i="3"/>
  <c r="H5" i="4"/>
  <c r="H5" i="3" s="1"/>
  <c r="J3" i="3"/>
  <c r="H3" i="3"/>
  <c r="H98" i="2" l="1"/>
  <c r="H103" i="2"/>
  <c r="H20" i="2"/>
  <c r="H15" i="2"/>
  <c r="G15" i="2"/>
  <c r="G20" i="2"/>
  <c r="I9" i="4"/>
  <c r="I9" i="3" s="1"/>
  <c r="I8" i="3"/>
  <c r="N99" i="2"/>
  <c r="AL15" i="2"/>
  <c r="AL20" i="2"/>
  <c r="AD15" i="2"/>
  <c r="AD20" i="2"/>
  <c r="V15" i="2"/>
  <c r="V20" i="2"/>
  <c r="H29" i="2"/>
  <c r="H79" i="2"/>
  <c r="H81" i="2" s="1"/>
  <c r="G81" i="2"/>
  <c r="G77" i="2"/>
  <c r="H49" i="2"/>
  <c r="H77" i="2" s="1"/>
  <c r="G68" i="2"/>
  <c r="G74" i="2" s="1"/>
  <c r="H62" i="2"/>
  <c r="H68" i="2" s="1"/>
  <c r="K15" i="4"/>
  <c r="K15" i="3" s="1"/>
  <c r="G98" i="2"/>
  <c r="H113" i="2"/>
  <c r="AC15" i="2"/>
  <c r="AC20" i="2"/>
  <c r="S109" i="2"/>
  <c r="S108" i="2" s="1"/>
  <c r="S24" i="2"/>
  <c r="AK15" i="2"/>
  <c r="AK20" i="2"/>
  <c r="AQ20" i="2"/>
  <c r="AQ15" i="2"/>
  <c r="AE20" i="2"/>
  <c r="AE15" i="2"/>
  <c r="W20" i="2"/>
  <c r="W15" i="2"/>
  <c r="M20" i="2"/>
  <c r="M15" i="2"/>
  <c r="AG23" i="2"/>
  <c r="AG21" i="2"/>
  <c r="AG30" i="2"/>
  <c r="AG31" i="2" s="1"/>
  <c r="AO23" i="2"/>
  <c r="AO21" i="2"/>
  <c r="AO30" i="2"/>
  <c r="AO31" i="2" s="1"/>
  <c r="M115" i="2"/>
  <c r="H10" i="4" s="1"/>
  <c r="M93" i="2"/>
  <c r="M94" i="2" s="1"/>
  <c r="O99" i="2"/>
  <c r="N3" i="4"/>
  <c r="M3" i="3"/>
  <c r="I12" i="4"/>
  <c r="L115" i="2"/>
  <c r="G10" i="4" s="1"/>
  <c r="L93" i="2"/>
  <c r="L94" i="2" s="1"/>
  <c r="N23" i="2"/>
  <c r="N24" i="2" s="1"/>
  <c r="N21" i="2"/>
  <c r="N30" i="2"/>
  <c r="N31" i="2" s="1"/>
  <c r="K17" i="4"/>
  <c r="K17" i="3" s="1"/>
  <c r="L16" i="4"/>
  <c r="K16" i="3"/>
  <c r="H115" i="2"/>
  <c r="H93" i="2"/>
  <c r="H94" i="2" s="1"/>
  <c r="Y15" i="2"/>
  <c r="Y20" i="2"/>
  <c r="AN23" i="2"/>
  <c r="AN21" i="2"/>
  <c r="AN30" i="2"/>
  <c r="AN31" i="2" s="1"/>
  <c r="AF23" i="2"/>
  <c r="AF21" i="2"/>
  <c r="AF30" i="2"/>
  <c r="AF31" i="2" s="1"/>
  <c r="X23" i="2"/>
  <c r="X21" i="2"/>
  <c r="X30" i="2"/>
  <c r="X31" i="2" s="1"/>
  <c r="M99" i="2"/>
  <c r="H15" i="4"/>
  <c r="H15" i="3" s="1"/>
  <c r="F9" i="4"/>
  <c r="F9" i="3" s="1"/>
  <c r="F8" i="3"/>
  <c r="E12" i="4"/>
  <c r="AP15" i="2"/>
  <c r="AP20" i="2"/>
  <c r="AH15" i="2"/>
  <c r="AH20" i="2"/>
  <c r="Z15" i="2"/>
  <c r="Z20" i="2"/>
  <c r="R23" i="2"/>
  <c r="R21" i="2"/>
  <c r="R30" i="2"/>
  <c r="R31" i="2" s="1"/>
  <c r="G29" i="2"/>
  <c r="L4" i="4"/>
  <c r="K4" i="3"/>
  <c r="G113" i="2"/>
  <c r="K6" i="4" s="1"/>
  <c r="AI20" i="2"/>
  <c r="AI15" i="2"/>
  <c r="AA20" i="2"/>
  <c r="AA15" i="2"/>
  <c r="U23" i="2"/>
  <c r="U21" i="2"/>
  <c r="U30" i="2"/>
  <c r="U31" i="2" s="1"/>
  <c r="K23" i="2"/>
  <c r="K24" i="2" s="1"/>
  <c r="K21" i="2"/>
  <c r="K30" i="2"/>
  <c r="K31" i="2" s="1"/>
  <c r="O23" i="2"/>
  <c r="O24" i="2" s="1"/>
  <c r="O21" i="2"/>
  <c r="O30" i="2"/>
  <c r="O31" i="2" s="1"/>
  <c r="H9" i="4"/>
  <c r="H9" i="3" s="1"/>
  <c r="H8" i="3"/>
  <c r="N2" i="4"/>
  <c r="M24" i="4"/>
  <c r="M24" i="3" s="1"/>
  <c r="M2" i="3"/>
  <c r="G8" i="3"/>
  <c r="G9" i="4"/>
  <c r="G9" i="3" s="1"/>
  <c r="O115" i="2"/>
  <c r="J10" i="4" s="1"/>
  <c r="O93" i="2"/>
  <c r="O94" i="2" s="1"/>
  <c r="K115" i="2"/>
  <c r="F10" i="4" s="1"/>
  <c r="K93" i="2"/>
  <c r="K94" i="2" s="1"/>
  <c r="J9" i="4"/>
  <c r="J9" i="3" s="1"/>
  <c r="J8" i="3"/>
  <c r="J23" i="2"/>
  <c r="J24" i="2" s="1"/>
  <c r="J21" i="2"/>
  <c r="J30" i="2"/>
  <c r="J31" i="2" s="1"/>
  <c r="G53" i="2"/>
  <c r="G60" i="2" s="1"/>
  <c r="H48" i="2"/>
  <c r="G103" i="2"/>
  <c r="H70" i="2"/>
  <c r="G76" i="2"/>
  <c r="G115" i="2"/>
  <c r="K10" i="4" s="1"/>
  <c r="G93" i="2"/>
  <c r="G94" i="2" s="1"/>
  <c r="AJ23" i="2"/>
  <c r="AJ21" i="2"/>
  <c r="AJ30" i="2"/>
  <c r="AJ31" i="2" s="1"/>
  <c r="AB23" i="2"/>
  <c r="AB21" i="2"/>
  <c r="AB30" i="2"/>
  <c r="AB31" i="2" s="1"/>
  <c r="T23" i="2"/>
  <c r="T21" i="2"/>
  <c r="T30" i="2"/>
  <c r="T31" i="2" s="1"/>
  <c r="S36" i="2"/>
  <c r="S38" i="2" s="1"/>
  <c r="S40" i="2" s="1"/>
  <c r="S43" i="2" s="1"/>
  <c r="S32" i="2"/>
  <c r="AM20" i="2"/>
  <c r="AM15" i="2"/>
  <c r="L15" i="2"/>
  <c r="L20" i="2"/>
  <c r="H53" i="2" l="1"/>
  <c r="H60" i="2" s="1"/>
  <c r="H76" i="2"/>
  <c r="U109" i="2"/>
  <c r="U108" i="2" s="1"/>
  <c r="U24" i="2"/>
  <c r="T32" i="2"/>
  <c r="T36" i="2"/>
  <c r="T38" i="2" s="1"/>
  <c r="T40" i="2" s="1"/>
  <c r="T43" i="2" s="1"/>
  <c r="AJ24" i="2"/>
  <c r="AJ109" i="2"/>
  <c r="J36" i="2"/>
  <c r="J38" i="2" s="1"/>
  <c r="J40" i="2" s="1"/>
  <c r="J43" i="2" s="1"/>
  <c r="J32" i="2"/>
  <c r="J11" i="4"/>
  <c r="J11" i="3" s="1"/>
  <c r="J10" i="3"/>
  <c r="J12" i="4"/>
  <c r="L23" i="2"/>
  <c r="L24" i="2" s="1"/>
  <c r="L21" i="2"/>
  <c r="L30" i="2"/>
  <c r="L31" i="2" s="1"/>
  <c r="T24" i="2"/>
  <c r="T109" i="2"/>
  <c r="T108" i="2" s="1"/>
  <c r="AJ32" i="2"/>
  <c r="AJ36" i="2"/>
  <c r="AJ38" i="2" s="1"/>
  <c r="AJ40" i="2" s="1"/>
  <c r="AJ43" i="2" s="1"/>
  <c r="L10" i="4"/>
  <c r="K10" i="3"/>
  <c r="F11" i="4"/>
  <c r="F11" i="3" s="1"/>
  <c r="F12" i="4"/>
  <c r="F10" i="3"/>
  <c r="K32" i="2"/>
  <c r="K36" i="2"/>
  <c r="K38" i="2" s="1"/>
  <c r="K40" i="2" s="1"/>
  <c r="K43" i="2" s="1"/>
  <c r="M4" i="4"/>
  <c r="L4" i="3"/>
  <c r="R109" i="2"/>
  <c r="R108" i="2" s="1"/>
  <c r="J108" i="2" s="1"/>
  <c r="J109" i="2" s="1"/>
  <c r="R24" i="2"/>
  <c r="AF32" i="2"/>
  <c r="AF36" i="2"/>
  <c r="AF38" i="2" s="1"/>
  <c r="AF40" i="2" s="1"/>
  <c r="AF43" i="2" s="1"/>
  <c r="M16" i="4"/>
  <c r="L16" i="3"/>
  <c r="I14" i="4"/>
  <c r="I12" i="3"/>
  <c r="AO109" i="2"/>
  <c r="AO24" i="2"/>
  <c r="AK23" i="2"/>
  <c r="AK21" i="2"/>
  <c r="AK30" i="2"/>
  <c r="AK31" i="2" s="1"/>
  <c r="AC23" i="2"/>
  <c r="AC21" i="2"/>
  <c r="AC30" i="2"/>
  <c r="AC31" i="2" s="1"/>
  <c r="V23" i="2"/>
  <c r="V21" i="2"/>
  <c r="V30" i="2"/>
  <c r="V31" i="2" s="1"/>
  <c r="AL23" i="2"/>
  <c r="AL21" i="2"/>
  <c r="AL30" i="2"/>
  <c r="AL31" i="2" s="1"/>
  <c r="H30" i="2"/>
  <c r="H31" i="2" s="1"/>
  <c r="H23" i="2"/>
  <c r="H24" i="2" s="1"/>
  <c r="H21" i="2"/>
  <c r="Z23" i="2"/>
  <c r="Z21" i="2"/>
  <c r="Z30" i="2"/>
  <c r="Z31" i="2" s="1"/>
  <c r="AP23" i="2"/>
  <c r="AP21" i="2"/>
  <c r="AP30" i="2"/>
  <c r="AP31" i="2" s="1"/>
  <c r="X32" i="2"/>
  <c r="X36" i="2"/>
  <c r="X38" i="2" s="1"/>
  <c r="X40" i="2" s="1"/>
  <c r="X43" i="2" s="1"/>
  <c r="AN109" i="2"/>
  <c r="AN24" i="2"/>
  <c r="H12" i="4"/>
  <c r="H11" i="4"/>
  <c r="H11" i="3" s="1"/>
  <c r="H10" i="3"/>
  <c r="I11" i="4"/>
  <c r="I11" i="3" s="1"/>
  <c r="AG32" i="2"/>
  <c r="AG36" i="2"/>
  <c r="AG38" i="2" s="1"/>
  <c r="AG40" i="2" s="1"/>
  <c r="AG43" i="2" s="1"/>
  <c r="M30" i="2"/>
  <c r="M31" i="2" s="1"/>
  <c r="M23" i="2"/>
  <c r="M24" i="2" s="1"/>
  <c r="M21" i="2"/>
  <c r="AE30" i="2"/>
  <c r="AE31" i="2" s="1"/>
  <c r="AE23" i="2"/>
  <c r="AE21" i="2"/>
  <c r="H74" i="2"/>
  <c r="H83" i="2" s="1"/>
  <c r="H84" i="2" s="1"/>
  <c r="G83" i="2"/>
  <c r="G84" i="2" s="1"/>
  <c r="G23" i="2"/>
  <c r="G24" i="2" s="1"/>
  <c r="G21" i="2"/>
  <c r="G30" i="2"/>
  <c r="G31" i="2" s="1"/>
  <c r="K8" i="4"/>
  <c r="K12" i="4" s="1"/>
  <c r="K6" i="3"/>
  <c r="L6" i="4"/>
  <c r="R36" i="2"/>
  <c r="R38" i="2" s="1"/>
  <c r="R40" i="2" s="1"/>
  <c r="R43" i="2" s="1"/>
  <c r="R32" i="2"/>
  <c r="AF109" i="2"/>
  <c r="AF24" i="2"/>
  <c r="Y23" i="2"/>
  <c r="Y21" i="2"/>
  <c r="Y30" i="2"/>
  <c r="Y31" i="2" s="1"/>
  <c r="N36" i="2"/>
  <c r="N38" i="2" s="1"/>
  <c r="N40" i="2" s="1"/>
  <c r="N43" i="2" s="1"/>
  <c r="N32" i="2"/>
  <c r="O3" i="4"/>
  <c r="N3" i="3"/>
  <c r="AO32" i="2"/>
  <c r="AO36" i="2"/>
  <c r="AO38" i="2" s="1"/>
  <c r="AO40" i="2" s="1"/>
  <c r="AO43" i="2" s="1"/>
  <c r="AD23" i="2"/>
  <c r="AD21" i="2"/>
  <c r="AD30" i="2"/>
  <c r="AD31" i="2" s="1"/>
  <c r="AB32" i="2"/>
  <c r="AB36" i="2"/>
  <c r="AB38" i="2" s="1"/>
  <c r="AB40" i="2" s="1"/>
  <c r="AB43" i="2" s="1"/>
  <c r="O32" i="2"/>
  <c r="O36" i="2"/>
  <c r="O38" i="2" s="1"/>
  <c r="O40" i="2" s="1"/>
  <c r="O43" i="2" s="1"/>
  <c r="AI30" i="2"/>
  <c r="AI31" i="2" s="1"/>
  <c r="AI21" i="2"/>
  <c r="AI23" i="2"/>
  <c r="AM30" i="2"/>
  <c r="AM31" i="2" s="1"/>
  <c r="AM23" i="2"/>
  <c r="AM21" i="2"/>
  <c r="AB109" i="2"/>
  <c r="AB24" i="2"/>
  <c r="O2" i="4"/>
  <c r="N24" i="4"/>
  <c r="N24" i="3" s="1"/>
  <c r="N2" i="3"/>
  <c r="U32" i="2"/>
  <c r="U36" i="2"/>
  <c r="U38" i="2" s="1"/>
  <c r="U40" i="2" s="1"/>
  <c r="U43" i="2" s="1"/>
  <c r="AA30" i="2"/>
  <c r="AA31" i="2" s="1"/>
  <c r="AA23" i="2"/>
  <c r="AA21" i="2"/>
  <c r="AH23" i="2"/>
  <c r="AH21" i="2"/>
  <c r="AH30" i="2"/>
  <c r="AH31" i="2" s="1"/>
  <c r="E14" i="4"/>
  <c r="E12" i="3"/>
  <c r="X109" i="2"/>
  <c r="X24" i="2"/>
  <c r="AN32" i="2"/>
  <c r="AN36" i="2"/>
  <c r="AN38" i="2" s="1"/>
  <c r="AN40" i="2" s="1"/>
  <c r="AN43" i="2" s="1"/>
  <c r="G11" i="4"/>
  <c r="G11" i="3" s="1"/>
  <c r="G12" i="4"/>
  <c r="G10" i="3"/>
  <c r="AG109" i="2"/>
  <c r="AG24" i="2"/>
  <c r="W30" i="2"/>
  <c r="W31" i="2" s="1"/>
  <c r="W23" i="2"/>
  <c r="W21" i="2"/>
  <c r="AQ30" i="2"/>
  <c r="AQ31" i="2" s="1"/>
  <c r="AQ23" i="2"/>
  <c r="AQ21" i="2"/>
  <c r="G36" i="2" l="1"/>
  <c r="G38" i="2" s="1"/>
  <c r="G40" i="2" s="1"/>
  <c r="G32" i="2"/>
  <c r="K14" i="4"/>
  <c r="K12" i="3"/>
  <c r="AG108" i="2"/>
  <c r="AQ109" i="2"/>
  <c r="AQ24" i="2"/>
  <c r="W36" i="2"/>
  <c r="W38" i="2" s="1"/>
  <c r="W40" i="2" s="1"/>
  <c r="W43" i="2" s="1"/>
  <c r="W32" i="2"/>
  <c r="G14" i="4"/>
  <c r="G12" i="3"/>
  <c r="AH36" i="2"/>
  <c r="AH38" i="2" s="1"/>
  <c r="AH40" i="2" s="1"/>
  <c r="AH43" i="2" s="1"/>
  <c r="AH32" i="2"/>
  <c r="AA109" i="2"/>
  <c r="AA24" i="2"/>
  <c r="AQ36" i="2"/>
  <c r="AQ38" i="2" s="1"/>
  <c r="AQ40" i="2" s="1"/>
  <c r="AQ43" i="2" s="1"/>
  <c r="G43" i="2" s="1"/>
  <c r="AQ32" i="2"/>
  <c r="X108" i="2"/>
  <c r="X110" i="2"/>
  <c r="AA36" i="2"/>
  <c r="AA38" i="2" s="1"/>
  <c r="AA40" i="2" s="1"/>
  <c r="AA43" i="2" s="1"/>
  <c r="AA32" i="2"/>
  <c r="AD109" i="2"/>
  <c r="AD24" i="2"/>
  <c r="Y32" i="2"/>
  <c r="Y36" i="2"/>
  <c r="Y38" i="2" s="1"/>
  <c r="Y40" i="2" s="1"/>
  <c r="Y43" i="2" s="1"/>
  <c r="AF108" i="2"/>
  <c r="AF110" i="2"/>
  <c r="AE109" i="2"/>
  <c r="AE24" i="2"/>
  <c r="M36" i="2"/>
  <c r="M38" i="2" s="1"/>
  <c r="M40" i="2" s="1"/>
  <c r="M43" i="2" s="1"/>
  <c r="M32" i="2"/>
  <c r="AN108" i="2"/>
  <c r="AN110" i="2"/>
  <c r="Z109" i="2"/>
  <c r="Z24" i="2"/>
  <c r="V36" i="2"/>
  <c r="V38" i="2" s="1"/>
  <c r="V40" i="2" s="1"/>
  <c r="V43" i="2" s="1"/>
  <c r="V32" i="2"/>
  <c r="AK109" i="2"/>
  <c r="AK24" i="2"/>
  <c r="I14" i="3"/>
  <c r="I18" i="4"/>
  <c r="AH109" i="2"/>
  <c r="AH24" i="2"/>
  <c r="O24" i="4"/>
  <c r="O24" i="3" s="1"/>
  <c r="P2" i="4"/>
  <c r="O2" i="3"/>
  <c r="AM109" i="2"/>
  <c r="AM24" i="2"/>
  <c r="AI36" i="2"/>
  <c r="AI38" i="2" s="1"/>
  <c r="AI40" i="2" s="1"/>
  <c r="AI43" i="2" s="1"/>
  <c r="AI32" i="2"/>
  <c r="P3" i="4"/>
  <c r="O3" i="3"/>
  <c r="K9" i="4"/>
  <c r="K9" i="3" s="1"/>
  <c r="K8" i="3"/>
  <c r="AE36" i="2"/>
  <c r="AE38" i="2" s="1"/>
  <c r="AE40" i="2" s="1"/>
  <c r="AE43" i="2" s="1"/>
  <c r="AE32" i="2"/>
  <c r="AP109" i="2"/>
  <c r="AP24" i="2"/>
  <c r="AL36" i="2"/>
  <c r="AL38" i="2" s="1"/>
  <c r="AL40" i="2" s="1"/>
  <c r="AL43" i="2" s="1"/>
  <c r="AL32" i="2"/>
  <c r="AC109" i="2"/>
  <c r="AC24" i="2"/>
  <c r="N4" i="4"/>
  <c r="M4" i="3"/>
  <c r="F14" i="4"/>
  <c r="F12" i="3"/>
  <c r="M10" i="4"/>
  <c r="L10" i="3"/>
  <c r="J14" i="4"/>
  <c r="J12" i="3"/>
  <c r="H36" i="2"/>
  <c r="H38" i="2" s="1"/>
  <c r="H40" i="2" s="1"/>
  <c r="H32" i="2"/>
  <c r="W109" i="2"/>
  <c r="W24" i="2"/>
  <c r="E14" i="3"/>
  <c r="E18" i="4"/>
  <c r="AM36" i="2"/>
  <c r="AM38" i="2" s="1"/>
  <c r="AM40" i="2" s="1"/>
  <c r="AM43" i="2" s="1"/>
  <c r="AM32" i="2"/>
  <c r="AD36" i="2"/>
  <c r="AD38" i="2" s="1"/>
  <c r="AD40" i="2" s="1"/>
  <c r="AD43" i="2" s="1"/>
  <c r="AD32" i="2"/>
  <c r="Y109" i="2"/>
  <c r="Y24" i="2"/>
  <c r="H12" i="3"/>
  <c r="H14" i="4"/>
  <c r="Z36" i="2"/>
  <c r="Z38" i="2" s="1"/>
  <c r="Z40" i="2" s="1"/>
  <c r="Z43" i="2" s="1"/>
  <c r="Z32" i="2"/>
  <c r="V109" i="2"/>
  <c r="V24" i="2"/>
  <c r="AK32" i="2"/>
  <c r="AK36" i="2"/>
  <c r="AK38" i="2" s="1"/>
  <c r="AK40" i="2" s="1"/>
  <c r="AK43" i="2" s="1"/>
  <c r="AO108" i="2"/>
  <c r="AO110" i="2"/>
  <c r="L36" i="2"/>
  <c r="L38" i="2" s="1"/>
  <c r="L40" i="2" s="1"/>
  <c r="L43" i="2" s="1"/>
  <c r="L32" i="2"/>
  <c r="AJ108" i="2"/>
  <c r="AJ110" i="2"/>
  <c r="AB108" i="2"/>
  <c r="AB110" i="2"/>
  <c r="AI109" i="2"/>
  <c r="AI24" i="2"/>
  <c r="M6" i="4"/>
  <c r="L8" i="4"/>
  <c r="L6" i="3"/>
  <c r="AP36" i="2"/>
  <c r="AP38" i="2" s="1"/>
  <c r="AP40" i="2" s="1"/>
  <c r="AP43" i="2" s="1"/>
  <c r="H43" i="2" s="1"/>
  <c r="AP32" i="2"/>
  <c r="AL109" i="2"/>
  <c r="AL24" i="2"/>
  <c r="AC32" i="2"/>
  <c r="AC36" i="2"/>
  <c r="AC38" i="2" s="1"/>
  <c r="AC40" i="2" s="1"/>
  <c r="AC43" i="2" s="1"/>
  <c r="N16" i="4"/>
  <c r="M16" i="3"/>
  <c r="AL110" i="2" l="1"/>
  <c r="AL108" i="2"/>
  <c r="L8" i="3"/>
  <c r="L9" i="4"/>
  <c r="L9" i="3" s="1"/>
  <c r="O4" i="4"/>
  <c r="N4" i="3"/>
  <c r="N6" i="4"/>
  <c r="M6" i="3"/>
  <c r="M8" i="4"/>
  <c r="M12" i="4" s="1"/>
  <c r="Y108" i="2"/>
  <c r="Y110" i="2"/>
  <c r="W110" i="2"/>
  <c r="W108" i="2"/>
  <c r="J14" i="3"/>
  <c r="J18" i="4"/>
  <c r="AH110" i="2"/>
  <c r="AH108" i="2"/>
  <c r="F14" i="3"/>
  <c r="F18" i="4"/>
  <c r="P24" i="4"/>
  <c r="P24" i="3" s="1"/>
  <c r="Q2" i="4"/>
  <c r="P2" i="3"/>
  <c r="AK108" i="2"/>
  <c r="AK110" i="2"/>
  <c r="Z110" i="2"/>
  <c r="Z108" i="2"/>
  <c r="AD110" i="2"/>
  <c r="AD108" i="2"/>
  <c r="M108" i="2" s="1"/>
  <c r="M109" i="2" s="1"/>
  <c r="AA110" i="2"/>
  <c r="AA108" i="2"/>
  <c r="G14" i="3"/>
  <c r="G18" i="4"/>
  <c r="AQ110" i="2"/>
  <c r="AQ108" i="2"/>
  <c r="G108" i="2" s="1"/>
  <c r="G109" i="2" s="1"/>
  <c r="K14" i="3"/>
  <c r="K18" i="4"/>
  <c r="E21" i="4"/>
  <c r="E18" i="3"/>
  <c r="AC108" i="2"/>
  <c r="AC110" i="2"/>
  <c r="AP110" i="2"/>
  <c r="AP108" i="2"/>
  <c r="H108" i="2" s="1"/>
  <c r="H109" i="2" s="1"/>
  <c r="AI110" i="2"/>
  <c r="AI108" i="2"/>
  <c r="V110" i="2"/>
  <c r="V108" i="2"/>
  <c r="K108" i="2" s="1"/>
  <c r="K109" i="2" s="1"/>
  <c r="K110" i="2" s="1"/>
  <c r="M10" i="3"/>
  <c r="N10" i="4"/>
  <c r="I21" i="4"/>
  <c r="I18" i="3"/>
  <c r="AG110" i="2"/>
  <c r="H14" i="3"/>
  <c r="H18" i="4"/>
  <c r="N16" i="3"/>
  <c r="O16" i="4"/>
  <c r="L12" i="4"/>
  <c r="Q3" i="4"/>
  <c r="Q3" i="3" s="1"/>
  <c r="P3" i="3"/>
  <c r="AM110" i="2"/>
  <c r="AM108" i="2"/>
  <c r="AE110" i="2"/>
  <c r="AE108" i="2"/>
  <c r="M14" i="4" l="1"/>
  <c r="M12" i="3"/>
  <c r="F21" i="4"/>
  <c r="F18" i="3"/>
  <c r="J21" i="4"/>
  <c r="J18" i="3"/>
  <c r="N8" i="4"/>
  <c r="O6" i="4"/>
  <c r="N6" i="3"/>
  <c r="L108" i="2"/>
  <c r="L109" i="2" s="1"/>
  <c r="L110" i="2" s="1"/>
  <c r="O108" i="2"/>
  <c r="O109" i="2" s="1"/>
  <c r="O110" i="2" s="1"/>
  <c r="K18" i="3"/>
  <c r="K21" i="4"/>
  <c r="G21" i="4"/>
  <c r="G18" i="3"/>
  <c r="L12" i="3"/>
  <c r="L14" i="4"/>
  <c r="H18" i="3"/>
  <c r="H21" i="4"/>
  <c r="I21" i="3"/>
  <c r="I22" i="4"/>
  <c r="I22" i="3" s="1"/>
  <c r="P16" i="4"/>
  <c r="O16" i="3"/>
  <c r="O10" i="4"/>
  <c r="N10" i="3"/>
  <c r="E21" i="3"/>
  <c r="E22" i="4"/>
  <c r="E22" i="3" s="1"/>
  <c r="R2" i="4"/>
  <c r="Q24" i="4"/>
  <c r="Q24" i="3" s="1"/>
  <c r="Q2" i="3"/>
  <c r="N108" i="2"/>
  <c r="N109" i="2" s="1"/>
  <c r="N110" i="2" s="1"/>
  <c r="M9" i="4"/>
  <c r="M9" i="3" s="1"/>
  <c r="M8" i="3"/>
  <c r="P4" i="4"/>
  <c r="O4" i="3"/>
  <c r="H22" i="4" l="1"/>
  <c r="H22" i="3" s="1"/>
  <c r="H21" i="3"/>
  <c r="N9" i="4"/>
  <c r="N9" i="3" s="1"/>
  <c r="N8" i="3"/>
  <c r="F22" i="4"/>
  <c r="F22" i="3" s="1"/>
  <c r="F21" i="3"/>
  <c r="R2" i="3"/>
  <c r="R24" i="4"/>
  <c r="R24" i="3" s="1"/>
  <c r="N12" i="4"/>
  <c r="Q16" i="4"/>
  <c r="P16" i="3"/>
  <c r="G22" i="4"/>
  <c r="G22" i="3" s="1"/>
  <c r="G21" i="3"/>
  <c r="M110" i="2"/>
  <c r="P10" i="4"/>
  <c r="O10" i="3"/>
  <c r="L14" i="3"/>
  <c r="L18" i="4"/>
  <c r="K25" i="4"/>
  <c r="K22" i="4"/>
  <c r="K22" i="3" s="1"/>
  <c r="K21" i="3"/>
  <c r="J21" i="3"/>
  <c r="J22" i="4"/>
  <c r="J22" i="3" s="1"/>
  <c r="Q4" i="4"/>
  <c r="P4" i="3"/>
  <c r="O8" i="4"/>
  <c r="P6" i="4"/>
  <c r="O6" i="3"/>
  <c r="M14" i="3"/>
  <c r="M18" i="4"/>
  <c r="L18" i="3" l="1"/>
  <c r="L21" i="4"/>
  <c r="P10" i="3"/>
  <c r="Q10" i="4"/>
  <c r="R4" i="4"/>
  <c r="R4" i="3" s="1"/>
  <c r="Q4" i="3"/>
  <c r="Q6" i="4"/>
  <c r="P8" i="4"/>
  <c r="P12" i="4" s="1"/>
  <c r="P6" i="3"/>
  <c r="K26" i="3"/>
  <c r="R16" i="4"/>
  <c r="Q16" i="3"/>
  <c r="M21" i="4"/>
  <c r="M18" i="3"/>
  <c r="O8" i="3"/>
  <c r="O9" i="4"/>
  <c r="O9" i="3" s="1"/>
  <c r="O12" i="4"/>
  <c r="N14" i="4"/>
  <c r="N12" i="3"/>
  <c r="O14" i="4" l="1"/>
  <c r="O12" i="3"/>
  <c r="M21" i="3"/>
  <c r="M25" i="4"/>
  <c r="M26" i="3" s="1"/>
  <c r="M22" i="4"/>
  <c r="M22" i="3" s="1"/>
  <c r="R6" i="4"/>
  <c r="Q6" i="3"/>
  <c r="Q8" i="4"/>
  <c r="Q12" i="4" s="1"/>
  <c r="P12" i="3"/>
  <c r="P14" i="4"/>
  <c r="R16" i="3"/>
  <c r="L25" i="4"/>
  <c r="L22" i="4"/>
  <c r="L22" i="3" s="1"/>
  <c r="L21" i="3"/>
  <c r="N14" i="3"/>
  <c r="N18" i="4"/>
  <c r="P9" i="4"/>
  <c r="P9" i="3" s="1"/>
  <c r="P8" i="3"/>
  <c r="Q10" i="3"/>
  <c r="R11" i="4"/>
  <c r="R11" i="3" s="1"/>
  <c r="Q14" i="4" l="1"/>
  <c r="Q12" i="3"/>
  <c r="Q9" i="4"/>
  <c r="Q9" i="3" s="1"/>
  <c r="Q8" i="3"/>
  <c r="P14" i="3"/>
  <c r="P18" i="4"/>
  <c r="R8" i="4"/>
  <c r="R6" i="3"/>
  <c r="N19" i="4"/>
  <c r="N19" i="3" s="1"/>
  <c r="N18" i="3"/>
  <c r="L26" i="3"/>
  <c r="O14" i="3"/>
  <c r="O18" i="4"/>
  <c r="O19" i="4" l="1"/>
  <c r="O19" i="3" s="1"/>
  <c r="O18" i="3"/>
  <c r="R9" i="4"/>
  <c r="R9" i="3" s="1"/>
  <c r="R12" i="4"/>
  <c r="R8" i="3"/>
  <c r="P19" i="4"/>
  <c r="P19" i="3" s="1"/>
  <c r="P18" i="3"/>
  <c r="N21" i="4"/>
  <c r="Q14" i="3"/>
  <c r="Q18" i="4"/>
  <c r="O21" i="4" l="1"/>
  <c r="O21" i="3" s="1"/>
  <c r="Q19" i="4"/>
  <c r="Q19" i="3" s="1"/>
  <c r="Q18" i="3"/>
  <c r="N25" i="4"/>
  <c r="N22" i="4"/>
  <c r="N22" i="3" s="1"/>
  <c r="N21" i="3"/>
  <c r="P21" i="4"/>
  <c r="R14" i="4"/>
  <c r="R12" i="3"/>
  <c r="O22" i="4" l="1"/>
  <c r="O22" i="3" s="1"/>
  <c r="O25" i="4"/>
  <c r="O26" i="3" s="1"/>
  <c r="Q21" i="4"/>
  <c r="Q22" i="4" s="1"/>
  <c r="Q22" i="3" s="1"/>
  <c r="R14" i="3"/>
  <c r="R18" i="4"/>
  <c r="N26" i="3"/>
  <c r="P25" i="4"/>
  <c r="P26" i="3" s="1"/>
  <c r="P22" i="4"/>
  <c r="P22" i="3" s="1"/>
  <c r="P21" i="3"/>
  <c r="Q25" i="4" l="1"/>
  <c r="Q26" i="3" s="1"/>
  <c r="Q21" i="3"/>
  <c r="R19" i="4"/>
  <c r="R19" i="3" s="1"/>
  <c r="R18" i="3"/>
  <c r="R21" i="4" l="1"/>
  <c r="R25" i="4" s="1"/>
  <c r="R22" i="4" l="1"/>
  <c r="R22" i="3" s="1"/>
  <c r="R21" i="3"/>
  <c r="R26" i="3"/>
  <c r="E27" i="4"/>
  <c r="E28" i="3" l="1"/>
  <c r="E28" i="4"/>
  <c r="E30" i="3" s="1"/>
</calcChain>
</file>

<file path=xl/sharedStrings.xml><?xml version="1.0" encoding="utf-8"?>
<sst xmlns="http://schemas.openxmlformats.org/spreadsheetml/2006/main" count="194" uniqueCount="144">
  <si>
    <t>Kirby Corp</t>
  </si>
  <si>
    <t>US$mm unless otherwise specified</t>
  </si>
  <si>
    <t>Act.</t>
  </si>
  <si>
    <t>Est.</t>
  </si>
  <si>
    <t>LQA</t>
  </si>
  <si>
    <t>LTM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</si>
  <si>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</si>
  <si>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</si>
  <si>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</si>
  <si>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</si>
  <si>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</si>
  <si>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</si>
  <si>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</si>
  <si>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</si>
  <si>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</si>
  <si>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</si>
  <si>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</si>
  <si>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</si>
  <si>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</si>
  <si>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</si>
  <si>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</si>
  <si>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</si>
  <si>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</si>
  <si>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</si>
  <si>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</si>
  <si>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</si>
  <si>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</si>
  <si>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</si>
  <si>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</si>
  <si>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</si>
  <si>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</si>
  <si>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</si>
  <si>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</si>
  <si>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</si>
  <si>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</si>
  <si>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</si>
  <si>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</si>
  <si>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</si>
  <si>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x</t>
  </si>
  <si>
    <t>Income Statement</t>
  </si>
  <si>
    <t>Marine Transport</t>
  </si>
  <si>
    <t>Distribution &amp; Services</t>
  </si>
  <si>
    <t>Total Revenues</t>
  </si>
  <si>
    <t>Y/Y Growth %</t>
  </si>
  <si>
    <t>Sequential Growth %</t>
  </si>
  <si>
    <t>Cash COGS &amp; OpEX</t>
  </si>
  <si>
    <t>Cash Gross Profit</t>
  </si>
  <si>
    <t>Gross Margin %</t>
  </si>
  <si>
    <t>SG&amp;A</t>
  </si>
  <si>
    <t>Taxes other than Income</t>
  </si>
  <si>
    <t>D&amp;A</t>
  </si>
  <si>
    <t>Core EBIT</t>
  </si>
  <si>
    <t>% Margin</t>
  </si>
  <si>
    <t>(+) D&amp;A</t>
  </si>
  <si>
    <t>Core EBITDA</t>
  </si>
  <si>
    <t>Impairments &amp; other charges</t>
  </si>
  <si>
    <t>Gains on disposals</t>
  </si>
  <si>
    <t>Other Income/Expenses Net</t>
  </si>
  <si>
    <t>Other EBIT Components</t>
  </si>
  <si>
    <t>As Reported Core EBIT</t>
  </si>
  <si>
    <t>Total EBIT</t>
  </si>
  <si>
    <t>Interest expense, net</t>
  </si>
  <si>
    <t>PBT</t>
  </si>
  <si>
    <t>(-) Taxes</t>
  </si>
  <si>
    <t>Net Income</t>
  </si>
  <si>
    <t>(-) NCI</t>
  </si>
  <si>
    <t>Net Income to Shareholders</t>
  </si>
  <si>
    <t>Diluted Shares Outstanding</t>
  </si>
  <si>
    <t>Fully Diluted EPS</t>
  </si>
  <si>
    <t>Balance Sheet</t>
  </si>
  <si>
    <t>Cash and cash equivalents</t>
  </si>
  <si>
    <t>Trade Receivables</t>
  </si>
  <si>
    <t>Other Receivables</t>
  </si>
  <si>
    <t>Inventory</t>
  </si>
  <si>
    <t>Prepaid Expenses</t>
  </si>
  <si>
    <t>Current Assets</t>
  </si>
  <si>
    <t>PP&amp;E</t>
  </si>
  <si>
    <t>Operating Leases ROU</t>
  </si>
  <si>
    <t>Goodwill</t>
  </si>
  <si>
    <t>Other Intangibles</t>
  </si>
  <si>
    <t>Other assets</t>
  </si>
  <si>
    <t>Total Assets</t>
  </si>
  <si>
    <t>Current portion of debt</t>
  </si>
  <si>
    <t>Income Taxes Payable</t>
  </si>
  <si>
    <t>Accounts Payable</t>
  </si>
  <si>
    <t>Accrued Liabilities</t>
  </si>
  <si>
    <t>Current Op Lease Liabilities</t>
  </si>
  <si>
    <t>Deferred Revenues</t>
  </si>
  <si>
    <t>Current Liablities</t>
  </si>
  <si>
    <t>Total Debt</t>
  </si>
  <si>
    <t>Deferred Income Taxes</t>
  </si>
  <si>
    <t>Operating Lease Liabilities</t>
  </si>
  <si>
    <t>Other LT Liabilities</t>
  </si>
  <si>
    <t>Total Liabilities</t>
  </si>
  <si>
    <t>Net Debt</t>
  </si>
  <si>
    <t>NWC</t>
  </si>
  <si>
    <t>Common Equity</t>
  </si>
  <si>
    <t>NCI</t>
  </si>
  <si>
    <t>Total Equity</t>
  </si>
  <si>
    <t>Total L+E</t>
  </si>
  <si>
    <t>B/S Check</t>
  </si>
  <si>
    <t>Segment</t>
  </si>
  <si>
    <t>Segments</t>
  </si>
  <si>
    <t>D&amp;S</t>
  </si>
  <si>
    <t>Check</t>
  </si>
  <si>
    <t>Marine EBIT</t>
  </si>
  <si>
    <t>Marine D&amp;A</t>
  </si>
  <si>
    <t>Marine Reported EBITDA</t>
  </si>
  <si>
    <t>Y/Y %</t>
  </si>
  <si>
    <t>D&amp;S EBIT</t>
  </si>
  <si>
    <t>D&amp;S D&amp;A</t>
  </si>
  <si>
    <t>D&amp;S Reported EBITDA</t>
  </si>
  <si>
    <t>Marine EBITDA</t>
  </si>
  <si>
    <t>D&amp;S EBITDA</t>
  </si>
  <si>
    <t>Implied Overhead</t>
  </si>
  <si>
    <t>Total EBITDA</t>
  </si>
  <si>
    <t>Ton Miles (mm)</t>
  </si>
  <si>
    <t>Revenue/ Ton Mile (cents/tm)</t>
  </si>
  <si>
    <t>Inland Revenues</t>
  </si>
  <si>
    <t>Coastal Revenues</t>
  </si>
  <si>
    <t>)</t>
  </si>
  <si>
    <t>Marine Transport DCF</t>
  </si>
  <si>
    <t>LT Normalized</t>
  </si>
  <si>
    <t>Ton Miles</t>
  </si>
  <si>
    <t>% Growth</t>
  </si>
  <si>
    <t>Pricing</t>
  </si>
  <si>
    <t>Inland Revenue</t>
  </si>
  <si>
    <t>(+) Coastal Revenue</t>
  </si>
  <si>
    <t>Total Revenue</t>
  </si>
  <si>
    <t>EBIT</t>
  </si>
  <si>
    <t>EBIT Margin %</t>
  </si>
  <si>
    <t>Step-up $mm</t>
  </si>
  <si>
    <t>EBITDA</t>
  </si>
  <si>
    <t>Tax on EBITDA</t>
  </si>
  <si>
    <t>(-) Tax</t>
  </si>
  <si>
    <t>(-) mCAPEX</t>
  </si>
  <si>
    <t>FCFF</t>
  </si>
  <si>
    <t>Conversion %</t>
  </si>
  <si>
    <t>Disc Rate</t>
  </si>
  <si>
    <t>PV Factor</t>
  </si>
  <si>
    <t>PV</t>
  </si>
  <si>
    <t>Terminal G</t>
  </si>
  <si>
    <t>TEV</t>
  </si>
  <si>
    <t>Impl FCF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</si>
</sst>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_)_%;\(#,##0\)_%;_(&quot;–&quot;_)_%;_(@_)_%"/>
    <numFmt numFmtId="165" formatCode="_(#,##0.0%_);\(#,##0.0%\);_(&quot;–&quot;_)_%;_(@_)_%"/>
    <numFmt numFmtId="166" formatCode="_(#,##0.0_)_%;\(#,##0.0\)_%;_(&quot;–&quot;_)_%;_(@_)_%"/>
    <numFmt numFmtId="167" formatCode="_([$$]#,##0.00_)_%;\([$$]#,##0.00\)_%;_(&quot;–&quot;_)_%;_(@_)_%"/>
    <numFmt numFmtId="168" formatCode="_(#,##0%_);\(#,##0%\);_(&quot;–&quot;_)_%;_(@_)_%"/>
    <numFmt numFmtId="169" formatCode="_(0.0\x_)_)_';_(\(0.0\x\)_'_';_(&quot;–&quot;_)_%;_(@_)_%"/>
    <numFmt numFmtId="170" formatCode="_([$$]#,##0.0_)_%;\([$$]#,##0.0\)_%;_(&quot;–&quot;_)_%;_(@_)_%"/>
    <numFmt numFmtId="171" formatCode="_(#,##0.00_)_%;\(#,##0.00\)_%;_(&quot;–&quot;_)_%;_(@_)_%"/>
    <numFmt numFmtId="172" formatCode="_-* #,##0.00_-;\-* #,##0.00_-;_-* &quot;-&quot;??_-;_-@_-"/>
    <numFmt numFmtId="173" formatCode="&quot;$&quot;#,##0;\(&quot;$&quot;#,##0\)"/>
    <numFmt numFmtId="174" formatCode="&quot;$&quot;#,##0.0"/>
    <numFmt numFmtId="175" formatCode="&quot;$&quot;#,##0.00;\(&quot;$&quot;#,##0.00\)"/>
    <numFmt numFmtId="176" formatCode="0.0_)\%;\(0.0\)\%;0.0_)\%;@_)_%"/>
    <numFmt numFmtId="177" formatCode="#,##0.0_)_%;\(#,##0.0\)_%;0.0_)_%;@_)_%"/>
    <numFmt numFmtId="178" formatCode="#,##0.0_);\(#,##0.0\);#,##0.0_);@_)"/>
    <numFmt numFmtId="179" formatCode="#,##0.0_);\(#,##0.0\)"/>
    <numFmt numFmtId="180" formatCode="&quot;$&quot;_(#,##0.00_);&quot;$&quot;\(#,##0.00\);&quot;$&quot;_(0.00_);@_)"/>
    <numFmt numFmtId="181" formatCode="&quot;$&quot;_(#,##0.00_);&quot;$&quot;\(#,##0.00\)"/>
    <numFmt numFmtId="182" formatCode="#,##0.00_);\(#,##0.00\);0.00_);@_)"/>
    <numFmt numFmtId="183" formatCode="\€_(#,##0.00_);\€\(#,##0.00\);\€_(0.00_);@_)"/>
    <numFmt numFmtId="184" formatCode="#,##0_)\x;\(#,##0\)\x;0_)\x;@_)_x"/>
    <numFmt numFmtId="185" formatCode="#,##0.0_)\x;\(#,##0.0\)\x"/>
    <numFmt numFmtId="186" formatCode="#,##0_)_x;\(#,##0\)_x;0_)_x;@_)_x"/>
    <numFmt numFmtId="187" formatCode="#,##0.0_)_x;\(#,##0.0\)_x"/>
    <numFmt numFmtId="188" formatCode="#,##0.0_)_x;\(#,##0.0\)_x;0.0_)_x;@_)_x"/>
    <numFmt numFmtId="189" formatCode="0.0_)\%;\(0.0\)\%"/>
    <numFmt numFmtId="190" formatCode="#,##0.0_)_%;\(#,##0.0\)_%"/>
    <numFmt numFmtId="191" formatCode="0.0%"/>
    <numFmt numFmtId="192" formatCode="0.0"/>
    <numFmt numFmtId="193" formatCode="0_)"/>
    <numFmt numFmtId="194" formatCode="m\-d\-yy"/>
    <numFmt numFmtId="195" formatCode="#,##0.0_);[Red]\(#,##0.0\)"/>
    <numFmt numFmtId="196" formatCode="#,##0.0000_);\(#,##0.0000\)"/>
    <numFmt numFmtId="197" formatCode="&quot;$&quot;#.;\(&quot;$&quot;#,\)"/>
    <numFmt numFmtId="198" formatCode="#,##0_%_);\(#,##0\)_%;#,##0_%_);@_%_)"/>
    <numFmt numFmtId="199" formatCode="0.0_);\(0.0\)"/>
    <numFmt numFmtId="200" formatCode="yyyy"/>
    <numFmt numFmtId="201" formatCode="m/d/yy_%_)"/>
    <numFmt numFmtId="202" formatCode="m/yy"/>
    <numFmt numFmtId="203" formatCode="#,##0;\(#,##0\)"/>
    <numFmt numFmtId="204" formatCode="#,##0.0;\(#,##0.0\)"/>
    <numFmt numFmtId="205" formatCode="#,##0.00;\(#,##0.00\)"/>
    <numFmt numFmtId="206" formatCode="&quot;D&quot;&quot;$&quot;#,##0.00_);[Red]\(&quot;D&quot;&quot;$&quot;#,##0.00\)"/>
    <numFmt numFmtId="207" formatCode="&quot;C&quot;&quot;$&quot;#,##0.00_);[Red]\(&quot;C&quot;&quot;$&quot;#,##0.00\)"/>
    <numFmt numFmtId="208" formatCode="0_%_);\(0\)_%;0_%_);@_%_)"/>
    <numFmt numFmtId="209" formatCode="&quot;EBITDA&quot;0.0"/>
    <numFmt numFmtId="210" formatCode="0.0\x"/>
    <numFmt numFmtId="211" formatCode="&quot;$&quot;#,##0.00"/>
    <numFmt numFmtId="212" formatCode="0.00%_);\(0.00%\)"/>
    <numFmt numFmtId="213" formatCode="#,##0.00&quot; $&quot;;\-#,##0.00&quot; $&quot;"/>
    <numFmt numFmtId="214" formatCode="&quot;$&quot;#,##0.0;\(&quot;$&quot;#,##0.0\)"/>
    <numFmt numFmtId="215" formatCode="&quot;L&quot;&quot;$&quot;#,##0_);[Red]\(&quot;L&quot;&quot;$&quot;#,##0\)"/>
    <numFmt numFmtId="216" formatCode="&quot;$&quot;#,\);\(&quot;$&quot;#,\)"/>
    <numFmt numFmtId="217" formatCode="&quot;$&quot;#,\);\(&quot;$&quot;#,##0\)"/>
    <numFmt numFmtId="218" formatCode="&quot;$&quot;#,;\(&quot;$&quot;#,\)"/>
    <numFmt numFmtId="219" formatCode="mm/dd/yy"/>
    <numFmt numFmtId="220" formatCode="_ &quot;SFr.&quot;* #,##0.00_ ;_ &quot;SFr.&quot;* \-#,##0.00_ ;_ &quot;SFr.&quot;* &quot;-&quot;??_ ;_ @_ "/>
    <numFmt numFmtId="221" formatCode="0.00_)"/>
    <numFmt numFmtId="222" formatCode="mm/dd/yy_)"/>
    <numFmt numFmtId="223" formatCode="#,##0.00;[Red]\(#,##0.00\)"/>
    <numFmt numFmtId="224" formatCode="0.00\ \x_);\(0.00\ \x\)"/>
    <numFmt numFmtId="225" formatCode="mm/dd/yy\ \ \ h:mm\ AM/PM"/>
    <numFmt numFmtId="226" formatCode="#,##0.000_);[Red]\(#,##0.000\)"/>
    <numFmt numFmtId="227" formatCode="&quot;PTE&quot;&quot;$&quot;#,##0_);[Red]\(&quot;PTE&quot;&quot;$&quot;#,##0\)"/>
    <numFmt numFmtId="228" formatCode="0.0000%"/>
    <numFmt numFmtId="229" formatCode="m/d"/>
    <numFmt numFmtId="230" formatCode="0.0000"/>
    <numFmt numFmtId="231" formatCode="_-* #,##0_-;\-* #,##0_-;_-* &quot;-&quot;_-;_-@_-"/>
    <numFmt numFmtId="232" formatCode="0.00%_);[Red]\(0.00%\)"/>
    <numFmt numFmtId="233" formatCode="&quot;S&quot;&quot;$&quot;#,##0.00_);[Red]\(&quot;S&quot;&quot;$&quot;#,##0.00\)"/>
    <numFmt numFmtId="234" formatCode="#,##0.0_%_);\(#,##0.0\)_%;#,##0.0_%_);@_%_)"/>
    <numFmt numFmtId="235" formatCode="General_)"/>
    <numFmt numFmtId="236" formatCode="_-&quot;£&quot;* #,##0.0_-;\-&quot;£&quot;* #,##0.0_-;_-&quot;£&quot;* &quot;-&quot;??_-;_-@_-"/>
    <numFmt numFmtId="237" formatCode="0\ \ ;\(0\)\ \ \ "/>
  </numFmts>
  <fonts count="18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rgb="FF000000"/>
      <name val="Calibri"/>
      <family val="2"/>
      <scheme val="minor"/>
    </font>
    <font>
      <sz val="10.5"/>
      <name val="Frutiger 45 Light"/>
      <family val="2"/>
    </font>
    <font>
      <b/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Helvetica"/>
      <family val="2"/>
    </font>
    <font>
      <sz val="10"/>
      <name val="Arial Narrow"/>
      <family val="2"/>
    </font>
    <font>
      <sz val="8"/>
      <name val="Tms Rmn"/>
    </font>
    <font>
      <sz val="8"/>
      <name val="Times New Roman"/>
      <family val="1"/>
    </font>
    <font>
      <sz val="8"/>
      <name val="MS Serif"/>
      <family val="1"/>
    </font>
    <font>
      <sz val="8"/>
      <name val="Arial"/>
      <family val="2"/>
    </font>
    <font>
      <sz val="10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u/>
      <sz val="10"/>
      <name val="Arial"/>
      <family val="2"/>
    </font>
    <font>
      <sz val="8"/>
      <name val="Tms Rmn"/>
      <family val="1"/>
    </font>
    <font>
      <sz val="12"/>
      <color indexed="12"/>
      <name val="Book Antiqua"/>
      <family val="1"/>
    </font>
    <font>
      <sz val="8"/>
      <color theme="1"/>
      <name val="Expert Sans Regular"/>
      <family val="2"/>
    </font>
    <font>
      <sz val="8"/>
      <color theme="0"/>
      <name val="Expert Sans Regular"/>
      <family val="2"/>
    </font>
    <font>
      <sz val="12"/>
      <name val="Arial MT"/>
    </font>
    <font>
      <sz val="8"/>
      <name val="Times"/>
      <family val="1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8"/>
      <color rgb="FF9C0006"/>
      <name val="Expert Sans Regular"/>
      <family val="2"/>
    </font>
    <font>
      <sz val="8"/>
      <name val="Palatino"/>
      <family val="1"/>
    </font>
    <font>
      <sz val="10"/>
      <color indexed="8"/>
      <name val="Arial"/>
      <family val="2"/>
    </font>
    <font>
      <sz val="10"/>
      <color indexed="8"/>
      <name val="Tms Rmn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</font>
    <font>
      <sz val="10"/>
      <color indexed="12"/>
      <name val="Times New Roman"/>
      <family val="1"/>
    </font>
    <font>
      <sz val="10"/>
      <color indexed="12"/>
      <name val="Arial"/>
      <family val="2"/>
    </font>
    <font>
      <sz val="8"/>
      <name val="Helv"/>
    </font>
    <font>
      <sz val="12"/>
      <name val="Tms Rmn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8"/>
      <color indexed="8"/>
      <name val="Arial"/>
      <family val="2"/>
    </font>
    <font>
      <b/>
      <sz val="10"/>
      <name val="MS Sans Serif"/>
      <family val="2"/>
    </font>
    <font>
      <u val="singleAccounting"/>
      <sz val="10"/>
      <name val="Arial"/>
      <family val="2"/>
    </font>
    <font>
      <b/>
      <sz val="8"/>
      <color rgb="FFFA7D00"/>
      <name val="Expert Sans Regular"/>
      <family val="2"/>
    </font>
    <font>
      <b/>
      <i/>
      <sz val="10"/>
      <name val="Times New Roman"/>
      <family val="1"/>
    </font>
    <font>
      <b/>
      <sz val="10"/>
      <name val="MS Serif"/>
      <family val="1"/>
    </font>
    <font>
      <b/>
      <sz val="11"/>
      <name val="Arial"/>
      <family val="2"/>
    </font>
    <font>
      <sz val="10"/>
      <color indexed="18"/>
      <name val="Times New Roman"/>
      <family val="1"/>
    </font>
    <font>
      <sz val="6"/>
      <name val="Arial Narrow"/>
      <family val="2"/>
    </font>
    <font>
      <b/>
      <sz val="8"/>
      <color theme="0"/>
      <name val="Expert Sans Regular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sz val="8"/>
      <color indexed="17"/>
      <name val="Times New Roman"/>
      <family val="1"/>
    </font>
    <font>
      <b/>
      <u/>
      <sz val="8"/>
      <name val="Arial"/>
      <family val="2"/>
    </font>
    <font>
      <sz val="11"/>
      <name val="Tms Rmn"/>
      <family val="1"/>
    </font>
    <font>
      <sz val="10"/>
      <name val="BERNHARD"/>
    </font>
    <font>
      <sz val="10"/>
      <name val="Helv"/>
    </font>
    <font>
      <sz val="10"/>
      <color indexed="12"/>
      <name val="Geneva"/>
      <family val="2"/>
    </font>
    <font>
      <b/>
      <sz val="14"/>
      <name val="Arial"/>
      <family val="2"/>
    </font>
    <font>
      <b/>
      <sz val="11"/>
      <name val="Times New Roman"/>
      <family val="1"/>
    </font>
    <font>
      <sz val="10"/>
      <name val="MS Serif"/>
      <family val="1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1"/>
      <color indexed="12"/>
      <name val="Book Antiqua"/>
      <family val="1"/>
    </font>
    <font>
      <sz val="8"/>
      <color indexed="16"/>
      <name val="Palatino"/>
      <family val="1"/>
    </font>
    <font>
      <sz val="8"/>
      <color indexed="12"/>
      <name val="Times New Roman"/>
      <family val="1"/>
    </font>
    <font>
      <sz val="8"/>
      <name val="Univers 47 CondensedLight"/>
      <family val="2"/>
    </font>
    <font>
      <sz val="9"/>
      <name val="Arial"/>
      <family val="2"/>
    </font>
    <font>
      <sz val="8"/>
      <color indexed="12"/>
      <name val="Arial"/>
      <family val="2"/>
    </font>
    <font>
      <u/>
      <sz val="8"/>
      <color indexed="12"/>
      <name val="Times New Roman"/>
      <family val="1"/>
    </font>
    <font>
      <sz val="7"/>
      <name val="Times New Roman"/>
      <family val="1"/>
    </font>
    <font>
      <sz val="1"/>
      <color indexed="8"/>
      <name val="Courier"/>
      <family val="3"/>
    </font>
    <font>
      <u val="doubleAccounting"/>
      <sz val="10"/>
      <name val="Arial"/>
      <family val="2"/>
    </font>
    <font>
      <b/>
      <i/>
      <sz val="8"/>
      <color indexed="12"/>
      <name val="Helvetica-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b/>
      <u/>
      <sz val="12"/>
      <name val="Arial Narrow"/>
      <family val="2"/>
    </font>
    <font>
      <i/>
      <sz val="8"/>
      <color rgb="FF7F7F7F"/>
      <name val="Expert Sans Regular"/>
      <family val="2"/>
    </font>
    <font>
      <b/>
      <sz val="7"/>
      <color indexed="12"/>
      <name val="Arial"/>
      <family val="2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8"/>
      <color indexed="8"/>
      <name val="Trebuchet MS"/>
      <family val="2"/>
    </font>
    <font>
      <sz val="8"/>
      <color rgb="FF006100"/>
      <name val="Expert Sans Regular"/>
      <family val="2"/>
    </font>
    <font>
      <b/>
      <sz val="12"/>
      <color indexed="9"/>
      <name val="Tms Rmn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i/>
      <sz val="8"/>
      <name val="Helv"/>
    </font>
    <font>
      <b/>
      <sz val="15"/>
      <color theme="3"/>
      <name val="Expert Sans Regular"/>
      <family val="2"/>
    </font>
    <font>
      <sz val="10"/>
      <name val="Helvetica-Black"/>
    </font>
    <font>
      <sz val="28"/>
      <name val="Helvetica-Black"/>
    </font>
    <font>
      <b/>
      <sz val="13"/>
      <color theme="3"/>
      <name val="Expert Sans Regular"/>
      <family val="2"/>
    </font>
    <font>
      <sz val="10"/>
      <name val="Palatino"/>
      <family val="1"/>
    </font>
    <font>
      <sz val="18"/>
      <name val="Palatino"/>
      <family val="1"/>
    </font>
    <font>
      <b/>
      <sz val="11"/>
      <color theme="3"/>
      <name val="Expert Sans Regular"/>
      <family val="2"/>
    </font>
    <font>
      <i/>
      <sz val="14"/>
      <name val="Palatino"/>
      <family val="1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u/>
      <sz val="10"/>
      <color theme="10"/>
      <name val="Arial Narrow"/>
      <family val="2"/>
    </font>
    <font>
      <u/>
      <sz val="8"/>
      <color theme="10"/>
      <name val="Arial"/>
      <family val="2"/>
    </font>
    <font>
      <sz val="8"/>
      <color rgb="FF3F3F76"/>
      <name val="Expert Sans Regular"/>
      <family val="2"/>
    </font>
    <font>
      <sz val="8"/>
      <color indexed="12"/>
      <name val="Palatino"/>
      <family val="1"/>
    </font>
    <font>
      <sz val="8"/>
      <color indexed="10"/>
      <name val="Helv"/>
    </font>
    <font>
      <sz val="10"/>
      <name val="GillSans Light"/>
      <family val="2"/>
    </font>
    <font>
      <i/>
      <sz val="16"/>
      <name val="Times New Roman"/>
      <family val="1"/>
    </font>
    <font>
      <sz val="10"/>
      <color indexed="16"/>
      <name val="MS Sans Serif"/>
      <family val="2"/>
    </font>
    <font>
      <sz val="8"/>
      <color rgb="FFFA7D00"/>
      <name val="Expert Sans Regular"/>
      <family val="2"/>
    </font>
    <font>
      <sz val="8"/>
      <color indexed="8"/>
      <name val="Helv"/>
    </font>
    <font>
      <sz val="10"/>
      <color indexed="20"/>
      <name val="Times New Roman"/>
      <family val="1"/>
    </font>
    <font>
      <sz val="8"/>
      <color rgb="FF9C6500"/>
      <name val="Expert Sans Regular"/>
      <family val="2"/>
    </font>
    <font>
      <sz val="7"/>
      <name val="Small Fonts"/>
      <family val="2"/>
    </font>
    <font>
      <sz val="10"/>
      <name val="Tms Rmn"/>
    </font>
    <font>
      <b/>
      <i/>
      <sz val="16"/>
      <name val="Helv"/>
    </font>
    <font>
      <sz val="10"/>
      <color indexed="8"/>
      <name val="MS Sans Serif"/>
      <family val="2"/>
    </font>
    <font>
      <sz val="8"/>
      <name val="Helvetica"/>
      <family val="2"/>
    </font>
    <font>
      <sz val="7"/>
      <color indexed="12"/>
      <name val="Arial"/>
      <family val="2"/>
    </font>
    <font>
      <i/>
      <sz val="10"/>
      <name val="Helv"/>
    </font>
    <font>
      <i/>
      <sz val="8"/>
      <color indexed="12"/>
      <name val="Arial"/>
      <family val="2"/>
    </font>
    <font>
      <b/>
      <sz val="13.5"/>
      <name val="MS Sans Serif"/>
      <family val="2"/>
    </font>
    <font>
      <b/>
      <sz val="8"/>
      <color rgb="FF3F3F3F"/>
      <name val="Expert Sans Regular"/>
      <family val="2"/>
    </font>
    <font>
      <u/>
      <sz val="10"/>
      <name val="Times New Roman"/>
      <family val="1"/>
    </font>
    <font>
      <b/>
      <sz val="26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 val="singleAccounting"/>
      <sz val="9"/>
      <name val="Times New Roman"/>
      <family val="1"/>
    </font>
    <font>
      <sz val="10"/>
      <color indexed="10"/>
      <name val="MS Sans Serif"/>
      <family val="2"/>
    </font>
    <font>
      <sz val="8"/>
      <name val="Wingdings"/>
      <charset val="2"/>
    </font>
    <font>
      <b/>
      <sz val="8.5"/>
      <name val="Times New Roman"/>
      <family val="1"/>
    </font>
    <font>
      <u/>
      <sz val="9.5"/>
      <name val="Times New Roman"/>
      <family val="1"/>
    </font>
    <font>
      <b/>
      <sz val="10"/>
      <color indexed="8"/>
      <name val="Times New Roman"/>
      <family val="1"/>
    </font>
    <font>
      <sz val="10"/>
      <name val="Futura UBS Bk"/>
      <family val="2"/>
    </font>
    <font>
      <sz val="8"/>
      <name val="MS Sans Serif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b/>
      <sz val="10"/>
      <name val="GillSans"/>
      <family val="2"/>
    </font>
    <font>
      <sz val="8"/>
      <color indexed="18"/>
      <name val="Times New Roman"/>
      <family val="1"/>
    </font>
    <font>
      <b/>
      <sz val="8"/>
      <color indexed="8"/>
      <name val="Helv"/>
    </font>
    <font>
      <b/>
      <sz val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sz val="8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name val="Helvetica-Black"/>
    </font>
    <font>
      <sz val="11"/>
      <color indexed="8"/>
      <name val="Helvetica-Black"/>
    </font>
    <font>
      <b/>
      <sz val="10"/>
      <name val="Helvetica 65"/>
      <family val="2"/>
    </font>
    <font>
      <b/>
      <sz val="9"/>
      <name val="Helvetica 65"/>
      <family val="2"/>
    </font>
    <font>
      <b/>
      <sz val="10"/>
      <color indexed="16"/>
      <name val="GillSans"/>
      <family val="2"/>
    </font>
    <font>
      <i/>
      <sz val="10"/>
      <name val="Times New Roman"/>
      <family val="1"/>
    </font>
    <font>
      <b/>
      <sz val="8"/>
      <color theme="1"/>
      <name val="Expert Sans Regular"/>
      <family val="2"/>
    </font>
    <font>
      <b/>
      <sz val="8"/>
      <name val="Palatino"/>
      <family val="1"/>
    </font>
    <font>
      <u/>
      <sz val="8"/>
      <name val="Times New Roman"/>
      <family val="1"/>
    </font>
    <font>
      <u/>
      <sz val="8"/>
      <color indexed="8"/>
      <name val="Arial"/>
      <family val="2"/>
    </font>
    <font>
      <sz val="8"/>
      <color rgb="FFFF0000"/>
      <name val="Expert Sans Regular"/>
      <family val="2"/>
    </font>
    <font>
      <sz val="8"/>
      <color indexed="9"/>
      <name val="Arial"/>
      <family val="2"/>
    </font>
    <font>
      <b/>
      <sz val="11"/>
      <color rgb="FF008000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9DAF8"/>
        <bgColor rgb="FF000000"/>
      </patternFill>
    </fill>
    <fill>
      <patternFill patternType="solid">
        <fgColor rgb="FF1C458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6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6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tted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14">
    <xf numFmtId="0" fontId="0" fillId="0" borderId="0"/>
    <xf numFmtId="172" fontId="11" fillId="0" borderId="0"/>
    <xf numFmtId="9" fontId="16" fillId="0" borderId="0"/>
    <xf numFmtId="0" fontId="23" fillId="0" borderId="0">
      <alignment vertical="center"/>
    </xf>
    <xf numFmtId="9" fontId="23" fillId="0" borderId="0"/>
    <xf numFmtId="173" fontId="25" fillId="0" borderId="0">
      <alignment horizontal="right"/>
    </xf>
    <xf numFmtId="0" fontId="26" fillId="0" borderId="0">
      <alignment horizontal="right"/>
    </xf>
    <xf numFmtId="174" fontId="8" fillId="0" borderId="0">
      <alignment horizontal="right"/>
    </xf>
    <xf numFmtId="175" fontId="25" fillId="0" borderId="0">
      <alignment horizontal="right"/>
    </xf>
    <xf numFmtId="0" fontId="8" fillId="0" borderId="0"/>
    <xf numFmtId="9" fontId="27" fillId="37" borderId="19">
      <alignment horizontal="right" vertical="center"/>
    </xf>
    <xf numFmtId="0" fontId="26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176" fontId="8" fillId="0" borderId="0"/>
    <xf numFmtId="176" fontId="8" fillId="0" borderId="0"/>
    <xf numFmtId="176" fontId="8" fillId="0" borderId="0"/>
    <xf numFmtId="0" fontId="8" fillId="0" borderId="0"/>
    <xf numFmtId="0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8" fillId="0" borderId="0"/>
    <xf numFmtId="177" fontId="8" fillId="0" borderId="0"/>
    <xf numFmtId="0" fontId="8" fillId="0" borderId="0"/>
    <xf numFmtId="0" fontId="8" fillId="0" borderId="0"/>
    <xf numFmtId="177" fontId="8" fillId="0" borderId="0"/>
    <xf numFmtId="177" fontId="8" fillId="0" borderId="0"/>
    <xf numFmtId="177" fontId="8" fillId="0" borderId="0"/>
    <xf numFmtId="0" fontId="28" fillId="0" borderId="0"/>
    <xf numFmtId="0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0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179" fontId="8" fillId="0" borderId="0"/>
    <xf numFmtId="0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8" fillId="0" borderId="0"/>
    <xf numFmtId="178" fontId="8" fillId="0" borderId="0"/>
    <xf numFmtId="0" fontId="8" fillId="0" borderId="0"/>
    <xf numFmtId="0" fontId="8" fillId="0" borderId="0"/>
    <xf numFmtId="178" fontId="8" fillId="0" borderId="0"/>
    <xf numFmtId="178" fontId="8" fillId="0" borderId="0"/>
    <xf numFmtId="178" fontId="8" fillId="0" borderId="0"/>
    <xf numFmtId="0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29" fillId="0" borderId="0"/>
    <xf numFmtId="178" fontId="29" fillId="0" borderId="0"/>
    <xf numFmtId="0" fontId="29" fillId="0" borderId="0"/>
    <xf numFmtId="0" fontId="29" fillId="0" borderId="0"/>
    <xf numFmtId="178" fontId="29" fillId="0" borderId="0"/>
    <xf numFmtId="178" fontId="29" fillId="0" borderId="0"/>
    <xf numFmtId="178" fontId="29" fillId="0" borderId="0"/>
    <xf numFmtId="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181" fontId="8" fillId="0" borderId="0"/>
    <xf numFmtId="0" fontId="8" fillId="0" borderId="0"/>
    <xf numFmtId="0" fontId="8" fillId="0" borderId="0"/>
    <xf numFmtId="181" fontId="8" fillId="0" borderId="0"/>
    <xf numFmtId="181" fontId="8" fillId="0" borderId="0"/>
    <xf numFmtId="181" fontId="8" fillId="0" borderId="0"/>
    <xf numFmtId="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8" fillId="0" borderId="0"/>
    <xf numFmtId="180" fontId="8" fillId="0" borderId="0"/>
    <xf numFmtId="0" fontId="8" fillId="0" borderId="0"/>
    <xf numFmtId="0" fontId="8" fillId="0" borderId="0"/>
    <xf numFmtId="180" fontId="8" fillId="0" borderId="0"/>
    <xf numFmtId="180" fontId="8" fillId="0" borderId="0"/>
    <xf numFmtId="180" fontId="8" fillId="0" borderId="0"/>
    <xf numFmtId="0" fontId="29" fillId="0" borderId="0"/>
    <xf numFmtId="0" fontId="29" fillId="0" borderId="0"/>
    <xf numFmtId="180" fontId="29" fillId="0" borderId="0"/>
    <xf numFmtId="0" fontId="29" fillId="0" borderId="0"/>
    <xf numFmtId="0" fontId="29" fillId="0" borderId="0"/>
    <xf numFmtId="180" fontId="29" fillId="0" borderId="0"/>
    <xf numFmtId="18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0" fontId="29" fillId="0" borderId="0"/>
    <xf numFmtId="180" fontId="29" fillId="0" borderId="0"/>
    <xf numFmtId="18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0" fontId="29" fillId="0" borderId="0"/>
    <xf numFmtId="180" fontId="29" fillId="0" borderId="0"/>
    <xf numFmtId="180" fontId="29" fillId="0" borderId="0"/>
    <xf numFmtId="180" fontId="29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39" fontId="8" fillId="0" borderId="0"/>
    <xf numFmtId="39" fontId="8" fillId="0" borderId="0"/>
    <xf numFmtId="0" fontId="8" fillId="0" borderId="0"/>
    <xf numFmtId="182" fontId="8" fillId="0" borderId="0"/>
    <xf numFmtId="182" fontId="8" fillId="0" borderId="0"/>
    <xf numFmtId="182" fontId="8" fillId="0" borderId="0"/>
    <xf numFmtId="0" fontId="29" fillId="0" borderId="0"/>
    <xf numFmtId="182" fontId="29" fillId="0" borderId="0"/>
    <xf numFmtId="182" fontId="29" fillId="0" borderId="0"/>
    <xf numFmtId="182" fontId="29" fillId="0" borderId="0"/>
    <xf numFmtId="0" fontId="28" fillId="0" borderId="0"/>
    <xf numFmtId="0" fontId="8" fillId="0" borderId="0"/>
    <xf numFmtId="0" fontId="8" fillId="0" borderId="0"/>
    <xf numFmtId="183" fontId="8" fillId="0" borderId="0"/>
    <xf numFmtId="0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8" fillId="0" borderId="0"/>
    <xf numFmtId="183" fontId="8" fillId="0" borderId="0"/>
    <xf numFmtId="0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8" fillId="0" borderId="0"/>
    <xf numFmtId="183" fontId="8" fillId="0" borderId="0"/>
    <xf numFmtId="0" fontId="8" fillId="0" borderId="0"/>
    <xf numFmtId="0" fontId="8" fillId="0" borderId="0"/>
    <xf numFmtId="183" fontId="8" fillId="0" borderId="0"/>
    <xf numFmtId="183" fontId="8" fillId="0" borderId="0"/>
    <xf numFmtId="183" fontId="8" fillId="0" borderId="0"/>
    <xf numFmtId="0" fontId="30" fillId="0" borderId="0"/>
    <xf numFmtId="0" fontId="8" fillId="38" borderId="0"/>
    <xf numFmtId="0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184" fontId="8" fillId="0" borderId="0"/>
    <xf numFmtId="0" fontId="8" fillId="0" borderId="0"/>
    <xf numFmtId="0" fontId="8" fillId="0" borderId="0"/>
    <xf numFmtId="184" fontId="8" fillId="0" borderId="0"/>
    <xf numFmtId="184" fontId="8" fillId="0" borderId="0"/>
    <xf numFmtId="184" fontId="8" fillId="0" borderId="0"/>
    <xf numFmtId="0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185" fontId="8" fillId="0" borderId="0"/>
    <xf numFmtId="0" fontId="8" fillId="0" borderId="0"/>
    <xf numFmtId="185" fontId="8" fillId="0" borderId="0"/>
    <xf numFmtId="185" fontId="8" fillId="0" borderId="0"/>
    <xf numFmtId="185" fontId="8" fillId="0" borderId="0"/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187" fontId="8" fillId="0" borderId="0"/>
    <xf numFmtId="0" fontId="8" fillId="0" borderId="0"/>
    <xf numFmtId="187" fontId="8" fillId="0" borderId="0"/>
    <xf numFmtId="187" fontId="8" fillId="0" borderId="0"/>
    <xf numFmtId="187" fontId="8" fillId="0" borderId="0"/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186" fontId="8" fillId="0" borderId="0">
      <alignment horizontal="right"/>
    </xf>
    <xf numFmtId="0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188" fontId="29" fillId="0" borderId="0"/>
    <xf numFmtId="0" fontId="29" fillId="0" borderId="0"/>
    <xf numFmtId="188" fontId="29" fillId="0" borderId="0"/>
    <xf numFmtId="188" fontId="29" fillId="0" borderId="0"/>
    <xf numFmtId="188" fontId="29" fillId="0" borderId="0"/>
    <xf numFmtId="0" fontId="8" fillId="0" borderId="0"/>
    <xf numFmtId="0" fontId="8" fillId="0" borderId="0"/>
    <xf numFmtId="189" fontId="8" fillId="0" borderId="0"/>
    <xf numFmtId="0" fontId="8" fillId="0" borderId="0"/>
    <xf numFmtId="0" fontId="8" fillId="0" borderId="0"/>
    <xf numFmtId="189" fontId="8" fillId="0" borderId="0"/>
    <xf numFmtId="189" fontId="8" fillId="0" borderId="0"/>
    <xf numFmtId="189" fontId="8" fillId="0" borderId="0"/>
    <xf numFmtId="0" fontId="8" fillId="0" borderId="0"/>
    <xf numFmtId="189" fontId="8" fillId="0" borderId="0"/>
    <xf numFmtId="0" fontId="8" fillId="0" borderId="0"/>
    <xf numFmtId="0" fontId="8" fillId="0" borderId="0"/>
    <xf numFmtId="189" fontId="8" fillId="0" borderId="0"/>
    <xf numFmtId="189" fontId="8" fillId="0" borderId="0"/>
    <xf numFmtId="189" fontId="8" fillId="0" borderId="0"/>
    <xf numFmtId="0" fontId="8" fillId="0" borderId="0"/>
    <xf numFmtId="189" fontId="8" fillId="0" borderId="0"/>
    <xf numFmtId="0" fontId="8" fillId="0" borderId="0"/>
    <xf numFmtId="0" fontId="8" fillId="0" borderId="0"/>
    <xf numFmtId="189" fontId="8" fillId="0" borderId="0"/>
    <xf numFmtId="189" fontId="8" fillId="0" borderId="0"/>
    <xf numFmtId="189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190" fontId="8" fillId="0" borderId="0"/>
    <xf numFmtId="0" fontId="8" fillId="0" borderId="0"/>
    <xf numFmtId="190" fontId="8" fillId="0" borderId="0"/>
    <xf numFmtId="190" fontId="8" fillId="0" borderId="0"/>
    <xf numFmtId="190" fontId="8" fillId="0" borderId="0"/>
    <xf numFmtId="0" fontId="29" fillId="0" borderId="0"/>
    <xf numFmtId="0" fontId="29" fillId="0" borderId="0"/>
    <xf numFmtId="177" fontId="29" fillId="0" borderId="0"/>
    <xf numFmtId="0" fontId="29" fillId="0" borderId="0"/>
    <xf numFmtId="0" fontId="29" fillId="0" borderId="0"/>
    <xf numFmtId="177" fontId="29" fillId="0" borderId="0"/>
    <xf numFmtId="177" fontId="29" fillId="0" borderId="0"/>
    <xf numFmtId="177" fontId="29" fillId="0" borderId="0"/>
    <xf numFmtId="0" fontId="29" fillId="0" borderId="0"/>
    <xf numFmtId="177" fontId="29" fillId="0" borderId="0"/>
    <xf numFmtId="0" fontId="29" fillId="0" borderId="0"/>
    <xf numFmtId="0" fontId="29" fillId="0" borderId="0"/>
    <xf numFmtId="177" fontId="29" fillId="0" borderId="0"/>
    <xf numFmtId="177" fontId="29" fillId="0" borderId="0"/>
    <xf numFmtId="177" fontId="29" fillId="0" borderId="0"/>
    <xf numFmtId="0" fontId="29" fillId="0" borderId="0"/>
    <xf numFmtId="177" fontId="29" fillId="0" borderId="0"/>
    <xf numFmtId="0" fontId="29" fillId="0" borderId="0"/>
    <xf numFmtId="0" fontId="29" fillId="0" borderId="0"/>
    <xf numFmtId="177" fontId="29" fillId="0" borderId="0"/>
    <xf numFmtId="177" fontId="29" fillId="0" borderId="0"/>
    <xf numFmtId="177" fontId="29" fillId="0" borderId="0"/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1" fillId="0" borderId="0">
      <alignment vertical="top"/>
    </xf>
    <xf numFmtId="0" fontId="32" fillId="0" borderId="20"/>
    <xf numFmtId="0" fontId="32" fillId="0" borderId="20"/>
    <xf numFmtId="0" fontId="32" fillId="0" borderId="21"/>
    <xf numFmtId="0" fontId="32" fillId="0" borderId="21"/>
    <xf numFmtId="0" fontId="32" fillId="0" borderId="20"/>
    <xf numFmtId="0" fontId="33" fillId="0" borderId="22">
      <alignment horizontal="center"/>
    </xf>
    <xf numFmtId="0" fontId="33" fillId="0" borderId="0">
      <alignment horizontal="left"/>
    </xf>
    <xf numFmtId="0" fontId="34" fillId="0" borderId="0">
      <alignment horizontal="centerContinuous"/>
    </xf>
    <xf numFmtId="0" fontId="34" fillId="0" borderId="0">
      <alignment horizontal="centerContinuous"/>
    </xf>
    <xf numFmtId="0" fontId="34" fillId="0" borderId="0">
      <alignment horizontal="centerContinuous"/>
    </xf>
    <xf numFmtId="0" fontId="34" fillId="0" borderId="0">
      <alignment horizontal="centerContinuous"/>
    </xf>
    <xf numFmtId="0" fontId="34" fillId="0" borderId="0">
      <alignment horizontal="centerContinuous"/>
    </xf>
    <xf numFmtId="0" fontId="35" fillId="0" borderId="0"/>
    <xf numFmtId="0" fontId="35" fillId="0" borderId="0"/>
    <xf numFmtId="0" fontId="28" fillId="0" borderId="0"/>
    <xf numFmtId="0" fontId="28" fillId="0" borderId="0"/>
    <xf numFmtId="0" fontId="28" fillId="0" borderId="0"/>
    <xf numFmtId="0" fontId="36" fillId="0" borderId="0"/>
    <xf numFmtId="9" fontId="8" fillId="0" borderId="0"/>
    <xf numFmtId="0" fontId="36" fillId="0" borderId="0"/>
    <xf numFmtId="191" fontId="36" fillId="0" borderId="0"/>
    <xf numFmtId="192" fontId="36" fillId="0" borderId="0"/>
    <xf numFmtId="2" fontId="36" fillId="0" borderId="0"/>
    <xf numFmtId="10" fontId="36" fillId="0" borderId="0"/>
    <xf numFmtId="193" fontId="36" fillId="0" borderId="0"/>
    <xf numFmtId="193" fontId="36" fillId="0" borderId="0"/>
    <xf numFmtId="193" fontId="36" fillId="0" borderId="0"/>
    <xf numFmtId="0" fontId="36" fillId="0" borderId="0"/>
    <xf numFmtId="1" fontId="37" fillId="0" borderId="0"/>
    <xf numFmtId="1" fontId="38" fillId="0" borderId="0"/>
    <xf numFmtId="0" fontId="36" fillId="0" borderId="0"/>
    <xf numFmtId="193" fontId="36" fillId="0" borderId="0"/>
    <xf numFmtId="193" fontId="36" fillId="0" borderId="0"/>
    <xf numFmtId="0" fontId="36" fillId="0" borderId="0"/>
    <xf numFmtId="193" fontId="36" fillId="0" borderId="0"/>
    <xf numFmtId="38" fontId="29" fillId="0" borderId="23"/>
    <xf numFmtId="37" fontId="39" fillId="0" borderId="1"/>
    <xf numFmtId="192" fontId="26" fillId="0" borderId="0"/>
    <xf numFmtId="0" fontId="40" fillId="13" borderId="0"/>
    <xf numFmtId="0" fontId="40" fillId="17" borderId="0"/>
    <xf numFmtId="0" fontId="40" fillId="21" borderId="0"/>
    <xf numFmtId="0" fontId="40" fillId="25" borderId="0"/>
    <xf numFmtId="0" fontId="40" fillId="29" borderId="0"/>
    <xf numFmtId="0" fontId="40" fillId="33" borderId="0"/>
    <xf numFmtId="0" fontId="26" fillId="0" borderId="0"/>
    <xf numFmtId="40" fontId="26" fillId="0" borderId="0"/>
    <xf numFmtId="0" fontId="40" fillId="14" borderId="0"/>
    <xf numFmtId="0" fontId="40" fillId="18" borderId="0"/>
    <xf numFmtId="0" fontId="40" fillId="22" borderId="0"/>
    <xf numFmtId="0" fontId="40" fillId="26" borderId="0"/>
    <xf numFmtId="0" fontId="40" fillId="30" borderId="0"/>
    <xf numFmtId="0" fontId="40" fillId="34" borderId="0"/>
    <xf numFmtId="0" fontId="41" fillId="15" borderId="0"/>
    <xf numFmtId="0" fontId="41" fillId="19" borderId="0"/>
    <xf numFmtId="0" fontId="41" fillId="23" borderId="0"/>
    <xf numFmtId="0" fontId="41" fillId="27" borderId="0"/>
    <xf numFmtId="0" fontId="41" fillId="31" borderId="0"/>
    <xf numFmtId="0" fontId="41" fillId="35" borderId="0"/>
    <xf numFmtId="37" fontId="42" fillId="0" borderId="0">
      <alignment horizontal="center"/>
    </xf>
    <xf numFmtId="0" fontId="41" fillId="12" borderId="0"/>
    <xf numFmtId="0" fontId="41" fillId="16" borderId="0"/>
    <xf numFmtId="0" fontId="41" fillId="20" borderId="0"/>
    <xf numFmtId="0" fontId="41" fillId="24" borderId="0"/>
    <xf numFmtId="0" fontId="41" fillId="28" borderId="0"/>
    <xf numFmtId="0" fontId="41" fillId="32" borderId="0"/>
    <xf numFmtId="0" fontId="29" fillId="0" borderId="0"/>
    <xf numFmtId="0" fontId="29" fillId="0" borderId="0"/>
    <xf numFmtId="0" fontId="29" fillId="0" borderId="0"/>
    <xf numFmtId="0" fontId="28" fillId="0" borderId="0"/>
    <xf numFmtId="194" fontId="9" fillId="39" borderId="24">
      <alignment horizontal="center" vertical="center"/>
    </xf>
    <xf numFmtId="0" fontId="43" fillId="0" borderId="0"/>
    <xf numFmtId="0" fontId="26" fillId="0" borderId="0">
      <alignment horizontal="center" wrapText="1"/>
      <protection locked="0"/>
    </xf>
    <xf numFmtId="0" fontId="8" fillId="0" borderId="0"/>
    <xf numFmtId="0" fontId="44" fillId="0" borderId="0"/>
    <xf numFmtId="0" fontId="8" fillId="0" borderId="25"/>
    <xf numFmtId="0" fontId="45" fillId="0" borderId="25"/>
    <xf numFmtId="0" fontId="46" fillId="0" borderId="25"/>
    <xf numFmtId="0" fontId="28" fillId="0" borderId="25"/>
    <xf numFmtId="0" fontId="47" fillId="0" borderId="26">
      <protection hidden="1"/>
    </xf>
    <xf numFmtId="0" fontId="48" fillId="40" borderId="26">
      <protection hidden="1"/>
    </xf>
    <xf numFmtId="0" fontId="49" fillId="6" borderId="0"/>
    <xf numFmtId="0" fontId="50" fillId="0" borderId="0"/>
    <xf numFmtId="195" fontId="26" fillId="0" borderId="0"/>
    <xf numFmtId="0" fontId="51" fillId="0" borderId="0"/>
    <xf numFmtId="0" fontId="25" fillId="0" borderId="0"/>
    <xf numFmtId="0" fontId="25" fillId="0" borderId="0"/>
    <xf numFmtId="0" fontId="25" fillId="0" borderId="0"/>
    <xf numFmtId="191" fontId="29" fillId="0" borderId="0"/>
    <xf numFmtId="0" fontId="29" fillId="0" borderId="0"/>
    <xf numFmtId="0" fontId="25" fillId="0" borderId="0"/>
    <xf numFmtId="0" fontId="29" fillId="0" borderId="0"/>
    <xf numFmtId="0" fontId="25" fillId="0" borderId="0">
      <alignment horizontal="right"/>
    </xf>
    <xf numFmtId="0" fontId="25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0" fontId="52" fillId="0" borderId="0"/>
    <xf numFmtId="0" fontId="53" fillId="0" borderId="0"/>
    <xf numFmtId="0" fontId="54" fillId="41" borderId="0">
      <protection locked="0"/>
    </xf>
    <xf numFmtId="0" fontId="29" fillId="0" borderId="0"/>
    <xf numFmtId="0" fontId="55" fillId="0" borderId="0"/>
    <xf numFmtId="0" fontId="25" fillId="0" borderId="0"/>
    <xf numFmtId="0" fontId="29" fillId="0" borderId="0"/>
    <xf numFmtId="0" fontId="29" fillId="0" borderId="0"/>
    <xf numFmtId="196" fontId="29" fillId="0" borderId="0"/>
    <xf numFmtId="0" fontId="29" fillId="0" borderId="0"/>
    <xf numFmtId="7" fontId="56" fillId="0" borderId="0">
      <alignment horizontal="right"/>
      <protection locked="0"/>
    </xf>
    <xf numFmtId="0" fontId="57" fillId="0" borderId="0"/>
    <xf numFmtId="0" fontId="58" fillId="0" borderId="0"/>
    <xf numFmtId="0" fontId="58" fillId="0" borderId="0"/>
    <xf numFmtId="0" fontId="59" fillId="0" borderId="0"/>
    <xf numFmtId="37" fontId="60" fillId="0" borderId="0">
      <protection locked="0"/>
    </xf>
    <xf numFmtId="0" fontId="8" fillId="0" borderId="0"/>
    <xf numFmtId="0" fontId="61" fillId="0" borderId="1"/>
    <xf numFmtId="37" fontId="60" fillId="0" borderId="0">
      <protection locked="0"/>
    </xf>
    <xf numFmtId="0" fontId="62" fillId="41" borderId="6">
      <protection locked="0"/>
    </xf>
    <xf numFmtId="0" fontId="62" fillId="41" borderId="6">
      <protection locked="0"/>
    </xf>
    <xf numFmtId="0" fontId="62" fillId="41" borderId="6">
      <protection locked="0"/>
    </xf>
    <xf numFmtId="5" fontId="63" fillId="0" borderId="2"/>
    <xf numFmtId="0" fontId="26" fillId="0" borderId="27"/>
    <xf numFmtId="0" fontId="26" fillId="0" borderId="28"/>
    <xf numFmtId="5" fontId="63" fillId="0" borderId="2"/>
    <xf numFmtId="0" fontId="8" fillId="0" borderId="29">
      <alignment horizontal="right"/>
    </xf>
    <xf numFmtId="0" fontId="64" fillId="0" borderId="0"/>
    <xf numFmtId="0" fontId="35" fillId="0" borderId="0"/>
    <xf numFmtId="197" fontId="48" fillId="0" borderId="0"/>
    <xf numFmtId="0" fontId="51" fillId="0" borderId="0"/>
    <xf numFmtId="0" fontId="65" fillId="9" borderId="13"/>
    <xf numFmtId="0" fontId="66" fillId="42" borderId="0">
      <alignment horizontal="left"/>
    </xf>
    <xf numFmtId="195" fontId="26" fillId="0" borderId="0"/>
    <xf numFmtId="195" fontId="8" fillId="0" borderId="0"/>
    <xf numFmtId="0" fontId="67" fillId="43" borderId="30"/>
    <xf numFmtId="0" fontId="68" fillId="0" borderId="0">
      <alignment horizontal="center"/>
      <protection locked="0"/>
    </xf>
    <xf numFmtId="8" fontId="8" fillId="0" borderId="31">
      <alignment horizontal="right"/>
    </xf>
    <xf numFmtId="1" fontId="69" fillId="0" borderId="0"/>
    <xf numFmtId="0" fontId="70" fillId="44" borderId="0"/>
    <xf numFmtId="0" fontId="50" fillId="0" borderId="32"/>
    <xf numFmtId="0" fontId="71" fillId="10" borderId="16"/>
    <xf numFmtId="3" fontId="48" fillId="0" borderId="0"/>
    <xf numFmtId="0" fontId="72" fillId="0" borderId="33">
      <alignment horizontal="center" vertical="center"/>
    </xf>
    <xf numFmtId="0" fontId="73" fillId="0" borderId="1">
      <alignment horizontal="right" vertical="center"/>
    </xf>
    <xf numFmtId="38" fontId="74" fillId="0" borderId="32"/>
    <xf numFmtId="0" fontId="75" fillId="0" borderId="0">
      <alignment horizontal="right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41" fontId="8" fillId="0" borderId="0"/>
    <xf numFmtId="0" fontId="8" fillId="0" borderId="0"/>
    <xf numFmtId="198" fontId="50" fillId="0" borderId="0">
      <alignment horizontal="right"/>
    </xf>
    <xf numFmtId="0" fontId="50" fillId="0" borderId="0"/>
    <xf numFmtId="0" fontId="50" fillId="0" borderId="0">
      <alignment horizontal="right"/>
    </xf>
    <xf numFmtId="43" fontId="8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16" fillId="0" borderId="0"/>
    <xf numFmtId="43" fontId="8" fillId="0" borderId="0"/>
    <xf numFmtId="43" fontId="16" fillId="0" borderId="0"/>
    <xf numFmtId="43" fontId="16" fillId="0" borderId="0"/>
    <xf numFmtId="43" fontId="16" fillId="0" borderId="0"/>
    <xf numFmtId="0" fontId="50" fillId="0" borderId="0">
      <alignment horizontal="right"/>
    </xf>
    <xf numFmtId="0" fontId="50" fillId="0" borderId="0"/>
    <xf numFmtId="199" fontId="8" fillId="0" borderId="0">
      <alignment horizontal="right"/>
    </xf>
    <xf numFmtId="43" fontId="24" fillId="0" borderId="0"/>
    <xf numFmtId="43" fontId="8" fillId="0" borderId="0"/>
    <xf numFmtId="0" fontId="50" fillId="0" borderId="0"/>
    <xf numFmtId="43" fontId="16" fillId="0" borderId="0"/>
    <xf numFmtId="40" fontId="8" fillId="0" borderId="0">
      <alignment horizontal="right"/>
    </xf>
    <xf numFmtId="37" fontId="26" fillId="0" borderId="0"/>
    <xf numFmtId="0" fontId="50" fillId="0" borderId="0"/>
    <xf numFmtId="3" fontId="48" fillId="0" borderId="0"/>
    <xf numFmtId="0" fontId="77" fillId="0" borderId="0"/>
    <xf numFmtId="0" fontId="78" fillId="0" borderId="0"/>
    <xf numFmtId="0" fontId="48" fillId="0" borderId="0"/>
    <xf numFmtId="0" fontId="77" fillId="0" borderId="0"/>
    <xf numFmtId="0" fontId="78" fillId="0" borderId="0"/>
    <xf numFmtId="0" fontId="48" fillId="0" borderId="0"/>
    <xf numFmtId="4" fontId="79" fillId="0" borderId="30"/>
    <xf numFmtId="0" fontId="48" fillId="0" borderId="0"/>
    <xf numFmtId="0" fontId="8" fillId="0" borderId="0"/>
    <xf numFmtId="0" fontId="80" fillId="0" borderId="0">
      <protection locked="0"/>
    </xf>
    <xf numFmtId="0" fontId="81" fillId="0" borderId="0">
      <alignment horizontal="left"/>
    </xf>
    <xf numFmtId="0" fontId="82" fillId="0" borderId="0">
      <alignment horizontal="left"/>
    </xf>
    <xf numFmtId="0" fontId="83" fillId="0" borderId="0">
      <alignment horizontal="left"/>
    </xf>
    <xf numFmtId="0" fontId="84" fillId="0" borderId="0"/>
    <xf numFmtId="0" fontId="85" fillId="0" borderId="0">
      <alignment horizontal="left"/>
    </xf>
    <xf numFmtId="0" fontId="58" fillId="0" borderId="0">
      <alignment horizontal="right"/>
    </xf>
    <xf numFmtId="6" fontId="36" fillId="0" borderId="0"/>
    <xf numFmtId="0" fontId="57" fillId="0" borderId="0"/>
    <xf numFmtId="0" fontId="28" fillId="0" borderId="0"/>
    <xf numFmtId="8" fontId="86" fillId="0" borderId="34">
      <protection locked="0"/>
    </xf>
    <xf numFmtId="0" fontId="50" fillId="0" borderId="0">
      <alignment horizontal="right"/>
    </xf>
    <xf numFmtId="44" fontId="24" fillId="0" borderId="0"/>
    <xf numFmtId="0" fontId="50" fillId="0" borderId="0">
      <alignment horizontal="right"/>
    </xf>
    <xf numFmtId="0" fontId="87" fillId="0" borderId="0"/>
    <xf numFmtId="0" fontId="50" fillId="0" borderId="0"/>
    <xf numFmtId="44" fontId="24" fillId="0" borderId="0"/>
    <xf numFmtId="44" fontId="8" fillId="0" borderId="0"/>
    <xf numFmtId="0" fontId="87" fillId="0" borderId="0"/>
    <xf numFmtId="44" fontId="24" fillId="0" borderId="0"/>
    <xf numFmtId="44" fontId="16" fillId="0" borderId="0"/>
    <xf numFmtId="5" fontId="26" fillId="0" borderId="0"/>
    <xf numFmtId="0" fontId="50" fillId="0" borderId="0"/>
    <xf numFmtId="37" fontId="48" fillId="0" borderId="0"/>
    <xf numFmtId="0" fontId="48" fillId="0" borderId="0"/>
    <xf numFmtId="0" fontId="88" fillId="0" borderId="0"/>
    <xf numFmtId="0" fontId="89" fillId="0" borderId="35">
      <alignment horizontal="right"/>
    </xf>
    <xf numFmtId="0" fontId="48" fillId="0" borderId="0"/>
    <xf numFmtId="0" fontId="35" fillId="0" borderId="0"/>
    <xf numFmtId="200" fontId="90" fillId="45" borderId="0">
      <alignment horizontal="right" indent="1"/>
    </xf>
    <xf numFmtId="15" fontId="45" fillId="0" borderId="0"/>
    <xf numFmtId="0" fontId="45" fillId="46" borderId="0"/>
    <xf numFmtId="0" fontId="91" fillId="46" borderId="36"/>
    <xf numFmtId="0" fontId="28" fillId="46" borderId="0"/>
    <xf numFmtId="17" fontId="45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201" fontId="50" fillId="0" borderId="0"/>
    <xf numFmtId="0" fontId="50" fillId="0" borderId="0"/>
    <xf numFmtId="0" fontId="8" fillId="0" borderId="0"/>
    <xf numFmtId="14" fontId="8" fillId="0" borderId="0">
      <alignment horizontal="center"/>
    </xf>
    <xf numFmtId="202" fontId="26" fillId="0" borderId="0">
      <alignment horizontal="right"/>
    </xf>
    <xf numFmtId="0" fontId="50" fillId="0" borderId="0">
      <alignment horizontal="center"/>
    </xf>
    <xf numFmtId="14" fontId="9" fillId="0" borderId="9">
      <alignment horizontal="right"/>
    </xf>
    <xf numFmtId="14" fontId="92" fillId="0" borderId="0">
      <alignment horizontal="right"/>
      <protection locked="0"/>
    </xf>
    <xf numFmtId="0" fontId="26" fillId="0" borderId="0"/>
    <xf numFmtId="14" fontId="8" fillId="0" borderId="0">
      <alignment horizontal="center"/>
    </xf>
    <xf numFmtId="0" fontId="50" fillId="0" borderId="0">
      <alignment horizontal="center"/>
    </xf>
    <xf numFmtId="0" fontId="50" fillId="0" borderId="2">
      <alignment horizontal="center"/>
    </xf>
    <xf numFmtId="0" fontId="50" fillId="0" borderId="2">
      <alignment horizontal="center"/>
    </xf>
    <xf numFmtId="203" fontId="26" fillId="0" borderId="0">
      <alignment horizontal="right"/>
    </xf>
    <xf numFmtId="204" fontId="26" fillId="0" borderId="0">
      <alignment horizontal="right"/>
    </xf>
    <xf numFmtId="205" fontId="26" fillId="0" borderId="0">
      <alignment horizontal="right"/>
    </xf>
    <xf numFmtId="206" fontId="93" fillId="0" borderId="0"/>
    <xf numFmtId="0" fontId="8" fillId="0" borderId="0"/>
    <xf numFmtId="0" fontId="8" fillId="0" borderId="0"/>
    <xf numFmtId="0" fontId="94" fillId="0" borderId="0">
      <protection locked="0"/>
    </xf>
    <xf numFmtId="38" fontId="26" fillId="41" borderId="0">
      <alignment horizontal="right"/>
    </xf>
    <xf numFmtId="38" fontId="26" fillId="0" borderId="0"/>
    <xf numFmtId="0" fontId="58" fillId="0" borderId="0"/>
    <xf numFmtId="207" fontId="60" fillId="0" borderId="0"/>
    <xf numFmtId="6" fontId="26" fillId="0" borderId="0"/>
    <xf numFmtId="8" fontId="26" fillId="0" borderId="0"/>
    <xf numFmtId="5" fontId="51" fillId="0" borderId="0">
      <protection locked="0"/>
    </xf>
    <xf numFmtId="6" fontId="26" fillId="0" borderId="0"/>
    <xf numFmtId="208" fontId="50" fillId="0" borderId="37"/>
    <xf numFmtId="42" fontId="95" fillId="0" borderId="0"/>
    <xf numFmtId="0" fontId="32" fillId="41" borderId="0">
      <alignment horizontal="right" vertical="center"/>
    </xf>
    <xf numFmtId="191" fontId="96" fillId="47" borderId="38">
      <alignment vertical="top"/>
    </xf>
    <xf numFmtId="0" fontId="97" fillId="0" borderId="0">
      <protection locked="0"/>
    </xf>
    <xf numFmtId="0" fontId="97" fillId="0" borderId="0">
      <protection locked="0"/>
    </xf>
    <xf numFmtId="0" fontId="98" fillId="0" borderId="0">
      <alignment horizontal="left"/>
    </xf>
    <xf numFmtId="0" fontId="99" fillId="0" borderId="0"/>
    <xf numFmtId="191" fontId="99" fillId="0" borderId="0"/>
    <xf numFmtId="209" fontId="58" fillId="0" borderId="0"/>
    <xf numFmtId="0" fontId="8" fillId="0" borderId="0"/>
    <xf numFmtId="0" fontId="100" fillId="0" borderId="0"/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3" fontId="101" fillId="0" borderId="0">
      <alignment horizontal="left"/>
    </xf>
    <xf numFmtId="0" fontId="94" fillId="0" borderId="0">
      <protection locked="0"/>
    </xf>
    <xf numFmtId="0" fontId="94" fillId="0" borderId="0">
      <protection locked="0"/>
    </xf>
    <xf numFmtId="0" fontId="8" fillId="0" borderId="0">
      <protection locked="0"/>
    </xf>
    <xf numFmtId="1" fontId="48" fillId="0" borderId="0"/>
    <xf numFmtId="0" fontId="102" fillId="0" borderId="0">
      <alignment horizontal="left"/>
    </xf>
    <xf numFmtId="0" fontId="103" fillId="0" borderId="0">
      <alignment horizontal="left"/>
    </xf>
    <xf numFmtId="0" fontId="104" fillId="0" borderId="0">
      <alignment horizontal="left"/>
    </xf>
    <xf numFmtId="0" fontId="104" fillId="0" borderId="0">
      <alignment horizontal="left"/>
    </xf>
    <xf numFmtId="0" fontId="104" fillId="0" borderId="0">
      <alignment horizontal="left"/>
    </xf>
    <xf numFmtId="0" fontId="28" fillId="41" borderId="30">
      <alignment vertical="top"/>
    </xf>
    <xf numFmtId="0" fontId="8" fillId="0" borderId="0"/>
    <xf numFmtId="210" fontId="8" fillId="0" borderId="26"/>
    <xf numFmtId="191" fontId="48" fillId="0" borderId="0"/>
    <xf numFmtId="210" fontId="8" fillId="0" borderId="39"/>
    <xf numFmtId="0" fontId="105" fillId="48" borderId="40">
      <alignment horizontal="right" vertical="center"/>
    </xf>
    <xf numFmtId="195" fontId="26" fillId="0" borderId="0">
      <protection locked="0"/>
    </xf>
    <xf numFmtId="0" fontId="106" fillId="5" borderId="0"/>
    <xf numFmtId="37" fontId="9" fillId="0" borderId="41"/>
    <xf numFmtId="38" fontId="28" fillId="47" borderId="0"/>
    <xf numFmtId="0" fontId="50" fillId="0" borderId="0"/>
    <xf numFmtId="10" fontId="26" fillId="41" borderId="0">
      <alignment horizontal="right"/>
    </xf>
    <xf numFmtId="0" fontId="50" fillId="0" borderId="0"/>
    <xf numFmtId="211" fontId="50" fillId="0" borderId="0">
      <alignment horizontal="left"/>
      <protection locked="0"/>
    </xf>
    <xf numFmtId="212" fontId="93" fillId="41" borderId="0">
      <alignment horizontal="right"/>
    </xf>
    <xf numFmtId="0" fontId="50" fillId="0" borderId="0">
      <alignment horizontal="right"/>
    </xf>
    <xf numFmtId="0" fontId="107" fillId="45" borderId="0"/>
    <xf numFmtId="0" fontId="108" fillId="49" borderId="0">
      <alignment horizontal="left" vertical="center"/>
    </xf>
    <xf numFmtId="0" fontId="109" fillId="1" borderId="0">
      <alignment horizontal="left" vertical="center"/>
    </xf>
    <xf numFmtId="0" fontId="110" fillId="0" borderId="0">
      <alignment horizontal="right"/>
    </xf>
    <xf numFmtId="0" fontId="111" fillId="0" borderId="0">
      <alignment horizontal="left"/>
    </xf>
    <xf numFmtId="0" fontId="111" fillId="0" borderId="0">
      <alignment horizontal="left"/>
    </xf>
    <xf numFmtId="0" fontId="112" fillId="0" borderId="42">
      <alignment horizontal="left" vertical="center"/>
    </xf>
    <xf numFmtId="0" fontId="112" fillId="0" borderId="9">
      <alignment horizontal="left" vertical="center"/>
    </xf>
    <xf numFmtId="0" fontId="113" fillId="0" borderId="1">
      <alignment horizontal="center"/>
    </xf>
    <xf numFmtId="0" fontId="114" fillId="0" borderId="10"/>
    <xf numFmtId="0" fontId="115" fillId="0" borderId="0">
      <alignment horizontal="left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7" fillId="0" borderId="11"/>
    <xf numFmtId="0" fontId="118" fillId="0" borderId="0">
      <alignment horizontal="left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20" fillId="0" borderId="12"/>
    <xf numFmtId="0" fontId="121" fillId="0" borderId="0">
      <alignment horizontal="left"/>
    </xf>
    <xf numFmtId="0" fontId="120" fillId="0" borderId="0"/>
    <xf numFmtId="0" fontId="68" fillId="0" borderId="0">
      <protection locked="0"/>
    </xf>
    <xf numFmtId="0" fontId="68" fillId="0" borderId="1">
      <protection locked="0"/>
    </xf>
    <xf numFmtId="213" fontId="8" fillId="0" borderId="0">
      <protection locked="0"/>
    </xf>
    <xf numFmtId="213" fontId="8" fillId="0" borderId="0">
      <protection locked="0"/>
    </xf>
    <xf numFmtId="0" fontId="122" fillId="0" borderId="27">
      <alignment horizontal="center"/>
    </xf>
    <xf numFmtId="0" fontId="122" fillId="0" borderId="0">
      <alignment horizontal="center"/>
    </xf>
    <xf numFmtId="0" fontId="9" fillId="50" borderId="0">
      <alignment wrapText="1"/>
    </xf>
    <xf numFmtId="0" fontId="8" fillId="0" borderId="0">
      <alignment wrapText="1"/>
    </xf>
    <xf numFmtId="0" fontId="8" fillId="0" borderId="0">
      <alignment horizontal="justify" vertical="top" wrapText="1"/>
    </xf>
    <xf numFmtId="0" fontId="57" fillId="0" borderId="43"/>
    <xf numFmtId="0" fontId="123" fillId="0" borderId="0">
      <alignment vertical="top"/>
      <protection locked="0"/>
    </xf>
    <xf numFmtId="0" fontId="124" fillId="0" borderId="0">
      <alignment vertical="top"/>
      <protection locked="0"/>
    </xf>
    <xf numFmtId="0" fontId="125" fillId="0" borderId="0">
      <alignment vertical="top"/>
      <protection locked="0"/>
    </xf>
    <xf numFmtId="0" fontId="50" fillId="0" borderId="0"/>
    <xf numFmtId="38" fontId="26" fillId="0" borderId="0"/>
    <xf numFmtId="214" fontId="50" fillId="0" borderId="0"/>
    <xf numFmtId="0" fontId="50" fillId="0" borderId="0"/>
    <xf numFmtId="0" fontId="26" fillId="0" borderId="0"/>
    <xf numFmtId="40" fontId="26" fillId="0" borderId="0">
      <alignment horizontal="right"/>
    </xf>
    <xf numFmtId="10" fontId="28" fillId="46" borderId="30"/>
    <xf numFmtId="0" fontId="126" fillId="8" borderId="13"/>
    <xf numFmtId="0" fontId="126" fillId="8" borderId="13"/>
    <xf numFmtId="0" fontId="126" fillId="8" borderId="13"/>
    <xf numFmtId="0" fontId="126" fillId="8" borderId="13"/>
    <xf numFmtId="191" fontId="79" fillId="0" borderId="30"/>
    <xf numFmtId="0" fontId="87" fillId="0" borderId="0"/>
    <xf numFmtId="0" fontId="87" fillId="0" borderId="0"/>
    <xf numFmtId="0" fontId="28" fillId="0" borderId="0"/>
    <xf numFmtId="0" fontId="87" fillId="0" borderId="0"/>
    <xf numFmtId="0" fontId="87" fillId="0" borderId="0"/>
    <xf numFmtId="0" fontId="29" fillId="46" borderId="0">
      <alignment horizontal="center"/>
      <protection locked="0"/>
    </xf>
    <xf numFmtId="191" fontId="28" fillId="46" borderId="1">
      <alignment horizontal="center"/>
      <protection locked="0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193" fontId="8" fillId="0" borderId="0">
      <alignment vertical="center"/>
    </xf>
    <xf numFmtId="38" fontId="57" fillId="0" borderId="0"/>
    <xf numFmtId="0" fontId="29" fillId="0" borderId="0"/>
    <xf numFmtId="1" fontId="128" fillId="1" borderId="19">
      <protection locked="0"/>
    </xf>
    <xf numFmtId="0" fontId="129" fillId="0" borderId="0">
      <alignment horizontal="left" vertical="center"/>
    </xf>
    <xf numFmtId="0" fontId="26" fillId="0" borderId="0">
      <alignment horizontal="left"/>
    </xf>
    <xf numFmtId="0" fontId="130" fillId="0" borderId="0"/>
    <xf numFmtId="3" fontId="9" fillId="0" borderId="41">
      <alignment horizontal="right"/>
    </xf>
    <xf numFmtId="37" fontId="131" fillId="0" borderId="0">
      <alignment horizontal="right"/>
    </xf>
    <xf numFmtId="0" fontId="132" fillId="0" borderId="15"/>
    <xf numFmtId="215" fontId="93" fillId="0" borderId="0"/>
    <xf numFmtId="0" fontId="36" fillId="0" borderId="0">
      <alignment horizontal="left"/>
    </xf>
    <xf numFmtId="0" fontId="133" fillId="0" borderId="26">
      <alignment horizontal="left"/>
      <protection locked="0"/>
    </xf>
    <xf numFmtId="38" fontId="26" fillId="0" borderId="0"/>
    <xf numFmtId="6" fontId="26" fillId="0" borderId="0">
      <alignment horizontal="left"/>
    </xf>
    <xf numFmtId="0" fontId="50" fillId="0" borderId="0"/>
    <xf numFmtId="195" fontId="60" fillId="0" borderId="0"/>
    <xf numFmtId="0" fontId="26" fillId="0" borderId="0"/>
    <xf numFmtId="195" fontId="26" fillId="0" borderId="0">
      <protection locked="0"/>
    </xf>
    <xf numFmtId="0" fontId="134" fillId="0" borderId="0"/>
    <xf numFmtId="0" fontId="8" fillId="0" borderId="0"/>
    <xf numFmtId="0" fontId="8" fillId="0" borderId="0"/>
    <xf numFmtId="216" fontId="8" fillId="0" borderId="0"/>
    <xf numFmtId="0" fontId="8" fillId="0" borderId="0"/>
    <xf numFmtId="0" fontId="8" fillId="0" borderId="0"/>
    <xf numFmtId="0" fontId="8" fillId="0" borderId="0"/>
    <xf numFmtId="217" fontId="8" fillId="0" borderId="0"/>
    <xf numFmtId="218" fontId="8" fillId="0" borderId="0"/>
    <xf numFmtId="0" fontId="50" fillId="0" borderId="0">
      <alignment horizontal="right"/>
    </xf>
    <xf numFmtId="40" fontId="26" fillId="0" borderId="0">
      <alignment horizontal="left"/>
    </xf>
    <xf numFmtId="219" fontId="28" fillId="0" borderId="0">
      <alignment horizontal="right"/>
    </xf>
    <xf numFmtId="0" fontId="58" fillId="0" borderId="0"/>
    <xf numFmtId="0" fontId="50" fillId="0" borderId="0">
      <alignment horizontal="right"/>
    </xf>
    <xf numFmtId="0" fontId="8" fillId="0" borderId="0">
      <alignment horizontal="center"/>
    </xf>
    <xf numFmtId="0" fontId="8" fillId="0" borderId="0"/>
    <xf numFmtId="2" fontId="8" fillId="0" borderId="0">
      <alignment horizontal="center"/>
    </xf>
    <xf numFmtId="0" fontId="135" fillId="7" borderId="0"/>
    <xf numFmtId="37" fontId="136" fillId="0" borderId="0"/>
    <xf numFmtId="179" fontId="137" fillId="0" borderId="0"/>
    <xf numFmtId="0" fontId="8" fillId="0" borderId="0"/>
    <xf numFmtId="220" fontId="8" fillId="0" borderId="0"/>
    <xf numFmtId="221" fontId="138" fillId="0" borderId="0"/>
    <xf numFmtId="0" fontId="50" fillId="0" borderId="0"/>
    <xf numFmtId="0" fontId="8" fillId="0" borderId="0"/>
    <xf numFmtId="0" fontId="16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0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8" fillId="0" borderId="0"/>
    <xf numFmtId="0" fontId="28" fillId="0" borderId="0"/>
    <xf numFmtId="0" fontId="16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29" fillId="0" borderId="0"/>
    <xf numFmtId="222" fontId="8" fillId="0" borderId="0">
      <alignment vertical="center"/>
    </xf>
    <xf numFmtId="0" fontId="139" fillId="0" borderId="0"/>
    <xf numFmtId="0" fontId="118" fillId="0" borderId="0"/>
    <xf numFmtId="0" fontId="140" fillId="0" borderId="0"/>
    <xf numFmtId="37" fontId="141" fillId="0" borderId="0"/>
    <xf numFmtId="0" fontId="16" fillId="11" borderId="17"/>
    <xf numFmtId="0" fontId="40" fillId="11" borderId="17"/>
    <xf numFmtId="0" fontId="142" fillId="0" borderId="26"/>
    <xf numFmtId="39" fontId="143" fillId="0" borderId="0"/>
    <xf numFmtId="1" fontId="45" fillId="0" borderId="0">
      <protection locked="0"/>
    </xf>
    <xf numFmtId="4" fontId="28" fillId="0" borderId="0"/>
    <xf numFmtId="0" fontId="29" fillId="0" borderId="0"/>
    <xf numFmtId="0" fontId="29" fillId="0" borderId="0"/>
    <xf numFmtId="0" fontId="58" fillId="0" borderId="0"/>
    <xf numFmtId="0" fontId="144" fillId="0" borderId="0">
      <alignment horizontal="left"/>
    </xf>
    <xf numFmtId="0" fontId="145" fillId="9" borderId="14"/>
    <xf numFmtId="223" fontId="51" fillId="48" borderId="0">
      <alignment horizontal="right"/>
    </xf>
    <xf numFmtId="0" fontId="146" fillId="0" borderId="0"/>
    <xf numFmtId="37" fontId="28" fillId="0" borderId="0">
      <protection locked="0"/>
    </xf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26" fillId="0" borderId="0"/>
    <xf numFmtId="0" fontId="26" fillId="0" borderId="0"/>
    <xf numFmtId="0" fontId="26" fillId="0" borderId="0"/>
    <xf numFmtId="224" fontId="26" fillId="0" borderId="0"/>
    <xf numFmtId="0" fontId="26" fillId="0" borderId="0"/>
    <xf numFmtId="0" fontId="26" fillId="0" borderId="0"/>
    <xf numFmtId="0" fontId="26" fillId="0" borderId="0"/>
    <xf numFmtId="224" fontId="26" fillId="0" borderId="0"/>
    <xf numFmtId="224" fontId="26" fillId="0" borderId="0"/>
    <xf numFmtId="224" fontId="26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147" fillId="0" borderId="0">
      <alignment horizontal="left"/>
    </xf>
    <xf numFmtId="0" fontId="8" fillId="0" borderId="0">
      <alignment horizontal="left"/>
    </xf>
    <xf numFmtId="0" fontId="8" fillId="0" borderId="0">
      <alignment horizontal="left"/>
    </xf>
    <xf numFmtId="1" fontId="148" fillId="0" borderId="0">
      <alignment horizontal="right" vertical="center"/>
    </xf>
    <xf numFmtId="0" fontId="149" fillId="0" borderId="44"/>
    <xf numFmtId="0" fontId="29" fillId="44" borderId="0"/>
    <xf numFmtId="0" fontId="28" fillId="51" borderId="26">
      <alignment horizontal="center"/>
    </xf>
    <xf numFmtId="0" fontId="28" fillId="51" borderId="26">
      <alignment horizontal="center"/>
    </xf>
    <xf numFmtId="0" fontId="28" fillId="39" borderId="26">
      <alignment horizontal="center"/>
    </xf>
    <xf numFmtId="0" fontId="28" fillId="39" borderId="26">
      <alignment horizontal="center"/>
    </xf>
    <xf numFmtId="0" fontId="29" fillId="0" borderId="45"/>
    <xf numFmtId="0" fontId="29" fillId="0" borderId="46"/>
    <xf numFmtId="0" fontId="149" fillId="0" borderId="47"/>
    <xf numFmtId="40" fontId="26" fillId="0" borderId="0"/>
    <xf numFmtId="0" fontId="50" fillId="0" borderId="0">
      <protection locked="0"/>
    </xf>
    <xf numFmtId="14" fontId="26" fillId="0" borderId="0">
      <alignment horizontal="center" wrapText="1"/>
      <protection locked="0"/>
    </xf>
    <xf numFmtId="191" fontId="150" fillId="0" borderId="0"/>
    <xf numFmtId="10" fontId="8" fillId="0" borderId="0"/>
    <xf numFmtId="191" fontId="25" fillId="0" borderId="0">
      <alignment horizontal="right"/>
    </xf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36" fillId="0" borderId="0"/>
    <xf numFmtId="10" fontId="26" fillId="0" borderId="0">
      <alignment horizontal="right"/>
    </xf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16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4" fillId="0" borderId="0"/>
    <xf numFmtId="9" fontId="8" fillId="0" borderId="0"/>
    <xf numFmtId="9" fontId="24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24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9" fontId="8" fillId="0" borderId="0"/>
    <xf numFmtId="0" fontId="50" fillId="0" borderId="0">
      <alignment horizontal="right"/>
    </xf>
    <xf numFmtId="0" fontId="8" fillId="0" borderId="0">
      <alignment horizontal="right"/>
    </xf>
    <xf numFmtId="0" fontId="26" fillId="0" borderId="0"/>
    <xf numFmtId="9" fontId="26" fillId="0" borderId="0">
      <alignment horizontal="right"/>
    </xf>
    <xf numFmtId="0" fontId="87" fillId="0" borderId="0"/>
    <xf numFmtId="191" fontId="48" fillId="0" borderId="0"/>
    <xf numFmtId="10" fontId="48" fillId="0" borderId="0"/>
    <xf numFmtId="0" fontId="50" fillId="0" borderId="0"/>
    <xf numFmtId="8" fontId="26" fillId="0" borderId="0"/>
    <xf numFmtId="0" fontId="150" fillId="0" borderId="0">
      <alignment horizontal="right"/>
    </xf>
    <xf numFmtId="0" fontId="151" fillId="0" borderId="41">
      <alignment horizontal="right"/>
    </xf>
    <xf numFmtId="0" fontId="150" fillId="52" borderId="0">
      <alignment horizontal="right"/>
    </xf>
    <xf numFmtId="0" fontId="152" fillId="0" borderId="0">
      <alignment horizontal="right"/>
    </xf>
    <xf numFmtId="195" fontId="26" fillId="0" borderId="0">
      <protection locked="0"/>
    </xf>
    <xf numFmtId="226" fontId="26" fillId="0" borderId="0">
      <protection locked="0"/>
    </xf>
    <xf numFmtId="0" fontId="8" fillId="0" borderId="0"/>
    <xf numFmtId="0" fontId="8" fillId="0" borderId="0"/>
    <xf numFmtId="38" fontId="26" fillId="0" borderId="0">
      <protection locked="0"/>
    </xf>
    <xf numFmtId="0" fontId="50" fillId="0" borderId="0">
      <protection locked="0"/>
    </xf>
    <xf numFmtId="195" fontId="8" fillId="0" borderId="0"/>
    <xf numFmtId="38" fontId="26" fillId="0" borderId="0"/>
    <xf numFmtId="8" fontId="8" fillId="0" borderId="0">
      <alignment horizontal="right"/>
    </xf>
    <xf numFmtId="0" fontId="50" fillId="0" borderId="0">
      <alignment horizontal="right"/>
    </xf>
    <xf numFmtId="0" fontId="45" fillId="47" borderId="30"/>
    <xf numFmtId="0" fontId="29" fillId="47" borderId="0">
      <alignment horizontal="center"/>
      <protection locked="0"/>
    </xf>
    <xf numFmtId="0" fontId="36" fillId="0" borderId="0">
      <alignment horizontal="left"/>
    </xf>
    <xf numFmtId="15" fontId="36" fillId="0" borderId="0"/>
    <xf numFmtId="4" fontId="36" fillId="0" borderId="0"/>
    <xf numFmtId="0" fontId="63" fillId="0" borderId="27">
      <alignment horizontal="center"/>
    </xf>
    <xf numFmtId="3" fontId="36" fillId="0" borderId="0"/>
    <xf numFmtId="0" fontId="36" fillId="53" borderId="0"/>
    <xf numFmtId="227" fontId="93" fillId="0" borderId="0"/>
    <xf numFmtId="228" fontId="50" fillId="0" borderId="0">
      <alignment horizontal="right"/>
    </xf>
    <xf numFmtId="0" fontId="50" fillId="0" borderId="0">
      <alignment horizontal="right"/>
    </xf>
    <xf numFmtId="0" fontId="50" fillId="0" borderId="0">
      <alignment horizontal="right"/>
    </xf>
    <xf numFmtId="0" fontId="153" fillId="0" borderId="26">
      <protection hidden="1"/>
    </xf>
    <xf numFmtId="0" fontId="154" fillId="54" borderId="0">
      <alignment horizontal="center"/>
    </xf>
    <xf numFmtId="195" fontId="8" fillId="0" borderId="0"/>
    <xf numFmtId="14" fontId="58" fillId="0" borderId="0">
      <alignment horizontal="left"/>
    </xf>
    <xf numFmtId="219" fontId="58" fillId="0" borderId="0">
      <alignment horizontal="left"/>
    </xf>
    <xf numFmtId="0" fontId="129" fillId="0" borderId="0">
      <alignment horizontal="right" vertical="center"/>
    </xf>
    <xf numFmtId="0" fontId="45" fillId="0" borderId="0"/>
    <xf numFmtId="0" fontId="29" fillId="0" borderId="0">
      <alignment horizontal="left" indent="1"/>
    </xf>
    <xf numFmtId="0" fontId="155" fillId="0" borderId="0">
      <alignment horizontal="center"/>
    </xf>
    <xf numFmtId="0" fontId="156" fillId="0" borderId="0">
      <alignment horizontal="left"/>
    </xf>
    <xf numFmtId="0" fontId="29" fillId="0" borderId="0">
      <alignment horizontal="left"/>
    </xf>
    <xf numFmtId="2" fontId="157" fillId="0" borderId="0">
      <alignment horizontal="right"/>
    </xf>
    <xf numFmtId="0" fontId="103" fillId="0" borderId="48">
      <alignment vertical="center"/>
    </xf>
    <xf numFmtId="0" fontId="112" fillId="0" borderId="0">
      <alignment horizontal="left"/>
    </xf>
    <xf numFmtId="0" fontId="29" fillId="55" borderId="0"/>
    <xf numFmtId="0" fontId="154" fillId="1" borderId="9">
      <alignment horizontal="center"/>
    </xf>
    <xf numFmtId="195" fontId="26" fillId="0" borderId="0"/>
    <xf numFmtId="0" fontId="149" fillId="0" borderId="0">
      <alignment horizontal="center"/>
    </xf>
    <xf numFmtId="210" fontId="158" fillId="0" borderId="0">
      <alignment horizontal="center"/>
    </xf>
    <xf numFmtId="42" fontId="64" fillId="0" borderId="0"/>
    <xf numFmtId="0" fontId="159" fillId="0" borderId="0">
      <alignment horizontal="center"/>
    </xf>
    <xf numFmtId="0" fontId="8" fillId="0" borderId="0">
      <alignment horizontal="center"/>
    </xf>
    <xf numFmtId="0" fontId="160" fillId="50" borderId="0"/>
    <xf numFmtId="0" fontId="8" fillId="0" borderId="0"/>
    <xf numFmtId="0" fontId="160" fillId="56" borderId="0"/>
    <xf numFmtId="0" fontId="160" fillId="56" borderId="0"/>
    <xf numFmtId="3" fontId="8" fillId="0" borderId="0"/>
    <xf numFmtId="0" fontId="160" fillId="57" borderId="0"/>
    <xf numFmtId="0" fontId="160" fillId="57" borderId="0"/>
    <xf numFmtId="3" fontId="8" fillId="0" borderId="0"/>
    <xf numFmtId="0" fontId="8" fillId="58" borderId="0"/>
    <xf numFmtId="0" fontId="160" fillId="58" borderId="0"/>
    <xf numFmtId="3" fontId="8" fillId="0" borderId="0"/>
    <xf numFmtId="3" fontId="160" fillId="59" borderId="0"/>
    <xf numFmtId="3" fontId="160" fillId="59" borderId="0"/>
    <xf numFmtId="3" fontId="8" fillId="0" borderId="0"/>
    <xf numFmtId="3" fontId="160" fillId="60" borderId="0"/>
    <xf numFmtId="3" fontId="160" fillId="60" borderId="0"/>
    <xf numFmtId="0" fontId="8" fillId="0" borderId="0"/>
    <xf numFmtId="3" fontId="8" fillId="0" borderId="0"/>
    <xf numFmtId="0" fontId="8" fillId="60" borderId="0"/>
    <xf numFmtId="4" fontId="8" fillId="0" borderId="0"/>
    <xf numFmtId="0" fontId="36" fillId="0" borderId="0"/>
    <xf numFmtId="0" fontId="8" fillId="61" borderId="0"/>
    <xf numFmtId="12" fontId="8" fillId="0" borderId="0">
      <alignment horizontal="right"/>
    </xf>
    <xf numFmtId="229" fontId="50" fillId="62" borderId="0">
      <alignment horizontal="right"/>
    </xf>
    <xf numFmtId="0" fontId="8" fillId="0" borderId="0">
      <alignment horizontal="right"/>
    </xf>
    <xf numFmtId="0" fontId="28" fillId="0" borderId="0"/>
    <xf numFmtId="0" fontId="28" fillId="0" borderId="0"/>
    <xf numFmtId="0" fontId="28" fillId="0" borderId="0"/>
    <xf numFmtId="0" fontId="9" fillId="0" borderId="0"/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41" fontId="8" fillId="0" borderId="0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0" fontId="90" fillId="0" borderId="0">
      <alignment vertical="top"/>
    </xf>
    <xf numFmtId="0" fontId="161" fillId="55" borderId="0"/>
    <xf numFmtId="0" fontId="80" fillId="0" borderId="0"/>
    <xf numFmtId="0" fontId="162" fillId="55" borderId="0"/>
    <xf numFmtId="0" fontId="112" fillId="0" borderId="0"/>
    <xf numFmtId="0" fontId="9" fillId="0" borderId="0"/>
    <xf numFmtId="0" fontId="163" fillId="63" borderId="0"/>
    <xf numFmtId="0" fontId="163" fillId="63" borderId="0">
      <alignment horizontal="center"/>
    </xf>
    <xf numFmtId="0" fontId="164" fillId="63" borderId="0"/>
    <xf numFmtId="0" fontId="8" fillId="0" borderId="0">
      <alignment horizontal="right"/>
    </xf>
    <xf numFmtId="41" fontId="8" fillId="0" borderId="0"/>
    <xf numFmtId="0" fontId="8" fillId="0" borderId="0">
      <alignment horizontal="left"/>
    </xf>
    <xf numFmtId="0" fontId="28" fillId="0" borderId="0"/>
    <xf numFmtId="0" fontId="45" fillId="0" borderId="0"/>
    <xf numFmtId="0" fontId="8" fillId="50" borderId="0"/>
    <xf numFmtId="230" fontId="8" fillId="0" borderId="0"/>
    <xf numFmtId="2" fontId="8" fillId="0" borderId="0"/>
    <xf numFmtId="192" fontId="8" fillId="0" borderId="0"/>
    <xf numFmtId="0" fontId="90" fillId="0" borderId="0">
      <alignment vertical="top"/>
    </xf>
    <xf numFmtId="41" fontId="8" fillId="0" borderId="0"/>
    <xf numFmtId="0" fontId="8" fillId="0" borderId="27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63" fillId="63" borderId="0"/>
    <xf numFmtId="41" fontId="8" fillId="0" borderId="0"/>
    <xf numFmtId="0" fontId="90" fillId="0" borderId="0">
      <alignment vertical="top"/>
    </xf>
    <xf numFmtId="41" fontId="8" fillId="0" borderId="0"/>
    <xf numFmtId="41" fontId="8" fillId="0" borderId="0"/>
    <xf numFmtId="0" fontId="8" fillId="0" borderId="0"/>
    <xf numFmtId="0" fontId="8" fillId="0" borderId="0"/>
    <xf numFmtId="231" fontId="8" fillId="0" borderId="0"/>
    <xf numFmtId="0" fontId="8" fillId="0" borderId="0"/>
    <xf numFmtId="0" fontId="8" fillId="0" borderId="0"/>
    <xf numFmtId="231" fontId="8" fillId="0" borderId="0"/>
    <xf numFmtId="41" fontId="8" fillId="0" borderId="0"/>
    <xf numFmtId="231" fontId="8" fillId="0" borderId="0"/>
    <xf numFmtId="231" fontId="8" fillId="0" borderId="0"/>
    <xf numFmtId="0" fontId="8" fillId="0" borderId="0"/>
    <xf numFmtId="231" fontId="8" fillId="0" borderId="0"/>
    <xf numFmtId="0" fontId="8" fillId="0" borderId="0"/>
    <xf numFmtId="0" fontId="8" fillId="0" borderId="0"/>
    <xf numFmtId="231" fontId="8" fillId="0" borderId="0"/>
    <xf numFmtId="231" fontId="8" fillId="0" borderId="0"/>
    <xf numFmtId="231" fontId="8" fillId="0" borderId="0"/>
    <xf numFmtId="0" fontId="8" fillId="0" borderId="0"/>
    <xf numFmtId="41" fontId="8" fillId="0" borderId="0"/>
    <xf numFmtId="231" fontId="8" fillId="0" borderId="0"/>
    <xf numFmtId="0" fontId="8" fillId="0" borderId="0"/>
    <xf numFmtId="0" fontId="8" fillId="0" borderId="0"/>
    <xf numFmtId="231" fontId="8" fillId="0" borderId="0"/>
    <xf numFmtId="231" fontId="8" fillId="0" borderId="0"/>
    <xf numFmtId="231" fontId="8" fillId="0" borderId="0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0" fontId="90" fillId="0" borderId="0">
      <alignment vertical="top"/>
    </xf>
    <xf numFmtId="0" fontId="90" fillId="0" borderId="0">
      <alignment vertical="top"/>
    </xf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41" fontId="8" fillId="0" borderId="0"/>
    <xf numFmtId="0" fontId="90" fillId="0" borderId="0">
      <alignment vertical="top"/>
    </xf>
    <xf numFmtId="41" fontId="8" fillId="0" borderId="0"/>
    <xf numFmtId="0" fontId="90" fillId="0" borderId="0">
      <alignment vertical="top"/>
    </xf>
    <xf numFmtId="41" fontId="8" fillId="0" borderId="0"/>
    <xf numFmtId="41" fontId="8" fillId="0" borderId="0"/>
    <xf numFmtId="41" fontId="8" fillId="0" borderId="0"/>
    <xf numFmtId="0" fontId="50" fillId="0" borderId="0"/>
    <xf numFmtId="0" fontId="50" fillId="0" borderId="0">
      <alignment horizontal="left"/>
      <protection locked="0"/>
    </xf>
    <xf numFmtId="0" fontId="50" fillId="0" borderId="0"/>
    <xf numFmtId="0" fontId="165" fillId="0" borderId="0">
      <alignment horizontal="left" vertical="center"/>
    </xf>
    <xf numFmtId="0" fontId="50" fillId="0" borderId="0">
      <alignment horizontal="left"/>
      <protection locked="0"/>
    </xf>
    <xf numFmtId="0" fontId="50" fillId="0" borderId="0">
      <protection locked="0"/>
    </xf>
    <xf numFmtId="195" fontId="26" fillId="0" borderId="0"/>
    <xf numFmtId="232" fontId="166" fillId="0" borderId="0">
      <protection locked="0"/>
    </xf>
    <xf numFmtId="40" fontId="167" fillId="0" borderId="0">
      <alignment horizontal="right"/>
    </xf>
    <xf numFmtId="195" fontId="8" fillId="0" borderId="0"/>
    <xf numFmtId="0" fontId="45" fillId="47" borderId="0"/>
    <xf numFmtId="233" fontId="93" fillId="0" borderId="0"/>
    <xf numFmtId="0" fontId="8" fillId="0" borderId="25"/>
    <xf numFmtId="191" fontId="150" fillId="0" borderId="0"/>
    <xf numFmtId="191" fontId="150" fillId="0" borderId="0"/>
    <xf numFmtId="0" fontId="9" fillId="0" borderId="0"/>
    <xf numFmtId="0" fontId="50" fillId="0" borderId="0"/>
    <xf numFmtId="234" fontId="50" fillId="0" borderId="0"/>
    <xf numFmtId="234" fontId="50" fillId="0" borderId="0"/>
    <xf numFmtId="0" fontId="150" fillId="0" borderId="0"/>
    <xf numFmtId="191" fontId="150" fillId="0" borderId="0"/>
    <xf numFmtId="0" fontId="168" fillId="0" borderId="0">
      <alignment horizontal="center" vertical="center"/>
    </xf>
    <xf numFmtId="0" fontId="169" fillId="0" borderId="0">
      <alignment vertical="center"/>
    </xf>
    <xf numFmtId="208" fontId="169" fillId="0" borderId="1">
      <alignment horizontal="right" vertical="center"/>
    </xf>
    <xf numFmtId="0" fontId="170" fillId="64" borderId="0">
      <alignment horizontal="centerContinuous" vertical="center"/>
    </xf>
    <xf numFmtId="0" fontId="170" fillId="63" borderId="1">
      <alignment horizontal="centerContinuous" vertical="center"/>
    </xf>
    <xf numFmtId="0" fontId="171" fillId="0" borderId="0">
      <alignment horizontal="left"/>
    </xf>
    <xf numFmtId="0" fontId="45" fillId="0" borderId="0">
      <alignment horizontal="left"/>
    </xf>
    <xf numFmtId="0" fontId="104" fillId="0" borderId="0">
      <alignment horizontal="left"/>
    </xf>
    <xf numFmtId="0" fontId="168" fillId="0" borderId="0"/>
    <xf numFmtId="0" fontId="118" fillId="0" borderId="0"/>
    <xf numFmtId="0" fontId="172" fillId="0" borderId="0">
      <alignment horizontal="left"/>
    </xf>
    <xf numFmtId="0" fontId="104" fillId="0" borderId="7">
      <alignment horizontal="left" vertical="top"/>
    </xf>
    <xf numFmtId="0" fontId="104" fillId="0" borderId="7">
      <alignment horizontal="left" vertical="top"/>
    </xf>
    <xf numFmtId="0" fontId="104" fillId="0" borderId="7">
      <alignment horizontal="left" vertical="top"/>
    </xf>
    <xf numFmtId="0" fontId="104" fillId="0" borderId="7">
      <alignment horizontal="left" vertical="top"/>
    </xf>
    <xf numFmtId="0" fontId="149" fillId="0" borderId="0">
      <alignment horizontal="centerContinuous"/>
    </xf>
    <xf numFmtId="0" fontId="54" fillId="41" borderId="2">
      <protection locked="0"/>
    </xf>
    <xf numFmtId="0" fontId="50" fillId="0" borderId="0">
      <alignment horizontal="left"/>
    </xf>
    <xf numFmtId="235" fontId="173" fillId="0" borderId="0">
      <alignment horizontal="right"/>
    </xf>
    <xf numFmtId="0" fontId="8" fillId="0" borderId="0">
      <alignment horizontal="right"/>
    </xf>
    <xf numFmtId="0" fontId="54" fillId="41" borderId="49">
      <protection locked="0"/>
    </xf>
    <xf numFmtId="0" fontId="28" fillId="0" borderId="0"/>
    <xf numFmtId="0" fontId="45" fillId="0" borderId="0"/>
    <xf numFmtId="0" fontId="174" fillId="0" borderId="0"/>
    <xf numFmtId="0" fontId="175" fillId="0" borderId="0"/>
    <xf numFmtId="0" fontId="176" fillId="0" borderId="0"/>
    <xf numFmtId="0" fontId="177" fillId="0" borderId="0"/>
    <xf numFmtId="0" fontId="176" fillId="0" borderId="0"/>
    <xf numFmtId="0" fontId="8" fillId="0" borderId="0"/>
    <xf numFmtId="0" fontId="175" fillId="0" borderId="0"/>
    <xf numFmtId="0" fontId="175" fillId="0" borderId="0"/>
    <xf numFmtId="0" fontId="174" fillId="0" borderId="7"/>
    <xf numFmtId="0" fontId="8" fillId="0" borderId="0">
      <alignment horizontal="right"/>
    </xf>
    <xf numFmtId="11" fontId="26" fillId="0" borderId="0"/>
    <xf numFmtId="18" fontId="54" fillId="41" borderId="0">
      <protection locked="0"/>
    </xf>
    <xf numFmtId="1" fontId="8" fillId="0" borderId="9">
      <alignment horizontal="right"/>
    </xf>
    <xf numFmtId="0" fontId="29" fillId="0" borderId="0"/>
    <xf numFmtId="0" fontId="35" fillId="0" borderId="0"/>
    <xf numFmtId="0" fontId="8" fillId="0" borderId="0">
      <alignment horizontal="center"/>
    </xf>
    <xf numFmtId="195" fontId="8" fillId="0" borderId="0"/>
    <xf numFmtId="0" fontId="178" fillId="0" borderId="50"/>
    <xf numFmtId="0" fontId="179" fillId="0" borderId="9"/>
    <xf numFmtId="195" fontId="8" fillId="0" borderId="0"/>
    <xf numFmtId="38" fontId="8" fillId="0" borderId="0">
      <alignment horizontal="left"/>
    </xf>
    <xf numFmtId="0" fontId="176" fillId="0" borderId="0"/>
    <xf numFmtId="0" fontId="175" fillId="0" borderId="0"/>
    <xf numFmtId="0" fontId="180" fillId="0" borderId="0">
      <alignment horizontal="left" vertical="center"/>
    </xf>
    <xf numFmtId="0" fontId="181" fillId="0" borderId="0"/>
    <xf numFmtId="0" fontId="58" fillId="40" borderId="26"/>
    <xf numFmtId="0" fontId="182" fillId="0" borderId="18"/>
    <xf numFmtId="0" fontId="183" fillId="0" borderId="0"/>
    <xf numFmtId="0" fontId="183" fillId="0" borderId="0"/>
    <xf numFmtId="0" fontId="183" fillId="0" borderId="37">
      <alignment vertical="center"/>
    </xf>
    <xf numFmtId="40" fontId="26" fillId="0" borderId="0">
      <protection locked="0"/>
    </xf>
    <xf numFmtId="0" fontId="28" fillId="0" borderId="0">
      <alignment horizontal="right"/>
    </xf>
    <xf numFmtId="235" fontId="8" fillId="0" borderId="0">
      <alignment horizontal="left"/>
      <protection locked="0"/>
    </xf>
    <xf numFmtId="0" fontId="29" fillId="0" borderId="51">
      <alignment horizontal="left"/>
    </xf>
    <xf numFmtId="204" fontId="184" fillId="0" borderId="0">
      <alignment horizontal="right"/>
    </xf>
    <xf numFmtId="205" fontId="184" fillId="0" borderId="0">
      <alignment horizontal="right"/>
    </xf>
    <xf numFmtId="1" fontId="184" fillId="0" borderId="0">
      <alignment horizontal="left"/>
    </xf>
    <xf numFmtId="203" fontId="184" fillId="0" borderId="0">
      <alignment horizontal="right"/>
    </xf>
    <xf numFmtId="0" fontId="185" fillId="0" borderId="0">
      <alignment horizontal="fill"/>
    </xf>
    <xf numFmtId="6" fontId="26" fillId="0" borderId="0">
      <protection locked="0"/>
    </xf>
    <xf numFmtId="0" fontId="50" fillId="0" borderId="0"/>
    <xf numFmtId="37" fontId="28" fillId="65" borderId="0"/>
    <xf numFmtId="37" fontId="28" fillId="0" borderId="0"/>
    <xf numFmtId="3" fontId="91" fillId="0" borderId="43"/>
    <xf numFmtId="0" fontId="26" fillId="0" borderId="0"/>
    <xf numFmtId="38" fontId="26" fillId="0" borderId="0"/>
    <xf numFmtId="38" fontId="8" fillId="0" borderId="0">
      <alignment horizontal="left"/>
    </xf>
    <xf numFmtId="44" fontId="8" fillId="0" borderId="0"/>
    <xf numFmtId="0" fontId="118" fillId="0" borderId="0"/>
    <xf numFmtId="0" fontId="8" fillId="0" borderId="0"/>
    <xf numFmtId="0" fontId="118" fillId="0" borderId="0"/>
    <xf numFmtId="0" fontId="118" fillId="0" borderId="0"/>
    <xf numFmtId="0" fontId="8" fillId="0" borderId="0"/>
    <xf numFmtId="0" fontId="8" fillId="0" borderId="0"/>
    <xf numFmtId="0" fontId="118" fillId="0" borderId="0"/>
    <xf numFmtId="0" fontId="8" fillId="0" borderId="0"/>
    <xf numFmtId="0" fontId="8" fillId="0" borderId="0"/>
    <xf numFmtId="0" fontId="186" fillId="0" borderId="0"/>
    <xf numFmtId="0" fontId="29" fillId="0" borderId="0"/>
    <xf numFmtId="0" fontId="149" fillId="0" borderId="0"/>
    <xf numFmtId="0" fontId="149" fillId="0" borderId="0"/>
    <xf numFmtId="0" fontId="45" fillId="41" borderId="0"/>
    <xf numFmtId="0" fontId="45" fillId="41" borderId="2">
      <protection locked="0"/>
    </xf>
    <xf numFmtId="0" fontId="187" fillId="0" borderId="0"/>
    <xf numFmtId="1" fontId="26" fillId="0" borderId="0"/>
    <xf numFmtId="0" fontId="8" fillId="0" borderId="25"/>
    <xf numFmtId="0" fontId="8" fillId="0" borderId="25"/>
    <xf numFmtId="0" fontId="8" fillId="0" borderId="25"/>
    <xf numFmtId="0" fontId="29" fillId="0" borderId="0">
      <alignment horizontal="right"/>
    </xf>
    <xf numFmtId="0" fontId="29" fillId="0" borderId="0"/>
    <xf numFmtId="0" fontId="29" fillId="0" borderId="0">
      <alignment horizontal="right"/>
    </xf>
    <xf numFmtId="0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0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0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0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0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6" fontId="29" fillId="0" borderId="0">
      <alignment horizontal="right"/>
    </xf>
    <xf numFmtId="237" fontId="113" fillId="0" borderId="1">
      <alignment horizontal="right"/>
    </xf>
    <xf numFmtId="0" fontId="64" fillId="0" borderId="0"/>
    <xf numFmtId="43" fontId="23" fillId="0" borderId="0"/>
  </cellStyleXfs>
  <cellXfs count="14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0" fillId="0" borderId="1" xfId="0" applyBorder="1"/>
    <xf numFmtId="165" fontId="10" fillId="0" borderId="0" xfId="0" applyNumberFormat="1" applyFont="1"/>
    <xf numFmtId="164" fontId="6" fillId="0" borderId="0" xfId="0" applyNumberFormat="1" applyFont="1"/>
    <xf numFmtId="164" fontId="5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/>
    <xf numFmtId="164" fontId="13" fillId="0" borderId="0" xfId="0" applyNumberFormat="1" applyFont="1"/>
    <xf numFmtId="166" fontId="6" fillId="0" borderId="0" xfId="0" applyNumberFormat="1" applyFont="1"/>
    <xf numFmtId="167" fontId="6" fillId="0" borderId="0" xfId="0" applyNumberFormat="1" applyFont="1"/>
    <xf numFmtId="166" fontId="5" fillId="0" borderId="0" xfId="0" applyNumberFormat="1" applyFont="1"/>
    <xf numFmtId="164" fontId="12" fillId="0" borderId="0" xfId="0" applyNumberFormat="1" applyFont="1"/>
    <xf numFmtId="164" fontId="15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13" fillId="3" borderId="0" xfId="0" applyFont="1" applyFill="1"/>
    <xf numFmtId="0" fontId="6" fillId="3" borderId="0" xfId="0" applyFont="1" applyFill="1"/>
    <xf numFmtId="0" fontId="3" fillId="4" borderId="0" xfId="0" applyFont="1" applyFill="1"/>
    <xf numFmtId="0" fontId="1" fillId="4" borderId="0" xfId="0" applyFont="1" applyFill="1"/>
    <xf numFmtId="164" fontId="10" fillId="0" borderId="0" xfId="0" applyNumberFormat="1" applyFont="1"/>
    <xf numFmtId="164" fontId="18" fillId="0" borderId="0" xfId="0" applyNumberFormat="1" applyFont="1"/>
    <xf numFmtId="0" fontId="0" fillId="0" borderId="2" xfId="0" applyBorder="1"/>
    <xf numFmtId="0" fontId="0" fillId="0" borderId="5" xfId="0" applyBorder="1"/>
    <xf numFmtId="0" fontId="0" fillId="0" borderId="6" xfId="0" applyBorder="1"/>
    <xf numFmtId="168" fontId="21" fillId="0" borderId="1" xfId="0" applyNumberFormat="1" applyFont="1" applyBorder="1"/>
    <xf numFmtId="164" fontId="13" fillId="0" borderId="6" xfId="0" applyNumberFormat="1" applyFont="1" applyBorder="1"/>
    <xf numFmtId="164" fontId="6" fillId="0" borderId="6" xfId="0" applyNumberFormat="1" applyFont="1" applyBorder="1"/>
    <xf numFmtId="0" fontId="4" fillId="0" borderId="0" xfId="0" applyFont="1" applyAlignment="1">
      <alignment horizontal="center"/>
    </xf>
    <xf numFmtId="169" fontId="21" fillId="0" borderId="0" xfId="0" applyNumberFormat="1" applyFont="1"/>
    <xf numFmtId="0" fontId="14" fillId="0" borderId="0" xfId="0" applyFont="1"/>
    <xf numFmtId="0" fontId="1" fillId="36" borderId="0" xfId="0" applyFont="1" applyFill="1" applyAlignment="1">
      <alignment horizontal="center"/>
    </xf>
    <xf numFmtId="0" fontId="20" fillId="0" borderId="0" xfId="0" applyFont="1"/>
    <xf numFmtId="164" fontId="15" fillId="0" borderId="0" xfId="0" applyNumberFormat="1" applyFont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9" fontId="4" fillId="0" borderId="0" xfId="2" applyFont="1" applyAlignment="1">
      <alignment horizontal="center"/>
    </xf>
    <xf numFmtId="0" fontId="3" fillId="36" borderId="0" xfId="0" applyFont="1" applyFill="1"/>
    <xf numFmtId="0" fontId="1" fillId="36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3" borderId="6" xfId="0" applyFont="1" applyFill="1" applyBorder="1"/>
    <xf numFmtId="164" fontId="6" fillId="0" borderId="8" xfId="0" applyNumberFormat="1" applyFont="1" applyBorder="1"/>
    <xf numFmtId="165" fontId="10" fillId="0" borderId="6" xfId="0" applyNumberFormat="1" applyFont="1" applyBorder="1"/>
    <xf numFmtId="164" fontId="2" fillId="0" borderId="6" xfId="0" applyNumberFormat="1" applyFont="1" applyBorder="1"/>
    <xf numFmtId="166" fontId="6" fillId="0" borderId="6" xfId="0" applyNumberFormat="1" applyFont="1" applyBorder="1"/>
    <xf numFmtId="167" fontId="6" fillId="0" borderId="6" xfId="0" applyNumberFormat="1" applyFont="1" applyBorder="1"/>
    <xf numFmtId="164" fontId="10" fillId="0" borderId="6" xfId="0" applyNumberFormat="1" applyFont="1" applyBorder="1"/>
    <xf numFmtId="0" fontId="17" fillId="0" borderId="6" xfId="0" applyFont="1" applyBorder="1" applyAlignment="1">
      <alignment horizontal="center"/>
    </xf>
    <xf numFmtId="0" fontId="1" fillId="36" borderId="39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166" fontId="6" fillId="3" borderId="26" xfId="0" applyNumberFormat="1" applyFont="1" applyFill="1" applyBorder="1"/>
    <xf numFmtId="166" fontId="6" fillId="0" borderId="26" xfId="0" applyNumberFormat="1" applyFont="1" applyBorder="1"/>
    <xf numFmtId="164" fontId="6" fillId="0" borderId="26" xfId="0" applyNumberFormat="1" applyFont="1" applyBorder="1"/>
    <xf numFmtId="164" fontId="6" fillId="0" borderId="36" xfId="0" applyNumberFormat="1" applyFont="1" applyBorder="1"/>
    <xf numFmtId="164" fontId="13" fillId="0" borderId="26" xfId="0" applyNumberFormat="1" applyFont="1" applyBorder="1"/>
    <xf numFmtId="165" fontId="10" fillId="0" borderId="26" xfId="0" applyNumberFormat="1" applyFont="1" applyBorder="1"/>
    <xf numFmtId="164" fontId="2" fillId="0" borderId="26" xfId="0" applyNumberFormat="1" applyFont="1" applyBorder="1"/>
    <xf numFmtId="167" fontId="6" fillId="0" borderId="26" xfId="0" applyNumberFormat="1" applyFont="1" applyBorder="1"/>
    <xf numFmtId="164" fontId="10" fillId="0" borderId="26" xfId="0" applyNumberFormat="1" applyFont="1" applyBorder="1"/>
    <xf numFmtId="0" fontId="17" fillId="0" borderId="26" xfId="0" applyFont="1" applyBorder="1" applyAlignment="1">
      <alignment horizontal="center"/>
    </xf>
    <xf numFmtId="166" fontId="6" fillId="2" borderId="0" xfId="0" applyNumberFormat="1" applyFont="1" applyFill="1"/>
    <xf numFmtId="165" fontId="5" fillId="0" borderId="0" xfId="0" applyNumberFormat="1" applyFont="1"/>
    <xf numFmtId="166" fontId="18" fillId="0" borderId="0" xfId="0" applyNumberFormat="1" applyFont="1"/>
    <xf numFmtId="164" fontId="21" fillId="0" borderId="0" xfId="0" applyNumberFormat="1" applyFont="1"/>
    <xf numFmtId="164" fontId="188" fillId="0" borderId="0" xfId="0" applyNumberFormat="1" applyFont="1"/>
    <xf numFmtId="169" fontId="19" fillId="0" borderId="0" xfId="0" applyNumberFormat="1" applyFont="1"/>
    <xf numFmtId="169" fontId="19" fillId="0" borderId="1" xfId="0" applyNumberFormat="1" applyFont="1" applyBorder="1"/>
    <xf numFmtId="169" fontId="21" fillId="0" borderId="1" xfId="0" applyNumberFormat="1" applyFont="1" applyBorder="1"/>
    <xf numFmtId="164" fontId="21" fillId="0" borderId="0" xfId="0" applyNumberFormat="1" applyFont="1" applyAlignment="1">
      <alignment horizontal="center"/>
    </xf>
    <xf numFmtId="0" fontId="4" fillId="0" borderId="1" xfId="0" applyFont="1" applyBorder="1"/>
    <xf numFmtId="165" fontId="10" fillId="0" borderId="1" xfId="0" applyNumberFormat="1" applyFont="1" applyBorder="1"/>
    <xf numFmtId="164" fontId="21" fillId="0" borderId="1" xfId="0" applyNumberFormat="1" applyFont="1" applyBorder="1"/>
    <xf numFmtId="164" fontId="2" fillId="0" borderId="39" xfId="0" applyNumberFormat="1" applyFont="1" applyBorder="1"/>
    <xf numFmtId="165" fontId="7" fillId="0" borderId="0" xfId="0" applyNumberFormat="1" applyFont="1"/>
    <xf numFmtId="165" fontId="7" fillId="0" borderId="1" xfId="0" applyNumberFormat="1" applyFont="1" applyBorder="1"/>
    <xf numFmtId="0" fontId="0" fillId="66" borderId="30" xfId="0" applyFill="1" applyBorder="1"/>
    <xf numFmtId="164" fontId="188" fillId="0" borderId="0" xfId="0" applyNumberFormat="1" applyFont="1" applyAlignment="1">
      <alignment horizontal="center"/>
    </xf>
    <xf numFmtId="169" fontId="21" fillId="0" borderId="0" xfId="0" applyNumberFormat="1" applyFont="1" applyAlignment="1">
      <alignment horizontal="center"/>
    </xf>
    <xf numFmtId="169" fontId="2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66" borderId="36" xfId="0" applyNumberFormat="1" applyFill="1" applyBorder="1" applyAlignment="1">
      <alignment horizontal="center"/>
    </xf>
    <xf numFmtId="9" fontId="0" fillId="66" borderId="30" xfId="0" applyNumberForma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2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6" fontId="18" fillId="2" borderId="2" xfId="0" applyNumberFormat="1" applyFont="1" applyFill="1" applyBorder="1"/>
    <xf numFmtId="170" fontId="21" fillId="66" borderId="0" xfId="0" applyNumberFormat="1" applyFont="1" applyFill="1"/>
    <xf numFmtId="169" fontId="21" fillId="2" borderId="30" xfId="0" applyNumberFormat="1" applyFont="1" applyFill="1" applyBorder="1"/>
    <xf numFmtId="9" fontId="0" fillId="2" borderId="30" xfId="0" applyNumberFormat="1" applyFill="1" applyBorder="1" applyAlignment="1">
      <alignment horizontal="center"/>
    </xf>
    <xf numFmtId="164" fontId="21" fillId="2" borderId="1" xfId="0" applyNumberFormat="1" applyFont="1" applyFill="1" applyBorder="1"/>
    <xf numFmtId="169" fontId="0" fillId="2" borderId="1" xfId="0" applyNumberFormat="1" applyFill="1" applyBorder="1"/>
    <xf numFmtId="164" fontId="0" fillId="2" borderId="30" xfId="0" applyNumberFormat="1" applyFill="1" applyBorder="1"/>
    <xf numFmtId="164" fontId="18" fillId="2" borderId="1" xfId="0" applyNumberFormat="1" applyFont="1" applyFill="1" applyBorder="1"/>
    <xf numFmtId="0" fontId="0" fillId="2" borderId="0" xfId="0" applyFill="1"/>
    <xf numFmtId="0" fontId="0" fillId="2" borderId="1" xfId="0" applyFill="1" applyBorder="1"/>
    <xf numFmtId="0" fontId="0" fillId="0" borderId="26" xfId="0" applyBorder="1"/>
    <xf numFmtId="164" fontId="0" fillId="2" borderId="1" xfId="0" applyNumberFormat="1" applyFill="1" applyBorder="1"/>
    <xf numFmtId="164" fontId="0" fillId="0" borderId="1" xfId="0" applyNumberFormat="1" applyBorder="1"/>
    <xf numFmtId="43" fontId="0" fillId="0" borderId="0" xfId="0" applyNumberFormat="1"/>
    <xf numFmtId="171" fontId="0" fillId="0" borderId="0" xfId="0" applyNumberFormat="1"/>
    <xf numFmtId="0" fontId="21" fillId="0" borderId="0" xfId="0" applyFont="1" applyAlignment="1">
      <alignment vertical="top"/>
    </xf>
    <xf numFmtId="0" fontId="21" fillId="0" borderId="1" xfId="0" applyFont="1" applyBorder="1" applyAlignment="1">
      <alignment vertical="top"/>
    </xf>
    <xf numFmtId="164" fontId="21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3" fontId="0" fillId="0" borderId="0" xfId="0" applyNumberFormat="1"/>
    <xf numFmtId="168" fontId="21" fillId="0" borderId="0" xfId="0" applyNumberFormat="1" applyFont="1" applyAlignment="1">
      <alignment horizontal="center"/>
    </xf>
    <xf numFmtId="168" fontId="21" fillId="0" borderId="1" xfId="0" applyNumberFormat="1" applyFont="1" applyBorder="1" applyAlignment="1">
      <alignment horizontal="center"/>
    </xf>
    <xf numFmtId="168" fontId="15" fillId="0" borderId="0" xfId="0" applyNumberFormat="1" applyFont="1" applyAlignment="1">
      <alignment horizontal="center"/>
    </xf>
    <xf numFmtId="166" fontId="6" fillId="0" borderId="36" xfId="0" applyNumberFormat="1" applyFont="1" applyBorder="1"/>
    <xf numFmtId="166" fontId="6" fillId="0" borderId="8" xfId="0" applyNumberFormat="1" applyFont="1" applyBorder="1"/>
    <xf numFmtId="166" fontId="0" fillId="0" borderId="1" xfId="0" applyNumberFormat="1" applyBorder="1"/>
    <xf numFmtId="166" fontId="6" fillId="0" borderId="1" xfId="0" applyNumberFormat="1" applyFont="1" applyBorder="1"/>
    <xf numFmtId="166" fontId="0" fillId="2" borderId="1" xfId="0" applyNumberFormat="1" applyFill="1" applyBorder="1"/>
    <xf numFmtId="166" fontId="5" fillId="0" borderId="1" xfId="0" applyNumberFormat="1" applyFont="1" applyBorder="1"/>
    <xf numFmtId="164" fontId="4" fillId="0" borderId="1" xfId="0" applyNumberFormat="1" applyFont="1" applyBorder="1"/>
    <xf numFmtId="0" fontId="0" fillId="0" borderId="52" xfId="0" applyBorder="1" applyAlignment="1">
      <alignment horizontal="center"/>
    </xf>
    <xf numFmtId="9" fontId="0" fillId="0" borderId="53" xfId="0" applyNumberForma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69" fontId="22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9" fontId="0" fillId="0" borderId="54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165" fontId="17" fillId="0" borderId="0" xfId="0" applyNumberFormat="1" applyFont="1"/>
    <xf numFmtId="0" fontId="10" fillId="0" borderId="0" xfId="0" applyFont="1" applyAlignment="1">
      <alignment horizontal="center"/>
    </xf>
    <xf numFmtId="164" fontId="10" fillId="0" borderId="1" xfId="0" applyNumberFormat="1" applyFont="1" applyBorder="1"/>
    <xf numFmtId="164" fontId="7" fillId="0" borderId="1" xfId="0" applyNumberFormat="1" applyFont="1" applyBorder="1"/>
    <xf numFmtId="9" fontId="5" fillId="0" borderId="53" xfId="0" applyNumberFormat="1" applyFont="1" applyBorder="1" applyAlignment="1">
      <alignment horizontal="center"/>
    </xf>
    <xf numFmtId="9" fontId="5" fillId="0" borderId="54" xfId="0" applyNumberFormat="1" applyFont="1" applyBorder="1" applyAlignment="1">
      <alignment horizontal="center"/>
    </xf>
    <xf numFmtId="164" fontId="13" fillId="0" borderId="55" xfId="0" applyNumberFormat="1" applyFont="1" applyBorder="1" applyAlignment="1">
      <alignment horizontal="right"/>
    </xf>
    <xf numFmtId="169" fontId="17" fillId="0" borderId="56" xfId="0" applyNumberFormat="1" applyFont="1" applyBorder="1" applyAlignment="1">
      <alignment horizontal="right"/>
    </xf>
    <xf numFmtId="165" fontId="10" fillId="0" borderId="57" xfId="0" applyNumberFormat="1" applyFont="1" applyBorder="1" applyAlignment="1">
      <alignment horizontal="right"/>
    </xf>
    <xf numFmtId="0" fontId="2" fillId="0" borderId="3" xfId="0" applyFont="1" applyBorder="1"/>
    <xf numFmtId="164" fontId="13" fillId="0" borderId="4" xfId="0" applyNumberFormat="1" applyFont="1" applyBorder="1" applyAlignment="1">
      <alignment horizontal="right"/>
    </xf>
    <xf numFmtId="165" fontId="10" fillId="0" borderId="8" xfId="0" applyNumberFormat="1" applyFont="1" applyBorder="1" applyAlignment="1">
      <alignment horizontal="right"/>
    </xf>
    <xf numFmtId="171" fontId="0" fillId="2" borderId="1" xfId="0" applyNumberFormat="1" applyFill="1" applyBorder="1"/>
    <xf numFmtId="171" fontId="13" fillId="0" borderId="0" xfId="0" applyNumberFormat="1" applyFont="1"/>
    <xf numFmtId="164" fontId="5" fillId="0" borderId="0" xfId="0" applyNumberFormat="1" applyFont="1" applyAlignment="1">
      <alignment horizontal="right"/>
    </xf>
    <xf numFmtId="166" fontId="5" fillId="0" borderId="1" xfId="0" applyNumberFormat="1" applyFont="1" applyBorder="1" applyAlignment="1">
      <alignment horizontal="right"/>
    </xf>
  </cellXfs>
  <cellStyles count="1914">
    <cellStyle name="$ 0 decimal" xfId="5" xr:uid="{00000000-0005-0000-0000-000005000000}"/>
    <cellStyle name="$ 1 decimal" xfId="6" xr:uid="{00000000-0005-0000-0000-000006000000}"/>
    <cellStyle name="$ 1 decimal 2" xfId="7" xr:uid="{00000000-0005-0000-0000-000007000000}"/>
    <cellStyle name="$ 2 decimals" xfId="8" xr:uid="{00000000-0005-0000-0000-000008000000}"/>
    <cellStyle name="%" xfId="9" xr:uid="{00000000-0005-0000-0000-000009000000}"/>
    <cellStyle name="% Input" xfId="10" xr:uid="{00000000-0005-0000-0000-00000A000000}"/>
    <cellStyle name="% Presentation" xfId="11" xr:uid="{00000000-0005-0000-0000-00000B000000}"/>
    <cellStyle name="_%(SignOnly)" xfId="12" xr:uid="{00000000-0005-0000-0000-00000C000000}"/>
    <cellStyle name="_%(SignOnly)_5515616_3" xfId="13" xr:uid="{00000000-0005-0000-0000-00000D000000}"/>
    <cellStyle name="_%(SignOnly)_5515616_3_5401007_6" xfId="14" xr:uid="{00000000-0005-0000-0000-00000E000000}"/>
    <cellStyle name="_%(SignOnly)_5515616_3_5401007_6_Project Kentucky Derby Model v75" xfId="15" xr:uid="{00000000-0005-0000-0000-00000F000000}"/>
    <cellStyle name="_%(SignOnly)_5515616_3_5401007_6_Project Kentucky Derby Model v76" xfId="16" xr:uid="{00000000-0005-0000-0000-000010000000}"/>
    <cellStyle name="_%(SignOnly)_5515616_3_5401007_6_SBSAModel116(Company)" xfId="17" xr:uid="{00000000-0005-0000-0000-000011000000}"/>
    <cellStyle name="_%(SignOnly)_5515616_3_5963478_1" xfId="18" xr:uid="{00000000-0005-0000-0000-000012000000}"/>
    <cellStyle name="_%(SignOnly)_5515616_3_FON" xfId="19" xr:uid="{00000000-0005-0000-0000-000013000000}"/>
    <cellStyle name="_%(SignOnly)_5515616_3_Put Analysis" xfId="20" xr:uid="{00000000-0005-0000-0000-000014000000}"/>
    <cellStyle name="_%(SignOnly)_5515616_3_Put Analysis.v2" xfId="21" xr:uid="{00000000-0005-0000-0000-000015000000}"/>
    <cellStyle name="_%(SignOnly)_5515616_3_Put Analysis.v2_Project Kentucky Derby Model v75" xfId="22" xr:uid="{00000000-0005-0000-0000-000016000000}"/>
    <cellStyle name="_%(SignOnly)_5515616_3_Put Analysis.v2_Project Kentucky Derby Model v76" xfId="23" xr:uid="{00000000-0005-0000-0000-000017000000}"/>
    <cellStyle name="_%(SignOnly)_5515616_3_Put Analysis.v2_SBSAModel116(Company)" xfId="24" xr:uid="{00000000-0005-0000-0000-000018000000}"/>
    <cellStyle name="_%(SignOnly)_5515616_3_Put Analysis_Project Kentucky Derby Model v75" xfId="25" xr:uid="{00000000-0005-0000-0000-000019000000}"/>
    <cellStyle name="_%(SignOnly)_5515616_3_Put Analysis_Project Kentucky Derby Model v76" xfId="26" xr:uid="{00000000-0005-0000-0000-00001A000000}"/>
    <cellStyle name="_%(SignOnly)_5515616_3_Put Analysis_SBSAModel116(Company)" xfId="27" xr:uid="{00000000-0005-0000-0000-00001B000000}"/>
    <cellStyle name="_%(SignOnly)_5515616_3_Spin Model v.2" xfId="28" xr:uid="{00000000-0005-0000-0000-00001C000000}"/>
    <cellStyle name="_%(SignOnly)_5515616_3_Spin Model v.2_Project Kentucky Derby Model v75" xfId="29" xr:uid="{00000000-0005-0000-0000-00001D000000}"/>
    <cellStyle name="_%(SignOnly)_5515616_3_Spin Model v.2_Project Kentucky Derby Model v76" xfId="30" xr:uid="{00000000-0005-0000-0000-00001E000000}"/>
    <cellStyle name="_%(SignOnly)_5515616_3_Spin Model v.2_SBSAModel116(Company)" xfId="31" xr:uid="{00000000-0005-0000-0000-00001F000000}"/>
    <cellStyle name="_%(SignOnly)_5517854_3" xfId="32" xr:uid="{00000000-0005-0000-0000-000020000000}"/>
    <cellStyle name="_%(SignOnly)_5517854_3_5401007_6" xfId="33" xr:uid="{00000000-0005-0000-0000-000021000000}"/>
    <cellStyle name="_%(SignOnly)_5517854_3_5401007_6_Project Kentucky Derby Model v75" xfId="34" xr:uid="{00000000-0005-0000-0000-000022000000}"/>
    <cellStyle name="_%(SignOnly)_5517854_3_5401007_6_Project Kentucky Derby Model v76" xfId="35" xr:uid="{00000000-0005-0000-0000-000023000000}"/>
    <cellStyle name="_%(SignOnly)_5517854_3_5401007_6_SBSAModel116(Company)" xfId="36" xr:uid="{00000000-0005-0000-0000-000024000000}"/>
    <cellStyle name="_%(SignOnly)_5517854_3_5963478_1" xfId="37" xr:uid="{00000000-0005-0000-0000-000025000000}"/>
    <cellStyle name="_%(SignOnly)_5517854_3_FON" xfId="38" xr:uid="{00000000-0005-0000-0000-000026000000}"/>
    <cellStyle name="_%(SignOnly)_5517854_3_Put Analysis" xfId="39" xr:uid="{00000000-0005-0000-0000-000027000000}"/>
    <cellStyle name="_%(SignOnly)_5517854_3_Put Analysis.v2" xfId="40" xr:uid="{00000000-0005-0000-0000-000028000000}"/>
    <cellStyle name="_%(SignOnly)_5517854_3_Put Analysis.v2_Project Kentucky Derby Model v75" xfId="41" xr:uid="{00000000-0005-0000-0000-000029000000}"/>
    <cellStyle name="_%(SignOnly)_5517854_3_Put Analysis.v2_Project Kentucky Derby Model v76" xfId="42" xr:uid="{00000000-0005-0000-0000-00002A000000}"/>
    <cellStyle name="_%(SignOnly)_5517854_3_Put Analysis.v2_SBSAModel116(Company)" xfId="43" xr:uid="{00000000-0005-0000-0000-00002B000000}"/>
    <cellStyle name="_%(SignOnly)_5517854_3_Put Analysis_Project Kentucky Derby Model v75" xfId="44" xr:uid="{00000000-0005-0000-0000-00002C000000}"/>
    <cellStyle name="_%(SignOnly)_5517854_3_Put Analysis_Project Kentucky Derby Model v76" xfId="45" xr:uid="{00000000-0005-0000-0000-00002D000000}"/>
    <cellStyle name="_%(SignOnly)_5517854_3_Put Analysis_SBSAModel116(Company)" xfId="46" xr:uid="{00000000-0005-0000-0000-00002E000000}"/>
    <cellStyle name="_%(SignOnly)_5517854_3_Spin Model v.2" xfId="47" xr:uid="{00000000-0005-0000-0000-00002F000000}"/>
    <cellStyle name="_%(SignOnly)_5517854_3_Spin Model v.2_Project Kentucky Derby Model v75" xfId="48" xr:uid="{00000000-0005-0000-0000-000030000000}"/>
    <cellStyle name="_%(SignOnly)_5517854_3_Spin Model v.2_Project Kentucky Derby Model v76" xfId="49" xr:uid="{00000000-0005-0000-0000-000031000000}"/>
    <cellStyle name="_%(SignOnly)_5517854_3_Spin Model v.2_SBSAModel116(Company)" xfId="50" xr:uid="{00000000-0005-0000-0000-000032000000}"/>
    <cellStyle name="_%(SignOnly)_Book3" xfId="51" xr:uid="{00000000-0005-0000-0000-000033000000}"/>
    <cellStyle name="_%(SignOnly)_Book3_5401007_6" xfId="52" xr:uid="{00000000-0005-0000-0000-000034000000}"/>
    <cellStyle name="_%(SignOnly)_Book3_5401007_6_Project Kentucky Derby Model v75" xfId="53" xr:uid="{00000000-0005-0000-0000-000035000000}"/>
    <cellStyle name="_%(SignOnly)_Book3_5401007_6_Project Kentucky Derby Model v76" xfId="54" xr:uid="{00000000-0005-0000-0000-000036000000}"/>
    <cellStyle name="_%(SignOnly)_Book3_5401007_6_SBSAModel116(Company)" xfId="55" xr:uid="{00000000-0005-0000-0000-000037000000}"/>
    <cellStyle name="_%(SignOnly)_Book3_5963478_1" xfId="56" xr:uid="{00000000-0005-0000-0000-000038000000}"/>
    <cellStyle name="_%(SignOnly)_Book3_FON" xfId="57" xr:uid="{00000000-0005-0000-0000-000039000000}"/>
    <cellStyle name="_%(SignOnly)_Book3_Put Analysis" xfId="58" xr:uid="{00000000-0005-0000-0000-00003A000000}"/>
    <cellStyle name="_%(SignOnly)_Book3_Put Analysis.v2" xfId="59" xr:uid="{00000000-0005-0000-0000-00003B000000}"/>
    <cellStyle name="_%(SignOnly)_Book3_Put Analysis.v2_Project Kentucky Derby Model v75" xfId="60" xr:uid="{00000000-0005-0000-0000-00003C000000}"/>
    <cellStyle name="_%(SignOnly)_Book3_Put Analysis.v2_Project Kentucky Derby Model v76" xfId="61" xr:uid="{00000000-0005-0000-0000-00003D000000}"/>
    <cellStyle name="_%(SignOnly)_Book3_Put Analysis.v2_SBSAModel116(Company)" xfId="62" xr:uid="{00000000-0005-0000-0000-00003E000000}"/>
    <cellStyle name="_%(SignOnly)_Book3_Put Analysis_Project Kentucky Derby Model v75" xfId="63" xr:uid="{00000000-0005-0000-0000-00003F000000}"/>
    <cellStyle name="_%(SignOnly)_Book3_Put Analysis_Project Kentucky Derby Model v76" xfId="64" xr:uid="{00000000-0005-0000-0000-000040000000}"/>
    <cellStyle name="_%(SignOnly)_Book3_Put Analysis_SBSAModel116(Company)" xfId="65" xr:uid="{00000000-0005-0000-0000-000041000000}"/>
    <cellStyle name="_%(SignOnly)_Book3_Spin Model v.2" xfId="66" xr:uid="{00000000-0005-0000-0000-000042000000}"/>
    <cellStyle name="_%(SignOnly)_Book3_Spin Model v.2_Project Kentucky Derby Model v75" xfId="67" xr:uid="{00000000-0005-0000-0000-000043000000}"/>
    <cellStyle name="_%(SignOnly)_Book3_Spin Model v.2_Project Kentucky Derby Model v76" xfId="68" xr:uid="{00000000-0005-0000-0000-000044000000}"/>
    <cellStyle name="_%(SignOnly)_Book3_Spin Model v.2_SBSAModel116(Company)" xfId="69" xr:uid="{00000000-0005-0000-0000-000045000000}"/>
    <cellStyle name="_%(SignSpaceOnly)" xfId="70" xr:uid="{00000000-0005-0000-0000-000046000000}"/>
    <cellStyle name="_%(SignSpaceOnly)_5515616_3" xfId="71" xr:uid="{00000000-0005-0000-0000-000047000000}"/>
    <cellStyle name="_%(SignSpaceOnly)_5515616_3_5401007_6" xfId="72" xr:uid="{00000000-0005-0000-0000-000048000000}"/>
    <cellStyle name="_%(SignSpaceOnly)_5515616_3_5963478_1" xfId="73" xr:uid="{00000000-0005-0000-0000-000049000000}"/>
    <cellStyle name="_%(SignSpaceOnly)_5515616_3_FON" xfId="74" xr:uid="{00000000-0005-0000-0000-00004A000000}"/>
    <cellStyle name="_%(SignSpaceOnly)_5515616_3_Put Analysis" xfId="75" xr:uid="{00000000-0005-0000-0000-00004B000000}"/>
    <cellStyle name="_%(SignSpaceOnly)_5515616_3_Put Analysis.v2" xfId="76" xr:uid="{00000000-0005-0000-0000-00004C000000}"/>
    <cellStyle name="_%(SignSpaceOnly)_5515616_3_Spin Model v.2" xfId="77" xr:uid="{00000000-0005-0000-0000-00004D000000}"/>
    <cellStyle name="_%(SignSpaceOnly)_5517854_3" xfId="78" xr:uid="{00000000-0005-0000-0000-00004E000000}"/>
    <cellStyle name="_%(SignSpaceOnly)_5517854_3_5401007_6" xfId="79" xr:uid="{00000000-0005-0000-0000-00004F000000}"/>
    <cellStyle name="_%(SignSpaceOnly)_5517854_3_5963478_1" xfId="80" xr:uid="{00000000-0005-0000-0000-000050000000}"/>
    <cellStyle name="_%(SignSpaceOnly)_5517854_3_FON" xfId="81" xr:uid="{00000000-0005-0000-0000-000051000000}"/>
    <cellStyle name="_%(SignSpaceOnly)_5517854_3_Put Analysis" xfId="82" xr:uid="{00000000-0005-0000-0000-000052000000}"/>
    <cellStyle name="_%(SignSpaceOnly)_5517854_3_Put Analysis.v2" xfId="83" xr:uid="{00000000-0005-0000-0000-000053000000}"/>
    <cellStyle name="_%(SignSpaceOnly)_5517854_3_Spin Model v.2" xfId="84" xr:uid="{00000000-0005-0000-0000-000054000000}"/>
    <cellStyle name="_%(SignSpaceOnly)_Book3" xfId="85" xr:uid="{00000000-0005-0000-0000-000055000000}"/>
    <cellStyle name="_%(SignSpaceOnly)_Book3_5401007_6" xfId="86" xr:uid="{00000000-0005-0000-0000-000056000000}"/>
    <cellStyle name="_%(SignSpaceOnly)_Book3_5963478_1" xfId="87" xr:uid="{00000000-0005-0000-0000-000057000000}"/>
    <cellStyle name="_%(SignSpaceOnly)_Book3_FON" xfId="88" xr:uid="{00000000-0005-0000-0000-000058000000}"/>
    <cellStyle name="_%(SignSpaceOnly)_Book3_Put Analysis" xfId="89" xr:uid="{00000000-0005-0000-0000-000059000000}"/>
    <cellStyle name="_%(SignSpaceOnly)_Book3_Put Analysis.v2" xfId="90" xr:uid="{00000000-0005-0000-0000-00005A000000}"/>
    <cellStyle name="_%(SignSpaceOnly)_Book3_Spin Model v.2" xfId="91" xr:uid="{00000000-0005-0000-0000-00005B000000}"/>
    <cellStyle name="_AMB_Model2" xfId="92" xr:uid="{00000000-0005-0000-0000-00005C000000}"/>
    <cellStyle name="_Comma" xfId="93" xr:uid="{00000000-0005-0000-0000-00005D000000}"/>
    <cellStyle name="_Comma_5515616_3" xfId="94" xr:uid="{00000000-0005-0000-0000-00005E000000}"/>
    <cellStyle name="_Comma_5515616_3_5401007_6" xfId="95" xr:uid="{00000000-0005-0000-0000-00005F000000}"/>
    <cellStyle name="_Comma_5515616_3_5963478_1" xfId="96" xr:uid="{00000000-0005-0000-0000-000060000000}"/>
    <cellStyle name="_Comma_5515616_3_FON" xfId="97" xr:uid="{00000000-0005-0000-0000-000061000000}"/>
    <cellStyle name="_Comma_5515616_3_Put Analysis" xfId="98" xr:uid="{00000000-0005-0000-0000-000062000000}"/>
    <cellStyle name="_Comma_5515616_3_Put Analysis.v2" xfId="99" xr:uid="{00000000-0005-0000-0000-000063000000}"/>
    <cellStyle name="_Comma_5515616_3_Spin Model v.2" xfId="100" xr:uid="{00000000-0005-0000-0000-000064000000}"/>
    <cellStyle name="_Comma_5517854_3" xfId="101" xr:uid="{00000000-0005-0000-0000-000065000000}"/>
    <cellStyle name="_Comma_5517854_3_5401007_6" xfId="102" xr:uid="{00000000-0005-0000-0000-000066000000}"/>
    <cellStyle name="_Comma_5517854_3_5963478_1" xfId="103" xr:uid="{00000000-0005-0000-0000-000067000000}"/>
    <cellStyle name="_Comma_5517854_3_FON" xfId="104" xr:uid="{00000000-0005-0000-0000-000068000000}"/>
    <cellStyle name="_Comma_5517854_3_Put Analysis" xfId="105" xr:uid="{00000000-0005-0000-0000-000069000000}"/>
    <cellStyle name="_Comma_5517854_3_Put Analysis.v2" xfId="106" xr:uid="{00000000-0005-0000-0000-00006A000000}"/>
    <cellStyle name="_Comma_5517854_3_Spin Model v.2" xfId="107" xr:uid="{00000000-0005-0000-0000-00006B000000}"/>
    <cellStyle name="_Comma_Book3" xfId="108" xr:uid="{00000000-0005-0000-0000-00006C000000}"/>
    <cellStyle name="_Comma_Book3_5401007_6" xfId="109" xr:uid="{00000000-0005-0000-0000-00006D000000}"/>
    <cellStyle name="_Comma_Book3_5963478_1" xfId="110" xr:uid="{00000000-0005-0000-0000-00006E000000}"/>
    <cellStyle name="_Comma_Book3_FON" xfId="111" xr:uid="{00000000-0005-0000-0000-00006F000000}"/>
    <cellStyle name="_Comma_Book3_Put Analysis" xfId="112" xr:uid="{00000000-0005-0000-0000-000070000000}"/>
    <cellStyle name="_Comma_Book3_Put Analysis.v2" xfId="113" xr:uid="{00000000-0005-0000-0000-000071000000}"/>
    <cellStyle name="_Comma_Book3_Spin Model v.2" xfId="114" xr:uid="{00000000-0005-0000-0000-000072000000}"/>
    <cellStyle name="_Comma_Combined Synergy Presentation" xfId="115" xr:uid="{00000000-0005-0000-0000-000073000000}"/>
    <cellStyle name="_Comma_Combined Synergy Presentation_5515616_3" xfId="116" xr:uid="{00000000-0005-0000-0000-000074000000}"/>
    <cellStyle name="_Comma_Combined Synergy Presentation_5515616_3_5401007_6" xfId="117" xr:uid="{00000000-0005-0000-0000-000075000000}"/>
    <cellStyle name="_Comma_Combined Synergy Presentation_5515616_3_5963478_1" xfId="118" xr:uid="{00000000-0005-0000-0000-000076000000}"/>
    <cellStyle name="_Comma_Combined Synergy Presentation_5515616_3_FON" xfId="119" xr:uid="{00000000-0005-0000-0000-000077000000}"/>
    <cellStyle name="_Comma_Combined Synergy Presentation_5515616_3_Put Analysis" xfId="120" xr:uid="{00000000-0005-0000-0000-000078000000}"/>
    <cellStyle name="_Comma_Combined Synergy Presentation_5515616_3_Put Analysis.v2" xfId="121" xr:uid="{00000000-0005-0000-0000-000079000000}"/>
    <cellStyle name="_Comma_Combined Synergy Presentation_5515616_3_Spin Model v.2" xfId="122" xr:uid="{00000000-0005-0000-0000-00007A000000}"/>
    <cellStyle name="_Comma_Combined Synergy Presentation_5517854_3" xfId="123" xr:uid="{00000000-0005-0000-0000-00007B000000}"/>
    <cellStyle name="_Comma_Combined Synergy Presentation_5517854_3_5401007_6" xfId="124" xr:uid="{00000000-0005-0000-0000-00007C000000}"/>
    <cellStyle name="_Comma_Combined Synergy Presentation_5517854_3_5963478_1" xfId="125" xr:uid="{00000000-0005-0000-0000-00007D000000}"/>
    <cellStyle name="_Comma_Combined Synergy Presentation_5517854_3_FON" xfId="126" xr:uid="{00000000-0005-0000-0000-00007E000000}"/>
    <cellStyle name="_Comma_Combined Synergy Presentation_5517854_3_Put Analysis" xfId="127" xr:uid="{00000000-0005-0000-0000-00007F000000}"/>
    <cellStyle name="_Comma_Combined Synergy Presentation_5517854_3_Put Analysis.v2" xfId="128" xr:uid="{00000000-0005-0000-0000-000080000000}"/>
    <cellStyle name="_Comma_Combined Synergy Presentation_5517854_3_Spin Model v.2" xfId="129" xr:uid="{00000000-0005-0000-0000-000081000000}"/>
    <cellStyle name="_Comma_Combined Synergy Presentation_Book3" xfId="130" xr:uid="{00000000-0005-0000-0000-000082000000}"/>
    <cellStyle name="_Comma_Combined Synergy Presentation_Book3_5401007_6" xfId="131" xr:uid="{00000000-0005-0000-0000-000083000000}"/>
    <cellStyle name="_Comma_Combined Synergy Presentation_Book3_5963478_1" xfId="132" xr:uid="{00000000-0005-0000-0000-000084000000}"/>
    <cellStyle name="_Comma_Combined Synergy Presentation_Book3_FON" xfId="133" xr:uid="{00000000-0005-0000-0000-000085000000}"/>
    <cellStyle name="_Comma_Combined Synergy Presentation_Book3_Put Analysis" xfId="134" xr:uid="{00000000-0005-0000-0000-000086000000}"/>
    <cellStyle name="_Comma_Combined Synergy Presentation_Book3_Put Analysis.v2" xfId="135" xr:uid="{00000000-0005-0000-0000-000087000000}"/>
    <cellStyle name="_Comma_Combined Synergy Presentation_Book3_Spin Model v.2" xfId="136" xr:uid="{00000000-0005-0000-0000-000088000000}"/>
    <cellStyle name="_Comma_Synergy Analysis" xfId="137" xr:uid="{00000000-0005-0000-0000-000089000000}"/>
    <cellStyle name="_Comma_Synergy Analysis_co-advisors" xfId="138" xr:uid="{00000000-0005-0000-0000-00008A000000}"/>
    <cellStyle name="_Comma_Synergy Analysis_co-advisors_Project Kentucky Derby Model v75" xfId="139" xr:uid="{00000000-0005-0000-0000-00008B000000}"/>
    <cellStyle name="_Comma_Synergy Analysis_co-advisors_Project Kentucky Derby Model v76" xfId="140" xr:uid="{00000000-0005-0000-0000-00008C000000}"/>
    <cellStyle name="_Comma_Synergy Analysis_co-advisors_SBSAModel116(Company)" xfId="141" xr:uid="{00000000-0005-0000-0000-00008D000000}"/>
    <cellStyle name="_Comma_Synergy Analysis_Project Kentucky Derby Model v75" xfId="142" xr:uid="{00000000-0005-0000-0000-00008E000000}"/>
    <cellStyle name="_Comma_Synergy Analysis_Project Kentucky Derby Model v76" xfId="143" xr:uid="{00000000-0005-0000-0000-00008F000000}"/>
    <cellStyle name="_Comma_Synergy Analysis_SBSAModel116(Company)" xfId="144" xr:uid="{00000000-0005-0000-0000-000090000000}"/>
    <cellStyle name="_Comma_Synergy Calc 1.1 rev 5-yr aug high1_bpace" xfId="145" xr:uid="{00000000-0005-0000-0000-000091000000}"/>
    <cellStyle name="_Comma_Synergy Calc 1.1 rev 5-yr aug high1_bpace_5515616_3" xfId="146" xr:uid="{00000000-0005-0000-0000-000092000000}"/>
    <cellStyle name="_Comma_Synergy Calc 1.1 rev 5-yr aug high1_bpace_5515616_3_5401007_6" xfId="147" xr:uid="{00000000-0005-0000-0000-000093000000}"/>
    <cellStyle name="_Comma_Synergy Calc 1.1 rev 5-yr aug high1_bpace_5515616_3_5963478_1" xfId="148" xr:uid="{00000000-0005-0000-0000-000094000000}"/>
    <cellStyle name="_Comma_Synergy Calc 1.1 rev 5-yr aug high1_bpace_5515616_3_FON" xfId="149" xr:uid="{00000000-0005-0000-0000-000095000000}"/>
    <cellStyle name="_Comma_Synergy Calc 1.1 rev 5-yr aug high1_bpace_5515616_3_Put Analysis" xfId="150" xr:uid="{00000000-0005-0000-0000-000096000000}"/>
    <cellStyle name="_Comma_Synergy Calc 1.1 rev 5-yr aug high1_bpace_5515616_3_Put Analysis.v2" xfId="151" xr:uid="{00000000-0005-0000-0000-000097000000}"/>
    <cellStyle name="_Comma_Synergy Calc 1.1 rev 5-yr aug high1_bpace_5515616_3_Spin Model v.2" xfId="152" xr:uid="{00000000-0005-0000-0000-000098000000}"/>
    <cellStyle name="_Comma_Synergy Calc 1.1 rev 5-yr aug high1_bpace_5517854_3" xfId="153" xr:uid="{00000000-0005-0000-0000-000099000000}"/>
    <cellStyle name="_Comma_Synergy Calc 1.1 rev 5-yr aug high1_bpace_5517854_3_5401007_6" xfId="154" xr:uid="{00000000-0005-0000-0000-00009A000000}"/>
    <cellStyle name="_Comma_Synergy Calc 1.1 rev 5-yr aug high1_bpace_5517854_3_5963478_1" xfId="155" xr:uid="{00000000-0005-0000-0000-00009B000000}"/>
    <cellStyle name="_Comma_Synergy Calc 1.1 rev 5-yr aug high1_bpace_5517854_3_FON" xfId="156" xr:uid="{00000000-0005-0000-0000-00009C000000}"/>
    <cellStyle name="_Comma_Synergy Calc 1.1 rev 5-yr aug high1_bpace_5517854_3_Put Analysis" xfId="157" xr:uid="{00000000-0005-0000-0000-00009D000000}"/>
    <cellStyle name="_Comma_Synergy Calc 1.1 rev 5-yr aug high1_bpace_5517854_3_Put Analysis.v2" xfId="158" xr:uid="{00000000-0005-0000-0000-00009E000000}"/>
    <cellStyle name="_Comma_Synergy Calc 1.1 rev 5-yr aug high1_bpace_5517854_3_Spin Model v.2" xfId="159" xr:uid="{00000000-0005-0000-0000-00009F000000}"/>
    <cellStyle name="_Comma_Synergy Calc 1.1 rev 5-yr aug high1_bpace_Book3" xfId="160" xr:uid="{00000000-0005-0000-0000-0000A0000000}"/>
    <cellStyle name="_Comma_Synergy Calc 1.1 rev 5-yr aug high1_bpace_Book3_5401007_6" xfId="161" xr:uid="{00000000-0005-0000-0000-0000A1000000}"/>
    <cellStyle name="_Comma_Synergy Calc 1.1 rev 5-yr aug high1_bpace_Book3_5963478_1" xfId="162" xr:uid="{00000000-0005-0000-0000-0000A2000000}"/>
    <cellStyle name="_Comma_Synergy Calc 1.1 rev 5-yr aug high1_bpace_Book3_FON" xfId="163" xr:uid="{00000000-0005-0000-0000-0000A3000000}"/>
    <cellStyle name="_Comma_Synergy Calc 1.1 rev 5-yr aug high1_bpace_Book3_Put Analysis" xfId="164" xr:uid="{00000000-0005-0000-0000-0000A4000000}"/>
    <cellStyle name="_Comma_Synergy Calc 1.1 rev 5-yr aug high1_bpace_Book3_Put Analysis.v2" xfId="165" xr:uid="{00000000-0005-0000-0000-0000A5000000}"/>
    <cellStyle name="_Comma_Synergy Calc 1.1 rev 5-yr aug high1_bpace_Book3_Spin Model v.2" xfId="166" xr:uid="{00000000-0005-0000-0000-0000A6000000}"/>
    <cellStyle name="_Comma_Synergy Detail _gs" xfId="167" xr:uid="{00000000-0005-0000-0000-0000A7000000}"/>
    <cellStyle name="_Comma_Synergy Detail _gs_5515616_3" xfId="168" xr:uid="{00000000-0005-0000-0000-0000A8000000}"/>
    <cellStyle name="_Comma_Synergy Detail _gs_5515616_3_5401007_6" xfId="169" xr:uid="{00000000-0005-0000-0000-0000A9000000}"/>
    <cellStyle name="_Comma_Synergy Detail _gs_5515616_3_5963478_1" xfId="170" xr:uid="{00000000-0005-0000-0000-0000AA000000}"/>
    <cellStyle name="_Comma_Synergy Detail _gs_5515616_3_FON" xfId="171" xr:uid="{00000000-0005-0000-0000-0000AB000000}"/>
    <cellStyle name="_Comma_Synergy Detail _gs_5515616_3_Put Analysis" xfId="172" xr:uid="{00000000-0005-0000-0000-0000AC000000}"/>
    <cellStyle name="_Comma_Synergy Detail _gs_5515616_3_Put Analysis.v2" xfId="173" xr:uid="{00000000-0005-0000-0000-0000AD000000}"/>
    <cellStyle name="_Comma_Synergy Detail _gs_5515616_3_Spin Model v.2" xfId="174" xr:uid="{00000000-0005-0000-0000-0000AE000000}"/>
    <cellStyle name="_Comma_Synergy Detail _gs_5517854_3" xfId="175" xr:uid="{00000000-0005-0000-0000-0000AF000000}"/>
    <cellStyle name="_Comma_Synergy Detail _gs_5517854_3_5401007_6" xfId="176" xr:uid="{00000000-0005-0000-0000-0000B0000000}"/>
    <cellStyle name="_Comma_Synergy Detail _gs_5517854_3_5963478_1" xfId="177" xr:uid="{00000000-0005-0000-0000-0000B1000000}"/>
    <cellStyle name="_Comma_Synergy Detail _gs_5517854_3_FON" xfId="178" xr:uid="{00000000-0005-0000-0000-0000B2000000}"/>
    <cellStyle name="_Comma_Synergy Detail _gs_5517854_3_Put Analysis" xfId="179" xr:uid="{00000000-0005-0000-0000-0000B3000000}"/>
    <cellStyle name="_Comma_Synergy Detail _gs_5517854_3_Put Analysis.v2" xfId="180" xr:uid="{00000000-0005-0000-0000-0000B4000000}"/>
    <cellStyle name="_Comma_Synergy Detail _gs_5517854_3_Spin Model v.2" xfId="181" xr:uid="{00000000-0005-0000-0000-0000B5000000}"/>
    <cellStyle name="_Comma_Synergy Detail _gs_Book3" xfId="182" xr:uid="{00000000-0005-0000-0000-0000B6000000}"/>
    <cellStyle name="_Comma_Synergy Detail _gs_Book3_5401007_6" xfId="183" xr:uid="{00000000-0005-0000-0000-0000B7000000}"/>
    <cellStyle name="_Comma_Synergy Detail _gs_Book3_5963478_1" xfId="184" xr:uid="{00000000-0005-0000-0000-0000B8000000}"/>
    <cellStyle name="_Comma_Synergy Detail _gs_Book3_FON" xfId="185" xr:uid="{00000000-0005-0000-0000-0000B9000000}"/>
    <cellStyle name="_Comma_Synergy Detail _gs_Book3_Put Analysis" xfId="186" xr:uid="{00000000-0005-0000-0000-0000BA000000}"/>
    <cellStyle name="_Comma_Synergy Detail _gs_Book3_Put Analysis.v2" xfId="187" xr:uid="{00000000-0005-0000-0000-0000BB000000}"/>
    <cellStyle name="_Comma_Synergy Detail _gs_Book3_Spin Model v.2" xfId="188" xr:uid="{00000000-0005-0000-0000-0000BC000000}"/>
    <cellStyle name="_Currency" xfId="189" xr:uid="{00000000-0005-0000-0000-0000BD000000}"/>
    <cellStyle name="_Currency_5515616_3" xfId="190" xr:uid="{00000000-0005-0000-0000-0000BE000000}"/>
    <cellStyle name="_Currency_5515616_3_5401007_6" xfId="191" xr:uid="{00000000-0005-0000-0000-0000BF000000}"/>
    <cellStyle name="_Currency_5515616_3_5963478_1" xfId="192" xr:uid="{00000000-0005-0000-0000-0000C0000000}"/>
    <cellStyle name="_Currency_5515616_3_FON" xfId="193" xr:uid="{00000000-0005-0000-0000-0000C1000000}"/>
    <cellStyle name="_Currency_5515616_3_Put Analysis" xfId="194" xr:uid="{00000000-0005-0000-0000-0000C2000000}"/>
    <cellStyle name="_Currency_5515616_3_Put Analysis.v2" xfId="195" xr:uid="{00000000-0005-0000-0000-0000C3000000}"/>
    <cellStyle name="_Currency_5515616_3_Spin Model v.2" xfId="196" xr:uid="{00000000-0005-0000-0000-0000C4000000}"/>
    <cellStyle name="_Currency_5517854_3" xfId="197" xr:uid="{00000000-0005-0000-0000-0000C5000000}"/>
    <cellStyle name="_Currency_5517854_3_5401007_6" xfId="198" xr:uid="{00000000-0005-0000-0000-0000C6000000}"/>
    <cellStyle name="_Currency_5517854_3_5963478_1" xfId="199" xr:uid="{00000000-0005-0000-0000-0000C7000000}"/>
    <cellStyle name="_Currency_5517854_3_FON" xfId="200" xr:uid="{00000000-0005-0000-0000-0000C8000000}"/>
    <cellStyle name="_Currency_5517854_3_Put Analysis" xfId="201" xr:uid="{00000000-0005-0000-0000-0000C9000000}"/>
    <cellStyle name="_Currency_5517854_3_Put Analysis.v2" xfId="202" xr:uid="{00000000-0005-0000-0000-0000CA000000}"/>
    <cellStyle name="_Currency_5517854_3_Spin Model v.2" xfId="203" xr:uid="{00000000-0005-0000-0000-0000CB000000}"/>
    <cellStyle name="_Currency_Book3" xfId="204" xr:uid="{00000000-0005-0000-0000-0000CC000000}"/>
    <cellStyle name="_Currency_Book3_5401007_6" xfId="205" xr:uid="{00000000-0005-0000-0000-0000CD000000}"/>
    <cellStyle name="_Currency_Book3_5963478_1" xfId="206" xr:uid="{00000000-0005-0000-0000-0000CE000000}"/>
    <cellStyle name="_Currency_Book3_FON" xfId="207" xr:uid="{00000000-0005-0000-0000-0000CF000000}"/>
    <cellStyle name="_Currency_Book3_Put Analysis" xfId="208" xr:uid="{00000000-0005-0000-0000-0000D0000000}"/>
    <cellStyle name="_Currency_Book3_Put Analysis.v2" xfId="209" xr:uid="{00000000-0005-0000-0000-0000D1000000}"/>
    <cellStyle name="_Currency_Book3_Spin Model v.2" xfId="210" xr:uid="{00000000-0005-0000-0000-0000D2000000}"/>
    <cellStyle name="_Currency_Combined Synergy Presentation" xfId="211" xr:uid="{00000000-0005-0000-0000-0000D3000000}"/>
    <cellStyle name="_Currency_Combined Synergy Presentation_5515616_3" xfId="212" xr:uid="{00000000-0005-0000-0000-0000D4000000}"/>
    <cellStyle name="_Currency_Combined Synergy Presentation_5515616_3_5401007_6" xfId="213" xr:uid="{00000000-0005-0000-0000-0000D5000000}"/>
    <cellStyle name="_Currency_Combined Synergy Presentation_5515616_3_5963478_1" xfId="214" xr:uid="{00000000-0005-0000-0000-0000D6000000}"/>
    <cellStyle name="_Currency_Combined Synergy Presentation_5515616_3_FON" xfId="215" xr:uid="{00000000-0005-0000-0000-0000D7000000}"/>
    <cellStyle name="_Currency_Combined Synergy Presentation_5515616_3_Put Analysis" xfId="216" xr:uid="{00000000-0005-0000-0000-0000D8000000}"/>
    <cellStyle name="_Currency_Combined Synergy Presentation_5515616_3_Put Analysis.v2" xfId="217" xr:uid="{00000000-0005-0000-0000-0000D9000000}"/>
    <cellStyle name="_Currency_Combined Synergy Presentation_5515616_3_Spin Model v.2" xfId="218" xr:uid="{00000000-0005-0000-0000-0000DA000000}"/>
    <cellStyle name="_Currency_Combined Synergy Presentation_5517854_3" xfId="219" xr:uid="{00000000-0005-0000-0000-0000DB000000}"/>
    <cellStyle name="_Currency_Combined Synergy Presentation_5517854_3_5401007_6" xfId="220" xr:uid="{00000000-0005-0000-0000-0000DC000000}"/>
    <cellStyle name="_Currency_Combined Synergy Presentation_5517854_3_5963478_1" xfId="221" xr:uid="{00000000-0005-0000-0000-0000DD000000}"/>
    <cellStyle name="_Currency_Combined Synergy Presentation_5517854_3_FON" xfId="222" xr:uid="{00000000-0005-0000-0000-0000DE000000}"/>
    <cellStyle name="_Currency_Combined Synergy Presentation_5517854_3_Put Analysis" xfId="223" xr:uid="{00000000-0005-0000-0000-0000DF000000}"/>
    <cellStyle name="_Currency_Combined Synergy Presentation_5517854_3_Put Analysis.v2" xfId="224" xr:uid="{00000000-0005-0000-0000-0000E0000000}"/>
    <cellStyle name="_Currency_Combined Synergy Presentation_5517854_3_Spin Model v.2" xfId="225" xr:uid="{00000000-0005-0000-0000-0000E1000000}"/>
    <cellStyle name="_Currency_Combined Synergy Presentation_Book3" xfId="226" xr:uid="{00000000-0005-0000-0000-0000E2000000}"/>
    <cellStyle name="_Currency_Combined Synergy Presentation_Book3_5401007_6" xfId="227" xr:uid="{00000000-0005-0000-0000-0000E3000000}"/>
    <cellStyle name="_Currency_Combined Synergy Presentation_Book3_5963478_1" xfId="228" xr:uid="{00000000-0005-0000-0000-0000E4000000}"/>
    <cellStyle name="_Currency_Combined Synergy Presentation_Book3_FON" xfId="229" xr:uid="{00000000-0005-0000-0000-0000E5000000}"/>
    <cellStyle name="_Currency_Combined Synergy Presentation_Book3_Put Analysis" xfId="230" xr:uid="{00000000-0005-0000-0000-0000E6000000}"/>
    <cellStyle name="_Currency_Combined Synergy Presentation_Book3_Put Analysis.v2" xfId="231" xr:uid="{00000000-0005-0000-0000-0000E7000000}"/>
    <cellStyle name="_Currency_Combined Synergy Presentation_Book3_Spin Model v.2" xfId="232" xr:uid="{00000000-0005-0000-0000-0000E8000000}"/>
    <cellStyle name="_Currency_Synergy Analysis" xfId="233" xr:uid="{00000000-0005-0000-0000-0000E9000000}"/>
    <cellStyle name="_Currency_Synergy Analysis_5515616_3" xfId="234" xr:uid="{00000000-0005-0000-0000-0000EA000000}"/>
    <cellStyle name="_Currency_Synergy Analysis_5515616_3_5401007_6" xfId="235" xr:uid="{00000000-0005-0000-0000-0000EB000000}"/>
    <cellStyle name="_Currency_Synergy Analysis_5515616_3_5963478_1" xfId="236" xr:uid="{00000000-0005-0000-0000-0000EC000000}"/>
    <cellStyle name="_Currency_Synergy Analysis_5515616_3_FON" xfId="237" xr:uid="{00000000-0005-0000-0000-0000ED000000}"/>
    <cellStyle name="_Currency_Synergy Analysis_5515616_3_Put Analysis" xfId="238" xr:uid="{00000000-0005-0000-0000-0000EE000000}"/>
    <cellStyle name="_Currency_Synergy Analysis_5515616_3_Put Analysis.v2" xfId="239" xr:uid="{00000000-0005-0000-0000-0000EF000000}"/>
    <cellStyle name="_Currency_Synergy Analysis_5515616_3_Spin Model v.2" xfId="240" xr:uid="{00000000-0005-0000-0000-0000F0000000}"/>
    <cellStyle name="_Currency_Synergy Analysis_5517854_3" xfId="241" xr:uid="{00000000-0005-0000-0000-0000F1000000}"/>
    <cellStyle name="_Currency_Synergy Analysis_5517854_3_5401007_6" xfId="242" xr:uid="{00000000-0005-0000-0000-0000F2000000}"/>
    <cellStyle name="_Currency_Synergy Analysis_5517854_3_5963478_1" xfId="243" xr:uid="{00000000-0005-0000-0000-0000F3000000}"/>
    <cellStyle name="_Currency_Synergy Analysis_5517854_3_FON" xfId="244" xr:uid="{00000000-0005-0000-0000-0000F4000000}"/>
    <cellStyle name="_Currency_Synergy Analysis_5517854_3_Put Analysis" xfId="245" xr:uid="{00000000-0005-0000-0000-0000F5000000}"/>
    <cellStyle name="_Currency_Synergy Analysis_5517854_3_Put Analysis.v2" xfId="246" xr:uid="{00000000-0005-0000-0000-0000F6000000}"/>
    <cellStyle name="_Currency_Synergy Analysis_5517854_3_Spin Model v.2" xfId="247" xr:uid="{00000000-0005-0000-0000-0000F7000000}"/>
    <cellStyle name="_Currency_Synergy Analysis_Book3" xfId="248" xr:uid="{00000000-0005-0000-0000-0000F8000000}"/>
    <cellStyle name="_Currency_Synergy Analysis_Book3_5401007_6" xfId="249" xr:uid="{00000000-0005-0000-0000-0000F9000000}"/>
    <cellStyle name="_Currency_Synergy Analysis_Book3_5963478_1" xfId="250" xr:uid="{00000000-0005-0000-0000-0000FA000000}"/>
    <cellStyle name="_Currency_Synergy Analysis_Book3_FON" xfId="251" xr:uid="{00000000-0005-0000-0000-0000FB000000}"/>
    <cellStyle name="_Currency_Synergy Analysis_Book3_Put Analysis" xfId="252" xr:uid="{00000000-0005-0000-0000-0000FC000000}"/>
    <cellStyle name="_Currency_Synergy Analysis_Book3_Put Analysis.v2" xfId="253" xr:uid="{00000000-0005-0000-0000-0000FD000000}"/>
    <cellStyle name="_Currency_Synergy Analysis_Book3_Spin Model v.2" xfId="254" xr:uid="{00000000-0005-0000-0000-0000FE000000}"/>
    <cellStyle name="_Currency_Synergy Analysis_co-advisors" xfId="255" xr:uid="{00000000-0005-0000-0000-0000FF000000}"/>
    <cellStyle name="_Currency_Synergy Analysis_co-advisors_5515616_3" xfId="256" xr:uid="{00000000-0005-0000-0000-000000010000}"/>
    <cellStyle name="_Currency_Synergy Analysis_co-advisors_5515616_3_5401007_6" xfId="257" xr:uid="{00000000-0005-0000-0000-000001010000}"/>
    <cellStyle name="_Currency_Synergy Analysis_co-advisors_5515616_3_5963478_1" xfId="258" xr:uid="{00000000-0005-0000-0000-000002010000}"/>
    <cellStyle name="_Currency_Synergy Analysis_co-advisors_5515616_3_FON" xfId="259" xr:uid="{00000000-0005-0000-0000-000003010000}"/>
    <cellStyle name="_Currency_Synergy Analysis_co-advisors_5515616_3_Put Analysis" xfId="260" xr:uid="{00000000-0005-0000-0000-000004010000}"/>
    <cellStyle name="_Currency_Synergy Analysis_co-advisors_5515616_3_Put Analysis.v2" xfId="261" xr:uid="{00000000-0005-0000-0000-000005010000}"/>
    <cellStyle name="_Currency_Synergy Analysis_co-advisors_5515616_3_Spin Model v.2" xfId="262" xr:uid="{00000000-0005-0000-0000-000006010000}"/>
    <cellStyle name="_Currency_Synergy Analysis_co-advisors_5517854_3" xfId="263" xr:uid="{00000000-0005-0000-0000-000007010000}"/>
    <cellStyle name="_Currency_Synergy Analysis_co-advisors_5517854_3_5401007_6" xfId="264" xr:uid="{00000000-0005-0000-0000-000008010000}"/>
    <cellStyle name="_Currency_Synergy Analysis_co-advisors_5517854_3_5963478_1" xfId="265" xr:uid="{00000000-0005-0000-0000-000009010000}"/>
    <cellStyle name="_Currency_Synergy Analysis_co-advisors_5517854_3_FON" xfId="266" xr:uid="{00000000-0005-0000-0000-00000A010000}"/>
    <cellStyle name="_Currency_Synergy Analysis_co-advisors_5517854_3_Put Analysis" xfId="267" xr:uid="{00000000-0005-0000-0000-00000B010000}"/>
    <cellStyle name="_Currency_Synergy Analysis_co-advisors_5517854_3_Put Analysis.v2" xfId="268" xr:uid="{00000000-0005-0000-0000-00000C010000}"/>
    <cellStyle name="_Currency_Synergy Analysis_co-advisors_5517854_3_Spin Model v.2" xfId="269" xr:uid="{00000000-0005-0000-0000-00000D010000}"/>
    <cellStyle name="_Currency_Synergy Analysis_co-advisors_Book3" xfId="270" xr:uid="{00000000-0005-0000-0000-00000E010000}"/>
    <cellStyle name="_Currency_Synergy Analysis_co-advisors_Book3_5401007_6" xfId="271" xr:uid="{00000000-0005-0000-0000-00000F010000}"/>
    <cellStyle name="_Currency_Synergy Analysis_co-advisors_Book3_5963478_1" xfId="272" xr:uid="{00000000-0005-0000-0000-000010010000}"/>
    <cellStyle name="_Currency_Synergy Analysis_co-advisors_Book3_FON" xfId="273" xr:uid="{00000000-0005-0000-0000-000011010000}"/>
    <cellStyle name="_Currency_Synergy Analysis_co-advisors_Book3_Put Analysis" xfId="274" xr:uid="{00000000-0005-0000-0000-000012010000}"/>
    <cellStyle name="_Currency_Synergy Analysis_co-advisors_Book3_Put Analysis.v2" xfId="275" xr:uid="{00000000-0005-0000-0000-000013010000}"/>
    <cellStyle name="_Currency_Synergy Analysis_co-advisors_Book3_Spin Model v.2" xfId="276" xr:uid="{00000000-0005-0000-0000-000014010000}"/>
    <cellStyle name="_Currency_Synergy Calc 1.1 rev 5-yr aug high1_bpace" xfId="277" xr:uid="{00000000-0005-0000-0000-000015010000}"/>
    <cellStyle name="_Currency_Synergy Calc 1.1 rev 5-yr aug high1_bpace_5515616_3" xfId="278" xr:uid="{00000000-0005-0000-0000-000016010000}"/>
    <cellStyle name="_Currency_Synergy Calc 1.1 rev 5-yr aug high1_bpace_5515616_3_5401007_6" xfId="279" xr:uid="{00000000-0005-0000-0000-000017010000}"/>
    <cellStyle name="_Currency_Synergy Calc 1.1 rev 5-yr aug high1_bpace_5515616_3_5963478_1" xfId="280" xr:uid="{00000000-0005-0000-0000-000018010000}"/>
    <cellStyle name="_Currency_Synergy Calc 1.1 rev 5-yr aug high1_bpace_5515616_3_FON" xfId="281" xr:uid="{00000000-0005-0000-0000-000019010000}"/>
    <cellStyle name="_Currency_Synergy Calc 1.1 rev 5-yr aug high1_bpace_5515616_3_Put Analysis" xfId="282" xr:uid="{00000000-0005-0000-0000-00001A010000}"/>
    <cellStyle name="_Currency_Synergy Calc 1.1 rev 5-yr aug high1_bpace_5515616_3_Put Analysis.v2" xfId="283" xr:uid="{00000000-0005-0000-0000-00001B010000}"/>
    <cellStyle name="_Currency_Synergy Calc 1.1 rev 5-yr aug high1_bpace_5515616_3_Spin Model v.2" xfId="284" xr:uid="{00000000-0005-0000-0000-00001C010000}"/>
    <cellStyle name="_Currency_Synergy Calc 1.1 rev 5-yr aug high1_bpace_5517854_3" xfId="285" xr:uid="{00000000-0005-0000-0000-00001D010000}"/>
    <cellStyle name="_Currency_Synergy Calc 1.1 rev 5-yr aug high1_bpace_5517854_3_5401007_6" xfId="286" xr:uid="{00000000-0005-0000-0000-00001E010000}"/>
    <cellStyle name="_Currency_Synergy Calc 1.1 rev 5-yr aug high1_bpace_5517854_3_5963478_1" xfId="287" xr:uid="{00000000-0005-0000-0000-00001F010000}"/>
    <cellStyle name="_Currency_Synergy Calc 1.1 rev 5-yr aug high1_bpace_5517854_3_FON" xfId="288" xr:uid="{00000000-0005-0000-0000-000020010000}"/>
    <cellStyle name="_Currency_Synergy Calc 1.1 rev 5-yr aug high1_bpace_5517854_3_Put Analysis" xfId="289" xr:uid="{00000000-0005-0000-0000-000021010000}"/>
    <cellStyle name="_Currency_Synergy Calc 1.1 rev 5-yr aug high1_bpace_5517854_3_Put Analysis.v2" xfId="290" xr:uid="{00000000-0005-0000-0000-000022010000}"/>
    <cellStyle name="_Currency_Synergy Calc 1.1 rev 5-yr aug high1_bpace_5517854_3_Spin Model v.2" xfId="291" xr:uid="{00000000-0005-0000-0000-000023010000}"/>
    <cellStyle name="_Currency_Synergy Calc 1.1 rev 5-yr aug high1_bpace_Book3" xfId="292" xr:uid="{00000000-0005-0000-0000-000024010000}"/>
    <cellStyle name="_Currency_Synergy Calc 1.1 rev 5-yr aug high1_bpace_Book3_5401007_6" xfId="293" xr:uid="{00000000-0005-0000-0000-000025010000}"/>
    <cellStyle name="_Currency_Synergy Calc 1.1 rev 5-yr aug high1_bpace_Book3_5963478_1" xfId="294" xr:uid="{00000000-0005-0000-0000-000026010000}"/>
    <cellStyle name="_Currency_Synergy Calc 1.1 rev 5-yr aug high1_bpace_Book3_FON" xfId="295" xr:uid="{00000000-0005-0000-0000-000027010000}"/>
    <cellStyle name="_Currency_Synergy Calc 1.1 rev 5-yr aug high1_bpace_Book3_Put Analysis" xfId="296" xr:uid="{00000000-0005-0000-0000-000028010000}"/>
    <cellStyle name="_Currency_Synergy Calc 1.1 rev 5-yr aug high1_bpace_Book3_Put Analysis.v2" xfId="297" xr:uid="{00000000-0005-0000-0000-000029010000}"/>
    <cellStyle name="_Currency_Synergy Calc 1.1 rev 5-yr aug high1_bpace_Book3_Spin Model v.2" xfId="298" xr:uid="{00000000-0005-0000-0000-00002A010000}"/>
    <cellStyle name="_Currency_Synergy Detail _gs" xfId="299" xr:uid="{00000000-0005-0000-0000-00002B010000}"/>
    <cellStyle name="_Currency_Synergy Detail _gs_5515616_3" xfId="300" xr:uid="{00000000-0005-0000-0000-00002C010000}"/>
    <cellStyle name="_Currency_Synergy Detail _gs_5515616_3_5401007_6" xfId="301" xr:uid="{00000000-0005-0000-0000-00002D010000}"/>
    <cellStyle name="_Currency_Synergy Detail _gs_5515616_3_5963478_1" xfId="302" xr:uid="{00000000-0005-0000-0000-00002E010000}"/>
    <cellStyle name="_Currency_Synergy Detail _gs_5515616_3_FON" xfId="303" xr:uid="{00000000-0005-0000-0000-00002F010000}"/>
    <cellStyle name="_Currency_Synergy Detail _gs_5515616_3_Put Analysis" xfId="304" xr:uid="{00000000-0005-0000-0000-000030010000}"/>
    <cellStyle name="_Currency_Synergy Detail _gs_5515616_3_Put Analysis.v2" xfId="305" xr:uid="{00000000-0005-0000-0000-000031010000}"/>
    <cellStyle name="_Currency_Synergy Detail _gs_5515616_3_Spin Model v.2" xfId="306" xr:uid="{00000000-0005-0000-0000-000032010000}"/>
    <cellStyle name="_Currency_Synergy Detail _gs_5517854_3" xfId="307" xr:uid="{00000000-0005-0000-0000-000033010000}"/>
    <cellStyle name="_Currency_Synergy Detail _gs_5517854_3_5401007_6" xfId="308" xr:uid="{00000000-0005-0000-0000-000034010000}"/>
    <cellStyle name="_Currency_Synergy Detail _gs_5517854_3_5963478_1" xfId="309" xr:uid="{00000000-0005-0000-0000-000035010000}"/>
    <cellStyle name="_Currency_Synergy Detail _gs_5517854_3_FON" xfId="310" xr:uid="{00000000-0005-0000-0000-000036010000}"/>
    <cellStyle name="_Currency_Synergy Detail _gs_5517854_3_Put Analysis" xfId="311" xr:uid="{00000000-0005-0000-0000-000037010000}"/>
    <cellStyle name="_Currency_Synergy Detail _gs_5517854_3_Put Analysis.v2" xfId="312" xr:uid="{00000000-0005-0000-0000-000038010000}"/>
    <cellStyle name="_Currency_Synergy Detail _gs_5517854_3_Spin Model v.2" xfId="313" xr:uid="{00000000-0005-0000-0000-000039010000}"/>
    <cellStyle name="_Currency_Synergy Detail _gs_Book3" xfId="314" xr:uid="{00000000-0005-0000-0000-00003A010000}"/>
    <cellStyle name="_Currency_Synergy Detail _gs_Book3_5401007_6" xfId="315" xr:uid="{00000000-0005-0000-0000-00003B010000}"/>
    <cellStyle name="_Currency_Synergy Detail _gs_Book3_5963478_1" xfId="316" xr:uid="{00000000-0005-0000-0000-00003C010000}"/>
    <cellStyle name="_Currency_Synergy Detail _gs_Book3_FON" xfId="317" xr:uid="{00000000-0005-0000-0000-00003D010000}"/>
    <cellStyle name="_Currency_Synergy Detail _gs_Book3_Put Analysis" xfId="318" xr:uid="{00000000-0005-0000-0000-00003E010000}"/>
    <cellStyle name="_Currency_Synergy Detail _gs_Book3_Put Analysis.v2" xfId="319" xr:uid="{00000000-0005-0000-0000-00003F010000}"/>
    <cellStyle name="_Currency_Synergy Detail _gs_Book3_Spin Model v.2" xfId="320" xr:uid="{00000000-0005-0000-0000-000040010000}"/>
    <cellStyle name="_CurrencySpace" xfId="321" xr:uid="{00000000-0005-0000-0000-000041010000}"/>
    <cellStyle name="_CurrencySpace_5515616_3" xfId="322" xr:uid="{00000000-0005-0000-0000-000042010000}"/>
    <cellStyle name="_CurrencySpace_5517854_3" xfId="323" xr:uid="{00000000-0005-0000-0000-000043010000}"/>
    <cellStyle name="_CurrencySpace_Book3" xfId="324" xr:uid="{00000000-0005-0000-0000-000044010000}"/>
    <cellStyle name="_CurrencySpace_Combined Synergy Presentation" xfId="325" xr:uid="{00000000-0005-0000-0000-000045010000}"/>
    <cellStyle name="_CurrencySpace_Combined Synergy Presentation_5515616_3" xfId="326" xr:uid="{00000000-0005-0000-0000-000046010000}"/>
    <cellStyle name="_CurrencySpace_Combined Synergy Presentation_5517854_3" xfId="327" xr:uid="{00000000-0005-0000-0000-000047010000}"/>
    <cellStyle name="_CurrencySpace_Combined Synergy Presentation_Book3" xfId="328" xr:uid="{00000000-0005-0000-0000-000048010000}"/>
    <cellStyle name="_CurrencySpace_Synergy Analysis" xfId="329" xr:uid="{00000000-0005-0000-0000-000049010000}"/>
    <cellStyle name="_CurrencySpace_Synergy Analysis_co-advisors" xfId="330" xr:uid="{00000000-0005-0000-0000-00004A010000}"/>
    <cellStyle name="_CurrencySpace_Synergy Calc 1.1 rev 5-yr aug high1_bpace" xfId="331" xr:uid="{00000000-0005-0000-0000-00004B010000}"/>
    <cellStyle name="_CurrencySpace_Synergy Calc 1.1 rev 5-yr aug high1_bpace_5515616_3" xfId="332" xr:uid="{00000000-0005-0000-0000-00004C010000}"/>
    <cellStyle name="_CurrencySpace_Synergy Calc 1.1 rev 5-yr aug high1_bpace_5517854_3" xfId="333" xr:uid="{00000000-0005-0000-0000-00004D010000}"/>
    <cellStyle name="_CurrencySpace_Synergy Calc 1.1 rev 5-yr aug high1_bpace_Book3" xfId="334" xr:uid="{00000000-0005-0000-0000-00004E010000}"/>
    <cellStyle name="_CurrencySpace_Synergy Detail _gs" xfId="335" xr:uid="{00000000-0005-0000-0000-00004F010000}"/>
    <cellStyle name="_CurrencySpace_Synergy Detail _gs_5515616_3" xfId="336" xr:uid="{00000000-0005-0000-0000-000050010000}"/>
    <cellStyle name="_CurrencySpace_Synergy Detail _gs_5517854_3" xfId="337" xr:uid="{00000000-0005-0000-0000-000051010000}"/>
    <cellStyle name="_CurrencySpace_Synergy Detail _gs_Book3" xfId="338" xr:uid="{00000000-0005-0000-0000-000052010000}"/>
    <cellStyle name="_DRE_Model" xfId="339" xr:uid="{00000000-0005-0000-0000-000053010000}"/>
    <cellStyle name="_Euro" xfId="340" xr:uid="{00000000-0005-0000-0000-000054010000}"/>
    <cellStyle name="_Euro_5515616_3" xfId="341" xr:uid="{00000000-0005-0000-0000-000055010000}"/>
    <cellStyle name="_Euro_5515616_3_5401007_6" xfId="342" xr:uid="{00000000-0005-0000-0000-000056010000}"/>
    <cellStyle name="_Euro_5515616_3_5963478_1" xfId="343" xr:uid="{00000000-0005-0000-0000-000057010000}"/>
    <cellStyle name="_Euro_5515616_3_FON" xfId="344" xr:uid="{00000000-0005-0000-0000-000058010000}"/>
    <cellStyle name="_Euro_5515616_3_Put Analysis" xfId="345" xr:uid="{00000000-0005-0000-0000-000059010000}"/>
    <cellStyle name="_Euro_5515616_3_Put Analysis.v2" xfId="346" xr:uid="{00000000-0005-0000-0000-00005A010000}"/>
    <cellStyle name="_Euro_5515616_3_Spin Model v.2" xfId="347" xr:uid="{00000000-0005-0000-0000-00005B010000}"/>
    <cellStyle name="_Euro_5517854_3" xfId="348" xr:uid="{00000000-0005-0000-0000-00005C010000}"/>
    <cellStyle name="_Euro_5517854_3_5401007_6" xfId="349" xr:uid="{00000000-0005-0000-0000-00005D010000}"/>
    <cellStyle name="_Euro_5517854_3_5963478_1" xfId="350" xr:uid="{00000000-0005-0000-0000-00005E010000}"/>
    <cellStyle name="_Euro_5517854_3_FON" xfId="351" xr:uid="{00000000-0005-0000-0000-00005F010000}"/>
    <cellStyle name="_Euro_5517854_3_Put Analysis" xfId="352" xr:uid="{00000000-0005-0000-0000-000060010000}"/>
    <cellStyle name="_Euro_5517854_3_Put Analysis.v2" xfId="353" xr:uid="{00000000-0005-0000-0000-000061010000}"/>
    <cellStyle name="_Euro_5517854_3_Spin Model v.2" xfId="354" xr:uid="{00000000-0005-0000-0000-000062010000}"/>
    <cellStyle name="_Euro_Book3" xfId="355" xr:uid="{00000000-0005-0000-0000-000063010000}"/>
    <cellStyle name="_Euro_Book3_5401007_6" xfId="356" xr:uid="{00000000-0005-0000-0000-000064010000}"/>
    <cellStyle name="_Euro_Book3_5963478_1" xfId="357" xr:uid="{00000000-0005-0000-0000-000065010000}"/>
    <cellStyle name="_Euro_Book3_FON" xfId="358" xr:uid="{00000000-0005-0000-0000-000066010000}"/>
    <cellStyle name="_Euro_Book3_Put Analysis" xfId="359" xr:uid="{00000000-0005-0000-0000-000067010000}"/>
    <cellStyle name="_Euro_Book3_Put Analysis.v2" xfId="360" xr:uid="{00000000-0005-0000-0000-000068010000}"/>
    <cellStyle name="_Euro_Book3_Spin Model v.2" xfId="361" xr:uid="{00000000-0005-0000-0000-000069010000}"/>
    <cellStyle name="_Heading" xfId="362" xr:uid="{00000000-0005-0000-0000-00006A010000}"/>
    <cellStyle name="_Highlight" xfId="363" xr:uid="{00000000-0005-0000-0000-00006B010000}"/>
    <cellStyle name="_Multiple" xfId="364" xr:uid="{00000000-0005-0000-0000-00006C010000}"/>
    <cellStyle name="_Multiple_5515616_3" xfId="365" xr:uid="{00000000-0005-0000-0000-00006D010000}"/>
    <cellStyle name="_Multiple_5515616_3_5401007_6" xfId="366" xr:uid="{00000000-0005-0000-0000-00006E010000}"/>
    <cellStyle name="_Multiple_5515616_3_5963478_1" xfId="367" xr:uid="{00000000-0005-0000-0000-00006F010000}"/>
    <cellStyle name="_Multiple_5515616_3_FON" xfId="368" xr:uid="{00000000-0005-0000-0000-000070010000}"/>
    <cellStyle name="_Multiple_5515616_3_Put Analysis" xfId="369" xr:uid="{00000000-0005-0000-0000-000071010000}"/>
    <cellStyle name="_Multiple_5515616_3_Put Analysis.v2" xfId="370" xr:uid="{00000000-0005-0000-0000-000072010000}"/>
    <cellStyle name="_Multiple_5515616_3_Spin Model v.2" xfId="371" xr:uid="{00000000-0005-0000-0000-000073010000}"/>
    <cellStyle name="_Multiple_5517854_3" xfId="372" xr:uid="{00000000-0005-0000-0000-000074010000}"/>
    <cellStyle name="_Multiple_5517854_3_5401007_6" xfId="373" xr:uid="{00000000-0005-0000-0000-000075010000}"/>
    <cellStyle name="_Multiple_5517854_3_5963478_1" xfId="374" xr:uid="{00000000-0005-0000-0000-000076010000}"/>
    <cellStyle name="_Multiple_5517854_3_FON" xfId="375" xr:uid="{00000000-0005-0000-0000-000077010000}"/>
    <cellStyle name="_Multiple_5517854_3_Put Analysis" xfId="376" xr:uid="{00000000-0005-0000-0000-000078010000}"/>
    <cellStyle name="_Multiple_5517854_3_Put Analysis.v2" xfId="377" xr:uid="{00000000-0005-0000-0000-000079010000}"/>
    <cellStyle name="_Multiple_5517854_3_Spin Model v.2" xfId="378" xr:uid="{00000000-0005-0000-0000-00007A010000}"/>
    <cellStyle name="_Multiple_Book3" xfId="379" xr:uid="{00000000-0005-0000-0000-00007B010000}"/>
    <cellStyle name="_Multiple_Book3_5401007_6" xfId="380" xr:uid="{00000000-0005-0000-0000-00007C010000}"/>
    <cellStyle name="_Multiple_Book3_5963478_1" xfId="381" xr:uid="{00000000-0005-0000-0000-00007D010000}"/>
    <cellStyle name="_Multiple_Book3_FON" xfId="382" xr:uid="{00000000-0005-0000-0000-00007E010000}"/>
    <cellStyle name="_Multiple_Book3_Put Analysis" xfId="383" xr:uid="{00000000-0005-0000-0000-00007F010000}"/>
    <cellStyle name="_Multiple_Book3_Put Analysis.v2" xfId="384" xr:uid="{00000000-0005-0000-0000-000080010000}"/>
    <cellStyle name="_Multiple_Book3_Spin Model v.2" xfId="385" xr:uid="{00000000-0005-0000-0000-000081010000}"/>
    <cellStyle name="_Multiple_Combined Synergy Presentation" xfId="386" xr:uid="{00000000-0005-0000-0000-000082010000}"/>
    <cellStyle name="_Multiple_Combined Synergy Presentation_5515616_3" xfId="387" xr:uid="{00000000-0005-0000-0000-000083010000}"/>
    <cellStyle name="_Multiple_Combined Synergy Presentation_5515616_3_5401007_6" xfId="388" xr:uid="{00000000-0005-0000-0000-000084010000}"/>
    <cellStyle name="_Multiple_Combined Synergy Presentation_5515616_3_5963478_1" xfId="389" xr:uid="{00000000-0005-0000-0000-000085010000}"/>
    <cellStyle name="_Multiple_Combined Synergy Presentation_5515616_3_FON" xfId="390" xr:uid="{00000000-0005-0000-0000-000086010000}"/>
    <cellStyle name="_Multiple_Combined Synergy Presentation_5515616_3_Put Analysis" xfId="391" xr:uid="{00000000-0005-0000-0000-000087010000}"/>
    <cellStyle name="_Multiple_Combined Synergy Presentation_5515616_3_Put Analysis.v2" xfId="392" xr:uid="{00000000-0005-0000-0000-000088010000}"/>
    <cellStyle name="_Multiple_Combined Synergy Presentation_5515616_3_Spin Model v.2" xfId="393" xr:uid="{00000000-0005-0000-0000-000089010000}"/>
    <cellStyle name="_Multiple_Combined Synergy Presentation_5517854_3" xfId="394" xr:uid="{00000000-0005-0000-0000-00008A010000}"/>
    <cellStyle name="_Multiple_Combined Synergy Presentation_5517854_3_5401007_6" xfId="395" xr:uid="{00000000-0005-0000-0000-00008B010000}"/>
    <cellStyle name="_Multiple_Combined Synergy Presentation_5517854_3_5963478_1" xfId="396" xr:uid="{00000000-0005-0000-0000-00008C010000}"/>
    <cellStyle name="_Multiple_Combined Synergy Presentation_5517854_3_FON" xfId="397" xr:uid="{00000000-0005-0000-0000-00008D010000}"/>
    <cellStyle name="_Multiple_Combined Synergy Presentation_5517854_3_Put Analysis" xfId="398" xr:uid="{00000000-0005-0000-0000-00008E010000}"/>
    <cellStyle name="_Multiple_Combined Synergy Presentation_5517854_3_Put Analysis.v2" xfId="399" xr:uid="{00000000-0005-0000-0000-00008F010000}"/>
    <cellStyle name="_Multiple_Combined Synergy Presentation_5517854_3_Spin Model v.2" xfId="400" xr:uid="{00000000-0005-0000-0000-000090010000}"/>
    <cellStyle name="_Multiple_Combined Synergy Presentation_Book3" xfId="401" xr:uid="{00000000-0005-0000-0000-000091010000}"/>
    <cellStyle name="_Multiple_Combined Synergy Presentation_Book3_5401007_6" xfId="402" xr:uid="{00000000-0005-0000-0000-000092010000}"/>
    <cellStyle name="_Multiple_Combined Synergy Presentation_Book3_5963478_1" xfId="403" xr:uid="{00000000-0005-0000-0000-000093010000}"/>
    <cellStyle name="_Multiple_Combined Synergy Presentation_Book3_FON" xfId="404" xr:uid="{00000000-0005-0000-0000-000094010000}"/>
    <cellStyle name="_Multiple_Combined Synergy Presentation_Book3_Put Analysis" xfId="405" xr:uid="{00000000-0005-0000-0000-000095010000}"/>
    <cellStyle name="_Multiple_Combined Synergy Presentation_Book3_Put Analysis.v2" xfId="406" xr:uid="{00000000-0005-0000-0000-000096010000}"/>
    <cellStyle name="_Multiple_Combined Synergy Presentation_Book3_Spin Model v.2" xfId="407" xr:uid="{00000000-0005-0000-0000-000097010000}"/>
    <cellStyle name="_Multiple_Synergy Analysis_co-advisors" xfId="408" xr:uid="{00000000-0005-0000-0000-000098010000}"/>
    <cellStyle name="_Multiple_Synergy Analysis_co-advisors_5515616_3" xfId="409" xr:uid="{00000000-0005-0000-0000-000099010000}"/>
    <cellStyle name="_Multiple_Synergy Analysis_co-advisors_5515616_3_5401007_6" xfId="410" xr:uid="{00000000-0005-0000-0000-00009A010000}"/>
    <cellStyle name="_Multiple_Synergy Analysis_co-advisors_5515616_3_5401007_6_Project Kentucky Derby Model v75" xfId="411" xr:uid="{00000000-0005-0000-0000-00009B010000}"/>
    <cellStyle name="_Multiple_Synergy Analysis_co-advisors_5515616_3_5401007_6_Project Kentucky Derby Model v76" xfId="412" xr:uid="{00000000-0005-0000-0000-00009C010000}"/>
    <cellStyle name="_Multiple_Synergy Analysis_co-advisors_5515616_3_5401007_6_SBSAModel116(Company)" xfId="413" xr:uid="{00000000-0005-0000-0000-00009D010000}"/>
    <cellStyle name="_Multiple_Synergy Analysis_co-advisors_5515616_3_5963478_1" xfId="414" xr:uid="{00000000-0005-0000-0000-00009E010000}"/>
    <cellStyle name="_Multiple_Synergy Analysis_co-advisors_5515616_3_FON" xfId="415" xr:uid="{00000000-0005-0000-0000-00009F010000}"/>
    <cellStyle name="_Multiple_Synergy Analysis_co-advisors_5515616_3_Put Analysis" xfId="416" xr:uid="{00000000-0005-0000-0000-0000A0010000}"/>
    <cellStyle name="_Multiple_Synergy Analysis_co-advisors_5515616_3_Put Analysis.v2" xfId="417" xr:uid="{00000000-0005-0000-0000-0000A1010000}"/>
    <cellStyle name="_Multiple_Synergy Analysis_co-advisors_5515616_3_Put Analysis.v2_Project Kentucky Derby Model v75" xfId="418" xr:uid="{00000000-0005-0000-0000-0000A2010000}"/>
    <cellStyle name="_Multiple_Synergy Analysis_co-advisors_5515616_3_Put Analysis.v2_Project Kentucky Derby Model v76" xfId="419" xr:uid="{00000000-0005-0000-0000-0000A3010000}"/>
    <cellStyle name="_Multiple_Synergy Analysis_co-advisors_5515616_3_Put Analysis.v2_SBSAModel116(Company)" xfId="420" xr:uid="{00000000-0005-0000-0000-0000A4010000}"/>
    <cellStyle name="_Multiple_Synergy Analysis_co-advisors_5515616_3_Put Analysis_Project Kentucky Derby Model v75" xfId="421" xr:uid="{00000000-0005-0000-0000-0000A5010000}"/>
    <cellStyle name="_Multiple_Synergy Analysis_co-advisors_5515616_3_Put Analysis_Project Kentucky Derby Model v76" xfId="422" xr:uid="{00000000-0005-0000-0000-0000A6010000}"/>
    <cellStyle name="_Multiple_Synergy Analysis_co-advisors_5515616_3_Put Analysis_SBSAModel116(Company)" xfId="423" xr:uid="{00000000-0005-0000-0000-0000A7010000}"/>
    <cellStyle name="_Multiple_Synergy Analysis_co-advisors_5515616_3_Spin Model v.2" xfId="424" xr:uid="{00000000-0005-0000-0000-0000A8010000}"/>
    <cellStyle name="_Multiple_Synergy Analysis_co-advisors_5515616_3_Spin Model v.2_Project Kentucky Derby Model v75" xfId="425" xr:uid="{00000000-0005-0000-0000-0000A9010000}"/>
    <cellStyle name="_Multiple_Synergy Analysis_co-advisors_5515616_3_Spin Model v.2_Project Kentucky Derby Model v76" xfId="426" xr:uid="{00000000-0005-0000-0000-0000AA010000}"/>
    <cellStyle name="_Multiple_Synergy Analysis_co-advisors_5515616_3_Spin Model v.2_SBSAModel116(Company)" xfId="427" xr:uid="{00000000-0005-0000-0000-0000AB010000}"/>
    <cellStyle name="_Multiple_Synergy Analysis_co-advisors_5517854_3" xfId="428" xr:uid="{00000000-0005-0000-0000-0000AC010000}"/>
    <cellStyle name="_Multiple_Synergy Analysis_co-advisors_5517854_3_5401007_6" xfId="429" xr:uid="{00000000-0005-0000-0000-0000AD010000}"/>
    <cellStyle name="_Multiple_Synergy Analysis_co-advisors_5517854_3_5401007_6_Project Kentucky Derby Model v75" xfId="430" xr:uid="{00000000-0005-0000-0000-0000AE010000}"/>
    <cellStyle name="_Multiple_Synergy Analysis_co-advisors_5517854_3_5401007_6_Project Kentucky Derby Model v76" xfId="431" xr:uid="{00000000-0005-0000-0000-0000AF010000}"/>
    <cellStyle name="_Multiple_Synergy Analysis_co-advisors_5517854_3_5401007_6_SBSAModel116(Company)" xfId="432" xr:uid="{00000000-0005-0000-0000-0000B0010000}"/>
    <cellStyle name="_Multiple_Synergy Analysis_co-advisors_5517854_3_5963478_1" xfId="433" xr:uid="{00000000-0005-0000-0000-0000B1010000}"/>
    <cellStyle name="_Multiple_Synergy Analysis_co-advisors_5517854_3_FON" xfId="434" xr:uid="{00000000-0005-0000-0000-0000B2010000}"/>
    <cellStyle name="_Multiple_Synergy Analysis_co-advisors_5517854_3_Put Analysis" xfId="435" xr:uid="{00000000-0005-0000-0000-0000B3010000}"/>
    <cellStyle name="_Multiple_Synergy Analysis_co-advisors_5517854_3_Put Analysis.v2" xfId="436" xr:uid="{00000000-0005-0000-0000-0000B4010000}"/>
    <cellStyle name="_Multiple_Synergy Analysis_co-advisors_5517854_3_Put Analysis.v2_Project Kentucky Derby Model v75" xfId="437" xr:uid="{00000000-0005-0000-0000-0000B5010000}"/>
    <cellStyle name="_Multiple_Synergy Analysis_co-advisors_5517854_3_Put Analysis.v2_Project Kentucky Derby Model v76" xfId="438" xr:uid="{00000000-0005-0000-0000-0000B6010000}"/>
    <cellStyle name="_Multiple_Synergy Analysis_co-advisors_5517854_3_Put Analysis.v2_SBSAModel116(Company)" xfId="439" xr:uid="{00000000-0005-0000-0000-0000B7010000}"/>
    <cellStyle name="_Multiple_Synergy Analysis_co-advisors_5517854_3_Put Analysis_Project Kentucky Derby Model v75" xfId="440" xr:uid="{00000000-0005-0000-0000-0000B8010000}"/>
    <cellStyle name="_Multiple_Synergy Analysis_co-advisors_5517854_3_Put Analysis_Project Kentucky Derby Model v76" xfId="441" xr:uid="{00000000-0005-0000-0000-0000B9010000}"/>
    <cellStyle name="_Multiple_Synergy Analysis_co-advisors_5517854_3_Put Analysis_SBSAModel116(Company)" xfId="442" xr:uid="{00000000-0005-0000-0000-0000BA010000}"/>
    <cellStyle name="_Multiple_Synergy Analysis_co-advisors_5517854_3_Spin Model v.2" xfId="443" xr:uid="{00000000-0005-0000-0000-0000BB010000}"/>
    <cellStyle name="_Multiple_Synergy Analysis_co-advisors_5517854_3_Spin Model v.2_Project Kentucky Derby Model v75" xfId="444" xr:uid="{00000000-0005-0000-0000-0000BC010000}"/>
    <cellStyle name="_Multiple_Synergy Analysis_co-advisors_5517854_3_Spin Model v.2_Project Kentucky Derby Model v76" xfId="445" xr:uid="{00000000-0005-0000-0000-0000BD010000}"/>
    <cellStyle name="_Multiple_Synergy Analysis_co-advisors_5517854_3_Spin Model v.2_SBSAModel116(Company)" xfId="446" xr:uid="{00000000-0005-0000-0000-0000BE010000}"/>
    <cellStyle name="_Multiple_Synergy Analysis_co-advisors_Book3" xfId="447" xr:uid="{00000000-0005-0000-0000-0000BF010000}"/>
    <cellStyle name="_Multiple_Synergy Analysis_co-advisors_Book3_5401007_6" xfId="448" xr:uid="{00000000-0005-0000-0000-0000C0010000}"/>
    <cellStyle name="_Multiple_Synergy Analysis_co-advisors_Book3_5401007_6_Project Kentucky Derby Model v75" xfId="449" xr:uid="{00000000-0005-0000-0000-0000C1010000}"/>
    <cellStyle name="_Multiple_Synergy Analysis_co-advisors_Book3_5401007_6_Project Kentucky Derby Model v76" xfId="450" xr:uid="{00000000-0005-0000-0000-0000C2010000}"/>
    <cellStyle name="_Multiple_Synergy Analysis_co-advisors_Book3_5401007_6_SBSAModel116(Company)" xfId="451" xr:uid="{00000000-0005-0000-0000-0000C3010000}"/>
    <cellStyle name="_Multiple_Synergy Analysis_co-advisors_Book3_5963478_1" xfId="452" xr:uid="{00000000-0005-0000-0000-0000C4010000}"/>
    <cellStyle name="_Multiple_Synergy Analysis_co-advisors_Book3_FON" xfId="453" xr:uid="{00000000-0005-0000-0000-0000C5010000}"/>
    <cellStyle name="_Multiple_Synergy Analysis_co-advisors_Book3_Put Analysis" xfId="454" xr:uid="{00000000-0005-0000-0000-0000C6010000}"/>
    <cellStyle name="_Multiple_Synergy Analysis_co-advisors_Book3_Put Analysis.v2" xfId="455" xr:uid="{00000000-0005-0000-0000-0000C7010000}"/>
    <cellStyle name="_Multiple_Synergy Analysis_co-advisors_Book3_Put Analysis.v2_Project Kentucky Derby Model v75" xfId="456" xr:uid="{00000000-0005-0000-0000-0000C8010000}"/>
    <cellStyle name="_Multiple_Synergy Analysis_co-advisors_Book3_Put Analysis.v2_Project Kentucky Derby Model v76" xfId="457" xr:uid="{00000000-0005-0000-0000-0000C9010000}"/>
    <cellStyle name="_Multiple_Synergy Analysis_co-advisors_Book3_Put Analysis.v2_SBSAModel116(Company)" xfId="458" xr:uid="{00000000-0005-0000-0000-0000CA010000}"/>
    <cellStyle name="_Multiple_Synergy Analysis_co-advisors_Book3_Put Analysis_Project Kentucky Derby Model v75" xfId="459" xr:uid="{00000000-0005-0000-0000-0000CB010000}"/>
    <cellStyle name="_Multiple_Synergy Analysis_co-advisors_Book3_Put Analysis_Project Kentucky Derby Model v76" xfId="460" xr:uid="{00000000-0005-0000-0000-0000CC010000}"/>
    <cellStyle name="_Multiple_Synergy Analysis_co-advisors_Book3_Put Analysis_SBSAModel116(Company)" xfId="461" xr:uid="{00000000-0005-0000-0000-0000CD010000}"/>
    <cellStyle name="_Multiple_Synergy Analysis_co-advisors_Book3_Spin Model v.2" xfId="462" xr:uid="{00000000-0005-0000-0000-0000CE010000}"/>
    <cellStyle name="_Multiple_Synergy Analysis_co-advisors_Book3_Spin Model v.2_Project Kentucky Derby Model v75" xfId="463" xr:uid="{00000000-0005-0000-0000-0000CF010000}"/>
    <cellStyle name="_Multiple_Synergy Analysis_co-advisors_Book3_Spin Model v.2_Project Kentucky Derby Model v76" xfId="464" xr:uid="{00000000-0005-0000-0000-0000D0010000}"/>
    <cellStyle name="_Multiple_Synergy Analysis_co-advisors_Book3_Spin Model v.2_SBSAModel116(Company)" xfId="465" xr:uid="{00000000-0005-0000-0000-0000D1010000}"/>
    <cellStyle name="_MultipleSpace" xfId="466" xr:uid="{00000000-0005-0000-0000-0000D2010000}"/>
    <cellStyle name="_MultipleSpace_5515616_3" xfId="467" xr:uid="{00000000-0005-0000-0000-0000D3010000}"/>
    <cellStyle name="_MultipleSpace_5515616_3_5401007_6" xfId="468" xr:uid="{00000000-0005-0000-0000-0000D4010000}"/>
    <cellStyle name="_MultipleSpace_5515616_3_5963478_1" xfId="469" xr:uid="{00000000-0005-0000-0000-0000D5010000}"/>
    <cellStyle name="_MultipleSpace_5515616_3_FON" xfId="470" xr:uid="{00000000-0005-0000-0000-0000D6010000}"/>
    <cellStyle name="_MultipleSpace_5515616_3_Put Analysis" xfId="471" xr:uid="{00000000-0005-0000-0000-0000D7010000}"/>
    <cellStyle name="_MultipleSpace_5515616_3_Put Analysis.v2" xfId="472" xr:uid="{00000000-0005-0000-0000-0000D8010000}"/>
    <cellStyle name="_MultipleSpace_5515616_3_Spin Model v.2" xfId="473" xr:uid="{00000000-0005-0000-0000-0000D9010000}"/>
    <cellStyle name="_MultipleSpace_5517854_3" xfId="474" xr:uid="{00000000-0005-0000-0000-0000DA010000}"/>
    <cellStyle name="_MultipleSpace_5517854_3_5401007_6" xfId="475" xr:uid="{00000000-0005-0000-0000-0000DB010000}"/>
    <cellStyle name="_MultipleSpace_5517854_3_5963478_1" xfId="476" xr:uid="{00000000-0005-0000-0000-0000DC010000}"/>
    <cellStyle name="_MultipleSpace_5517854_3_FON" xfId="477" xr:uid="{00000000-0005-0000-0000-0000DD010000}"/>
    <cellStyle name="_MultipleSpace_5517854_3_Put Analysis" xfId="478" xr:uid="{00000000-0005-0000-0000-0000DE010000}"/>
    <cellStyle name="_MultipleSpace_5517854_3_Put Analysis.v2" xfId="479" xr:uid="{00000000-0005-0000-0000-0000DF010000}"/>
    <cellStyle name="_MultipleSpace_5517854_3_Spin Model v.2" xfId="480" xr:uid="{00000000-0005-0000-0000-0000E0010000}"/>
    <cellStyle name="_MultipleSpace_Book3" xfId="481" xr:uid="{00000000-0005-0000-0000-0000E1010000}"/>
    <cellStyle name="_MultipleSpace_Book3_5401007_6" xfId="482" xr:uid="{00000000-0005-0000-0000-0000E2010000}"/>
    <cellStyle name="_MultipleSpace_Book3_5963478_1" xfId="483" xr:uid="{00000000-0005-0000-0000-0000E3010000}"/>
    <cellStyle name="_MultipleSpace_Book3_FON" xfId="484" xr:uid="{00000000-0005-0000-0000-0000E4010000}"/>
    <cellStyle name="_MultipleSpace_Book3_Put Analysis" xfId="485" xr:uid="{00000000-0005-0000-0000-0000E5010000}"/>
    <cellStyle name="_MultipleSpace_Book3_Put Analysis.v2" xfId="486" xr:uid="{00000000-0005-0000-0000-0000E6010000}"/>
    <cellStyle name="_MultipleSpace_Book3_Spin Model v.2" xfId="487" xr:uid="{00000000-0005-0000-0000-0000E7010000}"/>
    <cellStyle name="_MultipleSpace_Combined Synergy Presentation" xfId="488" xr:uid="{00000000-0005-0000-0000-0000E8010000}"/>
    <cellStyle name="_MultipleSpace_Combined Synergy Presentation_5515616_3" xfId="489" xr:uid="{00000000-0005-0000-0000-0000E9010000}"/>
    <cellStyle name="_MultipleSpace_Combined Synergy Presentation_5515616_3_5401007_6" xfId="490" xr:uid="{00000000-0005-0000-0000-0000EA010000}"/>
    <cellStyle name="_MultipleSpace_Combined Synergy Presentation_5515616_3_5963478_1" xfId="491" xr:uid="{00000000-0005-0000-0000-0000EB010000}"/>
    <cellStyle name="_MultipleSpace_Combined Synergy Presentation_5515616_3_FON" xfId="492" xr:uid="{00000000-0005-0000-0000-0000EC010000}"/>
    <cellStyle name="_MultipleSpace_Combined Synergy Presentation_5515616_3_Put Analysis" xfId="493" xr:uid="{00000000-0005-0000-0000-0000ED010000}"/>
    <cellStyle name="_MultipleSpace_Combined Synergy Presentation_5515616_3_Put Analysis.v2" xfId="494" xr:uid="{00000000-0005-0000-0000-0000EE010000}"/>
    <cellStyle name="_MultipleSpace_Combined Synergy Presentation_5515616_3_Spin Model v.2" xfId="495" xr:uid="{00000000-0005-0000-0000-0000EF010000}"/>
    <cellStyle name="_MultipleSpace_Combined Synergy Presentation_5517854_3" xfId="496" xr:uid="{00000000-0005-0000-0000-0000F0010000}"/>
    <cellStyle name="_MultipleSpace_Combined Synergy Presentation_5517854_3_5401007_6" xfId="497" xr:uid="{00000000-0005-0000-0000-0000F1010000}"/>
    <cellStyle name="_MultipleSpace_Combined Synergy Presentation_5517854_3_5963478_1" xfId="498" xr:uid="{00000000-0005-0000-0000-0000F2010000}"/>
    <cellStyle name="_MultipleSpace_Combined Synergy Presentation_5517854_3_FON" xfId="499" xr:uid="{00000000-0005-0000-0000-0000F3010000}"/>
    <cellStyle name="_MultipleSpace_Combined Synergy Presentation_5517854_3_Put Analysis" xfId="500" xr:uid="{00000000-0005-0000-0000-0000F4010000}"/>
    <cellStyle name="_MultipleSpace_Combined Synergy Presentation_5517854_3_Put Analysis.v2" xfId="501" xr:uid="{00000000-0005-0000-0000-0000F5010000}"/>
    <cellStyle name="_MultipleSpace_Combined Synergy Presentation_5517854_3_Spin Model v.2" xfId="502" xr:uid="{00000000-0005-0000-0000-0000F6010000}"/>
    <cellStyle name="_MultipleSpace_Combined Synergy Presentation_Book3" xfId="503" xr:uid="{00000000-0005-0000-0000-0000F7010000}"/>
    <cellStyle name="_MultipleSpace_Combined Synergy Presentation_Book3_5401007_6" xfId="504" xr:uid="{00000000-0005-0000-0000-0000F8010000}"/>
    <cellStyle name="_MultipleSpace_Combined Synergy Presentation_Book3_5963478_1" xfId="505" xr:uid="{00000000-0005-0000-0000-0000F9010000}"/>
    <cellStyle name="_MultipleSpace_Combined Synergy Presentation_Book3_FON" xfId="506" xr:uid="{00000000-0005-0000-0000-0000FA010000}"/>
    <cellStyle name="_MultipleSpace_Combined Synergy Presentation_Book3_Put Analysis" xfId="507" xr:uid="{00000000-0005-0000-0000-0000FB010000}"/>
    <cellStyle name="_MultipleSpace_Combined Synergy Presentation_Book3_Put Analysis.v2" xfId="508" xr:uid="{00000000-0005-0000-0000-0000FC010000}"/>
    <cellStyle name="_MultipleSpace_Combined Synergy Presentation_Book3_Spin Model v.2" xfId="509" xr:uid="{00000000-0005-0000-0000-0000FD010000}"/>
    <cellStyle name="_MultipleSpace_Synergy Analysis" xfId="510" xr:uid="{00000000-0005-0000-0000-0000FE010000}"/>
    <cellStyle name="_MultipleSpace_Synergy Analysis_5515616_3" xfId="511" xr:uid="{00000000-0005-0000-0000-0000FF010000}"/>
    <cellStyle name="_MultipleSpace_Synergy Analysis_5515616_3_5401007_6" xfId="512" xr:uid="{00000000-0005-0000-0000-000000020000}"/>
    <cellStyle name="_MultipleSpace_Synergy Analysis_5515616_3_5401007_6_Project Kentucky Derby Model v75" xfId="513" xr:uid="{00000000-0005-0000-0000-000001020000}"/>
    <cellStyle name="_MultipleSpace_Synergy Analysis_5515616_3_5401007_6_Project Kentucky Derby Model v76" xfId="514" xr:uid="{00000000-0005-0000-0000-000002020000}"/>
    <cellStyle name="_MultipleSpace_Synergy Analysis_5515616_3_5401007_6_SBSAModel116(Company)" xfId="515" xr:uid="{00000000-0005-0000-0000-000003020000}"/>
    <cellStyle name="_MultipleSpace_Synergy Analysis_5515616_3_5963478_1" xfId="516" xr:uid="{00000000-0005-0000-0000-000004020000}"/>
    <cellStyle name="_MultipleSpace_Synergy Analysis_5515616_3_FON" xfId="517" xr:uid="{00000000-0005-0000-0000-000005020000}"/>
    <cellStyle name="_MultipleSpace_Synergy Analysis_5515616_3_Put Analysis" xfId="518" xr:uid="{00000000-0005-0000-0000-000006020000}"/>
    <cellStyle name="_MultipleSpace_Synergy Analysis_5515616_3_Put Analysis.v2" xfId="519" xr:uid="{00000000-0005-0000-0000-000007020000}"/>
    <cellStyle name="_MultipleSpace_Synergy Analysis_5515616_3_Put Analysis.v2_Project Kentucky Derby Model v75" xfId="520" xr:uid="{00000000-0005-0000-0000-000008020000}"/>
    <cellStyle name="_MultipleSpace_Synergy Analysis_5515616_3_Put Analysis.v2_Project Kentucky Derby Model v76" xfId="521" xr:uid="{00000000-0005-0000-0000-000009020000}"/>
    <cellStyle name="_MultipleSpace_Synergy Analysis_5515616_3_Put Analysis.v2_SBSAModel116(Company)" xfId="522" xr:uid="{00000000-0005-0000-0000-00000A020000}"/>
    <cellStyle name="_MultipleSpace_Synergy Analysis_5515616_3_Put Analysis_Project Kentucky Derby Model v75" xfId="523" xr:uid="{00000000-0005-0000-0000-00000B020000}"/>
    <cellStyle name="_MultipleSpace_Synergy Analysis_5515616_3_Put Analysis_Project Kentucky Derby Model v76" xfId="524" xr:uid="{00000000-0005-0000-0000-00000C020000}"/>
    <cellStyle name="_MultipleSpace_Synergy Analysis_5515616_3_Put Analysis_SBSAModel116(Company)" xfId="525" xr:uid="{00000000-0005-0000-0000-00000D020000}"/>
    <cellStyle name="_MultipleSpace_Synergy Analysis_5515616_3_Spin Model v.2" xfId="526" xr:uid="{00000000-0005-0000-0000-00000E020000}"/>
    <cellStyle name="_MultipleSpace_Synergy Analysis_5515616_3_Spin Model v.2_Project Kentucky Derby Model v75" xfId="527" xr:uid="{00000000-0005-0000-0000-00000F020000}"/>
    <cellStyle name="_MultipleSpace_Synergy Analysis_5515616_3_Spin Model v.2_Project Kentucky Derby Model v76" xfId="528" xr:uid="{00000000-0005-0000-0000-000010020000}"/>
    <cellStyle name="_MultipleSpace_Synergy Analysis_5515616_3_Spin Model v.2_SBSAModel116(Company)" xfId="529" xr:uid="{00000000-0005-0000-0000-000011020000}"/>
    <cellStyle name="_MultipleSpace_Synergy Analysis_5517854_3" xfId="530" xr:uid="{00000000-0005-0000-0000-000012020000}"/>
    <cellStyle name="_MultipleSpace_Synergy Analysis_5517854_3_5401007_6" xfId="531" xr:uid="{00000000-0005-0000-0000-000013020000}"/>
    <cellStyle name="_MultipleSpace_Synergy Analysis_5517854_3_5401007_6_Project Kentucky Derby Model v75" xfId="532" xr:uid="{00000000-0005-0000-0000-000014020000}"/>
    <cellStyle name="_MultipleSpace_Synergy Analysis_5517854_3_5401007_6_Project Kentucky Derby Model v76" xfId="533" xr:uid="{00000000-0005-0000-0000-000015020000}"/>
    <cellStyle name="_MultipleSpace_Synergy Analysis_5517854_3_5401007_6_SBSAModel116(Company)" xfId="534" xr:uid="{00000000-0005-0000-0000-000016020000}"/>
    <cellStyle name="_MultipleSpace_Synergy Analysis_5517854_3_5963478_1" xfId="535" xr:uid="{00000000-0005-0000-0000-000017020000}"/>
    <cellStyle name="_MultipleSpace_Synergy Analysis_5517854_3_FON" xfId="536" xr:uid="{00000000-0005-0000-0000-000018020000}"/>
    <cellStyle name="_MultipleSpace_Synergy Analysis_5517854_3_Put Analysis" xfId="537" xr:uid="{00000000-0005-0000-0000-000019020000}"/>
    <cellStyle name="_MultipleSpace_Synergy Analysis_5517854_3_Put Analysis.v2" xfId="538" xr:uid="{00000000-0005-0000-0000-00001A020000}"/>
    <cellStyle name="_MultipleSpace_Synergy Analysis_5517854_3_Put Analysis.v2_Project Kentucky Derby Model v75" xfId="539" xr:uid="{00000000-0005-0000-0000-00001B020000}"/>
    <cellStyle name="_MultipleSpace_Synergy Analysis_5517854_3_Put Analysis.v2_Project Kentucky Derby Model v76" xfId="540" xr:uid="{00000000-0005-0000-0000-00001C020000}"/>
    <cellStyle name="_MultipleSpace_Synergy Analysis_5517854_3_Put Analysis.v2_SBSAModel116(Company)" xfId="541" xr:uid="{00000000-0005-0000-0000-00001D020000}"/>
    <cellStyle name="_MultipleSpace_Synergy Analysis_5517854_3_Put Analysis_Project Kentucky Derby Model v75" xfId="542" xr:uid="{00000000-0005-0000-0000-00001E020000}"/>
    <cellStyle name="_MultipleSpace_Synergy Analysis_5517854_3_Put Analysis_Project Kentucky Derby Model v76" xfId="543" xr:uid="{00000000-0005-0000-0000-00001F020000}"/>
    <cellStyle name="_MultipleSpace_Synergy Analysis_5517854_3_Put Analysis_SBSAModel116(Company)" xfId="544" xr:uid="{00000000-0005-0000-0000-000020020000}"/>
    <cellStyle name="_MultipleSpace_Synergy Analysis_5517854_3_Spin Model v.2" xfId="545" xr:uid="{00000000-0005-0000-0000-000021020000}"/>
    <cellStyle name="_MultipleSpace_Synergy Analysis_5517854_3_Spin Model v.2_Project Kentucky Derby Model v75" xfId="546" xr:uid="{00000000-0005-0000-0000-000022020000}"/>
    <cellStyle name="_MultipleSpace_Synergy Analysis_5517854_3_Spin Model v.2_Project Kentucky Derby Model v76" xfId="547" xr:uid="{00000000-0005-0000-0000-000023020000}"/>
    <cellStyle name="_MultipleSpace_Synergy Analysis_5517854_3_Spin Model v.2_SBSAModel116(Company)" xfId="548" xr:uid="{00000000-0005-0000-0000-000024020000}"/>
    <cellStyle name="_MultipleSpace_Synergy Analysis_Book3" xfId="549" xr:uid="{00000000-0005-0000-0000-000025020000}"/>
    <cellStyle name="_MultipleSpace_Synergy Analysis_Book3_5401007_6" xfId="550" xr:uid="{00000000-0005-0000-0000-000026020000}"/>
    <cellStyle name="_MultipleSpace_Synergy Analysis_Book3_5401007_6_Project Kentucky Derby Model v75" xfId="551" xr:uid="{00000000-0005-0000-0000-000027020000}"/>
    <cellStyle name="_MultipleSpace_Synergy Analysis_Book3_5401007_6_Project Kentucky Derby Model v76" xfId="552" xr:uid="{00000000-0005-0000-0000-000028020000}"/>
    <cellStyle name="_MultipleSpace_Synergy Analysis_Book3_5401007_6_SBSAModel116(Company)" xfId="553" xr:uid="{00000000-0005-0000-0000-000029020000}"/>
    <cellStyle name="_MultipleSpace_Synergy Analysis_Book3_5963478_1" xfId="554" xr:uid="{00000000-0005-0000-0000-00002A020000}"/>
    <cellStyle name="_MultipleSpace_Synergy Analysis_Book3_FON" xfId="555" xr:uid="{00000000-0005-0000-0000-00002B020000}"/>
    <cellStyle name="_MultipleSpace_Synergy Analysis_Book3_Put Analysis" xfId="556" xr:uid="{00000000-0005-0000-0000-00002C020000}"/>
    <cellStyle name="_MultipleSpace_Synergy Analysis_Book3_Put Analysis.v2" xfId="557" xr:uid="{00000000-0005-0000-0000-00002D020000}"/>
    <cellStyle name="_MultipleSpace_Synergy Analysis_Book3_Put Analysis.v2_Project Kentucky Derby Model v75" xfId="558" xr:uid="{00000000-0005-0000-0000-00002E020000}"/>
    <cellStyle name="_MultipleSpace_Synergy Analysis_Book3_Put Analysis.v2_Project Kentucky Derby Model v76" xfId="559" xr:uid="{00000000-0005-0000-0000-00002F020000}"/>
    <cellStyle name="_MultipleSpace_Synergy Analysis_Book3_Put Analysis.v2_SBSAModel116(Company)" xfId="560" xr:uid="{00000000-0005-0000-0000-000030020000}"/>
    <cellStyle name="_MultipleSpace_Synergy Analysis_Book3_Put Analysis_Project Kentucky Derby Model v75" xfId="561" xr:uid="{00000000-0005-0000-0000-000031020000}"/>
    <cellStyle name="_MultipleSpace_Synergy Analysis_Book3_Put Analysis_Project Kentucky Derby Model v76" xfId="562" xr:uid="{00000000-0005-0000-0000-000032020000}"/>
    <cellStyle name="_MultipleSpace_Synergy Analysis_Book3_Put Analysis_SBSAModel116(Company)" xfId="563" xr:uid="{00000000-0005-0000-0000-000033020000}"/>
    <cellStyle name="_MultipleSpace_Synergy Analysis_Book3_Spin Model v.2" xfId="564" xr:uid="{00000000-0005-0000-0000-000034020000}"/>
    <cellStyle name="_MultipleSpace_Synergy Analysis_Book3_Spin Model v.2_Project Kentucky Derby Model v75" xfId="565" xr:uid="{00000000-0005-0000-0000-000035020000}"/>
    <cellStyle name="_MultipleSpace_Synergy Analysis_Book3_Spin Model v.2_Project Kentucky Derby Model v76" xfId="566" xr:uid="{00000000-0005-0000-0000-000036020000}"/>
    <cellStyle name="_MultipleSpace_Synergy Analysis_Book3_Spin Model v.2_SBSAModel116(Company)" xfId="567" xr:uid="{00000000-0005-0000-0000-000037020000}"/>
    <cellStyle name="_MultipleSpace_Synergy Analysis_co-advisors" xfId="568" xr:uid="{00000000-0005-0000-0000-000038020000}"/>
    <cellStyle name="_MultipleSpace_Synergy Analysis_co-advisors_5515616_3" xfId="569" xr:uid="{00000000-0005-0000-0000-000039020000}"/>
    <cellStyle name="_MultipleSpace_Synergy Analysis_co-advisors_5515616_3_5401007_6" xfId="570" xr:uid="{00000000-0005-0000-0000-00003A020000}"/>
    <cellStyle name="_MultipleSpace_Synergy Analysis_co-advisors_5515616_3_5401007_6_Project Kentucky Derby Model v75" xfId="571" xr:uid="{00000000-0005-0000-0000-00003B020000}"/>
    <cellStyle name="_MultipleSpace_Synergy Analysis_co-advisors_5515616_3_5401007_6_Project Kentucky Derby Model v76" xfId="572" xr:uid="{00000000-0005-0000-0000-00003C020000}"/>
    <cellStyle name="_MultipleSpace_Synergy Analysis_co-advisors_5515616_3_5401007_6_SBSAModel116(Company)" xfId="573" xr:uid="{00000000-0005-0000-0000-00003D020000}"/>
    <cellStyle name="_MultipleSpace_Synergy Analysis_co-advisors_5515616_3_5963478_1" xfId="574" xr:uid="{00000000-0005-0000-0000-00003E020000}"/>
    <cellStyle name="_MultipleSpace_Synergy Analysis_co-advisors_5515616_3_FON" xfId="575" xr:uid="{00000000-0005-0000-0000-00003F020000}"/>
    <cellStyle name="_MultipleSpace_Synergy Analysis_co-advisors_5515616_3_Put Analysis" xfId="576" xr:uid="{00000000-0005-0000-0000-000040020000}"/>
    <cellStyle name="_MultipleSpace_Synergy Analysis_co-advisors_5515616_3_Put Analysis.v2" xfId="577" xr:uid="{00000000-0005-0000-0000-000041020000}"/>
    <cellStyle name="_MultipleSpace_Synergy Analysis_co-advisors_5515616_3_Put Analysis.v2_Project Kentucky Derby Model v75" xfId="578" xr:uid="{00000000-0005-0000-0000-000042020000}"/>
    <cellStyle name="_MultipleSpace_Synergy Analysis_co-advisors_5515616_3_Put Analysis.v2_Project Kentucky Derby Model v76" xfId="579" xr:uid="{00000000-0005-0000-0000-000043020000}"/>
    <cellStyle name="_MultipleSpace_Synergy Analysis_co-advisors_5515616_3_Put Analysis.v2_SBSAModel116(Company)" xfId="580" xr:uid="{00000000-0005-0000-0000-000044020000}"/>
    <cellStyle name="_MultipleSpace_Synergy Analysis_co-advisors_5515616_3_Put Analysis_Project Kentucky Derby Model v75" xfId="581" xr:uid="{00000000-0005-0000-0000-000045020000}"/>
    <cellStyle name="_MultipleSpace_Synergy Analysis_co-advisors_5515616_3_Put Analysis_Project Kentucky Derby Model v76" xfId="582" xr:uid="{00000000-0005-0000-0000-000046020000}"/>
    <cellStyle name="_MultipleSpace_Synergy Analysis_co-advisors_5515616_3_Put Analysis_SBSAModel116(Company)" xfId="583" xr:uid="{00000000-0005-0000-0000-000047020000}"/>
    <cellStyle name="_MultipleSpace_Synergy Analysis_co-advisors_5515616_3_Spin Model v.2" xfId="584" xr:uid="{00000000-0005-0000-0000-000048020000}"/>
    <cellStyle name="_MultipleSpace_Synergy Analysis_co-advisors_5515616_3_Spin Model v.2_Project Kentucky Derby Model v75" xfId="585" xr:uid="{00000000-0005-0000-0000-000049020000}"/>
    <cellStyle name="_MultipleSpace_Synergy Analysis_co-advisors_5515616_3_Spin Model v.2_Project Kentucky Derby Model v76" xfId="586" xr:uid="{00000000-0005-0000-0000-00004A020000}"/>
    <cellStyle name="_MultipleSpace_Synergy Analysis_co-advisors_5515616_3_Spin Model v.2_SBSAModel116(Company)" xfId="587" xr:uid="{00000000-0005-0000-0000-00004B020000}"/>
    <cellStyle name="_MultipleSpace_Synergy Analysis_co-advisors_5517854_3" xfId="588" xr:uid="{00000000-0005-0000-0000-00004C020000}"/>
    <cellStyle name="_MultipleSpace_Synergy Analysis_co-advisors_5517854_3_5401007_6" xfId="589" xr:uid="{00000000-0005-0000-0000-00004D020000}"/>
    <cellStyle name="_MultipleSpace_Synergy Analysis_co-advisors_5517854_3_5401007_6_Project Kentucky Derby Model v75" xfId="590" xr:uid="{00000000-0005-0000-0000-00004E020000}"/>
    <cellStyle name="_MultipleSpace_Synergy Analysis_co-advisors_5517854_3_5401007_6_Project Kentucky Derby Model v76" xfId="591" xr:uid="{00000000-0005-0000-0000-00004F020000}"/>
    <cellStyle name="_MultipleSpace_Synergy Analysis_co-advisors_5517854_3_5401007_6_SBSAModel116(Company)" xfId="592" xr:uid="{00000000-0005-0000-0000-000050020000}"/>
    <cellStyle name="_MultipleSpace_Synergy Analysis_co-advisors_5517854_3_5963478_1" xfId="593" xr:uid="{00000000-0005-0000-0000-000051020000}"/>
    <cellStyle name="_MultipleSpace_Synergy Analysis_co-advisors_5517854_3_FON" xfId="594" xr:uid="{00000000-0005-0000-0000-000052020000}"/>
    <cellStyle name="_MultipleSpace_Synergy Analysis_co-advisors_5517854_3_Put Analysis" xfId="595" xr:uid="{00000000-0005-0000-0000-000053020000}"/>
    <cellStyle name="_MultipleSpace_Synergy Analysis_co-advisors_5517854_3_Put Analysis.v2" xfId="596" xr:uid="{00000000-0005-0000-0000-000054020000}"/>
    <cellStyle name="_MultipleSpace_Synergy Analysis_co-advisors_5517854_3_Put Analysis.v2_Project Kentucky Derby Model v75" xfId="597" xr:uid="{00000000-0005-0000-0000-000055020000}"/>
    <cellStyle name="_MultipleSpace_Synergy Analysis_co-advisors_5517854_3_Put Analysis.v2_Project Kentucky Derby Model v76" xfId="598" xr:uid="{00000000-0005-0000-0000-000056020000}"/>
    <cellStyle name="_MultipleSpace_Synergy Analysis_co-advisors_5517854_3_Put Analysis.v2_SBSAModel116(Company)" xfId="599" xr:uid="{00000000-0005-0000-0000-000057020000}"/>
    <cellStyle name="_MultipleSpace_Synergy Analysis_co-advisors_5517854_3_Put Analysis_Project Kentucky Derby Model v75" xfId="600" xr:uid="{00000000-0005-0000-0000-000058020000}"/>
    <cellStyle name="_MultipleSpace_Synergy Analysis_co-advisors_5517854_3_Put Analysis_Project Kentucky Derby Model v76" xfId="601" xr:uid="{00000000-0005-0000-0000-000059020000}"/>
    <cellStyle name="_MultipleSpace_Synergy Analysis_co-advisors_5517854_3_Put Analysis_SBSAModel116(Company)" xfId="602" xr:uid="{00000000-0005-0000-0000-00005A020000}"/>
    <cellStyle name="_MultipleSpace_Synergy Analysis_co-advisors_5517854_3_Spin Model v.2" xfId="603" xr:uid="{00000000-0005-0000-0000-00005B020000}"/>
    <cellStyle name="_MultipleSpace_Synergy Analysis_co-advisors_5517854_3_Spin Model v.2_Project Kentucky Derby Model v75" xfId="604" xr:uid="{00000000-0005-0000-0000-00005C020000}"/>
    <cellStyle name="_MultipleSpace_Synergy Analysis_co-advisors_5517854_3_Spin Model v.2_Project Kentucky Derby Model v76" xfId="605" xr:uid="{00000000-0005-0000-0000-00005D020000}"/>
    <cellStyle name="_MultipleSpace_Synergy Analysis_co-advisors_5517854_3_Spin Model v.2_SBSAModel116(Company)" xfId="606" xr:uid="{00000000-0005-0000-0000-00005E020000}"/>
    <cellStyle name="_MultipleSpace_Synergy Analysis_co-advisors_Book3" xfId="607" xr:uid="{00000000-0005-0000-0000-00005F020000}"/>
    <cellStyle name="_MultipleSpace_Synergy Analysis_co-advisors_Book3_5401007_6" xfId="608" xr:uid="{00000000-0005-0000-0000-000060020000}"/>
    <cellStyle name="_MultipleSpace_Synergy Analysis_co-advisors_Book3_5401007_6_Project Kentucky Derby Model v75" xfId="609" xr:uid="{00000000-0005-0000-0000-000061020000}"/>
    <cellStyle name="_MultipleSpace_Synergy Analysis_co-advisors_Book3_5401007_6_Project Kentucky Derby Model v76" xfId="610" xr:uid="{00000000-0005-0000-0000-000062020000}"/>
    <cellStyle name="_MultipleSpace_Synergy Analysis_co-advisors_Book3_5401007_6_SBSAModel116(Company)" xfId="611" xr:uid="{00000000-0005-0000-0000-000063020000}"/>
    <cellStyle name="_MultipleSpace_Synergy Analysis_co-advisors_Book3_5963478_1" xfId="612" xr:uid="{00000000-0005-0000-0000-000064020000}"/>
    <cellStyle name="_MultipleSpace_Synergy Analysis_co-advisors_Book3_FON" xfId="613" xr:uid="{00000000-0005-0000-0000-000065020000}"/>
    <cellStyle name="_MultipleSpace_Synergy Analysis_co-advisors_Book3_Put Analysis" xfId="614" xr:uid="{00000000-0005-0000-0000-000066020000}"/>
    <cellStyle name="_MultipleSpace_Synergy Analysis_co-advisors_Book3_Put Analysis.v2" xfId="615" xr:uid="{00000000-0005-0000-0000-000067020000}"/>
    <cellStyle name="_MultipleSpace_Synergy Analysis_co-advisors_Book3_Put Analysis.v2_Project Kentucky Derby Model v75" xfId="616" xr:uid="{00000000-0005-0000-0000-000068020000}"/>
    <cellStyle name="_MultipleSpace_Synergy Analysis_co-advisors_Book3_Put Analysis.v2_Project Kentucky Derby Model v76" xfId="617" xr:uid="{00000000-0005-0000-0000-000069020000}"/>
    <cellStyle name="_MultipleSpace_Synergy Analysis_co-advisors_Book3_Put Analysis.v2_SBSAModel116(Company)" xfId="618" xr:uid="{00000000-0005-0000-0000-00006A020000}"/>
    <cellStyle name="_MultipleSpace_Synergy Analysis_co-advisors_Book3_Put Analysis_Project Kentucky Derby Model v75" xfId="619" xr:uid="{00000000-0005-0000-0000-00006B020000}"/>
    <cellStyle name="_MultipleSpace_Synergy Analysis_co-advisors_Book3_Put Analysis_Project Kentucky Derby Model v76" xfId="620" xr:uid="{00000000-0005-0000-0000-00006C020000}"/>
    <cellStyle name="_MultipleSpace_Synergy Analysis_co-advisors_Book3_Put Analysis_SBSAModel116(Company)" xfId="621" xr:uid="{00000000-0005-0000-0000-00006D020000}"/>
    <cellStyle name="_MultipleSpace_Synergy Analysis_co-advisors_Book3_Spin Model v.2" xfId="622" xr:uid="{00000000-0005-0000-0000-00006E020000}"/>
    <cellStyle name="_MultipleSpace_Synergy Analysis_co-advisors_Book3_Spin Model v.2_Project Kentucky Derby Model v75" xfId="623" xr:uid="{00000000-0005-0000-0000-00006F020000}"/>
    <cellStyle name="_MultipleSpace_Synergy Analysis_co-advisors_Book3_Spin Model v.2_Project Kentucky Derby Model v76" xfId="624" xr:uid="{00000000-0005-0000-0000-000070020000}"/>
    <cellStyle name="_MultipleSpace_Synergy Analysis_co-advisors_Book3_Spin Model v.2_SBSAModel116(Company)" xfId="625" xr:uid="{00000000-0005-0000-0000-000071020000}"/>
    <cellStyle name="_MultipleSpace_Synergy Calc 1.1 rev 5-yr aug high1_bpace" xfId="626" xr:uid="{00000000-0005-0000-0000-000072020000}"/>
    <cellStyle name="_MultipleSpace_Synergy Calc 1.1 rev 5-yr aug high1_bpace_5515616_3" xfId="627" xr:uid="{00000000-0005-0000-0000-000073020000}"/>
    <cellStyle name="_MultipleSpace_Synergy Calc 1.1 rev 5-yr aug high1_bpace_5515616_3_5401007_6" xfId="628" xr:uid="{00000000-0005-0000-0000-000074020000}"/>
    <cellStyle name="_MultipleSpace_Synergy Calc 1.1 rev 5-yr aug high1_bpace_5515616_3_5963478_1" xfId="629" xr:uid="{00000000-0005-0000-0000-000075020000}"/>
    <cellStyle name="_MultipleSpace_Synergy Calc 1.1 rev 5-yr aug high1_bpace_5515616_3_FON" xfId="630" xr:uid="{00000000-0005-0000-0000-000076020000}"/>
    <cellStyle name="_MultipleSpace_Synergy Calc 1.1 rev 5-yr aug high1_bpace_5515616_3_Put Analysis" xfId="631" xr:uid="{00000000-0005-0000-0000-000077020000}"/>
    <cellStyle name="_MultipleSpace_Synergy Calc 1.1 rev 5-yr aug high1_bpace_5515616_3_Put Analysis.v2" xfId="632" xr:uid="{00000000-0005-0000-0000-000078020000}"/>
    <cellStyle name="_MultipleSpace_Synergy Calc 1.1 rev 5-yr aug high1_bpace_5515616_3_Spin Model v.2" xfId="633" xr:uid="{00000000-0005-0000-0000-000079020000}"/>
    <cellStyle name="_MultipleSpace_Synergy Calc 1.1 rev 5-yr aug high1_bpace_5517854_3" xfId="634" xr:uid="{00000000-0005-0000-0000-00007A020000}"/>
    <cellStyle name="_MultipleSpace_Synergy Calc 1.1 rev 5-yr aug high1_bpace_5517854_3_5401007_6" xfId="635" xr:uid="{00000000-0005-0000-0000-00007B020000}"/>
    <cellStyle name="_MultipleSpace_Synergy Calc 1.1 rev 5-yr aug high1_bpace_5517854_3_5963478_1" xfId="636" xr:uid="{00000000-0005-0000-0000-00007C020000}"/>
    <cellStyle name="_MultipleSpace_Synergy Calc 1.1 rev 5-yr aug high1_bpace_5517854_3_FON" xfId="637" xr:uid="{00000000-0005-0000-0000-00007D020000}"/>
    <cellStyle name="_MultipleSpace_Synergy Calc 1.1 rev 5-yr aug high1_bpace_5517854_3_Put Analysis" xfId="638" xr:uid="{00000000-0005-0000-0000-00007E020000}"/>
    <cellStyle name="_MultipleSpace_Synergy Calc 1.1 rev 5-yr aug high1_bpace_5517854_3_Put Analysis.v2" xfId="639" xr:uid="{00000000-0005-0000-0000-00007F020000}"/>
    <cellStyle name="_MultipleSpace_Synergy Calc 1.1 rev 5-yr aug high1_bpace_5517854_3_Spin Model v.2" xfId="640" xr:uid="{00000000-0005-0000-0000-000080020000}"/>
    <cellStyle name="_MultipleSpace_Synergy Calc 1.1 rev 5-yr aug high1_bpace_Book3" xfId="641" xr:uid="{00000000-0005-0000-0000-000081020000}"/>
    <cellStyle name="_MultipleSpace_Synergy Calc 1.1 rev 5-yr aug high1_bpace_Book3_5401007_6" xfId="642" xr:uid="{00000000-0005-0000-0000-000082020000}"/>
    <cellStyle name="_MultipleSpace_Synergy Calc 1.1 rev 5-yr aug high1_bpace_Book3_5963478_1" xfId="643" xr:uid="{00000000-0005-0000-0000-000083020000}"/>
    <cellStyle name="_MultipleSpace_Synergy Calc 1.1 rev 5-yr aug high1_bpace_Book3_FON" xfId="644" xr:uid="{00000000-0005-0000-0000-000084020000}"/>
    <cellStyle name="_MultipleSpace_Synergy Calc 1.1 rev 5-yr aug high1_bpace_Book3_Put Analysis" xfId="645" xr:uid="{00000000-0005-0000-0000-000085020000}"/>
    <cellStyle name="_MultipleSpace_Synergy Calc 1.1 rev 5-yr aug high1_bpace_Book3_Put Analysis.v2" xfId="646" xr:uid="{00000000-0005-0000-0000-000086020000}"/>
    <cellStyle name="_MultipleSpace_Synergy Calc 1.1 rev 5-yr aug high1_bpace_Book3_Spin Model v.2" xfId="647" xr:uid="{00000000-0005-0000-0000-000087020000}"/>
    <cellStyle name="_MultipleSpace_Synergy Detail _gs" xfId="648" xr:uid="{00000000-0005-0000-0000-000088020000}"/>
    <cellStyle name="_MultipleSpace_Synergy Detail _gs_5515616_3" xfId="649" xr:uid="{00000000-0005-0000-0000-000089020000}"/>
    <cellStyle name="_MultipleSpace_Synergy Detail _gs_5515616_3_5401007_6" xfId="650" xr:uid="{00000000-0005-0000-0000-00008A020000}"/>
    <cellStyle name="_MultipleSpace_Synergy Detail _gs_5515616_3_5401007_6_Project Kentucky Derby Model v75" xfId="651" xr:uid="{00000000-0005-0000-0000-00008B020000}"/>
    <cellStyle name="_MultipleSpace_Synergy Detail _gs_5515616_3_5401007_6_Project Kentucky Derby Model v76" xfId="652" xr:uid="{00000000-0005-0000-0000-00008C020000}"/>
    <cellStyle name="_MultipleSpace_Synergy Detail _gs_5515616_3_5401007_6_SBSAModel116(Company)" xfId="653" xr:uid="{00000000-0005-0000-0000-00008D020000}"/>
    <cellStyle name="_MultipleSpace_Synergy Detail _gs_5515616_3_5963478_1" xfId="654" xr:uid="{00000000-0005-0000-0000-00008E020000}"/>
    <cellStyle name="_MultipleSpace_Synergy Detail _gs_5515616_3_FON" xfId="655" xr:uid="{00000000-0005-0000-0000-00008F020000}"/>
    <cellStyle name="_MultipleSpace_Synergy Detail _gs_5515616_3_Put Analysis" xfId="656" xr:uid="{00000000-0005-0000-0000-000090020000}"/>
    <cellStyle name="_MultipleSpace_Synergy Detail _gs_5515616_3_Put Analysis.v2" xfId="657" xr:uid="{00000000-0005-0000-0000-000091020000}"/>
    <cellStyle name="_MultipleSpace_Synergy Detail _gs_5515616_3_Put Analysis.v2_Project Kentucky Derby Model v75" xfId="658" xr:uid="{00000000-0005-0000-0000-000092020000}"/>
    <cellStyle name="_MultipleSpace_Synergy Detail _gs_5515616_3_Put Analysis.v2_Project Kentucky Derby Model v76" xfId="659" xr:uid="{00000000-0005-0000-0000-000093020000}"/>
    <cellStyle name="_MultipleSpace_Synergy Detail _gs_5515616_3_Put Analysis.v2_SBSAModel116(Company)" xfId="660" xr:uid="{00000000-0005-0000-0000-000094020000}"/>
    <cellStyle name="_MultipleSpace_Synergy Detail _gs_5515616_3_Put Analysis_Project Kentucky Derby Model v75" xfId="661" xr:uid="{00000000-0005-0000-0000-000095020000}"/>
    <cellStyle name="_MultipleSpace_Synergy Detail _gs_5515616_3_Put Analysis_Project Kentucky Derby Model v76" xfId="662" xr:uid="{00000000-0005-0000-0000-000096020000}"/>
    <cellStyle name="_MultipleSpace_Synergy Detail _gs_5515616_3_Put Analysis_SBSAModel116(Company)" xfId="663" xr:uid="{00000000-0005-0000-0000-000097020000}"/>
    <cellStyle name="_MultipleSpace_Synergy Detail _gs_5515616_3_Spin Model v.2" xfId="664" xr:uid="{00000000-0005-0000-0000-000098020000}"/>
    <cellStyle name="_MultipleSpace_Synergy Detail _gs_5515616_3_Spin Model v.2_Project Kentucky Derby Model v75" xfId="665" xr:uid="{00000000-0005-0000-0000-000099020000}"/>
    <cellStyle name="_MultipleSpace_Synergy Detail _gs_5515616_3_Spin Model v.2_Project Kentucky Derby Model v76" xfId="666" xr:uid="{00000000-0005-0000-0000-00009A020000}"/>
    <cellStyle name="_MultipleSpace_Synergy Detail _gs_5515616_3_Spin Model v.2_SBSAModel116(Company)" xfId="667" xr:uid="{00000000-0005-0000-0000-00009B020000}"/>
    <cellStyle name="_MultipleSpace_Synergy Detail _gs_5517854_3" xfId="668" xr:uid="{00000000-0005-0000-0000-00009C020000}"/>
    <cellStyle name="_MultipleSpace_Synergy Detail _gs_5517854_3_5401007_6" xfId="669" xr:uid="{00000000-0005-0000-0000-00009D020000}"/>
    <cellStyle name="_MultipleSpace_Synergy Detail _gs_5517854_3_5401007_6_Project Kentucky Derby Model v75" xfId="670" xr:uid="{00000000-0005-0000-0000-00009E020000}"/>
    <cellStyle name="_MultipleSpace_Synergy Detail _gs_5517854_3_5401007_6_Project Kentucky Derby Model v76" xfId="671" xr:uid="{00000000-0005-0000-0000-00009F020000}"/>
    <cellStyle name="_MultipleSpace_Synergy Detail _gs_5517854_3_5401007_6_SBSAModel116(Company)" xfId="672" xr:uid="{00000000-0005-0000-0000-0000A0020000}"/>
    <cellStyle name="_MultipleSpace_Synergy Detail _gs_5517854_3_5963478_1" xfId="673" xr:uid="{00000000-0005-0000-0000-0000A1020000}"/>
    <cellStyle name="_MultipleSpace_Synergy Detail _gs_5517854_3_FON" xfId="674" xr:uid="{00000000-0005-0000-0000-0000A2020000}"/>
    <cellStyle name="_MultipleSpace_Synergy Detail _gs_5517854_3_Put Analysis" xfId="675" xr:uid="{00000000-0005-0000-0000-0000A3020000}"/>
    <cellStyle name="_MultipleSpace_Synergy Detail _gs_5517854_3_Put Analysis.v2" xfId="676" xr:uid="{00000000-0005-0000-0000-0000A4020000}"/>
    <cellStyle name="_MultipleSpace_Synergy Detail _gs_5517854_3_Put Analysis.v2_Project Kentucky Derby Model v75" xfId="677" xr:uid="{00000000-0005-0000-0000-0000A5020000}"/>
    <cellStyle name="_MultipleSpace_Synergy Detail _gs_5517854_3_Put Analysis.v2_Project Kentucky Derby Model v76" xfId="678" xr:uid="{00000000-0005-0000-0000-0000A6020000}"/>
    <cellStyle name="_MultipleSpace_Synergy Detail _gs_5517854_3_Put Analysis.v2_SBSAModel116(Company)" xfId="679" xr:uid="{00000000-0005-0000-0000-0000A7020000}"/>
    <cellStyle name="_MultipleSpace_Synergy Detail _gs_5517854_3_Put Analysis_Project Kentucky Derby Model v75" xfId="680" xr:uid="{00000000-0005-0000-0000-0000A8020000}"/>
    <cellStyle name="_MultipleSpace_Synergy Detail _gs_5517854_3_Put Analysis_Project Kentucky Derby Model v76" xfId="681" xr:uid="{00000000-0005-0000-0000-0000A9020000}"/>
    <cellStyle name="_MultipleSpace_Synergy Detail _gs_5517854_3_Put Analysis_SBSAModel116(Company)" xfId="682" xr:uid="{00000000-0005-0000-0000-0000AA020000}"/>
    <cellStyle name="_MultipleSpace_Synergy Detail _gs_5517854_3_Spin Model v.2" xfId="683" xr:uid="{00000000-0005-0000-0000-0000AB020000}"/>
    <cellStyle name="_MultipleSpace_Synergy Detail _gs_5517854_3_Spin Model v.2_Project Kentucky Derby Model v75" xfId="684" xr:uid="{00000000-0005-0000-0000-0000AC020000}"/>
    <cellStyle name="_MultipleSpace_Synergy Detail _gs_5517854_3_Spin Model v.2_Project Kentucky Derby Model v76" xfId="685" xr:uid="{00000000-0005-0000-0000-0000AD020000}"/>
    <cellStyle name="_MultipleSpace_Synergy Detail _gs_5517854_3_Spin Model v.2_SBSAModel116(Company)" xfId="686" xr:uid="{00000000-0005-0000-0000-0000AE020000}"/>
    <cellStyle name="_MultipleSpace_Synergy Detail _gs_Book3" xfId="687" xr:uid="{00000000-0005-0000-0000-0000AF020000}"/>
    <cellStyle name="_MultipleSpace_Synergy Detail _gs_Book3_5401007_6" xfId="688" xr:uid="{00000000-0005-0000-0000-0000B0020000}"/>
    <cellStyle name="_MultipleSpace_Synergy Detail _gs_Book3_5401007_6_Project Kentucky Derby Model v75" xfId="689" xr:uid="{00000000-0005-0000-0000-0000B1020000}"/>
    <cellStyle name="_MultipleSpace_Synergy Detail _gs_Book3_5401007_6_Project Kentucky Derby Model v76" xfId="690" xr:uid="{00000000-0005-0000-0000-0000B2020000}"/>
    <cellStyle name="_MultipleSpace_Synergy Detail _gs_Book3_5401007_6_SBSAModel116(Company)" xfId="691" xr:uid="{00000000-0005-0000-0000-0000B3020000}"/>
    <cellStyle name="_MultipleSpace_Synergy Detail _gs_Book3_5963478_1" xfId="692" xr:uid="{00000000-0005-0000-0000-0000B4020000}"/>
    <cellStyle name="_MultipleSpace_Synergy Detail _gs_Book3_FON" xfId="693" xr:uid="{00000000-0005-0000-0000-0000B5020000}"/>
    <cellStyle name="_MultipleSpace_Synergy Detail _gs_Book3_Put Analysis" xfId="694" xr:uid="{00000000-0005-0000-0000-0000B6020000}"/>
    <cellStyle name="_MultipleSpace_Synergy Detail _gs_Book3_Put Analysis.v2" xfId="695" xr:uid="{00000000-0005-0000-0000-0000B7020000}"/>
    <cellStyle name="_MultipleSpace_Synergy Detail _gs_Book3_Put Analysis.v2_Project Kentucky Derby Model v75" xfId="696" xr:uid="{00000000-0005-0000-0000-0000B8020000}"/>
    <cellStyle name="_MultipleSpace_Synergy Detail _gs_Book3_Put Analysis.v2_Project Kentucky Derby Model v76" xfId="697" xr:uid="{00000000-0005-0000-0000-0000B9020000}"/>
    <cellStyle name="_MultipleSpace_Synergy Detail _gs_Book3_Put Analysis.v2_SBSAModel116(Company)" xfId="698" xr:uid="{00000000-0005-0000-0000-0000BA020000}"/>
    <cellStyle name="_MultipleSpace_Synergy Detail _gs_Book3_Put Analysis_Project Kentucky Derby Model v75" xfId="699" xr:uid="{00000000-0005-0000-0000-0000BB020000}"/>
    <cellStyle name="_MultipleSpace_Synergy Detail _gs_Book3_Put Analysis_Project Kentucky Derby Model v76" xfId="700" xr:uid="{00000000-0005-0000-0000-0000BC020000}"/>
    <cellStyle name="_MultipleSpace_Synergy Detail _gs_Book3_Put Analysis_SBSAModel116(Company)" xfId="701" xr:uid="{00000000-0005-0000-0000-0000BD020000}"/>
    <cellStyle name="_MultipleSpace_Synergy Detail _gs_Book3_Spin Model v.2" xfId="702" xr:uid="{00000000-0005-0000-0000-0000BE020000}"/>
    <cellStyle name="_MultipleSpace_Synergy Detail _gs_Book3_Spin Model v.2_Project Kentucky Derby Model v75" xfId="703" xr:uid="{00000000-0005-0000-0000-0000BF020000}"/>
    <cellStyle name="_MultipleSpace_Synergy Detail _gs_Book3_Spin Model v.2_Project Kentucky Derby Model v76" xfId="704" xr:uid="{00000000-0005-0000-0000-0000C0020000}"/>
    <cellStyle name="_MultipleSpace_Synergy Detail _gs_Book3_Spin Model v.2_SBSAModel116(Company)" xfId="705" xr:uid="{00000000-0005-0000-0000-0000C1020000}"/>
    <cellStyle name="_Percent" xfId="706" xr:uid="{00000000-0005-0000-0000-0000C2020000}"/>
    <cellStyle name="_Percent_5515616_3" xfId="707" xr:uid="{00000000-0005-0000-0000-0000C3020000}"/>
    <cellStyle name="_Percent_5515616_3_5401007_6" xfId="708" xr:uid="{00000000-0005-0000-0000-0000C4020000}"/>
    <cellStyle name="_Percent_5515616_3_5963478_1" xfId="709" xr:uid="{00000000-0005-0000-0000-0000C5020000}"/>
    <cellStyle name="_Percent_5515616_3_FON" xfId="710" xr:uid="{00000000-0005-0000-0000-0000C6020000}"/>
    <cellStyle name="_Percent_5515616_3_Put Analysis" xfId="711" xr:uid="{00000000-0005-0000-0000-0000C7020000}"/>
    <cellStyle name="_Percent_5515616_3_Put Analysis.v2" xfId="712" xr:uid="{00000000-0005-0000-0000-0000C8020000}"/>
    <cellStyle name="_Percent_5515616_3_Spin Model v.2" xfId="713" xr:uid="{00000000-0005-0000-0000-0000C9020000}"/>
    <cellStyle name="_Percent_5517854_3" xfId="714" xr:uid="{00000000-0005-0000-0000-0000CA020000}"/>
    <cellStyle name="_Percent_5517854_3_5401007_6" xfId="715" xr:uid="{00000000-0005-0000-0000-0000CB020000}"/>
    <cellStyle name="_Percent_5517854_3_5963478_1" xfId="716" xr:uid="{00000000-0005-0000-0000-0000CC020000}"/>
    <cellStyle name="_Percent_5517854_3_FON" xfId="717" xr:uid="{00000000-0005-0000-0000-0000CD020000}"/>
    <cellStyle name="_Percent_5517854_3_Put Analysis" xfId="718" xr:uid="{00000000-0005-0000-0000-0000CE020000}"/>
    <cellStyle name="_Percent_5517854_3_Put Analysis.v2" xfId="719" xr:uid="{00000000-0005-0000-0000-0000CF020000}"/>
    <cellStyle name="_Percent_5517854_3_Spin Model v.2" xfId="720" xr:uid="{00000000-0005-0000-0000-0000D0020000}"/>
    <cellStyle name="_Percent_Book3" xfId="721" xr:uid="{00000000-0005-0000-0000-0000D1020000}"/>
    <cellStyle name="_Percent_Book3_5401007_6" xfId="722" xr:uid="{00000000-0005-0000-0000-0000D2020000}"/>
    <cellStyle name="_Percent_Book3_5963478_1" xfId="723" xr:uid="{00000000-0005-0000-0000-0000D3020000}"/>
    <cellStyle name="_Percent_Book3_FON" xfId="724" xr:uid="{00000000-0005-0000-0000-0000D4020000}"/>
    <cellStyle name="_Percent_Book3_Put Analysis" xfId="725" xr:uid="{00000000-0005-0000-0000-0000D5020000}"/>
    <cellStyle name="_Percent_Book3_Put Analysis.v2" xfId="726" xr:uid="{00000000-0005-0000-0000-0000D6020000}"/>
    <cellStyle name="_Percent_Book3_Spin Model v.2" xfId="727" xr:uid="{00000000-0005-0000-0000-0000D7020000}"/>
    <cellStyle name="_PercentSpace" xfId="728" xr:uid="{00000000-0005-0000-0000-0000D8020000}"/>
    <cellStyle name="_PercentSpace_5515616_3" xfId="729" xr:uid="{00000000-0005-0000-0000-0000D9020000}"/>
    <cellStyle name="_PercentSpace_5515616_3_5401007_6" xfId="730" xr:uid="{00000000-0005-0000-0000-0000DA020000}"/>
    <cellStyle name="_PercentSpace_5515616_3_5401007_6_Project Kentucky Derby Model v75" xfId="731" xr:uid="{00000000-0005-0000-0000-0000DB020000}"/>
    <cellStyle name="_PercentSpace_5515616_3_5401007_6_Project Kentucky Derby Model v76" xfId="732" xr:uid="{00000000-0005-0000-0000-0000DC020000}"/>
    <cellStyle name="_PercentSpace_5515616_3_5401007_6_SBSAModel116(Company)" xfId="733" xr:uid="{00000000-0005-0000-0000-0000DD020000}"/>
    <cellStyle name="_PercentSpace_5515616_3_5963478_1" xfId="734" xr:uid="{00000000-0005-0000-0000-0000DE020000}"/>
    <cellStyle name="_PercentSpace_5515616_3_FON" xfId="735" xr:uid="{00000000-0005-0000-0000-0000DF020000}"/>
    <cellStyle name="_PercentSpace_5515616_3_Put Analysis" xfId="736" xr:uid="{00000000-0005-0000-0000-0000E0020000}"/>
    <cellStyle name="_PercentSpace_5515616_3_Put Analysis.v2" xfId="737" xr:uid="{00000000-0005-0000-0000-0000E1020000}"/>
    <cellStyle name="_PercentSpace_5515616_3_Put Analysis.v2_Project Kentucky Derby Model v75" xfId="738" xr:uid="{00000000-0005-0000-0000-0000E2020000}"/>
    <cellStyle name="_PercentSpace_5515616_3_Put Analysis.v2_Project Kentucky Derby Model v76" xfId="739" xr:uid="{00000000-0005-0000-0000-0000E3020000}"/>
    <cellStyle name="_PercentSpace_5515616_3_Put Analysis.v2_SBSAModel116(Company)" xfId="740" xr:uid="{00000000-0005-0000-0000-0000E4020000}"/>
    <cellStyle name="_PercentSpace_5515616_3_Put Analysis_Project Kentucky Derby Model v75" xfId="741" xr:uid="{00000000-0005-0000-0000-0000E5020000}"/>
    <cellStyle name="_PercentSpace_5515616_3_Put Analysis_Project Kentucky Derby Model v76" xfId="742" xr:uid="{00000000-0005-0000-0000-0000E6020000}"/>
    <cellStyle name="_PercentSpace_5515616_3_Put Analysis_SBSAModel116(Company)" xfId="743" xr:uid="{00000000-0005-0000-0000-0000E7020000}"/>
    <cellStyle name="_PercentSpace_5515616_3_Spin Model v.2" xfId="744" xr:uid="{00000000-0005-0000-0000-0000E8020000}"/>
    <cellStyle name="_PercentSpace_5515616_3_Spin Model v.2_Project Kentucky Derby Model v75" xfId="745" xr:uid="{00000000-0005-0000-0000-0000E9020000}"/>
    <cellStyle name="_PercentSpace_5515616_3_Spin Model v.2_Project Kentucky Derby Model v76" xfId="746" xr:uid="{00000000-0005-0000-0000-0000EA020000}"/>
    <cellStyle name="_PercentSpace_5515616_3_Spin Model v.2_SBSAModel116(Company)" xfId="747" xr:uid="{00000000-0005-0000-0000-0000EB020000}"/>
    <cellStyle name="_PercentSpace_5517854_3" xfId="748" xr:uid="{00000000-0005-0000-0000-0000EC020000}"/>
    <cellStyle name="_PercentSpace_5517854_3_5401007_6" xfId="749" xr:uid="{00000000-0005-0000-0000-0000ED020000}"/>
    <cellStyle name="_PercentSpace_5517854_3_5401007_6_Project Kentucky Derby Model v75" xfId="750" xr:uid="{00000000-0005-0000-0000-0000EE020000}"/>
    <cellStyle name="_PercentSpace_5517854_3_5401007_6_Project Kentucky Derby Model v76" xfId="751" xr:uid="{00000000-0005-0000-0000-0000EF020000}"/>
    <cellStyle name="_PercentSpace_5517854_3_5401007_6_SBSAModel116(Company)" xfId="752" xr:uid="{00000000-0005-0000-0000-0000F0020000}"/>
    <cellStyle name="_PercentSpace_5517854_3_5963478_1" xfId="753" xr:uid="{00000000-0005-0000-0000-0000F1020000}"/>
    <cellStyle name="_PercentSpace_5517854_3_FON" xfId="754" xr:uid="{00000000-0005-0000-0000-0000F2020000}"/>
    <cellStyle name="_PercentSpace_5517854_3_Put Analysis" xfId="755" xr:uid="{00000000-0005-0000-0000-0000F3020000}"/>
    <cellStyle name="_PercentSpace_5517854_3_Put Analysis.v2" xfId="756" xr:uid="{00000000-0005-0000-0000-0000F4020000}"/>
    <cellStyle name="_PercentSpace_5517854_3_Put Analysis.v2_Project Kentucky Derby Model v75" xfId="757" xr:uid="{00000000-0005-0000-0000-0000F5020000}"/>
    <cellStyle name="_PercentSpace_5517854_3_Put Analysis.v2_Project Kentucky Derby Model v76" xfId="758" xr:uid="{00000000-0005-0000-0000-0000F6020000}"/>
    <cellStyle name="_PercentSpace_5517854_3_Put Analysis.v2_SBSAModel116(Company)" xfId="759" xr:uid="{00000000-0005-0000-0000-0000F7020000}"/>
    <cellStyle name="_PercentSpace_5517854_3_Put Analysis_Project Kentucky Derby Model v75" xfId="760" xr:uid="{00000000-0005-0000-0000-0000F8020000}"/>
    <cellStyle name="_PercentSpace_5517854_3_Put Analysis_Project Kentucky Derby Model v76" xfId="761" xr:uid="{00000000-0005-0000-0000-0000F9020000}"/>
    <cellStyle name="_PercentSpace_5517854_3_Put Analysis_SBSAModel116(Company)" xfId="762" xr:uid="{00000000-0005-0000-0000-0000FA020000}"/>
    <cellStyle name="_PercentSpace_5517854_3_Spin Model v.2" xfId="763" xr:uid="{00000000-0005-0000-0000-0000FB020000}"/>
    <cellStyle name="_PercentSpace_5517854_3_Spin Model v.2_Project Kentucky Derby Model v75" xfId="764" xr:uid="{00000000-0005-0000-0000-0000FC020000}"/>
    <cellStyle name="_PercentSpace_5517854_3_Spin Model v.2_Project Kentucky Derby Model v76" xfId="765" xr:uid="{00000000-0005-0000-0000-0000FD020000}"/>
    <cellStyle name="_PercentSpace_5517854_3_Spin Model v.2_SBSAModel116(Company)" xfId="766" xr:uid="{00000000-0005-0000-0000-0000FE020000}"/>
    <cellStyle name="_PercentSpace_Book3" xfId="767" xr:uid="{00000000-0005-0000-0000-0000FF020000}"/>
    <cellStyle name="_PercentSpace_Book3_5401007_6" xfId="768" xr:uid="{00000000-0005-0000-0000-000000030000}"/>
    <cellStyle name="_PercentSpace_Book3_5401007_6_Project Kentucky Derby Model v75" xfId="769" xr:uid="{00000000-0005-0000-0000-000001030000}"/>
    <cellStyle name="_PercentSpace_Book3_5401007_6_Project Kentucky Derby Model v76" xfId="770" xr:uid="{00000000-0005-0000-0000-000002030000}"/>
    <cellStyle name="_PercentSpace_Book3_5401007_6_SBSAModel116(Company)" xfId="771" xr:uid="{00000000-0005-0000-0000-000003030000}"/>
    <cellStyle name="_PercentSpace_Book3_5963478_1" xfId="772" xr:uid="{00000000-0005-0000-0000-000004030000}"/>
    <cellStyle name="_PercentSpace_Book3_FON" xfId="773" xr:uid="{00000000-0005-0000-0000-000005030000}"/>
    <cellStyle name="_PercentSpace_Book3_Put Analysis" xfId="774" xr:uid="{00000000-0005-0000-0000-000006030000}"/>
    <cellStyle name="_PercentSpace_Book3_Put Analysis.v2" xfId="775" xr:uid="{00000000-0005-0000-0000-000007030000}"/>
    <cellStyle name="_PercentSpace_Book3_Put Analysis.v2_Project Kentucky Derby Model v75" xfId="776" xr:uid="{00000000-0005-0000-0000-000008030000}"/>
    <cellStyle name="_PercentSpace_Book3_Put Analysis.v2_Project Kentucky Derby Model v76" xfId="777" xr:uid="{00000000-0005-0000-0000-000009030000}"/>
    <cellStyle name="_PercentSpace_Book3_Put Analysis.v2_SBSAModel116(Company)" xfId="778" xr:uid="{00000000-0005-0000-0000-00000A030000}"/>
    <cellStyle name="_PercentSpace_Book3_Put Analysis_Project Kentucky Derby Model v75" xfId="779" xr:uid="{00000000-0005-0000-0000-00000B030000}"/>
    <cellStyle name="_PercentSpace_Book3_Put Analysis_Project Kentucky Derby Model v76" xfId="780" xr:uid="{00000000-0005-0000-0000-00000C030000}"/>
    <cellStyle name="_PercentSpace_Book3_Put Analysis_SBSAModel116(Company)" xfId="781" xr:uid="{00000000-0005-0000-0000-00000D030000}"/>
    <cellStyle name="_PercentSpace_Book3_Spin Model v.2" xfId="782" xr:uid="{00000000-0005-0000-0000-00000E030000}"/>
    <cellStyle name="_PercentSpace_Book3_Spin Model v.2_Project Kentucky Derby Model v75" xfId="783" xr:uid="{00000000-0005-0000-0000-00000F030000}"/>
    <cellStyle name="_PercentSpace_Book3_Spin Model v.2_Project Kentucky Derby Model v76" xfId="784" xr:uid="{00000000-0005-0000-0000-000010030000}"/>
    <cellStyle name="_PercentSpace_Book3_Spin Model v.2_SBSAModel116(Company)" xfId="785" xr:uid="{00000000-0005-0000-0000-000011030000}"/>
    <cellStyle name="_PercentSpace_Synergy Detail _gs" xfId="786" xr:uid="{00000000-0005-0000-0000-000012030000}"/>
    <cellStyle name="_PercentSpace_Synergy Detail _gs_5515616_3" xfId="787" xr:uid="{00000000-0005-0000-0000-000013030000}"/>
    <cellStyle name="_PercentSpace_Synergy Detail _gs_5515616_3_5401007_6" xfId="788" xr:uid="{00000000-0005-0000-0000-000014030000}"/>
    <cellStyle name="_PercentSpace_Synergy Detail _gs_5515616_3_5963478_1" xfId="789" xr:uid="{00000000-0005-0000-0000-000015030000}"/>
    <cellStyle name="_PercentSpace_Synergy Detail _gs_5515616_3_FON" xfId="790" xr:uid="{00000000-0005-0000-0000-000016030000}"/>
    <cellStyle name="_PercentSpace_Synergy Detail _gs_5515616_3_Put Analysis" xfId="791" xr:uid="{00000000-0005-0000-0000-000017030000}"/>
    <cellStyle name="_PercentSpace_Synergy Detail _gs_5515616_3_Put Analysis.v2" xfId="792" xr:uid="{00000000-0005-0000-0000-000018030000}"/>
    <cellStyle name="_PercentSpace_Synergy Detail _gs_5515616_3_Spin Model v.2" xfId="793" xr:uid="{00000000-0005-0000-0000-000019030000}"/>
    <cellStyle name="_PercentSpace_Synergy Detail _gs_5517854_3" xfId="794" xr:uid="{00000000-0005-0000-0000-00001A030000}"/>
    <cellStyle name="_PercentSpace_Synergy Detail _gs_5517854_3_5401007_6" xfId="795" xr:uid="{00000000-0005-0000-0000-00001B030000}"/>
    <cellStyle name="_PercentSpace_Synergy Detail _gs_5517854_3_5963478_1" xfId="796" xr:uid="{00000000-0005-0000-0000-00001C030000}"/>
    <cellStyle name="_PercentSpace_Synergy Detail _gs_5517854_3_FON" xfId="797" xr:uid="{00000000-0005-0000-0000-00001D030000}"/>
    <cellStyle name="_PercentSpace_Synergy Detail _gs_5517854_3_Put Analysis" xfId="798" xr:uid="{00000000-0005-0000-0000-00001E030000}"/>
    <cellStyle name="_PercentSpace_Synergy Detail _gs_5517854_3_Put Analysis.v2" xfId="799" xr:uid="{00000000-0005-0000-0000-00001F030000}"/>
    <cellStyle name="_PercentSpace_Synergy Detail _gs_5517854_3_Spin Model v.2" xfId="800" xr:uid="{00000000-0005-0000-0000-000020030000}"/>
    <cellStyle name="_PercentSpace_Synergy Detail _gs_Book3" xfId="801" xr:uid="{00000000-0005-0000-0000-000021030000}"/>
    <cellStyle name="_PercentSpace_Synergy Detail _gs_Book3_5401007_6" xfId="802" xr:uid="{00000000-0005-0000-0000-000022030000}"/>
    <cellStyle name="_PercentSpace_Synergy Detail _gs_Book3_5963478_1" xfId="803" xr:uid="{00000000-0005-0000-0000-000023030000}"/>
    <cellStyle name="_PercentSpace_Synergy Detail _gs_Book3_FON" xfId="804" xr:uid="{00000000-0005-0000-0000-000024030000}"/>
    <cellStyle name="_PercentSpace_Synergy Detail _gs_Book3_Put Analysis" xfId="805" xr:uid="{00000000-0005-0000-0000-000025030000}"/>
    <cellStyle name="_PercentSpace_Synergy Detail _gs_Book3_Put Analysis.v2" xfId="806" xr:uid="{00000000-0005-0000-0000-000026030000}"/>
    <cellStyle name="_PercentSpace_Synergy Detail _gs_Book3_Spin Model v.2" xfId="807" xr:uid="{00000000-0005-0000-0000-000027030000}"/>
    <cellStyle name="_SubHeading" xfId="808" xr:uid="{00000000-0005-0000-0000-000028030000}"/>
    <cellStyle name="_SubHeading_Combined Synergy Presentation" xfId="809" xr:uid="{00000000-0005-0000-0000-000029030000}"/>
    <cellStyle name="_SubHeading_prestemp" xfId="810" xr:uid="{00000000-0005-0000-0000-00002A030000}"/>
    <cellStyle name="_SubHeading_Synergy Analysis" xfId="811" xr:uid="{00000000-0005-0000-0000-00002B030000}"/>
    <cellStyle name="_SubHeading_Synergy Analysis_co-advisors" xfId="812" xr:uid="{00000000-0005-0000-0000-00002C030000}"/>
    <cellStyle name="_SubHeading_Synergy Calc 1.1 rev 5-yr aug high1_bpace" xfId="813" xr:uid="{00000000-0005-0000-0000-00002D030000}"/>
    <cellStyle name="_Table" xfId="814" xr:uid="{00000000-0005-0000-0000-00002E030000}"/>
    <cellStyle name="_Table_Combined Synergy Presentation" xfId="815" xr:uid="{00000000-0005-0000-0000-00002F030000}"/>
    <cellStyle name="_Table_Synergy Analysis" xfId="816" xr:uid="{00000000-0005-0000-0000-000030030000}"/>
    <cellStyle name="_Table_Synergy Analysis_co-advisors" xfId="817" xr:uid="{00000000-0005-0000-0000-000031030000}"/>
    <cellStyle name="_Table_Synergy Calc 1.1 rev 5-yr aug high1_bpace" xfId="818" xr:uid="{00000000-0005-0000-0000-000032030000}"/>
    <cellStyle name="_TableHead" xfId="819" xr:uid="{00000000-0005-0000-0000-000033030000}"/>
    <cellStyle name="_TableRowHead" xfId="820" xr:uid="{00000000-0005-0000-0000-000034030000}"/>
    <cellStyle name="_TableSuperHead" xfId="821" xr:uid="{00000000-0005-0000-0000-000035030000}"/>
    <cellStyle name="_TableSuperHead_Combined Synergy Presentation" xfId="822" xr:uid="{00000000-0005-0000-0000-000036030000}"/>
    <cellStyle name="_TableSuperHead_Synergy Analysis" xfId="823" xr:uid="{00000000-0005-0000-0000-000037030000}"/>
    <cellStyle name="_TableSuperHead_Synergy Analysis_co-advisors" xfId="824" xr:uid="{00000000-0005-0000-0000-000038030000}"/>
    <cellStyle name="_TableSuperHead_Synergy Calc 1.1 rev 5-yr aug high1_bpace" xfId="825" xr:uid="{00000000-0005-0000-0000-000039030000}"/>
    <cellStyle name="£ BP" xfId="826" xr:uid="{00000000-0005-0000-0000-00003A030000}"/>
    <cellStyle name="¥ JY" xfId="827" xr:uid="{00000000-0005-0000-0000-00003B030000}"/>
    <cellStyle name="=C:\WINNT35\SYSTEM32\COMMAND.COM" xfId="828" xr:uid="{00000000-0005-0000-0000-00003C030000}"/>
    <cellStyle name="=C:\WINNT35\SYSTEM32\COMMAND.COM 2" xfId="829" xr:uid="{00000000-0005-0000-0000-00003D030000}"/>
    <cellStyle name="=C:\WINNT35\SYSTEM32\COMMAND.COM 3" xfId="830" xr:uid="{00000000-0005-0000-0000-00003E030000}"/>
    <cellStyle name="0" xfId="831" xr:uid="{00000000-0005-0000-0000-00003F030000}"/>
    <cellStyle name="0%" xfId="832" xr:uid="{00000000-0005-0000-0000-000040030000}"/>
    <cellStyle name="0.0" xfId="833" xr:uid="{00000000-0005-0000-0000-000041030000}"/>
    <cellStyle name="0.0%" xfId="834" xr:uid="{00000000-0005-0000-0000-000042030000}"/>
    <cellStyle name="0.0_5401007_6" xfId="835" xr:uid="{00000000-0005-0000-0000-000043030000}"/>
    <cellStyle name="0.00" xfId="836" xr:uid="{00000000-0005-0000-0000-000044030000}"/>
    <cellStyle name="0.00%" xfId="837" xr:uid="{00000000-0005-0000-0000-000045030000}"/>
    <cellStyle name="0_300615_12" xfId="838" xr:uid="{00000000-0005-0000-0000-000046030000}"/>
    <cellStyle name="0_5401007_6" xfId="839" xr:uid="{00000000-0005-0000-0000-000047030000}"/>
    <cellStyle name="0_5894860_1" xfId="840" xr:uid="{00000000-0005-0000-0000-000048030000}"/>
    <cellStyle name="0_5963478_1" xfId="841" xr:uid="{00000000-0005-0000-0000-000049030000}"/>
    <cellStyle name="0_Affiliates-Public Valuation" xfId="842" xr:uid="{00000000-0005-0000-0000-00004A030000}"/>
    <cellStyle name="0_BP2" xfId="843" xr:uid="{00000000-0005-0000-0000-00004B030000}"/>
    <cellStyle name="0_FON" xfId="844" xr:uid="{00000000-0005-0000-0000-00004C030000}"/>
    <cellStyle name="0_Put Analysis" xfId="845" xr:uid="{00000000-0005-0000-0000-00004D030000}"/>
    <cellStyle name="0_Put Analysis.v2" xfId="846" xr:uid="{00000000-0005-0000-0000-00004E030000}"/>
    <cellStyle name="0_Sheet1" xfId="847" xr:uid="{00000000-0005-0000-0000-00004F030000}"/>
    <cellStyle name="0_Spin Model v.2" xfId="848" xr:uid="{00000000-0005-0000-0000-000050030000}"/>
    <cellStyle name="000" xfId="849" xr:uid="{00000000-0005-0000-0000-000051030000}"/>
    <cellStyle name="12" xfId="850" xr:uid="{00000000-0005-0000-0000-000052030000}"/>
    <cellStyle name="1Decimal" xfId="851" xr:uid="{00000000-0005-0000-0000-000053030000}"/>
    <cellStyle name="20% - Accent1 2" xfId="852" xr:uid="{00000000-0005-0000-0000-000054030000}"/>
    <cellStyle name="20% - Accent2 2" xfId="853" xr:uid="{00000000-0005-0000-0000-000055030000}"/>
    <cellStyle name="20% - Accent3 2" xfId="854" xr:uid="{00000000-0005-0000-0000-000056030000}"/>
    <cellStyle name="20% - Accent4 2" xfId="855" xr:uid="{00000000-0005-0000-0000-000057030000}"/>
    <cellStyle name="20% - Accent5 2" xfId="856" xr:uid="{00000000-0005-0000-0000-000058030000}"/>
    <cellStyle name="20% - Accent6 2" xfId="857" xr:uid="{00000000-0005-0000-0000-000059030000}"/>
    <cellStyle name="2DecimalPercent" xfId="858" xr:uid="{00000000-0005-0000-0000-00005A030000}"/>
    <cellStyle name="2Decimals" xfId="859" xr:uid="{00000000-0005-0000-0000-00005B030000}"/>
    <cellStyle name="40% - Accent1 2" xfId="860" xr:uid="{00000000-0005-0000-0000-00005C030000}"/>
    <cellStyle name="40% - Accent2 2" xfId="861" xr:uid="{00000000-0005-0000-0000-00005D030000}"/>
    <cellStyle name="40% - Accent3 2" xfId="862" xr:uid="{00000000-0005-0000-0000-00005E030000}"/>
    <cellStyle name="40% - Accent4 2" xfId="863" xr:uid="{00000000-0005-0000-0000-00005F030000}"/>
    <cellStyle name="40% - Accent5 2" xfId="864" xr:uid="{00000000-0005-0000-0000-000060030000}"/>
    <cellStyle name="40% - Accent6 2" xfId="865" xr:uid="{00000000-0005-0000-0000-000061030000}"/>
    <cellStyle name="60% - Accent1 2" xfId="866" xr:uid="{00000000-0005-0000-0000-000062030000}"/>
    <cellStyle name="60% - Accent2 2" xfId="867" xr:uid="{00000000-0005-0000-0000-000063030000}"/>
    <cellStyle name="60% - Accent3 2" xfId="868" xr:uid="{00000000-0005-0000-0000-000064030000}"/>
    <cellStyle name="60% - Accent4 2" xfId="869" xr:uid="{00000000-0005-0000-0000-000065030000}"/>
    <cellStyle name="60% - Accent5 2" xfId="870" xr:uid="{00000000-0005-0000-0000-000066030000}"/>
    <cellStyle name="60% - Accent6 2" xfId="871" xr:uid="{00000000-0005-0000-0000-000067030000}"/>
    <cellStyle name="752131" xfId="872" xr:uid="{00000000-0005-0000-0000-000068030000}"/>
    <cellStyle name="Accent1 2" xfId="873" xr:uid="{00000000-0005-0000-0000-000069030000}"/>
    <cellStyle name="Accent2 2" xfId="874" xr:uid="{00000000-0005-0000-0000-00006A030000}"/>
    <cellStyle name="Accent3 2" xfId="875" xr:uid="{00000000-0005-0000-0000-00006B030000}"/>
    <cellStyle name="Accent4 2" xfId="876" xr:uid="{00000000-0005-0000-0000-00006C030000}"/>
    <cellStyle name="Accent5 2" xfId="877" xr:uid="{00000000-0005-0000-0000-00006D030000}"/>
    <cellStyle name="Accent6 2" xfId="878" xr:uid="{00000000-0005-0000-0000-00006E030000}"/>
    <cellStyle name="Acctg" xfId="879" xr:uid="{00000000-0005-0000-0000-00006F030000}"/>
    <cellStyle name="Acctg$" xfId="880" xr:uid="{00000000-0005-0000-0000-000070030000}"/>
    <cellStyle name="Acctg_5515616_3" xfId="881" xr:uid="{00000000-0005-0000-0000-000071030000}"/>
    <cellStyle name="active" xfId="882" xr:uid="{00000000-0005-0000-0000-000072030000}"/>
    <cellStyle name="Actual Date" xfId="883" xr:uid="{00000000-0005-0000-0000-000073030000}"/>
    <cellStyle name="AFE" xfId="884" xr:uid="{00000000-0005-0000-0000-000074030000}"/>
    <cellStyle name="args.style" xfId="885" xr:uid="{00000000-0005-0000-0000-000075030000}"/>
    <cellStyle name="Arial 10" xfId="886" xr:uid="{00000000-0005-0000-0000-000076030000}"/>
    <cellStyle name="Arial 12" xfId="887" xr:uid="{00000000-0005-0000-0000-000077030000}"/>
    <cellStyle name="Arial6Bold" xfId="888" xr:uid="{00000000-0005-0000-0000-000078030000}"/>
    <cellStyle name="Arial8Bold" xfId="889" xr:uid="{00000000-0005-0000-0000-000079030000}"/>
    <cellStyle name="Arial8Italic" xfId="890" xr:uid="{00000000-0005-0000-0000-00007A030000}"/>
    <cellStyle name="ArialNormal" xfId="891" xr:uid="{00000000-0005-0000-0000-00007B030000}"/>
    <cellStyle name="Array" xfId="892" xr:uid="{00000000-0005-0000-0000-00007C030000}"/>
    <cellStyle name="Array Enter" xfId="893" xr:uid="{00000000-0005-0000-0000-00007D030000}"/>
    <cellStyle name="Bad 2" xfId="894" xr:uid="{00000000-0005-0000-0000-00007E030000}"/>
    <cellStyle name="Balance" xfId="895" xr:uid="{00000000-0005-0000-0000-00007F030000}"/>
    <cellStyle name="BalanceSheet" xfId="896" xr:uid="{00000000-0005-0000-0000-000080030000}"/>
    <cellStyle name="black" xfId="897" xr:uid="{00000000-0005-0000-0000-000081030000}"/>
    <cellStyle name="Black Days" xfId="898" xr:uid="{00000000-0005-0000-0000-000082030000}"/>
    <cellStyle name="Black Decimal" xfId="899" xr:uid="{00000000-0005-0000-0000-000083030000}"/>
    <cellStyle name="Black Dollar" xfId="900" xr:uid="{00000000-0005-0000-0000-000084030000}"/>
    <cellStyle name="Black EPS" xfId="901" xr:uid="{00000000-0005-0000-0000-000085030000}"/>
    <cellStyle name="Black Percent" xfId="902" xr:uid="{00000000-0005-0000-0000-000086030000}"/>
    <cellStyle name="Black Percent2" xfId="903" xr:uid="{00000000-0005-0000-0000-000087030000}"/>
    <cellStyle name="Black Times" xfId="904" xr:uid="{00000000-0005-0000-0000-000088030000}"/>
    <cellStyle name="Black Times Two Deci" xfId="905" xr:uid="{00000000-0005-0000-0000-000089030000}"/>
    <cellStyle name="Black Times Two Deci2" xfId="906" xr:uid="{00000000-0005-0000-0000-00008A030000}"/>
    <cellStyle name="Black Times_1164468_1" xfId="907" xr:uid="{00000000-0005-0000-0000-00008B030000}"/>
    <cellStyle name="Black Times2" xfId="908" xr:uid="{00000000-0005-0000-0000-00008C030000}"/>
    <cellStyle name="BLACK_Affiliates-Public Valuation" xfId="909" xr:uid="{00000000-0005-0000-0000-00008D030000}"/>
    <cellStyle name="BlackStrike" xfId="910" xr:uid="{00000000-0005-0000-0000-00008E030000}"/>
    <cellStyle name="BlackText" xfId="911" xr:uid="{00000000-0005-0000-0000-00008F030000}"/>
    <cellStyle name="Blank Out" xfId="912" xr:uid="{00000000-0005-0000-0000-000090030000}"/>
    <cellStyle name="Blue" xfId="913" xr:uid="{00000000-0005-0000-0000-000091030000}"/>
    <cellStyle name="Blue Decimal" xfId="914" xr:uid="{00000000-0005-0000-0000-000092030000}"/>
    <cellStyle name="Blue Dollar" xfId="915" xr:uid="{00000000-0005-0000-0000-000093030000}"/>
    <cellStyle name="Blue EPS" xfId="916" xr:uid="{00000000-0005-0000-0000-000094030000}"/>
    <cellStyle name="Blue Text" xfId="917" xr:uid="{00000000-0005-0000-0000-000095030000}"/>
    <cellStyle name="Blue Zero Deci" xfId="918" xr:uid="{00000000-0005-0000-0000-000096030000}"/>
    <cellStyle name="blue$00" xfId="919" xr:uid="{00000000-0005-0000-0000-000097030000}"/>
    <cellStyle name="blue_333149_13" xfId="920" xr:uid="{00000000-0005-0000-0000-000098030000}"/>
    <cellStyle name="bluenodec" xfId="921" xr:uid="{00000000-0005-0000-0000-000099030000}"/>
    <cellStyle name="bluepercent" xfId="922" xr:uid="{00000000-0005-0000-0000-00009A030000}"/>
    <cellStyle name="Body" xfId="923" xr:uid="{00000000-0005-0000-0000-00009B030000}"/>
    <cellStyle name="bold" xfId="924" xr:uid="{00000000-0005-0000-0000-00009C030000}"/>
    <cellStyle name="bold big" xfId="925" xr:uid="{00000000-0005-0000-0000-00009D030000}"/>
    <cellStyle name="Bold/Border" xfId="926" xr:uid="{00000000-0005-0000-0000-00009E030000}"/>
    <cellStyle name="bold_Cellular 3Q01_no NextWave_in progress" xfId="927" xr:uid="{00000000-0005-0000-0000-00009F030000}"/>
    <cellStyle name="BoldText" xfId="928" xr:uid="{00000000-0005-0000-0000-0000A0030000}"/>
    <cellStyle name="BoldText 2" xfId="929" xr:uid="{00000000-0005-0000-0000-0000A1030000}"/>
    <cellStyle name="BoldText 3" xfId="930" xr:uid="{00000000-0005-0000-0000-0000A2030000}"/>
    <cellStyle name="Border" xfId="931" xr:uid="{00000000-0005-0000-0000-0000A3030000}"/>
    <cellStyle name="Border Heavy" xfId="932" xr:uid="{00000000-0005-0000-0000-0000A4030000}"/>
    <cellStyle name="Border Thin" xfId="933" xr:uid="{00000000-0005-0000-0000-0000A5030000}"/>
    <cellStyle name="Border_Affiliates-Public Valuation" xfId="934" xr:uid="{00000000-0005-0000-0000-0000A6030000}"/>
    <cellStyle name="Bottom Edge" xfId="935" xr:uid="{00000000-0005-0000-0000-0000A7030000}"/>
    <cellStyle name="British Pound" xfId="936" xr:uid="{00000000-0005-0000-0000-0000A8030000}"/>
    <cellStyle name="Bullet" xfId="937" xr:uid="{00000000-0005-0000-0000-0000A9030000}"/>
    <cellStyle name="Calc Currency (0)" xfId="938" xr:uid="{00000000-0005-0000-0000-0000AA030000}"/>
    <cellStyle name="Calc Currency (0) 2" xfId="939" xr:uid="{00000000-0005-0000-0000-0000AB030000}"/>
    <cellStyle name="Calculation 2" xfId="940" xr:uid="{00000000-0005-0000-0000-0000AC030000}"/>
    <cellStyle name="Case" xfId="941" xr:uid="{00000000-0005-0000-0000-0000AD030000}"/>
    <cellStyle name="Cash Flow Statement" xfId="942" xr:uid="{00000000-0005-0000-0000-0000AE030000}"/>
    <cellStyle name="CashFlow" xfId="943" xr:uid="{00000000-0005-0000-0000-0000AF030000}"/>
    <cellStyle name="Category Name" xfId="944" xr:uid="{00000000-0005-0000-0000-0000B0030000}"/>
    <cellStyle name="Centered Heading" xfId="945" xr:uid="{00000000-0005-0000-0000-0000B1030000}"/>
    <cellStyle name="Cents" xfId="946" xr:uid="{00000000-0005-0000-0000-0000B2030000}"/>
    <cellStyle name="Changeable" xfId="947" xr:uid="{00000000-0005-0000-0000-0000B3030000}"/>
    <cellStyle name="Chart Fonts" xfId="948" xr:uid="{00000000-0005-0000-0000-0000B4030000}"/>
    <cellStyle name="Check" xfId="949" xr:uid="{00000000-0005-0000-0000-0000B5030000}"/>
    <cellStyle name="Check Cell 2" xfId="950" xr:uid="{00000000-0005-0000-0000-0000B6030000}"/>
    <cellStyle name="Clean" xfId="951" xr:uid="{00000000-0005-0000-0000-0000B7030000}"/>
    <cellStyle name="colheadleft" xfId="952" xr:uid="{00000000-0005-0000-0000-0000B8030000}"/>
    <cellStyle name="colheadright" xfId="953" xr:uid="{00000000-0005-0000-0000-0000B9030000}"/>
    <cellStyle name="Color" xfId="954" xr:uid="{00000000-0005-0000-0000-0000BA030000}"/>
    <cellStyle name="Column Headings" xfId="955" xr:uid="{00000000-0005-0000-0000-0000BB030000}"/>
    <cellStyle name="Comma  - Style1" xfId="956" xr:uid="{00000000-0005-0000-0000-0000BC030000}"/>
    <cellStyle name="Comma  - Style2" xfId="957" xr:uid="{00000000-0005-0000-0000-0000BD030000}"/>
    <cellStyle name="Comma  - Style3" xfId="958" xr:uid="{00000000-0005-0000-0000-0000BE030000}"/>
    <cellStyle name="Comma  - Style4" xfId="959" xr:uid="{00000000-0005-0000-0000-0000BF030000}"/>
    <cellStyle name="Comma  - Style5" xfId="960" xr:uid="{00000000-0005-0000-0000-0000C0030000}"/>
    <cellStyle name="Comma  - Style6" xfId="961" xr:uid="{00000000-0005-0000-0000-0000C1030000}"/>
    <cellStyle name="Comma  - Style7" xfId="962" xr:uid="{00000000-0005-0000-0000-0000C2030000}"/>
    <cellStyle name="Comma  - Style8" xfId="963" xr:uid="{00000000-0005-0000-0000-0000C3030000}"/>
    <cellStyle name="Comma [0] 2" xfId="964" xr:uid="{00000000-0005-0000-0000-0000C4030000}"/>
    <cellStyle name="Comma [1]" xfId="965" xr:uid="{00000000-0005-0000-0000-0000C5030000}"/>
    <cellStyle name="Comma 0" xfId="966" xr:uid="{00000000-0005-0000-0000-0000C6030000}"/>
    <cellStyle name="Comma 0*" xfId="967" xr:uid="{00000000-0005-0000-0000-0000C7030000}"/>
    <cellStyle name="Comma 0_87c_01_" xfId="968" xr:uid="{00000000-0005-0000-0000-0000C8030000}"/>
    <cellStyle name="Comma 10" xfId="969" xr:uid="{00000000-0005-0000-0000-0000C9030000}"/>
    <cellStyle name="Comma 2" xfId="970" xr:uid="{00000000-0005-0000-0000-0000CA030000}"/>
    <cellStyle name="Comma 2 2" xfId="971" xr:uid="{00000000-0005-0000-0000-0000CB030000}"/>
    <cellStyle name="Comma 2 2 2" xfId="972" xr:uid="{00000000-0005-0000-0000-0000CC030000}"/>
    <cellStyle name="Comma 2 2 2 2" xfId="973" xr:uid="{00000000-0005-0000-0000-0000CD030000}"/>
    <cellStyle name="Comma 2 2 3" xfId="974" xr:uid="{00000000-0005-0000-0000-0000CE030000}"/>
    <cellStyle name="Comma 2 3" xfId="975" xr:uid="{00000000-0005-0000-0000-0000CF030000}"/>
    <cellStyle name="Comma 2 3 2" xfId="976" xr:uid="{00000000-0005-0000-0000-0000D0030000}"/>
    <cellStyle name="Comma 2 3 2 2" xfId="977" xr:uid="{00000000-0005-0000-0000-0000D1030000}"/>
    <cellStyle name="Comma 2 3 3" xfId="978" xr:uid="{00000000-0005-0000-0000-0000D2030000}"/>
    <cellStyle name="Comma 2 4" xfId="979" xr:uid="{00000000-0005-0000-0000-0000D3030000}"/>
    <cellStyle name="Comma 2 4 2" xfId="980" xr:uid="{00000000-0005-0000-0000-0000D4030000}"/>
    <cellStyle name="Comma 2 4 2 2" xfId="981" xr:uid="{00000000-0005-0000-0000-0000D5030000}"/>
    <cellStyle name="Comma 2 4 3" xfId="982" xr:uid="{00000000-0005-0000-0000-0000D6030000}"/>
    <cellStyle name="Comma 2 5" xfId="983" xr:uid="{00000000-0005-0000-0000-0000D7030000}"/>
    <cellStyle name="Comma 2 6" xfId="984" xr:uid="{00000000-0005-0000-0000-0000D8030000}"/>
    <cellStyle name="Comma 2 6 2" xfId="985" xr:uid="{00000000-0005-0000-0000-0000D9030000}"/>
    <cellStyle name="Comma 2 7" xfId="986" xr:uid="{00000000-0005-0000-0000-0000DA030000}"/>
    <cellStyle name="Comma 2 8" xfId="987" xr:uid="{00000000-0005-0000-0000-0000DB030000}"/>
    <cellStyle name="Comma 2*" xfId="988" xr:uid="{00000000-0005-0000-0000-0000DC030000}"/>
    <cellStyle name="Comma 2_333149_13" xfId="989" xr:uid="{00000000-0005-0000-0000-0000DD030000}"/>
    <cellStyle name="Comma 3" xfId="1" xr:uid="{00000000-0005-0000-0000-000001000000}"/>
    <cellStyle name="Comma 3 2" xfId="991" xr:uid="{00000000-0005-0000-0000-0000DF030000}"/>
    <cellStyle name="Comma 3*" xfId="992" xr:uid="{00000000-0005-0000-0000-0000E0030000}"/>
    <cellStyle name="Comma 3_MAA SS Comps" xfId="990" xr:uid="{00000000-0005-0000-0000-0000DE030000}"/>
    <cellStyle name="Comma 4" xfId="993" xr:uid="{00000000-0005-0000-0000-0000E1030000}"/>
    <cellStyle name="Comma 5" xfId="1913" xr:uid="{00000000-0005-0000-0000-000079070000}"/>
    <cellStyle name="Comma Cents" xfId="994" xr:uid="{00000000-0005-0000-0000-0000E2030000}"/>
    <cellStyle name="Comma Input" xfId="995" xr:uid="{00000000-0005-0000-0000-0000E3030000}"/>
    <cellStyle name="Comma*" xfId="996" xr:uid="{00000000-0005-0000-0000-0000E4030000}"/>
    <cellStyle name="Comma0" xfId="997" xr:uid="{00000000-0005-0000-0000-0000E5030000}"/>
    <cellStyle name="Comma0 - Modelo1" xfId="998" xr:uid="{00000000-0005-0000-0000-0000E6030000}"/>
    <cellStyle name="Comma0 - Style1" xfId="999" xr:uid="{00000000-0005-0000-0000-0000E7030000}"/>
    <cellStyle name="Comma1" xfId="1000" xr:uid="{00000000-0005-0000-0000-0000E8030000}"/>
    <cellStyle name="Comma1 - Modelo2" xfId="1001" xr:uid="{00000000-0005-0000-0000-0000E9030000}"/>
    <cellStyle name="Comma1 - Style2" xfId="1002" xr:uid="{00000000-0005-0000-0000-0000EA030000}"/>
    <cellStyle name="Comma1_315274_14" xfId="1003" xr:uid="{00000000-0005-0000-0000-0000EB030000}"/>
    <cellStyle name="Comma2" xfId="1004" xr:uid="{00000000-0005-0000-0000-0000EC030000}"/>
    <cellStyle name="Comma3" xfId="1005" xr:uid="{00000000-0005-0000-0000-0000ED030000}"/>
    <cellStyle name="CommaKM" xfId="1006" xr:uid="{00000000-0005-0000-0000-0000EE030000}"/>
    <cellStyle name="Company Name" xfId="1007" xr:uid="{00000000-0005-0000-0000-0000EF030000}"/>
    <cellStyle name="CompanyName" xfId="1008" xr:uid="{00000000-0005-0000-0000-0000F0030000}"/>
    <cellStyle name="Copied" xfId="1009" xr:uid="{00000000-0005-0000-0000-0000F1030000}"/>
    <cellStyle name="Cover Date" xfId="1010" xr:uid="{00000000-0005-0000-0000-0000F2030000}"/>
    <cellStyle name="Cover Subtitle" xfId="1011" xr:uid="{00000000-0005-0000-0000-0000F3030000}"/>
    <cellStyle name="Cover Title" xfId="1012" xr:uid="{00000000-0005-0000-0000-0000F4030000}"/>
    <cellStyle name="Coverage" xfId="1013" xr:uid="{00000000-0005-0000-0000-0000F5030000}"/>
    <cellStyle name="Cur" xfId="1014" xr:uid="{00000000-0005-0000-0000-0000F6030000}"/>
    <cellStyle name="Currency - UK" xfId="1015" xr:uid="{00000000-0005-0000-0000-0000F7030000}"/>
    <cellStyle name="Currency [1]" xfId="1016" xr:uid="{00000000-0005-0000-0000-0000F8030000}"/>
    <cellStyle name="Currency [2]" xfId="1017" xr:uid="{00000000-0005-0000-0000-0000F9030000}"/>
    <cellStyle name="Currency 0" xfId="1018" xr:uid="{00000000-0005-0000-0000-0000FA030000}"/>
    <cellStyle name="Currency 2" xfId="1019" xr:uid="{00000000-0005-0000-0000-0000FB030000}"/>
    <cellStyle name="Currency 2 2" xfId="1020" xr:uid="{00000000-0005-0000-0000-0000FC030000}"/>
    <cellStyle name="Currency 2*" xfId="1021" xr:uid="{00000000-0005-0000-0000-0000FD030000}"/>
    <cellStyle name="Currency 2_% Change" xfId="1022" xr:uid="{00000000-0005-0000-0000-0000FE030000}"/>
    <cellStyle name="Currency 3" xfId="1023" xr:uid="{00000000-0005-0000-0000-0000FF030000}"/>
    <cellStyle name="Currency 3 2" xfId="1024" xr:uid="{00000000-0005-0000-0000-000000040000}"/>
    <cellStyle name="Currency 3*" xfId="1025" xr:uid="{00000000-0005-0000-0000-000001040000}"/>
    <cellStyle name="Currency 4" xfId="1026" xr:uid="{00000000-0005-0000-0000-000002040000}"/>
    <cellStyle name="Currency 5" xfId="1027" xr:uid="{00000000-0005-0000-0000-000003040000}"/>
    <cellStyle name="Currency Input" xfId="1028" xr:uid="{00000000-0005-0000-0000-000004040000}"/>
    <cellStyle name="Currency*" xfId="1029" xr:uid="{00000000-0005-0000-0000-000005040000}"/>
    <cellStyle name="Currency0" xfId="1030" xr:uid="{00000000-0005-0000-0000-000006040000}"/>
    <cellStyle name="Currency1" xfId="1031" xr:uid="{00000000-0005-0000-0000-000007040000}"/>
    <cellStyle name="Currency1Blue" xfId="1032" xr:uid="{00000000-0005-0000-0000-000008040000}"/>
    <cellStyle name="Currency2" xfId="1033" xr:uid="{00000000-0005-0000-0000-000009040000}"/>
    <cellStyle name="Currency3" xfId="1034" xr:uid="{00000000-0005-0000-0000-00000A040000}"/>
    <cellStyle name="Dash" xfId="1035" xr:uid="{00000000-0005-0000-0000-00000B040000}"/>
    <cellStyle name="Date" xfId="1036" xr:uid="{00000000-0005-0000-0000-00000C040000}"/>
    <cellStyle name="Date [d-mmm-yy]" xfId="1037" xr:uid="{00000000-0005-0000-0000-00000D040000}"/>
    <cellStyle name="Date [mm-d-yy]" xfId="1038" xr:uid="{00000000-0005-0000-0000-00000E040000}"/>
    <cellStyle name="Date [mm-d-yyyy]" xfId="1039" xr:uid="{00000000-0005-0000-0000-00000F040000}"/>
    <cellStyle name="Date [mmm-d-yyyy]" xfId="1040" xr:uid="{00000000-0005-0000-0000-000010040000}"/>
    <cellStyle name="Date [mmm-yy]" xfId="1041" xr:uid="{00000000-0005-0000-0000-000011040000}"/>
    <cellStyle name="date 2" xfId="1042" xr:uid="{00000000-0005-0000-0000-000012040000}"/>
    <cellStyle name="date 3" xfId="1043" xr:uid="{00000000-0005-0000-0000-000013040000}"/>
    <cellStyle name="date 4" xfId="1044" xr:uid="{00000000-0005-0000-0000-000014040000}"/>
    <cellStyle name="date 5" xfId="1045" xr:uid="{00000000-0005-0000-0000-000015040000}"/>
    <cellStyle name="Date Aligned" xfId="1046" xr:uid="{00000000-0005-0000-0000-000016040000}"/>
    <cellStyle name="Date Aligned*" xfId="1047" xr:uid="{00000000-0005-0000-0000-000017040000}"/>
    <cellStyle name="Date Aligned_8sxj01_" xfId="1048" xr:uid="{00000000-0005-0000-0000-000018040000}"/>
    <cellStyle name="Date Day" xfId="1049" xr:uid="{00000000-0005-0000-0000-000019040000}"/>
    <cellStyle name="date month-year" xfId="1050" xr:uid="{00000000-0005-0000-0000-00001A040000}"/>
    <cellStyle name="Date Year" xfId="1051" xr:uid="{00000000-0005-0000-0000-00001B040000}"/>
    <cellStyle name="Date_04-10-03 NO Distribution" xfId="1052" xr:uid="{00000000-0005-0000-0000-00001C040000}"/>
    <cellStyle name="Date1" xfId="1053" xr:uid="{00000000-0005-0000-0000-00001D040000}"/>
    <cellStyle name="Date2" xfId="1054" xr:uid="{00000000-0005-0000-0000-00001E040000}"/>
    <cellStyle name="Dates" xfId="1055" xr:uid="{00000000-0005-0000-0000-00001F040000}"/>
    <cellStyle name="DateYear" xfId="1056" xr:uid="{00000000-0005-0000-0000-000020040000}"/>
    <cellStyle name="DateYearEstimate" xfId="1057" xr:uid="{00000000-0005-0000-0000-000021040000}"/>
    <cellStyle name="DateYearWholeEstimate" xfId="1058" xr:uid="{00000000-0005-0000-0000-000022040000}"/>
    <cellStyle name="decimal 0" xfId="1059" xr:uid="{00000000-0005-0000-0000-000023040000}"/>
    <cellStyle name="decimal 1" xfId="1060" xr:uid="{00000000-0005-0000-0000-000024040000}"/>
    <cellStyle name="decimal 2" xfId="1061" xr:uid="{00000000-0005-0000-0000-000025040000}"/>
    <cellStyle name="Deutschmark" xfId="1062" xr:uid="{00000000-0005-0000-0000-000026040000}"/>
    <cellStyle name="Dezimal [0]_Compiling Utility Macros" xfId="1063" xr:uid="{00000000-0005-0000-0000-000027040000}"/>
    <cellStyle name="Dezimal_Compiling Utility Macros" xfId="1064" xr:uid="{00000000-0005-0000-0000-000028040000}"/>
    <cellStyle name="Dia" xfId="1065" xr:uid="{00000000-0005-0000-0000-000029040000}"/>
    <cellStyle name="dolar" xfId="1066" xr:uid="{00000000-0005-0000-0000-00002A040000}"/>
    <cellStyle name="dolar whole" xfId="1067" xr:uid="{00000000-0005-0000-0000-00002B040000}"/>
    <cellStyle name="dollar" xfId="1068" xr:uid="{00000000-0005-0000-0000-00002C040000}"/>
    <cellStyle name="Dollar (Canadian)" xfId="1069" xr:uid="{00000000-0005-0000-0000-00002D040000}"/>
    <cellStyle name="Dollar Whole" xfId="1070" xr:uid="{00000000-0005-0000-0000-00002E040000}"/>
    <cellStyle name="Dollar_4Q02 Note Figures" xfId="1071" xr:uid="{00000000-0005-0000-0000-00002F040000}"/>
    <cellStyle name="Dollars" xfId="1072" xr:uid="{00000000-0005-0000-0000-000030040000}"/>
    <cellStyle name="DollarWhole" xfId="1073" xr:uid="{00000000-0005-0000-0000-000031040000}"/>
    <cellStyle name="Dotted Line" xfId="1074" xr:uid="{00000000-0005-0000-0000-000032040000}"/>
    <cellStyle name="Double Accounting" xfId="1075" xr:uid="{00000000-0005-0000-0000-000033040000}"/>
    <cellStyle name="dp*NumberGeneral" xfId="1076" xr:uid="{00000000-0005-0000-0000-000034040000}"/>
    <cellStyle name="Driver" xfId="1077" xr:uid="{00000000-0005-0000-0000-000035040000}"/>
    <cellStyle name="Encabez1" xfId="1078" xr:uid="{00000000-0005-0000-0000-000036040000}"/>
    <cellStyle name="Encabez2" xfId="1079" xr:uid="{00000000-0005-0000-0000-000037040000}"/>
    <cellStyle name="Entered" xfId="1080" xr:uid="{00000000-0005-0000-0000-000038040000}"/>
    <cellStyle name="Est - $" xfId="1081" xr:uid="{00000000-0005-0000-0000-000039040000}"/>
    <cellStyle name="Est - %" xfId="1082" xr:uid="{00000000-0005-0000-0000-00003A040000}"/>
    <cellStyle name="Est 0,000.0" xfId="1083" xr:uid="{00000000-0005-0000-0000-00003B040000}"/>
    <cellStyle name="Euro" xfId="1084" xr:uid="{00000000-0005-0000-0000-00003C040000}"/>
    <cellStyle name="Explanatory Text 2" xfId="1085" xr:uid="{00000000-0005-0000-0000-00003D040000}"/>
    <cellStyle name="F2" xfId="1086" xr:uid="{00000000-0005-0000-0000-00003E040000}"/>
    <cellStyle name="F3" xfId="1087" xr:uid="{00000000-0005-0000-0000-00003F040000}"/>
    <cellStyle name="F4" xfId="1088" xr:uid="{00000000-0005-0000-0000-000040040000}"/>
    <cellStyle name="F5" xfId="1089" xr:uid="{00000000-0005-0000-0000-000041040000}"/>
    <cellStyle name="F6" xfId="1090" xr:uid="{00000000-0005-0000-0000-000042040000}"/>
    <cellStyle name="F7" xfId="1091" xr:uid="{00000000-0005-0000-0000-000043040000}"/>
    <cellStyle name="F8" xfId="1092" xr:uid="{00000000-0005-0000-0000-000044040000}"/>
    <cellStyle name="FF_EURO" xfId="1093" xr:uid="{00000000-0005-0000-0000-000045040000}"/>
    <cellStyle name="Fijo" xfId="1094" xr:uid="{00000000-0005-0000-0000-000046040000}"/>
    <cellStyle name="Financiero" xfId="1095" xr:uid="{00000000-0005-0000-0000-000047040000}"/>
    <cellStyle name="Fixed" xfId="1096" xr:uid="{00000000-0005-0000-0000-000048040000}"/>
    <cellStyle name="Fixed0" xfId="1097" xr:uid="{00000000-0005-0000-0000-000049040000}"/>
    <cellStyle name="Footer SBILogo1" xfId="1098" xr:uid="{00000000-0005-0000-0000-00004A040000}"/>
    <cellStyle name="Footer SBILogo2" xfId="1099" xr:uid="{00000000-0005-0000-0000-00004B040000}"/>
    <cellStyle name="Footnote" xfId="1100" xr:uid="{00000000-0005-0000-0000-00004C040000}"/>
    <cellStyle name="Footnote Reference" xfId="1101" xr:uid="{00000000-0005-0000-0000-00004D040000}"/>
    <cellStyle name="Footnote_% Change" xfId="1102" xr:uid="{00000000-0005-0000-0000-00004E040000}"/>
    <cellStyle name="Formula" xfId="1103" xr:uid="{00000000-0005-0000-0000-00004F040000}"/>
    <cellStyle name="fourdecplace" xfId="1104" xr:uid="{00000000-0005-0000-0000-000050040000}"/>
    <cellStyle name="Gen. Number" xfId="1105" xr:uid="{00000000-0005-0000-0000-000051040000}"/>
    <cellStyle name="Gen. Percent" xfId="1106" xr:uid="{00000000-0005-0000-0000-000052040000}"/>
    <cellStyle name="Gen.Number" xfId="1107" xr:uid="{00000000-0005-0000-0000-000053040000}"/>
    <cellStyle name="Gen_Black_pD" xfId="1108" xr:uid="{00000000-0005-0000-0000-000054040000}"/>
    <cellStyle name="General" xfId="1109" xr:uid="{00000000-0005-0000-0000-000055040000}"/>
    <cellStyle name="Good 2" xfId="1110" xr:uid="{00000000-0005-0000-0000-000056040000}"/>
    <cellStyle name="Grand Total" xfId="1111" xr:uid="{00000000-0005-0000-0000-000057040000}"/>
    <cellStyle name="Grey" xfId="1112" xr:uid="{00000000-0005-0000-0000-000058040000}"/>
    <cellStyle name="growth" xfId="1113" xr:uid="{00000000-0005-0000-0000-000059040000}"/>
    <cellStyle name="GrowthLarge" xfId="1114" xr:uid="{00000000-0005-0000-0000-00005A040000}"/>
    <cellStyle name="GrowthRate" xfId="1115" xr:uid="{00000000-0005-0000-0000-00005B040000}"/>
    <cellStyle name="GrowthSeq" xfId="1116" xr:uid="{00000000-0005-0000-0000-00005C040000}"/>
    <cellStyle name="GrowthSmall" xfId="1117" xr:uid="{00000000-0005-0000-0000-00005D040000}"/>
    <cellStyle name="Hard Percent" xfId="1118" xr:uid="{00000000-0005-0000-0000-00005E040000}"/>
    <cellStyle name="Head 1" xfId="1119" xr:uid="{00000000-0005-0000-0000-00005F040000}"/>
    <cellStyle name="head1" xfId="1120" xr:uid="{00000000-0005-0000-0000-000060040000}"/>
    <cellStyle name="head2" xfId="1121" xr:uid="{00000000-0005-0000-0000-000061040000}"/>
    <cellStyle name="Header" xfId="1122" xr:uid="{00000000-0005-0000-0000-000062040000}"/>
    <cellStyle name="Header Draft Stamp" xfId="1123" xr:uid="{00000000-0005-0000-0000-000063040000}"/>
    <cellStyle name="Header_% Change" xfId="1124" xr:uid="{00000000-0005-0000-0000-000064040000}"/>
    <cellStyle name="Header1" xfId="1125" xr:uid="{00000000-0005-0000-0000-000065040000}"/>
    <cellStyle name="Header2" xfId="1126" xr:uid="{00000000-0005-0000-0000-000066040000}"/>
    <cellStyle name="heading" xfId="1127" xr:uid="{00000000-0005-0000-0000-000067040000}"/>
    <cellStyle name="Heading 1 2" xfId="1128" xr:uid="{00000000-0005-0000-0000-000068040000}"/>
    <cellStyle name="Heading 1 Above" xfId="1129" xr:uid="{00000000-0005-0000-0000-000069040000}"/>
    <cellStyle name="Heading 1+" xfId="1130" xr:uid="{00000000-0005-0000-0000-00006A040000}"/>
    <cellStyle name="Heading 1+ 2" xfId="1131" xr:uid="{00000000-0005-0000-0000-00006B040000}"/>
    <cellStyle name="Heading 1+ 3" xfId="1132" xr:uid="{00000000-0005-0000-0000-00006C040000}"/>
    <cellStyle name="Heading 1+ 4" xfId="1133" xr:uid="{00000000-0005-0000-0000-00006D040000}"/>
    <cellStyle name="Heading 2 2" xfId="1134" xr:uid="{00000000-0005-0000-0000-00006E040000}"/>
    <cellStyle name="Heading 2 Below" xfId="1135" xr:uid="{00000000-0005-0000-0000-00006F040000}"/>
    <cellStyle name="Heading 2+" xfId="1136" xr:uid="{00000000-0005-0000-0000-000070040000}"/>
    <cellStyle name="Heading 2+ 2" xfId="1137" xr:uid="{00000000-0005-0000-0000-000071040000}"/>
    <cellStyle name="Heading 2+ 3" xfId="1138" xr:uid="{00000000-0005-0000-0000-000072040000}"/>
    <cellStyle name="Heading 2+ 4" xfId="1139" xr:uid="{00000000-0005-0000-0000-000073040000}"/>
    <cellStyle name="Heading 3 2" xfId="1140" xr:uid="{00000000-0005-0000-0000-000074040000}"/>
    <cellStyle name="Heading 3+" xfId="1141" xr:uid="{00000000-0005-0000-0000-000075040000}"/>
    <cellStyle name="Heading 4 2" xfId="1142" xr:uid="{00000000-0005-0000-0000-000076040000}"/>
    <cellStyle name="Heading No Underline" xfId="1143" xr:uid="{00000000-0005-0000-0000-000077040000}"/>
    <cellStyle name="Heading With Underline" xfId="1144" xr:uid="{00000000-0005-0000-0000-000078040000}"/>
    <cellStyle name="Heading1" xfId="1145" xr:uid="{00000000-0005-0000-0000-000079040000}"/>
    <cellStyle name="Heading2" xfId="1146" xr:uid="{00000000-0005-0000-0000-00007A040000}"/>
    <cellStyle name="HEADINGS" xfId="1147" xr:uid="{00000000-0005-0000-0000-00007B040000}"/>
    <cellStyle name="HEADINGSTOP" xfId="1148" xr:uid="{00000000-0005-0000-0000-00007C040000}"/>
    <cellStyle name="HeadlineStyle" xfId="1149" xr:uid="{00000000-0005-0000-0000-00007D040000}"/>
    <cellStyle name="HeadlineStyle 2" xfId="1150" xr:uid="{00000000-0005-0000-0000-00007E040000}"/>
    <cellStyle name="HeadlineStyleJustified" xfId="1151" xr:uid="{00000000-0005-0000-0000-00007F040000}"/>
    <cellStyle name="HIGHLIGHT" xfId="1152" xr:uid="{00000000-0005-0000-0000-000080040000}"/>
    <cellStyle name="Hipervínculo_VARPXQ21" xfId="1153" xr:uid="{00000000-0005-0000-0000-000081040000}"/>
    <cellStyle name="Hyperlink 2" xfId="1154" xr:uid="{00000000-0005-0000-0000-000082040000}"/>
    <cellStyle name="Hyperlink 3" xfId="1155" xr:uid="{00000000-0005-0000-0000-000083040000}"/>
    <cellStyle name="Income" xfId="1156" xr:uid="{00000000-0005-0000-0000-000084040000}"/>
    <cellStyle name="income statement" xfId="1157" xr:uid="{00000000-0005-0000-0000-000085040000}"/>
    <cellStyle name="Income_Project Kentucky Derby Model v75" xfId="1158" xr:uid="{00000000-0005-0000-0000-000086040000}"/>
    <cellStyle name="IncomeStatement" xfId="1159" xr:uid="{00000000-0005-0000-0000-000087040000}"/>
    <cellStyle name="incomestatment" xfId="1160" xr:uid="{00000000-0005-0000-0000-000088040000}"/>
    <cellStyle name="Index" xfId="1161" xr:uid="{00000000-0005-0000-0000-000089040000}"/>
    <cellStyle name="Input [yellow]" xfId="1162" xr:uid="{00000000-0005-0000-0000-00008A040000}"/>
    <cellStyle name="Input 2" xfId="1163" xr:uid="{00000000-0005-0000-0000-00008B040000}"/>
    <cellStyle name="Input 3" xfId="1164" xr:uid="{00000000-0005-0000-0000-00008C040000}"/>
    <cellStyle name="Input 4" xfId="1165" xr:uid="{00000000-0005-0000-0000-00008D040000}"/>
    <cellStyle name="Input 5" xfId="1166" xr:uid="{00000000-0005-0000-0000-00008E040000}"/>
    <cellStyle name="Input cell" xfId="1167" xr:uid="{00000000-0005-0000-0000-00008F040000}"/>
    <cellStyle name="Input Currency" xfId="1168" xr:uid="{00000000-0005-0000-0000-000090040000}"/>
    <cellStyle name="Input Currency 2" xfId="1169" xr:uid="{00000000-0005-0000-0000-000091040000}"/>
    <cellStyle name="Input Currency_Exchange Ratio Analysis" xfId="1170" xr:uid="{00000000-0005-0000-0000-000092040000}"/>
    <cellStyle name="Input Multiple" xfId="1171" xr:uid="{00000000-0005-0000-0000-000093040000}"/>
    <cellStyle name="Input Percent" xfId="1172" xr:uid="{00000000-0005-0000-0000-000094040000}"/>
    <cellStyle name="Input1" xfId="1173" xr:uid="{00000000-0005-0000-0000-000095040000}"/>
    <cellStyle name="Input2" xfId="1174" xr:uid="{00000000-0005-0000-0000-000096040000}"/>
    <cellStyle name="InputCurrency" xfId="1175" xr:uid="{00000000-0005-0000-0000-000097040000}"/>
    <cellStyle name="InputCurrency2" xfId="1176" xr:uid="{00000000-0005-0000-0000-000098040000}"/>
    <cellStyle name="InputMultiple1" xfId="1177" xr:uid="{00000000-0005-0000-0000-000099040000}"/>
    <cellStyle name="InputPercent1" xfId="1178" xr:uid="{00000000-0005-0000-0000-00009A040000}"/>
    <cellStyle name="Inputs" xfId="1179" xr:uid="{00000000-0005-0000-0000-00009B040000}"/>
    <cellStyle name="Integer" xfId="1180" xr:uid="{00000000-0005-0000-0000-00009C040000}"/>
    <cellStyle name="kopregel" xfId="1181" xr:uid="{00000000-0005-0000-0000-00009D040000}"/>
    <cellStyle name="KP_Normal" xfId="1182" xr:uid="{00000000-0005-0000-0000-00009E040000}"/>
    <cellStyle name="Lable8Left" xfId="1183" xr:uid="{00000000-0005-0000-0000-00009F040000}"/>
    <cellStyle name="LeftSubtitle" xfId="1184" xr:uid="{00000000-0005-0000-0000-0000A0040000}"/>
    <cellStyle name="Lines" xfId="1185" xr:uid="{00000000-0005-0000-0000-0000A1040000}"/>
    <cellStyle name="Linked" xfId="1186" xr:uid="{00000000-0005-0000-0000-0000A2040000}"/>
    <cellStyle name="Linked Cell 2" xfId="1187" xr:uid="{00000000-0005-0000-0000-0000A3040000}"/>
    <cellStyle name="Lira" xfId="1188" xr:uid="{00000000-0005-0000-0000-0000A4040000}"/>
    <cellStyle name="Long Date" xfId="1189" xr:uid="{00000000-0005-0000-0000-0000A5040000}"/>
    <cellStyle name="MacroCode" xfId="1190" xr:uid="{00000000-0005-0000-0000-0000A6040000}"/>
    <cellStyle name="magrins" xfId="1191" xr:uid="{00000000-0005-0000-0000-0000A7040000}"/>
    <cellStyle name="margin" xfId="1192" xr:uid="{00000000-0005-0000-0000-0000A8040000}"/>
    <cellStyle name="Margins" xfId="1193" xr:uid="{00000000-0005-0000-0000-0000A9040000}"/>
    <cellStyle name="margsin" xfId="1194" xr:uid="{00000000-0005-0000-0000-0000AA040000}"/>
    <cellStyle name="marign" xfId="1195" xr:uid="{00000000-0005-0000-0000-0000AB040000}"/>
    <cellStyle name="marigns" xfId="1196" xr:uid="{00000000-0005-0000-0000-0000AC040000}"/>
    <cellStyle name="Mike" xfId="1197" xr:uid="{00000000-0005-0000-0000-0000AD040000}"/>
    <cellStyle name="Millares [0]_ MATRIZ DE ELIMINACIONES" xfId="1198" xr:uid="{00000000-0005-0000-0000-0000AE040000}"/>
    <cellStyle name="Millares_ MATRIZ DE ELIMINACIONES" xfId="1199" xr:uid="{00000000-0005-0000-0000-0000AF040000}"/>
    <cellStyle name="Milliers [0]_CREATIVE" xfId="1200" xr:uid="{00000000-0005-0000-0000-0000B0040000}"/>
    <cellStyle name="Milliers_CREATIVE" xfId="1201" xr:uid="{00000000-0005-0000-0000-0000B1040000}"/>
    <cellStyle name="Moneda [0]_ MATRIZ DE ELIMINACIONES" xfId="1202" xr:uid="{00000000-0005-0000-0000-0000B2040000}"/>
    <cellStyle name="Moneda_ MATRIZ DE ELIMINACIONES" xfId="1203" xr:uid="{00000000-0005-0000-0000-0000B3040000}"/>
    <cellStyle name="Monétaire [0]_CREATIVE" xfId="1204" xr:uid="{00000000-0005-0000-0000-0000B4040000}"/>
    <cellStyle name="Monétaire_CREATIVE" xfId="1205" xr:uid="{00000000-0005-0000-0000-0000B5040000}"/>
    <cellStyle name="Multiple" xfId="1206" xr:uid="{00000000-0005-0000-0000-0000B6040000}"/>
    <cellStyle name="Multiple Without" xfId="1207" xr:uid="{00000000-0005-0000-0000-0000B7040000}"/>
    <cellStyle name="Multiple_ACCC" xfId="1208" xr:uid="{00000000-0005-0000-0000-0000B8040000}"/>
    <cellStyle name="Multiple1" xfId="1209" xr:uid="{00000000-0005-0000-0000-0000B9040000}"/>
    <cellStyle name="MultipleBelow" xfId="1210" xr:uid="{00000000-0005-0000-0000-0000BA040000}"/>
    <cellStyle name="Multiples" xfId="1211" xr:uid="{00000000-0005-0000-0000-0000BB040000}"/>
    <cellStyle name="NavStyleDefault" xfId="1212" xr:uid="{00000000-0005-0000-0000-0000BC040000}"/>
    <cellStyle name="nbr" xfId="1213" xr:uid="{00000000-0005-0000-0000-0000BD040000}"/>
    <cellStyle name="Neutral 2" xfId="1214" xr:uid="{00000000-0005-0000-0000-0000BE040000}"/>
    <cellStyle name="no dec" xfId="1215" xr:uid="{00000000-0005-0000-0000-0000BF040000}"/>
    <cellStyle name="Nor" xfId="1216" xr:uid="{00000000-0005-0000-0000-0000C0040000}"/>
    <cellStyle name="Nor}al_Sheet1 (2)" xfId="1217" xr:uid="{00000000-0005-0000-0000-0000C1040000}"/>
    <cellStyle name="Normal" xfId="0" builtinId="0"/>
    <cellStyle name="Normal - Style1" xfId="1218" xr:uid="{00000000-0005-0000-0000-0000C2040000}"/>
    <cellStyle name="Normal - Style1 2" xfId="1219" xr:uid="{00000000-0005-0000-0000-0000C3040000}"/>
    <cellStyle name="Normal 0" xfId="1220" xr:uid="{00000000-0005-0000-0000-0000C4040000}"/>
    <cellStyle name="Normal 10" xfId="1221" xr:uid="{00000000-0005-0000-0000-0000C5040000}"/>
    <cellStyle name="Normal 11" xfId="1222" xr:uid="{00000000-0005-0000-0000-0000C6040000}"/>
    <cellStyle name="Normal 12" xfId="1223" xr:uid="{00000000-0005-0000-0000-0000C7040000}"/>
    <cellStyle name="Normal 13" xfId="1224" xr:uid="{00000000-0005-0000-0000-0000C8040000}"/>
    <cellStyle name="Normal 14" xfId="1225" xr:uid="{00000000-0005-0000-0000-0000C9040000}"/>
    <cellStyle name="Normal 15" xfId="1226" xr:uid="{00000000-0005-0000-0000-0000CA040000}"/>
    <cellStyle name="Normal 16" xfId="1227" xr:uid="{00000000-0005-0000-0000-0000CB040000}"/>
    <cellStyle name="Normal 17" xfId="1228" xr:uid="{00000000-0005-0000-0000-0000CC040000}"/>
    <cellStyle name="Normal 2" xfId="3" xr:uid="{00000000-0005-0000-0000-000003000000}"/>
    <cellStyle name="Normal 2 2" xfId="1230" xr:uid="{00000000-0005-0000-0000-0000CE040000}"/>
    <cellStyle name="Normal 2 2 2" xfId="1231" xr:uid="{00000000-0005-0000-0000-0000CF040000}"/>
    <cellStyle name="Normal 2 2 2 2" xfId="1232" xr:uid="{00000000-0005-0000-0000-0000D0040000}"/>
    <cellStyle name="Normal 2 2 3" xfId="1233" xr:uid="{00000000-0005-0000-0000-0000D1040000}"/>
    <cellStyle name="Normal 2 3" xfId="1234" xr:uid="{00000000-0005-0000-0000-0000D2040000}"/>
    <cellStyle name="Normal 2 3 2" xfId="1235" xr:uid="{00000000-0005-0000-0000-0000D3040000}"/>
    <cellStyle name="Normal 2 3 2 2" xfId="1236" xr:uid="{00000000-0005-0000-0000-0000D4040000}"/>
    <cellStyle name="Normal 2 3 3" xfId="1237" xr:uid="{00000000-0005-0000-0000-0000D5040000}"/>
    <cellStyle name="Normal 2 4" xfId="1238" xr:uid="{00000000-0005-0000-0000-0000D6040000}"/>
    <cellStyle name="Normal 2 4 2" xfId="1239" xr:uid="{00000000-0005-0000-0000-0000D7040000}"/>
    <cellStyle name="Normal 2 4 2 2" xfId="1240" xr:uid="{00000000-0005-0000-0000-0000D8040000}"/>
    <cellStyle name="Normal 2 4 3" xfId="1241" xr:uid="{00000000-0005-0000-0000-0000D9040000}"/>
    <cellStyle name="Normal 2 5" xfId="1242" xr:uid="{00000000-0005-0000-0000-0000DA040000}"/>
    <cellStyle name="Normal 2 6" xfId="1243" xr:uid="{00000000-0005-0000-0000-0000DB040000}"/>
    <cellStyle name="Normal 2 6 2" xfId="1244" xr:uid="{00000000-0005-0000-0000-0000DC040000}"/>
    <cellStyle name="Normal 2 6 2 2" xfId="1245" xr:uid="{00000000-0005-0000-0000-0000DD040000}"/>
    <cellStyle name="Normal 2 6 3" xfId="1246" xr:uid="{00000000-0005-0000-0000-0000DE040000}"/>
    <cellStyle name="Normal 2 7" xfId="1247" xr:uid="{00000000-0005-0000-0000-0000DF040000}"/>
    <cellStyle name="Normal 2 8" xfId="1248" xr:uid="{00000000-0005-0000-0000-0000E0040000}"/>
    <cellStyle name="Normal 2_MAA SS Comps" xfId="1229" xr:uid="{00000000-0005-0000-0000-0000CD040000}"/>
    <cellStyle name="Normal 3" xfId="1249" xr:uid="{00000000-0005-0000-0000-0000E1040000}"/>
    <cellStyle name="Normal 3 2" xfId="1250" xr:uid="{00000000-0005-0000-0000-0000E2040000}"/>
    <cellStyle name="Normal 3 2 2" xfId="1251" xr:uid="{00000000-0005-0000-0000-0000E3040000}"/>
    <cellStyle name="Normal 3 2 2 2" xfId="1252" xr:uid="{00000000-0005-0000-0000-0000E4040000}"/>
    <cellStyle name="Normal 3 2 3" xfId="1253" xr:uid="{00000000-0005-0000-0000-0000E5040000}"/>
    <cellStyle name="Normal 3 3" xfId="1254" xr:uid="{00000000-0005-0000-0000-0000E6040000}"/>
    <cellStyle name="Normal 3 3 2" xfId="1255" xr:uid="{00000000-0005-0000-0000-0000E7040000}"/>
    <cellStyle name="Normal 3 3 2 2" xfId="1256" xr:uid="{00000000-0005-0000-0000-0000E8040000}"/>
    <cellStyle name="Normal 3 3 3" xfId="1257" xr:uid="{00000000-0005-0000-0000-0000E9040000}"/>
    <cellStyle name="Normal 3 4" xfId="1258" xr:uid="{00000000-0005-0000-0000-0000EA040000}"/>
    <cellStyle name="Normal 3 4 2" xfId="1259" xr:uid="{00000000-0005-0000-0000-0000EB040000}"/>
    <cellStyle name="Normal 3 4 2 2" xfId="1260" xr:uid="{00000000-0005-0000-0000-0000EC040000}"/>
    <cellStyle name="Normal 3 4 3" xfId="1261" xr:uid="{00000000-0005-0000-0000-0000ED040000}"/>
    <cellStyle name="Normal 3 5" xfId="1262" xr:uid="{00000000-0005-0000-0000-0000EE040000}"/>
    <cellStyle name="Normal 3 6" xfId="1263" xr:uid="{00000000-0005-0000-0000-0000EF040000}"/>
    <cellStyle name="Normal 3 6 2" xfId="1264" xr:uid="{00000000-0005-0000-0000-0000F0040000}"/>
    <cellStyle name="Normal 3 7" xfId="1265" xr:uid="{00000000-0005-0000-0000-0000F1040000}"/>
    <cellStyle name="Normal 4" xfId="1266" xr:uid="{00000000-0005-0000-0000-0000F2040000}"/>
    <cellStyle name="Normal 5" xfId="1267" xr:uid="{00000000-0005-0000-0000-0000F3040000}"/>
    <cellStyle name="Normal 5 2" xfId="1268" xr:uid="{00000000-0005-0000-0000-0000F4040000}"/>
    <cellStyle name="Normal 5 3" xfId="1269" xr:uid="{00000000-0005-0000-0000-0000F5040000}"/>
    <cellStyle name="Normal 6" xfId="1270" xr:uid="{00000000-0005-0000-0000-0000F6040000}"/>
    <cellStyle name="Normal 6 2" xfId="1271" xr:uid="{00000000-0005-0000-0000-0000F7040000}"/>
    <cellStyle name="Normal 7" xfId="1272" xr:uid="{00000000-0005-0000-0000-0000F8040000}"/>
    <cellStyle name="Normal 7 2" xfId="1273" xr:uid="{00000000-0005-0000-0000-0000F9040000}"/>
    <cellStyle name="Normal 7 3" xfId="1274" xr:uid="{00000000-0005-0000-0000-0000FA040000}"/>
    <cellStyle name="Normal 8" xfId="1275" xr:uid="{00000000-0005-0000-0000-0000FB040000}"/>
    <cellStyle name="Normal 9" xfId="1276" xr:uid="{00000000-0005-0000-0000-0000FC040000}"/>
    <cellStyle name="Normal new" xfId="1277" xr:uid="{00000000-0005-0000-0000-0000FD040000}"/>
    <cellStyle name="Normal2" xfId="1278" xr:uid="{00000000-0005-0000-0000-0000FE040000}"/>
    <cellStyle name="Normale_02SET1" xfId="1279" xr:uid="{00000000-0005-0000-0000-0000FF040000}"/>
    <cellStyle name="NormalGB" xfId="1280" xr:uid="{00000000-0005-0000-0000-000000050000}"/>
    <cellStyle name="NormalHelv" xfId="1281" xr:uid="{00000000-0005-0000-0000-000001050000}"/>
    <cellStyle name="NOT" xfId="1282" xr:uid="{00000000-0005-0000-0000-000002050000}"/>
    <cellStyle name="Note 2" xfId="1283" xr:uid="{00000000-0005-0000-0000-000003050000}"/>
    <cellStyle name="Note 3" xfId="1284" xr:uid="{00000000-0005-0000-0000-000004050000}"/>
    <cellStyle name="Notes" xfId="1285" xr:uid="{00000000-0005-0000-0000-000005050000}"/>
    <cellStyle name="nplosion" xfId="1286" xr:uid="{00000000-0005-0000-0000-000006050000}"/>
    <cellStyle name="number" xfId="1287" xr:uid="{00000000-0005-0000-0000-000007050000}"/>
    <cellStyle name="Number-2 Decimals" xfId="1288" xr:uid="{00000000-0005-0000-0000-000008050000}"/>
    <cellStyle name="Œ…‹æØ‚è [0.00]_GE 3 MINIMUM" xfId="1289" xr:uid="{00000000-0005-0000-0000-000009050000}"/>
    <cellStyle name="Œ…‹æØ‚è_GE 3 MINIMUM" xfId="1290" xr:uid="{00000000-0005-0000-0000-00000A050000}"/>
    <cellStyle name="onedec" xfId="1291" xr:uid="{00000000-0005-0000-0000-00000B050000}"/>
    <cellStyle name="outh America" xfId="1292" xr:uid="{00000000-0005-0000-0000-00000C050000}"/>
    <cellStyle name="Output 2" xfId="1293" xr:uid="{00000000-0005-0000-0000-00000D050000}"/>
    <cellStyle name="OUTPUT AMOUNTS" xfId="1294" xr:uid="{00000000-0005-0000-0000-00000E050000}"/>
    <cellStyle name="p" xfId="1295" xr:uid="{00000000-0005-0000-0000-00000F050000}"/>
    <cellStyle name="P&amp;L Numbers" xfId="1296" xr:uid="{00000000-0005-0000-0000-000010050000}"/>
    <cellStyle name="p_amtmod51" xfId="1297" xr:uid="{00000000-0005-0000-0000-000011050000}"/>
    <cellStyle name="p_amtmod51_315274_17" xfId="1298" xr:uid="{00000000-0005-0000-0000-000012050000}"/>
    <cellStyle name="p_amtmod51_318426_21" xfId="1299" xr:uid="{00000000-0005-0000-0000-000013050000}"/>
    <cellStyle name="p_amtmod51_5401007_6" xfId="1300" xr:uid="{00000000-0005-0000-0000-000014050000}"/>
    <cellStyle name="p_amtmod51_5401007_7" xfId="1301" xr:uid="{00000000-0005-0000-0000-000015050000}"/>
    <cellStyle name="p_amtmod51_5963478_1" xfId="1302" xr:uid="{00000000-0005-0000-0000-000016050000}"/>
    <cellStyle name="p_amtmod51_FON" xfId="1303" xr:uid="{00000000-0005-0000-0000-000017050000}"/>
    <cellStyle name="p_amtmod51_Put Analysis" xfId="1304" xr:uid="{00000000-0005-0000-0000-000018050000}"/>
    <cellStyle name="p_amtmod51_Put Analysis.v2" xfId="1305" xr:uid="{00000000-0005-0000-0000-000019050000}"/>
    <cellStyle name="p_amtmod51_Spin Model v.2" xfId="1306" xr:uid="{00000000-0005-0000-0000-00001A050000}"/>
    <cellStyle name="p_ccimod4-b1" xfId="1307" xr:uid="{00000000-0005-0000-0000-00001B050000}"/>
    <cellStyle name="p_ccimod4-b1_315274_17" xfId="1308" xr:uid="{00000000-0005-0000-0000-00001C050000}"/>
    <cellStyle name="p_ccimod4-b1_318426_21" xfId="1309" xr:uid="{00000000-0005-0000-0000-00001D050000}"/>
    <cellStyle name="p_ccimod4-b1_5401007_6" xfId="1310" xr:uid="{00000000-0005-0000-0000-00001E050000}"/>
    <cellStyle name="p_ccimod4-b1_5401007_7" xfId="1311" xr:uid="{00000000-0005-0000-0000-00001F050000}"/>
    <cellStyle name="p_ccimod4-b1_5963478_1" xfId="1312" xr:uid="{00000000-0005-0000-0000-000020050000}"/>
    <cellStyle name="p_ccimod4-b1_FON" xfId="1313" xr:uid="{00000000-0005-0000-0000-000021050000}"/>
    <cellStyle name="p_ccimod4-b1_Put Analysis" xfId="1314" xr:uid="{00000000-0005-0000-0000-000022050000}"/>
    <cellStyle name="p_ccimod4-b1_Put Analysis.v2" xfId="1315" xr:uid="{00000000-0005-0000-0000-000023050000}"/>
    <cellStyle name="p_ccimod4-b1_Spin Model v.2" xfId="1316" xr:uid="{00000000-0005-0000-0000-000024050000}"/>
    <cellStyle name="p_DCF" xfId="1317" xr:uid="{00000000-0005-0000-0000-000025050000}"/>
    <cellStyle name="p_DCF_315274_17" xfId="1318" xr:uid="{00000000-0005-0000-0000-000026050000}"/>
    <cellStyle name="p_DCF_318426_21" xfId="1319" xr:uid="{00000000-0005-0000-0000-000027050000}"/>
    <cellStyle name="p_DCF_5401007_6" xfId="1320" xr:uid="{00000000-0005-0000-0000-000028050000}"/>
    <cellStyle name="p_DCF_5401007_7" xfId="1321" xr:uid="{00000000-0005-0000-0000-000029050000}"/>
    <cellStyle name="p_DCF_5963478_1" xfId="1322" xr:uid="{00000000-0005-0000-0000-00002A050000}"/>
    <cellStyle name="p_DCF_FON" xfId="1323" xr:uid="{00000000-0005-0000-0000-00002B050000}"/>
    <cellStyle name="p_DCF_Put Analysis" xfId="1324" xr:uid="{00000000-0005-0000-0000-00002C050000}"/>
    <cellStyle name="p_DCF_Put Analysis.v2" xfId="1325" xr:uid="{00000000-0005-0000-0000-00002D050000}"/>
    <cellStyle name="p_DCF_Spin Model v.2" xfId="1326" xr:uid="{00000000-0005-0000-0000-00002E050000}"/>
    <cellStyle name="p_DCF_VERA" xfId="1327" xr:uid="{00000000-0005-0000-0000-00002F050000}"/>
    <cellStyle name="p_DCF_VERA_315274_17" xfId="1328" xr:uid="{00000000-0005-0000-0000-000030050000}"/>
    <cellStyle name="p_DCF_VERA_318426_21" xfId="1329" xr:uid="{00000000-0005-0000-0000-000031050000}"/>
    <cellStyle name="p_DCF_VERA_5401007_6" xfId="1330" xr:uid="{00000000-0005-0000-0000-000032050000}"/>
    <cellStyle name="p_DCF_VERA_5401007_7" xfId="1331" xr:uid="{00000000-0005-0000-0000-000033050000}"/>
    <cellStyle name="p_DCF_VERA_5963478_1" xfId="1332" xr:uid="{00000000-0005-0000-0000-000034050000}"/>
    <cellStyle name="p_DCF_VERA_FON" xfId="1333" xr:uid="{00000000-0005-0000-0000-000035050000}"/>
    <cellStyle name="p_DCF_VERA_Put Analysis" xfId="1334" xr:uid="{00000000-0005-0000-0000-000036050000}"/>
    <cellStyle name="p_DCF_VERA_Put Analysis.v2" xfId="1335" xr:uid="{00000000-0005-0000-0000-000037050000}"/>
    <cellStyle name="p_DCF_VERA_Spin Model v.2" xfId="1336" xr:uid="{00000000-0005-0000-0000-000038050000}"/>
    <cellStyle name="p_sitemod51" xfId="1337" xr:uid="{00000000-0005-0000-0000-000039050000}"/>
    <cellStyle name="p_sitemod51_315274_17" xfId="1338" xr:uid="{00000000-0005-0000-0000-00003A050000}"/>
    <cellStyle name="p_sitemod51_318426_21" xfId="1339" xr:uid="{00000000-0005-0000-0000-00003B050000}"/>
    <cellStyle name="p_sitemod51_5401007_6" xfId="1340" xr:uid="{00000000-0005-0000-0000-00003C050000}"/>
    <cellStyle name="p_sitemod51_5401007_7" xfId="1341" xr:uid="{00000000-0005-0000-0000-00003D050000}"/>
    <cellStyle name="p_sitemod51_5963478_1" xfId="1342" xr:uid="{00000000-0005-0000-0000-00003E050000}"/>
    <cellStyle name="p_sitemod51_FON" xfId="1343" xr:uid="{00000000-0005-0000-0000-00003F050000}"/>
    <cellStyle name="p_sitemod51_Put Analysis" xfId="1344" xr:uid="{00000000-0005-0000-0000-000040050000}"/>
    <cellStyle name="p_sitemod51_Put Analysis.v2" xfId="1345" xr:uid="{00000000-0005-0000-0000-000041050000}"/>
    <cellStyle name="p_sitemod51_Spin Model v.2" xfId="1346" xr:uid="{00000000-0005-0000-0000-000042050000}"/>
    <cellStyle name="p_VERA" xfId="1347" xr:uid="{00000000-0005-0000-0000-000043050000}"/>
    <cellStyle name="p_VERA_amtmod51" xfId="1348" xr:uid="{00000000-0005-0000-0000-000044050000}"/>
    <cellStyle name="p_VERA_amtmod51_315274_17" xfId="1349" xr:uid="{00000000-0005-0000-0000-000045050000}"/>
    <cellStyle name="p_VERA_amtmod51_318426_21" xfId="1350" xr:uid="{00000000-0005-0000-0000-000046050000}"/>
    <cellStyle name="p_VERA_amtmod51_5401007_6" xfId="1351" xr:uid="{00000000-0005-0000-0000-000047050000}"/>
    <cellStyle name="p_VERA_amtmod51_5401007_7" xfId="1352" xr:uid="{00000000-0005-0000-0000-000048050000}"/>
    <cellStyle name="p_VERA_amtmod51_5963478_1" xfId="1353" xr:uid="{00000000-0005-0000-0000-000049050000}"/>
    <cellStyle name="p_VERA_amtmod51_FON" xfId="1354" xr:uid="{00000000-0005-0000-0000-00004A050000}"/>
    <cellStyle name="p_VERA_amtmod51_Put Analysis" xfId="1355" xr:uid="{00000000-0005-0000-0000-00004B050000}"/>
    <cellStyle name="p_VERA_amtmod51_Put Analysis.v2" xfId="1356" xr:uid="{00000000-0005-0000-0000-00004C050000}"/>
    <cellStyle name="p_VERA_amtmod51_Spin Model v.2" xfId="1357" xr:uid="{00000000-0005-0000-0000-00004D050000}"/>
    <cellStyle name="p_VERA_ccimod4-b1" xfId="1358" xr:uid="{00000000-0005-0000-0000-00004E050000}"/>
    <cellStyle name="p_VERA_ccimod4-b1_315274_17" xfId="1359" xr:uid="{00000000-0005-0000-0000-00004F050000}"/>
    <cellStyle name="p_VERA_ccimod4-b1_318426_21" xfId="1360" xr:uid="{00000000-0005-0000-0000-000050050000}"/>
    <cellStyle name="p_VERA_ccimod4-b1_5401007_6" xfId="1361" xr:uid="{00000000-0005-0000-0000-000051050000}"/>
    <cellStyle name="p_VERA_ccimod4-b1_5401007_7" xfId="1362" xr:uid="{00000000-0005-0000-0000-000052050000}"/>
    <cellStyle name="p_VERA_ccimod4-b1_5963478_1" xfId="1363" xr:uid="{00000000-0005-0000-0000-000053050000}"/>
    <cellStyle name="p_VERA_ccimod4-b1_FON" xfId="1364" xr:uid="{00000000-0005-0000-0000-000054050000}"/>
    <cellStyle name="p_VERA_ccimod4-b1_Put Analysis" xfId="1365" xr:uid="{00000000-0005-0000-0000-000055050000}"/>
    <cellStyle name="p_VERA_ccimod4-b1_Put Analysis.v2" xfId="1366" xr:uid="{00000000-0005-0000-0000-000056050000}"/>
    <cellStyle name="p_VERA_ccimod4-b1_Spin Model v.2" xfId="1367" xr:uid="{00000000-0005-0000-0000-000057050000}"/>
    <cellStyle name="p_VERA_sitemod51" xfId="1368" xr:uid="{00000000-0005-0000-0000-000058050000}"/>
    <cellStyle name="p_VERA_sitemod51_315274_17" xfId="1369" xr:uid="{00000000-0005-0000-0000-000059050000}"/>
    <cellStyle name="p_VERA_sitemod51_318426_21" xfId="1370" xr:uid="{00000000-0005-0000-0000-00005A050000}"/>
    <cellStyle name="p_VERA_sitemod51_5401007_6" xfId="1371" xr:uid="{00000000-0005-0000-0000-00005B050000}"/>
    <cellStyle name="p_VERA_sitemod51_5401007_7" xfId="1372" xr:uid="{00000000-0005-0000-0000-00005C050000}"/>
    <cellStyle name="p_VERA_sitemod51_5963478_1" xfId="1373" xr:uid="{00000000-0005-0000-0000-00005D050000}"/>
    <cellStyle name="p_VERA_sitemod51_FON" xfId="1374" xr:uid="{00000000-0005-0000-0000-00005E050000}"/>
    <cellStyle name="p_VERA_sitemod51_Put Analysis" xfId="1375" xr:uid="{00000000-0005-0000-0000-00005F050000}"/>
    <cellStyle name="p_VERA_sitemod51_Put Analysis.v2" xfId="1376" xr:uid="{00000000-0005-0000-0000-000060050000}"/>
    <cellStyle name="p_VERA_sitemod51_Spin Model v.2" xfId="1377" xr:uid="{00000000-0005-0000-0000-000061050000}"/>
    <cellStyle name="Page Heading" xfId="1378" xr:uid="{00000000-0005-0000-0000-000062050000}"/>
    <cellStyle name="Page Heading Large" xfId="1379" xr:uid="{00000000-0005-0000-0000-000063050000}"/>
    <cellStyle name="Page Heading Small" xfId="1380" xr:uid="{00000000-0005-0000-0000-000064050000}"/>
    <cellStyle name="Page Number" xfId="1381" xr:uid="{00000000-0005-0000-0000-000065050000}"/>
    <cellStyle name="PB Table Heading" xfId="1382" xr:uid="{00000000-0005-0000-0000-000066050000}"/>
    <cellStyle name="PB Table Highlight1" xfId="1383" xr:uid="{00000000-0005-0000-0000-000067050000}"/>
    <cellStyle name="PB Table Highlight2" xfId="1384" xr:uid="{00000000-0005-0000-0000-000068050000}"/>
    <cellStyle name="PB Table Highlight2 2" xfId="1385" xr:uid="{00000000-0005-0000-0000-000069050000}"/>
    <cellStyle name="PB Table Highlight3" xfId="1386" xr:uid="{00000000-0005-0000-0000-00006A050000}"/>
    <cellStyle name="PB Table Highlight3 2" xfId="1387" xr:uid="{00000000-0005-0000-0000-00006B050000}"/>
    <cellStyle name="PB Table Standard Row" xfId="1388" xr:uid="{00000000-0005-0000-0000-00006C050000}"/>
    <cellStyle name="PB Table Subtotal Row" xfId="1389" xr:uid="{00000000-0005-0000-0000-00006D050000}"/>
    <cellStyle name="PB Table Total Row" xfId="1390" xr:uid="{00000000-0005-0000-0000-00006E050000}"/>
    <cellStyle name="PE/LTGR" xfId="1391" xr:uid="{00000000-0005-0000-0000-00006F050000}"/>
    <cellStyle name="Penetration" xfId="1392" xr:uid="{00000000-0005-0000-0000-000070050000}"/>
    <cellStyle name="per.style" xfId="1393" xr:uid="{00000000-0005-0000-0000-000071050000}"/>
    <cellStyle name="Percent" xfId="2" builtinId="5"/>
    <cellStyle name="Percent (1)" xfId="1394" xr:uid="{00000000-0005-0000-0000-000072050000}"/>
    <cellStyle name="Percent [2]" xfId="1395" xr:uid="{00000000-0005-0000-0000-000073050000}"/>
    <cellStyle name="percent 1 decimal" xfId="1396" xr:uid="{00000000-0005-0000-0000-000074050000}"/>
    <cellStyle name="Percent 10" xfId="1397" xr:uid="{00000000-0005-0000-0000-000075050000}"/>
    <cellStyle name="Percent 100" xfId="1398" xr:uid="{00000000-0005-0000-0000-000076050000}"/>
    <cellStyle name="Percent 101" xfId="1399" xr:uid="{00000000-0005-0000-0000-000077050000}"/>
    <cellStyle name="Percent 102" xfId="1400" xr:uid="{00000000-0005-0000-0000-000078050000}"/>
    <cellStyle name="Percent 103" xfId="1401" xr:uid="{00000000-0005-0000-0000-000079050000}"/>
    <cellStyle name="Percent 104" xfId="1402" xr:uid="{00000000-0005-0000-0000-00007A050000}"/>
    <cellStyle name="Percent 105" xfId="1403" xr:uid="{00000000-0005-0000-0000-00007B050000}"/>
    <cellStyle name="Percent 106" xfId="1404" xr:uid="{00000000-0005-0000-0000-00007C050000}"/>
    <cellStyle name="Percent 107" xfId="1405" xr:uid="{00000000-0005-0000-0000-00007D050000}"/>
    <cellStyle name="Percent 108" xfId="1406" xr:uid="{00000000-0005-0000-0000-00007E050000}"/>
    <cellStyle name="Percent 109" xfId="1407" xr:uid="{00000000-0005-0000-0000-00007F050000}"/>
    <cellStyle name="Percent 11" xfId="1408" xr:uid="{00000000-0005-0000-0000-000080050000}"/>
    <cellStyle name="Percent 110" xfId="1409" xr:uid="{00000000-0005-0000-0000-000081050000}"/>
    <cellStyle name="Percent 111" xfId="1410" xr:uid="{00000000-0005-0000-0000-000082050000}"/>
    <cellStyle name="Percent 112" xfId="1411" xr:uid="{00000000-0005-0000-0000-000083050000}"/>
    <cellStyle name="Percent 113" xfId="1412" xr:uid="{00000000-0005-0000-0000-000084050000}"/>
    <cellStyle name="Percent 114" xfId="1413" xr:uid="{00000000-0005-0000-0000-000085050000}"/>
    <cellStyle name="Percent 115" xfId="1414" xr:uid="{00000000-0005-0000-0000-000086050000}"/>
    <cellStyle name="Percent 116" xfId="1415" xr:uid="{00000000-0005-0000-0000-000087050000}"/>
    <cellStyle name="Percent 117" xfId="1416" xr:uid="{00000000-0005-0000-0000-000088050000}"/>
    <cellStyle name="Percent 118" xfId="1417" xr:uid="{00000000-0005-0000-0000-000089050000}"/>
    <cellStyle name="Percent 119" xfId="1418" xr:uid="{00000000-0005-0000-0000-00008A050000}"/>
    <cellStyle name="Percent 12" xfId="1419" xr:uid="{00000000-0005-0000-0000-00008B050000}"/>
    <cellStyle name="Percent 120" xfId="1420" xr:uid="{00000000-0005-0000-0000-00008C050000}"/>
    <cellStyle name="Percent 121" xfId="1421" xr:uid="{00000000-0005-0000-0000-00008D050000}"/>
    <cellStyle name="Percent 122" xfId="1422" xr:uid="{00000000-0005-0000-0000-00008E050000}"/>
    <cellStyle name="Percent 123" xfId="1423" xr:uid="{00000000-0005-0000-0000-00008F050000}"/>
    <cellStyle name="Percent 124" xfId="1424" xr:uid="{00000000-0005-0000-0000-000090050000}"/>
    <cellStyle name="Percent 125" xfId="1425" xr:uid="{00000000-0005-0000-0000-000091050000}"/>
    <cellStyle name="Percent 126" xfId="1426" xr:uid="{00000000-0005-0000-0000-000092050000}"/>
    <cellStyle name="Percent 127" xfId="1427" xr:uid="{00000000-0005-0000-0000-000093050000}"/>
    <cellStyle name="Percent 128" xfId="1428" xr:uid="{00000000-0005-0000-0000-000094050000}"/>
    <cellStyle name="Percent 13" xfId="1429" xr:uid="{00000000-0005-0000-0000-000095050000}"/>
    <cellStyle name="Percent 14" xfId="1430" xr:uid="{00000000-0005-0000-0000-000096050000}"/>
    <cellStyle name="Percent 15" xfId="1431" xr:uid="{00000000-0005-0000-0000-000097050000}"/>
    <cellStyle name="Percent 16" xfId="1432" xr:uid="{00000000-0005-0000-0000-000098050000}"/>
    <cellStyle name="Percent 17" xfId="1433" xr:uid="{00000000-0005-0000-0000-000099050000}"/>
    <cellStyle name="Percent 18" xfId="1434" xr:uid="{00000000-0005-0000-0000-00009A050000}"/>
    <cellStyle name="Percent 19" xfId="1435" xr:uid="{00000000-0005-0000-0000-00009B050000}"/>
    <cellStyle name="Percent 2" xfId="4" xr:uid="{00000000-0005-0000-0000-000004000000}"/>
    <cellStyle name="Percent 2 2" xfId="1436" xr:uid="{00000000-0005-0000-0000-00009C050000}"/>
    <cellStyle name="Percent 2 2 2" xfId="1437" xr:uid="{00000000-0005-0000-0000-00009D050000}"/>
    <cellStyle name="Percent 2 2 2 2" xfId="1438" xr:uid="{00000000-0005-0000-0000-00009E050000}"/>
    <cellStyle name="Percent 2 2 3" xfId="1439" xr:uid="{00000000-0005-0000-0000-00009F050000}"/>
    <cellStyle name="Percent 2 3" xfId="1440" xr:uid="{00000000-0005-0000-0000-0000A0050000}"/>
    <cellStyle name="Percent 2 3 2" xfId="1441" xr:uid="{00000000-0005-0000-0000-0000A1050000}"/>
    <cellStyle name="Percent 2 3 2 2" xfId="1442" xr:uid="{00000000-0005-0000-0000-0000A2050000}"/>
    <cellStyle name="Percent 2 3 3" xfId="1443" xr:uid="{00000000-0005-0000-0000-0000A3050000}"/>
    <cellStyle name="Percent 2 4" xfId="1444" xr:uid="{00000000-0005-0000-0000-0000A4050000}"/>
    <cellStyle name="Percent 2 4 2" xfId="1445" xr:uid="{00000000-0005-0000-0000-0000A5050000}"/>
    <cellStyle name="Percent 2 4 2 2" xfId="1446" xr:uid="{00000000-0005-0000-0000-0000A6050000}"/>
    <cellStyle name="Percent 2 4 3" xfId="1447" xr:uid="{00000000-0005-0000-0000-0000A7050000}"/>
    <cellStyle name="Percent 2 5" xfId="1448" xr:uid="{00000000-0005-0000-0000-0000A8050000}"/>
    <cellStyle name="Percent 2 6" xfId="1449" xr:uid="{00000000-0005-0000-0000-0000A9050000}"/>
    <cellStyle name="Percent 2 6 2" xfId="1450" xr:uid="{00000000-0005-0000-0000-0000AA050000}"/>
    <cellStyle name="Percent 2 7" xfId="1451" xr:uid="{00000000-0005-0000-0000-0000AB050000}"/>
    <cellStyle name="Percent 2 8" xfId="1452" xr:uid="{00000000-0005-0000-0000-0000AC050000}"/>
    <cellStyle name="percent 2 decimal" xfId="1453" xr:uid="{00000000-0005-0000-0000-0000AD050000}"/>
    <cellStyle name="Percent 20" xfId="1454" xr:uid="{00000000-0005-0000-0000-0000AE050000}"/>
    <cellStyle name="Percent 21" xfId="1455" xr:uid="{00000000-0005-0000-0000-0000AF050000}"/>
    <cellStyle name="Percent 22" xfId="1456" xr:uid="{00000000-0005-0000-0000-0000B0050000}"/>
    <cellStyle name="Percent 23" xfId="1457" xr:uid="{00000000-0005-0000-0000-0000B1050000}"/>
    <cellStyle name="Percent 24" xfId="1458" xr:uid="{00000000-0005-0000-0000-0000B2050000}"/>
    <cellStyle name="Percent 25" xfId="1459" xr:uid="{00000000-0005-0000-0000-0000B3050000}"/>
    <cellStyle name="Percent 26" xfId="1460" xr:uid="{00000000-0005-0000-0000-0000B4050000}"/>
    <cellStyle name="Percent 27" xfId="1461" xr:uid="{00000000-0005-0000-0000-0000B5050000}"/>
    <cellStyle name="Percent 28" xfId="1462" xr:uid="{00000000-0005-0000-0000-0000B6050000}"/>
    <cellStyle name="Percent 29" xfId="1463" xr:uid="{00000000-0005-0000-0000-0000B7050000}"/>
    <cellStyle name="Percent 3" xfId="1464" xr:uid="{00000000-0005-0000-0000-0000B8050000}"/>
    <cellStyle name="Percent 3 2" xfId="1465" xr:uid="{00000000-0005-0000-0000-0000B9050000}"/>
    <cellStyle name="Percent 3 2 2" xfId="1466" xr:uid="{00000000-0005-0000-0000-0000BA050000}"/>
    <cellStyle name="Percent 3 2 2 2" xfId="1467" xr:uid="{00000000-0005-0000-0000-0000BB050000}"/>
    <cellStyle name="Percent 3 2 3" xfId="1468" xr:uid="{00000000-0005-0000-0000-0000BC050000}"/>
    <cellStyle name="Percent 3 3" xfId="1469" xr:uid="{00000000-0005-0000-0000-0000BD050000}"/>
    <cellStyle name="Percent 3 3 2" xfId="1470" xr:uid="{00000000-0005-0000-0000-0000BE050000}"/>
    <cellStyle name="Percent 3 3 2 2" xfId="1471" xr:uid="{00000000-0005-0000-0000-0000BF050000}"/>
    <cellStyle name="Percent 3 3 3" xfId="1472" xr:uid="{00000000-0005-0000-0000-0000C0050000}"/>
    <cellStyle name="Percent 3 4" xfId="1473" xr:uid="{00000000-0005-0000-0000-0000C1050000}"/>
    <cellStyle name="Percent 3 4 2" xfId="1474" xr:uid="{00000000-0005-0000-0000-0000C2050000}"/>
    <cellStyle name="Percent 3 4 2 2" xfId="1475" xr:uid="{00000000-0005-0000-0000-0000C3050000}"/>
    <cellStyle name="Percent 3 4 3" xfId="1476" xr:uid="{00000000-0005-0000-0000-0000C4050000}"/>
    <cellStyle name="Percent 3 5" xfId="1477" xr:uid="{00000000-0005-0000-0000-0000C5050000}"/>
    <cellStyle name="Percent 3 5 2" xfId="1478" xr:uid="{00000000-0005-0000-0000-0000C6050000}"/>
    <cellStyle name="Percent 3 6" xfId="1479" xr:uid="{00000000-0005-0000-0000-0000C7050000}"/>
    <cellStyle name="Percent 30" xfId="1480" xr:uid="{00000000-0005-0000-0000-0000C8050000}"/>
    <cellStyle name="Percent 31" xfId="1481" xr:uid="{00000000-0005-0000-0000-0000C9050000}"/>
    <cellStyle name="Percent 32" xfId="1482" xr:uid="{00000000-0005-0000-0000-0000CA050000}"/>
    <cellStyle name="Percent 33" xfId="1483" xr:uid="{00000000-0005-0000-0000-0000CB050000}"/>
    <cellStyle name="Percent 34" xfId="1484" xr:uid="{00000000-0005-0000-0000-0000CC050000}"/>
    <cellStyle name="Percent 35" xfId="1485" xr:uid="{00000000-0005-0000-0000-0000CD050000}"/>
    <cellStyle name="Percent 36" xfId="1486" xr:uid="{00000000-0005-0000-0000-0000CE050000}"/>
    <cellStyle name="Percent 37" xfId="1487" xr:uid="{00000000-0005-0000-0000-0000CF050000}"/>
    <cellStyle name="Percent 38" xfId="1488" xr:uid="{00000000-0005-0000-0000-0000D0050000}"/>
    <cellStyle name="Percent 39" xfId="1489" xr:uid="{00000000-0005-0000-0000-0000D1050000}"/>
    <cellStyle name="Percent 4" xfId="1490" xr:uid="{00000000-0005-0000-0000-0000D2050000}"/>
    <cellStyle name="Percent 4 2" xfId="1491" xr:uid="{00000000-0005-0000-0000-0000D3050000}"/>
    <cellStyle name="Percent 4 3" xfId="1492" xr:uid="{00000000-0005-0000-0000-0000D4050000}"/>
    <cellStyle name="Percent 40" xfId="1493" xr:uid="{00000000-0005-0000-0000-0000D5050000}"/>
    <cellStyle name="Percent 41" xfId="1494" xr:uid="{00000000-0005-0000-0000-0000D6050000}"/>
    <cellStyle name="Percent 42" xfId="1495" xr:uid="{00000000-0005-0000-0000-0000D7050000}"/>
    <cellStyle name="Percent 43" xfId="1496" xr:uid="{00000000-0005-0000-0000-0000D8050000}"/>
    <cellStyle name="Percent 44" xfId="1497" xr:uid="{00000000-0005-0000-0000-0000D9050000}"/>
    <cellStyle name="Percent 45" xfId="1498" xr:uid="{00000000-0005-0000-0000-0000DA050000}"/>
    <cellStyle name="Percent 46" xfId="1499" xr:uid="{00000000-0005-0000-0000-0000DB050000}"/>
    <cellStyle name="Percent 47" xfId="1500" xr:uid="{00000000-0005-0000-0000-0000DC050000}"/>
    <cellStyle name="Percent 48" xfId="1501" xr:uid="{00000000-0005-0000-0000-0000DD050000}"/>
    <cellStyle name="Percent 49" xfId="1502" xr:uid="{00000000-0005-0000-0000-0000DE050000}"/>
    <cellStyle name="Percent 5" xfId="1503" xr:uid="{00000000-0005-0000-0000-0000DF050000}"/>
    <cellStyle name="Percent 50" xfId="1504" xr:uid="{00000000-0005-0000-0000-0000E0050000}"/>
    <cellStyle name="Percent 51" xfId="1505" xr:uid="{00000000-0005-0000-0000-0000E1050000}"/>
    <cellStyle name="Percent 52" xfId="1506" xr:uid="{00000000-0005-0000-0000-0000E2050000}"/>
    <cellStyle name="Percent 53" xfId="1507" xr:uid="{00000000-0005-0000-0000-0000E3050000}"/>
    <cellStyle name="Percent 54" xfId="1508" xr:uid="{00000000-0005-0000-0000-0000E4050000}"/>
    <cellStyle name="Percent 55" xfId="1509" xr:uid="{00000000-0005-0000-0000-0000E5050000}"/>
    <cellStyle name="Percent 56" xfId="1510" xr:uid="{00000000-0005-0000-0000-0000E6050000}"/>
    <cellStyle name="Percent 57" xfId="1511" xr:uid="{00000000-0005-0000-0000-0000E7050000}"/>
    <cellStyle name="Percent 58" xfId="1512" xr:uid="{00000000-0005-0000-0000-0000E8050000}"/>
    <cellStyle name="Percent 59" xfId="1513" xr:uid="{00000000-0005-0000-0000-0000E9050000}"/>
    <cellStyle name="Percent 6" xfId="1514" xr:uid="{00000000-0005-0000-0000-0000EA050000}"/>
    <cellStyle name="Percent 60" xfId="1515" xr:uid="{00000000-0005-0000-0000-0000EB050000}"/>
    <cellStyle name="Percent 61" xfId="1516" xr:uid="{00000000-0005-0000-0000-0000EC050000}"/>
    <cellStyle name="Percent 62" xfId="1517" xr:uid="{00000000-0005-0000-0000-0000ED050000}"/>
    <cellStyle name="Percent 63" xfId="1518" xr:uid="{00000000-0005-0000-0000-0000EE050000}"/>
    <cellStyle name="Percent 64" xfId="1519" xr:uid="{00000000-0005-0000-0000-0000EF050000}"/>
    <cellStyle name="Percent 65" xfId="1520" xr:uid="{00000000-0005-0000-0000-0000F0050000}"/>
    <cellStyle name="Percent 66" xfId="1521" xr:uid="{00000000-0005-0000-0000-0000F1050000}"/>
    <cellStyle name="Percent 67" xfId="1522" xr:uid="{00000000-0005-0000-0000-0000F2050000}"/>
    <cellStyle name="Percent 68" xfId="1523" xr:uid="{00000000-0005-0000-0000-0000F3050000}"/>
    <cellStyle name="Percent 69" xfId="1524" xr:uid="{00000000-0005-0000-0000-0000F4050000}"/>
    <cellStyle name="Percent 7" xfId="1525" xr:uid="{00000000-0005-0000-0000-0000F5050000}"/>
    <cellStyle name="Percent 70" xfId="1526" xr:uid="{00000000-0005-0000-0000-0000F6050000}"/>
    <cellStyle name="Percent 71" xfId="1527" xr:uid="{00000000-0005-0000-0000-0000F7050000}"/>
    <cellStyle name="Percent 72" xfId="1528" xr:uid="{00000000-0005-0000-0000-0000F8050000}"/>
    <cellStyle name="Percent 73" xfId="1529" xr:uid="{00000000-0005-0000-0000-0000F9050000}"/>
    <cellStyle name="Percent 74" xfId="1530" xr:uid="{00000000-0005-0000-0000-0000FA050000}"/>
    <cellStyle name="Percent 75" xfId="1531" xr:uid="{00000000-0005-0000-0000-0000FB050000}"/>
    <cellStyle name="Percent 76" xfId="1532" xr:uid="{00000000-0005-0000-0000-0000FC050000}"/>
    <cellStyle name="Percent 77" xfId="1533" xr:uid="{00000000-0005-0000-0000-0000FD050000}"/>
    <cellStyle name="Percent 78" xfId="1534" xr:uid="{00000000-0005-0000-0000-0000FE050000}"/>
    <cellStyle name="Percent 79" xfId="1535" xr:uid="{00000000-0005-0000-0000-0000FF050000}"/>
    <cellStyle name="Percent 8" xfId="1536" xr:uid="{00000000-0005-0000-0000-000000060000}"/>
    <cellStyle name="Percent 80" xfId="1537" xr:uid="{00000000-0005-0000-0000-000001060000}"/>
    <cellStyle name="Percent 81" xfId="1538" xr:uid="{00000000-0005-0000-0000-000002060000}"/>
    <cellStyle name="Percent 82" xfId="1539" xr:uid="{00000000-0005-0000-0000-000003060000}"/>
    <cellStyle name="Percent 83" xfId="1540" xr:uid="{00000000-0005-0000-0000-000004060000}"/>
    <cellStyle name="Percent 84" xfId="1541" xr:uid="{00000000-0005-0000-0000-000005060000}"/>
    <cellStyle name="Percent 85" xfId="1542" xr:uid="{00000000-0005-0000-0000-000006060000}"/>
    <cellStyle name="Percent 86" xfId="1543" xr:uid="{00000000-0005-0000-0000-000007060000}"/>
    <cellStyle name="Percent 87" xfId="1544" xr:uid="{00000000-0005-0000-0000-000008060000}"/>
    <cellStyle name="Percent 88" xfId="1545" xr:uid="{00000000-0005-0000-0000-000009060000}"/>
    <cellStyle name="Percent 89" xfId="1546" xr:uid="{00000000-0005-0000-0000-00000A060000}"/>
    <cellStyle name="Percent 9" xfId="1547" xr:uid="{00000000-0005-0000-0000-00000B060000}"/>
    <cellStyle name="Percent 90" xfId="1548" xr:uid="{00000000-0005-0000-0000-00000C060000}"/>
    <cellStyle name="Percent 91" xfId="1549" xr:uid="{00000000-0005-0000-0000-00000D060000}"/>
    <cellStyle name="Percent 92" xfId="1550" xr:uid="{00000000-0005-0000-0000-00000E060000}"/>
    <cellStyle name="Percent 93" xfId="1551" xr:uid="{00000000-0005-0000-0000-00000F060000}"/>
    <cellStyle name="Percent 94" xfId="1552" xr:uid="{00000000-0005-0000-0000-000010060000}"/>
    <cellStyle name="Percent 95" xfId="1553" xr:uid="{00000000-0005-0000-0000-000011060000}"/>
    <cellStyle name="Percent 96" xfId="1554" xr:uid="{00000000-0005-0000-0000-000012060000}"/>
    <cellStyle name="Percent 97" xfId="1555" xr:uid="{00000000-0005-0000-0000-000013060000}"/>
    <cellStyle name="Percent 98" xfId="1556" xr:uid="{00000000-0005-0000-0000-000014060000}"/>
    <cellStyle name="Percent 99" xfId="1557" xr:uid="{00000000-0005-0000-0000-000015060000}"/>
    <cellStyle name="Percent Comma" xfId="1558" xr:uid="{00000000-0005-0000-0000-000016060000}"/>
    <cellStyle name="Percent Hard" xfId="1559" xr:uid="{00000000-0005-0000-0000-000017060000}"/>
    <cellStyle name="Percent Input" xfId="1560" xr:uid="{00000000-0005-0000-0000-000018060000}"/>
    <cellStyle name="percent no decimal" xfId="1561" xr:uid="{00000000-0005-0000-0000-000019060000}"/>
    <cellStyle name="Percent*" xfId="1562" xr:uid="{00000000-0005-0000-0000-00001A060000}"/>
    <cellStyle name="Percent1" xfId="1563" xr:uid="{00000000-0005-0000-0000-00001B060000}"/>
    <cellStyle name="Percent2" xfId="1564" xr:uid="{00000000-0005-0000-0000-00001C060000}"/>
    <cellStyle name="PercentPresentation" xfId="1565" xr:uid="{00000000-0005-0000-0000-00001D060000}"/>
    <cellStyle name="PerShare" xfId="1566" xr:uid="{00000000-0005-0000-0000-00001E060000}"/>
    <cellStyle name="PlainDollar" xfId="1567" xr:uid="{00000000-0005-0000-0000-00001F060000}"/>
    <cellStyle name="PlainDollarBoldwBorders" xfId="1568" xr:uid="{00000000-0005-0000-0000-000020060000}"/>
    <cellStyle name="PlainDollarSS" xfId="1569" xr:uid="{00000000-0005-0000-0000-000021060000}"/>
    <cellStyle name="PlainDollarUndLine" xfId="1570" xr:uid="{00000000-0005-0000-0000-000022060000}"/>
    <cellStyle name="POPS" xfId="1571" xr:uid="{00000000-0005-0000-0000-000023060000}"/>
    <cellStyle name="Population" xfId="1572" xr:uid="{00000000-0005-0000-0000-000024060000}"/>
    <cellStyle name="pound" xfId="1573" xr:uid="{00000000-0005-0000-0000-000025060000}"/>
    <cellStyle name="Pounds2" xfId="1574" xr:uid="{00000000-0005-0000-0000-000026060000}"/>
    <cellStyle name="Presentation" xfId="1575" xr:uid="{00000000-0005-0000-0000-000027060000}"/>
    <cellStyle name="PresentationMargins" xfId="1576" xr:uid="{00000000-0005-0000-0000-000028060000}"/>
    <cellStyle name="PresentationTitle" xfId="1577" xr:uid="{00000000-0005-0000-0000-000029060000}"/>
    <cellStyle name="PresentationZero" xfId="1578" xr:uid="{00000000-0005-0000-0000-00002A060000}"/>
    <cellStyle name="Price" xfId="1579" xr:uid="{00000000-0005-0000-0000-00002B060000}"/>
    <cellStyle name="PriceDecimal" xfId="1580" xr:uid="{00000000-0005-0000-0000-00002C060000}"/>
    <cellStyle name="Private" xfId="1581" xr:uid="{00000000-0005-0000-0000-00002D060000}"/>
    <cellStyle name="Private1" xfId="1582" xr:uid="{00000000-0005-0000-0000-00002E060000}"/>
    <cellStyle name="PSChar" xfId="1583" xr:uid="{00000000-0005-0000-0000-00002F060000}"/>
    <cellStyle name="PSDate" xfId="1584" xr:uid="{00000000-0005-0000-0000-000030060000}"/>
    <cellStyle name="PSDec" xfId="1585" xr:uid="{00000000-0005-0000-0000-000031060000}"/>
    <cellStyle name="PSHeading" xfId="1586" xr:uid="{00000000-0005-0000-0000-000032060000}"/>
    <cellStyle name="PSInt" xfId="1587" xr:uid="{00000000-0005-0000-0000-000033060000}"/>
    <cellStyle name="PSSpacer" xfId="1588" xr:uid="{00000000-0005-0000-0000-000034060000}"/>
    <cellStyle name="PTEscuados" xfId="1589" xr:uid="{00000000-0005-0000-0000-000035060000}"/>
    <cellStyle name="Ratio" xfId="1590" xr:uid="{00000000-0005-0000-0000-000036060000}"/>
    <cellStyle name="Ratio Comma" xfId="1591" xr:uid="{00000000-0005-0000-0000-000037060000}"/>
    <cellStyle name="Ratio_bigtexmodel14" xfId="1592" xr:uid="{00000000-0005-0000-0000-000038060000}"/>
    <cellStyle name="Red Text" xfId="1593" xr:uid="{00000000-0005-0000-0000-000039060000}"/>
    <cellStyle name="regstoresfromspecstores" xfId="1594" xr:uid="{00000000-0005-0000-0000-00003A060000}"/>
    <cellStyle name="Report" xfId="1595" xr:uid="{00000000-0005-0000-0000-00003B060000}"/>
    <cellStyle name="RevList" xfId="1596" xr:uid="{00000000-0005-0000-0000-00003C060000}"/>
    <cellStyle name="RevList 2" xfId="1597" xr:uid="{00000000-0005-0000-0000-00003D060000}"/>
    <cellStyle name="Right" xfId="1598" xr:uid="{00000000-0005-0000-0000-00003E060000}"/>
    <cellStyle name="Row Headings" xfId="1599" xr:uid="{00000000-0005-0000-0000-00003F060000}"/>
    <cellStyle name="Row Sub Total" xfId="1600" xr:uid="{00000000-0005-0000-0000-000040060000}"/>
    <cellStyle name="Row Title 1" xfId="1601" xr:uid="{00000000-0005-0000-0000-000041060000}"/>
    <cellStyle name="Row Title 2" xfId="1602" xr:uid="{00000000-0005-0000-0000-000042060000}"/>
    <cellStyle name="Row Title 3" xfId="1603" xr:uid="{00000000-0005-0000-0000-000043060000}"/>
    <cellStyle name="Row Total" xfId="1604" xr:uid="{00000000-0005-0000-0000-000044060000}"/>
    <cellStyle name="Salomon Logo" xfId="1605" xr:uid="{00000000-0005-0000-0000-000045060000}"/>
    <cellStyle name="Section" xfId="1606" xr:uid="{00000000-0005-0000-0000-000046060000}"/>
    <cellStyle name="Shaded" xfId="1607" xr:uid="{00000000-0005-0000-0000-000047060000}"/>
    <cellStyle name="SHADEDSTORES" xfId="1608" xr:uid="{00000000-0005-0000-0000-000048060000}"/>
    <cellStyle name="Shares" xfId="1609" xr:uid="{00000000-0005-0000-0000-000049060000}"/>
    <cellStyle name="Sheetmult" xfId="1610" xr:uid="{00000000-0005-0000-0000-00004A060000}"/>
    <cellStyle name="Shtmultx" xfId="1611" xr:uid="{00000000-0005-0000-0000-00004B060000}"/>
    <cellStyle name="Single Accounting" xfId="1612" xr:uid="{00000000-0005-0000-0000-00004C060000}"/>
    <cellStyle name="specstores" xfId="1613" xr:uid="{00000000-0005-0000-0000-00004D060000}"/>
    <cellStyle name="Sr Nts" xfId="1614" xr:uid="{00000000-0005-0000-0000-00004E060000}"/>
    <cellStyle name="SS Col Hdr" xfId="1615" xr:uid="{00000000-0005-0000-0000-00004F060000}"/>
    <cellStyle name="SS Dim 1 Blank" xfId="1616" xr:uid="{00000000-0005-0000-0000-000050060000}"/>
    <cellStyle name="SS Dim 1 Title" xfId="1617" xr:uid="{00000000-0005-0000-0000-000051060000}"/>
    <cellStyle name="SS Dim 1 Value" xfId="1618" xr:uid="{00000000-0005-0000-0000-000052060000}"/>
    <cellStyle name="SS Dim 2 Blank" xfId="1619" xr:uid="{00000000-0005-0000-0000-000053060000}"/>
    <cellStyle name="SS Dim 2 Title" xfId="1620" xr:uid="{00000000-0005-0000-0000-000054060000}"/>
    <cellStyle name="SS Dim 2 Value" xfId="1621" xr:uid="{00000000-0005-0000-0000-000055060000}"/>
    <cellStyle name="SS Dim 3 Blank" xfId="1622" xr:uid="{00000000-0005-0000-0000-000056060000}"/>
    <cellStyle name="SS Dim 3 Title" xfId="1623" xr:uid="{00000000-0005-0000-0000-000057060000}"/>
    <cellStyle name="SS Dim 3 Value" xfId="1624" xr:uid="{00000000-0005-0000-0000-000058060000}"/>
    <cellStyle name="SS Dim 4 Blank" xfId="1625" xr:uid="{00000000-0005-0000-0000-000059060000}"/>
    <cellStyle name="SS Dim 4 Title" xfId="1626" xr:uid="{00000000-0005-0000-0000-00005A060000}"/>
    <cellStyle name="SS Dim 4 Value" xfId="1627" xr:uid="{00000000-0005-0000-0000-00005B060000}"/>
    <cellStyle name="SS Dim 5 Blank" xfId="1628" xr:uid="{00000000-0005-0000-0000-00005C060000}"/>
    <cellStyle name="SS Dim 5 Title" xfId="1629" xr:uid="{00000000-0005-0000-0000-00005D060000}"/>
    <cellStyle name="SS Dim 5 Value" xfId="1630" xr:uid="{00000000-0005-0000-0000-00005E060000}"/>
    <cellStyle name="SS Other Measure" xfId="1631" xr:uid="{00000000-0005-0000-0000-00005F060000}"/>
    <cellStyle name="SS Sum Measure" xfId="1632" xr:uid="{00000000-0005-0000-0000-000060060000}"/>
    <cellStyle name="SS Unbound Dim" xfId="1633" xr:uid="{00000000-0005-0000-0000-000061060000}"/>
    <cellStyle name="SS WAvg Measure" xfId="1634" xr:uid="{00000000-0005-0000-0000-000062060000}"/>
    <cellStyle name="Standaard_TELECOM" xfId="1635" xr:uid="{00000000-0005-0000-0000-000063060000}"/>
    <cellStyle name="Standard_Anpassen der Amortisation" xfId="1636" xr:uid="{00000000-0005-0000-0000-000064060000}"/>
    <cellStyle name="Stock Comma" xfId="1637" xr:uid="{00000000-0005-0000-0000-000065060000}"/>
    <cellStyle name="Stock Price" xfId="1638" xr:uid="{00000000-0005-0000-0000-000066060000}"/>
    <cellStyle name="StockPrice" xfId="1639" xr:uid="{00000000-0005-0000-0000-000067060000}"/>
    <cellStyle name="Style 1" xfId="1640" xr:uid="{00000000-0005-0000-0000-000068060000}"/>
    <cellStyle name="Style 1 2" xfId="1641" xr:uid="{00000000-0005-0000-0000-000069060000}"/>
    <cellStyle name="Style 1 3" xfId="1642" xr:uid="{00000000-0005-0000-0000-00006A060000}"/>
    <cellStyle name="Style 1 4" xfId="1643" xr:uid="{00000000-0005-0000-0000-00006B060000}"/>
    <cellStyle name="Style 10" xfId="1644" xr:uid="{00000000-0005-0000-0000-00006C060000}"/>
    <cellStyle name="Style 11" xfId="1645" xr:uid="{00000000-0005-0000-0000-00006D060000}"/>
    <cellStyle name="Style 12" xfId="1646" xr:uid="{00000000-0005-0000-0000-00006E060000}"/>
    <cellStyle name="Style 13" xfId="1647" xr:uid="{00000000-0005-0000-0000-00006F060000}"/>
    <cellStyle name="Style 14" xfId="1648" xr:uid="{00000000-0005-0000-0000-000070060000}"/>
    <cellStyle name="Style 15" xfId="1649" xr:uid="{00000000-0005-0000-0000-000071060000}"/>
    <cellStyle name="Style 16" xfId="1650" xr:uid="{00000000-0005-0000-0000-000072060000}"/>
    <cellStyle name="Style 17" xfId="1651" xr:uid="{00000000-0005-0000-0000-000073060000}"/>
    <cellStyle name="Style 18" xfId="1652" xr:uid="{00000000-0005-0000-0000-000074060000}"/>
    <cellStyle name="Style 19" xfId="1653" xr:uid="{00000000-0005-0000-0000-000075060000}"/>
    <cellStyle name="Style 2" xfId="1654" xr:uid="{00000000-0005-0000-0000-000076060000}"/>
    <cellStyle name="Style 20" xfId="1655" xr:uid="{00000000-0005-0000-0000-000077060000}"/>
    <cellStyle name="Style 21" xfId="1656" xr:uid="{00000000-0005-0000-0000-000078060000}"/>
    <cellStyle name="Style 22" xfId="1657" xr:uid="{00000000-0005-0000-0000-000079060000}"/>
    <cellStyle name="Style 23" xfId="1658" xr:uid="{00000000-0005-0000-0000-00007A060000}"/>
    <cellStyle name="Style 24" xfId="1659" xr:uid="{00000000-0005-0000-0000-00007B060000}"/>
    <cellStyle name="Style 25" xfId="1660" xr:uid="{00000000-0005-0000-0000-00007C060000}"/>
    <cellStyle name="Style 26" xfId="1661" xr:uid="{00000000-0005-0000-0000-00007D060000}"/>
    <cellStyle name="Style 27" xfId="1662" xr:uid="{00000000-0005-0000-0000-00007E060000}"/>
    <cellStyle name="Style 28" xfId="1663" xr:uid="{00000000-0005-0000-0000-00007F060000}"/>
    <cellStyle name="Style 29" xfId="1664" xr:uid="{00000000-0005-0000-0000-000080060000}"/>
    <cellStyle name="Style 3" xfId="1665" xr:uid="{00000000-0005-0000-0000-000081060000}"/>
    <cellStyle name="Style 30" xfId="1666" xr:uid="{00000000-0005-0000-0000-000082060000}"/>
    <cellStyle name="Style 31" xfId="1667" xr:uid="{00000000-0005-0000-0000-000083060000}"/>
    <cellStyle name="Style 32" xfId="1668" xr:uid="{00000000-0005-0000-0000-000084060000}"/>
    <cellStyle name="Style 33" xfId="1669" xr:uid="{00000000-0005-0000-0000-000085060000}"/>
    <cellStyle name="Style 34" xfId="1670" xr:uid="{00000000-0005-0000-0000-000086060000}"/>
    <cellStyle name="Style 35" xfId="1671" xr:uid="{00000000-0005-0000-0000-000087060000}"/>
    <cellStyle name="Style 36" xfId="1672" xr:uid="{00000000-0005-0000-0000-000088060000}"/>
    <cellStyle name="Style 37" xfId="1673" xr:uid="{00000000-0005-0000-0000-000089060000}"/>
    <cellStyle name="Style 38" xfId="1674" xr:uid="{00000000-0005-0000-0000-00008A060000}"/>
    <cellStyle name="Style 39" xfId="1675" xr:uid="{00000000-0005-0000-0000-00008B060000}"/>
    <cellStyle name="Style 4" xfId="1676" xr:uid="{00000000-0005-0000-0000-00008C060000}"/>
    <cellStyle name="Style 40" xfId="1677" xr:uid="{00000000-0005-0000-0000-00008D060000}"/>
    <cellStyle name="Style 41" xfId="1678" xr:uid="{00000000-0005-0000-0000-00008E060000}"/>
    <cellStyle name="Style 42" xfId="1679" xr:uid="{00000000-0005-0000-0000-00008F060000}"/>
    <cellStyle name="Style 43" xfId="1680" xr:uid="{00000000-0005-0000-0000-000090060000}"/>
    <cellStyle name="Style 44" xfId="1681" xr:uid="{00000000-0005-0000-0000-000091060000}"/>
    <cellStyle name="Style 45" xfId="1682" xr:uid="{00000000-0005-0000-0000-000092060000}"/>
    <cellStyle name="Style 46" xfId="1683" xr:uid="{00000000-0005-0000-0000-000093060000}"/>
    <cellStyle name="Style 47" xfId="1684" xr:uid="{00000000-0005-0000-0000-000094060000}"/>
    <cellStyle name="Style 48" xfId="1685" xr:uid="{00000000-0005-0000-0000-000095060000}"/>
    <cellStyle name="Style 49" xfId="1686" xr:uid="{00000000-0005-0000-0000-000096060000}"/>
    <cellStyle name="Style 5" xfId="1687" xr:uid="{00000000-0005-0000-0000-000097060000}"/>
    <cellStyle name="Style 50" xfId="1688" xr:uid="{00000000-0005-0000-0000-000098060000}"/>
    <cellStyle name="Style 50 2" xfId="1689" xr:uid="{00000000-0005-0000-0000-000099060000}"/>
    <cellStyle name="Style 51" xfId="1690" xr:uid="{00000000-0005-0000-0000-00009A060000}"/>
    <cellStyle name="Style 52" xfId="1691" xr:uid="{00000000-0005-0000-0000-00009B060000}"/>
    <cellStyle name="Style 53" xfId="1692" xr:uid="{00000000-0005-0000-0000-00009C060000}"/>
    <cellStyle name="Style 54" xfId="1693" xr:uid="{00000000-0005-0000-0000-00009D060000}"/>
    <cellStyle name="Style 55" xfId="1694" xr:uid="{00000000-0005-0000-0000-00009E060000}"/>
    <cellStyle name="Style 56" xfId="1695" xr:uid="{00000000-0005-0000-0000-00009F060000}"/>
    <cellStyle name="Style 57" xfId="1696" xr:uid="{00000000-0005-0000-0000-0000A0060000}"/>
    <cellStyle name="Style 58" xfId="1697" xr:uid="{00000000-0005-0000-0000-0000A1060000}"/>
    <cellStyle name="Style 59" xfId="1698" xr:uid="{00000000-0005-0000-0000-0000A2060000}"/>
    <cellStyle name="Style 6" xfId="1699" xr:uid="{00000000-0005-0000-0000-0000A3060000}"/>
    <cellStyle name="Style 60" xfId="1700" xr:uid="{00000000-0005-0000-0000-0000A4060000}"/>
    <cellStyle name="Style 61" xfId="1701" xr:uid="{00000000-0005-0000-0000-0000A5060000}"/>
    <cellStyle name="Style 62" xfId="1702" xr:uid="{00000000-0005-0000-0000-0000A6060000}"/>
    <cellStyle name="Style 63" xfId="1703" xr:uid="{00000000-0005-0000-0000-0000A7060000}"/>
    <cellStyle name="Style 64" xfId="1704" xr:uid="{00000000-0005-0000-0000-0000A8060000}"/>
    <cellStyle name="Style 65" xfId="1705" xr:uid="{00000000-0005-0000-0000-0000A9060000}"/>
    <cellStyle name="Style 66" xfId="1706" xr:uid="{00000000-0005-0000-0000-0000AA060000}"/>
    <cellStyle name="Style 67" xfId="1707" xr:uid="{00000000-0005-0000-0000-0000AB060000}"/>
    <cellStyle name="Style 68" xfId="1708" xr:uid="{00000000-0005-0000-0000-0000AC060000}"/>
    <cellStyle name="Style 69" xfId="1709" xr:uid="{00000000-0005-0000-0000-0000AD060000}"/>
    <cellStyle name="Style 7" xfId="1710" xr:uid="{00000000-0005-0000-0000-0000AE060000}"/>
    <cellStyle name="Style 70" xfId="1711" xr:uid="{00000000-0005-0000-0000-0000AF060000}"/>
    <cellStyle name="Style 71" xfId="1712" xr:uid="{00000000-0005-0000-0000-0000B0060000}"/>
    <cellStyle name="Style 72" xfId="1713" xr:uid="{00000000-0005-0000-0000-0000B1060000}"/>
    <cellStyle name="Style 73" xfId="1714" xr:uid="{00000000-0005-0000-0000-0000B2060000}"/>
    <cellStyle name="Style 74" xfId="1715" xr:uid="{00000000-0005-0000-0000-0000B3060000}"/>
    <cellStyle name="Style 75" xfId="1716" xr:uid="{00000000-0005-0000-0000-0000B4060000}"/>
    <cellStyle name="Style 76" xfId="1717" xr:uid="{00000000-0005-0000-0000-0000B5060000}"/>
    <cellStyle name="Style 77" xfId="1718" xr:uid="{00000000-0005-0000-0000-0000B6060000}"/>
    <cellStyle name="Style 78" xfId="1719" xr:uid="{00000000-0005-0000-0000-0000B7060000}"/>
    <cellStyle name="Style 79" xfId="1720" xr:uid="{00000000-0005-0000-0000-0000B8060000}"/>
    <cellStyle name="Style 8" xfId="1721" xr:uid="{00000000-0005-0000-0000-0000B9060000}"/>
    <cellStyle name="Style 80" xfId="1722" xr:uid="{00000000-0005-0000-0000-0000BA060000}"/>
    <cellStyle name="Style 81" xfId="1723" xr:uid="{00000000-0005-0000-0000-0000BB060000}"/>
    <cellStyle name="Style 82" xfId="1724" xr:uid="{00000000-0005-0000-0000-0000BC060000}"/>
    <cellStyle name="Style 83" xfId="1725" xr:uid="{00000000-0005-0000-0000-0000BD060000}"/>
    <cellStyle name="Style 84" xfId="1726" xr:uid="{00000000-0005-0000-0000-0000BE060000}"/>
    <cellStyle name="Style 85" xfId="1727" xr:uid="{00000000-0005-0000-0000-0000BF060000}"/>
    <cellStyle name="Style 86" xfId="1728" xr:uid="{00000000-0005-0000-0000-0000C0060000}"/>
    <cellStyle name="Style 87" xfId="1729" xr:uid="{00000000-0005-0000-0000-0000C1060000}"/>
    <cellStyle name="Style 88" xfId="1730" xr:uid="{00000000-0005-0000-0000-0000C2060000}"/>
    <cellStyle name="Style 89" xfId="1731" xr:uid="{00000000-0005-0000-0000-0000C3060000}"/>
    <cellStyle name="Style 9" xfId="1732" xr:uid="{00000000-0005-0000-0000-0000C4060000}"/>
    <cellStyle name="Style 90" xfId="1733" xr:uid="{00000000-0005-0000-0000-0000C5060000}"/>
    <cellStyle name="Style 91" xfId="1734" xr:uid="{00000000-0005-0000-0000-0000C6060000}"/>
    <cellStyle name="Style 92" xfId="1735" xr:uid="{00000000-0005-0000-0000-0000C7060000}"/>
    <cellStyle name="Style 93" xfId="1736" xr:uid="{00000000-0005-0000-0000-0000C8060000}"/>
    <cellStyle name="Style 94" xfId="1737" xr:uid="{00000000-0005-0000-0000-0000C9060000}"/>
    <cellStyle name="Style 95" xfId="1738" xr:uid="{00000000-0005-0000-0000-0000CA060000}"/>
    <cellStyle name="Style 96" xfId="1739" xr:uid="{00000000-0005-0000-0000-0000CB060000}"/>
    <cellStyle name="SubDollar" xfId="1740" xr:uid="{00000000-0005-0000-0000-0000CC060000}"/>
    <cellStyle name="SubGrowth" xfId="1741" xr:uid="{00000000-0005-0000-0000-0000CD060000}"/>
    <cellStyle name="SubGrowthRate" xfId="1742" xr:uid="{00000000-0005-0000-0000-0000CE060000}"/>
    <cellStyle name="Subhead" xfId="1743" xr:uid="{00000000-0005-0000-0000-0000CF060000}"/>
    <cellStyle name="SubMargins" xfId="1744" xr:uid="{00000000-0005-0000-0000-0000D0060000}"/>
    <cellStyle name="SubPenetration" xfId="1745" xr:uid="{00000000-0005-0000-0000-0000D1060000}"/>
    <cellStyle name="Subscribers" xfId="1746" xr:uid="{00000000-0005-0000-0000-0000D2060000}"/>
    <cellStyle name="subscribes" xfId="1747" xr:uid="{00000000-0005-0000-0000-0000D3060000}"/>
    <cellStyle name="Subtotal" xfId="1748" xr:uid="{00000000-0005-0000-0000-0000D4060000}"/>
    <cellStyle name="SubVariable" xfId="1749" xr:uid="{00000000-0005-0000-0000-0000D5060000}"/>
    <cellStyle name="Summary" xfId="1750" xr:uid="{00000000-0005-0000-0000-0000D6060000}"/>
    <cellStyle name="Swedish Krona" xfId="1751" xr:uid="{00000000-0005-0000-0000-0000D7060000}"/>
    <cellStyle name="SymbolBlue" xfId="1752" xr:uid="{00000000-0005-0000-0000-0000D8060000}"/>
    <cellStyle name="t" xfId="1753" xr:uid="{00000000-0005-0000-0000-0000D9060000}"/>
    <cellStyle name="t_324470_2" xfId="1754" xr:uid="{00000000-0005-0000-0000-0000DA060000}"/>
    <cellStyle name="t_5293350_1" xfId="1755" xr:uid="{00000000-0005-0000-0000-0000DB060000}"/>
    <cellStyle name="t_Exchange Ratio Analysis" xfId="1756" xr:uid="{00000000-0005-0000-0000-0000DC060000}"/>
    <cellStyle name="t_Exchange Ratio Analysis_Project Kentucky Derby Model v75" xfId="1757" xr:uid="{00000000-0005-0000-0000-0000DD060000}"/>
    <cellStyle name="t_Exchange Ratio Analysis_Project Kentucky Derby Model v76" xfId="1758" xr:uid="{00000000-0005-0000-0000-0000DE060000}"/>
    <cellStyle name="t_Scratch" xfId="1759" xr:uid="{00000000-0005-0000-0000-0000DF060000}"/>
    <cellStyle name="t_Viacom Profile" xfId="1760" xr:uid="{00000000-0005-0000-0000-0000E0060000}"/>
    <cellStyle name="Table Col Head" xfId="1761" xr:uid="{00000000-0005-0000-0000-0000E1060000}"/>
    <cellStyle name="Table Head" xfId="1762" xr:uid="{00000000-0005-0000-0000-0000E2060000}"/>
    <cellStyle name="Table Head Aligned" xfId="1763" xr:uid="{00000000-0005-0000-0000-0000E3060000}"/>
    <cellStyle name="Table Head Blue" xfId="1764" xr:uid="{00000000-0005-0000-0000-0000E4060000}"/>
    <cellStyle name="Table Head Green" xfId="1765" xr:uid="{00000000-0005-0000-0000-0000E5060000}"/>
    <cellStyle name="Table Head_% Change" xfId="1766" xr:uid="{00000000-0005-0000-0000-0000E6060000}"/>
    <cellStyle name="Table Heading" xfId="1767" xr:uid="{00000000-0005-0000-0000-0000E7060000}"/>
    <cellStyle name="Table Source" xfId="1768" xr:uid="{00000000-0005-0000-0000-0000E8060000}"/>
    <cellStyle name="Table Sub Head" xfId="1769" xr:uid="{00000000-0005-0000-0000-0000E9060000}"/>
    <cellStyle name="Table Text" xfId="1770" xr:uid="{00000000-0005-0000-0000-0000EA060000}"/>
    <cellStyle name="Table Title" xfId="1771" xr:uid="{00000000-0005-0000-0000-0000EB060000}"/>
    <cellStyle name="Table Units" xfId="1772" xr:uid="{00000000-0005-0000-0000-0000EC060000}"/>
    <cellStyle name="Table Units 2" xfId="1773" xr:uid="{00000000-0005-0000-0000-0000ED060000}"/>
    <cellStyle name="Table Units 3" xfId="1774" xr:uid="{00000000-0005-0000-0000-0000EE060000}"/>
    <cellStyle name="Table Units 4" xfId="1775" xr:uid="{00000000-0005-0000-0000-0000EF060000}"/>
    <cellStyle name="Table_Header" xfId="1776" xr:uid="{00000000-0005-0000-0000-0000F0060000}"/>
    <cellStyle name="TableBase" xfId="1777" xr:uid="{00000000-0005-0000-0000-0000F1060000}"/>
    <cellStyle name="TableBody" xfId="1778" xr:uid="{00000000-0005-0000-0000-0000F2060000}"/>
    <cellStyle name="TableBodyR" xfId="1779" xr:uid="{00000000-0005-0000-0000-0000F3060000}"/>
    <cellStyle name="TableColHeads" xfId="1780" xr:uid="{00000000-0005-0000-0000-0000F4060000}"/>
    <cellStyle name="TableHead" xfId="1781" xr:uid="{00000000-0005-0000-0000-0000F5060000}"/>
    <cellStyle name="Test" xfId="1782" xr:uid="{00000000-0005-0000-0000-0000F6060000}"/>
    <cellStyle name="Text" xfId="1783" xr:uid="{00000000-0005-0000-0000-0000F7060000}"/>
    <cellStyle name="Text 1" xfId="1784" xr:uid="{00000000-0005-0000-0000-0000F8060000}"/>
    <cellStyle name="Text 2" xfId="1785" xr:uid="{00000000-0005-0000-0000-0000F9060000}"/>
    <cellStyle name="Text Head" xfId="1786" xr:uid="{00000000-0005-0000-0000-0000FA060000}"/>
    <cellStyle name="Text Head 1" xfId="1787" xr:uid="{00000000-0005-0000-0000-0000FB060000}"/>
    <cellStyle name="Text Head 2" xfId="1788" xr:uid="{00000000-0005-0000-0000-0000FC060000}"/>
    <cellStyle name="Text Head_PCS Valuation vbb" xfId="1789" xr:uid="{00000000-0005-0000-0000-0000FD060000}"/>
    <cellStyle name="Text Indent 1" xfId="1790" xr:uid="{00000000-0005-0000-0000-0000FE060000}"/>
    <cellStyle name="Text Indent 2" xfId="1791" xr:uid="{00000000-0005-0000-0000-0000FF060000}"/>
    <cellStyle name="Text_Exchange Ratio Analysis" xfId="1792" xr:uid="{00000000-0005-0000-0000-000000070000}"/>
    <cellStyle name="threedecplace" xfId="1793" xr:uid="{00000000-0005-0000-0000-000001070000}"/>
    <cellStyle name="Ticker" xfId="1794" xr:uid="{00000000-0005-0000-0000-000002070000}"/>
    <cellStyle name="Time" xfId="1795" xr:uid="{00000000-0005-0000-0000-000003070000}"/>
    <cellStyle name="Time Strip" xfId="1796" xr:uid="{00000000-0005-0000-0000-000004070000}"/>
    <cellStyle name="Times 10" xfId="1797" xr:uid="{00000000-0005-0000-0000-000005070000}"/>
    <cellStyle name="Times 12" xfId="1798" xr:uid="{00000000-0005-0000-0000-000006070000}"/>
    <cellStyle name="Tina" xfId="1799" xr:uid="{00000000-0005-0000-0000-000007070000}"/>
    <cellStyle name="Title II" xfId="1800" xr:uid="{00000000-0005-0000-0000-000008070000}"/>
    <cellStyle name="Title1" xfId="1801" xr:uid="{00000000-0005-0000-0000-000009070000}"/>
    <cellStyle name="Title2" xfId="1802" xr:uid="{00000000-0005-0000-0000-00000A070000}"/>
    <cellStyle name="TitleII" xfId="1803" xr:uid="{00000000-0005-0000-0000-00000B070000}"/>
    <cellStyle name="TitleSub" xfId="1804" xr:uid="{00000000-0005-0000-0000-00000C070000}"/>
    <cellStyle name="TOC 1" xfId="1805" xr:uid="{00000000-0005-0000-0000-00000D070000}"/>
    <cellStyle name="TOC 2" xfId="1806" xr:uid="{00000000-0005-0000-0000-00000E070000}"/>
    <cellStyle name="tom" xfId="1807" xr:uid="{00000000-0005-0000-0000-00000F070000}"/>
    <cellStyle name="Top Edge" xfId="1808" xr:uid="{00000000-0005-0000-0000-000010070000}"/>
    <cellStyle name="TopGrey" xfId="1809" xr:uid="{00000000-0005-0000-0000-000011070000}"/>
    <cellStyle name="Total 2" xfId="1810" xr:uid="{00000000-0005-0000-0000-000012070000}"/>
    <cellStyle name="Total Currency" xfId="1811" xr:uid="{00000000-0005-0000-0000-000013070000}"/>
    <cellStyle name="Total Normal" xfId="1812" xr:uid="{00000000-0005-0000-0000-000014070000}"/>
    <cellStyle name="TotalCurrency" xfId="1813" xr:uid="{00000000-0005-0000-0000-000015070000}"/>
    <cellStyle name="TwoDecimal" xfId="1814" xr:uid="{00000000-0005-0000-0000-000016070000}"/>
    <cellStyle name="twodecplace" xfId="1815" xr:uid="{00000000-0005-0000-0000-000017070000}"/>
    <cellStyle name="ubordinated Debt" xfId="1816" xr:uid="{00000000-0005-0000-0000-000018070000}"/>
    <cellStyle name="under" xfId="1817" xr:uid="{00000000-0005-0000-0000-000019070000}"/>
    <cellStyle name="underline 1 decimal" xfId="1818" xr:uid="{00000000-0005-0000-0000-00001A070000}"/>
    <cellStyle name="underline 2 decimals" xfId="1819" xr:uid="{00000000-0005-0000-0000-00001B070000}"/>
    <cellStyle name="underline flush left" xfId="1820" xr:uid="{00000000-0005-0000-0000-00001C070000}"/>
    <cellStyle name="underline no decimals" xfId="1821" xr:uid="{00000000-0005-0000-0000-00001D070000}"/>
    <cellStyle name="Underline_Single" xfId="1822" xr:uid="{00000000-0005-0000-0000-00001E070000}"/>
    <cellStyle name="UnitPrice" xfId="1823" xr:uid="{00000000-0005-0000-0000-00001F070000}"/>
    <cellStyle name="Units" xfId="1824" xr:uid="{00000000-0005-0000-0000-000020070000}"/>
    <cellStyle name="Unprot" xfId="1825" xr:uid="{00000000-0005-0000-0000-000021070000}"/>
    <cellStyle name="Unprot$" xfId="1826" xr:uid="{00000000-0005-0000-0000-000022070000}"/>
    <cellStyle name="Unprotect" xfId="1827" xr:uid="{00000000-0005-0000-0000-000023070000}"/>
    <cellStyle name="Upload Only" xfId="1828" xr:uid="{00000000-0005-0000-0000-000024070000}"/>
    <cellStyle name="Valuation" xfId="1829" xr:uid="{00000000-0005-0000-0000-000025070000}"/>
    <cellStyle name="Valuation Bold" xfId="1830" xr:uid="{00000000-0005-0000-0000-000026070000}"/>
    <cellStyle name="Valuta_Company Summary (2)" xfId="1831" xr:uid="{00000000-0005-0000-0000-000027070000}"/>
    <cellStyle name="w" xfId="1832" xr:uid="{00000000-0005-0000-0000-000028070000}"/>
    <cellStyle name="w_6hpd04_" xfId="1833" xr:uid="{00000000-0005-0000-0000-000029070000}"/>
    <cellStyle name="w_7f1801_" xfId="1834" xr:uid="{00000000-0005-0000-0000-00002A070000}"/>
    <cellStyle name="w_7ggf02_" xfId="1835" xr:uid="{00000000-0005-0000-0000-00002B070000}"/>
    <cellStyle name="w_7PHY01_" xfId="1836" xr:uid="{00000000-0005-0000-0000-00002C070000}"/>
    <cellStyle name="w_7tby02_" xfId="1837" xr:uid="{00000000-0005-0000-0000-00002D070000}"/>
    <cellStyle name="w_WACC" xfId="1838" xr:uid="{00000000-0005-0000-0000-00002E070000}"/>
    <cellStyle name="Währung [0]_Compiling Utility Macros" xfId="1839" xr:uid="{00000000-0005-0000-0000-00002F070000}"/>
    <cellStyle name="Währung_Compiling Utility Macros" xfId="1840" xr:uid="{00000000-0005-0000-0000-000030070000}"/>
    <cellStyle name="Warning Text 2" xfId="1841" xr:uid="{00000000-0005-0000-0000-000031070000}"/>
    <cellStyle name="Web Row Title 1" xfId="1842" xr:uid="{00000000-0005-0000-0000-000032070000}"/>
    <cellStyle name="Web Row Title 2" xfId="1843" xr:uid="{00000000-0005-0000-0000-000033070000}"/>
    <cellStyle name="Web_ Row Title 1" xfId="1844" xr:uid="{00000000-0005-0000-0000-000034070000}"/>
    <cellStyle name="WhitePattern" xfId="1845" xr:uid="{00000000-0005-0000-0000-000035070000}"/>
    <cellStyle name="WhitePattern1" xfId="1846" xr:uid="{00000000-0005-0000-0000-000036070000}"/>
    <cellStyle name="WhiteText" xfId="1847" xr:uid="{00000000-0005-0000-0000-000037070000}"/>
    <cellStyle name="WholeNumber" xfId="1848" xr:uid="{00000000-0005-0000-0000-000038070000}"/>
    <cellStyle name="WingdingsBlack" xfId="1849" xr:uid="{00000000-0005-0000-0000-000039070000}"/>
    <cellStyle name="WingdingsRed" xfId="1850" xr:uid="{00000000-0005-0000-0000-00003A070000}"/>
    <cellStyle name="WingdingsWhite" xfId="1851" xr:uid="{00000000-0005-0000-0000-00003B070000}"/>
    <cellStyle name="X" xfId="1852" xr:uid="{00000000-0005-0000-0000-00003C070000}"/>
    <cellStyle name="X - None" xfId="1853" xr:uid="{00000000-0005-0000-0000-00003D070000}"/>
    <cellStyle name="X_5515616_3" xfId="1854" xr:uid="{00000000-0005-0000-0000-00003E070000}"/>
    <cellStyle name="X_5515616_3_5401007_6" xfId="1855" xr:uid="{00000000-0005-0000-0000-00003F070000}"/>
    <cellStyle name="X_5515616_3_5401007_6_Project Kentucky Derby Model v75" xfId="1856" xr:uid="{00000000-0005-0000-0000-000040070000}"/>
    <cellStyle name="X_5515616_3_5401007_6_Project Kentucky Derby Model v76" xfId="1857" xr:uid="{00000000-0005-0000-0000-000041070000}"/>
    <cellStyle name="X_5515616_3_5401007_6_SBSAModel116(Company)" xfId="1858" xr:uid="{00000000-0005-0000-0000-000042070000}"/>
    <cellStyle name="X_5515616_3_5963478_1" xfId="1859" xr:uid="{00000000-0005-0000-0000-000043070000}"/>
    <cellStyle name="X_5515616_3_FON" xfId="1860" xr:uid="{00000000-0005-0000-0000-000044070000}"/>
    <cellStyle name="X_5515616_3_Put Analysis" xfId="1861" xr:uid="{00000000-0005-0000-0000-000045070000}"/>
    <cellStyle name="X_5515616_3_Put Analysis.v2" xfId="1862" xr:uid="{00000000-0005-0000-0000-000046070000}"/>
    <cellStyle name="X_5515616_3_Put Analysis.v2_Project Kentucky Derby Model v75" xfId="1863" xr:uid="{00000000-0005-0000-0000-000047070000}"/>
    <cellStyle name="X_5515616_3_Put Analysis.v2_Project Kentucky Derby Model v76" xfId="1864" xr:uid="{00000000-0005-0000-0000-000048070000}"/>
    <cellStyle name="X_5515616_3_Put Analysis.v2_SBSAModel116(Company)" xfId="1865" xr:uid="{00000000-0005-0000-0000-000049070000}"/>
    <cellStyle name="X_5515616_3_Put Analysis_Project Kentucky Derby Model v75" xfId="1866" xr:uid="{00000000-0005-0000-0000-00004A070000}"/>
    <cellStyle name="X_5515616_3_Put Analysis_Project Kentucky Derby Model v76" xfId="1867" xr:uid="{00000000-0005-0000-0000-00004B070000}"/>
    <cellStyle name="X_5515616_3_Put Analysis_SBSAModel116(Company)" xfId="1868" xr:uid="{00000000-0005-0000-0000-00004C070000}"/>
    <cellStyle name="X_5515616_3_Spin Model v.2" xfId="1869" xr:uid="{00000000-0005-0000-0000-00004D070000}"/>
    <cellStyle name="X_5515616_3_Spin Model v.2_Project Kentucky Derby Model v75" xfId="1870" xr:uid="{00000000-0005-0000-0000-00004E070000}"/>
    <cellStyle name="X_5515616_3_Spin Model v.2_Project Kentucky Derby Model v76" xfId="1871" xr:uid="{00000000-0005-0000-0000-00004F070000}"/>
    <cellStyle name="X_5515616_3_Spin Model v.2_SBSAModel116(Company)" xfId="1872" xr:uid="{00000000-0005-0000-0000-000050070000}"/>
    <cellStyle name="X_5517854_3" xfId="1873" xr:uid="{00000000-0005-0000-0000-000051070000}"/>
    <cellStyle name="X_5517854_3_5401007_6" xfId="1874" xr:uid="{00000000-0005-0000-0000-000052070000}"/>
    <cellStyle name="X_5517854_3_5401007_6_Project Kentucky Derby Model v75" xfId="1875" xr:uid="{00000000-0005-0000-0000-000053070000}"/>
    <cellStyle name="X_5517854_3_5401007_6_Project Kentucky Derby Model v76" xfId="1876" xr:uid="{00000000-0005-0000-0000-000054070000}"/>
    <cellStyle name="X_5517854_3_5401007_6_SBSAModel116(Company)" xfId="1877" xr:uid="{00000000-0005-0000-0000-000055070000}"/>
    <cellStyle name="X_5517854_3_5963478_1" xfId="1878" xr:uid="{00000000-0005-0000-0000-000056070000}"/>
    <cellStyle name="X_5517854_3_FON" xfId="1879" xr:uid="{00000000-0005-0000-0000-000057070000}"/>
    <cellStyle name="X_5517854_3_Put Analysis" xfId="1880" xr:uid="{00000000-0005-0000-0000-000058070000}"/>
    <cellStyle name="X_5517854_3_Put Analysis.v2" xfId="1881" xr:uid="{00000000-0005-0000-0000-000059070000}"/>
    <cellStyle name="X_5517854_3_Put Analysis.v2_Project Kentucky Derby Model v75" xfId="1882" xr:uid="{00000000-0005-0000-0000-00005A070000}"/>
    <cellStyle name="X_5517854_3_Put Analysis.v2_Project Kentucky Derby Model v76" xfId="1883" xr:uid="{00000000-0005-0000-0000-00005B070000}"/>
    <cellStyle name="X_5517854_3_Put Analysis.v2_SBSAModel116(Company)" xfId="1884" xr:uid="{00000000-0005-0000-0000-00005C070000}"/>
    <cellStyle name="X_5517854_3_Put Analysis_Project Kentucky Derby Model v75" xfId="1885" xr:uid="{00000000-0005-0000-0000-00005D070000}"/>
    <cellStyle name="X_5517854_3_Put Analysis_Project Kentucky Derby Model v76" xfId="1886" xr:uid="{00000000-0005-0000-0000-00005E070000}"/>
    <cellStyle name="X_5517854_3_Put Analysis_SBSAModel116(Company)" xfId="1887" xr:uid="{00000000-0005-0000-0000-00005F070000}"/>
    <cellStyle name="X_5517854_3_Spin Model v.2" xfId="1888" xr:uid="{00000000-0005-0000-0000-000060070000}"/>
    <cellStyle name="X_5517854_3_Spin Model v.2_Project Kentucky Derby Model v75" xfId="1889" xr:uid="{00000000-0005-0000-0000-000061070000}"/>
    <cellStyle name="X_5517854_3_Spin Model v.2_Project Kentucky Derby Model v76" xfId="1890" xr:uid="{00000000-0005-0000-0000-000062070000}"/>
    <cellStyle name="X_5517854_3_Spin Model v.2_SBSAModel116(Company)" xfId="1891" xr:uid="{00000000-0005-0000-0000-000063070000}"/>
    <cellStyle name="X_Book3" xfId="1892" xr:uid="{00000000-0005-0000-0000-000064070000}"/>
    <cellStyle name="X_Book3_5401007_6" xfId="1893" xr:uid="{00000000-0005-0000-0000-000065070000}"/>
    <cellStyle name="X_Book3_5401007_6_Project Kentucky Derby Model v75" xfId="1894" xr:uid="{00000000-0005-0000-0000-000066070000}"/>
    <cellStyle name="X_Book3_5401007_6_Project Kentucky Derby Model v76" xfId="1895" xr:uid="{00000000-0005-0000-0000-000067070000}"/>
    <cellStyle name="X_Book3_5401007_6_SBSAModel116(Company)" xfId="1896" xr:uid="{00000000-0005-0000-0000-000068070000}"/>
    <cellStyle name="X_Book3_5963478_1" xfId="1897" xr:uid="{00000000-0005-0000-0000-000069070000}"/>
    <cellStyle name="X_Book3_FON" xfId="1898" xr:uid="{00000000-0005-0000-0000-00006A070000}"/>
    <cellStyle name="X_Book3_Put Analysis" xfId="1899" xr:uid="{00000000-0005-0000-0000-00006B070000}"/>
    <cellStyle name="X_Book3_Put Analysis.v2" xfId="1900" xr:uid="{00000000-0005-0000-0000-00006C070000}"/>
    <cellStyle name="X_Book3_Put Analysis.v2_Project Kentucky Derby Model v75" xfId="1901" xr:uid="{00000000-0005-0000-0000-00006D070000}"/>
    <cellStyle name="X_Book3_Put Analysis.v2_Project Kentucky Derby Model v76" xfId="1902" xr:uid="{00000000-0005-0000-0000-00006E070000}"/>
    <cellStyle name="X_Book3_Put Analysis.v2_SBSAModel116(Company)" xfId="1903" xr:uid="{00000000-0005-0000-0000-00006F070000}"/>
    <cellStyle name="X_Book3_Put Analysis_Project Kentucky Derby Model v75" xfId="1904" xr:uid="{00000000-0005-0000-0000-000070070000}"/>
    <cellStyle name="X_Book3_Put Analysis_Project Kentucky Derby Model v76" xfId="1905" xr:uid="{00000000-0005-0000-0000-000071070000}"/>
    <cellStyle name="X_Book3_Put Analysis_SBSAModel116(Company)" xfId="1906" xr:uid="{00000000-0005-0000-0000-000072070000}"/>
    <cellStyle name="X_Book3_Spin Model v.2" xfId="1907" xr:uid="{00000000-0005-0000-0000-000073070000}"/>
    <cellStyle name="X_Book3_Spin Model v.2_Project Kentucky Derby Model v75" xfId="1908" xr:uid="{00000000-0005-0000-0000-000074070000}"/>
    <cellStyle name="X_Book3_Spin Model v.2_Project Kentucky Derby Model v76" xfId="1909" xr:uid="{00000000-0005-0000-0000-000075070000}"/>
    <cellStyle name="X_Book3_Spin Model v.2_SBSAModel116(Company)" xfId="1910" xr:uid="{00000000-0005-0000-0000-000076070000}"/>
    <cellStyle name="year" xfId="1911" xr:uid="{00000000-0005-0000-0000-000077070000}"/>
    <cellStyle name="Yen" xfId="1912" xr:uid="{00000000-0005-0000-0000-000078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Users\CDIT\Downloads\12562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Q ML_Model_Info"/>
      <sheetName val="Income Statement"/>
      <sheetName val="Key Assumptions"/>
      <sheetName val="Balance Sheet"/>
      <sheetName val="Cash Flow"/>
      <sheetName val="Acquisitions"/>
      <sheetName val="Dispositions"/>
      <sheetName val="Interest Expense"/>
      <sheetName val="Mortgage Book"/>
      <sheetName val="Development"/>
      <sheetName val="NAV Current"/>
      <sheetName val="SS Total (GAAP)"/>
      <sheetName val="Lease rate YY (monthly)"/>
      <sheetName val="Lease rate YY (quarterly)"/>
      <sheetName val="Multiples"/>
      <sheetName val="EV EBITDA"/>
    </sheetNames>
    <sheetDataSet>
      <sheetData sheetId="0"/>
      <sheetData sheetId="1"/>
      <sheetData sheetId="2">
        <row r="113">
          <cell r="CU113">
            <v>3.5499396518813731E-2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X286"/>
  <sheetViews>
    <sheetView workbookViewId="0">
      <selection activeCell="G147" sqref="G147:G149"/>
    </sheetView>
  </sheetViews>
  <sheetFormatPr defaultRowHeight="14.25"/>
  <sheetData>
    <row r="5" spans="19:19">
      <c r="S5" s="94" t="e">
        <f>#REF!</f>
        <v>#REF!</v>
      </c>
    </row>
    <row r="27" spans="20:24">
      <c r="V27" s="70" t="e">
        <f>#REF!</f>
        <v>#REF!</v>
      </c>
      <c r="W27" s="35" t="e">
        <f>#REF!</f>
        <v>#REF!</v>
      </c>
      <c r="X27" s="35" t="e">
        <f>#REF!</f>
        <v>#REF!</v>
      </c>
    </row>
    <row r="28" spans="20:24">
      <c r="V28" s="70" t="e">
        <f>#REF!</f>
        <v>#REF!</v>
      </c>
      <c r="W28" s="35" t="e">
        <f>#REF!</f>
        <v>#REF!</v>
      </c>
      <c r="X28" s="35" t="e">
        <f>#REF!</f>
        <v>#REF!</v>
      </c>
    </row>
    <row r="29" spans="20:24">
      <c r="T29" s="31" t="e">
        <f>#REF!</f>
        <v>#REF!</v>
      </c>
      <c r="V29" s="71" t="e">
        <f>#REF!</f>
        <v>#REF!</v>
      </c>
      <c r="W29" s="72" t="e">
        <f>#REF!</f>
        <v>#REF!</v>
      </c>
      <c r="X29" s="72" t="e">
        <f>#REF!</f>
        <v>#REF!</v>
      </c>
    </row>
    <row r="36" spans="10:13">
      <c r="L36" s="97" t="e">
        <f>#REF!</f>
        <v>#REF!</v>
      </c>
      <c r="M36" s="100" t="e">
        <f>#REF!</f>
        <v>#REF!</v>
      </c>
    </row>
    <row r="37" spans="10:13">
      <c r="J37" s="101" t="e">
        <f>#REF!</f>
        <v>#REF!</v>
      </c>
      <c r="K37" s="101" t="e">
        <f>#REF!</f>
        <v>#REF!</v>
      </c>
    </row>
    <row r="128" spans="7:13">
      <c r="G128" s="114" t="e">
        <f>#REF!</f>
        <v>#REF!</v>
      </c>
      <c r="H128" s="73" t="e">
        <f>#REF!</f>
        <v>#REF!</v>
      </c>
      <c r="I128" s="114" t="e">
        <f>#REF!</f>
        <v>#REF!</v>
      </c>
      <c r="J128" s="73" t="e">
        <f>#REF!</f>
        <v>#REF!</v>
      </c>
      <c r="K128" s="73" t="e">
        <f>#REF!</f>
        <v>#REF!</v>
      </c>
      <c r="L128" s="73" t="e">
        <f>#REF!</f>
        <v>#REF!</v>
      </c>
      <c r="M128" s="114" t="e">
        <f>#REF!</f>
        <v>#REF!</v>
      </c>
    </row>
    <row r="129" spans="7:13">
      <c r="G129" s="114" t="e">
        <f>#REF!</f>
        <v>#REF!</v>
      </c>
      <c r="H129" s="73" t="e">
        <f>#REF!</f>
        <v>#REF!</v>
      </c>
      <c r="I129" s="114" t="e">
        <f>#REF!</f>
        <v>#REF!</v>
      </c>
      <c r="J129" s="73" t="e">
        <f>#REF!</f>
        <v>#REF!</v>
      </c>
      <c r="K129" s="73" t="e">
        <f>#REF!</f>
        <v>#REF!</v>
      </c>
      <c r="L129" s="73" t="e">
        <f>#REF!</f>
        <v>#REF!</v>
      </c>
      <c r="M129" s="114" t="e">
        <f>#REF!</f>
        <v>#REF!</v>
      </c>
    </row>
    <row r="130" spans="7:13">
      <c r="G130" s="115" t="e">
        <f>#REF!</f>
        <v>#REF!</v>
      </c>
      <c r="H130" s="40" t="e">
        <f>#REF!</f>
        <v>#REF!</v>
      </c>
      <c r="I130" s="115" t="e">
        <f>#REF!</f>
        <v>#REF!</v>
      </c>
      <c r="J130" s="40" t="e">
        <f>#REF!</f>
        <v>#REF!</v>
      </c>
      <c r="K130" s="40" t="e">
        <f>#REF!</f>
        <v>#REF!</v>
      </c>
      <c r="L130" s="40" t="e">
        <f>#REF!</f>
        <v>#REF!</v>
      </c>
      <c r="M130" s="115" t="e">
        <f>#REF!</f>
        <v>#REF!</v>
      </c>
    </row>
    <row r="131" spans="7:13">
      <c r="G131" s="116" t="e">
        <f>#REF!</f>
        <v>#REF!</v>
      </c>
      <c r="H131" s="39" t="e">
        <f>#REF!</f>
        <v>#REF!</v>
      </c>
      <c r="I131" s="116" t="e">
        <f>#REF!</f>
        <v>#REF!</v>
      </c>
      <c r="J131" s="39" t="e">
        <f>#REF!</f>
        <v>#REF!</v>
      </c>
      <c r="K131" s="39" t="e">
        <f>#REF!</f>
        <v>#REF!</v>
      </c>
      <c r="L131" s="39" t="e">
        <f>#REF!</f>
        <v>#REF!</v>
      </c>
      <c r="M131" s="116" t="e">
        <f>#REF!</f>
        <v>#REF!</v>
      </c>
    </row>
    <row r="134" spans="7:13">
      <c r="K134" s="39" t="e">
        <f>#REF!</f>
        <v>#REF!</v>
      </c>
    </row>
    <row r="146" spans="7:7" ht="14.65" customHeight="1" thickBot="1"/>
    <row r="147" spans="7:7">
      <c r="G147" s="137" t="e">
        <f>#REF!</f>
        <v>#REF!</v>
      </c>
    </row>
    <row r="148" spans="7:7">
      <c r="G148" s="138" t="e">
        <f>#REF!</f>
        <v>#REF!</v>
      </c>
    </row>
    <row r="149" spans="7:7" ht="14.65" customHeight="1" thickBot="1">
      <c r="G149" s="139" t="e">
        <f>#REF!</f>
        <v>#REF!</v>
      </c>
    </row>
    <row r="192" spans="5:5">
      <c r="E192" s="80" t="e">
        <f>#REF!</f>
        <v>#REF!</v>
      </c>
    </row>
    <row r="193" spans="7:10">
      <c r="G193" s="81" t="e">
        <f>#REF!</f>
        <v>#REF!</v>
      </c>
    </row>
    <row r="194" spans="7:10">
      <c r="G194" s="82" t="e">
        <f>#REF!</f>
        <v>#REF!</v>
      </c>
      <c r="H194" s="88" t="e">
        <f>#REF!</f>
        <v>#REF!</v>
      </c>
    </row>
    <row r="195" spans="7:10">
      <c r="G195" s="83" t="e">
        <f>#REF!</f>
        <v>#REF!</v>
      </c>
      <c r="H195" s="87" t="e">
        <f>#REF!</f>
        <v>#REF!</v>
      </c>
    </row>
    <row r="196" spans="7:10">
      <c r="G196" s="39" t="e">
        <f>#REF!</f>
        <v>#REF!</v>
      </c>
    </row>
    <row r="197" spans="7:10">
      <c r="G197" s="86" t="e">
        <f>#REF!</f>
        <v>#REF!</v>
      </c>
    </row>
    <row r="198" spans="7:10">
      <c r="G198" s="39" t="e">
        <f>#REF!</f>
        <v>#REF!</v>
      </c>
    </row>
    <row r="199" spans="7:10">
      <c r="G199" s="84" t="e">
        <f>#REF!</f>
        <v>#REF!</v>
      </c>
      <c r="H199" s="73" t="e">
        <f>#REF!</f>
        <v>#REF!</v>
      </c>
      <c r="I199" s="82" t="e">
        <f>#REF!</f>
        <v>#REF!</v>
      </c>
      <c r="J199" s="73" t="e">
        <f>#REF!</f>
        <v>#REF!</v>
      </c>
    </row>
    <row r="200" spans="7:10">
      <c r="G200" s="84" t="e">
        <f>#REF!</f>
        <v>#REF!</v>
      </c>
      <c r="H200" s="73" t="e">
        <f>#REF!</f>
        <v>#REF!</v>
      </c>
      <c r="I200" s="82" t="e">
        <f>#REF!</f>
        <v>#REF!</v>
      </c>
      <c r="J200" s="73" t="e">
        <f>#REF!</f>
        <v>#REF!</v>
      </c>
    </row>
    <row r="201" spans="7:10">
      <c r="G201" s="84" t="e">
        <f>#REF!</f>
        <v>#REF!</v>
      </c>
      <c r="H201" s="73" t="e">
        <f>#REF!</f>
        <v>#REF!</v>
      </c>
      <c r="I201" s="82" t="e">
        <f>#REF!</f>
        <v>#REF!</v>
      </c>
      <c r="J201" s="73" t="e">
        <f>#REF!</f>
        <v>#REF!</v>
      </c>
    </row>
    <row r="202" spans="7:10">
      <c r="G202" s="85" t="e">
        <f>#REF!</f>
        <v>#REF!</v>
      </c>
      <c r="H202" s="73" t="e">
        <f>#REF!</f>
        <v>#REF!</v>
      </c>
      <c r="I202" s="82" t="e">
        <f>#REF!</f>
        <v>#REF!</v>
      </c>
      <c r="J202" s="73" t="e">
        <f>#REF!</f>
        <v>#REF!</v>
      </c>
    </row>
    <row r="203" spans="7:10">
      <c r="G203" s="89" t="e">
        <f>#REF!</f>
        <v>#REF!</v>
      </c>
    </row>
    <row r="204" spans="7:10">
      <c r="G204" s="90" t="e">
        <f>#REF!</f>
        <v>#REF!</v>
      </c>
      <c r="H204" s="88" t="e">
        <f>#REF!</f>
        <v>#REF!</v>
      </c>
    </row>
    <row r="205" spans="7:10">
      <c r="G205" s="89" t="e">
        <f>#REF!</f>
        <v>#REF!</v>
      </c>
    </row>
    <row r="242" spans="12:16">
      <c r="P242" s="41" t="e">
        <f>#REF!</f>
        <v>#REF!</v>
      </c>
    </row>
    <row r="243" spans="12:16">
      <c r="P243" s="41" t="e">
        <f>#REF!</f>
        <v>#REF!</v>
      </c>
    </row>
    <row r="244" spans="12:16">
      <c r="P244" s="41" t="e">
        <f>#REF!</f>
        <v>#REF!</v>
      </c>
    </row>
    <row r="245" spans="12:16">
      <c r="M245" s="98" t="e">
        <f>#REF!</f>
        <v>#REF!</v>
      </c>
      <c r="N245" s="98" t="e">
        <f>#REF!</f>
        <v>#REF!</v>
      </c>
      <c r="O245" s="98" t="e">
        <f>#REF!</f>
        <v>#REF!</v>
      </c>
      <c r="P245" s="41" t="e">
        <f>#REF!</f>
        <v>#REF!</v>
      </c>
    </row>
    <row r="246" spans="12:16">
      <c r="M246" s="92" t="e">
        <f>#REF!</f>
        <v>#REF!</v>
      </c>
      <c r="N246" s="93" t="e">
        <f>#REF!</f>
        <v>#REF!</v>
      </c>
    </row>
    <row r="247" spans="12:16">
      <c r="L247" s="99" t="e">
        <f>#REF!</f>
        <v>#REF!</v>
      </c>
    </row>
    <row r="282" spans="11:16">
      <c r="K282" s="95" t="e">
        <f>#REF!</f>
        <v>#REF!</v>
      </c>
      <c r="L282" s="95" t="e">
        <f>#REF!</f>
        <v>#REF!</v>
      </c>
      <c r="M282" s="95" t="e">
        <f>#REF!</f>
        <v>#REF!</v>
      </c>
      <c r="N282" s="95" t="e">
        <f>#REF!</f>
        <v>#REF!</v>
      </c>
      <c r="O282" s="95" t="e">
        <f>#REF!</f>
        <v>#REF!</v>
      </c>
    </row>
    <row r="285" spans="11:16">
      <c r="P285" s="96" t="e">
        <f>#REF!</f>
        <v>#REF!</v>
      </c>
    </row>
    <row r="286" spans="11:16">
      <c r="P286" s="97" t="e">
        <f>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Y168"/>
  <sheetViews>
    <sheetView showGridLines="0" zoomScale="85" zoomScaleNormal="85" zoomScaleSheetLayoutView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O117" sqref="O117"/>
    </sheetView>
  </sheetViews>
  <sheetFormatPr defaultColWidth="9.1328125" defaultRowHeight="14.25"/>
  <cols>
    <col min="1" max="5" width="2.73046875" customWidth="1"/>
    <col min="6" max="6" width="22.1328125" customWidth="1"/>
    <col min="7" max="8" width="9.73046875" customWidth="1"/>
    <col min="9" max="9" width="3.73046875" customWidth="1"/>
    <col min="10" max="16" width="9.73046875" customWidth="1"/>
    <col min="17" max="17" width="3.73046875" customWidth="1"/>
    <col min="18" max="49" width="9.73046875" customWidth="1"/>
  </cols>
  <sheetData>
    <row r="1" spans="1:49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</row>
    <row r="2" spans="1:49">
      <c r="A2" s="3" t="s">
        <v>1</v>
      </c>
      <c r="B2" s="2"/>
      <c r="C2" s="2"/>
      <c r="D2" s="2"/>
      <c r="E2" s="2"/>
      <c r="F2" s="2"/>
      <c r="G2" s="21" t="str">
        <f>AQ3</f>
        <v>2Q24</v>
      </c>
      <c r="H2" s="2"/>
      <c r="I2" s="2"/>
      <c r="J2" s="4" t="s">
        <v>2</v>
      </c>
      <c r="K2" s="4" t="s">
        <v>2</v>
      </c>
      <c r="L2" s="4" t="s">
        <v>2</v>
      </c>
      <c r="M2" s="4" t="s">
        <v>2</v>
      </c>
      <c r="N2" s="4" t="s">
        <v>2</v>
      </c>
      <c r="O2" s="4" t="s">
        <v>2</v>
      </c>
      <c r="P2" s="4" t="s">
        <v>3</v>
      </c>
      <c r="Q2" s="2"/>
      <c r="R2" s="4" t="s">
        <v>2</v>
      </c>
      <c r="S2" s="4" t="s">
        <v>2</v>
      </c>
      <c r="T2" s="4" t="s">
        <v>2</v>
      </c>
      <c r="U2" s="4" t="s">
        <v>2</v>
      </c>
      <c r="V2" s="4" t="s">
        <v>2</v>
      </c>
      <c r="W2" s="4" t="s">
        <v>2</v>
      </c>
      <c r="X2" s="4" t="s">
        <v>2</v>
      </c>
      <c r="Y2" s="4" t="s">
        <v>2</v>
      </c>
      <c r="Z2" s="4" t="s">
        <v>2</v>
      </c>
      <c r="AA2" s="4" t="s">
        <v>2</v>
      </c>
      <c r="AB2" s="4" t="s">
        <v>2</v>
      </c>
      <c r="AC2" s="4" t="s">
        <v>2</v>
      </c>
      <c r="AD2" s="4" t="s">
        <v>2</v>
      </c>
      <c r="AE2" s="4" t="s">
        <v>2</v>
      </c>
      <c r="AF2" s="4" t="s">
        <v>2</v>
      </c>
      <c r="AG2" s="4" t="s">
        <v>2</v>
      </c>
      <c r="AH2" s="4" t="s">
        <v>2</v>
      </c>
      <c r="AI2" s="4" t="s">
        <v>2</v>
      </c>
      <c r="AJ2" s="4" t="s">
        <v>2</v>
      </c>
      <c r="AK2" s="4" t="s">
        <v>2</v>
      </c>
      <c r="AL2" s="4" t="s">
        <v>2</v>
      </c>
      <c r="AM2" s="4" t="s">
        <v>2</v>
      </c>
      <c r="AN2" s="4" t="s">
        <v>2</v>
      </c>
      <c r="AO2" s="4" t="s">
        <v>2</v>
      </c>
      <c r="AP2" s="4" t="s">
        <v>2</v>
      </c>
      <c r="AQ2" s="4" t="s">
        <v>2</v>
      </c>
      <c r="AR2" s="4" t="s">
        <v>3</v>
      </c>
      <c r="AS2" s="4" t="s">
        <v>3</v>
      </c>
      <c r="AT2" s="4" t="s">
        <v>3</v>
      </c>
      <c r="AU2" s="4" t="s">
        <v>3</v>
      </c>
      <c r="AV2" s="4" t="s">
        <v>3</v>
      </c>
      <c r="AW2" s="4" t="s">
        <v>3</v>
      </c>
    </row>
    <row r="3" spans="1:49">
      <c r="G3" s="53" t="s">
        <v>4</v>
      </c>
      <c r="H3" s="43" t="s">
        <v>5</v>
      </c>
      <c r="I3" s="42"/>
      <c r="J3" s="37">
        <v>2018</v>
      </c>
      <c r="K3" s="37">
        <f t="shared" ref="K3:P3" si="0">J3+1</f>
        <v>2019</v>
      </c>
      <c r="L3" s="37">
        <f t="shared" si="0"/>
        <v>2020</v>
      </c>
      <c r="M3" s="37">
        <f t="shared" si="0"/>
        <v>2021</v>
      </c>
      <c r="N3" s="37">
        <f t="shared" si="0"/>
        <v>2022</v>
      </c>
      <c r="O3" s="37">
        <f t="shared" si="0"/>
        <v>2023</v>
      </c>
      <c r="P3" s="37">
        <f t="shared" si="0"/>
        <v>2024</v>
      </c>
      <c r="Q3" s="42"/>
      <c r="R3" s="37" t="s">
        <v>6</v>
      </c>
      <c r="S3" s="37" t="s">
        <v>7</v>
      </c>
      <c r="T3" s="37" t="s">
        <v>8</v>
      </c>
      <c r="U3" s="37" t="s">
        <v>9</v>
      </c>
      <c r="V3" s="37" t="s">
        <v>10</v>
      </c>
      <c r="W3" s="37" t="s">
        <v>11</v>
      </c>
      <c r="X3" s="37" t="s">
        <v>12</v>
      </c>
      <c r="Y3" s="37" t="s">
        <v>13</v>
      </c>
      <c r="Z3" s="37" t="s">
        <v>14</v>
      </c>
      <c r="AA3" s="37" t="s">
        <v>15</v>
      </c>
      <c r="AB3" s="37" t="s">
        <v>16</v>
      </c>
      <c r="AC3" s="37" t="s">
        <v>17</v>
      </c>
      <c r="AD3" s="37" t="s">
        <v>18</v>
      </c>
      <c r="AE3" s="37" t="s">
        <v>19</v>
      </c>
      <c r="AF3" s="37" t="s">
        <v>20</v>
      </c>
      <c r="AG3" s="37" t="s">
        <v>21</v>
      </c>
      <c r="AH3" s="37" t="s">
        <v>22</v>
      </c>
      <c r="AI3" s="37" t="s">
        <v>23</v>
      </c>
      <c r="AJ3" s="37" t="s">
        <v>24</v>
      </c>
      <c r="AK3" s="37" t="s">
        <v>25</v>
      </c>
      <c r="AL3" s="37" t="s">
        <v>26</v>
      </c>
      <c r="AM3" s="37" t="s">
        <v>27</v>
      </c>
      <c r="AN3" s="37" t="s">
        <v>28</v>
      </c>
      <c r="AO3" s="37" t="s">
        <v>29</v>
      </c>
      <c r="AP3" s="37" t="s">
        <v>30</v>
      </c>
      <c r="AQ3" s="37" t="s">
        <v>31</v>
      </c>
      <c r="AR3" s="37" t="s">
        <v>32</v>
      </c>
      <c r="AS3" s="37" t="s">
        <v>33</v>
      </c>
      <c r="AT3" s="37" t="s">
        <v>34</v>
      </c>
      <c r="AU3" s="37" t="s">
        <v>35</v>
      </c>
      <c r="AV3" s="37" t="s">
        <v>36</v>
      </c>
      <c r="AW3" s="37" t="s">
        <v>37</v>
      </c>
    </row>
    <row r="4" spans="1:49">
      <c r="G4" s="54"/>
      <c r="H4" s="44"/>
    </row>
    <row r="5" spans="1:49" ht="15" customHeight="1">
      <c r="A5" s="22" t="s">
        <v>38</v>
      </c>
      <c r="B5" s="22" t="s">
        <v>39</v>
      </c>
      <c r="C5" s="23"/>
      <c r="D5" s="23"/>
      <c r="E5" s="23"/>
      <c r="F5" s="23"/>
      <c r="G5" s="55"/>
      <c r="H5" s="45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>
      <c r="G6" s="56"/>
      <c r="H6" s="30"/>
    </row>
    <row r="7" spans="1:49">
      <c r="B7" s="109" t="s">
        <v>40</v>
      </c>
      <c r="G7" s="57">
        <f ca="1">OFFSET(R7,0,MATCH($G$2,$R$3:$AW$3,0)-1)*4</f>
        <v>1939.232</v>
      </c>
      <c r="H7" s="33">
        <f ca="1">SUM(OFFSET(R7,0,MATCH($G$2,$R$3:$AW$3,0)-4),OFFSET(R7,0,MATCH($G$2,$R$3:$AW$3,0)-3),OFFSET(R7,0,MATCH($G$2,$R$3:$AW$3,0)-2),OFFSET(R7,0,MATCH($G$2,$R$3:$AW$3,0)-1))</f>
        <v>1842.7</v>
      </c>
      <c r="J7" s="9">
        <f>SUM(R7:U7)</f>
        <v>1483.143</v>
      </c>
      <c r="K7" s="9">
        <f>SUM(V7:Y7)</f>
        <v>1587.0819999999999</v>
      </c>
      <c r="L7" s="9">
        <f>SUM(Z7:AC7)</f>
        <v>1404.2649999999999</v>
      </c>
      <c r="M7" s="9">
        <f>SUM(AD7:AG7)</f>
        <v>1322.9179999999999</v>
      </c>
      <c r="N7" s="9">
        <f>SUM(AH7:AK7)</f>
        <v>1616.9670000000001</v>
      </c>
      <c r="O7" s="9">
        <f>SUM(AL7:AO7)</f>
        <v>1721.9370000000001</v>
      </c>
      <c r="P7" s="102"/>
      <c r="R7" s="10">
        <v>340.40300000000002</v>
      </c>
      <c r="S7" s="10">
        <v>378.16300000000001</v>
      </c>
      <c r="T7" s="10">
        <v>382.04</v>
      </c>
      <c r="U7" s="10">
        <v>382.53699999999998</v>
      </c>
      <c r="V7" s="10">
        <v>368.12099999999998</v>
      </c>
      <c r="W7" s="10">
        <v>404.286</v>
      </c>
      <c r="X7" s="10">
        <v>412.66500000000002</v>
      </c>
      <c r="Y7" s="10">
        <v>402.01</v>
      </c>
      <c r="Z7" s="10">
        <v>403.25700000000001</v>
      </c>
      <c r="AA7" s="10">
        <v>380.98700000000002</v>
      </c>
      <c r="AB7" s="10">
        <v>320.60199999999998</v>
      </c>
      <c r="AC7" s="10">
        <v>299.41899999999998</v>
      </c>
      <c r="AD7" s="10">
        <v>300.95100000000002</v>
      </c>
      <c r="AE7" s="10">
        <v>332.887</v>
      </c>
      <c r="AF7" s="10">
        <v>338.51400000000001</v>
      </c>
      <c r="AG7" s="10">
        <v>350.56599999999997</v>
      </c>
      <c r="AH7" s="10">
        <v>355.536</v>
      </c>
      <c r="AI7" s="10">
        <v>405.65499999999997</v>
      </c>
      <c r="AJ7" s="10">
        <v>433.04</v>
      </c>
      <c r="AK7" s="10">
        <v>422.73599999999999</v>
      </c>
      <c r="AL7" s="10">
        <v>412.495</v>
      </c>
      <c r="AM7" s="10">
        <v>426.96199999999999</v>
      </c>
      <c r="AN7" s="10">
        <v>429.88499999999999</v>
      </c>
      <c r="AO7" s="10">
        <v>452.59500000000003</v>
      </c>
      <c r="AP7" s="10">
        <v>475.41199999999998</v>
      </c>
      <c r="AQ7" s="10">
        <v>484.80799999999999</v>
      </c>
      <c r="AR7" s="102"/>
      <c r="AS7" s="102"/>
      <c r="AT7" s="102"/>
      <c r="AU7" s="102"/>
      <c r="AV7" s="102"/>
      <c r="AW7" s="102"/>
    </row>
    <row r="8" spans="1:49">
      <c r="B8" s="110" t="s">
        <v>41</v>
      </c>
      <c r="C8" s="7"/>
      <c r="D8" s="7"/>
      <c r="E8" s="7"/>
      <c r="F8" s="7"/>
      <c r="G8" s="58">
        <f ca="1">OFFSET(R8,0,MATCH($G$2,$R$3:$AW$3,0)-1)*4</f>
        <v>1358.328</v>
      </c>
      <c r="H8" s="46">
        <f ca="1">SUM(OFFSET(R8,0,MATCH($G$2,$R$3:$AW$3,0)-4),OFFSET(R8,0,MATCH($G$2,$R$3:$AW$3,0)-3),OFFSET(R8,0,MATCH($G$2,$R$3:$AW$3,0)-2),OFFSET(R8,0,MATCH($G$2,$R$3:$AW$3,0)-1))</f>
        <v>1353.66</v>
      </c>
      <c r="I8" s="7"/>
      <c r="J8" s="11">
        <f>SUM(R8:U8)</f>
        <v>1487.5540000000001</v>
      </c>
      <c r="K8" s="11">
        <f>SUM(V8:Y8)</f>
        <v>1251.317</v>
      </c>
      <c r="L8" s="11">
        <f>SUM(Z8:AC8)</f>
        <v>767.14300000000003</v>
      </c>
      <c r="M8" s="11">
        <f>SUM(AD8:AG8)</f>
        <v>923.74199999999996</v>
      </c>
      <c r="N8" s="11">
        <f>SUM(AH8:AK8)</f>
        <v>1167.787</v>
      </c>
      <c r="O8" s="11">
        <f>SUM(AL8:AO8)</f>
        <v>1369.703</v>
      </c>
      <c r="P8" s="103"/>
      <c r="Q8" s="7"/>
      <c r="R8" s="12">
        <v>401.28500000000003</v>
      </c>
      <c r="S8" s="12">
        <v>424.50799999999998</v>
      </c>
      <c r="T8" s="12">
        <v>322.80500000000001</v>
      </c>
      <c r="U8" s="12">
        <v>338.95600000000002</v>
      </c>
      <c r="V8" s="12">
        <v>376.5</v>
      </c>
      <c r="W8" s="12">
        <v>366.75599999999997</v>
      </c>
      <c r="X8" s="12">
        <v>254.14400000000001</v>
      </c>
      <c r="Y8" s="12">
        <v>253.917</v>
      </c>
      <c r="Z8" s="12">
        <v>240.66900000000001</v>
      </c>
      <c r="AA8" s="12">
        <v>160.172</v>
      </c>
      <c r="AB8" s="12">
        <v>175.965</v>
      </c>
      <c r="AC8" s="12">
        <v>190.33699999999999</v>
      </c>
      <c r="AD8" s="12">
        <v>195.899</v>
      </c>
      <c r="AE8" s="12">
        <v>226.73699999999999</v>
      </c>
      <c r="AF8" s="12">
        <v>260.40600000000001</v>
      </c>
      <c r="AG8" s="12">
        <v>240.7</v>
      </c>
      <c r="AH8" s="12">
        <v>255.24600000000001</v>
      </c>
      <c r="AI8" s="12">
        <v>292.30900000000003</v>
      </c>
      <c r="AJ8" s="12">
        <v>312.803</v>
      </c>
      <c r="AK8" s="12">
        <v>307.42899999999997</v>
      </c>
      <c r="AL8" s="12">
        <v>337.94900000000001</v>
      </c>
      <c r="AM8" s="12">
        <v>350.286</v>
      </c>
      <c r="AN8" s="12">
        <v>334.887</v>
      </c>
      <c r="AO8" s="12">
        <v>346.58100000000002</v>
      </c>
      <c r="AP8" s="12">
        <v>332.61</v>
      </c>
      <c r="AQ8" s="12">
        <v>339.58199999999999</v>
      </c>
      <c r="AR8" s="103"/>
      <c r="AS8" s="103"/>
      <c r="AT8" s="103"/>
      <c r="AU8" s="103"/>
      <c r="AV8" s="103"/>
      <c r="AW8" s="103"/>
    </row>
    <row r="9" spans="1:49">
      <c r="B9" s="112" t="s">
        <v>42</v>
      </c>
      <c r="C9" s="1"/>
      <c r="D9" s="1"/>
      <c r="E9" s="1"/>
      <c r="F9" s="1"/>
      <c r="G9" s="59">
        <f ca="1">SUM(G7:G8)</f>
        <v>3297.56</v>
      </c>
      <c r="H9" s="32">
        <f ca="1">SUM(H7:H8)</f>
        <v>3196.36</v>
      </c>
      <c r="I9" s="1"/>
      <c r="J9" s="13">
        <f t="shared" ref="J9:O9" si="1">SUM(J7:J8)</f>
        <v>2970.6970000000001</v>
      </c>
      <c r="K9" s="13">
        <f t="shared" si="1"/>
        <v>2838.3989999999999</v>
      </c>
      <c r="L9" s="13">
        <f t="shared" si="1"/>
        <v>2171.4079999999999</v>
      </c>
      <c r="M9" s="13">
        <f t="shared" si="1"/>
        <v>2246.66</v>
      </c>
      <c r="N9" s="13">
        <f t="shared" si="1"/>
        <v>2784.7539999999999</v>
      </c>
      <c r="O9" s="13">
        <f t="shared" si="1"/>
        <v>3091.6400000000003</v>
      </c>
      <c r="R9" s="13">
        <f t="shared" ref="R9:AQ9" si="2">SUM(R7:R8)</f>
        <v>741.6880000000001</v>
      </c>
      <c r="S9" s="13">
        <f t="shared" si="2"/>
        <v>802.67100000000005</v>
      </c>
      <c r="T9" s="13">
        <f t="shared" si="2"/>
        <v>704.84500000000003</v>
      </c>
      <c r="U9" s="13">
        <f t="shared" si="2"/>
        <v>721.49299999999994</v>
      </c>
      <c r="V9" s="13">
        <f t="shared" si="2"/>
        <v>744.62099999999998</v>
      </c>
      <c r="W9" s="13">
        <f t="shared" si="2"/>
        <v>771.04199999999992</v>
      </c>
      <c r="X9" s="13">
        <f t="shared" si="2"/>
        <v>666.80899999999997</v>
      </c>
      <c r="Y9" s="13">
        <f t="shared" si="2"/>
        <v>655.92700000000002</v>
      </c>
      <c r="Z9" s="13">
        <f t="shared" si="2"/>
        <v>643.92600000000004</v>
      </c>
      <c r="AA9" s="13">
        <f t="shared" si="2"/>
        <v>541.15899999999999</v>
      </c>
      <c r="AB9" s="13">
        <f t="shared" si="2"/>
        <v>496.56700000000001</v>
      </c>
      <c r="AC9" s="13">
        <f t="shared" si="2"/>
        <v>489.75599999999997</v>
      </c>
      <c r="AD9" s="13">
        <f t="shared" si="2"/>
        <v>496.85</v>
      </c>
      <c r="AE9" s="13">
        <f t="shared" si="2"/>
        <v>559.62400000000002</v>
      </c>
      <c r="AF9" s="13">
        <f t="shared" si="2"/>
        <v>598.92000000000007</v>
      </c>
      <c r="AG9" s="13">
        <f t="shared" si="2"/>
        <v>591.26599999999996</v>
      </c>
      <c r="AH9" s="13">
        <f t="shared" si="2"/>
        <v>610.78200000000004</v>
      </c>
      <c r="AI9" s="13">
        <f t="shared" si="2"/>
        <v>697.96399999999994</v>
      </c>
      <c r="AJ9" s="13">
        <f t="shared" si="2"/>
        <v>745.84300000000007</v>
      </c>
      <c r="AK9" s="13">
        <f t="shared" si="2"/>
        <v>730.16499999999996</v>
      </c>
      <c r="AL9" s="13">
        <f t="shared" si="2"/>
        <v>750.44399999999996</v>
      </c>
      <c r="AM9" s="13">
        <f t="shared" si="2"/>
        <v>777.24800000000005</v>
      </c>
      <c r="AN9" s="13">
        <f t="shared" si="2"/>
        <v>764.77199999999993</v>
      </c>
      <c r="AO9" s="13">
        <f t="shared" si="2"/>
        <v>799.17600000000004</v>
      </c>
      <c r="AP9" s="13">
        <f t="shared" si="2"/>
        <v>808.02199999999993</v>
      </c>
      <c r="AQ9" s="13">
        <f t="shared" si="2"/>
        <v>824.39</v>
      </c>
      <c r="AT9" s="108"/>
    </row>
    <row r="10" spans="1:49">
      <c r="B10" s="109"/>
      <c r="C10" s="3" t="s">
        <v>43</v>
      </c>
      <c r="G10" s="60">
        <f ca="1">G9/G7</f>
        <v>1.7004463622712496</v>
      </c>
      <c r="H10" s="47">
        <f ca="1">H9/H7</f>
        <v>1.7346068269387311</v>
      </c>
      <c r="J10" s="8"/>
      <c r="K10" s="8">
        <f>K9/J9-1</f>
        <v>-4.4534329822260688E-2</v>
      </c>
      <c r="L10" s="8">
        <f>L9/K9-1</f>
        <v>-0.23498845652073586</v>
      </c>
      <c r="M10" s="8">
        <f>M9/L9-1</f>
        <v>3.4655854634412231E-2</v>
      </c>
      <c r="N10" s="8">
        <f>N9/M9-1</f>
        <v>0.23950842584102627</v>
      </c>
      <c r="O10" s="8">
        <f>O9/N9-1</f>
        <v>0.11020219380239715</v>
      </c>
      <c r="P10" s="102"/>
      <c r="R10" s="8"/>
      <c r="S10" s="8"/>
      <c r="T10" s="8"/>
      <c r="U10" s="8"/>
      <c r="V10" s="8">
        <f t="shared" ref="V10:AQ10" si="3">V9/R9-1</f>
        <v>3.9544929943586826E-3</v>
      </c>
      <c r="W10" s="8">
        <f t="shared" si="3"/>
        <v>-3.9404687599278065E-2</v>
      </c>
      <c r="X10" s="8">
        <f t="shared" si="3"/>
        <v>-5.3963637395455843E-2</v>
      </c>
      <c r="Y10" s="8">
        <f t="shared" si="3"/>
        <v>-9.0875448549050275E-2</v>
      </c>
      <c r="Z10" s="8">
        <f t="shared" si="3"/>
        <v>-0.13522986861772623</v>
      </c>
      <c r="AA10" s="8">
        <f t="shared" si="3"/>
        <v>-0.29814588569753653</v>
      </c>
      <c r="AB10" s="8">
        <f t="shared" si="3"/>
        <v>-0.2553084916370354</v>
      </c>
      <c r="AC10" s="8">
        <f t="shared" si="3"/>
        <v>-0.25333764275597748</v>
      </c>
      <c r="AD10" s="8">
        <f t="shared" si="3"/>
        <v>-0.22840512729723605</v>
      </c>
      <c r="AE10" s="8">
        <f t="shared" si="3"/>
        <v>3.4121210217329834E-2</v>
      </c>
      <c r="AF10" s="8">
        <f t="shared" si="3"/>
        <v>0.20612122835387781</v>
      </c>
      <c r="AG10" s="8">
        <f t="shared" si="3"/>
        <v>0.20726647555109068</v>
      </c>
      <c r="AH10" s="8">
        <f t="shared" si="3"/>
        <v>0.22930864446009869</v>
      </c>
      <c r="AI10" s="8">
        <f t="shared" si="3"/>
        <v>0.24720169256500779</v>
      </c>
      <c r="AJ10" s="8">
        <f t="shared" si="3"/>
        <v>0.24531323048153331</v>
      </c>
      <c r="AK10" s="8">
        <f t="shared" si="3"/>
        <v>0.23491795570859808</v>
      </c>
      <c r="AL10" s="8">
        <f t="shared" si="3"/>
        <v>0.22866096250380652</v>
      </c>
      <c r="AM10" s="8">
        <f t="shared" si="3"/>
        <v>0.11359325122785724</v>
      </c>
      <c r="AN10" s="8">
        <f t="shared" si="3"/>
        <v>2.5379335865590935E-2</v>
      </c>
      <c r="AO10" s="8">
        <f t="shared" si="3"/>
        <v>9.4514253627604905E-2</v>
      </c>
      <c r="AP10" s="8">
        <f t="shared" si="3"/>
        <v>7.6725245321436431E-2</v>
      </c>
      <c r="AQ10" s="8">
        <f t="shared" si="3"/>
        <v>6.0652455844209197E-2</v>
      </c>
      <c r="AR10" s="102"/>
      <c r="AS10" s="102"/>
      <c r="AT10" s="102"/>
      <c r="AU10" s="102"/>
      <c r="AV10" s="102"/>
      <c r="AW10" s="102"/>
    </row>
    <row r="11" spans="1:49">
      <c r="B11" s="109"/>
      <c r="C11" s="3" t="s">
        <v>44</v>
      </c>
      <c r="G11" s="104"/>
      <c r="H11" s="30"/>
      <c r="J11" s="8"/>
      <c r="K11" s="8"/>
      <c r="L11" s="8"/>
      <c r="M11" s="8"/>
      <c r="N11" s="8"/>
      <c r="O11" s="8"/>
      <c r="P11" s="102"/>
      <c r="R11" s="8"/>
      <c r="S11" s="8">
        <f t="shared" ref="S11:AQ11" si="4">S9/R9-1</f>
        <v>8.2221904628361209E-2</v>
      </c>
      <c r="T11" s="8">
        <f t="shared" si="4"/>
        <v>-0.12187558788096242</v>
      </c>
      <c r="U11" s="8">
        <f t="shared" si="4"/>
        <v>2.3619377309904932E-2</v>
      </c>
      <c r="V11" s="8">
        <f t="shared" si="4"/>
        <v>3.2055751060647841E-2</v>
      </c>
      <c r="W11" s="8">
        <f t="shared" si="4"/>
        <v>3.5482480349063428E-2</v>
      </c>
      <c r="X11" s="8">
        <f t="shared" si="4"/>
        <v>-0.13518459435413366</v>
      </c>
      <c r="Y11" s="8">
        <f t="shared" si="4"/>
        <v>-1.6319515783380201E-2</v>
      </c>
      <c r="Z11" s="8">
        <f t="shared" si="4"/>
        <v>-1.8296243331956119E-2</v>
      </c>
      <c r="AA11" s="8">
        <f t="shared" si="4"/>
        <v>-0.15959442544640234</v>
      </c>
      <c r="AB11" s="8">
        <f t="shared" si="4"/>
        <v>-8.2400920986253512E-2</v>
      </c>
      <c r="AC11" s="8">
        <f t="shared" si="4"/>
        <v>-1.3716175259330665E-2</v>
      </c>
      <c r="AD11" s="8">
        <f t="shared" si="4"/>
        <v>1.448476384158659E-2</v>
      </c>
      <c r="AE11" s="8">
        <f t="shared" si="4"/>
        <v>0.12634396699204986</v>
      </c>
      <c r="AF11" s="8">
        <f t="shared" si="4"/>
        <v>7.0218575329149546E-2</v>
      </c>
      <c r="AG11" s="8">
        <f t="shared" si="4"/>
        <v>-1.27796700727979E-2</v>
      </c>
      <c r="AH11" s="8">
        <f t="shared" si="4"/>
        <v>3.3007140610148422E-2</v>
      </c>
      <c r="AI11" s="8">
        <f t="shared" si="4"/>
        <v>0.14273832562190747</v>
      </c>
      <c r="AJ11" s="8">
        <f t="shared" si="4"/>
        <v>6.8598093884498557E-2</v>
      </c>
      <c r="AK11" s="8">
        <f t="shared" si="4"/>
        <v>-2.1020509678310484E-2</v>
      </c>
      <c r="AL11" s="8">
        <f t="shared" si="4"/>
        <v>2.7773174556435798E-2</v>
      </c>
      <c r="AM11" s="8">
        <f t="shared" si="4"/>
        <v>3.5717521893705806E-2</v>
      </c>
      <c r="AN11" s="8">
        <f t="shared" si="4"/>
        <v>-1.6051504796410043E-2</v>
      </c>
      <c r="AO11" s="8">
        <f t="shared" si="4"/>
        <v>4.4985956598829535E-2</v>
      </c>
      <c r="AP11" s="8">
        <f t="shared" si="4"/>
        <v>1.1068900967996953E-2</v>
      </c>
      <c r="AQ11" s="8">
        <f t="shared" si="4"/>
        <v>2.0256874194019447E-2</v>
      </c>
      <c r="AR11" s="102"/>
      <c r="AS11" s="102"/>
      <c r="AT11" s="102"/>
      <c r="AU11" s="102"/>
      <c r="AV11" s="102"/>
      <c r="AW11" s="102"/>
    </row>
    <row r="12" spans="1:49">
      <c r="B12" s="109"/>
      <c r="C12" s="3"/>
      <c r="G12" s="104"/>
      <c r="H12" s="30"/>
      <c r="N12" s="111"/>
      <c r="O12" s="111"/>
      <c r="P12" s="102"/>
      <c r="AR12" s="102"/>
      <c r="AS12" s="102"/>
      <c r="AT12" s="102"/>
      <c r="AU12" s="102"/>
      <c r="AV12" s="102"/>
      <c r="AW12" s="102"/>
    </row>
    <row r="13" spans="1:49">
      <c r="B13" s="110" t="s">
        <v>45</v>
      </c>
      <c r="C13" s="7"/>
      <c r="D13" s="7"/>
      <c r="E13" s="7"/>
      <c r="F13" s="7"/>
      <c r="G13" s="58">
        <f ca="1">OFFSET(R13,0,MATCH($G$2,$R$3:$AW$3,0)-1)*4</f>
        <v>-2216.9279999999999</v>
      </c>
      <c r="H13" s="46">
        <f ca="1">SUM(OFFSET(R13,0,MATCH($G$2,$R$3:$AW$3,0)-4),OFFSET(R13,0,MATCH($G$2,$R$3:$AW$3,0)-3),OFFSET(R13,0,MATCH($G$2,$R$3:$AW$3,0)-2),OFFSET(R13,0,MATCH($G$2,$R$3:$AW$3,0)-1))</f>
        <v>-2197.1860000000001</v>
      </c>
      <c r="I13" s="7"/>
      <c r="J13" s="11">
        <f>SUM(R13:U13)</f>
        <v>-2160.9459999999999</v>
      </c>
      <c r="K13" s="11">
        <f>SUM(V13:Y13)</f>
        <v>-2030.046</v>
      </c>
      <c r="L13" s="11">
        <f>SUM(Z13:AC13)</f>
        <v>-1510.8180000000002</v>
      </c>
      <c r="M13" s="11">
        <f>SUM(AD13:AG13)</f>
        <v>-1652.961</v>
      </c>
      <c r="N13" s="11">
        <f>SUM(AH13:AK13)</f>
        <v>-2060.9409999999998</v>
      </c>
      <c r="O13" s="11">
        <f>SUM(AL13:AO13)</f>
        <v>-2180.422</v>
      </c>
      <c r="P13" s="105"/>
      <c r="Q13" s="106"/>
      <c r="R13" s="12">
        <v>-553.31700000000001</v>
      </c>
      <c r="S13" s="12">
        <v>-588.62799999999993</v>
      </c>
      <c r="T13" s="12">
        <v>-498.42099999999999</v>
      </c>
      <c r="U13" s="12">
        <v>-520.57999999999993</v>
      </c>
      <c r="V13" s="12">
        <v>-536.65499999999997</v>
      </c>
      <c r="W13" s="12">
        <v>-563.495</v>
      </c>
      <c r="X13" s="12">
        <v>-458.51400000000001</v>
      </c>
      <c r="Y13" s="12">
        <v>-471.38199999999989</v>
      </c>
      <c r="Z13" s="12">
        <v>-453.56799999999998</v>
      </c>
      <c r="AA13" s="12">
        <v>-373.53899999999999</v>
      </c>
      <c r="AB13" s="12">
        <v>-340.76400000000001</v>
      </c>
      <c r="AC13" s="12">
        <v>-342.947</v>
      </c>
      <c r="AD13" s="12">
        <v>-363.04</v>
      </c>
      <c r="AE13" s="12">
        <v>-409.47899999999998</v>
      </c>
      <c r="AF13" s="12">
        <v>-446.51900000000001</v>
      </c>
      <c r="AG13" s="12">
        <v>-433.923</v>
      </c>
      <c r="AH13" s="12">
        <v>-450.61799999999999</v>
      </c>
      <c r="AI13" s="12">
        <v>-523.86199999999997</v>
      </c>
      <c r="AJ13" s="12">
        <v>-552.39200000000005</v>
      </c>
      <c r="AK13" s="12">
        <v>-534.06899999999996</v>
      </c>
      <c r="AL13" s="12">
        <v>-542.08000000000004</v>
      </c>
      <c r="AM13" s="12">
        <v>-546.06899999999996</v>
      </c>
      <c r="AN13" s="12">
        <v>-530.54100000000005</v>
      </c>
      <c r="AO13" s="12">
        <v>-561.73199999999997</v>
      </c>
      <c r="AP13" s="12">
        <v>-550.68100000000004</v>
      </c>
      <c r="AQ13" s="12">
        <v>-554.23199999999997</v>
      </c>
      <c r="AR13" s="105"/>
      <c r="AS13" s="105"/>
      <c r="AT13" s="105"/>
      <c r="AU13" s="105"/>
      <c r="AV13" s="105"/>
      <c r="AW13" s="105"/>
    </row>
    <row r="14" spans="1:49">
      <c r="B14" s="1" t="s">
        <v>46</v>
      </c>
      <c r="G14" s="59">
        <f ca="1">G9+SUM(G13:G13)</f>
        <v>1080.6320000000001</v>
      </c>
      <c r="H14" s="32">
        <f ca="1">H9+SUM(H13:H13)</f>
        <v>999.17399999999998</v>
      </c>
      <c r="J14" s="13">
        <f t="shared" ref="J14:O14" si="5">J9+SUM(J13:J13)</f>
        <v>809.7510000000002</v>
      </c>
      <c r="K14" s="13">
        <f t="shared" si="5"/>
        <v>808.35299999999984</v>
      </c>
      <c r="L14" s="13">
        <f t="shared" si="5"/>
        <v>660.58999999999969</v>
      </c>
      <c r="M14" s="13">
        <f t="shared" si="5"/>
        <v>593.69899999999984</v>
      </c>
      <c r="N14" s="13">
        <f t="shared" si="5"/>
        <v>723.8130000000001</v>
      </c>
      <c r="O14" s="13">
        <f t="shared" si="5"/>
        <v>911.2180000000003</v>
      </c>
      <c r="P14" s="102"/>
      <c r="R14" s="13">
        <f t="shared" ref="R14:AQ14" si="6">R9+SUM(R13:R13)</f>
        <v>188.37100000000009</v>
      </c>
      <c r="S14" s="13">
        <f t="shared" si="6"/>
        <v>214.04300000000012</v>
      </c>
      <c r="T14" s="13">
        <f t="shared" si="6"/>
        <v>206.42400000000004</v>
      </c>
      <c r="U14" s="13">
        <f t="shared" si="6"/>
        <v>200.91300000000001</v>
      </c>
      <c r="V14" s="13">
        <f t="shared" si="6"/>
        <v>207.96600000000001</v>
      </c>
      <c r="W14" s="13">
        <f t="shared" si="6"/>
        <v>207.54699999999991</v>
      </c>
      <c r="X14" s="13">
        <f t="shared" si="6"/>
        <v>208.29499999999996</v>
      </c>
      <c r="Y14" s="13">
        <f t="shared" si="6"/>
        <v>184.54500000000013</v>
      </c>
      <c r="Z14" s="13">
        <f t="shared" si="6"/>
        <v>190.35800000000006</v>
      </c>
      <c r="AA14" s="13">
        <f t="shared" si="6"/>
        <v>167.62</v>
      </c>
      <c r="AB14" s="13">
        <f t="shared" si="6"/>
        <v>155.803</v>
      </c>
      <c r="AC14" s="13">
        <f t="shared" si="6"/>
        <v>146.80899999999997</v>
      </c>
      <c r="AD14" s="13">
        <f t="shared" si="6"/>
        <v>133.81</v>
      </c>
      <c r="AE14" s="13">
        <f t="shared" si="6"/>
        <v>150.14500000000004</v>
      </c>
      <c r="AF14" s="13">
        <f t="shared" si="6"/>
        <v>152.40100000000007</v>
      </c>
      <c r="AG14" s="13">
        <f t="shared" si="6"/>
        <v>157.34299999999996</v>
      </c>
      <c r="AH14" s="13">
        <f t="shared" si="6"/>
        <v>160.16400000000004</v>
      </c>
      <c r="AI14" s="13">
        <f t="shared" si="6"/>
        <v>174.10199999999998</v>
      </c>
      <c r="AJ14" s="13">
        <f t="shared" si="6"/>
        <v>193.45100000000002</v>
      </c>
      <c r="AK14" s="13">
        <f t="shared" si="6"/>
        <v>196.096</v>
      </c>
      <c r="AL14" s="13">
        <f t="shared" si="6"/>
        <v>208.36399999999992</v>
      </c>
      <c r="AM14" s="13">
        <f t="shared" si="6"/>
        <v>231.17900000000009</v>
      </c>
      <c r="AN14" s="13">
        <f t="shared" si="6"/>
        <v>234.23099999999988</v>
      </c>
      <c r="AO14" s="13">
        <f t="shared" si="6"/>
        <v>237.44400000000007</v>
      </c>
      <c r="AP14" s="13">
        <f t="shared" si="6"/>
        <v>257.34099999999989</v>
      </c>
      <c r="AQ14" s="13">
        <f t="shared" si="6"/>
        <v>270.15800000000002</v>
      </c>
      <c r="AR14" s="102"/>
      <c r="AS14" s="102"/>
      <c r="AT14" s="102"/>
      <c r="AU14" s="102"/>
      <c r="AV14" s="102"/>
      <c r="AW14" s="102"/>
    </row>
    <row r="15" spans="1:49">
      <c r="C15" s="3" t="s">
        <v>47</v>
      </c>
      <c r="G15" s="60">
        <f ca="1">G14/G9</f>
        <v>0.32770654665874166</v>
      </c>
      <c r="H15" s="47">
        <f ca="1">H14/H9</f>
        <v>0.31259745460461275</v>
      </c>
      <c r="J15" s="8">
        <f t="shared" ref="J15:O15" si="7">J14/J9</f>
        <v>0.2725794653577932</v>
      </c>
      <c r="K15" s="8">
        <f t="shared" si="7"/>
        <v>0.28479188443907988</v>
      </c>
      <c r="L15" s="8">
        <f t="shared" si="7"/>
        <v>0.3042219610501572</v>
      </c>
      <c r="M15" s="8">
        <f t="shared" si="7"/>
        <v>0.26425849928338063</v>
      </c>
      <c r="N15" s="8">
        <f t="shared" si="7"/>
        <v>0.25991990674939336</v>
      </c>
      <c r="O15" s="8">
        <f t="shared" si="7"/>
        <v>0.29473612710406133</v>
      </c>
      <c r="P15" s="102"/>
      <c r="R15" s="8">
        <f t="shared" ref="R15:AQ15" si="8">R14/R9</f>
        <v>0.25397606540755691</v>
      </c>
      <c r="S15" s="8">
        <f t="shared" si="8"/>
        <v>0.2666634274814963</v>
      </c>
      <c r="T15" s="8">
        <f t="shared" si="8"/>
        <v>0.29286438862444941</v>
      </c>
      <c r="U15" s="8">
        <f t="shared" si="8"/>
        <v>0.27846839816879726</v>
      </c>
      <c r="V15" s="8">
        <f t="shared" si="8"/>
        <v>0.27929107559416133</v>
      </c>
      <c r="W15" s="8">
        <f t="shared" si="8"/>
        <v>0.26917729514086125</v>
      </c>
      <c r="X15" s="8">
        <f t="shared" si="8"/>
        <v>0.31237580776504209</v>
      </c>
      <c r="Y15" s="8">
        <f t="shared" si="8"/>
        <v>0.28134990631579448</v>
      </c>
      <c r="Z15" s="8">
        <f t="shared" si="8"/>
        <v>0.29562092538583634</v>
      </c>
      <c r="AA15" s="8">
        <f t="shared" si="8"/>
        <v>0.30974260799506248</v>
      </c>
      <c r="AB15" s="8">
        <f t="shared" si="8"/>
        <v>0.3137602780692233</v>
      </c>
      <c r="AC15" s="8">
        <f t="shared" si="8"/>
        <v>0.29975947206363979</v>
      </c>
      <c r="AD15" s="8">
        <f t="shared" si="8"/>
        <v>0.26931669517963169</v>
      </c>
      <c r="AE15" s="8">
        <f t="shared" si="8"/>
        <v>0.26829621317170105</v>
      </c>
      <c r="AF15" s="8">
        <f t="shared" si="8"/>
        <v>0.25445969411607566</v>
      </c>
      <c r="AG15" s="8">
        <f t="shared" si="8"/>
        <v>0.26611203756008289</v>
      </c>
      <c r="AH15" s="8">
        <f t="shared" si="8"/>
        <v>0.26222776702653328</v>
      </c>
      <c r="AI15" s="8">
        <f t="shared" si="8"/>
        <v>0.24944266466465317</v>
      </c>
      <c r="AJ15" s="8">
        <f t="shared" si="8"/>
        <v>0.25937228076150076</v>
      </c>
      <c r="AK15" s="8">
        <f t="shared" si="8"/>
        <v>0.26856395472256273</v>
      </c>
      <c r="AL15" s="8">
        <f t="shared" si="8"/>
        <v>0.27765429532383484</v>
      </c>
      <c r="AM15" s="8">
        <f t="shared" si="8"/>
        <v>0.29743273704145917</v>
      </c>
      <c r="AN15" s="8">
        <f t="shared" si="8"/>
        <v>0.30627559586386516</v>
      </c>
      <c r="AO15" s="8">
        <f t="shared" si="8"/>
        <v>0.2971110243550858</v>
      </c>
      <c r="AP15" s="8">
        <f t="shared" si="8"/>
        <v>0.3184826650759508</v>
      </c>
      <c r="AQ15" s="8">
        <f t="shared" si="8"/>
        <v>0.32770654665874166</v>
      </c>
      <c r="AR15" s="102"/>
      <c r="AS15" s="102"/>
      <c r="AT15" s="102"/>
      <c r="AU15" s="102"/>
      <c r="AV15" s="102"/>
      <c r="AW15" s="102"/>
    </row>
    <row r="16" spans="1:49">
      <c r="C16" s="3"/>
      <c r="G16" s="104"/>
      <c r="H16" s="30"/>
      <c r="J16" s="8"/>
      <c r="K16" s="8"/>
      <c r="L16" s="8"/>
      <c r="M16" s="8"/>
      <c r="N16" s="8"/>
      <c r="O16" s="8"/>
      <c r="P16" s="102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02"/>
      <c r="AS16" s="102"/>
      <c r="AT16" s="102"/>
      <c r="AU16" s="102"/>
      <c r="AV16" s="102"/>
      <c r="AW16" s="102"/>
    </row>
    <row r="17" spans="2:49">
      <c r="B17" s="109" t="s">
        <v>48</v>
      </c>
      <c r="G17" s="57">
        <f ca="1">OFFSET(R17,0,MATCH($G$2,$R$3:$AW$3,0)-1)*4</f>
        <v>-321.53199999999998</v>
      </c>
      <c r="H17" s="33">
        <f ca="1">SUM(OFFSET(R17,0,MATCH($G$2,$R$3:$AW$3,0)-4),OFFSET(R17,0,MATCH($G$2,$R$3:$AW$3,0)-3),OFFSET(R17,0,MATCH($G$2,$R$3:$AW$3,0)-2),OFFSET(R17,0,MATCH($G$2,$R$3:$AW$3,0)-1))</f>
        <v>-334.05700000000002</v>
      </c>
      <c r="J17" s="9">
        <f>SUM(R17:U17)</f>
        <v>-304.39699999999999</v>
      </c>
      <c r="K17" s="9">
        <f>SUM(V17:Y17)</f>
        <v>-277.38800000000003</v>
      </c>
      <c r="L17" s="9">
        <f>SUM(Z17:AC17)</f>
        <v>-258.27199999999999</v>
      </c>
      <c r="M17" s="9">
        <f>SUM(AD17:AG17)</f>
        <v>-266.911</v>
      </c>
      <c r="N17" s="9">
        <f>SUM(AH17:AK17)</f>
        <v>-301.39200000000005</v>
      </c>
      <c r="O17" s="9">
        <f>SUM(AL17:AO17)</f>
        <v>-335.21300000000002</v>
      </c>
      <c r="P17" s="102"/>
      <c r="R17" s="10">
        <v>-76.796000000000006</v>
      </c>
      <c r="S17" s="10">
        <v>-92.587999999999994</v>
      </c>
      <c r="T17" s="10">
        <v>-70.031999999999996</v>
      </c>
      <c r="U17" s="10">
        <v>-64.980999999999995</v>
      </c>
      <c r="V17" s="10">
        <v>-72.796000000000006</v>
      </c>
      <c r="W17" s="10">
        <v>-69.150000000000006</v>
      </c>
      <c r="X17" s="10">
        <v>-64.656000000000006</v>
      </c>
      <c r="Y17" s="10">
        <v>-70.786000000000001</v>
      </c>
      <c r="Z17" s="10">
        <v>-72.08</v>
      </c>
      <c r="AA17" s="10">
        <v>-65.611999999999995</v>
      </c>
      <c r="AB17" s="10">
        <v>-61.72</v>
      </c>
      <c r="AC17" s="10">
        <v>-58.86</v>
      </c>
      <c r="AD17" s="10">
        <v>-69.629000000000005</v>
      </c>
      <c r="AE17" s="10">
        <v>-62.74</v>
      </c>
      <c r="AF17" s="10">
        <v>-66.064999999999998</v>
      </c>
      <c r="AG17" s="10">
        <v>-68.477000000000004</v>
      </c>
      <c r="AH17" s="10">
        <v>-75.765000000000001</v>
      </c>
      <c r="AI17" s="10">
        <v>-69.275000000000006</v>
      </c>
      <c r="AJ17" s="10">
        <v>-75.381</v>
      </c>
      <c r="AK17" s="10">
        <v>-80.971000000000004</v>
      </c>
      <c r="AL17" s="10">
        <v>-88.849000000000004</v>
      </c>
      <c r="AM17" s="10">
        <v>-82.896000000000001</v>
      </c>
      <c r="AN17" s="10">
        <v>-79.125</v>
      </c>
      <c r="AO17" s="10">
        <v>-84.343000000000004</v>
      </c>
      <c r="AP17" s="10">
        <v>-90.206000000000003</v>
      </c>
      <c r="AQ17" s="10">
        <v>-80.382999999999996</v>
      </c>
      <c r="AR17" s="102"/>
      <c r="AS17" s="102"/>
      <c r="AT17" s="102"/>
      <c r="AU17" s="102"/>
      <c r="AV17" s="102"/>
      <c r="AW17" s="102"/>
    </row>
    <row r="18" spans="2:49">
      <c r="B18" s="109" t="s">
        <v>49</v>
      </c>
      <c r="G18" s="57">
        <f ca="1">OFFSET(R18,0,MATCH($G$2,$R$3:$AW$3,0)-1)*4</f>
        <v>-41.24</v>
      </c>
      <c r="H18" s="33">
        <f ca="1">SUM(OFFSET(R18,0,MATCH($G$2,$R$3:$AW$3,0)-4),OFFSET(R18,0,MATCH($G$2,$R$3:$AW$3,0)-3),OFFSET(R18,0,MATCH($G$2,$R$3:$AW$3,0)-2),OFFSET(R18,0,MATCH($G$2,$R$3:$AW$3,0)-1))</f>
        <v>-34.176000000000002</v>
      </c>
      <c r="J18" s="9">
        <f>SUM(R18:U18)</f>
        <v>-39.250999999999998</v>
      </c>
      <c r="K18" s="9">
        <f>SUM(V18:Y18)</f>
        <v>-41.932999999999993</v>
      </c>
      <c r="L18" s="9">
        <f>SUM(Z18:AC18)</f>
        <v>-42</v>
      </c>
      <c r="M18" s="9">
        <f>SUM(AD18:AG18)</f>
        <v>-36.251000000000005</v>
      </c>
      <c r="N18" s="9">
        <f>SUM(AH18:AK18)</f>
        <v>-35.070999999999998</v>
      </c>
      <c r="O18" s="9">
        <f>SUM(AL18:AO18)</f>
        <v>-34.765999999999998</v>
      </c>
      <c r="P18" s="102"/>
      <c r="R18" s="10">
        <v>-8.5350000000000001</v>
      </c>
      <c r="S18" s="10">
        <v>-10.552</v>
      </c>
      <c r="T18" s="10">
        <v>-10.523</v>
      </c>
      <c r="U18" s="10">
        <v>-9.641</v>
      </c>
      <c r="V18" s="10">
        <v>-9.9979999999999993</v>
      </c>
      <c r="W18" s="10">
        <v>-10.579000000000001</v>
      </c>
      <c r="X18" s="10">
        <v>-10.909000000000001</v>
      </c>
      <c r="Y18" s="10">
        <v>-10.446999999999999</v>
      </c>
      <c r="Z18" s="10">
        <v>-11.406000000000001</v>
      </c>
      <c r="AA18" s="10">
        <v>-13.065</v>
      </c>
      <c r="AB18" s="10">
        <v>-9.077</v>
      </c>
      <c r="AC18" s="10">
        <v>-8.452</v>
      </c>
      <c r="AD18" s="10">
        <v>-8.26</v>
      </c>
      <c r="AE18" s="10">
        <v>-10.364000000000001</v>
      </c>
      <c r="AF18" s="10">
        <v>-9.9169999999999998</v>
      </c>
      <c r="AG18" s="10">
        <v>-7.71</v>
      </c>
      <c r="AH18" s="10">
        <v>-9.59</v>
      </c>
      <c r="AI18" s="10">
        <v>-9.6210000000000004</v>
      </c>
      <c r="AJ18" s="10">
        <v>-9.1210000000000004</v>
      </c>
      <c r="AK18" s="10">
        <v>-6.7389999999999999</v>
      </c>
      <c r="AL18" s="10">
        <v>-9.1859999999999999</v>
      </c>
      <c r="AM18" s="10">
        <v>-9.7579999999999991</v>
      </c>
      <c r="AN18" s="10">
        <v>-9.6660000000000004</v>
      </c>
      <c r="AO18" s="10">
        <v>-6.1559999999999997</v>
      </c>
      <c r="AP18" s="10">
        <v>-8.0440000000000005</v>
      </c>
      <c r="AQ18" s="10">
        <v>-10.31</v>
      </c>
      <c r="AR18" s="102"/>
      <c r="AS18" s="102"/>
      <c r="AT18" s="102"/>
      <c r="AU18" s="102"/>
      <c r="AV18" s="102"/>
      <c r="AW18" s="102"/>
    </row>
    <row r="19" spans="2:49">
      <c r="B19" s="110" t="s">
        <v>50</v>
      </c>
      <c r="C19" s="7"/>
      <c r="D19" s="7"/>
      <c r="E19" s="7"/>
      <c r="F19" s="7"/>
      <c r="G19" s="58">
        <f ca="1">OFFSET(R19,0,MATCH($G$2,$R$3:$AW$3,0)-1)*4</f>
        <v>-237.928</v>
      </c>
      <c r="H19" s="46">
        <f ca="1">SUM(OFFSET(R19,0,MATCH($G$2,$R$3:$AW$3,0)-4),OFFSET(R19,0,MATCH($G$2,$R$3:$AW$3,0)-3),OFFSET(R19,0,MATCH($G$2,$R$3:$AW$3,0)-2),OFFSET(R19,0,MATCH($G$2,$R$3:$AW$3,0)-1))</f>
        <v>-225.47399999999999</v>
      </c>
      <c r="I19" s="7"/>
      <c r="J19" s="11">
        <f>SUM(R19:U19)</f>
        <v>-224.97200000000001</v>
      </c>
      <c r="K19" s="11">
        <f>SUM(V19:Y19)</f>
        <v>-219.63200000000001</v>
      </c>
      <c r="L19" s="11">
        <f>SUM(Z19:AC19)</f>
        <v>-219.92399999999998</v>
      </c>
      <c r="M19" s="11">
        <f>SUM(AD19:AG19)</f>
        <v>-213.71799999999999</v>
      </c>
      <c r="N19" s="11">
        <f>SUM(AH19:AK19)</f>
        <v>-201.44299999999998</v>
      </c>
      <c r="O19" s="11">
        <f>SUM(AL19:AO19)</f>
        <v>-211.15600000000001</v>
      </c>
      <c r="P19" s="103"/>
      <c r="Q19" s="7"/>
      <c r="R19" s="12">
        <v>-54.218000000000004</v>
      </c>
      <c r="S19" s="12">
        <v>-55.491999999999997</v>
      </c>
      <c r="T19" s="12">
        <v>-57.93</v>
      </c>
      <c r="U19" s="12">
        <v>-57.332000000000001</v>
      </c>
      <c r="V19" s="12">
        <v>-55.222999999999999</v>
      </c>
      <c r="W19" s="12">
        <v>-55.093000000000004</v>
      </c>
      <c r="X19" s="12">
        <v>-54.454999999999998</v>
      </c>
      <c r="Y19" s="12">
        <v>-54.860999999999997</v>
      </c>
      <c r="Z19" s="12">
        <v>-55.789000000000001</v>
      </c>
      <c r="AA19" s="12">
        <v>-54.502000000000002</v>
      </c>
      <c r="AB19" s="12">
        <v>-54.779000000000003</v>
      </c>
      <c r="AC19" s="12">
        <v>-54.853999999999999</v>
      </c>
      <c r="AD19" s="12">
        <v>-54.89</v>
      </c>
      <c r="AE19" s="12">
        <v>-55.131999999999998</v>
      </c>
      <c r="AF19" s="12">
        <v>-53.462000000000003</v>
      </c>
      <c r="AG19" s="12">
        <v>-50.234000000000002</v>
      </c>
      <c r="AH19" s="12">
        <v>-49.963999999999999</v>
      </c>
      <c r="AI19" s="12">
        <v>-50.115000000000002</v>
      </c>
      <c r="AJ19" s="12">
        <v>-50.418999999999997</v>
      </c>
      <c r="AK19" s="12">
        <v>-50.945</v>
      </c>
      <c r="AL19" s="12">
        <v>-51.109000000000002</v>
      </c>
      <c r="AM19" s="12">
        <v>-51.697000000000003</v>
      </c>
      <c r="AN19" s="12">
        <v>-53.445</v>
      </c>
      <c r="AO19" s="12">
        <v>-54.905000000000001</v>
      </c>
      <c r="AP19" s="12">
        <v>-57.642000000000003</v>
      </c>
      <c r="AQ19" s="12">
        <v>-59.481999999999999</v>
      </c>
      <c r="AR19" s="143"/>
      <c r="AS19" s="103"/>
      <c r="AT19" s="103"/>
      <c r="AU19" s="103"/>
      <c r="AV19" s="103"/>
      <c r="AW19" s="103"/>
    </row>
    <row r="20" spans="2:49">
      <c r="B20" s="112" t="s">
        <v>51</v>
      </c>
      <c r="G20" s="61">
        <f ca="1">G14+SUM(G17:G19)</f>
        <v>479.93200000000002</v>
      </c>
      <c r="H20" s="48">
        <f ca="1">H14+SUM(H17:H19)</f>
        <v>405.46699999999998</v>
      </c>
      <c r="J20" s="6">
        <f t="shared" ref="J20:O20" si="9">J14+SUM(J17:J19)</f>
        <v>241.1310000000002</v>
      </c>
      <c r="K20" s="6">
        <f t="shared" si="9"/>
        <v>269.39999999999986</v>
      </c>
      <c r="L20" s="6">
        <f t="shared" si="9"/>
        <v>140.39399999999978</v>
      </c>
      <c r="M20" s="6">
        <f t="shared" si="9"/>
        <v>76.818999999999846</v>
      </c>
      <c r="N20" s="6">
        <f t="shared" si="9"/>
        <v>185.90700000000004</v>
      </c>
      <c r="O20" s="6">
        <f t="shared" si="9"/>
        <v>330.08300000000031</v>
      </c>
      <c r="P20" s="102"/>
      <c r="R20" s="6">
        <f t="shared" ref="R20:AQ20" si="10">R14+SUM(R17:R19)</f>
        <v>48.822000000000088</v>
      </c>
      <c r="S20" s="6">
        <f t="shared" si="10"/>
        <v>55.411000000000143</v>
      </c>
      <c r="T20" s="6">
        <f t="shared" si="10"/>
        <v>67.93900000000005</v>
      </c>
      <c r="U20" s="6">
        <f t="shared" si="10"/>
        <v>68.959000000000003</v>
      </c>
      <c r="V20" s="6">
        <f t="shared" si="10"/>
        <v>69.949000000000012</v>
      </c>
      <c r="W20" s="6">
        <f t="shared" si="10"/>
        <v>72.724999999999909</v>
      </c>
      <c r="X20" s="6">
        <f t="shared" si="10"/>
        <v>78.274999999999949</v>
      </c>
      <c r="Y20" s="6">
        <f t="shared" si="10"/>
        <v>48.451000000000136</v>
      </c>
      <c r="Z20" s="6">
        <f t="shared" si="10"/>
        <v>51.083000000000055</v>
      </c>
      <c r="AA20" s="6">
        <f t="shared" si="10"/>
        <v>34.441000000000003</v>
      </c>
      <c r="AB20" s="6">
        <f t="shared" si="10"/>
        <v>30.227000000000004</v>
      </c>
      <c r="AC20" s="6">
        <f t="shared" si="10"/>
        <v>24.642999999999972</v>
      </c>
      <c r="AD20" s="6">
        <f t="shared" si="10"/>
        <v>1.0310000000000059</v>
      </c>
      <c r="AE20" s="6">
        <f t="shared" si="10"/>
        <v>21.909000000000049</v>
      </c>
      <c r="AF20" s="6">
        <f t="shared" si="10"/>
        <v>22.95700000000005</v>
      </c>
      <c r="AG20" s="6">
        <f t="shared" si="10"/>
        <v>30.921999999999969</v>
      </c>
      <c r="AH20" s="6">
        <f t="shared" si="10"/>
        <v>24.845000000000027</v>
      </c>
      <c r="AI20" s="6">
        <f t="shared" si="10"/>
        <v>45.09099999999998</v>
      </c>
      <c r="AJ20" s="6">
        <f t="shared" si="10"/>
        <v>58.53000000000003</v>
      </c>
      <c r="AK20" s="6">
        <f t="shared" si="10"/>
        <v>57.441000000000003</v>
      </c>
      <c r="AL20" s="6">
        <f t="shared" si="10"/>
        <v>59.219999999999914</v>
      </c>
      <c r="AM20" s="6">
        <f t="shared" si="10"/>
        <v>86.828000000000088</v>
      </c>
      <c r="AN20" s="6">
        <f t="shared" si="10"/>
        <v>91.994999999999891</v>
      </c>
      <c r="AO20" s="6">
        <f t="shared" si="10"/>
        <v>92.040000000000077</v>
      </c>
      <c r="AP20" s="6">
        <f t="shared" si="10"/>
        <v>101.4489999999999</v>
      </c>
      <c r="AQ20" s="6">
        <f t="shared" si="10"/>
        <v>119.983</v>
      </c>
      <c r="AR20" s="102"/>
      <c r="AS20" s="102"/>
      <c r="AT20" s="102"/>
      <c r="AU20" s="102"/>
      <c r="AV20" s="102"/>
      <c r="AW20" s="102"/>
    </row>
    <row r="21" spans="2:49">
      <c r="B21" s="112"/>
      <c r="C21" s="3" t="s">
        <v>52</v>
      </c>
      <c r="G21" s="60">
        <f ca="1">G20/G9</f>
        <v>0.14554155193537041</v>
      </c>
      <c r="H21" s="60">
        <f ca="1">H20/H9</f>
        <v>0.12685273248319964</v>
      </c>
      <c r="J21" s="8">
        <f t="shared" ref="J21:O21" si="11">J20/J9</f>
        <v>8.1169839939919886E-2</v>
      </c>
      <c r="K21" s="8">
        <f t="shared" si="11"/>
        <v>9.4912660270807553E-2</v>
      </c>
      <c r="L21" s="8">
        <f t="shared" si="11"/>
        <v>6.4655744107049343E-2</v>
      </c>
      <c r="M21" s="8">
        <f t="shared" si="11"/>
        <v>3.4192534695948587E-2</v>
      </c>
      <c r="N21" s="8">
        <f t="shared" si="11"/>
        <v>6.6758859130824494E-2</v>
      </c>
      <c r="O21" s="8">
        <f t="shared" si="11"/>
        <v>0.10676631173099076</v>
      </c>
      <c r="P21" s="102"/>
      <c r="R21" s="8">
        <f t="shared" ref="R21:AQ21" si="12">R20/R9</f>
        <v>6.5825522322054672E-2</v>
      </c>
      <c r="S21" s="8">
        <f t="shared" si="12"/>
        <v>6.9033265185860879E-2</v>
      </c>
      <c r="T21" s="8">
        <f t="shared" si="12"/>
        <v>9.6388567699281474E-2</v>
      </c>
      <c r="U21" s="8">
        <f t="shared" si="12"/>
        <v>9.5578196877862995E-2</v>
      </c>
      <c r="V21" s="8">
        <f t="shared" si="12"/>
        <v>9.3939064302510963E-2</v>
      </c>
      <c r="W21" s="8">
        <f t="shared" si="12"/>
        <v>9.432041315518469E-2</v>
      </c>
      <c r="X21" s="8">
        <f t="shared" si="12"/>
        <v>0.11738743778203346</v>
      </c>
      <c r="Y21" s="8">
        <f t="shared" si="12"/>
        <v>7.386645160208398E-2</v>
      </c>
      <c r="Z21" s="8">
        <f t="shared" si="12"/>
        <v>7.9330544192966354E-2</v>
      </c>
      <c r="AA21" s="8">
        <f t="shared" si="12"/>
        <v>6.364303282399443E-2</v>
      </c>
      <c r="AB21" s="8">
        <f t="shared" si="12"/>
        <v>6.0871946786637057E-2</v>
      </c>
      <c r="AC21" s="8">
        <f t="shared" si="12"/>
        <v>5.0316892493404826E-2</v>
      </c>
      <c r="AD21" s="8">
        <f t="shared" si="12"/>
        <v>2.0750729596457802E-3</v>
      </c>
      <c r="AE21" s="8">
        <f t="shared" si="12"/>
        <v>3.914950037882587E-2</v>
      </c>
      <c r="AF21" s="8">
        <f t="shared" si="12"/>
        <v>3.8330661858011164E-2</v>
      </c>
      <c r="AG21" s="8">
        <f t="shared" si="12"/>
        <v>5.2297950499436752E-2</v>
      </c>
      <c r="AH21" s="8">
        <f t="shared" si="12"/>
        <v>4.0677361153406658E-2</v>
      </c>
      <c r="AI21" s="8">
        <f t="shared" si="12"/>
        <v>6.4603618524737644E-2</v>
      </c>
      <c r="AJ21" s="8">
        <f t="shared" si="12"/>
        <v>7.8474960547997394E-2</v>
      </c>
      <c r="AK21" s="8">
        <f t="shared" si="12"/>
        <v>7.8668520129011946E-2</v>
      </c>
      <c r="AL21" s="8">
        <f t="shared" si="12"/>
        <v>7.8913283336264822E-2</v>
      </c>
      <c r="AM21" s="8">
        <f t="shared" si="12"/>
        <v>0.11171209189344981</v>
      </c>
      <c r="AN21" s="8">
        <f t="shared" si="12"/>
        <v>0.12029075332255874</v>
      </c>
      <c r="AO21" s="8">
        <f t="shared" si="12"/>
        <v>0.11516862368239296</v>
      </c>
      <c r="AP21" s="8">
        <f t="shared" si="12"/>
        <v>0.12555227456678147</v>
      </c>
      <c r="AQ21" s="8">
        <f t="shared" si="12"/>
        <v>0.14554155193537041</v>
      </c>
      <c r="AR21" s="102"/>
      <c r="AS21" s="102"/>
      <c r="AT21" s="102"/>
      <c r="AU21" s="102"/>
      <c r="AV21" s="102"/>
      <c r="AW21" s="102"/>
    </row>
    <row r="22" spans="2:49">
      <c r="B22" s="110" t="s">
        <v>53</v>
      </c>
      <c r="C22" s="74"/>
      <c r="D22" s="7"/>
      <c r="E22" s="7"/>
      <c r="F22" s="7"/>
      <c r="G22" s="58">
        <f ca="1">OFFSET(R22,0,MATCH($G$2,$R$3:$AW$3,0)-1)*4</f>
        <v>237.928</v>
      </c>
      <c r="H22" s="46">
        <f ca="1">SUM(OFFSET(R22,0,MATCH($G$2,$R$3:$AW$3,0)-4),OFFSET(R22,0,MATCH($G$2,$R$3:$AW$3,0)-3),OFFSET(R22,0,MATCH($G$2,$R$3:$AW$3,0)-2),OFFSET(R22,0,MATCH($G$2,$R$3:$AW$3,0)-1))</f>
        <v>225.47399999999999</v>
      </c>
      <c r="I22" s="7"/>
      <c r="J22" s="11">
        <f>SUM(R22:U22)</f>
        <v>224.97200000000001</v>
      </c>
      <c r="K22" s="11">
        <f>SUM(V22:Y22)</f>
        <v>219.63200000000001</v>
      </c>
      <c r="L22" s="11">
        <f>SUM(Z22:AC22)</f>
        <v>219.92399999999998</v>
      </c>
      <c r="M22" s="11">
        <f>SUM(AD22:AG22)</f>
        <v>213.71799999999999</v>
      </c>
      <c r="N22" s="11">
        <f>SUM(AH22:AK22)</f>
        <v>201.44299999999998</v>
      </c>
      <c r="O22" s="11">
        <f>SUM(AL22:AO22)</f>
        <v>211.15600000000001</v>
      </c>
      <c r="P22" s="103"/>
      <c r="Q22" s="7"/>
      <c r="R22" s="76">
        <f t="shared" ref="R22:AQ22" si="13">-R19</f>
        <v>54.218000000000004</v>
      </c>
      <c r="S22" s="76">
        <f t="shared" si="13"/>
        <v>55.491999999999997</v>
      </c>
      <c r="T22" s="76">
        <f t="shared" si="13"/>
        <v>57.93</v>
      </c>
      <c r="U22" s="76">
        <f t="shared" si="13"/>
        <v>57.332000000000001</v>
      </c>
      <c r="V22" s="76">
        <f t="shared" si="13"/>
        <v>55.222999999999999</v>
      </c>
      <c r="W22" s="76">
        <f t="shared" si="13"/>
        <v>55.093000000000004</v>
      </c>
      <c r="X22" s="76">
        <f t="shared" si="13"/>
        <v>54.454999999999998</v>
      </c>
      <c r="Y22" s="76">
        <f t="shared" si="13"/>
        <v>54.860999999999997</v>
      </c>
      <c r="Z22" s="76">
        <f t="shared" si="13"/>
        <v>55.789000000000001</v>
      </c>
      <c r="AA22" s="76">
        <f t="shared" si="13"/>
        <v>54.502000000000002</v>
      </c>
      <c r="AB22" s="76">
        <f t="shared" si="13"/>
        <v>54.779000000000003</v>
      </c>
      <c r="AC22" s="76">
        <f t="shared" si="13"/>
        <v>54.853999999999999</v>
      </c>
      <c r="AD22" s="76">
        <f t="shared" si="13"/>
        <v>54.89</v>
      </c>
      <c r="AE22" s="76">
        <f t="shared" si="13"/>
        <v>55.131999999999998</v>
      </c>
      <c r="AF22" s="76">
        <f t="shared" si="13"/>
        <v>53.462000000000003</v>
      </c>
      <c r="AG22" s="76">
        <f t="shared" si="13"/>
        <v>50.234000000000002</v>
      </c>
      <c r="AH22" s="76">
        <f t="shared" si="13"/>
        <v>49.963999999999999</v>
      </c>
      <c r="AI22" s="76">
        <f t="shared" si="13"/>
        <v>50.115000000000002</v>
      </c>
      <c r="AJ22" s="76">
        <f t="shared" si="13"/>
        <v>50.418999999999997</v>
      </c>
      <c r="AK22" s="76">
        <f t="shared" si="13"/>
        <v>50.945</v>
      </c>
      <c r="AL22" s="76">
        <f t="shared" si="13"/>
        <v>51.109000000000002</v>
      </c>
      <c r="AM22" s="76">
        <f t="shared" si="13"/>
        <v>51.697000000000003</v>
      </c>
      <c r="AN22" s="76">
        <f t="shared" si="13"/>
        <v>53.445</v>
      </c>
      <c r="AO22" s="76">
        <f t="shared" si="13"/>
        <v>54.905000000000001</v>
      </c>
      <c r="AP22" s="76">
        <f t="shared" si="13"/>
        <v>57.642000000000003</v>
      </c>
      <c r="AQ22" s="76">
        <f t="shared" si="13"/>
        <v>59.481999999999999</v>
      </c>
      <c r="AR22" s="103"/>
      <c r="AS22" s="103"/>
      <c r="AT22" s="103"/>
      <c r="AU22" s="103"/>
      <c r="AV22" s="103"/>
      <c r="AW22" s="103"/>
    </row>
    <row r="23" spans="2:49">
      <c r="B23" s="112" t="s">
        <v>54</v>
      </c>
      <c r="C23" s="3"/>
      <c r="G23" s="61">
        <f ca="1">G20+G22</f>
        <v>717.86</v>
      </c>
      <c r="H23" s="61">
        <f ca="1">H20+H22</f>
        <v>630.94100000000003</v>
      </c>
      <c r="J23" s="6">
        <f t="shared" ref="J23:O23" si="14">J20+J22</f>
        <v>466.10300000000018</v>
      </c>
      <c r="K23" s="6">
        <f t="shared" si="14"/>
        <v>489.03199999999987</v>
      </c>
      <c r="L23" s="6">
        <f t="shared" si="14"/>
        <v>360.31799999999976</v>
      </c>
      <c r="M23" s="6">
        <f t="shared" si="14"/>
        <v>290.53699999999981</v>
      </c>
      <c r="N23" s="6">
        <f t="shared" si="14"/>
        <v>387.35</v>
      </c>
      <c r="O23" s="6">
        <f t="shared" si="14"/>
        <v>541.23900000000026</v>
      </c>
      <c r="P23" s="102"/>
      <c r="R23" s="6">
        <f t="shared" ref="R23:AQ23" si="15">R20+R22</f>
        <v>103.04000000000009</v>
      </c>
      <c r="S23" s="6">
        <f t="shared" si="15"/>
        <v>110.90300000000013</v>
      </c>
      <c r="T23" s="6">
        <f t="shared" si="15"/>
        <v>125.86900000000006</v>
      </c>
      <c r="U23" s="6">
        <f t="shared" si="15"/>
        <v>126.291</v>
      </c>
      <c r="V23" s="6">
        <f t="shared" si="15"/>
        <v>125.17200000000001</v>
      </c>
      <c r="W23" s="6">
        <f t="shared" si="15"/>
        <v>127.81799999999991</v>
      </c>
      <c r="X23" s="6">
        <f t="shared" si="15"/>
        <v>132.72999999999996</v>
      </c>
      <c r="Y23" s="6">
        <f t="shared" si="15"/>
        <v>103.31200000000013</v>
      </c>
      <c r="Z23" s="6">
        <f t="shared" si="15"/>
        <v>106.87200000000006</v>
      </c>
      <c r="AA23" s="6">
        <f t="shared" si="15"/>
        <v>88.943000000000012</v>
      </c>
      <c r="AB23" s="6">
        <f t="shared" si="15"/>
        <v>85.006</v>
      </c>
      <c r="AC23" s="6">
        <f t="shared" si="15"/>
        <v>79.496999999999971</v>
      </c>
      <c r="AD23" s="6">
        <f t="shared" si="15"/>
        <v>55.921000000000006</v>
      </c>
      <c r="AE23" s="6">
        <f t="shared" si="15"/>
        <v>77.041000000000054</v>
      </c>
      <c r="AF23" s="6">
        <f t="shared" si="15"/>
        <v>76.419000000000054</v>
      </c>
      <c r="AG23" s="6">
        <f t="shared" si="15"/>
        <v>81.155999999999977</v>
      </c>
      <c r="AH23" s="6">
        <f t="shared" si="15"/>
        <v>74.809000000000026</v>
      </c>
      <c r="AI23" s="6">
        <f t="shared" si="15"/>
        <v>95.205999999999989</v>
      </c>
      <c r="AJ23" s="6">
        <f t="shared" si="15"/>
        <v>108.94900000000003</v>
      </c>
      <c r="AK23" s="6">
        <f t="shared" si="15"/>
        <v>108.386</v>
      </c>
      <c r="AL23" s="6">
        <f t="shared" si="15"/>
        <v>110.32899999999992</v>
      </c>
      <c r="AM23" s="6">
        <f t="shared" si="15"/>
        <v>138.52500000000009</v>
      </c>
      <c r="AN23" s="6">
        <f t="shared" si="15"/>
        <v>145.43999999999988</v>
      </c>
      <c r="AO23" s="6">
        <f t="shared" si="15"/>
        <v>146.94500000000008</v>
      </c>
      <c r="AP23" s="6">
        <f t="shared" si="15"/>
        <v>159.09099999999989</v>
      </c>
      <c r="AQ23" s="6">
        <f t="shared" si="15"/>
        <v>179.465</v>
      </c>
      <c r="AR23" s="102"/>
      <c r="AS23" s="102"/>
      <c r="AT23" s="102"/>
      <c r="AU23" s="102"/>
      <c r="AV23" s="102"/>
      <c r="AW23" s="102"/>
    </row>
    <row r="24" spans="2:49">
      <c r="B24" s="112"/>
      <c r="C24" s="3" t="s">
        <v>52</v>
      </c>
      <c r="G24" s="60">
        <f ca="1">G23/G9</f>
        <v>0.21769429517582697</v>
      </c>
      <c r="H24" s="60">
        <f ca="1">H23/H9</f>
        <v>0.19739359771740356</v>
      </c>
      <c r="J24" s="8">
        <f t="shared" ref="J24:O24" si="16">J23/J9</f>
        <v>0.15690021567329154</v>
      </c>
      <c r="K24" s="8">
        <f t="shared" si="16"/>
        <v>0.17229149249277495</v>
      </c>
      <c r="L24" s="8">
        <f t="shared" si="16"/>
        <v>0.16593749309203973</v>
      </c>
      <c r="M24" s="8">
        <f t="shared" si="16"/>
        <v>0.12931952320333287</v>
      </c>
      <c r="N24" s="8">
        <f t="shared" si="16"/>
        <v>0.13909666706646262</v>
      </c>
      <c r="O24" s="8">
        <f t="shared" si="16"/>
        <v>0.17506533749078165</v>
      </c>
      <c r="P24" s="102"/>
      <c r="R24" s="8">
        <f t="shared" ref="R24:AQ24" si="17">R23/R9</f>
        <v>0.13892634099513554</v>
      </c>
      <c r="S24" s="8">
        <f t="shared" si="17"/>
        <v>0.13816744344818752</v>
      </c>
      <c r="T24" s="8">
        <f t="shared" si="17"/>
        <v>0.17857685022948316</v>
      </c>
      <c r="U24" s="8">
        <f t="shared" si="17"/>
        <v>0.17504119929091483</v>
      </c>
      <c r="V24" s="8">
        <f t="shared" si="17"/>
        <v>0.16810162485344896</v>
      </c>
      <c r="W24" s="8">
        <f t="shared" si="17"/>
        <v>0.16577307072766453</v>
      </c>
      <c r="X24" s="8">
        <f t="shared" si="17"/>
        <v>0.19905250229076088</v>
      </c>
      <c r="Y24" s="8">
        <f t="shared" si="17"/>
        <v>0.15750533214824231</v>
      </c>
      <c r="Z24" s="8">
        <f t="shared" si="17"/>
        <v>0.16596938157490154</v>
      </c>
      <c r="AA24" s="8">
        <f t="shared" si="17"/>
        <v>0.16435650150879874</v>
      </c>
      <c r="AB24" s="8">
        <f t="shared" si="17"/>
        <v>0.17118737249958213</v>
      </c>
      <c r="AC24" s="8">
        <f t="shared" si="17"/>
        <v>0.16231960404772985</v>
      </c>
      <c r="AD24" s="8">
        <f t="shared" si="17"/>
        <v>0.11255107175203785</v>
      </c>
      <c r="AE24" s="8">
        <f t="shared" si="17"/>
        <v>0.13766564693437031</v>
      </c>
      <c r="AF24" s="8">
        <f t="shared" si="17"/>
        <v>0.1275946704067322</v>
      </c>
      <c r="AG24" s="8">
        <f t="shared" si="17"/>
        <v>0.13725801923330613</v>
      </c>
      <c r="AH24" s="8">
        <f t="shared" si="17"/>
        <v>0.12248068869089139</v>
      </c>
      <c r="AI24" s="8">
        <f t="shared" si="17"/>
        <v>0.13640531603349168</v>
      </c>
      <c r="AJ24" s="8">
        <f t="shared" si="17"/>
        <v>0.14607497824609203</v>
      </c>
      <c r="AK24" s="8">
        <f t="shared" si="17"/>
        <v>0.14844042100073271</v>
      </c>
      <c r="AL24" s="8">
        <f t="shared" si="17"/>
        <v>0.14701829850062087</v>
      </c>
      <c r="AM24" s="8">
        <f t="shared" si="17"/>
        <v>0.17822496809255228</v>
      </c>
      <c r="AN24" s="8">
        <f t="shared" si="17"/>
        <v>0.19017432646592697</v>
      </c>
      <c r="AO24" s="8">
        <f t="shared" si="17"/>
        <v>0.18387063675585863</v>
      </c>
      <c r="AP24" s="8">
        <f t="shared" si="17"/>
        <v>0.19688944112907805</v>
      </c>
      <c r="AQ24" s="8">
        <f t="shared" si="17"/>
        <v>0.21769429517582697</v>
      </c>
      <c r="AR24" s="102"/>
      <c r="AS24" s="102"/>
      <c r="AT24" s="102"/>
      <c r="AU24" s="102"/>
      <c r="AV24" s="102"/>
      <c r="AW24" s="102"/>
    </row>
    <row r="25" spans="2:49">
      <c r="C25" s="3"/>
      <c r="G25" s="104"/>
      <c r="H25" s="30"/>
      <c r="J25" s="8"/>
      <c r="K25" s="8"/>
      <c r="L25" s="8"/>
      <c r="M25" s="8"/>
      <c r="N25" s="8"/>
      <c r="O25" s="8"/>
      <c r="P25" s="102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2"/>
      <c r="AS25" s="102"/>
      <c r="AT25" s="102"/>
      <c r="AU25" s="102"/>
      <c r="AV25" s="102"/>
      <c r="AW25" s="102"/>
    </row>
    <row r="26" spans="2:49">
      <c r="B26" s="109" t="s">
        <v>55</v>
      </c>
      <c r="G26" s="57">
        <f ca="1">OFFSET(R26,0,MATCH($G$2,$R$3:$AW$3,0)-1)*4</f>
        <v>0</v>
      </c>
      <c r="H26" s="33">
        <f ca="1">SUM(OFFSET(R26,0,MATCH($G$2,$R$3:$AW$3,0)-4),OFFSET(R26,0,MATCH($G$2,$R$3:$AW$3,0)-3),OFFSET(R26,0,MATCH($G$2,$R$3:$AW$3,0)-2),OFFSET(R26,0,MATCH($G$2,$R$3:$AW$3,0)-1))</f>
        <v>0</v>
      </c>
      <c r="J26" s="9">
        <f>SUM(R26:U26)</f>
        <v>-87.81</v>
      </c>
      <c r="K26" s="9">
        <f>SUM(V26:Y26)</f>
        <v>-35.524999999999999</v>
      </c>
      <c r="L26" s="9">
        <f>SUM(Z26:AC26)</f>
        <v>-561.274</v>
      </c>
      <c r="M26" s="9">
        <f>SUM(AD26:AG26)</f>
        <v>-340.71300000000002</v>
      </c>
      <c r="N26" s="9">
        <f>SUM(AH26:AK26)</f>
        <v>0</v>
      </c>
      <c r="O26" s="9">
        <f>SUM(AL26:AO26)</f>
        <v>0</v>
      </c>
      <c r="P26" s="102"/>
      <c r="R26" s="10">
        <v>0</v>
      </c>
      <c r="S26" s="10">
        <v>0</v>
      </c>
      <c r="T26" s="10">
        <v>0</v>
      </c>
      <c r="U26" s="10">
        <f>-82.705-2.702-2.403</f>
        <v>-87.81</v>
      </c>
      <c r="V26" s="10">
        <v>0</v>
      </c>
      <c r="W26" s="10">
        <v>0</v>
      </c>
      <c r="X26" s="10">
        <v>0</v>
      </c>
      <c r="Y26" s="10">
        <v>-35.524999999999999</v>
      </c>
      <c r="Z26" s="10">
        <v>-561.274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-340.71300000000002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2"/>
      <c r="AS26" s="102"/>
      <c r="AT26" s="102"/>
      <c r="AU26" s="102"/>
      <c r="AV26" s="102"/>
      <c r="AW26" s="102"/>
    </row>
    <row r="27" spans="2:49">
      <c r="B27" s="109" t="s">
        <v>56</v>
      </c>
      <c r="G27" s="57">
        <f ca="1">OFFSET(R27,0,MATCH($G$2,$R$3:$AW$3,0)-1)*4</f>
        <v>2.06</v>
      </c>
      <c r="H27" s="33">
        <f ca="1">SUM(OFFSET(R27,0,MATCH($G$2,$R$3:$AW$3,0)-4),OFFSET(R27,0,MATCH($G$2,$R$3:$AW$3,0)-3),OFFSET(R27,0,MATCH($G$2,$R$3:$AW$3,0)-2),OFFSET(R27,0,MATCH($G$2,$R$3:$AW$3,0)-1))</f>
        <v>2.8959999999999999</v>
      </c>
      <c r="J27" s="9">
        <f>SUM(R27:U27)</f>
        <v>1.9679999999999995</v>
      </c>
      <c r="K27" s="9">
        <f>SUM(V27:Y27)</f>
        <v>8.152000000000001</v>
      </c>
      <c r="L27" s="9">
        <f>SUM(Z27:AC27)</f>
        <v>0.11799999999999999</v>
      </c>
      <c r="M27" s="9">
        <f>SUM(AD27:AG27)</f>
        <v>5.761000000000001</v>
      </c>
      <c r="N27" s="9">
        <f>SUM(AH27:AK27)</f>
        <v>8.2789999999999999</v>
      </c>
      <c r="O27" s="9">
        <f>SUM(AL27:AO27)</f>
        <v>5.0090000000000003</v>
      </c>
      <c r="P27" s="102"/>
      <c r="R27" s="10">
        <v>1.8979999999999999</v>
      </c>
      <c r="S27" s="10">
        <v>0.442</v>
      </c>
      <c r="T27" s="10">
        <v>1.7999999999999999E-2</v>
      </c>
      <c r="U27" s="10">
        <v>-0.39</v>
      </c>
      <c r="V27" s="10">
        <v>2.157</v>
      </c>
      <c r="W27" s="10">
        <v>3.1179999999999999</v>
      </c>
      <c r="X27" s="10">
        <v>-0.374</v>
      </c>
      <c r="Y27" s="10">
        <v>3.2509999999999999</v>
      </c>
      <c r="Z27" s="10">
        <v>0.49199999999999999</v>
      </c>
      <c r="AA27" s="10">
        <v>-0.189</v>
      </c>
      <c r="AB27" s="10">
        <v>-0.316</v>
      </c>
      <c r="AC27" s="10">
        <v>0.13100000000000001</v>
      </c>
      <c r="AD27" s="10">
        <v>2.133</v>
      </c>
      <c r="AE27" s="10">
        <v>2.1190000000000002</v>
      </c>
      <c r="AF27" s="10">
        <v>0.83</v>
      </c>
      <c r="AG27" s="10">
        <v>0.67900000000000005</v>
      </c>
      <c r="AH27" s="10">
        <v>4.8490000000000002</v>
      </c>
      <c r="AI27" s="10">
        <v>2.7450000000000001</v>
      </c>
      <c r="AJ27" s="10">
        <v>0.377</v>
      </c>
      <c r="AK27" s="10">
        <v>0.308</v>
      </c>
      <c r="AL27" s="10">
        <v>2.23</v>
      </c>
      <c r="AM27" s="10">
        <v>0.47199999999999998</v>
      </c>
      <c r="AN27" s="10">
        <v>1.528</v>
      </c>
      <c r="AO27" s="10">
        <v>0.77900000000000003</v>
      </c>
      <c r="AP27" s="10">
        <v>7.3999999999999996E-2</v>
      </c>
      <c r="AQ27" s="10">
        <v>0.51500000000000001</v>
      </c>
      <c r="AR27" s="102"/>
      <c r="AS27" s="102"/>
      <c r="AT27" s="102"/>
      <c r="AU27" s="102"/>
      <c r="AV27" s="102"/>
      <c r="AW27" s="102"/>
    </row>
    <row r="28" spans="2:49">
      <c r="B28" s="110" t="s">
        <v>57</v>
      </c>
      <c r="C28" s="7"/>
      <c r="D28" s="7"/>
      <c r="E28" s="7"/>
      <c r="F28" s="7"/>
      <c r="G28" s="58">
        <f ca="1">OFFSET(R28,0,MATCH($G$2,$R$3:$AW$3,0)-1)*4</f>
        <v>12.352</v>
      </c>
      <c r="H28" s="46">
        <f ca="1">SUM(OFFSET(R28,0,MATCH($G$2,$R$3:$AW$3,0)-4),OFFSET(R28,0,MATCH($G$2,$R$3:$AW$3,0)-3),OFFSET(R28,0,MATCH($G$2,$R$3:$AW$3,0)-2),OFFSET(R28,0,MATCH($G$2,$R$3:$AW$3,0)-1))</f>
        <v>9.6909999999999989</v>
      </c>
      <c r="I28" s="7"/>
      <c r="J28" s="11">
        <f>SUM(R28:U28)</f>
        <v>5.7259999999999991</v>
      </c>
      <c r="K28" s="11">
        <f>SUM(V28:Y28)</f>
        <v>3.7869999999999999</v>
      </c>
      <c r="L28" s="11">
        <f>SUM(Z28:AC28)</f>
        <v>8.1470000000000002</v>
      </c>
      <c r="M28" s="11">
        <f>SUM(AD28:AG28)</f>
        <v>10.001000000000001</v>
      </c>
      <c r="N28" s="11">
        <f>SUM(AH28:AK28)</f>
        <v>16.686</v>
      </c>
      <c r="O28" s="11">
        <f>SUM(AL28:AO28)</f>
        <v>11.041</v>
      </c>
      <c r="P28" s="103"/>
      <c r="Q28" s="7"/>
      <c r="R28" s="12">
        <v>1.591</v>
      </c>
      <c r="S28" s="12">
        <v>1.5409999999999999</v>
      </c>
      <c r="T28" s="12">
        <v>1.454</v>
      </c>
      <c r="U28" s="12">
        <v>1.1399999999999999</v>
      </c>
      <c r="V28" s="12">
        <v>-0.56799999999999995</v>
      </c>
      <c r="W28" s="12">
        <v>2.3809999999999998</v>
      </c>
      <c r="X28" s="12">
        <v>0.86399999999999999</v>
      </c>
      <c r="Y28" s="12">
        <v>1.1100000000000001</v>
      </c>
      <c r="Z28" s="12">
        <v>2.7229999999999999</v>
      </c>
      <c r="AA28" s="12">
        <v>2.29</v>
      </c>
      <c r="AB28" s="12">
        <v>1.1719999999999999</v>
      </c>
      <c r="AC28" s="12">
        <v>1.962</v>
      </c>
      <c r="AD28" s="12">
        <v>3.7909999999999999</v>
      </c>
      <c r="AE28" s="12">
        <v>2.5230000000000001</v>
      </c>
      <c r="AF28" s="12">
        <v>1.8320000000000001</v>
      </c>
      <c r="AG28" s="12">
        <v>1.855</v>
      </c>
      <c r="AH28" s="12">
        <v>4.3079999999999998</v>
      </c>
      <c r="AI28" s="12">
        <v>3.7490000000000001</v>
      </c>
      <c r="AJ28" s="12">
        <v>3.8050000000000002</v>
      </c>
      <c r="AK28" s="12">
        <v>4.8239999999999998</v>
      </c>
      <c r="AL28" s="12">
        <v>6.4429999999999996</v>
      </c>
      <c r="AM28" s="12">
        <v>1.264</v>
      </c>
      <c r="AN28" s="12">
        <v>1.589</v>
      </c>
      <c r="AO28" s="12">
        <v>1.7450000000000001</v>
      </c>
      <c r="AP28" s="12">
        <v>3.2690000000000001</v>
      </c>
      <c r="AQ28" s="12">
        <v>3.0880000000000001</v>
      </c>
      <c r="AR28" s="103"/>
      <c r="AS28" s="103"/>
      <c r="AT28" s="103"/>
      <c r="AU28" s="103"/>
      <c r="AV28" s="103"/>
      <c r="AW28" s="103"/>
    </row>
    <row r="29" spans="2:49">
      <c r="B29" s="112" t="s">
        <v>58</v>
      </c>
      <c r="G29" s="59">
        <f ca="1">SUM(G26:G28)</f>
        <v>14.412000000000001</v>
      </c>
      <c r="H29" s="32">
        <f ca="1">SUM(H26:H28)</f>
        <v>12.587</v>
      </c>
      <c r="J29" s="13">
        <f t="shared" ref="J29:O29" si="18">SUM(J26:J28)</f>
        <v>-80.116</v>
      </c>
      <c r="K29" s="13">
        <f t="shared" si="18"/>
        <v>-23.585999999999999</v>
      </c>
      <c r="L29" s="13">
        <f t="shared" si="18"/>
        <v>-553.0089999999999</v>
      </c>
      <c r="M29" s="13">
        <f t="shared" si="18"/>
        <v>-324.95100000000002</v>
      </c>
      <c r="N29" s="13">
        <f t="shared" si="18"/>
        <v>24.965</v>
      </c>
      <c r="O29" s="13">
        <f t="shared" si="18"/>
        <v>16.05</v>
      </c>
      <c r="P29" s="102"/>
      <c r="R29" s="13">
        <f t="shared" ref="R29:AQ29" si="19">SUM(R26:R28)</f>
        <v>3.4889999999999999</v>
      </c>
      <c r="S29" s="13">
        <f t="shared" si="19"/>
        <v>1.9829999999999999</v>
      </c>
      <c r="T29" s="13">
        <f t="shared" si="19"/>
        <v>1.472</v>
      </c>
      <c r="U29" s="13">
        <f t="shared" si="19"/>
        <v>-87.06</v>
      </c>
      <c r="V29" s="13">
        <f t="shared" si="19"/>
        <v>1.589</v>
      </c>
      <c r="W29" s="13">
        <f t="shared" si="19"/>
        <v>5.4989999999999997</v>
      </c>
      <c r="X29" s="13">
        <f t="shared" si="19"/>
        <v>0.49</v>
      </c>
      <c r="Y29" s="13">
        <f t="shared" si="19"/>
        <v>-31.164000000000001</v>
      </c>
      <c r="Z29" s="13">
        <f t="shared" si="19"/>
        <v>-558.05900000000008</v>
      </c>
      <c r="AA29" s="13">
        <f t="shared" si="19"/>
        <v>2.101</v>
      </c>
      <c r="AB29" s="13">
        <f t="shared" si="19"/>
        <v>0.85599999999999987</v>
      </c>
      <c r="AC29" s="13">
        <f t="shared" si="19"/>
        <v>2.093</v>
      </c>
      <c r="AD29" s="13">
        <f t="shared" si="19"/>
        <v>5.9239999999999995</v>
      </c>
      <c r="AE29" s="13">
        <f t="shared" si="19"/>
        <v>4.6420000000000003</v>
      </c>
      <c r="AF29" s="13">
        <f t="shared" si="19"/>
        <v>-338.05100000000004</v>
      </c>
      <c r="AG29" s="13">
        <f t="shared" si="19"/>
        <v>2.5339999999999998</v>
      </c>
      <c r="AH29" s="13">
        <f t="shared" si="19"/>
        <v>9.157</v>
      </c>
      <c r="AI29" s="13">
        <f t="shared" si="19"/>
        <v>6.4939999999999998</v>
      </c>
      <c r="AJ29" s="13">
        <f t="shared" si="19"/>
        <v>4.1820000000000004</v>
      </c>
      <c r="AK29" s="13">
        <f t="shared" si="19"/>
        <v>5.1319999999999997</v>
      </c>
      <c r="AL29" s="13">
        <f t="shared" si="19"/>
        <v>8.673</v>
      </c>
      <c r="AM29" s="13">
        <f t="shared" si="19"/>
        <v>1.736</v>
      </c>
      <c r="AN29" s="13">
        <f t="shared" si="19"/>
        <v>3.117</v>
      </c>
      <c r="AO29" s="13">
        <f t="shared" si="19"/>
        <v>2.524</v>
      </c>
      <c r="AP29" s="13">
        <f t="shared" si="19"/>
        <v>3.343</v>
      </c>
      <c r="AQ29" s="13">
        <f t="shared" si="19"/>
        <v>3.6030000000000002</v>
      </c>
      <c r="AR29" s="102"/>
      <c r="AS29" s="102"/>
      <c r="AT29" s="102"/>
      <c r="AU29" s="102"/>
      <c r="AV29" s="102"/>
      <c r="AW29" s="102"/>
    </row>
    <row r="30" spans="2:49">
      <c r="B30" s="110" t="s">
        <v>59</v>
      </c>
      <c r="C30" s="7"/>
      <c r="D30" s="7"/>
      <c r="E30" s="7"/>
      <c r="F30" s="7"/>
      <c r="G30" s="58">
        <f ca="1">G20</f>
        <v>479.93200000000002</v>
      </c>
      <c r="H30" s="46">
        <f ca="1">H20</f>
        <v>405.46699999999998</v>
      </c>
      <c r="I30" s="7"/>
      <c r="J30" s="11">
        <f t="shared" ref="J30:O30" si="20">J20</f>
        <v>241.1310000000002</v>
      </c>
      <c r="K30" s="11">
        <f t="shared" si="20"/>
        <v>269.39999999999986</v>
      </c>
      <c r="L30" s="11">
        <f t="shared" si="20"/>
        <v>140.39399999999978</v>
      </c>
      <c r="M30" s="11">
        <f t="shared" si="20"/>
        <v>76.818999999999846</v>
      </c>
      <c r="N30" s="11">
        <f t="shared" si="20"/>
        <v>185.90700000000004</v>
      </c>
      <c r="O30" s="11">
        <f t="shared" si="20"/>
        <v>330.08300000000031</v>
      </c>
      <c r="P30" s="103"/>
      <c r="Q30" s="7"/>
      <c r="R30" s="11">
        <f t="shared" ref="R30:AQ30" si="21">R20</f>
        <v>48.822000000000088</v>
      </c>
      <c r="S30" s="11">
        <f t="shared" si="21"/>
        <v>55.411000000000143</v>
      </c>
      <c r="T30" s="11">
        <f t="shared" si="21"/>
        <v>67.93900000000005</v>
      </c>
      <c r="U30" s="11">
        <f t="shared" si="21"/>
        <v>68.959000000000003</v>
      </c>
      <c r="V30" s="11">
        <f t="shared" si="21"/>
        <v>69.949000000000012</v>
      </c>
      <c r="W30" s="11">
        <f t="shared" si="21"/>
        <v>72.724999999999909</v>
      </c>
      <c r="X30" s="11">
        <f t="shared" si="21"/>
        <v>78.274999999999949</v>
      </c>
      <c r="Y30" s="11">
        <f t="shared" si="21"/>
        <v>48.451000000000136</v>
      </c>
      <c r="Z30" s="11">
        <f t="shared" si="21"/>
        <v>51.083000000000055</v>
      </c>
      <c r="AA30" s="11">
        <f t="shared" si="21"/>
        <v>34.441000000000003</v>
      </c>
      <c r="AB30" s="11">
        <f t="shared" si="21"/>
        <v>30.227000000000004</v>
      </c>
      <c r="AC30" s="11">
        <f t="shared" si="21"/>
        <v>24.642999999999972</v>
      </c>
      <c r="AD30" s="11">
        <f t="shared" si="21"/>
        <v>1.0310000000000059</v>
      </c>
      <c r="AE30" s="11">
        <f t="shared" si="21"/>
        <v>21.909000000000049</v>
      </c>
      <c r="AF30" s="11">
        <f t="shared" si="21"/>
        <v>22.95700000000005</v>
      </c>
      <c r="AG30" s="11">
        <f t="shared" si="21"/>
        <v>30.921999999999969</v>
      </c>
      <c r="AH30" s="11">
        <f t="shared" si="21"/>
        <v>24.845000000000027</v>
      </c>
      <c r="AI30" s="11">
        <f t="shared" si="21"/>
        <v>45.09099999999998</v>
      </c>
      <c r="AJ30" s="11">
        <f t="shared" si="21"/>
        <v>58.53000000000003</v>
      </c>
      <c r="AK30" s="11">
        <f t="shared" si="21"/>
        <v>57.441000000000003</v>
      </c>
      <c r="AL30" s="11">
        <f t="shared" si="21"/>
        <v>59.219999999999914</v>
      </c>
      <c r="AM30" s="11">
        <f t="shared" si="21"/>
        <v>86.828000000000088</v>
      </c>
      <c r="AN30" s="11">
        <f t="shared" si="21"/>
        <v>91.994999999999891</v>
      </c>
      <c r="AO30" s="11">
        <f t="shared" si="21"/>
        <v>92.040000000000077</v>
      </c>
      <c r="AP30" s="11">
        <f t="shared" si="21"/>
        <v>101.4489999999999</v>
      </c>
      <c r="AQ30" s="11">
        <f t="shared" si="21"/>
        <v>119.983</v>
      </c>
      <c r="AR30" s="103"/>
      <c r="AS30" s="103"/>
      <c r="AT30" s="103"/>
      <c r="AU30" s="103"/>
      <c r="AV30" s="103"/>
      <c r="AW30" s="103"/>
    </row>
    <row r="31" spans="2:49">
      <c r="B31" s="112" t="s">
        <v>60</v>
      </c>
      <c r="G31" s="59">
        <f ca="1">SUM(G29:G30)</f>
        <v>494.34399999999999</v>
      </c>
      <c r="H31" s="32">
        <f ca="1">SUM(H29:H30)</f>
        <v>418.05399999999997</v>
      </c>
      <c r="J31" s="13">
        <f t="shared" ref="J31:O31" si="22">SUM(J29:J30)</f>
        <v>161.01500000000021</v>
      </c>
      <c r="K31" s="13">
        <f t="shared" si="22"/>
        <v>245.81399999999985</v>
      </c>
      <c r="L31" s="13">
        <f t="shared" si="22"/>
        <v>-412.61500000000012</v>
      </c>
      <c r="M31" s="13">
        <f t="shared" si="22"/>
        <v>-248.13200000000018</v>
      </c>
      <c r="N31" s="13">
        <f t="shared" si="22"/>
        <v>210.87200000000004</v>
      </c>
      <c r="O31" s="13">
        <f t="shared" si="22"/>
        <v>346.13300000000032</v>
      </c>
      <c r="R31" s="13">
        <f t="shared" ref="R31:AQ31" si="23">SUM(R29:R30)</f>
        <v>52.311000000000085</v>
      </c>
      <c r="S31" s="13">
        <f t="shared" si="23"/>
        <v>57.39400000000014</v>
      </c>
      <c r="T31" s="13">
        <f t="shared" si="23"/>
        <v>69.411000000000044</v>
      </c>
      <c r="U31" s="13">
        <f t="shared" si="23"/>
        <v>-18.100999999999999</v>
      </c>
      <c r="V31" s="13">
        <f t="shared" si="23"/>
        <v>71.538000000000011</v>
      </c>
      <c r="W31" s="13">
        <f t="shared" si="23"/>
        <v>78.223999999999904</v>
      </c>
      <c r="X31" s="13">
        <f t="shared" si="23"/>
        <v>78.764999999999944</v>
      </c>
      <c r="Y31" s="13">
        <f t="shared" si="23"/>
        <v>17.287000000000134</v>
      </c>
      <c r="Z31" s="13">
        <f t="shared" si="23"/>
        <v>-506.976</v>
      </c>
      <c r="AA31" s="13">
        <f t="shared" si="23"/>
        <v>36.542000000000002</v>
      </c>
      <c r="AB31" s="13">
        <f t="shared" si="23"/>
        <v>31.083000000000006</v>
      </c>
      <c r="AC31" s="13">
        <f t="shared" si="23"/>
        <v>26.735999999999972</v>
      </c>
      <c r="AD31" s="13">
        <f t="shared" si="23"/>
        <v>6.9550000000000054</v>
      </c>
      <c r="AE31" s="13">
        <f t="shared" si="23"/>
        <v>26.551000000000048</v>
      </c>
      <c r="AF31" s="13">
        <f t="shared" si="23"/>
        <v>-315.09399999999999</v>
      </c>
      <c r="AG31" s="13">
        <f t="shared" si="23"/>
        <v>33.455999999999968</v>
      </c>
      <c r="AH31" s="13">
        <f t="shared" si="23"/>
        <v>34.002000000000024</v>
      </c>
      <c r="AI31" s="13">
        <f t="shared" si="23"/>
        <v>51.58499999999998</v>
      </c>
      <c r="AJ31" s="13">
        <f t="shared" si="23"/>
        <v>62.712000000000032</v>
      </c>
      <c r="AK31" s="13">
        <f t="shared" si="23"/>
        <v>62.573</v>
      </c>
      <c r="AL31" s="13">
        <f t="shared" si="23"/>
        <v>67.892999999999915</v>
      </c>
      <c r="AM31" s="13">
        <f t="shared" si="23"/>
        <v>88.564000000000092</v>
      </c>
      <c r="AN31" s="13">
        <f t="shared" si="23"/>
        <v>95.111999999999895</v>
      </c>
      <c r="AO31" s="13">
        <f t="shared" si="23"/>
        <v>94.564000000000078</v>
      </c>
      <c r="AP31" s="13">
        <f t="shared" si="23"/>
        <v>104.7919999999999</v>
      </c>
      <c r="AQ31" s="13">
        <f t="shared" si="23"/>
        <v>123.586</v>
      </c>
    </row>
    <row r="32" spans="2:49">
      <c r="B32" s="112"/>
      <c r="C32" s="3" t="s">
        <v>52</v>
      </c>
      <c r="G32" s="60">
        <f ca="1">G31/G9</f>
        <v>0.14991205618699888</v>
      </c>
      <c r="H32" s="60">
        <f ca="1">H31/H9</f>
        <v>0.13079064936365115</v>
      </c>
      <c r="J32" s="8">
        <f t="shared" ref="J32:O32" si="24">J31/J9</f>
        <v>5.4201084795925066E-2</v>
      </c>
      <c r="K32" s="8">
        <f t="shared" si="24"/>
        <v>8.6603046294759775E-2</v>
      </c>
      <c r="L32" s="8">
        <f t="shared" si="24"/>
        <v>-0.19002186599662529</v>
      </c>
      <c r="M32" s="8">
        <f t="shared" si="24"/>
        <v>-0.11044483811524672</v>
      </c>
      <c r="N32" s="8">
        <f t="shared" si="24"/>
        <v>7.5723744359465883E-2</v>
      </c>
      <c r="O32" s="8">
        <f t="shared" si="24"/>
        <v>0.11195773117180535</v>
      </c>
      <c r="P32" s="102"/>
      <c r="R32" s="8">
        <f t="shared" ref="R32:AQ32" si="25">R31/R9</f>
        <v>7.0529656675044058E-2</v>
      </c>
      <c r="S32" s="8">
        <f t="shared" si="25"/>
        <v>7.1503766798601334E-2</v>
      </c>
      <c r="T32" s="8">
        <f t="shared" si="25"/>
        <v>9.8476970113996753E-2</v>
      </c>
      <c r="U32" s="8">
        <f t="shared" si="25"/>
        <v>-2.5088254494499602E-2</v>
      </c>
      <c r="V32" s="8">
        <f t="shared" si="25"/>
        <v>9.6073035812849775E-2</v>
      </c>
      <c r="W32" s="8">
        <f t="shared" si="25"/>
        <v>0.10145232036646501</v>
      </c>
      <c r="X32" s="8">
        <f t="shared" si="25"/>
        <v>0.11812228089302926</v>
      </c>
      <c r="Y32" s="8">
        <f t="shared" si="25"/>
        <v>2.6355066951048108E-2</v>
      </c>
      <c r="Z32" s="8">
        <f t="shared" si="25"/>
        <v>-0.78732028214422145</v>
      </c>
      <c r="AA32" s="8">
        <f t="shared" si="25"/>
        <v>6.7525440766946498E-2</v>
      </c>
      <c r="AB32" s="8">
        <f t="shared" si="25"/>
        <v>6.2595782643631179E-2</v>
      </c>
      <c r="AC32" s="8">
        <f t="shared" si="25"/>
        <v>5.4590449121603359E-2</v>
      </c>
      <c r="AD32" s="8">
        <f t="shared" si="25"/>
        <v>1.3998188588105072E-2</v>
      </c>
      <c r="AE32" s="8">
        <f t="shared" si="25"/>
        <v>4.7444355495833E-2</v>
      </c>
      <c r="AF32" s="8">
        <f t="shared" si="25"/>
        <v>-0.52610365324250308</v>
      </c>
      <c r="AG32" s="8">
        <f t="shared" si="25"/>
        <v>5.6583669617397192E-2</v>
      </c>
      <c r="AH32" s="8">
        <f t="shared" si="25"/>
        <v>5.5669616982818783E-2</v>
      </c>
      <c r="AI32" s="8">
        <f t="shared" si="25"/>
        <v>7.3907823326131411E-2</v>
      </c>
      <c r="AJ32" s="8">
        <f t="shared" si="25"/>
        <v>8.4082038713241297E-2</v>
      </c>
      <c r="AK32" s="8">
        <f t="shared" si="25"/>
        <v>8.5697068470825088E-2</v>
      </c>
      <c r="AL32" s="8">
        <f t="shared" si="25"/>
        <v>9.0470441498632703E-2</v>
      </c>
      <c r="AM32" s="8">
        <f t="shared" si="25"/>
        <v>0.11394561324056168</v>
      </c>
      <c r="AN32" s="8">
        <f t="shared" si="25"/>
        <v>0.12436647785222249</v>
      </c>
      <c r="AO32" s="8">
        <f t="shared" si="25"/>
        <v>0.11832687668298357</v>
      </c>
      <c r="AP32" s="8">
        <f t="shared" si="25"/>
        <v>0.12968953815613921</v>
      </c>
      <c r="AQ32" s="8">
        <f t="shared" si="25"/>
        <v>0.14991205618699888</v>
      </c>
      <c r="AR32" s="102"/>
      <c r="AS32" s="102"/>
      <c r="AT32" s="102"/>
      <c r="AU32" s="102"/>
      <c r="AV32" s="102"/>
      <c r="AW32" s="102"/>
    </row>
    <row r="33" spans="1:51">
      <c r="B33" s="109"/>
      <c r="G33" s="104"/>
      <c r="H33" s="30"/>
      <c r="P33" s="102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102"/>
      <c r="AS33" s="102"/>
      <c r="AT33" s="102"/>
      <c r="AU33" s="102"/>
      <c r="AV33" s="102"/>
      <c r="AW33" s="102"/>
    </row>
    <row r="34" spans="1:51">
      <c r="B34" s="109" t="s">
        <v>61</v>
      </c>
      <c r="G34" s="57">
        <f ca="1">OFFSET(R34,0,MATCH($G$2,$R$3:$AW$3,0)-1)*4</f>
        <v>-51.276000000000003</v>
      </c>
      <c r="H34" s="33">
        <f ca="1">SUM(OFFSET(R34,0,MATCH($G$2,$R$3:$AW$3,0)-4),OFFSET(R34,0,MATCH($G$2,$R$3:$AW$3,0)-3),OFFSET(R34,0,MATCH($G$2,$R$3:$AW$3,0)-2),OFFSET(R34,0,MATCH($G$2,$R$3:$AW$3,0)-1))</f>
        <v>-52.471000000000004</v>
      </c>
      <c r="J34" s="9">
        <f>SUM(R34:U34)</f>
        <v>-46.856000000000002</v>
      </c>
      <c r="K34" s="9">
        <f>SUM(V34:Y34)</f>
        <v>-55.994</v>
      </c>
      <c r="L34" s="9">
        <f>SUM(Z34:AC34)</f>
        <v>-48.738999999999997</v>
      </c>
      <c r="M34" s="9">
        <f>SUM(AD34:AG34)</f>
        <v>-42.468999999999994</v>
      </c>
      <c r="N34" s="9">
        <f>SUM(AH34:AK34)</f>
        <v>-44.597000000000001</v>
      </c>
      <c r="O34" s="9">
        <f>SUM(AL34:AO34)</f>
        <v>-52.008000000000003</v>
      </c>
      <c r="P34" s="102"/>
      <c r="R34" s="10">
        <v>-9.7799999999999994</v>
      </c>
      <c r="S34" s="10">
        <v>-12.54</v>
      </c>
      <c r="T34" s="10">
        <v>-12.345000000000001</v>
      </c>
      <c r="U34" s="10">
        <v>-12.191000000000001</v>
      </c>
      <c r="V34" s="10">
        <v>-13.201000000000001</v>
      </c>
      <c r="W34" s="10">
        <v>-15.515000000000001</v>
      </c>
      <c r="X34" s="10">
        <v>-14.31</v>
      </c>
      <c r="Y34" s="10">
        <v>-12.968</v>
      </c>
      <c r="Z34" s="10">
        <v>-12.798999999999999</v>
      </c>
      <c r="AA34" s="10">
        <v>-12.708</v>
      </c>
      <c r="AB34" s="10">
        <v>-11.808999999999999</v>
      </c>
      <c r="AC34" s="10">
        <v>-11.423</v>
      </c>
      <c r="AD34" s="10">
        <v>-10.965999999999999</v>
      </c>
      <c r="AE34" s="10">
        <v>-10.706</v>
      </c>
      <c r="AF34" s="10">
        <v>-10.5</v>
      </c>
      <c r="AG34" s="10">
        <v>-10.297000000000001</v>
      </c>
      <c r="AH34" s="10">
        <v>-10.202999999999999</v>
      </c>
      <c r="AI34" s="10">
        <v>-10.648999999999999</v>
      </c>
      <c r="AJ34" s="10">
        <v>-11.755000000000001</v>
      </c>
      <c r="AK34" s="10">
        <v>-11.99</v>
      </c>
      <c r="AL34" s="10">
        <v>-13.221</v>
      </c>
      <c r="AM34" s="10">
        <v>-12.286</v>
      </c>
      <c r="AN34" s="10">
        <v>-13.385999999999999</v>
      </c>
      <c r="AO34" s="10">
        <v>-13.115</v>
      </c>
      <c r="AP34" s="10">
        <v>-13.151</v>
      </c>
      <c r="AQ34" s="10">
        <v>-12.819000000000001</v>
      </c>
      <c r="AR34" s="102"/>
      <c r="AS34" s="102"/>
      <c r="AT34" s="102"/>
      <c r="AU34" s="102"/>
      <c r="AV34" s="102"/>
      <c r="AW34" s="102"/>
    </row>
    <row r="35" spans="1:51">
      <c r="B35" s="109"/>
      <c r="G35" s="104"/>
      <c r="H35" s="30"/>
      <c r="J35" s="5"/>
      <c r="K35" s="5"/>
      <c r="L35" s="5"/>
      <c r="M35" s="5"/>
      <c r="N35" s="5"/>
      <c r="O35" s="5"/>
      <c r="P35" s="102"/>
      <c r="AR35" s="102"/>
      <c r="AS35" s="102"/>
      <c r="AT35" s="102"/>
      <c r="AU35" s="102"/>
      <c r="AV35" s="102"/>
      <c r="AW35" s="102"/>
    </row>
    <row r="36" spans="1:51">
      <c r="B36" s="112" t="s">
        <v>62</v>
      </c>
      <c r="G36" s="59">
        <f ca="1">G31+G34</f>
        <v>443.06799999999998</v>
      </c>
      <c r="H36" s="32">
        <f ca="1">H31+H34</f>
        <v>365.58299999999997</v>
      </c>
      <c r="J36" s="13">
        <f t="shared" ref="J36:O36" si="26">J31+J34</f>
        <v>114.15900000000022</v>
      </c>
      <c r="K36" s="13">
        <f t="shared" si="26"/>
        <v>189.81999999999985</v>
      </c>
      <c r="L36" s="13">
        <f t="shared" si="26"/>
        <v>-461.3540000000001</v>
      </c>
      <c r="M36" s="13">
        <f t="shared" si="26"/>
        <v>-290.60100000000017</v>
      </c>
      <c r="N36" s="13">
        <f t="shared" si="26"/>
        <v>166.27500000000003</v>
      </c>
      <c r="O36" s="13">
        <f t="shared" si="26"/>
        <v>294.12500000000034</v>
      </c>
      <c r="P36" s="102"/>
      <c r="R36" s="13">
        <f t="shared" ref="R36:AQ36" si="27">R31+R34</f>
        <v>42.531000000000084</v>
      </c>
      <c r="S36" s="13">
        <f t="shared" si="27"/>
        <v>44.854000000000141</v>
      </c>
      <c r="T36" s="13">
        <f t="shared" si="27"/>
        <v>57.066000000000045</v>
      </c>
      <c r="U36" s="13">
        <f t="shared" si="27"/>
        <v>-30.292000000000002</v>
      </c>
      <c r="V36" s="13">
        <f t="shared" si="27"/>
        <v>58.33700000000001</v>
      </c>
      <c r="W36" s="13">
        <f t="shared" si="27"/>
        <v>62.708999999999904</v>
      </c>
      <c r="X36" s="13">
        <f t="shared" si="27"/>
        <v>64.454999999999941</v>
      </c>
      <c r="Y36" s="13">
        <f t="shared" si="27"/>
        <v>4.3190000000001341</v>
      </c>
      <c r="Z36" s="13">
        <f t="shared" si="27"/>
        <v>-519.77499999999998</v>
      </c>
      <c r="AA36" s="13">
        <f t="shared" si="27"/>
        <v>23.834000000000003</v>
      </c>
      <c r="AB36" s="13">
        <f t="shared" si="27"/>
        <v>19.274000000000008</v>
      </c>
      <c r="AC36" s="13">
        <f t="shared" si="27"/>
        <v>15.312999999999972</v>
      </c>
      <c r="AD36" s="13">
        <f t="shared" si="27"/>
        <v>-4.0109999999999939</v>
      </c>
      <c r="AE36" s="13">
        <f t="shared" si="27"/>
        <v>15.845000000000049</v>
      </c>
      <c r="AF36" s="13">
        <f t="shared" si="27"/>
        <v>-325.59399999999999</v>
      </c>
      <c r="AG36" s="13">
        <f t="shared" si="27"/>
        <v>23.158999999999967</v>
      </c>
      <c r="AH36" s="13">
        <f t="shared" si="27"/>
        <v>23.799000000000024</v>
      </c>
      <c r="AI36" s="13">
        <f t="shared" si="27"/>
        <v>40.935999999999979</v>
      </c>
      <c r="AJ36" s="13">
        <f t="shared" si="27"/>
        <v>50.957000000000029</v>
      </c>
      <c r="AK36" s="13">
        <f t="shared" si="27"/>
        <v>50.582999999999998</v>
      </c>
      <c r="AL36" s="13">
        <f t="shared" si="27"/>
        <v>54.671999999999912</v>
      </c>
      <c r="AM36" s="13">
        <f t="shared" si="27"/>
        <v>76.278000000000091</v>
      </c>
      <c r="AN36" s="13">
        <f t="shared" si="27"/>
        <v>81.7259999999999</v>
      </c>
      <c r="AO36" s="13">
        <f t="shared" si="27"/>
        <v>81.449000000000083</v>
      </c>
      <c r="AP36" s="13">
        <f t="shared" si="27"/>
        <v>91.640999999999906</v>
      </c>
      <c r="AQ36" s="144">
        <f t="shared" si="27"/>
        <v>110.767</v>
      </c>
      <c r="AR36" s="102"/>
      <c r="AS36" s="102"/>
      <c r="AT36" s="102"/>
      <c r="AU36" s="102"/>
      <c r="AV36" s="102"/>
      <c r="AW36" s="102"/>
    </row>
    <row r="37" spans="1:51">
      <c r="B37" s="110" t="s">
        <v>63</v>
      </c>
      <c r="C37" s="7"/>
      <c r="D37" s="7"/>
      <c r="E37" s="7"/>
      <c r="F37" s="7"/>
      <c r="G37" s="58">
        <f ca="1">OFFSET(R37,0,MATCH($G$2,$R$3:$AW$3,0)-1)*4</f>
        <v>-107.14</v>
      </c>
      <c r="H37" s="46">
        <f ca="1">SUM(OFFSET(R37,0,MATCH($G$2,$R$3:$AW$3,0)-4),OFFSET(R37,0,MATCH($G$2,$R$3:$AW$3,0)-3),OFFSET(R37,0,MATCH($G$2,$R$3:$AW$3,0)-2),OFFSET(R37,0,MATCH($G$2,$R$3:$AW$3,0)-1))</f>
        <v>-86.72</v>
      </c>
      <c r="I37" s="7"/>
      <c r="J37" s="11">
        <f>SUM(R37:U37)</f>
        <v>-35.081000000000003</v>
      </c>
      <c r="K37" s="11">
        <f>SUM(V37:Y37)</f>
        <v>-46.801000000000002</v>
      </c>
      <c r="L37" s="11">
        <f>SUM(Z37:AC37)</f>
        <v>189.75900000000001</v>
      </c>
      <c r="M37" s="11">
        <f>SUM(AD37:AG37)</f>
        <v>43.830000000000005</v>
      </c>
      <c r="N37" s="11">
        <f>SUM(AH37:AK37)</f>
        <v>-43.413999999999994</v>
      </c>
      <c r="O37" s="11">
        <f>SUM(AL37:AO37)</f>
        <v>-71.22</v>
      </c>
      <c r="P37" s="103"/>
      <c r="Q37" s="7"/>
      <c r="R37" s="12">
        <v>-9.8650000000000002</v>
      </c>
      <c r="S37" s="12">
        <v>-16.061</v>
      </c>
      <c r="T37" s="12">
        <v>-15.116</v>
      </c>
      <c r="U37" s="12">
        <v>5.9610000000000003</v>
      </c>
      <c r="V37" s="12">
        <v>-13.88</v>
      </c>
      <c r="W37" s="12">
        <v>-15.269</v>
      </c>
      <c r="X37" s="12">
        <v>-16.305</v>
      </c>
      <c r="Y37" s="12">
        <v>-1.347</v>
      </c>
      <c r="Z37" s="12">
        <v>172.809</v>
      </c>
      <c r="AA37" s="12">
        <v>1.429</v>
      </c>
      <c r="AB37" s="12">
        <v>8.4190000000000005</v>
      </c>
      <c r="AC37" s="12">
        <v>7.1020000000000003</v>
      </c>
      <c r="AD37" s="12">
        <v>0.89100000000000001</v>
      </c>
      <c r="AE37" s="12">
        <v>-5.4930000000000003</v>
      </c>
      <c r="AF37" s="12">
        <v>60.442</v>
      </c>
      <c r="AG37" s="12">
        <v>-12.01</v>
      </c>
      <c r="AH37" s="12">
        <v>-6.2130000000000001</v>
      </c>
      <c r="AI37" s="12">
        <v>-11.03</v>
      </c>
      <c r="AJ37" s="12">
        <v>-11.712999999999999</v>
      </c>
      <c r="AK37" s="12">
        <v>-14.458</v>
      </c>
      <c r="AL37" s="12">
        <v>-14.051</v>
      </c>
      <c r="AM37" s="12">
        <v>-18.96</v>
      </c>
      <c r="AN37" s="12">
        <v>-18.722000000000001</v>
      </c>
      <c r="AO37" s="12">
        <v>-19.486999999999998</v>
      </c>
      <c r="AP37" s="12">
        <v>-21.725999999999999</v>
      </c>
      <c r="AQ37" s="12">
        <v>-26.785</v>
      </c>
      <c r="AR37" s="103"/>
      <c r="AS37" s="103"/>
      <c r="AT37" s="103"/>
      <c r="AU37" s="103"/>
      <c r="AV37" s="103"/>
      <c r="AW37" s="103"/>
    </row>
    <row r="38" spans="1:51">
      <c r="B38" s="112" t="s">
        <v>64</v>
      </c>
      <c r="G38" s="59">
        <f ca="1">SUM(G36:G37)</f>
        <v>335.928</v>
      </c>
      <c r="H38" s="32">
        <f ca="1">SUM(H36:H37)</f>
        <v>278.86299999999994</v>
      </c>
      <c r="J38" s="13">
        <f t="shared" ref="J38:O38" si="28">SUM(J36:J37)</f>
        <v>79.078000000000216</v>
      </c>
      <c r="K38" s="13">
        <f t="shared" si="28"/>
        <v>143.01899999999983</v>
      </c>
      <c r="L38" s="13">
        <f t="shared" si="28"/>
        <v>-271.59500000000008</v>
      </c>
      <c r="M38" s="13">
        <f t="shared" si="28"/>
        <v>-246.77100000000016</v>
      </c>
      <c r="N38" s="13">
        <f t="shared" si="28"/>
        <v>122.86100000000005</v>
      </c>
      <c r="O38" s="13">
        <f t="shared" si="28"/>
        <v>222.90500000000034</v>
      </c>
      <c r="P38" s="102"/>
      <c r="R38" s="13">
        <f t="shared" ref="R38:AQ38" si="29">SUM(R36:R37)</f>
        <v>32.666000000000082</v>
      </c>
      <c r="S38" s="13">
        <f t="shared" si="29"/>
        <v>28.793000000000141</v>
      </c>
      <c r="T38" s="13">
        <f t="shared" si="29"/>
        <v>41.950000000000045</v>
      </c>
      <c r="U38" s="13">
        <f t="shared" si="29"/>
        <v>-24.331000000000003</v>
      </c>
      <c r="V38" s="13">
        <f t="shared" si="29"/>
        <v>44.457000000000008</v>
      </c>
      <c r="W38" s="13">
        <f t="shared" si="29"/>
        <v>47.439999999999905</v>
      </c>
      <c r="X38" s="13">
        <f t="shared" si="29"/>
        <v>48.149999999999942</v>
      </c>
      <c r="Y38" s="13">
        <f t="shared" si="29"/>
        <v>2.9720000000001341</v>
      </c>
      <c r="Z38" s="13">
        <f t="shared" si="29"/>
        <v>-346.96600000000001</v>
      </c>
      <c r="AA38" s="13">
        <f t="shared" si="29"/>
        <v>25.263000000000002</v>
      </c>
      <c r="AB38" s="13">
        <f t="shared" si="29"/>
        <v>27.693000000000008</v>
      </c>
      <c r="AC38" s="13">
        <f t="shared" si="29"/>
        <v>22.414999999999971</v>
      </c>
      <c r="AD38" s="13">
        <f t="shared" si="29"/>
        <v>-3.1199999999999939</v>
      </c>
      <c r="AE38" s="13">
        <f t="shared" si="29"/>
        <v>10.352000000000048</v>
      </c>
      <c r="AF38" s="13">
        <f t="shared" si="29"/>
        <v>-265.15199999999999</v>
      </c>
      <c r="AG38" s="13">
        <f t="shared" si="29"/>
        <v>11.148999999999967</v>
      </c>
      <c r="AH38" s="13">
        <f t="shared" si="29"/>
        <v>17.586000000000023</v>
      </c>
      <c r="AI38" s="13">
        <f t="shared" si="29"/>
        <v>29.905999999999977</v>
      </c>
      <c r="AJ38" s="13">
        <f t="shared" si="29"/>
        <v>39.244000000000028</v>
      </c>
      <c r="AK38" s="13">
        <f t="shared" si="29"/>
        <v>36.125</v>
      </c>
      <c r="AL38" s="13">
        <f t="shared" si="29"/>
        <v>40.62099999999991</v>
      </c>
      <c r="AM38" s="13">
        <f t="shared" si="29"/>
        <v>57.31800000000009</v>
      </c>
      <c r="AN38" s="13">
        <f t="shared" si="29"/>
        <v>63.003999999999898</v>
      </c>
      <c r="AO38" s="13">
        <f t="shared" si="29"/>
        <v>61.962000000000089</v>
      </c>
      <c r="AP38" s="13">
        <f t="shared" si="29"/>
        <v>69.914999999999907</v>
      </c>
      <c r="AQ38" s="13">
        <f t="shared" si="29"/>
        <v>83.981999999999999</v>
      </c>
      <c r="AR38" s="102"/>
      <c r="AS38" s="102"/>
      <c r="AT38" s="102"/>
      <c r="AU38" s="102"/>
      <c r="AV38" s="102"/>
      <c r="AW38" s="102"/>
    </row>
    <row r="39" spans="1:51">
      <c r="B39" s="110" t="s">
        <v>65</v>
      </c>
      <c r="C39" s="7"/>
      <c r="D39" s="7"/>
      <c r="E39" s="7"/>
      <c r="F39" s="7"/>
      <c r="G39" s="58">
        <f ca="1">OFFSET(R39,0,MATCH($G$2,$R$3:$AW$3,0)-1)*4</f>
        <v>-0.51200000000000001</v>
      </c>
      <c r="H39" s="46">
        <f ca="1">SUM(OFFSET(R39,0,MATCH($G$2,$R$3:$AW$3,0)-4),OFFSET(R39,0,MATCH($G$2,$R$3:$AW$3,0)-3),OFFSET(R39,0,MATCH($G$2,$R$3:$AW$3,0)-2),OFFSET(R39,0,MATCH($G$2,$R$3:$AW$3,0)-1))</f>
        <v>-0.43100000000000005</v>
      </c>
      <c r="I39" s="7"/>
      <c r="J39" s="11">
        <f>SUM(R39:U39)</f>
        <v>-0.626</v>
      </c>
      <c r="K39" s="11">
        <f>SUM(V39:Y39)</f>
        <v>-0.67199999999999993</v>
      </c>
      <c r="L39" s="11">
        <f>SUM(Z39:AC39)</f>
        <v>-0.95399999999999996</v>
      </c>
      <c r="M39" s="11">
        <f>SUM(AD39:AG39)</f>
        <v>-0.18300000000000005</v>
      </c>
      <c r="N39" s="11">
        <f>SUM(AH39:AK39)</f>
        <v>-0.47089999999999999</v>
      </c>
      <c r="O39" s="11">
        <f>SUM(AL39:AO39)</f>
        <v>-0.33</v>
      </c>
      <c r="P39" s="103"/>
      <c r="Q39" s="7"/>
      <c r="R39" s="12">
        <v>-0.19500000000000001</v>
      </c>
      <c r="S39" s="12">
        <v>-0.191</v>
      </c>
      <c r="T39" s="12">
        <v>-0.13400000000000001</v>
      </c>
      <c r="U39" s="12">
        <v>-0.106</v>
      </c>
      <c r="V39" s="12">
        <v>-0.161</v>
      </c>
      <c r="W39" s="12">
        <v>-0.153</v>
      </c>
      <c r="X39" s="12">
        <v>-0.16300000000000001</v>
      </c>
      <c r="Y39" s="12">
        <v>-0.19500000000000001</v>
      </c>
      <c r="Z39" s="12">
        <v>-0.27800000000000002</v>
      </c>
      <c r="AA39" s="12">
        <v>-0.26100000000000001</v>
      </c>
      <c r="AB39" s="12">
        <v>-0.20399999999999999</v>
      </c>
      <c r="AC39" s="12">
        <v>-0.21099999999999999</v>
      </c>
      <c r="AD39" s="12">
        <v>-0.255</v>
      </c>
      <c r="AE39" s="12">
        <v>-0.16200000000000001</v>
      </c>
      <c r="AF39" s="12">
        <v>0.42199999999999999</v>
      </c>
      <c r="AG39" s="12">
        <v>-0.188</v>
      </c>
      <c r="AH39" s="12">
        <v>-0.152</v>
      </c>
      <c r="AI39" s="12">
        <v>-0.14990000000000001</v>
      </c>
      <c r="AJ39" s="12">
        <v>-0.153</v>
      </c>
      <c r="AK39" s="12">
        <v>-1.6E-2</v>
      </c>
      <c r="AL39" s="12">
        <v>7.6999999999999999E-2</v>
      </c>
      <c r="AM39" s="12">
        <v>4.9000000000000002E-2</v>
      </c>
      <c r="AN39" s="12">
        <v>-0.4</v>
      </c>
      <c r="AO39" s="12">
        <v>-5.6000000000000001E-2</v>
      </c>
      <c r="AP39" s="12">
        <v>0.153</v>
      </c>
      <c r="AQ39" s="12">
        <v>-0.128</v>
      </c>
      <c r="AR39" s="103"/>
      <c r="AS39" s="103"/>
      <c r="AT39" s="103"/>
      <c r="AU39" s="103"/>
      <c r="AV39" s="103"/>
      <c r="AW39" s="103"/>
    </row>
    <row r="40" spans="1:51">
      <c r="B40" s="112" t="s">
        <v>66</v>
      </c>
      <c r="G40" s="59">
        <f ca="1">SUM(G38:G39)</f>
        <v>335.416</v>
      </c>
      <c r="H40" s="32">
        <f ca="1">SUM(H38:H39)</f>
        <v>278.43199999999996</v>
      </c>
      <c r="J40" s="13">
        <f t="shared" ref="J40:O40" si="30">SUM(J38:J39)</f>
        <v>78.452000000000211</v>
      </c>
      <c r="K40" s="13">
        <f t="shared" si="30"/>
        <v>142.34699999999984</v>
      </c>
      <c r="L40" s="13">
        <f t="shared" si="30"/>
        <v>-272.54900000000009</v>
      </c>
      <c r="M40" s="13">
        <f t="shared" si="30"/>
        <v>-246.95400000000015</v>
      </c>
      <c r="N40" s="13">
        <f t="shared" si="30"/>
        <v>122.39010000000005</v>
      </c>
      <c r="O40" s="13">
        <f t="shared" si="30"/>
        <v>222.57500000000033</v>
      </c>
      <c r="P40" s="102"/>
      <c r="R40" s="13">
        <f t="shared" ref="R40:AQ40" si="31">SUM(R38:R39)</f>
        <v>32.471000000000082</v>
      </c>
      <c r="S40" s="13">
        <f t="shared" si="31"/>
        <v>28.602000000000142</v>
      </c>
      <c r="T40" s="13">
        <f t="shared" si="31"/>
        <v>41.816000000000045</v>
      </c>
      <c r="U40" s="13">
        <f t="shared" si="31"/>
        <v>-24.437000000000005</v>
      </c>
      <c r="V40" s="13">
        <f t="shared" si="31"/>
        <v>44.296000000000006</v>
      </c>
      <c r="W40" s="13">
        <f t="shared" si="31"/>
        <v>47.286999999999907</v>
      </c>
      <c r="X40" s="13">
        <f t="shared" si="31"/>
        <v>47.986999999999945</v>
      </c>
      <c r="Y40" s="13">
        <f t="shared" si="31"/>
        <v>2.7770000000001342</v>
      </c>
      <c r="Z40" s="13">
        <f t="shared" si="31"/>
        <v>-347.24400000000003</v>
      </c>
      <c r="AA40" s="13">
        <f t="shared" si="31"/>
        <v>25.002000000000002</v>
      </c>
      <c r="AB40" s="13">
        <f t="shared" si="31"/>
        <v>27.489000000000008</v>
      </c>
      <c r="AC40" s="13">
        <f t="shared" si="31"/>
        <v>22.203999999999972</v>
      </c>
      <c r="AD40" s="13">
        <f t="shared" si="31"/>
        <v>-3.3749999999999938</v>
      </c>
      <c r="AE40" s="13">
        <f t="shared" si="31"/>
        <v>10.190000000000047</v>
      </c>
      <c r="AF40" s="13">
        <f t="shared" si="31"/>
        <v>-264.72999999999996</v>
      </c>
      <c r="AG40" s="13">
        <f t="shared" si="31"/>
        <v>10.960999999999967</v>
      </c>
      <c r="AH40" s="13">
        <f t="shared" si="31"/>
        <v>17.434000000000022</v>
      </c>
      <c r="AI40" s="13">
        <f t="shared" si="31"/>
        <v>29.756099999999979</v>
      </c>
      <c r="AJ40" s="13">
        <f t="shared" si="31"/>
        <v>39.09100000000003</v>
      </c>
      <c r="AK40" s="13">
        <f t="shared" si="31"/>
        <v>36.109000000000002</v>
      </c>
      <c r="AL40" s="13">
        <f t="shared" si="31"/>
        <v>40.697999999999908</v>
      </c>
      <c r="AM40" s="13">
        <f t="shared" si="31"/>
        <v>57.36700000000009</v>
      </c>
      <c r="AN40" s="13">
        <f t="shared" si="31"/>
        <v>62.6039999999999</v>
      </c>
      <c r="AO40" s="13">
        <f t="shared" si="31"/>
        <v>61.906000000000091</v>
      </c>
      <c r="AP40" s="13">
        <f t="shared" si="31"/>
        <v>70.067999999999913</v>
      </c>
      <c r="AQ40" s="13">
        <f t="shared" si="31"/>
        <v>83.853999999999999</v>
      </c>
      <c r="AR40" s="102"/>
      <c r="AS40" s="102"/>
      <c r="AT40" s="102"/>
      <c r="AU40" s="102"/>
      <c r="AV40" s="102"/>
      <c r="AW40" s="102"/>
    </row>
    <row r="41" spans="1:51">
      <c r="G41" s="104"/>
      <c r="H41" s="30"/>
      <c r="P41" s="102"/>
      <c r="AR41" s="102"/>
      <c r="AS41" s="102"/>
      <c r="AT41" s="102"/>
      <c r="AU41" s="102"/>
      <c r="AV41" s="102"/>
      <c r="AW41" s="102"/>
    </row>
    <row r="42" spans="1:51">
      <c r="B42" t="s">
        <v>67</v>
      </c>
      <c r="G42" s="56">
        <f ca="1">OFFSET(R42,0,MATCH($G$2,$R$3:$AW$3,0)-1)</f>
        <v>58.639160839160837</v>
      </c>
      <c r="H42" s="49">
        <f ca="1">AVERAGE(OFFSET(R42,0,MATCH($G$2,$R$3:$AW$3,0)-4),OFFSET(R42,0,MATCH($G$2,$R$3:$AW$3,0)-3),OFFSET(R42,0,MATCH($G$2,$R$3:$AW$3,0)-2),OFFSET(R42,0,MATCH($G$2,$R$3:$AW$3,0)-1))</f>
        <v>59.139290209790211</v>
      </c>
      <c r="J42" s="16">
        <v>59.689</v>
      </c>
      <c r="K42" s="16">
        <v>59.75</v>
      </c>
      <c r="L42" s="16">
        <v>59.911999999999999</v>
      </c>
      <c r="M42" s="16">
        <v>60.052999999999997</v>
      </c>
      <c r="N42" s="16">
        <v>60.329000000000001</v>
      </c>
      <c r="O42" s="16">
        <v>59.856999999999999</v>
      </c>
      <c r="P42" s="65"/>
      <c r="Q42" s="14"/>
      <c r="R42" s="16">
        <v>59.493000000000002</v>
      </c>
      <c r="S42" s="16">
        <v>59.72</v>
      </c>
      <c r="T42" s="16">
        <v>59.783999999999999</v>
      </c>
      <c r="U42" s="16">
        <v>59.645000000000003</v>
      </c>
      <c r="V42" s="16">
        <v>59.823</v>
      </c>
      <c r="W42" s="16">
        <v>59.906999999999996</v>
      </c>
      <c r="X42" s="16">
        <v>59.905999999999999</v>
      </c>
      <c r="Y42" s="16">
        <v>59.997999999999998</v>
      </c>
      <c r="Z42" s="16">
        <v>59.883000000000003</v>
      </c>
      <c r="AA42" s="16">
        <v>59.936999999999998</v>
      </c>
      <c r="AB42" s="16">
        <v>59.930999999999997</v>
      </c>
      <c r="AC42" s="16">
        <v>59.975000000000001</v>
      </c>
      <c r="AD42" s="16">
        <v>60.015999999999998</v>
      </c>
      <c r="AE42" s="16">
        <v>60.274000000000001</v>
      </c>
      <c r="AF42" s="16">
        <v>60.061999999999998</v>
      </c>
      <c r="AG42" s="16">
        <v>60.311</v>
      </c>
      <c r="AH42" s="16">
        <v>60.463000000000001</v>
      </c>
      <c r="AI42" s="16">
        <v>60.466999999999999</v>
      </c>
      <c r="AJ42" s="16">
        <v>60.182000000000002</v>
      </c>
      <c r="AK42" s="16">
        <v>60.210999999999999</v>
      </c>
      <c r="AL42" s="16">
        <v>60.271999999999998</v>
      </c>
      <c r="AM42" s="16">
        <v>60.085000000000001</v>
      </c>
      <c r="AN42" s="16">
        <v>59.764000000000003</v>
      </c>
      <c r="AO42" s="16">
        <v>59.335000000000001</v>
      </c>
      <c r="AP42" s="16">
        <v>58.819000000000003</v>
      </c>
      <c r="AQ42" s="16">
        <v>58.639160839160837</v>
      </c>
      <c r="AR42" s="65"/>
      <c r="AS42" s="65"/>
      <c r="AT42" s="65"/>
      <c r="AU42" s="65"/>
      <c r="AV42" s="65"/>
      <c r="AW42" s="65"/>
    </row>
    <row r="43" spans="1:51" ht="15" customHeight="1">
      <c r="B43" t="s">
        <v>68</v>
      </c>
      <c r="G43" s="62">
        <f ca="1">OFFSET(R43,0,MATCH($G$2,$R$3:$AW$3,0)-1)*4</f>
        <v>5.72</v>
      </c>
      <c r="H43" s="50">
        <f ca="1">SUM(OFFSET(R43,0,MATCH($G$2,$R$3:$AW$3,0)-4),OFFSET(R43,0,MATCH($G$2,$R$3:$AW$3,0)-3),OFFSET(R43,0,MATCH($G$2,$R$3:$AW$3,0)-2),OFFSET(R43,0,MATCH($G$2,$R$3:$AW$3,0)-1))</f>
        <v>4.7120982159095126</v>
      </c>
      <c r="J43" s="15">
        <f t="shared" ref="J43:O43" si="32">J40/J42</f>
        <v>1.3143460269061336</v>
      </c>
      <c r="K43" s="15">
        <f t="shared" si="32"/>
        <v>2.3823765690376542</v>
      </c>
      <c r="L43" s="15">
        <f t="shared" si="32"/>
        <v>-4.5491554279610114</v>
      </c>
      <c r="M43" s="15">
        <f t="shared" si="32"/>
        <v>-4.1122674970442805</v>
      </c>
      <c r="N43" s="15">
        <f t="shared" si="32"/>
        <v>2.0287109018879819</v>
      </c>
      <c r="O43" s="15">
        <f t="shared" si="32"/>
        <v>3.718445628748523</v>
      </c>
      <c r="P43" s="102"/>
      <c r="R43" s="15">
        <f t="shared" ref="R43:AQ43" si="33">R40/R42</f>
        <v>0.54579530364917017</v>
      </c>
      <c r="S43" s="15">
        <f t="shared" si="33"/>
        <v>0.4789350301406588</v>
      </c>
      <c r="T43" s="15">
        <f t="shared" si="33"/>
        <v>0.69945135822293669</v>
      </c>
      <c r="U43" s="15">
        <f t="shared" si="33"/>
        <v>-0.40970743566099427</v>
      </c>
      <c r="V43" s="15">
        <f t="shared" si="33"/>
        <v>0.74045099710813578</v>
      </c>
      <c r="W43" s="15">
        <f t="shared" si="33"/>
        <v>0.7893401438896942</v>
      </c>
      <c r="X43" s="15">
        <f t="shared" si="33"/>
        <v>0.80103829332621013</v>
      </c>
      <c r="Y43" s="15">
        <f t="shared" si="33"/>
        <v>4.628487616254099E-2</v>
      </c>
      <c r="Z43" s="15">
        <f t="shared" si="33"/>
        <v>-5.7987074795851914</v>
      </c>
      <c r="AA43" s="15">
        <f t="shared" si="33"/>
        <v>0.41713799489463943</v>
      </c>
      <c r="AB43" s="15">
        <f t="shared" si="33"/>
        <v>0.45867747910096629</v>
      </c>
      <c r="AC43" s="15">
        <f t="shared" si="33"/>
        <v>0.37022092538557683</v>
      </c>
      <c r="AD43" s="15">
        <f t="shared" si="33"/>
        <v>-5.6235003998933518E-2</v>
      </c>
      <c r="AE43" s="15">
        <f t="shared" si="33"/>
        <v>0.16906128679032498</v>
      </c>
      <c r="AF43" s="15">
        <f t="shared" si="33"/>
        <v>-4.4076121341280672</v>
      </c>
      <c r="AG43" s="15">
        <f t="shared" si="33"/>
        <v>0.18174130755583504</v>
      </c>
      <c r="AH43" s="15">
        <f t="shared" si="33"/>
        <v>0.2883416304186035</v>
      </c>
      <c r="AI43" s="15">
        <f t="shared" si="33"/>
        <v>0.49210478442786942</v>
      </c>
      <c r="AJ43" s="15">
        <f t="shared" si="33"/>
        <v>0.64954637599282228</v>
      </c>
      <c r="AK43" s="15">
        <f t="shared" si="33"/>
        <v>0.59970769460729767</v>
      </c>
      <c r="AL43" s="15">
        <f t="shared" si="33"/>
        <v>0.67523891691000648</v>
      </c>
      <c r="AM43" s="15">
        <f t="shared" si="33"/>
        <v>0.95476408421403158</v>
      </c>
      <c r="AN43" s="15">
        <f t="shared" si="33"/>
        <v>1.04752024630212</v>
      </c>
      <c r="AO43" s="15">
        <f t="shared" si="33"/>
        <v>1.0433302435324865</v>
      </c>
      <c r="AP43" s="15">
        <f t="shared" si="33"/>
        <v>1.1912477260749061</v>
      </c>
      <c r="AQ43" s="15">
        <f t="shared" si="33"/>
        <v>1.43</v>
      </c>
      <c r="AR43" s="102"/>
      <c r="AS43" s="102"/>
      <c r="AT43" s="102"/>
      <c r="AU43" s="102"/>
      <c r="AV43" s="102"/>
      <c r="AW43" s="102"/>
    </row>
    <row r="44" spans="1:51">
      <c r="G44" s="104"/>
      <c r="H44" s="30"/>
      <c r="P44" s="102"/>
      <c r="AR44" s="102"/>
      <c r="AS44" s="102"/>
      <c r="AT44" s="102"/>
      <c r="AU44" s="102"/>
      <c r="AV44" s="102"/>
      <c r="AW44" s="102"/>
    </row>
    <row r="45" spans="1:51">
      <c r="C45" s="3"/>
      <c r="G45" s="62"/>
      <c r="H45" s="30"/>
      <c r="J45" s="8"/>
      <c r="K45" s="8"/>
      <c r="L45" s="8"/>
      <c r="M45" s="8"/>
      <c r="N45" s="8"/>
      <c r="O45" s="8"/>
      <c r="P45" s="102"/>
      <c r="R45" s="15"/>
      <c r="S45" s="15"/>
      <c r="T45" s="15"/>
      <c r="U45" s="15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102"/>
      <c r="AS45" s="102"/>
      <c r="AT45" s="102"/>
      <c r="AU45" s="102"/>
      <c r="AV45" s="102"/>
      <c r="AW45" s="102"/>
    </row>
    <row r="46" spans="1:51" ht="15" customHeight="1">
      <c r="A46" s="22" t="s">
        <v>38</v>
      </c>
      <c r="B46" s="22" t="s">
        <v>69</v>
      </c>
      <c r="C46" s="23"/>
      <c r="D46" s="23"/>
      <c r="E46" s="23"/>
      <c r="F46" s="23"/>
      <c r="G46" s="55"/>
      <c r="H46" s="45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51">
      <c r="G47" s="104"/>
      <c r="H47" s="30"/>
      <c r="P47" s="102"/>
      <c r="AR47" s="102"/>
      <c r="AS47" s="102"/>
      <c r="AT47" s="102"/>
      <c r="AU47" s="102"/>
      <c r="AV47" s="102"/>
      <c r="AW47" s="102"/>
      <c r="AY47" s="113"/>
    </row>
    <row r="48" spans="1:51">
      <c r="B48" t="s">
        <v>70</v>
      </c>
      <c r="G48" s="57">
        <f ca="1">OFFSET(R48,0,MATCH($G$2,$R$3:$AW$3,0)-1)</f>
        <v>53.54</v>
      </c>
      <c r="H48" s="33">
        <f ca="1">G48</f>
        <v>53.54</v>
      </c>
      <c r="J48" s="9">
        <f>U48</f>
        <v>7.8</v>
      </c>
      <c r="K48" s="9">
        <f>Y48</f>
        <v>24.736999999999998</v>
      </c>
      <c r="L48" s="9">
        <f>AC48</f>
        <v>80.337999999999994</v>
      </c>
      <c r="M48" s="9">
        <f>AG48</f>
        <v>34.813000000000002</v>
      </c>
      <c r="N48" s="9">
        <f>AK48</f>
        <v>80.576999999999998</v>
      </c>
      <c r="O48" s="9">
        <f>AO48</f>
        <v>32.576999999999998</v>
      </c>
      <c r="P48" s="102"/>
      <c r="R48" s="10">
        <v>7.01</v>
      </c>
      <c r="S48" s="10">
        <v>4.1980000000000004</v>
      </c>
      <c r="T48" s="10">
        <v>3.617</v>
      </c>
      <c r="U48" s="10">
        <v>7.8</v>
      </c>
      <c r="V48" s="10">
        <v>7.2889999999999997</v>
      </c>
      <c r="W48" s="10">
        <v>22.521000000000001</v>
      </c>
      <c r="X48" s="10">
        <v>9.4250000000000007</v>
      </c>
      <c r="Y48" s="10">
        <v>24.736999999999998</v>
      </c>
      <c r="Z48" s="10">
        <v>322.57100000000003</v>
      </c>
      <c r="AA48" s="10">
        <v>108.471</v>
      </c>
      <c r="AB48" s="10">
        <v>119.586</v>
      </c>
      <c r="AC48" s="10">
        <v>80.337999999999994</v>
      </c>
      <c r="AD48" s="10">
        <v>52.332999999999998</v>
      </c>
      <c r="AE48" s="10">
        <v>53.052</v>
      </c>
      <c r="AF48" s="10">
        <v>54.377000000000002</v>
      </c>
      <c r="AG48" s="10">
        <v>34.813000000000002</v>
      </c>
      <c r="AH48" s="10">
        <v>32.398000000000003</v>
      </c>
      <c r="AI48" s="10">
        <v>25.103999999999999</v>
      </c>
      <c r="AJ48" s="10">
        <v>36.991</v>
      </c>
      <c r="AK48" s="10">
        <v>80.576999999999998</v>
      </c>
      <c r="AL48" s="10">
        <v>26.699000000000002</v>
      </c>
      <c r="AM48" s="10">
        <v>36.603000000000002</v>
      </c>
      <c r="AN48" s="10">
        <v>42.116</v>
      </c>
      <c r="AO48" s="10">
        <v>32.576999999999998</v>
      </c>
      <c r="AP48" s="10">
        <v>75.215999999999994</v>
      </c>
      <c r="AQ48" s="10">
        <v>53.54</v>
      </c>
      <c r="AR48" s="102"/>
      <c r="AS48" s="102"/>
      <c r="AT48" s="102"/>
      <c r="AU48" s="102"/>
      <c r="AV48" s="102"/>
      <c r="AW48" s="102"/>
      <c r="AY48" s="113"/>
    </row>
    <row r="49" spans="2:51">
      <c r="B49" t="s">
        <v>71</v>
      </c>
      <c r="G49" s="57">
        <f ca="1">OFFSET(R49,0,MATCH($G$2,$R$3:$AW$3,0)-1)</f>
        <v>550.15899999999999</v>
      </c>
      <c r="H49" s="33">
        <f ca="1">G49</f>
        <v>550.15899999999999</v>
      </c>
      <c r="J49" s="9">
        <f>U49</f>
        <v>417.64400000000001</v>
      </c>
      <c r="K49" s="9">
        <f>Y49</f>
        <v>379.17399999999998</v>
      </c>
      <c r="L49" s="9">
        <f>AC49</f>
        <v>315.28300000000002</v>
      </c>
      <c r="M49" s="9">
        <f>AG49</f>
        <v>417.95800000000003</v>
      </c>
      <c r="N49" s="9">
        <f>AK49</f>
        <v>483.40600000000001</v>
      </c>
      <c r="O49" s="9">
        <f>AO49</f>
        <v>526.69100000000003</v>
      </c>
      <c r="P49" s="102"/>
      <c r="R49" s="10">
        <v>485.86500000000001</v>
      </c>
      <c r="S49" s="10">
        <v>448.28100000000001</v>
      </c>
      <c r="T49" s="10">
        <v>400.87</v>
      </c>
      <c r="U49" s="10">
        <v>417.64400000000001</v>
      </c>
      <c r="V49" s="10">
        <v>439.97500000000002</v>
      </c>
      <c r="W49" s="10">
        <v>450.95800000000003</v>
      </c>
      <c r="X49" s="10">
        <v>382.46499999999997</v>
      </c>
      <c r="Y49" s="10">
        <v>379.17399999999998</v>
      </c>
      <c r="Z49" s="10">
        <v>389.61599999999999</v>
      </c>
      <c r="AA49" s="10">
        <v>348.45299999999997</v>
      </c>
      <c r="AB49" s="10">
        <v>304.02100000000002</v>
      </c>
      <c r="AC49" s="10">
        <v>315.28300000000002</v>
      </c>
      <c r="AD49" s="10">
        <v>347.27499999999998</v>
      </c>
      <c r="AE49" s="10">
        <v>352.37200000000001</v>
      </c>
      <c r="AF49" s="10">
        <v>389.57900000000001</v>
      </c>
      <c r="AG49" s="10">
        <v>417.95800000000003</v>
      </c>
      <c r="AH49" s="10">
        <v>420.82299999999998</v>
      </c>
      <c r="AI49" s="10">
        <v>445.42500000000001</v>
      </c>
      <c r="AJ49" s="10">
        <v>482.74400000000003</v>
      </c>
      <c r="AK49" s="10">
        <v>483.40600000000001</v>
      </c>
      <c r="AL49" s="10">
        <v>526.48900000000003</v>
      </c>
      <c r="AM49" s="10">
        <v>519.74099999999999</v>
      </c>
      <c r="AN49" s="10">
        <v>514.63099999999997</v>
      </c>
      <c r="AO49" s="10">
        <v>526.69100000000003</v>
      </c>
      <c r="AP49" s="10">
        <v>529.14099999999996</v>
      </c>
      <c r="AQ49" s="10">
        <v>550.15899999999999</v>
      </c>
      <c r="AR49" s="102"/>
      <c r="AS49" s="102"/>
      <c r="AT49" s="102"/>
      <c r="AU49" s="102"/>
      <c r="AV49" s="102"/>
      <c r="AW49" s="102"/>
      <c r="AY49" s="113"/>
    </row>
    <row r="50" spans="2:51">
      <c r="B50" t="s">
        <v>72</v>
      </c>
      <c r="G50" s="57">
        <f ca="1">OFFSET(R50,0,MATCH($G$2,$R$3:$AW$3,0)-1)</f>
        <v>47.665999999999997</v>
      </c>
      <c r="H50" s="33">
        <f ca="1">G50</f>
        <v>47.665999999999997</v>
      </c>
      <c r="J50" s="9">
        <f>U50</f>
        <v>104.239</v>
      </c>
      <c r="K50" s="9">
        <f>Y50</f>
        <v>104.175</v>
      </c>
      <c r="L50" s="9">
        <f>AC50</f>
        <v>284.899</v>
      </c>
      <c r="M50" s="9">
        <f>AG50</f>
        <v>149.964</v>
      </c>
      <c r="N50" s="9">
        <f>AK50</f>
        <v>114.556</v>
      </c>
      <c r="O50" s="9">
        <f>AO50</f>
        <v>52.024999999999999</v>
      </c>
      <c r="P50" s="102"/>
      <c r="R50" s="10">
        <v>110.64</v>
      </c>
      <c r="S50" s="10">
        <v>116.673</v>
      </c>
      <c r="T50" s="10">
        <v>111.221</v>
      </c>
      <c r="U50" s="10">
        <v>104.239</v>
      </c>
      <c r="V50" s="10">
        <v>122.18</v>
      </c>
      <c r="W50" s="10">
        <v>99.567999999999998</v>
      </c>
      <c r="X50" s="10">
        <v>99.736000000000004</v>
      </c>
      <c r="Y50" s="10">
        <v>104.175</v>
      </c>
      <c r="Z50" s="10">
        <v>253.68799999999999</v>
      </c>
      <c r="AA50" s="10">
        <v>228.40899999999999</v>
      </c>
      <c r="AB50" s="10">
        <v>257.65600000000001</v>
      </c>
      <c r="AC50" s="10">
        <v>284.899</v>
      </c>
      <c r="AD50" s="10">
        <v>171.749</v>
      </c>
      <c r="AE50" s="10">
        <v>165.47800000000001</v>
      </c>
      <c r="AF50" s="10">
        <v>150.81100000000001</v>
      </c>
      <c r="AG50" s="10">
        <v>149.964</v>
      </c>
      <c r="AH50" s="10">
        <v>125.75700000000001</v>
      </c>
      <c r="AI50" s="10">
        <v>127.181</v>
      </c>
      <c r="AJ50" s="10">
        <v>133.27799999999999</v>
      </c>
      <c r="AK50" s="10">
        <v>114.556</v>
      </c>
      <c r="AL50" s="10">
        <v>109.539</v>
      </c>
      <c r="AM50" s="10">
        <v>40.011000000000003</v>
      </c>
      <c r="AN50" s="10">
        <v>53.936</v>
      </c>
      <c r="AO50" s="10">
        <v>52.024999999999999</v>
      </c>
      <c r="AP50" s="10">
        <v>55.948999999999998</v>
      </c>
      <c r="AQ50" s="10">
        <v>47.665999999999997</v>
      </c>
      <c r="AR50" s="102"/>
      <c r="AS50" s="102"/>
      <c r="AT50" s="102"/>
      <c r="AU50" s="102"/>
      <c r="AV50" s="102"/>
      <c r="AW50" s="102"/>
      <c r="AY50" s="113"/>
    </row>
    <row r="51" spans="2:51">
      <c r="B51" t="s">
        <v>73</v>
      </c>
      <c r="G51" s="57">
        <f ca="1">OFFSET(R51,0,MATCH($G$2,$R$3:$AW$3,0)-1)</f>
        <v>445.30399999999997</v>
      </c>
      <c r="H51" s="33">
        <f ca="1">G51</f>
        <v>445.30399999999997</v>
      </c>
      <c r="J51" s="9">
        <f>U51</f>
        <v>507.44099999999997</v>
      </c>
      <c r="K51" s="9">
        <f>Y51</f>
        <v>351.40100000000001</v>
      </c>
      <c r="L51" s="9">
        <f>AC51</f>
        <v>309.67500000000001</v>
      </c>
      <c r="M51" s="9">
        <f>AG51</f>
        <v>331.35</v>
      </c>
      <c r="N51" s="9">
        <f>AK51</f>
        <v>461.84800000000001</v>
      </c>
      <c r="O51" s="9">
        <f>AO51</f>
        <v>454.38900000000001</v>
      </c>
      <c r="P51" s="102"/>
      <c r="R51" s="10">
        <v>372.18200000000002</v>
      </c>
      <c r="S51" s="10">
        <v>384.00700000000001</v>
      </c>
      <c r="T51" s="10">
        <v>453.173</v>
      </c>
      <c r="U51" s="10">
        <v>507.44099999999997</v>
      </c>
      <c r="V51" s="10">
        <v>491.56599999999997</v>
      </c>
      <c r="W51" s="10">
        <v>428.26</v>
      </c>
      <c r="X51" s="10">
        <v>410.26100000000002</v>
      </c>
      <c r="Y51" s="10">
        <v>351.40100000000001</v>
      </c>
      <c r="Z51" s="10">
        <v>341.49799999999999</v>
      </c>
      <c r="AA51" s="10">
        <v>335.95800000000003</v>
      </c>
      <c r="AB51" s="10">
        <v>321.43299999999999</v>
      </c>
      <c r="AC51" s="10">
        <v>309.67500000000001</v>
      </c>
      <c r="AD51" s="10">
        <v>326.47500000000002</v>
      </c>
      <c r="AE51" s="10">
        <v>325.54500000000002</v>
      </c>
      <c r="AF51" s="10">
        <v>308.82</v>
      </c>
      <c r="AG51" s="10">
        <v>331.35</v>
      </c>
      <c r="AH51" s="10">
        <v>360.45699999999999</v>
      </c>
      <c r="AI51" s="10">
        <v>370.38499999999999</v>
      </c>
      <c r="AJ51" s="10">
        <v>392.47</v>
      </c>
      <c r="AK51" s="10">
        <v>461.84800000000001</v>
      </c>
      <c r="AL51" s="10">
        <v>475.21800000000002</v>
      </c>
      <c r="AM51" s="10">
        <v>504.51400000000001</v>
      </c>
      <c r="AN51" s="10">
        <v>505.50599999999997</v>
      </c>
      <c r="AO51" s="10">
        <v>454.38900000000001</v>
      </c>
      <c r="AP51" s="10">
        <v>446.803</v>
      </c>
      <c r="AQ51" s="10">
        <v>445.30399999999997</v>
      </c>
      <c r="AR51" s="102"/>
      <c r="AS51" s="102"/>
      <c r="AT51" s="102"/>
      <c r="AU51" s="102"/>
      <c r="AV51" s="102"/>
      <c r="AW51" s="102"/>
      <c r="AY51" s="113"/>
    </row>
    <row r="52" spans="2:51">
      <c r="B52" s="7" t="s">
        <v>74</v>
      </c>
      <c r="C52" s="7"/>
      <c r="D52" s="7"/>
      <c r="E52" s="7"/>
      <c r="F52" s="7"/>
      <c r="G52" s="58">
        <f ca="1">OFFSET(R52,0,MATCH($G$2,$R$3:$AW$3,0)-1)</f>
        <v>69.945999999999998</v>
      </c>
      <c r="H52" s="46">
        <f ca="1">G52</f>
        <v>69.945999999999998</v>
      </c>
      <c r="I52" s="7"/>
      <c r="J52" s="11">
        <f>U52</f>
        <v>59.365000000000002</v>
      </c>
      <c r="K52" s="11">
        <f>Y52</f>
        <v>58.091999999999999</v>
      </c>
      <c r="L52" s="11">
        <f>AC52</f>
        <v>57.776000000000003</v>
      </c>
      <c r="M52" s="11">
        <f>AG52</f>
        <v>69.78</v>
      </c>
      <c r="N52" s="11">
        <f>AK52</f>
        <v>71.372</v>
      </c>
      <c r="O52" s="11">
        <f>AO52</f>
        <v>69.478999999999999</v>
      </c>
      <c r="P52" s="103"/>
      <c r="Q52" s="7"/>
      <c r="R52" s="12">
        <v>80.956999999999994</v>
      </c>
      <c r="S52" s="12">
        <v>82.173000000000002</v>
      </c>
      <c r="T52" s="12">
        <v>85.638999999999996</v>
      </c>
      <c r="U52" s="12">
        <v>59.365000000000002</v>
      </c>
      <c r="V52" s="12">
        <v>57.241999999999997</v>
      </c>
      <c r="W52" s="12">
        <v>52.953000000000003</v>
      </c>
      <c r="X52" s="12">
        <v>56.646000000000001</v>
      </c>
      <c r="Y52" s="12">
        <v>58.091999999999999</v>
      </c>
      <c r="Z52" s="12">
        <v>60.64</v>
      </c>
      <c r="AA52" s="12">
        <v>57.023000000000003</v>
      </c>
      <c r="AB52" s="12">
        <v>58.023000000000003</v>
      </c>
      <c r="AC52" s="12">
        <v>57.776000000000003</v>
      </c>
      <c r="AD52" s="12">
        <v>60.685000000000002</v>
      </c>
      <c r="AE52" s="12">
        <v>66.695999999999998</v>
      </c>
      <c r="AF52" s="12">
        <v>75.004000000000005</v>
      </c>
      <c r="AG52" s="12">
        <v>69.78</v>
      </c>
      <c r="AH52" s="12">
        <v>75.896000000000001</v>
      </c>
      <c r="AI52" s="12">
        <v>84.16</v>
      </c>
      <c r="AJ52" s="12">
        <v>80.899000000000001</v>
      </c>
      <c r="AK52" s="12">
        <v>71.372</v>
      </c>
      <c r="AL52" s="12">
        <v>62.420999999999999</v>
      </c>
      <c r="AM52" s="12">
        <v>67.787000000000006</v>
      </c>
      <c r="AN52" s="12">
        <v>79.382000000000005</v>
      </c>
      <c r="AO52" s="12">
        <v>69.478999999999999</v>
      </c>
      <c r="AP52" s="12">
        <v>68.369</v>
      </c>
      <c r="AQ52" s="12">
        <v>69.945999999999998</v>
      </c>
      <c r="AR52" s="103"/>
      <c r="AS52" s="103"/>
      <c r="AT52" s="103"/>
      <c r="AU52" s="103"/>
      <c r="AV52" s="103"/>
      <c r="AW52" s="103"/>
      <c r="AY52" s="113"/>
    </row>
    <row r="53" spans="2:51">
      <c r="B53" s="1" t="s">
        <v>75</v>
      </c>
      <c r="G53" s="59">
        <f ca="1">SUM(G48:G52)</f>
        <v>1166.6149999999998</v>
      </c>
      <c r="H53" s="32">
        <f ca="1">SUM(H48:H52)</f>
        <v>1166.6149999999998</v>
      </c>
      <c r="J53" s="13">
        <f t="shared" ref="J53:O53" si="34">SUM(J48:J52)</f>
        <v>1096.489</v>
      </c>
      <c r="K53" s="13">
        <f t="shared" si="34"/>
        <v>917.57900000000006</v>
      </c>
      <c r="L53" s="13">
        <f t="shared" si="34"/>
        <v>1047.971</v>
      </c>
      <c r="M53" s="13">
        <f t="shared" si="34"/>
        <v>1003.865</v>
      </c>
      <c r="N53" s="13">
        <f t="shared" si="34"/>
        <v>1211.759</v>
      </c>
      <c r="O53" s="13">
        <f t="shared" si="34"/>
        <v>1135.1610000000001</v>
      </c>
      <c r="P53" s="102"/>
      <c r="R53" s="13">
        <f t="shared" ref="R53:AQ53" si="35">SUM(R48:R52)</f>
        <v>1056.654</v>
      </c>
      <c r="S53" s="13">
        <f t="shared" si="35"/>
        <v>1035.3320000000001</v>
      </c>
      <c r="T53" s="13">
        <f t="shared" si="35"/>
        <v>1054.52</v>
      </c>
      <c r="U53" s="13">
        <f t="shared" si="35"/>
        <v>1096.489</v>
      </c>
      <c r="V53" s="13">
        <f t="shared" si="35"/>
        <v>1118.252</v>
      </c>
      <c r="W53" s="13">
        <f t="shared" si="35"/>
        <v>1054.26</v>
      </c>
      <c r="X53" s="13">
        <f t="shared" si="35"/>
        <v>958.5329999999999</v>
      </c>
      <c r="Y53" s="13">
        <f t="shared" si="35"/>
        <v>917.57900000000006</v>
      </c>
      <c r="Z53" s="13">
        <f t="shared" si="35"/>
        <v>1368.0130000000001</v>
      </c>
      <c r="AA53" s="13">
        <f t="shared" si="35"/>
        <v>1078.3139999999999</v>
      </c>
      <c r="AB53" s="13">
        <f t="shared" si="35"/>
        <v>1060.7190000000001</v>
      </c>
      <c r="AC53" s="13">
        <f t="shared" si="35"/>
        <v>1047.971</v>
      </c>
      <c r="AD53" s="13">
        <f t="shared" si="35"/>
        <v>958.51700000000005</v>
      </c>
      <c r="AE53" s="13">
        <f t="shared" si="35"/>
        <v>963.14300000000014</v>
      </c>
      <c r="AF53" s="13">
        <f t="shared" si="35"/>
        <v>978.59100000000001</v>
      </c>
      <c r="AG53" s="13">
        <f t="shared" si="35"/>
        <v>1003.865</v>
      </c>
      <c r="AH53" s="13">
        <f t="shared" si="35"/>
        <v>1015.331</v>
      </c>
      <c r="AI53" s="13">
        <f t="shared" si="35"/>
        <v>1052.2550000000001</v>
      </c>
      <c r="AJ53" s="13">
        <f t="shared" si="35"/>
        <v>1126.3820000000001</v>
      </c>
      <c r="AK53" s="13">
        <f t="shared" si="35"/>
        <v>1211.759</v>
      </c>
      <c r="AL53" s="13">
        <f t="shared" si="35"/>
        <v>1200.366</v>
      </c>
      <c r="AM53" s="13">
        <f t="shared" si="35"/>
        <v>1168.6559999999999</v>
      </c>
      <c r="AN53" s="13">
        <f t="shared" si="35"/>
        <v>1195.5709999999999</v>
      </c>
      <c r="AO53" s="13">
        <f t="shared" si="35"/>
        <v>1135.1610000000001</v>
      </c>
      <c r="AP53" s="13">
        <f t="shared" si="35"/>
        <v>1175.4779999999998</v>
      </c>
      <c r="AQ53" s="13">
        <f t="shared" si="35"/>
        <v>1166.6149999999998</v>
      </c>
      <c r="AR53" s="102"/>
      <c r="AS53" s="102"/>
      <c r="AT53" s="102"/>
      <c r="AU53" s="102"/>
      <c r="AV53" s="102"/>
      <c r="AW53" s="102"/>
    </row>
    <row r="54" spans="2:51">
      <c r="B54" s="1"/>
      <c r="G54" s="104"/>
      <c r="H54" s="30"/>
      <c r="P54" s="102"/>
      <c r="R54" s="18"/>
      <c r="AR54" s="102"/>
      <c r="AS54" s="102"/>
      <c r="AT54" s="102"/>
      <c r="AU54" s="102"/>
      <c r="AV54" s="102"/>
      <c r="AW54" s="102"/>
    </row>
    <row r="55" spans="2:51">
      <c r="B55" t="s">
        <v>76</v>
      </c>
      <c r="G55" s="57">
        <f ca="1">OFFSET(R55,0,MATCH($G$2,$R$3:$AW$3,0)-1)</f>
        <v>3974.7469999999998</v>
      </c>
      <c r="H55" s="33">
        <f ca="1">G55</f>
        <v>3974.7469999999998</v>
      </c>
      <c r="J55" s="9">
        <f>U55</f>
        <v>3539.8020000000001</v>
      </c>
      <c r="K55" s="9">
        <f>Y55</f>
        <v>3777.11</v>
      </c>
      <c r="L55" s="9">
        <f>AC55</f>
        <v>3917.07</v>
      </c>
      <c r="M55" s="9">
        <f>AG55</f>
        <v>3678.514999999999</v>
      </c>
      <c r="N55" s="9">
        <f>AK55</f>
        <v>3633.462</v>
      </c>
      <c r="O55" s="9">
        <f>AO55</f>
        <v>3861.105</v>
      </c>
      <c r="P55" s="102"/>
      <c r="R55" s="10">
        <v>3443.8679999999999</v>
      </c>
      <c r="S55" s="10">
        <v>3549.0659999999998</v>
      </c>
      <c r="T55" s="10">
        <v>3561.5</v>
      </c>
      <c r="U55" s="10">
        <v>3539.8020000000001</v>
      </c>
      <c r="V55" s="10">
        <v>3792.44</v>
      </c>
      <c r="W55" s="10">
        <v>3796.4180000000001</v>
      </c>
      <c r="X55" s="10">
        <v>3793.732</v>
      </c>
      <c r="Y55" s="10">
        <v>3777.11</v>
      </c>
      <c r="Z55" s="10">
        <v>3776.7840000000001</v>
      </c>
      <c r="AA55" s="10">
        <v>3976.0250000000001</v>
      </c>
      <c r="AB55" s="10">
        <v>3958.1439999999998</v>
      </c>
      <c r="AC55" s="10">
        <v>3917.07</v>
      </c>
      <c r="AD55" s="10">
        <v>3881.2730000000001</v>
      </c>
      <c r="AE55" s="10">
        <v>3862.806</v>
      </c>
      <c r="AF55" s="10">
        <v>3705.2469999999998</v>
      </c>
      <c r="AG55" s="10">
        <v>3678.514999999999</v>
      </c>
      <c r="AH55" s="10">
        <v>3660.3139999999999</v>
      </c>
      <c r="AI55" s="10">
        <v>3652.652</v>
      </c>
      <c r="AJ55" s="10">
        <v>3640.69</v>
      </c>
      <c r="AK55" s="10">
        <v>3633.462</v>
      </c>
      <c r="AL55" s="10">
        <v>3665.51</v>
      </c>
      <c r="AM55" s="10">
        <v>3697.9389999999999</v>
      </c>
      <c r="AN55" s="10">
        <v>3782.1239999999998</v>
      </c>
      <c r="AO55" s="10">
        <v>3861.105</v>
      </c>
      <c r="AP55" s="10">
        <v>3883.3209999999999</v>
      </c>
      <c r="AQ55" s="10">
        <v>3974.7469999999998</v>
      </c>
      <c r="AR55" s="102"/>
      <c r="AS55" s="102"/>
      <c r="AT55" s="102"/>
      <c r="AU55" s="102"/>
      <c r="AV55" s="102"/>
      <c r="AW55" s="102"/>
    </row>
    <row r="56" spans="2:51">
      <c r="B56" t="s">
        <v>77</v>
      </c>
      <c r="G56" s="57">
        <f ca="1">OFFSET(R56,0,MATCH($G$2,$R$3:$AW$3,0)-1)</f>
        <v>157.94999999999999</v>
      </c>
      <c r="H56" s="33">
        <f ca="1">G56</f>
        <v>157.94999999999999</v>
      </c>
      <c r="J56" s="9">
        <f>U56</f>
        <v>0</v>
      </c>
      <c r="K56" s="9">
        <f>Y56</f>
        <v>159.64099999999999</v>
      </c>
      <c r="L56" s="9">
        <f>AC56</f>
        <v>174.31700000000001</v>
      </c>
      <c r="M56" s="9">
        <f>AG56</f>
        <v>167.73</v>
      </c>
      <c r="N56" s="9">
        <f>AK56</f>
        <v>154.50700000000001</v>
      </c>
      <c r="O56" s="9">
        <f>AO56</f>
        <v>152.21600000000001</v>
      </c>
      <c r="P56" s="102"/>
      <c r="R56" s="10">
        <v>0</v>
      </c>
      <c r="S56" s="10">
        <v>0</v>
      </c>
      <c r="T56" s="10">
        <v>0</v>
      </c>
      <c r="U56" s="10">
        <v>0</v>
      </c>
      <c r="V56" s="10">
        <v>159.70400000000001</v>
      </c>
      <c r="W56" s="10">
        <v>158.917</v>
      </c>
      <c r="X56" s="10">
        <v>156.798</v>
      </c>
      <c r="Y56" s="10">
        <v>159.64099999999999</v>
      </c>
      <c r="Z56" s="10">
        <v>157.33000000000001</v>
      </c>
      <c r="AA56" s="10">
        <v>183.048</v>
      </c>
      <c r="AB56" s="10">
        <v>178.714</v>
      </c>
      <c r="AC56" s="10">
        <v>174.31700000000001</v>
      </c>
      <c r="AD56" s="10">
        <v>172.19800000000001</v>
      </c>
      <c r="AE56" s="10">
        <v>164.911</v>
      </c>
      <c r="AF56" s="10">
        <v>159.62700000000001</v>
      </c>
      <c r="AG56" s="10">
        <v>167.73</v>
      </c>
      <c r="AH56" s="10">
        <v>164.98599999999999</v>
      </c>
      <c r="AI56" s="10">
        <v>159.96799999999999</v>
      </c>
      <c r="AJ56" s="10">
        <v>153.72300000000001</v>
      </c>
      <c r="AK56" s="10">
        <v>154.50700000000001</v>
      </c>
      <c r="AL56" s="10">
        <v>155.30600000000001</v>
      </c>
      <c r="AM56" s="10">
        <v>152.50399999999999</v>
      </c>
      <c r="AN56" s="10">
        <v>155.09800000000001</v>
      </c>
      <c r="AO56" s="10">
        <v>152.21600000000001</v>
      </c>
      <c r="AP56" s="10">
        <v>149.41200000000001</v>
      </c>
      <c r="AQ56" s="10">
        <v>157.94999999999999</v>
      </c>
      <c r="AR56" s="102"/>
      <c r="AS56" s="102"/>
      <c r="AT56" s="102"/>
      <c r="AU56" s="102"/>
      <c r="AV56" s="102"/>
      <c r="AW56" s="102"/>
    </row>
    <row r="57" spans="2:51">
      <c r="B57" t="s">
        <v>78</v>
      </c>
      <c r="G57" s="57">
        <f ca="1">OFFSET(R57,0,MATCH($G$2,$R$3:$AW$3,0)-1)</f>
        <v>438.74799999999999</v>
      </c>
      <c r="H57" s="33">
        <f ca="1">G57</f>
        <v>438.74799999999999</v>
      </c>
      <c r="J57" s="9">
        <f>U57</f>
        <v>2.4950000000000001</v>
      </c>
      <c r="K57" s="9">
        <f>Y57</f>
        <v>2.0249999999999999</v>
      </c>
      <c r="L57" s="9">
        <f>AC57</f>
        <v>2.6890000000000001</v>
      </c>
      <c r="M57" s="9">
        <f>AG57</f>
        <v>2.1339999999999999</v>
      </c>
      <c r="N57" s="9">
        <f>AK57</f>
        <v>2.1709999999999998</v>
      </c>
      <c r="O57" s="9">
        <f>AO57</f>
        <v>2.5760000000000001</v>
      </c>
      <c r="P57" s="102"/>
      <c r="R57" s="10">
        <v>0</v>
      </c>
      <c r="S57" s="10">
        <v>0</v>
      </c>
      <c r="T57" s="10">
        <v>0</v>
      </c>
      <c r="U57" s="10">
        <v>2.4950000000000001</v>
      </c>
      <c r="V57" s="10">
        <v>0</v>
      </c>
      <c r="W57" s="10">
        <v>0</v>
      </c>
      <c r="X57" s="10">
        <v>0</v>
      </c>
      <c r="Y57" s="10">
        <v>2.0249999999999999</v>
      </c>
      <c r="Z57" s="10">
        <v>0</v>
      </c>
      <c r="AA57" s="10">
        <v>0</v>
      </c>
      <c r="AB57" s="10">
        <v>0</v>
      </c>
      <c r="AC57" s="10">
        <v>2.6890000000000001</v>
      </c>
      <c r="AD57" s="10">
        <v>0</v>
      </c>
      <c r="AE57" s="10">
        <v>0</v>
      </c>
      <c r="AF57" s="10">
        <v>0</v>
      </c>
      <c r="AG57" s="10">
        <v>2.1339999999999999</v>
      </c>
      <c r="AH57" s="10">
        <v>2.41</v>
      </c>
      <c r="AI57" s="10">
        <v>0</v>
      </c>
      <c r="AJ57" s="10">
        <v>0</v>
      </c>
      <c r="AK57" s="10">
        <v>2.1709999999999998</v>
      </c>
      <c r="AL57" s="10">
        <v>0</v>
      </c>
      <c r="AM57" s="10">
        <v>0</v>
      </c>
      <c r="AN57" s="10">
        <v>0</v>
      </c>
      <c r="AO57" s="10">
        <v>2.5760000000000001</v>
      </c>
      <c r="AP57" s="10">
        <v>438.74799999999999</v>
      </c>
      <c r="AQ57" s="10">
        <v>438.74799999999999</v>
      </c>
      <c r="AR57" s="102"/>
      <c r="AS57" s="102"/>
      <c r="AT57" s="102"/>
      <c r="AU57" s="102"/>
      <c r="AV57" s="102"/>
      <c r="AW57" s="102"/>
    </row>
    <row r="58" spans="2:51">
      <c r="B58" t="s">
        <v>79</v>
      </c>
      <c r="G58" s="57">
        <f ca="1">OFFSET(R58,0,MATCH($G$2,$R$3:$AW$3,0)-1)</f>
        <v>38.667000000000002</v>
      </c>
      <c r="H58" s="33">
        <f ca="1">G58</f>
        <v>38.667000000000002</v>
      </c>
      <c r="J58" s="9">
        <f>U58</f>
        <v>953.82600000000002</v>
      </c>
      <c r="K58" s="9">
        <f>Y58</f>
        <v>953.82600000000002</v>
      </c>
      <c r="L58" s="9">
        <f>AC58</f>
        <v>657.8</v>
      </c>
      <c r="M58" s="9">
        <f>AG58</f>
        <v>438.74799999999999</v>
      </c>
      <c r="N58" s="9">
        <f>AK58</f>
        <v>438.74799999999999</v>
      </c>
      <c r="O58" s="9">
        <f>AO58</f>
        <v>438.74799999999999</v>
      </c>
      <c r="P58" s="102"/>
      <c r="R58" s="10">
        <v>935.755</v>
      </c>
      <c r="S58" s="10">
        <v>961.745</v>
      </c>
      <c r="T58" s="10">
        <v>960.00599999999997</v>
      </c>
      <c r="U58" s="10">
        <v>953.82600000000002</v>
      </c>
      <c r="V58" s="10">
        <v>953.82600000000002</v>
      </c>
      <c r="W58" s="10">
        <v>953.82600000000002</v>
      </c>
      <c r="X58" s="10">
        <v>953.82600000000002</v>
      </c>
      <c r="Y58" s="10">
        <v>953.82600000000002</v>
      </c>
      <c r="Z58" s="10">
        <v>704.09799999999996</v>
      </c>
      <c r="AA58" s="10">
        <v>657.83199999999999</v>
      </c>
      <c r="AB58" s="10">
        <v>657.8</v>
      </c>
      <c r="AC58" s="10">
        <v>657.8</v>
      </c>
      <c r="AD58" s="10">
        <v>657.8</v>
      </c>
      <c r="AE58" s="10">
        <v>657.8</v>
      </c>
      <c r="AF58" s="10">
        <v>438.74799999999999</v>
      </c>
      <c r="AG58" s="10">
        <v>438.74799999999999</v>
      </c>
      <c r="AH58" s="10">
        <v>438.74799999999999</v>
      </c>
      <c r="AI58" s="10">
        <v>438.74799999999999</v>
      </c>
      <c r="AJ58" s="10">
        <v>438.74799999999999</v>
      </c>
      <c r="AK58" s="10">
        <v>438.74799999999999</v>
      </c>
      <c r="AL58" s="10">
        <v>438.74799999999999</v>
      </c>
      <c r="AM58" s="10">
        <v>438.74799999999999</v>
      </c>
      <c r="AN58" s="10">
        <v>438.74799999999999</v>
      </c>
      <c r="AO58" s="10">
        <v>438.74799999999999</v>
      </c>
      <c r="AP58" s="10">
        <v>40.796999999999997</v>
      </c>
      <c r="AQ58" s="10">
        <v>38.667000000000002</v>
      </c>
      <c r="AR58" s="102"/>
      <c r="AS58" s="102"/>
      <c r="AT58" s="102"/>
      <c r="AU58" s="102"/>
      <c r="AV58" s="102"/>
      <c r="AW58" s="102"/>
    </row>
    <row r="59" spans="2:51">
      <c r="B59" s="7" t="s">
        <v>80</v>
      </c>
      <c r="C59" s="7"/>
      <c r="D59" s="7"/>
      <c r="E59" s="7"/>
      <c r="F59" s="7"/>
      <c r="G59" s="58">
        <f ca="1">OFFSET(R59,0,MATCH($G$2,$R$3:$AW$3,0)-1)</f>
        <v>89.171000000000006</v>
      </c>
      <c r="H59" s="46">
        <f ca="1">G59</f>
        <v>89.171000000000006</v>
      </c>
      <c r="I59" s="7"/>
      <c r="J59" s="11">
        <f>U59</f>
        <v>278.98200000000003</v>
      </c>
      <c r="K59" s="11">
        <f>Y59</f>
        <v>268.916</v>
      </c>
      <c r="L59" s="11">
        <f>AC59</f>
        <v>124.327</v>
      </c>
      <c r="M59" s="11">
        <f>AG59</f>
        <v>108.071</v>
      </c>
      <c r="N59" s="11">
        <f>AK59</f>
        <v>114.277</v>
      </c>
      <c r="O59" s="11">
        <f>AO59</f>
        <v>132.39099999999999</v>
      </c>
      <c r="P59" s="103"/>
      <c r="Q59" s="7"/>
      <c r="R59" s="12">
        <v>278.22300000000001</v>
      </c>
      <c r="S59" s="12">
        <v>283.13299999999998</v>
      </c>
      <c r="T59" s="12">
        <v>278.30700000000002</v>
      </c>
      <c r="U59" s="12">
        <v>278.98200000000003</v>
      </c>
      <c r="V59" s="12">
        <v>276.47000000000003</v>
      </c>
      <c r="W59" s="12">
        <v>269.46499999999997</v>
      </c>
      <c r="X59" s="12">
        <v>264.99599999999998</v>
      </c>
      <c r="Y59" s="12">
        <v>268.916</v>
      </c>
      <c r="Z59" s="12">
        <v>131.34899999999999</v>
      </c>
      <c r="AA59" s="12">
        <v>121.792</v>
      </c>
      <c r="AB59" s="12">
        <v>125.74299999999999</v>
      </c>
      <c r="AC59" s="12">
        <v>124.327</v>
      </c>
      <c r="AD59" s="12">
        <v>118.298</v>
      </c>
      <c r="AE59" s="12">
        <v>119.155</v>
      </c>
      <c r="AF59" s="12">
        <v>107.669</v>
      </c>
      <c r="AG59" s="12">
        <v>108.071</v>
      </c>
      <c r="AH59" s="12">
        <v>103.413</v>
      </c>
      <c r="AI59" s="12">
        <v>101.533</v>
      </c>
      <c r="AJ59" s="12">
        <v>96.754999999999995</v>
      </c>
      <c r="AK59" s="12">
        <v>114.277</v>
      </c>
      <c r="AL59" s="12">
        <v>114.818</v>
      </c>
      <c r="AM59" s="12">
        <v>116.732</v>
      </c>
      <c r="AN59" s="12">
        <v>111.339</v>
      </c>
      <c r="AO59" s="12">
        <v>132.39099999999999</v>
      </c>
      <c r="AP59" s="12">
        <v>88.081000000000003</v>
      </c>
      <c r="AQ59" s="12">
        <v>89.171000000000006</v>
      </c>
      <c r="AR59" s="103"/>
      <c r="AS59" s="103"/>
      <c r="AT59" s="103"/>
      <c r="AU59" s="103"/>
      <c r="AV59" s="103"/>
      <c r="AW59" s="103"/>
    </row>
    <row r="60" spans="2:51">
      <c r="B60" s="1" t="s">
        <v>81</v>
      </c>
      <c r="G60" s="59">
        <f ca="1">G53+SUM(G55:G59)</f>
        <v>5865.8980000000001</v>
      </c>
      <c r="H60" s="32">
        <f ca="1">H53+SUM(H55:H59)</f>
        <v>5865.8980000000001</v>
      </c>
      <c r="J60" s="13">
        <f t="shared" ref="J60:O60" si="36">J53+SUM(J55:J59)</f>
        <v>5871.5939999999991</v>
      </c>
      <c r="K60" s="13">
        <f t="shared" si="36"/>
        <v>6079.0970000000007</v>
      </c>
      <c r="L60" s="13">
        <f t="shared" si="36"/>
        <v>5924.1740000000009</v>
      </c>
      <c r="M60" s="13">
        <f t="shared" si="36"/>
        <v>5399.0629999999983</v>
      </c>
      <c r="N60" s="13">
        <f t="shared" si="36"/>
        <v>5554.924</v>
      </c>
      <c r="O60" s="13">
        <f t="shared" si="36"/>
        <v>5722.1969999999992</v>
      </c>
      <c r="P60" s="102"/>
      <c r="R60" s="13">
        <f t="shared" ref="R60:AQ60" si="37">R53+SUM(R55:R59)</f>
        <v>5714.5</v>
      </c>
      <c r="S60" s="13">
        <f t="shared" si="37"/>
        <v>5829.2759999999998</v>
      </c>
      <c r="T60" s="13">
        <f t="shared" si="37"/>
        <v>5854.3330000000005</v>
      </c>
      <c r="U60" s="13">
        <f t="shared" si="37"/>
        <v>5871.5939999999991</v>
      </c>
      <c r="V60" s="13">
        <f t="shared" si="37"/>
        <v>6300.6920000000009</v>
      </c>
      <c r="W60" s="13">
        <f t="shared" si="37"/>
        <v>6232.8860000000004</v>
      </c>
      <c r="X60" s="13">
        <f t="shared" si="37"/>
        <v>6127.8850000000002</v>
      </c>
      <c r="Y60" s="13">
        <f t="shared" si="37"/>
        <v>6079.0970000000007</v>
      </c>
      <c r="Z60" s="13">
        <f t="shared" si="37"/>
        <v>6137.5739999999996</v>
      </c>
      <c r="AA60" s="13">
        <f t="shared" si="37"/>
        <v>6017.0110000000004</v>
      </c>
      <c r="AB60" s="13">
        <f t="shared" si="37"/>
        <v>5981.1200000000008</v>
      </c>
      <c r="AC60" s="13">
        <f t="shared" si="37"/>
        <v>5924.1740000000009</v>
      </c>
      <c r="AD60" s="13">
        <f t="shared" si="37"/>
        <v>5788.0859999999993</v>
      </c>
      <c r="AE60" s="13">
        <f t="shared" si="37"/>
        <v>5767.8149999999996</v>
      </c>
      <c r="AF60" s="13">
        <f t="shared" si="37"/>
        <v>5389.8819999999996</v>
      </c>
      <c r="AG60" s="13">
        <f t="shared" si="37"/>
        <v>5399.0629999999983</v>
      </c>
      <c r="AH60" s="13">
        <f t="shared" si="37"/>
        <v>5385.2019999999993</v>
      </c>
      <c r="AI60" s="13">
        <f t="shared" si="37"/>
        <v>5405.1559999999999</v>
      </c>
      <c r="AJ60" s="13">
        <f t="shared" si="37"/>
        <v>5456.2980000000007</v>
      </c>
      <c r="AK60" s="13">
        <f t="shared" si="37"/>
        <v>5554.924</v>
      </c>
      <c r="AL60" s="13">
        <f t="shared" si="37"/>
        <v>5574.7480000000005</v>
      </c>
      <c r="AM60" s="13">
        <f t="shared" si="37"/>
        <v>5574.5789999999997</v>
      </c>
      <c r="AN60" s="13">
        <f t="shared" si="37"/>
        <v>5682.8799999999992</v>
      </c>
      <c r="AO60" s="13">
        <f t="shared" si="37"/>
        <v>5722.1969999999992</v>
      </c>
      <c r="AP60" s="13">
        <f t="shared" si="37"/>
        <v>5775.8369999999995</v>
      </c>
      <c r="AQ60" s="13">
        <f t="shared" si="37"/>
        <v>5865.8980000000001</v>
      </c>
      <c r="AR60" s="102"/>
      <c r="AS60" s="102"/>
      <c r="AT60" s="102"/>
      <c r="AU60" s="102"/>
      <c r="AV60" s="102"/>
      <c r="AW60" s="102"/>
    </row>
    <row r="61" spans="2:51">
      <c r="G61" s="104"/>
      <c r="H61" s="30"/>
      <c r="P61" s="102"/>
      <c r="AR61" s="102"/>
      <c r="AS61" s="102"/>
      <c r="AT61" s="102"/>
      <c r="AU61" s="102"/>
      <c r="AV61" s="102"/>
      <c r="AW61" s="102"/>
    </row>
    <row r="62" spans="2:51">
      <c r="B62" t="s">
        <v>82</v>
      </c>
      <c r="G62" s="57">
        <f t="shared" ref="G62:G67" ca="1" si="38">OFFSET(R62,0,MATCH($G$2,$R$3:$AW$3,0)-1)</f>
        <v>8.9700000000000006</v>
      </c>
      <c r="H62" s="33">
        <f t="shared" ref="H62:H67" ca="1" si="39">G62</f>
        <v>8.9700000000000006</v>
      </c>
      <c r="J62" s="9">
        <f t="shared" ref="J62:J67" si="40">U62</f>
        <v>1.9E-2</v>
      </c>
      <c r="K62" s="9">
        <f t="shared" ref="K62:K67" si="41">Y62</f>
        <v>1.6E-2</v>
      </c>
      <c r="L62" s="9">
        <f t="shared" ref="L62:L67" si="42">AC62</f>
        <v>0.04</v>
      </c>
      <c r="M62" s="9">
        <f t="shared" ref="M62:M67" si="43">AG62</f>
        <v>1.9339999999999999</v>
      </c>
      <c r="N62" s="9">
        <f t="shared" ref="N62:N67" si="44">AK62</f>
        <v>3.2919999999999998</v>
      </c>
      <c r="O62" s="9">
        <f t="shared" ref="O62:O67" si="45">AO62</f>
        <v>8.0679999999999996</v>
      </c>
      <c r="P62" s="102"/>
      <c r="R62" s="10">
        <v>2.7E-2</v>
      </c>
      <c r="S62" s="10">
        <v>1.7000000000000001E-2</v>
      </c>
      <c r="T62" s="10">
        <v>0.50800000000000001</v>
      </c>
      <c r="U62" s="10">
        <v>1.9E-2</v>
      </c>
      <c r="V62" s="10">
        <v>1.7000000000000001E-2</v>
      </c>
      <c r="W62" s="10">
        <v>1.0999999999999999E-2</v>
      </c>
      <c r="X62" s="10">
        <v>1.4999999999999999E-2</v>
      </c>
      <c r="Y62" s="10">
        <v>1.6E-2</v>
      </c>
      <c r="Z62" s="10">
        <v>0</v>
      </c>
      <c r="AA62" s="10">
        <v>7.0000000000000001E-3</v>
      </c>
      <c r="AB62" s="10">
        <v>0.155</v>
      </c>
      <c r="AC62" s="10">
        <v>0.04</v>
      </c>
      <c r="AD62" s="10">
        <v>0.434</v>
      </c>
      <c r="AE62" s="10">
        <v>1.417</v>
      </c>
      <c r="AF62" s="10">
        <v>1.9830000000000001</v>
      </c>
      <c r="AG62" s="10">
        <v>1.9339999999999999</v>
      </c>
      <c r="AH62" s="10">
        <v>3.097</v>
      </c>
      <c r="AI62" s="10">
        <v>4.2060000000000004</v>
      </c>
      <c r="AJ62" s="10">
        <v>3.5990000000000002</v>
      </c>
      <c r="AK62" s="10">
        <v>3.2919999999999998</v>
      </c>
      <c r="AL62" s="10">
        <v>3.9830000000000001</v>
      </c>
      <c r="AM62" s="10">
        <v>7.4470000000000001</v>
      </c>
      <c r="AN62" s="10">
        <v>9.6080000000000005</v>
      </c>
      <c r="AO62" s="10">
        <v>8.0679999999999996</v>
      </c>
      <c r="AP62" s="10">
        <v>8.6430000000000007</v>
      </c>
      <c r="AQ62" s="10">
        <v>8.9700000000000006</v>
      </c>
      <c r="AR62" s="102"/>
      <c r="AS62" s="102"/>
      <c r="AT62" s="102"/>
      <c r="AU62" s="102"/>
      <c r="AV62" s="102"/>
      <c r="AW62" s="102"/>
    </row>
    <row r="63" spans="2:51">
      <c r="B63" t="s">
        <v>83</v>
      </c>
      <c r="G63" s="57">
        <f t="shared" ca="1" si="38"/>
        <v>10.194000000000001</v>
      </c>
      <c r="H63" s="33">
        <f t="shared" ca="1" si="39"/>
        <v>10.194000000000001</v>
      </c>
      <c r="J63" s="9">
        <f t="shared" si="40"/>
        <v>2.794</v>
      </c>
      <c r="K63" s="9">
        <f t="shared" si="41"/>
        <v>0.66500000000000004</v>
      </c>
      <c r="L63" s="9">
        <f t="shared" si="42"/>
        <v>0.47399999999999998</v>
      </c>
      <c r="M63" s="9">
        <f t="shared" si="43"/>
        <v>0</v>
      </c>
      <c r="N63" s="9">
        <f t="shared" si="44"/>
        <v>0.32300000000000001</v>
      </c>
      <c r="O63" s="9">
        <f t="shared" si="45"/>
        <v>1.486</v>
      </c>
      <c r="P63" s="102"/>
      <c r="R63" s="10">
        <v>1.9359999999999999</v>
      </c>
      <c r="S63" s="10">
        <v>2.875</v>
      </c>
      <c r="T63" s="10">
        <v>3.7650000000000001</v>
      </c>
      <c r="U63" s="10">
        <v>2.794</v>
      </c>
      <c r="V63" s="10">
        <v>1.4410000000000001</v>
      </c>
      <c r="W63" s="10">
        <v>0.312</v>
      </c>
      <c r="X63" s="10">
        <v>1.196</v>
      </c>
      <c r="Y63" s="10">
        <v>0.66500000000000004</v>
      </c>
      <c r="Z63" s="10">
        <v>0.69799999999999995</v>
      </c>
      <c r="AA63" s="10">
        <v>0.69399999999999995</v>
      </c>
      <c r="AB63" s="10">
        <v>0.45900000000000002</v>
      </c>
      <c r="AC63" s="10">
        <v>0.47399999999999998</v>
      </c>
      <c r="AD63" s="10">
        <v>0.48899999999999999</v>
      </c>
      <c r="AE63" s="10">
        <v>0.497</v>
      </c>
      <c r="AF63" s="10">
        <v>0.499</v>
      </c>
      <c r="AG63" s="10">
        <v>0</v>
      </c>
      <c r="AH63" s="10">
        <v>9.2999999999999999E-2</v>
      </c>
      <c r="AI63" s="10">
        <v>0</v>
      </c>
      <c r="AJ63" s="10">
        <v>0</v>
      </c>
      <c r="AK63" s="10">
        <v>0.32300000000000001</v>
      </c>
      <c r="AL63" s="10">
        <v>1.1060000000000001</v>
      </c>
      <c r="AM63" s="10">
        <v>0</v>
      </c>
      <c r="AN63" s="10">
        <v>2.2469999999999999</v>
      </c>
      <c r="AO63" s="10">
        <v>1.486</v>
      </c>
      <c r="AP63" s="10">
        <v>11.252000000000001</v>
      </c>
      <c r="AQ63" s="10">
        <v>10.194000000000001</v>
      </c>
      <c r="AR63" s="102"/>
      <c r="AS63" s="102"/>
      <c r="AT63" s="102"/>
      <c r="AU63" s="102"/>
      <c r="AV63" s="102"/>
      <c r="AW63" s="102"/>
    </row>
    <row r="64" spans="2:51">
      <c r="B64" t="s">
        <v>84</v>
      </c>
      <c r="G64" s="57">
        <f t="shared" ca="1" si="38"/>
        <v>266.82</v>
      </c>
      <c r="H64" s="33">
        <f t="shared" ca="1" si="39"/>
        <v>266.82</v>
      </c>
      <c r="J64" s="9">
        <f t="shared" si="40"/>
        <v>278.05700000000002</v>
      </c>
      <c r="K64" s="9">
        <f t="shared" si="41"/>
        <v>206.77799999999999</v>
      </c>
      <c r="L64" s="9">
        <f t="shared" si="42"/>
        <v>162.50700000000001</v>
      </c>
      <c r="M64" s="9">
        <f t="shared" si="43"/>
        <v>199.08799999999999</v>
      </c>
      <c r="N64" s="9">
        <f t="shared" si="44"/>
        <v>278.08100000000002</v>
      </c>
      <c r="O64" s="9">
        <f t="shared" si="45"/>
        <v>269.37799999999999</v>
      </c>
      <c r="P64" s="102"/>
      <c r="R64" s="10">
        <v>251.916</v>
      </c>
      <c r="S64" s="10">
        <v>263.47000000000003</v>
      </c>
      <c r="T64" s="10">
        <v>250.68100000000001</v>
      </c>
      <c r="U64" s="10">
        <v>278.05700000000002</v>
      </c>
      <c r="V64" s="10">
        <v>275.57</v>
      </c>
      <c r="W64" s="10">
        <v>212.14699999999999</v>
      </c>
      <c r="X64" s="10">
        <v>212.279</v>
      </c>
      <c r="Y64" s="10">
        <v>206.77799999999999</v>
      </c>
      <c r="Z64" s="10">
        <v>227.02</v>
      </c>
      <c r="AA64" s="10">
        <v>177.29</v>
      </c>
      <c r="AB64" s="10">
        <v>156.94999999999999</v>
      </c>
      <c r="AC64" s="10">
        <v>162.50700000000001</v>
      </c>
      <c r="AD64" s="10">
        <v>175.89</v>
      </c>
      <c r="AE64" s="10">
        <v>188.72399999999999</v>
      </c>
      <c r="AF64" s="10">
        <v>181.31299999999999</v>
      </c>
      <c r="AG64" s="10">
        <v>199.08799999999999</v>
      </c>
      <c r="AH64" s="10">
        <v>218.90700000000001</v>
      </c>
      <c r="AI64" s="10">
        <v>234.64</v>
      </c>
      <c r="AJ64" s="10">
        <v>241.62299999999999</v>
      </c>
      <c r="AK64" s="10">
        <v>278.08100000000002</v>
      </c>
      <c r="AL64" s="10">
        <v>278.46699999999998</v>
      </c>
      <c r="AM64" s="10">
        <v>279.51900000000001</v>
      </c>
      <c r="AN64" s="10">
        <v>258.12599999999998</v>
      </c>
      <c r="AO64" s="10">
        <v>269.37799999999999</v>
      </c>
      <c r="AP64" s="10">
        <v>249.64400000000001</v>
      </c>
      <c r="AQ64" s="10">
        <v>266.82</v>
      </c>
      <c r="AR64" s="102"/>
      <c r="AS64" s="102"/>
      <c r="AT64" s="102"/>
      <c r="AU64" s="102"/>
      <c r="AV64" s="102"/>
      <c r="AW64" s="102"/>
    </row>
    <row r="65" spans="2:49">
      <c r="B65" t="s">
        <v>85</v>
      </c>
      <c r="G65" s="57">
        <f t="shared" ca="1" si="38"/>
        <v>211.27600000000001</v>
      </c>
      <c r="H65" s="33">
        <f t="shared" ca="1" si="39"/>
        <v>211.27600000000001</v>
      </c>
      <c r="J65" s="9">
        <f t="shared" si="40"/>
        <v>246.78899999999999</v>
      </c>
      <c r="K65" s="9">
        <f t="shared" si="41"/>
        <v>236.35</v>
      </c>
      <c r="L65" s="9">
        <f t="shared" si="42"/>
        <v>224.85499999999999</v>
      </c>
      <c r="M65" s="9">
        <f t="shared" si="43"/>
        <v>236.078</v>
      </c>
      <c r="N65" s="9">
        <f t="shared" si="44"/>
        <v>204.75200000000001</v>
      </c>
      <c r="O65" s="9">
        <f t="shared" si="45"/>
        <v>228.946</v>
      </c>
      <c r="P65" s="102"/>
      <c r="R65" s="10">
        <v>196.06299999999999</v>
      </c>
      <c r="S65" s="10">
        <v>228.791</v>
      </c>
      <c r="T65" s="10">
        <v>237.12899999999999</v>
      </c>
      <c r="U65" s="10">
        <v>246.78899999999999</v>
      </c>
      <c r="V65" s="10">
        <v>204.72399999999999</v>
      </c>
      <c r="W65" s="10">
        <v>225.232</v>
      </c>
      <c r="X65" s="10">
        <v>225.40199999999999</v>
      </c>
      <c r="Y65" s="10">
        <v>236.35</v>
      </c>
      <c r="Z65" s="10">
        <v>205.667</v>
      </c>
      <c r="AA65" s="10">
        <v>230.29599999999999</v>
      </c>
      <c r="AB65" s="10">
        <v>228.76400000000001</v>
      </c>
      <c r="AC65" s="10">
        <v>224.85499999999999</v>
      </c>
      <c r="AD65" s="10">
        <v>198.48699999999999</v>
      </c>
      <c r="AE65" s="10">
        <v>231.60300000000001</v>
      </c>
      <c r="AF65" s="10">
        <v>228.375</v>
      </c>
      <c r="AG65" s="10">
        <v>236.078</v>
      </c>
      <c r="AH65" s="10">
        <v>188.30199999999999</v>
      </c>
      <c r="AI65" s="10">
        <v>198.191</v>
      </c>
      <c r="AJ65" s="10">
        <v>209.72399999999999</v>
      </c>
      <c r="AK65" s="10">
        <v>204.75200000000001</v>
      </c>
      <c r="AL65" s="10">
        <v>173.99199999999999</v>
      </c>
      <c r="AM65" s="10">
        <v>205.25399999999999</v>
      </c>
      <c r="AN65" s="10">
        <v>199.124</v>
      </c>
      <c r="AO65" s="10">
        <v>228.946</v>
      </c>
      <c r="AP65" s="10">
        <v>194.81899999999999</v>
      </c>
      <c r="AQ65" s="10">
        <v>211.27600000000001</v>
      </c>
      <c r="AR65" s="102"/>
      <c r="AS65" s="102"/>
      <c r="AT65" s="102"/>
      <c r="AU65" s="102"/>
      <c r="AV65" s="102"/>
      <c r="AW65" s="102"/>
    </row>
    <row r="66" spans="2:49">
      <c r="B66" t="s">
        <v>86</v>
      </c>
      <c r="G66" s="57">
        <f t="shared" ca="1" si="38"/>
        <v>33.399000000000001</v>
      </c>
      <c r="H66" s="33">
        <f t="shared" ca="1" si="39"/>
        <v>33.399000000000001</v>
      </c>
      <c r="J66" s="9">
        <f t="shared" si="40"/>
        <v>0</v>
      </c>
      <c r="K66" s="9">
        <f t="shared" si="41"/>
        <v>27.324000000000002</v>
      </c>
      <c r="L66" s="9">
        <f t="shared" si="42"/>
        <v>32.75</v>
      </c>
      <c r="M66" s="9">
        <f t="shared" si="43"/>
        <v>33.902000000000001</v>
      </c>
      <c r="N66" s="9">
        <f t="shared" si="44"/>
        <v>36.444000000000003</v>
      </c>
      <c r="O66" s="9">
        <f t="shared" si="45"/>
        <v>33.340000000000003</v>
      </c>
      <c r="P66" s="102"/>
      <c r="R66" s="10">
        <v>0</v>
      </c>
      <c r="S66" s="10">
        <v>0</v>
      </c>
      <c r="T66" s="10">
        <v>0</v>
      </c>
      <c r="U66" s="10">
        <v>0</v>
      </c>
      <c r="V66" s="10">
        <v>28.585999999999999</v>
      </c>
      <c r="W66" s="10">
        <v>29.422000000000001</v>
      </c>
      <c r="X66" s="10">
        <v>29.001000000000001</v>
      </c>
      <c r="Y66" s="10">
        <v>27.324000000000002</v>
      </c>
      <c r="Z66" s="10">
        <v>25.92</v>
      </c>
      <c r="AA66" s="10">
        <v>33.761000000000003</v>
      </c>
      <c r="AB66" s="10">
        <v>32.545000000000002</v>
      </c>
      <c r="AC66" s="10">
        <v>32.75</v>
      </c>
      <c r="AD66" s="10">
        <v>32.722000000000001</v>
      </c>
      <c r="AE66" s="10">
        <v>31.963000000000001</v>
      </c>
      <c r="AF66" s="10">
        <v>32.813000000000002</v>
      </c>
      <c r="AG66" s="10">
        <v>33.902000000000001</v>
      </c>
      <c r="AH66" s="10">
        <v>34.454000000000001</v>
      </c>
      <c r="AI66" s="10">
        <v>34.667000000000002</v>
      </c>
      <c r="AJ66" s="10">
        <v>33.494999999999997</v>
      </c>
      <c r="AK66" s="10">
        <v>36.444000000000003</v>
      </c>
      <c r="AL66" s="10">
        <v>32.884999999999998</v>
      </c>
      <c r="AM66" s="10">
        <v>33.134</v>
      </c>
      <c r="AN66" s="10">
        <v>32.17</v>
      </c>
      <c r="AO66" s="10">
        <v>33.340000000000003</v>
      </c>
      <c r="AP66" s="10">
        <v>32.600999999999999</v>
      </c>
      <c r="AQ66" s="10">
        <v>33.399000000000001</v>
      </c>
      <c r="AR66" s="102"/>
      <c r="AS66" s="102"/>
      <c r="AT66" s="102"/>
      <c r="AU66" s="102"/>
      <c r="AV66" s="102"/>
      <c r="AW66" s="102"/>
    </row>
    <row r="67" spans="2:49">
      <c r="B67" s="7" t="s">
        <v>87</v>
      </c>
      <c r="C67" s="7"/>
      <c r="D67" s="7"/>
      <c r="E67" s="7"/>
      <c r="F67" s="7"/>
      <c r="G67" s="58">
        <f t="shared" ca="1" si="38"/>
        <v>153.964</v>
      </c>
      <c r="H67" s="46">
        <f t="shared" ca="1" si="39"/>
        <v>153.964</v>
      </c>
      <c r="I67" s="7"/>
      <c r="J67" s="11">
        <f t="shared" si="40"/>
        <v>80.123000000000005</v>
      </c>
      <c r="K67" s="11">
        <f t="shared" si="41"/>
        <v>42.981999999999999</v>
      </c>
      <c r="L67" s="11">
        <f t="shared" si="42"/>
        <v>45.405999999999999</v>
      </c>
      <c r="M67" s="11">
        <f t="shared" si="43"/>
        <v>72.77</v>
      </c>
      <c r="N67" s="11">
        <f t="shared" si="44"/>
        <v>119.30500000000001</v>
      </c>
      <c r="O67" s="11">
        <f t="shared" si="45"/>
        <v>134.577</v>
      </c>
      <c r="P67" s="103"/>
      <c r="Q67" s="7"/>
      <c r="R67" s="12">
        <v>81.215999999999994</v>
      </c>
      <c r="S67" s="12">
        <v>61.164999999999999</v>
      </c>
      <c r="T67" s="12">
        <v>75.843000000000004</v>
      </c>
      <c r="U67" s="12">
        <v>80.123000000000005</v>
      </c>
      <c r="V67" s="12">
        <v>72.385999999999996</v>
      </c>
      <c r="W67" s="12">
        <v>58.908999999999999</v>
      </c>
      <c r="X67" s="12">
        <v>49.097999999999999</v>
      </c>
      <c r="Y67" s="12">
        <v>42.981999999999999</v>
      </c>
      <c r="Z67" s="12">
        <v>37.027000000000001</v>
      </c>
      <c r="AA67" s="12">
        <v>36.648000000000003</v>
      </c>
      <c r="AB67" s="12">
        <v>31.192</v>
      </c>
      <c r="AC67" s="12">
        <v>45.405999999999999</v>
      </c>
      <c r="AD67" s="12">
        <v>45.420999999999999</v>
      </c>
      <c r="AE67" s="12">
        <v>44.018000000000001</v>
      </c>
      <c r="AF67" s="12">
        <v>67.213999999999999</v>
      </c>
      <c r="AG67" s="12">
        <v>72.77</v>
      </c>
      <c r="AH67" s="12">
        <v>68.981999999999999</v>
      </c>
      <c r="AI67" s="12">
        <v>69.668000000000006</v>
      </c>
      <c r="AJ67" s="12">
        <v>82.12</v>
      </c>
      <c r="AK67" s="12">
        <v>119.30500000000001</v>
      </c>
      <c r="AL67" s="12">
        <v>124.355</v>
      </c>
      <c r="AM67" s="12">
        <v>130.94300000000001</v>
      </c>
      <c r="AN67" s="12">
        <v>134.577</v>
      </c>
      <c r="AO67" s="12">
        <v>134.577</v>
      </c>
      <c r="AP67" s="12">
        <v>153.435</v>
      </c>
      <c r="AQ67" s="12">
        <v>153.964</v>
      </c>
      <c r="AR67" s="103"/>
      <c r="AS67" s="103"/>
      <c r="AT67" s="103"/>
      <c r="AU67" s="103"/>
      <c r="AV67" s="103"/>
      <c r="AW67" s="103"/>
    </row>
    <row r="68" spans="2:49">
      <c r="B68" s="1" t="s">
        <v>88</v>
      </c>
      <c r="G68" s="59">
        <f ca="1">SUM(G62:G67)</f>
        <v>684.62300000000005</v>
      </c>
      <c r="H68" s="32">
        <f ca="1">SUM(H62:H67)</f>
        <v>684.62300000000005</v>
      </c>
      <c r="J68" s="13">
        <f t="shared" ref="J68:O68" si="46">SUM(J62:J67)</f>
        <v>607.78200000000004</v>
      </c>
      <c r="K68" s="13">
        <f t="shared" si="46"/>
        <v>514.11500000000001</v>
      </c>
      <c r="L68" s="13">
        <f t="shared" si="46"/>
        <v>466.03199999999998</v>
      </c>
      <c r="M68" s="13">
        <f t="shared" si="46"/>
        <v>543.77200000000005</v>
      </c>
      <c r="N68" s="13">
        <f t="shared" si="46"/>
        <v>642.19700000000012</v>
      </c>
      <c r="O68" s="13">
        <f t="shared" si="46"/>
        <v>675.79499999999996</v>
      </c>
      <c r="P68" s="102"/>
      <c r="R68" s="13">
        <f t="shared" ref="R68:AQ68" si="47">SUM(R62:R67)</f>
        <v>531.15800000000002</v>
      </c>
      <c r="S68" s="13">
        <f t="shared" si="47"/>
        <v>556.31799999999998</v>
      </c>
      <c r="T68" s="13">
        <f t="shared" si="47"/>
        <v>567.92599999999993</v>
      </c>
      <c r="U68" s="13">
        <f t="shared" si="47"/>
        <v>607.78200000000004</v>
      </c>
      <c r="V68" s="13">
        <f t="shared" si="47"/>
        <v>582.72400000000005</v>
      </c>
      <c r="W68" s="13">
        <f t="shared" si="47"/>
        <v>526.03300000000002</v>
      </c>
      <c r="X68" s="13">
        <f t="shared" si="47"/>
        <v>516.99099999999999</v>
      </c>
      <c r="Y68" s="13">
        <f t="shared" si="47"/>
        <v>514.11500000000001</v>
      </c>
      <c r="Z68" s="13">
        <f t="shared" si="47"/>
        <v>496.33199999999999</v>
      </c>
      <c r="AA68" s="13">
        <f t="shared" si="47"/>
        <v>478.69600000000003</v>
      </c>
      <c r="AB68" s="13">
        <f t="shared" si="47"/>
        <v>450.065</v>
      </c>
      <c r="AC68" s="13">
        <f t="shared" si="47"/>
        <v>466.03199999999998</v>
      </c>
      <c r="AD68" s="13">
        <f t="shared" si="47"/>
        <v>453.44299999999993</v>
      </c>
      <c r="AE68" s="13">
        <f t="shared" si="47"/>
        <v>498.22199999999998</v>
      </c>
      <c r="AF68" s="13">
        <f t="shared" si="47"/>
        <v>512.19699999999989</v>
      </c>
      <c r="AG68" s="13">
        <f t="shared" si="47"/>
        <v>543.77200000000005</v>
      </c>
      <c r="AH68" s="13">
        <f t="shared" si="47"/>
        <v>513.83500000000004</v>
      </c>
      <c r="AI68" s="13">
        <f t="shared" si="47"/>
        <v>541.37199999999996</v>
      </c>
      <c r="AJ68" s="13">
        <f t="shared" si="47"/>
        <v>570.56099999999992</v>
      </c>
      <c r="AK68" s="13">
        <f t="shared" si="47"/>
        <v>642.19700000000012</v>
      </c>
      <c r="AL68" s="13">
        <f t="shared" si="47"/>
        <v>614.78800000000001</v>
      </c>
      <c r="AM68" s="13">
        <f t="shared" si="47"/>
        <v>656.29700000000003</v>
      </c>
      <c r="AN68" s="13">
        <f t="shared" si="47"/>
        <v>635.85200000000009</v>
      </c>
      <c r="AO68" s="13">
        <f t="shared" si="47"/>
        <v>675.79499999999996</v>
      </c>
      <c r="AP68" s="13">
        <f t="shared" si="47"/>
        <v>650.39400000000001</v>
      </c>
      <c r="AQ68" s="13">
        <f t="shared" si="47"/>
        <v>684.62300000000005</v>
      </c>
      <c r="AR68" s="102"/>
      <c r="AS68" s="102"/>
      <c r="AT68" s="102"/>
      <c r="AU68" s="102"/>
      <c r="AV68" s="102"/>
      <c r="AW68" s="102"/>
    </row>
    <row r="69" spans="2:49">
      <c r="B69" s="1"/>
      <c r="G69" s="104"/>
      <c r="H69" s="30"/>
      <c r="P69" s="102"/>
      <c r="AR69" s="102"/>
      <c r="AS69" s="102"/>
      <c r="AT69" s="102"/>
      <c r="AU69" s="102"/>
      <c r="AV69" s="102"/>
      <c r="AW69" s="102"/>
    </row>
    <row r="70" spans="2:49">
      <c r="B70" t="s">
        <v>89</v>
      </c>
      <c r="G70" s="57">
        <f ca="1">OFFSET(R70,0,MATCH($G$2,$R$3:$AW$3,0)-1)</f>
        <v>1039.1199999999999</v>
      </c>
      <c r="H70" s="33">
        <f ca="1">G70</f>
        <v>1039.1199999999999</v>
      </c>
      <c r="J70" s="9">
        <f>U70</f>
        <v>1410.1690000000001</v>
      </c>
      <c r="K70" s="9">
        <f>Y70</f>
        <v>1369.751</v>
      </c>
      <c r="L70" s="9">
        <f>AC70</f>
        <v>1468.546</v>
      </c>
      <c r="M70" s="9">
        <f>AG70</f>
        <v>1161.433</v>
      </c>
      <c r="N70" s="9">
        <f>AK70</f>
        <v>1076.326</v>
      </c>
      <c r="O70" s="9">
        <f>AO70</f>
        <v>1008.527</v>
      </c>
      <c r="P70" s="102"/>
      <c r="R70" s="10">
        <v>1423.2670000000001</v>
      </c>
      <c r="S70" s="10">
        <v>1442.5129999999999</v>
      </c>
      <c r="T70" s="10">
        <v>1399.423</v>
      </c>
      <c r="U70" s="10">
        <v>1410.1690000000001</v>
      </c>
      <c r="V70" s="10">
        <v>1667.4570000000001</v>
      </c>
      <c r="W70" s="10">
        <v>1594.6949999999999</v>
      </c>
      <c r="X70" s="10">
        <v>1434.4169999999999</v>
      </c>
      <c r="Y70" s="10">
        <v>1369.751</v>
      </c>
      <c r="Z70" s="10">
        <v>1702.4760000000001</v>
      </c>
      <c r="AA70" s="10">
        <v>1642.8320000000001</v>
      </c>
      <c r="AB70" s="10">
        <v>1578.1890000000001</v>
      </c>
      <c r="AC70" s="10">
        <v>1468.546</v>
      </c>
      <c r="AD70" s="10">
        <v>1348.904</v>
      </c>
      <c r="AE70" s="10">
        <v>1274.2619999999999</v>
      </c>
      <c r="AF70" s="10">
        <v>1206.193</v>
      </c>
      <c r="AG70" s="10">
        <v>1161.433</v>
      </c>
      <c r="AH70" s="10">
        <v>1151.6379999999999</v>
      </c>
      <c r="AI70" s="10">
        <v>1131.8489999999999</v>
      </c>
      <c r="AJ70" s="10">
        <v>1114.8599999999999</v>
      </c>
      <c r="AK70" s="10">
        <v>1076.326</v>
      </c>
      <c r="AL70" s="10">
        <v>1075.6579999999999</v>
      </c>
      <c r="AM70" s="10">
        <v>990.95399999999995</v>
      </c>
      <c r="AN70" s="10">
        <v>1058.248</v>
      </c>
      <c r="AO70" s="10">
        <v>1008.527</v>
      </c>
      <c r="AP70" s="10">
        <v>1051.8219999999999</v>
      </c>
      <c r="AQ70" s="10">
        <v>1039.1199999999999</v>
      </c>
      <c r="AR70" s="102"/>
      <c r="AS70" s="102"/>
      <c r="AT70" s="102"/>
      <c r="AU70" s="102"/>
      <c r="AV70" s="102"/>
      <c r="AW70" s="102"/>
    </row>
    <row r="71" spans="2:49">
      <c r="B71" t="s">
        <v>90</v>
      </c>
      <c r="G71" s="57">
        <f ca="1">OFFSET(R71,0,MATCH($G$2,$R$3:$AW$3,0)-1)</f>
        <v>720.67899999999997</v>
      </c>
      <c r="H71" s="33">
        <f ca="1">G71</f>
        <v>720.67899999999997</v>
      </c>
      <c r="J71" s="9">
        <f>U71</f>
        <v>542.78499999999997</v>
      </c>
      <c r="K71" s="9">
        <f>Y71</f>
        <v>588.20399999999995</v>
      </c>
      <c r="L71" s="9">
        <f>AC71</f>
        <v>606.84400000000005</v>
      </c>
      <c r="M71" s="9">
        <f>AG71</f>
        <v>574.15200000000004</v>
      </c>
      <c r="N71" s="9">
        <f>AK71</f>
        <v>625.88400000000001</v>
      </c>
      <c r="O71" s="9">
        <f>AO71</f>
        <v>696.55700000000002</v>
      </c>
      <c r="P71" s="102"/>
      <c r="R71" s="10">
        <v>517.42100000000005</v>
      </c>
      <c r="S71" s="10">
        <v>531.28399999999999</v>
      </c>
      <c r="T71" s="10">
        <v>544.88199999999995</v>
      </c>
      <c r="U71" s="10">
        <v>542.78499999999997</v>
      </c>
      <c r="V71" s="10">
        <v>555.41399999999999</v>
      </c>
      <c r="W71" s="10">
        <v>570.95399999999995</v>
      </c>
      <c r="X71" s="10">
        <v>585.50699999999995</v>
      </c>
      <c r="Y71" s="10">
        <v>588.20399999999995</v>
      </c>
      <c r="Z71" s="10">
        <v>582.15</v>
      </c>
      <c r="AA71" s="10">
        <v>568.81600000000003</v>
      </c>
      <c r="AB71" s="10">
        <v>591.346</v>
      </c>
      <c r="AC71" s="10">
        <v>606.84400000000005</v>
      </c>
      <c r="AD71" s="10">
        <v>606.56100000000004</v>
      </c>
      <c r="AE71" s="10">
        <v>612.68200000000002</v>
      </c>
      <c r="AF71" s="10">
        <v>552.91300000000001</v>
      </c>
      <c r="AG71" s="10">
        <v>574.15200000000004</v>
      </c>
      <c r="AH71" s="10">
        <v>580.01400000000001</v>
      </c>
      <c r="AI71" s="10">
        <v>590.87599999999998</v>
      </c>
      <c r="AJ71" s="10">
        <v>604.596</v>
      </c>
      <c r="AK71" s="10">
        <v>625.88400000000001</v>
      </c>
      <c r="AL71" s="10">
        <v>638.43799999999999</v>
      </c>
      <c r="AM71" s="10">
        <v>656.52800000000002</v>
      </c>
      <c r="AN71" s="10">
        <v>672.71100000000001</v>
      </c>
      <c r="AO71" s="10">
        <v>696.55700000000002</v>
      </c>
      <c r="AP71" s="10">
        <v>705.83399999999995</v>
      </c>
      <c r="AQ71" s="10">
        <v>720.67899999999997</v>
      </c>
      <c r="AR71" s="102"/>
      <c r="AS71" s="102"/>
      <c r="AT71" s="102"/>
      <c r="AU71" s="102"/>
      <c r="AV71" s="102"/>
      <c r="AW71" s="102"/>
    </row>
    <row r="72" spans="2:49">
      <c r="B72" t="s">
        <v>91</v>
      </c>
      <c r="G72" s="57">
        <f ca="1">OFFSET(R72,0,MATCH($G$2,$R$3:$AW$3,0)-1)</f>
        <v>144.25</v>
      </c>
      <c r="H72" s="33">
        <f ca="1">G72</f>
        <v>144.25</v>
      </c>
      <c r="J72" s="9">
        <f>U72</f>
        <v>0</v>
      </c>
      <c r="K72" s="9">
        <f>Y72</f>
        <v>139.45699999999999</v>
      </c>
      <c r="L72" s="9">
        <f>AC72</f>
        <v>163.49600000000001</v>
      </c>
      <c r="M72" s="9">
        <f>AG72</f>
        <v>159.672</v>
      </c>
      <c r="N72" s="9">
        <f>AK72</f>
        <v>142.13999999999999</v>
      </c>
      <c r="O72" s="9">
        <f>AO72</f>
        <v>138.81100000000001</v>
      </c>
      <c r="P72" s="102"/>
      <c r="R72" s="10">
        <v>0</v>
      </c>
      <c r="S72" s="10">
        <v>0</v>
      </c>
      <c r="T72" s="10">
        <v>0</v>
      </c>
      <c r="U72" s="10">
        <v>0</v>
      </c>
      <c r="V72" s="10">
        <v>139.19200000000001</v>
      </c>
      <c r="W72" s="10">
        <v>136.97</v>
      </c>
      <c r="X72" s="10">
        <v>135.017</v>
      </c>
      <c r="Y72" s="10">
        <v>139.45699999999999</v>
      </c>
      <c r="Z72" s="10">
        <v>138.88399999999999</v>
      </c>
      <c r="AA72" s="10">
        <v>171.62899999999999</v>
      </c>
      <c r="AB72" s="10">
        <v>167.88399999999999</v>
      </c>
      <c r="AC72" s="10">
        <v>163.49600000000001</v>
      </c>
      <c r="AD72" s="10">
        <v>161.13300000000001</v>
      </c>
      <c r="AE72" s="10">
        <v>153.45699999999999</v>
      </c>
      <c r="AF72" s="10">
        <v>152.61500000000001</v>
      </c>
      <c r="AG72" s="10">
        <v>159.672</v>
      </c>
      <c r="AH72" s="10">
        <v>156.27099999999999</v>
      </c>
      <c r="AI72" s="10">
        <v>150.35499999999999</v>
      </c>
      <c r="AJ72" s="10">
        <v>144.20099999999999</v>
      </c>
      <c r="AK72" s="10">
        <v>142.13999999999999</v>
      </c>
      <c r="AL72" s="10">
        <v>146.44499999999999</v>
      </c>
      <c r="AM72" s="10">
        <v>142.47</v>
      </c>
      <c r="AN72" s="10">
        <v>142.23699999999999</v>
      </c>
      <c r="AO72" s="10">
        <v>138.81100000000001</v>
      </c>
      <c r="AP72" s="10">
        <v>136.97999999999999</v>
      </c>
      <c r="AQ72" s="10">
        <v>144.25</v>
      </c>
      <c r="AR72" s="102"/>
      <c r="AS72" s="102"/>
      <c r="AT72" s="102"/>
      <c r="AU72" s="102"/>
      <c r="AV72" s="102"/>
      <c r="AW72" s="102"/>
    </row>
    <row r="73" spans="2:49">
      <c r="B73" s="7" t="s">
        <v>92</v>
      </c>
      <c r="C73" s="7"/>
      <c r="D73" s="7"/>
      <c r="E73" s="7"/>
      <c r="F73" s="7"/>
      <c r="G73" s="58">
        <f ca="1">OFFSET(R73,0,MATCH($G$2,$R$3:$AW$3,0)-1)</f>
        <v>14.548</v>
      </c>
      <c r="H73" s="46">
        <f ca="1">G73</f>
        <v>14.548</v>
      </c>
      <c r="I73" s="7"/>
      <c r="J73" s="11">
        <f>U73</f>
        <v>94.457000000000008</v>
      </c>
      <c r="K73" s="11">
        <f>Y73</f>
        <v>95.977999999999994</v>
      </c>
      <c r="L73" s="11">
        <f>AC73</f>
        <v>131.703</v>
      </c>
      <c r="M73" s="11">
        <f>AG73</f>
        <v>71.251999999999995</v>
      </c>
      <c r="N73" s="11">
        <f>AK73</f>
        <v>23.209</v>
      </c>
      <c r="O73" s="11">
        <f>AO73</f>
        <v>15.83</v>
      </c>
      <c r="P73" s="103"/>
      <c r="Q73" s="7"/>
      <c r="R73" s="12">
        <v>100.786</v>
      </c>
      <c r="S73" s="12">
        <v>111.47</v>
      </c>
      <c r="T73" s="12">
        <v>108.953</v>
      </c>
      <c r="U73" s="12">
        <v>94.457000000000008</v>
      </c>
      <c r="V73" s="12">
        <v>90.497</v>
      </c>
      <c r="W73" s="12">
        <v>82.066000000000003</v>
      </c>
      <c r="X73" s="12">
        <v>81.454999999999998</v>
      </c>
      <c r="Y73" s="12">
        <v>95.977999999999994</v>
      </c>
      <c r="Z73" s="12">
        <v>93.207999999999998</v>
      </c>
      <c r="AA73" s="12">
        <v>103.054</v>
      </c>
      <c r="AB73" s="12">
        <v>115.26900000000001</v>
      </c>
      <c r="AC73" s="12">
        <v>131.703</v>
      </c>
      <c r="AD73" s="12">
        <v>129.30099999999999</v>
      </c>
      <c r="AE73" s="12">
        <v>123.863</v>
      </c>
      <c r="AF73" s="12">
        <v>119.74</v>
      </c>
      <c r="AG73" s="12">
        <v>71.251999999999995</v>
      </c>
      <c r="AH73" s="12">
        <v>69.168999999999997</v>
      </c>
      <c r="AI73" s="12">
        <v>60.96</v>
      </c>
      <c r="AJ73" s="12">
        <v>46.716999999999999</v>
      </c>
      <c r="AK73" s="12">
        <v>23.209</v>
      </c>
      <c r="AL73" s="12">
        <v>14.279</v>
      </c>
      <c r="AM73" s="12">
        <v>15.521000000000001</v>
      </c>
      <c r="AN73" s="12">
        <v>15.75</v>
      </c>
      <c r="AO73" s="12">
        <v>15.83</v>
      </c>
      <c r="AP73" s="12">
        <v>14.066000000000001</v>
      </c>
      <c r="AQ73" s="12">
        <v>14.548</v>
      </c>
      <c r="AR73" s="103"/>
      <c r="AS73" s="103"/>
      <c r="AT73" s="103"/>
      <c r="AU73" s="103"/>
      <c r="AV73" s="103"/>
      <c r="AW73" s="103"/>
    </row>
    <row r="74" spans="2:49">
      <c r="B74" s="1" t="s">
        <v>93</v>
      </c>
      <c r="G74" s="59">
        <f ca="1">SUM(G70:G73)+G68</f>
        <v>2603.2200000000003</v>
      </c>
      <c r="H74" s="32">
        <f ca="1">SUM(H70:H73)+H68</f>
        <v>2603.2200000000003</v>
      </c>
      <c r="J74" s="13">
        <f t="shared" ref="J74:O74" si="48">SUM(J70:J73)+J68</f>
        <v>2655.1930000000002</v>
      </c>
      <c r="K74" s="13">
        <f t="shared" si="48"/>
        <v>2707.5050000000001</v>
      </c>
      <c r="L74" s="13">
        <f t="shared" si="48"/>
        <v>2836.6210000000005</v>
      </c>
      <c r="M74" s="13">
        <f t="shared" si="48"/>
        <v>2510.2809999999999</v>
      </c>
      <c r="N74" s="13">
        <f t="shared" si="48"/>
        <v>2509.7560000000003</v>
      </c>
      <c r="O74" s="13">
        <f t="shared" si="48"/>
        <v>2535.52</v>
      </c>
      <c r="P74" s="102"/>
      <c r="R74" s="13">
        <f t="shared" ref="R74:AQ74" si="49">SUM(R70:R73)+R68</f>
        <v>2572.6320000000001</v>
      </c>
      <c r="S74" s="13">
        <f t="shared" si="49"/>
        <v>2641.585</v>
      </c>
      <c r="T74" s="13">
        <f t="shared" si="49"/>
        <v>2621.1839999999997</v>
      </c>
      <c r="U74" s="13">
        <f t="shared" si="49"/>
        <v>2655.1930000000002</v>
      </c>
      <c r="V74" s="13">
        <f t="shared" si="49"/>
        <v>3035.2840000000001</v>
      </c>
      <c r="W74" s="13">
        <f t="shared" si="49"/>
        <v>2910.7179999999994</v>
      </c>
      <c r="X74" s="13">
        <f t="shared" si="49"/>
        <v>2753.3869999999997</v>
      </c>
      <c r="Y74" s="13">
        <f t="shared" si="49"/>
        <v>2707.5050000000001</v>
      </c>
      <c r="Z74" s="13">
        <f t="shared" si="49"/>
        <v>3013.05</v>
      </c>
      <c r="AA74" s="13">
        <f t="shared" si="49"/>
        <v>2965.027</v>
      </c>
      <c r="AB74" s="13">
        <f t="shared" si="49"/>
        <v>2902.7530000000002</v>
      </c>
      <c r="AC74" s="13">
        <f t="shared" si="49"/>
        <v>2836.6210000000005</v>
      </c>
      <c r="AD74" s="13">
        <f t="shared" si="49"/>
        <v>2699.3419999999996</v>
      </c>
      <c r="AE74" s="13">
        <f t="shared" si="49"/>
        <v>2662.4859999999999</v>
      </c>
      <c r="AF74" s="13">
        <f t="shared" si="49"/>
        <v>2543.6579999999999</v>
      </c>
      <c r="AG74" s="13">
        <f t="shared" si="49"/>
        <v>2510.2809999999999</v>
      </c>
      <c r="AH74" s="13">
        <f t="shared" si="49"/>
        <v>2470.9270000000001</v>
      </c>
      <c r="AI74" s="13">
        <f t="shared" si="49"/>
        <v>2475.4119999999998</v>
      </c>
      <c r="AJ74" s="13">
        <f t="shared" si="49"/>
        <v>2480.9349999999999</v>
      </c>
      <c r="AK74" s="13">
        <f t="shared" si="49"/>
        <v>2509.7560000000003</v>
      </c>
      <c r="AL74" s="13">
        <f t="shared" si="49"/>
        <v>2489.6080000000002</v>
      </c>
      <c r="AM74" s="13">
        <f t="shared" si="49"/>
        <v>2461.77</v>
      </c>
      <c r="AN74" s="13">
        <f t="shared" si="49"/>
        <v>2524.7980000000002</v>
      </c>
      <c r="AO74" s="13">
        <f t="shared" si="49"/>
        <v>2535.52</v>
      </c>
      <c r="AP74" s="13">
        <f t="shared" si="49"/>
        <v>2559.096</v>
      </c>
      <c r="AQ74" s="13">
        <f t="shared" si="49"/>
        <v>2603.2200000000003</v>
      </c>
      <c r="AR74" s="102"/>
      <c r="AS74" s="102"/>
      <c r="AT74" s="102"/>
      <c r="AU74" s="102"/>
      <c r="AV74" s="102"/>
      <c r="AW74" s="102"/>
    </row>
    <row r="75" spans="2:49">
      <c r="B75" s="1"/>
      <c r="F75" s="66"/>
      <c r="G75" s="59"/>
      <c r="H75" s="32"/>
      <c r="J75" s="13"/>
      <c r="K75" s="13"/>
      <c r="L75" s="13"/>
      <c r="M75" s="13"/>
      <c r="N75" s="13"/>
      <c r="O75" s="13"/>
      <c r="P75" s="102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02"/>
      <c r="AS75" s="102"/>
      <c r="AT75" s="102"/>
      <c r="AU75" s="102"/>
      <c r="AV75" s="102"/>
      <c r="AW75" s="102"/>
    </row>
    <row r="76" spans="2:49">
      <c r="B76" s="3" t="s">
        <v>94</v>
      </c>
      <c r="G76" s="63">
        <f ca="1">G70+G67-G48</f>
        <v>1139.5439999999999</v>
      </c>
      <c r="H76" s="51">
        <f ca="1">H70+H67-H48</f>
        <v>1139.5439999999999</v>
      </c>
      <c r="J76" s="26">
        <f t="shared" ref="J76:O76" si="50">J70+J67-J48</f>
        <v>1482.4920000000002</v>
      </c>
      <c r="K76" s="26">
        <f t="shared" si="50"/>
        <v>1387.9959999999999</v>
      </c>
      <c r="L76" s="26">
        <f t="shared" si="50"/>
        <v>1433.614</v>
      </c>
      <c r="M76" s="26">
        <f t="shared" si="50"/>
        <v>1199.3899999999999</v>
      </c>
      <c r="N76" s="26">
        <f t="shared" si="50"/>
        <v>1115.0540000000001</v>
      </c>
      <c r="O76" s="26">
        <f t="shared" si="50"/>
        <v>1110.527</v>
      </c>
      <c r="P76" s="102"/>
      <c r="R76" s="26">
        <f t="shared" ref="R76:AQ76" si="51">R70+R62-R48</f>
        <v>1416.2840000000001</v>
      </c>
      <c r="S76" s="26">
        <f t="shared" si="51"/>
        <v>1438.3319999999999</v>
      </c>
      <c r="T76" s="26">
        <f t="shared" si="51"/>
        <v>1396.3140000000001</v>
      </c>
      <c r="U76" s="26">
        <f t="shared" si="51"/>
        <v>1402.3880000000001</v>
      </c>
      <c r="V76" s="26">
        <f t="shared" si="51"/>
        <v>1660.1850000000002</v>
      </c>
      <c r="W76" s="26">
        <f t="shared" si="51"/>
        <v>1572.1849999999999</v>
      </c>
      <c r="X76" s="26">
        <f t="shared" si="51"/>
        <v>1425.0070000000001</v>
      </c>
      <c r="Y76" s="26">
        <f t="shared" si="51"/>
        <v>1345.03</v>
      </c>
      <c r="Z76" s="26">
        <f t="shared" si="51"/>
        <v>1379.9050000000002</v>
      </c>
      <c r="AA76" s="26">
        <f t="shared" si="51"/>
        <v>1534.3680000000002</v>
      </c>
      <c r="AB76" s="26">
        <f t="shared" si="51"/>
        <v>1458.758</v>
      </c>
      <c r="AC76" s="26">
        <f t="shared" si="51"/>
        <v>1388.248</v>
      </c>
      <c r="AD76" s="26">
        <f t="shared" si="51"/>
        <v>1297.0049999999999</v>
      </c>
      <c r="AE76" s="26">
        <f t="shared" si="51"/>
        <v>1222.627</v>
      </c>
      <c r="AF76" s="26">
        <f t="shared" si="51"/>
        <v>1153.799</v>
      </c>
      <c r="AG76" s="26">
        <f t="shared" si="51"/>
        <v>1128.5539999999999</v>
      </c>
      <c r="AH76" s="26">
        <f t="shared" si="51"/>
        <v>1122.337</v>
      </c>
      <c r="AI76" s="26">
        <f t="shared" si="51"/>
        <v>1110.9509999999998</v>
      </c>
      <c r="AJ76" s="26">
        <f t="shared" si="51"/>
        <v>1081.4679999999998</v>
      </c>
      <c r="AK76" s="26">
        <f t="shared" si="51"/>
        <v>999.04099999999994</v>
      </c>
      <c r="AL76" s="26">
        <f t="shared" si="51"/>
        <v>1052.9419999999998</v>
      </c>
      <c r="AM76" s="26">
        <f t="shared" si="51"/>
        <v>961.798</v>
      </c>
      <c r="AN76" s="26">
        <f t="shared" si="51"/>
        <v>1025.74</v>
      </c>
      <c r="AO76" s="26">
        <f t="shared" si="51"/>
        <v>984.01800000000003</v>
      </c>
      <c r="AP76" s="26">
        <f t="shared" si="51"/>
        <v>985.24899999999991</v>
      </c>
      <c r="AQ76" s="26">
        <f t="shared" si="51"/>
        <v>994.55</v>
      </c>
      <c r="AR76" s="102"/>
      <c r="AS76" s="102"/>
      <c r="AT76" s="102"/>
      <c r="AU76" s="102"/>
      <c r="AV76" s="102"/>
      <c r="AW76" s="102"/>
    </row>
    <row r="77" spans="2:49">
      <c r="B77" s="3" t="s">
        <v>95</v>
      </c>
      <c r="G77" s="63">
        <f ca="1">G49+G50+G51+G52-G63-G64-G65-G67</f>
        <v>470.82099999999986</v>
      </c>
      <c r="H77" s="51">
        <f ca="1">H49+H50+H51+H52-H63-H64-H65-H67</f>
        <v>470.82099999999986</v>
      </c>
      <c r="J77" s="26">
        <f t="shared" ref="J77:O77" si="52">J49+J50+J51+J52-J63-J64-J65-J67</f>
        <v>480.92599999999999</v>
      </c>
      <c r="K77" s="26">
        <f t="shared" si="52"/>
        <v>406.06700000000001</v>
      </c>
      <c r="L77" s="26">
        <f t="shared" si="52"/>
        <v>534.39099999999985</v>
      </c>
      <c r="M77" s="26">
        <f t="shared" si="52"/>
        <v>461.1160000000001</v>
      </c>
      <c r="N77" s="26">
        <f t="shared" si="52"/>
        <v>528.72099999999978</v>
      </c>
      <c r="O77" s="26">
        <f t="shared" si="52"/>
        <v>468.197</v>
      </c>
      <c r="P77" s="102"/>
      <c r="R77" s="26">
        <f t="shared" ref="R77:AQ77" si="53">R49+R50+R51+R52-R63-R64-R65-R67</f>
        <v>518.51300000000015</v>
      </c>
      <c r="S77" s="26">
        <f t="shared" si="53"/>
        <v>474.83300000000003</v>
      </c>
      <c r="T77" s="26">
        <f t="shared" si="53"/>
        <v>483.48499999999984</v>
      </c>
      <c r="U77" s="26">
        <f t="shared" si="53"/>
        <v>480.92599999999999</v>
      </c>
      <c r="V77" s="26">
        <f t="shared" si="53"/>
        <v>556.8420000000001</v>
      </c>
      <c r="W77" s="26">
        <f t="shared" si="53"/>
        <v>535.13900000000024</v>
      </c>
      <c r="X77" s="26">
        <f t="shared" si="53"/>
        <v>461.13299999999992</v>
      </c>
      <c r="Y77" s="26">
        <f t="shared" si="53"/>
        <v>406.06700000000001</v>
      </c>
      <c r="Z77" s="26">
        <f t="shared" si="53"/>
        <v>575.02999999999986</v>
      </c>
      <c r="AA77" s="26">
        <f t="shared" si="53"/>
        <v>524.91500000000008</v>
      </c>
      <c r="AB77" s="26">
        <f t="shared" si="53"/>
        <v>523.76800000000014</v>
      </c>
      <c r="AC77" s="26">
        <f t="shared" si="53"/>
        <v>534.39099999999985</v>
      </c>
      <c r="AD77" s="26">
        <f t="shared" si="53"/>
        <v>485.89699999999999</v>
      </c>
      <c r="AE77" s="26">
        <f t="shared" si="53"/>
        <v>445.24900000000014</v>
      </c>
      <c r="AF77" s="26">
        <f t="shared" si="53"/>
        <v>446.81300000000005</v>
      </c>
      <c r="AG77" s="26">
        <f t="shared" si="53"/>
        <v>461.1160000000001</v>
      </c>
      <c r="AH77" s="26">
        <f t="shared" si="53"/>
        <v>506.64899999999989</v>
      </c>
      <c r="AI77" s="26">
        <f t="shared" si="53"/>
        <v>524.65200000000004</v>
      </c>
      <c r="AJ77" s="26">
        <f t="shared" si="53"/>
        <v>555.92400000000009</v>
      </c>
      <c r="AK77" s="26">
        <f t="shared" si="53"/>
        <v>528.72099999999978</v>
      </c>
      <c r="AL77" s="26">
        <f t="shared" si="53"/>
        <v>595.74700000000018</v>
      </c>
      <c r="AM77" s="26">
        <f t="shared" si="53"/>
        <v>516.3370000000001</v>
      </c>
      <c r="AN77" s="26">
        <f t="shared" si="53"/>
        <v>559.38099999999986</v>
      </c>
      <c r="AO77" s="26">
        <f t="shared" si="53"/>
        <v>468.197</v>
      </c>
      <c r="AP77" s="26">
        <f t="shared" si="53"/>
        <v>491.11200000000002</v>
      </c>
      <c r="AQ77" s="26">
        <f t="shared" si="53"/>
        <v>470.82099999999986</v>
      </c>
      <c r="AR77" s="102"/>
      <c r="AS77" s="102"/>
      <c r="AT77" s="102"/>
      <c r="AU77" s="102"/>
      <c r="AV77" s="102"/>
      <c r="AW77" s="102"/>
    </row>
    <row r="78" spans="2:49">
      <c r="G78" s="104"/>
      <c r="H78" s="30"/>
      <c r="P78" s="102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2"/>
      <c r="AS78" s="102"/>
      <c r="AT78" s="102"/>
      <c r="AU78" s="102"/>
      <c r="AV78" s="102"/>
      <c r="AW78" s="102"/>
    </row>
    <row r="79" spans="2:49">
      <c r="B79" t="s">
        <v>96</v>
      </c>
      <c r="G79" s="57">
        <f ca="1">OFFSET(R79,0,MATCH($G$2,$R$3:$AW$3,0)-1)</f>
        <v>3261.4569999999999</v>
      </c>
      <c r="H79" s="33">
        <f ca="1">G79</f>
        <v>3261.4569999999999</v>
      </c>
      <c r="J79" s="9">
        <f>U79</f>
        <v>3213.1869999999999</v>
      </c>
      <c r="K79" s="9">
        <f>Y79</f>
        <v>3368.623</v>
      </c>
      <c r="L79" s="9">
        <f>AC79</f>
        <v>3084.306</v>
      </c>
      <c r="M79" s="9">
        <f>AG79</f>
        <v>2886.3240000000001</v>
      </c>
      <c r="N79" s="9">
        <f>AK79</f>
        <v>3042.877</v>
      </c>
      <c r="O79" s="9">
        <f>AO79</f>
        <v>3185.431</v>
      </c>
      <c r="P79" s="102"/>
      <c r="R79" s="10">
        <v>3138.4949999999999</v>
      </c>
      <c r="S79" s="10">
        <v>3184.35</v>
      </c>
      <c r="T79" s="10">
        <v>3229.9110000000001</v>
      </c>
      <c r="U79" s="10">
        <v>3213.1869999999999</v>
      </c>
      <c r="V79" s="10">
        <v>3262.3359999999998</v>
      </c>
      <c r="W79" s="10">
        <v>3319.154</v>
      </c>
      <c r="X79" s="10">
        <v>3371.5210000000002</v>
      </c>
      <c r="Y79" s="10">
        <v>3368.623</v>
      </c>
      <c r="Z79" s="10">
        <v>3121.482</v>
      </c>
      <c r="AA79" s="10">
        <v>3048.8530000000001</v>
      </c>
      <c r="AB79" s="10">
        <v>3075.2629999999999</v>
      </c>
      <c r="AC79" s="10">
        <v>3084.306</v>
      </c>
      <c r="AD79" s="10">
        <v>3085.2669999999998</v>
      </c>
      <c r="AE79" s="10">
        <v>3101.69</v>
      </c>
      <c r="AF79" s="10">
        <v>2843.7460000000001</v>
      </c>
      <c r="AG79" s="10">
        <v>2886.3240000000001</v>
      </c>
      <c r="AH79" s="10">
        <v>2911.855</v>
      </c>
      <c r="AI79" s="10">
        <v>2927.3870000000002</v>
      </c>
      <c r="AJ79" s="10">
        <v>2973.0569999999998</v>
      </c>
      <c r="AK79" s="10">
        <v>3042.877</v>
      </c>
      <c r="AL79" s="10">
        <v>3082.9259999999999</v>
      </c>
      <c r="AM79" s="10">
        <v>3110.6439999999998</v>
      </c>
      <c r="AN79" s="10">
        <v>3156.8919999999998</v>
      </c>
      <c r="AO79" s="10">
        <v>3185.431</v>
      </c>
      <c r="AP79" s="10">
        <v>3215.6480000000001</v>
      </c>
      <c r="AQ79" s="10">
        <v>3261.4569999999999</v>
      </c>
      <c r="AR79" s="102"/>
      <c r="AS79" s="102"/>
      <c r="AT79" s="102"/>
      <c r="AU79" s="102"/>
      <c r="AV79" s="102"/>
      <c r="AW79" s="102"/>
    </row>
    <row r="80" spans="2:49">
      <c r="B80" s="7" t="s">
        <v>97</v>
      </c>
      <c r="C80" s="7"/>
      <c r="D80" s="7"/>
      <c r="E80" s="7"/>
      <c r="F80" s="7"/>
      <c r="G80" s="58">
        <f ca="1">OFFSET(R80,0,MATCH($G$2,$R$3:$AW$3,0)-1)</f>
        <v>1.2210000000000001</v>
      </c>
      <c r="H80" s="46">
        <f ca="1">G80</f>
        <v>1.2210000000000001</v>
      </c>
      <c r="I80" s="7"/>
      <c r="J80" s="11">
        <f>U80</f>
        <v>3.2370000000000001</v>
      </c>
      <c r="K80" s="11">
        <f>Y80</f>
        <v>2.9689999999999999</v>
      </c>
      <c r="L80" s="11">
        <f>AC80</f>
        <v>3.2469999999999999</v>
      </c>
      <c r="M80" s="11">
        <f>AG80</f>
        <v>2.4580000000000002</v>
      </c>
      <c r="N80" s="11">
        <f>AK80</f>
        <v>2.2909999999999999</v>
      </c>
      <c r="O80" s="11">
        <f>AO80</f>
        <v>1.246</v>
      </c>
      <c r="P80" s="103"/>
      <c r="Q80" s="7"/>
      <c r="R80" s="12">
        <v>3.3730000000000002</v>
      </c>
      <c r="S80" s="12">
        <v>3.3730000000000002</v>
      </c>
      <c r="T80" s="12">
        <v>3.2370000000000001</v>
      </c>
      <c r="U80" s="12">
        <v>3.2370000000000001</v>
      </c>
      <c r="V80" s="12">
        <v>3.0720000000000001</v>
      </c>
      <c r="W80" s="12">
        <v>3.0179999999999998</v>
      </c>
      <c r="X80" s="12">
        <v>2.9769999999999999</v>
      </c>
      <c r="Y80" s="12">
        <v>2.9689999999999999</v>
      </c>
      <c r="Z80" s="12">
        <v>3.0449999999999999</v>
      </c>
      <c r="AA80" s="12">
        <v>3.1040000000000001</v>
      </c>
      <c r="AB80" s="12">
        <v>3.1040000000000001</v>
      </c>
      <c r="AC80" s="12">
        <v>3.2469999999999999</v>
      </c>
      <c r="AD80" s="12">
        <v>3.4769999999999999</v>
      </c>
      <c r="AE80" s="12">
        <v>3.6389999999999998</v>
      </c>
      <c r="AF80" s="12">
        <v>2.4780000000000002</v>
      </c>
      <c r="AG80" s="12">
        <v>2.4580000000000002</v>
      </c>
      <c r="AH80" s="12">
        <v>2.41</v>
      </c>
      <c r="AI80" s="12">
        <v>2.3570000000000002</v>
      </c>
      <c r="AJ80" s="12">
        <v>2.306</v>
      </c>
      <c r="AK80" s="12">
        <v>2.2909999999999999</v>
      </c>
      <c r="AL80" s="12">
        <v>2.214</v>
      </c>
      <c r="AM80" s="12">
        <v>2.165</v>
      </c>
      <c r="AN80" s="12">
        <v>1.19</v>
      </c>
      <c r="AO80" s="12">
        <v>1.246</v>
      </c>
      <c r="AP80" s="12">
        <v>1.093</v>
      </c>
      <c r="AQ80" s="12">
        <v>1.2210000000000001</v>
      </c>
      <c r="AR80" s="103"/>
      <c r="AS80" s="103"/>
      <c r="AT80" s="103"/>
      <c r="AU80" s="103"/>
      <c r="AV80" s="103"/>
      <c r="AW80" s="103"/>
    </row>
    <row r="81" spans="1:49">
      <c r="B81" s="1" t="s">
        <v>98</v>
      </c>
      <c r="G81" s="59">
        <f ca="1">SUM(G79:G80)</f>
        <v>3262.6779999999999</v>
      </c>
      <c r="H81" s="32">
        <f ca="1">SUM(H79:H80)</f>
        <v>3262.6779999999999</v>
      </c>
      <c r="J81" s="13">
        <f t="shared" ref="J81:O81" si="54">SUM(J79:J80)</f>
        <v>3216.424</v>
      </c>
      <c r="K81" s="13">
        <f t="shared" si="54"/>
        <v>3371.5920000000001</v>
      </c>
      <c r="L81" s="13">
        <f t="shared" si="54"/>
        <v>3087.5529999999999</v>
      </c>
      <c r="M81" s="13">
        <f t="shared" si="54"/>
        <v>2888.7820000000002</v>
      </c>
      <c r="N81" s="13">
        <f t="shared" si="54"/>
        <v>3045.1680000000001</v>
      </c>
      <c r="O81" s="13">
        <f t="shared" si="54"/>
        <v>3186.6770000000001</v>
      </c>
      <c r="P81" s="102"/>
      <c r="R81" s="18">
        <f t="shared" ref="R81:AQ81" si="55">SUM(R79:R80)</f>
        <v>3141.8679999999999</v>
      </c>
      <c r="S81" s="18">
        <f t="shared" si="55"/>
        <v>3187.723</v>
      </c>
      <c r="T81" s="18">
        <f t="shared" si="55"/>
        <v>3233.1480000000001</v>
      </c>
      <c r="U81" s="18">
        <f t="shared" si="55"/>
        <v>3216.424</v>
      </c>
      <c r="V81" s="18">
        <f t="shared" si="55"/>
        <v>3265.4079999999999</v>
      </c>
      <c r="W81" s="18">
        <f t="shared" si="55"/>
        <v>3322.172</v>
      </c>
      <c r="X81" s="18">
        <f t="shared" si="55"/>
        <v>3374.498</v>
      </c>
      <c r="Y81" s="18">
        <f t="shared" si="55"/>
        <v>3371.5920000000001</v>
      </c>
      <c r="Z81" s="18">
        <f t="shared" si="55"/>
        <v>3124.527</v>
      </c>
      <c r="AA81" s="18">
        <f t="shared" si="55"/>
        <v>3051.9569999999999</v>
      </c>
      <c r="AB81" s="18">
        <f t="shared" si="55"/>
        <v>3078.3669999999997</v>
      </c>
      <c r="AC81" s="18">
        <f t="shared" si="55"/>
        <v>3087.5529999999999</v>
      </c>
      <c r="AD81" s="18">
        <f t="shared" si="55"/>
        <v>3088.7439999999997</v>
      </c>
      <c r="AE81" s="18">
        <f t="shared" si="55"/>
        <v>3105.3290000000002</v>
      </c>
      <c r="AF81" s="18">
        <f t="shared" si="55"/>
        <v>2846.2240000000002</v>
      </c>
      <c r="AG81" s="18">
        <f t="shared" si="55"/>
        <v>2888.7820000000002</v>
      </c>
      <c r="AH81" s="18">
        <f t="shared" si="55"/>
        <v>2914.2649999999999</v>
      </c>
      <c r="AI81" s="18">
        <f t="shared" si="55"/>
        <v>2929.7440000000001</v>
      </c>
      <c r="AJ81" s="18">
        <f t="shared" si="55"/>
        <v>2975.3629999999998</v>
      </c>
      <c r="AK81" s="18">
        <f t="shared" si="55"/>
        <v>3045.1680000000001</v>
      </c>
      <c r="AL81" s="18">
        <f t="shared" si="55"/>
        <v>3085.14</v>
      </c>
      <c r="AM81" s="18">
        <f t="shared" si="55"/>
        <v>3112.8089999999997</v>
      </c>
      <c r="AN81" s="18">
        <f t="shared" si="55"/>
        <v>3158.0819999999999</v>
      </c>
      <c r="AO81" s="18">
        <f t="shared" si="55"/>
        <v>3186.6770000000001</v>
      </c>
      <c r="AP81" s="18">
        <f t="shared" si="55"/>
        <v>3216.741</v>
      </c>
      <c r="AQ81" s="18">
        <f t="shared" si="55"/>
        <v>3262.6779999999999</v>
      </c>
      <c r="AR81" s="102"/>
      <c r="AS81" s="102"/>
      <c r="AT81" s="102"/>
      <c r="AU81" s="102"/>
      <c r="AV81" s="102"/>
      <c r="AW81" s="102"/>
    </row>
    <row r="82" spans="1:49">
      <c r="G82" s="104"/>
      <c r="H82" s="30"/>
      <c r="P82" s="102"/>
      <c r="AR82" s="102"/>
      <c r="AS82" s="102"/>
      <c r="AT82" s="102"/>
      <c r="AU82" s="102"/>
      <c r="AV82" s="102"/>
      <c r="AW82" s="102"/>
    </row>
    <row r="83" spans="1:49">
      <c r="B83" s="1" t="s">
        <v>99</v>
      </c>
      <c r="G83" s="59">
        <f ca="1">SUM(G81,G74)</f>
        <v>5865.8980000000001</v>
      </c>
      <c r="H83" s="32">
        <f ca="1">SUM(H81,H74)</f>
        <v>5865.8980000000001</v>
      </c>
      <c r="J83" s="13">
        <f t="shared" ref="J83:O83" si="56">SUM(J81,J74)</f>
        <v>5871.6170000000002</v>
      </c>
      <c r="K83" s="13">
        <f t="shared" si="56"/>
        <v>6079.0969999999998</v>
      </c>
      <c r="L83" s="13">
        <f t="shared" si="56"/>
        <v>5924.1740000000009</v>
      </c>
      <c r="M83" s="13">
        <f t="shared" si="56"/>
        <v>5399.0630000000001</v>
      </c>
      <c r="N83" s="13">
        <f t="shared" si="56"/>
        <v>5554.9240000000009</v>
      </c>
      <c r="O83" s="13">
        <f t="shared" si="56"/>
        <v>5722.1970000000001</v>
      </c>
      <c r="P83" s="102"/>
      <c r="R83" s="13">
        <f t="shared" ref="R83:AQ83" si="57">SUM(R81,R74)</f>
        <v>5714.5</v>
      </c>
      <c r="S83" s="13">
        <f t="shared" si="57"/>
        <v>5829.308</v>
      </c>
      <c r="T83" s="13">
        <f t="shared" si="57"/>
        <v>5854.3320000000003</v>
      </c>
      <c r="U83" s="13">
        <f t="shared" si="57"/>
        <v>5871.6170000000002</v>
      </c>
      <c r="V83" s="13">
        <f t="shared" si="57"/>
        <v>6300.692</v>
      </c>
      <c r="W83" s="13">
        <f t="shared" si="57"/>
        <v>6232.8899999999994</v>
      </c>
      <c r="X83" s="13">
        <f t="shared" si="57"/>
        <v>6127.8850000000002</v>
      </c>
      <c r="Y83" s="13">
        <f t="shared" si="57"/>
        <v>6079.0969999999998</v>
      </c>
      <c r="Z83" s="13">
        <f t="shared" si="57"/>
        <v>6137.5770000000002</v>
      </c>
      <c r="AA83" s="13">
        <f t="shared" si="57"/>
        <v>6016.9840000000004</v>
      </c>
      <c r="AB83" s="13">
        <f t="shared" si="57"/>
        <v>5981.12</v>
      </c>
      <c r="AC83" s="13">
        <f t="shared" si="57"/>
        <v>5924.1740000000009</v>
      </c>
      <c r="AD83" s="13">
        <f t="shared" si="57"/>
        <v>5788.0859999999993</v>
      </c>
      <c r="AE83" s="13">
        <f t="shared" si="57"/>
        <v>5767.8150000000005</v>
      </c>
      <c r="AF83" s="13">
        <f t="shared" si="57"/>
        <v>5389.8819999999996</v>
      </c>
      <c r="AG83" s="13">
        <f t="shared" si="57"/>
        <v>5399.0630000000001</v>
      </c>
      <c r="AH83" s="13">
        <f t="shared" si="57"/>
        <v>5385.192</v>
      </c>
      <c r="AI83" s="13">
        <f t="shared" si="57"/>
        <v>5405.1559999999999</v>
      </c>
      <c r="AJ83" s="13">
        <f t="shared" si="57"/>
        <v>5456.2979999999998</v>
      </c>
      <c r="AK83" s="13">
        <f t="shared" si="57"/>
        <v>5554.9240000000009</v>
      </c>
      <c r="AL83" s="13">
        <f t="shared" si="57"/>
        <v>5574.7479999999996</v>
      </c>
      <c r="AM83" s="13">
        <f t="shared" si="57"/>
        <v>5574.5789999999997</v>
      </c>
      <c r="AN83" s="13">
        <f t="shared" si="57"/>
        <v>5682.88</v>
      </c>
      <c r="AO83" s="13">
        <f t="shared" si="57"/>
        <v>5722.1970000000001</v>
      </c>
      <c r="AP83" s="13">
        <f t="shared" si="57"/>
        <v>5775.8369999999995</v>
      </c>
      <c r="AQ83" s="13">
        <f t="shared" si="57"/>
        <v>5865.8980000000001</v>
      </c>
      <c r="AR83" s="102"/>
      <c r="AS83" s="102"/>
      <c r="AT83" s="102"/>
      <c r="AU83" s="102"/>
      <c r="AV83" s="102"/>
      <c r="AW83" s="102"/>
    </row>
    <row r="84" spans="1:49">
      <c r="B84" s="20" t="s">
        <v>100</v>
      </c>
      <c r="G84" s="64" t="str">
        <f ca="1">IF(ROUND(G83-G60,0)=0,"OK",G83-G60)</f>
        <v>OK</v>
      </c>
      <c r="H84" s="52" t="str">
        <f ca="1">IF(ROUND(H83-H60,0)=0,"OK",H83-H60)</f>
        <v>OK</v>
      </c>
      <c r="J84" s="19" t="str">
        <f t="shared" ref="J84:O84" si="58">IF(ROUND(J83-J60,1)=0,"OK",J83-J60)</f>
        <v>OK</v>
      </c>
      <c r="K84" s="19" t="str">
        <f t="shared" si="58"/>
        <v>OK</v>
      </c>
      <c r="L84" s="19" t="str">
        <f t="shared" si="58"/>
        <v>OK</v>
      </c>
      <c r="M84" s="19" t="str">
        <f t="shared" si="58"/>
        <v>OK</v>
      </c>
      <c r="N84" s="19" t="str">
        <f t="shared" si="58"/>
        <v>OK</v>
      </c>
      <c r="O84" s="19" t="str">
        <f t="shared" si="58"/>
        <v>OK</v>
      </c>
      <c r="P84" s="102"/>
      <c r="R84" s="19" t="str">
        <f t="shared" ref="R84:AQ84" si="59">IF(ROUND(R83-R60,1)=0,"OK",R83-R60)</f>
        <v>OK</v>
      </c>
      <c r="S84" s="19" t="str">
        <f t="shared" si="59"/>
        <v>OK</v>
      </c>
      <c r="T84" s="19" t="str">
        <f t="shared" si="59"/>
        <v>OK</v>
      </c>
      <c r="U84" s="19" t="str">
        <f t="shared" si="59"/>
        <v>OK</v>
      </c>
      <c r="V84" s="19" t="str">
        <f t="shared" si="59"/>
        <v>OK</v>
      </c>
      <c r="W84" s="19" t="str">
        <f t="shared" si="59"/>
        <v>OK</v>
      </c>
      <c r="X84" s="19" t="str">
        <f t="shared" si="59"/>
        <v>OK</v>
      </c>
      <c r="Y84" s="19" t="str">
        <f t="shared" si="59"/>
        <v>OK</v>
      </c>
      <c r="Z84" s="19" t="str">
        <f t="shared" si="59"/>
        <v>OK</v>
      </c>
      <c r="AA84" s="19" t="str">
        <f t="shared" si="59"/>
        <v>OK</v>
      </c>
      <c r="AB84" s="19" t="str">
        <f t="shared" si="59"/>
        <v>OK</v>
      </c>
      <c r="AC84" s="19" t="str">
        <f t="shared" si="59"/>
        <v>OK</v>
      </c>
      <c r="AD84" s="19" t="str">
        <f t="shared" si="59"/>
        <v>OK</v>
      </c>
      <c r="AE84" s="19" t="str">
        <f t="shared" si="59"/>
        <v>OK</v>
      </c>
      <c r="AF84" s="19" t="str">
        <f t="shared" si="59"/>
        <v>OK</v>
      </c>
      <c r="AG84" s="19" t="str">
        <f t="shared" si="59"/>
        <v>OK</v>
      </c>
      <c r="AH84" s="19" t="str">
        <f t="shared" si="59"/>
        <v>OK</v>
      </c>
      <c r="AI84" s="19" t="str">
        <f t="shared" si="59"/>
        <v>OK</v>
      </c>
      <c r="AJ84" s="19" t="str">
        <f t="shared" si="59"/>
        <v>OK</v>
      </c>
      <c r="AK84" s="19" t="str">
        <f t="shared" si="59"/>
        <v>OK</v>
      </c>
      <c r="AL84" s="19" t="str">
        <f t="shared" si="59"/>
        <v>OK</v>
      </c>
      <c r="AM84" s="19" t="str">
        <f t="shared" si="59"/>
        <v>OK</v>
      </c>
      <c r="AN84" s="19" t="str">
        <f t="shared" si="59"/>
        <v>OK</v>
      </c>
      <c r="AO84" s="19" t="str">
        <f t="shared" si="59"/>
        <v>OK</v>
      </c>
      <c r="AP84" s="19" t="str">
        <f t="shared" si="59"/>
        <v>OK</v>
      </c>
      <c r="AQ84" s="19" t="str">
        <f t="shared" si="59"/>
        <v>OK</v>
      </c>
      <c r="AR84" s="102"/>
      <c r="AS84" s="102"/>
      <c r="AT84" s="102"/>
      <c r="AU84" s="102"/>
      <c r="AV84" s="102"/>
      <c r="AW84" s="102"/>
    </row>
    <row r="85" spans="1:49">
      <c r="G85" s="104"/>
      <c r="H85" s="30"/>
      <c r="P85" s="102"/>
      <c r="AR85" s="102"/>
      <c r="AS85" s="102"/>
      <c r="AT85" s="102"/>
      <c r="AU85" s="102"/>
      <c r="AV85" s="102"/>
      <c r="AW85" s="102"/>
    </row>
    <row r="86" spans="1:49" ht="15" customHeight="1">
      <c r="A86" s="22" t="s">
        <v>38</v>
      </c>
      <c r="B86" s="22" t="s">
        <v>101</v>
      </c>
      <c r="C86" s="23"/>
      <c r="D86" s="23"/>
      <c r="E86" s="23"/>
      <c r="F86" s="23"/>
      <c r="G86" s="55"/>
      <c r="H86" s="45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>
      <c r="G87" s="104"/>
      <c r="H87" s="30"/>
      <c r="P87" s="102"/>
      <c r="AR87" s="102"/>
      <c r="AS87" s="102"/>
      <c r="AT87" s="102"/>
      <c r="AU87" s="102"/>
      <c r="AV87" s="102"/>
      <c r="AW87" s="102"/>
    </row>
    <row r="88" spans="1:49">
      <c r="G88" s="104"/>
      <c r="H88" s="30"/>
      <c r="P88" s="102"/>
      <c r="AR88" s="102"/>
      <c r="AS88" s="102"/>
      <c r="AT88" s="102"/>
      <c r="AU88" s="102"/>
      <c r="AV88" s="102"/>
      <c r="AW88" s="102"/>
    </row>
    <row r="89" spans="1:49">
      <c r="B89" s="38" t="s">
        <v>102</v>
      </c>
      <c r="G89" s="104"/>
      <c r="H89" s="30"/>
      <c r="P89" s="102"/>
      <c r="AR89" s="102"/>
      <c r="AS89" s="102"/>
      <c r="AT89" s="102"/>
      <c r="AU89" s="102"/>
      <c r="AV89" s="102"/>
      <c r="AW89" s="102"/>
    </row>
    <row r="90" spans="1:49">
      <c r="B90" s="38"/>
      <c r="G90" s="104"/>
      <c r="H90" s="30"/>
      <c r="P90" s="102"/>
      <c r="AR90" s="102"/>
      <c r="AS90" s="102"/>
      <c r="AT90" s="102"/>
      <c r="AU90" s="102"/>
      <c r="AV90" s="102"/>
      <c r="AW90" s="102"/>
    </row>
    <row r="91" spans="1:49">
      <c r="B91" t="s">
        <v>40</v>
      </c>
      <c r="G91" s="57">
        <f ca="1">OFFSET(R91,0,MATCH($G$2,$R$3:$AW$3,0)-1)*4</f>
        <v>1939.232</v>
      </c>
      <c r="H91" s="33">
        <f ca="1">SUM(OFFSET(R91,0,MATCH($G$2,$R$3:$AW$3,0)-4),OFFSET(R91,0,MATCH($G$2,$R$3:$AW$3,0)-3),OFFSET(R91,0,MATCH($G$2,$R$3:$AW$3,0)-2),OFFSET(R91,0,MATCH($G$2,$R$3:$AW$3,0)-1))</f>
        <v>1842.7</v>
      </c>
      <c r="J91" s="9">
        <f>SUM(R91:U91)</f>
        <v>1483.143</v>
      </c>
      <c r="K91" s="9">
        <f>SUM(V91:Y91)</f>
        <v>1587.0819999999999</v>
      </c>
      <c r="L91" s="9">
        <f>SUM(Z91:AC91)</f>
        <v>1404.2649999999999</v>
      </c>
      <c r="M91" s="9">
        <f>SUM(AD91:AG91)</f>
        <v>1322.9179999999999</v>
      </c>
      <c r="N91" s="9">
        <f>SUM(AH91:AK91)</f>
        <v>1616.9670000000001</v>
      </c>
      <c r="O91" s="9">
        <f>SUM(AL91:AO91)</f>
        <v>1721.9370000000001</v>
      </c>
      <c r="P91" s="102"/>
      <c r="R91" s="68">
        <f t="shared" ref="R91:AQ91" si="60">R7</f>
        <v>340.40300000000002</v>
      </c>
      <c r="S91" s="68">
        <f t="shared" si="60"/>
        <v>378.16300000000001</v>
      </c>
      <c r="T91" s="68">
        <f t="shared" si="60"/>
        <v>382.04</v>
      </c>
      <c r="U91" s="68">
        <f t="shared" si="60"/>
        <v>382.53699999999998</v>
      </c>
      <c r="V91" s="68">
        <f t="shared" si="60"/>
        <v>368.12099999999998</v>
      </c>
      <c r="W91" s="68">
        <f t="shared" si="60"/>
        <v>404.286</v>
      </c>
      <c r="X91" s="68">
        <f t="shared" si="60"/>
        <v>412.66500000000002</v>
      </c>
      <c r="Y91" s="68">
        <f t="shared" si="60"/>
        <v>402.01</v>
      </c>
      <c r="Z91" s="68">
        <f t="shared" si="60"/>
        <v>403.25700000000001</v>
      </c>
      <c r="AA91" s="68">
        <f t="shared" si="60"/>
        <v>380.98700000000002</v>
      </c>
      <c r="AB91" s="68">
        <f t="shared" si="60"/>
        <v>320.60199999999998</v>
      </c>
      <c r="AC91" s="68">
        <f t="shared" si="60"/>
        <v>299.41899999999998</v>
      </c>
      <c r="AD91" s="68">
        <f t="shared" si="60"/>
        <v>300.95100000000002</v>
      </c>
      <c r="AE91" s="68">
        <f t="shared" si="60"/>
        <v>332.887</v>
      </c>
      <c r="AF91" s="68">
        <f t="shared" si="60"/>
        <v>338.51400000000001</v>
      </c>
      <c r="AG91" s="68">
        <f t="shared" si="60"/>
        <v>350.56599999999997</v>
      </c>
      <c r="AH91" s="68">
        <f t="shared" si="60"/>
        <v>355.536</v>
      </c>
      <c r="AI91" s="68">
        <f t="shared" si="60"/>
        <v>405.65499999999997</v>
      </c>
      <c r="AJ91" s="68">
        <f t="shared" si="60"/>
        <v>433.04</v>
      </c>
      <c r="AK91" s="68">
        <f t="shared" si="60"/>
        <v>422.73599999999999</v>
      </c>
      <c r="AL91" s="68">
        <f t="shared" si="60"/>
        <v>412.495</v>
      </c>
      <c r="AM91" s="68">
        <f t="shared" si="60"/>
        <v>426.96199999999999</v>
      </c>
      <c r="AN91" s="68">
        <f t="shared" si="60"/>
        <v>429.88499999999999</v>
      </c>
      <c r="AO91" s="68">
        <f t="shared" si="60"/>
        <v>452.59500000000003</v>
      </c>
      <c r="AP91" s="68">
        <f t="shared" si="60"/>
        <v>475.41199999999998</v>
      </c>
      <c r="AQ91" s="68">
        <f t="shared" si="60"/>
        <v>484.80799999999999</v>
      </c>
      <c r="AR91" s="102"/>
      <c r="AS91" s="102"/>
      <c r="AT91" s="102"/>
      <c r="AU91" s="102"/>
      <c r="AV91" s="102"/>
      <c r="AW91" s="102"/>
    </row>
    <row r="92" spans="1:49">
      <c r="B92" s="7" t="s">
        <v>103</v>
      </c>
      <c r="C92" s="7"/>
      <c r="D92" s="7"/>
      <c r="E92" s="7"/>
      <c r="F92" s="7"/>
      <c r="G92" s="58">
        <f ca="1">OFFSET(R92,0,MATCH($G$2,$R$3:$AW$3,0)-1)*4</f>
        <v>1358.328</v>
      </c>
      <c r="H92" s="46">
        <f ca="1">SUM(OFFSET(R92,0,MATCH($G$2,$R$3:$AW$3,0)-4),OFFSET(R92,0,MATCH($G$2,$R$3:$AW$3,0)-3),OFFSET(R92,0,MATCH($G$2,$R$3:$AW$3,0)-2),OFFSET(R92,0,MATCH($G$2,$R$3:$AW$3,0)-1))</f>
        <v>1353.66</v>
      </c>
      <c r="I92" s="7"/>
      <c r="J92" s="11">
        <f>SUM(R92:U92)</f>
        <v>1487.5540000000001</v>
      </c>
      <c r="K92" s="11">
        <f>SUM(V92:Y92)</f>
        <v>1251.317</v>
      </c>
      <c r="L92" s="11">
        <f>SUM(Z92:AC92)</f>
        <v>767.14300000000003</v>
      </c>
      <c r="M92" s="11">
        <f>SUM(AD92:AG92)</f>
        <v>923.74199999999996</v>
      </c>
      <c r="N92" s="11">
        <f>SUM(AH92:AK92)</f>
        <v>1167.787</v>
      </c>
      <c r="O92" s="11">
        <f>SUM(AL92:AO92)</f>
        <v>1369.703</v>
      </c>
      <c r="P92" s="103"/>
      <c r="Q92" s="7"/>
      <c r="R92" s="76">
        <f t="shared" ref="R92:AQ92" si="61">R8</f>
        <v>401.28500000000003</v>
      </c>
      <c r="S92" s="76">
        <f t="shared" si="61"/>
        <v>424.50799999999998</v>
      </c>
      <c r="T92" s="76">
        <f t="shared" si="61"/>
        <v>322.80500000000001</v>
      </c>
      <c r="U92" s="76">
        <f t="shared" si="61"/>
        <v>338.95600000000002</v>
      </c>
      <c r="V92" s="76">
        <f t="shared" si="61"/>
        <v>376.5</v>
      </c>
      <c r="W92" s="76">
        <f t="shared" si="61"/>
        <v>366.75599999999997</v>
      </c>
      <c r="X92" s="76">
        <f t="shared" si="61"/>
        <v>254.14400000000001</v>
      </c>
      <c r="Y92" s="76">
        <f t="shared" si="61"/>
        <v>253.917</v>
      </c>
      <c r="Z92" s="76">
        <f t="shared" si="61"/>
        <v>240.66900000000001</v>
      </c>
      <c r="AA92" s="76">
        <f t="shared" si="61"/>
        <v>160.172</v>
      </c>
      <c r="AB92" s="76">
        <f t="shared" si="61"/>
        <v>175.965</v>
      </c>
      <c r="AC92" s="76">
        <f t="shared" si="61"/>
        <v>190.33699999999999</v>
      </c>
      <c r="AD92" s="76">
        <f t="shared" si="61"/>
        <v>195.899</v>
      </c>
      <c r="AE92" s="76">
        <f t="shared" si="61"/>
        <v>226.73699999999999</v>
      </c>
      <c r="AF92" s="76">
        <f t="shared" si="61"/>
        <v>260.40600000000001</v>
      </c>
      <c r="AG92" s="76">
        <f t="shared" si="61"/>
        <v>240.7</v>
      </c>
      <c r="AH92" s="76">
        <f t="shared" si="61"/>
        <v>255.24600000000001</v>
      </c>
      <c r="AI92" s="76">
        <f t="shared" si="61"/>
        <v>292.30900000000003</v>
      </c>
      <c r="AJ92" s="76">
        <f t="shared" si="61"/>
        <v>312.803</v>
      </c>
      <c r="AK92" s="76">
        <f t="shared" si="61"/>
        <v>307.42899999999997</v>
      </c>
      <c r="AL92" s="76">
        <f t="shared" si="61"/>
        <v>337.94900000000001</v>
      </c>
      <c r="AM92" s="76">
        <f t="shared" si="61"/>
        <v>350.286</v>
      </c>
      <c r="AN92" s="76">
        <f t="shared" si="61"/>
        <v>334.887</v>
      </c>
      <c r="AO92" s="76">
        <f t="shared" si="61"/>
        <v>346.58100000000002</v>
      </c>
      <c r="AP92" s="76">
        <f t="shared" si="61"/>
        <v>332.61</v>
      </c>
      <c r="AQ92" s="76">
        <f t="shared" si="61"/>
        <v>339.58199999999999</v>
      </c>
      <c r="AR92" s="103"/>
      <c r="AS92" s="103"/>
      <c r="AT92" s="103"/>
      <c r="AU92" s="103"/>
      <c r="AV92" s="103"/>
      <c r="AW92" s="103"/>
    </row>
    <row r="93" spans="1:49">
      <c r="B93" s="1" t="s">
        <v>42</v>
      </c>
      <c r="G93" s="61">
        <f ca="1">SUM(G91:G92)</f>
        <v>3297.56</v>
      </c>
      <c r="H93" s="61">
        <f ca="1">SUM(H91:H92)</f>
        <v>3196.36</v>
      </c>
      <c r="J93" s="6">
        <f t="shared" ref="J93:O93" si="62">SUM(J91:J92)</f>
        <v>2970.6970000000001</v>
      </c>
      <c r="K93" s="6">
        <f t="shared" si="62"/>
        <v>2838.3989999999999</v>
      </c>
      <c r="L93" s="6">
        <f t="shared" si="62"/>
        <v>2171.4079999999999</v>
      </c>
      <c r="M93" s="6">
        <f t="shared" si="62"/>
        <v>2246.66</v>
      </c>
      <c r="N93" s="6">
        <f t="shared" si="62"/>
        <v>2784.7539999999999</v>
      </c>
      <c r="O93" s="6">
        <f t="shared" si="62"/>
        <v>3091.6400000000003</v>
      </c>
      <c r="P93" s="102"/>
      <c r="R93" s="6">
        <f t="shared" ref="R93:AQ93" si="63">SUM(R91:R92)</f>
        <v>741.6880000000001</v>
      </c>
      <c r="S93" s="6">
        <f t="shared" si="63"/>
        <v>802.67100000000005</v>
      </c>
      <c r="T93" s="6">
        <f t="shared" si="63"/>
        <v>704.84500000000003</v>
      </c>
      <c r="U93" s="6">
        <f t="shared" si="63"/>
        <v>721.49299999999994</v>
      </c>
      <c r="V93" s="6">
        <f t="shared" si="63"/>
        <v>744.62099999999998</v>
      </c>
      <c r="W93" s="6">
        <f t="shared" si="63"/>
        <v>771.04199999999992</v>
      </c>
      <c r="X93" s="6">
        <f t="shared" si="63"/>
        <v>666.80899999999997</v>
      </c>
      <c r="Y93" s="6">
        <f t="shared" si="63"/>
        <v>655.92700000000002</v>
      </c>
      <c r="Z93" s="6">
        <f t="shared" si="63"/>
        <v>643.92600000000004</v>
      </c>
      <c r="AA93" s="6">
        <f t="shared" si="63"/>
        <v>541.15899999999999</v>
      </c>
      <c r="AB93" s="6">
        <f t="shared" si="63"/>
        <v>496.56700000000001</v>
      </c>
      <c r="AC93" s="6">
        <f t="shared" si="63"/>
        <v>489.75599999999997</v>
      </c>
      <c r="AD93" s="6">
        <f t="shared" si="63"/>
        <v>496.85</v>
      </c>
      <c r="AE93" s="6">
        <f t="shared" si="63"/>
        <v>559.62400000000002</v>
      </c>
      <c r="AF93" s="6">
        <f t="shared" si="63"/>
        <v>598.92000000000007</v>
      </c>
      <c r="AG93" s="6">
        <f t="shared" si="63"/>
        <v>591.26599999999996</v>
      </c>
      <c r="AH93" s="6">
        <f t="shared" si="63"/>
        <v>610.78200000000004</v>
      </c>
      <c r="AI93" s="6">
        <f t="shared" si="63"/>
        <v>697.96399999999994</v>
      </c>
      <c r="AJ93" s="6">
        <f t="shared" si="63"/>
        <v>745.84300000000007</v>
      </c>
      <c r="AK93" s="6">
        <f t="shared" si="63"/>
        <v>730.16499999999996</v>
      </c>
      <c r="AL93" s="6">
        <f t="shared" si="63"/>
        <v>750.44399999999996</v>
      </c>
      <c r="AM93" s="6">
        <f t="shared" si="63"/>
        <v>777.24800000000005</v>
      </c>
      <c r="AN93" s="6">
        <f t="shared" si="63"/>
        <v>764.77199999999993</v>
      </c>
      <c r="AO93" s="6">
        <f t="shared" si="63"/>
        <v>799.17600000000004</v>
      </c>
      <c r="AP93" s="6">
        <f t="shared" si="63"/>
        <v>808.02199999999993</v>
      </c>
      <c r="AQ93" s="6">
        <f t="shared" si="63"/>
        <v>824.39</v>
      </c>
      <c r="AR93" s="102"/>
      <c r="AS93" s="102"/>
      <c r="AT93" s="102"/>
      <c r="AU93" s="102"/>
      <c r="AV93" s="102"/>
      <c r="AW93" s="102"/>
    </row>
    <row r="94" spans="1:49">
      <c r="B94" s="3" t="s">
        <v>104</v>
      </c>
      <c r="G94" s="64" t="str">
        <f ca="1">IF(ROUND(G93-G9,1)=0,"OK",G93-G9)</f>
        <v>OK</v>
      </c>
      <c r="H94" s="52" t="str">
        <f ca="1">IF(ROUND(H93-H9,1)=0,"OK",H93-H9)</f>
        <v>OK</v>
      </c>
      <c r="J94" s="19" t="str">
        <f t="shared" ref="J94:O94" si="64">IF(ROUND(J93-J9,1)=0,"OK",J93-J9)</f>
        <v>OK</v>
      </c>
      <c r="K94" s="19" t="str">
        <f t="shared" si="64"/>
        <v>OK</v>
      </c>
      <c r="L94" s="19" t="str">
        <f t="shared" si="64"/>
        <v>OK</v>
      </c>
      <c r="M94" s="19" t="str">
        <f t="shared" si="64"/>
        <v>OK</v>
      </c>
      <c r="N94" s="19" t="str">
        <f t="shared" si="64"/>
        <v>OK</v>
      </c>
      <c r="O94" s="19" t="str">
        <f t="shared" si="64"/>
        <v>OK</v>
      </c>
      <c r="P94" s="102"/>
      <c r="R94" s="19" t="str">
        <f t="shared" ref="R94:AQ94" si="65">IF(ROUND(R93-R9,1)=0,"OK",R93-R9)</f>
        <v>OK</v>
      </c>
      <c r="S94" s="19" t="str">
        <f t="shared" si="65"/>
        <v>OK</v>
      </c>
      <c r="T94" s="19" t="str">
        <f t="shared" si="65"/>
        <v>OK</v>
      </c>
      <c r="U94" s="19" t="str">
        <f t="shared" si="65"/>
        <v>OK</v>
      </c>
      <c r="V94" s="19" t="str">
        <f t="shared" si="65"/>
        <v>OK</v>
      </c>
      <c r="W94" s="19" t="str">
        <f t="shared" si="65"/>
        <v>OK</v>
      </c>
      <c r="X94" s="19" t="str">
        <f t="shared" si="65"/>
        <v>OK</v>
      </c>
      <c r="Y94" s="19" t="str">
        <f t="shared" si="65"/>
        <v>OK</v>
      </c>
      <c r="Z94" s="19" t="str">
        <f t="shared" si="65"/>
        <v>OK</v>
      </c>
      <c r="AA94" s="19" t="str">
        <f t="shared" si="65"/>
        <v>OK</v>
      </c>
      <c r="AB94" s="19" t="str">
        <f t="shared" si="65"/>
        <v>OK</v>
      </c>
      <c r="AC94" s="19" t="str">
        <f t="shared" si="65"/>
        <v>OK</v>
      </c>
      <c r="AD94" s="19" t="str">
        <f t="shared" si="65"/>
        <v>OK</v>
      </c>
      <c r="AE94" s="19" t="str">
        <f t="shared" si="65"/>
        <v>OK</v>
      </c>
      <c r="AF94" s="19" t="str">
        <f t="shared" si="65"/>
        <v>OK</v>
      </c>
      <c r="AG94" s="19" t="str">
        <f t="shared" si="65"/>
        <v>OK</v>
      </c>
      <c r="AH94" s="19" t="str">
        <f t="shared" si="65"/>
        <v>OK</v>
      </c>
      <c r="AI94" s="19" t="str">
        <f t="shared" si="65"/>
        <v>OK</v>
      </c>
      <c r="AJ94" s="19" t="str">
        <f t="shared" si="65"/>
        <v>OK</v>
      </c>
      <c r="AK94" s="19" t="str">
        <f t="shared" si="65"/>
        <v>OK</v>
      </c>
      <c r="AL94" s="19" t="str">
        <f t="shared" si="65"/>
        <v>OK</v>
      </c>
      <c r="AM94" s="19" t="str">
        <f t="shared" si="65"/>
        <v>OK</v>
      </c>
      <c r="AN94" s="19" t="str">
        <f t="shared" si="65"/>
        <v>OK</v>
      </c>
      <c r="AO94" s="19" t="str">
        <f t="shared" si="65"/>
        <v>OK</v>
      </c>
      <c r="AP94" s="19" t="str">
        <f t="shared" si="65"/>
        <v>OK</v>
      </c>
      <c r="AQ94" s="19" t="str">
        <f t="shared" si="65"/>
        <v>OK</v>
      </c>
      <c r="AR94" s="102"/>
      <c r="AS94" s="102"/>
      <c r="AT94" s="102"/>
      <c r="AU94" s="102"/>
      <c r="AV94" s="102"/>
      <c r="AW94" s="102"/>
    </row>
    <row r="95" spans="1:49">
      <c r="G95" s="104"/>
      <c r="H95" s="30"/>
      <c r="P95" s="102"/>
      <c r="AR95" s="102"/>
      <c r="AS95" s="102"/>
      <c r="AT95" s="102"/>
      <c r="AU95" s="102"/>
      <c r="AV95" s="102"/>
      <c r="AW95" s="102"/>
    </row>
    <row r="96" spans="1:49">
      <c r="B96" t="s">
        <v>105</v>
      </c>
      <c r="G96" s="57">
        <f ca="1">OFFSET(R96,0,MATCH($G$2,$R$3:$AW$3,0)-1)*4</f>
        <v>379.50400000000002</v>
      </c>
      <c r="H96" s="33">
        <f ca="1">SUM(OFFSET(R96,0,MATCH($G$2,$R$3:$AW$3,0)-4),OFFSET(R96,0,MATCH($G$2,$R$3:$AW$3,0)-3),OFFSET(R96,0,MATCH($G$2,$R$3:$AW$3,0)-2),OFFSET(R96,0,MATCH($G$2,$R$3:$AW$3,0)-1))</f>
        <v>309.51200000000006</v>
      </c>
      <c r="J96" s="9">
        <f>SUM(R96:U96)</f>
        <v>147.41600000000017</v>
      </c>
      <c r="K96" s="9">
        <f>SUM(V96:Y96)</f>
        <v>215.8420000000001</v>
      </c>
      <c r="L96" s="9">
        <f>SUM(Z96:AC96)</f>
        <v>163.65600000000012</v>
      </c>
      <c r="M96" s="9">
        <f>SUM(AD96:AG96)</f>
        <v>63.014999999999986</v>
      </c>
      <c r="N96" s="9">
        <f>SUM(AH96:AK96)</f>
        <v>136.18399999999997</v>
      </c>
      <c r="O96" s="9">
        <f>SUM(AL96:AO96)</f>
        <v>238.93999999999994</v>
      </c>
      <c r="P96" s="102"/>
      <c r="R96" s="10">
        <v>16.18000000000006</v>
      </c>
      <c r="S96" s="10">
        <v>38.228000000000073</v>
      </c>
      <c r="T96" s="10">
        <v>48.517000000000003</v>
      </c>
      <c r="U96" s="10">
        <v>44.491000000000042</v>
      </c>
      <c r="V96" s="10">
        <v>35.423999999999978</v>
      </c>
      <c r="W96" s="10">
        <v>53.243000000000052</v>
      </c>
      <c r="X96" s="10">
        <v>72.697000000000003</v>
      </c>
      <c r="Y96" s="10">
        <v>54.478000000000073</v>
      </c>
      <c r="Z96" s="10">
        <v>50.716000000000072</v>
      </c>
      <c r="AA96" s="10">
        <v>51.375000000000057</v>
      </c>
      <c r="AB96" s="10">
        <v>32.408999999999992</v>
      </c>
      <c r="AC96" s="10">
        <v>29.156000000000009</v>
      </c>
      <c r="AD96" s="10">
        <v>1.9399999999999979</v>
      </c>
      <c r="AE96" s="10">
        <v>18.478000000000009</v>
      </c>
      <c r="AF96" s="10">
        <v>16.91499999999996</v>
      </c>
      <c r="AG96" s="10">
        <v>25.68200000000002</v>
      </c>
      <c r="AH96" s="10">
        <v>16.934999999999999</v>
      </c>
      <c r="AI96" s="10">
        <v>30.81699999999995</v>
      </c>
      <c r="AJ96" s="10">
        <v>41.713000000000022</v>
      </c>
      <c r="AK96" s="10">
        <v>46.718999999999987</v>
      </c>
      <c r="AL96" s="10">
        <v>43.035999999999937</v>
      </c>
      <c r="AM96" s="10">
        <v>64.250999999999976</v>
      </c>
      <c r="AN96" s="10">
        <v>63.463999999999999</v>
      </c>
      <c r="AO96" s="10">
        <v>68.189000000000021</v>
      </c>
      <c r="AP96" s="10">
        <v>82.983000000000004</v>
      </c>
      <c r="AQ96" s="10">
        <v>94.876000000000005</v>
      </c>
      <c r="AR96" s="102"/>
      <c r="AS96" s="102"/>
      <c r="AT96" s="102"/>
      <c r="AU96" s="102"/>
      <c r="AV96" s="102"/>
      <c r="AW96" s="102"/>
    </row>
    <row r="97" spans="2:49">
      <c r="B97" s="7" t="s">
        <v>106</v>
      </c>
      <c r="C97" s="7"/>
      <c r="D97" s="7"/>
      <c r="E97" s="7"/>
      <c r="F97" s="7"/>
      <c r="G97" s="58">
        <f ca="1">OFFSET(R97,0,MATCH($G$2,$R$3:$AW$3,0)-1)*4</f>
        <v>196.18799999999999</v>
      </c>
      <c r="H97" s="46">
        <f ca="1">SUM(OFFSET(R97,0,MATCH($G$2,$R$3:$AW$3,0)-4),OFFSET(R97,0,MATCH($G$2,$R$3:$AW$3,0)-3),OFFSET(R97,0,MATCH($G$2,$R$3:$AW$3,0)-2),OFFSET(R97,0,MATCH($G$2,$R$3:$AW$3,0)-1))</f>
        <v>190.453</v>
      </c>
      <c r="I97" s="7"/>
      <c r="J97" s="11">
        <f>SUM(R97:U97)</f>
        <v>182.30699999999999</v>
      </c>
      <c r="K97" s="11">
        <f>SUM(V97:Y97)</f>
        <v>179.74199999999999</v>
      </c>
      <c r="L97" s="11">
        <f>SUM(Z97:AC97)</f>
        <v>186.798</v>
      </c>
      <c r="M97" s="11">
        <f>SUM(AD97:AG97)</f>
        <v>185.97899999999998</v>
      </c>
      <c r="N97" s="11">
        <f>SUM(AH97:AK97)</f>
        <v>177.55099999999999</v>
      </c>
      <c r="O97" s="11">
        <f>SUM(AL97:AO97)</f>
        <v>184.22500000000002</v>
      </c>
      <c r="P97" s="103"/>
      <c r="Q97" s="7"/>
      <c r="R97" s="12">
        <v>43.34</v>
      </c>
      <c r="S97" s="12">
        <v>44.781999999999996</v>
      </c>
      <c r="T97" s="12">
        <v>47.143999999999998</v>
      </c>
      <c r="U97" s="12">
        <v>47.040999999999997</v>
      </c>
      <c r="V97" s="12">
        <v>45.323999999999998</v>
      </c>
      <c r="W97" s="12">
        <v>45.091999999999999</v>
      </c>
      <c r="X97" s="12">
        <v>44.445</v>
      </c>
      <c r="Y97" s="12">
        <v>44.881</v>
      </c>
      <c r="Z97" s="12">
        <v>45.298999999999999</v>
      </c>
      <c r="AA97" s="12">
        <v>46.683999999999997</v>
      </c>
      <c r="AB97" s="12">
        <v>47.311999999999998</v>
      </c>
      <c r="AC97" s="12">
        <v>47.503</v>
      </c>
      <c r="AD97" s="12">
        <v>47.579000000000001</v>
      </c>
      <c r="AE97" s="12">
        <v>47.500999999999998</v>
      </c>
      <c r="AF97" s="12">
        <v>46.48</v>
      </c>
      <c r="AG97" s="12">
        <v>44.418999999999997</v>
      </c>
      <c r="AH97" s="12">
        <v>44.085999999999999</v>
      </c>
      <c r="AI97" s="12">
        <v>44.210999999999999</v>
      </c>
      <c r="AJ97" s="12">
        <v>44.37</v>
      </c>
      <c r="AK97" s="12">
        <v>44.884</v>
      </c>
      <c r="AL97" s="12">
        <v>45.142000000000003</v>
      </c>
      <c r="AM97" s="12">
        <v>45.526000000000003</v>
      </c>
      <c r="AN97" s="12">
        <v>46.655999999999999</v>
      </c>
      <c r="AO97" s="12">
        <v>46.901000000000003</v>
      </c>
      <c r="AP97" s="12">
        <v>47.848999999999997</v>
      </c>
      <c r="AQ97" s="12">
        <v>49.046999999999997</v>
      </c>
      <c r="AR97" s="103"/>
      <c r="AS97" s="103"/>
      <c r="AT97" s="103"/>
      <c r="AU97" s="103"/>
      <c r="AV97" s="103"/>
      <c r="AW97" s="103"/>
    </row>
    <row r="98" spans="2:49">
      <c r="B98" s="1" t="s">
        <v>107</v>
      </c>
      <c r="G98" s="61">
        <f ca="1">SUM(G96:G97)</f>
        <v>575.69200000000001</v>
      </c>
      <c r="H98" s="61">
        <f ca="1">SUM(H96:H97)</f>
        <v>499.96500000000003</v>
      </c>
      <c r="J98" s="6">
        <f t="shared" ref="J98:O98" si="66">SUM(J96:J97)</f>
        <v>329.72300000000018</v>
      </c>
      <c r="K98" s="6">
        <f t="shared" si="66"/>
        <v>395.58400000000006</v>
      </c>
      <c r="L98" s="6">
        <f t="shared" si="66"/>
        <v>350.45400000000012</v>
      </c>
      <c r="M98" s="6">
        <f t="shared" si="66"/>
        <v>248.99399999999997</v>
      </c>
      <c r="N98" s="6">
        <f t="shared" si="66"/>
        <v>313.73499999999996</v>
      </c>
      <c r="O98" s="6">
        <f t="shared" si="66"/>
        <v>423.16499999999996</v>
      </c>
      <c r="P98" s="102"/>
      <c r="R98" s="6">
        <f t="shared" ref="R98:AQ98" si="67">SUM(R96:R97)</f>
        <v>59.520000000000067</v>
      </c>
      <c r="S98" s="6">
        <f t="shared" si="67"/>
        <v>83.010000000000076</v>
      </c>
      <c r="T98" s="6">
        <f t="shared" si="67"/>
        <v>95.661000000000001</v>
      </c>
      <c r="U98" s="6">
        <f t="shared" si="67"/>
        <v>91.532000000000039</v>
      </c>
      <c r="V98" s="6">
        <f t="shared" si="67"/>
        <v>80.747999999999976</v>
      </c>
      <c r="W98" s="6">
        <f t="shared" si="67"/>
        <v>98.335000000000051</v>
      </c>
      <c r="X98" s="6">
        <f t="shared" si="67"/>
        <v>117.142</v>
      </c>
      <c r="Y98" s="6">
        <f t="shared" si="67"/>
        <v>99.359000000000066</v>
      </c>
      <c r="Z98" s="6">
        <f t="shared" si="67"/>
        <v>96.015000000000072</v>
      </c>
      <c r="AA98" s="6">
        <f t="shared" si="67"/>
        <v>98.059000000000054</v>
      </c>
      <c r="AB98" s="6">
        <f t="shared" si="67"/>
        <v>79.720999999999989</v>
      </c>
      <c r="AC98" s="6">
        <f t="shared" si="67"/>
        <v>76.659000000000006</v>
      </c>
      <c r="AD98" s="6">
        <f t="shared" si="67"/>
        <v>49.518999999999998</v>
      </c>
      <c r="AE98" s="6">
        <f t="shared" si="67"/>
        <v>65.979000000000013</v>
      </c>
      <c r="AF98" s="6">
        <f t="shared" si="67"/>
        <v>63.394999999999953</v>
      </c>
      <c r="AG98" s="6">
        <f t="shared" si="67"/>
        <v>70.101000000000013</v>
      </c>
      <c r="AH98" s="6">
        <f t="shared" si="67"/>
        <v>61.021000000000001</v>
      </c>
      <c r="AI98" s="6">
        <f t="shared" si="67"/>
        <v>75.027999999999949</v>
      </c>
      <c r="AJ98" s="6">
        <f t="shared" si="67"/>
        <v>86.083000000000027</v>
      </c>
      <c r="AK98" s="6">
        <f t="shared" si="67"/>
        <v>91.60299999999998</v>
      </c>
      <c r="AL98" s="6">
        <f t="shared" si="67"/>
        <v>88.17799999999994</v>
      </c>
      <c r="AM98" s="6">
        <f t="shared" si="67"/>
        <v>109.77699999999999</v>
      </c>
      <c r="AN98" s="6">
        <f t="shared" si="67"/>
        <v>110.12</v>
      </c>
      <c r="AO98" s="6">
        <f t="shared" si="67"/>
        <v>115.09000000000003</v>
      </c>
      <c r="AP98" s="6">
        <f t="shared" si="67"/>
        <v>130.83199999999999</v>
      </c>
      <c r="AQ98" s="6">
        <f t="shared" si="67"/>
        <v>143.923</v>
      </c>
      <c r="AR98" s="102"/>
      <c r="AS98" s="102"/>
      <c r="AT98" s="102"/>
      <c r="AU98" s="102"/>
      <c r="AV98" s="102"/>
      <c r="AW98" s="102"/>
    </row>
    <row r="99" spans="2:49">
      <c r="B99" s="3" t="s">
        <v>108</v>
      </c>
      <c r="G99" s="64"/>
      <c r="H99" s="52"/>
      <c r="J99" s="19"/>
      <c r="K99" s="8">
        <f>K98/J98-1</f>
        <v>0.19974645384155743</v>
      </c>
      <c r="L99" s="8">
        <f>L98/K98-1</f>
        <v>-0.11408449280051758</v>
      </c>
      <c r="M99" s="8">
        <f>M98/L98-1</f>
        <v>-0.2895101782259587</v>
      </c>
      <c r="N99" s="8">
        <f>N98/M98-1</f>
        <v>0.2600102813722418</v>
      </c>
      <c r="O99" s="8">
        <f>O98/N98-1</f>
        <v>0.34879755207420282</v>
      </c>
      <c r="P99" s="102"/>
      <c r="R99" s="19"/>
      <c r="S99" s="8"/>
      <c r="T99" s="8"/>
      <c r="U99" s="8"/>
      <c r="V99" s="8">
        <f t="shared" ref="V99:AQ99" si="68">V98/R98-1</f>
        <v>0.35665322580644965</v>
      </c>
      <c r="W99" s="8">
        <f t="shared" si="68"/>
        <v>0.1846163112877961</v>
      </c>
      <c r="X99" s="8">
        <f t="shared" si="68"/>
        <v>0.22455337075715276</v>
      </c>
      <c r="Y99" s="8">
        <f t="shared" si="68"/>
        <v>8.5511078092907589E-2</v>
      </c>
      <c r="Z99" s="8">
        <f t="shared" si="68"/>
        <v>0.18906969832070275</v>
      </c>
      <c r="AA99" s="8">
        <f t="shared" si="68"/>
        <v>-2.8067320892866121E-3</v>
      </c>
      <c r="AB99" s="8">
        <f t="shared" si="68"/>
        <v>-0.31944989841389093</v>
      </c>
      <c r="AC99" s="8">
        <f t="shared" si="68"/>
        <v>-0.22846445717046315</v>
      </c>
      <c r="AD99" s="8">
        <f t="shared" si="68"/>
        <v>-0.48425766807269732</v>
      </c>
      <c r="AE99" s="8">
        <f t="shared" si="68"/>
        <v>-0.32714998113380744</v>
      </c>
      <c r="AF99" s="8">
        <f t="shared" si="68"/>
        <v>-0.20478920234317233</v>
      </c>
      <c r="AG99" s="8">
        <f t="shared" si="68"/>
        <v>-8.5547685203302803E-2</v>
      </c>
      <c r="AH99" s="8">
        <f t="shared" si="68"/>
        <v>0.23227448050243349</v>
      </c>
      <c r="AI99" s="8">
        <f t="shared" si="68"/>
        <v>0.13714969914669717</v>
      </c>
      <c r="AJ99" s="8">
        <f t="shared" si="68"/>
        <v>0.35788311381023874</v>
      </c>
      <c r="AK99" s="8">
        <f t="shared" si="68"/>
        <v>0.30672886264104604</v>
      </c>
      <c r="AL99" s="8">
        <f t="shared" si="68"/>
        <v>0.44504350961144423</v>
      </c>
      <c r="AM99" s="8">
        <f t="shared" si="68"/>
        <v>0.4631470917524132</v>
      </c>
      <c r="AN99" s="8">
        <f t="shared" si="68"/>
        <v>0.27923051008909971</v>
      </c>
      <c r="AO99" s="8">
        <f t="shared" si="68"/>
        <v>0.2563998995666088</v>
      </c>
      <c r="AP99" s="8">
        <f t="shared" si="68"/>
        <v>0.48372609948059697</v>
      </c>
      <c r="AQ99" s="8">
        <f t="shared" si="68"/>
        <v>0.31104876249123237</v>
      </c>
      <c r="AR99" s="102"/>
      <c r="AS99" s="102"/>
      <c r="AT99" s="102"/>
      <c r="AU99" s="102"/>
      <c r="AV99" s="102"/>
      <c r="AW99" s="102"/>
    </row>
    <row r="100" spans="2:49">
      <c r="G100" s="104"/>
      <c r="H100" s="30"/>
      <c r="P100" s="102"/>
      <c r="AR100" s="102"/>
      <c r="AS100" s="102"/>
      <c r="AT100" s="102"/>
      <c r="AU100" s="102"/>
      <c r="AV100" s="102"/>
      <c r="AW100" s="102"/>
    </row>
    <row r="101" spans="2:49">
      <c r="B101" t="s">
        <v>109</v>
      </c>
      <c r="G101" s="57">
        <f ca="1">OFFSET(R101,0,MATCH($G$2,$R$3:$AW$3,0)-1)*4</f>
        <v>117.74</v>
      </c>
      <c r="H101" s="33">
        <f ca="1">SUM(OFFSET(R101,0,MATCH($G$2,$R$3:$AW$3,0)-4),OFFSET(R101,0,MATCH($G$2,$R$3:$AW$3,0)-3),OFFSET(R101,0,MATCH($G$2,$R$3:$AW$3,0)-2),OFFSET(R101,0,MATCH($G$2,$R$3:$AW$3,0)-1))</f>
        <v>113.29600000000005</v>
      </c>
      <c r="J101" s="9">
        <f>SUM(R101:U101)</f>
        <v>129.30500000000001</v>
      </c>
      <c r="K101" s="9">
        <f>SUM(V101:Y101)</f>
        <v>67.200999999999965</v>
      </c>
      <c r="L101" s="9">
        <f>SUM(Z101:AC101)</f>
        <v>-12.18950000000001</v>
      </c>
      <c r="M101" s="9">
        <f>SUM(AD101:AG101)</f>
        <v>27.607000000000003</v>
      </c>
      <c r="N101" s="9">
        <f>SUM(AH101:AK101)</f>
        <v>67.037000000000035</v>
      </c>
      <c r="O101" s="9">
        <f>SUM(AL101:AO101)</f>
        <v>114.48100000000005</v>
      </c>
      <c r="P101" s="102"/>
      <c r="R101" s="10">
        <v>36.965000000000032</v>
      </c>
      <c r="S101" s="10">
        <v>40.189999999999941</v>
      </c>
      <c r="T101" s="10">
        <v>23.914000000000041</v>
      </c>
      <c r="U101" s="10">
        <v>28.23599999999999</v>
      </c>
      <c r="V101" s="10">
        <v>37.609000000000037</v>
      </c>
      <c r="W101" s="10">
        <v>23.127999999999929</v>
      </c>
      <c r="X101" s="10">
        <v>9.1319999999999766</v>
      </c>
      <c r="Y101" s="10">
        <v>-2.6679999999999779</v>
      </c>
      <c r="Z101" s="10">
        <v>3.7179999999999889</v>
      </c>
      <c r="AA101" s="10">
        <v>-14.14700000000002</v>
      </c>
      <c r="AB101" s="10">
        <v>1.1055000000000059</v>
      </c>
      <c r="AC101" s="10">
        <v>-2.865999999999985</v>
      </c>
      <c r="AD101" s="10">
        <v>2.9110000000000009</v>
      </c>
      <c r="AE101" s="10">
        <v>6.1560000000000059</v>
      </c>
      <c r="AF101" s="10">
        <v>11.038999999999991</v>
      </c>
      <c r="AG101" s="10">
        <v>7.5010000000000048</v>
      </c>
      <c r="AH101" s="10">
        <v>10.971</v>
      </c>
      <c r="AI101" s="10">
        <v>16.73700000000008</v>
      </c>
      <c r="AJ101" s="10">
        <v>22.267999999999969</v>
      </c>
      <c r="AK101" s="10">
        <v>17.060999999999979</v>
      </c>
      <c r="AL101" s="10">
        <v>22.79200000000003</v>
      </c>
      <c r="AM101" s="10">
        <v>29.842000000000041</v>
      </c>
      <c r="AN101" s="10">
        <v>33.19399999999996</v>
      </c>
      <c r="AO101" s="10">
        <v>28.65300000000002</v>
      </c>
      <c r="AP101" s="10">
        <v>22.01400000000007</v>
      </c>
      <c r="AQ101" s="10">
        <v>29.434999999999999</v>
      </c>
      <c r="AR101" s="102"/>
      <c r="AS101" s="102"/>
      <c r="AT101" s="102"/>
      <c r="AU101" s="102"/>
      <c r="AV101" s="102"/>
      <c r="AW101" s="102"/>
    </row>
    <row r="102" spans="2:49">
      <c r="B102" s="7" t="s">
        <v>110</v>
      </c>
      <c r="C102" s="7"/>
      <c r="D102" s="7"/>
      <c r="E102" s="7"/>
      <c r="F102" s="7"/>
      <c r="G102" s="58">
        <f ca="1">OFFSET(R102,0,MATCH($G$2,$R$3:$AW$3,0)-1)*4</f>
        <v>34.340000000000003</v>
      </c>
      <c r="H102" s="46">
        <f ca="1">SUM(OFFSET(R102,0,MATCH($G$2,$R$3:$AW$3,0)-4),OFFSET(R102,0,MATCH($G$2,$R$3:$AW$3,0)-3),OFFSET(R102,0,MATCH($G$2,$R$3:$AW$3,0)-2),OFFSET(R102,0,MATCH($G$2,$R$3:$AW$3,0)-1))</f>
        <v>27.632000000000001</v>
      </c>
      <c r="I102" s="7"/>
      <c r="J102" s="11">
        <f>SUM(R102:U102)</f>
        <v>39.348999999999997</v>
      </c>
      <c r="K102" s="11">
        <f>SUM(V102:Y102)</f>
        <v>35.998000000000005</v>
      </c>
      <c r="L102" s="11">
        <f>SUM(Z102:AC102)</f>
        <v>28.255000000000003</v>
      </c>
      <c r="M102" s="11">
        <f>SUM(AD102:AG102)</f>
        <v>20.573</v>
      </c>
      <c r="N102" s="11">
        <f>SUM(AH102:AK102)</f>
        <v>16.776000000000003</v>
      </c>
      <c r="O102" s="11">
        <f>SUM(AL102:AO102)</f>
        <v>19.841999999999999</v>
      </c>
      <c r="P102" s="103"/>
      <c r="Q102" s="7"/>
      <c r="R102" s="12">
        <v>10.032</v>
      </c>
      <c r="S102" s="12">
        <v>9.8770000000000007</v>
      </c>
      <c r="T102" s="12">
        <v>9.9640000000000004</v>
      </c>
      <c r="U102" s="12">
        <v>9.4760000000000009</v>
      </c>
      <c r="V102" s="12">
        <v>9.0180000000000007</v>
      </c>
      <c r="W102" s="12">
        <v>9.0640000000000001</v>
      </c>
      <c r="X102" s="12">
        <v>9.0850000000000009</v>
      </c>
      <c r="Y102" s="12">
        <v>8.8309999999999995</v>
      </c>
      <c r="Z102" s="12">
        <v>9.3360000000000003</v>
      </c>
      <c r="AA102" s="12">
        <v>6.633</v>
      </c>
      <c r="AB102" s="12">
        <v>6.2830000000000004</v>
      </c>
      <c r="AC102" s="12">
        <v>6.0030000000000001</v>
      </c>
      <c r="AD102" s="12">
        <v>5.8810000000000002</v>
      </c>
      <c r="AE102" s="12">
        <v>5.84</v>
      </c>
      <c r="AF102" s="12">
        <v>5.0179999999999998</v>
      </c>
      <c r="AG102" s="12">
        <v>3.8340000000000001</v>
      </c>
      <c r="AH102" s="12">
        <v>4.1059999999999999</v>
      </c>
      <c r="AI102" s="12">
        <v>4.133</v>
      </c>
      <c r="AJ102" s="12">
        <v>4.274</v>
      </c>
      <c r="AK102" s="12">
        <v>4.2629999999999999</v>
      </c>
      <c r="AL102" s="12">
        <v>4.2450000000000001</v>
      </c>
      <c r="AM102" s="12">
        <v>4.3940000000000001</v>
      </c>
      <c r="AN102" s="12">
        <v>5.0170000000000003</v>
      </c>
      <c r="AO102" s="12">
        <v>6.1859999999999999</v>
      </c>
      <c r="AP102" s="12">
        <v>7.8440000000000003</v>
      </c>
      <c r="AQ102" s="12">
        <v>8.5850000000000009</v>
      </c>
      <c r="AR102" s="103"/>
      <c r="AS102" s="103"/>
      <c r="AT102" s="103"/>
      <c r="AU102" s="103"/>
      <c r="AV102" s="103"/>
      <c r="AW102" s="103"/>
    </row>
    <row r="103" spans="2:49">
      <c r="B103" s="1" t="s">
        <v>111</v>
      </c>
      <c r="G103" s="61">
        <f ca="1">SUM(G101:G102)</f>
        <v>152.07999999999998</v>
      </c>
      <c r="H103" s="61">
        <f ca="1">SUM(H101:H102)</f>
        <v>140.92800000000005</v>
      </c>
      <c r="J103" s="6">
        <f t="shared" ref="J103:O103" si="69">SUM(J101:J102)</f>
        <v>168.654</v>
      </c>
      <c r="K103" s="6">
        <f t="shared" si="69"/>
        <v>103.19899999999997</v>
      </c>
      <c r="L103" s="6">
        <f t="shared" si="69"/>
        <v>16.065499999999993</v>
      </c>
      <c r="M103" s="6">
        <f t="shared" si="69"/>
        <v>48.180000000000007</v>
      </c>
      <c r="N103" s="6">
        <f t="shared" si="69"/>
        <v>83.813000000000045</v>
      </c>
      <c r="O103" s="6">
        <f t="shared" si="69"/>
        <v>134.32300000000004</v>
      </c>
      <c r="P103" s="102"/>
      <c r="R103" s="6">
        <f t="shared" ref="R103:AQ103" si="70">SUM(R101:R102)</f>
        <v>46.997000000000028</v>
      </c>
      <c r="S103" s="6">
        <f t="shared" si="70"/>
        <v>50.066999999999943</v>
      </c>
      <c r="T103" s="6">
        <f t="shared" si="70"/>
        <v>33.878000000000043</v>
      </c>
      <c r="U103" s="6">
        <f t="shared" si="70"/>
        <v>37.711999999999989</v>
      </c>
      <c r="V103" s="6">
        <f t="shared" si="70"/>
        <v>46.627000000000038</v>
      </c>
      <c r="W103" s="6">
        <f t="shared" si="70"/>
        <v>32.191999999999929</v>
      </c>
      <c r="X103" s="6">
        <f t="shared" si="70"/>
        <v>18.216999999999977</v>
      </c>
      <c r="Y103" s="6">
        <f t="shared" si="70"/>
        <v>6.1630000000000216</v>
      </c>
      <c r="Z103" s="6">
        <f t="shared" si="70"/>
        <v>13.05399999999999</v>
      </c>
      <c r="AA103" s="6">
        <f t="shared" si="70"/>
        <v>-7.5140000000000198</v>
      </c>
      <c r="AB103" s="6">
        <f t="shared" si="70"/>
        <v>7.3885000000000058</v>
      </c>
      <c r="AC103" s="6">
        <f t="shared" si="70"/>
        <v>3.1370000000000151</v>
      </c>
      <c r="AD103" s="6">
        <f t="shared" si="70"/>
        <v>8.7920000000000016</v>
      </c>
      <c r="AE103" s="6">
        <f t="shared" si="70"/>
        <v>11.996000000000006</v>
      </c>
      <c r="AF103" s="6">
        <f t="shared" si="70"/>
        <v>16.056999999999992</v>
      </c>
      <c r="AG103" s="6">
        <f t="shared" si="70"/>
        <v>11.335000000000004</v>
      </c>
      <c r="AH103" s="6">
        <f t="shared" si="70"/>
        <v>15.077</v>
      </c>
      <c r="AI103" s="6">
        <f t="shared" si="70"/>
        <v>20.870000000000079</v>
      </c>
      <c r="AJ103" s="6">
        <f t="shared" si="70"/>
        <v>26.54199999999997</v>
      </c>
      <c r="AK103" s="6">
        <f t="shared" si="70"/>
        <v>21.323999999999977</v>
      </c>
      <c r="AL103" s="6">
        <f t="shared" si="70"/>
        <v>27.037000000000031</v>
      </c>
      <c r="AM103" s="6">
        <f t="shared" si="70"/>
        <v>34.23600000000004</v>
      </c>
      <c r="AN103" s="6">
        <f t="shared" si="70"/>
        <v>38.210999999999963</v>
      </c>
      <c r="AO103" s="6">
        <f t="shared" si="70"/>
        <v>34.83900000000002</v>
      </c>
      <c r="AP103" s="6">
        <f t="shared" si="70"/>
        <v>29.858000000000072</v>
      </c>
      <c r="AQ103" s="6">
        <f t="shared" si="70"/>
        <v>38.019999999999996</v>
      </c>
      <c r="AR103" s="102"/>
      <c r="AS103" s="102"/>
      <c r="AT103" s="102"/>
      <c r="AU103" s="102"/>
      <c r="AV103" s="102"/>
      <c r="AW103" s="102"/>
    </row>
    <row r="104" spans="2:49">
      <c r="B104" s="3" t="s">
        <v>108</v>
      </c>
      <c r="G104" s="64"/>
      <c r="H104" s="52"/>
      <c r="J104" s="19"/>
      <c r="K104" s="8">
        <f>K103/J103-1</f>
        <v>-0.38810226854981222</v>
      </c>
      <c r="L104" s="8">
        <f>L103/K103-1</f>
        <v>-0.84432504190932089</v>
      </c>
      <c r="M104" s="8">
        <f>M103/L103-1</f>
        <v>1.99897295446765</v>
      </c>
      <c r="N104" s="8">
        <f>N103/M103-1</f>
        <v>0.739580738895808</v>
      </c>
      <c r="O104" s="8">
        <f>O103/N103-1</f>
        <v>0.60265114003794107</v>
      </c>
      <c r="P104" s="102"/>
      <c r="R104" s="19"/>
      <c r="S104" s="19"/>
      <c r="T104" s="19"/>
      <c r="U104" s="19"/>
      <c r="V104" s="8">
        <f t="shared" ref="V104:AQ104" si="71">V103/R103-1</f>
        <v>-7.8728429474219652E-3</v>
      </c>
      <c r="W104" s="8">
        <f t="shared" si="71"/>
        <v>-0.3570215910679696</v>
      </c>
      <c r="X104" s="8">
        <f t="shared" si="71"/>
        <v>-0.46227640356573718</v>
      </c>
      <c r="Y104" s="8">
        <f t="shared" si="71"/>
        <v>-0.8365772168010176</v>
      </c>
      <c r="Z104" s="8">
        <f t="shared" si="71"/>
        <v>-0.72003345700988741</v>
      </c>
      <c r="AA104" s="8">
        <f t="shared" si="71"/>
        <v>-1.2334120278330032</v>
      </c>
      <c r="AB104" s="8">
        <f t="shared" si="71"/>
        <v>-0.59441730251962377</v>
      </c>
      <c r="AC104" s="8">
        <f t="shared" si="71"/>
        <v>-0.49099464546487037</v>
      </c>
      <c r="AD104" s="8">
        <f t="shared" si="71"/>
        <v>-0.32648996476175818</v>
      </c>
      <c r="AE104" s="8">
        <f t="shared" si="71"/>
        <v>-2.5964865584242713</v>
      </c>
      <c r="AF104" s="8">
        <f t="shared" si="71"/>
        <v>1.1732422007173282</v>
      </c>
      <c r="AG104" s="8">
        <f t="shared" si="71"/>
        <v>2.6133248326426362</v>
      </c>
      <c r="AH104" s="8">
        <f t="shared" si="71"/>
        <v>0.7148544131028205</v>
      </c>
      <c r="AI104" s="8">
        <f t="shared" si="71"/>
        <v>0.73974658219407052</v>
      </c>
      <c r="AJ104" s="8">
        <f t="shared" si="71"/>
        <v>0.65298623653235244</v>
      </c>
      <c r="AK104" s="8">
        <f t="shared" si="71"/>
        <v>0.88125275694750504</v>
      </c>
      <c r="AL104" s="8">
        <f t="shared" si="71"/>
        <v>0.7932612588711303</v>
      </c>
      <c r="AM104" s="8">
        <f t="shared" si="71"/>
        <v>0.64044082414949255</v>
      </c>
      <c r="AN104" s="8">
        <f t="shared" si="71"/>
        <v>0.43964283023133177</v>
      </c>
      <c r="AO104" s="8">
        <f t="shared" si="71"/>
        <v>0.63379290939786426</v>
      </c>
      <c r="AP104" s="8">
        <f t="shared" si="71"/>
        <v>0.10433849909383586</v>
      </c>
      <c r="AQ104" s="8">
        <f t="shared" si="71"/>
        <v>0.11052693071620379</v>
      </c>
      <c r="AR104" s="102"/>
      <c r="AS104" s="102"/>
      <c r="AT104" s="102"/>
      <c r="AU104" s="102"/>
      <c r="AV104" s="102"/>
      <c r="AW104" s="102"/>
    </row>
    <row r="105" spans="2:49">
      <c r="G105" s="104"/>
      <c r="H105" s="30"/>
      <c r="P105" s="102"/>
      <c r="AN105" s="5"/>
      <c r="AO105" s="5"/>
      <c r="AP105" s="5"/>
      <c r="AQ105" s="5"/>
      <c r="AR105" s="102"/>
      <c r="AS105" s="102"/>
      <c r="AT105" s="102"/>
      <c r="AU105" s="102"/>
      <c r="AV105" s="102"/>
      <c r="AW105" s="102"/>
    </row>
    <row r="106" spans="2:49">
      <c r="B106" t="s">
        <v>112</v>
      </c>
      <c r="G106" s="57">
        <f ca="1">OFFSET(R106,0,MATCH($G$2,$R$3:$AW$3,0)-1)*4</f>
        <v>575.69200000000001</v>
      </c>
      <c r="H106" s="33">
        <f ca="1">SUM(OFFSET(R106,0,MATCH($G$2,$R$3:$AW$3,0)-4),OFFSET(R106,0,MATCH($G$2,$R$3:$AW$3,0)-3),OFFSET(R106,0,MATCH($G$2,$R$3:$AW$3,0)-2),OFFSET(R106,0,MATCH($G$2,$R$3:$AW$3,0)-1))</f>
        <v>499.96500000000003</v>
      </c>
      <c r="J106" s="9">
        <f>SUM(R106:U106)</f>
        <v>329.72300000000018</v>
      </c>
      <c r="K106" s="9">
        <f>SUM(V106:Y106)</f>
        <v>395.58400000000006</v>
      </c>
      <c r="L106" s="9">
        <f>SUM(Z106:AC106)</f>
        <v>350.45400000000012</v>
      </c>
      <c r="M106" s="9">
        <f>SUM(AD106:AG106)</f>
        <v>248.99399999999997</v>
      </c>
      <c r="N106" s="9">
        <f>SUM(AH106:AK106)</f>
        <v>313.73499999999996</v>
      </c>
      <c r="O106" s="9">
        <f>SUM(AL106:AO106)</f>
        <v>423.16499999999996</v>
      </c>
      <c r="P106" s="102"/>
      <c r="R106" s="68">
        <f t="shared" ref="R106:AQ106" si="72">R98</f>
        <v>59.520000000000067</v>
      </c>
      <c r="S106" s="68">
        <f t="shared" si="72"/>
        <v>83.010000000000076</v>
      </c>
      <c r="T106" s="68">
        <f t="shared" si="72"/>
        <v>95.661000000000001</v>
      </c>
      <c r="U106" s="68">
        <f t="shared" si="72"/>
        <v>91.532000000000039</v>
      </c>
      <c r="V106" s="68">
        <f t="shared" si="72"/>
        <v>80.747999999999976</v>
      </c>
      <c r="W106" s="68">
        <f t="shared" si="72"/>
        <v>98.335000000000051</v>
      </c>
      <c r="X106" s="68">
        <f t="shared" si="72"/>
        <v>117.142</v>
      </c>
      <c r="Y106" s="68">
        <f t="shared" si="72"/>
        <v>99.359000000000066</v>
      </c>
      <c r="Z106" s="68">
        <f t="shared" si="72"/>
        <v>96.015000000000072</v>
      </c>
      <c r="AA106" s="68">
        <f t="shared" si="72"/>
        <v>98.059000000000054</v>
      </c>
      <c r="AB106" s="68">
        <f t="shared" si="72"/>
        <v>79.720999999999989</v>
      </c>
      <c r="AC106" s="68">
        <f t="shared" si="72"/>
        <v>76.659000000000006</v>
      </c>
      <c r="AD106" s="68">
        <f t="shared" si="72"/>
        <v>49.518999999999998</v>
      </c>
      <c r="AE106" s="68">
        <f t="shared" si="72"/>
        <v>65.979000000000013</v>
      </c>
      <c r="AF106" s="68">
        <f t="shared" si="72"/>
        <v>63.394999999999953</v>
      </c>
      <c r="AG106" s="68">
        <f t="shared" si="72"/>
        <v>70.101000000000013</v>
      </c>
      <c r="AH106" s="68">
        <f t="shared" si="72"/>
        <v>61.021000000000001</v>
      </c>
      <c r="AI106" s="68">
        <f t="shared" si="72"/>
        <v>75.027999999999949</v>
      </c>
      <c r="AJ106" s="68">
        <f t="shared" si="72"/>
        <v>86.083000000000027</v>
      </c>
      <c r="AK106" s="68">
        <f t="shared" si="72"/>
        <v>91.60299999999998</v>
      </c>
      <c r="AL106" s="68">
        <f t="shared" si="72"/>
        <v>88.17799999999994</v>
      </c>
      <c r="AM106" s="68">
        <f t="shared" si="72"/>
        <v>109.77699999999999</v>
      </c>
      <c r="AN106" s="68">
        <f t="shared" si="72"/>
        <v>110.12</v>
      </c>
      <c r="AO106" s="68">
        <f t="shared" si="72"/>
        <v>115.09000000000003</v>
      </c>
      <c r="AP106" s="68">
        <f t="shared" si="72"/>
        <v>130.83199999999999</v>
      </c>
      <c r="AQ106" s="68">
        <f t="shared" si="72"/>
        <v>143.923</v>
      </c>
      <c r="AR106" s="102"/>
      <c r="AS106" s="102"/>
      <c r="AT106" s="102"/>
      <c r="AU106" s="102"/>
      <c r="AV106" s="102"/>
      <c r="AW106" s="102"/>
    </row>
    <row r="107" spans="2:49">
      <c r="B107" t="s">
        <v>113</v>
      </c>
      <c r="G107" s="57">
        <f ca="1">OFFSET(R107,0,MATCH($G$2,$R$3:$AW$3,0)-1)*4</f>
        <v>152.07999999999998</v>
      </c>
      <c r="H107" s="33">
        <f ca="1">SUM(OFFSET(R107,0,MATCH($G$2,$R$3:$AW$3,0)-4),OFFSET(R107,0,MATCH($G$2,$R$3:$AW$3,0)-3),OFFSET(R107,0,MATCH($G$2,$R$3:$AW$3,0)-2),OFFSET(R107,0,MATCH($G$2,$R$3:$AW$3,0)-1))</f>
        <v>140.92800000000005</v>
      </c>
      <c r="J107" s="9">
        <f>SUM(R107:U107)</f>
        <v>168.654</v>
      </c>
      <c r="K107" s="9">
        <f>SUM(V107:Y107)</f>
        <v>103.19899999999997</v>
      </c>
      <c r="L107" s="9">
        <f>SUM(Z107:AC107)</f>
        <v>16.065499999999989</v>
      </c>
      <c r="M107" s="9">
        <f>SUM(AD107:AG107)</f>
        <v>48.180000000000007</v>
      </c>
      <c r="N107" s="9">
        <f>SUM(AH107:AK107)</f>
        <v>83.813000000000017</v>
      </c>
      <c r="O107" s="9">
        <f>SUM(AL107:AO107)</f>
        <v>134.32300000000006</v>
      </c>
      <c r="P107" s="102"/>
      <c r="R107" s="68">
        <f t="shared" ref="R107:AQ107" si="73">R103</f>
        <v>46.997000000000028</v>
      </c>
      <c r="S107" s="68">
        <f t="shared" si="73"/>
        <v>50.066999999999943</v>
      </c>
      <c r="T107" s="68">
        <f t="shared" si="73"/>
        <v>33.878000000000043</v>
      </c>
      <c r="U107" s="68">
        <f t="shared" si="73"/>
        <v>37.711999999999989</v>
      </c>
      <c r="V107" s="68">
        <f t="shared" si="73"/>
        <v>46.627000000000038</v>
      </c>
      <c r="W107" s="68">
        <f t="shared" si="73"/>
        <v>32.191999999999929</v>
      </c>
      <c r="X107" s="68">
        <f t="shared" si="73"/>
        <v>18.216999999999977</v>
      </c>
      <c r="Y107" s="68">
        <f t="shared" si="73"/>
        <v>6.1630000000000216</v>
      </c>
      <c r="Z107" s="68">
        <f t="shared" si="73"/>
        <v>13.05399999999999</v>
      </c>
      <c r="AA107" s="68">
        <f t="shared" si="73"/>
        <v>-7.5140000000000198</v>
      </c>
      <c r="AB107" s="68">
        <f t="shared" si="73"/>
        <v>7.3885000000000058</v>
      </c>
      <c r="AC107" s="68">
        <f t="shared" si="73"/>
        <v>3.1370000000000151</v>
      </c>
      <c r="AD107" s="68">
        <f t="shared" si="73"/>
        <v>8.7920000000000016</v>
      </c>
      <c r="AE107" s="68">
        <f t="shared" si="73"/>
        <v>11.996000000000006</v>
      </c>
      <c r="AF107" s="68">
        <f t="shared" si="73"/>
        <v>16.056999999999992</v>
      </c>
      <c r="AG107" s="68">
        <f t="shared" si="73"/>
        <v>11.335000000000004</v>
      </c>
      <c r="AH107" s="68">
        <f t="shared" si="73"/>
        <v>15.077</v>
      </c>
      <c r="AI107" s="68">
        <f t="shared" si="73"/>
        <v>20.870000000000079</v>
      </c>
      <c r="AJ107" s="68">
        <f t="shared" si="73"/>
        <v>26.54199999999997</v>
      </c>
      <c r="AK107" s="68">
        <f t="shared" si="73"/>
        <v>21.323999999999977</v>
      </c>
      <c r="AL107" s="68">
        <f t="shared" si="73"/>
        <v>27.037000000000031</v>
      </c>
      <c r="AM107" s="68">
        <f t="shared" si="73"/>
        <v>34.23600000000004</v>
      </c>
      <c r="AN107" s="68">
        <f t="shared" si="73"/>
        <v>38.210999999999963</v>
      </c>
      <c r="AO107" s="68">
        <f t="shared" si="73"/>
        <v>34.83900000000002</v>
      </c>
      <c r="AP107" s="68">
        <f t="shared" si="73"/>
        <v>29.858000000000072</v>
      </c>
      <c r="AQ107" s="68">
        <f t="shared" si="73"/>
        <v>38.019999999999996</v>
      </c>
      <c r="AR107" s="102"/>
      <c r="AS107" s="102"/>
      <c r="AT107" s="102"/>
      <c r="AU107" s="102"/>
      <c r="AV107" s="102"/>
      <c r="AW107" s="102"/>
    </row>
    <row r="108" spans="2:49">
      <c r="B108" s="7" t="s">
        <v>114</v>
      </c>
      <c r="C108" s="7"/>
      <c r="D108" s="7"/>
      <c r="E108" s="7"/>
      <c r="F108" s="7"/>
      <c r="G108" s="58">
        <f ca="1">OFFSET(R108,0,MATCH($G$2,$R$3:$AW$3,0)-1)*4</f>
        <v>-9.9120000000000346</v>
      </c>
      <c r="H108" s="46">
        <f ca="1">SUM(OFFSET(R108,0,MATCH($G$2,$R$3:$AW$3,0)-4),OFFSET(R108,0,MATCH($G$2,$R$3:$AW$3,0)-3),OFFSET(R108,0,MATCH($G$2,$R$3:$AW$3,0)-2),OFFSET(R108,0,MATCH($G$2,$R$3:$AW$3,0)-1))</f>
        <v>-9.9520000000002256</v>
      </c>
      <c r="I108" s="7"/>
      <c r="J108" s="11">
        <f>SUM(R108:U108)</f>
        <v>-32.273999999999909</v>
      </c>
      <c r="K108" s="11">
        <f>SUM(V108:Y108)</f>
        <v>-9.7510000000000616</v>
      </c>
      <c r="L108" s="11">
        <f>SUM(Z108:AC108)</f>
        <v>-6.2015000000000668</v>
      </c>
      <c r="M108" s="11">
        <f>SUM(AD108:AG108)</f>
        <v>-6.6369999999998939</v>
      </c>
      <c r="N108" s="11">
        <f>SUM(AH108:AK108)</f>
        <v>-10.197999999999951</v>
      </c>
      <c r="O108" s="11">
        <f>SUM(AL108:AO108)</f>
        <v>-16.249000000000052</v>
      </c>
      <c r="P108" s="103"/>
      <c r="Q108" s="7"/>
      <c r="R108" s="76">
        <f t="shared" ref="R108:AQ108" si="74">R109-R107-R106</f>
        <v>-3.4770000000000039</v>
      </c>
      <c r="S108" s="76">
        <f t="shared" si="74"/>
        <v>-22.173999999999886</v>
      </c>
      <c r="T108" s="76">
        <f t="shared" si="74"/>
        <v>-3.6699999999999875</v>
      </c>
      <c r="U108" s="76">
        <f t="shared" si="74"/>
        <v>-2.9530000000000314</v>
      </c>
      <c r="V108" s="76">
        <f t="shared" si="74"/>
        <v>-2.203000000000003</v>
      </c>
      <c r="W108" s="76">
        <f t="shared" si="74"/>
        <v>-2.7090000000000742</v>
      </c>
      <c r="X108" s="76">
        <f t="shared" si="74"/>
        <v>-2.6290000000000191</v>
      </c>
      <c r="Y108" s="76">
        <f t="shared" si="74"/>
        <v>-2.2099999999999653</v>
      </c>
      <c r="Z108" s="76">
        <f t="shared" si="74"/>
        <v>-2.1970000000000027</v>
      </c>
      <c r="AA108" s="76">
        <f t="shared" si="74"/>
        <v>-1.6020000000000181</v>
      </c>
      <c r="AB108" s="76">
        <f t="shared" si="74"/>
        <v>-2.1034999999999968</v>
      </c>
      <c r="AC108" s="76">
        <f t="shared" si="74"/>
        <v>-0.29900000000004923</v>
      </c>
      <c r="AD108" s="76">
        <f t="shared" si="74"/>
        <v>-2.3899999999999935</v>
      </c>
      <c r="AE108" s="76">
        <f t="shared" si="74"/>
        <v>-0.93399999999996908</v>
      </c>
      <c r="AF108" s="76">
        <f t="shared" si="74"/>
        <v>-3.0329999999998876</v>
      </c>
      <c r="AG108" s="76">
        <f t="shared" si="74"/>
        <v>-0.28000000000004377</v>
      </c>
      <c r="AH108" s="76">
        <f t="shared" si="74"/>
        <v>-1.2889999999999731</v>
      </c>
      <c r="AI108" s="76">
        <f t="shared" si="74"/>
        <v>-0.6920000000000357</v>
      </c>
      <c r="AJ108" s="76">
        <f t="shared" si="74"/>
        <v>-3.6759999999999735</v>
      </c>
      <c r="AK108" s="76">
        <f t="shared" si="74"/>
        <v>-4.5409999999999684</v>
      </c>
      <c r="AL108" s="76">
        <f t="shared" si="74"/>
        <v>-4.8860000000000525</v>
      </c>
      <c r="AM108" s="76">
        <f t="shared" si="74"/>
        <v>-5.4879999999999427</v>
      </c>
      <c r="AN108" s="76">
        <f t="shared" si="74"/>
        <v>-2.8910000000000764</v>
      </c>
      <c r="AO108" s="76">
        <f t="shared" si="74"/>
        <v>-2.9839999999999804</v>
      </c>
      <c r="AP108" s="76">
        <f t="shared" si="74"/>
        <v>-1.5990000000001601</v>
      </c>
      <c r="AQ108" s="76">
        <f t="shared" si="74"/>
        <v>-2.4780000000000086</v>
      </c>
      <c r="AR108" s="103"/>
      <c r="AS108" s="103"/>
      <c r="AT108" s="103"/>
      <c r="AU108" s="103"/>
      <c r="AV108" s="103"/>
      <c r="AW108" s="103"/>
    </row>
    <row r="109" spans="2:49">
      <c r="B109" s="1" t="s">
        <v>115</v>
      </c>
      <c r="G109" s="61">
        <f ca="1">SUM(G106:G108)</f>
        <v>717.8599999999999</v>
      </c>
      <c r="H109" s="77">
        <f ca="1">SUM(H106:H108)</f>
        <v>630.9409999999998</v>
      </c>
      <c r="J109" s="6">
        <f t="shared" ref="J109:O109" si="75">SUM(J106:J108)</f>
        <v>466.10300000000029</v>
      </c>
      <c r="K109" s="6">
        <f t="shared" si="75"/>
        <v>489.03199999999993</v>
      </c>
      <c r="L109" s="6">
        <f t="shared" si="75"/>
        <v>360.31800000000004</v>
      </c>
      <c r="M109" s="6">
        <f t="shared" si="75"/>
        <v>290.53700000000009</v>
      </c>
      <c r="N109" s="6">
        <f t="shared" si="75"/>
        <v>387.35</v>
      </c>
      <c r="O109" s="6">
        <f t="shared" si="75"/>
        <v>541.23900000000003</v>
      </c>
      <c r="P109" s="102"/>
      <c r="R109" s="6">
        <f t="shared" ref="R109:AQ109" si="76">R23</f>
        <v>103.04000000000009</v>
      </c>
      <c r="S109" s="6">
        <f t="shared" si="76"/>
        <v>110.90300000000013</v>
      </c>
      <c r="T109" s="6">
        <f t="shared" si="76"/>
        <v>125.86900000000006</v>
      </c>
      <c r="U109" s="6">
        <f t="shared" si="76"/>
        <v>126.291</v>
      </c>
      <c r="V109" s="6">
        <f t="shared" si="76"/>
        <v>125.17200000000001</v>
      </c>
      <c r="W109" s="6">
        <f t="shared" si="76"/>
        <v>127.81799999999991</v>
      </c>
      <c r="X109" s="6">
        <f t="shared" si="76"/>
        <v>132.72999999999996</v>
      </c>
      <c r="Y109" s="6">
        <f t="shared" si="76"/>
        <v>103.31200000000013</v>
      </c>
      <c r="Z109" s="6">
        <f t="shared" si="76"/>
        <v>106.87200000000006</v>
      </c>
      <c r="AA109" s="6">
        <f t="shared" si="76"/>
        <v>88.943000000000012</v>
      </c>
      <c r="AB109" s="6">
        <f t="shared" si="76"/>
        <v>85.006</v>
      </c>
      <c r="AC109" s="6">
        <f t="shared" si="76"/>
        <v>79.496999999999971</v>
      </c>
      <c r="AD109" s="6">
        <f t="shared" si="76"/>
        <v>55.921000000000006</v>
      </c>
      <c r="AE109" s="6">
        <f t="shared" si="76"/>
        <v>77.041000000000054</v>
      </c>
      <c r="AF109" s="6">
        <f t="shared" si="76"/>
        <v>76.419000000000054</v>
      </c>
      <c r="AG109" s="6">
        <f t="shared" si="76"/>
        <v>81.155999999999977</v>
      </c>
      <c r="AH109" s="6">
        <f t="shared" si="76"/>
        <v>74.809000000000026</v>
      </c>
      <c r="AI109" s="6">
        <f t="shared" si="76"/>
        <v>95.205999999999989</v>
      </c>
      <c r="AJ109" s="6">
        <f t="shared" si="76"/>
        <v>108.94900000000003</v>
      </c>
      <c r="AK109" s="6">
        <f t="shared" si="76"/>
        <v>108.386</v>
      </c>
      <c r="AL109" s="6">
        <f t="shared" si="76"/>
        <v>110.32899999999992</v>
      </c>
      <c r="AM109" s="6">
        <f t="shared" si="76"/>
        <v>138.52500000000009</v>
      </c>
      <c r="AN109" s="6">
        <f t="shared" si="76"/>
        <v>145.43999999999988</v>
      </c>
      <c r="AO109" s="6">
        <f t="shared" si="76"/>
        <v>146.94500000000008</v>
      </c>
      <c r="AP109" s="6">
        <f t="shared" si="76"/>
        <v>159.09099999999989</v>
      </c>
      <c r="AQ109" s="6">
        <f t="shared" si="76"/>
        <v>179.465</v>
      </c>
      <c r="AR109" s="102"/>
      <c r="AS109" s="102"/>
      <c r="AT109" s="102"/>
      <c r="AU109" s="102"/>
      <c r="AV109" s="102"/>
      <c r="AW109" s="102"/>
    </row>
    <row r="110" spans="2:49">
      <c r="B110" s="3" t="s">
        <v>104</v>
      </c>
      <c r="G110" s="64"/>
      <c r="H110" s="64"/>
      <c r="J110" s="19"/>
      <c r="K110" s="8">
        <f>K109/J109-1</f>
        <v>4.9192989532355735E-2</v>
      </c>
      <c r="L110" s="8">
        <f>L109/K109-1</f>
        <v>-0.26320159007999455</v>
      </c>
      <c r="M110" s="8">
        <f>M109/L109-1</f>
        <v>-0.19366504032549015</v>
      </c>
      <c r="N110" s="8">
        <f>N109/M109-1</f>
        <v>0.3332208978546618</v>
      </c>
      <c r="O110" s="8">
        <f>O109/N109-1</f>
        <v>0.39728669162256347</v>
      </c>
      <c r="P110" s="102"/>
      <c r="R110" s="19"/>
      <c r="S110" s="19"/>
      <c r="T110" s="19"/>
      <c r="U110" s="19"/>
      <c r="V110" s="8">
        <f t="shared" ref="V110:AQ110" si="77">V109/R109-1</f>
        <v>0.21479037267080647</v>
      </c>
      <c r="W110" s="8">
        <f t="shared" si="77"/>
        <v>0.1525206712171876</v>
      </c>
      <c r="X110" s="8">
        <f t="shared" si="77"/>
        <v>5.4509053063104496E-2</v>
      </c>
      <c r="Y110" s="8">
        <f t="shared" si="77"/>
        <v>-0.18195279156867772</v>
      </c>
      <c r="Z110" s="8">
        <f t="shared" si="77"/>
        <v>-0.14619883040935633</v>
      </c>
      <c r="AA110" s="8">
        <f t="shared" si="77"/>
        <v>-0.30414339138462443</v>
      </c>
      <c r="AB110" s="8">
        <f t="shared" si="77"/>
        <v>-0.35955699540420383</v>
      </c>
      <c r="AC110" s="8">
        <f t="shared" si="77"/>
        <v>-0.23051533219761622</v>
      </c>
      <c r="AD110" s="8">
        <f t="shared" si="77"/>
        <v>-0.47674788532075774</v>
      </c>
      <c r="AE110" s="8">
        <f t="shared" si="77"/>
        <v>-0.13381603948596243</v>
      </c>
      <c r="AF110" s="8">
        <f t="shared" si="77"/>
        <v>-0.10101639884243407</v>
      </c>
      <c r="AG110" s="8">
        <f t="shared" si="77"/>
        <v>2.086871202686913E-2</v>
      </c>
      <c r="AH110" s="8">
        <f t="shared" si="77"/>
        <v>0.33776220024677706</v>
      </c>
      <c r="AI110" s="8">
        <f t="shared" si="77"/>
        <v>0.2357835438273117</v>
      </c>
      <c r="AJ110" s="8">
        <f t="shared" si="77"/>
        <v>0.42567947761682245</v>
      </c>
      <c r="AK110" s="8">
        <f t="shared" si="77"/>
        <v>0.33552664005125954</v>
      </c>
      <c r="AL110" s="8">
        <f t="shared" si="77"/>
        <v>0.47480918071354905</v>
      </c>
      <c r="AM110" s="8">
        <f t="shared" si="77"/>
        <v>0.45500283595571811</v>
      </c>
      <c r="AN110" s="8">
        <f t="shared" si="77"/>
        <v>0.33493652993602363</v>
      </c>
      <c r="AO110" s="8">
        <f t="shared" si="77"/>
        <v>0.3557562784861521</v>
      </c>
      <c r="AP110" s="8">
        <f t="shared" si="77"/>
        <v>0.44196901993129645</v>
      </c>
      <c r="AQ110" s="8">
        <f t="shared" si="77"/>
        <v>0.29554232088070664</v>
      </c>
      <c r="AR110" s="102"/>
      <c r="AS110" s="102"/>
      <c r="AT110" s="102"/>
      <c r="AU110" s="102"/>
      <c r="AV110" s="102"/>
      <c r="AW110" s="102"/>
    </row>
    <row r="111" spans="2:49">
      <c r="B111" s="3"/>
      <c r="G111" s="64"/>
      <c r="H111" s="52"/>
      <c r="J111" s="19"/>
      <c r="K111" s="8"/>
      <c r="L111" s="8"/>
      <c r="M111" s="8"/>
      <c r="N111" s="8"/>
      <c r="O111" s="8"/>
      <c r="P111" s="102"/>
      <c r="R111" s="19"/>
      <c r="S111" s="19"/>
      <c r="T111" s="19"/>
      <c r="U111" s="19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102"/>
      <c r="AS111" s="102"/>
      <c r="AT111" s="102"/>
      <c r="AU111" s="102"/>
      <c r="AV111" s="102"/>
      <c r="AW111" s="102"/>
    </row>
    <row r="112" spans="2:49">
      <c r="B112" t="s">
        <v>116</v>
      </c>
      <c r="G112" s="57">
        <f ca="1">OFFSET(R112,0,MATCH($G$2,$R$3:$AW$3,0)-1)*4</f>
        <v>13320</v>
      </c>
      <c r="H112" s="33">
        <f ca="1">SUM(OFFSET(R112,0,MATCH($G$2,$R$3:$AW$3,0)-4),OFFSET(R112,0,MATCH($G$2,$R$3:$AW$3,0)-3),OFFSET(R112,0,MATCH($G$2,$R$3:$AW$3,0)-2),OFFSET(R112,0,MATCH($G$2,$R$3:$AW$3,0)-1))</f>
        <v>13265</v>
      </c>
      <c r="J112" s="9">
        <f>SUM(R112:U112)</f>
        <v>14501</v>
      </c>
      <c r="K112" s="9">
        <f>SUM(V112:Y112)</f>
        <v>14611</v>
      </c>
      <c r="L112" s="9">
        <f>SUM(Z112:AC112)</f>
        <v>13006</v>
      </c>
      <c r="M112" s="9">
        <f>SUM(AD112:AG112)</f>
        <v>13696</v>
      </c>
      <c r="N112" s="9">
        <f>SUM(AH112:AK112)</f>
        <v>13775</v>
      </c>
      <c r="O112" s="9">
        <f>SUM(AL112:AO112)</f>
        <v>13571</v>
      </c>
      <c r="P112" s="102"/>
      <c r="R112" s="10">
        <v>3182</v>
      </c>
      <c r="S112" s="10">
        <v>3921</v>
      </c>
      <c r="T112" s="10">
        <v>3721</v>
      </c>
      <c r="U112" s="10">
        <v>3677</v>
      </c>
      <c r="V112" s="10">
        <v>3146</v>
      </c>
      <c r="W112" s="10">
        <v>3707</v>
      </c>
      <c r="X112" s="10">
        <v>3958</v>
      </c>
      <c r="Y112" s="10">
        <v>3800</v>
      </c>
      <c r="Z112" s="10">
        <v>3619</v>
      </c>
      <c r="AA112" s="10">
        <v>3688</v>
      </c>
      <c r="AB112" s="10">
        <v>2794</v>
      </c>
      <c r="AC112" s="10">
        <v>2905</v>
      </c>
      <c r="AD112" s="10">
        <v>2981</v>
      </c>
      <c r="AE112" s="10">
        <v>3478</v>
      </c>
      <c r="AF112" s="10">
        <v>3393</v>
      </c>
      <c r="AG112" s="10">
        <v>3844</v>
      </c>
      <c r="AH112" s="10">
        <v>3168</v>
      </c>
      <c r="AI112" s="10">
        <v>3536</v>
      </c>
      <c r="AJ112" s="10">
        <v>3706</v>
      </c>
      <c r="AK112" s="10">
        <v>3365</v>
      </c>
      <c r="AL112" s="10">
        <v>3440</v>
      </c>
      <c r="AM112" s="10">
        <v>3500</v>
      </c>
      <c r="AN112" s="10">
        <v>3291</v>
      </c>
      <c r="AO112" s="10">
        <v>3340</v>
      </c>
      <c r="AP112" s="10">
        <v>3304</v>
      </c>
      <c r="AQ112" s="145">
        <v>3330</v>
      </c>
      <c r="AR112" s="102"/>
      <c r="AS112" s="102"/>
      <c r="AT112" s="102"/>
      <c r="AU112" s="102"/>
      <c r="AV112" s="102"/>
      <c r="AW112" s="102"/>
    </row>
    <row r="113" spans="2:49">
      <c r="B113" s="7" t="s">
        <v>117</v>
      </c>
      <c r="C113" s="7"/>
      <c r="D113" s="7"/>
      <c r="E113" s="7"/>
      <c r="F113" s="7"/>
      <c r="G113" s="117">
        <f ca="1">G114/G112*100</f>
        <v>11.799999999999999</v>
      </c>
      <c r="H113" s="118">
        <f ca="1">H114/H112*100</f>
        <v>11.351111948737277</v>
      </c>
      <c r="I113" s="119"/>
      <c r="J113" s="120">
        <f t="shared" ref="J113:O113" si="78">J114/J112*100</f>
        <v>7.7083856285773384</v>
      </c>
      <c r="K113" s="120">
        <f t="shared" si="78"/>
        <v>8.3688180138252015</v>
      </c>
      <c r="L113" s="120">
        <f t="shared" si="78"/>
        <v>8.4279870828848225</v>
      </c>
      <c r="M113" s="120">
        <f t="shared" si="78"/>
        <v>7.3369450934579428</v>
      </c>
      <c r="N113" s="120">
        <f t="shared" si="78"/>
        <v>9.2789981851179668</v>
      </c>
      <c r="O113" s="120">
        <f t="shared" si="78"/>
        <v>10.440181268882174</v>
      </c>
      <c r="P113" s="121"/>
      <c r="Q113" s="119"/>
      <c r="R113" s="122">
        <v>8</v>
      </c>
      <c r="S113" s="122">
        <v>7.3</v>
      </c>
      <c r="T113" s="122">
        <v>7.7</v>
      </c>
      <c r="U113" s="122">
        <v>7.9</v>
      </c>
      <c r="V113" s="122">
        <v>9</v>
      </c>
      <c r="W113" s="122">
        <v>8.4</v>
      </c>
      <c r="X113" s="122">
        <v>8</v>
      </c>
      <c r="Y113" s="122">
        <v>8.1999999999999993</v>
      </c>
      <c r="Z113" s="122">
        <v>8.8000000000000007</v>
      </c>
      <c r="AA113" s="122">
        <v>8.1999999999999993</v>
      </c>
      <c r="AB113" s="122">
        <v>8.9</v>
      </c>
      <c r="AC113" s="122">
        <v>7.8</v>
      </c>
      <c r="AD113" s="122">
        <v>7.5</v>
      </c>
      <c r="AE113" s="122">
        <v>7.3</v>
      </c>
      <c r="AF113" s="122">
        <v>7.5</v>
      </c>
      <c r="AG113" s="122">
        <v>7.1</v>
      </c>
      <c r="AH113" s="122">
        <v>8.8000000000000007</v>
      </c>
      <c r="AI113" s="122">
        <v>9</v>
      </c>
      <c r="AJ113" s="122">
        <v>9.3000000000000007</v>
      </c>
      <c r="AK113" s="122">
        <v>10</v>
      </c>
      <c r="AL113" s="122">
        <v>9.8000000000000007</v>
      </c>
      <c r="AM113" s="122">
        <v>10.1</v>
      </c>
      <c r="AN113" s="122">
        <v>10.7</v>
      </c>
      <c r="AO113" s="122">
        <v>11.2</v>
      </c>
      <c r="AP113" s="122">
        <v>11.7</v>
      </c>
      <c r="AQ113" s="146">
        <v>11.8</v>
      </c>
      <c r="AR113" s="103"/>
      <c r="AS113" s="103"/>
      <c r="AT113" s="103"/>
      <c r="AU113" s="103"/>
      <c r="AV113" s="103"/>
      <c r="AW113" s="103"/>
    </row>
    <row r="114" spans="2:49">
      <c r="B114" s="1" t="s">
        <v>118</v>
      </c>
      <c r="G114" s="59">
        <f ca="1">OFFSET(R114,0,MATCH($G$2,$R$3:$AW$3,0)-1)*4</f>
        <v>1571.76</v>
      </c>
      <c r="H114" s="32">
        <f ca="1">SUM(OFFSET(R114,0,MATCH($G$2,$R$3:$AW$3,0)-4),OFFSET(R114,0,MATCH($G$2,$R$3:$AW$3,0)-3),OFFSET(R114,0,MATCH($G$2,$R$3:$AW$3,0)-2),OFFSET(R114,0,MATCH($G$2,$R$3:$AW$3,0)-1))</f>
        <v>1505.7249999999999</v>
      </c>
      <c r="J114" s="13">
        <f>SUM(R114:U114)</f>
        <v>1117.7929999999999</v>
      </c>
      <c r="K114" s="13">
        <f>SUM(V114:Y114)</f>
        <v>1222.768</v>
      </c>
      <c r="L114" s="13">
        <f>SUM(Z114:AC114)</f>
        <v>1096.144</v>
      </c>
      <c r="M114" s="13">
        <f>SUM(AD114:AG114)</f>
        <v>1004.8679999999999</v>
      </c>
      <c r="N114" s="13">
        <f>SUM(AH114:AK114)</f>
        <v>1278.182</v>
      </c>
      <c r="O114" s="13">
        <f>SUM(AL114:AO114)</f>
        <v>1416.837</v>
      </c>
      <c r="P114" s="102"/>
      <c r="R114" s="18">
        <f t="shared" ref="R114:AQ114" si="79">R112*R113/100</f>
        <v>254.56</v>
      </c>
      <c r="S114" s="18">
        <f t="shared" si="79"/>
        <v>286.233</v>
      </c>
      <c r="T114" s="18">
        <f t="shared" si="79"/>
        <v>286.517</v>
      </c>
      <c r="U114" s="18">
        <f t="shared" si="79"/>
        <v>290.483</v>
      </c>
      <c r="V114" s="18">
        <f t="shared" si="79"/>
        <v>283.14</v>
      </c>
      <c r="W114" s="18">
        <f t="shared" si="79"/>
        <v>311.38800000000003</v>
      </c>
      <c r="X114" s="18">
        <f t="shared" si="79"/>
        <v>316.64</v>
      </c>
      <c r="Y114" s="18">
        <f t="shared" si="79"/>
        <v>311.59999999999997</v>
      </c>
      <c r="Z114" s="18">
        <f t="shared" si="79"/>
        <v>318.47200000000004</v>
      </c>
      <c r="AA114" s="18">
        <f t="shared" si="79"/>
        <v>302.416</v>
      </c>
      <c r="AB114" s="18">
        <f t="shared" si="79"/>
        <v>248.66600000000003</v>
      </c>
      <c r="AC114" s="18">
        <f t="shared" si="79"/>
        <v>226.59</v>
      </c>
      <c r="AD114" s="18">
        <f t="shared" si="79"/>
        <v>223.57499999999999</v>
      </c>
      <c r="AE114" s="18">
        <f t="shared" si="79"/>
        <v>253.89399999999998</v>
      </c>
      <c r="AF114" s="18">
        <f t="shared" si="79"/>
        <v>254.47499999999999</v>
      </c>
      <c r="AG114" s="18">
        <f t="shared" si="79"/>
        <v>272.92399999999998</v>
      </c>
      <c r="AH114" s="18">
        <f t="shared" si="79"/>
        <v>278.78399999999999</v>
      </c>
      <c r="AI114" s="18">
        <f t="shared" si="79"/>
        <v>318.24</v>
      </c>
      <c r="AJ114" s="18">
        <f t="shared" si="79"/>
        <v>344.65800000000002</v>
      </c>
      <c r="AK114" s="18">
        <f t="shared" si="79"/>
        <v>336.5</v>
      </c>
      <c r="AL114" s="18">
        <f t="shared" si="79"/>
        <v>337.12</v>
      </c>
      <c r="AM114" s="18">
        <f t="shared" si="79"/>
        <v>353.5</v>
      </c>
      <c r="AN114" s="18">
        <f t="shared" si="79"/>
        <v>352.13699999999994</v>
      </c>
      <c r="AO114" s="18">
        <f t="shared" si="79"/>
        <v>374.08</v>
      </c>
      <c r="AP114" s="18">
        <f t="shared" si="79"/>
        <v>386.56799999999998</v>
      </c>
      <c r="AQ114" s="18">
        <f t="shared" si="79"/>
        <v>392.94</v>
      </c>
      <c r="AR114" s="102"/>
      <c r="AS114" s="102"/>
      <c r="AT114" s="102"/>
      <c r="AU114" s="102"/>
      <c r="AV114" s="102"/>
      <c r="AW114" s="102"/>
    </row>
    <row r="115" spans="2:49">
      <c r="B115" s="1" t="s">
        <v>119</v>
      </c>
      <c r="G115" s="59">
        <f ca="1">G91-G114</f>
        <v>367.47199999999998</v>
      </c>
      <c r="H115" s="59">
        <f ca="1">H91-H114</f>
        <v>336.97500000000014</v>
      </c>
      <c r="J115" s="13">
        <f t="shared" ref="J115:O115" si="80">J91-J114</f>
        <v>365.35000000000014</v>
      </c>
      <c r="K115" s="13">
        <f t="shared" si="80"/>
        <v>364.31399999999985</v>
      </c>
      <c r="L115" s="13">
        <f t="shared" si="80"/>
        <v>308.12099999999987</v>
      </c>
      <c r="M115" s="13">
        <f t="shared" si="80"/>
        <v>318.04999999999995</v>
      </c>
      <c r="N115" s="13">
        <f t="shared" si="80"/>
        <v>338.78500000000008</v>
      </c>
      <c r="O115" s="13">
        <f t="shared" si="80"/>
        <v>305.10000000000014</v>
      </c>
      <c r="P115" s="102"/>
      <c r="R115" s="13">
        <f t="shared" ref="R115:AQ115" si="81">R91-R114</f>
        <v>85.843000000000018</v>
      </c>
      <c r="S115" s="13">
        <f t="shared" si="81"/>
        <v>91.93</v>
      </c>
      <c r="T115" s="13">
        <f t="shared" si="81"/>
        <v>95.523000000000025</v>
      </c>
      <c r="U115" s="13">
        <f t="shared" si="81"/>
        <v>92.053999999999974</v>
      </c>
      <c r="V115" s="13">
        <f t="shared" si="81"/>
        <v>84.980999999999995</v>
      </c>
      <c r="W115" s="13">
        <f t="shared" si="81"/>
        <v>92.897999999999968</v>
      </c>
      <c r="X115" s="13">
        <f t="shared" si="81"/>
        <v>96.025000000000034</v>
      </c>
      <c r="Y115" s="13">
        <f t="shared" si="81"/>
        <v>90.410000000000025</v>
      </c>
      <c r="Z115" s="13">
        <f t="shared" si="81"/>
        <v>84.784999999999968</v>
      </c>
      <c r="AA115" s="13">
        <f t="shared" si="81"/>
        <v>78.571000000000026</v>
      </c>
      <c r="AB115" s="13">
        <f t="shared" si="81"/>
        <v>71.93599999999995</v>
      </c>
      <c r="AC115" s="13">
        <f t="shared" si="81"/>
        <v>72.828999999999979</v>
      </c>
      <c r="AD115" s="13">
        <f t="shared" si="81"/>
        <v>77.376000000000033</v>
      </c>
      <c r="AE115" s="13">
        <f t="shared" si="81"/>
        <v>78.993000000000023</v>
      </c>
      <c r="AF115" s="13">
        <f t="shared" si="81"/>
        <v>84.039000000000016</v>
      </c>
      <c r="AG115" s="13">
        <f t="shared" si="81"/>
        <v>77.641999999999996</v>
      </c>
      <c r="AH115" s="13">
        <f t="shared" si="81"/>
        <v>76.75200000000001</v>
      </c>
      <c r="AI115" s="13">
        <f t="shared" si="81"/>
        <v>87.414999999999964</v>
      </c>
      <c r="AJ115" s="13">
        <f t="shared" si="81"/>
        <v>88.382000000000005</v>
      </c>
      <c r="AK115" s="13">
        <f t="shared" si="81"/>
        <v>86.23599999999999</v>
      </c>
      <c r="AL115" s="13">
        <f t="shared" si="81"/>
        <v>75.375</v>
      </c>
      <c r="AM115" s="13">
        <f t="shared" si="81"/>
        <v>73.461999999999989</v>
      </c>
      <c r="AN115" s="13">
        <f t="shared" si="81"/>
        <v>77.748000000000047</v>
      </c>
      <c r="AO115" s="13">
        <f t="shared" si="81"/>
        <v>78.515000000000043</v>
      </c>
      <c r="AP115" s="13">
        <f t="shared" si="81"/>
        <v>88.843999999999994</v>
      </c>
      <c r="AQ115" s="13">
        <f t="shared" si="81"/>
        <v>91.867999999999995</v>
      </c>
      <c r="AR115" s="102"/>
      <c r="AS115" s="102"/>
      <c r="AT115" s="102"/>
      <c r="AU115" s="102"/>
      <c r="AV115" s="102"/>
      <c r="AW115" s="102"/>
    </row>
    <row r="116" spans="2:49">
      <c r="B116" s="3"/>
      <c r="G116" s="64"/>
      <c r="H116" s="52"/>
      <c r="J116" s="19"/>
      <c r="K116" s="8"/>
      <c r="L116" s="8"/>
      <c r="M116" s="8"/>
      <c r="N116" s="8"/>
      <c r="O116" s="8"/>
      <c r="P116" s="102"/>
      <c r="R116" s="19"/>
      <c r="S116" s="19"/>
      <c r="T116" s="19"/>
      <c r="U116" s="19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102"/>
      <c r="AS116" s="102"/>
      <c r="AT116" s="102"/>
      <c r="AU116" s="102"/>
      <c r="AV116" s="102"/>
      <c r="AW116" s="102"/>
    </row>
    <row r="117" spans="2:49">
      <c r="P117" s="102"/>
      <c r="AR117" s="102"/>
      <c r="AS117" s="102"/>
      <c r="AT117" s="102"/>
      <c r="AU117" s="102"/>
      <c r="AV117" s="102"/>
      <c r="AW117" s="102"/>
    </row>
    <row r="118" spans="2:49">
      <c r="P118" s="102"/>
      <c r="AR118" s="102"/>
      <c r="AS118" s="102"/>
      <c r="AT118" s="102"/>
      <c r="AU118" s="102"/>
      <c r="AV118" s="102"/>
      <c r="AW118" s="102"/>
    </row>
    <row r="119" spans="2:49">
      <c r="P119" s="102"/>
      <c r="AR119" s="102"/>
      <c r="AS119" s="102"/>
      <c r="AT119" s="102"/>
      <c r="AU119" s="102"/>
      <c r="AV119" s="102"/>
      <c r="AW119" s="102"/>
    </row>
    <row r="120" spans="2:49">
      <c r="P120" s="102"/>
      <c r="AR120" s="102"/>
      <c r="AS120" s="102"/>
      <c r="AT120" s="102"/>
      <c r="AU120" s="102"/>
      <c r="AV120" s="102"/>
      <c r="AW120" s="102"/>
    </row>
    <row r="121" spans="2:49">
      <c r="P121" s="102"/>
      <c r="AR121" s="102"/>
      <c r="AS121" s="102"/>
      <c r="AT121" s="102"/>
      <c r="AU121" s="102"/>
      <c r="AV121" s="102"/>
      <c r="AW121" s="102"/>
    </row>
    <row r="122" spans="2:49">
      <c r="P122" s="102"/>
      <c r="AR122" s="102"/>
      <c r="AS122" s="102"/>
      <c r="AT122" s="102"/>
      <c r="AU122" s="102"/>
      <c r="AV122" s="102"/>
      <c r="AW122" s="102"/>
    </row>
    <row r="123" spans="2:49">
      <c r="P123" s="102"/>
      <c r="AR123" s="102"/>
      <c r="AS123" s="102"/>
      <c r="AT123" s="102"/>
      <c r="AU123" s="102"/>
      <c r="AV123" s="102"/>
      <c r="AW123" s="102"/>
    </row>
    <row r="124" spans="2:49">
      <c r="P124" s="102"/>
      <c r="AR124" s="102"/>
      <c r="AS124" s="102"/>
      <c r="AT124" s="102"/>
      <c r="AU124" s="102"/>
      <c r="AV124" s="102"/>
      <c r="AW124" s="102"/>
    </row>
    <row r="125" spans="2:49">
      <c r="P125" s="102"/>
      <c r="AR125" s="102"/>
      <c r="AS125" s="102"/>
      <c r="AT125" s="102"/>
      <c r="AU125" s="102"/>
      <c r="AV125" s="102"/>
      <c r="AW125" s="102"/>
    </row>
    <row r="126" spans="2:49">
      <c r="P126" s="102"/>
      <c r="AR126" s="102"/>
      <c r="AS126" s="102"/>
      <c r="AT126" s="102"/>
      <c r="AU126" s="102"/>
      <c r="AV126" s="102"/>
      <c r="AW126" s="102"/>
    </row>
    <row r="127" spans="2:49">
      <c r="P127" s="102"/>
      <c r="AR127" s="102"/>
      <c r="AS127" s="102"/>
      <c r="AT127" s="102"/>
      <c r="AU127" s="102"/>
      <c r="AV127" s="102"/>
      <c r="AW127" s="102"/>
    </row>
    <row r="128" spans="2:49">
      <c r="P128" s="102"/>
      <c r="AR128" s="102"/>
      <c r="AS128" s="102"/>
      <c r="AT128" s="102"/>
      <c r="AU128" s="102"/>
      <c r="AV128" s="102"/>
      <c r="AW128" s="102"/>
    </row>
    <row r="129" spans="16:49">
      <c r="P129" s="102"/>
      <c r="AR129" s="102"/>
      <c r="AS129" s="102"/>
      <c r="AT129" s="102"/>
      <c r="AU129" s="102"/>
      <c r="AV129" s="102"/>
      <c r="AW129" s="102"/>
    </row>
    <row r="130" spans="16:49">
      <c r="P130" s="102"/>
      <c r="AR130" s="102"/>
      <c r="AS130" s="102"/>
      <c r="AT130" s="102"/>
      <c r="AU130" s="102"/>
      <c r="AV130" s="102"/>
      <c r="AW130" s="102"/>
    </row>
    <row r="131" spans="16:49">
      <c r="P131" s="102"/>
      <c r="AR131" s="102"/>
      <c r="AS131" s="102"/>
      <c r="AT131" s="102"/>
      <c r="AU131" s="102"/>
      <c r="AV131" s="102"/>
      <c r="AW131" s="102"/>
    </row>
    <row r="132" spans="16:49">
      <c r="P132" s="102"/>
      <c r="AR132" s="102"/>
      <c r="AS132" s="102"/>
      <c r="AT132" s="102"/>
      <c r="AU132" s="102"/>
      <c r="AV132" s="102"/>
      <c r="AW132" s="102"/>
    </row>
    <row r="133" spans="16:49">
      <c r="P133" s="102"/>
      <c r="AR133" s="102"/>
      <c r="AS133" s="102"/>
      <c r="AT133" s="102"/>
      <c r="AU133" s="102"/>
      <c r="AV133" s="102"/>
      <c r="AW133" s="102"/>
    </row>
    <row r="134" spans="16:49">
      <c r="P134" s="102"/>
      <c r="AR134" s="102"/>
      <c r="AS134" s="102"/>
      <c r="AT134" s="102"/>
      <c r="AU134" s="102"/>
      <c r="AV134" s="102"/>
      <c r="AW134" s="102"/>
    </row>
    <row r="135" spans="16:49">
      <c r="P135" s="102"/>
      <c r="AR135" s="102"/>
      <c r="AS135" s="102"/>
      <c r="AT135" s="102"/>
      <c r="AU135" s="102"/>
      <c r="AV135" s="102"/>
      <c r="AW135" s="102"/>
    </row>
    <row r="136" spans="16:49">
      <c r="P136" s="102"/>
      <c r="AR136" s="102"/>
      <c r="AS136" s="102"/>
      <c r="AT136" s="102"/>
      <c r="AU136" s="102"/>
      <c r="AV136" s="102"/>
      <c r="AW136" s="102"/>
    </row>
    <row r="137" spans="16:49">
      <c r="P137" s="102"/>
      <c r="AR137" s="102"/>
      <c r="AS137" s="102"/>
      <c r="AT137" s="102"/>
      <c r="AU137" s="102"/>
      <c r="AV137" s="102"/>
      <c r="AW137" s="102"/>
    </row>
    <row r="138" spans="16:49">
      <c r="P138" s="102"/>
      <c r="AR138" s="102"/>
      <c r="AS138" s="102"/>
      <c r="AT138" s="102"/>
      <c r="AU138" s="102"/>
      <c r="AV138" s="102"/>
      <c r="AW138" s="102"/>
    </row>
    <row r="139" spans="16:49">
      <c r="P139" s="102"/>
      <c r="AR139" s="102"/>
      <c r="AS139" s="102"/>
      <c r="AT139" s="102"/>
      <c r="AU139" s="102"/>
      <c r="AV139" s="102"/>
      <c r="AW139" s="102"/>
    </row>
    <row r="140" spans="16:49">
      <c r="P140" s="102"/>
      <c r="AR140" s="102"/>
      <c r="AS140" s="102"/>
      <c r="AT140" s="102"/>
      <c r="AU140" s="102"/>
      <c r="AV140" s="102"/>
      <c r="AW140" s="102"/>
    </row>
    <row r="141" spans="16:49">
      <c r="P141" s="102"/>
      <c r="AR141" s="102"/>
      <c r="AS141" s="102"/>
      <c r="AT141" s="102"/>
      <c r="AU141" s="102"/>
      <c r="AV141" s="102"/>
      <c r="AW141" s="102"/>
    </row>
    <row r="142" spans="16:49">
      <c r="P142" s="102"/>
      <c r="AR142" s="102"/>
      <c r="AS142" s="102"/>
      <c r="AT142" s="102"/>
      <c r="AU142" s="102"/>
      <c r="AV142" s="102"/>
      <c r="AW142" s="102"/>
    </row>
    <row r="143" spans="16:49">
      <c r="P143" s="102"/>
      <c r="AR143" s="102"/>
      <c r="AS143" s="102"/>
      <c r="AT143" s="102"/>
      <c r="AU143" s="102"/>
      <c r="AV143" s="102"/>
      <c r="AW143" s="102"/>
    </row>
    <row r="144" spans="16:49">
      <c r="P144" s="102"/>
      <c r="AR144" s="102"/>
      <c r="AS144" s="102"/>
      <c r="AT144" s="102"/>
      <c r="AU144" s="102"/>
      <c r="AV144" s="102"/>
      <c r="AW144" s="102"/>
    </row>
    <row r="145" spans="16:49">
      <c r="P145" s="102"/>
      <c r="AR145" s="102"/>
      <c r="AS145" s="102"/>
      <c r="AT145" s="102"/>
      <c r="AU145" s="102"/>
      <c r="AV145" s="102"/>
      <c r="AW145" s="102"/>
    </row>
    <row r="146" spans="16:49">
      <c r="P146" s="102"/>
      <c r="AR146" s="102"/>
      <c r="AS146" s="102"/>
      <c r="AT146" s="102"/>
      <c r="AU146" s="102"/>
      <c r="AV146" s="102"/>
      <c r="AW146" s="102"/>
    </row>
    <row r="147" spans="16:49">
      <c r="P147" s="102"/>
      <c r="AR147" s="102"/>
      <c r="AS147" s="102"/>
      <c r="AT147" s="102"/>
      <c r="AU147" s="102"/>
      <c r="AV147" s="102"/>
      <c r="AW147" s="102"/>
    </row>
    <row r="148" spans="16:49">
      <c r="P148" s="102"/>
      <c r="AR148" s="102"/>
      <c r="AS148" s="102"/>
      <c r="AT148" s="102"/>
      <c r="AU148" s="102"/>
      <c r="AV148" s="102"/>
      <c r="AW148" s="102"/>
    </row>
    <row r="149" spans="16:49">
      <c r="P149" s="102"/>
      <c r="AR149" s="102"/>
      <c r="AS149" s="102"/>
      <c r="AT149" s="102"/>
      <c r="AU149" s="102"/>
      <c r="AV149" s="102"/>
      <c r="AW149" s="102"/>
    </row>
    <row r="150" spans="16:49">
      <c r="P150" s="102"/>
      <c r="AR150" s="102"/>
      <c r="AS150" s="102"/>
      <c r="AT150" s="102"/>
      <c r="AU150" s="102"/>
      <c r="AV150" s="102"/>
      <c r="AW150" s="102"/>
    </row>
    <row r="151" spans="16:49">
      <c r="P151" s="102"/>
      <c r="AR151" s="102"/>
      <c r="AS151" s="102"/>
      <c r="AT151" s="102"/>
      <c r="AU151" s="102"/>
      <c r="AV151" s="102"/>
      <c r="AW151" s="102"/>
    </row>
    <row r="152" spans="16:49">
      <c r="P152" s="102"/>
      <c r="AR152" s="102"/>
      <c r="AS152" s="102"/>
      <c r="AT152" s="102"/>
      <c r="AU152" s="102"/>
      <c r="AV152" s="102"/>
      <c r="AW152" s="102"/>
    </row>
    <row r="153" spans="16:49">
      <c r="P153" s="102"/>
      <c r="AR153" s="102"/>
      <c r="AS153" s="102"/>
      <c r="AT153" s="102"/>
      <c r="AU153" s="102"/>
      <c r="AV153" s="102"/>
      <c r="AW153" s="102"/>
    </row>
    <row r="154" spans="16:49">
      <c r="P154" s="102"/>
      <c r="AR154" s="102"/>
      <c r="AS154" s="102"/>
      <c r="AT154" s="102"/>
      <c r="AU154" s="102"/>
      <c r="AV154" s="102"/>
      <c r="AW154" s="102"/>
    </row>
    <row r="155" spans="16:49">
      <c r="P155" s="102"/>
      <c r="AR155" s="102"/>
      <c r="AS155" s="102"/>
      <c r="AT155" s="102"/>
      <c r="AU155" s="102"/>
      <c r="AV155" s="102"/>
      <c r="AW155" s="102"/>
    </row>
    <row r="157" spans="16:49">
      <c r="AP157" s="113"/>
    </row>
    <row r="159" spans="16:49">
      <c r="AP159" s="113"/>
    </row>
    <row r="160" spans="16:49">
      <c r="AP160" s="113"/>
    </row>
    <row r="161" spans="42:42">
      <c r="AP161" s="113"/>
    </row>
    <row r="168" spans="42:42">
      <c r="AP168" t="s">
        <v>120</v>
      </c>
    </row>
  </sheetData>
  <pageMargins left="0.25" right="0.25" top="0.5" bottom="0.5" header="0" footer="0"/>
  <pageSetup scale="25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2:S30"/>
  <sheetViews>
    <sheetView workbookViewId="0">
      <selection activeCell="E28" sqref="E28:E30"/>
    </sheetView>
  </sheetViews>
  <sheetFormatPr defaultRowHeight="14.25"/>
  <sheetData>
    <row r="2" spans="5:18">
      <c r="K2" s="34">
        <f>'Marine DCF'!K2</f>
        <v>0</v>
      </c>
      <c r="L2" s="34">
        <f>'Marine DCF'!L2</f>
        <v>1</v>
      </c>
      <c r="M2" s="34">
        <f>'Marine DCF'!M2</f>
        <v>2</v>
      </c>
      <c r="N2" s="34">
        <f>'Marine DCF'!N2</f>
        <v>3</v>
      </c>
      <c r="O2" s="34">
        <f>'Marine DCF'!O2</f>
        <v>4</v>
      </c>
      <c r="P2" s="34">
        <f>'Marine DCF'!P2</f>
        <v>5</v>
      </c>
      <c r="Q2" s="34">
        <f>'Marine DCF'!Q2</f>
        <v>6</v>
      </c>
      <c r="R2" s="34">
        <f>'Marine DCF'!R2</f>
        <v>7</v>
      </c>
    </row>
    <row r="3" spans="5:18">
      <c r="E3" s="37">
        <f>'Marine DCF'!E3</f>
        <v>2018</v>
      </c>
      <c r="F3" s="37">
        <f>'Marine DCF'!F3</f>
        <v>2019</v>
      </c>
      <c r="G3" s="37">
        <f>'Marine DCF'!G3</f>
        <v>2020</v>
      </c>
      <c r="H3" s="37">
        <f>'Marine DCF'!H3</f>
        <v>2021</v>
      </c>
      <c r="I3" s="37">
        <f>'Marine DCF'!I3</f>
        <v>2022</v>
      </c>
      <c r="J3" s="37">
        <f>'Marine DCF'!J3</f>
        <v>2023</v>
      </c>
      <c r="K3" s="37">
        <f>'Marine DCF'!K3</f>
        <v>2024</v>
      </c>
      <c r="L3" s="37">
        <f>'Marine DCF'!L3</f>
        <v>2025</v>
      </c>
      <c r="M3" s="37">
        <f>'Marine DCF'!M3</f>
        <v>2026</v>
      </c>
      <c r="N3" s="37">
        <f>'Marine DCF'!N3</f>
        <v>2027</v>
      </c>
      <c r="O3" s="37">
        <f>'Marine DCF'!O3</f>
        <v>2028</v>
      </c>
      <c r="P3" s="37">
        <f>'Marine DCF'!P3</f>
        <v>2029</v>
      </c>
      <c r="Q3" s="37">
        <f>'Marine DCF'!Q3</f>
        <v>2030</v>
      </c>
    </row>
    <row r="4" spans="5:18">
      <c r="E4" s="9">
        <f>'Marine DCF'!E4</f>
        <v>14501</v>
      </c>
      <c r="F4" s="9">
        <f>'Marine DCF'!F4</f>
        <v>14611</v>
      </c>
      <c r="G4" s="9">
        <f>'Marine DCF'!G4</f>
        <v>13006</v>
      </c>
      <c r="H4" s="9">
        <f>'Marine DCF'!H4</f>
        <v>13696</v>
      </c>
      <c r="I4" s="9">
        <f>'Marine DCF'!I4</f>
        <v>13775</v>
      </c>
      <c r="J4" s="9">
        <f>'Marine DCF'!J4</f>
        <v>13571</v>
      </c>
      <c r="K4" s="9">
        <f ca="1">'Marine DCF'!K4</f>
        <v>13320</v>
      </c>
      <c r="L4" s="9">
        <f ca="1">'Marine DCF'!L4</f>
        <v>13586.4</v>
      </c>
      <c r="M4" s="9">
        <f ca="1">'Marine DCF'!M4</f>
        <v>13858.128000000001</v>
      </c>
      <c r="N4" s="9">
        <f ca="1">'Marine DCF'!N4</f>
        <v>14135.290560000001</v>
      </c>
      <c r="O4" s="9">
        <f ca="1">'Marine DCF'!O4</f>
        <v>14417.996371200001</v>
      </c>
      <c r="P4" s="9">
        <f ca="1">'Marine DCF'!P4</f>
        <v>14706.356298624001</v>
      </c>
      <c r="Q4" s="9">
        <f ca="1">'Marine DCF'!Q4</f>
        <v>15000.483424596481</v>
      </c>
      <c r="R4" s="5">
        <f ca="1">'Marine DCF'!R4</f>
        <v>15000.483424596481</v>
      </c>
    </row>
    <row r="5" spans="5:18">
      <c r="F5" s="8">
        <f>'Marine DCF'!F5</f>
        <v>7.5856837459484794E-3</v>
      </c>
      <c r="G5" s="8">
        <f>'Marine DCF'!G5</f>
        <v>-0.10984874409691325</v>
      </c>
      <c r="H5" s="8">
        <f>'Marine DCF'!H5</f>
        <v>5.3052437336613911E-2</v>
      </c>
      <c r="I5" s="8">
        <f>'Marine DCF'!I5</f>
        <v>5.7681074766355867E-3</v>
      </c>
      <c r="J5" s="8">
        <f>'Marine DCF'!J5</f>
        <v>-1.4809437386569924E-2</v>
      </c>
      <c r="K5" s="8">
        <f>'Marine DCF'!K5</f>
        <v>0.02</v>
      </c>
      <c r="L5" s="8">
        <f>'Marine DCF'!L5</f>
        <v>0.02</v>
      </c>
      <c r="M5" s="8">
        <f>'Marine DCF'!M5</f>
        <v>0.02</v>
      </c>
      <c r="N5" s="8">
        <f>'Marine DCF'!N5</f>
        <v>0.02</v>
      </c>
      <c r="O5" s="8">
        <f>'Marine DCF'!O5</f>
        <v>0.02</v>
      </c>
      <c r="P5" s="8">
        <f>'Marine DCF'!P5</f>
        <v>0.02</v>
      </c>
      <c r="Q5" s="8">
        <f>'Marine DCF'!Q5</f>
        <v>0.02</v>
      </c>
    </row>
    <row r="6" spans="5:18">
      <c r="E6" s="14">
        <f>'Marine DCF'!E6</f>
        <v>7.7083856285773384</v>
      </c>
      <c r="F6" s="14">
        <f>'Marine DCF'!F6</f>
        <v>8.3688180138252015</v>
      </c>
      <c r="G6" s="14">
        <f>'Marine DCF'!G6</f>
        <v>8.4279870828848225</v>
      </c>
      <c r="H6" s="14">
        <f>'Marine DCF'!H6</f>
        <v>7.3369450934579428</v>
      </c>
      <c r="I6" s="14">
        <f>'Marine DCF'!I6</f>
        <v>9.2789981851179668</v>
      </c>
      <c r="J6" s="14">
        <f>'Marine DCF'!J6</f>
        <v>10.440181268882174</v>
      </c>
      <c r="K6" s="9">
        <f ca="1">'Marine DCF'!K6</f>
        <v>11.799999999999999</v>
      </c>
      <c r="L6" s="9">
        <f ca="1">'Marine DCF'!L6</f>
        <v>12.625999999999999</v>
      </c>
      <c r="M6" s="9">
        <f ca="1">'Marine DCF'!M6</f>
        <v>13.257300000000001</v>
      </c>
      <c r="N6" s="9">
        <f ca="1">'Marine DCF'!N6</f>
        <v>13.787592000000002</v>
      </c>
      <c r="O6" s="9">
        <f ca="1">'Marine DCF'!O6</f>
        <v>14.201219760000003</v>
      </c>
      <c r="P6" s="9">
        <f ca="1">'Marine DCF'!P6</f>
        <v>14.201219760000003</v>
      </c>
      <c r="Q6" s="9">
        <f ca="1">'Marine DCF'!Q6</f>
        <v>14.201219760000003</v>
      </c>
      <c r="R6" s="5">
        <f ca="1">'Marine DCF'!R6</f>
        <v>14.201219760000003</v>
      </c>
    </row>
    <row r="7" spans="5:18">
      <c r="F7" s="75">
        <f>'Marine DCF'!F7</f>
        <v>8.5677133588054843E-2</v>
      </c>
      <c r="G7" s="75">
        <f>'Marine DCF'!G7</f>
        <v>7.070182307928663E-3</v>
      </c>
      <c r="H7" s="75">
        <f>'Marine DCF'!H7</f>
        <v>-0.12945463474220542</v>
      </c>
      <c r="I7" s="75">
        <f>'Marine DCF'!I7</f>
        <v>0.2646950559016279</v>
      </c>
      <c r="J7" s="75">
        <f>'Marine DCF'!J7</f>
        <v>0.12514099696953918</v>
      </c>
      <c r="K7" s="75">
        <f>'Marine DCF'!K7</f>
        <v>7.0000000000000007E-2</v>
      </c>
      <c r="L7" s="75">
        <f>'Marine DCF'!L7</f>
        <v>7.0000000000000007E-2</v>
      </c>
      <c r="M7" s="75">
        <f>'Marine DCF'!M7</f>
        <v>0.05</v>
      </c>
      <c r="N7" s="75">
        <f>'Marine DCF'!N7</f>
        <v>0.04</v>
      </c>
      <c r="O7" s="75">
        <f>'Marine DCF'!O7</f>
        <v>0.03</v>
      </c>
      <c r="P7" s="75">
        <f>'Marine DCF'!P7</f>
        <v>0</v>
      </c>
      <c r="Q7" s="75">
        <f>'Marine DCF'!Q7</f>
        <v>0</v>
      </c>
    </row>
    <row r="8" spans="5:18">
      <c r="E8" s="13">
        <f>'Marine DCF'!$E$8</f>
        <v>1117.7929999999999</v>
      </c>
      <c r="F8" s="13">
        <f>'Marine DCF'!F8</f>
        <v>1222.7680000000003</v>
      </c>
      <c r="G8" s="13">
        <f>'Marine DCF'!G8</f>
        <v>1096.144</v>
      </c>
      <c r="H8" s="13">
        <f>'Marine DCF'!H8</f>
        <v>1004.8679999999999</v>
      </c>
      <c r="I8" s="13">
        <f>'Marine DCF'!I8</f>
        <v>1278.182</v>
      </c>
      <c r="J8" s="13">
        <f>'Marine DCF'!J8</f>
        <v>1416.8369999999998</v>
      </c>
      <c r="K8" s="13">
        <f ca="1">'Marine DCF'!K8</f>
        <v>1571.76</v>
      </c>
      <c r="L8" s="13">
        <f ca="1">'Marine DCF'!L8</f>
        <v>1715.418864</v>
      </c>
      <c r="M8" s="13">
        <f ca="1">'Marine DCF'!M8</f>
        <v>1837.2136033440004</v>
      </c>
      <c r="N8" s="13">
        <f ca="1">'Marine DCF'!N8</f>
        <v>1948.9161904273155</v>
      </c>
      <c r="O8" s="13">
        <f ca="1">'Marine DCF'!O8</f>
        <v>2047.5313496629378</v>
      </c>
      <c r="P8" s="13">
        <f ca="1">'Marine DCF'!P8</f>
        <v>2088.4819766561968</v>
      </c>
      <c r="Q8" s="13">
        <f ca="1">'Marine DCF'!Q8</f>
        <v>2130.2516161893204</v>
      </c>
      <c r="R8" s="13">
        <f ca="1">'Marine DCF'!R8</f>
        <v>2130.2516161893204</v>
      </c>
    </row>
    <row r="9" spans="5:18">
      <c r="F9" s="8">
        <f>'Marine DCF'!F9</f>
        <v>9.391273697366187E-2</v>
      </c>
      <c r="G9" s="8">
        <f>'Marine DCF'!G9</f>
        <v>-0.10355521243604693</v>
      </c>
      <c r="H9" s="8">
        <f>'Marine DCF'!H9</f>
        <v>-8.3270081303186472E-2</v>
      </c>
      <c r="I9" s="8">
        <f>'Marine DCF'!I9</f>
        <v>0.271989952909238</v>
      </c>
      <c r="J9" s="8">
        <f>'Marine DCF'!J9</f>
        <v>0.10847829182385582</v>
      </c>
      <c r="K9" s="8">
        <f ca="1">'Marine DCF'!K9</f>
        <v>0.10934426472487679</v>
      </c>
      <c r="L9" s="8">
        <f ca="1">'Marine DCF'!L9</f>
        <v>9.1399999999999926E-2</v>
      </c>
      <c r="M9" s="8">
        <f ca="1">'Marine DCF'!M9</f>
        <v>7.1000000000000174E-2</v>
      </c>
      <c r="N9" s="8">
        <f ca="1">'Marine DCF'!N9</f>
        <v>6.0799999999999965E-2</v>
      </c>
      <c r="O9" s="8">
        <f ca="1">'Marine DCF'!O9</f>
        <v>5.0599999999999978E-2</v>
      </c>
      <c r="P9" s="8">
        <f ca="1">'Marine DCF'!P9</f>
        <v>2.0000000000000018E-2</v>
      </c>
      <c r="Q9" s="8">
        <f ca="1">'Marine DCF'!Q9</f>
        <v>1.9999999999999796E-2</v>
      </c>
      <c r="R9" s="8">
        <f ca="1">'Marine DCF'!R9</f>
        <v>0</v>
      </c>
    </row>
    <row r="10" spans="5:18">
      <c r="E10" s="13">
        <f>'Marine DCF'!E10</f>
        <v>365.35000000000014</v>
      </c>
      <c r="F10" s="13">
        <f>'Marine DCF'!F10</f>
        <v>364.31399999999985</v>
      </c>
      <c r="G10" s="13">
        <f>'Marine DCF'!G10</f>
        <v>308.12099999999987</v>
      </c>
      <c r="H10" s="13">
        <f>'Marine DCF'!H10</f>
        <v>318.04999999999995</v>
      </c>
      <c r="I10" s="13">
        <f>'Marine DCF'!I10</f>
        <v>338.78500000000008</v>
      </c>
      <c r="J10" s="13">
        <f>'Marine DCF'!J10</f>
        <v>305.10000000000014</v>
      </c>
      <c r="K10" s="13">
        <f ca="1">'Marine DCF'!K10</f>
        <v>367.47199999999998</v>
      </c>
      <c r="L10" s="13">
        <f ca="1">'Marine DCF'!L10</f>
        <v>367.47199999999998</v>
      </c>
      <c r="M10" s="13">
        <f ca="1">'Marine DCF'!M10</f>
        <v>367.47199999999998</v>
      </c>
      <c r="N10" s="13">
        <f ca="1">'Marine DCF'!N10</f>
        <v>367.47199999999998</v>
      </c>
      <c r="O10" s="13">
        <f ca="1">'Marine DCF'!O10</f>
        <v>367.47199999999998</v>
      </c>
      <c r="P10" s="13">
        <f ca="1">'Marine DCF'!P10</f>
        <v>367.47199999999998</v>
      </c>
      <c r="Q10" s="13">
        <f ca="1">'Marine DCF'!Q10</f>
        <v>367.47199999999998</v>
      </c>
      <c r="R10" s="13">
        <f>'Marine DCF'!R10</f>
        <v>350</v>
      </c>
    </row>
    <row r="11" spans="5:18">
      <c r="F11" s="75">
        <f>'Marine DCF'!F11</f>
        <v>-2.835637060353835E-3</v>
      </c>
      <c r="G11" s="75">
        <f>'Marine DCF'!G11</f>
        <v>-0.15424331757769394</v>
      </c>
      <c r="H11" s="75">
        <f>'Marine DCF'!H11</f>
        <v>3.2224353419598506E-2</v>
      </c>
      <c r="I11" s="75">
        <f>'Marine DCF'!I11</f>
        <v>6.5194151862915106E-2</v>
      </c>
      <c r="J11" s="75">
        <f>'Marine DCF'!J11</f>
        <v>-9.9428841300529647E-2</v>
      </c>
      <c r="K11" s="75">
        <f>'Marine DCF'!K11</f>
        <v>0.04</v>
      </c>
      <c r="L11" s="75">
        <f>'Marine DCF'!L11</f>
        <v>0</v>
      </c>
      <c r="M11" s="75">
        <f>'Marine DCF'!M11</f>
        <v>0</v>
      </c>
      <c r="N11" s="75">
        <f>'Marine DCF'!N11</f>
        <v>0</v>
      </c>
      <c r="O11" s="75">
        <f>'Marine DCF'!O11</f>
        <v>0</v>
      </c>
      <c r="P11" s="75">
        <f>'Marine DCF'!P11</f>
        <v>0</v>
      </c>
      <c r="Q11" s="75">
        <f>'Marine DCF'!Q11</f>
        <v>0</v>
      </c>
      <c r="R11" s="75">
        <f ca="1">'Marine DCF'!R11</f>
        <v>-4.7546479731789049E-2</v>
      </c>
    </row>
    <row r="12" spans="5:18">
      <c r="E12" s="6">
        <f>'Marine DCF'!E12</f>
        <v>1483.143</v>
      </c>
      <c r="F12" s="6">
        <f>'Marine DCF'!F12</f>
        <v>1587.0820000000001</v>
      </c>
      <c r="G12" s="6">
        <f>'Marine DCF'!G12</f>
        <v>1404.2649999999999</v>
      </c>
      <c r="H12" s="6">
        <f>'Marine DCF'!H12</f>
        <v>1322.9179999999999</v>
      </c>
      <c r="I12" s="6">
        <f>'Marine DCF'!I12</f>
        <v>1616.9670000000001</v>
      </c>
      <c r="J12" s="6">
        <f>'Marine DCF'!J12</f>
        <v>1721.9369999999999</v>
      </c>
      <c r="K12" s="6">
        <f ca="1">'Marine DCF'!K12</f>
        <v>1939.232</v>
      </c>
      <c r="L12" s="6">
        <f ca="1">'Marine DCF'!L12</f>
        <v>2082.890864</v>
      </c>
      <c r="M12" s="6">
        <f ca="1">'Marine DCF'!M12</f>
        <v>2204.6856033440004</v>
      </c>
      <c r="N12" s="6">
        <f ca="1">'Marine DCF'!N12</f>
        <v>2316.3881904273157</v>
      </c>
      <c r="O12" s="6">
        <f ca="1">'Marine DCF'!O12</f>
        <v>2415.0033496629376</v>
      </c>
      <c r="P12" s="6">
        <f ca="1">'Marine DCF'!P12</f>
        <v>2455.9539766561966</v>
      </c>
      <c r="Q12" s="6">
        <f ca="1">'Marine DCF'!Q12</f>
        <v>2497.7236161893206</v>
      </c>
      <c r="R12" s="6">
        <f ca="1">'Marine DCF'!R12</f>
        <v>2480.2516161893204</v>
      </c>
    </row>
    <row r="14" spans="5:18">
      <c r="E14" s="13">
        <f>'Marine DCF'!E14</f>
        <v>147.41600000000017</v>
      </c>
      <c r="F14" s="13">
        <f>'Marine DCF'!F14</f>
        <v>215.84200000000013</v>
      </c>
      <c r="G14" s="13">
        <f>'Marine DCF'!G14</f>
        <v>163.65600000000012</v>
      </c>
      <c r="H14" s="13">
        <f>'Marine DCF'!H14</f>
        <v>63.014999999999986</v>
      </c>
      <c r="I14" s="13">
        <f>'Marine DCF'!I14</f>
        <v>136.18399999999997</v>
      </c>
      <c r="J14" s="13">
        <f>'Marine DCF'!J14</f>
        <v>238.93999999999988</v>
      </c>
      <c r="K14" s="13">
        <f ca="1">'Marine DCF'!K14</f>
        <v>379.50400000000002</v>
      </c>
      <c r="L14" s="13">
        <f ca="1">'Marine DCF'!L14</f>
        <v>374.92035551999999</v>
      </c>
      <c r="M14" s="13">
        <f ca="1">'Marine DCF'!M14</f>
        <v>418.8902646353601</v>
      </c>
      <c r="N14" s="13">
        <f ca="1">'Marine DCF'!N14</f>
        <v>463.2776380854632</v>
      </c>
      <c r="O14" s="13">
        <f ca="1">'Marine DCF'!O14</f>
        <v>483.00066993258753</v>
      </c>
      <c r="P14" s="13">
        <f ca="1">'Marine DCF'!P14</f>
        <v>491.19079533123931</v>
      </c>
      <c r="Q14" s="13">
        <f ca="1">'Marine DCF'!Q14</f>
        <v>499.54472323786416</v>
      </c>
      <c r="R14" s="13">
        <f ca="1">'Marine DCF'!R14</f>
        <v>322.43271010461166</v>
      </c>
    </row>
    <row r="15" spans="5:18">
      <c r="E15" s="8">
        <f>'Marine DCF'!E15</f>
        <v>9.9394326777660788E-2</v>
      </c>
      <c r="F15" s="8">
        <f>'Marine DCF'!F15</f>
        <v>0.13599927413958454</v>
      </c>
      <c r="G15" s="8">
        <f>'Marine DCF'!G15</f>
        <v>0.11654210565669594</v>
      </c>
      <c r="H15" s="8">
        <f>'Marine DCF'!H15</f>
        <v>4.7633337818368177E-2</v>
      </c>
      <c r="I15" s="8">
        <f>'Marine DCF'!I15</f>
        <v>8.4221879605458835E-2</v>
      </c>
      <c r="J15" s="8">
        <f>'Marine DCF'!J15</f>
        <v>0.13876233567197865</v>
      </c>
      <c r="K15" s="8">
        <f ca="1">'Marine DCF'!K15</f>
        <v>0.19569809079058104</v>
      </c>
      <c r="L15" s="8">
        <f>'Marine DCF'!L15</f>
        <v>0.18</v>
      </c>
      <c r="M15" s="8">
        <f>'Marine DCF'!M15</f>
        <v>0.19</v>
      </c>
      <c r="N15" s="8">
        <f>'Marine DCF'!N15</f>
        <v>0.2</v>
      </c>
      <c r="O15" s="8">
        <f>'Marine DCF'!O15</f>
        <v>0.2</v>
      </c>
      <c r="P15" s="8">
        <f>'Marine DCF'!P15</f>
        <v>0.2</v>
      </c>
      <c r="Q15" s="8">
        <f>'Marine DCF'!Q15</f>
        <v>0.2</v>
      </c>
      <c r="R15" s="8">
        <f>'Marine DCF'!R15</f>
        <v>0.13</v>
      </c>
    </row>
    <row r="16" spans="5:18">
      <c r="E16" s="9">
        <f>'Marine DCF'!E16</f>
        <v>182.30699999999999</v>
      </c>
      <c r="F16" s="9">
        <f>'Marine DCF'!F16</f>
        <v>179.74199999999999</v>
      </c>
      <c r="G16" s="9">
        <f>'Marine DCF'!G16</f>
        <v>186.798</v>
      </c>
      <c r="H16" s="9">
        <f>'Marine DCF'!H16</f>
        <v>185.97899999999998</v>
      </c>
      <c r="I16" s="9">
        <f>'Marine DCF'!I16</f>
        <v>177.55099999999999</v>
      </c>
      <c r="J16" s="9">
        <f>'Marine DCF'!J16</f>
        <v>184.22500000000002</v>
      </c>
      <c r="K16" s="5">
        <f ca="1">'Marine DCF'!K16</f>
        <v>196.18799999999999</v>
      </c>
      <c r="L16" s="5">
        <f ca="1">'Marine DCF'!L16</f>
        <v>206.18799999999999</v>
      </c>
      <c r="M16" s="5">
        <f ca="1">'Marine DCF'!M16</f>
        <v>216.18799999999999</v>
      </c>
      <c r="N16" s="5">
        <f ca="1">'Marine DCF'!N16</f>
        <v>226.18799999999999</v>
      </c>
      <c r="O16" s="5">
        <f ca="1">'Marine DCF'!O16</f>
        <v>236.18799999999999</v>
      </c>
      <c r="P16" s="5">
        <f ca="1">'Marine DCF'!P16</f>
        <v>246.18799999999999</v>
      </c>
      <c r="Q16" s="5">
        <f ca="1">'Marine DCF'!Q16</f>
        <v>256.18799999999999</v>
      </c>
      <c r="R16" s="5">
        <f ca="1">'Marine DCF'!R16</f>
        <v>256.18799999999999</v>
      </c>
    </row>
    <row r="17" spans="5:19">
      <c r="F17" s="123">
        <f>'Marine DCF'!F17</f>
        <v>-2.5649999999999977</v>
      </c>
      <c r="G17" s="123">
        <f>'Marine DCF'!G17</f>
        <v>7.0560000000000116</v>
      </c>
      <c r="H17" s="123">
        <f>'Marine DCF'!H17</f>
        <v>-0.81900000000001683</v>
      </c>
      <c r="I17" s="123">
        <f>'Marine DCF'!I17</f>
        <v>-8.4279999999999973</v>
      </c>
      <c r="J17" s="123">
        <f>'Marine DCF'!J17</f>
        <v>6.674000000000035</v>
      </c>
      <c r="K17" s="123">
        <f ca="1">'Marine DCF'!K17</f>
        <v>11.962999999999965</v>
      </c>
      <c r="L17" s="123">
        <f>'Marine DCF'!L17</f>
        <v>10</v>
      </c>
      <c r="M17" s="123">
        <f>'Marine DCF'!M17</f>
        <v>10</v>
      </c>
      <c r="N17" s="123">
        <f>'Marine DCF'!N17</f>
        <v>10</v>
      </c>
      <c r="O17" s="123">
        <f>'Marine DCF'!O17</f>
        <v>10</v>
      </c>
      <c r="P17" s="123">
        <f>'Marine DCF'!P17</f>
        <v>10</v>
      </c>
      <c r="Q17" s="123">
        <f>'Marine DCF'!Q17</f>
        <v>10</v>
      </c>
    </row>
    <row r="18" spans="5:19">
      <c r="E18" s="6">
        <f>'Marine DCF'!E18</f>
        <v>329.72300000000018</v>
      </c>
      <c r="F18" s="6">
        <f>'Marine DCF'!F18</f>
        <v>395.58400000000012</v>
      </c>
      <c r="G18" s="6">
        <f>'Marine DCF'!G18</f>
        <v>350.45400000000012</v>
      </c>
      <c r="H18" s="6">
        <f>'Marine DCF'!H18</f>
        <v>248.99399999999997</v>
      </c>
      <c r="I18" s="6">
        <f>'Marine DCF'!I18</f>
        <v>313.73499999999996</v>
      </c>
      <c r="J18" s="6">
        <f>'Marine DCF'!J18</f>
        <v>423.16499999999991</v>
      </c>
      <c r="K18" s="6">
        <f ca="1">'Marine DCF'!K18</f>
        <v>575.69200000000001</v>
      </c>
      <c r="L18" s="6">
        <f ca="1">'Marine DCF'!L18</f>
        <v>581.10835552000003</v>
      </c>
      <c r="M18" s="6">
        <f ca="1">'Marine DCF'!M18</f>
        <v>635.07826463536003</v>
      </c>
      <c r="N18" s="6">
        <f ca="1">'Marine DCF'!N18</f>
        <v>689.46563808546318</v>
      </c>
      <c r="O18" s="6">
        <f ca="1">'Marine DCF'!O18</f>
        <v>719.18866993258757</v>
      </c>
      <c r="P18" s="6">
        <f ca="1">'Marine DCF'!P18</f>
        <v>737.3787953312393</v>
      </c>
      <c r="Q18" s="6">
        <f ca="1">'Marine DCF'!Q18</f>
        <v>755.73272323786409</v>
      </c>
      <c r="R18" s="6">
        <f ca="1">'Marine DCF'!R18</f>
        <v>578.62071010461159</v>
      </c>
    </row>
    <row r="19" spans="5:19" ht="14.65" customHeight="1" thickBot="1">
      <c r="E19" s="9">
        <f>'Marine DCF'!E19</f>
        <v>0</v>
      </c>
      <c r="F19" s="9">
        <f>'Marine DCF'!F19</f>
        <v>0</v>
      </c>
      <c r="G19" s="9">
        <f>'Marine DCF'!G19</f>
        <v>0</v>
      </c>
      <c r="H19" s="9">
        <f>'Marine DCF'!H19</f>
        <v>0</v>
      </c>
      <c r="I19" s="9">
        <f>'Marine DCF'!I19</f>
        <v>0</v>
      </c>
      <c r="J19" s="9">
        <f>'Marine DCF'!J19</f>
        <v>0</v>
      </c>
      <c r="K19" s="9">
        <f>'Marine DCF'!K19</f>
        <v>0</v>
      </c>
      <c r="L19" s="9">
        <f>'Marine DCF'!L19</f>
        <v>0</v>
      </c>
      <c r="M19" s="9">
        <f>'Marine DCF'!M19</f>
        <v>0</v>
      </c>
      <c r="N19" s="5">
        <f ca="1">'Marine DCF'!N19</f>
        <v>-68.946563808546315</v>
      </c>
      <c r="O19" s="5">
        <f ca="1">'Marine DCF'!O19</f>
        <v>-71.91886699325876</v>
      </c>
      <c r="P19" s="5">
        <f ca="1">'Marine DCF'!P19</f>
        <v>-73.73787953312393</v>
      </c>
      <c r="Q19" s="5">
        <f ca="1">'Marine DCF'!Q19</f>
        <v>-75.573272323786412</v>
      </c>
      <c r="R19" s="5">
        <f ca="1">'Marine DCF'!R19</f>
        <v>-57.862071010461165</v>
      </c>
      <c r="S19" s="125">
        <f>'Marine DCF'!$S$19</f>
        <v>0.1</v>
      </c>
    </row>
    <row r="20" spans="5:19">
      <c r="E20" s="11">
        <f>'Marine DCF'!E20</f>
        <v>-150</v>
      </c>
      <c r="F20" s="11">
        <f>'Marine DCF'!F20</f>
        <v>-150</v>
      </c>
      <c r="G20" s="11">
        <f>'Marine DCF'!G20</f>
        <v>-150</v>
      </c>
      <c r="H20" s="11">
        <f>'Marine DCF'!H20</f>
        <v>-150</v>
      </c>
      <c r="I20" s="11">
        <f>'Marine DCF'!I20</f>
        <v>-150</v>
      </c>
      <c r="J20" s="11">
        <f>'Marine DCF'!J20</f>
        <v>-240</v>
      </c>
      <c r="K20" s="11">
        <f>'Marine DCF'!K20</f>
        <v>-240</v>
      </c>
      <c r="L20" s="11">
        <f>'Marine DCF'!L20</f>
        <v>-240</v>
      </c>
      <c r="M20" s="11">
        <f>'Marine DCF'!M20</f>
        <v>-200</v>
      </c>
      <c r="N20" s="11">
        <f>'Marine DCF'!N20</f>
        <v>-200</v>
      </c>
      <c r="O20" s="11">
        <f>'Marine DCF'!O20</f>
        <v>-200</v>
      </c>
      <c r="P20" s="11">
        <f>'Marine DCF'!P20</f>
        <v>-200</v>
      </c>
      <c r="Q20" s="11">
        <f>'Marine DCF'!Q20</f>
        <v>-200</v>
      </c>
      <c r="R20" s="11">
        <f>'Marine DCF'!R20</f>
        <v>-150</v>
      </c>
    </row>
    <row r="21" spans="5:19">
      <c r="E21" s="6">
        <f>'Marine DCF'!E21</f>
        <v>179.72300000000018</v>
      </c>
      <c r="F21" s="6">
        <f>'Marine DCF'!F21</f>
        <v>245.58400000000012</v>
      </c>
      <c r="G21" s="6">
        <f>'Marine DCF'!G21</f>
        <v>200.45400000000012</v>
      </c>
      <c r="H21" s="6">
        <f>'Marine DCF'!H21</f>
        <v>98.993999999999971</v>
      </c>
      <c r="I21" s="6">
        <f>'Marine DCF'!I21</f>
        <v>163.73499999999996</v>
      </c>
      <c r="J21" s="6">
        <f>'Marine DCF'!J21</f>
        <v>183.16499999999991</v>
      </c>
      <c r="K21" s="6">
        <f ca="1">'Marine DCF'!K21</f>
        <v>335.69200000000001</v>
      </c>
      <c r="L21" s="6">
        <f ca="1">'Marine DCF'!L21</f>
        <v>341.10835552000003</v>
      </c>
      <c r="M21" s="6">
        <f ca="1">'Marine DCF'!M21</f>
        <v>435.07826463536003</v>
      </c>
      <c r="N21" s="6">
        <f ca="1">'Marine DCF'!N21</f>
        <v>420.51907427691685</v>
      </c>
      <c r="O21" s="6">
        <f ca="1">'Marine DCF'!O21</f>
        <v>447.26980293932877</v>
      </c>
      <c r="P21" s="6">
        <f ca="1">'Marine DCF'!P21</f>
        <v>463.64091579811543</v>
      </c>
      <c r="Q21" s="6">
        <f ca="1">'Marine DCF'!Q21</f>
        <v>480.15945091407764</v>
      </c>
      <c r="R21" s="6">
        <f ca="1">'Marine DCF'!R21</f>
        <v>370.75863909415045</v>
      </c>
    </row>
    <row r="22" spans="5:19">
      <c r="E22" s="8">
        <f>'Marine DCF'!E22</f>
        <v>0.54507268222113736</v>
      </c>
      <c r="F22" s="8">
        <f>'Marine DCF'!F22</f>
        <v>0.6208137841773177</v>
      </c>
      <c r="G22" s="8">
        <f>'Marine DCF'!G22</f>
        <v>0.57198376962454434</v>
      </c>
      <c r="H22" s="8">
        <f>'Marine DCF'!H22</f>
        <v>0.39757584520108913</v>
      </c>
      <c r="I22" s="8">
        <f>'Marine DCF'!I22</f>
        <v>0.52188949272475171</v>
      </c>
      <c r="J22" s="8">
        <f>'Marine DCF'!J22</f>
        <v>0.43284534401474589</v>
      </c>
      <c r="K22" s="8">
        <f ca="1">'Marine DCF'!K22</f>
        <v>0.58311041320706214</v>
      </c>
      <c r="L22" s="8">
        <f ca="1">'Marine DCF'!L22</f>
        <v>0.58699612951660629</v>
      </c>
      <c r="M22" s="8">
        <f ca="1">'Marine DCF'!M22</f>
        <v>0.68507818463156966</v>
      </c>
      <c r="N22" s="8">
        <f ca="1">'Marine DCF'!N22</f>
        <v>0.6099202789056053</v>
      </c>
      <c r="O22" s="8">
        <f ca="1">'Marine DCF'!O22</f>
        <v>0.62190885596300227</v>
      </c>
      <c r="P22" s="8">
        <f ca="1">'Marine DCF'!P22</f>
        <v>0.62876898377562163</v>
      </c>
      <c r="Q22" s="8">
        <f ca="1">'Marine DCF'!Q22</f>
        <v>0.63535617308839121</v>
      </c>
      <c r="R22" s="8">
        <f ca="1">'Marine DCF'!R22</f>
        <v>0.64076282203434998</v>
      </c>
    </row>
    <row r="24" spans="5:19">
      <c r="K24" s="8">
        <f>'Marine DCF'!K24</f>
        <v>1</v>
      </c>
      <c r="L24" s="8">
        <f>'Marine DCF'!L24</f>
        <v>0.92592592592592582</v>
      </c>
      <c r="M24" s="8">
        <f>'Marine DCF'!M24</f>
        <v>0.85733882030178321</v>
      </c>
      <c r="N24" s="8">
        <f>'Marine DCF'!N24</f>
        <v>0.79383224102016958</v>
      </c>
      <c r="O24" s="8">
        <f>'Marine DCF'!O24</f>
        <v>0.73502985279645328</v>
      </c>
      <c r="P24" s="8">
        <f>'Marine DCF'!P24</f>
        <v>0.68058319703375303</v>
      </c>
      <c r="Q24" s="8">
        <f>'Marine DCF'!Q24</f>
        <v>0.63016962688310452</v>
      </c>
      <c r="R24" s="8">
        <f>'Marine DCF'!R24</f>
        <v>0.58349039526213387</v>
      </c>
      <c r="S24" s="129">
        <f>'Marine DCF'!S24</f>
        <v>0.08</v>
      </c>
    </row>
    <row r="26" spans="5:19" ht="14.65" customHeight="1" thickBot="1">
      <c r="K26" s="5">
        <f ca="1">'Marine DCF'!K25</f>
        <v>335.69200000000001</v>
      </c>
      <c r="L26" s="5">
        <f ca="1">'Marine DCF'!L25</f>
        <v>315.84106992592592</v>
      </c>
      <c r="M26" s="5">
        <f ca="1">'Marine DCF'!M25</f>
        <v>373.00948614142663</v>
      </c>
      <c r="N26" s="5">
        <f ca="1">'Marine DCF'!N25</f>
        <v>333.82159912497207</v>
      </c>
      <c r="O26" s="5">
        <f ca="1">'Marine DCF'!O25</f>
        <v>328.75665741479349</v>
      </c>
      <c r="P26" s="5">
        <f ca="1">'Marine DCF'!P25</f>
        <v>315.54621674953847</v>
      </c>
      <c r="Q26" s="5">
        <f ca="1">'Marine DCF'!Q25</f>
        <v>302.58190202692066</v>
      </c>
      <c r="R26" s="5">
        <f ca="1">'Marine DCF'!R25</f>
        <v>3894.0138876941401</v>
      </c>
      <c r="S26" s="125">
        <f>'Marine DCF'!S26</f>
        <v>0.02</v>
      </c>
    </row>
    <row r="28" spans="5:19">
      <c r="E28" s="126">
        <f ca="1">'Marine DCF'!E27</f>
        <v>6199.2628190777177</v>
      </c>
    </row>
    <row r="29" spans="5:19">
      <c r="E29" s="127" t="e">
        <f>'Marine DCF'!#REF!</f>
        <v>#REF!</v>
      </c>
    </row>
    <row r="30" spans="5:19">
      <c r="E30" s="128">
        <f ca="1">'Marine DCF'!E28</f>
        <v>5.4150309447590396E-2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S28"/>
  <sheetViews>
    <sheetView showGridLines="0" tabSelected="1" topLeftCell="C1" workbookViewId="0">
      <selection activeCell="L2" sqref="L2"/>
    </sheetView>
  </sheetViews>
  <sheetFormatPr defaultRowHeight="14.25"/>
  <cols>
    <col min="1" max="3" width="2.73046875" customWidth="1"/>
    <col min="4" max="4" width="13.73046875" customWidth="1"/>
    <col min="5" max="17" width="11.73046875" customWidth="1"/>
    <col min="18" max="22" width="13.73046875" customWidth="1"/>
  </cols>
  <sheetData>
    <row r="2" spans="1:19">
      <c r="A2" t="s">
        <v>38</v>
      </c>
      <c r="B2" s="36" t="s">
        <v>121</v>
      </c>
      <c r="K2" s="4">
        <v>0</v>
      </c>
      <c r="L2" s="132">
        <f t="shared" ref="L2:R2" si="0">K2+1</f>
        <v>1</v>
      </c>
      <c r="M2" s="132">
        <f t="shared" si="0"/>
        <v>2</v>
      </c>
      <c r="N2" s="132">
        <f t="shared" si="0"/>
        <v>3</v>
      </c>
      <c r="O2" s="132">
        <f t="shared" si="0"/>
        <v>4</v>
      </c>
      <c r="P2" s="132">
        <f t="shared" si="0"/>
        <v>5</v>
      </c>
      <c r="Q2" s="132">
        <f t="shared" si="0"/>
        <v>6</v>
      </c>
      <c r="R2" s="132">
        <f t="shared" si="0"/>
        <v>7</v>
      </c>
    </row>
    <row r="3" spans="1:19">
      <c r="E3" s="37">
        <v>2018</v>
      </c>
      <c r="F3" s="37">
        <f t="shared" ref="F3:Q3" si="1">E3+1</f>
        <v>2019</v>
      </c>
      <c r="G3" s="37">
        <f t="shared" si="1"/>
        <v>2020</v>
      </c>
      <c r="H3" s="37">
        <f t="shared" si="1"/>
        <v>2021</v>
      </c>
      <c r="I3" s="37">
        <f t="shared" si="1"/>
        <v>2022</v>
      </c>
      <c r="J3" s="37">
        <f t="shared" si="1"/>
        <v>2023</v>
      </c>
      <c r="K3" s="37">
        <f t="shared" si="1"/>
        <v>2024</v>
      </c>
      <c r="L3" s="37">
        <f t="shared" si="1"/>
        <v>2025</v>
      </c>
      <c r="M3" s="37">
        <f t="shared" si="1"/>
        <v>2026</v>
      </c>
      <c r="N3" s="37">
        <f t="shared" si="1"/>
        <v>2027</v>
      </c>
      <c r="O3" s="37">
        <f t="shared" si="1"/>
        <v>2028</v>
      </c>
      <c r="P3" s="37">
        <f t="shared" si="1"/>
        <v>2029</v>
      </c>
      <c r="Q3" s="37">
        <f t="shared" si="1"/>
        <v>2030</v>
      </c>
      <c r="R3" s="37" t="s">
        <v>122</v>
      </c>
      <c r="S3" s="91"/>
    </row>
    <row r="4" spans="1:19">
      <c r="B4" t="s">
        <v>123</v>
      </c>
      <c r="E4" s="27">
        <f>'Model Shell'!J112</f>
        <v>14501</v>
      </c>
      <c r="F4" s="27">
        <f>'Model Shell'!K112</f>
        <v>14611</v>
      </c>
      <c r="G4" s="27">
        <f>'Model Shell'!L112</f>
        <v>13006</v>
      </c>
      <c r="H4" s="27">
        <f>'Model Shell'!M112</f>
        <v>13696</v>
      </c>
      <c r="I4" s="27">
        <f>'Model Shell'!N112</f>
        <v>13775</v>
      </c>
      <c r="J4" s="27">
        <f>'Model Shell'!O112</f>
        <v>13571</v>
      </c>
      <c r="K4" s="9">
        <f ca="1">'Model Shell'!G112</f>
        <v>13320</v>
      </c>
      <c r="L4" s="9">
        <f t="shared" ref="L4:Q4" ca="1" si="2">K4*(1+L5)</f>
        <v>13586.4</v>
      </c>
      <c r="M4" s="9">
        <f t="shared" ca="1" si="2"/>
        <v>13858.128000000001</v>
      </c>
      <c r="N4" s="9">
        <f t="shared" ca="1" si="2"/>
        <v>14135.290560000001</v>
      </c>
      <c r="O4" s="9">
        <f t="shared" ca="1" si="2"/>
        <v>14417.996371200001</v>
      </c>
      <c r="P4" s="9">
        <f t="shared" ca="1" si="2"/>
        <v>14706.356298624001</v>
      </c>
      <c r="Q4" s="9">
        <f t="shared" ca="1" si="2"/>
        <v>15000.483424596481</v>
      </c>
      <c r="R4" s="9">
        <f ca="1">Q4</f>
        <v>15000.483424596481</v>
      </c>
    </row>
    <row r="5" spans="1:19">
      <c r="C5" s="3" t="s">
        <v>124</v>
      </c>
      <c r="F5" s="8">
        <f>F4/E4-1</f>
        <v>7.5856837459484794E-3</v>
      </c>
      <c r="G5" s="8">
        <f>G4/F4-1</f>
        <v>-0.10984874409691325</v>
      </c>
      <c r="H5" s="8">
        <f>H4/G4-1</f>
        <v>5.3052437336613911E-2</v>
      </c>
      <c r="I5" s="8">
        <f>I4/H4-1</f>
        <v>5.7681074766355867E-3</v>
      </c>
      <c r="J5" s="8">
        <f>J4/I4-1</f>
        <v>-1.4809437386569924E-2</v>
      </c>
      <c r="K5" s="78">
        <v>0.02</v>
      </c>
      <c r="L5" s="78">
        <v>0.02</v>
      </c>
      <c r="M5" s="78">
        <v>0.02</v>
      </c>
      <c r="N5" s="78">
        <v>0.02</v>
      </c>
      <c r="O5" s="78">
        <v>0.02</v>
      </c>
      <c r="P5" s="78">
        <v>0.02</v>
      </c>
      <c r="Q5" s="78">
        <v>0.02</v>
      </c>
    </row>
    <row r="6" spans="1:19">
      <c r="B6" t="s">
        <v>125</v>
      </c>
      <c r="E6" s="67">
        <f>'Model Shell'!J113</f>
        <v>7.7083856285773384</v>
      </c>
      <c r="F6" s="67">
        <f>'Model Shell'!K113</f>
        <v>8.3688180138252015</v>
      </c>
      <c r="G6" s="67">
        <f>'Model Shell'!L113</f>
        <v>8.4279870828848225</v>
      </c>
      <c r="H6" s="67">
        <f>'Model Shell'!M113</f>
        <v>7.3369450934579428</v>
      </c>
      <c r="I6" s="67">
        <f>'Model Shell'!N113</f>
        <v>9.2789981851179668</v>
      </c>
      <c r="J6" s="67">
        <f>'Model Shell'!O113</f>
        <v>10.440181268882174</v>
      </c>
      <c r="K6" s="9">
        <f ca="1">'Model Shell'!G113</f>
        <v>11.799999999999999</v>
      </c>
      <c r="L6" s="9">
        <f t="shared" ref="L6:Q6" ca="1" si="3">K6*(1+L7)</f>
        <v>12.625999999999999</v>
      </c>
      <c r="M6" s="9">
        <f t="shared" ca="1" si="3"/>
        <v>13.257300000000001</v>
      </c>
      <c r="N6" s="9">
        <f t="shared" ca="1" si="3"/>
        <v>13.787592000000002</v>
      </c>
      <c r="O6" s="9">
        <f t="shared" ca="1" si="3"/>
        <v>14.201219760000003</v>
      </c>
      <c r="P6" s="9">
        <f t="shared" ca="1" si="3"/>
        <v>14.201219760000003</v>
      </c>
      <c r="Q6" s="9">
        <f t="shared" ca="1" si="3"/>
        <v>14.201219760000003</v>
      </c>
      <c r="R6" s="9">
        <f ca="1">Q6</f>
        <v>14.201219760000003</v>
      </c>
    </row>
    <row r="7" spans="1:19">
      <c r="B7" s="7"/>
      <c r="C7" s="74" t="s">
        <v>124</v>
      </c>
      <c r="D7" s="7"/>
      <c r="E7" s="7"/>
      <c r="F7" s="75">
        <f>F6/E6-1</f>
        <v>8.5677133588054843E-2</v>
      </c>
      <c r="G7" s="75">
        <f>G6/F6-1</f>
        <v>7.070182307928663E-3</v>
      </c>
      <c r="H7" s="75">
        <f>H6/G6-1</f>
        <v>-0.12945463474220542</v>
      </c>
      <c r="I7" s="75">
        <f>I6/H6-1</f>
        <v>0.2646950559016279</v>
      </c>
      <c r="J7" s="75">
        <f>J6/I6-1</f>
        <v>0.12514099696953918</v>
      </c>
      <c r="K7" s="79">
        <v>7.0000000000000007E-2</v>
      </c>
      <c r="L7" s="79">
        <v>7.0000000000000007E-2</v>
      </c>
      <c r="M7" s="79">
        <v>0.05</v>
      </c>
      <c r="N7" s="79">
        <v>0.04</v>
      </c>
      <c r="O7" s="79">
        <v>0.03</v>
      </c>
      <c r="P7" s="79">
        <v>0</v>
      </c>
      <c r="Q7" s="79">
        <v>0</v>
      </c>
      <c r="R7" s="7"/>
    </row>
    <row r="8" spans="1:19">
      <c r="B8" s="1" t="s">
        <v>126</v>
      </c>
      <c r="E8" s="13">
        <f t="shared" ref="E8:R8" si="4">E6*E4/100</f>
        <v>1117.7929999999999</v>
      </c>
      <c r="F8" s="13">
        <f t="shared" si="4"/>
        <v>1222.7680000000003</v>
      </c>
      <c r="G8" s="13">
        <f t="shared" si="4"/>
        <v>1096.144</v>
      </c>
      <c r="H8" s="13">
        <f t="shared" si="4"/>
        <v>1004.8679999999999</v>
      </c>
      <c r="I8" s="13">
        <f t="shared" si="4"/>
        <v>1278.182</v>
      </c>
      <c r="J8" s="13">
        <f t="shared" si="4"/>
        <v>1416.8369999999998</v>
      </c>
      <c r="K8" s="13">
        <f t="shared" ca="1" si="4"/>
        <v>1571.76</v>
      </c>
      <c r="L8" s="13">
        <f t="shared" ca="1" si="4"/>
        <v>1715.418864</v>
      </c>
      <c r="M8" s="13">
        <f t="shared" ca="1" si="4"/>
        <v>1837.2136033440004</v>
      </c>
      <c r="N8" s="13">
        <f t="shared" ca="1" si="4"/>
        <v>1948.9161904273155</v>
      </c>
      <c r="O8" s="13">
        <f t="shared" ca="1" si="4"/>
        <v>2047.5313496629378</v>
      </c>
      <c r="P8" s="13">
        <f t="shared" ca="1" si="4"/>
        <v>2088.4819766561968</v>
      </c>
      <c r="Q8" s="13">
        <f t="shared" ca="1" si="4"/>
        <v>2130.2516161893204</v>
      </c>
      <c r="R8" s="13">
        <f t="shared" ca="1" si="4"/>
        <v>2130.2516161893204</v>
      </c>
    </row>
    <row r="9" spans="1:19">
      <c r="F9" s="8">
        <f t="shared" ref="F9:R9" si="5">F8/E8-1</f>
        <v>9.391273697366187E-2</v>
      </c>
      <c r="G9" s="8">
        <f t="shared" si="5"/>
        <v>-0.10355521243604693</v>
      </c>
      <c r="H9" s="8">
        <f t="shared" si="5"/>
        <v>-8.3270081303186472E-2</v>
      </c>
      <c r="I9" s="8">
        <f t="shared" si="5"/>
        <v>0.271989952909238</v>
      </c>
      <c r="J9" s="8">
        <f t="shared" si="5"/>
        <v>0.10847829182385582</v>
      </c>
      <c r="K9" s="8">
        <f t="shared" ca="1" si="5"/>
        <v>0.10934426472487679</v>
      </c>
      <c r="L9" s="8">
        <f t="shared" ca="1" si="5"/>
        <v>9.1399999999999926E-2</v>
      </c>
      <c r="M9" s="8">
        <f t="shared" ca="1" si="5"/>
        <v>7.1000000000000174E-2</v>
      </c>
      <c r="N9" s="8">
        <f t="shared" ca="1" si="5"/>
        <v>6.0799999999999965E-2</v>
      </c>
      <c r="O9" s="8">
        <f t="shared" ca="1" si="5"/>
        <v>5.0599999999999978E-2</v>
      </c>
      <c r="P9" s="8">
        <f t="shared" ca="1" si="5"/>
        <v>2.0000000000000018E-2</v>
      </c>
      <c r="Q9" s="8">
        <f t="shared" ca="1" si="5"/>
        <v>1.9999999999999796E-2</v>
      </c>
      <c r="R9" s="8">
        <f t="shared" ca="1" si="5"/>
        <v>0</v>
      </c>
    </row>
    <row r="10" spans="1:19">
      <c r="B10" s="1" t="s">
        <v>127</v>
      </c>
      <c r="C10" s="1"/>
      <c r="D10" s="1"/>
      <c r="E10" s="69">
        <f>'Model Shell'!J115</f>
        <v>365.35000000000014</v>
      </c>
      <c r="F10" s="69">
        <f>'Model Shell'!K115</f>
        <v>364.31399999999985</v>
      </c>
      <c r="G10" s="69">
        <f>'Model Shell'!L115</f>
        <v>308.12099999999987</v>
      </c>
      <c r="H10" s="69">
        <f>'Model Shell'!M115</f>
        <v>318.04999999999995</v>
      </c>
      <c r="I10" s="69">
        <f>'Model Shell'!N115</f>
        <v>338.78500000000008</v>
      </c>
      <c r="J10" s="69">
        <f>'Model Shell'!O115</f>
        <v>305.10000000000014</v>
      </c>
      <c r="K10" s="13">
        <f ca="1">'Model Shell'!G115</f>
        <v>367.47199999999998</v>
      </c>
      <c r="L10" s="13">
        <f t="shared" ref="L10:Q10" ca="1" si="6">K10*(1+L11)</f>
        <v>367.47199999999998</v>
      </c>
      <c r="M10" s="13">
        <f t="shared" ca="1" si="6"/>
        <v>367.47199999999998</v>
      </c>
      <c r="N10" s="13">
        <f t="shared" ca="1" si="6"/>
        <v>367.47199999999998</v>
      </c>
      <c r="O10" s="13">
        <f t="shared" ca="1" si="6"/>
        <v>367.47199999999998</v>
      </c>
      <c r="P10" s="13">
        <f t="shared" ca="1" si="6"/>
        <v>367.47199999999998</v>
      </c>
      <c r="Q10" s="13">
        <f t="shared" ca="1" si="6"/>
        <v>367.47199999999998</v>
      </c>
      <c r="R10" s="17">
        <f>350</f>
        <v>350</v>
      </c>
    </row>
    <row r="11" spans="1:19">
      <c r="C11" s="74" t="s">
        <v>124</v>
      </c>
      <c r="D11" s="7"/>
      <c r="E11" s="7"/>
      <c r="F11" s="75">
        <f>F10/E10-1</f>
        <v>-2.835637060353835E-3</v>
      </c>
      <c r="G11" s="75">
        <f>G10/F10-1</f>
        <v>-0.15424331757769394</v>
      </c>
      <c r="H11" s="75">
        <f>H10/G10-1</f>
        <v>3.2224353419598506E-2</v>
      </c>
      <c r="I11" s="75">
        <f>I10/H10-1</f>
        <v>6.5194151862915106E-2</v>
      </c>
      <c r="J11" s="75">
        <f>J10/I10-1</f>
        <v>-9.9428841300529647E-2</v>
      </c>
      <c r="K11" s="79">
        <v>0.04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5">
        <f ca="1">R10/Q10-1</f>
        <v>-4.7546479731789049E-2</v>
      </c>
    </row>
    <row r="12" spans="1:19">
      <c r="B12" s="1" t="s">
        <v>128</v>
      </c>
      <c r="E12" s="13">
        <f t="shared" ref="E12:R12" si="7">E10+E8</f>
        <v>1483.143</v>
      </c>
      <c r="F12" s="13">
        <f t="shared" si="7"/>
        <v>1587.0820000000001</v>
      </c>
      <c r="G12" s="13">
        <f t="shared" si="7"/>
        <v>1404.2649999999999</v>
      </c>
      <c r="H12" s="13">
        <f t="shared" si="7"/>
        <v>1322.9179999999999</v>
      </c>
      <c r="I12" s="13">
        <f t="shared" si="7"/>
        <v>1616.9670000000001</v>
      </c>
      <c r="J12" s="13">
        <f t="shared" si="7"/>
        <v>1721.9369999999999</v>
      </c>
      <c r="K12" s="13">
        <f t="shared" ca="1" si="7"/>
        <v>1939.232</v>
      </c>
      <c r="L12" s="13">
        <f t="shared" ca="1" si="7"/>
        <v>2082.890864</v>
      </c>
      <c r="M12" s="13">
        <f t="shared" ca="1" si="7"/>
        <v>2204.6856033440004</v>
      </c>
      <c r="N12" s="13">
        <f t="shared" ca="1" si="7"/>
        <v>2316.3881904273157</v>
      </c>
      <c r="O12" s="13">
        <f t="shared" ca="1" si="7"/>
        <v>2415.0033496629376</v>
      </c>
      <c r="P12" s="13">
        <f t="shared" ca="1" si="7"/>
        <v>2455.9539766561966</v>
      </c>
      <c r="Q12" s="13">
        <f t="shared" ca="1" si="7"/>
        <v>2497.7236161893206</v>
      </c>
      <c r="R12" s="13">
        <f t="shared" ca="1" si="7"/>
        <v>2480.2516161893204</v>
      </c>
    </row>
    <row r="14" spans="1:19">
      <c r="B14" s="1" t="s">
        <v>129</v>
      </c>
      <c r="E14" s="13">
        <f t="shared" ref="E14:R14" si="8">E12*E15</f>
        <v>147.41600000000017</v>
      </c>
      <c r="F14" s="13">
        <f t="shared" si="8"/>
        <v>215.84200000000013</v>
      </c>
      <c r="G14" s="13">
        <f t="shared" si="8"/>
        <v>163.65600000000012</v>
      </c>
      <c r="H14" s="13">
        <f t="shared" si="8"/>
        <v>63.014999999999986</v>
      </c>
      <c r="I14" s="13">
        <f t="shared" si="8"/>
        <v>136.18399999999997</v>
      </c>
      <c r="J14" s="13">
        <f t="shared" si="8"/>
        <v>238.93999999999988</v>
      </c>
      <c r="K14" s="13">
        <f t="shared" ca="1" si="8"/>
        <v>379.50400000000002</v>
      </c>
      <c r="L14" s="13">
        <f t="shared" ca="1" si="8"/>
        <v>374.92035551999999</v>
      </c>
      <c r="M14" s="13">
        <f t="shared" ca="1" si="8"/>
        <v>418.8902646353601</v>
      </c>
      <c r="N14" s="13">
        <f t="shared" ca="1" si="8"/>
        <v>463.2776380854632</v>
      </c>
      <c r="O14" s="13">
        <f t="shared" ca="1" si="8"/>
        <v>483.00066993258753</v>
      </c>
      <c r="P14" s="13">
        <f t="shared" ca="1" si="8"/>
        <v>491.19079533123931</v>
      </c>
      <c r="Q14" s="13">
        <f t="shared" ca="1" si="8"/>
        <v>499.54472323786416</v>
      </c>
      <c r="R14" s="13">
        <f t="shared" ca="1" si="8"/>
        <v>322.43271010461166</v>
      </c>
    </row>
    <row r="15" spans="1:19">
      <c r="C15" s="3" t="s">
        <v>130</v>
      </c>
      <c r="E15" s="131">
        <f>'Model Shell'!J96/'Model Shell'!J91</f>
        <v>9.9394326777660788E-2</v>
      </c>
      <c r="F15" s="131">
        <f>'Model Shell'!K96/'Model Shell'!K91</f>
        <v>0.13599927413958454</v>
      </c>
      <c r="G15" s="131">
        <f>'Model Shell'!L96/'Model Shell'!L91</f>
        <v>0.11654210565669594</v>
      </c>
      <c r="H15" s="131">
        <f>'Model Shell'!M96/'Model Shell'!M91</f>
        <v>4.7633337818368177E-2</v>
      </c>
      <c r="I15" s="131">
        <f>'Model Shell'!N96/'Model Shell'!N91</f>
        <v>8.4221879605458835E-2</v>
      </c>
      <c r="J15" s="131">
        <f>'Model Shell'!O96/'Model Shell'!O91</f>
        <v>0.13876233567197865</v>
      </c>
      <c r="K15" s="78">
        <f ca="1">'Model Shell'!G96/'Model Shell'!G91</f>
        <v>0.19569809079058104</v>
      </c>
      <c r="L15" s="78">
        <v>0.18</v>
      </c>
      <c r="M15" s="78">
        <v>0.19</v>
      </c>
      <c r="N15" s="78">
        <v>0.2</v>
      </c>
      <c r="O15" s="78">
        <v>0.2</v>
      </c>
      <c r="P15" s="78">
        <v>0.2</v>
      </c>
      <c r="Q15" s="78">
        <v>0.2</v>
      </c>
      <c r="R15" s="78">
        <v>0.13</v>
      </c>
    </row>
    <row r="16" spans="1:19">
      <c r="B16" t="s">
        <v>53</v>
      </c>
      <c r="E16" s="27">
        <f>'Model Shell'!J97</f>
        <v>182.30699999999999</v>
      </c>
      <c r="F16" s="27">
        <f>'Model Shell'!K97</f>
        <v>179.74199999999999</v>
      </c>
      <c r="G16" s="27">
        <f>'Model Shell'!L97</f>
        <v>186.798</v>
      </c>
      <c r="H16" s="27">
        <f>'Model Shell'!M97</f>
        <v>185.97899999999998</v>
      </c>
      <c r="I16" s="27">
        <f>'Model Shell'!N97</f>
        <v>177.55099999999999</v>
      </c>
      <c r="J16" s="27">
        <f>'Model Shell'!O97</f>
        <v>184.22500000000002</v>
      </c>
      <c r="K16" s="9">
        <f ca="1">'Model Shell'!G97</f>
        <v>196.18799999999999</v>
      </c>
      <c r="L16" s="9">
        <f t="shared" ref="L16:Q16" ca="1" si="9">K16+L17</f>
        <v>206.18799999999999</v>
      </c>
      <c r="M16" s="9">
        <f t="shared" ca="1" si="9"/>
        <v>216.18799999999999</v>
      </c>
      <c r="N16" s="9">
        <f t="shared" ca="1" si="9"/>
        <v>226.18799999999999</v>
      </c>
      <c r="O16" s="9">
        <f t="shared" ca="1" si="9"/>
        <v>236.18799999999999</v>
      </c>
      <c r="P16" s="9">
        <f t="shared" ca="1" si="9"/>
        <v>246.18799999999999</v>
      </c>
      <c r="Q16" s="9">
        <f t="shared" ca="1" si="9"/>
        <v>256.18799999999999</v>
      </c>
      <c r="R16" s="9">
        <f ca="1">Q16</f>
        <v>256.18799999999999</v>
      </c>
      <c r="S16" s="91"/>
    </row>
    <row r="17" spans="1:19" ht="14.65" customHeight="1" thickBot="1">
      <c r="B17" s="7"/>
      <c r="C17" s="74" t="s">
        <v>131</v>
      </c>
      <c r="D17" s="7"/>
      <c r="E17" s="7"/>
      <c r="F17" s="133">
        <f t="shared" ref="F17:K17" si="10">F16-E16</f>
        <v>-2.5649999999999977</v>
      </c>
      <c r="G17" s="133">
        <f t="shared" si="10"/>
        <v>7.0560000000000116</v>
      </c>
      <c r="H17" s="133">
        <f t="shared" si="10"/>
        <v>-0.81900000000001683</v>
      </c>
      <c r="I17" s="133">
        <f t="shared" si="10"/>
        <v>-8.4279999999999973</v>
      </c>
      <c r="J17" s="133">
        <f t="shared" si="10"/>
        <v>6.674000000000035</v>
      </c>
      <c r="K17" s="134">
        <f t="shared" ca="1" si="10"/>
        <v>11.962999999999965</v>
      </c>
      <c r="L17" s="134">
        <v>10</v>
      </c>
      <c r="M17" s="134">
        <v>10</v>
      </c>
      <c r="N17" s="134">
        <v>10</v>
      </c>
      <c r="O17" s="134">
        <v>10</v>
      </c>
      <c r="P17" s="134">
        <v>10</v>
      </c>
      <c r="Q17" s="134">
        <v>10</v>
      </c>
      <c r="R17" s="123"/>
    </row>
    <row r="18" spans="1:19">
      <c r="B18" s="1" t="s">
        <v>132</v>
      </c>
      <c r="E18" s="13">
        <f t="shared" ref="E18:R18" si="11">E16+E14</f>
        <v>329.72300000000018</v>
      </c>
      <c r="F18" s="13">
        <f t="shared" si="11"/>
        <v>395.58400000000012</v>
      </c>
      <c r="G18" s="13">
        <f t="shared" si="11"/>
        <v>350.45400000000012</v>
      </c>
      <c r="H18" s="13">
        <f t="shared" si="11"/>
        <v>248.99399999999997</v>
      </c>
      <c r="I18" s="13">
        <f t="shared" si="11"/>
        <v>313.73499999999996</v>
      </c>
      <c r="J18" s="13">
        <f t="shared" si="11"/>
        <v>423.16499999999991</v>
      </c>
      <c r="K18" s="13">
        <f t="shared" ca="1" si="11"/>
        <v>575.69200000000001</v>
      </c>
      <c r="L18" s="13">
        <f t="shared" ca="1" si="11"/>
        <v>581.10835552000003</v>
      </c>
      <c r="M18" s="13">
        <f t="shared" ca="1" si="11"/>
        <v>635.07826463536003</v>
      </c>
      <c r="N18" s="13">
        <f t="shared" ca="1" si="11"/>
        <v>689.46563808546318</v>
      </c>
      <c r="O18" s="13">
        <f t="shared" ca="1" si="11"/>
        <v>719.18866993258757</v>
      </c>
      <c r="P18" s="13">
        <f t="shared" ca="1" si="11"/>
        <v>737.3787953312393</v>
      </c>
      <c r="Q18" s="13">
        <f t="shared" ca="1" si="11"/>
        <v>755.73272323786409</v>
      </c>
      <c r="R18" s="13">
        <f t="shared" ca="1" si="11"/>
        <v>578.62071010461159</v>
      </c>
      <c r="S18" s="124" t="s">
        <v>133</v>
      </c>
    </row>
    <row r="19" spans="1:19" ht="14.65" customHeight="1" thickBot="1">
      <c r="B19" t="s">
        <v>134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9">
        <f ca="1">N18*(-$S$19)</f>
        <v>-68.946563808546315</v>
      </c>
      <c r="O19" s="9">
        <f ca="1">O18*(-$S$19)</f>
        <v>-71.91886699325876</v>
      </c>
      <c r="P19" s="9">
        <f ca="1">P18*(-$S$19)</f>
        <v>-73.73787953312393</v>
      </c>
      <c r="Q19" s="9">
        <f ca="1">Q18*(-$S$19)</f>
        <v>-75.573272323786412</v>
      </c>
      <c r="R19" s="9">
        <f ca="1">R18*(-$S$19)</f>
        <v>-57.862071010461165</v>
      </c>
      <c r="S19" s="135">
        <v>0.1</v>
      </c>
    </row>
    <row r="20" spans="1:19">
      <c r="B20" s="7" t="s">
        <v>135</v>
      </c>
      <c r="C20" s="7"/>
      <c r="D20" s="7"/>
      <c r="E20" s="12">
        <v>-150</v>
      </c>
      <c r="F20" s="12">
        <v>-150</v>
      </c>
      <c r="G20" s="12">
        <v>-150</v>
      </c>
      <c r="H20" s="12">
        <v>-150</v>
      </c>
      <c r="I20" s="12">
        <v>-150</v>
      </c>
      <c r="J20" s="12">
        <v>-240</v>
      </c>
      <c r="K20" s="12">
        <v>-240</v>
      </c>
      <c r="L20" s="12">
        <v>-240</v>
      </c>
      <c r="M20" s="12">
        <v>-200</v>
      </c>
      <c r="N20" s="12">
        <v>-200</v>
      </c>
      <c r="O20" s="12">
        <v>-200</v>
      </c>
      <c r="P20" s="12">
        <v>-200</v>
      </c>
      <c r="Q20" s="12">
        <v>-200</v>
      </c>
      <c r="R20" s="12">
        <v>-150</v>
      </c>
    </row>
    <row r="21" spans="1:19">
      <c r="B21" s="1" t="s">
        <v>136</v>
      </c>
      <c r="E21" s="13">
        <f t="shared" ref="E21:R21" si="12">SUM(E18:E20)</f>
        <v>179.72300000000018</v>
      </c>
      <c r="F21" s="13">
        <f t="shared" si="12"/>
        <v>245.58400000000012</v>
      </c>
      <c r="G21" s="13">
        <f t="shared" si="12"/>
        <v>200.45400000000012</v>
      </c>
      <c r="H21" s="13">
        <f t="shared" si="12"/>
        <v>98.993999999999971</v>
      </c>
      <c r="I21" s="13">
        <f t="shared" si="12"/>
        <v>163.73499999999996</v>
      </c>
      <c r="J21" s="13">
        <f t="shared" si="12"/>
        <v>183.16499999999991</v>
      </c>
      <c r="K21" s="13">
        <f t="shared" ca="1" si="12"/>
        <v>335.69200000000001</v>
      </c>
      <c r="L21" s="13">
        <f t="shared" ca="1" si="12"/>
        <v>341.10835552000003</v>
      </c>
      <c r="M21" s="13">
        <f t="shared" ca="1" si="12"/>
        <v>435.07826463536003</v>
      </c>
      <c r="N21" s="13">
        <f t="shared" ca="1" si="12"/>
        <v>420.51907427691685</v>
      </c>
      <c r="O21" s="13">
        <f t="shared" ca="1" si="12"/>
        <v>447.26980293932877</v>
      </c>
      <c r="P21" s="13">
        <f t="shared" ca="1" si="12"/>
        <v>463.64091579811543</v>
      </c>
      <c r="Q21" s="13">
        <f t="shared" ca="1" si="12"/>
        <v>480.15945091407764</v>
      </c>
      <c r="R21" s="13">
        <f t="shared" ca="1" si="12"/>
        <v>370.75863909415045</v>
      </c>
    </row>
    <row r="22" spans="1:19" ht="14.65" customHeight="1" thickBot="1">
      <c r="C22" s="3" t="s">
        <v>137</v>
      </c>
      <c r="E22" s="8">
        <f t="shared" ref="E22:R22" si="13">E21/E18</f>
        <v>0.54507268222113736</v>
      </c>
      <c r="F22" s="8">
        <f t="shared" si="13"/>
        <v>0.6208137841773177</v>
      </c>
      <c r="G22" s="8">
        <f t="shared" si="13"/>
        <v>0.57198376962454434</v>
      </c>
      <c r="H22" s="8">
        <f t="shared" si="13"/>
        <v>0.39757584520108913</v>
      </c>
      <c r="I22" s="8">
        <f t="shared" si="13"/>
        <v>0.52188949272475171</v>
      </c>
      <c r="J22" s="8">
        <f t="shared" si="13"/>
        <v>0.43284534401474589</v>
      </c>
      <c r="K22" s="8">
        <f t="shared" ca="1" si="13"/>
        <v>0.58311041320706214</v>
      </c>
      <c r="L22" s="8">
        <f t="shared" ca="1" si="13"/>
        <v>0.58699612951660629</v>
      </c>
      <c r="M22" s="8">
        <f t="shared" ca="1" si="13"/>
        <v>0.68507818463156966</v>
      </c>
      <c r="N22" s="8">
        <f t="shared" ca="1" si="13"/>
        <v>0.6099202789056053</v>
      </c>
      <c r="O22" s="8">
        <f t="shared" ca="1" si="13"/>
        <v>0.62190885596300227</v>
      </c>
      <c r="P22" s="8">
        <f t="shared" ca="1" si="13"/>
        <v>0.62876898377562163</v>
      </c>
      <c r="Q22" s="8">
        <f t="shared" ca="1" si="13"/>
        <v>0.63535617308839121</v>
      </c>
      <c r="R22" s="8">
        <f t="shared" ca="1" si="13"/>
        <v>0.64076282203434998</v>
      </c>
    </row>
    <row r="23" spans="1:19">
      <c r="S23" s="124" t="s">
        <v>138</v>
      </c>
    </row>
    <row r="24" spans="1:19">
      <c r="B24" s="3" t="s">
        <v>139</v>
      </c>
      <c r="K24" s="8">
        <f t="shared" ref="K24:R24" si="14">1/(1+$S$24)^K2</f>
        <v>1</v>
      </c>
      <c r="L24" s="8">
        <f t="shared" si="14"/>
        <v>0.92592592592592582</v>
      </c>
      <c r="M24" s="8">
        <f t="shared" si="14"/>
        <v>0.85733882030178321</v>
      </c>
      <c r="N24" s="8">
        <f t="shared" si="14"/>
        <v>0.79383224102016958</v>
      </c>
      <c r="O24" s="8">
        <f t="shared" si="14"/>
        <v>0.73502985279645328</v>
      </c>
      <c r="P24" s="8">
        <f t="shared" si="14"/>
        <v>0.68058319703375303</v>
      </c>
      <c r="Q24" s="8">
        <f t="shared" si="14"/>
        <v>0.63016962688310452</v>
      </c>
      <c r="R24" s="8">
        <f t="shared" si="14"/>
        <v>0.58349039526213387</v>
      </c>
      <c r="S24" s="136">
        <v>0.08</v>
      </c>
    </row>
    <row r="25" spans="1:19">
      <c r="B25" s="1" t="s">
        <v>140</v>
      </c>
      <c r="C25" s="1"/>
      <c r="D25" s="1"/>
      <c r="E25" s="1"/>
      <c r="F25" s="1"/>
      <c r="G25" s="1"/>
      <c r="H25" s="1"/>
      <c r="I25" s="1"/>
      <c r="J25" s="1"/>
      <c r="K25" s="13">
        <f t="shared" ref="K25:Q25" ca="1" si="15">K21*K24</f>
        <v>335.69200000000001</v>
      </c>
      <c r="L25" s="13">
        <f t="shared" ca="1" si="15"/>
        <v>315.84106992592592</v>
      </c>
      <c r="M25" s="13">
        <f t="shared" ca="1" si="15"/>
        <v>373.00948614142663</v>
      </c>
      <c r="N25" s="13">
        <f t="shared" ca="1" si="15"/>
        <v>333.82159912497207</v>
      </c>
      <c r="O25" s="13">
        <f t="shared" ca="1" si="15"/>
        <v>328.75665741479349</v>
      </c>
      <c r="P25" s="13">
        <f t="shared" ca="1" si="15"/>
        <v>315.54621674953847</v>
      </c>
      <c r="Q25" s="13">
        <f t="shared" ca="1" si="15"/>
        <v>302.58190202692066</v>
      </c>
      <c r="R25" s="13">
        <f ca="1">(R21/(S24-S26))*Q24</f>
        <v>3894.0138876941401</v>
      </c>
      <c r="S25" s="130" t="s">
        <v>141</v>
      </c>
    </row>
    <row r="26" spans="1:19" ht="14.65" customHeight="1" thickBot="1">
      <c r="S26" s="135">
        <v>0.02</v>
      </c>
    </row>
    <row r="27" spans="1:19">
      <c r="A27" t="s">
        <v>38</v>
      </c>
      <c r="B27" s="140" t="s">
        <v>142</v>
      </c>
      <c r="C27" s="28"/>
      <c r="D27" s="28"/>
      <c r="E27" s="141">
        <f ca="1">SUM(K25:R25)</f>
        <v>6199.2628190777177</v>
      </c>
    </row>
    <row r="28" spans="1:19">
      <c r="B28" s="29"/>
      <c r="C28" s="74" t="s">
        <v>143</v>
      </c>
      <c r="D28" s="7"/>
      <c r="E28" s="142">
        <f ca="1">K21/E27</f>
        <v>5.4150309447590396E-2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Shell</vt:lpstr>
      <vt:lpstr>Marine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CDIT</dc:creator>
  <cp:lastModifiedBy>Danial Azmi</cp:lastModifiedBy>
  <cp:lastPrinted>2024-01-19T10:49:36Z</cp:lastPrinted>
  <dcterms:created xsi:type="dcterms:W3CDTF">2023-08-01T17:48:52Z</dcterms:created>
  <dcterms:modified xsi:type="dcterms:W3CDTF">2026-01-06T12:39:34Z</dcterms:modified>
</cp:coreProperties>
</file>