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07_063859\"/>
    </mc:Choice>
  </mc:AlternateContent>
  <xr:revisionPtr revIDLastSave="0" documentId="13_ncr:1_{31F960AC-DF85-4476-8664-A5A104A7299F}" xr6:coauthVersionLast="47" xr6:coauthVersionMax="47" xr10:uidLastSave="{00000000-0000-0000-0000-000000000000}"/>
  <bookViews>
    <workbookView xWindow="-98" yWindow="-98" windowWidth="22875" windowHeight="14431" xr2:uid="{00000000-000D-0000-FFFF-FFFF00000000}"/>
  </bookViews>
  <sheets>
    <sheet name="Sheet1" sheetId="1" r:id="rId1"/>
  </sheet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G30" i="1"/>
  <c r="F28" i="1"/>
  <c r="P28" i="1" s="1"/>
  <c r="K26" i="1"/>
  <c r="K25" i="1"/>
  <c r="F25" i="1"/>
  <c r="P25" i="1" s="1"/>
  <c r="O22" i="1"/>
  <c r="O32" i="1" s="1"/>
  <c r="O33" i="1" s="1"/>
  <c r="N22" i="1"/>
  <c r="N32" i="1" s="1"/>
  <c r="N33" i="1" s="1"/>
  <c r="M22" i="1"/>
  <c r="M32" i="1" s="1"/>
  <c r="M33" i="1" s="1"/>
  <c r="K22" i="1"/>
  <c r="K32" i="1" s="1"/>
  <c r="K33" i="1" s="1"/>
  <c r="J22" i="1"/>
  <c r="J32" i="1" s="1"/>
  <c r="J33" i="1" s="1"/>
  <c r="I22" i="1"/>
  <c r="I32" i="1" s="1"/>
  <c r="I33" i="1" s="1"/>
  <c r="H22" i="1"/>
  <c r="H32" i="1" s="1"/>
  <c r="F22" i="1"/>
  <c r="F32" i="1" s="1"/>
  <c r="F33" i="1" s="1"/>
  <c r="E22" i="1"/>
  <c r="E32" i="1" s="1"/>
  <c r="E33" i="1" s="1"/>
  <c r="D22" i="1"/>
  <c r="D32" i="1" s="1"/>
  <c r="D33" i="1" s="1"/>
  <c r="C22" i="1"/>
  <c r="C32" i="1" s="1"/>
  <c r="L21" i="1"/>
  <c r="K28" i="1" s="1"/>
  <c r="G21" i="1"/>
  <c r="L20" i="1"/>
  <c r="K27" i="1" s="1"/>
  <c r="G20" i="1"/>
  <c r="F27" i="1" s="1"/>
  <c r="L19" i="1"/>
  <c r="G19" i="1"/>
  <c r="F26" i="1" s="1"/>
  <c r="P26" i="1" s="1"/>
  <c r="L18" i="1"/>
  <c r="G18" i="1"/>
  <c r="K15" i="1"/>
  <c r="L13" i="1"/>
  <c r="G13" i="1"/>
  <c r="F15" i="1" s="1"/>
  <c r="P15" i="1" l="1"/>
  <c r="P27" i="1"/>
  <c r="G32" i="1"/>
  <c r="G33" i="1" s="1"/>
  <c r="C33" i="1"/>
  <c r="L32" i="1"/>
  <c r="L33" i="1" s="1"/>
  <c r="H33" i="1"/>
  <c r="G22" i="1"/>
  <c r="L22" i="1"/>
  <c r="P13" i="1" l="1"/>
  <c r="P18" i="1"/>
  <c r="P19" i="1"/>
  <c r="P20" i="1"/>
  <c r="P21" i="1"/>
  <c r="P22" i="1"/>
  <c r="P32" i="1"/>
  <c r="P33" i="1"/>
</calcChain>
</file>

<file path=xl/sharedStrings.xml><?xml version="1.0" encoding="utf-8"?>
<sst xmlns="http://schemas.openxmlformats.org/spreadsheetml/2006/main" count="33" uniqueCount="21">
  <si>
    <t>Fill in the inputs for each segment of cost of goods every quarter and calculate the total sum and the yearly sum</t>
  </si>
  <si>
    <t>Calculate the Q4 seasonal index, defined as the Q4 value divided by (yearly value divided by 4)</t>
  </si>
  <si>
    <t>Use the seasonal index to estimate 2025 4Q  costs</t>
  </si>
  <si>
    <t>Find quarterly auto credit revenue to adjust out of gross profit</t>
  </si>
  <si>
    <t>Calculate gross profit ex auto credit revenue as well as the margin for 4Q25 assume 450 as the auto credit revenue</t>
  </si>
  <si>
    <t>Circ</t>
  </si>
  <si>
    <t>1Q</t>
  </si>
  <si>
    <t>2Q</t>
  </si>
  <si>
    <t>3Q</t>
  </si>
  <si>
    <t>4Q</t>
  </si>
  <si>
    <t>4QE</t>
  </si>
  <si>
    <t>Revenue</t>
  </si>
  <si>
    <t>Q4 seasonal index</t>
  </si>
  <si>
    <t>Automotive</t>
  </si>
  <si>
    <t>Automotive ex. leasing</t>
  </si>
  <si>
    <t>Energy generation and storage</t>
  </si>
  <si>
    <t>Serivce and other</t>
  </si>
  <si>
    <t>Total cost of goods</t>
  </si>
  <si>
    <t>Auto credit revenue to adjust out of GM</t>
  </si>
  <si>
    <t>Total gross profit ex auto credit revenue</t>
  </si>
  <si>
    <t>%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</si>
</sst>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  <numFmt numFmtId="165" formatCode="_(* #,##0.0_);_(* \(#,##0.0\);_(* &quot;-&quot;??_);_(@_)"/>
    <numFmt numFmtId="166" formatCode="_([$€-2]* #,##0.00_);_([$€-2]* \(#,##0.00\);_([$€-2]* &quot;-&quot;??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D5EFF"/>
      <name val="Aptos Narrow"/>
      <family val="2"/>
      <scheme val="minor"/>
    </font>
    <font>
      <b/>
      <sz val="11"/>
      <color rgb="FF0D5E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/>
    <xf numFmtId="9" fontId="1" fillId="0" borderId="0"/>
    <xf numFmtId="166" fontId="3" fillId="0" borderId="0"/>
    <xf numFmtId="43" fontId="1" fillId="0" borderId="0"/>
  </cellStyleXfs>
  <cellXfs count="17">
    <xf numFmtId="0" fontId="0" fillId="0" borderId="0" xfId="0"/>
    <xf numFmtId="41" fontId="0" fillId="0" borderId="0" xfId="1" applyFont="1"/>
    <xf numFmtId="41" fontId="2" fillId="0" borderId="0" xfId="1" applyFont="1"/>
    <xf numFmtId="41" fontId="4" fillId="0" borderId="0" xfId="1" applyFont="1"/>
    <xf numFmtId="0" fontId="2" fillId="0" borderId="0" xfId="0" applyFont="1"/>
    <xf numFmtId="0" fontId="5" fillId="0" borderId="0" xfId="0" applyFont="1"/>
    <xf numFmtId="41" fontId="5" fillId="0" borderId="0" xfId="1" applyFont="1"/>
    <xf numFmtId="41" fontId="2" fillId="0" borderId="1" xfId="1" applyFont="1" applyBorder="1"/>
    <xf numFmtId="164" fontId="0" fillId="0" borderId="0" xfId="1" applyNumberFormat="1" applyFont="1"/>
    <xf numFmtId="41" fontId="0" fillId="2" borderId="2" xfId="1" applyFont="1" applyFill="1" applyBorder="1"/>
    <xf numFmtId="41" fontId="6" fillId="0" borderId="0" xfId="1" applyFont="1"/>
    <xf numFmtId="9" fontId="0" fillId="0" borderId="3" xfId="2" applyFont="1" applyBorder="1"/>
    <xf numFmtId="165" fontId="0" fillId="0" borderId="3" xfId="4" applyNumberFormat="1" applyFont="1" applyBorder="1"/>
    <xf numFmtId="41" fontId="1" fillId="0" borderId="0" xfId="1"/>
    <xf numFmtId="41" fontId="7" fillId="0" borderId="0" xfId="1" applyFont="1"/>
    <xf numFmtId="41" fontId="7" fillId="0" borderId="1" xfId="1" applyFont="1" applyBorder="1"/>
    <xf numFmtId="41" fontId="8" fillId="0" borderId="0" xfId="1" applyFont="1"/>
  </cellXfs>
  <cellStyles count="5">
    <cellStyle name="Comma" xfId="4" builtinId="3"/>
    <cellStyle name="Comma [0]" xfId="1" builtinId="6"/>
    <cellStyle name="Normal" xfId="0" builtinId="0"/>
    <cellStyle name="Normal 17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5"/>
  <sheetViews>
    <sheetView showGridLines="0" tabSelected="1" topLeftCell="G5" workbookViewId="0">
      <selection activeCell="P9" sqref="P9"/>
    </sheetView>
  </sheetViews>
  <sheetFormatPr defaultColWidth="10.59765625" defaultRowHeight="14.25" x14ac:dyDescent="0.45"/>
  <cols>
    <col min="1" max="1" width="10.59765625" style="1" customWidth="1"/>
    <col min="2" max="2" width="35.59765625" style="1" customWidth="1"/>
    <col min="3" max="3" width="10.59765625" style="1" customWidth="1"/>
    <col min="4" max="16384" width="10.59765625" style="1"/>
  </cols>
  <sheetData>
    <row r="2" spans="2:17" x14ac:dyDescent="0.45">
      <c r="B2" s="1" t="s">
        <v>0</v>
      </c>
    </row>
    <row r="3" spans="2:17" x14ac:dyDescent="0.45">
      <c r="B3" s="1" t="s">
        <v>1</v>
      </c>
    </row>
    <row r="4" spans="2:17" x14ac:dyDescent="0.45">
      <c r="B4" s="1" t="s">
        <v>2</v>
      </c>
      <c r="Q4" s="4"/>
    </row>
    <row r="5" spans="2:17" x14ac:dyDescent="0.45">
      <c r="B5" s="1" t="s">
        <v>3</v>
      </c>
    </row>
    <row r="6" spans="2:17" s="2" customFormat="1" x14ac:dyDescent="0.45">
      <c r="B6" s="13" t="s">
        <v>4</v>
      </c>
    </row>
    <row r="8" spans="2:17" x14ac:dyDescent="0.45">
      <c r="Q8" s="8"/>
    </row>
    <row r="9" spans="2:17" x14ac:dyDescent="0.45">
      <c r="O9" s="1" t="s">
        <v>5</v>
      </c>
      <c r="P9" s="9">
        <v>1</v>
      </c>
    </row>
    <row r="11" spans="2:17" x14ac:dyDescent="0.45">
      <c r="C11" s="6" t="s">
        <v>6</v>
      </c>
      <c r="D11" s="6" t="s">
        <v>7</v>
      </c>
      <c r="E11" s="6" t="s">
        <v>8</v>
      </c>
      <c r="F11" s="6" t="s">
        <v>9</v>
      </c>
      <c r="G11" s="5">
        <v>2023</v>
      </c>
      <c r="H11" s="6" t="s">
        <v>6</v>
      </c>
      <c r="I11" s="6" t="s">
        <v>7</v>
      </c>
      <c r="J11" s="6" t="s">
        <v>8</v>
      </c>
      <c r="K11" s="6" t="s">
        <v>9</v>
      </c>
      <c r="L11" s="5">
        <v>2024</v>
      </c>
      <c r="M11" s="6" t="s">
        <v>6</v>
      </c>
      <c r="N11" s="6" t="s">
        <v>7</v>
      </c>
      <c r="O11" s="6" t="s">
        <v>8</v>
      </c>
      <c r="P11" s="6" t="s">
        <v>10</v>
      </c>
    </row>
    <row r="12" spans="2:17" x14ac:dyDescent="0.45">
      <c r="G12" s="4"/>
    </row>
    <row r="13" spans="2:17" x14ac:dyDescent="0.45">
      <c r="B13" s="2" t="s">
        <v>11</v>
      </c>
      <c r="C13" s="6">
        <v>23329</v>
      </c>
      <c r="D13" s="6">
        <v>24927</v>
      </c>
      <c r="E13" s="6">
        <v>23350</v>
      </c>
      <c r="F13" s="6">
        <v>25167</v>
      </c>
      <c r="G13" s="2">
        <f>+SUM(C13:F13)</f>
        <v>96773</v>
      </c>
      <c r="H13" s="6">
        <v>21301</v>
      </c>
      <c r="I13" s="6">
        <v>25500</v>
      </c>
      <c r="J13" s="6">
        <v>25182</v>
      </c>
      <c r="K13" s="6">
        <v>25707</v>
      </c>
      <c r="L13" s="2">
        <f>+SUM(H13:K13)</f>
        <v>97690</v>
      </c>
      <c r="M13" s="6">
        <v>19335</v>
      </c>
      <c r="N13" s="6">
        <v>22496</v>
      </c>
      <c r="O13" s="6">
        <v>28095</v>
      </c>
      <c r="P13" s="2">
        <f ca="1">+IF($P$9,P15*AVERAGE(M13:P13),P15*AVERAGE(M13:O13))</f>
        <v>24774.051642981198</v>
      </c>
    </row>
    <row r="14" spans="2:17" x14ac:dyDescent="0.4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7" x14ac:dyDescent="0.45">
      <c r="B15" s="11" t="s">
        <v>12</v>
      </c>
      <c r="C15" s="12"/>
      <c r="D15" s="12"/>
      <c r="E15" s="12"/>
      <c r="F15" s="12">
        <f>+F13/(G13/4)</f>
        <v>1.0402488297355668</v>
      </c>
      <c r="G15" s="12"/>
      <c r="H15" s="12"/>
      <c r="I15" s="12"/>
      <c r="J15" s="12"/>
      <c r="K15" s="12">
        <f>+K13/(L13/4)</f>
        <v>1.0525949431876342</v>
      </c>
      <c r="L15" s="12"/>
      <c r="M15" s="12"/>
      <c r="N15" s="12"/>
      <c r="O15" s="12"/>
      <c r="P15" s="12">
        <f>+AVERAGE(K15,F15)</f>
        <v>1.0464218864616006</v>
      </c>
    </row>
    <row r="16" spans="2:17" x14ac:dyDescent="0.4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9" x14ac:dyDescent="0.45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2:19" x14ac:dyDescent="0.45">
      <c r="B18" s="1" t="s">
        <v>13</v>
      </c>
      <c r="C18" s="16">
        <v>16299</v>
      </c>
      <c r="D18" s="16">
        <v>17312</v>
      </c>
      <c r="E18" s="16">
        <v>16882</v>
      </c>
      <c r="F18" s="16">
        <v>18215</v>
      </c>
      <c r="G18" s="14">
        <f>SUM(C18:F18)</f>
        <v>68708</v>
      </c>
      <c r="H18" s="16">
        <v>15002</v>
      </c>
      <c r="I18" s="16">
        <v>17614</v>
      </c>
      <c r="J18" s="16">
        <v>17273</v>
      </c>
      <c r="K18" s="16">
        <v>17752</v>
      </c>
      <c r="L18" s="14">
        <f>SUM(H18:K18)</f>
        <v>67641</v>
      </c>
      <c r="M18" s="16">
        <v>13378</v>
      </c>
      <c r="N18" s="16">
        <v>15173</v>
      </c>
      <c r="O18" s="16">
        <v>18893</v>
      </c>
      <c r="P18" s="14">
        <f ca="1">IF($P$9,P25*(SUM(M18:O18)+P18)/4,P25*SUM(M18:O18)/3)</f>
        <v>16998.334256326514</v>
      </c>
      <c r="Q18" s="14"/>
      <c r="R18" s="14"/>
      <c r="S18" s="14"/>
    </row>
    <row r="19" spans="2:19" x14ac:dyDescent="0.45">
      <c r="B19" s="1" t="s">
        <v>14</v>
      </c>
      <c r="C19" s="16">
        <v>15422</v>
      </c>
      <c r="D19" s="16">
        <v>16456</v>
      </c>
      <c r="E19" s="16">
        <v>15656</v>
      </c>
      <c r="F19" s="16">
        <v>17202</v>
      </c>
      <c r="G19" s="14">
        <f>SUM(C19:F19)</f>
        <v>64736</v>
      </c>
      <c r="H19" s="16">
        <v>14221</v>
      </c>
      <c r="I19" s="16">
        <v>16889</v>
      </c>
      <c r="J19" s="16">
        <v>16519</v>
      </c>
      <c r="K19" s="16">
        <v>16944</v>
      </c>
      <c r="L19" s="14">
        <f>SUM(H19:K19)</f>
        <v>64573</v>
      </c>
      <c r="M19" s="16">
        <v>12676</v>
      </c>
      <c r="N19" s="16">
        <v>14430</v>
      </c>
      <c r="O19" s="16">
        <v>18063</v>
      </c>
      <c r="P19" s="14">
        <f ca="1">IF($P$9,P26*(SUM(M19:O19)+P19)/4,P26*SUM(M19:O19)/3)</f>
        <v>16207.181782081803</v>
      </c>
      <c r="Q19" s="14"/>
      <c r="R19" s="14"/>
      <c r="S19" s="14"/>
    </row>
    <row r="20" spans="2:19" x14ac:dyDescent="0.45">
      <c r="B20" s="1" t="s">
        <v>15</v>
      </c>
      <c r="C20" s="16">
        <v>1361</v>
      </c>
      <c r="D20" s="16">
        <v>1641</v>
      </c>
      <c r="E20" s="16">
        <v>1178</v>
      </c>
      <c r="F20" s="16">
        <v>1472</v>
      </c>
      <c r="G20" s="14">
        <f>SUM(C20:F20)</f>
        <v>5652</v>
      </c>
      <c r="H20" s="16">
        <v>1618</v>
      </c>
      <c r="I20" s="16">
        <v>2389</v>
      </c>
      <c r="J20" s="16">
        <v>2677</v>
      </c>
      <c r="K20" s="16">
        <v>2886</v>
      </c>
      <c r="L20" s="14">
        <f>SUM(H20:K20)</f>
        <v>9570</v>
      </c>
      <c r="M20" s="16">
        <v>2730</v>
      </c>
      <c r="N20" s="16">
        <v>3269</v>
      </c>
      <c r="O20" s="16">
        <v>3696</v>
      </c>
      <c r="P20" s="14">
        <f ca="1">IF($P$9,P27*(SUM(M20:O20)+P20)/4,P27*SUM(M20:O20)/3)</f>
        <v>3789.0634828854459</v>
      </c>
      <c r="Q20" s="14"/>
      <c r="R20" s="14"/>
      <c r="S20" s="14"/>
    </row>
    <row r="21" spans="2:19" x14ac:dyDescent="0.45">
      <c r="B21" s="1" t="s">
        <v>16</v>
      </c>
      <c r="C21" s="16">
        <v>1702</v>
      </c>
      <c r="D21" s="16">
        <v>1858</v>
      </c>
      <c r="E21" s="16">
        <v>1894</v>
      </c>
      <c r="F21" s="16">
        <v>2064</v>
      </c>
      <c r="G21" s="14">
        <f>SUM(C21:F21)</f>
        <v>7518</v>
      </c>
      <c r="H21" s="16">
        <v>2093</v>
      </c>
      <c r="I21" s="16">
        <v>2195</v>
      </c>
      <c r="J21" s="16">
        <v>2234</v>
      </c>
      <c r="K21" s="16">
        <v>2288</v>
      </c>
      <c r="L21" s="14">
        <f>SUM(H21:K21)</f>
        <v>8810</v>
      </c>
      <c r="M21" s="16">
        <v>2330</v>
      </c>
      <c r="N21" s="16">
        <v>2418</v>
      </c>
      <c r="O21" s="16">
        <v>2556</v>
      </c>
      <c r="P21" s="14">
        <f ca="1">IF($P$9,P28*(SUM(M21:O21)+P21)/4,P28*SUM(M21:O21)/3)</f>
        <v>2662.2015662818317</v>
      </c>
      <c r="Q21" s="14"/>
      <c r="R21" s="14"/>
      <c r="S21" s="14"/>
    </row>
    <row r="22" spans="2:19" x14ac:dyDescent="0.45">
      <c r="B22" s="7" t="s">
        <v>17</v>
      </c>
      <c r="C22" s="15">
        <f>C18+C20+C21</f>
        <v>19362</v>
      </c>
      <c r="D22" s="15">
        <f>D18+D20+D21</f>
        <v>20811</v>
      </c>
      <c r="E22" s="15">
        <f>E18+E20+E21</f>
        <v>19954</v>
      </c>
      <c r="F22" s="15">
        <f>F18+F20+F21</f>
        <v>21751</v>
      </c>
      <c r="G22" s="15">
        <f>SUM(C22:F22)</f>
        <v>81878</v>
      </c>
      <c r="H22" s="15">
        <f>H18+H20+H21</f>
        <v>18713</v>
      </c>
      <c r="I22" s="15">
        <f>I18+I20+I21</f>
        <v>22198</v>
      </c>
      <c r="J22" s="15">
        <f>J18+J20+J21</f>
        <v>22184</v>
      </c>
      <c r="K22" s="15">
        <f>K18+K20+K21</f>
        <v>22926</v>
      </c>
      <c r="L22" s="15">
        <f>SUM(H22:K22)</f>
        <v>86021</v>
      </c>
      <c r="M22" s="15">
        <f>M18+M20+M21</f>
        <v>18438</v>
      </c>
      <c r="N22" s="15">
        <f>N18+N20+N21</f>
        <v>20860</v>
      </c>
      <c r="O22" s="15">
        <f>O18+O20+O21</f>
        <v>25145</v>
      </c>
      <c r="P22" s="15">
        <f ca="1">P18+P20+P21</f>
        <v>23449.59930549379</v>
      </c>
      <c r="Q22" s="14"/>
      <c r="R22" s="14"/>
      <c r="S22" s="14"/>
    </row>
    <row r="23" spans="2:19" x14ac:dyDescent="0.45">
      <c r="B23" s="2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2:19" x14ac:dyDescent="0.45">
      <c r="B24" s="2" t="s">
        <v>12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2:19" x14ac:dyDescent="0.45">
      <c r="B25" s="1" t="s">
        <v>13</v>
      </c>
      <c r="C25" s="14"/>
      <c r="E25" s="14"/>
      <c r="F25" s="14">
        <f>F18/(G18/4)</f>
        <v>1.0604296442917855</v>
      </c>
      <c r="G25" s="14"/>
      <c r="H25" s="14"/>
      <c r="I25" s="14"/>
      <c r="J25" s="14"/>
      <c r="K25" s="14">
        <f>K18/(L18/4)</f>
        <v>1.0497775018110318</v>
      </c>
      <c r="L25" s="14"/>
      <c r="M25" s="14"/>
      <c r="N25" s="14"/>
      <c r="O25" s="14"/>
      <c r="P25" s="14">
        <f>AVERAGE(F25,K25)</f>
        <v>1.0551035730514087</v>
      </c>
      <c r="Q25" s="14"/>
      <c r="R25" s="14"/>
      <c r="S25" s="14"/>
    </row>
    <row r="26" spans="2:19" s="10" customFormat="1" x14ac:dyDescent="0.45">
      <c r="B26" s="1" t="s">
        <v>14</v>
      </c>
      <c r="C26" s="14"/>
      <c r="D26" s="14"/>
      <c r="E26" s="14"/>
      <c r="F26" s="14">
        <f>F19/(G19/4)</f>
        <v>1.0629016312407316</v>
      </c>
      <c r="G26" s="14"/>
      <c r="H26" s="14"/>
      <c r="I26" s="14"/>
      <c r="J26" s="14"/>
      <c r="K26" s="14">
        <f>K19/(L19/4)</f>
        <v>1.049602775153702</v>
      </c>
      <c r="L26" s="14"/>
      <c r="M26" s="14"/>
      <c r="N26" s="14"/>
      <c r="O26" s="14"/>
      <c r="P26" s="14">
        <f>AVERAGE(F26,K26)</f>
        <v>1.0562522031972168</v>
      </c>
      <c r="Q26" s="14"/>
      <c r="R26" s="14"/>
      <c r="S26" s="14"/>
    </row>
    <row r="27" spans="2:19" x14ac:dyDescent="0.45">
      <c r="B27" s="1" t="s">
        <v>15</v>
      </c>
      <c r="C27" s="14"/>
      <c r="D27" s="14"/>
      <c r="E27" s="14"/>
      <c r="F27" s="14">
        <f>F20/(G20/4)</f>
        <v>1.0417551309271054</v>
      </c>
      <c r="G27" s="14"/>
      <c r="H27" s="14"/>
      <c r="I27" s="14"/>
      <c r="J27" s="14"/>
      <c r="K27" s="14">
        <f>K20/(L20/4)</f>
        <v>1.206269592476489</v>
      </c>
      <c r="L27" s="14"/>
      <c r="M27" s="14"/>
      <c r="N27" s="14"/>
      <c r="O27" s="14"/>
      <c r="P27" s="14">
        <f>AVERAGE(F27,K27)</f>
        <v>1.1240123617017972</v>
      </c>
      <c r="Q27" s="14"/>
      <c r="R27" s="14"/>
      <c r="S27" s="14"/>
    </row>
    <row r="28" spans="2:19" x14ac:dyDescent="0.45">
      <c r="B28" s="1" t="s">
        <v>16</v>
      </c>
      <c r="C28" s="14"/>
      <c r="D28" s="14"/>
      <c r="E28" s="14"/>
      <c r="F28" s="14">
        <f>F21/(G21/4)</f>
        <v>1.0981644054269752</v>
      </c>
      <c r="G28" s="14"/>
      <c r="H28" s="14"/>
      <c r="I28" s="14"/>
      <c r="J28" s="14"/>
      <c r="K28" s="14">
        <f>K21/(L21/4)</f>
        <v>1.0388195232690125</v>
      </c>
      <c r="L28" s="14"/>
      <c r="M28" s="14"/>
      <c r="N28" s="14"/>
      <c r="O28" s="14"/>
      <c r="P28" s="14">
        <f>AVERAGE(F28,K28)</f>
        <v>1.0684919643479938</v>
      </c>
      <c r="Q28" s="14"/>
      <c r="R28" s="14"/>
      <c r="S28" s="14"/>
    </row>
    <row r="29" spans="2:19" x14ac:dyDescent="0.45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2:19" x14ac:dyDescent="0.45">
      <c r="B30" s="1" t="s">
        <v>18</v>
      </c>
      <c r="C30" s="16">
        <v>521</v>
      </c>
      <c r="D30" s="16">
        <v>282</v>
      </c>
      <c r="E30" s="16">
        <v>554</v>
      </c>
      <c r="F30" s="16">
        <v>433</v>
      </c>
      <c r="G30" s="14">
        <f>SUM(C30:F30)</f>
        <v>1790</v>
      </c>
      <c r="H30" s="16">
        <v>442</v>
      </c>
      <c r="I30" s="16">
        <v>890</v>
      </c>
      <c r="J30" s="16">
        <v>739</v>
      </c>
      <c r="K30" s="16">
        <v>691</v>
      </c>
      <c r="L30" s="14">
        <f>SUM(H30:K30)</f>
        <v>2762</v>
      </c>
      <c r="M30" s="16">
        <v>595</v>
      </c>
      <c r="N30" s="16">
        <v>409</v>
      </c>
      <c r="O30" s="16">
        <v>326</v>
      </c>
      <c r="P30" s="16">
        <v>450</v>
      </c>
      <c r="Q30" s="14"/>
      <c r="R30" s="14"/>
      <c r="S30" s="14"/>
    </row>
    <row r="31" spans="2:19" x14ac:dyDescent="0.4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2:19" x14ac:dyDescent="0.45">
      <c r="B32" s="1" t="s">
        <v>19</v>
      </c>
      <c r="C32" s="14">
        <f>C13-C22-C30</f>
        <v>3446</v>
      </c>
      <c r="D32" s="14">
        <f>D13-D22-D30</f>
        <v>3834</v>
      </c>
      <c r="E32" s="14">
        <f>E13-E22-E30</f>
        <v>2842</v>
      </c>
      <c r="F32" s="14">
        <f>F13-F22-F30</f>
        <v>2983</v>
      </c>
      <c r="G32" s="14">
        <f>SUM(C32:F32)</f>
        <v>13105</v>
      </c>
      <c r="H32" s="14">
        <f>H13-H22-H30</f>
        <v>2146</v>
      </c>
      <c r="I32" s="14">
        <f>I13-I22-I30</f>
        <v>2412</v>
      </c>
      <c r="J32" s="14">
        <f>J13-J22-J30</f>
        <v>2259</v>
      </c>
      <c r="K32" s="14">
        <f>K13-K22-K30</f>
        <v>2090</v>
      </c>
      <c r="L32" s="14">
        <f>SUM(H32:K32)</f>
        <v>8907</v>
      </c>
      <c r="M32" s="14">
        <f>M13-M22-M30</f>
        <v>302</v>
      </c>
      <c r="N32" s="14">
        <f>N13-N22-N30</f>
        <v>1227</v>
      </c>
      <c r="O32" s="14">
        <f>O13-O22-O30</f>
        <v>2624</v>
      </c>
      <c r="P32" s="14">
        <f ca="1">P13-P22-P30</f>
        <v>874.45233748740793</v>
      </c>
      <c r="Q32" s="14"/>
      <c r="R32" s="14"/>
      <c r="S32" s="14"/>
    </row>
    <row r="33" spans="2:19" x14ac:dyDescent="0.45">
      <c r="B33" s="10" t="s">
        <v>20</v>
      </c>
      <c r="C33" s="14">
        <f t="shared" ref="C33:P33" si="0">C32/(C13-C30)</f>
        <v>0.15108733777621888</v>
      </c>
      <c r="D33" s="14">
        <f t="shared" si="0"/>
        <v>0.15556908094948266</v>
      </c>
      <c r="E33" s="14">
        <f t="shared" si="0"/>
        <v>0.12467099491138796</v>
      </c>
      <c r="F33" s="14">
        <f t="shared" si="0"/>
        <v>0.1206032182420959</v>
      </c>
      <c r="G33" s="14">
        <f t="shared" si="0"/>
        <v>0.13797205815777561</v>
      </c>
      <c r="H33" s="14">
        <f t="shared" si="0"/>
        <v>0.10288125029963086</v>
      </c>
      <c r="I33" s="14">
        <f t="shared" si="0"/>
        <v>9.8008939455505886E-2</v>
      </c>
      <c r="J33" s="14">
        <f t="shared" si="0"/>
        <v>9.2419097492124541E-2</v>
      </c>
      <c r="K33" s="14">
        <f t="shared" si="0"/>
        <v>8.3546530220658777E-2</v>
      </c>
      <c r="L33" s="14">
        <f t="shared" si="0"/>
        <v>9.3829007247598184E-2</v>
      </c>
      <c r="M33" s="14">
        <f t="shared" si="0"/>
        <v>1.6115261472785487E-2</v>
      </c>
      <c r="N33" s="14">
        <f t="shared" si="0"/>
        <v>5.555304024992077E-2</v>
      </c>
      <c r="O33" s="14">
        <f t="shared" si="0"/>
        <v>9.4493860059778889E-2</v>
      </c>
      <c r="P33" s="14">
        <f t="shared" ca="1" si="0"/>
        <v>3.5950110216927393E-2</v>
      </c>
      <c r="Q33" s="14"/>
      <c r="R33" s="14"/>
      <c r="S33" s="14"/>
    </row>
    <row r="34" spans="2:19" x14ac:dyDescent="0.45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2:19" x14ac:dyDescent="0.45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2026-01-06T20:25:27Z</dcterms:created>
  <dcterms:modified xsi:type="dcterms:W3CDTF">2026-01-06T22:43:31Z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0x0101005C1ACE969CBC174083981A742AA53846</vt:lpwstr>
  </property>
</Properties>
</file>