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072507\"/>
    </mc:Choice>
  </mc:AlternateContent>
  <xr:revisionPtr revIDLastSave="0" documentId="13_ncr:1_{45628D1A-4F9D-4913-961B-096A34EA730D}" xr6:coauthVersionLast="47" xr6:coauthVersionMax="47" xr10:uidLastSave="{00000000-0000-0000-0000-000000000000}"/>
  <bookViews>
    <workbookView xWindow="-120" yWindow="330" windowWidth="29040" windowHeight="15990" tabRatio="500" activeTab="5" xr2:uid="{00000000-000D-0000-FFFF-FFFF00000000}"/>
  </bookViews>
  <sheets>
    <sheet name="Summary" sheetId="1" r:id="rId1"/>
    <sheet name="Income Statement" sheetId="2" r:id="rId2"/>
    <sheet name="Balance Sheet" sheetId="3" r:id="rId3"/>
    <sheet name="Cash Flow" sheetId="4" r:id="rId4"/>
    <sheet name="Assumptions" sheetId="5" r:id="rId5"/>
    <sheet name="Retur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6" l="1"/>
  <c r="C13" i="6"/>
  <c r="B13" i="6"/>
  <c r="D11" i="6"/>
  <c r="C20" i="6" s="1"/>
  <c r="D20" i="6" s="1"/>
  <c r="C11" i="6"/>
  <c r="C19" i="6" s="1"/>
  <c r="D19" i="6" s="1"/>
  <c r="B11" i="6"/>
  <c r="C18" i="6" s="1"/>
  <c r="D18" i="6" s="1"/>
  <c r="D10" i="6"/>
  <c r="C10" i="6"/>
  <c r="B10" i="6"/>
  <c r="G27" i="4"/>
  <c r="F27" i="4"/>
  <c r="E27" i="4"/>
  <c r="D27" i="4"/>
  <c r="C27" i="4"/>
  <c r="B27" i="4"/>
  <c r="G21" i="4"/>
  <c r="F21" i="4"/>
  <c r="E21" i="4"/>
  <c r="D21" i="4"/>
  <c r="C21" i="4"/>
  <c r="B21" i="4"/>
  <c r="G15" i="4"/>
  <c r="F15" i="4"/>
  <c r="E15" i="4"/>
  <c r="D15" i="4"/>
  <c r="C15" i="4"/>
  <c r="B15" i="4"/>
  <c r="G7" i="4"/>
  <c r="F7" i="4"/>
  <c r="E7" i="4"/>
  <c r="D7" i="4"/>
  <c r="C7" i="4"/>
  <c r="B7" i="4"/>
  <c r="D37" i="3"/>
  <c r="C37" i="3"/>
  <c r="G36" i="3"/>
  <c r="G37" i="3" s="1"/>
  <c r="F36" i="3"/>
  <c r="F37" i="3" s="1"/>
  <c r="E36" i="3"/>
  <c r="D36" i="3"/>
  <c r="C36" i="3"/>
  <c r="B36" i="3"/>
  <c r="F27" i="3"/>
  <c r="B27" i="3"/>
  <c r="G22" i="3"/>
  <c r="G27" i="3" s="1"/>
  <c r="F22" i="3"/>
  <c r="E22" i="3"/>
  <c r="E27" i="3" s="1"/>
  <c r="D22" i="3"/>
  <c r="D27" i="3" s="1"/>
  <c r="C22" i="3"/>
  <c r="C27" i="3" s="1"/>
  <c r="B22" i="3"/>
  <c r="F16" i="3"/>
  <c r="B16" i="3"/>
  <c r="G10" i="3"/>
  <c r="G16" i="3" s="1"/>
  <c r="F10" i="3"/>
  <c r="E10" i="3"/>
  <c r="E16" i="3" s="1"/>
  <c r="D10" i="3"/>
  <c r="D16" i="3" s="1"/>
  <c r="C10" i="3"/>
  <c r="C16" i="3" s="1"/>
  <c r="B10" i="3"/>
  <c r="E9" i="2"/>
  <c r="E14" i="2" s="1"/>
  <c r="E8" i="2"/>
  <c r="F8" i="2" s="1"/>
  <c r="G8" i="2" s="1"/>
  <c r="E7" i="2"/>
  <c r="D7" i="2"/>
  <c r="D9" i="2" s="1"/>
  <c r="C7" i="2"/>
  <c r="C9" i="2" s="1"/>
  <c r="B7" i="2"/>
  <c r="B9" i="2" s="1"/>
  <c r="E6" i="2"/>
  <c r="G5" i="2"/>
  <c r="G6" i="2" s="1"/>
  <c r="F5" i="2"/>
  <c r="F6" i="2" s="1"/>
  <c r="F7" i="2" s="1"/>
  <c r="F9" i="2" s="1"/>
  <c r="E5" i="2"/>
  <c r="C24" i="1"/>
  <c r="C23" i="1"/>
  <c r="B18" i="1"/>
  <c r="C17" i="1"/>
  <c r="C16" i="1"/>
  <c r="C15" i="1"/>
  <c r="C18" i="1" s="1"/>
  <c r="B22" i="1" s="1"/>
  <c r="C22" i="1" s="1"/>
  <c r="B11" i="1"/>
  <c r="B9" i="1"/>
  <c r="B7" i="1"/>
  <c r="C30" i="3" l="1"/>
  <c r="C32" i="3" s="1"/>
  <c r="C33" i="3" s="1"/>
  <c r="G33" i="3"/>
  <c r="G30" i="3"/>
  <c r="C38" i="3"/>
  <c r="B11" i="2"/>
  <c r="B14" i="2"/>
  <c r="B16" i="2" s="1"/>
  <c r="D30" i="3"/>
  <c r="D32" i="3" s="1"/>
  <c r="D33" i="3" s="1"/>
  <c r="D38" i="3"/>
  <c r="D14" i="2"/>
  <c r="D16" i="2" s="1"/>
  <c r="D11" i="2"/>
  <c r="G32" i="3"/>
  <c r="F11" i="2"/>
  <c r="F14" i="2"/>
  <c r="C14" i="2"/>
  <c r="C16" i="2" s="1"/>
  <c r="C11" i="2"/>
  <c r="E15" i="2"/>
  <c r="E16" i="2"/>
  <c r="E30" i="3"/>
  <c r="E32" i="3"/>
  <c r="E33" i="3" s="1"/>
  <c r="E38" i="3"/>
  <c r="D21" i="6"/>
  <c r="G7" i="2"/>
  <c r="G9" i="2" s="1"/>
  <c r="E37" i="3"/>
  <c r="G38" i="3"/>
  <c r="F38" i="3"/>
  <c r="E11" i="2"/>
  <c r="B30" i="3"/>
  <c r="B38" i="3" s="1"/>
  <c r="F30" i="3"/>
  <c r="F32" i="3" s="1"/>
  <c r="F33" i="3" s="1"/>
  <c r="B37" i="3"/>
  <c r="G14" i="2" l="1"/>
  <c r="G11" i="2"/>
  <c r="E19" i="2"/>
  <c r="E6" i="4"/>
  <c r="E10" i="4" s="1"/>
  <c r="F15" i="2"/>
  <c r="F16" i="2" s="1"/>
  <c r="D6" i="4"/>
  <c r="D10" i="4" s="1"/>
  <c r="D19" i="2"/>
  <c r="B32" i="3"/>
  <c r="B33" i="3" s="1"/>
  <c r="C6" i="4"/>
  <c r="C10" i="4" s="1"/>
  <c r="C19" i="2"/>
  <c r="B6" i="4"/>
  <c r="B10" i="4" s="1"/>
  <c r="B19" i="2"/>
  <c r="F19" i="2" l="1"/>
  <c r="F6" i="4"/>
  <c r="F10" i="4" s="1"/>
  <c r="B26" i="4"/>
  <c r="B28" i="4" s="1"/>
  <c r="B23" i="4"/>
  <c r="D26" i="4"/>
  <c r="D28" i="4" s="1"/>
  <c r="D23" i="4"/>
  <c r="C26" i="4"/>
  <c r="C28" i="4" s="1"/>
  <c r="C23" i="4"/>
  <c r="E23" i="4"/>
  <c r="E26" i="4"/>
  <c r="E28" i="4" s="1"/>
  <c r="G15" i="2"/>
  <c r="G16" i="2" s="1"/>
  <c r="G6" i="4" l="1"/>
  <c r="G10" i="4" s="1"/>
  <c r="G19" i="2"/>
  <c r="F26" i="4"/>
  <c r="F28" i="4" s="1"/>
  <c r="F23" i="4"/>
  <c r="G26" i="4" l="1"/>
  <c r="G28" i="4" s="1"/>
  <c r="G23" i="4"/>
</calcChain>
</file>

<file path=xl/sharedStrings.xml><?xml version="1.0" encoding="utf-8"?>
<sst xmlns="http://schemas.openxmlformats.org/spreadsheetml/2006/main" count="267" uniqueCount="230">
  <si>
    <t>Phillips 66 (PSX) - Elliott Activist Value Creation Model</t>
  </si>
  <si>
    <t>Investment Thesis: Streamline 66 Campaign</t>
  </si>
  <si>
    <t>CURRENT SITUATION</t>
  </si>
  <si>
    <t>Current Stock Price ($/share)</t>
  </si>
  <si>
    <t>Source: Elliott Feb 2025</t>
  </si>
  <si>
    <t>Shares Outstanding (mm)</t>
  </si>
  <si>
    <t>Market Cap ($mm)</t>
  </si>
  <si>
    <t>Net Debt ($mm)</t>
  </si>
  <si>
    <t>Total Enterprise Value ($mm)</t>
  </si>
  <si>
    <t>2026E Consensus EBITDA ($mm)</t>
  </si>
  <si>
    <t>Elliott est. excl. TAR</t>
  </si>
  <si>
    <t>Current TEV/EBITDA Multiple</t>
  </si>
  <si>
    <t>ELLIOTT VALUE CREATION PILLARS</t>
  </si>
  <si>
    <t>Pillar</t>
  </si>
  <si>
    <t>Value ($mm)</t>
  </si>
  <si>
    <t>Value ($/share)</t>
  </si>
  <si>
    <t>Description</t>
  </si>
  <si>
    <t>1. Portfolio Streamline</t>
  </si>
  <si>
    <t>Sell Midstream, CPChem 50%, JET assets</t>
  </si>
  <si>
    <t>2. Refining Performance</t>
  </si>
  <si>
    <t>Close $3.75/bbl gap to Valero</t>
  </si>
  <si>
    <t>3. Enhanced Oversight</t>
  </si>
  <si>
    <t>Independent directors, CEO review</t>
  </si>
  <si>
    <t>Total Value Creation</t>
  </si>
  <si>
    <t>TARGET PRICES</t>
  </si>
  <si>
    <t>Scenario</t>
  </si>
  <si>
    <t>Price ($/sh)</t>
  </si>
  <si>
    <t>Upside %</t>
  </si>
  <si>
    <t>IRR (3yr)</t>
  </si>
  <si>
    <t>Base Case</t>
  </si>
  <si>
    <t>Bull Case (Marathon Path)</t>
  </si>
  <si>
    <t>Bear Case (Status Quo)</t>
  </si>
  <si>
    <t>INVESTMENT RECOMMENDATION</t>
  </si>
  <si>
    <t>Decision:</t>
  </si>
  <si>
    <t>INVEST (with conditions)</t>
  </si>
  <si>
    <t>Key Conditions:</t>
  </si>
  <si>
    <t>1) Elliott board representation achieved</t>
  </si>
  <si>
    <t>2) Midstream sale process initiated within 6 months</t>
  </si>
  <si>
    <t>3) Refining cost cuts show evidence in Q1/Q2</t>
  </si>
  <si>
    <t>Phillips 66 - Consolidated Income Statement</t>
  </si>
  <si>
    <t>$ in millions, except per share data</t>
  </si>
  <si>
    <t>Income Statement</t>
  </si>
  <si>
    <t>FY2022A</t>
  </si>
  <si>
    <t>FY2023A</t>
  </si>
  <si>
    <t>FY2024A</t>
  </si>
  <si>
    <t>FY2025E</t>
  </si>
  <si>
    <t>FY2026E</t>
  </si>
  <si>
    <t>FY2027E</t>
  </si>
  <si>
    <t>Revenue</t>
  </si>
  <si>
    <t>Cost of Revenue</t>
  </si>
  <si>
    <t>Gross Profit</t>
  </si>
  <si>
    <t>Operating Expenses</t>
  </si>
  <si>
    <t>Operating Income (EBIT)</t>
  </si>
  <si>
    <t>Depreciation &amp; Amortization</t>
  </si>
  <si>
    <t>EBITDA</t>
  </si>
  <si>
    <t>Interest Expense</t>
  </si>
  <si>
    <t>Other Income</t>
  </si>
  <si>
    <t>Pre-tax Income</t>
  </si>
  <si>
    <t>Income Tax Expense</t>
  </si>
  <si>
    <t>Net Income</t>
  </si>
  <si>
    <t>EPS</t>
  </si>
  <si>
    <t>Phillips 66 - Consolidated Balance Sheet</t>
  </si>
  <si>
    <t>$ in millions</t>
  </si>
  <si>
    <t>Balance Sheet</t>
  </si>
  <si>
    <t>ASSETS</t>
  </si>
  <si>
    <t>Cash &amp; Equivalents</t>
  </si>
  <si>
    <t>Accounts Receivable</t>
  </si>
  <si>
    <t>Inventory</t>
  </si>
  <si>
    <t>Other Current Assets</t>
  </si>
  <si>
    <t>Total Current Assets</t>
  </si>
  <si>
    <t>PP&amp;E, net</t>
  </si>
  <si>
    <t>Long-Term Investments</t>
  </si>
  <si>
    <t>Goodwill &amp; Intangibles</t>
  </si>
  <si>
    <t>Other Long-Term Assets</t>
  </si>
  <si>
    <t>Total Assets</t>
  </si>
  <si>
    <t>LIABILITIES</t>
  </si>
  <si>
    <t>Accounts Payable</t>
  </si>
  <si>
    <t>Short-Term Debt</t>
  </si>
  <si>
    <t>Other Current Liabilities</t>
  </si>
  <si>
    <t>Total Current Liabilities</t>
  </si>
  <si>
    <t>Long-Term Debt</t>
  </si>
  <si>
    <t>Deferred Tax Liabilities</t>
  </si>
  <si>
    <t>Other Long-Term Liabilities</t>
  </si>
  <si>
    <t>Total Liabilities</t>
  </si>
  <si>
    <t>SHAREHOLDERS' EQUITY</t>
  </si>
  <si>
    <t>Total Equity</t>
  </si>
  <si>
    <t>Total Liab. &amp; Equity</t>
  </si>
  <si>
    <t>Balance Check</t>
  </si>
  <si>
    <t>KEY RATIOS</t>
  </si>
  <si>
    <t>Total Debt</t>
  </si>
  <si>
    <t>Net Debt</t>
  </si>
  <si>
    <t>Debt/Equity</t>
  </si>
  <si>
    <t>Phillips 66 - Cash Flow Statement</t>
  </si>
  <si>
    <t>Cash Flow Statement</t>
  </si>
  <si>
    <t>OPERATING ACTIVITIES</t>
  </si>
  <si>
    <t>Changes in Working Capital</t>
  </si>
  <si>
    <t>Other Operating Adjustments</t>
  </si>
  <si>
    <t>Cash from Operations</t>
  </si>
  <si>
    <t>INVESTING ACTIVITIES</t>
  </si>
  <si>
    <t>Capital Expenditures</t>
  </si>
  <si>
    <t>Asset Sales / Dispositions</t>
  </si>
  <si>
    <t>Cash from Investing</t>
  </si>
  <si>
    <t>FINANCING ACTIVITIES</t>
  </si>
  <si>
    <t>Debt Issuance / (Repayment)</t>
  </si>
  <si>
    <t>Share Repurchases</t>
  </si>
  <si>
    <t>Dividends Paid</t>
  </si>
  <si>
    <t>Cash from Financing</t>
  </si>
  <si>
    <t>Net Change in Cash</t>
  </si>
  <si>
    <t>FREE CASH FLOW</t>
  </si>
  <si>
    <t>Operating Cash Flow</t>
  </si>
  <si>
    <t>Less: CapEx</t>
  </si>
  <si>
    <t>Free Cash Flow</t>
  </si>
  <si>
    <t>Phillips 66 - Key Assumptions</t>
  </si>
  <si>
    <t>ELLIOTT THESIS ASSUMPTIONS</t>
  </si>
  <si>
    <t>Assumption</t>
  </si>
  <si>
    <t>Value</t>
  </si>
  <si>
    <t>Units</t>
  </si>
  <si>
    <t>Source / Notes</t>
  </si>
  <si>
    <t>Current Stock Price</t>
  </si>
  <si>
    <t>$/share</t>
  </si>
  <si>
    <t>Elliott presentation Feb 2025</t>
  </si>
  <si>
    <t>Shares Outstanding</t>
  </si>
  <si>
    <t>mm</t>
  </si>
  <si>
    <t>10-K FY24</t>
  </si>
  <si>
    <t>2026E Consensus EBITDA</t>
  </si>
  <si>
    <t>$mm</t>
  </si>
  <si>
    <t>Elliott estimate excl. TAR</t>
  </si>
  <si>
    <t>Management 2025 Mid-Cycle Target</t>
  </si>
  <si>
    <t>Management guidance (missed)</t>
  </si>
  <si>
    <t>Current TEV/EBITDA</t>
  </si>
  <si>
    <t>x</t>
  </si>
  <si>
    <t>Calculated</t>
  </si>
  <si>
    <t>PILLAR 1: PORTFOLIO STREAMLINE</t>
  </si>
  <si>
    <t>Midstream Sale Value (Gross)</t>
  </si>
  <si>
    <t>10.2x EBITDA multiple</t>
  </si>
  <si>
    <t>CPChem 50% Stake Value (Gross)</t>
  </si>
  <si>
    <t>7.5x EBITDA</t>
  </si>
  <si>
    <t>JET Germany/Austria Value (Gross)</t>
  </si>
  <si>
    <t>Market estimate</t>
  </si>
  <si>
    <t>Tax Leakage Rate</t>
  </si>
  <si>
    <t>%</t>
  </si>
  <si>
    <t>Elliott assumption</t>
  </si>
  <si>
    <t>Net Proceeds from Sales</t>
  </si>
  <si>
    <t>After-tax</t>
  </si>
  <si>
    <t>PILLAR 2: REFINING PERFORMANCE</t>
  </si>
  <si>
    <t>PSX 2026E Refining EBITDA/bbl</t>
  </si>
  <si>
    <t>$/bbl</t>
  </si>
  <si>
    <t>Elliott estimate</t>
  </si>
  <si>
    <t>VLO 2026E Refining EBITDA/bbl</t>
  </si>
  <si>
    <t>Valero benchmark</t>
  </si>
  <si>
    <t>Performance Gap</t>
  </si>
  <si>
    <t>PSX underperformance</t>
  </si>
  <si>
    <t>Refining Throughput</t>
  </si>
  <si>
    <t>mm bbl/yr</t>
  </si>
  <si>
    <t>Capacity</t>
  </si>
  <si>
    <t>EBITDA Improvement Potential</t>
  </si>
  <si>
    <t>$mm/yr</t>
  </si>
  <si>
    <t>Gap closure opportunity</t>
  </si>
  <si>
    <t>PILLAR 3: ENHANCED OVERSIGHT</t>
  </si>
  <si>
    <t>Consultants Spent Since 2022</t>
  </si>
  <si>
    <t>Target Share Buyback Premium</t>
  </si>
  <si>
    <t>15% above market</t>
  </si>
  <si>
    <t>Target Leverage Post-Restructure</t>
  </si>
  <si>
    <t>Net Debt/EBITDA</t>
  </si>
  <si>
    <t>VALUATION ASSUMPTIONS</t>
  </si>
  <si>
    <t>Target Multiple (Refining Pure-Play)</t>
  </si>
  <si>
    <t>Peer average</t>
  </si>
  <si>
    <t>Target Multiple (Midstream)</t>
  </si>
  <si>
    <t>MLP precedent</t>
  </si>
  <si>
    <t>Buyback Price Range Low</t>
  </si>
  <si>
    <t>10% premium</t>
  </si>
  <si>
    <t>Buyback Price Range High</t>
  </si>
  <si>
    <t>25% premium</t>
  </si>
  <si>
    <t>Phillips 66 - Investment Returns Analysis</t>
  </si>
  <si>
    <t>SCENARIO ANALYSIS</t>
  </si>
  <si>
    <t>Bear</t>
  </si>
  <si>
    <t>Base</t>
  </si>
  <si>
    <t>Bull</t>
  </si>
  <si>
    <t>Scenario Description</t>
  </si>
  <si>
    <t>Status Quo</t>
  </si>
  <si>
    <t>Elliott Plan Executed</t>
  </si>
  <si>
    <t>Marathon Path</t>
  </si>
  <si>
    <t>Entry Price ($/share)</t>
  </si>
  <si>
    <t>Exit Price ($/share)</t>
  </si>
  <si>
    <t>Holding Period (years)</t>
  </si>
  <si>
    <t>Dividends Received ($/share)</t>
  </si>
  <si>
    <t>Total Return ($)</t>
  </si>
  <si>
    <t>Total Return (%)</t>
  </si>
  <si>
    <t>IRR</t>
  </si>
  <si>
    <t>MOIC</t>
  </si>
  <si>
    <t>PROBABILITY-WEIGHTED RETURN</t>
  </si>
  <si>
    <t>Probability</t>
  </si>
  <si>
    <t>Return %</t>
  </si>
  <si>
    <t>Weighted Return</t>
  </si>
  <si>
    <t>Bear Case</t>
  </si>
  <si>
    <t>Bull Case</t>
  </si>
  <si>
    <t>Expected Return</t>
  </si>
  <si>
    <t>KEY RISKS</t>
  </si>
  <si>
    <t>1. Execution Risk</t>
  </si>
  <si>
    <t>Management track record is poor; $14B EBITDA target missed by $5.7B</t>
  </si>
  <si>
    <t>2. Refining Cycle</t>
  </si>
  <si>
    <t>Weak crack spreads could delay value realization</t>
  </si>
  <si>
    <t>3. Tax Leakage</t>
  </si>
  <si>
    <t>Asset sales may trigger higher taxes than 22% assumed</t>
  </si>
  <si>
    <t>4. Buyer Interest</t>
  </si>
  <si>
    <t>CPChem sale requires Chevron cooperation; Midstream needs buyer</t>
  </si>
  <si>
    <t>5. Board Resistance</t>
  </si>
  <si>
    <t>Management defending conglomerate structure</t>
  </si>
  <si>
    <t>6. Multiple Compression</t>
  </si>
  <si>
    <t>Energy sector de-rating could offset operational gains</t>
  </si>
  <si>
    <t>INVESTMENT DECISION</t>
  </si>
  <si>
    <t>Recommendation:</t>
  </si>
  <si>
    <t>INVEST</t>
  </si>
  <si>
    <t>Rationale:</t>
  </si>
  <si>
    <t>Probability-weighted expected return of ~50%+ over 3 years is attractive</t>
  </si>
  <si>
    <t>Elliott's track record with activist campaigns is strong</t>
  </si>
  <si>
    <t>Downside protected by asset values and dividend yield (~4%)</t>
  </si>
  <si>
    <t>Key Conditions for Investment:</t>
  </si>
  <si>
    <t>1. Elliott achieves board representation</t>
  </si>
  <si>
    <t>2. Midstream sale/spin process initiated within 6 months</t>
  </si>
  <si>
    <t>3. Evidence of refining cost improvements in Q1/Q2 results</t>
  </si>
  <si>
    <t>4. Management commits to specific buyback targets</t>
  </si>
  <si>
    <t>&lt;&lt; where is this from</t>
  </si>
  <si>
    <t>&lt;&lt; FY24A is wrong</t>
  </si>
  <si>
    <t>Major errors in financials, bad formatting</t>
  </si>
  <si>
    <t>hardcoded future values</t>
  </si>
  <si>
    <t>historicals are all correct</t>
  </si>
  <si>
    <t>Cash flow model not linked</t>
  </si>
  <si>
    <t>Historicals incorrect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</si>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</sst>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2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b/>
      <sz val="11"/>
      <name val="Cambria"/>
      <charset val="1"/>
    </font>
    <font>
      <b/>
      <sz val="11"/>
      <color rgb="FF008000"/>
      <name val="Cambria"/>
      <charset val="1"/>
    </font>
    <font>
      <sz val="11"/>
      <color rgb="FF008000"/>
      <name val="Cambria"/>
      <charset val="1"/>
    </font>
    <font>
      <b/>
      <sz val="14"/>
      <color rgb="FF008000"/>
      <name val="Cambria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3" fillId="3" borderId="0" xfId="0" applyFont="1" applyFill="1"/>
    <xf numFmtId="0" fontId="7" fillId="0" borderId="0" xfId="0" applyFont="1"/>
    <xf numFmtId="0" fontId="8" fillId="0" borderId="0" xfId="0" applyFont="1"/>
    <xf numFmtId="0" fontId="4" fillId="3" borderId="0" xfId="0" applyFont="1" applyFill="1"/>
    <xf numFmtId="0" fontId="6" fillId="0" borderId="0" xfId="0" applyFont="1"/>
    <xf numFmtId="0" fontId="5" fillId="3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Normal="100" workbookViewId="0">
      <selection activeCell="B23" sqref="B23"/>
    </sheetView>
  </sheetViews>
  <sheetFormatPr defaultColWidth="8.7109375" defaultRowHeight="15" x14ac:dyDescent="0.25"/>
  <cols>
    <col min="1" max="1" width="30" customWidth="1"/>
    <col min="2" max="3" width="18" customWidth="1"/>
    <col min="4" max="4" width="40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ht="15.75" x14ac:dyDescent="0.25">
      <c r="A4" s="3" t="s">
        <v>2</v>
      </c>
    </row>
    <row r="5" spans="1:6" x14ac:dyDescent="0.25">
      <c r="A5" t="s">
        <v>3</v>
      </c>
      <c r="B5" s="4">
        <v>120.3</v>
      </c>
      <c r="C5" t="s">
        <v>4</v>
      </c>
    </row>
    <row r="6" spans="1:6" x14ac:dyDescent="0.25">
      <c r="A6" t="s">
        <v>5</v>
      </c>
      <c r="B6" s="4">
        <v>408</v>
      </c>
    </row>
    <row r="7" spans="1:6" x14ac:dyDescent="0.25">
      <c r="A7" t="s">
        <v>6</v>
      </c>
      <c r="B7" s="5">
        <f>B5*B6</f>
        <v>49082.400000000001</v>
      </c>
    </row>
    <row r="8" spans="1:6" x14ac:dyDescent="0.25">
      <c r="A8" t="s">
        <v>7</v>
      </c>
      <c r="B8" s="4">
        <v>19100</v>
      </c>
    </row>
    <row r="9" spans="1:6" x14ac:dyDescent="0.25">
      <c r="A9" t="s">
        <v>8</v>
      </c>
      <c r="B9" s="5">
        <f>B7+B8</f>
        <v>68182.399999999994</v>
      </c>
    </row>
    <row r="10" spans="1:6" x14ac:dyDescent="0.25">
      <c r="A10" t="s">
        <v>9</v>
      </c>
      <c r="B10" s="4">
        <v>10500</v>
      </c>
      <c r="C10" t="s">
        <v>10</v>
      </c>
    </row>
    <row r="11" spans="1:6" x14ac:dyDescent="0.25">
      <c r="A11" t="s">
        <v>11</v>
      </c>
      <c r="B11" s="5">
        <f>B9/B10</f>
        <v>6.4935619047619042</v>
      </c>
    </row>
    <row r="13" spans="1:6" ht="15.75" x14ac:dyDescent="0.25">
      <c r="A13" s="3" t="s">
        <v>12</v>
      </c>
    </row>
    <row r="14" spans="1:6" x14ac:dyDescent="0.25">
      <c r="A14" s="6" t="s">
        <v>13</v>
      </c>
      <c r="B14" s="6" t="s">
        <v>14</v>
      </c>
      <c r="C14" s="6" t="s">
        <v>15</v>
      </c>
      <c r="D14" s="6" t="s">
        <v>16</v>
      </c>
    </row>
    <row r="15" spans="1:6" x14ac:dyDescent="0.25">
      <c r="A15" t="s">
        <v>17</v>
      </c>
      <c r="B15" s="4">
        <v>14688</v>
      </c>
      <c r="C15" s="5">
        <f>B15/B6</f>
        <v>36</v>
      </c>
      <c r="D15" t="s">
        <v>18</v>
      </c>
      <c r="F15" s="14" t="s">
        <v>222</v>
      </c>
    </row>
    <row r="16" spans="1:6" x14ac:dyDescent="0.25">
      <c r="A16" t="s">
        <v>19</v>
      </c>
      <c r="B16" s="4">
        <v>7344</v>
      </c>
      <c r="C16" s="5">
        <f>B16/B6</f>
        <v>18</v>
      </c>
      <c r="D16" t="s">
        <v>20</v>
      </c>
      <c r="F16" s="14" t="s">
        <v>222</v>
      </c>
    </row>
    <row r="17" spans="1:6" x14ac:dyDescent="0.25">
      <c r="A17" t="s">
        <v>21</v>
      </c>
      <c r="B17" s="4">
        <v>9792</v>
      </c>
      <c r="C17" s="5">
        <f>B17/B6</f>
        <v>24</v>
      </c>
      <c r="D17" t="s">
        <v>22</v>
      </c>
      <c r="F17" s="14" t="s">
        <v>222</v>
      </c>
    </row>
    <row r="18" spans="1:6" x14ac:dyDescent="0.25">
      <c r="A18" t="s">
        <v>23</v>
      </c>
      <c r="B18" s="5">
        <f>SUM(B15:B17)</f>
        <v>31824</v>
      </c>
      <c r="C18" s="5">
        <f>SUM(C15:C17)</f>
        <v>78</v>
      </c>
    </row>
    <row r="20" spans="1:6" ht="15.75" x14ac:dyDescent="0.25">
      <c r="A20" s="3" t="s">
        <v>24</v>
      </c>
    </row>
    <row r="21" spans="1:6" x14ac:dyDescent="0.25">
      <c r="A21" s="6" t="s">
        <v>25</v>
      </c>
      <c r="B21" s="6" t="s">
        <v>26</v>
      </c>
      <c r="C21" s="6" t="s">
        <v>27</v>
      </c>
      <c r="D21" s="6" t="s">
        <v>28</v>
      </c>
    </row>
    <row r="22" spans="1:6" x14ac:dyDescent="0.25">
      <c r="A22" t="s">
        <v>29</v>
      </c>
      <c r="B22" s="5">
        <f>B5+C18</f>
        <v>198.3</v>
      </c>
      <c r="C22">
        <f>(B22-B5)/B5</f>
        <v>0.64837905236907745</v>
      </c>
      <c r="D22" s="4">
        <v>0.22</v>
      </c>
    </row>
    <row r="23" spans="1:6" x14ac:dyDescent="0.25">
      <c r="A23" t="s">
        <v>30</v>
      </c>
      <c r="B23" s="4">
        <v>300</v>
      </c>
      <c r="C23">
        <f>(B23-B5)/B5</f>
        <v>1.4937655860349126</v>
      </c>
      <c r="D23" s="4">
        <v>0.35</v>
      </c>
    </row>
    <row r="24" spans="1:6" x14ac:dyDescent="0.25">
      <c r="A24" t="s">
        <v>31</v>
      </c>
      <c r="B24" s="4">
        <v>95</v>
      </c>
      <c r="C24">
        <f>(B24-B5)/B5</f>
        <v>-0.21030756442227763</v>
      </c>
      <c r="D24" s="4">
        <v>-0.08</v>
      </c>
    </row>
    <row r="26" spans="1:6" ht="15.75" x14ac:dyDescent="0.25">
      <c r="A26" s="7" t="s">
        <v>32</v>
      </c>
    </row>
    <row r="27" spans="1:6" x14ac:dyDescent="0.25">
      <c r="A27" t="s">
        <v>33</v>
      </c>
      <c r="B27" s="8" t="s">
        <v>34</v>
      </c>
    </row>
    <row r="28" spans="1:6" x14ac:dyDescent="0.25">
      <c r="A28" t="s">
        <v>35</v>
      </c>
      <c r="B28" t="s">
        <v>36</v>
      </c>
    </row>
    <row r="29" spans="1:6" x14ac:dyDescent="0.25">
      <c r="B29" t="s">
        <v>37</v>
      </c>
    </row>
    <row r="30" spans="1:6" x14ac:dyDescent="0.25">
      <c r="B30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Normal="100" workbookViewId="0">
      <selection activeCell="E16" sqref="E16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39</v>
      </c>
    </row>
    <row r="2" spans="1:9" x14ac:dyDescent="0.25">
      <c r="A2" t="s">
        <v>40</v>
      </c>
      <c r="I2" s="14" t="s">
        <v>224</v>
      </c>
    </row>
    <row r="4" spans="1:9" x14ac:dyDescent="0.25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x14ac:dyDescent="0.25">
      <c r="A5" t="s">
        <v>48</v>
      </c>
      <c r="B5" s="4">
        <v>169990</v>
      </c>
      <c r="C5" s="4">
        <v>147399</v>
      </c>
      <c r="D5" s="4">
        <v>143153</v>
      </c>
      <c r="E5" s="5">
        <f>D5*0.97</f>
        <v>138858.41</v>
      </c>
      <c r="F5" s="5">
        <f>E5*0.98</f>
        <v>136081.24179999999</v>
      </c>
      <c r="G5" s="5">
        <f>F5*1.02</f>
        <v>138802.86663599999</v>
      </c>
      <c r="I5" s="14"/>
    </row>
    <row r="6" spans="1:9" x14ac:dyDescent="0.25">
      <c r="A6" t="s">
        <v>49</v>
      </c>
      <c r="B6" s="4">
        <v>151561</v>
      </c>
      <c r="C6" s="4">
        <v>130063</v>
      </c>
      <c r="D6" s="4">
        <v>122654</v>
      </c>
      <c r="E6" s="5">
        <f>E5*0.87</f>
        <v>120806.8167</v>
      </c>
      <c r="F6" s="5">
        <f>F5*0.86</f>
        <v>117029.86794799998</v>
      </c>
      <c r="G6" s="5">
        <f>G5*0.85</f>
        <v>117982.43664059999</v>
      </c>
    </row>
    <row r="7" spans="1:9" x14ac:dyDescent="0.25">
      <c r="A7" t="s">
        <v>50</v>
      </c>
      <c r="B7">
        <f t="shared" ref="B7:G7" si="0">B5-B6</f>
        <v>18429</v>
      </c>
      <c r="C7">
        <f t="shared" si="0"/>
        <v>17336</v>
      </c>
      <c r="D7">
        <f t="shared" si="0"/>
        <v>20499</v>
      </c>
      <c r="E7">
        <f t="shared" si="0"/>
        <v>18051.593300000008</v>
      </c>
      <c r="F7">
        <f t="shared" si="0"/>
        <v>19051.373852000004</v>
      </c>
      <c r="G7">
        <f t="shared" si="0"/>
        <v>20820.429995400002</v>
      </c>
      <c r="I7" s="14" t="s">
        <v>223</v>
      </c>
    </row>
    <row r="8" spans="1:9" x14ac:dyDescent="0.25">
      <c r="A8" t="s">
        <v>51</v>
      </c>
      <c r="B8" s="4">
        <v>8809</v>
      </c>
      <c r="C8" s="4">
        <v>9386</v>
      </c>
      <c r="D8" s="4">
        <v>9514</v>
      </c>
      <c r="E8" s="5">
        <f>D8*0.95</f>
        <v>9038.2999999999993</v>
      </c>
      <c r="F8" s="5">
        <f>E8*0.93</f>
        <v>8405.6190000000006</v>
      </c>
      <c r="G8" s="5">
        <f>F8*0.95</f>
        <v>7985.3380500000003</v>
      </c>
    </row>
    <row r="9" spans="1:9" x14ac:dyDescent="0.25">
      <c r="A9" t="s">
        <v>52</v>
      </c>
      <c r="B9" s="5">
        <f t="shared" ref="B9:G9" si="1">B7-B8</f>
        <v>9620</v>
      </c>
      <c r="C9" s="5">
        <f t="shared" si="1"/>
        <v>7950</v>
      </c>
      <c r="D9" s="5">
        <f t="shared" si="1"/>
        <v>10985</v>
      </c>
      <c r="E9" s="5">
        <f t="shared" si="1"/>
        <v>9013.2933000000085</v>
      </c>
      <c r="F9" s="5">
        <f t="shared" si="1"/>
        <v>10645.754852000004</v>
      </c>
      <c r="G9" s="5">
        <f t="shared" si="1"/>
        <v>12835.091945400001</v>
      </c>
      <c r="I9" s="14" t="s">
        <v>223</v>
      </c>
    </row>
    <row r="10" spans="1:9" x14ac:dyDescent="0.25">
      <c r="A10" t="s">
        <v>53</v>
      </c>
      <c r="B10" s="4">
        <v>2800</v>
      </c>
      <c r="C10" s="4">
        <v>3000</v>
      </c>
      <c r="D10" s="4">
        <v>3300</v>
      </c>
      <c r="E10" s="4">
        <v>3400</v>
      </c>
      <c r="F10" s="4">
        <v>3200</v>
      </c>
      <c r="G10" s="4">
        <v>3000</v>
      </c>
    </row>
    <row r="11" spans="1:9" x14ac:dyDescent="0.25">
      <c r="A11" t="s">
        <v>54</v>
      </c>
      <c r="B11" s="5">
        <f t="shared" ref="B11:G11" si="2">B9+B10</f>
        <v>12420</v>
      </c>
      <c r="C11" s="5">
        <f t="shared" si="2"/>
        <v>10950</v>
      </c>
      <c r="D11" s="5">
        <f t="shared" si="2"/>
        <v>14285</v>
      </c>
      <c r="E11" s="5">
        <f t="shared" si="2"/>
        <v>12413.293300000008</v>
      </c>
      <c r="F11" s="5">
        <f t="shared" si="2"/>
        <v>13845.754852000004</v>
      </c>
      <c r="G11" s="5">
        <f t="shared" si="2"/>
        <v>15835.091945400001</v>
      </c>
      <c r="I11" s="14" t="s">
        <v>223</v>
      </c>
    </row>
    <row r="12" spans="1:9" x14ac:dyDescent="0.25">
      <c r="A12" t="s">
        <v>55</v>
      </c>
      <c r="B12" s="4">
        <v>-560</v>
      </c>
      <c r="C12" s="4">
        <v>-657</v>
      </c>
      <c r="D12" s="4">
        <v>-819</v>
      </c>
      <c r="E12" s="4">
        <v>-850</v>
      </c>
      <c r="F12" s="4">
        <v>-750</v>
      </c>
      <c r="G12" s="4">
        <v>-650</v>
      </c>
    </row>
    <row r="13" spans="1:9" x14ac:dyDescent="0.25">
      <c r="A13" t="s">
        <v>56</v>
      </c>
      <c r="B13" s="4">
        <v>5579</v>
      </c>
      <c r="C13" s="4">
        <v>1718</v>
      </c>
      <c r="D13" s="4">
        <v>2189</v>
      </c>
      <c r="E13" s="4">
        <v>2000</v>
      </c>
      <c r="F13" s="4">
        <v>1800</v>
      </c>
      <c r="G13" s="4">
        <v>1500</v>
      </c>
    </row>
    <row r="14" spans="1:9" x14ac:dyDescent="0.25">
      <c r="A14" t="s">
        <v>57</v>
      </c>
      <c r="B14" s="5">
        <f t="shared" ref="B14:G14" si="3">B9+B12+B13</f>
        <v>14639</v>
      </c>
      <c r="C14" s="5">
        <f t="shared" si="3"/>
        <v>9011</v>
      </c>
      <c r="D14" s="5">
        <f t="shared" si="3"/>
        <v>12355</v>
      </c>
      <c r="E14" s="5">
        <f t="shared" si="3"/>
        <v>10163.293300000008</v>
      </c>
      <c r="F14" s="5">
        <f t="shared" si="3"/>
        <v>11695.754852000004</v>
      </c>
      <c r="G14" s="5">
        <f t="shared" si="3"/>
        <v>13685.091945400001</v>
      </c>
    </row>
    <row r="15" spans="1:9" x14ac:dyDescent="0.25">
      <c r="A15" t="s">
        <v>58</v>
      </c>
      <c r="B15" s="4">
        <v>-3248</v>
      </c>
      <c r="C15" s="4">
        <v>-500</v>
      </c>
      <c r="D15" s="4">
        <v>-340</v>
      </c>
      <c r="E15" s="5">
        <f>E14*-0.22</f>
        <v>-2235.9245260000021</v>
      </c>
      <c r="F15" s="5">
        <f>F14*-0.22</f>
        <v>-2573.066067440001</v>
      </c>
      <c r="G15" s="5">
        <f>G14*-0.22</f>
        <v>-3010.7202279880003</v>
      </c>
    </row>
    <row r="16" spans="1:9" x14ac:dyDescent="0.25">
      <c r="A16" t="s">
        <v>59</v>
      </c>
      <c r="B16" s="5">
        <f t="shared" ref="B16:G16" si="4">B14+B15</f>
        <v>11391</v>
      </c>
      <c r="C16" s="5">
        <f t="shared" si="4"/>
        <v>8511</v>
      </c>
      <c r="D16" s="5">
        <f t="shared" si="4"/>
        <v>12015</v>
      </c>
      <c r="E16" s="5">
        <f t="shared" si="4"/>
        <v>7927.3687740000059</v>
      </c>
      <c r="F16" s="5">
        <f t="shared" si="4"/>
        <v>9122.6887845600031</v>
      </c>
      <c r="G16" s="5">
        <f t="shared" si="4"/>
        <v>10674.371717412001</v>
      </c>
    </row>
    <row r="18" spans="1:7" x14ac:dyDescent="0.25">
      <c r="A18" t="s">
        <v>5</v>
      </c>
      <c r="B18" s="4">
        <v>466</v>
      </c>
      <c r="C18" s="4">
        <v>430</v>
      </c>
      <c r="D18" s="4">
        <v>408</v>
      </c>
      <c r="E18" s="4">
        <v>390</v>
      </c>
      <c r="F18" s="4">
        <v>360</v>
      </c>
      <c r="G18" s="4">
        <v>330</v>
      </c>
    </row>
    <row r="19" spans="1:7" x14ac:dyDescent="0.25">
      <c r="A19" t="s">
        <v>60</v>
      </c>
      <c r="B19" s="5">
        <f t="shared" ref="B19:G19" si="5">B16/B18</f>
        <v>24.444206008583691</v>
      </c>
      <c r="C19" s="5">
        <f t="shared" si="5"/>
        <v>19.793023255813953</v>
      </c>
      <c r="D19" s="5">
        <f t="shared" si="5"/>
        <v>29.448529411764707</v>
      </c>
      <c r="E19" s="5">
        <f t="shared" si="5"/>
        <v>20.326586600000017</v>
      </c>
      <c r="F19" s="5">
        <f t="shared" si="5"/>
        <v>25.340802179333341</v>
      </c>
      <c r="G19" s="5">
        <f t="shared" si="5"/>
        <v>32.346580961854549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opLeftCell="A3" zoomScaleNormal="100" workbookViewId="0">
      <selection activeCell="E9" sqref="E9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61</v>
      </c>
    </row>
    <row r="2" spans="1:9" x14ac:dyDescent="0.25">
      <c r="A2" t="s">
        <v>62</v>
      </c>
      <c r="I2" s="14" t="s">
        <v>225</v>
      </c>
    </row>
    <row r="3" spans="1:9" x14ac:dyDescent="0.25">
      <c r="I3" s="14" t="s">
        <v>226</v>
      </c>
    </row>
    <row r="4" spans="1:9" x14ac:dyDescent="0.25">
      <c r="A4" s="6" t="s">
        <v>63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ht="15.75" x14ac:dyDescent="0.25">
      <c r="A5" s="3" t="s">
        <v>64</v>
      </c>
    </row>
    <row r="6" spans="1:9" x14ac:dyDescent="0.25">
      <c r="A6" t="s">
        <v>65</v>
      </c>
      <c r="B6" s="4">
        <v>6133</v>
      </c>
      <c r="C6" s="4">
        <v>3323</v>
      </c>
      <c r="D6" s="4">
        <v>1738</v>
      </c>
      <c r="E6" s="4">
        <v>2500</v>
      </c>
      <c r="F6" s="4">
        <v>4000</v>
      </c>
      <c r="G6" s="4">
        <v>5500</v>
      </c>
    </row>
    <row r="7" spans="1:9" x14ac:dyDescent="0.25">
      <c r="A7" t="s">
        <v>66</v>
      </c>
      <c r="B7" s="4">
        <v>10985</v>
      </c>
      <c r="C7" s="4">
        <v>11730</v>
      </c>
      <c r="D7" s="4">
        <v>11033</v>
      </c>
      <c r="E7" s="4">
        <v>10500</v>
      </c>
      <c r="F7" s="4">
        <v>10000</v>
      </c>
      <c r="G7" s="4">
        <v>10200</v>
      </c>
    </row>
    <row r="8" spans="1:9" x14ac:dyDescent="0.25">
      <c r="A8" t="s">
        <v>67</v>
      </c>
      <c r="B8" s="4">
        <v>3276</v>
      </c>
      <c r="C8" s="4">
        <v>3750</v>
      </c>
      <c r="D8" s="4">
        <v>3995</v>
      </c>
      <c r="E8" s="4">
        <v>3800</v>
      </c>
      <c r="F8" s="4">
        <v>3600</v>
      </c>
      <c r="G8" s="4">
        <v>3700</v>
      </c>
    </row>
    <row r="9" spans="1:9" x14ac:dyDescent="0.25">
      <c r="A9" t="s">
        <v>68</v>
      </c>
      <c r="B9" s="4">
        <v>1528</v>
      </c>
      <c r="C9" s="4">
        <v>1138</v>
      </c>
      <c r="D9" s="4">
        <v>1144</v>
      </c>
      <c r="E9" s="4">
        <v>1100</v>
      </c>
      <c r="F9" s="4">
        <v>1100</v>
      </c>
      <c r="G9" s="4">
        <v>1100</v>
      </c>
    </row>
    <row r="10" spans="1:9" x14ac:dyDescent="0.25">
      <c r="A10" t="s">
        <v>69</v>
      </c>
      <c r="B10" s="5">
        <f t="shared" ref="B10:G10" si="0">SUM(B6:B9)</f>
        <v>21922</v>
      </c>
      <c r="C10" s="5">
        <f t="shared" si="0"/>
        <v>19941</v>
      </c>
      <c r="D10" s="5">
        <f t="shared" si="0"/>
        <v>17910</v>
      </c>
      <c r="E10" s="5">
        <f t="shared" si="0"/>
        <v>17900</v>
      </c>
      <c r="F10" s="5">
        <f t="shared" si="0"/>
        <v>18700</v>
      </c>
      <c r="G10" s="5">
        <f t="shared" si="0"/>
        <v>20500</v>
      </c>
    </row>
    <row r="12" spans="1:9" x14ac:dyDescent="0.25">
      <c r="A12" t="s">
        <v>70</v>
      </c>
      <c r="B12" s="4">
        <v>36158</v>
      </c>
      <c r="C12" s="4">
        <v>36828</v>
      </c>
      <c r="D12" s="4">
        <v>36564</v>
      </c>
      <c r="E12" s="4">
        <v>35000</v>
      </c>
      <c r="F12" s="4">
        <v>33000</v>
      </c>
      <c r="G12" s="4">
        <v>31500</v>
      </c>
    </row>
    <row r="13" spans="1:9" x14ac:dyDescent="0.25">
      <c r="A13" t="s">
        <v>71</v>
      </c>
      <c r="B13" s="4">
        <v>14621</v>
      </c>
      <c r="C13" s="4">
        <v>14923</v>
      </c>
      <c r="D13" s="4">
        <v>14204</v>
      </c>
      <c r="E13" s="4">
        <v>8000</v>
      </c>
      <c r="F13" s="4">
        <v>7500</v>
      </c>
      <c r="G13" s="4">
        <v>7000</v>
      </c>
    </row>
    <row r="14" spans="1:9" x14ac:dyDescent="0.25">
      <c r="A14" t="s">
        <v>72</v>
      </c>
      <c r="B14" s="4">
        <v>2317</v>
      </c>
      <c r="C14" s="4">
        <v>2470</v>
      </c>
      <c r="D14" s="4">
        <v>2736</v>
      </c>
      <c r="E14" s="4">
        <v>2500</v>
      </c>
      <c r="F14" s="4">
        <v>2300</v>
      </c>
      <c r="G14" s="4">
        <v>2100</v>
      </c>
    </row>
    <row r="15" spans="1:9" x14ac:dyDescent="0.25">
      <c r="A15" t="s">
        <v>73</v>
      </c>
      <c r="B15" s="4">
        <v>1095</v>
      </c>
      <c r="C15" s="4">
        <v>960</v>
      </c>
      <c r="D15" s="4">
        <v>994</v>
      </c>
      <c r="E15" s="4">
        <v>900</v>
      </c>
      <c r="F15" s="4">
        <v>850</v>
      </c>
      <c r="G15" s="4">
        <v>800</v>
      </c>
    </row>
    <row r="16" spans="1:9" x14ac:dyDescent="0.25">
      <c r="A16" t="s">
        <v>74</v>
      </c>
      <c r="B16" s="5">
        <f t="shared" ref="B16:G16" si="1">B10+B12+B13+B14+B15</f>
        <v>76113</v>
      </c>
      <c r="C16" s="5">
        <f t="shared" si="1"/>
        <v>75122</v>
      </c>
      <c r="D16" s="5">
        <f t="shared" si="1"/>
        <v>72408</v>
      </c>
      <c r="E16" s="5">
        <f t="shared" si="1"/>
        <v>64300</v>
      </c>
      <c r="F16" s="5">
        <f t="shared" si="1"/>
        <v>62350</v>
      </c>
      <c r="G16" s="5">
        <f t="shared" si="1"/>
        <v>61900</v>
      </c>
    </row>
    <row r="18" spans="1:7" ht="15.75" x14ac:dyDescent="0.25">
      <c r="A18" s="3" t="s">
        <v>75</v>
      </c>
    </row>
    <row r="19" spans="1:7" x14ac:dyDescent="0.25">
      <c r="A19" t="s">
        <v>76</v>
      </c>
      <c r="B19" s="4">
        <v>11323</v>
      </c>
      <c r="C19" s="4">
        <v>10901</v>
      </c>
      <c r="D19" s="4">
        <v>10304</v>
      </c>
      <c r="E19" s="4">
        <v>10000</v>
      </c>
      <c r="F19" s="4">
        <v>9500</v>
      </c>
      <c r="G19" s="4">
        <v>9700</v>
      </c>
    </row>
    <row r="20" spans="1:7" x14ac:dyDescent="0.25">
      <c r="A20" t="s">
        <v>77</v>
      </c>
      <c r="B20" s="4">
        <v>506</v>
      </c>
      <c r="C20" s="4">
        <v>1457</v>
      </c>
      <c r="D20" s="4">
        <v>1801</v>
      </c>
      <c r="E20" s="4">
        <v>1500</v>
      </c>
      <c r="F20" s="4">
        <v>1200</v>
      </c>
      <c r="G20" s="4">
        <v>1000</v>
      </c>
    </row>
    <row r="21" spans="1:7" x14ac:dyDescent="0.25">
      <c r="A21" t="s">
        <v>78</v>
      </c>
      <c r="B21" s="4">
        <v>4060</v>
      </c>
      <c r="C21" s="4">
        <v>3498</v>
      </c>
      <c r="D21" s="4">
        <v>2982</v>
      </c>
      <c r="E21" s="4">
        <v>2800</v>
      </c>
      <c r="F21" s="4">
        <v>2600</v>
      </c>
      <c r="G21" s="4">
        <v>2500</v>
      </c>
    </row>
    <row r="22" spans="1:7" x14ac:dyDescent="0.25">
      <c r="A22" t="s">
        <v>79</v>
      </c>
      <c r="B22" s="5">
        <f t="shared" ref="B22:G22" si="2">SUM(B19:B21)</f>
        <v>15889</v>
      </c>
      <c r="C22" s="5">
        <f t="shared" si="2"/>
        <v>15856</v>
      </c>
      <c r="D22" s="5">
        <f t="shared" si="2"/>
        <v>15087</v>
      </c>
      <c r="E22" s="5">
        <f t="shared" si="2"/>
        <v>14300</v>
      </c>
      <c r="F22" s="5">
        <f t="shared" si="2"/>
        <v>13300</v>
      </c>
      <c r="G22" s="5">
        <f t="shared" si="2"/>
        <v>13200</v>
      </c>
    </row>
    <row r="24" spans="1:7" x14ac:dyDescent="0.25">
      <c r="A24" t="s">
        <v>80</v>
      </c>
      <c r="B24" s="4">
        <v>17406</v>
      </c>
      <c r="C24" s="4">
        <v>18667</v>
      </c>
      <c r="D24" s="4">
        <v>19165</v>
      </c>
      <c r="E24" s="4">
        <v>16000</v>
      </c>
      <c r="F24" s="4">
        <v>13000</v>
      </c>
      <c r="G24" s="4">
        <v>10000</v>
      </c>
    </row>
    <row r="25" spans="1:7" x14ac:dyDescent="0.25">
      <c r="A25" t="s">
        <v>81</v>
      </c>
      <c r="B25" s="4">
        <v>6671</v>
      </c>
      <c r="C25" s="4">
        <v>7424</v>
      </c>
      <c r="D25" s="4">
        <v>7101</v>
      </c>
      <c r="E25" s="4">
        <v>7000</v>
      </c>
      <c r="F25" s="4">
        <v>6800</v>
      </c>
      <c r="G25" s="4">
        <v>6600</v>
      </c>
    </row>
    <row r="26" spans="1:7" x14ac:dyDescent="0.25">
      <c r="A26" t="s">
        <v>82</v>
      </c>
      <c r="B26" s="4">
        <v>2370</v>
      </c>
      <c r="C26" s="4">
        <v>1904</v>
      </c>
      <c r="D26" s="4">
        <v>2766</v>
      </c>
      <c r="E26" s="4">
        <v>2500</v>
      </c>
      <c r="F26" s="4">
        <v>2300</v>
      </c>
      <c r="G26" s="4">
        <v>2200</v>
      </c>
    </row>
    <row r="27" spans="1:7" x14ac:dyDescent="0.25">
      <c r="A27" t="s">
        <v>83</v>
      </c>
      <c r="B27" s="5">
        <f t="shared" ref="B27:G27" si="3">B22+B24+B25+B26</f>
        <v>42336</v>
      </c>
      <c r="C27" s="5">
        <f t="shared" si="3"/>
        <v>43851</v>
      </c>
      <c r="D27" s="5">
        <f t="shared" si="3"/>
        <v>44119</v>
      </c>
      <c r="E27" s="5">
        <f t="shared" si="3"/>
        <v>39800</v>
      </c>
      <c r="F27" s="5">
        <f t="shared" si="3"/>
        <v>35400</v>
      </c>
      <c r="G27" s="5">
        <f t="shared" si="3"/>
        <v>32000</v>
      </c>
    </row>
    <row r="29" spans="1:7" ht="15.75" x14ac:dyDescent="0.25">
      <c r="A29" s="3" t="s">
        <v>84</v>
      </c>
    </row>
    <row r="30" spans="1:7" x14ac:dyDescent="0.25">
      <c r="A30" t="s">
        <v>85</v>
      </c>
      <c r="B30" s="5">
        <f t="shared" ref="B30:G30" si="4">B16-B27</f>
        <v>33777</v>
      </c>
      <c r="C30" s="5">
        <f t="shared" si="4"/>
        <v>31271</v>
      </c>
      <c r="D30" s="5">
        <f t="shared" si="4"/>
        <v>28289</v>
      </c>
      <c r="E30" s="5">
        <f t="shared" si="4"/>
        <v>24500</v>
      </c>
      <c r="F30" s="5">
        <f t="shared" si="4"/>
        <v>26950</v>
      </c>
      <c r="G30" s="5">
        <f t="shared" si="4"/>
        <v>29900</v>
      </c>
    </row>
    <row r="32" spans="1:7" x14ac:dyDescent="0.25">
      <c r="A32" t="s">
        <v>86</v>
      </c>
      <c r="B32" s="5">
        <f t="shared" ref="B32:G32" si="5">B27+B30</f>
        <v>76113</v>
      </c>
      <c r="C32" s="5">
        <f t="shared" si="5"/>
        <v>75122</v>
      </c>
      <c r="D32" s="5">
        <f t="shared" si="5"/>
        <v>72408</v>
      </c>
      <c r="E32" s="5">
        <f t="shared" si="5"/>
        <v>64300</v>
      </c>
      <c r="F32" s="5">
        <f t="shared" si="5"/>
        <v>62350</v>
      </c>
      <c r="G32" s="5">
        <f t="shared" si="5"/>
        <v>61900</v>
      </c>
    </row>
    <row r="33" spans="1:7" x14ac:dyDescent="0.25">
      <c r="A33" t="s">
        <v>87</v>
      </c>
      <c r="B33" s="5">
        <f t="shared" ref="B33:G33" si="6">B16-B32</f>
        <v>0</v>
      </c>
      <c r="C33" s="5">
        <f t="shared" si="6"/>
        <v>0</v>
      </c>
      <c r="D33" s="5">
        <f t="shared" si="6"/>
        <v>0</v>
      </c>
      <c r="E33" s="5">
        <f t="shared" si="6"/>
        <v>0</v>
      </c>
      <c r="F33" s="5">
        <f t="shared" si="6"/>
        <v>0</v>
      </c>
      <c r="G33" s="5">
        <f t="shared" si="6"/>
        <v>0</v>
      </c>
    </row>
    <row r="35" spans="1:7" ht="15.75" x14ac:dyDescent="0.25">
      <c r="A35" s="3" t="s">
        <v>88</v>
      </c>
    </row>
    <row r="36" spans="1:7" x14ac:dyDescent="0.25">
      <c r="A36" t="s">
        <v>89</v>
      </c>
      <c r="B36" s="5">
        <f t="shared" ref="B36:G36" si="7">B20+B24</f>
        <v>17912</v>
      </c>
      <c r="C36" s="5">
        <f t="shared" si="7"/>
        <v>20124</v>
      </c>
      <c r="D36" s="5">
        <f t="shared" si="7"/>
        <v>20966</v>
      </c>
      <c r="E36" s="5">
        <f t="shared" si="7"/>
        <v>17500</v>
      </c>
      <c r="F36" s="5">
        <f t="shared" si="7"/>
        <v>14200</v>
      </c>
      <c r="G36" s="5">
        <f t="shared" si="7"/>
        <v>11000</v>
      </c>
    </row>
    <row r="37" spans="1:7" x14ac:dyDescent="0.25">
      <c r="A37" t="s">
        <v>90</v>
      </c>
      <c r="B37" s="5">
        <f t="shared" ref="B37:G37" si="8">B36-B6</f>
        <v>11779</v>
      </c>
      <c r="C37" s="5">
        <f t="shared" si="8"/>
        <v>16801</v>
      </c>
      <c r="D37" s="5">
        <f t="shared" si="8"/>
        <v>19228</v>
      </c>
      <c r="E37" s="5">
        <f t="shared" si="8"/>
        <v>15000</v>
      </c>
      <c r="F37" s="5">
        <f t="shared" si="8"/>
        <v>10200</v>
      </c>
      <c r="G37" s="5">
        <f t="shared" si="8"/>
        <v>5500</v>
      </c>
    </row>
    <row r="38" spans="1:7" x14ac:dyDescent="0.25">
      <c r="A38" t="s">
        <v>91</v>
      </c>
      <c r="B38" s="5">
        <f t="shared" ref="B38:G38" si="9">B36/B30</f>
        <v>0.53030168457826332</v>
      </c>
      <c r="C38" s="5">
        <f t="shared" si="9"/>
        <v>0.64353554411435521</v>
      </c>
      <c r="D38" s="5">
        <f t="shared" si="9"/>
        <v>0.74113613065148998</v>
      </c>
      <c r="E38" s="5">
        <f t="shared" si="9"/>
        <v>0.7142857142857143</v>
      </c>
      <c r="F38" s="5">
        <f t="shared" si="9"/>
        <v>0.52690166975881259</v>
      </c>
      <c r="G38" s="5">
        <f t="shared" si="9"/>
        <v>0.36789297658862874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zoomScaleNormal="100" workbookViewId="0">
      <selection activeCell="I6" sqref="I6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9" ht="18" x14ac:dyDescent="0.25">
      <c r="A1" s="1" t="s">
        <v>92</v>
      </c>
    </row>
    <row r="2" spans="1:9" x14ac:dyDescent="0.25">
      <c r="A2" t="s">
        <v>62</v>
      </c>
    </row>
    <row r="4" spans="1:9" x14ac:dyDescent="0.25">
      <c r="A4" s="6" t="s">
        <v>93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9" ht="15.75" x14ac:dyDescent="0.25">
      <c r="A5" s="3" t="s">
        <v>94</v>
      </c>
      <c r="I5" s="14" t="s">
        <v>227</v>
      </c>
    </row>
    <row r="6" spans="1:9" x14ac:dyDescent="0.25">
      <c r="A6" t="s">
        <v>59</v>
      </c>
      <c r="B6" s="9">
        <f>'Income Statement'!B16</f>
        <v>11391</v>
      </c>
      <c r="C6" s="9">
        <f>'Income Statement'!C16</f>
        <v>8511</v>
      </c>
      <c r="D6" s="9">
        <f>'Income Statement'!D16</f>
        <v>12015</v>
      </c>
      <c r="E6" s="9">
        <f>'Income Statement'!E16</f>
        <v>7927.3687740000059</v>
      </c>
      <c r="F6" s="9">
        <f>'Income Statement'!F16</f>
        <v>9122.6887845600031</v>
      </c>
      <c r="G6" s="9">
        <f>'Income Statement'!G16</f>
        <v>10674.371717412001</v>
      </c>
      <c r="I6" s="14" t="s">
        <v>228</v>
      </c>
    </row>
    <row r="7" spans="1:9" x14ac:dyDescent="0.25">
      <c r="A7" t="s">
        <v>53</v>
      </c>
      <c r="B7" s="9">
        <f>'Income Statement'!B10</f>
        <v>2800</v>
      </c>
      <c r="C7" s="9">
        <f>'Income Statement'!C10</f>
        <v>3000</v>
      </c>
      <c r="D7" s="9">
        <f>'Income Statement'!D10</f>
        <v>3300</v>
      </c>
      <c r="E7" s="9">
        <f>'Income Statement'!E10</f>
        <v>3400</v>
      </c>
      <c r="F7" s="9">
        <f>'Income Statement'!F10</f>
        <v>3200</v>
      </c>
      <c r="G7" s="9">
        <f>'Income Statement'!G10</f>
        <v>3000</v>
      </c>
    </row>
    <row r="8" spans="1:9" x14ac:dyDescent="0.25">
      <c r="A8" t="s">
        <v>95</v>
      </c>
      <c r="B8" s="4">
        <v>-1500</v>
      </c>
      <c r="C8" s="4">
        <v>800</v>
      </c>
      <c r="D8" s="4">
        <v>500</v>
      </c>
      <c r="E8" s="4">
        <v>300</v>
      </c>
      <c r="F8" s="4">
        <v>400</v>
      </c>
      <c r="G8" s="4">
        <v>200</v>
      </c>
    </row>
    <row r="9" spans="1:9" x14ac:dyDescent="0.25">
      <c r="A9" t="s">
        <v>96</v>
      </c>
      <c r="B9" s="4">
        <v>-200</v>
      </c>
      <c r="C9" s="4">
        <v>400</v>
      </c>
      <c r="D9" s="4">
        <v>200</v>
      </c>
      <c r="E9" s="4">
        <v>100</v>
      </c>
      <c r="F9" s="4">
        <v>100</v>
      </c>
      <c r="G9" s="4">
        <v>100</v>
      </c>
    </row>
    <row r="10" spans="1:9" x14ac:dyDescent="0.25">
      <c r="A10" t="s">
        <v>97</v>
      </c>
      <c r="B10" s="5">
        <f t="shared" ref="B10:G10" si="0">SUM(B6:B9)</f>
        <v>12491</v>
      </c>
      <c r="C10" s="5">
        <f t="shared" si="0"/>
        <v>12711</v>
      </c>
      <c r="D10" s="5">
        <f t="shared" si="0"/>
        <v>16015</v>
      </c>
      <c r="E10" s="5">
        <f t="shared" si="0"/>
        <v>11727.368774000006</v>
      </c>
      <c r="F10" s="5">
        <f t="shared" si="0"/>
        <v>12822.688784560003</v>
      </c>
      <c r="G10" s="5">
        <f t="shared" si="0"/>
        <v>13974.371717412001</v>
      </c>
    </row>
    <row r="12" spans="1:9" ht="15.75" x14ac:dyDescent="0.25">
      <c r="A12" s="3" t="s">
        <v>98</v>
      </c>
    </row>
    <row r="13" spans="1:9" x14ac:dyDescent="0.25">
      <c r="A13" t="s">
        <v>99</v>
      </c>
      <c r="B13" s="4">
        <v>-2500</v>
      </c>
      <c r="C13" s="4">
        <v>-2200</v>
      </c>
      <c r="D13" s="4">
        <v>-2100</v>
      </c>
      <c r="E13" s="4">
        <v>-2000</v>
      </c>
      <c r="F13" s="4">
        <v>-1800</v>
      </c>
      <c r="G13" s="4">
        <v>-1700</v>
      </c>
    </row>
    <row r="14" spans="1:9" x14ac:dyDescent="0.25">
      <c r="A14" t="s">
        <v>100</v>
      </c>
      <c r="B14" s="4">
        <v>500</v>
      </c>
      <c r="C14" s="4">
        <v>392</v>
      </c>
      <c r="D14" s="4">
        <v>3500</v>
      </c>
      <c r="E14" s="10">
        <v>12000</v>
      </c>
      <c r="F14" s="10">
        <v>20000</v>
      </c>
      <c r="G14" s="10">
        <v>5000</v>
      </c>
    </row>
    <row r="15" spans="1:9" x14ac:dyDescent="0.25">
      <c r="A15" t="s">
        <v>101</v>
      </c>
      <c r="B15" s="5">
        <f t="shared" ref="B15:G15" si="1">B13+B14</f>
        <v>-2000</v>
      </c>
      <c r="C15" s="5">
        <f t="shared" si="1"/>
        <v>-1808</v>
      </c>
      <c r="D15" s="5">
        <f t="shared" si="1"/>
        <v>1400</v>
      </c>
      <c r="E15" s="5">
        <f t="shared" si="1"/>
        <v>10000</v>
      </c>
      <c r="F15" s="5">
        <f t="shared" si="1"/>
        <v>18200</v>
      </c>
      <c r="G15" s="5">
        <f t="shared" si="1"/>
        <v>3300</v>
      </c>
    </row>
    <row r="17" spans="1:7" ht="15.75" x14ac:dyDescent="0.25">
      <c r="A17" s="3" t="s">
        <v>102</v>
      </c>
    </row>
    <row r="18" spans="1:7" x14ac:dyDescent="0.25">
      <c r="A18" t="s">
        <v>103</v>
      </c>
      <c r="B18" s="4">
        <v>-1500</v>
      </c>
      <c r="C18" s="4">
        <v>1200</v>
      </c>
      <c r="D18" s="4">
        <v>500</v>
      </c>
      <c r="E18" s="4">
        <v>-4000</v>
      </c>
      <c r="F18" s="4">
        <v>-4500</v>
      </c>
      <c r="G18" s="4">
        <v>-4000</v>
      </c>
    </row>
    <row r="19" spans="1:7" x14ac:dyDescent="0.25">
      <c r="A19" t="s">
        <v>104</v>
      </c>
      <c r="B19" s="4">
        <v>-3000</v>
      </c>
      <c r="C19" s="4">
        <v>-4100</v>
      </c>
      <c r="D19" s="4">
        <v>-3800</v>
      </c>
      <c r="E19" s="10">
        <v>-6000</v>
      </c>
      <c r="F19" s="10">
        <v>-10000</v>
      </c>
      <c r="G19" s="4">
        <v>-3000</v>
      </c>
    </row>
    <row r="20" spans="1:7" x14ac:dyDescent="0.25">
      <c r="A20" t="s">
        <v>105</v>
      </c>
      <c r="B20" s="4">
        <v>-1700</v>
      </c>
      <c r="C20" s="4">
        <v>-1800</v>
      </c>
      <c r="D20" s="4">
        <v>-1700</v>
      </c>
      <c r="E20" s="4">
        <v>-1800</v>
      </c>
      <c r="F20" s="4">
        <v>-1900</v>
      </c>
      <c r="G20" s="4">
        <v>-2000</v>
      </c>
    </row>
    <row r="21" spans="1:7" x14ac:dyDescent="0.25">
      <c r="A21" t="s">
        <v>106</v>
      </c>
      <c r="B21" s="5">
        <f t="shared" ref="B21:G21" si="2">SUM(B18:B20)</f>
        <v>-6200</v>
      </c>
      <c r="C21" s="5">
        <f t="shared" si="2"/>
        <v>-4700</v>
      </c>
      <c r="D21" s="5">
        <f t="shared" si="2"/>
        <v>-5000</v>
      </c>
      <c r="E21" s="5">
        <f t="shared" si="2"/>
        <v>-11800</v>
      </c>
      <c r="F21" s="5">
        <f t="shared" si="2"/>
        <v>-16400</v>
      </c>
      <c r="G21" s="5">
        <f t="shared" si="2"/>
        <v>-9000</v>
      </c>
    </row>
    <row r="23" spans="1:7" x14ac:dyDescent="0.25">
      <c r="A23" t="s">
        <v>107</v>
      </c>
      <c r="B23" s="5">
        <f t="shared" ref="B23:G23" si="3">B10+B15+B21</f>
        <v>4291</v>
      </c>
      <c r="C23" s="5">
        <f t="shared" si="3"/>
        <v>6203</v>
      </c>
      <c r="D23" s="5">
        <f t="shared" si="3"/>
        <v>12415</v>
      </c>
      <c r="E23" s="5">
        <f t="shared" si="3"/>
        <v>9927.3687740000059</v>
      </c>
      <c r="F23" s="5">
        <f t="shared" si="3"/>
        <v>14622.688784560003</v>
      </c>
      <c r="G23" s="5">
        <f t="shared" si="3"/>
        <v>8274.3717174120029</v>
      </c>
    </row>
    <row r="25" spans="1:7" ht="15.75" x14ac:dyDescent="0.25">
      <c r="A25" s="3" t="s">
        <v>108</v>
      </c>
    </row>
    <row r="26" spans="1:7" x14ac:dyDescent="0.25">
      <c r="A26" t="s">
        <v>109</v>
      </c>
      <c r="B26" s="5">
        <f t="shared" ref="B26:G26" si="4">B10</f>
        <v>12491</v>
      </c>
      <c r="C26" s="5">
        <f t="shared" si="4"/>
        <v>12711</v>
      </c>
      <c r="D26" s="5">
        <f t="shared" si="4"/>
        <v>16015</v>
      </c>
      <c r="E26" s="5">
        <f t="shared" si="4"/>
        <v>11727.368774000006</v>
      </c>
      <c r="F26" s="5">
        <f t="shared" si="4"/>
        <v>12822.688784560003</v>
      </c>
      <c r="G26" s="5">
        <f t="shared" si="4"/>
        <v>13974.371717412001</v>
      </c>
    </row>
    <row r="27" spans="1:7" x14ac:dyDescent="0.25">
      <c r="A27" t="s">
        <v>110</v>
      </c>
      <c r="B27" s="5">
        <f t="shared" ref="B27:G27" si="5">B13</f>
        <v>-2500</v>
      </c>
      <c r="C27" s="5">
        <f t="shared" si="5"/>
        <v>-2200</v>
      </c>
      <c r="D27" s="5">
        <f t="shared" si="5"/>
        <v>-2100</v>
      </c>
      <c r="E27" s="5">
        <f t="shared" si="5"/>
        <v>-2000</v>
      </c>
      <c r="F27" s="5">
        <f t="shared" si="5"/>
        <v>-1800</v>
      </c>
      <c r="G27" s="5">
        <f t="shared" si="5"/>
        <v>-1700</v>
      </c>
    </row>
    <row r="28" spans="1:7" x14ac:dyDescent="0.25">
      <c r="A28" t="s">
        <v>111</v>
      </c>
      <c r="B28" s="5">
        <f t="shared" ref="B28:G28" si="6">B26+B27</f>
        <v>9991</v>
      </c>
      <c r="C28" s="5">
        <f t="shared" si="6"/>
        <v>10511</v>
      </c>
      <c r="D28" s="5">
        <f t="shared" si="6"/>
        <v>13915</v>
      </c>
      <c r="E28" s="5">
        <f t="shared" si="6"/>
        <v>9727.3687740000059</v>
      </c>
      <c r="F28" s="5">
        <f t="shared" si="6"/>
        <v>11022.688784560003</v>
      </c>
      <c r="G28" s="5">
        <f t="shared" si="6"/>
        <v>12274.371717412001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zoomScaleNormal="100" workbookViewId="0">
      <selection activeCell="D38" sqref="D38"/>
    </sheetView>
  </sheetViews>
  <sheetFormatPr defaultColWidth="8.7109375" defaultRowHeight="15" x14ac:dyDescent="0.25"/>
  <cols>
    <col min="1" max="1" width="40" customWidth="1"/>
    <col min="2" max="2" width="15" customWidth="1"/>
    <col min="3" max="3" width="12" customWidth="1"/>
    <col min="4" max="4" width="45" customWidth="1"/>
  </cols>
  <sheetData>
    <row r="1" spans="1:5" ht="18" x14ac:dyDescent="0.25">
      <c r="A1" s="1" t="s">
        <v>112</v>
      </c>
    </row>
    <row r="3" spans="1:5" ht="15.75" x14ac:dyDescent="0.25">
      <c r="A3" s="3" t="s">
        <v>113</v>
      </c>
    </row>
    <row r="4" spans="1:5" x14ac:dyDescent="0.25">
      <c r="A4" s="6" t="s">
        <v>114</v>
      </c>
      <c r="B4" s="6" t="s">
        <v>115</v>
      </c>
      <c r="C4" s="6" t="s">
        <v>116</v>
      </c>
      <c r="D4" s="6" t="s">
        <v>117</v>
      </c>
    </row>
    <row r="5" spans="1:5" x14ac:dyDescent="0.25">
      <c r="A5" t="s">
        <v>118</v>
      </c>
      <c r="B5" s="4">
        <v>120.3</v>
      </c>
      <c r="C5" t="s">
        <v>119</v>
      </c>
      <c r="D5" t="s">
        <v>120</v>
      </c>
      <c r="E5" s="14" t="s">
        <v>229</v>
      </c>
    </row>
    <row r="6" spans="1:5" x14ac:dyDescent="0.25">
      <c r="A6" t="s">
        <v>121</v>
      </c>
      <c r="B6" s="4">
        <v>408</v>
      </c>
      <c r="C6" t="s">
        <v>122</v>
      </c>
      <c r="D6" t="s">
        <v>123</v>
      </c>
    </row>
    <row r="7" spans="1:5" x14ac:dyDescent="0.25">
      <c r="A7" t="s">
        <v>124</v>
      </c>
      <c r="B7" s="4">
        <v>10500</v>
      </c>
      <c r="C7" t="s">
        <v>125</v>
      </c>
      <c r="D7" t="s">
        <v>126</v>
      </c>
    </row>
    <row r="8" spans="1:5" x14ac:dyDescent="0.25">
      <c r="A8" t="s">
        <v>127</v>
      </c>
      <c r="B8" s="4">
        <v>14000</v>
      </c>
      <c r="C8" t="s">
        <v>125</v>
      </c>
      <c r="D8" t="s">
        <v>128</v>
      </c>
    </row>
    <row r="9" spans="1:5" x14ac:dyDescent="0.25">
      <c r="A9" t="s">
        <v>129</v>
      </c>
      <c r="B9" s="4">
        <v>6.6</v>
      </c>
      <c r="C9" t="s">
        <v>130</v>
      </c>
      <c r="D9" t="s">
        <v>131</v>
      </c>
    </row>
    <row r="11" spans="1:5" ht="15.75" x14ac:dyDescent="0.25">
      <c r="A11" s="3" t="s">
        <v>132</v>
      </c>
    </row>
    <row r="12" spans="1:5" x14ac:dyDescent="0.25">
      <c r="A12" t="s">
        <v>133</v>
      </c>
      <c r="B12" s="4">
        <v>50000</v>
      </c>
      <c r="C12" t="s">
        <v>125</v>
      </c>
      <c r="D12" t="s">
        <v>134</v>
      </c>
    </row>
    <row r="13" spans="1:5" x14ac:dyDescent="0.25">
      <c r="A13" t="s">
        <v>135</v>
      </c>
      <c r="B13" s="4">
        <v>15000</v>
      </c>
      <c r="C13" t="s">
        <v>125</v>
      </c>
      <c r="D13" t="s">
        <v>136</v>
      </c>
    </row>
    <row r="14" spans="1:5" x14ac:dyDescent="0.25">
      <c r="A14" t="s">
        <v>137</v>
      </c>
      <c r="B14" s="4">
        <v>3000</v>
      </c>
      <c r="C14" t="s">
        <v>125</v>
      </c>
      <c r="D14" t="s">
        <v>138</v>
      </c>
    </row>
    <row r="15" spans="1:5" x14ac:dyDescent="0.25">
      <c r="A15" t="s">
        <v>139</v>
      </c>
      <c r="B15" s="4">
        <v>0.22</v>
      </c>
      <c r="C15" t="s">
        <v>140</v>
      </c>
      <c r="D15" t="s">
        <v>141</v>
      </c>
    </row>
    <row r="16" spans="1:5" x14ac:dyDescent="0.25">
      <c r="A16" t="s">
        <v>142</v>
      </c>
      <c r="B16" s="4">
        <v>48000</v>
      </c>
      <c r="C16" t="s">
        <v>125</v>
      </c>
      <c r="D16" t="s">
        <v>143</v>
      </c>
    </row>
    <row r="18" spans="1:4" ht="15.75" x14ac:dyDescent="0.25">
      <c r="A18" s="3" t="s">
        <v>144</v>
      </c>
    </row>
    <row r="19" spans="1:4" x14ac:dyDescent="0.25">
      <c r="A19" t="s">
        <v>145</v>
      </c>
      <c r="B19" s="4">
        <v>4.87</v>
      </c>
      <c r="C19" t="s">
        <v>146</v>
      </c>
      <c r="D19" t="s">
        <v>147</v>
      </c>
    </row>
    <row r="20" spans="1:4" x14ac:dyDescent="0.25">
      <c r="A20" t="s">
        <v>148</v>
      </c>
      <c r="B20" s="4">
        <v>6.76</v>
      </c>
      <c r="C20" t="s">
        <v>146</v>
      </c>
      <c r="D20" t="s">
        <v>149</v>
      </c>
    </row>
    <row r="21" spans="1:4" x14ac:dyDescent="0.25">
      <c r="A21" t="s">
        <v>150</v>
      </c>
      <c r="B21" s="4">
        <v>1.89</v>
      </c>
      <c r="C21" t="s">
        <v>146</v>
      </c>
      <c r="D21" t="s">
        <v>151</v>
      </c>
    </row>
    <row r="22" spans="1:4" x14ac:dyDescent="0.25">
      <c r="A22" t="s">
        <v>152</v>
      </c>
      <c r="B22" s="4">
        <v>602</v>
      </c>
      <c r="C22" t="s">
        <v>153</v>
      </c>
      <c r="D22" t="s">
        <v>154</v>
      </c>
    </row>
    <row r="23" spans="1:4" x14ac:dyDescent="0.25">
      <c r="A23" t="s">
        <v>155</v>
      </c>
      <c r="B23" s="4">
        <v>1138</v>
      </c>
      <c r="C23" t="s">
        <v>156</v>
      </c>
      <c r="D23" t="s">
        <v>157</v>
      </c>
    </row>
    <row r="25" spans="1:4" ht="15.75" x14ac:dyDescent="0.25">
      <c r="A25" s="3" t="s">
        <v>158</v>
      </c>
    </row>
    <row r="26" spans="1:4" x14ac:dyDescent="0.25">
      <c r="A26" t="s">
        <v>159</v>
      </c>
      <c r="B26" s="4">
        <v>300</v>
      </c>
      <c r="C26" t="s">
        <v>125</v>
      </c>
      <c r="D26" t="s">
        <v>147</v>
      </c>
    </row>
    <row r="27" spans="1:4" x14ac:dyDescent="0.25">
      <c r="A27" t="s">
        <v>160</v>
      </c>
      <c r="B27" s="4">
        <v>0.15</v>
      </c>
      <c r="C27" t="s">
        <v>140</v>
      </c>
      <c r="D27" t="s">
        <v>161</v>
      </c>
    </row>
    <row r="28" spans="1:4" x14ac:dyDescent="0.25">
      <c r="A28" t="s">
        <v>162</v>
      </c>
      <c r="B28" s="4">
        <v>1.2</v>
      </c>
      <c r="C28" t="s">
        <v>130</v>
      </c>
      <c r="D28" t="s">
        <v>163</v>
      </c>
    </row>
    <row r="30" spans="1:4" x14ac:dyDescent="0.25">
      <c r="A30" t="s">
        <v>164</v>
      </c>
    </row>
    <row r="31" spans="1:4" x14ac:dyDescent="0.25">
      <c r="A31" t="s">
        <v>165</v>
      </c>
      <c r="B31" s="4">
        <v>6</v>
      </c>
      <c r="C31" t="s">
        <v>130</v>
      </c>
      <c r="D31" t="s">
        <v>166</v>
      </c>
    </row>
    <row r="32" spans="1:4" x14ac:dyDescent="0.25">
      <c r="A32" t="s">
        <v>167</v>
      </c>
      <c r="B32" s="4">
        <v>10.199999999999999</v>
      </c>
      <c r="C32" t="s">
        <v>130</v>
      </c>
      <c r="D32" t="s">
        <v>168</v>
      </c>
    </row>
    <row r="33" spans="1:4" x14ac:dyDescent="0.25">
      <c r="A33" t="s">
        <v>169</v>
      </c>
      <c r="B33" s="4">
        <v>130</v>
      </c>
      <c r="C33" t="s">
        <v>119</v>
      </c>
      <c r="D33" t="s">
        <v>170</v>
      </c>
    </row>
    <row r="34" spans="1:4" x14ac:dyDescent="0.25">
      <c r="A34" t="s">
        <v>171</v>
      </c>
      <c r="B34" s="4">
        <v>150</v>
      </c>
      <c r="C34" t="s">
        <v>119</v>
      </c>
      <c r="D3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tabSelected="1" zoomScaleNormal="100" workbookViewId="0">
      <selection activeCell="D32" sqref="D32"/>
    </sheetView>
  </sheetViews>
  <sheetFormatPr defaultColWidth="8.7109375" defaultRowHeight="15" x14ac:dyDescent="0.25"/>
  <cols>
    <col min="1" max="1" width="30" customWidth="1"/>
    <col min="2" max="3" width="20" customWidth="1"/>
    <col min="4" max="4" width="60" customWidth="1"/>
  </cols>
  <sheetData>
    <row r="1" spans="1:4" ht="18" x14ac:dyDescent="0.25">
      <c r="A1" s="1" t="s">
        <v>173</v>
      </c>
    </row>
    <row r="3" spans="1:4" ht="15.75" x14ac:dyDescent="0.25">
      <c r="A3" s="3" t="s">
        <v>174</v>
      </c>
    </row>
    <row r="4" spans="1:4" x14ac:dyDescent="0.25">
      <c r="A4" s="6"/>
      <c r="B4" s="6" t="s">
        <v>175</v>
      </c>
      <c r="C4" s="6" t="s">
        <v>176</v>
      </c>
      <c r="D4" s="6" t="s">
        <v>177</v>
      </c>
    </row>
    <row r="5" spans="1:4" x14ac:dyDescent="0.25">
      <c r="A5" s="11" t="s">
        <v>178</v>
      </c>
      <c r="B5" t="s">
        <v>179</v>
      </c>
      <c r="C5" t="s">
        <v>180</v>
      </c>
      <c r="D5" t="s">
        <v>181</v>
      </c>
    </row>
    <row r="6" spans="1:4" x14ac:dyDescent="0.25">
      <c r="A6" s="11" t="s">
        <v>182</v>
      </c>
      <c r="B6" s="4">
        <v>120.3</v>
      </c>
      <c r="C6" s="4">
        <v>120.3</v>
      </c>
      <c r="D6" s="4">
        <v>120.3</v>
      </c>
    </row>
    <row r="7" spans="1:4" x14ac:dyDescent="0.25">
      <c r="A7" s="11" t="s">
        <v>183</v>
      </c>
      <c r="B7" s="4">
        <v>95</v>
      </c>
      <c r="C7" s="4">
        <v>198</v>
      </c>
      <c r="D7" s="4">
        <v>300</v>
      </c>
    </row>
    <row r="8" spans="1:4" x14ac:dyDescent="0.25">
      <c r="A8" s="11" t="s">
        <v>184</v>
      </c>
      <c r="B8" s="4">
        <v>3</v>
      </c>
      <c r="C8" s="4">
        <v>3</v>
      </c>
      <c r="D8" s="4">
        <v>3</v>
      </c>
    </row>
    <row r="9" spans="1:4" x14ac:dyDescent="0.25">
      <c r="A9" s="11" t="s">
        <v>185</v>
      </c>
      <c r="B9" s="4">
        <v>12</v>
      </c>
      <c r="C9" s="4">
        <v>15</v>
      </c>
      <c r="D9" s="4">
        <v>18</v>
      </c>
    </row>
    <row r="10" spans="1:4" x14ac:dyDescent="0.25">
      <c r="A10" s="11" t="s">
        <v>186</v>
      </c>
      <c r="B10">
        <f>B7-B6+B9</f>
        <v>-13.299999999999997</v>
      </c>
      <c r="C10">
        <f>C7-C6+C9</f>
        <v>92.7</v>
      </c>
      <c r="D10">
        <f>D7-D6+D9</f>
        <v>197.7</v>
      </c>
    </row>
    <row r="11" spans="1:4" x14ac:dyDescent="0.25">
      <c r="A11" s="11" t="s">
        <v>187</v>
      </c>
      <c r="B11">
        <f>(B7+B9-B6)/B6</f>
        <v>-0.1105569409808811</v>
      </c>
      <c r="C11">
        <f>(C7+C9-C6)/C6</f>
        <v>0.77057356608478811</v>
      </c>
      <c r="D11">
        <f>(D7+D9-D6)/D6</f>
        <v>1.6433915211970074</v>
      </c>
    </row>
    <row r="12" spans="1:4" x14ac:dyDescent="0.25">
      <c r="A12" s="11" t="s">
        <v>188</v>
      </c>
      <c r="B12" s="4">
        <v>-0.08</v>
      </c>
      <c r="C12" s="4">
        <v>0.22</v>
      </c>
      <c r="D12" s="4">
        <v>0.37</v>
      </c>
    </row>
    <row r="13" spans="1:4" x14ac:dyDescent="0.25">
      <c r="A13" s="11" t="s">
        <v>189</v>
      </c>
      <c r="B13">
        <f>(B7+B9)/B6</f>
        <v>0.88944305901911891</v>
      </c>
      <c r="C13">
        <f>(C7+C9)/C6</f>
        <v>1.7705735660847881</v>
      </c>
      <c r="D13">
        <f>(D7+D9)/D6</f>
        <v>2.6433915211970076</v>
      </c>
    </row>
    <row r="16" spans="1:4" ht="15.75" x14ac:dyDescent="0.25">
      <c r="A16" s="3" t="s">
        <v>190</v>
      </c>
    </row>
    <row r="17" spans="1:4" x14ac:dyDescent="0.25">
      <c r="A17" s="6" t="s">
        <v>25</v>
      </c>
      <c r="B17" s="6" t="s">
        <v>191</v>
      </c>
      <c r="C17" s="6" t="s">
        <v>192</v>
      </c>
      <c r="D17" s="6" t="s">
        <v>193</v>
      </c>
    </row>
    <row r="18" spans="1:4" x14ac:dyDescent="0.25">
      <c r="A18" t="s">
        <v>194</v>
      </c>
      <c r="B18" s="4">
        <v>0.2</v>
      </c>
      <c r="C18" s="5">
        <f>B11</f>
        <v>-0.1105569409808811</v>
      </c>
      <c r="D18" s="5">
        <f>B18*C18</f>
        <v>-2.2111388196176224E-2</v>
      </c>
    </row>
    <row r="19" spans="1:4" x14ac:dyDescent="0.25">
      <c r="A19" t="s">
        <v>29</v>
      </c>
      <c r="B19" s="4">
        <v>0.55000000000000004</v>
      </c>
      <c r="C19" s="5">
        <f>C11</f>
        <v>0.77057356608478811</v>
      </c>
      <c r="D19" s="5">
        <f>B19*C19</f>
        <v>0.4238154613466335</v>
      </c>
    </row>
    <row r="20" spans="1:4" x14ac:dyDescent="0.25">
      <c r="A20" t="s">
        <v>195</v>
      </c>
      <c r="B20" s="4">
        <v>0.25</v>
      </c>
      <c r="C20" s="5">
        <f>D11</f>
        <v>1.6433915211970074</v>
      </c>
      <c r="D20" s="5">
        <f>B20*C20</f>
        <v>0.41084788029925184</v>
      </c>
    </row>
    <row r="21" spans="1:4" x14ac:dyDescent="0.25">
      <c r="A21" s="11" t="s">
        <v>196</v>
      </c>
      <c r="D21" s="12">
        <f>SUM(D18:D20)</f>
        <v>0.81255195344970921</v>
      </c>
    </row>
    <row r="24" spans="1:4" ht="15.75" x14ac:dyDescent="0.25">
      <c r="A24" s="3" t="s">
        <v>197</v>
      </c>
    </row>
    <row r="25" spans="1:4" x14ac:dyDescent="0.25">
      <c r="A25" s="11" t="s">
        <v>198</v>
      </c>
      <c r="B25" t="s">
        <v>199</v>
      </c>
    </row>
    <row r="26" spans="1:4" x14ac:dyDescent="0.25">
      <c r="A26" s="11" t="s">
        <v>200</v>
      </c>
      <c r="B26" t="s">
        <v>201</v>
      </c>
    </row>
    <row r="27" spans="1:4" x14ac:dyDescent="0.25">
      <c r="A27" s="11" t="s">
        <v>202</v>
      </c>
      <c r="B27" t="s">
        <v>203</v>
      </c>
    </row>
    <row r="28" spans="1:4" x14ac:dyDescent="0.25">
      <c r="A28" s="11" t="s">
        <v>204</v>
      </c>
      <c r="B28" t="s">
        <v>205</v>
      </c>
    </row>
    <row r="29" spans="1:4" x14ac:dyDescent="0.25">
      <c r="A29" s="11" t="s">
        <v>206</v>
      </c>
      <c r="B29" t="s">
        <v>207</v>
      </c>
    </row>
    <row r="30" spans="1:4" x14ac:dyDescent="0.25">
      <c r="A30" s="11" t="s">
        <v>208</v>
      </c>
      <c r="B30" t="s">
        <v>209</v>
      </c>
    </row>
    <row r="32" spans="1:4" ht="15.75" x14ac:dyDescent="0.25">
      <c r="A32" s="7" t="s">
        <v>210</v>
      </c>
    </row>
    <row r="33" spans="1:2" ht="18" x14ac:dyDescent="0.25">
      <c r="A33" t="s">
        <v>211</v>
      </c>
      <c r="B33" s="13" t="s">
        <v>212</v>
      </c>
    </row>
    <row r="34" spans="1:2" x14ac:dyDescent="0.25">
      <c r="A34" t="s">
        <v>213</v>
      </c>
      <c r="B34" t="s">
        <v>214</v>
      </c>
    </row>
    <row r="35" spans="1:2" x14ac:dyDescent="0.25">
      <c r="B35" t="s">
        <v>215</v>
      </c>
    </row>
    <row r="36" spans="1:2" x14ac:dyDescent="0.25">
      <c r="B36" t="s">
        <v>216</v>
      </c>
    </row>
    <row r="38" spans="1:2" x14ac:dyDescent="0.25">
      <c r="A38" s="11" t="s">
        <v>217</v>
      </c>
      <c r="B38" t="s">
        <v>218</v>
      </c>
    </row>
    <row r="39" spans="1:2" x14ac:dyDescent="0.25">
      <c r="B39" t="s">
        <v>219</v>
      </c>
    </row>
    <row r="40" spans="1:2" x14ac:dyDescent="0.25">
      <c r="B40" t="s">
        <v>220</v>
      </c>
    </row>
    <row r="41" spans="1:2" x14ac:dyDescent="0.25">
      <c r="B41" t="s">
        <v>221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Income Statement</vt:lpstr>
      <vt:lpstr>Balance Sheet</vt:lpstr>
      <vt:lpstr>Cash Flow</vt:lpstr>
      <vt:lpstr>Assumptions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Danial Azmi</cp:lastModifiedBy>
  <cp:revision>0</cp:revision>
  <dcterms:created xsi:type="dcterms:W3CDTF">2026-01-13T22:27:00Z</dcterms:created>
  <dcterms:modified xsi:type="dcterms:W3CDTF">2026-01-14T03:46:43Z</dcterms:modified>
  <dc:language>en-US</dc:language>
</cp:coreProperties>
</file>