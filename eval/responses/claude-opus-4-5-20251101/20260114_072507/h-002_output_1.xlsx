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4_072507\"/>
    </mc:Choice>
  </mc:AlternateContent>
  <xr:revisionPtr revIDLastSave="0" documentId="13_ncr:1_{FD8360DD-1120-4E63-89DA-33506218D421}" xr6:coauthVersionLast="47" xr6:coauthVersionMax="47" xr10:uidLastSave="{00000000-0000-0000-0000-000000000000}"/>
  <bookViews>
    <workbookView xWindow="-120" yWindow="330" windowWidth="29040" windowHeight="15990" tabRatio="500" activeTab="1" xr2:uid="{00000000-000D-0000-FFFF-FFFF00000000}"/>
  </bookViews>
  <sheets>
    <sheet name="Business Assessment" sheetId="1" r:id="rId1"/>
    <sheet name="Operating Model" sheetId="2" r:id="rId2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'Business Assessment'!$B$2:$W$69</definedName>
    <definedName name="_xlnm.Print_Area" localSheetId="1">'Operating Model'!$B$2:$U$208</definedName>
    <definedName name="_xlnm.Print_Titles" localSheetId="1">'Operating Model'!$2:$19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92" i="2" l="1"/>
  <c r="N192" i="2"/>
  <c r="M192" i="2"/>
  <c r="L192" i="2"/>
  <c r="E181" i="2"/>
  <c r="K173" i="2"/>
  <c r="J162" i="2"/>
  <c r="K160" i="2" s="1"/>
  <c r="L154" i="2"/>
  <c r="M154" i="2" s="1"/>
  <c r="J154" i="2"/>
  <c r="I154" i="2"/>
  <c r="H154" i="2"/>
  <c r="N153" i="2"/>
  <c r="M153" i="2"/>
  <c r="L153" i="2"/>
  <c r="M152" i="2"/>
  <c r="L152" i="2"/>
  <c r="J152" i="2"/>
  <c r="I152" i="2"/>
  <c r="H152" i="2"/>
  <c r="J150" i="2"/>
  <c r="I150" i="2"/>
  <c r="H150" i="2"/>
  <c r="F139" i="2"/>
  <c r="K127" i="2"/>
  <c r="K126" i="2"/>
  <c r="K125" i="2" s="1"/>
  <c r="C125" i="2"/>
  <c r="J116" i="2"/>
  <c r="K114" i="2"/>
  <c r="K113" i="2"/>
  <c r="K112" i="2"/>
  <c r="C112" i="2"/>
  <c r="Q111" i="2"/>
  <c r="M105" i="2"/>
  <c r="N105" i="2" s="1"/>
  <c r="O105" i="2" s="1"/>
  <c r="L105" i="2"/>
  <c r="O103" i="2"/>
  <c r="N103" i="2"/>
  <c r="M103" i="2"/>
  <c r="L103" i="2"/>
  <c r="K103" i="2"/>
  <c r="I103" i="2"/>
  <c r="C103" i="2"/>
  <c r="Q102" i="2"/>
  <c r="M100" i="2"/>
  <c r="N100" i="2" s="1"/>
  <c r="O100" i="2" s="1"/>
  <c r="L100" i="2"/>
  <c r="O98" i="2"/>
  <c r="N98" i="2"/>
  <c r="M98" i="2"/>
  <c r="L98" i="2"/>
  <c r="K98" i="2"/>
  <c r="I98" i="2"/>
  <c r="C98" i="2"/>
  <c r="Q97" i="2"/>
  <c r="O93" i="2"/>
  <c r="N93" i="2"/>
  <c r="M93" i="2"/>
  <c r="L93" i="2"/>
  <c r="K93" i="2"/>
  <c r="I93" i="2"/>
  <c r="C93" i="2"/>
  <c r="Q92" i="2"/>
  <c r="I90" i="2"/>
  <c r="C90" i="2"/>
  <c r="Q89" i="2"/>
  <c r="M87" i="2"/>
  <c r="N87" i="2" s="1"/>
  <c r="O87" i="2" s="1"/>
  <c r="L87" i="2"/>
  <c r="M86" i="2"/>
  <c r="N86" i="2" s="1"/>
  <c r="L86" i="2"/>
  <c r="M85" i="2"/>
  <c r="L85" i="2"/>
  <c r="K85" i="2"/>
  <c r="I85" i="2"/>
  <c r="C85" i="2"/>
  <c r="Q84" i="2"/>
  <c r="J82" i="2"/>
  <c r="J81" i="2"/>
  <c r="J107" i="2" s="1"/>
  <c r="O77" i="2"/>
  <c r="N77" i="2"/>
  <c r="M77" i="2"/>
  <c r="L77" i="2"/>
  <c r="K77" i="2"/>
  <c r="J77" i="2"/>
  <c r="C77" i="2"/>
  <c r="Q76" i="2"/>
  <c r="J73" i="2"/>
  <c r="J112" i="2" s="1"/>
  <c r="I73" i="2"/>
  <c r="I112" i="2" s="1"/>
  <c r="H73" i="2"/>
  <c r="J72" i="2"/>
  <c r="I72" i="2"/>
  <c r="H72" i="2"/>
  <c r="J71" i="2"/>
  <c r="I71" i="2"/>
  <c r="C71" i="2"/>
  <c r="Q70" i="2"/>
  <c r="J68" i="2"/>
  <c r="I68" i="2"/>
  <c r="C68" i="2"/>
  <c r="Q67" i="2"/>
  <c r="N63" i="2"/>
  <c r="O63" i="2" s="1"/>
  <c r="M63" i="2"/>
  <c r="L63" i="2"/>
  <c r="N62" i="2"/>
  <c r="O62" i="2" s="1"/>
  <c r="O61" i="2" s="1"/>
  <c r="M62" i="2"/>
  <c r="L62" i="2"/>
  <c r="M61" i="2"/>
  <c r="L61" i="2"/>
  <c r="K61" i="2"/>
  <c r="C61" i="2"/>
  <c r="L58" i="2"/>
  <c r="L127" i="2" s="1"/>
  <c r="L57" i="2"/>
  <c r="L113" i="2" s="1"/>
  <c r="L112" i="2" s="1"/>
  <c r="L56" i="2"/>
  <c r="K56" i="2"/>
  <c r="C56" i="2"/>
  <c r="L53" i="2"/>
  <c r="M53" i="2" s="1"/>
  <c r="N53" i="2" s="1"/>
  <c r="O53" i="2" s="1"/>
  <c r="O51" i="2"/>
  <c r="N51" i="2"/>
  <c r="M51" i="2"/>
  <c r="L51" i="2"/>
  <c r="K51" i="2"/>
  <c r="C51" i="2"/>
  <c r="L50" i="2"/>
  <c r="M50" i="2" s="1"/>
  <c r="K50" i="2"/>
  <c r="J50" i="2"/>
  <c r="J51" i="2" s="1"/>
  <c r="I50" i="2"/>
  <c r="I51" i="2" s="1"/>
  <c r="H50" i="2"/>
  <c r="L48" i="2"/>
  <c r="M48" i="2" s="1"/>
  <c r="N48" i="2" s="1"/>
  <c r="O48" i="2" s="1"/>
  <c r="L47" i="2"/>
  <c r="L46" i="2" s="1"/>
  <c r="K46" i="2"/>
  <c r="J46" i="2"/>
  <c r="I46" i="2"/>
  <c r="H46" i="2"/>
  <c r="J42" i="2"/>
  <c r="I42" i="2"/>
  <c r="H42" i="2"/>
  <c r="O38" i="2"/>
  <c r="N38" i="2"/>
  <c r="M38" i="2"/>
  <c r="L38" i="2"/>
  <c r="K38" i="2"/>
  <c r="O34" i="2"/>
  <c r="N34" i="2"/>
  <c r="M34" i="2"/>
  <c r="L34" i="2"/>
  <c r="K34" i="2"/>
  <c r="K33" i="2" s="1"/>
  <c r="J34" i="2"/>
  <c r="I34" i="2"/>
  <c r="C34" i="2"/>
  <c r="Q33" i="2"/>
  <c r="L33" i="2"/>
  <c r="M33" i="2" s="1"/>
  <c r="N33" i="2" s="1"/>
  <c r="O33" i="2" s="1"/>
  <c r="R33" i="2" s="1"/>
  <c r="O29" i="2"/>
  <c r="N29" i="2"/>
  <c r="M29" i="2"/>
  <c r="L29" i="2"/>
  <c r="K29" i="2"/>
  <c r="K28" i="2" s="1"/>
  <c r="J29" i="2"/>
  <c r="I29" i="2"/>
  <c r="C29" i="2"/>
  <c r="Q28" i="2"/>
  <c r="M25" i="2"/>
  <c r="N25" i="2" s="1"/>
  <c r="L25" i="2"/>
  <c r="L24" i="2"/>
  <c r="K24" i="2"/>
  <c r="J24" i="2"/>
  <c r="I24" i="2"/>
  <c r="C24" i="2"/>
  <c r="Q23" i="2"/>
  <c r="K23" i="2"/>
  <c r="I19" i="2"/>
  <c r="J19" i="2" s="1"/>
  <c r="K19" i="2" s="1"/>
  <c r="L19" i="2" s="1"/>
  <c r="M19" i="2" s="1"/>
  <c r="N19" i="2" s="1"/>
  <c r="O19" i="2" s="1"/>
  <c r="F203" i="2" s="1"/>
  <c r="K18" i="2"/>
  <c r="F12" i="2"/>
  <c r="F14" i="2" s="1"/>
  <c r="L11" i="2"/>
  <c r="R10" i="2"/>
  <c r="K10" i="2"/>
  <c r="J179" i="2" s="1"/>
  <c r="K9" i="2"/>
  <c r="O25" i="2" l="1"/>
  <c r="O24" i="2" s="1"/>
  <c r="N24" i="2"/>
  <c r="F16" i="2"/>
  <c r="R11" i="2"/>
  <c r="K70" i="2"/>
  <c r="L28" i="2"/>
  <c r="L10" i="2"/>
  <c r="R9" i="2"/>
  <c r="R13" i="2" s="1"/>
  <c r="K12" i="2" s="1"/>
  <c r="K44" i="2"/>
  <c r="L44" i="2" s="1"/>
  <c r="M44" i="2" s="1"/>
  <c r="N44" i="2" s="1"/>
  <c r="O44" i="2" s="1"/>
  <c r="K43" i="2"/>
  <c r="H153" i="2"/>
  <c r="H103" i="2"/>
  <c r="H98" i="2"/>
  <c r="H93" i="2"/>
  <c r="H90" i="2"/>
  <c r="H85" i="2"/>
  <c r="H125" i="2"/>
  <c r="H81" i="2"/>
  <c r="H77" i="2"/>
  <c r="Q73" i="2"/>
  <c r="J131" i="2"/>
  <c r="J117" i="2"/>
  <c r="M24" i="2"/>
  <c r="M47" i="2"/>
  <c r="L89" i="2"/>
  <c r="H112" i="2"/>
  <c r="L23" i="2"/>
  <c r="K89" i="2"/>
  <c r="O86" i="2"/>
  <c r="O85" i="2" s="1"/>
  <c r="N85" i="2"/>
  <c r="J195" i="2"/>
  <c r="K177" i="2"/>
  <c r="N50" i="2"/>
  <c r="M89" i="2"/>
  <c r="N61" i="2"/>
  <c r="J85" i="2"/>
  <c r="J90" i="2"/>
  <c r="J93" i="2"/>
  <c r="J98" i="2"/>
  <c r="J103" i="2"/>
  <c r="I56" i="2"/>
  <c r="J56" i="2" s="1"/>
  <c r="J60" i="2" s="1"/>
  <c r="J61" i="2" s="1"/>
  <c r="M57" i="2"/>
  <c r="M58" i="2"/>
  <c r="J153" i="2"/>
  <c r="J125" i="2"/>
  <c r="I74" i="2"/>
  <c r="I77" i="2"/>
  <c r="I81" i="2"/>
  <c r="I125" i="2"/>
  <c r="L126" i="2"/>
  <c r="L125" i="2" s="1"/>
  <c r="N152" i="2"/>
  <c r="O153" i="2"/>
  <c r="N154" i="2"/>
  <c r="J74" i="2"/>
  <c r="J191" i="2"/>
  <c r="J122" i="2"/>
  <c r="J108" i="2"/>
  <c r="L114" i="2"/>
  <c r="I153" i="2"/>
  <c r="M23" i="2" l="1"/>
  <c r="O154" i="2"/>
  <c r="I107" i="2"/>
  <c r="I82" i="2"/>
  <c r="K181" i="2"/>
  <c r="K164" i="2" s="1"/>
  <c r="K136" i="2" s="1"/>
  <c r="N47" i="2"/>
  <c r="M46" i="2"/>
  <c r="L43" i="2"/>
  <c r="K42" i="2"/>
  <c r="K67" i="2" s="1"/>
  <c r="L70" i="2"/>
  <c r="M28" i="2"/>
  <c r="O152" i="2"/>
  <c r="M127" i="2"/>
  <c r="N58" i="2"/>
  <c r="M114" i="2"/>
  <c r="K72" i="2"/>
  <c r="K71" i="2"/>
  <c r="O50" i="2"/>
  <c r="O89" i="2" s="1"/>
  <c r="N89" i="2"/>
  <c r="H82" i="2"/>
  <c r="H107" i="2"/>
  <c r="Q81" i="2"/>
  <c r="J133" i="2"/>
  <c r="M126" i="2"/>
  <c r="M125" i="2" s="1"/>
  <c r="M113" i="2"/>
  <c r="M112" i="2" s="1"/>
  <c r="N57" i="2"/>
  <c r="M56" i="2"/>
  <c r="L12" i="2"/>
  <c r="K13" i="2"/>
  <c r="L13" i="2" s="1"/>
  <c r="J192" i="2" s="1"/>
  <c r="J193" i="2" s="1"/>
  <c r="J196" i="2" s="1"/>
  <c r="J199" i="2" s="1"/>
  <c r="J203" i="2" s="1"/>
  <c r="J137" i="2" l="1"/>
  <c r="J134" i="2"/>
  <c r="L72" i="2"/>
  <c r="L71" i="2"/>
  <c r="O47" i="2"/>
  <c r="O46" i="2" s="1"/>
  <c r="N46" i="2"/>
  <c r="N126" i="2"/>
  <c r="N125" i="2" s="1"/>
  <c r="N56" i="2"/>
  <c r="O57" i="2"/>
  <c r="N113" i="2"/>
  <c r="N112" i="2" s="1"/>
  <c r="R89" i="2"/>
  <c r="N127" i="2"/>
  <c r="N114" i="2"/>
  <c r="O58" i="2"/>
  <c r="K73" i="2"/>
  <c r="K68" i="2"/>
  <c r="I116" i="2"/>
  <c r="I122" i="2"/>
  <c r="I108" i="2"/>
  <c r="N23" i="2"/>
  <c r="H108" i="2"/>
  <c r="H116" i="2"/>
  <c r="H122" i="2"/>
  <c r="Q107" i="2"/>
  <c r="L42" i="2"/>
  <c r="L67" i="2" s="1"/>
  <c r="M43" i="2"/>
  <c r="M70" i="2"/>
  <c r="N28" i="2"/>
  <c r="O114" i="2" l="1"/>
  <c r="O127" i="2"/>
  <c r="H133" i="2"/>
  <c r="Q122" i="2"/>
  <c r="N70" i="2"/>
  <c r="O28" i="2"/>
  <c r="N43" i="2"/>
  <c r="M42" i="2"/>
  <c r="M67" i="2" s="1"/>
  <c r="H131" i="2"/>
  <c r="H117" i="2"/>
  <c r="Q116" i="2"/>
  <c r="O23" i="2"/>
  <c r="I117" i="2"/>
  <c r="I131" i="2"/>
  <c r="I133" i="2" s="1"/>
  <c r="M72" i="2"/>
  <c r="M71" i="2"/>
  <c r="L68" i="2"/>
  <c r="L73" i="2"/>
  <c r="O126" i="2"/>
  <c r="O125" i="2" s="1"/>
  <c r="O113" i="2"/>
  <c r="O112" i="2" s="1"/>
  <c r="O56" i="2"/>
  <c r="I109" i="2"/>
  <c r="J109" i="2"/>
  <c r="K148" i="2"/>
  <c r="K102" i="2"/>
  <c r="K97" i="2"/>
  <c r="K92" i="2"/>
  <c r="K84" i="2"/>
  <c r="K111" i="2"/>
  <c r="K55" i="2"/>
  <c r="K74" i="2"/>
  <c r="K124" i="2"/>
  <c r="K76" i="2"/>
  <c r="K81" i="2" s="1"/>
  <c r="K60" i="2"/>
  <c r="K90" i="2"/>
  <c r="I137" i="2" l="1"/>
  <c r="I134" i="2"/>
  <c r="K82" i="2"/>
  <c r="K107" i="2"/>
  <c r="I118" i="2"/>
  <c r="J118" i="2"/>
  <c r="O70" i="2"/>
  <c r="R28" i="2"/>
  <c r="H134" i="2"/>
  <c r="H137" i="2"/>
  <c r="O67" i="2"/>
  <c r="R23" i="2"/>
  <c r="N71" i="2"/>
  <c r="M68" i="2"/>
  <c r="M73" i="2"/>
  <c r="K147" i="2"/>
  <c r="K149" i="2"/>
  <c r="L148" i="2"/>
  <c r="L60" i="2"/>
  <c r="L81" i="2"/>
  <c r="L74" i="2"/>
  <c r="L55" i="2"/>
  <c r="L97" i="2"/>
  <c r="L102" i="2"/>
  <c r="L92" i="2"/>
  <c r="L84" i="2"/>
  <c r="L76" i="2"/>
  <c r="L111" i="2"/>
  <c r="L90" i="2"/>
  <c r="L124" i="2"/>
  <c r="O43" i="2"/>
  <c r="O42" i="2" s="1"/>
  <c r="N42" i="2"/>
  <c r="N67" i="2" s="1"/>
  <c r="K150" i="2" l="1"/>
  <c r="K129" i="2" s="1"/>
  <c r="O72" i="2"/>
  <c r="O71" i="2"/>
  <c r="R70" i="2"/>
  <c r="K191" i="2"/>
  <c r="K193" i="2" s="1"/>
  <c r="K116" i="2"/>
  <c r="K122" i="2"/>
  <c r="K108" i="2"/>
  <c r="K109" i="2" s="1"/>
  <c r="K187" i="2"/>
  <c r="F15" i="2"/>
  <c r="N68" i="2"/>
  <c r="N73" i="2"/>
  <c r="L82" i="2"/>
  <c r="L107" i="2"/>
  <c r="L149" i="2"/>
  <c r="L147" i="2"/>
  <c r="M76" i="2"/>
  <c r="M81" i="2" s="1"/>
  <c r="M74" i="2"/>
  <c r="M60" i="2"/>
  <c r="M148" i="2"/>
  <c r="M92" i="2"/>
  <c r="M84" i="2"/>
  <c r="M102" i="2"/>
  <c r="M97" i="2"/>
  <c r="M90" i="2"/>
  <c r="M111" i="2"/>
  <c r="M124" i="2"/>
  <c r="M55" i="2"/>
  <c r="N72" i="2"/>
  <c r="O73" i="2"/>
  <c r="O68" i="2"/>
  <c r="R67" i="2"/>
  <c r="M107" i="2" l="1"/>
  <c r="M82" i="2"/>
  <c r="L150" i="2"/>
  <c r="L129" i="2" s="1"/>
  <c r="N81" i="2"/>
  <c r="N74" i="2"/>
  <c r="N76" i="2"/>
  <c r="N97" i="2"/>
  <c r="N148" i="2"/>
  <c r="N102" i="2"/>
  <c r="N92" i="2"/>
  <c r="N84" i="2"/>
  <c r="N60" i="2"/>
  <c r="N90" i="2"/>
  <c r="N111" i="2"/>
  <c r="N55" i="2"/>
  <c r="N124" i="2"/>
  <c r="L108" i="2"/>
  <c r="L109" i="2" s="1"/>
  <c r="L191" i="2"/>
  <c r="L193" i="2" s="1"/>
  <c r="L116" i="2"/>
  <c r="L122" i="2"/>
  <c r="K130" i="2"/>
  <c r="K131" i="2" s="1"/>
  <c r="K117" i="2"/>
  <c r="K118" i="2" s="1"/>
  <c r="O102" i="2"/>
  <c r="R102" i="2" s="1"/>
  <c r="O97" i="2"/>
  <c r="R97" i="2" s="1"/>
  <c r="O92" i="2"/>
  <c r="R92" i="2" s="1"/>
  <c r="R73" i="2"/>
  <c r="O74" i="2"/>
  <c r="O76" i="2"/>
  <c r="O60" i="2"/>
  <c r="O148" i="2"/>
  <c r="O84" i="2"/>
  <c r="R84" i="2" s="1"/>
  <c r="O90" i="2"/>
  <c r="O55" i="2"/>
  <c r="O124" i="2"/>
  <c r="O111" i="2"/>
  <c r="R111" i="2" s="1"/>
  <c r="M149" i="2"/>
  <c r="M147" i="2"/>
  <c r="M150" i="2" s="1"/>
  <c r="M129" i="2" s="1"/>
  <c r="N107" i="2" l="1"/>
  <c r="N82" i="2"/>
  <c r="R76" i="2"/>
  <c r="O147" i="2"/>
  <c r="O149" i="2"/>
  <c r="N149" i="2"/>
  <c r="N147" i="2"/>
  <c r="N150" i="2" s="1"/>
  <c r="N129" i="2" s="1"/>
  <c r="O81" i="2"/>
  <c r="L117" i="2"/>
  <c r="L118" i="2" s="1"/>
  <c r="K133" i="2"/>
  <c r="M191" i="2"/>
  <c r="M193" i="2" s="1"/>
  <c r="M116" i="2"/>
  <c r="M122" i="2"/>
  <c r="M108" i="2"/>
  <c r="M109" i="2" s="1"/>
  <c r="K134" i="2" l="1"/>
  <c r="K137" i="2"/>
  <c r="M117" i="2"/>
  <c r="M118" i="2" s="1"/>
  <c r="O107" i="2"/>
  <c r="O82" i="2"/>
  <c r="R81" i="2"/>
  <c r="O150" i="2"/>
  <c r="O129" i="2" s="1"/>
  <c r="N191" i="2"/>
  <c r="N193" i="2" s="1"/>
  <c r="N122" i="2"/>
  <c r="N116" i="2"/>
  <c r="N108" i="2"/>
  <c r="N109" i="2" s="1"/>
  <c r="O191" i="2" l="1"/>
  <c r="O193" i="2" s="1"/>
  <c r="O116" i="2"/>
  <c r="O108" i="2"/>
  <c r="O109" i="2" s="1"/>
  <c r="O122" i="2"/>
  <c r="R107" i="2"/>
  <c r="K139" i="2"/>
  <c r="K169" i="2" s="1"/>
  <c r="N117" i="2"/>
  <c r="N118" i="2" s="1"/>
  <c r="O117" i="2" l="1"/>
  <c r="O118" i="2" s="1"/>
  <c r="R116" i="2"/>
  <c r="R122" i="2"/>
  <c r="K140" i="2"/>
  <c r="K170" i="2" s="1"/>
  <c r="K171" i="2" s="1"/>
  <c r="L168" i="2" l="1"/>
  <c r="K178" i="2"/>
  <c r="K141" i="2" l="1"/>
  <c r="K142" i="2" s="1"/>
  <c r="K161" i="2" s="1"/>
  <c r="K162" i="2" s="1"/>
  <c r="L160" i="2" s="1"/>
  <c r="K179" i="2"/>
  <c r="L173" i="2"/>
  <c r="L177" i="2" l="1"/>
  <c r="K195" i="2"/>
  <c r="K196" i="2" s="1"/>
  <c r="K183" i="2"/>
  <c r="K185" i="2" l="1"/>
  <c r="K184" i="2"/>
  <c r="K186" i="2" s="1"/>
  <c r="K198" i="2"/>
  <c r="K199" i="2"/>
  <c r="K203" i="2" s="1"/>
  <c r="L181" i="2"/>
  <c r="L164" i="2" s="1"/>
  <c r="L136" i="2" s="1"/>
  <c r="L187" i="2" l="1"/>
  <c r="L130" i="2"/>
  <c r="L131" i="2" l="1"/>
  <c r="L133" i="2" s="1"/>
  <c r="L134" i="2" l="1"/>
  <c r="L137" i="2"/>
  <c r="L139" i="2" l="1"/>
  <c r="L169" i="2" s="1"/>
  <c r="L140" i="2"/>
  <c r="L170" i="2" s="1"/>
  <c r="L178" i="2" l="1"/>
  <c r="L171" i="2"/>
  <c r="M168" i="2" l="1"/>
  <c r="L141" i="2"/>
  <c r="L142" i="2" s="1"/>
  <c r="L161" i="2" s="1"/>
  <c r="L162" i="2" s="1"/>
  <c r="M160" i="2" s="1"/>
  <c r="L179" i="2"/>
  <c r="M177" i="2" s="1"/>
  <c r="M181" i="2" l="1"/>
  <c r="L195" i="2"/>
  <c r="L196" i="2" s="1"/>
  <c r="M173" i="2"/>
  <c r="M164" i="2" s="1"/>
  <c r="M136" i="2" s="1"/>
  <c r="L183" i="2"/>
  <c r="M187" i="2" l="1"/>
  <c r="M130" i="2"/>
  <c r="L184" i="2"/>
  <c r="L186" i="2" s="1"/>
  <c r="L185" i="2"/>
  <c r="L199" i="2"/>
  <c r="L203" i="2" s="1"/>
  <c r="L198" i="2"/>
  <c r="M131" i="2" l="1"/>
  <c r="M133" i="2"/>
  <c r="M137" i="2" l="1"/>
  <c r="M134" i="2"/>
  <c r="M139" i="2" l="1"/>
  <c r="M169" i="2" s="1"/>
  <c r="M140" i="2"/>
  <c r="M170" i="2" s="1"/>
  <c r="M171" i="2" l="1"/>
  <c r="M178" i="2"/>
  <c r="N168" i="2" l="1"/>
  <c r="M141" i="2"/>
  <c r="M142" i="2" s="1"/>
  <c r="M161" i="2" s="1"/>
  <c r="M162" i="2" s="1"/>
  <c r="N160" i="2" s="1"/>
  <c r="M179" i="2"/>
  <c r="N177" i="2" s="1"/>
  <c r="M195" i="2" l="1"/>
  <c r="M196" i="2" s="1"/>
  <c r="N173" i="2"/>
  <c r="N181" i="2"/>
  <c r="M183" i="2"/>
  <c r="M184" i="2" l="1"/>
  <c r="M186" i="2" s="1"/>
  <c r="M185" i="2"/>
  <c r="N164" i="2"/>
  <c r="N136" i="2" s="1"/>
  <c r="M199" i="2"/>
  <c r="M203" i="2" s="1"/>
  <c r="M198" i="2"/>
  <c r="N187" i="2" l="1"/>
  <c r="N130" i="2"/>
  <c r="N131" i="2" l="1"/>
  <c r="N133" i="2"/>
  <c r="N137" i="2" l="1"/>
  <c r="N134" i="2"/>
  <c r="N140" i="2" l="1"/>
  <c r="N170" i="2" s="1"/>
  <c r="N139" i="2"/>
  <c r="N169" i="2" s="1"/>
  <c r="N171" i="2" l="1"/>
  <c r="N178" i="2"/>
  <c r="N141" i="2" l="1"/>
  <c r="N142" i="2" s="1"/>
  <c r="N161" i="2" s="1"/>
  <c r="N162" i="2" s="1"/>
  <c r="O160" i="2" s="1"/>
  <c r="N179" i="2"/>
  <c r="O177" i="2" s="1"/>
  <c r="N195" i="2"/>
  <c r="N196" i="2" s="1"/>
  <c r="O168" i="2"/>
  <c r="N183" i="2"/>
  <c r="O173" i="2" l="1"/>
  <c r="N185" i="2"/>
  <c r="N184" i="2"/>
  <c r="N186" i="2" s="1"/>
  <c r="N198" i="2"/>
  <c r="N199" i="2"/>
  <c r="N203" i="2" s="1"/>
  <c r="O181" i="2"/>
  <c r="O164" i="2" l="1"/>
  <c r="O136" i="2" s="1"/>
  <c r="O187" i="2" l="1"/>
  <c r="O130" i="2"/>
  <c r="O131" i="2" l="1"/>
  <c r="O133" i="2"/>
  <c r="O134" i="2" l="1"/>
  <c r="O137" i="2"/>
  <c r="O139" i="2" l="1"/>
  <c r="O169" i="2" s="1"/>
  <c r="O140" i="2" l="1"/>
  <c r="O170" i="2" l="1"/>
  <c r="O171" i="2" s="1"/>
  <c r="O178" i="2"/>
  <c r="O141" i="2" l="1"/>
  <c r="O142" i="2" s="1"/>
  <c r="O161" i="2" s="1"/>
  <c r="O162" i="2" s="1"/>
  <c r="O179" i="2"/>
  <c r="O183" i="2" s="1"/>
  <c r="O195" i="2"/>
  <c r="O196" i="2" s="1"/>
  <c r="O185" i="2" l="1"/>
  <c r="O184" i="2"/>
  <c r="O186" i="2" s="1"/>
  <c r="O198" i="2"/>
  <c r="O199" i="2"/>
  <c r="O203" i="2" s="1"/>
  <c r="F205" i="2" l="1"/>
  <c r="J15" i="2" s="1"/>
  <c r="F206" i="2"/>
  <c r="J16" i="2" s="1"/>
  <c r="F207" i="2"/>
</calcChain>
</file>

<file path=xl/sharedStrings.xml><?xml version="1.0" encoding="utf-8"?>
<sst xmlns="http://schemas.openxmlformats.org/spreadsheetml/2006/main" count="221" uniqueCount="174">
  <si>
    <t>Q1: Business Assessment - Albertsons Companies</t>
  </si>
  <si>
    <t>Recommendation</t>
  </si>
  <si>
    <t>CONDITIONAL GO - Invest with caution, subject to achieving favorable entry valuation:</t>
  </si>
  <si>
    <t>Attractive defensive characteristics with stable grocery demand, but compressed margins and high leverage limit upside potential</t>
  </si>
  <si>
    <t>Base case returns achievable at 8x exit multiple, but sensitive to operational execution and margin recovery</t>
  </si>
  <si>
    <t>Failed Kroger merger provides opportunity but also highlights regulatory and strategic challenges</t>
  </si>
  <si>
    <t>Key value creation levers: digital/pharmacy growth, cost optimization, and supply chain efficiency</t>
  </si>
  <si>
    <t>Strengths</t>
  </si>
  <si>
    <t>#2 U.S. grocery retailer with 2,269 stores across 34 states, strong regional density in West Coast markets</t>
  </si>
  <si>
    <t>Strong pharmacy business (1,725 locations) driving identical sales growth of 2%+ annually</t>
  </si>
  <si>
    <t>Digital sales growing 24% YoY with 45.6 million loyalty members providing valuable customer data</t>
  </si>
  <si>
    <t>Own Brands portfolio ($16.5B sales) provides margin enhancement and customer stickiness</t>
  </si>
  <si>
    <t>Defensive grocery demand profile - historically resilient through economic cycles</t>
  </si>
  <si>
    <t>Strong free cash flow generation (~$1.3B annually) supporting dividend and debt paydown</t>
  </si>
  <si>
    <t>Weaknesses</t>
  </si>
  <si>
    <t>High leverage with $7.8B debt and $6B+ operating leases limiting financial flexibility</t>
  </si>
  <si>
    <t>Compressed EBITDA margins (~5% Adj. EBITDA margin) below historical levels</t>
  </si>
  <si>
    <t>Heavy exposure to unionized labor (195,000 covered by CBAs) creates wage pressure</t>
  </si>
  <si>
    <t>Capital intensive business requiring $1.8-2.0B annual capex to maintain store fleet</t>
  </si>
  <si>
    <t>Limited pricing power in competitive grocery market with Walmart and Costco driving deflation</t>
  </si>
  <si>
    <t>Opportunities</t>
  </si>
  <si>
    <t>Digital and omnichannel acceleration - e-commerce represents significant runway for growth</t>
  </si>
  <si>
    <t>Albertsons Media Collective (retail media network) provides high-margin advertising revenue</t>
  </si>
  <si>
    <t>Healthcare services expansion through pharmacy, clinics, and specialty pharmacy</t>
  </si>
  <si>
    <t>Cost savings through supply chain optimization and automation initiatives</t>
  </si>
  <si>
    <t>Store remodel program (127 completed in FY24) driving traffic and basket size</t>
  </si>
  <si>
    <t>Threats</t>
  </si>
  <si>
    <t>Intense competition from Walmart, Kroger, Costco, and German discounters (Aldi, Lidl)</t>
  </si>
  <si>
    <t>Amazon Fresh and Instacart disruption to traditional grocery shopping patterns</t>
  </si>
  <si>
    <t>Rising shrink (theft) and organized retail crime impacting margins</t>
  </si>
  <si>
    <t>Consumer trade-down to value retailers during inflationary/recessionary periods</t>
  </si>
  <si>
    <t>Labor union negotiations and potential strike risk across key markets</t>
  </si>
  <si>
    <t>Investment Highlights</t>
  </si>
  <si>
    <t>Grocery retail is essential and defensive - Albertsons serves 35 million customers weekly</t>
  </si>
  <si>
    <t>Failed Kroger merger ($24.6B deal) validates strategic value; now trades at significant discount</t>
  </si>
  <si>
    <t>Management's 'Customers for Life' strategy driving digital/pharmacy growth outperformance</t>
  </si>
  <si>
    <t>Strong cash generation supports 3.5% dividend yield and potential for further shareholder returns</t>
  </si>
  <si>
    <t>Fiscal 2025 guidance: $3.8-3.9B Adjusted EBITDA, capex $1.7-1.9B, positive FCF</t>
  </si>
  <si>
    <t>Risks for Further DD</t>
  </si>
  <si>
    <t>Detailed analysis of regional market share trends and competitive dynamics</t>
  </si>
  <si>
    <t>Deep dive on pharmacy economics, PBM contracts, and GLP-1 drug impact</t>
  </si>
  <si>
    <t>Union contract expiration schedule and potential labor cost inflation</t>
  </si>
  <si>
    <t>Real estate portfolio analysis - owned vs leased, lease maturity profile</t>
  </si>
  <si>
    <t>Technology infrastructure and digital platform competitive positioning</t>
  </si>
  <si>
    <t>Regulatory environment for grocery M&amp;A following FTC Kroger decision</t>
  </si>
  <si>
    <t>Working capital optimization potential - DPO/DIO benchmarking vs peers</t>
  </si>
  <si>
    <t>Management incentive alignment and retention risk post-merger termination</t>
  </si>
  <si>
    <t>Capital structure optimization - refinancing opportunity with improved spreads</t>
  </si>
  <si>
    <t>Store-level profitability analysis and potential closure/divestiture candidates</t>
  </si>
  <si>
    <t>Model</t>
  </si>
  <si>
    <t>Entry assumptions</t>
  </si>
  <si>
    <t>Sources</t>
  </si>
  <si>
    <t>£m</t>
  </si>
  <si>
    <t>xEBITDA</t>
  </si>
  <si>
    <t>Uses</t>
  </si>
  <si>
    <t>Undisturbed share price (£p)</t>
  </si>
  <si>
    <t>Net debt at closing</t>
  </si>
  <si>
    <t>Cash consideration to shareholders</t>
  </si>
  <si>
    <t>Premium to current share price (%)</t>
  </si>
  <si>
    <t>o/w acquisition financing</t>
  </si>
  <si>
    <t>Repay existing net debt</t>
  </si>
  <si>
    <t>Diluted TSO (m)</t>
  </si>
  <si>
    <t>o/w min cash</t>
  </si>
  <si>
    <t>Transaction fees</t>
  </si>
  <si>
    <t>Equity purchase price</t>
  </si>
  <si>
    <t>Equity</t>
  </si>
  <si>
    <t>Memo: transaction fees as % of EV</t>
  </si>
  <si>
    <t>Plus: Net debt and debt-like items¹</t>
  </si>
  <si>
    <t>Total Sources</t>
  </si>
  <si>
    <t>Total Uses</t>
  </si>
  <si>
    <t>Enterprise Value ¹</t>
  </si>
  <si>
    <t>Implied EV / FY22 EBITDA</t>
  </si>
  <si>
    <t>IRR</t>
  </si>
  <si>
    <t>Operating case</t>
  </si>
  <si>
    <t>(1) = Base Case; (2) = Downside Case</t>
  </si>
  <si>
    <t>Implied EV / FY21 EBITDA</t>
  </si>
  <si>
    <t>MOIC</t>
  </si>
  <si>
    <t>¹ Excludes leases (EBITDA shown net of lease costs)</t>
  </si>
  <si>
    <t>Actuals</t>
  </si>
  <si>
    <t>CAGR</t>
  </si>
  <si>
    <t>As of Feb, $m</t>
  </si>
  <si>
    <t>'22-'24</t>
  </si>
  <si>
    <t>'24-'29</t>
  </si>
  <si>
    <t>x</t>
  </si>
  <si>
    <t>KPIs</t>
  </si>
  <si>
    <t>Step-up</t>
  </si>
  <si>
    <t>Total number of stores</t>
  </si>
  <si>
    <t>n.a.</t>
  </si>
  <si>
    <t>Base Case</t>
  </si>
  <si>
    <t>Downside Case</t>
  </si>
  <si>
    <t>Petrol filling stations</t>
  </si>
  <si>
    <t>Employees (FTE)</t>
  </si>
  <si>
    <t>% LfL revenue growth (excl. fuel)</t>
  </si>
  <si>
    <t>Revenue/Store</t>
  </si>
  <si>
    <t>Revenue/Petrol Station</t>
  </si>
  <si>
    <t>Comp/FTE</t>
  </si>
  <si>
    <t>Maintenance Capex</t>
  </si>
  <si>
    <t>Implied Growth Capex</t>
  </si>
  <si>
    <t>P&amp;L</t>
  </si>
  <si>
    <t>Revenue excl. fuel (stores)</t>
  </si>
  <si>
    <t>Fuel revenues</t>
  </si>
  <si>
    <t>Total revenue</t>
  </si>
  <si>
    <t>% growth</t>
  </si>
  <si>
    <t>COGS</t>
  </si>
  <si>
    <t>Gross profit</t>
  </si>
  <si>
    <t>% gross margin</t>
  </si>
  <si>
    <t>Other operating income</t>
  </si>
  <si>
    <t>Employee costs</t>
  </si>
  <si>
    <t>Administrative expenses</t>
  </si>
  <si>
    <t>Other costs</t>
  </si>
  <si>
    <t>Rent expense</t>
  </si>
  <si>
    <t>Adj. EBITDA (pre IFRS-16)</t>
  </si>
  <si>
    <t>% margin</t>
  </si>
  <si>
    <t>D&amp;A</t>
  </si>
  <si>
    <t>Adj. EBIT</t>
  </si>
  <si>
    <t>Cash Flows</t>
  </si>
  <si>
    <t>Adj. EBITDA</t>
  </si>
  <si>
    <t>Capex</t>
  </si>
  <si>
    <t>Change in working capital</t>
  </si>
  <si>
    <t>Taxes</t>
  </si>
  <si>
    <t>% ETR</t>
  </si>
  <si>
    <t>Others &amp; exceptionals</t>
  </si>
  <si>
    <t>Unlevered FCF</t>
  </si>
  <si>
    <t>% EBITDA conversion</t>
  </si>
  <si>
    <t>Interest expense</t>
  </si>
  <si>
    <t>Levered FCF</t>
  </si>
  <si>
    <t>RCF draw</t>
  </si>
  <si>
    <t>RCF repay</t>
  </si>
  <si>
    <t>Debt repayments</t>
  </si>
  <si>
    <t>Change in Cash</t>
  </si>
  <si>
    <t>Working Capital Schedule</t>
  </si>
  <si>
    <t>Inventories</t>
  </si>
  <si>
    <t>Trade receivables</t>
  </si>
  <si>
    <t>Trade payables</t>
  </si>
  <si>
    <t>Net trade working capital</t>
  </si>
  <si>
    <t>DIO</t>
  </si>
  <si>
    <t>DSO</t>
  </si>
  <si>
    <t>DPO</t>
  </si>
  <si>
    <t>Cash &amp; Debt Schedule</t>
  </si>
  <si>
    <t>Cash</t>
  </si>
  <si>
    <t>BoP balance</t>
  </si>
  <si>
    <t>EoP balance</t>
  </si>
  <si>
    <t>Total Cash Interest</t>
  </si>
  <si>
    <t>RCF</t>
  </si>
  <si>
    <t>Draw</t>
  </si>
  <si>
    <t>Repayment</t>
  </si>
  <si>
    <t>LIBOR</t>
  </si>
  <si>
    <t>Margin</t>
  </si>
  <si>
    <t>Cash interest</t>
  </si>
  <si>
    <t>Acquisition financing</t>
  </si>
  <si>
    <t>BoP Balance</t>
  </si>
  <si>
    <t>EoP Balance</t>
  </si>
  <si>
    <t>Total Debt</t>
  </si>
  <si>
    <t>Net Debt</t>
  </si>
  <si>
    <t>Total Debt / EBITDA</t>
  </si>
  <si>
    <t>Net Debt / EBITDA</t>
  </si>
  <si>
    <t>EBITDA / Interest Expense</t>
  </si>
  <si>
    <t>Returns</t>
  </si>
  <si>
    <t>EBITDA</t>
  </si>
  <si>
    <t>EV / EBITDA (x)</t>
  </si>
  <si>
    <t>Enterprise value</t>
  </si>
  <si>
    <t>Less: net debt</t>
  </si>
  <si>
    <t xml:space="preserve">Equity value </t>
  </si>
  <si>
    <t>Management incentive plan</t>
  </si>
  <si>
    <t>Attributable equity value</t>
  </si>
  <si>
    <t>Exit date</t>
  </si>
  <si>
    <t>Net equity cash flows</t>
  </si>
  <si>
    <t>Net profit (£m)</t>
  </si>
  <si>
    <t>&lt;incorrect</t>
  </si>
  <si>
    <t>&lt; almost correct</t>
  </si>
  <si>
    <t>&lt; good triangulation</t>
  </si>
  <si>
    <t>&lt;same as input</t>
  </si>
  <si>
    <t>&lt; need to change</t>
  </si>
  <si>
    <t>&lt;almost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</si>
</sst>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#,##0.0_);\(#,##0.0\);_(\−_)"/>
    <numFmt numFmtId="165" formatCode="#,##0.0_);\(#,##0.0\);0.0_);@_)"/>
    <numFmt numFmtId="166" formatCode="0.0&quot; x&quot;_);\(0.0&quot; x)&quot;"/>
    <numFmt numFmtId="167" formatCode="_(#,##0.00_);\(#,##0.00\);_(\−_)"/>
    <numFmt numFmtId="168" formatCode="_(#,##0_);\(#,##0\);_(\−_)"/>
    <numFmt numFmtId="169" formatCode="0.0\x"/>
    <numFmt numFmtId="170" formatCode="0.0%"/>
    <numFmt numFmtId="171" formatCode="#,##0;\(#,##0\)"/>
    <numFmt numFmtId="172" formatCode="yyyy\-mm\-dd"/>
    <numFmt numFmtId="173" formatCode="#,##0_);\(#,##0\);\-_);@_)"/>
    <numFmt numFmtId="174" formatCode="_(#,##0.0%_);\(#,##0.0%\);_(\−_)"/>
    <numFmt numFmtId="175" formatCode="_(0.0%_);\(0.0%\);_(\-_);@_)"/>
    <numFmt numFmtId="176" formatCode="_(0.0%_);\(0.0%\);_(\-_)"/>
    <numFmt numFmtId="177" formatCode="#,##0.0"/>
    <numFmt numFmtId="178" formatCode="_(0.00%_);\(0.00%\);_(\-_)"/>
    <numFmt numFmtId="179" formatCode="_(0.00%_);\(0.00%\);_(\-_);@_)"/>
    <numFmt numFmtId="180" formatCode="_(&quot;L+&quot;0.00%_);\(0.00%\);_(\-_);@_)"/>
  </numFmts>
  <fonts count="22" x14ac:knownFonts="1">
    <font>
      <sz val="10"/>
      <color theme="1"/>
      <name val="Segoe UI"/>
      <family val="2"/>
      <charset val="1"/>
    </font>
    <font>
      <sz val="11"/>
      <color rgb="FF0000FF"/>
      <name val="Segoe UI"/>
      <family val="2"/>
      <charset val="1"/>
    </font>
    <font>
      <sz val="10"/>
      <name val="Arial"/>
      <family val="2"/>
      <charset val="1"/>
    </font>
    <font>
      <b/>
      <sz val="16"/>
      <color theme="1"/>
      <name val="Segoe UI"/>
      <family val="2"/>
      <charset val="1"/>
    </font>
    <font>
      <b/>
      <sz val="10"/>
      <color theme="1"/>
      <name val="Segoe UI"/>
      <family val="2"/>
      <charset val="1"/>
    </font>
    <font>
      <b/>
      <u/>
      <sz val="10"/>
      <color theme="1"/>
      <name val="Segoe UI"/>
      <family val="2"/>
      <charset val="1"/>
    </font>
    <font>
      <b/>
      <sz val="10"/>
      <color theme="0"/>
      <name val="Segoe UI"/>
      <family val="2"/>
      <charset val="1"/>
    </font>
    <font>
      <sz val="10"/>
      <color theme="0"/>
      <name val="Segoe UI"/>
      <family val="2"/>
      <charset val="1"/>
    </font>
    <font>
      <sz val="11"/>
      <color rgb="FF0000FF"/>
      <name val="Cambria"/>
      <charset val="1"/>
    </font>
    <font>
      <sz val="10"/>
      <name val="Segoe UI"/>
      <family val="2"/>
      <charset val="1"/>
    </font>
    <font>
      <i/>
      <sz val="10"/>
      <color theme="1"/>
      <name val="Segoe UI"/>
      <family val="2"/>
      <charset val="1"/>
    </font>
    <font>
      <sz val="10"/>
      <color rgb="FFFF0000"/>
      <name val="Segoe UI"/>
      <family val="2"/>
      <charset val="1"/>
    </font>
    <font>
      <sz val="11"/>
      <color rgb="FF000000"/>
      <name val="Cambria"/>
      <charset val="1"/>
    </font>
    <font>
      <b/>
      <sz val="10"/>
      <color rgb="FFFF0000"/>
      <name val="Segoe UI"/>
      <family val="2"/>
      <charset val="1"/>
    </font>
    <font>
      <b/>
      <i/>
      <sz val="10"/>
      <color theme="1"/>
      <name val="Segoe UI"/>
      <family val="2"/>
      <charset val="1"/>
    </font>
    <font>
      <sz val="10"/>
      <color rgb="FF0000FF"/>
      <name val="Segoe UI"/>
      <family val="2"/>
      <charset val="1"/>
    </font>
    <font>
      <b/>
      <i/>
      <sz val="10"/>
      <color rgb="FFFF0000"/>
      <name val="Segoe UI"/>
      <family val="2"/>
      <charset val="1"/>
    </font>
    <font>
      <b/>
      <sz val="10"/>
      <name val="Segoe UI"/>
      <family val="2"/>
      <charset val="1"/>
    </font>
    <font>
      <i/>
      <sz val="10"/>
      <color rgb="FF0000FF"/>
      <name val="Segoe UI"/>
      <family val="2"/>
      <charset val="1"/>
    </font>
    <font>
      <i/>
      <sz val="10"/>
      <name val="Segoe UI"/>
      <family val="2"/>
      <charset val="1"/>
    </font>
    <font>
      <i/>
      <sz val="10"/>
      <color rgb="FFC00000"/>
      <name val="Segoe UI"/>
      <family val="2"/>
      <charset val="1"/>
    </font>
    <font>
      <sz val="8"/>
      <color theme="1"/>
      <name val="Segoe U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D2"/>
      </patternFill>
    </fill>
    <fill>
      <patternFill patternType="solid">
        <fgColor theme="1"/>
        <bgColor rgb="FF000000"/>
      </patternFill>
    </fill>
    <fill>
      <patternFill patternType="solid">
        <fgColor theme="4"/>
        <bgColor rgb="FF008080"/>
      </patternFill>
    </fill>
    <fill>
      <patternFill patternType="solid">
        <fgColor rgb="FF007000"/>
        <bgColor rgb="FF007D55"/>
      </patternFill>
    </fill>
    <fill>
      <patternFill patternType="solid">
        <fgColor rgb="FFFFFFD2"/>
        <bgColor rgb="FFFFFFCC"/>
      </patternFill>
    </fill>
    <fill>
      <patternFill patternType="solid">
        <fgColor theme="0" tint="-4.9989318521683403E-2"/>
        <bgColor rgb="FFE7E7E7"/>
      </patternFill>
    </fill>
    <fill>
      <patternFill patternType="solid">
        <fgColor rgb="FFFFC000"/>
        <bgColor rgb="FFFF9900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2" tint="-0.14999847407452621"/>
        <bgColor rgb="FFE7E7E7"/>
      </patternFill>
    </fill>
    <fill>
      <patternFill patternType="solid">
        <fgColor theme="7" tint="0.79989013336588644"/>
        <bgColor rgb="FFF2F2F2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hair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ashed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164" fontId="0" fillId="0" borderId="0"/>
    <xf numFmtId="165" fontId="1" fillId="2" borderId="1"/>
    <xf numFmtId="166" fontId="2" fillId="0" borderId="0"/>
  </cellStyleXfs>
  <cellXfs count="239">
    <xf numFmtId="164" fontId="0" fillId="0" borderId="0" xfId="0"/>
    <xf numFmtId="164" fontId="5" fillId="0" borderId="0" xfId="0" applyFont="1" applyAlignment="1">
      <alignment horizontal="center"/>
    </xf>
    <xf numFmtId="164" fontId="5" fillId="0" borderId="15" xfId="0" applyFont="1" applyBorder="1" applyAlignment="1">
      <alignment horizontal="center"/>
    </xf>
    <xf numFmtId="0" fontId="0" fillId="0" borderId="0" xfId="0" applyNumberFormat="1"/>
    <xf numFmtId="164" fontId="0" fillId="0" borderId="0" xfId="0" applyAlignment="1">
      <alignment horizontal="center"/>
    </xf>
    <xf numFmtId="164" fontId="3" fillId="0" borderId="0" xfId="0" applyFont="1"/>
    <xf numFmtId="164" fontId="4" fillId="0" borderId="0" xfId="0" applyFont="1"/>
    <xf numFmtId="164" fontId="0" fillId="3" borderId="0" xfId="0" applyFill="1"/>
    <xf numFmtId="164" fontId="0" fillId="3" borderId="0" xfId="0" applyFill="1" applyAlignment="1">
      <alignment horizontal="center"/>
    </xf>
    <xf numFmtId="164" fontId="5" fillId="0" borderId="0" xfId="0" applyFont="1"/>
    <xf numFmtId="164" fontId="0" fillId="0" borderId="0" xfId="0" applyAlignment="1">
      <alignment vertical="center"/>
    </xf>
    <xf numFmtId="164" fontId="0" fillId="4" borderId="0" xfId="0" applyFill="1"/>
    <xf numFmtId="164" fontId="0" fillId="4" borderId="0" xfId="0" applyFill="1" applyAlignment="1">
      <alignment horizontal="center"/>
    </xf>
    <xf numFmtId="164" fontId="6" fillId="5" borderId="2" xfId="0" applyFont="1" applyFill="1" applyBorder="1" applyAlignment="1">
      <alignment vertical="center"/>
    </xf>
    <xf numFmtId="164" fontId="7" fillId="5" borderId="3" xfId="0" applyFont="1" applyFill="1" applyBorder="1"/>
    <xf numFmtId="164" fontId="7" fillId="5" borderId="4" xfId="0" applyFont="1" applyFill="1" applyBorder="1"/>
    <xf numFmtId="164" fontId="6" fillId="5" borderId="2" xfId="0" applyFont="1" applyFill="1" applyBorder="1"/>
    <xf numFmtId="164" fontId="6" fillId="5" borderId="3" xfId="0" applyFont="1" applyFill="1" applyBorder="1"/>
    <xf numFmtId="164" fontId="6" fillId="5" borderId="3" xfId="0" applyFont="1" applyFill="1" applyBorder="1" applyAlignment="1">
      <alignment horizontal="center"/>
    </xf>
    <xf numFmtId="164" fontId="6" fillId="5" borderId="4" xfId="0" applyFont="1" applyFill="1" applyBorder="1" applyAlignment="1">
      <alignment horizontal="center"/>
    </xf>
    <xf numFmtId="164" fontId="7" fillId="0" borderId="0" xfId="0" applyFont="1"/>
    <xf numFmtId="164" fontId="6" fillId="5" borderId="5" xfId="0" applyFont="1" applyFill="1" applyBorder="1"/>
    <xf numFmtId="164" fontId="6" fillId="5" borderId="5" xfId="0" applyFont="1" applyFill="1" applyBorder="1" applyAlignment="1">
      <alignment horizontal="center"/>
    </xf>
    <xf numFmtId="164" fontId="0" fillId="0" borderId="0" xfId="0" applyAlignment="1">
      <alignment horizontal="left" vertical="center" indent="1"/>
    </xf>
    <xf numFmtId="1" fontId="8" fillId="0" borderId="6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4" fontId="0" fillId="0" borderId="0" xfId="0" applyAlignment="1">
      <alignment horizontal="left" vertical="center"/>
    </xf>
    <xf numFmtId="164" fontId="5" fillId="0" borderId="0" xfId="0" applyFont="1" applyAlignment="1">
      <alignment horizontal="center"/>
    </xf>
    <xf numFmtId="168" fontId="9" fillId="0" borderId="0" xfId="0" applyNumberFormat="1" applyFont="1" applyAlignment="1">
      <alignment horizontal="center" vertical="center"/>
    </xf>
    <xf numFmtId="169" fontId="8" fillId="6" borderId="7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0" fontId="8" fillId="6" borderId="8" xfId="0" applyNumberFormat="1" applyFont="1" applyFill="1" applyBorder="1" applyAlignment="1">
      <alignment horizontal="center" vertical="center"/>
    </xf>
    <xf numFmtId="164" fontId="10" fillId="0" borderId="9" xfId="0" applyFont="1" applyBorder="1" applyAlignment="1">
      <alignment horizontal="left" indent="1"/>
    </xf>
    <xf numFmtId="164" fontId="0" fillId="0" borderId="9" xfId="0" applyBorder="1"/>
    <xf numFmtId="168" fontId="0" fillId="0" borderId="9" xfId="0" applyNumberFormat="1" applyBorder="1" applyAlignment="1">
      <alignment horizontal="center"/>
    </xf>
    <xf numFmtId="169" fontId="11" fillId="0" borderId="9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4" fontId="10" fillId="0" borderId="0" xfId="0" applyFont="1" applyAlignment="1">
      <alignment horizontal="left" indent="1"/>
    </xf>
    <xf numFmtId="168" fontId="8" fillId="6" borderId="8" xfId="0" applyNumberFormat="1" applyFont="1" applyFill="1" applyBorder="1" applyAlignment="1">
      <alignment horizontal="center"/>
    </xf>
    <xf numFmtId="169" fontId="11" fillId="0" borderId="0" xfId="0" applyNumberFormat="1" applyFont="1" applyAlignment="1">
      <alignment horizontal="center" vertical="center"/>
    </xf>
    <xf numFmtId="164" fontId="0" fillId="0" borderId="9" xfId="0" applyBorder="1" applyAlignment="1">
      <alignment vertical="center"/>
    </xf>
    <xf numFmtId="168" fontId="12" fillId="0" borderId="9" xfId="0" applyNumberFormat="1" applyFont="1" applyBorder="1" applyAlignment="1">
      <alignment horizontal="center" vertical="center"/>
    </xf>
    <xf numFmtId="164" fontId="10" fillId="0" borderId="0" xfId="0" applyFont="1" applyAlignment="1">
      <alignment horizontal="left" vertical="center" indent="1"/>
    </xf>
    <xf numFmtId="164" fontId="10" fillId="0" borderId="0" xfId="0" applyFont="1"/>
    <xf numFmtId="171" fontId="8" fillId="0" borderId="0" xfId="0" applyNumberFormat="1" applyFont="1" applyAlignment="1">
      <alignment horizontal="center" vertical="center"/>
    </xf>
    <xf numFmtId="164" fontId="4" fillId="7" borderId="10" xfId="0" applyFont="1" applyFill="1" applyBorder="1" applyAlignment="1">
      <alignment horizontal="left" vertical="center" indent="1"/>
    </xf>
    <xf numFmtId="164" fontId="5" fillId="7" borderId="10" xfId="0" applyFont="1" applyFill="1" applyBorder="1" applyAlignment="1">
      <alignment horizontal="center"/>
    </xf>
    <xf numFmtId="168" fontId="4" fillId="7" borderId="10" xfId="0" applyNumberFormat="1" applyFont="1" applyFill="1" applyBorder="1" applyAlignment="1">
      <alignment horizontal="center" vertical="center"/>
    </xf>
    <xf numFmtId="169" fontId="13" fillId="7" borderId="10" xfId="0" applyNumberFormat="1" applyFont="1" applyFill="1" applyBorder="1" applyAlignment="1">
      <alignment horizontal="center" vertical="center"/>
    </xf>
    <xf numFmtId="164" fontId="4" fillId="7" borderId="10" xfId="0" applyFont="1" applyFill="1" applyBorder="1"/>
    <xf numFmtId="168" fontId="12" fillId="7" borderId="10" xfId="0" applyNumberFormat="1" applyFont="1" applyFill="1" applyBorder="1" applyAlignment="1">
      <alignment horizontal="center" vertical="center"/>
    </xf>
    <xf numFmtId="164" fontId="14" fillId="7" borderId="0" xfId="0" applyFont="1" applyFill="1" applyAlignment="1">
      <alignment horizontal="left" vertical="center" indent="1"/>
    </xf>
    <xf numFmtId="164" fontId="14" fillId="7" borderId="0" xfId="0" applyFont="1" applyFill="1"/>
    <xf numFmtId="169" fontId="14" fillId="7" borderId="0" xfId="0" applyNumberFormat="1" applyFont="1" applyFill="1" applyAlignment="1">
      <alignment horizontal="center" vertical="center"/>
    </xf>
    <xf numFmtId="164" fontId="4" fillId="8" borderId="11" xfId="0" applyFont="1" applyFill="1" applyBorder="1"/>
    <xf numFmtId="170" fontId="4" fillId="8" borderId="12" xfId="0" applyNumberFormat="1" applyFont="1" applyFill="1" applyBorder="1"/>
    <xf numFmtId="164" fontId="6" fillId="5" borderId="0" xfId="0" applyFont="1" applyFill="1"/>
    <xf numFmtId="164" fontId="7" fillId="5" borderId="0" xfId="0" applyFont="1" applyFill="1"/>
    <xf numFmtId="168" fontId="15" fillId="6" borderId="8" xfId="0" applyNumberFormat="1" applyFont="1" applyFill="1" applyBorder="1" applyAlignment="1">
      <alignment horizontal="center" vertical="center"/>
    </xf>
    <xf numFmtId="164" fontId="16" fillId="7" borderId="0" xfId="0" applyFont="1" applyFill="1" applyAlignment="1">
      <alignment horizontal="left" vertical="center" indent="1"/>
    </xf>
    <xf numFmtId="164" fontId="16" fillId="7" borderId="0" xfId="0" applyFont="1" applyFill="1"/>
    <xf numFmtId="169" fontId="16" fillId="7" borderId="0" xfId="0" applyNumberFormat="1" applyFont="1" applyFill="1" applyAlignment="1">
      <alignment horizontal="center" vertical="center"/>
    </xf>
    <xf numFmtId="164" fontId="4" fillId="8" borderId="13" xfId="0" applyFont="1" applyFill="1" applyBorder="1"/>
    <xf numFmtId="169" fontId="17" fillId="8" borderId="14" xfId="0" applyNumberFormat="1" applyFont="1" applyFill="1" applyBorder="1" applyAlignment="1">
      <alignment horizontal="right" vertical="center"/>
    </xf>
    <xf numFmtId="10" fontId="0" fillId="0" borderId="0" xfId="0" applyNumberFormat="1"/>
    <xf numFmtId="164" fontId="8" fillId="0" borderId="0" xfId="0" applyFont="1"/>
    <xf numFmtId="172" fontId="8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0" borderId="15" xfId="0" applyNumberFormat="1" applyFont="1" applyBorder="1" applyAlignment="1">
      <alignment horizontal="center"/>
    </xf>
    <xf numFmtId="173" fontId="10" fillId="0" borderId="15" xfId="0" applyNumberFormat="1" applyFont="1" applyBorder="1" applyAlignment="1">
      <alignment horizontal="center"/>
    </xf>
    <xf numFmtId="173" fontId="10" fillId="0" borderId="0" xfId="0" applyNumberFormat="1" applyFont="1" applyAlignment="1">
      <alignment horizontal="center"/>
    </xf>
    <xf numFmtId="173" fontId="6" fillId="5" borderId="0" xfId="0" applyNumberFormat="1" applyFont="1" applyFill="1" applyAlignment="1">
      <alignment horizontal="center"/>
    </xf>
    <xf numFmtId="164" fontId="6" fillId="0" borderId="0" xfId="0" applyFont="1"/>
    <xf numFmtId="173" fontId="6" fillId="0" borderId="0" xfId="0" applyNumberFormat="1" applyFont="1" applyAlignment="1">
      <alignment horizontal="center"/>
    </xf>
    <xf numFmtId="173" fontId="6" fillId="0" borderId="15" xfId="0" applyNumberFormat="1" applyFont="1" applyBorder="1" applyAlignment="1">
      <alignment horizontal="center"/>
    </xf>
    <xf numFmtId="168" fontId="0" fillId="0" borderId="0" xfId="0" applyNumberFormat="1"/>
    <xf numFmtId="168" fontId="8" fillId="0" borderId="0" xfId="0" applyNumberFormat="1" applyFont="1" applyAlignment="1">
      <alignment horizontal="center"/>
    </xf>
    <xf numFmtId="168" fontId="8" fillId="0" borderId="15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175" fontId="0" fillId="0" borderId="0" xfId="0" applyNumberFormat="1"/>
    <xf numFmtId="175" fontId="10" fillId="0" borderId="0" xfId="0" applyNumberFormat="1" applyFont="1" applyAlignment="1">
      <alignment horizontal="left" indent="1"/>
    </xf>
    <xf numFmtId="175" fontId="10" fillId="0" borderId="0" xfId="0" applyNumberFormat="1" applyFont="1" applyAlignment="1">
      <alignment horizontal="left" indent="3"/>
    </xf>
    <xf numFmtId="168" fontId="10" fillId="0" borderId="0" xfId="0" applyNumberFormat="1" applyFont="1" applyAlignment="1">
      <alignment horizontal="center"/>
    </xf>
    <xf numFmtId="168" fontId="10" fillId="0" borderId="15" xfId="0" applyNumberFormat="1" applyFont="1" applyBorder="1" applyAlignment="1">
      <alignment horizontal="center"/>
    </xf>
    <xf numFmtId="175" fontId="10" fillId="9" borderId="0" xfId="0" applyNumberFormat="1" applyFont="1" applyFill="1" applyAlignment="1">
      <alignment horizontal="center"/>
    </xf>
    <xf numFmtId="175" fontId="10" fillId="0" borderId="0" xfId="0" applyNumberFormat="1" applyFont="1"/>
    <xf numFmtId="175" fontId="10" fillId="0" borderId="0" xfId="0" applyNumberFormat="1" applyFont="1" applyAlignment="1">
      <alignment horizontal="left" indent="2"/>
    </xf>
    <xf numFmtId="175" fontId="10" fillId="0" borderId="0" xfId="0" applyNumberFormat="1" applyFont="1" applyAlignment="1">
      <alignment horizontal="left" indent="4"/>
    </xf>
    <xf numFmtId="175" fontId="10" fillId="9" borderId="15" xfId="0" applyNumberFormat="1" applyFont="1" applyFill="1" applyBorder="1" applyAlignment="1">
      <alignment horizontal="center"/>
    </xf>
    <xf numFmtId="1" fontId="8" fillId="6" borderId="16" xfId="0" applyNumberFormat="1" applyFont="1" applyFill="1" applyBorder="1" applyAlignment="1">
      <alignment horizontal="center"/>
    </xf>
    <xf numFmtId="1" fontId="18" fillId="6" borderId="16" xfId="0" applyNumberFormat="1" applyFont="1" applyFill="1" applyBorder="1" applyAlignment="1">
      <alignment horizontal="center"/>
    </xf>
    <xf numFmtId="164" fontId="10" fillId="0" borderId="0" xfId="0" applyFont="1" applyAlignment="1">
      <alignment horizontal="left" indent="3"/>
    </xf>
    <xf numFmtId="1" fontId="8" fillId="6" borderId="8" xfId="0" applyNumberFormat="1" applyFont="1" applyFill="1" applyBorder="1" applyAlignment="1">
      <alignment horizontal="center"/>
    </xf>
    <xf numFmtId="174" fontId="10" fillId="0" borderId="0" xfId="0" applyNumberFormat="1" applyFont="1" applyAlignment="1">
      <alignment horizontal="center"/>
    </xf>
    <xf numFmtId="174" fontId="10" fillId="0" borderId="15" xfId="0" applyNumberFormat="1" applyFont="1" applyBorder="1" applyAlignment="1">
      <alignment horizontal="center"/>
    </xf>
    <xf numFmtId="176" fontId="8" fillId="6" borderId="16" xfId="0" applyNumberFormat="1" applyFont="1" applyFill="1" applyBorder="1" applyAlignment="1">
      <alignment horizontal="center"/>
    </xf>
    <xf numFmtId="174" fontId="8" fillId="0" borderId="0" xfId="0" applyNumberFormat="1" applyFont="1" applyAlignment="1">
      <alignment horizontal="center"/>
    </xf>
    <xf numFmtId="174" fontId="8" fillId="0" borderId="15" xfId="0" applyNumberFormat="1" applyFont="1" applyBorder="1" applyAlignment="1">
      <alignment horizontal="center"/>
    </xf>
    <xf numFmtId="176" fontId="8" fillId="10" borderId="16" xfId="0" applyNumberFormat="1" applyFont="1" applyFill="1" applyBorder="1" applyAlignment="1">
      <alignment horizontal="center"/>
    </xf>
    <xf numFmtId="176" fontId="8" fillId="10" borderId="8" xfId="0" applyNumberFormat="1" applyFont="1" applyFill="1" applyBorder="1" applyAlignment="1">
      <alignment horizontal="center"/>
    </xf>
    <xf numFmtId="177" fontId="9" fillId="0" borderId="0" xfId="0" applyNumberFormat="1" applyFont="1" applyAlignment="1">
      <alignment horizontal="center"/>
    </xf>
    <xf numFmtId="177" fontId="10" fillId="0" borderId="0" xfId="0" applyNumberFormat="1" applyFont="1" applyAlignment="1">
      <alignment horizontal="center"/>
    </xf>
    <xf numFmtId="177" fontId="10" fillId="9" borderId="0" xfId="0" applyNumberFormat="1" applyFont="1" applyFill="1" applyAlignment="1">
      <alignment horizontal="center"/>
    </xf>
    <xf numFmtId="177" fontId="10" fillId="9" borderId="15" xfId="0" applyNumberFormat="1" applyFont="1" applyFill="1" applyBorder="1" applyAlignment="1">
      <alignment horizontal="center"/>
    </xf>
    <xf numFmtId="177" fontId="18" fillId="6" borderId="16" xfId="0" applyNumberFormat="1" applyFont="1" applyFill="1" applyBorder="1" applyAlignment="1">
      <alignment horizontal="center"/>
    </xf>
    <xf numFmtId="177" fontId="8" fillId="6" borderId="16" xfId="0" applyNumberFormat="1" applyFont="1" applyFill="1" applyBorder="1" applyAlignment="1">
      <alignment horizontal="center"/>
    </xf>
    <xf numFmtId="177" fontId="18" fillId="6" borderId="8" xfId="0" applyNumberFormat="1" applyFont="1" applyFill="1" applyBorder="1" applyAlignment="1">
      <alignment horizontal="center"/>
    </xf>
    <xf numFmtId="3" fontId="9" fillId="0" borderId="0" xfId="0" applyNumberFormat="1" applyFont="1" applyAlignment="1">
      <alignment horizontal="center"/>
    </xf>
    <xf numFmtId="176" fontId="18" fillId="6" borderId="16" xfId="0" applyNumberFormat="1" applyFont="1" applyFill="1" applyBorder="1" applyAlignment="1">
      <alignment horizontal="center"/>
    </xf>
    <xf numFmtId="174" fontId="9" fillId="0" borderId="0" xfId="0" applyNumberFormat="1" applyFont="1" applyAlignment="1">
      <alignment horizontal="center"/>
    </xf>
    <xf numFmtId="175" fontId="10" fillId="0" borderId="0" xfId="0" applyNumberFormat="1" applyFont="1" applyAlignment="1">
      <alignment horizontal="left"/>
    </xf>
    <xf numFmtId="164" fontId="15" fillId="0" borderId="0" xfId="0" applyFont="1" applyAlignment="1">
      <alignment horizontal="center"/>
    </xf>
    <xf numFmtId="164" fontId="15" fillId="0" borderId="15" xfId="0" applyFont="1" applyBorder="1" applyAlignment="1">
      <alignment horizontal="center"/>
    </xf>
    <xf numFmtId="168" fontId="4" fillId="0" borderId="0" xfId="0" applyNumberFormat="1" applyFont="1"/>
    <xf numFmtId="168" fontId="4" fillId="7" borderId="10" xfId="0" applyNumberFormat="1" applyFont="1" applyFill="1" applyBorder="1" applyAlignment="1">
      <alignment horizontal="left" indent="1"/>
    </xf>
    <xf numFmtId="168" fontId="4" fillId="7" borderId="10" xfId="0" applyNumberFormat="1" applyFont="1" applyFill="1" applyBorder="1"/>
    <xf numFmtId="168" fontId="4" fillId="7" borderId="10" xfId="0" applyNumberFormat="1" applyFont="1" applyFill="1" applyBorder="1" applyAlignment="1">
      <alignment horizontal="center"/>
    </xf>
    <xf numFmtId="168" fontId="4" fillId="7" borderId="17" xfId="0" applyNumberFormat="1" applyFont="1" applyFill="1" applyBorder="1" applyAlignment="1">
      <alignment horizontal="center"/>
    </xf>
    <xf numFmtId="174" fontId="4" fillId="7" borderId="10" xfId="0" applyNumberFormat="1" applyFont="1" applyFill="1" applyBorder="1" applyAlignment="1">
      <alignment horizontal="center"/>
    </xf>
    <xf numFmtId="168" fontId="9" fillId="0" borderId="0" xfId="0" applyNumberFormat="1" applyFont="1" applyAlignment="1">
      <alignment horizontal="left" indent="1"/>
    </xf>
    <xf numFmtId="168" fontId="0" fillId="0" borderId="0" xfId="0" applyNumberFormat="1" applyAlignment="1">
      <alignment horizontal="left" indent="2"/>
    </xf>
    <xf numFmtId="175" fontId="19" fillId="0" borderId="0" xfId="0" applyNumberFormat="1" applyFont="1" applyAlignment="1">
      <alignment horizontal="left" indent="1"/>
    </xf>
    <xf numFmtId="175" fontId="19" fillId="0" borderId="0" xfId="0" applyNumberFormat="1" applyFont="1" applyAlignment="1">
      <alignment horizontal="left" indent="2"/>
    </xf>
    <xf numFmtId="174" fontId="8" fillId="6" borderId="16" xfId="0" applyNumberFormat="1" applyFont="1" applyFill="1" applyBorder="1" applyAlignment="1">
      <alignment horizontal="center"/>
    </xf>
    <xf numFmtId="164" fontId="19" fillId="0" borderId="0" xfId="0" applyFont="1" applyAlignment="1">
      <alignment horizontal="left" indent="4"/>
    </xf>
    <xf numFmtId="168" fontId="0" fillId="0" borderId="0" xfId="0" applyNumberFormat="1" applyAlignment="1">
      <alignment horizontal="left"/>
    </xf>
    <xf numFmtId="174" fontId="18" fillId="6" borderId="16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left" indent="1"/>
    </xf>
    <xf numFmtId="164" fontId="10" fillId="0" borderId="0" xfId="0" applyFont="1" applyAlignment="1">
      <alignment horizontal="left" indent="4"/>
    </xf>
    <xf numFmtId="164" fontId="0" fillId="0" borderId="0" xfId="0" applyAlignment="1">
      <alignment horizontal="left" indent="1"/>
    </xf>
    <xf numFmtId="173" fontId="0" fillId="0" borderId="0" xfId="0" applyNumberFormat="1" applyAlignment="1">
      <alignment horizontal="center"/>
    </xf>
    <xf numFmtId="173" fontId="0" fillId="0" borderId="15" xfId="0" applyNumberFormat="1" applyBorder="1" applyAlignment="1">
      <alignment horizontal="center"/>
    </xf>
    <xf numFmtId="168" fontId="4" fillId="0" borderId="10" xfId="0" applyNumberFormat="1" applyFont="1" applyBorder="1" applyAlignment="1">
      <alignment horizontal="left" indent="1"/>
    </xf>
    <xf numFmtId="168" fontId="4" fillId="0" borderId="10" xfId="0" applyNumberFormat="1" applyFont="1" applyBorder="1"/>
    <xf numFmtId="168" fontId="4" fillId="0" borderId="10" xfId="0" applyNumberFormat="1" applyFont="1" applyBorder="1" applyAlignment="1">
      <alignment horizontal="center"/>
    </xf>
    <xf numFmtId="168" fontId="4" fillId="0" borderId="17" xfId="0" applyNumberFormat="1" applyFont="1" applyBorder="1" applyAlignment="1">
      <alignment horizontal="center"/>
    </xf>
    <xf numFmtId="174" fontId="4" fillId="0" borderId="10" xfId="0" applyNumberFormat="1" applyFont="1" applyBorder="1" applyAlignment="1">
      <alignment horizontal="center"/>
    </xf>
    <xf numFmtId="174" fontId="10" fillId="0" borderId="0" xfId="0" applyNumberFormat="1" applyFont="1"/>
    <xf numFmtId="174" fontId="10" fillId="0" borderId="0" xfId="0" applyNumberFormat="1" applyFont="1" applyAlignment="1">
      <alignment horizontal="left" indent="1"/>
    </xf>
    <xf numFmtId="174" fontId="10" fillId="0" borderId="0" xfId="0" applyNumberFormat="1" applyFont="1" applyAlignment="1">
      <alignment horizontal="left" indent="3"/>
    </xf>
    <xf numFmtId="174" fontId="0" fillId="0" borderId="0" xfId="0" applyNumberFormat="1"/>
    <xf numFmtId="174" fontId="10" fillId="9" borderId="0" xfId="0" applyNumberFormat="1" applyFont="1" applyFill="1" applyAlignment="1">
      <alignment horizontal="center"/>
    </xf>
    <xf numFmtId="168" fontId="4" fillId="0" borderId="0" xfId="0" applyNumberFormat="1" applyFont="1" applyAlignment="1">
      <alignment horizontal="center"/>
    </xf>
    <xf numFmtId="168" fontId="4" fillId="0" borderId="15" xfId="0" applyNumberFormat="1" applyFont="1" applyBorder="1" applyAlignment="1">
      <alignment horizontal="center"/>
    </xf>
    <xf numFmtId="174" fontId="4" fillId="0" borderId="0" xfId="0" applyNumberFormat="1" applyFont="1" applyAlignment="1">
      <alignment horizontal="center"/>
    </xf>
    <xf numFmtId="164" fontId="4" fillId="0" borderId="0" xfId="0" applyFont="1" applyAlignment="1">
      <alignment horizontal="center"/>
    </xf>
    <xf numFmtId="164" fontId="4" fillId="0" borderId="15" xfId="0" applyFont="1" applyBorder="1" applyAlignment="1">
      <alignment horizontal="center"/>
    </xf>
    <xf numFmtId="164" fontId="0" fillId="0" borderId="0" xfId="0" applyAlignment="1">
      <alignment horizontal="left"/>
    </xf>
    <xf numFmtId="174" fontId="10" fillId="0" borderId="0" xfId="0" applyNumberFormat="1" applyFont="1" applyAlignment="1">
      <alignment horizontal="left"/>
    </xf>
    <xf numFmtId="174" fontId="10" fillId="0" borderId="0" xfId="0" applyNumberFormat="1" applyFont="1" applyAlignment="1">
      <alignment horizontal="left" indent="4"/>
    </xf>
    <xf numFmtId="174" fontId="10" fillId="9" borderId="15" xfId="0" applyNumberFormat="1" applyFont="1" applyFill="1" applyBorder="1" applyAlignment="1">
      <alignment horizontal="center"/>
    </xf>
    <xf numFmtId="174" fontId="19" fillId="6" borderId="16" xfId="0" applyNumberFormat="1" applyFont="1" applyFill="1" applyBorder="1" applyAlignment="1">
      <alignment horizontal="center"/>
    </xf>
    <xf numFmtId="175" fontId="8" fillId="6" borderId="8" xfId="0" applyNumberFormat="1" applyFont="1" applyFill="1" applyBorder="1" applyAlignment="1">
      <alignment horizontal="center"/>
    </xf>
    <xf numFmtId="175" fontId="18" fillId="0" borderId="0" xfId="0" applyNumberFormat="1" applyFont="1" applyAlignment="1">
      <alignment horizontal="center"/>
    </xf>
    <xf numFmtId="170" fontId="19" fillId="0" borderId="0" xfId="0" applyNumberFormat="1" applyFont="1" applyAlignment="1">
      <alignment horizontal="center"/>
    </xf>
    <xf numFmtId="170" fontId="19" fillId="0" borderId="15" xfId="0" applyNumberFormat="1" applyFont="1" applyBorder="1" applyAlignment="1">
      <alignment horizontal="center"/>
    </xf>
    <xf numFmtId="170" fontId="19" fillId="0" borderId="18" xfId="0" applyNumberFormat="1" applyFont="1" applyBorder="1" applyAlignment="1">
      <alignment horizontal="center"/>
    </xf>
    <xf numFmtId="170" fontId="19" fillId="0" borderId="6" xfId="0" applyNumberFormat="1" applyFont="1" applyBorder="1" applyAlignment="1">
      <alignment horizontal="center"/>
    </xf>
    <xf numFmtId="168" fontId="15" fillId="6" borderId="19" xfId="0" applyNumberFormat="1" applyFont="1" applyFill="1" applyBorder="1" applyAlignment="1">
      <alignment horizontal="center"/>
    </xf>
    <xf numFmtId="164" fontId="4" fillId="7" borderId="10" xfId="0" applyFont="1" applyFill="1" applyBorder="1" applyAlignment="1">
      <alignment horizontal="left" indent="1"/>
    </xf>
    <xf numFmtId="174" fontId="10" fillId="9" borderId="10" xfId="0" applyNumberFormat="1" applyFont="1" applyFill="1" applyBorder="1" applyAlignment="1">
      <alignment horizontal="center"/>
    </xf>
    <xf numFmtId="164" fontId="20" fillId="0" borderId="0" xfId="0" applyFont="1"/>
    <xf numFmtId="168" fontId="0" fillId="0" borderId="8" xfId="0" applyNumberFormat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75" fontId="10" fillId="9" borderId="10" xfId="0" applyNumberFormat="1" applyFont="1" applyFill="1" applyBorder="1" applyAlignment="1">
      <alignment horizontal="center"/>
    </xf>
    <xf numFmtId="175" fontId="10" fillId="9" borderId="17" xfId="0" applyNumberFormat="1" applyFont="1" applyFill="1" applyBorder="1" applyAlignment="1">
      <alignment horizontal="center"/>
    </xf>
    <xf numFmtId="168" fontId="0" fillId="0" borderId="9" xfId="0" applyNumberFormat="1" applyBorder="1" applyAlignment="1">
      <alignment horizontal="left" indent="1"/>
    </xf>
    <xf numFmtId="168" fontId="9" fillId="0" borderId="9" xfId="0" applyNumberFormat="1" applyFont="1" applyBorder="1" applyAlignment="1">
      <alignment horizontal="center"/>
    </xf>
    <xf numFmtId="168" fontId="9" fillId="0" borderId="20" xfId="0" applyNumberFormat="1" applyFont="1" applyBorder="1" applyAlignment="1">
      <alignment horizontal="center"/>
    </xf>
    <xf numFmtId="174" fontId="10" fillId="9" borderId="9" xfId="0" applyNumberFormat="1" applyFont="1" applyFill="1" applyBorder="1" applyAlignment="1">
      <alignment horizontal="center"/>
    </xf>
    <xf numFmtId="164" fontId="21" fillId="0" borderId="0" xfId="0" applyFont="1"/>
    <xf numFmtId="173" fontId="21" fillId="0" borderId="0" xfId="0" applyNumberFormat="1" applyFont="1" applyAlignment="1">
      <alignment horizontal="center"/>
    </xf>
    <xf numFmtId="173" fontId="21" fillId="0" borderId="15" xfId="0" applyNumberFormat="1" applyFont="1" applyBorder="1" applyAlignment="1">
      <alignment horizontal="center"/>
    </xf>
    <xf numFmtId="168" fontId="10" fillId="0" borderId="0" xfId="0" applyNumberFormat="1" applyFont="1"/>
    <xf numFmtId="168" fontId="10" fillId="0" borderId="0" xfId="0" applyNumberFormat="1" applyFont="1" applyAlignment="1">
      <alignment horizontal="left" indent="1"/>
    </xf>
    <xf numFmtId="168" fontId="19" fillId="0" borderId="0" xfId="0" applyNumberFormat="1" applyFont="1" applyAlignment="1">
      <alignment horizontal="center"/>
    </xf>
    <xf numFmtId="168" fontId="19" fillId="0" borderId="15" xfId="0" applyNumberFormat="1" applyFont="1" applyBorder="1" applyAlignment="1">
      <alignment horizontal="center"/>
    </xf>
    <xf numFmtId="168" fontId="8" fillId="6" borderId="16" xfId="0" applyNumberFormat="1" applyFont="1" applyFill="1" applyBorder="1" applyAlignment="1">
      <alignment horizontal="center"/>
    </xf>
    <xf numFmtId="168" fontId="18" fillId="6" borderId="8" xfId="0" applyNumberFormat="1" applyFont="1" applyFill="1" applyBorder="1" applyAlignment="1">
      <alignment horizontal="center"/>
    </xf>
    <xf numFmtId="164" fontId="4" fillId="11" borderId="21" xfId="0" applyFont="1" applyFill="1" applyBorder="1"/>
    <xf numFmtId="164" fontId="5" fillId="11" borderId="21" xfId="0" applyFont="1" applyFill="1" applyBorder="1"/>
    <xf numFmtId="164" fontId="0" fillId="9" borderId="0" xfId="0" applyFill="1" applyAlignment="1">
      <alignment horizontal="center"/>
    </xf>
    <xf numFmtId="168" fontId="9" fillId="0" borderId="22" xfId="0" applyNumberFormat="1" applyFont="1" applyBorder="1" applyAlignment="1">
      <alignment horizontal="center"/>
    </xf>
    <xf numFmtId="164" fontId="0" fillId="9" borderId="23" xfId="0" applyFill="1" applyBorder="1" applyAlignment="1">
      <alignment horizontal="center"/>
    </xf>
    <xf numFmtId="164" fontId="4" fillId="0" borderId="10" xfId="0" applyFont="1" applyBorder="1" applyAlignment="1">
      <alignment horizontal="left" indent="1"/>
    </xf>
    <xf numFmtId="164" fontId="4" fillId="0" borderId="10" xfId="0" applyFont="1" applyBorder="1"/>
    <xf numFmtId="164" fontId="4" fillId="9" borderId="10" xfId="0" applyFont="1" applyFill="1" applyBorder="1" applyAlignment="1">
      <alignment horizontal="center"/>
    </xf>
    <xf numFmtId="168" fontId="17" fillId="0" borderId="24" xfId="0" applyNumberFormat="1" applyFont="1" applyBorder="1" applyAlignment="1">
      <alignment horizontal="center"/>
    </xf>
    <xf numFmtId="164" fontId="0" fillId="0" borderId="2" xfId="0" applyBorder="1"/>
    <xf numFmtId="164" fontId="0" fillId="0" borderId="3" xfId="0" applyBorder="1"/>
    <xf numFmtId="164" fontId="0" fillId="0" borderId="3" xfId="0" applyBorder="1" applyAlignment="1">
      <alignment horizontal="center"/>
    </xf>
    <xf numFmtId="164" fontId="0" fillId="0" borderId="25" xfId="0" applyBorder="1" applyAlignment="1">
      <alignment horizontal="center"/>
    </xf>
    <xf numFmtId="168" fontId="9" fillId="0" borderId="3" xfId="0" applyNumberFormat="1" applyFont="1" applyBorder="1" applyAlignment="1">
      <alignment horizontal="center"/>
    </xf>
    <xf numFmtId="168" fontId="9" fillId="0" borderId="4" xfId="0" applyNumberFormat="1" applyFont="1" applyBorder="1" applyAlignment="1">
      <alignment horizontal="center"/>
    </xf>
    <xf numFmtId="168" fontId="0" fillId="9" borderId="0" xfId="0" applyNumberFormat="1" applyFill="1" applyAlignment="1">
      <alignment horizontal="center"/>
    </xf>
    <xf numFmtId="168" fontId="0" fillId="9" borderId="15" xfId="0" applyNumberFormat="1" applyFill="1" applyBorder="1" applyAlignment="1">
      <alignment horizontal="center"/>
    </xf>
    <xf numFmtId="168" fontId="4" fillId="9" borderId="10" xfId="0" applyNumberFormat="1" applyFont="1" applyFill="1" applyBorder="1" applyAlignment="1">
      <alignment horizontal="center"/>
    </xf>
    <xf numFmtId="168" fontId="4" fillId="9" borderId="17" xfId="0" applyNumberFormat="1" applyFont="1" applyFill="1" applyBorder="1" applyAlignment="1">
      <alignment horizontal="center"/>
    </xf>
    <xf numFmtId="178" fontId="5" fillId="0" borderId="0" xfId="0" applyNumberFormat="1" applyFont="1" applyAlignment="1">
      <alignment horizontal="center"/>
    </xf>
    <xf numFmtId="179" fontId="8" fillId="0" borderId="26" xfId="0" applyNumberFormat="1" applyFont="1" applyBorder="1" applyAlignment="1">
      <alignment horizontal="center"/>
    </xf>
    <xf numFmtId="180" fontId="8" fillId="6" borderId="8" xfId="0" applyNumberFormat="1" applyFont="1" applyFill="1" applyBorder="1" applyAlignment="1">
      <alignment horizontal="center"/>
    </xf>
    <xf numFmtId="179" fontId="0" fillId="0" borderId="0" xfId="0" applyNumberFormat="1"/>
    <xf numFmtId="164" fontId="9" fillId="6" borderId="27" xfId="0" applyFont="1" applyFill="1" applyBorder="1" applyAlignment="1">
      <alignment horizontal="center"/>
    </xf>
    <xf numFmtId="164" fontId="9" fillId="6" borderId="7" xfId="0" applyFont="1" applyFill="1" applyBorder="1" applyAlignment="1">
      <alignment horizontal="center"/>
    </xf>
    <xf numFmtId="178" fontId="5" fillId="0" borderId="10" xfId="0" applyNumberFormat="1" applyFont="1" applyBorder="1" applyAlignment="1">
      <alignment horizontal="center"/>
    </xf>
    <xf numFmtId="168" fontId="17" fillId="0" borderId="28" xfId="0" applyNumberFormat="1" applyFont="1" applyBorder="1" applyAlignment="1">
      <alignment horizontal="center"/>
    </xf>
    <xf numFmtId="168" fontId="17" fillId="0" borderId="10" xfId="0" applyNumberFormat="1" applyFont="1" applyBorder="1" applyAlignment="1">
      <alignment horizontal="center"/>
    </xf>
    <xf numFmtId="168" fontId="0" fillId="0" borderId="15" xfId="0" applyNumberFormat="1" applyBorder="1" applyAlignment="1">
      <alignment horizontal="center"/>
    </xf>
    <xf numFmtId="179" fontId="19" fillId="0" borderId="26" xfId="0" applyNumberFormat="1" applyFont="1" applyBorder="1" applyAlignment="1">
      <alignment horizontal="center"/>
    </xf>
    <xf numFmtId="164" fontId="0" fillId="0" borderId="15" xfId="0" applyBorder="1"/>
    <xf numFmtId="169" fontId="9" fillId="0" borderId="0" xfId="0" applyNumberFormat="1" applyFont="1" applyAlignment="1">
      <alignment horizontal="center"/>
    </xf>
    <xf numFmtId="168" fontId="4" fillId="9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164" fontId="6" fillId="5" borderId="15" xfId="0" applyFont="1" applyFill="1" applyBorder="1"/>
    <xf numFmtId="164" fontId="9" fillId="0" borderId="0" xfId="0" applyFont="1"/>
    <xf numFmtId="168" fontId="9" fillId="9" borderId="5" xfId="0" applyNumberFormat="1" applyFont="1" applyFill="1" applyBorder="1" applyAlignment="1">
      <alignment horizontal="center"/>
    </xf>
    <xf numFmtId="169" fontId="9" fillId="0" borderId="29" xfId="0" applyNumberFormat="1" applyFont="1" applyBorder="1" applyAlignment="1">
      <alignment horizontal="center"/>
    </xf>
    <xf numFmtId="169" fontId="8" fillId="6" borderId="30" xfId="0" applyNumberFormat="1" applyFont="1" applyFill="1" applyBorder="1" applyAlignment="1">
      <alignment horizontal="center"/>
    </xf>
    <xf numFmtId="169" fontId="9" fillId="0" borderId="7" xfId="0" applyNumberFormat="1" applyFont="1" applyBorder="1" applyAlignment="1">
      <alignment horizontal="center"/>
    </xf>
    <xf numFmtId="168" fontId="0" fillId="9" borderId="5" xfId="0" applyNumberFormat="1" applyFill="1" applyBorder="1" applyAlignment="1">
      <alignment horizontal="center"/>
    </xf>
    <xf numFmtId="164" fontId="0" fillId="7" borderId="10" xfId="0" applyFill="1" applyBorder="1"/>
    <xf numFmtId="168" fontId="0" fillId="9" borderId="10" xfId="0" applyNumberFormat="1" applyFill="1" applyBorder="1" applyAlignment="1">
      <alignment horizontal="center"/>
    </xf>
    <xf numFmtId="164" fontId="4" fillId="0" borderId="9" xfId="0" applyFont="1" applyBorder="1"/>
    <xf numFmtId="168" fontId="4" fillId="9" borderId="9" xfId="0" applyNumberFormat="1" applyFont="1" applyFill="1" applyBorder="1" applyAlignment="1">
      <alignment horizontal="center"/>
    </xf>
    <xf numFmtId="168" fontId="4" fillId="0" borderId="20" xfId="0" applyNumberFormat="1" applyFont="1" applyBorder="1" applyAlignment="1">
      <alignment horizontal="center"/>
    </xf>
    <xf numFmtId="168" fontId="4" fillId="0" borderId="9" xfId="0" applyNumberFormat="1" applyFont="1" applyBorder="1" applyAlignment="1">
      <alignment horizontal="center"/>
    </xf>
    <xf numFmtId="15" fontId="9" fillId="0" borderId="8" xfId="0" applyNumberFormat="1" applyFont="1" applyBorder="1" applyAlignment="1">
      <alignment horizontal="center" vertical="center"/>
    </xf>
    <xf numFmtId="164" fontId="4" fillId="2" borderId="11" xfId="0" applyFont="1" applyFill="1" applyBorder="1"/>
    <xf numFmtId="164" fontId="4" fillId="2" borderId="10" xfId="0" applyFont="1" applyFill="1" applyBorder="1"/>
    <xf numFmtId="170" fontId="4" fillId="2" borderId="31" xfId="0" applyNumberFormat="1" applyFont="1" applyFill="1" applyBorder="1" applyAlignment="1">
      <alignment horizontal="center"/>
    </xf>
    <xf numFmtId="164" fontId="4" fillId="2" borderId="32" xfId="0" applyFont="1" applyFill="1" applyBorder="1"/>
    <xf numFmtId="164" fontId="4" fillId="2" borderId="0" xfId="0" applyFont="1" applyFill="1"/>
    <xf numFmtId="169" fontId="4" fillId="2" borderId="33" xfId="0" applyNumberFormat="1" applyFont="1" applyFill="1" applyBorder="1" applyAlignment="1">
      <alignment horizontal="center"/>
    </xf>
    <xf numFmtId="164" fontId="4" fillId="2" borderId="34" xfId="0" applyFont="1" applyFill="1" applyBorder="1"/>
    <xf numFmtId="164" fontId="4" fillId="2" borderId="35" xfId="0" applyFont="1" applyFill="1" applyBorder="1"/>
    <xf numFmtId="168" fontId="4" fillId="2" borderId="36" xfId="0" applyNumberFormat="1" applyFont="1" applyFill="1" applyBorder="1" applyAlignment="1">
      <alignment horizontal="center"/>
    </xf>
    <xf numFmtId="164" fontId="11" fillId="0" borderId="0" xfId="0" applyFont="1"/>
    <xf numFmtId="168" fontId="11" fillId="0" borderId="0" xfId="0" applyNumberFormat="1" applyFont="1"/>
  </cellXfs>
  <cellStyles count="3">
    <cellStyle name="I" xfId="1" xr:uid="{00000000-0005-0000-0000-000006000000}"/>
    <cellStyle name="Multiple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7000"/>
      <rgbColor rgb="FF000080"/>
      <rgbColor rgb="FF808000"/>
      <rgbColor rgb="FF800080"/>
      <rgbColor rgb="FF007D55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7E7"/>
      <rgbColor rgb="FFCCFFCC"/>
      <rgbColor rgb="FFFFFFD2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rgbClr val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</a:schemeClr>
        </a:solidFill>
      </a:fillStyleLst>
      <a:lnStyleLst>
        <a:ln w="9525" cap="flat" cmpd="sng" algn="ctr">
          <a:prstDash val="solid"/>
        </a:ln>
        <a:ln w="10795" cap="flat" cmpd="sng" algn="ctr">
          <a:prstDash val="solid"/>
        </a:ln>
        <a:ln w="17145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showGridLines="0" view="pageBreakPreview" topLeftCell="A15" zoomScale="90" zoomScaleNormal="100" zoomScalePageLayoutView="90" workbookViewId="0">
      <selection activeCell="A35" sqref="A35"/>
    </sheetView>
  </sheetViews>
  <sheetFormatPr defaultColWidth="8.5703125" defaultRowHeight="14.25" x14ac:dyDescent="0.25"/>
  <cols>
    <col min="1" max="3" width="1.7109375" style="3" customWidth="1"/>
    <col min="4" max="12" width="9.28515625" style="3" customWidth="1"/>
    <col min="13" max="13" width="1.7109375" style="3" customWidth="1"/>
  </cols>
  <sheetData>
    <row r="1" spans="3:12" ht="9" customHeight="1" x14ac:dyDescent="0.25">
      <c r="G1" s="4"/>
      <c r="H1" s="4"/>
      <c r="I1" s="4"/>
      <c r="J1" s="4"/>
      <c r="K1" s="4"/>
      <c r="L1" s="4"/>
    </row>
    <row r="2" spans="3:12" ht="9" customHeight="1" x14ac:dyDescent="0.25"/>
    <row r="3" spans="3:12" ht="24" customHeight="1" x14ac:dyDescent="0.5">
      <c r="C3" s="5" t="s">
        <v>0</v>
      </c>
      <c r="D3" s="5"/>
      <c r="E3" s="5"/>
      <c r="F3" s="6"/>
      <c r="G3" s="4"/>
      <c r="H3" s="4"/>
      <c r="I3" s="4"/>
      <c r="J3" s="4"/>
      <c r="K3" s="4"/>
      <c r="L3" s="4"/>
    </row>
    <row r="4" spans="3:12" ht="3" customHeight="1" x14ac:dyDescent="0.25">
      <c r="G4" s="4"/>
      <c r="H4" s="4"/>
      <c r="I4" s="4"/>
      <c r="J4" s="4"/>
      <c r="K4" s="4"/>
      <c r="L4" s="4"/>
    </row>
    <row r="5" spans="3:12" ht="3" customHeight="1" x14ac:dyDescent="0.25">
      <c r="C5" s="7"/>
      <c r="D5" s="7"/>
      <c r="E5" s="7"/>
      <c r="F5" s="7"/>
      <c r="G5" s="8"/>
      <c r="H5" s="8"/>
      <c r="I5" s="8"/>
      <c r="J5" s="8"/>
      <c r="K5" s="8"/>
      <c r="L5" s="8"/>
    </row>
    <row r="6" spans="3:12" ht="14.25" customHeight="1" x14ac:dyDescent="0.25">
      <c r="G6" s="4"/>
      <c r="H6" s="4"/>
      <c r="I6" s="4"/>
      <c r="J6" s="4"/>
      <c r="K6" s="4"/>
      <c r="L6" s="4"/>
    </row>
    <row r="7" spans="3:12" ht="14.25" customHeight="1" x14ac:dyDescent="0.25">
      <c r="D7" s="9" t="s">
        <v>1</v>
      </c>
      <c r="G7" s="4"/>
      <c r="H7" s="4"/>
      <c r="I7" s="4"/>
      <c r="J7" s="4"/>
      <c r="K7" s="4"/>
      <c r="L7" s="4"/>
    </row>
    <row r="8" spans="3:12" ht="14.25" customHeight="1" x14ac:dyDescent="0.25">
      <c r="D8" t="s">
        <v>2</v>
      </c>
      <c r="G8" s="4"/>
      <c r="H8" s="4"/>
      <c r="I8" s="4"/>
      <c r="J8" s="4"/>
      <c r="K8" s="4"/>
      <c r="L8" s="4"/>
    </row>
    <row r="9" spans="3:12" ht="14.25" customHeight="1" x14ac:dyDescent="0.25">
      <c r="D9" t="s">
        <v>3</v>
      </c>
      <c r="G9" s="4"/>
      <c r="H9" s="4"/>
      <c r="I9" s="4"/>
      <c r="J9" s="4"/>
      <c r="K9" s="4"/>
      <c r="L9" s="4"/>
    </row>
    <row r="10" spans="3:12" ht="14.25" customHeight="1" x14ac:dyDescent="0.25">
      <c r="D10" t="s">
        <v>4</v>
      </c>
      <c r="G10" s="4"/>
      <c r="H10" s="4"/>
      <c r="I10" s="4"/>
      <c r="J10" s="4"/>
      <c r="K10" s="4"/>
      <c r="L10" s="4"/>
    </row>
    <row r="11" spans="3:12" ht="14.25" customHeight="1" x14ac:dyDescent="0.25">
      <c r="D11" t="s">
        <v>5</v>
      </c>
      <c r="G11" s="4"/>
      <c r="H11" s="4"/>
      <c r="I11" s="4"/>
      <c r="J11" s="4"/>
      <c r="K11" s="4"/>
      <c r="L11" s="4"/>
    </row>
    <row r="12" spans="3:12" ht="14.25" customHeight="1" x14ac:dyDescent="0.25">
      <c r="D12" t="s">
        <v>6</v>
      </c>
      <c r="G12" s="4"/>
      <c r="H12" s="4"/>
      <c r="I12" s="4"/>
      <c r="J12" s="4"/>
      <c r="K12" s="4"/>
      <c r="L12" s="4"/>
    </row>
    <row r="13" spans="3:12" ht="14.25" customHeight="1" x14ac:dyDescent="0.25">
      <c r="G13" s="4"/>
      <c r="H13" s="4"/>
      <c r="I13" s="4"/>
      <c r="J13" s="4"/>
      <c r="K13" s="4"/>
      <c r="L13" s="4"/>
    </row>
    <row r="14" spans="3:12" ht="14.25" customHeight="1" x14ac:dyDescent="0.25">
      <c r="D14" s="9" t="s">
        <v>7</v>
      </c>
      <c r="G14" s="4"/>
      <c r="H14" s="4"/>
      <c r="I14" s="4"/>
      <c r="J14" s="4"/>
      <c r="K14" s="4"/>
      <c r="L14" s="4"/>
    </row>
    <row r="15" spans="3:12" ht="14.25" customHeight="1" x14ac:dyDescent="0.25">
      <c r="D15" t="s">
        <v>8</v>
      </c>
      <c r="G15" s="4"/>
      <c r="H15" s="4"/>
      <c r="I15" s="4"/>
      <c r="J15" s="4"/>
      <c r="K15" s="4"/>
      <c r="L15" s="4"/>
    </row>
    <row r="16" spans="3:12" ht="14.25" customHeight="1" x14ac:dyDescent="0.25">
      <c r="D16" t="s">
        <v>9</v>
      </c>
      <c r="G16" s="4"/>
      <c r="H16" s="4"/>
      <c r="I16" s="4"/>
      <c r="J16" s="4"/>
      <c r="K16" s="4"/>
      <c r="L16" s="4"/>
    </row>
    <row r="17" spans="4:12" ht="14.25" customHeight="1" x14ac:dyDescent="0.25">
      <c r="D17" t="s">
        <v>10</v>
      </c>
      <c r="G17" s="4"/>
      <c r="H17" s="4"/>
      <c r="I17" s="4"/>
      <c r="J17" s="4"/>
      <c r="K17" s="4"/>
      <c r="L17" s="4"/>
    </row>
    <row r="18" spans="4:12" ht="14.25" customHeight="1" x14ac:dyDescent="0.25">
      <c r="D18" t="s">
        <v>11</v>
      </c>
      <c r="G18" s="4"/>
      <c r="H18" s="4"/>
      <c r="I18" s="4"/>
      <c r="J18" s="4"/>
      <c r="K18" s="4"/>
      <c r="L18" s="4"/>
    </row>
    <row r="19" spans="4:12" ht="14.25" customHeight="1" x14ac:dyDescent="0.25">
      <c r="D19" t="s">
        <v>12</v>
      </c>
      <c r="G19" s="4"/>
      <c r="H19" s="4"/>
      <c r="I19" s="4"/>
      <c r="J19" s="4"/>
      <c r="K19" s="4"/>
      <c r="L19" s="4"/>
    </row>
    <row r="20" spans="4:12" ht="14.25" customHeight="1" x14ac:dyDescent="0.25">
      <c r="D20" s="3" t="s">
        <v>13</v>
      </c>
      <c r="G20" s="4"/>
      <c r="H20" s="4"/>
      <c r="I20" s="4"/>
      <c r="J20" s="4"/>
      <c r="K20" s="4"/>
      <c r="L20" s="4"/>
    </row>
    <row r="21" spans="4:12" ht="14.25" customHeight="1" x14ac:dyDescent="0.25">
      <c r="D21" s="9" t="s">
        <v>14</v>
      </c>
      <c r="G21" s="4"/>
      <c r="H21" s="4"/>
      <c r="I21" s="4"/>
      <c r="J21" s="4"/>
      <c r="K21" s="4"/>
      <c r="L21" s="4"/>
    </row>
    <row r="22" spans="4:12" ht="14.25" customHeight="1" x14ac:dyDescent="0.25">
      <c r="D22" t="s">
        <v>15</v>
      </c>
      <c r="G22" s="4"/>
      <c r="H22" s="4"/>
      <c r="I22" s="4"/>
      <c r="J22" s="4"/>
      <c r="K22" s="4"/>
      <c r="L22" s="4"/>
    </row>
    <row r="23" spans="4:12" ht="14.25" customHeight="1" x14ac:dyDescent="0.25">
      <c r="D23" t="s">
        <v>16</v>
      </c>
      <c r="G23" s="4"/>
      <c r="H23" s="4"/>
      <c r="I23" s="4"/>
      <c r="J23" s="4"/>
      <c r="K23" s="4"/>
      <c r="L23" s="4"/>
    </row>
    <row r="24" spans="4:12" ht="14.25" customHeight="1" x14ac:dyDescent="0.25">
      <c r="D24" t="s">
        <v>17</v>
      </c>
      <c r="G24" s="4"/>
      <c r="H24" s="4"/>
      <c r="I24" s="4"/>
      <c r="J24" s="4"/>
      <c r="K24" s="4"/>
      <c r="L24" s="4"/>
    </row>
    <row r="25" spans="4:12" ht="14.25" customHeight="1" x14ac:dyDescent="0.25">
      <c r="D25" t="s">
        <v>18</v>
      </c>
      <c r="G25" s="4"/>
      <c r="H25" s="4"/>
      <c r="I25" s="4"/>
      <c r="J25" s="4"/>
      <c r="K25" s="4"/>
      <c r="L25" s="4"/>
    </row>
    <row r="26" spans="4:12" ht="14.25" customHeight="1" x14ac:dyDescent="0.25">
      <c r="D26" t="s">
        <v>19</v>
      </c>
      <c r="G26" s="4"/>
      <c r="H26" s="4"/>
      <c r="I26" s="4"/>
      <c r="J26" s="4"/>
      <c r="K26" s="4"/>
      <c r="L26" s="4"/>
    </row>
    <row r="27" spans="4:12" ht="14.25" customHeight="1" x14ac:dyDescent="0.25">
      <c r="G27" s="4"/>
      <c r="H27" s="4"/>
      <c r="I27" s="4"/>
      <c r="J27" s="4"/>
      <c r="K27" s="4"/>
      <c r="L27" s="4"/>
    </row>
    <row r="28" spans="4:12" ht="14.25" customHeight="1" x14ac:dyDescent="0.25">
      <c r="D28" s="9" t="s">
        <v>20</v>
      </c>
      <c r="G28" s="4"/>
      <c r="H28" s="4"/>
      <c r="I28" s="4"/>
      <c r="J28" s="4"/>
      <c r="K28" s="4"/>
      <c r="L28" s="4"/>
    </row>
    <row r="29" spans="4:12" ht="14.25" customHeight="1" x14ac:dyDescent="0.25">
      <c r="D29" t="s">
        <v>21</v>
      </c>
      <c r="G29" s="4"/>
      <c r="H29" s="4"/>
      <c r="I29" s="4"/>
      <c r="J29" s="4"/>
      <c r="K29" s="4"/>
      <c r="L29" s="4"/>
    </row>
    <row r="30" spans="4:12" ht="14.25" customHeight="1" x14ac:dyDescent="0.25">
      <c r="D30" t="s">
        <v>22</v>
      </c>
      <c r="G30" s="4"/>
      <c r="H30" s="4"/>
      <c r="I30" s="4"/>
      <c r="J30" s="4"/>
      <c r="K30" s="4"/>
      <c r="L30" s="4"/>
    </row>
    <row r="31" spans="4:12" ht="14.25" customHeight="1" x14ac:dyDescent="0.25">
      <c r="D31" t="s">
        <v>23</v>
      </c>
      <c r="G31" s="4"/>
      <c r="H31" s="4"/>
      <c r="I31" s="4"/>
      <c r="J31" s="4"/>
      <c r="K31" s="4"/>
      <c r="L31" s="4"/>
    </row>
    <row r="32" spans="4:12" ht="14.25" customHeight="1" x14ac:dyDescent="0.25">
      <c r="D32" t="s">
        <v>24</v>
      </c>
      <c r="G32" s="4"/>
      <c r="H32" s="4"/>
      <c r="I32" s="4"/>
      <c r="J32" s="4"/>
      <c r="K32" s="4"/>
      <c r="L32" s="4"/>
    </row>
    <row r="33" spans="4:12" ht="14.25" customHeight="1" x14ac:dyDescent="0.25">
      <c r="D33" s="3" t="s">
        <v>25</v>
      </c>
      <c r="G33" s="4"/>
      <c r="H33" s="4"/>
      <c r="I33" s="4"/>
      <c r="J33" s="4"/>
      <c r="K33" s="4"/>
      <c r="L33" s="4"/>
    </row>
    <row r="34" spans="4:12" ht="14.25" customHeight="1" x14ac:dyDescent="0.25">
      <c r="D34" s="9" t="s">
        <v>26</v>
      </c>
      <c r="G34" s="4"/>
      <c r="H34" s="4"/>
      <c r="I34" s="4"/>
      <c r="J34" s="4"/>
      <c r="K34" s="4"/>
      <c r="L34" s="4"/>
    </row>
    <row r="35" spans="4:12" ht="14.25" customHeight="1" x14ac:dyDescent="0.25">
      <c r="D35" t="s">
        <v>27</v>
      </c>
      <c r="G35" s="4"/>
      <c r="H35" s="4"/>
      <c r="I35" s="4"/>
      <c r="J35" s="4"/>
      <c r="K35" s="4"/>
      <c r="L35" s="4"/>
    </row>
    <row r="36" spans="4:12" ht="14.25" customHeight="1" x14ac:dyDescent="0.25">
      <c r="D36" t="s">
        <v>28</v>
      </c>
      <c r="G36" s="4"/>
      <c r="H36" s="4"/>
      <c r="I36" s="4"/>
      <c r="J36" s="4"/>
      <c r="K36" s="4"/>
      <c r="L36" s="4"/>
    </row>
    <row r="37" spans="4:12" ht="14.25" customHeight="1" x14ac:dyDescent="0.25">
      <c r="D37" t="s">
        <v>29</v>
      </c>
      <c r="G37" s="4"/>
      <c r="H37" s="4"/>
      <c r="I37" s="4"/>
      <c r="J37" s="4"/>
      <c r="K37" s="4"/>
      <c r="L37" s="4"/>
    </row>
    <row r="38" spans="4:12" ht="14.25" customHeight="1" x14ac:dyDescent="0.25">
      <c r="D38" t="s">
        <v>30</v>
      </c>
      <c r="G38" s="4"/>
      <c r="H38" s="4"/>
      <c r="I38" s="4"/>
      <c r="J38" s="4"/>
      <c r="K38" s="4"/>
      <c r="L38" s="4"/>
    </row>
    <row r="39" spans="4:12" ht="14.25" customHeight="1" x14ac:dyDescent="0.25">
      <c r="D39" s="3" t="s">
        <v>31</v>
      </c>
      <c r="G39" s="4"/>
      <c r="H39" s="4"/>
      <c r="I39" s="4"/>
      <c r="J39" s="4"/>
      <c r="K39" s="4"/>
      <c r="L39" s="4"/>
    </row>
    <row r="40" spans="4:12" ht="14.25" customHeight="1" x14ac:dyDescent="0.25">
      <c r="D40" s="9" t="s">
        <v>32</v>
      </c>
      <c r="G40" s="4"/>
      <c r="H40" s="4"/>
      <c r="I40" s="4"/>
      <c r="J40" s="4"/>
      <c r="K40" s="4"/>
      <c r="L40" s="4"/>
    </row>
    <row r="41" spans="4:12" ht="14.25" customHeight="1" x14ac:dyDescent="0.25">
      <c r="D41" t="s">
        <v>33</v>
      </c>
      <c r="G41" s="4"/>
      <c r="H41" s="4"/>
      <c r="I41" s="4"/>
      <c r="J41" s="4"/>
      <c r="K41" s="4"/>
      <c r="L41" s="4"/>
    </row>
    <row r="42" spans="4:12" ht="14.25" customHeight="1" x14ac:dyDescent="0.25">
      <c r="D42" t="s">
        <v>34</v>
      </c>
      <c r="G42" s="4"/>
      <c r="H42" s="4"/>
      <c r="I42" s="4"/>
      <c r="J42" s="4"/>
      <c r="K42" s="4"/>
      <c r="L42" s="4"/>
    </row>
    <row r="43" spans="4:12" ht="14.25" customHeight="1" x14ac:dyDescent="0.25">
      <c r="D43" t="s">
        <v>35</v>
      </c>
      <c r="G43" s="4"/>
      <c r="H43" s="4"/>
      <c r="I43" s="4"/>
      <c r="J43" s="4"/>
      <c r="K43" s="4"/>
      <c r="L43" s="4"/>
    </row>
    <row r="44" spans="4:12" ht="14.25" customHeight="1" x14ac:dyDescent="0.25">
      <c r="D44" t="s">
        <v>36</v>
      </c>
      <c r="G44" s="4"/>
      <c r="H44" s="4"/>
      <c r="I44" s="4"/>
      <c r="J44" s="4"/>
      <c r="K44" s="4"/>
      <c r="L44" s="4"/>
    </row>
    <row r="45" spans="4:12" ht="14.25" customHeight="1" x14ac:dyDescent="0.25">
      <c r="D45" s="3" t="s">
        <v>37</v>
      </c>
      <c r="G45" s="4"/>
      <c r="H45" s="4"/>
      <c r="I45" s="4"/>
      <c r="J45" s="4"/>
      <c r="K45" s="4"/>
      <c r="L45" s="4"/>
    </row>
    <row r="46" spans="4:12" ht="15" customHeight="1" x14ac:dyDescent="0.25">
      <c r="D46" s="9" t="s">
        <v>38</v>
      </c>
    </row>
    <row r="47" spans="4:12" ht="15" customHeight="1" x14ac:dyDescent="0.25">
      <c r="D47" t="s">
        <v>39</v>
      </c>
    </row>
    <row r="48" spans="4:12" ht="15" customHeight="1" x14ac:dyDescent="0.25">
      <c r="D48" t="s">
        <v>40</v>
      </c>
    </row>
    <row r="49" spans="4:4" ht="15" customHeight="1" x14ac:dyDescent="0.25">
      <c r="D49" t="s">
        <v>41</v>
      </c>
    </row>
    <row r="50" spans="4:4" ht="15" customHeight="1" x14ac:dyDescent="0.25">
      <c r="D50" t="s">
        <v>42</v>
      </c>
    </row>
    <row r="51" spans="4:4" ht="15" customHeight="1" x14ac:dyDescent="0.25">
      <c r="D51" t="s">
        <v>43</v>
      </c>
    </row>
    <row r="52" spans="4:4" ht="15" customHeight="1" x14ac:dyDescent="0.25">
      <c r="D52" t="s">
        <v>44</v>
      </c>
    </row>
    <row r="53" spans="4:4" ht="15" customHeight="1" x14ac:dyDescent="0.25">
      <c r="D53" t="s">
        <v>45</v>
      </c>
    </row>
    <row r="54" spans="4:4" ht="15" customHeight="1" x14ac:dyDescent="0.25">
      <c r="D54" t="s">
        <v>46</v>
      </c>
    </row>
    <row r="55" spans="4:4" ht="15" customHeight="1" x14ac:dyDescent="0.25">
      <c r="D55" t="s">
        <v>47</v>
      </c>
    </row>
    <row r="56" spans="4:4" ht="15" customHeight="1" x14ac:dyDescent="0.25">
      <c r="D56" t="s">
        <v>48</v>
      </c>
    </row>
  </sheetData>
  <pageMargins left="0.7" right="0.7" top="0.75" bottom="0.75" header="0.511811023622047" footer="0.511811023622047"/>
  <pageSetup scale="5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40"/>
  <sheetViews>
    <sheetView showGridLines="0" tabSelected="1" view="pageBreakPreview" topLeftCell="A37" zoomScale="88" zoomScaleNormal="88" zoomScalePageLayoutView="88" workbookViewId="0">
      <selection activeCell="T1" sqref="T1"/>
    </sheetView>
  </sheetViews>
  <sheetFormatPr defaultColWidth="9.140625" defaultRowHeight="14.25" x14ac:dyDescent="0.25"/>
  <cols>
    <col min="1" max="2" width="1.7109375" style="3" customWidth="1"/>
    <col min="3" max="6" width="11.7109375" style="3" customWidth="1"/>
    <col min="7" max="7" width="2.7109375" style="3" customWidth="1"/>
    <col min="8" max="15" width="12.7109375" style="4" customWidth="1"/>
    <col min="16" max="16" width="2.7109375" style="3" customWidth="1"/>
    <col min="17" max="17" width="12.7109375" style="3" customWidth="1"/>
    <col min="18" max="18" width="12.7109375" style="4" customWidth="1"/>
    <col min="19" max="19" width="1.7109375" style="3" customWidth="1"/>
  </cols>
  <sheetData>
    <row r="1" spans="1:21" ht="9" customHeight="1" x14ac:dyDescent="0.25">
      <c r="H1"/>
      <c r="I1"/>
      <c r="J1"/>
      <c r="K1"/>
      <c r="L1"/>
      <c r="M1"/>
      <c r="N1"/>
      <c r="O1"/>
      <c r="R1"/>
    </row>
    <row r="2" spans="1:21" ht="9" customHeight="1" x14ac:dyDescent="0.25">
      <c r="H2"/>
      <c r="I2"/>
      <c r="J2"/>
      <c r="K2"/>
      <c r="L2"/>
      <c r="M2"/>
      <c r="N2"/>
      <c r="O2"/>
      <c r="R2"/>
    </row>
    <row r="3" spans="1:21" ht="24" customHeight="1" x14ac:dyDescent="0.5">
      <c r="C3" s="5" t="s">
        <v>49</v>
      </c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1" ht="3" customHeight="1" x14ac:dyDescent="0.25">
      <c r="P4" s="4"/>
      <c r="Q4" s="4"/>
      <c r="U4" s="10"/>
    </row>
    <row r="5" spans="1:21" ht="3" customHeight="1" x14ac:dyDescent="0.25"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U5" s="10"/>
    </row>
    <row r="6" spans="1:21" ht="4.5" customHeight="1" x14ac:dyDescent="0.25">
      <c r="U6" s="10"/>
    </row>
    <row r="7" spans="1:21" ht="15" customHeight="1" x14ac:dyDescent="0.25">
      <c r="A7" s="6"/>
      <c r="B7" s="6"/>
      <c r="C7" s="13" t="s">
        <v>50</v>
      </c>
      <c r="D7" s="14"/>
      <c r="E7" s="14"/>
      <c r="F7" s="15"/>
      <c r="G7" s="6"/>
      <c r="H7"/>
      <c r="I7" s="16" t="s">
        <v>51</v>
      </c>
      <c r="J7" s="17"/>
      <c r="K7" s="18" t="s">
        <v>52</v>
      </c>
      <c r="L7" s="19" t="s">
        <v>53</v>
      </c>
      <c r="M7" s="20"/>
      <c r="N7" s="21" t="s">
        <v>54</v>
      </c>
      <c r="O7" s="21"/>
      <c r="P7" s="21"/>
      <c r="Q7" s="21"/>
      <c r="R7" s="22" t="s">
        <v>52</v>
      </c>
    </row>
    <row r="8" spans="1:21" ht="4.5" customHeight="1" x14ac:dyDescent="0.25">
      <c r="H8"/>
      <c r="I8"/>
      <c r="J8"/>
      <c r="K8"/>
      <c r="L8"/>
      <c r="M8"/>
      <c r="N8"/>
      <c r="O8"/>
      <c r="R8"/>
    </row>
    <row r="9" spans="1:21" ht="17.25" customHeight="1" x14ac:dyDescent="0.25">
      <c r="A9" s="6"/>
      <c r="B9" s="6"/>
      <c r="C9" s="23" t="s">
        <v>55</v>
      </c>
      <c r="F9" s="24">
        <v>17.5</v>
      </c>
      <c r="G9" s="6"/>
      <c r="H9" s="25"/>
      <c r="I9" s="26" t="s">
        <v>56</v>
      </c>
      <c r="J9" s="27"/>
      <c r="K9" s="28">
        <f>L9*$J$107</f>
        <v>14514.5</v>
      </c>
      <c r="L9" s="29">
        <v>3.5</v>
      </c>
      <c r="M9" s="27"/>
      <c r="N9" s="26" t="s">
        <v>57</v>
      </c>
      <c r="O9" s="27"/>
      <c r="R9" s="30">
        <f>+F12</f>
        <v>13195</v>
      </c>
    </row>
    <row r="10" spans="1:21" ht="17.25" customHeight="1" x14ac:dyDescent="0.25">
      <c r="A10" s="6"/>
      <c r="B10" s="6"/>
      <c r="C10" s="23" t="s">
        <v>58</v>
      </c>
      <c r="F10" s="31">
        <v>0.3</v>
      </c>
      <c r="H10"/>
      <c r="I10" s="32" t="s">
        <v>59</v>
      </c>
      <c r="J10" s="33"/>
      <c r="K10" s="34">
        <f>+K9+K11</f>
        <v>15014.5</v>
      </c>
      <c r="L10" s="35">
        <f>K10/$J$107</f>
        <v>3.6205690860863275</v>
      </c>
      <c r="M10"/>
      <c r="N10" s="26" t="s">
        <v>60</v>
      </c>
      <c r="O10" s="27"/>
      <c r="R10" s="30">
        <f>+F13</f>
        <v>13520</v>
      </c>
    </row>
    <row r="11" spans="1:21" ht="17.25" customHeight="1" x14ac:dyDescent="0.25">
      <c r="A11" s="6"/>
      <c r="B11" s="6"/>
      <c r="C11" s="23" t="s">
        <v>61</v>
      </c>
      <c r="F11" s="36">
        <v>580</v>
      </c>
      <c r="H11"/>
      <c r="I11" s="37" t="s">
        <v>62</v>
      </c>
      <c r="J11"/>
      <c r="K11" s="38">
        <v>500</v>
      </c>
      <c r="L11" s="39">
        <f>K11/$J$107</f>
        <v>0.12056908608632746</v>
      </c>
      <c r="M11"/>
      <c r="N11" s="26" t="s">
        <v>63</v>
      </c>
      <c r="O11" s="27"/>
      <c r="R11" s="30">
        <f>+R12*F14</f>
        <v>400.72499999999997</v>
      </c>
    </row>
    <row r="12" spans="1:21" ht="17.25" customHeight="1" x14ac:dyDescent="0.25">
      <c r="A12" s="6"/>
      <c r="B12" s="6"/>
      <c r="C12" s="40" t="s">
        <v>64</v>
      </c>
      <c r="D12" s="33"/>
      <c r="E12" s="33"/>
      <c r="F12" s="41">
        <f>F9*(1+F10)*F11</f>
        <v>13195</v>
      </c>
      <c r="H12"/>
      <c r="I12" s="26" t="s">
        <v>65</v>
      </c>
      <c r="J12" s="27"/>
      <c r="K12" s="30">
        <f>$R$13-K9</f>
        <v>12601.224999999999</v>
      </c>
      <c r="L12" s="39">
        <f>K12/$J$107</f>
        <v>3.0386363636363631</v>
      </c>
      <c r="M12"/>
      <c r="N12" s="42" t="s">
        <v>66</v>
      </c>
      <c r="O12" s="43"/>
      <c r="P12" s="43"/>
      <c r="Q12" s="43"/>
      <c r="R12" s="31">
        <v>1.4999999999999999E-2</v>
      </c>
    </row>
    <row r="13" spans="1:21" ht="17.25" customHeight="1" x14ac:dyDescent="0.25">
      <c r="A13" s="6"/>
      <c r="B13" s="6"/>
      <c r="C13" s="23" t="s">
        <v>67</v>
      </c>
      <c r="F13" s="44">
        <v>13520</v>
      </c>
      <c r="G13" s="6"/>
      <c r="H13" s="237" t="s">
        <v>168</v>
      </c>
      <c r="I13" s="45" t="s">
        <v>68</v>
      </c>
      <c r="J13" s="46"/>
      <c r="K13" s="47">
        <f>+K9+K12</f>
        <v>27115.724999999999</v>
      </c>
      <c r="L13" s="48">
        <f>K13/$J$107</f>
        <v>6.5386363636363631</v>
      </c>
      <c r="M13"/>
      <c r="N13" s="45" t="s">
        <v>69</v>
      </c>
      <c r="O13" s="46"/>
      <c r="P13" s="46"/>
      <c r="Q13" s="46"/>
      <c r="R13" s="47">
        <f>SUM(R9:R11)</f>
        <v>27115.724999999999</v>
      </c>
    </row>
    <row r="14" spans="1:21" ht="15" customHeight="1" x14ac:dyDescent="0.25">
      <c r="A14" s="6"/>
      <c r="B14" s="6"/>
      <c r="C14" s="45" t="s">
        <v>70</v>
      </c>
      <c r="D14" s="49"/>
      <c r="E14" s="49"/>
      <c r="F14" s="50">
        <f>F12+F13</f>
        <v>26715</v>
      </c>
      <c r="G14" s="6"/>
      <c r="H14"/>
      <c r="I14"/>
      <c r="J14"/>
      <c r="K14"/>
      <c r="L14"/>
      <c r="M14"/>
      <c r="N14"/>
      <c r="O14"/>
      <c r="R14"/>
    </row>
    <row r="15" spans="1:21" ht="15" customHeight="1" x14ac:dyDescent="0.25">
      <c r="A15" s="6"/>
      <c r="B15" s="6"/>
      <c r="C15" s="51" t="s">
        <v>71</v>
      </c>
      <c r="D15" s="52"/>
      <c r="E15" s="52"/>
      <c r="F15" s="53">
        <f>+F14/$K$107</f>
        <v>5.9703396518763192</v>
      </c>
      <c r="G15" s="6"/>
      <c r="H15"/>
      <c r="I15" s="54" t="s">
        <v>72</v>
      </c>
      <c r="J15" s="55">
        <f>F205</f>
        <v>0.16717162728309634</v>
      </c>
      <c r="K15"/>
      <c r="L15"/>
      <c r="M15"/>
      <c r="N15" s="56" t="s">
        <v>73</v>
      </c>
      <c r="O15" s="57"/>
      <c r="P15" s="58">
        <v>1</v>
      </c>
      <c r="Q15" s="37" t="s">
        <v>74</v>
      </c>
      <c r="R15"/>
    </row>
    <row r="16" spans="1:21" ht="15" customHeight="1" x14ac:dyDescent="0.25">
      <c r="A16" s="6"/>
      <c r="B16" s="6"/>
      <c r="C16" s="59" t="s">
        <v>75</v>
      </c>
      <c r="D16" s="60"/>
      <c r="E16" s="60"/>
      <c r="F16" s="61">
        <f>+F14/$J$107</f>
        <v>6.4420062695924765</v>
      </c>
      <c r="G16" s="6"/>
      <c r="H16"/>
      <c r="I16" s="62" t="s">
        <v>76</v>
      </c>
      <c r="J16" s="63">
        <f>F206</f>
        <v>2.1669931044254351</v>
      </c>
      <c r="K16"/>
      <c r="L16"/>
      <c r="M16"/>
      <c r="N16"/>
      <c r="O16"/>
      <c r="R16"/>
    </row>
    <row r="17" spans="1:21" ht="15" customHeight="1" x14ac:dyDescent="0.25">
      <c r="C17" s="37" t="s">
        <v>77</v>
      </c>
      <c r="H17"/>
      <c r="I17"/>
      <c r="J17"/>
      <c r="K17" s="64"/>
      <c r="L17"/>
      <c r="M17"/>
    </row>
    <row r="18" spans="1:21" ht="17.25" customHeight="1" x14ac:dyDescent="0.25">
      <c r="A18" s="6"/>
      <c r="B18" s="6"/>
      <c r="G18" s="6"/>
      <c r="H18" s="2" t="s">
        <v>78</v>
      </c>
      <c r="I18" s="2"/>
      <c r="J18" s="2"/>
      <c r="K18" s="1" t="str">
        <f>"Projections - "&amp;CHOOSE($P$15,C78,C79)</f>
        <v>Projections - Base Case</v>
      </c>
      <c r="L18" s="1"/>
      <c r="M18" s="1"/>
      <c r="N18" s="1"/>
      <c r="O18" s="1"/>
      <c r="Q18" s="1" t="s">
        <v>79</v>
      </c>
      <c r="R18" s="1"/>
    </row>
    <row r="19" spans="1:21" ht="17.25" customHeight="1" x14ac:dyDescent="0.25">
      <c r="A19" s="6"/>
      <c r="B19" s="6"/>
      <c r="C19" s="65" t="s">
        <v>80</v>
      </c>
      <c r="D19" s="6"/>
      <c r="E19" s="6"/>
      <c r="F19" s="6"/>
      <c r="G19" s="6"/>
      <c r="H19" s="66">
        <v>44618</v>
      </c>
      <c r="I19" s="67">
        <f t="shared" ref="I19:O19" si="0">EOMONTH(H19,12)</f>
        <v>44985</v>
      </c>
      <c r="J19" s="68">
        <f t="shared" si="0"/>
        <v>45351</v>
      </c>
      <c r="K19" s="67">
        <f t="shared" si="0"/>
        <v>45716</v>
      </c>
      <c r="L19" s="67">
        <f t="shared" si="0"/>
        <v>46081</v>
      </c>
      <c r="M19" s="67">
        <f t="shared" si="0"/>
        <v>46446</v>
      </c>
      <c r="N19" s="67">
        <f t="shared" si="0"/>
        <v>46812</v>
      </c>
      <c r="O19" s="67">
        <f t="shared" si="0"/>
        <v>47177</v>
      </c>
      <c r="Q19" s="67" t="s">
        <v>81</v>
      </c>
      <c r="R19" s="67" t="s">
        <v>82</v>
      </c>
      <c r="T19" s="237" t="s">
        <v>172</v>
      </c>
    </row>
    <row r="20" spans="1:21" ht="4.5" customHeight="1" x14ac:dyDescent="0.25">
      <c r="A20" s="6"/>
      <c r="B20" s="6"/>
      <c r="C20" s="6"/>
      <c r="D20" s="6"/>
      <c r="E20" s="6"/>
      <c r="F20" s="6"/>
      <c r="G20" s="6"/>
      <c r="H20" s="67"/>
      <c r="I20" s="67"/>
      <c r="J20" s="69"/>
      <c r="K20" s="70"/>
      <c r="L20" s="67"/>
      <c r="M20" s="67"/>
      <c r="N20" s="67"/>
      <c r="O20" s="67"/>
      <c r="R20" s="67"/>
    </row>
    <row r="21" spans="1:21" ht="15" customHeight="1" x14ac:dyDescent="0.25">
      <c r="B21" t="s">
        <v>83</v>
      </c>
      <c r="C21" s="56" t="s">
        <v>84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71"/>
      <c r="O21" s="71"/>
      <c r="P21" s="71"/>
      <c r="Q21" s="71"/>
      <c r="R21" s="71"/>
      <c r="U21" s="71" t="s">
        <v>85</v>
      </c>
    </row>
    <row r="22" spans="1:21" ht="4.5" customHeight="1" x14ac:dyDescent="0.25">
      <c r="C22" s="72"/>
      <c r="D22" s="72"/>
      <c r="E22" s="72"/>
      <c r="F22" s="72"/>
      <c r="G22" s="72"/>
      <c r="H22" s="73"/>
      <c r="I22" s="73"/>
      <c r="J22" s="74"/>
      <c r="K22" s="73"/>
      <c r="L22" s="73"/>
      <c r="M22" s="73"/>
      <c r="N22" s="73"/>
      <c r="O22" s="73"/>
      <c r="R22" s="73"/>
    </row>
    <row r="23" spans="1:21" s="75" customFormat="1" ht="15" customHeight="1" x14ac:dyDescent="0.25">
      <c r="C23" s="75" t="s">
        <v>86</v>
      </c>
      <c r="H23" s="76">
        <v>2276</v>
      </c>
      <c r="I23" s="76">
        <v>2271</v>
      </c>
      <c r="J23" s="77">
        <v>2269</v>
      </c>
      <c r="K23" s="78">
        <f>J23+K24</f>
        <v>2274</v>
      </c>
      <c r="L23" s="78">
        <f>K23+L24</f>
        <v>2280</v>
      </c>
      <c r="M23" s="78">
        <f>L23+M24</f>
        <v>2287</v>
      </c>
      <c r="N23" s="78">
        <f>M23+N24</f>
        <v>2295</v>
      </c>
      <c r="O23" s="78">
        <f>N23+O24</f>
        <v>2304</v>
      </c>
      <c r="P23"/>
      <c r="Q23" s="79">
        <f>IFERROR((J23/H23)^0.5-1,"n.a.")</f>
        <v>-1.5389698027791221E-3</v>
      </c>
      <c r="R23" s="79">
        <f>IFERROR((O23/J23)^(1/5)-1,"n.a.")</f>
        <v>3.0661986071496283E-3</v>
      </c>
      <c r="T23" s="238" t="s">
        <v>173</v>
      </c>
    </row>
    <row r="24" spans="1:21" s="80" customFormat="1" ht="15" customHeight="1" x14ac:dyDescent="0.25">
      <c r="C24" s="81" t="str">
        <f>+"Change in no. of stores: "&amp;CHOOSE($P$15,C25,C26)</f>
        <v>Change in no. of stores: Base Case</v>
      </c>
      <c r="D24" s="81"/>
      <c r="E24" s="82"/>
      <c r="F24" s="82"/>
      <c r="G24" s="81"/>
      <c r="H24" s="83" t="s">
        <v>87</v>
      </c>
      <c r="I24" s="83">
        <f>I23-H23</f>
        <v>-5</v>
      </c>
      <c r="J24" s="84">
        <f>J23-I23</f>
        <v>-2</v>
      </c>
      <c r="K24" s="83">
        <f>+CHOOSE($P$15,K25,K26)</f>
        <v>5</v>
      </c>
      <c r="L24" s="83">
        <f>+CHOOSE($P$15,L25,L26)</f>
        <v>6</v>
      </c>
      <c r="M24" s="83">
        <f>+CHOOSE($P$15,M25,M26)</f>
        <v>7</v>
      </c>
      <c r="N24" s="83">
        <f>+CHOOSE($P$15,N25,N26)</f>
        <v>8</v>
      </c>
      <c r="O24" s="83">
        <f>+CHOOSE($P$15,O25,O26)</f>
        <v>9</v>
      </c>
      <c r="P24"/>
      <c r="Q24" s="85"/>
      <c r="R24" s="85"/>
    </row>
    <row r="25" spans="1:21" s="80" customFormat="1" ht="15" customHeight="1" x14ac:dyDescent="0.25">
      <c r="A25" s="86"/>
      <c r="B25" s="86"/>
      <c r="C25" s="87" t="s">
        <v>88</v>
      </c>
      <c r="D25" s="87"/>
      <c r="E25" s="88"/>
      <c r="F25" s="88"/>
      <c r="G25" s="86"/>
      <c r="H25" s="85"/>
      <c r="I25" s="85"/>
      <c r="J25" s="89"/>
      <c r="K25" s="90">
        <v>5</v>
      </c>
      <c r="L25" s="91">
        <f>K25+1</f>
        <v>6</v>
      </c>
      <c r="M25" s="91">
        <f>L25+1</f>
        <v>7</v>
      </c>
      <c r="N25" s="91">
        <f>M25+1</f>
        <v>8</v>
      </c>
      <c r="O25" s="91">
        <f>N25+1</f>
        <v>9</v>
      </c>
      <c r="P25"/>
      <c r="Q25" s="85"/>
      <c r="R25" s="85"/>
      <c r="U25" s="90">
        <v>0</v>
      </c>
    </row>
    <row r="26" spans="1:21" s="80" customFormat="1" ht="15" customHeight="1" x14ac:dyDescent="0.25">
      <c r="A26" s="86"/>
      <c r="B26" s="86"/>
      <c r="C26" s="87" t="s">
        <v>89</v>
      </c>
      <c r="D26" s="87"/>
      <c r="E26" s="88"/>
      <c r="F26" s="88"/>
      <c r="G26" s="86"/>
      <c r="H26" s="85"/>
      <c r="I26" s="85"/>
      <c r="J26" s="89"/>
      <c r="K26" s="90">
        <v>2</v>
      </c>
      <c r="L26" s="90">
        <v>2</v>
      </c>
      <c r="M26" s="90">
        <v>2</v>
      </c>
      <c r="N26" s="90">
        <v>2</v>
      </c>
      <c r="O26" s="90">
        <v>2</v>
      </c>
      <c r="P26"/>
      <c r="Q26" s="85"/>
      <c r="R26" s="85"/>
    </row>
    <row r="27" spans="1:21" ht="15" customHeight="1" x14ac:dyDescent="0.25">
      <c r="A27" s="43"/>
      <c r="B27" s="43"/>
      <c r="C27" s="92"/>
      <c r="D27" s="92"/>
      <c r="E27" s="92"/>
      <c r="F27" s="92"/>
      <c r="G27" s="43"/>
      <c r="H27" s="70"/>
      <c r="I27" s="70"/>
      <c r="J27" s="69"/>
      <c r="K27" s="70"/>
      <c r="L27" s="70"/>
      <c r="M27" s="70"/>
      <c r="N27" s="70"/>
      <c r="O27" s="70"/>
      <c r="R27"/>
    </row>
    <row r="28" spans="1:21" s="75" customFormat="1" ht="15" customHeight="1" x14ac:dyDescent="0.25">
      <c r="C28" s="75" t="s">
        <v>90</v>
      </c>
      <c r="H28" s="76">
        <v>400</v>
      </c>
      <c r="I28" s="76">
        <v>401</v>
      </c>
      <c r="J28" s="77">
        <v>402</v>
      </c>
      <c r="K28" s="78">
        <f>J28+K29</f>
        <v>405</v>
      </c>
      <c r="L28" s="78">
        <f>K28+L29</f>
        <v>408</v>
      </c>
      <c r="M28" s="78">
        <f>L28+M29</f>
        <v>411</v>
      </c>
      <c r="N28" s="78">
        <f>M28+N29</f>
        <v>414</v>
      </c>
      <c r="O28" s="78">
        <f>N28+O29</f>
        <v>417</v>
      </c>
      <c r="P28"/>
      <c r="Q28" s="79">
        <f>IFERROR((J28/H28)^0.5-1,"n.a.")</f>
        <v>2.496882788171062E-3</v>
      </c>
      <c r="R28" s="79">
        <f>IFERROR((O28/J28)^(1/5)-1,"n.a.")</f>
        <v>7.3537335040763097E-3</v>
      </c>
      <c r="T28" s="238" t="s">
        <v>173</v>
      </c>
    </row>
    <row r="29" spans="1:21" s="80" customFormat="1" ht="15" customHeight="1" x14ac:dyDescent="0.25">
      <c r="C29" s="81" t="str">
        <f>+"Change in no. of stations: "&amp;CHOOSE($P$15,C30,C31)</f>
        <v>Change in no. of stations: Base Case</v>
      </c>
      <c r="D29" s="81"/>
      <c r="E29" s="82"/>
      <c r="F29" s="82"/>
      <c r="G29" s="81"/>
      <c r="H29" s="83" t="s">
        <v>87</v>
      </c>
      <c r="I29" s="83">
        <f>I28-H28</f>
        <v>1</v>
      </c>
      <c r="J29" s="84">
        <f>J28-I28</f>
        <v>1</v>
      </c>
      <c r="K29" s="83">
        <f>+CHOOSE($P$15,K30,K31)</f>
        <v>3</v>
      </c>
      <c r="L29" s="83">
        <f>+CHOOSE($P$15,L30,L31)</f>
        <v>3</v>
      </c>
      <c r="M29" s="83">
        <f>+CHOOSE($P$15,M30,M31)</f>
        <v>3</v>
      </c>
      <c r="N29" s="83">
        <f>+CHOOSE($P$15,N30,N31)</f>
        <v>3</v>
      </c>
      <c r="O29" s="83">
        <f>+CHOOSE($P$15,O30,O31)</f>
        <v>3</v>
      </c>
      <c r="P29"/>
      <c r="Q29" s="85"/>
      <c r="R29" s="85"/>
    </row>
    <row r="30" spans="1:21" s="80" customFormat="1" ht="15" customHeight="1" x14ac:dyDescent="0.25">
      <c r="A30" s="86"/>
      <c r="B30" s="86"/>
      <c r="C30" s="87" t="s">
        <v>88</v>
      </c>
      <c r="D30" s="87"/>
      <c r="E30" s="88"/>
      <c r="F30" s="88"/>
      <c r="G30" s="86"/>
      <c r="H30" s="85"/>
      <c r="I30" s="85"/>
      <c r="J30" s="89"/>
      <c r="K30" s="90">
        <v>3</v>
      </c>
      <c r="L30" s="93">
        <v>3</v>
      </c>
      <c r="M30" s="93">
        <v>3</v>
      </c>
      <c r="N30" s="93">
        <v>3</v>
      </c>
      <c r="O30" s="93">
        <v>3</v>
      </c>
      <c r="P30"/>
      <c r="Q30" s="85"/>
      <c r="R30" s="85"/>
    </row>
    <row r="31" spans="1:21" s="80" customFormat="1" ht="15" customHeight="1" x14ac:dyDescent="0.25">
      <c r="A31" s="86"/>
      <c r="B31" s="86"/>
      <c r="C31" s="87" t="s">
        <v>89</v>
      </c>
      <c r="D31" s="87"/>
      <c r="E31" s="88"/>
      <c r="F31" s="88"/>
      <c r="G31" s="86"/>
      <c r="H31" s="85"/>
      <c r="I31" s="85"/>
      <c r="J31" s="89"/>
      <c r="K31" s="90">
        <v>2</v>
      </c>
      <c r="L31" s="90">
        <v>2</v>
      </c>
      <c r="M31" s="90">
        <v>2</v>
      </c>
      <c r="N31" s="90">
        <v>2</v>
      </c>
      <c r="O31" s="90">
        <v>2</v>
      </c>
      <c r="P31"/>
      <c r="Q31" s="85"/>
      <c r="R31" s="85"/>
    </row>
    <row r="32" spans="1:21" ht="15" customHeight="1" x14ac:dyDescent="0.25">
      <c r="A32" s="43"/>
      <c r="B32" s="43"/>
      <c r="C32" s="92"/>
      <c r="D32" s="92"/>
      <c r="E32" s="92"/>
      <c r="F32" s="92"/>
      <c r="G32" s="43"/>
      <c r="H32" s="70"/>
      <c r="I32" s="70"/>
      <c r="J32" s="69"/>
      <c r="K32" s="70"/>
      <c r="L32" s="70"/>
      <c r="M32" s="70"/>
      <c r="N32" s="70"/>
      <c r="O32" s="70"/>
      <c r="R32"/>
    </row>
    <row r="33" spans="1:18" s="75" customFormat="1" ht="15" customHeight="1" x14ac:dyDescent="0.25">
      <c r="C33" s="75" t="s">
        <v>91</v>
      </c>
      <c r="H33" s="76">
        <v>275000</v>
      </c>
      <c r="I33" s="76">
        <v>280000</v>
      </c>
      <c r="J33" s="77">
        <v>285000</v>
      </c>
      <c r="K33" s="78">
        <f>ROUND(+J33*(1+K34),0)</f>
        <v>286425</v>
      </c>
      <c r="L33" s="78">
        <f>ROUND(+K33*(1+L34),0)</f>
        <v>287857</v>
      </c>
      <c r="M33" s="78">
        <f>ROUND(+L33*(1+M34),0)</f>
        <v>289296</v>
      </c>
      <c r="N33" s="78">
        <f>ROUND(+M33*(1+N34),0)</f>
        <v>290742</v>
      </c>
      <c r="O33" s="78">
        <f>ROUND(+N33*(1+O34),0)</f>
        <v>292196</v>
      </c>
      <c r="P33"/>
      <c r="Q33" s="79">
        <f>IFERROR((J33/H33)^0.5-1,"n.a.")</f>
        <v>1.8019467575957737E-2</v>
      </c>
      <c r="R33" s="79">
        <f>IFERROR((O33/J33)^(1/5)-1,"n.a.")</f>
        <v>4.9995823512556381E-3</v>
      </c>
    </row>
    <row r="34" spans="1:18" s="80" customFormat="1" ht="15" customHeight="1" x14ac:dyDescent="0.25">
      <c r="C34" s="81" t="str">
        <f>+"% growth: "&amp;CHOOSE($P$15,C35,C36)</f>
        <v>% growth: Base Case</v>
      </c>
      <c r="D34" s="81"/>
      <c r="E34" s="82"/>
      <c r="F34" s="82"/>
      <c r="G34" s="81"/>
      <c r="H34" s="94"/>
      <c r="I34" s="94">
        <f>IFERROR(I33/H33-1,"n.a.")</f>
        <v>1.8181818181818077E-2</v>
      </c>
      <c r="J34" s="95">
        <f>IFERROR(J33/I33-1,"n.a.")</f>
        <v>1.7857142857142794E-2</v>
      </c>
      <c r="K34" s="94">
        <f>+CHOOSE($P$15,K35,K36)</f>
        <v>5.0000000000000001E-3</v>
      </c>
      <c r="L34" s="94">
        <f>+CHOOSE($P$15,L35,L36)</f>
        <v>5.0000000000000001E-3</v>
      </c>
      <c r="M34" s="94">
        <f>+CHOOSE($P$15,M35,M36)</f>
        <v>5.0000000000000001E-3</v>
      </c>
      <c r="N34" s="94">
        <f>+CHOOSE($P$15,N35,N36)</f>
        <v>5.0000000000000001E-3</v>
      </c>
      <c r="O34" s="94">
        <f>+CHOOSE($P$15,O35,O36)</f>
        <v>5.0000000000000001E-3</v>
      </c>
      <c r="P34"/>
      <c r="Q34" s="85"/>
      <c r="R34" s="85"/>
    </row>
    <row r="35" spans="1:18" s="80" customFormat="1" ht="15" customHeight="1" x14ac:dyDescent="0.25">
      <c r="A35" s="86"/>
      <c r="B35" s="86"/>
      <c r="C35" s="87" t="s">
        <v>88</v>
      </c>
      <c r="D35" s="87"/>
      <c r="E35" s="88"/>
      <c r="F35" s="88"/>
      <c r="G35" s="86"/>
      <c r="H35" s="85"/>
      <c r="I35" s="85"/>
      <c r="J35" s="89"/>
      <c r="K35" s="96">
        <v>5.0000000000000001E-3</v>
      </c>
      <c r="L35" s="96">
        <v>5.0000000000000001E-3</v>
      </c>
      <c r="M35" s="96">
        <v>5.0000000000000001E-3</v>
      </c>
      <c r="N35" s="96">
        <v>5.0000000000000001E-3</v>
      </c>
      <c r="O35" s="96">
        <v>5.0000000000000001E-3</v>
      </c>
      <c r="P35"/>
      <c r="Q35" s="85"/>
      <c r="R35" s="85"/>
    </row>
    <row r="36" spans="1:18" s="80" customFormat="1" ht="15" customHeight="1" x14ac:dyDescent="0.25">
      <c r="A36" s="86"/>
      <c r="B36" s="86"/>
      <c r="C36" s="87" t="s">
        <v>89</v>
      </c>
      <c r="D36" s="87"/>
      <c r="E36" s="88"/>
      <c r="F36" s="88"/>
      <c r="G36" s="86"/>
      <c r="H36" s="85"/>
      <c r="I36" s="85"/>
      <c r="J36" s="89"/>
      <c r="K36" s="96">
        <v>5.0000000000000001E-3</v>
      </c>
      <c r="L36" s="96">
        <v>5.0000000000000001E-3</v>
      </c>
      <c r="M36" s="96">
        <v>5.0000000000000001E-3</v>
      </c>
      <c r="N36" s="96">
        <v>5.0000000000000001E-3</v>
      </c>
      <c r="O36" s="96">
        <v>5.0000000000000001E-3</v>
      </c>
      <c r="P36"/>
      <c r="Q36" s="85"/>
      <c r="R36" s="85"/>
    </row>
    <row r="37" spans="1:18" ht="15" customHeight="1" x14ac:dyDescent="0.25">
      <c r="A37" s="43"/>
      <c r="B37" s="43"/>
      <c r="C37" s="92"/>
      <c r="D37" s="92"/>
      <c r="E37" s="92"/>
      <c r="F37" s="92"/>
      <c r="G37" s="43"/>
      <c r="H37" s="70"/>
      <c r="I37" s="70"/>
      <c r="J37" s="69"/>
      <c r="K37" s="70"/>
      <c r="L37" s="70"/>
      <c r="M37" s="70"/>
      <c r="N37" s="70"/>
      <c r="O37" s="70"/>
      <c r="R37"/>
    </row>
    <row r="38" spans="1:18" s="75" customFormat="1" ht="15" customHeight="1" x14ac:dyDescent="0.25">
      <c r="C38" s="75" t="s">
        <v>92</v>
      </c>
      <c r="H38" s="97">
        <v>8.2000000000000003E-2</v>
      </c>
      <c r="I38" s="97">
        <v>5.8000000000000003E-2</v>
      </c>
      <c r="J38" s="98">
        <v>0.01</v>
      </c>
      <c r="K38" s="94">
        <f>+CHOOSE($P$15,K39,K40)</f>
        <v>0.02</v>
      </c>
      <c r="L38" s="94">
        <f>+CHOOSE($P$15,L39,L40)</f>
        <v>2.1999999999999999E-2</v>
      </c>
      <c r="M38" s="94">
        <f>+CHOOSE($P$15,M39,M40)</f>
        <v>2.1999999999999999E-2</v>
      </c>
      <c r="N38" s="94">
        <f>+CHOOSE($P$15,N39,N40)</f>
        <v>2.5000000000000001E-2</v>
      </c>
      <c r="O38" s="94">
        <f>+CHOOSE($P$15,O39,O40)</f>
        <v>2.5000000000000001E-2</v>
      </c>
      <c r="P38"/>
      <c r="Q38" s="85"/>
      <c r="R38" s="85"/>
    </row>
    <row r="39" spans="1:18" s="80" customFormat="1" ht="15" customHeight="1" x14ac:dyDescent="0.25">
      <c r="A39" s="86"/>
      <c r="B39" s="86"/>
      <c r="C39" s="87" t="s">
        <v>88</v>
      </c>
      <c r="D39" s="87"/>
      <c r="E39" s="88"/>
      <c r="F39" s="88"/>
      <c r="G39" s="86"/>
      <c r="H39" s="85"/>
      <c r="I39" s="85"/>
      <c r="J39" s="89"/>
      <c r="K39" s="99">
        <v>0.02</v>
      </c>
      <c r="L39" s="100">
        <v>2.1999999999999999E-2</v>
      </c>
      <c r="M39" s="100">
        <v>2.1999999999999999E-2</v>
      </c>
      <c r="N39" s="100">
        <v>2.5000000000000001E-2</v>
      </c>
      <c r="O39" s="100">
        <v>2.5000000000000001E-2</v>
      </c>
      <c r="P39"/>
      <c r="Q39" s="85"/>
      <c r="R39" s="85"/>
    </row>
    <row r="40" spans="1:18" s="80" customFormat="1" ht="15" customHeight="1" x14ac:dyDescent="0.25">
      <c r="A40" s="86"/>
      <c r="B40" s="86"/>
      <c r="C40" s="87" t="s">
        <v>89</v>
      </c>
      <c r="D40" s="87"/>
      <c r="E40" s="88"/>
      <c r="F40" s="88"/>
      <c r="G40" s="86"/>
      <c r="H40" s="85"/>
      <c r="I40" s="85"/>
      <c r="J40" s="89"/>
      <c r="K40" s="99">
        <v>0.01</v>
      </c>
      <c r="L40" s="100">
        <v>0.01</v>
      </c>
      <c r="M40" s="100">
        <v>0.01</v>
      </c>
      <c r="N40" s="100">
        <v>0.01</v>
      </c>
      <c r="O40" s="100">
        <v>0.01</v>
      </c>
      <c r="P40"/>
      <c r="Q40" s="85"/>
      <c r="R40" s="85"/>
    </row>
    <row r="41" spans="1:18" ht="15" customHeight="1" x14ac:dyDescent="0.25">
      <c r="A41" s="43"/>
      <c r="B41" s="43"/>
      <c r="C41" s="92"/>
      <c r="D41" s="92"/>
      <c r="E41" s="92"/>
      <c r="F41" s="92"/>
      <c r="G41" s="43"/>
      <c r="H41" s="70"/>
      <c r="I41" s="70"/>
      <c r="J41" s="69"/>
      <c r="K41" s="70"/>
      <c r="L41" s="70"/>
      <c r="M41" s="70"/>
      <c r="N41" s="70"/>
      <c r="O41" s="70"/>
      <c r="R41"/>
    </row>
    <row r="42" spans="1:18" ht="15" customHeight="1" x14ac:dyDescent="0.25">
      <c r="A42" s="43"/>
      <c r="B42" s="43"/>
      <c r="C42" s="75" t="s">
        <v>93</v>
      </c>
      <c r="D42" s="75"/>
      <c r="E42" s="75"/>
      <c r="F42" s="75"/>
      <c r="G42" s="75"/>
      <c r="H42" s="101">
        <f>H67/H23</f>
        <v>32.073813708260104</v>
      </c>
      <c r="I42" s="101">
        <f>I67/I23</f>
        <v>32.892998678996037</v>
      </c>
      <c r="J42" s="101">
        <f>J67/J23</f>
        <v>33.054208902600266</v>
      </c>
      <c r="K42" s="102">
        <f>+CHOOSE($P$15,K43,K44)</f>
        <v>33.550022036139268</v>
      </c>
      <c r="L42" s="102">
        <f>+CHOOSE($P$15,L43,L44)</f>
        <v>34.053272366681355</v>
      </c>
      <c r="M42" s="102">
        <f>+CHOOSE($P$15,M43,M44)</f>
        <v>34.666231269281617</v>
      </c>
      <c r="N42" s="102">
        <f>+CHOOSE($P$15,N43,N44)</f>
        <v>35.359555894667253</v>
      </c>
      <c r="O42" s="102">
        <f>+CHOOSE($P$15,O43,O44)</f>
        <v>36.066747012560597</v>
      </c>
      <c r="R42"/>
    </row>
    <row r="43" spans="1:18" ht="15" customHeight="1" x14ac:dyDescent="0.25">
      <c r="A43" s="43"/>
      <c r="B43" s="43"/>
      <c r="C43" s="87" t="s">
        <v>88</v>
      </c>
      <c r="D43" s="87"/>
      <c r="E43" s="88"/>
      <c r="F43" s="88"/>
      <c r="G43" s="86"/>
      <c r="H43" s="103"/>
      <c r="I43" s="103"/>
      <c r="J43" s="104"/>
      <c r="K43" s="105">
        <f>J42*(1+0.015)</f>
        <v>33.550022036139268</v>
      </c>
      <c r="L43" s="105">
        <f>K43*(1+0.015)</f>
        <v>34.053272366681355</v>
      </c>
      <c r="M43" s="105">
        <f>L43*(1+0.018)</f>
        <v>34.666231269281617</v>
      </c>
      <c r="N43" s="105">
        <f>M43*(1+0.02)</f>
        <v>35.359555894667253</v>
      </c>
      <c r="O43" s="105">
        <f>N43*(1+0.02)</f>
        <v>36.066747012560597</v>
      </c>
      <c r="R43"/>
    </row>
    <row r="44" spans="1:18" ht="15" customHeight="1" x14ac:dyDescent="0.25">
      <c r="A44" s="43"/>
      <c r="B44" s="43"/>
      <c r="C44" s="87" t="s">
        <v>89</v>
      </c>
      <c r="D44" s="87"/>
      <c r="E44" s="88"/>
      <c r="F44" s="88"/>
      <c r="G44" s="86"/>
      <c r="H44" s="103"/>
      <c r="I44" s="103"/>
      <c r="J44" s="104"/>
      <c r="K44" s="105">
        <f>J42*(1+K40)</f>
        <v>33.384750991626269</v>
      </c>
      <c r="L44" s="105">
        <f>K44*(1+L40)</f>
        <v>33.71859850154253</v>
      </c>
      <c r="M44" s="105">
        <f>L44*(1+M40)</f>
        <v>34.055784486557954</v>
      </c>
      <c r="N44" s="105">
        <f>M44*(1+N40)</f>
        <v>34.396342331423533</v>
      </c>
      <c r="O44" s="105">
        <f>N44*(1+O40)</f>
        <v>34.740305754737768</v>
      </c>
      <c r="R44"/>
    </row>
    <row r="45" spans="1:18" ht="15" customHeight="1" x14ac:dyDescent="0.25">
      <c r="A45" s="43"/>
      <c r="B45" s="43"/>
      <c r="C45" s="92"/>
      <c r="D45" s="92"/>
      <c r="E45" s="92"/>
      <c r="F45" s="92"/>
      <c r="G45" s="43"/>
      <c r="H45" s="70"/>
      <c r="I45" s="70"/>
      <c r="J45" s="70"/>
      <c r="K45" s="70"/>
      <c r="L45" s="70"/>
      <c r="M45" s="70"/>
      <c r="N45" s="70"/>
      <c r="O45" s="70"/>
      <c r="R45"/>
    </row>
    <row r="46" spans="1:18" ht="15" customHeight="1" x14ac:dyDescent="0.25">
      <c r="A46" s="43"/>
      <c r="B46" s="43"/>
      <c r="C46" s="75" t="s">
        <v>94</v>
      </c>
      <c r="D46" s="75"/>
      <c r="E46" s="75"/>
      <c r="F46" s="75"/>
      <c r="G46" s="75"/>
      <c r="H46" s="101">
        <f>H70/H28</f>
        <v>11.625</v>
      </c>
      <c r="I46" s="101">
        <f>I70/I28</f>
        <v>11.314214463840399</v>
      </c>
      <c r="J46" s="101">
        <f>J70/J28</f>
        <v>10.542288557213931</v>
      </c>
      <c r="K46" s="102">
        <f>+CHOOSE($P$15,K47,K48)</f>
        <v>12</v>
      </c>
      <c r="L46" s="102">
        <f>+CHOOSE($P$15,L47,L48)</f>
        <v>12.24</v>
      </c>
      <c r="M46" s="102">
        <f>+CHOOSE($P$15,M47,M48)</f>
        <v>12.4848</v>
      </c>
      <c r="N46" s="102">
        <f>+CHOOSE($P$15,N47,N48)</f>
        <v>12.734496</v>
      </c>
      <c r="O46" s="102">
        <f>+CHOOSE($P$15,O47,O48)</f>
        <v>12.989185920000001</v>
      </c>
      <c r="R46"/>
    </row>
    <row r="47" spans="1:18" ht="15" customHeight="1" x14ac:dyDescent="0.25">
      <c r="A47" s="43"/>
      <c r="B47" s="43"/>
      <c r="C47" s="87" t="s">
        <v>88</v>
      </c>
      <c r="D47" s="87"/>
      <c r="E47" s="88"/>
      <c r="F47" s="88"/>
      <c r="G47" s="86"/>
      <c r="H47" s="103"/>
      <c r="I47" s="103"/>
      <c r="J47" s="104"/>
      <c r="K47" s="106">
        <v>12</v>
      </c>
      <c r="L47" s="107">
        <f>K47*1.02</f>
        <v>12.24</v>
      </c>
      <c r="M47" s="107">
        <f>L47*1.02</f>
        <v>12.4848</v>
      </c>
      <c r="N47" s="107">
        <f>M47*1.02</f>
        <v>12.734496</v>
      </c>
      <c r="O47" s="107">
        <f>N47*1.02</f>
        <v>12.989185920000001</v>
      </c>
      <c r="R47"/>
    </row>
    <row r="48" spans="1:18" ht="15" customHeight="1" x14ac:dyDescent="0.25">
      <c r="A48" s="43"/>
      <c r="B48" s="43"/>
      <c r="C48" s="87" t="s">
        <v>89</v>
      </c>
      <c r="D48" s="87"/>
      <c r="E48" s="88"/>
      <c r="F48" s="88"/>
      <c r="G48" s="86"/>
      <c r="H48" s="103"/>
      <c r="I48" s="103"/>
      <c r="J48" s="104"/>
      <c r="K48" s="106">
        <v>11</v>
      </c>
      <c r="L48" s="107">
        <f>K48</f>
        <v>11</v>
      </c>
      <c r="M48" s="107">
        <f>L48</f>
        <v>11</v>
      </c>
      <c r="N48" s="107">
        <f>M48</f>
        <v>11</v>
      </c>
      <c r="O48" s="107">
        <f>N48</f>
        <v>11</v>
      </c>
      <c r="R48"/>
    </row>
    <row r="49" spans="1:18" ht="15" customHeight="1" x14ac:dyDescent="0.25">
      <c r="A49" s="43"/>
      <c r="B49" s="43"/>
      <c r="C49" s="92"/>
      <c r="D49" s="92"/>
      <c r="E49" s="92"/>
      <c r="F49" s="92"/>
      <c r="G49" s="43"/>
      <c r="H49" s="70"/>
      <c r="I49" s="70"/>
      <c r="J49" s="70"/>
      <c r="K49" s="70"/>
      <c r="L49" s="70"/>
      <c r="M49" s="70"/>
      <c r="N49" s="70"/>
      <c r="O49" s="70"/>
      <c r="R49"/>
    </row>
    <row r="50" spans="1:18" ht="15" customHeight="1" x14ac:dyDescent="0.25">
      <c r="A50" s="43"/>
      <c r="B50" s="43"/>
      <c r="C50" s="75" t="s">
        <v>95</v>
      </c>
      <c r="D50" s="75"/>
      <c r="E50" s="75"/>
      <c r="F50" s="75"/>
      <c r="G50" s="75"/>
      <c r="H50" s="108">
        <f>-(H89*10^6)/H33</f>
        <v>38545.454545454544</v>
      </c>
      <c r="I50" s="108">
        <f>-(I89*10^6)/I33</f>
        <v>38928.571428571428</v>
      </c>
      <c r="J50" s="108">
        <f>-(J89*10^6)/J33</f>
        <v>39298.245614035084</v>
      </c>
      <c r="K50" s="78">
        <f>ROUND(+J50*(1+K51),0)</f>
        <v>40477</v>
      </c>
      <c r="L50" s="78">
        <f>ROUND(+K50*(1+L51),0)</f>
        <v>41691</v>
      </c>
      <c r="M50" s="78">
        <f>ROUND(+L50*(1+M51),0)</f>
        <v>42733</v>
      </c>
      <c r="N50" s="78">
        <f>ROUND(+M50*(1+N51),0)</f>
        <v>43801</v>
      </c>
      <c r="O50" s="78">
        <f>ROUND(+N50*(1+O51),0)</f>
        <v>44677</v>
      </c>
      <c r="R50"/>
    </row>
    <row r="51" spans="1:18" ht="15" customHeight="1" x14ac:dyDescent="0.25">
      <c r="A51" s="43"/>
      <c r="B51" s="43"/>
      <c r="C51" s="81" t="str">
        <f>+"% growth: "&amp;CHOOSE($P$15,C52,C53)</f>
        <v>% growth: Base Case</v>
      </c>
      <c r="D51" s="81"/>
      <c r="E51" s="82"/>
      <c r="F51" s="82"/>
      <c r="G51" s="81"/>
      <c r="H51" s="94"/>
      <c r="I51" s="94">
        <f>IFERROR(I50/H50-1,"n.a.")</f>
        <v>9.9393530997304858E-3</v>
      </c>
      <c r="J51" s="95">
        <f>IFERROR(J50/I50-1,"n.a.")</f>
        <v>9.496217608240709E-3</v>
      </c>
      <c r="K51" s="94">
        <f>+CHOOSE($P$15,K52,K53)</f>
        <v>0.03</v>
      </c>
      <c r="L51" s="94">
        <f>+CHOOSE($P$15,L52,L53)</f>
        <v>0.03</v>
      </c>
      <c r="M51" s="94">
        <f>+CHOOSE($P$15,M52,M53)</f>
        <v>2.5000000000000001E-2</v>
      </c>
      <c r="N51" s="94">
        <f>+CHOOSE($P$15,N52,N53)</f>
        <v>2.5000000000000001E-2</v>
      </c>
      <c r="O51" s="94">
        <f>+CHOOSE($P$15,O52,O53)</f>
        <v>0.02</v>
      </c>
      <c r="R51"/>
    </row>
    <row r="52" spans="1:18" ht="15" customHeight="1" x14ac:dyDescent="0.25">
      <c r="A52" s="43"/>
      <c r="B52" s="43"/>
      <c r="C52" s="87" t="s">
        <v>88</v>
      </c>
      <c r="D52" s="87"/>
      <c r="E52" s="88"/>
      <c r="F52" s="88"/>
      <c r="G52" s="86"/>
      <c r="H52" s="103"/>
      <c r="I52" s="103"/>
      <c r="J52" s="104"/>
      <c r="K52" s="96">
        <v>0.03</v>
      </c>
      <c r="L52" s="96">
        <v>0.03</v>
      </c>
      <c r="M52" s="96">
        <v>2.5000000000000001E-2</v>
      </c>
      <c r="N52" s="96">
        <v>2.5000000000000001E-2</v>
      </c>
      <c r="O52" s="96">
        <v>0.02</v>
      </c>
      <c r="R52"/>
    </row>
    <row r="53" spans="1:18" ht="15" customHeight="1" x14ac:dyDescent="0.25">
      <c r="A53" s="43"/>
      <c r="B53" s="43"/>
      <c r="C53" s="87" t="s">
        <v>89</v>
      </c>
      <c r="D53" s="87"/>
      <c r="E53" s="88"/>
      <c r="F53" s="88"/>
      <c r="G53" s="86"/>
      <c r="H53" s="103"/>
      <c r="I53" s="103"/>
      <c r="J53" s="104"/>
      <c r="K53" s="96">
        <v>0.04</v>
      </c>
      <c r="L53" s="109">
        <f>K53</f>
        <v>0.04</v>
      </c>
      <c r="M53" s="109">
        <f>L53</f>
        <v>0.04</v>
      </c>
      <c r="N53" s="109">
        <f>M53</f>
        <v>0.04</v>
      </c>
      <c r="O53" s="109">
        <f>N53</f>
        <v>0.04</v>
      </c>
      <c r="R53"/>
    </row>
    <row r="54" spans="1:18" ht="15" customHeight="1" x14ac:dyDescent="0.25">
      <c r="A54" s="43"/>
      <c r="B54" s="43"/>
      <c r="C54" s="92"/>
      <c r="D54" s="92"/>
      <c r="E54" s="92"/>
      <c r="F54" s="92"/>
      <c r="G54" s="43"/>
      <c r="H54" s="70"/>
      <c r="I54" s="70"/>
      <c r="J54" s="70"/>
      <c r="K54" s="70"/>
      <c r="L54" s="70"/>
      <c r="M54" s="70"/>
      <c r="N54" s="70"/>
      <c r="O54" s="70"/>
      <c r="R54"/>
    </row>
    <row r="55" spans="1:18" ht="15" customHeight="1" x14ac:dyDescent="0.25">
      <c r="A55" s="43"/>
      <c r="B55" s="43"/>
      <c r="C55" s="75" t="s">
        <v>96</v>
      </c>
      <c r="D55" s="75"/>
      <c r="E55" s="75"/>
      <c r="F55" s="75"/>
      <c r="G55" s="75"/>
      <c r="H55" s="108"/>
      <c r="I55"/>
      <c r="J55"/>
      <c r="K55" s="78">
        <f>K56*K$73</f>
        <v>-1460.7495019832525</v>
      </c>
      <c r="L55" s="78">
        <f>L56*L73</f>
        <v>-1487.4368579286026</v>
      </c>
      <c r="M55" s="78">
        <f>M56*M73</f>
        <v>-1519.4326268312468</v>
      </c>
      <c r="N55" s="78">
        <f>N56*N73</f>
        <v>-1555.6007182007043</v>
      </c>
      <c r="O55" s="78">
        <f>O56*O73</f>
        <v>-1593.256961620433</v>
      </c>
      <c r="R55"/>
    </row>
    <row r="56" spans="1:18" ht="15" customHeight="1" x14ac:dyDescent="0.25">
      <c r="A56" s="43"/>
      <c r="B56" s="43"/>
      <c r="C56" s="81" t="str">
        <f>+"% sales: "&amp;CHOOSE($P$15,C57,C58)</f>
        <v>% sales: Base Case</v>
      </c>
      <c r="D56" s="81"/>
      <c r="E56" s="82"/>
      <c r="F56" s="82"/>
      <c r="G56" s="81"/>
      <c r="H56" s="94"/>
      <c r="I56" s="110">
        <f>I124/I73</f>
        <v>-2.4319446723121772E-2</v>
      </c>
      <c r="J56" s="110">
        <f>I56</f>
        <v>-2.4319446723121772E-2</v>
      </c>
      <c r="K56" s="94">
        <f>+CHOOSE($P$15,K57,K58)</f>
        <v>-1.7999999999999999E-2</v>
      </c>
      <c r="L56" s="94">
        <f>+CHOOSE($P$15,L57,L58)</f>
        <v>-1.7999999999999999E-2</v>
      </c>
      <c r="M56" s="94">
        <f>+CHOOSE($P$15,M57,M58)</f>
        <v>-1.7999999999999999E-2</v>
      </c>
      <c r="N56" s="94">
        <f>+CHOOSE($P$15,N57,N58)</f>
        <v>-1.7999999999999999E-2</v>
      </c>
      <c r="O56" s="94">
        <f>+CHOOSE($P$15,O57,O58)</f>
        <v>-1.7999999999999999E-2</v>
      </c>
      <c r="R56"/>
    </row>
    <row r="57" spans="1:18" ht="15" customHeight="1" x14ac:dyDescent="0.25">
      <c r="A57" s="43"/>
      <c r="B57" s="43"/>
      <c r="C57" s="87" t="s">
        <v>88</v>
      </c>
      <c r="D57" s="87"/>
      <c r="E57" s="88"/>
      <c r="F57" s="88"/>
      <c r="G57" s="86"/>
      <c r="H57" s="103"/>
      <c r="I57" s="103"/>
      <c r="J57" s="104"/>
      <c r="K57" s="96">
        <v>-1.7999999999999999E-2</v>
      </c>
      <c r="L57" s="109">
        <f t="shared" ref="L57:O58" si="1">K57</f>
        <v>-1.7999999999999999E-2</v>
      </c>
      <c r="M57" s="109">
        <f t="shared" si="1"/>
        <v>-1.7999999999999999E-2</v>
      </c>
      <c r="N57" s="109">
        <f t="shared" si="1"/>
        <v>-1.7999999999999999E-2</v>
      </c>
      <c r="O57" s="109">
        <f t="shared" si="1"/>
        <v>-1.7999999999999999E-2</v>
      </c>
      <c r="R57"/>
    </row>
    <row r="58" spans="1:18" ht="15" customHeight="1" x14ac:dyDescent="0.25">
      <c r="A58" s="43"/>
      <c r="B58" s="43"/>
      <c r="C58" s="87" t="s">
        <v>89</v>
      </c>
      <c r="D58" s="87"/>
      <c r="E58" s="88"/>
      <c r="F58" s="88"/>
      <c r="G58" s="86"/>
      <c r="H58" s="103"/>
      <c r="I58" s="103"/>
      <c r="J58" s="104"/>
      <c r="K58" s="96">
        <v>-0.02</v>
      </c>
      <c r="L58" s="109">
        <f t="shared" si="1"/>
        <v>-0.02</v>
      </c>
      <c r="M58" s="109">
        <f t="shared" si="1"/>
        <v>-0.02</v>
      </c>
      <c r="N58" s="109">
        <f t="shared" si="1"/>
        <v>-0.02</v>
      </c>
      <c r="O58" s="109">
        <f t="shared" si="1"/>
        <v>-0.02</v>
      </c>
      <c r="R58"/>
    </row>
    <row r="59" spans="1:18" ht="15" customHeight="1" x14ac:dyDescent="0.25">
      <c r="A59" s="43"/>
      <c r="B59" s="43"/>
      <c r="C59" s="92"/>
      <c r="D59" s="92"/>
      <c r="E59" s="92"/>
      <c r="F59" s="92"/>
      <c r="G59" s="43"/>
      <c r="H59" s="70"/>
      <c r="I59" s="70"/>
      <c r="J59" s="70"/>
      <c r="K59" s="70"/>
      <c r="L59" s="70"/>
      <c r="M59" s="70"/>
      <c r="N59" s="70"/>
      <c r="O59" s="70"/>
      <c r="R59"/>
    </row>
    <row r="60" spans="1:18" ht="15" customHeight="1" x14ac:dyDescent="0.25">
      <c r="A60" s="43"/>
      <c r="B60" s="43"/>
      <c r="C60" s="75" t="s">
        <v>97</v>
      </c>
      <c r="D60" s="75"/>
      <c r="E60" s="75"/>
      <c r="F60" s="75"/>
      <c r="G60" s="75"/>
      <c r="H60" s="101"/>
      <c r="I60" s="101"/>
      <c r="J60" s="101">
        <f>J124-J56*J73</f>
        <v>-3.9756805532770159</v>
      </c>
      <c r="K60" s="78">
        <f>K61*K$73</f>
        <v>-486.91650066108423</v>
      </c>
      <c r="L60" s="78">
        <f>L61*L$73</f>
        <v>-495.81228597620094</v>
      </c>
      <c r="M60" s="78">
        <f>M61*M$73</f>
        <v>-506.47754227708236</v>
      </c>
      <c r="N60" s="78">
        <f>N61*N$73</f>
        <v>-518.53357273356812</v>
      </c>
      <c r="O60" s="78">
        <f>O61*O$73</f>
        <v>-531.08565387347767</v>
      </c>
      <c r="R60"/>
    </row>
    <row r="61" spans="1:18" ht="15" customHeight="1" x14ac:dyDescent="0.25">
      <c r="A61" s="43"/>
      <c r="B61" s="43"/>
      <c r="C61" s="81" t="str">
        <f>+"% sales: "&amp;CHOOSE($P$15,C62,C63)</f>
        <v>% sales: Base Case</v>
      </c>
      <c r="D61" s="81"/>
      <c r="E61" s="82"/>
      <c r="F61" s="82"/>
      <c r="G61" s="81"/>
      <c r="H61" s="94"/>
      <c r="I61" s="94"/>
      <c r="J61" s="94">
        <f>J60/J73</f>
        <v>-5.0173913441492918E-5</v>
      </c>
      <c r="K61" s="94">
        <f>+CHOOSE($P$15,K62,K63)</f>
        <v>-6.0000000000000001E-3</v>
      </c>
      <c r="L61" s="94">
        <f>+CHOOSE($P$15,L62,L63)</f>
        <v>-6.0000000000000001E-3</v>
      </c>
      <c r="M61" s="94">
        <f>+CHOOSE($P$15,M62,M63)</f>
        <v>-6.0000000000000001E-3</v>
      </c>
      <c r="N61" s="94">
        <f>+CHOOSE($P$15,N62,N63)</f>
        <v>-6.0000000000000001E-3</v>
      </c>
      <c r="O61" s="94">
        <f>+CHOOSE($P$15,O62,O63)</f>
        <v>-6.0000000000000001E-3</v>
      </c>
      <c r="R61"/>
    </row>
    <row r="62" spans="1:18" ht="15" customHeight="1" x14ac:dyDescent="0.25">
      <c r="A62" s="43"/>
      <c r="B62" s="43"/>
      <c r="C62" s="87" t="s">
        <v>88</v>
      </c>
      <c r="D62" s="87"/>
      <c r="E62" s="88"/>
      <c r="F62" s="88"/>
      <c r="G62" s="86"/>
      <c r="H62" s="103"/>
      <c r="I62" s="103"/>
      <c r="J62" s="104"/>
      <c r="K62" s="96">
        <v>-6.0000000000000001E-3</v>
      </c>
      <c r="L62" s="109">
        <f t="shared" ref="L62:O63" si="2">K62</f>
        <v>-6.0000000000000001E-3</v>
      </c>
      <c r="M62" s="109">
        <f t="shared" si="2"/>
        <v>-6.0000000000000001E-3</v>
      </c>
      <c r="N62" s="109">
        <f t="shared" si="2"/>
        <v>-6.0000000000000001E-3</v>
      </c>
      <c r="O62" s="109">
        <f t="shared" si="2"/>
        <v>-6.0000000000000001E-3</v>
      </c>
      <c r="R62"/>
    </row>
    <row r="63" spans="1:18" ht="15" customHeight="1" x14ac:dyDescent="0.25">
      <c r="A63" s="43"/>
      <c r="B63" s="43"/>
      <c r="C63" s="87" t="s">
        <v>89</v>
      </c>
      <c r="D63" s="87"/>
      <c r="E63" s="88"/>
      <c r="F63" s="88"/>
      <c r="G63" s="86"/>
      <c r="H63" s="103"/>
      <c r="I63" s="103"/>
      <c r="J63" s="104"/>
      <c r="K63" s="96">
        <v>-3.0000000000000001E-3</v>
      </c>
      <c r="L63" s="109">
        <f t="shared" si="2"/>
        <v>-3.0000000000000001E-3</v>
      </c>
      <c r="M63" s="109">
        <f t="shared" si="2"/>
        <v>-3.0000000000000001E-3</v>
      </c>
      <c r="N63" s="109">
        <f t="shared" si="2"/>
        <v>-3.0000000000000001E-3</v>
      </c>
      <c r="O63" s="109">
        <f t="shared" si="2"/>
        <v>-3.0000000000000001E-3</v>
      </c>
      <c r="R63"/>
    </row>
    <row r="64" spans="1:18" ht="15" customHeight="1" x14ac:dyDescent="0.25">
      <c r="A64" s="43"/>
      <c r="B64" s="43"/>
      <c r="C64" s="92"/>
      <c r="D64" s="92"/>
      <c r="E64" s="92"/>
      <c r="F64" s="92"/>
      <c r="G64" s="43"/>
      <c r="H64" s="70"/>
      <c r="I64" s="70"/>
      <c r="J64" s="70"/>
      <c r="K64" s="70"/>
      <c r="L64" s="70"/>
      <c r="M64" s="70"/>
      <c r="N64" s="70"/>
      <c r="O64" s="70"/>
      <c r="R64"/>
    </row>
    <row r="65" spans="1:28" ht="15" customHeight="1" x14ac:dyDescent="0.25">
      <c r="B65" t="s">
        <v>83</v>
      </c>
      <c r="C65" s="56" t="s">
        <v>98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 spans="1:28" ht="4.5" customHeight="1" x14ac:dyDescent="0.25">
      <c r="C66" s="72"/>
      <c r="D66" s="72"/>
      <c r="E66" s="72"/>
      <c r="F66" s="72"/>
      <c r="G66" s="72"/>
      <c r="H66" s="73"/>
      <c r="I66" s="73"/>
      <c r="J66" s="74"/>
      <c r="K66" s="73"/>
      <c r="L66" s="73"/>
      <c r="M66" s="73"/>
      <c r="N66" s="73"/>
      <c r="O66" s="73"/>
      <c r="R66" s="73"/>
    </row>
    <row r="67" spans="1:28" s="75" customFormat="1" ht="15" customHeight="1" x14ac:dyDescent="0.25">
      <c r="C67" s="75" t="s">
        <v>99</v>
      </c>
      <c r="H67" s="76">
        <v>73000</v>
      </c>
      <c r="I67" s="76">
        <v>74700</v>
      </c>
      <c r="J67" s="77">
        <v>75000</v>
      </c>
      <c r="K67" s="78">
        <f>K23*K42</f>
        <v>76292.750110180699</v>
      </c>
      <c r="L67" s="78">
        <f>L23*L42</f>
        <v>77641.460996033493</v>
      </c>
      <c r="M67" s="78">
        <f>M23*M42</f>
        <v>79281.670912847054</v>
      </c>
      <c r="N67" s="78">
        <f>N23*N42</f>
        <v>81150.180778261347</v>
      </c>
      <c r="O67" s="78">
        <f>O23*O42</f>
        <v>83097.785116939616</v>
      </c>
      <c r="P67"/>
      <c r="Q67" s="79">
        <f>IFERROR((J67/H67)^0.5-1,"n.a.")</f>
        <v>1.3606067599228888E-2</v>
      </c>
      <c r="R67" s="79">
        <f>IFERROR((O67/J67)^(1/5)-1,"n.a.")</f>
        <v>2.0717679209412143E-2</v>
      </c>
    </row>
    <row r="68" spans="1:28" s="80" customFormat="1" ht="15" customHeight="1" x14ac:dyDescent="0.25">
      <c r="C68" s="111" t="str">
        <f>+"% growth: "&amp;CHOOSE($P$15,C43,C44)</f>
        <v>% growth: Base Case</v>
      </c>
      <c r="D68" s="81"/>
      <c r="E68" s="82"/>
      <c r="F68" s="82"/>
      <c r="G68" s="81"/>
      <c r="H68" s="94"/>
      <c r="I68" s="94">
        <f t="shared" ref="I68:O68" si="3">IFERROR(I67/H67-1,"n.a.")</f>
        <v>2.3287671232876672E-2</v>
      </c>
      <c r="J68" s="95">
        <f t="shared" si="3"/>
        <v>4.0160642570281624E-3</v>
      </c>
      <c r="K68" s="94">
        <f t="shared" si="3"/>
        <v>1.7236668135742761E-2</v>
      </c>
      <c r="L68" s="94">
        <f t="shared" si="3"/>
        <v>1.7678100263852192E-2</v>
      </c>
      <c r="M68" s="94">
        <f t="shared" si="3"/>
        <v>2.1125438596490964E-2</v>
      </c>
      <c r="N68" s="94">
        <f t="shared" si="3"/>
        <v>2.3567993003935417E-2</v>
      </c>
      <c r="O68" s="94">
        <f t="shared" si="3"/>
        <v>2.4000000000000021E-2</v>
      </c>
      <c r="P68"/>
      <c r="Q68" s="85"/>
      <c r="R68" s="85"/>
    </row>
    <row r="69" spans="1:28" s="75" customFormat="1" ht="15" customHeight="1" x14ac:dyDescent="0.25">
      <c r="H69" s="112"/>
      <c r="I69" s="112"/>
      <c r="J69" s="113"/>
      <c r="K69" s="4"/>
      <c r="L69" s="4"/>
      <c r="M69" s="4"/>
      <c r="N69" s="4"/>
      <c r="O69" s="4"/>
      <c r="P69"/>
      <c r="Q69"/>
      <c r="R69"/>
    </row>
    <row r="70" spans="1:28" s="75" customFormat="1" ht="15" customHeight="1" x14ac:dyDescent="0.25">
      <c r="C70" s="75" t="s">
        <v>100</v>
      </c>
      <c r="H70" s="76">
        <v>4650</v>
      </c>
      <c r="I70" s="76">
        <v>4537</v>
      </c>
      <c r="J70" s="77">
        <v>4238</v>
      </c>
      <c r="K70" s="78">
        <f>K28*K46</f>
        <v>4860</v>
      </c>
      <c r="L70" s="78">
        <f>L28*L46</f>
        <v>4993.92</v>
      </c>
      <c r="M70" s="78">
        <f>M28*M46</f>
        <v>5131.2528000000002</v>
      </c>
      <c r="N70" s="78">
        <f>N28*N46</f>
        <v>5272.0813440000002</v>
      </c>
      <c r="O70" s="78">
        <f>O28*O46</f>
        <v>5416.4905286399999</v>
      </c>
      <c r="P70"/>
      <c r="Q70" s="79">
        <f>IFERROR((J70/H70)^0.5-1,"n.a.")</f>
        <v>-4.5328407533582471E-2</v>
      </c>
      <c r="R70" s="79">
        <f>IFERROR((O70/J70)^(1/5)-1,"n.a.")</f>
        <v>5.0295263937066403E-2</v>
      </c>
    </row>
    <row r="71" spans="1:28" s="80" customFormat="1" ht="15" customHeight="1" x14ac:dyDescent="0.25">
      <c r="C71" s="111" t="str">
        <f>+"% growth: "&amp;CHOOSE($P$15,C47,C48)</f>
        <v>% growth: Base Case</v>
      </c>
      <c r="D71" s="81"/>
      <c r="E71" s="82"/>
      <c r="F71" s="82"/>
      <c r="G71" s="81"/>
      <c r="H71" s="94"/>
      <c r="I71" s="94">
        <f t="shared" ref="I71:O71" si="4">IFERROR(I70/H70-1,"n.a.")</f>
        <v>-2.4301075268817196E-2</v>
      </c>
      <c r="J71" s="95">
        <f t="shared" si="4"/>
        <v>-6.5902578796561584E-2</v>
      </c>
      <c r="K71" s="94">
        <f t="shared" si="4"/>
        <v>0.14676734308636141</v>
      </c>
      <c r="L71" s="94">
        <f t="shared" si="4"/>
        <v>2.7555555555555555E-2</v>
      </c>
      <c r="M71" s="94">
        <f t="shared" si="4"/>
        <v>2.750000000000008E-2</v>
      </c>
      <c r="N71" s="94">
        <f t="shared" si="4"/>
        <v>2.7445255474452646E-2</v>
      </c>
      <c r="O71" s="94">
        <f t="shared" si="4"/>
        <v>2.7391304347825995E-2</v>
      </c>
      <c r="P71"/>
      <c r="Q71" s="85"/>
      <c r="R71" s="85"/>
    </row>
    <row r="72" spans="1:28" s="75" customFormat="1" ht="15" customHeight="1" x14ac:dyDescent="0.25">
      <c r="H72" s="94">
        <f t="shared" ref="H72:O72" si="5">H70/H67</f>
        <v>6.3698630136986303E-2</v>
      </c>
      <c r="I72" s="94">
        <f t="shared" si="5"/>
        <v>6.0736278447121823E-2</v>
      </c>
      <c r="J72" s="94">
        <f t="shared" si="5"/>
        <v>5.6506666666666663E-2</v>
      </c>
      <c r="K72" s="94">
        <f t="shared" si="5"/>
        <v>6.3701989939820888E-2</v>
      </c>
      <c r="L72" s="94">
        <f t="shared" si="5"/>
        <v>6.4320273420088364E-2</v>
      </c>
      <c r="M72" s="94">
        <f t="shared" si="5"/>
        <v>6.4721804433722094E-2</v>
      </c>
      <c r="N72" s="94">
        <f t="shared" si="5"/>
        <v>6.4966969801406704E-2</v>
      </c>
      <c r="O72" s="94">
        <f t="shared" si="5"/>
        <v>6.518212875370416E-2</v>
      </c>
      <c r="P72"/>
      <c r="Q72"/>
      <c r="R72"/>
    </row>
    <row r="73" spans="1:28" s="75" customFormat="1" ht="15" customHeight="1" x14ac:dyDescent="0.25">
      <c r="A73" s="114"/>
      <c r="B73" s="114"/>
      <c r="C73" s="115" t="s">
        <v>101</v>
      </c>
      <c r="D73" s="116"/>
      <c r="E73" s="116"/>
      <c r="F73" s="116"/>
      <c r="G73"/>
      <c r="H73" s="117">
        <f t="shared" ref="H73:O73" si="6">H67+H70</f>
        <v>77650</v>
      </c>
      <c r="I73" s="117">
        <f t="shared" si="6"/>
        <v>79237</v>
      </c>
      <c r="J73" s="118">
        <f t="shared" si="6"/>
        <v>79238</v>
      </c>
      <c r="K73" s="117">
        <f t="shared" si="6"/>
        <v>81152.750110180699</v>
      </c>
      <c r="L73" s="117">
        <f t="shared" si="6"/>
        <v>82635.380996033491</v>
      </c>
      <c r="M73" s="117">
        <f t="shared" si="6"/>
        <v>84412.923712847056</v>
      </c>
      <c r="N73" s="117">
        <f t="shared" si="6"/>
        <v>86422.262122261352</v>
      </c>
      <c r="O73" s="117">
        <f t="shared" si="6"/>
        <v>88514.275645579619</v>
      </c>
      <c r="P73"/>
      <c r="Q73" s="119">
        <f>IFERROR((J73/H73)^0.5-1,"n.a.")</f>
        <v>1.0173618989455457E-2</v>
      </c>
      <c r="R73" s="119">
        <f>IFERROR((O73/J73)^(1/5)-1,"n.a.")</f>
        <v>2.2388516630347022E-2</v>
      </c>
      <c r="T73" s="238" t="s">
        <v>169</v>
      </c>
    </row>
    <row r="74" spans="1:28" s="86" customFormat="1" ht="15" customHeight="1" x14ac:dyDescent="0.25">
      <c r="C74" s="81" t="s">
        <v>102</v>
      </c>
      <c r="D74" s="81"/>
      <c r="E74" s="82"/>
      <c r="F74" s="82"/>
      <c r="G74" s="81"/>
      <c r="H74" s="94"/>
      <c r="I74" s="94">
        <f t="shared" ref="I74:O74" si="7">IFERROR(I73/H73-1,"n.a.")</f>
        <v>2.0437862202189239E-2</v>
      </c>
      <c r="J74" s="95">
        <f t="shared" si="7"/>
        <v>1.2620366747873035E-5</v>
      </c>
      <c r="K74" s="94">
        <f t="shared" si="7"/>
        <v>2.4164543655578186E-2</v>
      </c>
      <c r="L74" s="94">
        <f t="shared" si="7"/>
        <v>1.8269632068412145E-2</v>
      </c>
      <c r="M74" s="94">
        <f t="shared" si="7"/>
        <v>2.1510673701605976E-2</v>
      </c>
      <c r="N74" s="94">
        <f t="shared" si="7"/>
        <v>2.3803682197403697E-2</v>
      </c>
      <c r="O74" s="94">
        <f t="shared" si="7"/>
        <v>2.4206882254004247E-2</v>
      </c>
      <c r="P74"/>
      <c r="Q74" s="85"/>
      <c r="R74" s="85"/>
    </row>
    <row r="75" spans="1:28" ht="15" customHeight="1" x14ac:dyDescent="0.25">
      <c r="A75" s="43"/>
      <c r="B75" s="43"/>
      <c r="C75" s="92"/>
      <c r="D75" s="92"/>
      <c r="E75" s="92"/>
      <c r="F75" s="92"/>
      <c r="G75" s="43"/>
      <c r="H75"/>
      <c r="I75" s="70"/>
      <c r="J75" s="69"/>
      <c r="K75" s="70"/>
      <c r="L75" s="70"/>
      <c r="M75" s="70"/>
      <c r="N75" s="70"/>
      <c r="O75" s="70"/>
      <c r="R75"/>
    </row>
    <row r="76" spans="1:28" s="75" customFormat="1" ht="15" customHeight="1" x14ac:dyDescent="0.25">
      <c r="C76" s="120" t="s">
        <v>103</v>
      </c>
      <c r="D76" s="121"/>
      <c r="E76" s="121"/>
      <c r="F76" s="121"/>
      <c r="H76" s="76">
        <v>-55892</v>
      </c>
      <c r="I76" s="76">
        <v>-57052</v>
      </c>
      <c r="J76" s="77">
        <v>-57051</v>
      </c>
      <c r="K76" s="78">
        <f>K77*K$73</f>
        <v>-58105.36907888938</v>
      </c>
      <c r="L76" s="78">
        <f>L77*L$73</f>
        <v>-58919.02665017188</v>
      </c>
      <c r="M76" s="78">
        <f>M77*M$73</f>
        <v>-59933.175836121409</v>
      </c>
      <c r="N76" s="78">
        <f>N77*N$73</f>
        <v>-61100.539320438773</v>
      </c>
      <c r="O76" s="78">
        <f>O77*O$73</f>
        <v>-62314.050054488049</v>
      </c>
      <c r="P76"/>
      <c r="Q76" s="79">
        <f>IFERROR((J76/H76)^0.5-1,"n.a.")</f>
        <v>1.0315010399742697E-2</v>
      </c>
      <c r="R76" s="79">
        <f>IFERROR((O76/J76)^(1/5)-1,"n.a.")</f>
        <v>1.7804914440792352E-2</v>
      </c>
      <c r="T76" s="80"/>
      <c r="W76"/>
      <c r="X76"/>
      <c r="Y76"/>
      <c r="Z76"/>
      <c r="AA76"/>
      <c r="AB76"/>
    </row>
    <row r="77" spans="1:28" s="80" customFormat="1" ht="15" customHeight="1" x14ac:dyDescent="0.25">
      <c r="A77" s="86"/>
      <c r="B77" s="86"/>
      <c r="C77" s="122" t="str">
        <f>+"% of revenues: "&amp;CHOOSE($P$15,C78,C79)</f>
        <v>% of revenues: Base Case</v>
      </c>
      <c r="D77" s="82"/>
      <c r="E77" s="82"/>
      <c r="F77" s="82"/>
      <c r="G77" s="86"/>
      <c r="H77" s="94">
        <f>H76/H$73</f>
        <v>-0.71979394719896972</v>
      </c>
      <c r="I77" s="94">
        <f>I76/I$73</f>
        <v>-0.72001716369877711</v>
      </c>
      <c r="J77" s="95">
        <f>J76/J$73</f>
        <v>-0.71999545672530851</v>
      </c>
      <c r="K77" s="94">
        <f>+CHOOSE($P$15,K78,K79)</f>
        <v>-0.71599999999999997</v>
      </c>
      <c r="L77" s="94">
        <f>+CHOOSE($P$15,L78,L79)</f>
        <v>-0.71299999999999997</v>
      </c>
      <c r="M77" s="94">
        <f>+CHOOSE($P$15,M78,M79)</f>
        <v>-0.71</v>
      </c>
      <c r="N77" s="94">
        <f>+CHOOSE($P$15,N78,N79)</f>
        <v>-0.70699999999999996</v>
      </c>
      <c r="O77" s="94">
        <f>+CHOOSE($P$15,O78,O79)</f>
        <v>-0.70399999999999996</v>
      </c>
      <c r="P77"/>
      <c r="Q77" s="85"/>
      <c r="R77" s="85"/>
      <c r="W77"/>
      <c r="X77"/>
      <c r="Y77"/>
      <c r="Z77"/>
      <c r="AA77"/>
      <c r="AB77"/>
    </row>
    <row r="78" spans="1:28" s="80" customFormat="1" ht="15" customHeight="1" x14ac:dyDescent="0.25">
      <c r="A78" s="86"/>
      <c r="B78" s="86"/>
      <c r="C78" s="123" t="s">
        <v>88</v>
      </c>
      <c r="D78" s="88"/>
      <c r="E78" s="88"/>
      <c r="F78" s="88"/>
      <c r="G78" s="86"/>
      <c r="H78" s="85"/>
      <c r="I78" s="85"/>
      <c r="J78" s="89"/>
      <c r="K78" s="124">
        <v>-0.71599999999999997</v>
      </c>
      <c r="L78" s="124">
        <v>-0.71299999999999997</v>
      </c>
      <c r="M78" s="124">
        <v>-0.71</v>
      </c>
      <c r="N78" s="124">
        <v>-0.70699999999999996</v>
      </c>
      <c r="O78" s="124">
        <v>-0.70399999999999996</v>
      </c>
      <c r="P78"/>
      <c r="Q78" s="85"/>
      <c r="R78" s="85"/>
      <c r="T78"/>
      <c r="U78" s="124">
        <v>0</v>
      </c>
      <c r="W78"/>
      <c r="X78"/>
      <c r="Y78"/>
      <c r="Z78"/>
      <c r="AA78"/>
      <c r="AB78"/>
    </row>
    <row r="79" spans="1:28" s="80" customFormat="1" ht="15" customHeight="1" x14ac:dyDescent="0.25">
      <c r="A79" s="86"/>
      <c r="B79" s="86"/>
      <c r="C79" s="123" t="s">
        <v>89</v>
      </c>
      <c r="D79" s="88"/>
      <c r="E79" s="88"/>
      <c r="F79" s="88"/>
      <c r="G79" s="86"/>
      <c r="H79" s="85"/>
      <c r="I79" s="85"/>
      <c r="J79" s="89"/>
      <c r="K79" s="124">
        <v>-0.73</v>
      </c>
      <c r="L79" s="124">
        <v>-0.73199999999999998</v>
      </c>
      <c r="M79" s="124">
        <v>-0.73299999999999998</v>
      </c>
      <c r="N79" s="124">
        <v>-0.73399999999999999</v>
      </c>
      <c r="O79" s="124">
        <v>-0.73499999999999999</v>
      </c>
      <c r="P79"/>
      <c r="Q79" s="85"/>
      <c r="R79" s="85"/>
      <c r="T79" s="75"/>
      <c r="W79"/>
      <c r="X79"/>
      <c r="Y79"/>
      <c r="Z79"/>
      <c r="AA79"/>
      <c r="AB79"/>
    </row>
    <row r="80" spans="1:28" s="75" customFormat="1" ht="15" customHeight="1" x14ac:dyDescent="0.25">
      <c r="H80" s="112"/>
      <c r="I80" s="112"/>
      <c r="J80" s="113"/>
      <c r="K80" s="4"/>
      <c r="L80" s="4"/>
      <c r="M80" s="4"/>
      <c r="N80" s="4"/>
      <c r="O80" s="4"/>
      <c r="P80"/>
      <c r="Q80"/>
      <c r="R80"/>
      <c r="W80"/>
      <c r="X80"/>
      <c r="Y80"/>
      <c r="Z80"/>
      <c r="AA80"/>
      <c r="AB80"/>
    </row>
    <row r="81" spans="1:28" s="75" customFormat="1" ht="15" customHeight="1" x14ac:dyDescent="0.25">
      <c r="A81" s="114"/>
      <c r="B81" s="114"/>
      <c r="C81" s="115" t="s">
        <v>104</v>
      </c>
      <c r="D81" s="116"/>
      <c r="E81" s="116"/>
      <c r="F81" s="116"/>
      <c r="G81"/>
      <c r="H81" s="117">
        <f t="shared" ref="H81:O81" si="8">+H73+H76</f>
        <v>21758</v>
      </c>
      <c r="I81" s="117">
        <f t="shared" si="8"/>
        <v>22185</v>
      </c>
      <c r="J81" s="118">
        <f t="shared" si="8"/>
        <v>22187</v>
      </c>
      <c r="K81" s="117">
        <f t="shared" si="8"/>
        <v>23047.381031291319</v>
      </c>
      <c r="L81" s="117">
        <f t="shared" si="8"/>
        <v>23716.354345861611</v>
      </c>
      <c r="M81" s="117">
        <f t="shared" si="8"/>
        <v>24479.747876725647</v>
      </c>
      <c r="N81" s="117">
        <f t="shared" si="8"/>
        <v>25321.72280182258</v>
      </c>
      <c r="O81" s="117">
        <f t="shared" si="8"/>
        <v>26200.22559109157</v>
      </c>
      <c r="P81"/>
      <c r="Q81" s="119">
        <f>IFERROR((J81/H81)^0.5-1,"n.a.")</f>
        <v>9.8103216659923831E-3</v>
      </c>
      <c r="R81" s="119">
        <f>IFERROR((O81/J81)^(1/5)-1,"n.a.")</f>
        <v>3.3811334729599185E-2</v>
      </c>
      <c r="T81" s="238" t="s">
        <v>169</v>
      </c>
      <c r="W81"/>
      <c r="X81"/>
      <c r="Y81"/>
      <c r="Z81"/>
      <c r="AA81"/>
      <c r="AB81"/>
    </row>
    <row r="82" spans="1:28" s="86" customFormat="1" ht="15" customHeight="1" x14ac:dyDescent="0.25">
      <c r="C82" s="81" t="s">
        <v>105</v>
      </c>
      <c r="D82" s="81"/>
      <c r="E82" s="82"/>
      <c r="F82" s="82"/>
      <c r="G82" s="81"/>
      <c r="H82" s="94">
        <f t="shared" ref="H82:O82" si="9">+H81/H73</f>
        <v>0.28020605280103028</v>
      </c>
      <c r="I82" s="94">
        <f t="shared" si="9"/>
        <v>0.27998283630122289</v>
      </c>
      <c r="J82" s="95">
        <f t="shared" si="9"/>
        <v>0.28000454327469143</v>
      </c>
      <c r="K82" s="94">
        <f t="shared" si="9"/>
        <v>0.28400000000000003</v>
      </c>
      <c r="L82" s="94">
        <f t="shared" si="9"/>
        <v>0.28699999999999998</v>
      </c>
      <c r="M82" s="94">
        <f t="shared" si="9"/>
        <v>0.29000000000000004</v>
      </c>
      <c r="N82" s="94">
        <f t="shared" si="9"/>
        <v>0.29300000000000004</v>
      </c>
      <c r="O82" s="94">
        <f t="shared" si="9"/>
        <v>0.29600000000000004</v>
      </c>
      <c r="P82"/>
      <c r="Q82" s="85"/>
      <c r="R82" s="85"/>
      <c r="W82"/>
      <c r="X82"/>
      <c r="Y82"/>
      <c r="Z82"/>
      <c r="AA82"/>
      <c r="AB82"/>
    </row>
    <row r="83" spans="1:28" ht="15" customHeight="1" x14ac:dyDescent="0.25">
      <c r="A83" s="43"/>
      <c r="B83" s="43"/>
      <c r="C83" s="125"/>
      <c r="D83" s="92"/>
      <c r="E83" s="92"/>
      <c r="F83" s="92"/>
      <c r="G83" s="43"/>
      <c r="H83" s="70"/>
      <c r="I83" s="70"/>
      <c r="J83" s="69"/>
      <c r="K83" s="70"/>
      <c r="L83" s="70"/>
      <c r="M83" s="70"/>
      <c r="N83" s="70"/>
      <c r="O83" s="70"/>
      <c r="R83"/>
    </row>
    <row r="84" spans="1:28" s="75" customFormat="1" ht="15" customHeight="1" x14ac:dyDescent="0.25">
      <c r="C84" s="126" t="s">
        <v>106</v>
      </c>
      <c r="D84" s="121"/>
      <c r="E84" s="121"/>
      <c r="F84" s="121"/>
      <c r="G84"/>
      <c r="H84" s="76">
        <v>180</v>
      </c>
      <c r="I84" s="76">
        <v>170</v>
      </c>
      <c r="J84" s="77">
        <v>160</v>
      </c>
      <c r="K84" s="78">
        <f>K85*K$73</f>
        <v>162.30550022036141</v>
      </c>
      <c r="L84" s="78">
        <f>L85*L$73</f>
        <v>165.27076199206698</v>
      </c>
      <c r="M84" s="78">
        <f>M85*M$73</f>
        <v>168.82584742569412</v>
      </c>
      <c r="N84" s="78">
        <f>N85*N$73</f>
        <v>172.84452424452272</v>
      </c>
      <c r="O84" s="78">
        <f>O85*O$73</f>
        <v>177.02855129115923</v>
      </c>
      <c r="P84"/>
      <c r="Q84" s="79">
        <f>IFERROR((J84/H84)^0.5-1,"n.a.")</f>
        <v>-5.7190958417936644E-2</v>
      </c>
      <c r="R84" s="79">
        <f>IFERROR((O84/J84)^(1/5)-1,"n.a.")</f>
        <v>2.0433403265946337E-2</v>
      </c>
      <c r="W84"/>
      <c r="X84"/>
      <c r="Y84"/>
      <c r="Z84"/>
      <c r="AA84"/>
      <c r="AB84"/>
    </row>
    <row r="85" spans="1:28" s="80" customFormat="1" ht="15" customHeight="1" x14ac:dyDescent="0.25">
      <c r="A85" s="86"/>
      <c r="B85" s="86"/>
      <c r="C85" s="111" t="str">
        <f>+"% of revenues: "&amp;CHOOSE($P$15,C86,C87)</f>
        <v>% of revenues: Base Case</v>
      </c>
      <c r="D85" s="82"/>
      <c r="E85" s="82"/>
      <c r="F85" s="82"/>
      <c r="G85"/>
      <c r="H85" s="94">
        <f>H84/H$73</f>
        <v>2.31809401159047E-3</v>
      </c>
      <c r="I85" s="94">
        <f>I84/I$73</f>
        <v>2.1454623471358078E-3</v>
      </c>
      <c r="J85" s="95">
        <f>J84/J$73</f>
        <v>2.0192331961937453E-3</v>
      </c>
      <c r="K85" s="94">
        <f>+CHOOSE($P$15,K86,K87)</f>
        <v>2E-3</v>
      </c>
      <c r="L85" s="94">
        <f>+CHOOSE($P$15,L86,L87)</f>
        <v>2E-3</v>
      </c>
      <c r="M85" s="94">
        <f>+CHOOSE($P$15,M86,M87)</f>
        <v>2E-3</v>
      </c>
      <c r="N85" s="94">
        <f>+CHOOSE($P$15,N86,N87)</f>
        <v>2E-3</v>
      </c>
      <c r="O85" s="94">
        <f>+CHOOSE($P$15,O86,O87)</f>
        <v>2E-3</v>
      </c>
      <c r="P85"/>
      <c r="Q85" s="85"/>
      <c r="R85" s="85"/>
      <c r="W85"/>
      <c r="X85"/>
      <c r="Y85"/>
      <c r="Z85"/>
      <c r="AA85"/>
      <c r="AB85"/>
    </row>
    <row r="86" spans="1:28" s="80" customFormat="1" ht="15" customHeight="1" x14ac:dyDescent="0.25">
      <c r="A86" s="86"/>
      <c r="B86" s="86"/>
      <c r="C86" s="81" t="s">
        <v>88</v>
      </c>
      <c r="D86" s="88"/>
      <c r="E86" s="88"/>
      <c r="F86" s="88"/>
      <c r="G86"/>
      <c r="H86" s="85"/>
      <c r="I86" s="85"/>
      <c r="J86" s="89"/>
      <c r="K86" s="124">
        <v>2E-3</v>
      </c>
      <c r="L86" s="127">
        <f t="shared" ref="L86:O87" si="10">K86</f>
        <v>2E-3</v>
      </c>
      <c r="M86" s="127">
        <f t="shared" si="10"/>
        <v>2E-3</v>
      </c>
      <c r="N86" s="127">
        <f t="shared" si="10"/>
        <v>2E-3</v>
      </c>
      <c r="O86" s="127">
        <f t="shared" si="10"/>
        <v>2E-3</v>
      </c>
      <c r="P86"/>
      <c r="Q86" s="85"/>
      <c r="R86" s="85"/>
      <c r="W86"/>
      <c r="X86"/>
      <c r="Y86"/>
      <c r="Z86"/>
      <c r="AA86"/>
      <c r="AB86"/>
    </row>
    <row r="87" spans="1:28" s="80" customFormat="1" ht="15" customHeight="1" x14ac:dyDescent="0.25">
      <c r="A87" s="86"/>
      <c r="B87" s="86"/>
      <c r="C87" s="81" t="s">
        <v>89</v>
      </c>
      <c r="D87" s="88"/>
      <c r="E87" s="88"/>
      <c r="F87" s="88"/>
      <c r="G87"/>
      <c r="H87" s="85"/>
      <c r="I87" s="85"/>
      <c r="J87" s="89"/>
      <c r="K87" s="124">
        <v>2E-3</v>
      </c>
      <c r="L87" s="127">
        <f t="shared" si="10"/>
        <v>2E-3</v>
      </c>
      <c r="M87" s="127">
        <f t="shared" si="10"/>
        <v>2E-3</v>
      </c>
      <c r="N87" s="127">
        <f t="shared" si="10"/>
        <v>2E-3</v>
      </c>
      <c r="O87" s="127">
        <f t="shared" si="10"/>
        <v>2E-3</v>
      </c>
      <c r="P87"/>
      <c r="Q87" s="85"/>
      <c r="R87" s="85"/>
    </row>
    <row r="88" spans="1:28" ht="15" customHeight="1" x14ac:dyDescent="0.25">
      <c r="A88" s="43"/>
      <c r="B88" s="43"/>
      <c r="C88" s="125"/>
      <c r="D88" s="92"/>
      <c r="E88" s="92"/>
      <c r="F88" s="92"/>
      <c r="G88" s="43"/>
      <c r="H88" s="70"/>
      <c r="I88" s="70"/>
      <c r="J88" s="69"/>
      <c r="K88" s="70"/>
      <c r="L88" s="70"/>
      <c r="M88" s="70"/>
      <c r="N88" s="70"/>
      <c r="O88" s="70"/>
      <c r="R88"/>
    </row>
    <row r="89" spans="1:28" s="75" customFormat="1" ht="15" customHeight="1" x14ac:dyDescent="0.25">
      <c r="C89" s="128" t="s">
        <v>107</v>
      </c>
      <c r="D89" s="121"/>
      <c r="E89" s="121"/>
      <c r="F89" s="121"/>
      <c r="G89"/>
      <c r="H89" s="76">
        <v>-10600</v>
      </c>
      <c r="I89" s="76">
        <v>-10900</v>
      </c>
      <c r="J89" s="77">
        <v>-11200</v>
      </c>
      <c r="K89" s="78">
        <f>-K50*K33/10^6</f>
        <v>-11593.624725</v>
      </c>
      <c r="L89" s="78">
        <f>-L50*L33/10^6</f>
        <v>-12001.046187</v>
      </c>
      <c r="M89" s="78">
        <f>-M50*M33/10^6</f>
        <v>-12362.485968000001</v>
      </c>
      <c r="N89" s="78">
        <f>-N50*N33/10^6</f>
        <v>-12734.790342</v>
      </c>
      <c r="O89" s="78">
        <f>-O50*O33/10^6</f>
        <v>-13054.440692</v>
      </c>
      <c r="P89"/>
      <c r="Q89" s="79">
        <f>IFERROR((J89/H89)^0.5-1,"n.a.")</f>
        <v>2.7912337500093365E-2</v>
      </c>
      <c r="R89" s="79">
        <f>IFERROR((O89/J89)^(1/5)-1,"n.a.")</f>
        <v>3.1117242773235798E-2</v>
      </c>
      <c r="T89" s="238" t="s">
        <v>170</v>
      </c>
    </row>
    <row r="90" spans="1:28" s="80" customFormat="1" ht="15" customHeight="1" x14ac:dyDescent="0.25">
      <c r="A90" s="86"/>
      <c r="B90" s="86"/>
      <c r="C90" s="81" t="str">
        <f>+"% of revenues: "&amp;CHOOSE($P$15,C86,C87)</f>
        <v>% of revenues: Base Case</v>
      </c>
      <c r="D90" s="82"/>
      <c r="E90" s="82"/>
      <c r="F90" s="82"/>
      <c r="G90"/>
      <c r="H90" s="94">
        <f t="shared" ref="H90:O90" si="11">H89/H$73</f>
        <v>-0.13650998068254991</v>
      </c>
      <c r="I90" s="94">
        <f t="shared" si="11"/>
        <v>-0.13756199755164886</v>
      </c>
      <c r="J90" s="95">
        <f t="shared" si="11"/>
        <v>-0.14134632373356218</v>
      </c>
      <c r="K90" s="94">
        <f t="shared" si="11"/>
        <v>-0.14286176019000454</v>
      </c>
      <c r="L90" s="94">
        <f t="shared" si="11"/>
        <v>-0.14522890851772138</v>
      </c>
      <c r="M90" s="94">
        <f t="shared" si="11"/>
        <v>-0.14645252674879827</v>
      </c>
      <c r="N90" s="94">
        <f t="shared" si="11"/>
        <v>-0.14735543862510941</v>
      </c>
      <c r="O90" s="94">
        <f t="shared" si="11"/>
        <v>-0.1474840142653524</v>
      </c>
      <c r="P90"/>
      <c r="Q90" s="85"/>
      <c r="R90" s="85"/>
    </row>
    <row r="91" spans="1:28" ht="14.25" customHeight="1" x14ac:dyDescent="0.25">
      <c r="A91" s="43"/>
      <c r="B91" s="43"/>
      <c r="C91" s="92"/>
      <c r="D91" s="92"/>
      <c r="E91" s="92"/>
      <c r="F91" s="92"/>
      <c r="G91" s="43"/>
      <c r="H91" s="70"/>
      <c r="I91" s="70"/>
      <c r="J91" s="69"/>
      <c r="K91" s="70"/>
      <c r="L91" s="70"/>
      <c r="M91" s="70"/>
      <c r="N91" s="70"/>
      <c r="O91" s="70"/>
      <c r="R91"/>
    </row>
    <row r="92" spans="1:28" s="75" customFormat="1" ht="15" customHeight="1" x14ac:dyDescent="0.25">
      <c r="C92" s="128" t="s">
        <v>108</v>
      </c>
      <c r="D92" s="121"/>
      <c r="E92" s="121"/>
      <c r="F92" s="121"/>
      <c r="G92"/>
      <c r="H92" s="76">
        <v>-2400</v>
      </c>
      <c r="I92" s="76">
        <v>-2500</v>
      </c>
      <c r="J92" s="77">
        <v>-2600</v>
      </c>
      <c r="K92" s="78">
        <f>K93*K$73</f>
        <v>-2678.040753635963</v>
      </c>
      <c r="L92" s="78">
        <f>L93*L$73</f>
        <v>-2726.9675728691054</v>
      </c>
      <c r="M92" s="78">
        <f>M93*M$73</f>
        <v>-2785.6264825239532</v>
      </c>
      <c r="N92" s="78">
        <f>N93*N$73</f>
        <v>-2851.9346500346246</v>
      </c>
      <c r="O92" s="78">
        <f>O93*O$73</f>
        <v>-2920.9710963041275</v>
      </c>
      <c r="P92"/>
      <c r="Q92" s="79">
        <f>IFERROR((J92/H92)^0.5-1,"n.a.")</f>
        <v>4.0832999733066311E-2</v>
      </c>
      <c r="R92" s="79">
        <f>IFERROR((O92/J92)^(1/5)-1,"n.a.")</f>
        <v>2.3554052993658869E-2</v>
      </c>
      <c r="T92" s="238" t="s">
        <v>171</v>
      </c>
    </row>
    <row r="93" spans="1:28" s="80" customFormat="1" ht="15" customHeight="1" x14ac:dyDescent="0.25">
      <c r="A93" s="86"/>
      <c r="B93" s="86"/>
      <c r="C93" s="81" t="str">
        <f>+"% of revenues: "&amp;CHOOSE($P$15,C94,C95)</f>
        <v>% of revenues: Base Case</v>
      </c>
      <c r="D93" s="82"/>
      <c r="E93" s="82"/>
      <c r="F93" s="82"/>
      <c r="G93"/>
      <c r="H93" s="94">
        <f>H92/H$73</f>
        <v>-3.0907920154539602E-2</v>
      </c>
      <c r="I93" s="94">
        <f>I92/I$73</f>
        <v>-3.155091686964423E-2</v>
      </c>
      <c r="J93" s="95">
        <f>J92/J$73</f>
        <v>-3.2812539438148366E-2</v>
      </c>
      <c r="K93" s="94">
        <f>+CHOOSE($P$15,K94,K95)</f>
        <v>-3.3000000000000002E-2</v>
      </c>
      <c r="L93" s="94">
        <f>+CHOOSE($P$15,L94,L95)</f>
        <v>-3.3000000000000002E-2</v>
      </c>
      <c r="M93" s="94">
        <f>+CHOOSE($P$15,M94,M95)</f>
        <v>-3.3000000000000002E-2</v>
      </c>
      <c r="N93" s="94">
        <f>+CHOOSE($P$15,N94,N95)</f>
        <v>-3.3000000000000002E-2</v>
      </c>
      <c r="O93" s="94">
        <f>+CHOOSE($P$15,O94,O95)</f>
        <v>-3.3000000000000002E-2</v>
      </c>
      <c r="P93"/>
      <c r="Q93" s="85"/>
      <c r="R93" s="85"/>
    </row>
    <row r="94" spans="1:28" s="80" customFormat="1" ht="15" customHeight="1" x14ac:dyDescent="0.25">
      <c r="A94" s="86"/>
      <c r="B94" s="86"/>
      <c r="C94" s="87" t="s">
        <v>88</v>
      </c>
      <c r="D94" s="88"/>
      <c r="E94" s="88"/>
      <c r="F94" s="88"/>
      <c r="G94"/>
      <c r="H94" s="85"/>
      <c r="I94" s="85"/>
      <c r="J94" s="89"/>
      <c r="K94" s="124">
        <v>-3.3000000000000002E-2</v>
      </c>
      <c r="L94" s="124">
        <v>-3.3000000000000002E-2</v>
      </c>
      <c r="M94" s="124">
        <v>-3.3000000000000002E-2</v>
      </c>
      <c r="N94" s="124">
        <v>-3.3000000000000002E-2</v>
      </c>
      <c r="O94" s="124">
        <v>-3.3000000000000002E-2</v>
      </c>
      <c r="P94"/>
      <c r="Q94" s="85"/>
      <c r="R94" s="85"/>
    </row>
    <row r="95" spans="1:28" s="80" customFormat="1" ht="15" customHeight="1" x14ac:dyDescent="0.25">
      <c r="A95" s="86"/>
      <c r="B95" s="86"/>
      <c r="C95" s="87" t="s">
        <v>89</v>
      </c>
      <c r="D95" s="88"/>
      <c r="E95" s="88"/>
      <c r="F95" s="88"/>
      <c r="G95"/>
      <c r="H95" s="85"/>
      <c r="I95" s="85"/>
      <c r="J95" s="89"/>
      <c r="K95" s="124">
        <v>-3.9E-2</v>
      </c>
      <c r="L95" s="124">
        <v>-3.9E-2</v>
      </c>
      <c r="M95" s="124">
        <v>-3.9E-2</v>
      </c>
      <c r="N95" s="124">
        <v>-3.9E-2</v>
      </c>
      <c r="O95" s="124">
        <v>-3.9E-2</v>
      </c>
      <c r="P95"/>
      <c r="Q95" s="85"/>
      <c r="R95" s="85"/>
    </row>
    <row r="96" spans="1:28" ht="14.25" customHeight="1" x14ac:dyDescent="0.25">
      <c r="A96" s="43"/>
      <c r="B96" s="43"/>
      <c r="C96" s="129"/>
      <c r="D96" s="92"/>
      <c r="E96" s="92"/>
      <c r="F96" s="92"/>
      <c r="G96" s="43"/>
      <c r="H96" s="70"/>
      <c r="I96" s="70"/>
      <c r="J96" s="69"/>
      <c r="K96" s="70"/>
      <c r="L96" s="70"/>
      <c r="M96" s="70"/>
      <c r="N96" s="70"/>
      <c r="O96" s="70"/>
      <c r="R96"/>
    </row>
    <row r="97" spans="1:18" s="75" customFormat="1" ht="15" customHeight="1" x14ac:dyDescent="0.25">
      <c r="C97" s="128" t="s">
        <v>109</v>
      </c>
      <c r="D97" s="121"/>
      <c r="E97" s="121"/>
      <c r="F97" s="121"/>
      <c r="G97"/>
      <c r="H97" s="76">
        <v>-2600</v>
      </c>
      <c r="I97" s="76">
        <v>-2700</v>
      </c>
      <c r="J97" s="77">
        <v>-2800</v>
      </c>
      <c r="K97" s="78">
        <f>K98*K$73</f>
        <v>-2840.3462538563249</v>
      </c>
      <c r="L97" s="78">
        <f>L98*L$73</f>
        <v>-2892.2383348611725</v>
      </c>
      <c r="M97" s="78">
        <f>M98*M$73</f>
        <v>-2954.4523299496473</v>
      </c>
      <c r="N97" s="78">
        <f>N98*N$73</f>
        <v>-3024.7791742791478</v>
      </c>
      <c r="O97" s="78">
        <f>O98*O$73</f>
        <v>-3097.9996475952871</v>
      </c>
      <c r="P97"/>
      <c r="Q97" s="79">
        <f>IFERROR((J97/H97)^0.5-1,"n.a.")</f>
        <v>3.7749043325541631E-2</v>
      </c>
      <c r="R97" s="79">
        <f>IFERROR((O97/J97)^(1/5)-1,"n.a.")</f>
        <v>2.0433403265946337E-2</v>
      </c>
    </row>
    <row r="98" spans="1:18" s="80" customFormat="1" ht="15" customHeight="1" x14ac:dyDescent="0.25">
      <c r="A98" s="86"/>
      <c r="B98" s="86"/>
      <c r="C98" s="81" t="str">
        <f>+"% of revenues: "&amp;CHOOSE($P$15,C99,C100)</f>
        <v>% of revenues: Base Case</v>
      </c>
      <c r="D98" s="82"/>
      <c r="E98" s="82"/>
      <c r="F98" s="82"/>
      <c r="G98"/>
      <c r="H98" s="94">
        <f>H97/H$73</f>
        <v>-3.3483580167417898E-2</v>
      </c>
      <c r="I98" s="94">
        <f>I97/I$73</f>
        <v>-3.407499021921577E-2</v>
      </c>
      <c r="J98" s="95">
        <f>J97/J$73</f>
        <v>-3.5336580933390545E-2</v>
      </c>
      <c r="K98" s="94">
        <f>+CHOOSE($P$15,K99,K100)</f>
        <v>-3.5000000000000003E-2</v>
      </c>
      <c r="L98" s="94">
        <f>+CHOOSE($P$15,L99,L100)</f>
        <v>-3.5000000000000003E-2</v>
      </c>
      <c r="M98" s="94">
        <f>+CHOOSE($P$15,M99,M100)</f>
        <v>-3.5000000000000003E-2</v>
      </c>
      <c r="N98" s="94">
        <f>+CHOOSE($P$15,N99,N100)</f>
        <v>-3.5000000000000003E-2</v>
      </c>
      <c r="O98" s="94">
        <f>+CHOOSE($P$15,O99,O100)</f>
        <v>-3.5000000000000003E-2</v>
      </c>
      <c r="P98"/>
      <c r="Q98" s="85"/>
      <c r="R98" s="85"/>
    </row>
    <row r="99" spans="1:18" s="80" customFormat="1" ht="15" customHeight="1" x14ac:dyDescent="0.25">
      <c r="A99" s="86"/>
      <c r="B99" s="86"/>
      <c r="C99" s="87" t="s">
        <v>88</v>
      </c>
      <c r="D99" s="88"/>
      <c r="E99" s="88"/>
      <c r="F99" s="88"/>
      <c r="G99"/>
      <c r="H99" s="85"/>
      <c r="I99" s="85"/>
      <c r="J99" s="89"/>
      <c r="K99" s="124">
        <v>-3.5000000000000003E-2</v>
      </c>
      <c r="L99" s="124">
        <v>-3.5000000000000003E-2</v>
      </c>
      <c r="M99" s="124">
        <v>-3.5000000000000003E-2</v>
      </c>
      <c r="N99" s="124">
        <v>-3.5000000000000003E-2</v>
      </c>
      <c r="O99" s="124">
        <v>-3.5000000000000003E-2</v>
      </c>
      <c r="P99"/>
      <c r="Q99" s="85"/>
      <c r="R99" s="85"/>
    </row>
    <row r="100" spans="1:18" s="80" customFormat="1" ht="15" customHeight="1" x14ac:dyDescent="0.25">
      <c r="A100" s="86"/>
      <c r="B100" s="86"/>
      <c r="C100" s="87" t="s">
        <v>89</v>
      </c>
      <c r="D100" s="88"/>
      <c r="E100" s="88"/>
      <c r="F100" s="88"/>
      <c r="G100"/>
      <c r="H100" s="85"/>
      <c r="I100" s="85"/>
      <c r="J100" s="89"/>
      <c r="K100" s="124">
        <v>-4.4999999999999998E-2</v>
      </c>
      <c r="L100" s="127">
        <f>K100</f>
        <v>-4.4999999999999998E-2</v>
      </c>
      <c r="M100" s="127">
        <f>L100</f>
        <v>-4.4999999999999998E-2</v>
      </c>
      <c r="N100" s="127">
        <f>M100</f>
        <v>-4.4999999999999998E-2</v>
      </c>
      <c r="O100" s="127">
        <f>N100</f>
        <v>-4.4999999999999998E-2</v>
      </c>
      <c r="P100"/>
      <c r="Q100" s="85"/>
      <c r="R100" s="85"/>
    </row>
    <row r="101" spans="1:18" ht="15" customHeight="1" x14ac:dyDescent="0.25">
      <c r="A101" s="43"/>
      <c r="B101" s="43"/>
      <c r="C101" s="125"/>
      <c r="D101" s="92"/>
      <c r="E101" s="92"/>
      <c r="F101" s="92"/>
      <c r="G101" s="43"/>
      <c r="H101" s="70"/>
      <c r="I101" s="70"/>
      <c r="J101" s="69"/>
      <c r="K101" s="70"/>
      <c r="L101" s="70"/>
      <c r="M101" s="70"/>
      <c r="N101" s="70"/>
      <c r="O101" s="70"/>
      <c r="R101"/>
    </row>
    <row r="102" spans="1:18" s="75" customFormat="1" ht="15" customHeight="1" x14ac:dyDescent="0.25">
      <c r="C102" s="128" t="s">
        <v>110</v>
      </c>
      <c r="D102" s="121"/>
      <c r="E102" s="121"/>
      <c r="F102" s="121"/>
      <c r="G102"/>
      <c r="H102" s="76">
        <v>-1500</v>
      </c>
      <c r="I102" s="76">
        <v>-1550</v>
      </c>
      <c r="J102" s="77">
        <v>-1600</v>
      </c>
      <c r="K102" s="78">
        <f>K103*K$73</f>
        <v>-1623.0550022036141</v>
      </c>
      <c r="L102" s="78">
        <f>L103*L$73</f>
        <v>-1652.7076199206699</v>
      </c>
      <c r="M102" s="78">
        <f>M103*M$73</f>
        <v>-1688.2584742569411</v>
      </c>
      <c r="N102" s="78">
        <f>N103*N$73</f>
        <v>-1728.445242445227</v>
      </c>
      <c r="O102" s="78">
        <f>O103*O$73</f>
        <v>-1770.2855129115924</v>
      </c>
      <c r="P102"/>
      <c r="Q102" s="79">
        <f>IFERROR((J102/H102)^0.5-1,"n.a.")</f>
        <v>3.2795558988644391E-2</v>
      </c>
      <c r="R102" s="79">
        <f>IFERROR((O102/J102)^(1/5)-1,"n.a.")</f>
        <v>2.0433403265946337E-2</v>
      </c>
    </row>
    <row r="103" spans="1:18" s="80" customFormat="1" ht="15" customHeight="1" x14ac:dyDescent="0.25">
      <c r="A103" s="86"/>
      <c r="B103" s="86"/>
      <c r="C103" s="81" t="str">
        <f>+"% of revenues: "&amp;CHOOSE($P$15,C104,C105)</f>
        <v>% of revenues: Base Case</v>
      </c>
      <c r="D103" s="82"/>
      <c r="E103" s="82"/>
      <c r="F103" s="82"/>
      <c r="G103"/>
      <c r="H103" s="94">
        <f>H102/H$73</f>
        <v>-1.9317450096587252E-2</v>
      </c>
      <c r="I103" s="94">
        <f>I102/I$73</f>
        <v>-1.9561568459179425E-2</v>
      </c>
      <c r="J103" s="95">
        <f>J102/J$73</f>
        <v>-2.0192331961937454E-2</v>
      </c>
      <c r="K103" s="94">
        <f>+CHOOSE($P$15,K104,K105)</f>
        <v>-0.02</v>
      </c>
      <c r="L103" s="94">
        <f>+CHOOSE($P$15,L104,L105)</f>
        <v>-0.02</v>
      </c>
      <c r="M103" s="94">
        <f>+CHOOSE($P$15,M104,M105)</f>
        <v>-0.02</v>
      </c>
      <c r="N103" s="94">
        <f>+CHOOSE($P$15,N104,N105)</f>
        <v>-0.02</v>
      </c>
      <c r="O103" s="94">
        <f>+CHOOSE($P$15,O104,O105)</f>
        <v>-0.02</v>
      </c>
      <c r="P103"/>
      <c r="Q103" s="85"/>
      <c r="R103" s="85"/>
    </row>
    <row r="104" spans="1:18" s="80" customFormat="1" ht="15" customHeight="1" x14ac:dyDescent="0.25">
      <c r="C104" s="81" t="s">
        <v>88</v>
      </c>
      <c r="D104" s="88"/>
      <c r="E104" s="88"/>
      <c r="F104" s="88"/>
      <c r="G104" s="86"/>
      <c r="H104" s="85"/>
      <c r="I104" s="85"/>
      <c r="J104" s="89"/>
      <c r="K104" s="124">
        <v>-0.02</v>
      </c>
      <c r="L104" s="124">
        <v>-0.02</v>
      </c>
      <c r="M104" s="124">
        <v>-0.02</v>
      </c>
      <c r="N104" s="124">
        <v>-0.02</v>
      </c>
      <c r="O104" s="124">
        <v>-0.02</v>
      </c>
      <c r="P104"/>
      <c r="Q104" s="85"/>
      <c r="R104" s="85"/>
    </row>
    <row r="105" spans="1:18" s="80" customFormat="1" ht="15" customHeight="1" x14ac:dyDescent="0.25">
      <c r="C105" s="81" t="s">
        <v>89</v>
      </c>
      <c r="D105" s="88"/>
      <c r="E105" s="88"/>
      <c r="F105" s="88"/>
      <c r="G105" s="86"/>
      <c r="H105" s="85"/>
      <c r="I105" s="85"/>
      <c r="J105" s="89"/>
      <c r="K105" s="124">
        <v>-2.3E-2</v>
      </c>
      <c r="L105" s="127">
        <f>K105</f>
        <v>-2.3E-2</v>
      </c>
      <c r="M105" s="127">
        <f>L105</f>
        <v>-2.3E-2</v>
      </c>
      <c r="N105" s="127">
        <f>M105</f>
        <v>-2.3E-2</v>
      </c>
      <c r="O105" s="127">
        <f>N105</f>
        <v>-2.3E-2</v>
      </c>
      <c r="P105"/>
      <c r="Q105" s="85"/>
      <c r="R105" s="85"/>
    </row>
    <row r="106" spans="1:18" ht="15" customHeight="1" x14ac:dyDescent="0.25">
      <c r="C106" s="130"/>
      <c r="H106" s="131"/>
      <c r="I106" s="131"/>
      <c r="J106" s="132"/>
      <c r="K106" s="131"/>
      <c r="L106" s="131"/>
      <c r="M106" s="131"/>
      <c r="N106" s="131"/>
      <c r="O106" s="131"/>
      <c r="R106"/>
    </row>
    <row r="107" spans="1:18" s="75" customFormat="1" ht="15" customHeight="1" x14ac:dyDescent="0.25">
      <c r="A107" s="114"/>
      <c r="B107" s="114"/>
      <c r="C107" s="115" t="s">
        <v>111</v>
      </c>
      <c r="D107" s="116"/>
      <c r="E107" s="116"/>
      <c r="F107" s="116"/>
      <c r="G107"/>
      <c r="H107" s="117">
        <f t="shared" ref="H107:O107" si="12">+H81+H84+H89+H92+H97+H102</f>
        <v>4838</v>
      </c>
      <c r="I107" s="117">
        <f t="shared" si="12"/>
        <v>4705</v>
      </c>
      <c r="J107" s="118">
        <f t="shared" si="12"/>
        <v>4147</v>
      </c>
      <c r="K107" s="117">
        <f t="shared" si="12"/>
        <v>4474.6197968157785</v>
      </c>
      <c r="L107" s="117">
        <f t="shared" si="12"/>
        <v>4608.6653932027293</v>
      </c>
      <c r="M107" s="117">
        <f t="shared" si="12"/>
        <v>4857.7504694208001</v>
      </c>
      <c r="N107" s="117">
        <f t="shared" si="12"/>
        <v>5154.6179173081018</v>
      </c>
      <c r="O107" s="117">
        <f t="shared" si="12"/>
        <v>5533.5571935717217</v>
      </c>
      <c r="P107"/>
      <c r="Q107" s="119">
        <f>IFERROR((J107/H107)^0.5-1,"n.a.")</f>
        <v>-7.4163953346395806E-2</v>
      </c>
      <c r="R107" s="119">
        <f>IFERROR((O107/J107)^(1/5)-1,"n.a.")</f>
        <v>5.938561993758662E-2</v>
      </c>
    </row>
    <row r="108" spans="1:18" s="80" customFormat="1" ht="15" customHeight="1" x14ac:dyDescent="0.25">
      <c r="A108" s="86"/>
      <c r="B108" s="86"/>
      <c r="C108" s="81" t="s">
        <v>112</v>
      </c>
      <c r="D108" s="82"/>
      <c r="E108" s="82"/>
      <c r="F108" s="82"/>
      <c r="G108"/>
      <c r="H108" s="94">
        <f t="shared" ref="H108:O108" si="13">H107/H$73</f>
        <v>6.2305215711526078E-2</v>
      </c>
      <c r="I108" s="94">
        <f t="shared" si="13"/>
        <v>5.9378825548670446E-2</v>
      </c>
      <c r="J108" s="95">
        <f t="shared" si="13"/>
        <v>5.2336000403846637E-2</v>
      </c>
      <c r="K108" s="94">
        <f t="shared" si="13"/>
        <v>5.5138239809995458E-2</v>
      </c>
      <c r="L108" s="94">
        <f t="shared" si="13"/>
        <v>5.5771091482278587E-2</v>
      </c>
      <c r="M108" s="94">
        <f t="shared" si="13"/>
        <v>5.7547473251201756E-2</v>
      </c>
      <c r="N108" s="94">
        <f t="shared" si="13"/>
        <v>5.9644561374890617E-2</v>
      </c>
      <c r="O108" s="94">
        <f t="shared" si="13"/>
        <v>6.2515985734647603E-2</v>
      </c>
      <c r="P108"/>
      <c r="Q108" s="85"/>
      <c r="R108" s="85"/>
    </row>
    <row r="109" spans="1:18" s="80" customFormat="1" ht="15" customHeight="1" x14ac:dyDescent="0.25">
      <c r="A109" s="86"/>
      <c r="B109" s="86"/>
      <c r="C109" s="81" t="s">
        <v>102</v>
      </c>
      <c r="D109" s="82"/>
      <c r="E109" s="82"/>
      <c r="F109" s="82"/>
      <c r="G109"/>
      <c r="H109" s="94"/>
      <c r="I109" s="94">
        <f t="shared" ref="I109:O109" si="14">IFERROR(I108/H108-1,"n.a.")</f>
        <v>-4.6968622601434418E-2</v>
      </c>
      <c r="J109" s="95">
        <f t="shared" si="14"/>
        <v>-0.11860836046767353</v>
      </c>
      <c r="K109" s="94">
        <f t="shared" si="14"/>
        <v>5.3543247182160636E-2</v>
      </c>
      <c r="L109" s="94">
        <f t="shared" si="14"/>
        <v>1.1477545791521715E-2</v>
      </c>
      <c r="M109" s="94">
        <f t="shared" si="14"/>
        <v>3.1851300050091735E-2</v>
      </c>
      <c r="N109" s="94">
        <f t="shared" si="14"/>
        <v>3.6441011311388438E-2</v>
      </c>
      <c r="O109" s="94">
        <f t="shared" si="14"/>
        <v>4.8142266345273299E-2</v>
      </c>
      <c r="P109"/>
      <c r="Q109" s="85"/>
      <c r="R109" s="85"/>
    </row>
    <row r="110" spans="1:18" ht="15" customHeight="1" x14ac:dyDescent="0.25">
      <c r="A110" s="43"/>
      <c r="B110" s="43"/>
      <c r="C110" s="125"/>
      <c r="D110" s="92"/>
      <c r="E110" s="92"/>
      <c r="F110" s="92"/>
      <c r="G110" s="43"/>
      <c r="H110" s="70"/>
      <c r="I110" s="70"/>
      <c r="J110" s="69"/>
      <c r="K110" s="70"/>
      <c r="L110" s="70"/>
      <c r="M110" s="70"/>
      <c r="N110" s="70"/>
      <c r="O110" s="70"/>
      <c r="R110"/>
    </row>
    <row r="111" spans="1:18" s="75" customFormat="1" ht="15" customHeight="1" x14ac:dyDescent="0.25">
      <c r="C111" s="128" t="s">
        <v>113</v>
      </c>
      <c r="D111" s="121"/>
      <c r="E111" s="121"/>
      <c r="F111" s="121"/>
      <c r="H111" s="76">
        <v>-1750</v>
      </c>
      <c r="I111" s="76">
        <v>-1825</v>
      </c>
      <c r="J111" s="77">
        <v>-1900</v>
      </c>
      <c r="K111" s="78">
        <f>K112*K73</f>
        <v>-1655.5161022476864</v>
      </c>
      <c r="L111" s="78">
        <f>L112*L73</f>
        <v>-1685.7617723190833</v>
      </c>
      <c r="M111" s="78">
        <f>M112*M73</f>
        <v>-1722.0236437420801</v>
      </c>
      <c r="N111" s="78">
        <f>N112*N73</f>
        <v>-1763.0141472941318</v>
      </c>
      <c r="O111" s="78">
        <f>O112*O73</f>
        <v>-1805.6912231698243</v>
      </c>
      <c r="Q111" s="79">
        <f>IFERROR((J111/H111)^0.5-1,"n.a.")</f>
        <v>4.1976144503455437E-2</v>
      </c>
      <c r="R111" s="79">
        <f>IFERROR((O111/J111)^(1/5)-1,"n.a.")</f>
        <v>-1.0130421790169541E-2</v>
      </c>
    </row>
    <row r="112" spans="1:18" s="80" customFormat="1" ht="15" customHeight="1" x14ac:dyDescent="0.25">
      <c r="A112" s="86"/>
      <c r="B112" s="86"/>
      <c r="C112" s="81" t="str">
        <f>+"% of revenues: "&amp;CHOOSE($P$15,C113,C114)</f>
        <v>% of revenues: Base Case</v>
      </c>
      <c r="D112" s="82"/>
      <c r="E112" s="82"/>
      <c r="F112" s="82"/>
      <c r="G112"/>
      <c r="H112" s="94">
        <f>H111/H$73</f>
        <v>-2.2537025112685124E-2</v>
      </c>
      <c r="I112" s="94">
        <f>I111/I$73</f>
        <v>-2.3032169314840291E-2</v>
      </c>
      <c r="J112" s="95">
        <f>J111/J$73</f>
        <v>-2.3978394204800729E-2</v>
      </c>
      <c r="K112" s="94">
        <f>+CHOOSE($P$15,K113,K114)</f>
        <v>-2.0400000000000001E-2</v>
      </c>
      <c r="L112" s="94">
        <f>+CHOOSE($P$15,L113,L114)</f>
        <v>-2.0400000000000001E-2</v>
      </c>
      <c r="M112" s="94">
        <f>+CHOOSE($P$15,M113,M114)</f>
        <v>-2.0400000000000001E-2</v>
      </c>
      <c r="N112" s="94">
        <f>+CHOOSE($P$15,N113,N114)</f>
        <v>-2.0400000000000001E-2</v>
      </c>
      <c r="O112" s="94">
        <f>+CHOOSE($P$15,O113,O114)</f>
        <v>-2.0400000000000001E-2</v>
      </c>
      <c r="P112"/>
      <c r="Q112" s="85"/>
      <c r="R112" s="85"/>
    </row>
    <row r="113" spans="1:18" s="80" customFormat="1" ht="15" customHeight="1" x14ac:dyDescent="0.25">
      <c r="C113" s="81" t="s">
        <v>88</v>
      </c>
      <c r="D113" s="88"/>
      <c r="E113" s="88"/>
      <c r="F113" s="88"/>
      <c r="G113" s="86"/>
      <c r="H113" s="85"/>
      <c r="I113" s="85"/>
      <c r="J113" s="89"/>
      <c r="K113" s="127">
        <f t="shared" ref="K113:O114" si="15">(K57+K62)*0.85</f>
        <v>-2.0400000000000001E-2</v>
      </c>
      <c r="L113" s="127">
        <f t="shared" si="15"/>
        <v>-2.0400000000000001E-2</v>
      </c>
      <c r="M113" s="127">
        <f t="shared" si="15"/>
        <v>-2.0400000000000001E-2</v>
      </c>
      <c r="N113" s="127">
        <f t="shared" si="15"/>
        <v>-2.0400000000000001E-2</v>
      </c>
      <c r="O113" s="127">
        <f t="shared" si="15"/>
        <v>-2.0400000000000001E-2</v>
      </c>
      <c r="P113"/>
      <c r="Q113" s="85"/>
      <c r="R113" s="85"/>
    </row>
    <row r="114" spans="1:18" s="80" customFormat="1" ht="15" customHeight="1" x14ac:dyDescent="0.25">
      <c r="C114" s="81" t="s">
        <v>89</v>
      </c>
      <c r="D114" s="88"/>
      <c r="E114" s="88"/>
      <c r="F114" s="88"/>
      <c r="G114" s="86"/>
      <c r="H114" s="85"/>
      <c r="I114" s="85"/>
      <c r="J114" s="89"/>
      <c r="K114" s="127">
        <f t="shared" si="15"/>
        <v>-1.9549999999999998E-2</v>
      </c>
      <c r="L114" s="127">
        <f t="shared" si="15"/>
        <v>-1.9549999999999998E-2</v>
      </c>
      <c r="M114" s="127">
        <f t="shared" si="15"/>
        <v>-1.9549999999999998E-2</v>
      </c>
      <c r="N114" s="127">
        <f t="shared" si="15"/>
        <v>-1.9549999999999998E-2</v>
      </c>
      <c r="O114" s="127">
        <f t="shared" si="15"/>
        <v>-1.9549999999999998E-2</v>
      </c>
      <c r="P114"/>
      <c r="Q114" s="85"/>
      <c r="R114" s="85"/>
    </row>
    <row r="115" spans="1:18" ht="15" customHeight="1" x14ac:dyDescent="0.25">
      <c r="A115" s="43"/>
      <c r="B115" s="43"/>
      <c r="C115" s="125"/>
      <c r="D115" s="92"/>
      <c r="E115" s="92"/>
      <c r="F115" s="92"/>
      <c r="G115" s="43"/>
      <c r="H115" s="70"/>
      <c r="I115" s="70"/>
      <c r="J115" s="69"/>
      <c r="K115" s="70"/>
      <c r="L115" s="70"/>
      <c r="M115" s="70"/>
      <c r="N115" s="70"/>
      <c r="O115" s="70"/>
      <c r="R115"/>
    </row>
    <row r="116" spans="1:18" s="75" customFormat="1" ht="15" customHeight="1" x14ac:dyDescent="0.25">
      <c r="A116" s="114"/>
      <c r="B116" s="114"/>
      <c r="C116" s="133" t="s">
        <v>114</v>
      </c>
      <c r="D116" s="134"/>
      <c r="E116" s="134"/>
      <c r="F116" s="134"/>
      <c r="G116"/>
      <c r="H116" s="135">
        <f t="shared" ref="H116:O116" si="16">+H107+H111</f>
        <v>3088</v>
      </c>
      <c r="I116" s="135">
        <f t="shared" si="16"/>
        <v>2880</v>
      </c>
      <c r="J116" s="136">
        <f t="shared" si="16"/>
        <v>2247</v>
      </c>
      <c r="K116" s="135">
        <f t="shared" si="16"/>
        <v>2819.1036945680921</v>
      </c>
      <c r="L116" s="135">
        <f t="shared" si="16"/>
        <v>2922.903620883646</v>
      </c>
      <c r="M116" s="135">
        <f t="shared" si="16"/>
        <v>3135.7268256787202</v>
      </c>
      <c r="N116" s="135">
        <f t="shared" si="16"/>
        <v>3391.60377001397</v>
      </c>
      <c r="O116" s="135">
        <f t="shared" si="16"/>
        <v>3727.8659704018974</v>
      </c>
      <c r="P116"/>
      <c r="Q116" s="137">
        <f>IFERROR((J116/H116)^0.5-1,"n.a.")</f>
        <v>-0.14697277862045466</v>
      </c>
      <c r="R116" s="137">
        <f>IFERROR((O116/J116)^(1/5)-1,"n.a.")</f>
        <v>0.1065510215114458</v>
      </c>
    </row>
    <row r="117" spans="1:18" s="141" customFormat="1" ht="15" customHeight="1" x14ac:dyDescent="0.25">
      <c r="A117" s="138"/>
      <c r="B117" s="138"/>
      <c r="C117" s="139" t="s">
        <v>112</v>
      </c>
      <c r="D117" s="140"/>
      <c r="E117" s="140"/>
      <c r="F117" s="140"/>
      <c r="H117" s="94">
        <f t="shared" ref="H117:O117" si="17">H116/H$73</f>
        <v>3.9768190598840951E-2</v>
      </c>
      <c r="I117" s="94">
        <f t="shared" si="17"/>
        <v>3.6346656233830155E-2</v>
      </c>
      <c r="J117" s="95">
        <f t="shared" si="17"/>
        <v>2.8357606199045912E-2</v>
      </c>
      <c r="K117" s="94">
        <f t="shared" si="17"/>
        <v>3.4738239809995457E-2</v>
      </c>
      <c r="L117" s="94">
        <f t="shared" si="17"/>
        <v>3.5371091482278585E-2</v>
      </c>
      <c r="M117" s="94">
        <f t="shared" si="17"/>
        <v>3.7147473251201754E-2</v>
      </c>
      <c r="N117" s="94">
        <f t="shared" si="17"/>
        <v>3.9244561374890616E-2</v>
      </c>
      <c r="O117" s="94">
        <f t="shared" si="17"/>
        <v>4.2115985734647608E-2</v>
      </c>
      <c r="Q117" s="142"/>
      <c r="R117" s="142"/>
    </row>
    <row r="118" spans="1:18" s="141" customFormat="1" ht="15" customHeight="1" x14ac:dyDescent="0.25">
      <c r="A118" s="138"/>
      <c r="B118" s="138"/>
      <c r="C118" s="139" t="s">
        <v>102</v>
      </c>
      <c r="D118" s="140"/>
      <c r="E118" s="140"/>
      <c r="F118" s="140"/>
      <c r="H118" s="94"/>
      <c r="I118" s="94">
        <f t="shared" ref="I118:O118" si="18">IFERROR(I117/H117-1,"n.a.")</f>
        <v>-8.6036963550222945E-2</v>
      </c>
      <c r="J118" s="95">
        <f t="shared" si="18"/>
        <v>-0.21980151305770801</v>
      </c>
      <c r="K118" s="94">
        <f t="shared" si="18"/>
        <v>0.22500607301487308</v>
      </c>
      <c r="L118" s="94">
        <f t="shared" si="18"/>
        <v>1.8217724206654573E-2</v>
      </c>
      <c r="M118" s="94">
        <f t="shared" si="18"/>
        <v>5.0221287907192824E-2</v>
      </c>
      <c r="N118" s="94">
        <f t="shared" si="18"/>
        <v>5.6453048892659785E-2</v>
      </c>
      <c r="O118" s="94">
        <f t="shared" si="18"/>
        <v>7.3167446880784359E-2</v>
      </c>
      <c r="Q118" s="142"/>
      <c r="R118" s="142"/>
    </row>
    <row r="119" spans="1:18" ht="15" customHeight="1" x14ac:dyDescent="0.25">
      <c r="C119" s="130"/>
      <c r="D119" s="130"/>
      <c r="E119" s="130"/>
      <c r="F119" s="130"/>
      <c r="G119" s="130"/>
      <c r="H119" s="131"/>
      <c r="I119" s="131"/>
      <c r="J119" s="132"/>
      <c r="K119" s="131"/>
      <c r="L119" s="131"/>
      <c r="M119" s="131"/>
      <c r="N119" s="131"/>
      <c r="O119" s="131"/>
      <c r="R119" s="131"/>
    </row>
    <row r="120" spans="1:18" ht="15" customHeight="1" x14ac:dyDescent="0.25">
      <c r="C120" s="56" t="s">
        <v>115</v>
      </c>
      <c r="D120" s="56"/>
      <c r="E120" s="56"/>
      <c r="F120" s="56"/>
      <c r="G120" s="56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</row>
    <row r="121" spans="1:18" ht="4.5" customHeight="1" x14ac:dyDescent="0.25">
      <c r="H121" s="131"/>
      <c r="I121" s="131"/>
      <c r="J121" s="132"/>
      <c r="K121" s="131"/>
      <c r="L121" s="131"/>
      <c r="M121" s="131"/>
      <c r="N121" s="131"/>
      <c r="O121" s="131"/>
      <c r="R121" s="131"/>
    </row>
    <row r="122" spans="1:18" s="6" customFormat="1" ht="15" customHeight="1" x14ac:dyDescent="0.25">
      <c r="C122" s="6" t="s">
        <v>116</v>
      </c>
      <c r="G122"/>
      <c r="H122" s="143">
        <f t="shared" ref="H122:O122" si="19">+H107</f>
        <v>4838</v>
      </c>
      <c r="I122" s="143">
        <f t="shared" si="19"/>
        <v>4705</v>
      </c>
      <c r="J122" s="144">
        <f t="shared" si="19"/>
        <v>4147</v>
      </c>
      <c r="K122" s="143">
        <f t="shared" si="19"/>
        <v>4474.6197968157785</v>
      </c>
      <c r="L122" s="143">
        <f t="shared" si="19"/>
        <v>4608.6653932027293</v>
      </c>
      <c r="M122" s="143">
        <f t="shared" si="19"/>
        <v>4857.7504694208001</v>
      </c>
      <c r="N122" s="143">
        <f t="shared" si="19"/>
        <v>5154.6179173081018</v>
      </c>
      <c r="O122" s="143">
        <f t="shared" si="19"/>
        <v>5533.5571935717217</v>
      </c>
      <c r="P122"/>
      <c r="Q122" s="145">
        <f>IFERROR((J122/H122)^0.5-1,"n.a.")</f>
        <v>-7.4163953346395806E-2</v>
      </c>
      <c r="R122" s="145">
        <f>IFERROR((O122/J122)^(1/5)-1,"n.a.")</f>
        <v>5.938561993758662E-2</v>
      </c>
    </row>
    <row r="123" spans="1:18" s="6" customFormat="1" ht="15" customHeight="1" x14ac:dyDescent="0.25">
      <c r="H123" s="146"/>
      <c r="I123" s="146"/>
      <c r="J123" s="147"/>
      <c r="K123" s="146"/>
      <c r="L123" s="146"/>
      <c r="M123" s="146"/>
      <c r="N123" s="146"/>
      <c r="O123" s="146"/>
      <c r="P123"/>
      <c r="Q123"/>
      <c r="R123"/>
    </row>
    <row r="124" spans="1:18" ht="15" customHeight="1" x14ac:dyDescent="0.25">
      <c r="C124" s="148" t="s">
        <v>117</v>
      </c>
      <c r="D124" s="130"/>
      <c r="E124" s="130"/>
      <c r="F124" s="130"/>
      <c r="H124" s="76">
        <v>-1850</v>
      </c>
      <c r="I124" s="76">
        <v>-1927</v>
      </c>
      <c r="J124" s="77">
        <v>-1931</v>
      </c>
      <c r="K124" s="78">
        <f>K125*K73</f>
        <v>-1947.6660026443369</v>
      </c>
      <c r="L124" s="78">
        <f>L125*L73</f>
        <v>-1983.2491439048038</v>
      </c>
      <c r="M124" s="78">
        <f>M125*M73</f>
        <v>-2025.9101691083295</v>
      </c>
      <c r="N124" s="78">
        <f>N125*N73</f>
        <v>-2074.1342909342725</v>
      </c>
      <c r="O124" s="78">
        <f>O125*O73</f>
        <v>-2124.3426154939107</v>
      </c>
      <c r="Q124" s="142"/>
      <c r="R124" s="142"/>
    </row>
    <row r="125" spans="1:18" s="141" customFormat="1" ht="15" customHeight="1" x14ac:dyDescent="0.25">
      <c r="C125" s="149" t="str">
        <f>+"% of revenues: "&amp;CHOOSE($P$15,C126,C127)</f>
        <v>% of revenues: Base Case</v>
      </c>
      <c r="D125" s="140"/>
      <c r="E125" s="140"/>
      <c r="F125" s="140"/>
      <c r="G125" s="138"/>
      <c r="H125" s="94">
        <f>H124/H$73</f>
        <v>-2.3824855119124275E-2</v>
      </c>
      <c r="I125" s="94">
        <f>I124/I$73</f>
        <v>-2.4319446723121772E-2</v>
      </c>
      <c r="J125" s="95">
        <f>J124/J$73</f>
        <v>-2.4369620636563265E-2</v>
      </c>
      <c r="K125" s="94">
        <f>+CHOOSE($P$15,K126,K127)</f>
        <v>-2.4E-2</v>
      </c>
      <c r="L125" s="94">
        <f>+CHOOSE($P$15,L126,L127)</f>
        <v>-2.4E-2</v>
      </c>
      <c r="M125" s="94">
        <f>+CHOOSE($P$15,M126,M127)</f>
        <v>-2.4E-2</v>
      </c>
      <c r="N125" s="94">
        <f>+CHOOSE($P$15,N126,N127)</f>
        <v>-2.4E-2</v>
      </c>
      <c r="O125" s="94">
        <f>+CHOOSE($P$15,O126,O127)</f>
        <v>-2.4E-2</v>
      </c>
      <c r="Q125" s="142"/>
      <c r="R125" s="142"/>
    </row>
    <row r="126" spans="1:18" s="141" customFormat="1" ht="15" customHeight="1" x14ac:dyDescent="0.25">
      <c r="C126" s="139" t="s">
        <v>88</v>
      </c>
      <c r="D126" s="150"/>
      <c r="E126" s="150"/>
      <c r="F126" s="150"/>
      <c r="G126" s="138"/>
      <c r="H126" s="142"/>
      <c r="I126" s="142"/>
      <c r="J126" s="151"/>
      <c r="K126" s="152">
        <f t="shared" ref="K126:O127" si="20">K57+K62</f>
        <v>-2.4E-2</v>
      </c>
      <c r="L126" s="152">
        <f t="shared" si="20"/>
        <v>-2.4E-2</v>
      </c>
      <c r="M126" s="152">
        <f t="shared" si="20"/>
        <v>-2.4E-2</v>
      </c>
      <c r="N126" s="152">
        <f t="shared" si="20"/>
        <v>-2.4E-2</v>
      </c>
      <c r="O126" s="152">
        <f t="shared" si="20"/>
        <v>-2.4E-2</v>
      </c>
      <c r="Q126" s="142"/>
      <c r="R126" s="142"/>
    </row>
    <row r="127" spans="1:18" s="141" customFormat="1" ht="15" customHeight="1" x14ac:dyDescent="0.25">
      <c r="C127" s="139" t="s">
        <v>89</v>
      </c>
      <c r="D127" s="150"/>
      <c r="E127" s="150"/>
      <c r="F127" s="150"/>
      <c r="G127" s="138"/>
      <c r="H127" s="142"/>
      <c r="I127" s="142"/>
      <c r="J127" s="151"/>
      <c r="K127" s="152">
        <f t="shared" si="20"/>
        <v>-2.3E-2</v>
      </c>
      <c r="L127" s="152">
        <f t="shared" si="20"/>
        <v>-2.3E-2</v>
      </c>
      <c r="M127" s="152">
        <f t="shared" si="20"/>
        <v>-2.3E-2</v>
      </c>
      <c r="N127" s="152">
        <f t="shared" si="20"/>
        <v>-2.3E-2</v>
      </c>
      <c r="O127" s="152">
        <f t="shared" si="20"/>
        <v>-2.3E-2</v>
      </c>
      <c r="Q127" s="142"/>
      <c r="R127" s="142"/>
    </row>
    <row r="128" spans="1:18" ht="14.25" customHeight="1" x14ac:dyDescent="0.25">
      <c r="I128" s="131"/>
      <c r="J128" s="132"/>
      <c r="K128" s="131"/>
      <c r="L128" s="131"/>
      <c r="M128" s="131"/>
      <c r="N128" s="131"/>
      <c r="O128" s="131"/>
      <c r="Q128" s="4"/>
      <c r="R128"/>
    </row>
    <row r="129" spans="3:21" ht="15" customHeight="1" x14ac:dyDescent="0.25">
      <c r="C129" s="148" t="s">
        <v>118</v>
      </c>
      <c r="D129" s="130"/>
      <c r="E129" s="130"/>
      <c r="F129" s="130"/>
      <c r="H129" s="76">
        <v>250</v>
      </c>
      <c r="I129" s="76">
        <v>150</v>
      </c>
      <c r="J129" s="77">
        <v>-200</v>
      </c>
      <c r="K129" s="78">
        <f>-(K150-J150)</f>
        <v>-114.59683640732419</v>
      </c>
      <c r="L129" s="78">
        <f>-(L150-K150)</f>
        <v>15.35716907193364</v>
      </c>
      <c r="M129" s="78">
        <f>-(M150-L150)</f>
        <v>20.105954496232698</v>
      </c>
      <c r="N129" s="78">
        <f>-(N150-M150)</f>
        <v>23.646914252071838</v>
      </c>
      <c r="O129" s="78">
        <f>-(O150-N150)</f>
        <v>24.537271584100381</v>
      </c>
      <c r="Q129" s="142"/>
      <c r="R129" s="142"/>
    </row>
    <row r="130" spans="3:21" ht="15" customHeight="1" x14ac:dyDescent="0.25">
      <c r="C130" s="148" t="s">
        <v>119</v>
      </c>
      <c r="D130" s="130"/>
      <c r="E130" s="130"/>
      <c r="F130" s="153">
        <v>0.24</v>
      </c>
      <c r="H130" s="76">
        <v>-480</v>
      </c>
      <c r="I130" s="76">
        <v>-422</v>
      </c>
      <c r="J130" s="77">
        <v>-293</v>
      </c>
      <c r="K130" s="78">
        <f>-$F$130*(K116+K136)</f>
        <v>-352.2716866963421</v>
      </c>
      <c r="L130" s="78">
        <f>-$F$130*(L116+L136)</f>
        <v>-392.48813886713901</v>
      </c>
      <c r="M130" s="78">
        <f>-$F$130*(M116+M136)</f>
        <v>-464.3127003421713</v>
      </c>
      <c r="N130" s="78">
        <f>-$F$130*(N116+N136)</f>
        <v>-551.34731135524351</v>
      </c>
      <c r="O130" s="78">
        <f>-$F$130*(O116+O136)</f>
        <v>-663.5477897902623</v>
      </c>
      <c r="Q130" s="142"/>
      <c r="R130" s="142"/>
      <c r="U130" s="64"/>
    </row>
    <row r="131" spans="3:21" s="43" customFormat="1" ht="15" customHeight="1" x14ac:dyDescent="0.25">
      <c r="C131" s="37" t="s">
        <v>120</v>
      </c>
      <c r="D131" s="37"/>
      <c r="E131" s="37"/>
      <c r="F131" s="154"/>
      <c r="H131" s="155">
        <f t="shared" ref="H131:O131" si="21">H130/(H116+H136)</f>
        <v>-0.1841903300076746</v>
      </c>
      <c r="I131" s="155">
        <f t="shared" si="21"/>
        <v>-0.17050505050505049</v>
      </c>
      <c r="J131" s="156">
        <f t="shared" si="21"/>
        <v>-0.16695156695156696</v>
      </c>
      <c r="K131" s="157">
        <f t="shared" si="21"/>
        <v>-0.24</v>
      </c>
      <c r="L131" s="158">
        <f t="shared" si="21"/>
        <v>-0.24</v>
      </c>
      <c r="M131" s="158">
        <f t="shared" si="21"/>
        <v>-0.24</v>
      </c>
      <c r="N131" s="158">
        <f t="shared" si="21"/>
        <v>-0.24000000000000002</v>
      </c>
      <c r="O131" s="158">
        <f t="shared" si="21"/>
        <v>-0.24</v>
      </c>
      <c r="Q131" s="142"/>
      <c r="R131" s="142"/>
    </row>
    <row r="132" spans="3:21" ht="15" customHeight="1" x14ac:dyDescent="0.25">
      <c r="C132" s="148" t="s">
        <v>121</v>
      </c>
      <c r="D132" s="130"/>
      <c r="E132" s="130"/>
      <c r="F132" s="130"/>
      <c r="H132" s="76">
        <v>-50</v>
      </c>
      <c r="I132" s="76">
        <v>-75</v>
      </c>
      <c r="J132" s="77">
        <v>-100</v>
      </c>
      <c r="K132" s="159">
        <v>0</v>
      </c>
      <c r="L132" s="159">
        <v>0</v>
      </c>
      <c r="M132" s="159">
        <v>0</v>
      </c>
      <c r="N132" s="159">
        <v>0</v>
      </c>
      <c r="O132" s="159">
        <v>0</v>
      </c>
      <c r="Q132" s="142"/>
      <c r="R132" s="142"/>
    </row>
    <row r="133" spans="3:21" ht="15" customHeight="1" x14ac:dyDescent="0.25">
      <c r="C133" s="160" t="s">
        <v>122</v>
      </c>
      <c r="D133" s="49"/>
      <c r="E133" s="49"/>
      <c r="F133" s="49"/>
      <c r="H133" s="117">
        <f t="shared" ref="H133:O133" si="22">H122+H124+SUM(H129:H132)</f>
        <v>2707.8158096699922</v>
      </c>
      <c r="I133" s="117">
        <f t="shared" si="22"/>
        <v>2430.8294949494948</v>
      </c>
      <c r="J133" s="118">
        <f t="shared" si="22"/>
        <v>1622.8330484330484</v>
      </c>
      <c r="K133" s="117">
        <f t="shared" si="22"/>
        <v>2059.8452710677752</v>
      </c>
      <c r="L133" s="117">
        <f t="shared" si="22"/>
        <v>2248.0452795027204</v>
      </c>
      <c r="M133" s="117">
        <f t="shared" si="22"/>
        <v>2387.3935544665319</v>
      </c>
      <c r="N133" s="117">
        <f t="shared" si="22"/>
        <v>2552.5432292706578</v>
      </c>
      <c r="O133" s="117">
        <f t="shared" si="22"/>
        <v>2769.9640598716492</v>
      </c>
      <c r="Q133" s="161"/>
      <c r="R133" s="161"/>
    </row>
    <row r="134" spans="3:21" s="43" customFormat="1" ht="15" customHeight="1" x14ac:dyDescent="0.25">
      <c r="C134" s="37" t="s">
        <v>123</v>
      </c>
      <c r="D134" s="37"/>
      <c r="E134" s="37"/>
      <c r="F134" s="154"/>
      <c r="H134" s="155">
        <f t="shared" ref="H134:O134" si="23">H133/H122</f>
        <v>0.5596973562773857</v>
      </c>
      <c r="I134" s="155">
        <f t="shared" si="23"/>
        <v>0.51664813920286823</v>
      </c>
      <c r="J134" s="156">
        <f t="shared" si="23"/>
        <v>0.39132699504052287</v>
      </c>
      <c r="K134" s="157">
        <f t="shared" si="23"/>
        <v>0.46033973043555543</v>
      </c>
      <c r="L134" s="158">
        <f t="shared" si="23"/>
        <v>0.48778661232779841</v>
      </c>
      <c r="M134" s="158">
        <f t="shared" si="23"/>
        <v>0.49146072230243354</v>
      </c>
      <c r="N134" s="158">
        <f t="shared" si="23"/>
        <v>0.49519542868536676</v>
      </c>
      <c r="O134" s="158">
        <f t="shared" si="23"/>
        <v>0.50057566281044119</v>
      </c>
      <c r="Q134" s="142"/>
      <c r="R134" s="142"/>
    </row>
    <row r="135" spans="3:21" ht="14.25" customHeight="1" x14ac:dyDescent="0.25">
      <c r="H135" s="131"/>
      <c r="I135" s="131"/>
      <c r="J135" s="132"/>
      <c r="K135" s="131"/>
      <c r="L135" s="131"/>
      <c r="M135" s="131"/>
      <c r="N135" s="131"/>
      <c r="O135" s="131"/>
      <c r="Q135" s="131"/>
      <c r="R135"/>
    </row>
    <row r="136" spans="3:21" s="75" customFormat="1" ht="15" customHeight="1" x14ac:dyDescent="0.25">
      <c r="C136" s="126" t="s">
        <v>124</v>
      </c>
      <c r="D136" s="128"/>
      <c r="E136" s="128"/>
      <c r="F136" s="128"/>
      <c r="H136" s="76">
        <v>-482</v>
      </c>
      <c r="I136" s="76">
        <v>-405</v>
      </c>
      <c r="J136" s="77">
        <v>-492</v>
      </c>
      <c r="K136" s="78">
        <f>K164</f>
        <v>-1351.3050000000001</v>
      </c>
      <c r="L136" s="78">
        <f>L164</f>
        <v>-1287.5363756039001</v>
      </c>
      <c r="M136" s="78">
        <f>M164</f>
        <v>-1201.0905742530063</v>
      </c>
      <c r="N136" s="78">
        <f>N164</f>
        <v>-1094.3233060337889</v>
      </c>
      <c r="O136" s="78">
        <f>O164</f>
        <v>-963.08351294247075</v>
      </c>
      <c r="P136"/>
      <c r="Q136" s="142"/>
      <c r="R136" s="142"/>
      <c r="T136" s="162"/>
    </row>
    <row r="137" spans="3:21" s="75" customFormat="1" ht="15" customHeight="1" x14ac:dyDescent="0.25">
      <c r="C137" s="115" t="s">
        <v>125</v>
      </c>
      <c r="D137" s="116"/>
      <c r="E137" s="116"/>
      <c r="F137" s="116"/>
      <c r="G137"/>
      <c r="H137" s="117">
        <f t="shared" ref="H137:O137" si="24">+H133+H136</f>
        <v>2225.8158096699922</v>
      </c>
      <c r="I137" s="117">
        <f t="shared" si="24"/>
        <v>2025.8294949494948</v>
      </c>
      <c r="J137" s="118">
        <f t="shared" si="24"/>
        <v>1130.8330484330484</v>
      </c>
      <c r="K137" s="117">
        <f t="shared" si="24"/>
        <v>708.54027106777517</v>
      </c>
      <c r="L137" s="117">
        <f t="shared" si="24"/>
        <v>960.50890389882034</v>
      </c>
      <c r="M137" s="117">
        <f t="shared" si="24"/>
        <v>1186.3029802135256</v>
      </c>
      <c r="N137" s="117">
        <f t="shared" si="24"/>
        <v>1458.2199232368689</v>
      </c>
      <c r="O137" s="117">
        <f t="shared" si="24"/>
        <v>1806.8805469291783</v>
      </c>
      <c r="P137"/>
      <c r="Q137" s="161"/>
      <c r="R137" s="161"/>
    </row>
    <row r="138" spans="3:21" ht="7.5" customHeight="1" x14ac:dyDescent="0.25">
      <c r="H138" s="131"/>
      <c r="I138" s="131"/>
      <c r="J138" s="132"/>
      <c r="K138" s="131"/>
      <c r="L138" s="131"/>
      <c r="M138" s="131"/>
      <c r="N138" s="131"/>
      <c r="O138" s="131"/>
      <c r="Q138" s="131"/>
      <c r="R138"/>
    </row>
    <row r="139" spans="3:21" s="75" customFormat="1" ht="15" customHeight="1" x14ac:dyDescent="0.25">
      <c r="C139" s="126" t="s">
        <v>126</v>
      </c>
      <c r="D139"/>
      <c r="E139"/>
      <c r="F139" s="163">
        <f>K11</f>
        <v>500</v>
      </c>
      <c r="H139" s="85"/>
      <c r="I139" s="85"/>
      <c r="J139" s="89"/>
      <c r="K139" s="78">
        <f>-MIN(K137+K160-$F$139,0)</f>
        <v>0</v>
      </c>
      <c r="L139" s="78">
        <f>-MIN(L137+L160-$F$139,0)</f>
        <v>0</v>
      </c>
      <c r="M139" s="78">
        <f>-MIN(M137+M160-$F$139,0)</f>
        <v>0</v>
      </c>
      <c r="N139" s="78">
        <f>-MIN(N137+N160-$F$139,0)</f>
        <v>0</v>
      </c>
      <c r="O139" s="78">
        <f>-MIN(O137+O160-$F$139,0)</f>
        <v>0</v>
      </c>
      <c r="P139"/>
      <c r="Q139" s="142"/>
      <c r="R139" s="142"/>
    </row>
    <row r="140" spans="3:21" s="75" customFormat="1" ht="15" customHeight="1" x14ac:dyDescent="0.25">
      <c r="C140" s="126" t="s">
        <v>127</v>
      </c>
      <c r="D140" s="128"/>
      <c r="E140" s="128"/>
      <c r="F140" s="128"/>
      <c r="H140" s="85"/>
      <c r="I140" s="85"/>
      <c r="J140" s="89"/>
      <c r="K140" s="78">
        <f>-MAX(MIN(K137+K139+K160-$F$139,K168),0)</f>
        <v>0</v>
      </c>
      <c r="L140" s="78">
        <f>-MAX(MIN(L137+L139+L160-$F$139,L168),0)</f>
        <v>0</v>
      </c>
      <c r="M140" s="78">
        <f>-MAX(MIN(M137+M139+M160-$F$139,M168),0)</f>
        <v>0</v>
      </c>
      <c r="N140" s="78">
        <f>-MAX(MIN(N137+N139+N160-$F$139,N168),0)</f>
        <v>0</v>
      </c>
      <c r="O140" s="78">
        <f>-MAX(MIN(O137+O139+O160-$F$139,O168),0)</f>
        <v>0</v>
      </c>
      <c r="P140"/>
      <c r="Q140" s="142"/>
      <c r="R140" s="142"/>
    </row>
    <row r="141" spans="3:21" s="75" customFormat="1" ht="15" customHeight="1" x14ac:dyDescent="0.25">
      <c r="C141" s="126" t="s">
        <v>128</v>
      </c>
      <c r="D141" s="128"/>
      <c r="E141" s="128"/>
      <c r="F141" s="128"/>
      <c r="H141" s="85"/>
      <c r="I141" s="85"/>
      <c r="J141" s="89"/>
      <c r="K141" s="164">
        <f>K178</f>
        <v>-708.54027106777517</v>
      </c>
      <c r="L141" s="164">
        <f>L178</f>
        <v>-960.50890389882034</v>
      </c>
      <c r="M141" s="164">
        <f>M178</f>
        <v>-1186.3029802135256</v>
      </c>
      <c r="N141" s="164">
        <f>N178</f>
        <v>-1458.2199232368689</v>
      </c>
      <c r="O141" s="164">
        <f>O178</f>
        <v>-1806.8805469291783</v>
      </c>
      <c r="P141"/>
      <c r="Q141" s="142"/>
      <c r="R141" s="142"/>
    </row>
    <row r="142" spans="3:21" s="75" customFormat="1" ht="15" customHeight="1" x14ac:dyDescent="0.25">
      <c r="C142" s="115" t="s">
        <v>129</v>
      </c>
      <c r="D142" s="116"/>
      <c r="E142" s="116"/>
      <c r="F142" s="116"/>
      <c r="G142"/>
      <c r="H142" s="165"/>
      <c r="I142" s="165"/>
      <c r="J142" s="166"/>
      <c r="K142" s="117">
        <f>K137+SUM(K139:K141)</f>
        <v>0</v>
      </c>
      <c r="L142" s="117">
        <f>L137+SUM(L139:L141)</f>
        <v>0</v>
      </c>
      <c r="M142" s="117">
        <f>M137+SUM(M139:M141)</f>
        <v>0</v>
      </c>
      <c r="N142" s="117">
        <f>N137+SUM(N139:N141)</f>
        <v>0</v>
      </c>
      <c r="O142" s="117">
        <f>O137+SUM(O139:O141)</f>
        <v>0</v>
      </c>
      <c r="P142"/>
      <c r="Q142" s="161"/>
      <c r="R142" s="161"/>
    </row>
    <row r="143" spans="3:21" ht="15" customHeight="1" x14ac:dyDescent="0.25">
      <c r="H143" s="131"/>
      <c r="I143" s="131"/>
      <c r="J143" s="132"/>
      <c r="K143" s="131"/>
      <c r="L143" s="131"/>
      <c r="M143" s="131"/>
      <c r="N143" s="131"/>
      <c r="O143" s="131"/>
      <c r="R143" s="131"/>
    </row>
    <row r="144" spans="3:21" ht="15" customHeight="1" x14ac:dyDescent="0.25">
      <c r="H144" s="131"/>
      <c r="I144" s="131"/>
      <c r="J144" s="132"/>
      <c r="K144" s="131"/>
      <c r="L144" s="131"/>
      <c r="M144" s="131"/>
      <c r="N144" s="131"/>
      <c r="O144" s="131"/>
      <c r="R144" s="131"/>
    </row>
    <row r="145" spans="3:20" ht="15" customHeight="1" x14ac:dyDescent="0.25">
      <c r="C145" s="56" t="s">
        <v>130</v>
      </c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71"/>
      <c r="O145" s="71"/>
      <c r="P145" s="71"/>
      <c r="Q145" s="71"/>
      <c r="R145" s="71"/>
    </row>
    <row r="146" spans="3:20" ht="7.5" customHeight="1" x14ac:dyDescent="0.25">
      <c r="H146" s="131"/>
      <c r="I146" s="131"/>
      <c r="J146" s="132"/>
      <c r="K146" s="131"/>
      <c r="L146" s="131"/>
      <c r="M146" s="131"/>
      <c r="N146" s="131"/>
      <c r="O146" s="131"/>
      <c r="R146" s="131"/>
    </row>
    <row r="147" spans="3:20" s="75" customFormat="1" ht="15" customHeight="1" x14ac:dyDescent="0.25">
      <c r="C147" s="126" t="s">
        <v>131</v>
      </c>
      <c r="D147" s="128"/>
      <c r="E147" s="128"/>
      <c r="F147" s="128"/>
      <c r="H147" s="76">
        <v>5100</v>
      </c>
      <c r="I147" s="76">
        <v>5350</v>
      </c>
      <c r="J147" s="77">
        <v>5500</v>
      </c>
      <c r="K147" s="78">
        <f>-K152*K76/365</f>
        <v>5253.3621358995879</v>
      </c>
      <c r="L147" s="78">
        <f>-L152*L76/365</f>
        <v>5326.9256971388277</v>
      </c>
      <c r="M147" s="78">
        <f>-M152*M76/365</f>
        <v>5418.6158975123462</v>
      </c>
      <c r="N147" s="78">
        <f>-N152*N76/365</f>
        <v>5524.1583495191226</v>
      </c>
      <c r="O147" s="78">
        <f>-O152*O76/365</f>
        <v>5633.8730186249468</v>
      </c>
      <c r="P147"/>
      <c r="Q147" s="142"/>
      <c r="R147" s="142"/>
      <c r="T147" s="162"/>
    </row>
    <row r="148" spans="3:20" s="75" customFormat="1" ht="15" customHeight="1" x14ac:dyDescent="0.25">
      <c r="C148" s="126" t="s">
        <v>132</v>
      </c>
      <c r="D148" s="128"/>
      <c r="E148" s="128"/>
      <c r="F148" s="128"/>
      <c r="H148" s="76">
        <v>950</v>
      </c>
      <c r="I148" s="76">
        <v>1000</v>
      </c>
      <c r="J148" s="77">
        <v>1050</v>
      </c>
      <c r="K148" s="78">
        <f>K153*K73/365</f>
        <v>1111.6815083586398</v>
      </c>
      <c r="L148" s="78">
        <f>L153*L73/365</f>
        <v>1131.9915204936094</v>
      </c>
      <c r="M148" s="78">
        <f>M153*M73/365</f>
        <v>1156.3414207239323</v>
      </c>
      <c r="N148" s="78">
        <f>N153*N73/365</f>
        <v>1183.8666044145391</v>
      </c>
      <c r="O148" s="78">
        <f>O153*O73/365</f>
        <v>1212.5243239120496</v>
      </c>
      <c r="P148"/>
      <c r="Q148" s="142"/>
      <c r="R148" s="142"/>
      <c r="T148" s="162"/>
    </row>
    <row r="149" spans="3:20" s="75" customFormat="1" ht="15" customHeight="1" x14ac:dyDescent="0.25">
      <c r="C149" s="126" t="s">
        <v>133</v>
      </c>
      <c r="D149" s="128"/>
      <c r="E149" s="128"/>
      <c r="F149" s="128"/>
      <c r="H149" s="76">
        <v>-7500</v>
      </c>
      <c r="I149" s="76">
        <v>-7800</v>
      </c>
      <c r="J149" s="77">
        <v>-8100</v>
      </c>
      <c r="K149" s="78">
        <f>+K154*K76/365</f>
        <v>-7800.4468078509035</v>
      </c>
      <c r="L149" s="78">
        <f>+L154*L76/365</f>
        <v>-7909.6775502970468</v>
      </c>
      <c r="M149" s="78">
        <f>+M154*M76/365</f>
        <v>-8045.8236053971204</v>
      </c>
      <c r="N149" s="78">
        <f>+N154*N76/365</f>
        <v>-8202.5381553465759</v>
      </c>
      <c r="O149" s="78">
        <f>+O154*O76/365</f>
        <v>-8365.4478155340112</v>
      </c>
      <c r="P149"/>
      <c r="Q149" s="142"/>
      <c r="R149" s="142"/>
      <c r="T149" s="162"/>
    </row>
    <row r="150" spans="3:20" s="75" customFormat="1" ht="15" customHeight="1" x14ac:dyDescent="0.25">
      <c r="C150" s="167" t="s">
        <v>134</v>
      </c>
      <c r="D150" s="167"/>
      <c r="E150" s="167"/>
      <c r="F150" s="167"/>
      <c r="H150" s="168">
        <f t="shared" ref="H150:O150" si="25">SUM(H147:H149)</f>
        <v>-1450</v>
      </c>
      <c r="I150" s="168">
        <f t="shared" si="25"/>
        <v>-1450</v>
      </c>
      <c r="J150" s="169">
        <f t="shared" si="25"/>
        <v>-1550</v>
      </c>
      <c r="K150" s="168">
        <f t="shared" si="25"/>
        <v>-1435.4031635926758</v>
      </c>
      <c r="L150" s="168">
        <f t="shared" si="25"/>
        <v>-1450.7603326646095</v>
      </c>
      <c r="M150" s="168">
        <f t="shared" si="25"/>
        <v>-1470.8662871608421</v>
      </c>
      <c r="N150" s="168">
        <f t="shared" si="25"/>
        <v>-1494.513201412914</v>
      </c>
      <c r="O150" s="168">
        <f t="shared" si="25"/>
        <v>-1519.0504729970144</v>
      </c>
      <c r="P150"/>
      <c r="Q150" s="170"/>
      <c r="R150" s="170"/>
      <c r="T150" s="162"/>
    </row>
    <row r="151" spans="3:20" ht="4.5" customHeight="1" x14ac:dyDescent="0.25">
      <c r="C151" s="171"/>
      <c r="D151" s="171"/>
      <c r="E151" s="171"/>
      <c r="F151" s="171"/>
      <c r="G151" s="75"/>
      <c r="H151" s="172"/>
      <c r="I151" s="172"/>
      <c r="J151" s="173"/>
      <c r="L151"/>
      <c r="M151"/>
      <c r="N151"/>
      <c r="O151"/>
      <c r="R151"/>
    </row>
    <row r="152" spans="3:20" s="174" customFormat="1" ht="15" customHeight="1" x14ac:dyDescent="0.25">
      <c r="C152" s="175" t="s">
        <v>135</v>
      </c>
      <c r="D152" s="175"/>
      <c r="E152" s="175"/>
      <c r="F152" s="175"/>
      <c r="H152" s="176">
        <f>-H147/H76*365</f>
        <v>33.305303084520148</v>
      </c>
      <c r="I152" s="176">
        <f>-I147/I76*365</f>
        <v>34.227546799411066</v>
      </c>
      <c r="J152" s="177">
        <f>-J147/J76*365</f>
        <v>35.187814411666757</v>
      </c>
      <c r="K152" s="178">
        <v>33</v>
      </c>
      <c r="L152" s="179">
        <f t="shared" ref="L152:O154" si="26">K152</f>
        <v>33</v>
      </c>
      <c r="M152" s="179">
        <f t="shared" si="26"/>
        <v>33</v>
      </c>
      <c r="N152" s="179">
        <f t="shared" si="26"/>
        <v>33</v>
      </c>
      <c r="O152" s="179">
        <f t="shared" si="26"/>
        <v>33</v>
      </c>
      <c r="P152" s="43"/>
      <c r="Q152" s="142"/>
      <c r="R152" s="142"/>
      <c r="T152" s="162"/>
    </row>
    <row r="153" spans="3:20" s="174" customFormat="1" ht="15" customHeight="1" x14ac:dyDescent="0.25">
      <c r="C153" s="175" t="s">
        <v>136</v>
      </c>
      <c r="D153" s="175"/>
      <c r="E153" s="175"/>
      <c r="F153" s="175"/>
      <c r="H153" s="176">
        <f>+H148/H73*365</f>
        <v>4.4655505473277533</v>
      </c>
      <c r="I153" s="176">
        <f>+I148/I73*365</f>
        <v>4.6064338629680579</v>
      </c>
      <c r="J153" s="177">
        <f>+J148/J73*365</f>
        <v>4.8366945152578316</v>
      </c>
      <c r="K153" s="178">
        <v>5</v>
      </c>
      <c r="L153" s="179">
        <f t="shared" si="26"/>
        <v>5</v>
      </c>
      <c r="M153" s="179">
        <f t="shared" si="26"/>
        <v>5</v>
      </c>
      <c r="N153" s="179">
        <f t="shared" si="26"/>
        <v>5</v>
      </c>
      <c r="O153" s="179">
        <f t="shared" si="26"/>
        <v>5</v>
      </c>
      <c r="P153" s="43"/>
      <c r="Q153" s="142"/>
      <c r="R153" s="142"/>
      <c r="T153" s="162"/>
    </row>
    <row r="154" spans="3:20" s="174" customFormat="1" ht="15" customHeight="1" x14ac:dyDescent="0.25">
      <c r="C154" s="175" t="s">
        <v>137</v>
      </c>
      <c r="D154" s="175"/>
      <c r="E154" s="175"/>
      <c r="F154" s="175"/>
      <c r="H154" s="176">
        <f>+H149/H76*365</f>
        <v>48.978386889000213</v>
      </c>
      <c r="I154" s="176">
        <f>+I149/I76*365</f>
        <v>49.901843931851651</v>
      </c>
      <c r="J154" s="177">
        <f>+J149/J76*365</f>
        <v>51.822053951727405</v>
      </c>
      <c r="K154" s="178">
        <v>49</v>
      </c>
      <c r="L154" s="179">
        <f t="shared" si="26"/>
        <v>49</v>
      </c>
      <c r="M154" s="179">
        <f t="shared" si="26"/>
        <v>49</v>
      </c>
      <c r="N154" s="179">
        <f t="shared" si="26"/>
        <v>49</v>
      </c>
      <c r="O154" s="179">
        <f t="shared" si="26"/>
        <v>49</v>
      </c>
      <c r="P154" s="43"/>
      <c r="Q154" s="142"/>
      <c r="R154" s="142"/>
      <c r="T154" s="162"/>
    </row>
    <row r="155" spans="3:20" ht="15" customHeight="1" x14ac:dyDescent="0.25">
      <c r="H155"/>
      <c r="I155"/>
      <c r="J155" s="132"/>
      <c r="K155" s="131"/>
      <c r="L155"/>
      <c r="M155"/>
      <c r="N155"/>
      <c r="O155"/>
      <c r="R155"/>
    </row>
    <row r="156" spans="3:20" ht="15" customHeight="1" x14ac:dyDescent="0.25">
      <c r="C156" s="56" t="s">
        <v>138</v>
      </c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71"/>
      <c r="O156" s="71"/>
      <c r="P156" s="71"/>
      <c r="Q156" s="71"/>
      <c r="R156" s="71"/>
    </row>
    <row r="157" spans="3:20" ht="7.5" customHeight="1" x14ac:dyDescent="0.25">
      <c r="H157" s="131"/>
      <c r="I157" s="131"/>
      <c r="J157" s="132"/>
      <c r="K157" s="131"/>
      <c r="L157" s="131"/>
      <c r="M157" s="131"/>
      <c r="N157" s="131"/>
      <c r="O157" s="131"/>
      <c r="R157" s="131"/>
    </row>
    <row r="158" spans="3:20" ht="15.75" customHeight="1" x14ac:dyDescent="0.25">
      <c r="C158" s="180" t="s">
        <v>139</v>
      </c>
      <c r="D158" s="181"/>
      <c r="E158" s="181"/>
      <c r="F158" s="181"/>
      <c r="H158" s="131"/>
      <c r="I158" s="131"/>
      <c r="J158" s="132"/>
      <c r="K158" s="131"/>
      <c r="L158" s="131"/>
      <c r="M158" s="131"/>
      <c r="N158" s="131"/>
      <c r="O158" s="131"/>
      <c r="R158" s="131"/>
    </row>
    <row r="159" spans="3:20" ht="4.5" customHeight="1" x14ac:dyDescent="0.25">
      <c r="C159" s="9"/>
      <c r="D159" s="9"/>
      <c r="E159" s="9"/>
      <c r="F159" s="9"/>
      <c r="H159" s="131"/>
      <c r="I159" s="131"/>
      <c r="J159" s="132"/>
      <c r="K159" s="131"/>
      <c r="L159" s="131"/>
      <c r="M159" s="131"/>
      <c r="N159" s="131"/>
      <c r="O159" s="131"/>
      <c r="Q159" s="131"/>
      <c r="R159" s="131"/>
    </row>
    <row r="160" spans="3:20" ht="15" customHeight="1" x14ac:dyDescent="0.25">
      <c r="C160" t="s">
        <v>140</v>
      </c>
      <c r="H160" s="182"/>
      <c r="I160" s="182"/>
      <c r="J160" s="182"/>
      <c r="K160" s="183">
        <f>J162</f>
        <v>500</v>
      </c>
      <c r="L160" s="78">
        <f>+K162</f>
        <v>500</v>
      </c>
      <c r="M160" s="78">
        <f>+L162</f>
        <v>500</v>
      </c>
      <c r="N160" s="78">
        <f>+M162</f>
        <v>500</v>
      </c>
      <c r="O160" s="78">
        <f>+N162</f>
        <v>500</v>
      </c>
      <c r="Q160" s="182"/>
      <c r="R160" s="182"/>
    </row>
    <row r="161" spans="3:20" ht="15" customHeight="1" x14ac:dyDescent="0.25">
      <c r="C161" t="s">
        <v>129</v>
      </c>
      <c r="H161" s="182"/>
      <c r="I161" s="182"/>
      <c r="J161" s="184"/>
      <c r="K161" s="78">
        <f>+K142</f>
        <v>0</v>
      </c>
      <c r="L161" s="78">
        <f>+L142</f>
        <v>0</v>
      </c>
      <c r="M161" s="78">
        <f>+M142</f>
        <v>0</v>
      </c>
      <c r="N161" s="78">
        <f>+N142</f>
        <v>0</v>
      </c>
      <c r="O161" s="78">
        <f>+O142</f>
        <v>0</v>
      </c>
      <c r="Q161" s="182"/>
      <c r="R161" s="182"/>
    </row>
    <row r="162" spans="3:20" ht="15" customHeight="1" x14ac:dyDescent="0.25">
      <c r="C162" s="185" t="s">
        <v>141</v>
      </c>
      <c r="D162" s="186"/>
      <c r="E162" s="186"/>
      <c r="F162" s="186"/>
      <c r="H162" s="187"/>
      <c r="I162" s="187"/>
      <c r="J162" s="188">
        <f>+K11</f>
        <v>500</v>
      </c>
      <c r="K162" s="135">
        <f>+K160+K161</f>
        <v>500</v>
      </c>
      <c r="L162" s="135">
        <f>+L160+L161</f>
        <v>500</v>
      </c>
      <c r="M162" s="135">
        <f>+M160+M161</f>
        <v>500</v>
      </c>
      <c r="N162" s="135">
        <f>+N160+N161</f>
        <v>500</v>
      </c>
      <c r="O162" s="135">
        <f>+O160+O161</f>
        <v>500</v>
      </c>
      <c r="Q162" s="187"/>
      <c r="R162" s="187"/>
    </row>
    <row r="163" spans="3:20" ht="4.5" customHeight="1" x14ac:dyDescent="0.25">
      <c r="H163" s="131"/>
      <c r="I163" s="131"/>
      <c r="J163" s="132"/>
      <c r="K163" s="131"/>
      <c r="L163" s="131"/>
      <c r="M163" s="131"/>
      <c r="N163" s="131"/>
      <c r="O163" s="131"/>
      <c r="Q163" s="131"/>
      <c r="R163" s="131"/>
    </row>
    <row r="164" spans="3:20" ht="15" customHeight="1" x14ac:dyDescent="0.25">
      <c r="C164" s="189" t="s">
        <v>142</v>
      </c>
      <c r="D164" s="190"/>
      <c r="E164" s="190"/>
      <c r="F164" s="190"/>
      <c r="G164" s="190"/>
      <c r="H164" s="191"/>
      <c r="I164" s="191"/>
      <c r="J164" s="192"/>
      <c r="K164" s="193">
        <f>+K173+K181</f>
        <v>-1351.3050000000001</v>
      </c>
      <c r="L164" s="193">
        <f>+L173+L181</f>
        <v>-1287.5363756039001</v>
      </c>
      <c r="M164" s="193">
        <f>+M173+M181</f>
        <v>-1201.0905742530063</v>
      </c>
      <c r="N164" s="193">
        <f>+N173+N181</f>
        <v>-1094.3233060337889</v>
      </c>
      <c r="O164" s="194">
        <f>+O173+O181</f>
        <v>-963.08351294247075</v>
      </c>
      <c r="Q164" s="191"/>
      <c r="R164" s="191"/>
    </row>
    <row r="165" spans="3:20" ht="15" customHeight="1" x14ac:dyDescent="0.25">
      <c r="J165" s="132"/>
      <c r="K165" s="131"/>
      <c r="Q165" s="4"/>
    </row>
    <row r="166" spans="3:20" ht="15.75" customHeight="1" x14ac:dyDescent="0.25">
      <c r="C166" s="180" t="s">
        <v>143</v>
      </c>
      <c r="D166" s="181"/>
      <c r="E166" s="181"/>
      <c r="F166" s="181"/>
      <c r="J166" s="132"/>
      <c r="K166" s="131"/>
      <c r="Q166" s="4"/>
    </row>
    <row r="167" spans="3:20" ht="3" customHeight="1" x14ac:dyDescent="0.25">
      <c r="C167" s="9"/>
      <c r="D167" s="9"/>
      <c r="E167" s="9"/>
      <c r="F167" s="9"/>
      <c r="H167" s="131"/>
      <c r="I167" s="131"/>
      <c r="J167" s="132"/>
      <c r="K167" s="131"/>
      <c r="L167" s="131"/>
      <c r="M167" s="131"/>
      <c r="N167" s="131"/>
      <c r="O167" s="131"/>
      <c r="Q167" s="131"/>
      <c r="R167" s="131"/>
    </row>
    <row r="168" spans="3:20" s="75" customFormat="1" ht="15" customHeight="1" x14ac:dyDescent="0.25">
      <c r="C168" s="75" t="s">
        <v>140</v>
      </c>
      <c r="H168" s="195"/>
      <c r="I168" s="195"/>
      <c r="J168" s="196"/>
      <c r="K168" s="159">
        <v>0</v>
      </c>
      <c r="L168" s="78">
        <f>+K171</f>
        <v>0</v>
      </c>
      <c r="M168" s="78">
        <f>+L171</f>
        <v>0</v>
      </c>
      <c r="N168" s="78">
        <f>+M171</f>
        <v>0</v>
      </c>
      <c r="O168" s="78">
        <f>+N171</f>
        <v>0</v>
      </c>
      <c r="P168"/>
      <c r="Q168" s="195"/>
      <c r="R168" s="195"/>
    </row>
    <row r="169" spans="3:20" s="75" customFormat="1" ht="15" customHeight="1" x14ac:dyDescent="0.25">
      <c r="C169" s="75" t="s">
        <v>144</v>
      </c>
      <c r="G169"/>
      <c r="H169" s="195"/>
      <c r="I169" s="195"/>
      <c r="J169" s="196"/>
      <c r="K169" s="78">
        <f t="shared" ref="K169:O170" si="27">+K139</f>
        <v>0</v>
      </c>
      <c r="L169" s="78">
        <f t="shared" si="27"/>
        <v>0</v>
      </c>
      <c r="M169" s="78">
        <f t="shared" si="27"/>
        <v>0</v>
      </c>
      <c r="N169" s="78">
        <f t="shared" si="27"/>
        <v>0</v>
      </c>
      <c r="O169" s="78">
        <f t="shared" si="27"/>
        <v>0</v>
      </c>
      <c r="P169"/>
      <c r="Q169" s="195"/>
      <c r="R169" s="195"/>
    </row>
    <row r="170" spans="3:20" s="75" customFormat="1" ht="15" customHeight="1" x14ac:dyDescent="0.25">
      <c r="C170" s="75" t="s">
        <v>145</v>
      </c>
      <c r="G170"/>
      <c r="H170" s="195"/>
      <c r="I170" s="195"/>
      <c r="J170" s="196"/>
      <c r="K170" s="78">
        <f t="shared" si="27"/>
        <v>0</v>
      </c>
      <c r="L170" s="78">
        <f t="shared" si="27"/>
        <v>0</v>
      </c>
      <c r="M170" s="78">
        <f t="shared" si="27"/>
        <v>0</v>
      </c>
      <c r="N170" s="78">
        <f t="shared" si="27"/>
        <v>0</v>
      </c>
      <c r="O170" s="78">
        <f t="shared" si="27"/>
        <v>0</v>
      </c>
      <c r="P170"/>
      <c r="Q170" s="195"/>
      <c r="R170" s="195"/>
    </row>
    <row r="171" spans="3:20" s="75" customFormat="1" ht="15" customHeight="1" x14ac:dyDescent="0.25">
      <c r="C171" s="133" t="s">
        <v>141</v>
      </c>
      <c r="D171" s="134"/>
      <c r="E171" s="134"/>
      <c r="F171" s="134"/>
      <c r="G171"/>
      <c r="H171" s="197"/>
      <c r="I171" s="197"/>
      <c r="J171" s="198"/>
      <c r="K171" s="135">
        <f>SUM(K168:K170)</f>
        <v>0</v>
      </c>
      <c r="L171" s="135">
        <f>SUM(L168:L170)</f>
        <v>0</v>
      </c>
      <c r="M171" s="135">
        <f>SUM(M168:M170)</f>
        <v>0</v>
      </c>
      <c r="N171" s="135">
        <f>SUM(N168:N170)</f>
        <v>0</v>
      </c>
      <c r="O171" s="135">
        <f>SUM(O168:O170)</f>
        <v>0</v>
      </c>
      <c r="P171"/>
      <c r="Q171" s="197"/>
      <c r="R171" s="197"/>
    </row>
    <row r="172" spans="3:20" ht="15" customHeight="1" x14ac:dyDescent="0.25">
      <c r="E172" s="199" t="s">
        <v>146</v>
      </c>
      <c r="F172" s="199" t="s">
        <v>147</v>
      </c>
      <c r="H172" s="131"/>
      <c r="I172" s="131"/>
      <c r="J172" s="132"/>
      <c r="Q172" s="131"/>
      <c r="R172" s="131"/>
    </row>
    <row r="173" spans="3:20" s="43" customFormat="1" ht="15" customHeight="1" x14ac:dyDescent="0.25">
      <c r="C173" s="43" t="s">
        <v>148</v>
      </c>
      <c r="E173" s="200">
        <v>5.5E-2</v>
      </c>
      <c r="F173" s="201">
        <v>2.5000000000000001E-2</v>
      </c>
      <c r="G173"/>
      <c r="H173" s="195"/>
      <c r="I173" s="195"/>
      <c r="J173" s="196"/>
      <c r="K173" s="83">
        <f>-K168*SUM($E$173:$F$173)</f>
        <v>0</v>
      </c>
      <c r="L173" s="83">
        <f>-L168*SUM($E$173:$F$173)</f>
        <v>0</v>
      </c>
      <c r="M173" s="83">
        <f>-M168*SUM($E$173:$F$173)</f>
        <v>0</v>
      </c>
      <c r="N173" s="83">
        <f>-N168*SUM($E$173:$F$173)</f>
        <v>0</v>
      </c>
      <c r="O173" s="83">
        <f>-O168*SUM($E$173:$F$173)</f>
        <v>0</v>
      </c>
      <c r="P173"/>
      <c r="Q173" s="195"/>
      <c r="R173" s="195"/>
      <c r="T173" s="162"/>
    </row>
    <row r="174" spans="3:20" ht="15" customHeight="1" x14ac:dyDescent="0.25">
      <c r="F174" s="202"/>
      <c r="H174" s="131"/>
      <c r="I174" s="131"/>
      <c r="J174" s="132"/>
      <c r="Q174" s="131"/>
      <c r="R174" s="131"/>
    </row>
    <row r="175" spans="3:20" ht="15.75" customHeight="1" x14ac:dyDescent="0.25">
      <c r="C175" s="180" t="s">
        <v>149</v>
      </c>
      <c r="D175" s="181"/>
      <c r="E175" s="181"/>
      <c r="F175" s="181"/>
      <c r="H175" s="131"/>
      <c r="I175" s="131"/>
      <c r="J175" s="132"/>
      <c r="Q175" s="131"/>
      <c r="R175" s="131"/>
    </row>
    <row r="176" spans="3:20" ht="3" customHeight="1" x14ac:dyDescent="0.25">
      <c r="C176" s="9"/>
      <c r="D176" s="9"/>
      <c r="E176" s="9"/>
      <c r="F176" s="9"/>
      <c r="H176" s="131"/>
      <c r="I176" s="131"/>
      <c r="J176" s="132"/>
      <c r="Q176" s="131"/>
      <c r="R176" s="131"/>
    </row>
    <row r="177" spans="3:20" s="75" customFormat="1" ht="15" customHeight="1" x14ac:dyDescent="0.25">
      <c r="C177" s="75" t="s">
        <v>150</v>
      </c>
      <c r="G177"/>
      <c r="H177" s="195"/>
      <c r="I177" s="195"/>
      <c r="J177" s="195"/>
      <c r="K177" s="183">
        <f>J179</f>
        <v>15014.5</v>
      </c>
      <c r="L177" s="78">
        <f>+K179</f>
        <v>14305.959728932225</v>
      </c>
      <c r="M177" s="78">
        <f>+L179</f>
        <v>13345.450825033404</v>
      </c>
      <c r="N177" s="78">
        <f>+M179</f>
        <v>12159.147844819878</v>
      </c>
      <c r="O177" s="78">
        <f>+N179</f>
        <v>10700.927921583008</v>
      </c>
      <c r="P177"/>
      <c r="Q177" s="195"/>
      <c r="R177" s="195"/>
    </row>
    <row r="178" spans="3:20" s="75" customFormat="1" ht="15" customHeight="1" x14ac:dyDescent="0.25">
      <c r="C178" s="75" t="s">
        <v>145</v>
      </c>
      <c r="E178" s="199"/>
      <c r="F178" s="199"/>
      <c r="G178"/>
      <c r="H178" s="195"/>
      <c r="I178" s="195"/>
      <c r="J178" s="196"/>
      <c r="K178" s="203">
        <f>-MIN(K177,K137+K139+K140)</f>
        <v>-708.54027106777517</v>
      </c>
      <c r="L178" s="204">
        <f>-MIN(L177,L137+L139+L140)</f>
        <v>-960.50890389882034</v>
      </c>
      <c r="M178" s="204">
        <f>-MIN(M177,M137+M139+M140)</f>
        <v>-1186.3029802135256</v>
      </c>
      <c r="N178" s="204">
        <f>-MIN(N177,N137+N139+N140)</f>
        <v>-1458.2199232368689</v>
      </c>
      <c r="O178" s="204">
        <f>-MIN(O177,O137+O139+O140)</f>
        <v>-1806.8805469291783</v>
      </c>
      <c r="P178"/>
      <c r="Q178" s="195"/>
      <c r="R178" s="195"/>
    </row>
    <row r="179" spans="3:20" s="114" customFormat="1" ht="15" customHeight="1" x14ac:dyDescent="0.25">
      <c r="C179" s="133" t="s">
        <v>151</v>
      </c>
      <c r="D179" s="134"/>
      <c r="E179" s="205"/>
      <c r="F179" s="205"/>
      <c r="G179" s="6"/>
      <c r="H179" s="197"/>
      <c r="I179" s="197"/>
      <c r="J179" s="206">
        <f>+K10</f>
        <v>15014.5</v>
      </c>
      <c r="K179" s="207">
        <f>K177+K178</f>
        <v>14305.959728932225</v>
      </c>
      <c r="L179" s="207">
        <f>L177+L178</f>
        <v>13345.450825033404</v>
      </c>
      <c r="M179" s="207">
        <f>M177+M178</f>
        <v>12159.147844819878</v>
      </c>
      <c r="N179" s="207">
        <f>N177+N178</f>
        <v>10700.927921583008</v>
      </c>
      <c r="O179" s="207">
        <f>O177+O178</f>
        <v>8894.04737465383</v>
      </c>
      <c r="P179" s="6"/>
      <c r="Q179" s="197"/>
      <c r="R179" s="197"/>
    </row>
    <row r="180" spans="3:20" s="75" customFormat="1" ht="15" customHeight="1" x14ac:dyDescent="0.25">
      <c r="E180" s="199" t="s">
        <v>146</v>
      </c>
      <c r="F180" s="199" t="s">
        <v>147</v>
      </c>
      <c r="G180"/>
      <c r="H180" s="78"/>
      <c r="I180" s="78"/>
      <c r="J180" s="208"/>
      <c r="K180" s="112"/>
      <c r="L180" s="4"/>
      <c r="M180" s="4"/>
      <c r="N180" s="4"/>
      <c r="O180" s="4"/>
      <c r="P180"/>
      <c r="Q180" s="78"/>
      <c r="R180" s="78"/>
    </row>
    <row r="181" spans="3:20" s="43" customFormat="1" ht="15" customHeight="1" x14ac:dyDescent="0.25">
      <c r="C181" s="43" t="s">
        <v>148</v>
      </c>
      <c r="E181" s="209">
        <f>E173</f>
        <v>5.5E-2</v>
      </c>
      <c r="F181" s="201">
        <v>3.5000000000000003E-2</v>
      </c>
      <c r="G181"/>
      <c r="H181" s="195"/>
      <c r="I181" s="195"/>
      <c r="J181" s="196"/>
      <c r="K181" s="83">
        <f>-K177*SUM($E181:$F181)</f>
        <v>-1351.3050000000001</v>
      </c>
      <c r="L181" s="83">
        <f>-L177*SUM($E181:$F181)</f>
        <v>-1287.5363756039001</v>
      </c>
      <c r="M181" s="83">
        <f>-M177*SUM($E181:$F181)</f>
        <v>-1201.0905742530063</v>
      </c>
      <c r="N181" s="83">
        <f>-N177*SUM($E181:$F181)</f>
        <v>-1094.3233060337889</v>
      </c>
      <c r="O181" s="83">
        <f>-O177*SUM($E181:$F181)</f>
        <v>-963.08351294247075</v>
      </c>
      <c r="P181"/>
      <c r="Q181" s="195"/>
      <c r="R181" s="195"/>
      <c r="T181" s="162"/>
    </row>
    <row r="182" spans="3:20" ht="9" customHeight="1" x14ac:dyDescent="0.25">
      <c r="H182" s="131"/>
      <c r="I182" s="131"/>
      <c r="J182" s="210"/>
      <c r="K182"/>
      <c r="L182"/>
      <c r="M182" s="78"/>
      <c r="N182" s="78"/>
      <c r="O182" s="78"/>
      <c r="R182"/>
    </row>
    <row r="183" spans="3:20" s="75" customFormat="1" ht="15" customHeight="1" x14ac:dyDescent="0.25">
      <c r="C183" s="75" t="s">
        <v>152</v>
      </c>
      <c r="G183"/>
      <c r="H183" s="195"/>
      <c r="I183" s="195"/>
      <c r="J183" s="195"/>
      <c r="K183" s="183">
        <f>K171+K179</f>
        <v>14305.959728932225</v>
      </c>
      <c r="L183" s="164">
        <f>L171+L179</f>
        <v>13345.450825033404</v>
      </c>
      <c r="M183" s="164">
        <f>M171+M179</f>
        <v>12159.147844819878</v>
      </c>
      <c r="N183" s="164">
        <f>N171+N179</f>
        <v>10700.927921583008</v>
      </c>
      <c r="O183" s="164">
        <f>O171+O179</f>
        <v>8894.04737465383</v>
      </c>
      <c r="P183"/>
      <c r="Q183" s="195"/>
      <c r="R183" s="195"/>
    </row>
    <row r="184" spans="3:20" s="75" customFormat="1" ht="15" customHeight="1" x14ac:dyDescent="0.25">
      <c r="C184" s="75" t="s">
        <v>153</v>
      </c>
      <c r="G184"/>
      <c r="H184" s="195"/>
      <c r="I184" s="195"/>
      <c r="J184" s="195"/>
      <c r="K184" s="183">
        <f>K183-K162</f>
        <v>13805.959728932225</v>
      </c>
      <c r="L184" s="164">
        <f>L183-L162</f>
        <v>12845.450825033404</v>
      </c>
      <c r="M184" s="164">
        <f>M183-M162</f>
        <v>11659.147844819878</v>
      </c>
      <c r="N184" s="164">
        <f>N183-N162</f>
        <v>10200.927921583008</v>
      </c>
      <c r="O184" s="164">
        <f>O183-O162</f>
        <v>8394.04737465383</v>
      </c>
      <c r="P184"/>
      <c r="Q184" s="195"/>
      <c r="R184" s="195"/>
    </row>
    <row r="185" spans="3:20" ht="15" customHeight="1" x14ac:dyDescent="0.25">
      <c r="C185" t="s">
        <v>154</v>
      </c>
      <c r="H185" s="195"/>
      <c r="I185" s="195"/>
      <c r="J185" s="195"/>
      <c r="K185" s="211">
        <f t="shared" ref="K185:O186" si="28">K183/K$107</f>
        <v>3.1971341429080988</v>
      </c>
      <c r="L185" s="211">
        <f t="shared" si="28"/>
        <v>2.8957300403532149</v>
      </c>
      <c r="M185" s="211">
        <f t="shared" si="28"/>
        <v>2.5030408460378655</v>
      </c>
      <c r="N185" s="211">
        <f t="shared" si="28"/>
        <v>2.0759885782516658</v>
      </c>
      <c r="O185" s="211">
        <f t="shared" si="28"/>
        <v>1.6072929335556441</v>
      </c>
      <c r="Q185" s="195"/>
      <c r="R185" s="195"/>
    </row>
    <row r="186" spans="3:20" ht="15" customHeight="1" x14ac:dyDescent="0.25">
      <c r="C186" s="6" t="s">
        <v>155</v>
      </c>
      <c r="D186" s="6"/>
      <c r="E186" s="6"/>
      <c r="F186" s="6"/>
      <c r="G186" s="6"/>
      <c r="H186" s="212"/>
      <c r="I186" s="212"/>
      <c r="J186" s="212"/>
      <c r="K186" s="213">
        <f t="shared" si="28"/>
        <v>3.0853928056092719</v>
      </c>
      <c r="L186" s="213">
        <f t="shared" si="28"/>
        <v>2.7872387620023402</v>
      </c>
      <c r="M186" s="213">
        <f t="shared" si="28"/>
        <v>2.4001125455523908</v>
      </c>
      <c r="N186" s="213">
        <f t="shared" si="28"/>
        <v>1.9789881782179197</v>
      </c>
      <c r="O186" s="213">
        <f t="shared" si="28"/>
        <v>1.5169351433477749</v>
      </c>
      <c r="Q186" s="195"/>
      <c r="R186" s="195"/>
    </row>
    <row r="187" spans="3:20" ht="15" customHeight="1" x14ac:dyDescent="0.25">
      <c r="C187" t="s">
        <v>156</v>
      </c>
      <c r="H187" s="195"/>
      <c r="I187" s="195"/>
      <c r="J187" s="195"/>
      <c r="K187" s="211">
        <f>-K107/K136</f>
        <v>3.3113322283391078</v>
      </c>
      <c r="L187" s="211">
        <f>-L107/L136</f>
        <v>3.5794448067854412</v>
      </c>
      <c r="M187" s="211">
        <f>-M107/M136</f>
        <v>4.044449747215757</v>
      </c>
      <c r="N187" s="211">
        <f>-N107/N136</f>
        <v>4.7103245347028597</v>
      </c>
      <c r="O187" s="211">
        <f>-O107/O136</f>
        <v>5.745667036356239</v>
      </c>
      <c r="Q187" s="195"/>
      <c r="R187" s="195"/>
    </row>
    <row r="188" spans="3:20" ht="9" customHeight="1" x14ac:dyDescent="0.25">
      <c r="H188" s="131"/>
      <c r="I188" s="131"/>
      <c r="J188" s="210"/>
      <c r="K188"/>
      <c r="L188"/>
      <c r="M188" s="78"/>
      <c r="N188" s="78"/>
      <c r="O188" s="78"/>
      <c r="R188"/>
    </row>
    <row r="189" spans="3:20" ht="15" customHeight="1" x14ac:dyDescent="0.25">
      <c r="C189" s="56" t="s">
        <v>157</v>
      </c>
      <c r="D189" s="56"/>
      <c r="E189" s="56"/>
      <c r="F189" s="56"/>
      <c r="G189" s="56"/>
      <c r="H189" s="56"/>
      <c r="I189" s="56"/>
      <c r="J189" s="214"/>
      <c r="K189" s="56"/>
      <c r="L189" s="56"/>
      <c r="M189" s="56"/>
      <c r="N189" s="71"/>
      <c r="O189" s="71"/>
      <c r="P189" s="71"/>
      <c r="Q189" s="71"/>
      <c r="R189" s="56"/>
    </row>
    <row r="190" spans="3:20" ht="7.5" customHeight="1" x14ac:dyDescent="0.25">
      <c r="H190" s="131"/>
      <c r="I190" s="131"/>
      <c r="J190" s="132"/>
      <c r="K190" s="131"/>
      <c r="L190" s="131"/>
      <c r="M190" s="131"/>
      <c r="N190" s="131"/>
      <c r="O190" s="131"/>
      <c r="Q190" s="131"/>
      <c r="R190" s="131"/>
    </row>
    <row r="191" spans="3:20" ht="15" customHeight="1" x14ac:dyDescent="0.25">
      <c r="C191" t="s">
        <v>158</v>
      </c>
      <c r="H191" s="195"/>
      <c r="I191" s="195"/>
      <c r="J191" s="208">
        <f t="shared" ref="J191:O191" si="29">+J107</f>
        <v>4147</v>
      </c>
      <c r="K191" s="78">
        <f t="shared" si="29"/>
        <v>4474.6197968157785</v>
      </c>
      <c r="L191" s="78">
        <f t="shared" si="29"/>
        <v>4608.6653932027293</v>
      </c>
      <c r="M191" s="78">
        <f t="shared" si="29"/>
        <v>4857.7504694208001</v>
      </c>
      <c r="N191" s="78">
        <f t="shared" si="29"/>
        <v>5154.6179173081018</v>
      </c>
      <c r="O191" s="78">
        <f t="shared" si="29"/>
        <v>5533.5571935717217</v>
      </c>
      <c r="Q191" s="195"/>
      <c r="R191" s="195"/>
    </row>
    <row r="192" spans="3:20" ht="15" customHeight="1" x14ac:dyDescent="0.25">
      <c r="C192" s="215" t="s">
        <v>159</v>
      </c>
      <c r="D192" s="215"/>
      <c r="E192" s="215"/>
      <c r="F192" s="215"/>
      <c r="G192" s="215"/>
      <c r="H192" s="216"/>
      <c r="I192" s="216"/>
      <c r="J192" s="217">
        <f>$L$13</f>
        <v>6.5386363636363631</v>
      </c>
      <c r="K192" s="218">
        <v>7</v>
      </c>
      <c r="L192" s="219">
        <f>$K192</f>
        <v>7</v>
      </c>
      <c r="M192" s="219">
        <f>$K192</f>
        <v>7</v>
      </c>
      <c r="N192" s="219">
        <f>$K192</f>
        <v>7</v>
      </c>
      <c r="O192" s="219">
        <f>$K192</f>
        <v>7</v>
      </c>
      <c r="Q192" s="220"/>
      <c r="R192" s="220"/>
    </row>
    <row r="193" spans="3:18" ht="15" customHeight="1" x14ac:dyDescent="0.25">
      <c r="C193" s="49" t="s">
        <v>160</v>
      </c>
      <c r="D193" s="221"/>
      <c r="E193" s="221"/>
      <c r="F193" s="221"/>
      <c r="G193" s="221"/>
      <c r="H193" s="222"/>
      <c r="I193" s="222"/>
      <c r="J193" s="118">
        <f t="shared" ref="J193:O193" si="30">J191*J192</f>
        <v>27115.724999999999</v>
      </c>
      <c r="K193" s="117">
        <f t="shared" si="30"/>
        <v>31322.338577710449</v>
      </c>
      <c r="L193" s="117">
        <f t="shared" si="30"/>
        <v>32260.657752419105</v>
      </c>
      <c r="M193" s="117">
        <f t="shared" si="30"/>
        <v>34004.253285945597</v>
      </c>
      <c r="N193" s="117">
        <f t="shared" si="30"/>
        <v>36082.325421156711</v>
      </c>
      <c r="O193" s="117">
        <f t="shared" si="30"/>
        <v>38734.90035500205</v>
      </c>
      <c r="Q193" s="222"/>
      <c r="R193" s="222"/>
    </row>
    <row r="194" spans="3:18" ht="4.5" customHeight="1" x14ac:dyDescent="0.25">
      <c r="C194" s="6"/>
      <c r="H194" s="78"/>
      <c r="I194" s="78"/>
      <c r="J194" s="144"/>
      <c r="K194" s="143"/>
      <c r="L194" s="143"/>
      <c r="M194" s="143"/>
      <c r="N194" s="143"/>
      <c r="O194" s="143"/>
      <c r="Q194" s="78"/>
      <c r="R194" s="78"/>
    </row>
    <row r="195" spans="3:18" ht="15" customHeight="1" x14ac:dyDescent="0.25">
      <c r="C195" t="s">
        <v>161</v>
      </c>
      <c r="H195" s="195"/>
      <c r="I195" s="195"/>
      <c r="J195" s="208">
        <f t="shared" ref="J195:O195" si="31">-(J171+J179-J162)</f>
        <v>-14514.5</v>
      </c>
      <c r="K195" s="78">
        <f t="shared" si="31"/>
        <v>-13805.959728932225</v>
      </c>
      <c r="L195" s="78">
        <f t="shared" si="31"/>
        <v>-12845.450825033404</v>
      </c>
      <c r="M195" s="78">
        <f t="shared" si="31"/>
        <v>-11659.147844819878</v>
      </c>
      <c r="N195" s="78">
        <f t="shared" si="31"/>
        <v>-10200.927921583008</v>
      </c>
      <c r="O195" s="78">
        <f t="shared" si="31"/>
        <v>-8394.04737465383</v>
      </c>
      <c r="Q195" s="195"/>
      <c r="R195" s="195"/>
    </row>
    <row r="196" spans="3:18" ht="15" customHeight="1" x14ac:dyDescent="0.25">
      <c r="C196" s="223" t="s">
        <v>162</v>
      </c>
      <c r="D196" s="223"/>
      <c r="E196" s="223"/>
      <c r="F196" s="223"/>
      <c r="G196" s="223"/>
      <c r="H196" s="224"/>
      <c r="I196" s="224"/>
      <c r="J196" s="225">
        <f t="shared" ref="J196:O196" si="32">J193+J195</f>
        <v>12601.224999999999</v>
      </c>
      <c r="K196" s="226">
        <f t="shared" si="32"/>
        <v>17516.378848778222</v>
      </c>
      <c r="L196" s="226">
        <f t="shared" si="32"/>
        <v>19415.206927385701</v>
      </c>
      <c r="M196" s="226">
        <f t="shared" si="32"/>
        <v>22345.105441125721</v>
      </c>
      <c r="N196" s="226">
        <f t="shared" si="32"/>
        <v>25881.397499573701</v>
      </c>
      <c r="O196" s="226">
        <f t="shared" si="32"/>
        <v>30340.85298034822</v>
      </c>
      <c r="Q196" s="224"/>
      <c r="R196" s="224"/>
    </row>
    <row r="197" spans="3:18" ht="4.5" customHeight="1" x14ac:dyDescent="0.25">
      <c r="C197" s="6"/>
      <c r="D197" s="6"/>
      <c r="E197" s="6"/>
      <c r="F197" s="6"/>
      <c r="G197" s="6"/>
      <c r="H197" s="143"/>
      <c r="I197" s="143"/>
      <c r="J197" s="147"/>
      <c r="K197" s="146"/>
      <c r="L197" s="146"/>
      <c r="M197" s="146"/>
      <c r="N197" s="146"/>
      <c r="O197" s="146"/>
      <c r="Q197" s="143"/>
      <c r="R197" s="143"/>
    </row>
    <row r="198" spans="3:18" ht="15" customHeight="1" x14ac:dyDescent="0.25">
      <c r="C198" t="s">
        <v>163</v>
      </c>
      <c r="E198" s="43"/>
      <c r="F198" s="153">
        <v>0.1</v>
      </c>
      <c r="H198" s="195"/>
      <c r="I198" s="195"/>
      <c r="J198" s="208">
        <v>0</v>
      </c>
      <c r="K198" s="78">
        <f>-K196*$F198</f>
        <v>-1751.6378848778222</v>
      </c>
      <c r="L198" s="78">
        <f>-L196*$F198</f>
        <v>-1941.5206927385702</v>
      </c>
      <c r="M198" s="78">
        <f>-M196*$F198</f>
        <v>-2234.510544112572</v>
      </c>
      <c r="N198" s="78">
        <f>-N196*$F198</f>
        <v>-2588.1397499573704</v>
      </c>
      <c r="O198" s="78">
        <f>-O196*$F198</f>
        <v>-3034.0852980348222</v>
      </c>
      <c r="Q198" s="195"/>
      <c r="R198" s="195"/>
    </row>
    <row r="199" spans="3:18" ht="15" customHeight="1" x14ac:dyDescent="0.25">
      <c r="C199" s="49" t="s">
        <v>164</v>
      </c>
      <c r="D199" s="49"/>
      <c r="E199" s="49"/>
      <c r="F199" s="49"/>
      <c r="G199" s="49"/>
      <c r="H199" s="197"/>
      <c r="I199" s="197"/>
      <c r="J199" s="118">
        <f t="shared" ref="J199:O199" si="33">J196+J198</f>
        <v>12601.224999999999</v>
      </c>
      <c r="K199" s="117">
        <f t="shared" si="33"/>
        <v>15764.7409639004</v>
      </c>
      <c r="L199" s="117">
        <f t="shared" si="33"/>
        <v>17473.686234647132</v>
      </c>
      <c r="M199" s="117">
        <f t="shared" si="33"/>
        <v>20110.59489701315</v>
      </c>
      <c r="N199" s="117">
        <f t="shared" si="33"/>
        <v>23293.257749616329</v>
      </c>
      <c r="O199" s="117">
        <f t="shared" si="33"/>
        <v>27306.767682313399</v>
      </c>
      <c r="Q199" s="197"/>
      <c r="R199" s="197"/>
    </row>
    <row r="200" spans="3:18" ht="4.5" customHeight="1" x14ac:dyDescent="0.25">
      <c r="H200" s="78"/>
      <c r="I200" s="78"/>
      <c r="J200" s="208"/>
      <c r="Q200" s="78"/>
      <c r="R200" s="78"/>
    </row>
    <row r="201" spans="3:18" ht="4.5" customHeight="1" x14ac:dyDescent="0.25">
      <c r="H201" s="78"/>
      <c r="I201" s="78"/>
      <c r="J201" s="208"/>
      <c r="Q201" s="78"/>
      <c r="R201" s="78"/>
    </row>
    <row r="202" spans="3:18" ht="14.25" customHeight="1" x14ac:dyDescent="0.25">
      <c r="F202" s="199" t="s">
        <v>165</v>
      </c>
      <c r="H202" s="78"/>
      <c r="I202" s="78"/>
      <c r="J202" s="208"/>
      <c r="Q202" s="78"/>
      <c r="R202" s="78"/>
    </row>
    <row r="203" spans="3:18" ht="15" customHeight="1" x14ac:dyDescent="0.25">
      <c r="C203" t="s">
        <v>166</v>
      </c>
      <c r="F203" s="227">
        <f>O19</f>
        <v>47177</v>
      </c>
      <c r="H203" s="195"/>
      <c r="I203" s="195"/>
      <c r="J203" s="208">
        <f>-J199</f>
        <v>-12601.224999999999</v>
      </c>
      <c r="K203" s="78">
        <f>K$199*(K19=$F$203)</f>
        <v>0</v>
      </c>
      <c r="L203" s="78">
        <f>L$199*(L19=$F$203)</f>
        <v>0</v>
      </c>
      <c r="M203" s="78">
        <f>M$199*(M19=$F$203)</f>
        <v>0</v>
      </c>
      <c r="N203" s="78">
        <f>N$199*(N19=$F$203)</f>
        <v>0</v>
      </c>
      <c r="O203" s="78">
        <f>O$199*(O19=$F$203)</f>
        <v>27306.767682313399</v>
      </c>
      <c r="Q203" s="195"/>
      <c r="R203" s="195"/>
    </row>
    <row r="204" spans="3:18" ht="15" customHeight="1" x14ac:dyDescent="0.25">
      <c r="R204"/>
    </row>
    <row r="205" spans="3:18" ht="15" customHeight="1" x14ac:dyDescent="0.25">
      <c r="C205" s="228" t="s">
        <v>72</v>
      </c>
      <c r="D205" s="229"/>
      <c r="E205" s="229"/>
      <c r="F205" s="230">
        <f>IFERROR(XIRR(J203:O203,J19:O19),"n/a")</f>
        <v>0.16717162728309634</v>
      </c>
      <c r="O205" s="78"/>
      <c r="R205"/>
    </row>
    <row r="206" spans="3:18" ht="15" customHeight="1" x14ac:dyDescent="0.25">
      <c r="C206" s="231" t="s">
        <v>76</v>
      </c>
      <c r="D206" s="232"/>
      <c r="E206" s="232"/>
      <c r="F206" s="233">
        <f>-SUM(K203:O203)/J203</f>
        <v>2.1669931044254351</v>
      </c>
    </row>
    <row r="207" spans="3:18" ht="15.75" customHeight="1" x14ac:dyDescent="0.25">
      <c r="C207" s="234" t="s">
        <v>167</v>
      </c>
      <c r="D207" s="235"/>
      <c r="E207" s="235"/>
      <c r="F207" s="236">
        <f>SUM(K203:O203)+J203</f>
        <v>14705.5426823134</v>
      </c>
    </row>
    <row r="208" spans="3:18" ht="15" customHeight="1" x14ac:dyDescent="0.25">
      <c r="I208"/>
      <c r="J208"/>
      <c r="K208"/>
    </row>
    <row r="209" spans="9:11" ht="15" customHeight="1" x14ac:dyDescent="0.25">
      <c r="I209"/>
      <c r="J209"/>
      <c r="K209"/>
    </row>
    <row r="210" spans="9:11" ht="15" customHeight="1" x14ac:dyDescent="0.25">
      <c r="I210"/>
      <c r="J210"/>
      <c r="K210"/>
    </row>
    <row r="211" spans="9:11" ht="15" customHeight="1" x14ac:dyDescent="0.25">
      <c r="I211"/>
      <c r="J211"/>
      <c r="K211"/>
    </row>
    <row r="212" spans="9:11" ht="15" customHeight="1" x14ac:dyDescent="0.25">
      <c r="I212"/>
      <c r="J212"/>
      <c r="K212"/>
    </row>
    <row r="213" spans="9:11" ht="15" customHeight="1" x14ac:dyDescent="0.25">
      <c r="I213"/>
      <c r="J213"/>
      <c r="K213"/>
    </row>
    <row r="214" spans="9:11" ht="15" customHeight="1" x14ac:dyDescent="0.25">
      <c r="I214"/>
      <c r="J214"/>
      <c r="K214"/>
    </row>
    <row r="215" spans="9:11" ht="15" customHeight="1" x14ac:dyDescent="0.25">
      <c r="I215"/>
      <c r="J215"/>
      <c r="K215"/>
    </row>
    <row r="216" spans="9:11" ht="15" customHeight="1" x14ac:dyDescent="0.25">
      <c r="I216"/>
      <c r="J216"/>
      <c r="K216"/>
    </row>
    <row r="217" spans="9:11" ht="15" customHeight="1" x14ac:dyDescent="0.25">
      <c r="I217"/>
      <c r="J217"/>
      <c r="K217"/>
    </row>
    <row r="218" spans="9:11" ht="15" customHeight="1" x14ac:dyDescent="0.25">
      <c r="I218"/>
      <c r="J218"/>
      <c r="K218"/>
    </row>
    <row r="219" spans="9:11" ht="15" customHeight="1" x14ac:dyDescent="0.25">
      <c r="I219"/>
      <c r="J219"/>
      <c r="K219"/>
    </row>
    <row r="220" spans="9:11" ht="15" customHeight="1" x14ac:dyDescent="0.25">
      <c r="I220"/>
      <c r="J220"/>
      <c r="K220"/>
    </row>
    <row r="221" spans="9:11" ht="15" customHeight="1" x14ac:dyDescent="0.25">
      <c r="I221"/>
      <c r="J221"/>
      <c r="K221"/>
    </row>
    <row r="222" spans="9:11" ht="15" customHeight="1" x14ac:dyDescent="0.25">
      <c r="I222"/>
      <c r="J222"/>
      <c r="K222"/>
    </row>
    <row r="223" spans="9:11" ht="15" customHeight="1" x14ac:dyDescent="0.25">
      <c r="I223"/>
      <c r="J223"/>
      <c r="K223"/>
    </row>
    <row r="224" spans="9:11" ht="15" customHeight="1" x14ac:dyDescent="0.25">
      <c r="I224"/>
      <c r="J224"/>
      <c r="K224"/>
    </row>
    <row r="225" spans="9:11" ht="15" customHeight="1" x14ac:dyDescent="0.25">
      <c r="I225"/>
      <c r="J225"/>
      <c r="K225"/>
    </row>
    <row r="226" spans="9:11" ht="15" customHeight="1" x14ac:dyDescent="0.25">
      <c r="I226"/>
      <c r="J226"/>
      <c r="K226"/>
    </row>
    <row r="227" spans="9:11" ht="15" customHeight="1" x14ac:dyDescent="0.25">
      <c r="I227"/>
      <c r="J227"/>
      <c r="K227"/>
    </row>
    <row r="228" spans="9:11" ht="15" customHeight="1" x14ac:dyDescent="0.25">
      <c r="I228"/>
      <c r="J228"/>
      <c r="K228"/>
    </row>
    <row r="229" spans="9:11" ht="15" customHeight="1" x14ac:dyDescent="0.25">
      <c r="I229"/>
      <c r="J229"/>
      <c r="K229"/>
    </row>
    <row r="230" spans="9:11" ht="15" customHeight="1" x14ac:dyDescent="0.25">
      <c r="I230"/>
      <c r="J230"/>
      <c r="K230"/>
    </row>
    <row r="231" spans="9:11" ht="15" customHeight="1" x14ac:dyDescent="0.25">
      <c r="I231"/>
      <c r="J231"/>
      <c r="K231"/>
    </row>
    <row r="232" spans="9:11" ht="15" customHeight="1" x14ac:dyDescent="0.25">
      <c r="I232"/>
      <c r="J232"/>
      <c r="K232"/>
    </row>
    <row r="233" spans="9:11" ht="15" customHeight="1" x14ac:dyDescent="0.25">
      <c r="I233"/>
      <c r="J233"/>
      <c r="K233"/>
    </row>
    <row r="234" spans="9:11" ht="15" customHeight="1" x14ac:dyDescent="0.25">
      <c r="I234"/>
      <c r="J234"/>
      <c r="K234"/>
    </row>
    <row r="235" spans="9:11" ht="15" customHeight="1" x14ac:dyDescent="0.25">
      <c r="I235"/>
      <c r="J235"/>
      <c r="K235"/>
    </row>
    <row r="236" spans="9:11" ht="15" customHeight="1" x14ac:dyDescent="0.25">
      <c r="I236"/>
      <c r="J236"/>
      <c r="K236"/>
    </row>
    <row r="237" spans="9:11" ht="15" customHeight="1" x14ac:dyDescent="0.25">
      <c r="I237"/>
      <c r="J237"/>
      <c r="K237"/>
    </row>
    <row r="238" spans="9:11" ht="15" customHeight="1" x14ac:dyDescent="0.25">
      <c r="I238"/>
      <c r="J238"/>
      <c r="K238"/>
    </row>
    <row r="239" spans="9:11" ht="15" customHeight="1" x14ac:dyDescent="0.25">
      <c r="I239"/>
      <c r="J239"/>
      <c r="K239"/>
    </row>
    <row r="240" spans="9:11" ht="15" customHeight="1" x14ac:dyDescent="0.25">
      <c r="I240"/>
      <c r="J240"/>
      <c r="K240"/>
    </row>
  </sheetData>
  <mergeCells count="3">
    <mergeCell ref="H18:J18"/>
    <mergeCell ref="K18:O18"/>
    <mergeCell ref="Q18:R18"/>
  </mergeCells>
  <pageMargins left="0.70833333333333304" right="0.70833333333333304" top="0.74791666666666701" bottom="0.74791666666666701" header="0.511811023622047" footer="0.511811023622047"/>
  <pageSetup scale="18" orientation="portrait" horizontalDpi="300" verticalDpi="300" r:id="rId1"/>
  <rowBreaks count="1" manualBreakCount="1">
    <brk id="2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Business Assessment</vt:lpstr>
      <vt:lpstr>Operating Model</vt:lpstr>
      <vt:lpstr>'Business Assessment'!Print_Area</vt:lpstr>
      <vt:lpstr>'Operating Model'!Print_Area</vt:lpstr>
      <vt:lpstr>'Operating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Danial Azmi</cp:lastModifiedBy>
  <cp:revision>0</cp:revision>
  <dcterms:created xsi:type="dcterms:W3CDTF">2019-11-13T17:33:36Z</dcterms:created>
  <dcterms:modified xsi:type="dcterms:W3CDTF">2026-01-14T04:06:05Z</dcterms:modified>
  <dc:language>en-US</dc:language>
</cp:coreProperties>
</file>