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4_094710\"/>
    </mc:Choice>
  </mc:AlternateContent>
  <xr:revisionPtr revIDLastSave="0" documentId="13_ncr:1_{0EEA6E01-5983-4445-A27A-E72D8645DB7E}" xr6:coauthVersionLast="47" xr6:coauthVersionMax="47" xr10:uidLastSave="{00000000-0000-0000-0000-000000000000}"/>
  <bookViews>
    <workbookView xWindow="-120" yWindow="330" windowWidth="29040" windowHeight="15990" activeTab="1" xr2:uid="{00000000-000D-0000-FFFF-FFFF00000000}"/>
  </bookViews>
  <sheets>
    <sheet name="Holders" sheetId="1" r:id="rId1"/>
    <sheet name="Rubric" sheetId="2" r:id="rId2"/>
  </sheets>
  <calcPr calcId="191029" iterate="1" iterateCount="1000" iterateDelta="1E-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E4" i="2"/>
  <c r="E3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<sst xmlns="http://schemas.openxmlformats.org/spreadsheetml/2006/main" count="26" uniqueCount="26">
  <si>
    <t>Investor</t>
  </si>
  <si>
    <t>Shares Held</t>
  </si>
  <si>
    <t>Market Value ($)</t>
  </si>
  <si>
    <t>% of Portfolio</t>
  </si>
  <si>
    <t>% Ownership</t>
  </si>
  <si>
    <t>Vanguard Group Inc</t>
  </si>
  <si>
    <t>BlackRock Inc</t>
  </si>
  <si>
    <t>Berkshire Hathaway Inc</t>
  </si>
  <si>
    <t>State Street Corporation</t>
  </si>
  <si>
    <t>FMR LLC (Fidelity)</t>
  </si>
  <si>
    <t>Geode Capital Management LLC</t>
  </si>
  <si>
    <t>Morgan Stanley</t>
  </si>
  <si>
    <t>JPMorgan Chase &amp; Co</t>
  </si>
  <si>
    <t>Northern Trust Corporation</t>
  </si>
  <si>
    <t>Bank of America Corporation</t>
  </si>
  <si>
    <t>Charles Schwab Investment Management</t>
  </si>
  <si>
    <t>Capital Research Global Investors</t>
  </si>
  <si>
    <t>Legal &amp; General Group PLC</t>
  </si>
  <si>
    <t>UBS Group AG</t>
  </si>
  <si>
    <t>Goldman Sachs Group Inc</t>
  </si>
  <si>
    <t>Sum of  shares held</t>
  </si>
  <si>
    <t>Sum of market value</t>
  </si>
  <si>
    <t>Sum of % portfolio</t>
  </si>
  <si>
    <t>Sum of % ownership</t>
  </si>
  <si>
    <t>Company #3 market value</t>
  </si>
  <si>
    <t>Company #15 %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</si>
</sst>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41" fontId="0" fillId="2" borderId="0" xfId="0" applyNumberFormat="1" applyFill="1"/>
    <xf numFmtId="10" fontId="0" fillId="2" borderId="0" xfId="0" applyNumberFormat="1" applyFill="1"/>
    <xf numFmtId="0" fontId="0" fillId="0" borderId="1" xfId="0" applyBorder="1"/>
    <xf numFmtId="0" fontId="0" fillId="0" borderId="2" xfId="0" applyBorder="1"/>
    <xf numFmtId="41" fontId="0" fillId="0" borderId="3" xfId="0" applyNumberFormat="1" applyBorder="1"/>
    <xf numFmtId="0" fontId="0" fillId="0" borderId="4" xfId="0" applyBorder="1"/>
    <xf numFmtId="41" fontId="0" fillId="0" borderId="5" xfId="0" applyNumberFormat="1" applyBorder="1"/>
    <xf numFmtId="10" fontId="0" fillId="0" borderId="5" xfId="0" applyNumberFormat="1" applyBorder="1"/>
    <xf numFmtId="0" fontId="0" fillId="0" borderId="6" xfId="0" applyBorder="1"/>
    <xf numFmtId="0" fontId="0" fillId="0" borderId="7" xfId="0" applyBorder="1"/>
    <xf numFmtId="10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activeCell="D4" sqref="D4"/>
    </sheetView>
  </sheetViews>
  <sheetFormatPr defaultColWidth="11" defaultRowHeight="15.75" x14ac:dyDescent="0.25"/>
  <cols>
    <col min="2" max="2" width="50.625" customWidth="1"/>
    <col min="3" max="6" width="20.625" customWidth="1"/>
  </cols>
  <sheetData>
    <row r="1" spans="1:6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3">
        <v>1</v>
      </c>
      <c r="B2" s="4" t="s">
        <v>5</v>
      </c>
      <c r="C2" s="5">
        <v>1340000000</v>
      </c>
      <c r="D2" s="5">
        <v>311844000000</v>
      </c>
      <c r="E2" s="6">
        <v>4.8899999999999997</v>
      </c>
      <c r="F2" s="6">
        <v>8.8699999999999992</v>
      </c>
    </row>
    <row r="3" spans="1:6" x14ac:dyDescent="0.25">
      <c r="A3" s="3">
        <f t="shared" ref="A3:A16" si="0">+A2+1</f>
        <v>2</v>
      </c>
      <c r="B3" s="4" t="s">
        <v>6</v>
      </c>
      <c r="C3" s="5">
        <v>1030000000</v>
      </c>
      <c r="D3" s="5">
        <v>239682000000</v>
      </c>
      <c r="E3" s="6">
        <v>2.15</v>
      </c>
      <c r="F3" s="6">
        <v>6.82</v>
      </c>
    </row>
    <row r="4" spans="1:6" x14ac:dyDescent="0.25">
      <c r="A4" s="3">
        <f t="shared" si="0"/>
        <v>3</v>
      </c>
      <c r="B4" s="4" t="s">
        <v>7</v>
      </c>
      <c r="C4" s="5">
        <v>905000000</v>
      </c>
      <c r="D4" s="5">
        <v>210603000000</v>
      </c>
      <c r="E4" s="6">
        <v>49.3</v>
      </c>
      <c r="F4" s="6">
        <v>5.99</v>
      </c>
    </row>
    <row r="5" spans="1:6" x14ac:dyDescent="0.25">
      <c r="A5" s="3">
        <f t="shared" si="0"/>
        <v>4</v>
      </c>
      <c r="B5" s="4" t="s">
        <v>8</v>
      </c>
      <c r="C5" s="5">
        <v>591000000</v>
      </c>
      <c r="D5" s="5">
        <v>137504700000</v>
      </c>
      <c r="E5" s="6">
        <v>4.5199999999999996</v>
      </c>
      <c r="F5" s="6">
        <v>3.91</v>
      </c>
    </row>
    <row r="6" spans="1:6" x14ac:dyDescent="0.25">
      <c r="A6" s="3">
        <f t="shared" si="0"/>
        <v>5</v>
      </c>
      <c r="B6" s="4" t="s">
        <v>9</v>
      </c>
      <c r="C6" s="5">
        <v>350000000</v>
      </c>
      <c r="D6" s="5">
        <v>81445000000</v>
      </c>
      <c r="E6" s="6">
        <v>2.87</v>
      </c>
      <c r="F6" s="6">
        <v>2.3199999999999998</v>
      </c>
    </row>
    <row r="7" spans="1:6" x14ac:dyDescent="0.25">
      <c r="A7" s="3">
        <f t="shared" si="0"/>
        <v>6</v>
      </c>
      <c r="B7" s="4" t="s">
        <v>10</v>
      </c>
      <c r="C7" s="5">
        <v>290000000</v>
      </c>
      <c r="D7" s="5">
        <v>67483000000</v>
      </c>
      <c r="E7" s="6">
        <v>3.12</v>
      </c>
      <c r="F7" s="6">
        <v>1.92</v>
      </c>
    </row>
    <row r="8" spans="1:6" x14ac:dyDescent="0.25">
      <c r="A8" s="3">
        <f t="shared" si="0"/>
        <v>7</v>
      </c>
      <c r="B8" s="4" t="s">
        <v>11</v>
      </c>
      <c r="C8" s="5">
        <v>260000000</v>
      </c>
      <c r="D8" s="5">
        <v>60502000000</v>
      </c>
      <c r="E8" s="6">
        <v>1.05</v>
      </c>
      <c r="F8" s="6">
        <v>1.72</v>
      </c>
    </row>
    <row r="9" spans="1:6" x14ac:dyDescent="0.25">
      <c r="A9" s="3">
        <f t="shared" si="0"/>
        <v>8</v>
      </c>
      <c r="B9" s="4" t="s">
        <v>12</v>
      </c>
      <c r="C9" s="5">
        <v>230000000</v>
      </c>
      <c r="D9" s="5">
        <v>53521000000</v>
      </c>
      <c r="E9" s="6">
        <v>1.42</v>
      </c>
      <c r="F9" s="6">
        <v>1.52</v>
      </c>
    </row>
    <row r="10" spans="1:6" x14ac:dyDescent="0.25">
      <c r="A10" s="3">
        <f t="shared" si="0"/>
        <v>9</v>
      </c>
      <c r="B10" s="4" t="s">
        <v>13</v>
      </c>
      <c r="C10" s="5">
        <v>195000000</v>
      </c>
      <c r="D10" s="5">
        <v>45376500000</v>
      </c>
      <c r="E10" s="6">
        <v>3.85</v>
      </c>
      <c r="F10" s="6">
        <v>1.29</v>
      </c>
    </row>
    <row r="11" spans="1:6" x14ac:dyDescent="0.25">
      <c r="A11" s="3">
        <f t="shared" si="0"/>
        <v>10</v>
      </c>
      <c r="B11" s="4" t="s">
        <v>14</v>
      </c>
      <c r="C11" s="5">
        <v>180000000</v>
      </c>
      <c r="D11" s="5">
        <v>41886000000</v>
      </c>
      <c r="E11" s="6">
        <v>1.18</v>
      </c>
      <c r="F11" s="6">
        <v>1.19</v>
      </c>
    </row>
    <row r="12" spans="1:6" x14ac:dyDescent="0.25">
      <c r="A12" s="3">
        <f t="shared" si="0"/>
        <v>11</v>
      </c>
      <c r="B12" s="4" t="s">
        <v>15</v>
      </c>
      <c r="C12" s="5">
        <v>165000000</v>
      </c>
      <c r="D12" s="5">
        <v>38396500000</v>
      </c>
      <c r="E12" s="6">
        <v>2.95</v>
      </c>
      <c r="F12" s="6">
        <v>1.0900000000000001</v>
      </c>
    </row>
    <row r="13" spans="1:6" x14ac:dyDescent="0.25">
      <c r="A13" s="3">
        <f t="shared" si="0"/>
        <v>12</v>
      </c>
      <c r="B13" s="4" t="s">
        <v>16</v>
      </c>
      <c r="C13" s="5">
        <v>155000000</v>
      </c>
      <c r="D13" s="5">
        <v>36068500000</v>
      </c>
      <c r="E13" s="6">
        <v>1.75</v>
      </c>
      <c r="F13" s="6">
        <v>1.03</v>
      </c>
    </row>
    <row r="14" spans="1:6" x14ac:dyDescent="0.25">
      <c r="A14" s="3">
        <f t="shared" si="0"/>
        <v>13</v>
      </c>
      <c r="B14" s="4" t="s">
        <v>17</v>
      </c>
      <c r="C14" s="5">
        <v>140000000</v>
      </c>
      <c r="D14" s="5">
        <v>32578000000</v>
      </c>
      <c r="E14" s="6">
        <v>1.82</v>
      </c>
      <c r="F14" s="6">
        <v>0.93</v>
      </c>
    </row>
    <row r="15" spans="1:6" x14ac:dyDescent="0.25">
      <c r="A15" s="3">
        <f t="shared" si="0"/>
        <v>14</v>
      </c>
      <c r="B15" s="4" t="s">
        <v>18</v>
      </c>
      <c r="C15" s="5">
        <v>125000000</v>
      </c>
      <c r="D15" s="5">
        <v>29087500000</v>
      </c>
      <c r="E15" s="6">
        <v>0.95</v>
      </c>
      <c r="F15" s="6">
        <v>0.83</v>
      </c>
    </row>
    <row r="16" spans="1:6" x14ac:dyDescent="0.25">
      <c r="A16" s="3">
        <f t="shared" si="0"/>
        <v>15</v>
      </c>
      <c r="B16" s="4" t="s">
        <v>19</v>
      </c>
      <c r="C16" s="5">
        <v>115000000</v>
      </c>
      <c r="D16" s="5">
        <v>26760500000</v>
      </c>
      <c r="E16" s="6">
        <v>0.88</v>
      </c>
      <c r="F16" s="6">
        <v>0.76</v>
      </c>
    </row>
    <row r="17" spans="5:6" x14ac:dyDescent="0.25">
      <c r="E17" s="1"/>
      <c r="F17" s="1"/>
    </row>
    <row r="18" spans="5:6" x14ac:dyDescent="0.25">
      <c r="E18" s="1"/>
      <c r="F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8"/>
  <sheetViews>
    <sheetView showGridLines="0" tabSelected="1" workbookViewId="0">
      <selection activeCell="B8" sqref="B8"/>
    </sheetView>
  </sheetViews>
  <sheetFormatPr defaultRowHeight="15.75" x14ac:dyDescent="0.25"/>
  <cols>
    <col min="5" max="5" width="17.125" bestFit="1" customWidth="1"/>
  </cols>
  <sheetData>
    <row r="3" spans="2:5" x14ac:dyDescent="0.25">
      <c r="B3" s="7" t="s">
        <v>20</v>
      </c>
      <c r="C3" s="8"/>
      <c r="D3" s="8"/>
      <c r="E3" s="9">
        <f>+SUM(Holders!C2:C16)</f>
        <v>6071000000</v>
      </c>
    </row>
    <row r="4" spans="2:5" x14ac:dyDescent="0.25">
      <c r="B4" s="10" t="s">
        <v>21</v>
      </c>
      <c r="E4" s="11">
        <f>+SUM(Holders!D2:D16)</f>
        <v>1412738200000</v>
      </c>
    </row>
    <row r="5" spans="2:5" x14ac:dyDescent="0.25">
      <c r="B5" s="10" t="s">
        <v>22</v>
      </c>
      <c r="E5" s="12">
        <f>+SUM(Holders!E2:E16)</f>
        <v>82.699999999999989</v>
      </c>
    </row>
    <row r="6" spans="2:5" x14ac:dyDescent="0.25">
      <c r="B6" s="10" t="s">
        <v>23</v>
      </c>
      <c r="E6" s="12">
        <f>+SUM(Holders!F2:F16)</f>
        <v>40.19</v>
      </c>
    </row>
    <row r="7" spans="2:5" x14ac:dyDescent="0.25">
      <c r="B7" s="10" t="s">
        <v>24</v>
      </c>
      <c r="E7" s="11">
        <f>+Holders!D4</f>
        <v>210603000000</v>
      </c>
    </row>
    <row r="8" spans="2:5" x14ac:dyDescent="0.25">
      <c r="B8" s="13" t="s">
        <v>25</v>
      </c>
      <c r="C8" s="14"/>
      <c r="D8" s="14"/>
      <c r="E8" s="15">
        <f>+Holders!F16</f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Holders</vt:lpstr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2026-01-11T21:16:48Z</dcterms:created>
  <dcterms:modified xsi:type="dcterms:W3CDTF">2026-01-14T05:15:28Z</dcterms:modified>
</cp:coreProperties>
</file>