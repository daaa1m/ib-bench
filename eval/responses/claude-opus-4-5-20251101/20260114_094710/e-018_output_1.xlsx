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utput" sheetId="1" state="visible" r:id="rId3"/>
    <sheet name="Summary" sheetId="2" state="visible" r:id="rId4"/>
    <sheet name="P&amp;L" sheetId="3" state="visible" r:id="rId5"/>
    <sheet name="BS &amp; CFS" sheetId="4" state="visible" r:id="rId6"/>
    <sheet name="RevBuild Calcs" sheetId="5" state="visible" r:id="rId7"/>
    <sheet name="FS Calcs" sheetId="6" state="visible" r:id="rId8"/>
    <sheet name="Debt Calcs" sheetId="7" state="visible" r:id="rId9"/>
    <sheet name="Quarterly" sheetId="8" state="visible" r:id="rId10"/>
    <sheet name="Reference" sheetId="9" state="visible" r:id="rId11"/>
  </sheets>
  <definedNames>
    <definedName function="false" hidden="false" localSheetId="3" name="_xlnm.Print_Area" vbProcedure="false">'BS &amp; CFS'!$A$1:$T$123</definedName>
    <definedName function="false" hidden="false" localSheetId="2" name="_xlnm.Print_Area" vbProcedure="false">'P&amp;L'!$A$1:$T$93</definedName>
    <definedName function="false" hidden="false" name="Case" vbProcedure="false">Output!$C$6</definedName>
    <definedName function="false" hidden="true" name="CIQWBGuid" vbProcedure="false">"50a4b029-c69e-4202-9829-f4b900845e90"</definedName>
    <definedName function="false" hidden="false" name="Circ" vbProcedure="false">Output!$C$7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43873.3594097222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localSheetId="2" name="_MailAutoSig" vbProcedure="false">'P&amp;L'!$I$13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9" authorId="0">
      <text>
        <r>
          <rPr>
            <sz val="10"/>
            <rFont val="Arial"/>
            <family val="2"/>
          </rPr>
          <t xml:space="preserve">Danial AZMI:
to get to proportionate EBITDA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9" authorId="0">
      <text>
        <r>
          <rPr>
            <sz val="10"/>
            <rFont val="Arial"/>
            <family val="2"/>
          </rPr>
          <t xml:space="preserve">Danial AZMI:
Company defined
</t>
        </r>
      </text>
    </comment>
    <comment ref="H9" authorId="0">
      <text>
        <r>
          <rPr>
            <sz val="10"/>
            <rFont val="Arial"/>
            <family val="2"/>
          </rPr>
          <t xml:space="preserve">Danial AZMI:
Dispute with former employee settlement</t>
        </r>
      </text>
    </comment>
    <comment ref="H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I39" authorId="0">
      <text>
        <r>
          <rPr>
            <sz val="10"/>
            <rFont val="Arial"/>
            <family val="2"/>
          </rPr>
          <t xml:space="preserve">Danial AZMI:
Dilutive effect casues and adjusted net loss to common</t>
        </r>
      </text>
    </comment>
    <comment ref="I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J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K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L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M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N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O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P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Q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R75" authorId="0">
      <text>
        <r>
          <rPr>
            <sz val="10"/>
            <rFont val="Arial"/>
            <family val="2"/>
          </rPr>
          <t xml:space="preserve">Danial AZMI:
RBC assumption
</t>
        </r>
      </text>
    </comment>
    <comment ref="S75" authorId="0">
      <text>
        <r>
          <rPr>
            <sz val="10"/>
            <rFont val="Arial"/>
            <family val="2"/>
          </rPr>
          <t xml:space="preserve">Danial AZMI:
RBC assumption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9" authorId="0">
      <text>
        <r>
          <rPr>
            <sz val="10"/>
            <rFont val="Arial"/>
            <family val="2"/>
          </rPr>
          <t xml:space="preserve">Danial AZMI:
Source: RBC Capital Markets</t>
        </r>
      </text>
    </comment>
    <comment ref="E68" authorId="0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F39" authorId="0">
      <text>
        <r>
          <rPr>
            <sz val="10"/>
            <rFont val="Arial"/>
            <family val="2"/>
          </rPr>
          <t xml:space="preserve">Danial AZMI:
Source: RBC Capital Markets</t>
        </r>
      </text>
    </comment>
    <comment ref="F68" authorId="0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G39" authorId="0">
      <text>
        <r>
          <rPr>
            <sz val="10"/>
            <rFont val="Arial"/>
            <family val="2"/>
          </rPr>
          <t xml:space="preserve">Danial AZMI:
Source: RBC Capital Markets
Elevated due to  lockdowns</t>
        </r>
      </text>
    </comment>
    <comment ref="G68" authorId="0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H39" authorId="0">
      <text>
        <r>
          <rPr>
            <sz val="10"/>
            <rFont val="Arial"/>
            <family val="2"/>
          </rPr>
          <t xml:space="preserve">Danial AZMI:
Source: RBC Capital Markets</t>
        </r>
      </text>
    </comment>
    <comment ref="H68" authorId="0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I39" authorId="0">
      <text>
        <r>
          <rPr>
            <sz val="10"/>
            <rFont val="Arial"/>
            <family val="2"/>
          </rPr>
          <t xml:space="preserve">Danial AZMI:
Source: RBC Capital Markets</t>
        </r>
      </text>
    </comment>
    <comment ref="I68" authorId="0">
      <text>
        <r>
          <rPr>
            <sz val="10"/>
            <rFont val="Arial"/>
            <family val="2"/>
          </rPr>
          <t xml:space="preserve">Danial AZMI:
Based on Benchmark estimate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Danial AZMI:
In TV and broadcasting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9" authorId="0">
      <text>
        <r>
          <rPr>
            <sz val="10"/>
            <rFont val="Arial"/>
            <family val="2"/>
          </rPr>
          <t xml:space="preserve">Danial AZMI:
pg 44 of Q4 2022 FS</t>
        </r>
      </text>
    </comment>
    <comment ref="J20" authorId="0">
      <text>
        <r>
          <rPr>
            <sz val="10"/>
            <rFont val="Arial"/>
            <family val="2"/>
          </rPr>
          <t xml:space="preserve">Danial AZMI:
pg52 of Q4 2022 FS
</t>
        </r>
      </text>
    </comment>
    <comment ref="J33" authorId="0">
      <text>
        <r>
          <rPr>
            <sz val="10"/>
            <rFont val="Arial"/>
            <family val="2"/>
          </rPr>
          <t xml:space="preserve">Danial AZMI:
Based on yearly salaries and employee benefits of c.CAD69m; assume need to keep 2Q worth
</t>
        </r>
      </text>
    </comment>
    <comment ref="J48" authorId="0">
      <text>
        <r>
          <rPr>
            <sz val="10"/>
            <rFont val="Arial"/>
            <family val="2"/>
          </rPr>
          <t xml:space="preserve">Danial AZMI:
pg35 2022 Q4 FS
</t>
        </r>
      </text>
    </comment>
  </commentList>
</comments>
</file>

<file path=xl/sharedStrings.xml><?xml version="1.0" encoding="utf-8"?>
<sst xmlns="http://schemas.openxmlformats.org/spreadsheetml/2006/main" count="616" uniqueCount="365">
  <si>
    <t xml:space="preserve">in CADm unless otherwise stated</t>
  </si>
  <si>
    <t xml:space="preserve">FYE June</t>
  </si>
  <si>
    <t xml:space="preserve">x</t>
  </si>
  <si>
    <t xml:space="preserve">Cover</t>
  </si>
  <si>
    <t xml:space="preserve">Operating case</t>
  </si>
  <si>
    <t xml:space="preserve">Circularity</t>
  </si>
  <si>
    <t xml:space="preserve">FX USDCAD (Bloomberg fwd)</t>
  </si>
  <si>
    <t xml:space="preserve">Exit multiple (Content business)</t>
  </si>
  <si>
    <t xml:space="preserve">Base</t>
  </si>
  <si>
    <t xml:space="preserve">Upside</t>
  </si>
  <si>
    <t xml:space="preserve">Downside</t>
  </si>
  <si>
    <t xml:space="preserve">Entry</t>
  </si>
  <si>
    <t xml:space="preserve">Valuation</t>
  </si>
  <si>
    <t xml:space="preserve">Capitalization</t>
  </si>
  <si>
    <t xml:space="preserve">FY2024</t>
  </si>
  <si>
    <t xml:space="preserve">FY2025</t>
  </si>
  <si>
    <t xml:space="preserve">FY2026</t>
  </si>
  <si>
    <t xml:space="preserve">Bridge</t>
  </si>
  <si>
    <t xml:space="preserve">2022 Entry</t>
  </si>
  <si>
    <t xml:space="preserve">2026 Exit</t>
  </si>
  <si>
    <t xml:space="preserve">Value</t>
  </si>
  <si>
    <t xml:space="preserve">% of value</t>
  </si>
  <si>
    <t xml:space="preserve">Bridge to TP</t>
  </si>
  <si>
    <t xml:space="preserve">Current share price (CAD)</t>
  </si>
  <si>
    <t xml:space="preserve">Content</t>
  </si>
  <si>
    <t xml:space="preserve">Revenue</t>
  </si>
  <si>
    <t xml:space="preserve">Shares outstanding (mm)</t>
  </si>
  <si>
    <t xml:space="preserve">TV</t>
  </si>
  <si>
    <t xml:space="preserve">Margin </t>
  </si>
  <si>
    <t xml:space="preserve">Market cap (CADm)</t>
  </si>
  <si>
    <t xml:space="preserve">Total proportionate Adj. EBITDA</t>
  </si>
  <si>
    <t xml:space="preserve">Multiple</t>
  </si>
  <si>
    <t xml:space="preserve">FCF</t>
  </si>
  <si>
    <t xml:space="preserve">(+) Net debt (incl leases)</t>
  </si>
  <si>
    <t xml:space="preserve">Total value per share</t>
  </si>
  <si>
    <t xml:space="preserve">(+) NCI</t>
  </si>
  <si>
    <t xml:space="preserve">EV (CADm)</t>
  </si>
  <si>
    <t xml:space="preserve">EV (excl. NCI)</t>
  </si>
  <si>
    <t xml:space="preserve">LTM EBITDA</t>
  </si>
  <si>
    <t xml:space="preserve">Implied multiple</t>
  </si>
  <si>
    <t xml:space="preserve">EV excl NCI (CADm)</t>
  </si>
  <si>
    <t xml:space="preserve">(-) Net debt (incl leases)</t>
  </si>
  <si>
    <t xml:space="preserve">Equity value</t>
  </si>
  <si>
    <t xml:space="preserve">Shares out (mm)</t>
  </si>
  <si>
    <t xml:space="preserve">Price per share (CAD)</t>
  </si>
  <si>
    <t xml:space="preserve">Upside %</t>
  </si>
  <si>
    <t xml:space="preserve">MOIC</t>
  </si>
  <si>
    <t xml:space="preserve">IRR %</t>
  </si>
  <si>
    <t xml:space="preserve">'18-'22 CAGR</t>
  </si>
  <si>
    <t xml:space="preserve">'22-'26 CAGR</t>
  </si>
  <si>
    <t xml:space="preserve">Profit model</t>
  </si>
  <si>
    <t xml:space="preserve">Canadian TV</t>
  </si>
  <si>
    <t xml:space="preserve">Total revenue</t>
  </si>
  <si>
    <t xml:space="preserve">% YoY</t>
  </si>
  <si>
    <t xml:space="preserve">Content business</t>
  </si>
  <si>
    <t xml:space="preserve">TV business</t>
  </si>
  <si>
    <t xml:space="preserve">Total gross profit</t>
  </si>
  <si>
    <t xml:space="preserve">Gross margin %</t>
  </si>
  <si>
    <t xml:space="preserve">Cash SG&amp;A</t>
  </si>
  <si>
    <t xml:space="preserve">Adj. EBITDA</t>
  </si>
  <si>
    <t xml:space="preserve">EBITDA margin %</t>
  </si>
  <si>
    <t xml:space="preserve">Proportionate Adj. EBITDA</t>
  </si>
  <si>
    <t xml:space="preserve">Mgmt compensation analysis</t>
  </si>
  <si>
    <t xml:space="preserve">Salaries &amp; benefits</t>
  </si>
  <si>
    <t xml:space="preserve">SBC</t>
  </si>
  <si>
    <t xml:space="preserve">Termination and other</t>
  </si>
  <si>
    <t xml:space="preserve">Total</t>
  </si>
  <si>
    <t xml:space="preserve">% SBC</t>
  </si>
  <si>
    <t xml:space="preserve">Model Drivers</t>
  </si>
  <si>
    <t xml:space="preserve">P&amp;L </t>
  </si>
  <si>
    <t xml:space="preserve">Revenues</t>
  </si>
  <si>
    <t xml:space="preserve">Income from litigation settlement</t>
  </si>
  <si>
    <t xml:space="preserve">Direct production costs and expense of film and television produced</t>
  </si>
  <si>
    <t xml:space="preserve">Gross profit</t>
  </si>
  <si>
    <t xml:space="preserve">% margin</t>
  </si>
  <si>
    <t xml:space="preserve">Amortization of acquired and library content</t>
  </si>
  <si>
    <t xml:space="preserve">Amortization of property and equipment and intangible assets</t>
  </si>
  <si>
    <t xml:space="preserve">Write-down of investment in film and television programs, acquired and library content, and property and equipment</t>
  </si>
  <si>
    <t xml:space="preserve">Selling, general and administrative</t>
  </si>
  <si>
    <t xml:space="preserve">Share-based compensation</t>
  </si>
  <si>
    <t xml:space="preserve">Finance costs, net</t>
  </si>
  <si>
    <t xml:space="preserve">Change in fair value of embedded derivatives</t>
  </si>
  <si>
    <t xml:space="preserve">Foreign exchange (loss) / gain</t>
  </si>
  <si>
    <t xml:space="preserve">Reorganization, development and other expense</t>
  </si>
  <si>
    <t xml:space="preserve">EBT</t>
  </si>
  <si>
    <t xml:space="preserve">Current income taxes (paid) / recovered</t>
  </si>
  <si>
    <t xml:space="preserve">Deferred income taxes (paid) / recovered</t>
  </si>
  <si>
    <t xml:space="preserve">Total </t>
  </si>
  <si>
    <t xml:space="preserve">Net income</t>
  </si>
  <si>
    <t xml:space="preserve">Attributable to NCI</t>
  </si>
  <si>
    <t xml:space="preserve">Attributable to common</t>
  </si>
  <si>
    <t xml:space="preserve">Basic EPS (CAD)</t>
  </si>
  <si>
    <t xml:space="preserve">Diluted EPS (CAD)</t>
  </si>
  <si>
    <t xml:space="preserve">Basic - WASO</t>
  </si>
  <si>
    <t xml:space="preserve">Diluted - WASO</t>
  </si>
  <si>
    <t xml:space="preserve">Dividend to common</t>
  </si>
  <si>
    <t xml:space="preserve">Distribution to NCI</t>
  </si>
  <si>
    <t xml:space="preserve">Adj. EBITDA reconcillation</t>
  </si>
  <si>
    <t xml:space="preserve">Tax expense</t>
  </si>
  <si>
    <t xml:space="preserve">Interest</t>
  </si>
  <si>
    <t xml:space="preserve">D&amp;A</t>
  </si>
  <si>
    <t xml:space="preserve">Writedowns</t>
  </si>
  <si>
    <t xml:space="preserve">Derivatives, FX</t>
  </si>
  <si>
    <t xml:space="preserve">Reorg, dev and other</t>
  </si>
  <si>
    <t xml:space="preserve">Adj EBITDA (company defined)</t>
  </si>
  <si>
    <t xml:space="preserve">% attributable</t>
  </si>
  <si>
    <t xml:space="preserve">Proportionate Adj EBITDA (company defined)</t>
  </si>
  <si>
    <t xml:space="preserve">(-) SBC</t>
  </si>
  <si>
    <t xml:space="preserve">(-) Derivatives, FX</t>
  </si>
  <si>
    <t xml:space="preserve">(-) Reorg, dev and other</t>
  </si>
  <si>
    <t xml:space="preserve">Adj EBITDA (Danial Azmi defined)</t>
  </si>
  <si>
    <t xml:space="preserve">Proportionate Adj. EBITDA (DA defined)</t>
  </si>
  <si>
    <t xml:space="preserve">% margin to common</t>
  </si>
  <si>
    <t xml:space="preserve">TV gross margin</t>
  </si>
  <si>
    <t xml:space="preserve">TV SG&amp;A</t>
  </si>
  <si>
    <t xml:space="preserve">TV EBITDA</t>
  </si>
  <si>
    <t xml:space="preserve">BS</t>
  </si>
  <si>
    <t xml:space="preserve">Cash &amp; Equivalents</t>
  </si>
  <si>
    <t xml:space="preserve">Restricted Cash</t>
  </si>
  <si>
    <t xml:space="preserve">Accounts Receivable</t>
  </si>
  <si>
    <t xml:space="preserve">Prepaid Expenses and Deposits</t>
  </si>
  <si>
    <t xml:space="preserve">Investment in Film and Television Programs</t>
  </si>
  <si>
    <t xml:space="preserve">Total Current Assets</t>
  </si>
  <si>
    <t xml:space="preserve">LT receivables</t>
  </si>
  <si>
    <t xml:space="preserve">Acquired and library content</t>
  </si>
  <si>
    <t xml:space="preserve">Property, Plant &amp; Equipment</t>
  </si>
  <si>
    <t xml:space="preserve">Derivative assets</t>
  </si>
  <si>
    <t xml:space="preserve">Intangible Assets</t>
  </si>
  <si>
    <t xml:space="preserve">Goodwill</t>
  </si>
  <si>
    <t xml:space="preserve">Total Assets</t>
  </si>
  <si>
    <t xml:space="preserve">Bank Indebtedness</t>
  </si>
  <si>
    <t xml:space="preserve">Accounts Payable and Accrued Liabilities</t>
  </si>
  <si>
    <t xml:space="preserve">Deferred Revenue</t>
  </si>
  <si>
    <t xml:space="preserve">Production Financing</t>
  </si>
  <si>
    <t xml:space="preserve">Current Portion of Lease Liabilities</t>
  </si>
  <si>
    <t xml:space="preserve">Current Portion of Long-Term Debt</t>
  </si>
  <si>
    <t xml:space="preserve">Total Current Liabilities</t>
  </si>
  <si>
    <t xml:space="preserve">Long-Term Debt</t>
  </si>
  <si>
    <t xml:space="preserve">Long-Term Lease Liabilities</t>
  </si>
  <si>
    <t xml:space="preserve">Deferred Taxes</t>
  </si>
  <si>
    <t xml:space="preserve">Other Long-Term Liabilities (incl. derivatives)</t>
  </si>
  <si>
    <t xml:space="preserve">Total Liabilities</t>
  </si>
  <si>
    <t xml:space="preserve">Equity to common</t>
  </si>
  <si>
    <t xml:space="preserve">NCI</t>
  </si>
  <si>
    <t xml:space="preserve">Total Equity</t>
  </si>
  <si>
    <t xml:space="preserve">Balance </t>
  </si>
  <si>
    <t xml:space="preserve">NWC (excl. investment in film and TV)</t>
  </si>
  <si>
    <t xml:space="preserve">NWC (incl. investment in film and TV)</t>
  </si>
  <si>
    <t xml:space="preserve">Total cash excl restricted cash</t>
  </si>
  <si>
    <t xml:space="preserve">Total cash incl restricted cash</t>
  </si>
  <si>
    <t xml:space="preserve">Total debt excl lease</t>
  </si>
  <si>
    <t xml:space="preserve">Total debt incl lease</t>
  </si>
  <si>
    <t xml:space="preserve">Net debt (excl restricted cash, incl leases)</t>
  </si>
  <si>
    <t xml:space="preserve">ND / EBITDA</t>
  </si>
  <si>
    <t xml:space="preserve">CFS</t>
  </si>
  <si>
    <t xml:space="preserve">Net income to common and NCI</t>
  </si>
  <si>
    <t xml:space="preserve">Depreciation of PPE</t>
  </si>
  <si>
    <t xml:space="preserve">Amort of intangibles</t>
  </si>
  <si>
    <t xml:space="preserve">Amort of acquired and library content</t>
  </si>
  <si>
    <t xml:space="preserve">Net investment in TV and film programs</t>
  </si>
  <si>
    <t xml:space="preserve">Chg in NWC</t>
  </si>
  <si>
    <t xml:space="preserve">Writedown and impairements</t>
  </si>
  <si>
    <t xml:space="preserve">Adj of finance cost, net</t>
  </si>
  <si>
    <t xml:space="preserve">Adjustments</t>
  </si>
  <si>
    <t xml:space="preserve">OCF</t>
  </si>
  <si>
    <t xml:space="preserve">Addition of PPE incl leases</t>
  </si>
  <si>
    <t xml:space="preserve">Addition of intangibles</t>
  </si>
  <si>
    <t xml:space="preserve">Addition of content</t>
  </si>
  <si>
    <t xml:space="preserve">Investing cash flow</t>
  </si>
  <si>
    <t xml:space="preserve">Debt draw / (repayments)</t>
  </si>
  <si>
    <t xml:space="preserve">Lease repayments</t>
  </si>
  <si>
    <t xml:space="preserve">Dictribution to NCI</t>
  </si>
  <si>
    <t xml:space="preserve">Finance cost</t>
  </si>
  <si>
    <t xml:space="preserve">Financing cash flow</t>
  </si>
  <si>
    <t xml:space="preserve">CFS (based on FS)</t>
  </si>
  <si>
    <t xml:space="preserve">Net income for the year</t>
  </si>
  <si>
    <t xml:space="preserve">Amortization of property and equipment</t>
  </si>
  <si>
    <t xml:space="preserve">Amortization of intangible assets</t>
  </si>
  <si>
    <t xml:space="preserve">Accretion expense and amortization of deferred financing fees</t>
  </si>
  <si>
    <t xml:space="preserve">Unrealized foreign exchange loss (gain)</t>
  </si>
  <si>
    <t xml:space="preserve">Change in fair value of interest rate swap</t>
  </si>
  <si>
    <t xml:space="preserve">Interest income</t>
  </si>
  <si>
    <t xml:space="preserve">Interest expense</t>
  </si>
  <si>
    <t xml:space="preserve">Deferred tax recovery</t>
  </si>
  <si>
    <t xml:space="preserve">Write-down of investment in film and television programs</t>
  </si>
  <si>
    <t xml:space="preserve">Write-down of acquired and library content</t>
  </si>
  <si>
    <t xml:space="preserve">Reversal of right-of-use asset impairment (note 21)</t>
  </si>
  <si>
    <t xml:space="preserve">Net investment in film and television programs (note 25)</t>
  </si>
  <si>
    <t xml:space="preserve">Net change in non-cash balances related to operations (note 25)</t>
  </si>
  <si>
    <t xml:space="preserve">Acquisition of acquired and library content (note 5)</t>
  </si>
  <si>
    <t xml:space="preserve">Acquisition of property and equipment</t>
  </si>
  <si>
    <t xml:space="preserve">Acquisition of intangible assets</t>
  </si>
  <si>
    <t xml:space="preserve">Common shares issued, net of issuance costs</t>
  </si>
  <si>
    <t xml:space="preserve">Payroll taxes remitted on net share settlement</t>
  </si>
  <si>
    <t xml:space="preserve">Common share purchased held in trust, net</t>
  </si>
  <si>
    <t xml:space="preserve">Distributions to non-controlling interests</t>
  </si>
  <si>
    <t xml:space="preserve">Proceeds from (repayment of) bank indebtedness</t>
  </si>
  <si>
    <t xml:space="preserve">(Repayment of) proceeds from long-term debt</t>
  </si>
  <si>
    <t xml:space="preserve">Interest paid on long-term debt</t>
  </si>
  <si>
    <t xml:space="preserve">Realized foreign exchange on long term debt repayment</t>
  </si>
  <si>
    <t xml:space="preserve">Repayment of obligations under finance leases</t>
  </si>
  <si>
    <t xml:space="preserve">Proceeds from (repayment of) interim production financing, net (note 25)</t>
  </si>
  <si>
    <t xml:space="preserve">FX impact</t>
  </si>
  <si>
    <t xml:space="preserve">Net change in cash</t>
  </si>
  <si>
    <t xml:space="preserve">Segmental Revenue</t>
  </si>
  <si>
    <t xml:space="preserve">Content production and distribution</t>
  </si>
  <si>
    <t xml:space="preserve">WildBrain Spark</t>
  </si>
  <si>
    <t xml:space="preserve">Consumer Products</t>
  </si>
  <si>
    <t xml:space="preserve">Total content</t>
  </si>
  <si>
    <t xml:space="preserve">Canadian Television Broadcasting</t>
  </si>
  <si>
    <t xml:space="preserve">Check</t>
  </si>
  <si>
    <t xml:space="preserve">Segmental gross profit</t>
  </si>
  <si>
    <t xml:space="preserve">Canadian TV business</t>
  </si>
  <si>
    <t xml:space="preserve">Adjustments </t>
  </si>
  <si>
    <t xml:space="preserve">Wildbrain Spark</t>
  </si>
  <si>
    <t xml:space="preserve">Views (billions)</t>
  </si>
  <si>
    <t xml:space="preserve">CPM (CAD)</t>
  </si>
  <si>
    <t xml:space="preserve">Memo (based on Morgan Stanley analyst on Google)</t>
  </si>
  <si>
    <t xml:space="preserve">Youtube mobile CPM (USD)</t>
  </si>
  <si>
    <t xml:space="preserve">Youtube dekstop CPM (USD)</t>
  </si>
  <si>
    <t xml:space="preserve">FX - USDCAD</t>
  </si>
  <si>
    <t xml:space="preserve">Youtube mobile CPM (CAD)</t>
  </si>
  <si>
    <t xml:space="preserve">Youtube dekstop CPM (CAD)</t>
  </si>
  <si>
    <t xml:space="preserve">Youtube mobile CPM (CAD) growth %</t>
  </si>
  <si>
    <t xml:space="preserve">Youtube dekstop CPM (CAD) growth %</t>
  </si>
  <si>
    <t xml:space="preserve">Peanuts franchise</t>
  </si>
  <si>
    <t xml:space="preserve">% of total </t>
  </si>
  <si>
    <t xml:space="preserve">Other franchise</t>
  </si>
  <si>
    <t xml:space="preserve">Gross profit analysis</t>
  </si>
  <si>
    <t xml:space="preserve">Direct production and new media cost</t>
  </si>
  <si>
    <t xml:space="preserve">Expense of film, TV and broadcasting rights</t>
  </si>
  <si>
    <t xml:space="preserve">Expense of film and TV</t>
  </si>
  <si>
    <t xml:space="preserve">Expense of film and broadcast risghts for broadcasting</t>
  </si>
  <si>
    <t xml:space="preserve">Total COGS</t>
  </si>
  <si>
    <t xml:space="preserve">Direct production and new media cost as % of content revenue ex Spark</t>
  </si>
  <si>
    <t xml:space="preserve">COGS</t>
  </si>
  <si>
    <t xml:space="preserve">WC items</t>
  </si>
  <si>
    <t xml:space="preserve">Account receivables</t>
  </si>
  <si>
    <t xml:space="preserve">AR days</t>
  </si>
  <si>
    <t xml:space="preserve">Prepaid expense and deposits</t>
  </si>
  <si>
    <t xml:space="preserve">Accounts payables and accrued liabilities</t>
  </si>
  <si>
    <t xml:space="preserve">AP days</t>
  </si>
  <si>
    <t xml:space="preserve">Deferred revenue</t>
  </si>
  <si>
    <t xml:space="preserve">% of total revenue</t>
  </si>
  <si>
    <t xml:space="preserve">LT acccount receivables</t>
  </si>
  <si>
    <t xml:space="preserve">ST assets</t>
  </si>
  <si>
    <t xml:space="preserve">BoP investment in film and TV</t>
  </si>
  <si>
    <t xml:space="preserve">Development cost</t>
  </si>
  <si>
    <t xml:space="preserve">Write down</t>
  </si>
  <si>
    <t xml:space="preserve">Expense</t>
  </si>
  <si>
    <t xml:space="preserve">FX &amp; Other</t>
  </si>
  <si>
    <t xml:space="preserve">EoP investment in film and TV</t>
  </si>
  <si>
    <t xml:space="preserve">Development cost as a % of content revenue</t>
  </si>
  <si>
    <t xml:space="preserve">Expense as a % of COGS</t>
  </si>
  <si>
    <t xml:space="preserve">LT assets</t>
  </si>
  <si>
    <t xml:space="preserve">BoP acquired and library content</t>
  </si>
  <si>
    <t xml:space="preserve">Additions</t>
  </si>
  <si>
    <t xml:space="preserve">Amortization</t>
  </si>
  <si>
    <t xml:space="preserve">EoP acquired and library content</t>
  </si>
  <si>
    <t xml:space="preserve">Additions as a % of revenue</t>
  </si>
  <si>
    <t xml:space="preserve">BoP PPE</t>
  </si>
  <si>
    <t xml:space="preserve">Depreciation</t>
  </si>
  <si>
    <t xml:space="preserve">Impairement</t>
  </si>
  <si>
    <t xml:space="preserve">FX &amp; other</t>
  </si>
  <si>
    <t xml:space="preserve">EoP PPE</t>
  </si>
  <si>
    <t xml:space="preserve">Depreciation as a % of additions</t>
  </si>
  <si>
    <t xml:space="preserve">BoP intangibles</t>
  </si>
  <si>
    <t xml:space="preserve">Addition </t>
  </si>
  <si>
    <t xml:space="preserve">FX</t>
  </si>
  <si>
    <t xml:space="preserve">EoP intangibles</t>
  </si>
  <si>
    <t xml:space="preserve">Equity</t>
  </si>
  <si>
    <t xml:space="preserve">BoP common equity</t>
  </si>
  <si>
    <t xml:space="preserve">Dividends</t>
  </si>
  <si>
    <t xml:space="preserve">Others</t>
  </si>
  <si>
    <t xml:space="preserve">EoP common equity</t>
  </si>
  <si>
    <t xml:space="preserve">BoP NCI</t>
  </si>
  <si>
    <t xml:space="preserve">Net income to NCI</t>
  </si>
  <si>
    <t xml:space="preserve">Distributions</t>
  </si>
  <si>
    <t xml:space="preserve">EoP NCI</t>
  </si>
  <si>
    <t xml:space="preserve">Peanuts ownership</t>
  </si>
  <si>
    <t xml:space="preserve">WILD</t>
  </si>
  <si>
    <t xml:space="preserve">Sony</t>
  </si>
  <si>
    <t xml:space="preserve">Charles M Schulz</t>
  </si>
  <si>
    <t xml:space="preserve">Peanuts revenue</t>
  </si>
  <si>
    <t xml:space="preserve">Peanuts total expense</t>
  </si>
  <si>
    <t xml:space="preserve">Peanuts net income</t>
  </si>
  <si>
    <t xml:space="preserve">Revenue growth </t>
  </si>
  <si>
    <t xml:space="preserve">Expense % of revenue</t>
  </si>
  <si>
    <t xml:space="preserve">NI to NCI</t>
  </si>
  <si>
    <t xml:space="preserve">% of total</t>
  </si>
  <si>
    <t xml:space="preserve">Distributions to NCI growth</t>
  </si>
  <si>
    <t xml:space="preserve">P&amp;L</t>
  </si>
  <si>
    <t xml:space="preserve">SG&amp;A</t>
  </si>
  <si>
    <t xml:space="preserve">% of revenue</t>
  </si>
  <si>
    <t xml:space="preserve">Current taxes</t>
  </si>
  <si>
    <t xml:space="preserve">Deferred taxes</t>
  </si>
  <si>
    <t xml:space="preserve">ETR </t>
  </si>
  <si>
    <t xml:space="preserve">Current debt</t>
  </si>
  <si>
    <t xml:space="preserve">Bank indebtedness</t>
  </si>
  <si>
    <t xml:space="preserve">LT debt</t>
  </si>
  <si>
    <t xml:space="preserve">Canadian prime rate</t>
  </si>
  <si>
    <t xml:space="preserve">Blended production financing rate</t>
  </si>
  <si>
    <t xml:space="preserve">Blended LT debt rate</t>
  </si>
  <si>
    <t xml:space="preserve">Blended lease liability rate</t>
  </si>
  <si>
    <t xml:space="preserve">Net finance cost</t>
  </si>
  <si>
    <t xml:space="preserve">Debt calcs</t>
  </si>
  <si>
    <t xml:space="preserve">Finance costs</t>
  </si>
  <si>
    <t xml:space="preserve">Capex, addition of content and intangibles</t>
  </si>
  <si>
    <t xml:space="preserve">Dicstribution to NCI</t>
  </si>
  <si>
    <t xml:space="preserve">Lease liability repayment</t>
  </si>
  <si>
    <t xml:space="preserve">BoP cash</t>
  </si>
  <si>
    <t xml:space="preserve">Minimum cash</t>
  </si>
  <si>
    <t xml:space="preserve">CFADS</t>
  </si>
  <si>
    <t xml:space="preserve">Mandatory payments</t>
  </si>
  <si>
    <t xml:space="preserve">BoP bank indebtedness</t>
  </si>
  <si>
    <t xml:space="preserve">Draw / (repayment)</t>
  </si>
  <si>
    <t xml:space="preserve">EoP bank indebtedness</t>
  </si>
  <si>
    <t xml:space="preserve">Credit limit</t>
  </si>
  <si>
    <t xml:space="preserve">BoP production financing</t>
  </si>
  <si>
    <t xml:space="preserve">EoP production fianncing</t>
  </si>
  <si>
    <t xml:space="preserve">BoP curent portion of LT debt</t>
  </si>
  <si>
    <t xml:space="preserve">Mandatory payment</t>
  </si>
  <si>
    <t xml:space="preserve">EoP curent portion of LT debt</t>
  </si>
  <si>
    <t xml:space="preserve">BoP LT debt</t>
  </si>
  <si>
    <t xml:space="preserve">Draw / repayment</t>
  </si>
  <si>
    <t xml:space="preserve">EoP LT debt</t>
  </si>
  <si>
    <t xml:space="preserve">Lease calcs</t>
  </si>
  <si>
    <t xml:space="preserve">BoP lease liabilities</t>
  </si>
  <si>
    <t xml:space="preserve">Addition</t>
  </si>
  <si>
    <t xml:space="preserve">Repayment</t>
  </si>
  <si>
    <t xml:space="preserve">EoP lease liabilities</t>
  </si>
  <si>
    <t xml:space="preserve">Cash calcs</t>
  </si>
  <si>
    <t xml:space="preserve">Net cash flow</t>
  </si>
  <si>
    <t xml:space="preserve">EoP cash</t>
  </si>
  <si>
    <t xml:space="preserve">Q1/FY23</t>
  </si>
  <si>
    <t xml:space="preserve">Q2/FY23</t>
  </si>
  <si>
    <t xml:space="preserve">Q3/FY23</t>
  </si>
  <si>
    <t xml:space="preserve">Q4/FY23</t>
  </si>
  <si>
    <t xml:space="preserve">Canadian Television</t>
  </si>
  <si>
    <t xml:space="preserve">Gross profits</t>
  </si>
  <si>
    <t xml:space="preserve">Gross margins %</t>
  </si>
  <si>
    <t xml:space="preserve">Content GM %</t>
  </si>
  <si>
    <t xml:space="preserve">TV GM %</t>
  </si>
  <si>
    <t xml:space="preserve">FY2022</t>
  </si>
  <si>
    <t xml:space="preserve">FY2023</t>
  </si>
  <si>
    <t xml:space="preserve">FY2027</t>
  </si>
  <si>
    <t xml:space="preserve">Mgmt guidance</t>
  </si>
  <si>
    <t xml:space="preserve">CAD480 - 500m</t>
  </si>
  <si>
    <t xml:space="preserve">CAD525 - 575m</t>
  </si>
  <si>
    <t xml:space="preserve">Midpoint</t>
  </si>
  <si>
    <t xml:space="preserve">Proportionate Adj EBITDA (co defined)</t>
  </si>
  <si>
    <t xml:space="preserve">CAD87 - 93m</t>
  </si>
  <si>
    <t xml:space="preserve">CAD95 - 105m</t>
  </si>
  <si>
    <t xml:space="preserve">Street view</t>
  </si>
  <si>
    <t xml:space="preserve">Benchmark</t>
  </si>
  <si>
    <t xml:space="preserve">RBC</t>
  </si>
  <si>
    <t xml:space="preserve">NBC</t>
  </si>
  <si>
    <t xml:space="preserve">BMO</t>
  </si>
  <si>
    <t xml:space="preserve">Cannacord</t>
  </si>
  <si>
    <t xml:space="preserve">Comark</t>
  </si>
  <si>
    <t xml:space="preserve">Average revenue</t>
  </si>
  <si>
    <t xml:space="preserve">Median revenue</t>
  </si>
  <si>
    <t xml:space="preserve">Average porportionate Adj EBITDA</t>
  </si>
  <si>
    <t xml:space="preserve">Median porportionate Adj EBITDA</t>
  </si>
  <si>
    <t xml:space="preserve">Actual / forecast</t>
  </si>
</sst>
</file>

<file path=xl/styles.xml><?xml version="1.0" encoding="utf-8"?>
<styleSheet xmlns="http://schemas.openxmlformats.org/spreadsheetml/2006/main">
  <numFmts count="15">
    <numFmt numFmtId="164" formatCode="#,##0.0_);\(#,##0.0\);0.0_);@_)"/>
    <numFmt numFmtId="165" formatCode=";;;"/>
    <numFmt numFmtId="166" formatCode="0.0%_);\(0.0%\)"/>
    <numFmt numFmtId="167" formatCode="###0.00_)"/>
    <numFmt numFmtId="168" formatCode="dd\-mmm\-yy_)"/>
    <numFmt numFmtId="169" formatCode="General"/>
    <numFmt numFmtId="170" formatCode="0.0&quot; x&quot;_);\(0.0&quot; x)&quot;"/>
    <numFmt numFmtId="171" formatCode="0%"/>
    <numFmt numFmtId="172" formatCode="General\A"/>
    <numFmt numFmtId="173" formatCode="General\E"/>
    <numFmt numFmtId="174" formatCode="General\F"/>
    <numFmt numFmtId="175" formatCode="#,##0_);\(#,##0\);0_);@_)"/>
    <numFmt numFmtId="176" formatCode="#,##0.000_);\(#,##0.000\);0.000_);@_)"/>
    <numFmt numFmtId="177" formatCode="#,##0.00_);\(#,##0.00\);0.00_);@_)"/>
    <numFmt numFmtId="178" formatCode="#,##0.00000_);\(#,##0.00000\);0.00000_);@_)"/>
  </numFmts>
  <fonts count="30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1"/>
      <color rgb="FF00B05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0"/>
      <color theme="1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i val="true"/>
      <sz val="11"/>
      <name val="Calibri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sz val="10"/>
      <name val="Arial"/>
      <family val="2"/>
    </font>
    <font>
      <b val="true"/>
      <u val="single"/>
      <sz val="10"/>
      <color theme="1"/>
      <name val="Arial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mbria"/>
      <family val="0"/>
      <charset val="1"/>
    </font>
    <font>
      <sz val="11"/>
      <color theme="0" tint="-0.35"/>
      <name val="Calibri"/>
      <family val="2"/>
      <charset val="1"/>
    </font>
    <font>
      <sz val="11"/>
      <color theme="0" tint="-0.15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b val="true"/>
      <u val="single"/>
      <sz val="11"/>
      <color rgb="FF0000FF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FFFFCC"/>
        <bgColor rgb="FFEBF1DE"/>
      </patternFill>
    </fill>
    <fill>
      <patternFill patternType="solid">
        <fgColor theme="3" tint="0.7999"/>
        <bgColor rgb="FFD9D9D9"/>
      </patternFill>
    </fill>
    <fill>
      <patternFill patternType="solid">
        <fgColor rgb="FF002060"/>
        <bgColor rgb="FF000080"/>
      </patternFill>
    </fill>
    <fill>
      <patternFill patternType="solid">
        <fgColor theme="0" tint="-0.05"/>
        <bgColor rgb="FFEBF1DE"/>
      </patternFill>
    </fill>
    <fill>
      <patternFill patternType="solid">
        <fgColor theme="0" tint="-0.15"/>
        <bgColor rgb="FFDCE6F2"/>
      </patternFill>
    </fill>
    <fill>
      <patternFill patternType="solid">
        <fgColor theme="4" tint="0.7999"/>
        <bgColor rgb="FFD9D9D9"/>
      </patternFill>
    </fill>
    <fill>
      <patternFill patternType="solid">
        <fgColor theme="6" tint="0.7999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5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3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6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" fillId="6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6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6" borderId="3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6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8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7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3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4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6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ank" xfId="20"/>
    <cellStyle name="Blue" xfId="21"/>
    <cellStyle name="Data" xfId="22"/>
    <cellStyle name="Date" xfId="23"/>
    <cellStyle name="Diff Tab" xfId="24"/>
    <cellStyle name="Hyperlink 2" xfId="25"/>
    <cellStyle name="I" xfId="26"/>
    <cellStyle name="Multiple" xfId="27"/>
    <cellStyle name="Normal 2" xfId="28"/>
    <cellStyle name="Percent 2" xfId="29"/>
    <cellStyle name="Source Superscript" xfId="30"/>
    <cellStyle name="Source Text" xfId="31"/>
    <cellStyle name="Year Actual" xfId="32"/>
    <cellStyle name="Year Estimate" xfId="33"/>
    <cellStyle name="Year Forecast" xfId="3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FF66"/>
      <rgbColor rgb="FFFDEADA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T38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T21" activeCellId="0" sqref="T21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  <col collapsed="false" customWidth="true" hidden="false" outlineLevel="0" max="7" min="7" style="1" width="1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E3" s="3"/>
      <c r="F3" s="3"/>
      <c r="G3" s="3"/>
      <c r="H3" s="3"/>
      <c r="I3" s="3"/>
      <c r="J3" s="4" t="n">
        <v>2023</v>
      </c>
      <c r="K3" s="4" t="n">
        <f aca="false">+J3+1</f>
        <v>2024</v>
      </c>
      <c r="L3" s="4" t="n">
        <f aca="false">+K3+1</f>
        <v>2025</v>
      </c>
      <c r="M3" s="4" t="n">
        <f aca="false">+L3+1</f>
        <v>2026</v>
      </c>
      <c r="N3" s="4" t="n">
        <f aca="false">+M3+1</f>
        <v>2027</v>
      </c>
      <c r="O3" s="4" t="n">
        <f aca="false">+N3+1</f>
        <v>2028</v>
      </c>
      <c r="P3" s="4" t="n">
        <f aca="false">+O3+1</f>
        <v>2029</v>
      </c>
      <c r="Q3" s="4" t="n">
        <f aca="false">+P3+1</f>
        <v>2030</v>
      </c>
      <c r="R3" s="4" t="n">
        <f aca="false">+Q3+1</f>
        <v>2031</v>
      </c>
      <c r="S3" s="4" t="n">
        <f aca="false">+R3+1</f>
        <v>2032</v>
      </c>
    </row>
    <row r="4" customFormat="false" ht="14.25" hidden="false" customHeight="false" outlineLevel="0" collapsed="false">
      <c r="B4" s="5"/>
    </row>
    <row r="5" customFormat="false" ht="14.25" hidden="false" customHeight="false" outlineLevel="0" collapsed="false">
      <c r="A5" s="6" t="s">
        <v>2</v>
      </c>
      <c r="B5" s="5" t="s">
        <v>3</v>
      </c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14.25" hidden="false" customHeight="false" outlineLevel="0" collapsed="false">
      <c r="B6" s="9" t="s">
        <v>4</v>
      </c>
      <c r="C6" s="10" t="n">
        <v>1</v>
      </c>
      <c r="D6" s="11" t="str">
        <f aca="false">+CHOOSE(Case, "Base", "Upside", "Downside")</f>
        <v>Base</v>
      </c>
      <c r="F6" s="12"/>
    </row>
    <row r="7" customFormat="false" ht="14.25" hidden="false" customHeight="false" outlineLevel="0" collapsed="false">
      <c r="B7" s="9" t="s">
        <v>5</v>
      </c>
      <c r="C7" s="10" t="n">
        <v>1</v>
      </c>
    </row>
    <row r="8" s="9" customFormat="true" ht="14.25" hidden="false" customHeight="false" outlineLevel="0" collapsed="false">
      <c r="B8" s="9" t="s">
        <v>6</v>
      </c>
      <c r="J8" s="13" t="n">
        <v>1.3503</v>
      </c>
      <c r="K8" s="13" t="n">
        <v>1.344</v>
      </c>
      <c r="L8" s="13" t="n">
        <v>1.3365</v>
      </c>
      <c r="M8" s="13" t="n">
        <v>1.3303</v>
      </c>
      <c r="N8" s="13" t="n">
        <v>1.3236</v>
      </c>
      <c r="O8" s="13" t="n">
        <v>1.3172</v>
      </c>
      <c r="P8" s="13" t="n">
        <v>1.3128</v>
      </c>
      <c r="Q8" s="13" t="n">
        <v>1.3102</v>
      </c>
      <c r="R8" s="13" t="n">
        <v>1.3098</v>
      </c>
      <c r="S8" s="13" t="n">
        <v>1.3089</v>
      </c>
    </row>
    <row r="9" s="9" customFormat="true" ht="14.25" hidden="false" customHeight="false" outlineLevel="0" collapsed="false"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="9" customFormat="true" ht="14.25" hidden="false" customHeight="false" outlineLevel="0" collapsed="false">
      <c r="B10" s="5" t="s">
        <v>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="9" customFormat="true" ht="14.25" hidden="false" customHeight="false" outlineLevel="0" collapsed="false">
      <c r="B11" s="6" t="s">
        <v>8</v>
      </c>
      <c r="C11" s="14" t="n">
        <v>15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="9" customFormat="true" ht="14.25" hidden="false" customHeight="false" outlineLevel="0" collapsed="false">
      <c r="B12" s="6" t="s">
        <v>9</v>
      </c>
      <c r="C12" s="14" t="n">
        <v>15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="9" customFormat="true" ht="14.25" hidden="false" customHeight="false" outlineLevel="0" collapsed="false">
      <c r="B13" s="6" t="s">
        <v>10</v>
      </c>
      <c r="C13" s="14" t="n">
        <v>11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5" customFormat="false" ht="14.25" hidden="false" customHeight="false" outlineLevel="0" collapsed="false">
      <c r="A15" s="6" t="s">
        <v>2</v>
      </c>
      <c r="B15" s="5" t="s">
        <v>11</v>
      </c>
      <c r="G15" s="6" t="s">
        <v>2</v>
      </c>
      <c r="H15" s="5" t="s">
        <v>12</v>
      </c>
    </row>
    <row r="16" customFormat="false" ht="14.25" hidden="false" customHeight="false" outlineLevel="0" collapsed="false">
      <c r="B16" s="15"/>
      <c r="C16" s="15"/>
      <c r="D16" s="16" t="n">
        <v>44958</v>
      </c>
      <c r="H16" s="15"/>
      <c r="I16" s="15"/>
      <c r="J16" s="16"/>
      <c r="K16" s="16" t="n">
        <v>45473</v>
      </c>
      <c r="L16" s="17" t="n">
        <f aca="false">+EDATE(K16,12)</f>
        <v>45838</v>
      </c>
      <c r="M16" s="17" t="n">
        <f aca="false">+EDATE(L16,12)</f>
        <v>46203</v>
      </c>
      <c r="O16" s="15"/>
      <c r="P16" s="15"/>
      <c r="Q16" s="15"/>
      <c r="R16" s="15"/>
      <c r="S16" s="15"/>
      <c r="T16" s="15"/>
    </row>
    <row r="17" customFormat="false" ht="14.25" hidden="false" customHeight="false" outlineLevel="0" collapsed="false">
      <c r="B17" s="18" t="s">
        <v>13</v>
      </c>
      <c r="C17" s="15"/>
      <c r="D17" s="15"/>
      <c r="H17" s="18"/>
      <c r="I17" s="15"/>
      <c r="J17" s="15"/>
      <c r="K17" s="19" t="s">
        <v>14</v>
      </c>
      <c r="L17" s="19" t="s">
        <v>15</v>
      </c>
      <c r="M17" s="19" t="s">
        <v>16</v>
      </c>
      <c r="O17" s="18" t="s">
        <v>17</v>
      </c>
      <c r="P17" s="20" t="s">
        <v>18</v>
      </c>
      <c r="Q17" s="20" t="s">
        <v>19</v>
      </c>
      <c r="R17" s="20" t="s">
        <v>20</v>
      </c>
      <c r="S17" s="20" t="s">
        <v>21</v>
      </c>
      <c r="T17" s="20" t="s">
        <v>22</v>
      </c>
    </row>
    <row r="18" customFormat="false" ht="14.25" hidden="false" customHeight="false" outlineLevel="0" collapsed="false">
      <c r="B18" s="15" t="s">
        <v>23</v>
      </c>
      <c r="C18" s="15"/>
      <c r="D18" s="21" t="n">
        <v>2.81</v>
      </c>
      <c r="H18" s="22" t="s">
        <v>24</v>
      </c>
      <c r="I18" s="15"/>
      <c r="J18" s="15"/>
      <c r="K18" s="15" t="n">
        <f aca="false">+K20-K19</f>
        <v>90.973135194094</v>
      </c>
      <c r="L18" s="15" t="n">
        <f aca="false">+L20-L19</f>
        <v>106.261028166405</v>
      </c>
      <c r="M18" s="15" t="n">
        <f aca="false">+M20-M19</f>
        <v>118.342440715917</v>
      </c>
      <c r="O18" s="23" t="s">
        <v>25</v>
      </c>
      <c r="P18" s="24" t="n">
        <f aca="false">+'P&amp;L'!I6</f>
        <v>507.223</v>
      </c>
      <c r="Q18" s="24" t="n">
        <f aca="false">+'P&amp;L'!M6</f>
        <v>706.858886577986</v>
      </c>
      <c r="R18" s="15" t="n">
        <f aca="false">+(Q18-P18)*P19*P20/$M$31</f>
        <v>2.55598848095571</v>
      </c>
      <c r="S18" s="25" t="n">
        <f aca="false">+R18/$R$22</f>
        <v>0.666182861302411</v>
      </c>
      <c r="T18" s="26" t="n">
        <f aca="false">+$R$22*S18</f>
        <v>2.55598848095571</v>
      </c>
    </row>
    <row r="19" customFormat="false" ht="14.25" hidden="false" customHeight="false" outlineLevel="0" collapsed="false">
      <c r="B19" s="15" t="s">
        <v>26</v>
      </c>
      <c r="C19" s="15"/>
      <c r="D19" s="27" t="n">
        <v>173.117</v>
      </c>
      <c r="H19" s="22" t="s">
        <v>27</v>
      </c>
      <c r="I19" s="24"/>
      <c r="J19" s="24"/>
      <c r="K19" s="24" t="n">
        <f aca="false">+'P&amp;L'!K76</f>
        <v>14.97038336</v>
      </c>
      <c r="L19" s="24" t="n">
        <f aca="false">+'P&amp;L'!L76</f>
        <v>13.9715680256</v>
      </c>
      <c r="M19" s="24" t="n">
        <f aca="false">+'P&amp;L'!M76</f>
        <v>13.012705304576</v>
      </c>
      <c r="O19" s="15" t="s">
        <v>28</v>
      </c>
      <c r="P19" s="28" t="n">
        <f aca="false">+'P&amp;L'!I72</f>
        <v>0.142590425685142</v>
      </c>
      <c r="Q19" s="28" t="n">
        <f aca="false">+'P&amp;L'!M72</f>
        <v>0.185829376293766</v>
      </c>
      <c r="R19" s="15" t="n">
        <f aca="false">+(Q19-P19)*Q18*P20/$M$31</f>
        <v>2.74433915167808</v>
      </c>
      <c r="S19" s="25" t="n">
        <f aca="false">+R19/$R$22</f>
        <v>0.715273844960967</v>
      </c>
      <c r="T19" s="26" t="n">
        <f aca="false">+$R$22*S19</f>
        <v>2.74433915167808</v>
      </c>
    </row>
    <row r="20" customFormat="false" ht="14.25" hidden="false" customHeight="false" outlineLevel="0" collapsed="false">
      <c r="B20" s="29" t="s">
        <v>29</v>
      </c>
      <c r="C20" s="29"/>
      <c r="D20" s="29" t="n">
        <f aca="false">+D18*D19</f>
        <v>486.45877</v>
      </c>
      <c r="H20" s="30" t="s">
        <v>30</v>
      </c>
      <c r="I20" s="30"/>
      <c r="J20" s="30"/>
      <c r="K20" s="30" t="n">
        <f aca="false">+'P&amp;L'!K71</f>
        <v>105.943518554094</v>
      </c>
      <c r="L20" s="30" t="n">
        <f aca="false">+'P&amp;L'!L71</f>
        <v>120.232596192005</v>
      </c>
      <c r="M20" s="30" t="n">
        <f aca="false">+'P&amp;L'!M71</f>
        <v>131.355146020493</v>
      </c>
      <c r="O20" s="15" t="s">
        <v>31</v>
      </c>
      <c r="P20" s="31" t="n">
        <f aca="false">+D28</f>
        <v>15.5438857884532</v>
      </c>
      <c r="Q20" s="31" t="n">
        <f aca="false">+M26</f>
        <v>14.0093494089264</v>
      </c>
      <c r="R20" s="15" t="n">
        <f aca="false">+(Q20-P20)*Q19*Q18/$M$31</f>
        <v>-1.16437962606217</v>
      </c>
      <c r="S20" s="25" t="n">
        <f aca="false">+R20/$R$22</f>
        <v>-0.303479361003336</v>
      </c>
      <c r="T20" s="26" t="n">
        <f aca="false">+$R$22*S20</f>
        <v>-1.16437962606217</v>
      </c>
    </row>
    <row r="21" customFormat="false" ht="14.25" hidden="false" customHeight="false" outlineLevel="0" collapsed="false">
      <c r="B21" s="15"/>
      <c r="C21" s="15"/>
      <c r="D21" s="15"/>
      <c r="H21" s="15"/>
      <c r="I21" s="15"/>
      <c r="J21" s="15"/>
      <c r="K21" s="15"/>
      <c r="L21" s="15"/>
      <c r="M21" s="15"/>
      <c r="O21" s="15" t="s">
        <v>32</v>
      </c>
      <c r="P21" s="15"/>
      <c r="Q21" s="15"/>
      <c r="R21" s="15" t="n">
        <f aca="false">+R22-SUM(R18:R20)</f>
        <v>-0.299180912385704</v>
      </c>
      <c r="S21" s="25" t="n">
        <f aca="false">+R21/$R$22</f>
        <v>-0.0779773452600421</v>
      </c>
      <c r="T21" s="26" t="n">
        <f aca="false">+$R$22*S21</f>
        <v>-0.299180912385704</v>
      </c>
    </row>
    <row r="22" customFormat="false" ht="14.25" hidden="false" customHeight="false" outlineLevel="0" collapsed="false">
      <c r="B22" s="15" t="s">
        <v>33</v>
      </c>
      <c r="C22" s="15"/>
      <c r="D22" s="24" t="n">
        <f aca="false">+Quarterly!E96</f>
        <v>637.755</v>
      </c>
      <c r="H22" s="22" t="s">
        <v>24</v>
      </c>
      <c r="I22" s="32" t="n">
        <f aca="false">+CHOOSE(Case,C11,C12,C13)</f>
        <v>15</v>
      </c>
      <c r="J22" s="15"/>
      <c r="K22" s="15" t="n">
        <f aca="false">+K18*$I22</f>
        <v>1364.59702791141</v>
      </c>
      <c r="L22" s="15" t="n">
        <f aca="false">+L18*$I22</f>
        <v>1593.91542249608</v>
      </c>
      <c r="M22" s="15" t="n">
        <f aca="false">+M18*$I22</f>
        <v>1775.13661073875</v>
      </c>
      <c r="O22" s="29" t="s">
        <v>34</v>
      </c>
      <c r="P22" s="29"/>
      <c r="Q22" s="29"/>
      <c r="R22" s="33" t="n">
        <f aca="false">+M33-D18</f>
        <v>3.83676709418592</v>
      </c>
      <c r="S22" s="15"/>
      <c r="T22" s="15"/>
    </row>
    <row r="23" customFormat="false" ht="14.25" hidden="false" customHeight="false" outlineLevel="0" collapsed="false">
      <c r="B23" s="15" t="s">
        <v>35</v>
      </c>
      <c r="C23" s="15"/>
      <c r="D23" s="24" t="n">
        <f aca="false">+Quarterly!E82</f>
        <v>260.503</v>
      </c>
      <c r="H23" s="22" t="s">
        <v>27</v>
      </c>
      <c r="I23" s="34" t="n">
        <v>5</v>
      </c>
      <c r="J23" s="15"/>
      <c r="K23" s="15" t="n">
        <f aca="false">+K19*$I23</f>
        <v>74.8519168</v>
      </c>
      <c r="L23" s="15" t="n">
        <f aca="false">+L19*$I23</f>
        <v>69.857840128</v>
      </c>
      <c r="M23" s="15" t="n">
        <f aca="false">+M19*$I23</f>
        <v>65.06352652288</v>
      </c>
    </row>
    <row r="24" customFormat="false" ht="14.25" hidden="false" customHeight="false" outlineLevel="0" collapsed="false">
      <c r="B24" s="29" t="s">
        <v>36</v>
      </c>
      <c r="C24" s="29"/>
      <c r="D24" s="29" t="n">
        <f aca="false">+D22+D20+D23</f>
        <v>1384.71677</v>
      </c>
      <c r="H24" s="30" t="s">
        <v>37</v>
      </c>
      <c r="I24" s="30"/>
      <c r="J24" s="30"/>
      <c r="K24" s="30" t="n">
        <f aca="false">SUM(K22:K23)</f>
        <v>1439.44894471141</v>
      </c>
      <c r="L24" s="30" t="n">
        <f aca="false">SUM(L22:L23)</f>
        <v>1663.77326262408</v>
      </c>
      <c r="M24" s="30" t="n">
        <f aca="false">SUM(M22:M23)</f>
        <v>1840.20013726163</v>
      </c>
    </row>
    <row r="25" customFormat="false" ht="14.25" hidden="false" customHeight="false" outlineLevel="0" collapsed="false">
      <c r="B25" s="15" t="s">
        <v>38</v>
      </c>
      <c r="C25" s="15"/>
      <c r="D25" s="35" t="n">
        <f aca="false">+D24/Summary!I19</f>
        <v>14.469500935224</v>
      </c>
      <c r="H25" s="15"/>
      <c r="I25" s="15"/>
      <c r="J25" s="15"/>
      <c r="K25" s="15"/>
      <c r="L25" s="15"/>
      <c r="M25" s="15"/>
    </row>
    <row r="26" customFormat="false" ht="14.25" hidden="false" customHeight="false" outlineLevel="0" collapsed="false">
      <c r="H26" s="36" t="s">
        <v>39</v>
      </c>
      <c r="I26" s="36"/>
      <c r="J26" s="37"/>
      <c r="K26" s="37" t="n">
        <f aca="false">+K24/K20</f>
        <v>13.5869467463122</v>
      </c>
      <c r="L26" s="37" t="n">
        <f aca="false">+L24/L20</f>
        <v>13.8379550581035</v>
      </c>
      <c r="M26" s="37" t="n">
        <f aca="false">+M24/M20</f>
        <v>14.0093494089264</v>
      </c>
    </row>
    <row r="27" customFormat="false" ht="14.25" hidden="false" customHeight="false" outlineLevel="0" collapsed="false">
      <c r="B27" s="6" t="s">
        <v>40</v>
      </c>
      <c r="D27" s="6" t="n">
        <f aca="false">+D24-D23</f>
        <v>1124.21377</v>
      </c>
      <c r="H27" s="15"/>
      <c r="I27" s="15"/>
      <c r="J27" s="31"/>
      <c r="K27" s="31"/>
      <c r="L27" s="31"/>
      <c r="M27" s="31"/>
    </row>
    <row r="28" customFormat="false" ht="14.25" hidden="false" customHeight="false" outlineLevel="0" collapsed="false">
      <c r="B28" s="6" t="s">
        <v>38</v>
      </c>
      <c r="D28" s="38" t="n">
        <f aca="false">+D27/Summary!I22</f>
        <v>15.5438857884532</v>
      </c>
      <c r="H28" s="15" t="s">
        <v>41</v>
      </c>
      <c r="I28" s="15"/>
      <c r="J28" s="24"/>
      <c r="K28" s="24" t="n">
        <f aca="false">+'BS &amp; CFS'!K50</f>
        <v>636.685368415852</v>
      </c>
      <c r="L28" s="24" t="n">
        <f aca="false">+'BS &amp; CFS'!L50</f>
        <v>666.691099825503</v>
      </c>
      <c r="M28" s="24" t="n">
        <f aca="false">+'BS &amp; CFS'!M50</f>
        <v>689.558345285826</v>
      </c>
    </row>
    <row r="29" customFormat="false" ht="14.25" hidden="false" customHeight="false" outlineLevel="0" collapsed="false">
      <c r="H29" s="30" t="s">
        <v>42</v>
      </c>
      <c r="I29" s="30"/>
      <c r="J29" s="30"/>
      <c r="K29" s="30" t="n">
        <f aca="false">+K24-K28</f>
        <v>802.763576295559</v>
      </c>
      <c r="L29" s="30" t="n">
        <f aca="false">+L24-L28</f>
        <v>997.082162798573</v>
      </c>
      <c r="M29" s="30" t="n">
        <f aca="false">+M24-M28</f>
        <v>1150.64179197581</v>
      </c>
    </row>
    <row r="30" customFormat="false" ht="14.25" hidden="false" customHeight="false" outlineLevel="0" collapsed="false">
      <c r="H30" s="20"/>
      <c r="I30" s="20"/>
      <c r="J30" s="20"/>
      <c r="K30" s="20"/>
      <c r="L30" s="20"/>
      <c r="M30" s="20"/>
    </row>
    <row r="31" customFormat="false" ht="14.25" hidden="false" customHeight="false" outlineLevel="0" collapsed="false">
      <c r="H31" s="15" t="s">
        <v>43</v>
      </c>
      <c r="I31" s="31"/>
      <c r="J31" s="24"/>
      <c r="K31" s="24" t="n">
        <f aca="false">+'P&amp;L'!K41</f>
        <v>173.113</v>
      </c>
      <c r="L31" s="24" t="n">
        <f aca="false">+'P&amp;L'!L41</f>
        <v>173.113</v>
      </c>
      <c r="M31" s="24" t="n">
        <f aca="false">+'P&amp;L'!M41</f>
        <v>173.113</v>
      </c>
    </row>
    <row r="32" customFormat="false" ht="14.25" hidden="false" customHeight="false" outlineLevel="0" collapsed="false">
      <c r="H32" s="15"/>
      <c r="I32" s="31"/>
      <c r="J32" s="31"/>
      <c r="K32" s="31"/>
      <c r="L32" s="31"/>
      <c r="M32" s="31"/>
    </row>
    <row r="33" customFormat="false" ht="14.25" hidden="false" customHeight="false" outlineLevel="0" collapsed="false">
      <c r="H33" s="30" t="s">
        <v>44</v>
      </c>
      <c r="I33" s="39"/>
      <c r="J33" s="40"/>
      <c r="K33" s="40" t="n">
        <f aca="false">+K29/K31</f>
        <v>4.63722294856862</v>
      </c>
      <c r="L33" s="40" t="n">
        <f aca="false">+L29/L31</f>
        <v>5.75971858149632</v>
      </c>
      <c r="M33" s="40" t="n">
        <f aca="false">+M29/M31</f>
        <v>6.64676709418592</v>
      </c>
    </row>
    <row r="34" customFormat="false" ht="14.25" hidden="false" customHeight="false" outlineLevel="0" collapsed="false">
      <c r="H34" s="20" t="s">
        <v>45</v>
      </c>
      <c r="I34" s="41"/>
      <c r="J34" s="42"/>
      <c r="K34" s="42" t="n">
        <f aca="false">+K33/$D$18-1</f>
        <v>0.650257277070682</v>
      </c>
      <c r="L34" s="42" t="n">
        <f aca="false">+L33/$D$18-1</f>
        <v>1.04972191512325</v>
      </c>
      <c r="M34" s="42" t="n">
        <f aca="false">+M33/$D$18-1</f>
        <v>1.36539754241492</v>
      </c>
    </row>
    <row r="35" customFormat="false" ht="14.25" hidden="false" customHeight="false" outlineLevel="0" collapsed="false">
      <c r="H35" s="20" t="s">
        <v>46</v>
      </c>
      <c r="I35" s="41"/>
      <c r="J35" s="41"/>
      <c r="K35" s="41" t="n">
        <f aca="false">+K33/$D$18</f>
        <v>1.65025727707068</v>
      </c>
      <c r="L35" s="41" t="n">
        <f aca="false">+L33/$D$18</f>
        <v>2.04972191512325</v>
      </c>
      <c r="M35" s="41" t="n">
        <f aca="false">+M33/$D$18</f>
        <v>2.36539754241492</v>
      </c>
      <c r="Q35" s="43"/>
    </row>
    <row r="36" customFormat="false" ht="14.25" hidden="false" customHeight="false" outlineLevel="0" collapsed="false">
      <c r="H36" s="44" t="s">
        <v>47</v>
      </c>
      <c r="I36" s="44"/>
      <c r="J36" s="45"/>
      <c r="K36" s="45" t="n">
        <f aca="false">+K35^(1/(YEARFRAC($D$16,K16)))-1</f>
        <v>0.425172968172104</v>
      </c>
      <c r="L36" s="45" t="n">
        <f aca="false">+L35^(1/(YEARFRAC($D$16,L16)))-1</f>
        <v>0.346249759408164</v>
      </c>
      <c r="M36" s="45" t="n">
        <f aca="false">+M35^(1/(YEARFRAC($D$16,M16)))-1</f>
        <v>0.286839557443045</v>
      </c>
      <c r="O36" s="46"/>
    </row>
    <row r="38" customFormat="false" ht="14.25" hidden="false" customHeight="false" outlineLevel="0" collapsed="false">
      <c r="B38" s="5"/>
    </row>
  </sheetData>
  <dataValidations count="2">
    <dataValidation allowBlank="true" errorStyle="stop" operator="between" showDropDown="false" showErrorMessage="true" showInputMessage="true" sqref="C6" type="list">
      <formula1>"1,2,3"</formula1>
      <formula2>0</formula2>
    </dataValidation>
    <dataValidation allowBlank="true" errorStyle="stop" operator="between" showDropDown="false" showErrorMessage="true" showInputMessage="true" sqref="C7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V3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5" activeCellId="0" sqref="J5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  <col collapsed="false" customWidth="false" hidden="false" outlineLevel="0" max="2" min="2" style="1" width="15.73"/>
    <col collapsed="false" customWidth="true" hidden="false" outlineLevel="0" max="20" min="20" style="1" width="1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E3" s="3" t="n">
        <v>2018</v>
      </c>
      <c r="F3" s="3" t="n">
        <f aca="false">+E3+1</f>
        <v>2019</v>
      </c>
      <c r="G3" s="3" t="n">
        <f aca="false">+F3+1</f>
        <v>2020</v>
      </c>
      <c r="H3" s="3" t="n">
        <f aca="false">+G3+1</f>
        <v>2021</v>
      </c>
      <c r="I3" s="3" t="n">
        <f aca="false">+H3+1</f>
        <v>2022</v>
      </c>
      <c r="J3" s="4" t="n">
        <f aca="false">+I3+1</f>
        <v>2023</v>
      </c>
      <c r="K3" s="4" t="n">
        <f aca="false">+J3+1</f>
        <v>2024</v>
      </c>
      <c r="L3" s="4" t="n">
        <f aca="false">+K3+1</f>
        <v>2025</v>
      </c>
      <c r="M3" s="4" t="n">
        <f aca="false">+L3+1</f>
        <v>2026</v>
      </c>
      <c r="N3" s="4" t="n">
        <f aca="false">+M3+1</f>
        <v>2027</v>
      </c>
      <c r="O3" s="4" t="n">
        <f aca="false">+N3+1</f>
        <v>2028</v>
      </c>
      <c r="P3" s="4" t="n">
        <f aca="false">+O3+1</f>
        <v>2029</v>
      </c>
      <c r="Q3" s="4" t="n">
        <f aca="false">+P3+1</f>
        <v>2030</v>
      </c>
      <c r="R3" s="4" t="n">
        <f aca="false">+Q3+1</f>
        <v>2031</v>
      </c>
      <c r="S3" s="4" t="n">
        <f aca="false">+R3+1</f>
        <v>2032</v>
      </c>
      <c r="U3" s="47" t="s">
        <v>48</v>
      </c>
      <c r="V3" s="47" t="s">
        <v>49</v>
      </c>
    </row>
    <row r="4" customFormat="false" ht="14.25" hidden="false" customHeight="false" outlineLevel="0" collapsed="false">
      <c r="A4" s="6" t="s">
        <v>2</v>
      </c>
      <c r="B4" s="5" t="s">
        <v>50</v>
      </c>
      <c r="V4" s="48"/>
    </row>
    <row r="5" customFormat="false" ht="14.25" hidden="false" customHeight="false" outlineLevel="0" collapsed="false">
      <c r="B5" s="49" t="str">
        <f aca="false">+'RevBuild Calcs'!B7</f>
        <v>Content production and distribution</v>
      </c>
      <c r="E5" s="6" t="n">
        <f aca="false">+'RevBuild Calcs'!E7</f>
        <v>164.374</v>
      </c>
      <c r="F5" s="6" t="n">
        <f aca="false">+'RevBuild Calcs'!F7</f>
        <v>143.763</v>
      </c>
      <c r="G5" s="6" t="n">
        <f aca="false">+'RevBuild Calcs'!G7</f>
        <v>145.225</v>
      </c>
      <c r="H5" s="6" t="n">
        <f aca="false">+'RevBuild Calcs'!H7</f>
        <v>185.084</v>
      </c>
      <c r="I5" s="6" t="n">
        <f aca="false">+'RevBuild Calcs'!I7</f>
        <v>206.572</v>
      </c>
      <c r="J5" s="6" t="n">
        <f aca="false">+'RevBuild Calcs'!J7</f>
        <v>216.9006</v>
      </c>
      <c r="K5" s="6" t="n">
        <f aca="false">+'RevBuild Calcs'!K7</f>
        <v>238.59066</v>
      </c>
      <c r="L5" s="6" t="n">
        <f aca="false">+'RevBuild Calcs'!L7</f>
        <v>262.449726</v>
      </c>
      <c r="M5" s="6" t="n">
        <f aca="false">+'RevBuild Calcs'!M7</f>
        <v>275.5722123</v>
      </c>
      <c r="N5" s="6" t="n">
        <f aca="false">+'RevBuild Calcs'!N7</f>
        <v>283.839378669</v>
      </c>
      <c r="O5" s="6" t="n">
        <f aca="false">+'RevBuild Calcs'!O7</f>
        <v>292.35456002907</v>
      </c>
      <c r="P5" s="6" t="n">
        <f aca="false">+'RevBuild Calcs'!P7</f>
        <v>301.125196829942</v>
      </c>
      <c r="Q5" s="6" t="n">
        <f aca="false">+'RevBuild Calcs'!Q7</f>
        <v>310.15895273484</v>
      </c>
      <c r="R5" s="6" t="n">
        <f aca="false">+'RevBuild Calcs'!R7</f>
        <v>319.463721316886</v>
      </c>
      <c r="S5" s="6" t="n">
        <f aca="false">+'RevBuild Calcs'!S7</f>
        <v>329.047632956392</v>
      </c>
      <c r="U5" s="50" t="n">
        <f aca="false">+(I5/E5)^(0.166666666666667)-1</f>
        <v>0.0388186112744902</v>
      </c>
      <c r="V5" s="50" t="n">
        <f aca="false">+(M5/I5)^(0.166666666666667)-1</f>
        <v>0.0492057485622679</v>
      </c>
    </row>
    <row r="6" customFormat="false" ht="14.25" hidden="false" customHeight="false" outlineLevel="0" collapsed="false">
      <c r="B6" s="49" t="str">
        <f aca="false">+'RevBuild Calcs'!B8</f>
        <v>WildBrain Spark</v>
      </c>
      <c r="E6" s="6" t="n">
        <f aca="false">+'RevBuild Calcs'!E8</f>
        <v>57.282</v>
      </c>
      <c r="F6" s="6" t="n">
        <f aca="false">+'RevBuild Calcs'!F8</f>
        <v>68.996</v>
      </c>
      <c r="G6" s="6" t="n">
        <f aca="false">+'RevBuild Calcs'!G8</f>
        <v>62.278</v>
      </c>
      <c r="H6" s="6" t="n">
        <f aca="false">+'RevBuild Calcs'!H8</f>
        <v>45.754</v>
      </c>
      <c r="I6" s="6" t="n">
        <f aca="false">+'RevBuild Calcs'!I8</f>
        <v>55.41</v>
      </c>
      <c r="J6" s="6" t="n">
        <f aca="false">+'RevBuild Calcs'!J8</f>
        <v>45.65784</v>
      </c>
      <c r="K6" s="6" t="n">
        <f aca="false">+'RevBuild Calcs'!K8</f>
        <v>54.08171148</v>
      </c>
      <c r="L6" s="6" t="n">
        <f aca="false">+'RevBuild Calcs'!L8</f>
        <v>69.6302035305</v>
      </c>
      <c r="M6" s="6" t="n">
        <f aca="false">+'RevBuild Calcs'!M8</f>
        <v>75.3050651182358</v>
      </c>
      <c r="N6" s="6" t="n">
        <f aca="false">+'RevBuild Calcs'!N8</f>
        <v>81.0546068400131</v>
      </c>
      <c r="O6" s="6" t="n">
        <f aca="false">+'RevBuild Calcs'!O8</f>
        <v>86.825694847022</v>
      </c>
      <c r="P6" s="6" t="n">
        <f aca="false">+'RevBuild Calcs'!P8</f>
        <v>92.5605319916678</v>
      </c>
      <c r="Q6" s="6" t="n">
        <f aca="false">+'RevBuild Calcs'!Q8</f>
        <v>98.1974683899604</v>
      </c>
      <c r="R6" s="6" t="n">
        <f aca="false">+'RevBuild Calcs'!R8</f>
        <v>103.166260290492</v>
      </c>
      <c r="S6" s="6" t="n">
        <f aca="false">+'RevBuild Calcs'!S8</f>
        <v>108.386473061191</v>
      </c>
      <c r="U6" s="50" t="n">
        <f aca="false">+(I6/E6)^(0.166666666666667)-1</f>
        <v>-0.00552242095462885</v>
      </c>
      <c r="V6" s="50" t="n">
        <f aca="false">+(M6/I6)^(0.166666666666667)-1</f>
        <v>0.05246098736601</v>
      </c>
    </row>
    <row r="7" customFormat="false" ht="14.25" hidden="false" customHeight="false" outlineLevel="0" collapsed="false">
      <c r="B7" s="49" t="str">
        <f aca="false">+'RevBuild Calcs'!B9</f>
        <v>Consumer Products</v>
      </c>
      <c r="E7" s="6" t="n">
        <f aca="false">+'RevBuild Calcs'!E9</f>
        <v>157.746</v>
      </c>
      <c r="F7" s="6" t="n">
        <f aca="false">+'RevBuild Calcs'!F9</f>
        <v>174.572</v>
      </c>
      <c r="G7" s="6" t="n">
        <f aca="false">+'RevBuild Calcs'!G9</f>
        <v>168.604</v>
      </c>
      <c r="H7" s="6" t="n">
        <f aca="false">+'RevBuild Calcs'!H9</f>
        <v>175.194</v>
      </c>
      <c r="I7" s="6" t="n">
        <f aca="false">+'RevBuild Calcs'!I9</f>
        <v>203.557</v>
      </c>
      <c r="J7" s="6" t="n">
        <f aca="false">+'RevBuild Calcs'!J9</f>
        <v>223.9127</v>
      </c>
      <c r="K7" s="6" t="n">
        <f aca="false">+'RevBuild Calcs'!K9</f>
        <v>252.3496129</v>
      </c>
      <c r="L7" s="6" t="n">
        <f aca="false">+'RevBuild Calcs'!L9</f>
        <v>284.416150667</v>
      </c>
      <c r="M7" s="6" t="n">
        <f aca="false">+'RevBuild Calcs'!M9</f>
        <v>320.57744715271</v>
      </c>
      <c r="N7" s="6" t="n">
        <f aca="false">+'RevBuild Calcs'!N9</f>
        <v>352.635191867981</v>
      </c>
      <c r="O7" s="6" t="n">
        <f aca="false">+'RevBuild Calcs'!O9</f>
        <v>379.082831258079</v>
      </c>
      <c r="P7" s="6" t="n">
        <f aca="false">+'RevBuild Calcs'!P9</f>
        <v>404.913793690395</v>
      </c>
      <c r="Q7" s="6" t="n">
        <f aca="false">+'RevBuild Calcs'!Q9</f>
        <v>431.777604161646</v>
      </c>
      <c r="R7" s="6" t="n">
        <f aca="false">+'RevBuild Calcs'!R9</f>
        <v>460.477476713273</v>
      </c>
      <c r="S7" s="6" t="n">
        <f aca="false">+'RevBuild Calcs'!S9</f>
        <v>491.140603551323</v>
      </c>
      <c r="U7" s="50" t="n">
        <f aca="false">+(I7/E7)^(0.166666666666667)-1</f>
        <v>0.043409086276764</v>
      </c>
      <c r="V7" s="50" t="n">
        <f aca="false">+(M7/I7)^(0.166666666666667)-1</f>
        <v>0.0786349480120776</v>
      </c>
    </row>
    <row r="8" customFormat="false" ht="14.25" hidden="false" customHeight="false" outlineLevel="0" collapsed="false">
      <c r="B8" s="49" t="s">
        <v>51</v>
      </c>
      <c r="E8" s="6" t="n">
        <f aca="false">+'RevBuild Calcs'!E12</f>
        <v>55.014</v>
      </c>
      <c r="F8" s="6" t="n">
        <f aca="false">+'RevBuild Calcs'!F12</f>
        <v>52.469</v>
      </c>
      <c r="G8" s="6" t="n">
        <f aca="false">+'RevBuild Calcs'!G12</f>
        <v>49.527</v>
      </c>
      <c r="H8" s="6" t="n">
        <f aca="false">+'RevBuild Calcs'!H12</f>
        <v>46.502</v>
      </c>
      <c r="I8" s="6" t="n">
        <f aca="false">+'RevBuild Calcs'!I12</f>
        <v>41.684</v>
      </c>
      <c r="J8" s="6" t="n">
        <f aca="false">+'RevBuild Calcs'!J12</f>
        <v>40.01664</v>
      </c>
      <c r="K8" s="6" t="n">
        <f aca="false">+'RevBuild Calcs'!K12</f>
        <v>38.4159744</v>
      </c>
      <c r="L8" s="6" t="n">
        <f aca="false">+'RevBuild Calcs'!L12</f>
        <v>36.879335424</v>
      </c>
      <c r="M8" s="6" t="n">
        <f aca="false">+'RevBuild Calcs'!M12</f>
        <v>35.40416200704</v>
      </c>
      <c r="N8" s="6" t="n">
        <f aca="false">+'RevBuild Calcs'!N12</f>
        <v>33.9879955267584</v>
      </c>
      <c r="O8" s="6" t="n">
        <f aca="false">+'RevBuild Calcs'!O12</f>
        <v>32.6284757056881</v>
      </c>
      <c r="P8" s="6" t="n">
        <f aca="false">+'RevBuild Calcs'!P12</f>
        <v>31.3233366774605</v>
      </c>
      <c r="Q8" s="6" t="n">
        <f aca="false">+'RevBuild Calcs'!Q12</f>
        <v>30.0704032103621</v>
      </c>
      <c r="R8" s="6" t="n">
        <f aca="false">+'RevBuild Calcs'!R12</f>
        <v>28.8675870819476</v>
      </c>
      <c r="S8" s="6" t="n">
        <f aca="false">+'RevBuild Calcs'!S12</f>
        <v>28.8675870819476</v>
      </c>
      <c r="U8" s="50" t="n">
        <f aca="false">+(I8/E8)^(0.166666666666667)-1</f>
        <v>-0.0451920479247715</v>
      </c>
      <c r="V8" s="50" t="n">
        <f aca="false">+(M8/I8)^(0.166666666666667)-1</f>
        <v>-0.0268476807082561</v>
      </c>
    </row>
    <row r="9" customFormat="false" ht="14.25" hidden="false" customHeight="false" outlineLevel="0" collapsed="false">
      <c r="B9" s="51" t="s">
        <v>52</v>
      </c>
      <c r="C9" s="51"/>
      <c r="D9" s="51"/>
      <c r="E9" s="51" t="n">
        <f aca="false">SUM(E5:E8)</f>
        <v>434.416</v>
      </c>
      <c r="F9" s="51" t="n">
        <f aca="false">SUM(F5:F8)</f>
        <v>439.8</v>
      </c>
      <c r="G9" s="51" t="n">
        <f aca="false">SUM(G5:G8)</f>
        <v>425.634</v>
      </c>
      <c r="H9" s="51" t="n">
        <f aca="false">SUM(H5:H8)</f>
        <v>452.534</v>
      </c>
      <c r="I9" s="51" t="n">
        <f aca="false">SUM(I5:I8)</f>
        <v>507.223</v>
      </c>
      <c r="J9" s="51" t="n">
        <f aca="false">SUM(J5:J8)</f>
        <v>526.48778</v>
      </c>
      <c r="K9" s="51" t="n">
        <f aca="false">SUM(K5:K8)</f>
        <v>583.43795878</v>
      </c>
      <c r="L9" s="51" t="n">
        <f aca="false">SUM(L5:L8)</f>
        <v>653.3754156215</v>
      </c>
      <c r="M9" s="51" t="n">
        <f aca="false">SUM(M5:M8)</f>
        <v>706.858886577986</v>
      </c>
      <c r="N9" s="51" t="n">
        <f aca="false">SUM(N5:N8)</f>
        <v>751.517172903753</v>
      </c>
      <c r="O9" s="51" t="n">
        <f aca="false">SUM(O5:O8)</f>
        <v>790.89156183986</v>
      </c>
      <c r="P9" s="51" t="n">
        <f aca="false">SUM(P5:P8)</f>
        <v>829.922859189465</v>
      </c>
      <c r="Q9" s="51" t="n">
        <f aca="false">SUM(Q5:Q8)</f>
        <v>870.204428496809</v>
      </c>
      <c r="R9" s="51" t="n">
        <f aca="false">SUM(R5:R8)</f>
        <v>911.975045402599</v>
      </c>
      <c r="S9" s="51" t="n">
        <f aca="false">SUM(S5:S8)</f>
        <v>957.442296650854</v>
      </c>
      <c r="U9" s="50" t="n">
        <f aca="false">+(I9/E9)^(0.166666666666667)-1</f>
        <v>0.0261610379078892</v>
      </c>
      <c r="V9" s="50" t="n">
        <f aca="false">+(M9/I9)^(0.166666666666667)-1</f>
        <v>0.0568717691726446</v>
      </c>
    </row>
    <row r="10" customFormat="false" ht="14.25" hidden="false" customHeight="false" outlineLevel="0" collapsed="false">
      <c r="B10" s="2" t="s">
        <v>53</v>
      </c>
      <c r="F10" s="46" t="n">
        <f aca="false">+F9/E9-1</f>
        <v>0.012393650325955</v>
      </c>
      <c r="G10" s="46" t="n">
        <f aca="false">+G9/F9-1</f>
        <v>-0.0322100954979536</v>
      </c>
      <c r="H10" s="46" t="n">
        <f aca="false">+H9/G9-1</f>
        <v>0.0631998383587777</v>
      </c>
      <c r="I10" s="46" t="n">
        <f aca="false">+I9/H9-1</f>
        <v>0.120850588022115</v>
      </c>
      <c r="J10" s="46" t="n">
        <f aca="false">+J9/I9-1</f>
        <v>0.0379808880906427</v>
      </c>
      <c r="K10" s="46" t="n">
        <f aca="false">+K9/J9-1</f>
        <v>0.10816999167578</v>
      </c>
      <c r="L10" s="46" t="n">
        <f aca="false">+L9/K9-1</f>
        <v>0.119871283294188</v>
      </c>
      <c r="M10" s="46" t="n">
        <f aca="false">+M9/L9-1</f>
        <v>0.0818571829881469</v>
      </c>
      <c r="N10" s="46" t="n">
        <f aca="false">+N9/M9-1</f>
        <v>0.0631785030559133</v>
      </c>
      <c r="O10" s="46" t="n">
        <f aca="false">+O9/N9-1</f>
        <v>0.0523931991919364</v>
      </c>
      <c r="P10" s="46" t="n">
        <f aca="false">+P9/O9-1</f>
        <v>0.0493510099650154</v>
      </c>
      <c r="Q10" s="46" t="n">
        <f aca="false">+Q9/P9-1</f>
        <v>0.0485365222337466</v>
      </c>
      <c r="R10" s="46" t="n">
        <f aca="false">+R9/Q9-1</f>
        <v>0.048000924309181</v>
      </c>
      <c r="S10" s="46" t="n">
        <f aca="false">+S9/R9-1</f>
        <v>0.0498558063375341</v>
      </c>
    </row>
    <row r="12" customFormat="false" ht="14.25" hidden="false" customHeight="false" outlineLevel="0" collapsed="false">
      <c r="B12" s="49" t="s">
        <v>54</v>
      </c>
      <c r="E12" s="52"/>
      <c r="F12" s="52"/>
      <c r="G12" s="52"/>
      <c r="H12" s="6" t="n">
        <f aca="false">+'RevBuild Calcs'!H18</f>
        <v>162.692</v>
      </c>
      <c r="I12" s="6" t="n">
        <f aca="false">+'RevBuild Calcs'!I18</f>
        <v>193.455</v>
      </c>
      <c r="J12" s="6" t="n">
        <f aca="false">+'RevBuild Calcs'!J18</f>
        <v>194.588456</v>
      </c>
      <c r="K12" s="6" t="n">
        <f aca="false">+'RevBuild Calcs'!K18</f>
        <v>223.4590135958</v>
      </c>
      <c r="L12" s="6" t="n">
        <f aca="false">+'RevBuild Calcs'!L18</f>
        <v>252.763392880975</v>
      </c>
      <c r="M12" s="6" t="n">
        <f aca="false">+'RevBuild Calcs'!M18</f>
        <v>275.296437074088</v>
      </c>
      <c r="N12" s="6" t="n">
        <f aca="false">+'RevBuild Calcs'!N18</f>
        <v>294.186962724568</v>
      </c>
      <c r="O12" s="6" t="n">
        <f aca="false">+'RevBuild Calcs'!O18</f>
        <v>310.88786531501</v>
      </c>
      <c r="P12" s="6" t="n">
        <f aca="false">+'RevBuild Calcs'!P18</f>
        <v>327.425804229922</v>
      </c>
      <c r="Q12" s="6" t="n">
        <f aca="false">+'RevBuild Calcs'!Q18</f>
        <v>344.454950367443</v>
      </c>
      <c r="R12" s="6" t="n">
        <f aca="false">+'RevBuild Calcs'!R18</f>
        <v>362.074057911467</v>
      </c>
      <c r="S12" s="6" t="n">
        <f aca="false">+'RevBuild Calcs'!S18</f>
        <v>380.715630923252</v>
      </c>
    </row>
    <row r="13" customFormat="false" ht="14.25" hidden="false" customHeight="false" outlineLevel="0" collapsed="false">
      <c r="B13" s="49" t="s">
        <v>55</v>
      </c>
      <c r="E13" s="52"/>
      <c r="F13" s="52"/>
      <c r="G13" s="52"/>
      <c r="H13" s="6" t="n">
        <f aca="false">+'RevBuild Calcs'!H21</f>
        <v>32.195</v>
      </c>
      <c r="I13" s="6" t="n">
        <f aca="false">+'RevBuild Calcs'!I21</f>
        <v>28.106</v>
      </c>
      <c r="J13" s="6" t="n">
        <f aca="false">+'RevBuild Calcs'!J21</f>
        <v>26.010816</v>
      </c>
      <c r="K13" s="6" t="n">
        <f aca="false">+'RevBuild Calcs'!K21</f>
        <v>24.97038336</v>
      </c>
      <c r="L13" s="6" t="n">
        <f aca="false">+'RevBuild Calcs'!L21</f>
        <v>23.9715680256</v>
      </c>
      <c r="M13" s="6" t="n">
        <f aca="false">+'RevBuild Calcs'!M21</f>
        <v>23.012705304576</v>
      </c>
      <c r="N13" s="6" t="n">
        <f aca="false">+'RevBuild Calcs'!N21</f>
        <v>22.092197092393</v>
      </c>
      <c r="O13" s="6" t="n">
        <f aca="false">+'RevBuild Calcs'!O21</f>
        <v>21.2085092086972</v>
      </c>
      <c r="P13" s="6" t="n">
        <f aca="false">+'RevBuild Calcs'!P21</f>
        <v>20.3601688403493</v>
      </c>
      <c r="Q13" s="6" t="n">
        <f aca="false">+'RevBuild Calcs'!Q21</f>
        <v>19.5457620867354</v>
      </c>
      <c r="R13" s="6" t="n">
        <f aca="false">+'RevBuild Calcs'!R21</f>
        <v>18.763931603266</v>
      </c>
      <c r="S13" s="6" t="n">
        <f aca="false">+'RevBuild Calcs'!S21</f>
        <v>18.763931603266</v>
      </c>
    </row>
    <row r="14" customFormat="false" ht="14.25" hidden="false" customHeight="false" outlineLevel="0" collapsed="false">
      <c r="B14" s="51" t="s">
        <v>56</v>
      </c>
      <c r="C14" s="51"/>
      <c r="D14" s="51"/>
      <c r="E14" s="51" t="n">
        <f aca="false">+'P&amp;L'!E13</f>
        <v>190.172</v>
      </c>
      <c r="F14" s="51" t="n">
        <f aca="false">+'P&amp;L'!F13</f>
        <v>186.797</v>
      </c>
      <c r="G14" s="51" t="n">
        <f aca="false">+'P&amp;L'!G13</f>
        <v>187.845</v>
      </c>
      <c r="H14" s="51" t="n">
        <f aca="false">+'P&amp;L'!H13</f>
        <v>199.259</v>
      </c>
      <c r="I14" s="51" t="n">
        <f aca="false">+'P&amp;L'!I13</f>
        <v>221.561</v>
      </c>
      <c r="J14" s="51" t="n">
        <f aca="false">+'P&amp;L'!J13</f>
        <v>220.599272</v>
      </c>
      <c r="K14" s="51" t="n">
        <f aca="false">+'P&amp;L'!K13</f>
        <v>248.4293969558</v>
      </c>
      <c r="L14" s="51" t="n">
        <f aca="false">+'P&amp;L'!L13</f>
        <v>276.734960906575</v>
      </c>
      <c r="M14" s="51" t="n">
        <f aca="false">+'P&amp;L'!M13</f>
        <v>298.309142378664</v>
      </c>
      <c r="N14" s="51" t="n">
        <f aca="false">+'P&amp;L'!N13</f>
        <v>316.279159816961</v>
      </c>
      <c r="O14" s="51" t="n">
        <f aca="false">+'P&amp;L'!O13</f>
        <v>332.096374523708</v>
      </c>
      <c r="P14" s="51" t="n">
        <f aca="false">+'P&amp;L'!P13</f>
        <v>347.785973070271</v>
      </c>
      <c r="Q14" s="51" t="n">
        <f aca="false">+'P&amp;L'!Q13</f>
        <v>364.000712454179</v>
      </c>
      <c r="R14" s="51" t="n">
        <f aca="false">+'P&amp;L'!R13</f>
        <v>380.837989514733</v>
      </c>
      <c r="S14" s="51" t="n">
        <f aca="false">+'P&amp;L'!S13</f>
        <v>399.479562526518</v>
      </c>
    </row>
    <row r="15" s="2" customFormat="true" ht="14.25" hidden="false" customHeight="false" outlineLevel="0" collapsed="false">
      <c r="B15" s="2" t="s">
        <v>57</v>
      </c>
      <c r="E15" s="53" t="n">
        <f aca="false">+'P&amp;L'!E14</f>
        <v>0.437764723214615</v>
      </c>
      <c r="F15" s="53" t="n">
        <f aca="false">+'P&amp;L'!F14</f>
        <v>0.424731696225557</v>
      </c>
      <c r="G15" s="53" t="n">
        <f aca="false">+'P&amp;L'!G14</f>
        <v>0.441329874962996</v>
      </c>
      <c r="H15" s="53" t="n">
        <f aca="false">+'P&amp;L'!H14</f>
        <v>0.440318296525786</v>
      </c>
      <c r="I15" s="53" t="n">
        <f aca="false">+'P&amp;L'!I14</f>
        <v>0.436811816498858</v>
      </c>
      <c r="J15" s="53" t="n">
        <f aca="false">+'P&amp;L'!J14</f>
        <v>0.419001694588239</v>
      </c>
      <c r="K15" s="53" t="n">
        <f aca="false">+'P&amp;L'!K14</f>
        <v>0.425802595147013</v>
      </c>
      <c r="L15" s="53" t="n">
        <f aca="false">+'P&amp;L'!L14</f>
        <v>0.423546638410539</v>
      </c>
      <c r="M15" s="53" t="n">
        <f aca="false">+'P&amp;L'!M14</f>
        <v>0.422020785255774</v>
      </c>
      <c r="N15" s="53" t="n">
        <f aca="false">+'P&amp;L'!N14</f>
        <v>0.420854201634414</v>
      </c>
      <c r="O15" s="53" t="n">
        <f aca="false">+'P&amp;L'!O14</f>
        <v>0.419901274140728</v>
      </c>
      <c r="P15" s="53" t="n">
        <f aca="false">+'P&amp;L'!P14</f>
        <v>0.419058192239617</v>
      </c>
      <c r="Q15" s="53" t="n">
        <f aca="false">+'P&amp;L'!Q14</f>
        <v>0.418293334915513</v>
      </c>
      <c r="R15" s="53" t="n">
        <f aca="false">+'P&amp;L'!R14</f>
        <v>0.417596941313903</v>
      </c>
      <c r="S15" s="53" t="n">
        <f aca="false">+'P&amp;L'!S14</f>
        <v>0.417236175928202</v>
      </c>
    </row>
    <row r="17" customFormat="false" ht="14.25" hidden="false" customHeight="false" outlineLevel="0" collapsed="false">
      <c r="B17" s="6" t="s">
        <v>58</v>
      </c>
      <c r="E17" s="6" t="n">
        <f aca="false">+(E14-E19)*-1</f>
        <v>-91.712</v>
      </c>
      <c r="F17" s="6" t="n">
        <f aca="false">+(F14-F19)*-1</f>
        <v>-74.516</v>
      </c>
      <c r="G17" s="6" t="n">
        <f aca="false">+(G14-G19)*-1</f>
        <v>-111.445</v>
      </c>
      <c r="H17" s="6" t="n">
        <f aca="false">+(H14-H19)*-1</f>
        <v>-95.453</v>
      </c>
      <c r="I17" s="6" t="n">
        <f aca="false">+(I14-I19)*-1</f>
        <v>-125.862</v>
      </c>
      <c r="J17" s="6" t="n">
        <f aca="false">+(J14-J19)*-1</f>
        <v>-114.238145094218</v>
      </c>
      <c r="K17" s="6" t="n">
        <f aca="false">+(K14-K19)*-1</f>
        <v>-110.455006602034</v>
      </c>
      <c r="L17" s="6" t="n">
        <f aca="false">+(L14-L19)*-1</f>
        <v>-120.151345536351</v>
      </c>
      <c r="M17" s="6" t="n">
        <f aca="false">+(M14-M19)*-1</f>
        <v>-127.24019508149</v>
      </c>
      <c r="N17" s="6" t="n">
        <f aca="false">+(N14-N19)*-1</f>
        <v>-133.639622930619</v>
      </c>
      <c r="O17" s="6" t="n">
        <f aca="false">+(O14-O19)*-1</f>
        <v>-139.16544103286</v>
      </c>
      <c r="P17" s="6" t="n">
        <f aca="false">+(P14-P19)*-1</f>
        <v>-144.536925596125</v>
      </c>
      <c r="Q17" s="6" t="n">
        <f aca="false">+(Q14-Q19)*-1</f>
        <v>-149.984476712265</v>
      </c>
      <c r="R17" s="6" t="n">
        <f aca="false">+(R14-R19)*-1</f>
        <v>-155.913965711781</v>
      </c>
      <c r="S17" s="6" t="n">
        <f aca="false">+(S14-S19)*-1</f>
        <v>-162.121634665174</v>
      </c>
    </row>
    <row r="19" s="9" customFormat="true" ht="14.25" hidden="false" customHeight="false" outlineLevel="0" collapsed="false">
      <c r="A19" s="6"/>
      <c r="B19" s="9" t="s">
        <v>59</v>
      </c>
      <c r="E19" s="9" t="n">
        <f aca="false">+'P&amp;L'!E68</f>
        <v>98.46</v>
      </c>
      <c r="F19" s="9" t="n">
        <f aca="false">+'P&amp;L'!F68</f>
        <v>112.281</v>
      </c>
      <c r="G19" s="9" t="n">
        <f aca="false">+'P&amp;L'!G68</f>
        <v>76.4</v>
      </c>
      <c r="H19" s="9" t="n">
        <f aca="false">+'P&amp;L'!H68</f>
        <v>103.806</v>
      </c>
      <c r="I19" s="9" t="n">
        <f aca="false">+'P&amp;L'!I68</f>
        <v>95.699</v>
      </c>
      <c r="J19" s="9" t="n">
        <f aca="false">+'P&amp;L'!J68</f>
        <v>106.361126905782</v>
      </c>
      <c r="K19" s="9" t="n">
        <f aca="false">+'P&amp;L'!K68</f>
        <v>137.974390353766</v>
      </c>
      <c r="L19" s="9" t="n">
        <f aca="false">+'P&amp;L'!L68</f>
        <v>156.583615370224</v>
      </c>
      <c r="M19" s="9" t="n">
        <f aca="false">+'P&amp;L'!M68</f>
        <v>171.068947297173</v>
      </c>
      <c r="N19" s="9" t="n">
        <f aca="false">+'P&amp;L'!N68</f>
        <v>182.639536886341</v>
      </c>
      <c r="O19" s="9" t="n">
        <f aca="false">+'P&amp;L'!O68</f>
        <v>192.930933490847</v>
      </c>
      <c r="P19" s="9" t="n">
        <f aca="false">+'P&amp;L'!P68</f>
        <v>203.249047474146</v>
      </c>
      <c r="Q19" s="9" t="n">
        <f aca="false">+'P&amp;L'!Q68</f>
        <v>214.016235741913</v>
      </c>
      <c r="R19" s="9" t="n">
        <f aca="false">+'P&amp;L'!R68</f>
        <v>224.924023802952</v>
      </c>
      <c r="S19" s="9" t="n">
        <f aca="false">+'P&amp;L'!S68</f>
        <v>237.357927861344</v>
      </c>
    </row>
    <row r="20" s="2" customFormat="true" ht="14.25" hidden="false" customHeight="false" outlineLevel="0" collapsed="false">
      <c r="A20" s="6"/>
      <c r="B20" s="2" t="s">
        <v>60</v>
      </c>
      <c r="E20" s="53" t="n">
        <f aca="false">+E19/E9</f>
        <v>0.226649110529999</v>
      </c>
      <c r="F20" s="53" t="n">
        <f aca="false">+F19/F9</f>
        <v>0.255300136425648</v>
      </c>
      <c r="G20" s="53" t="n">
        <f aca="false">+G19/G9</f>
        <v>0.17949693868441</v>
      </c>
      <c r="H20" s="53" t="n">
        <f aca="false">+H19/H9</f>
        <v>0.229388289056734</v>
      </c>
      <c r="I20" s="53" t="n">
        <f aca="false">+I19/I9</f>
        <v>0.188672437961212</v>
      </c>
      <c r="J20" s="53" t="n">
        <f aca="false">+J19/J9</f>
        <v>0.202020124580636</v>
      </c>
      <c r="K20" s="53" t="n">
        <f aca="false">+K19/K9</f>
        <v>0.236485110845852</v>
      </c>
      <c r="L20" s="53" t="n">
        <f aca="false">+L19/L9</f>
        <v>0.239653362563817</v>
      </c>
      <c r="M20" s="53" t="n">
        <f aca="false">+M19/M9</f>
        <v>0.242012869252228</v>
      </c>
      <c r="N20" s="53" t="n">
        <f aca="false">+N19/N9</f>
        <v>0.243027762333958</v>
      </c>
      <c r="O20" s="53" t="n">
        <f aca="false">+O19/O9</f>
        <v>0.243941069546917</v>
      </c>
      <c r="P20" s="53" t="n">
        <f aca="false">+P19/P9</f>
        <v>0.244901131742108</v>
      </c>
      <c r="Q20" s="53" t="n">
        <f aca="false">+Q19/Q9</f>
        <v>0.245937883942518</v>
      </c>
      <c r="R20" s="53" t="n">
        <f aca="false">+R19/R9</f>
        <v>0.24663396760342</v>
      </c>
      <c r="S20" s="53" t="n">
        <f aca="false">+S19/S9</f>
        <v>0.247908337339624</v>
      </c>
    </row>
    <row r="22" customFormat="false" ht="14.25" hidden="false" customHeight="false" outlineLevel="0" collapsed="false">
      <c r="B22" s="9" t="s">
        <v>61</v>
      </c>
      <c r="E22" s="9" t="n">
        <f aca="false">+'P&amp;L'!E71</f>
        <v>89.6496397788798</v>
      </c>
      <c r="F22" s="9" t="n">
        <f aca="false">+'P&amp;L'!F71</f>
        <v>83.1057475396495</v>
      </c>
      <c r="G22" s="9" t="n">
        <f aca="false">+'P&amp;L'!G71</f>
        <v>56.018389336139</v>
      </c>
      <c r="H22" s="9" t="n">
        <f aca="false">+'P&amp;L'!H71</f>
        <v>72.6213555424528</v>
      </c>
      <c r="I22" s="9" t="n">
        <f aca="false">+'P&amp;L'!I71</f>
        <v>72.3251434872948</v>
      </c>
      <c r="J22" s="9" t="n">
        <f aca="false">+'P&amp;L'!J71</f>
        <v>81.6693010411953</v>
      </c>
      <c r="K22" s="9" t="n">
        <f aca="false">+'P&amp;L'!K71</f>
        <v>105.943518554094</v>
      </c>
      <c r="L22" s="9" t="n">
        <f aca="false">+'P&amp;L'!L71</f>
        <v>120.232596192005</v>
      </c>
      <c r="M22" s="9" t="n">
        <f aca="false">+'P&amp;L'!M71</f>
        <v>131.355146020493</v>
      </c>
      <c r="N22" s="9" t="n">
        <f aca="false">+'P&amp;L'!N71</f>
        <v>140.239613418238</v>
      </c>
      <c r="O22" s="9" t="n">
        <f aca="false">+'P&amp;L'!O71</f>
        <v>148.141853568178</v>
      </c>
      <c r="P22" s="9" t="n">
        <f aca="false">+'P&amp;L'!P71</f>
        <v>156.064608634753</v>
      </c>
      <c r="Q22" s="9" t="n">
        <f aca="false">+'P&amp;L'!Q71</f>
        <v>164.332185009592</v>
      </c>
      <c r="R22" s="9" t="n">
        <f aca="false">+'P&amp;L'!R71</f>
        <v>172.707720816387</v>
      </c>
      <c r="S22" s="9" t="n">
        <f aca="false">+'P&amp;L'!S71</f>
        <v>182.255083496756</v>
      </c>
    </row>
    <row r="24" customFormat="false" ht="14.25" hidden="false" customHeight="false" outlineLevel="0" collapsed="false">
      <c r="A24" s="6" t="s">
        <v>2</v>
      </c>
      <c r="B24" s="5" t="s">
        <v>62</v>
      </c>
    </row>
    <row r="25" customFormat="false" ht="14.25" hidden="false" customHeight="false" outlineLevel="0" collapsed="false">
      <c r="B25" s="54"/>
      <c r="C25" s="54"/>
      <c r="D25" s="54"/>
      <c r="E25" s="55" t="n">
        <v>2018</v>
      </c>
      <c r="F25" s="55" t="n">
        <f aca="false">+E25+1</f>
        <v>2019</v>
      </c>
      <c r="G25" s="55" t="n">
        <f aca="false">+F25+1</f>
        <v>2020</v>
      </c>
      <c r="H25" s="55" t="n">
        <f aca="false">+G25+1</f>
        <v>2021</v>
      </c>
      <c r="I25" s="55" t="n">
        <f aca="false">+H25+1</f>
        <v>2022</v>
      </c>
    </row>
    <row r="26" customFormat="false" ht="14.25" hidden="false" customHeight="false" outlineLevel="0" collapsed="false">
      <c r="B26" s="6" t="s">
        <v>63</v>
      </c>
      <c r="E26" s="56" t="n">
        <v>4.205</v>
      </c>
      <c r="F26" s="56" t="n">
        <v>3.392</v>
      </c>
      <c r="G26" s="56" t="n">
        <v>4.709</v>
      </c>
      <c r="H26" s="56" t="n">
        <v>4.443</v>
      </c>
      <c r="I26" s="56" t="n">
        <v>4.071</v>
      </c>
    </row>
    <row r="27" customFormat="false" ht="14.25" hidden="false" customHeight="false" outlineLevel="0" collapsed="false">
      <c r="B27" s="6" t="s">
        <v>64</v>
      </c>
      <c r="E27" s="56" t="n">
        <v>2.146</v>
      </c>
      <c r="F27" s="56" t="n">
        <v>1.838</v>
      </c>
      <c r="G27" s="56" t="n">
        <v>3.798</v>
      </c>
      <c r="H27" s="56" t="n">
        <v>2.895</v>
      </c>
      <c r="I27" s="56" t="n">
        <v>2.74</v>
      </c>
    </row>
    <row r="28" customFormat="false" ht="14.25" hidden="false" customHeight="false" outlineLevel="0" collapsed="false">
      <c r="B28" s="6" t="s">
        <v>65</v>
      </c>
      <c r="E28" s="56" t="n">
        <v>2.899</v>
      </c>
      <c r="F28" s="56" t="n">
        <v>0.732</v>
      </c>
      <c r="G28" s="56" t="n">
        <v>1.388</v>
      </c>
      <c r="H28" s="56" t="n">
        <v>0</v>
      </c>
      <c r="I28" s="56" t="n">
        <v>0</v>
      </c>
    </row>
    <row r="29" customFormat="false" ht="14.25" hidden="false" customHeight="false" outlineLevel="0" collapsed="false">
      <c r="B29" s="57" t="s">
        <v>66</v>
      </c>
      <c r="C29" s="57"/>
      <c r="D29" s="57"/>
      <c r="E29" s="57" t="n">
        <f aca="false">+SUM(E26:E28)</f>
        <v>9.25</v>
      </c>
      <c r="F29" s="57" t="n">
        <f aca="false">+SUM(F26:F28)</f>
        <v>5.962</v>
      </c>
      <c r="G29" s="57" t="n">
        <f aca="false">+SUM(G26:G28)</f>
        <v>9.895</v>
      </c>
      <c r="H29" s="57" t="n">
        <f aca="false">+SUM(H26:H28)</f>
        <v>7.338</v>
      </c>
      <c r="I29" s="57" t="n">
        <f aca="false">+SUM(I26:I28)</f>
        <v>6.811</v>
      </c>
    </row>
    <row r="30" customFormat="false" ht="14.25" hidden="false" customHeight="false" outlineLevel="0" collapsed="false">
      <c r="B30" s="46" t="s">
        <v>67</v>
      </c>
      <c r="C30" s="46"/>
      <c r="E30" s="46" t="n">
        <f aca="false">+E27/E29</f>
        <v>0.232</v>
      </c>
      <c r="F30" s="46" t="n">
        <f aca="false">+F27/F29</f>
        <v>0.308285810130829</v>
      </c>
      <c r="G30" s="46" t="n">
        <f aca="false">+G27/G29</f>
        <v>0.383830217281455</v>
      </c>
      <c r="H30" s="46" t="n">
        <f aca="false">+H27/H29</f>
        <v>0.394521668029436</v>
      </c>
      <c r="I30" s="46" t="n">
        <f aca="false">+I27/I29</f>
        <v>0.402290412567905</v>
      </c>
    </row>
    <row r="32" customFormat="false" ht="14.25" hidden="false" customHeight="false" outlineLevel="0" collapsed="false">
      <c r="A32" s="6" t="s">
        <v>2</v>
      </c>
      <c r="B32" s="6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ADA"/>
    <pageSetUpPr fitToPage="false"/>
  </sheetPr>
  <dimension ref="A1:T7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85" workbookViewId="0">
      <pane xSplit="4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J6" activeCellId="0" sqref="J6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E3" s="3" t="n">
        <v>2018</v>
      </c>
      <c r="F3" s="3" t="n">
        <f aca="false">+E3+1</f>
        <v>2019</v>
      </c>
      <c r="G3" s="3" t="n">
        <f aca="false">+F3+1</f>
        <v>2020</v>
      </c>
      <c r="H3" s="3" t="n">
        <f aca="false">+G3+1</f>
        <v>2021</v>
      </c>
      <c r="I3" s="3" t="n">
        <f aca="false">+H3+1</f>
        <v>2022</v>
      </c>
      <c r="J3" s="4" t="n">
        <f aca="false">+I3+1</f>
        <v>2023</v>
      </c>
      <c r="K3" s="4" t="n">
        <f aca="false">+J3+1</f>
        <v>2024</v>
      </c>
      <c r="L3" s="4" t="n">
        <f aca="false">+K3+1</f>
        <v>2025</v>
      </c>
      <c r="M3" s="4" t="n">
        <f aca="false">+L3+1</f>
        <v>2026</v>
      </c>
      <c r="N3" s="4" t="n">
        <f aca="false">+M3+1</f>
        <v>2027</v>
      </c>
      <c r="O3" s="4" t="n">
        <f aca="false">+N3+1</f>
        <v>2028</v>
      </c>
      <c r="P3" s="4" t="n">
        <f aca="false">+O3+1</f>
        <v>2029</v>
      </c>
      <c r="Q3" s="4" t="n">
        <f aca="false">+P3+1</f>
        <v>2030</v>
      </c>
      <c r="R3" s="4" t="n">
        <f aca="false">+Q3+1</f>
        <v>2031</v>
      </c>
      <c r="S3" s="4" t="n">
        <f aca="false">+R3+1</f>
        <v>2032</v>
      </c>
    </row>
    <row r="5" customFormat="false" ht="14.25" hidden="false" customHeight="false" outlineLevel="0" collapsed="false">
      <c r="A5" s="6" t="s">
        <v>2</v>
      </c>
      <c r="B5" s="5" t="s">
        <v>69</v>
      </c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</row>
    <row r="6" s="9" customFormat="true" ht="14.25" hidden="false" customHeight="false" outlineLevel="0" collapsed="false">
      <c r="A6" s="6"/>
      <c r="B6" s="9" t="s">
        <v>70</v>
      </c>
      <c r="E6" s="58" t="n">
        <v>434.416</v>
      </c>
      <c r="F6" s="58" t="n">
        <v>439.8</v>
      </c>
      <c r="G6" s="58" t="n">
        <v>425.634</v>
      </c>
      <c r="H6" s="58" t="n">
        <v>452.534</v>
      </c>
      <c r="I6" s="58" t="n">
        <v>507.223</v>
      </c>
      <c r="J6" s="59" t="n">
        <f aca="false">+'RevBuild Calcs'!J14</f>
        <v>526.48778</v>
      </c>
      <c r="K6" s="59" t="n">
        <f aca="false">+'RevBuild Calcs'!K14</f>
        <v>583.43795878</v>
      </c>
      <c r="L6" s="59" t="n">
        <f aca="false">+'RevBuild Calcs'!L14</f>
        <v>653.3754156215</v>
      </c>
      <c r="M6" s="59" t="n">
        <f aca="false">+'RevBuild Calcs'!M14</f>
        <v>706.858886577986</v>
      </c>
      <c r="N6" s="59" t="n">
        <f aca="false">+'RevBuild Calcs'!N14</f>
        <v>751.517172903753</v>
      </c>
      <c r="O6" s="59" t="n">
        <f aca="false">+'RevBuild Calcs'!O14</f>
        <v>790.89156183986</v>
      </c>
      <c r="P6" s="59" t="n">
        <f aca="false">+'RevBuild Calcs'!P14</f>
        <v>829.922859189465</v>
      </c>
      <c r="Q6" s="59" t="n">
        <f aca="false">+'RevBuild Calcs'!Q14</f>
        <v>870.204428496809</v>
      </c>
      <c r="R6" s="59" t="n">
        <f aca="false">+'RevBuild Calcs'!R14</f>
        <v>911.975045402599</v>
      </c>
      <c r="S6" s="59" t="n">
        <f aca="false">+'RevBuild Calcs'!S14</f>
        <v>957.442296650854</v>
      </c>
    </row>
    <row r="7" customFormat="false" ht="14.25" hidden="false" customHeight="false" outlineLevel="0" collapsed="false">
      <c r="B7" s="6" t="s">
        <v>53</v>
      </c>
      <c r="F7" s="46" t="n">
        <f aca="false">+F6/E6-1</f>
        <v>0.012393650325955</v>
      </c>
      <c r="G7" s="46" t="n">
        <f aca="false">+G6/F6-1</f>
        <v>-0.0322100954979536</v>
      </c>
      <c r="H7" s="46" t="n">
        <f aca="false">+H6/G6-1</f>
        <v>0.0631998383587777</v>
      </c>
      <c r="I7" s="46" t="n">
        <f aca="false">+I6/H6-1</f>
        <v>0.120850588022116</v>
      </c>
      <c r="J7" s="46" t="n">
        <f aca="false">+J6/I6-1</f>
        <v>0.0379808880906425</v>
      </c>
      <c r="K7" s="46" t="n">
        <f aca="false">+K6/J6-1</f>
        <v>0.10816999167578</v>
      </c>
      <c r="L7" s="46" t="n">
        <f aca="false">+L6/K6-1</f>
        <v>0.119871283294188</v>
      </c>
      <c r="M7" s="46" t="n">
        <f aca="false">+M6/L6-1</f>
        <v>0.0818571829881467</v>
      </c>
      <c r="N7" s="46" t="n">
        <f aca="false">+N6/M6-1</f>
        <v>0.0631785030559133</v>
      </c>
      <c r="O7" s="46" t="n">
        <f aca="false">+O6/N6-1</f>
        <v>0.0523931991919364</v>
      </c>
      <c r="P7" s="46" t="n">
        <f aca="false">+P6/O6-1</f>
        <v>0.0493510099650154</v>
      </c>
      <c r="Q7" s="46" t="n">
        <f aca="false">+Q6/P6-1</f>
        <v>0.0485365222337466</v>
      </c>
      <c r="R7" s="46" t="n">
        <f aca="false">+R6/Q6-1</f>
        <v>0.048000924309181</v>
      </c>
      <c r="S7" s="46" t="n">
        <f aca="false">+S6/R6-1</f>
        <v>0.0498558063375341</v>
      </c>
    </row>
    <row r="8" customFormat="false" ht="14.25" hidden="false" customHeight="false" outlineLevel="0" collapsed="false">
      <c r="H8" s="56"/>
      <c r="I8" s="56"/>
    </row>
    <row r="9" customFormat="false" ht="14.25" hidden="false" customHeight="false" outlineLevel="0" collapsed="false">
      <c r="B9" s="6" t="s">
        <v>71</v>
      </c>
      <c r="E9" s="60"/>
      <c r="F9" s="60"/>
      <c r="G9" s="60"/>
      <c r="H9" s="56" t="n">
        <v>4.372</v>
      </c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14.25" hidden="false" customHeight="false" outlineLevel="0" collapsed="false">
      <c r="H10" s="56"/>
      <c r="I10" s="56"/>
    </row>
    <row r="11" customFormat="false" ht="14.25" hidden="false" customHeight="false" outlineLevel="0" collapsed="false">
      <c r="B11" s="6" t="s">
        <v>72</v>
      </c>
      <c r="E11" s="56" t="n">
        <v>-244.244</v>
      </c>
      <c r="F11" s="56" t="n">
        <v>-253.003</v>
      </c>
      <c r="G11" s="56" t="n">
        <v>-237.789</v>
      </c>
      <c r="H11" s="56" t="n">
        <v>-257.647</v>
      </c>
      <c r="I11" s="56" t="n">
        <v>-285.662</v>
      </c>
      <c r="J11" s="6" t="n">
        <f aca="false">+J13-J6</f>
        <v>-305.888508</v>
      </c>
      <c r="K11" s="6" t="n">
        <f aca="false">+K13-K6</f>
        <v>-335.0085618242</v>
      </c>
      <c r="L11" s="6" t="n">
        <f aca="false">+L13-L6</f>
        <v>-376.640454714925</v>
      </c>
      <c r="M11" s="6" t="n">
        <f aca="false">+M13-M6</f>
        <v>-408.549744199322</v>
      </c>
      <c r="N11" s="6" t="n">
        <f aca="false">+N13-N6</f>
        <v>-435.238013086792</v>
      </c>
      <c r="O11" s="6" t="n">
        <f aca="false">+O13-O6</f>
        <v>-458.795187316152</v>
      </c>
      <c r="P11" s="6" t="n">
        <f aca="false">+P13-P6</f>
        <v>-482.136886119194</v>
      </c>
      <c r="Q11" s="6" t="n">
        <f aca="false">+Q13-Q6</f>
        <v>-506.203716042631</v>
      </c>
      <c r="R11" s="6" t="n">
        <f aca="false">+R13-R6</f>
        <v>-531.137055887866</v>
      </c>
      <c r="S11" s="6" t="n">
        <f aca="false">+S13-S6</f>
        <v>-557.962734124337</v>
      </c>
    </row>
    <row r="12" customFormat="false" ht="14.25" hidden="false" customHeight="false" outlineLevel="0" collapsed="false">
      <c r="H12" s="56"/>
      <c r="I12" s="56"/>
    </row>
    <row r="13" s="61" customFormat="true" ht="14.25" hidden="false" customHeight="false" outlineLevel="0" collapsed="false">
      <c r="B13" s="61" t="s">
        <v>73</v>
      </c>
      <c r="E13" s="62" t="n">
        <f aca="false">+E6+E9+E11</f>
        <v>190.172</v>
      </c>
      <c r="F13" s="62" t="n">
        <f aca="false">+F6+F9+F11</f>
        <v>186.797</v>
      </c>
      <c r="G13" s="62" t="n">
        <f aca="false">+G6+G9+G11</f>
        <v>187.845</v>
      </c>
      <c r="H13" s="62" t="n">
        <f aca="false">+H6+H9+H11</f>
        <v>199.259</v>
      </c>
      <c r="I13" s="62" t="n">
        <f aca="false">+I6+I9+I11</f>
        <v>221.561</v>
      </c>
      <c r="J13" s="59" t="n">
        <f aca="false">+'RevBuild Calcs'!J26</f>
        <v>220.599272</v>
      </c>
      <c r="K13" s="59" t="n">
        <f aca="false">+'RevBuild Calcs'!K26</f>
        <v>248.4293969558</v>
      </c>
      <c r="L13" s="59" t="n">
        <f aca="false">+'RevBuild Calcs'!L26</f>
        <v>276.734960906575</v>
      </c>
      <c r="M13" s="59" t="n">
        <f aca="false">+'RevBuild Calcs'!M26</f>
        <v>298.309142378664</v>
      </c>
      <c r="N13" s="59" t="n">
        <f aca="false">+'RevBuild Calcs'!N26</f>
        <v>316.279159816961</v>
      </c>
      <c r="O13" s="59" t="n">
        <f aca="false">+'RevBuild Calcs'!O26</f>
        <v>332.096374523708</v>
      </c>
      <c r="P13" s="59" t="n">
        <f aca="false">+'RevBuild Calcs'!P26</f>
        <v>347.785973070271</v>
      </c>
      <c r="Q13" s="59" t="n">
        <f aca="false">+'RevBuild Calcs'!Q26</f>
        <v>364.000712454179</v>
      </c>
      <c r="R13" s="59" t="n">
        <f aca="false">+'RevBuild Calcs'!R26</f>
        <v>380.837989514733</v>
      </c>
      <c r="S13" s="59" t="n">
        <f aca="false">+'RevBuild Calcs'!S26</f>
        <v>399.479562526518</v>
      </c>
    </row>
    <row r="14" s="63" customFormat="true" ht="14.25" hidden="false" customHeight="false" outlineLevel="0" collapsed="false">
      <c r="B14" s="63" t="s">
        <v>74</v>
      </c>
      <c r="E14" s="64" t="n">
        <f aca="false">+E13/E6</f>
        <v>0.437764723214615</v>
      </c>
      <c r="F14" s="64" t="n">
        <f aca="false">+F13/F6</f>
        <v>0.424731696225557</v>
      </c>
      <c r="G14" s="64" t="n">
        <f aca="false">+G13/G6</f>
        <v>0.441329874962996</v>
      </c>
      <c r="H14" s="64" t="n">
        <f aca="false">+H13/H6</f>
        <v>0.440318296525786</v>
      </c>
      <c r="I14" s="64" t="n">
        <f aca="false">+I13/I6</f>
        <v>0.436811816498858</v>
      </c>
      <c r="J14" s="64" t="n">
        <f aca="false">+J13/J6</f>
        <v>0.419001694588239</v>
      </c>
      <c r="K14" s="64" t="n">
        <f aca="false">+K13/K6</f>
        <v>0.425802595147013</v>
      </c>
      <c r="L14" s="64" t="n">
        <f aca="false">+L13/L6</f>
        <v>0.423546638410539</v>
      </c>
      <c r="M14" s="64" t="n">
        <f aca="false">+M13/M6</f>
        <v>0.422020785255774</v>
      </c>
      <c r="N14" s="64" t="n">
        <f aca="false">+N13/N6</f>
        <v>0.420854201634414</v>
      </c>
      <c r="O14" s="64" t="n">
        <f aca="false">+O13/O6</f>
        <v>0.419901274140728</v>
      </c>
      <c r="P14" s="64" t="n">
        <f aca="false">+P13/P6</f>
        <v>0.419058192239617</v>
      </c>
      <c r="Q14" s="64" t="n">
        <f aca="false">+Q13/Q6</f>
        <v>0.418293334915513</v>
      </c>
      <c r="R14" s="64" t="n">
        <f aca="false">+R13/R6</f>
        <v>0.417596941313903</v>
      </c>
      <c r="S14" s="64" t="n">
        <f aca="false">+S13/S6</f>
        <v>0.417236175928202</v>
      </c>
    </row>
    <row r="15" customFormat="false" ht="14.25" hidden="false" customHeight="false" outlineLevel="0" collapsed="false"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customFormat="false" ht="14.25" hidden="false" customHeight="false" outlineLevel="0" collapsed="false">
      <c r="B16" s="6" t="s">
        <v>75</v>
      </c>
      <c r="E16" s="56" t="n">
        <v>-15.916</v>
      </c>
      <c r="F16" s="56" t="n">
        <v>-14.431</v>
      </c>
      <c r="G16" s="56" t="n">
        <v>-12.082</v>
      </c>
      <c r="H16" s="56" t="n">
        <v>-11.1</v>
      </c>
      <c r="I16" s="56" t="n">
        <v>-10.241</v>
      </c>
      <c r="J16" s="59" t="n">
        <f aca="false">+'FS Calcs'!J44</f>
        <v>-10</v>
      </c>
      <c r="K16" s="59" t="n">
        <f aca="false">+'FS Calcs'!K44</f>
        <v>-10</v>
      </c>
      <c r="L16" s="59" t="n">
        <f aca="false">+'FS Calcs'!L44</f>
        <v>-10</v>
      </c>
      <c r="M16" s="59" t="n">
        <f aca="false">+'FS Calcs'!M44</f>
        <v>-10</v>
      </c>
      <c r="N16" s="59" t="n">
        <f aca="false">+'FS Calcs'!N44</f>
        <v>-10</v>
      </c>
      <c r="O16" s="59" t="n">
        <f aca="false">+'FS Calcs'!O44</f>
        <v>-10</v>
      </c>
      <c r="P16" s="59" t="n">
        <f aca="false">+'FS Calcs'!P44</f>
        <v>-10</v>
      </c>
      <c r="Q16" s="59" t="n">
        <f aca="false">+'FS Calcs'!Q44</f>
        <v>-10</v>
      </c>
      <c r="R16" s="59" t="n">
        <f aca="false">+'FS Calcs'!R44</f>
        <v>-10</v>
      </c>
      <c r="S16" s="59" t="n">
        <f aca="false">+'FS Calcs'!S44</f>
        <v>-10</v>
      </c>
    </row>
    <row r="17" customFormat="false" ht="14.25" hidden="false" customHeight="false" outlineLevel="0" collapsed="false">
      <c r="B17" s="6" t="s">
        <v>76</v>
      </c>
      <c r="E17" s="56" t="n">
        <v>-24.174</v>
      </c>
      <c r="F17" s="56" t="n">
        <v>-22.651</v>
      </c>
      <c r="G17" s="56" t="n">
        <v>-24.171</v>
      </c>
      <c r="H17" s="56" t="n">
        <v>-22.924</v>
      </c>
      <c r="I17" s="56" t="n">
        <v>-23.979</v>
      </c>
      <c r="J17" s="59" t="n">
        <f aca="false">+'FS Calcs'!J53+'FS Calcs'!J64</f>
        <v>-31.5892668</v>
      </c>
      <c r="K17" s="59" t="n">
        <f aca="false">+'FS Calcs'!K53+'FS Calcs'!K64</f>
        <v>-29.7970100376929</v>
      </c>
      <c r="L17" s="59" t="n">
        <f aca="false">+'FS Calcs'!L53+'FS Calcs'!L64</f>
        <v>-29.9852646097724</v>
      </c>
      <c r="M17" s="59" t="n">
        <f aca="false">+'FS Calcs'!M53+'FS Calcs'!M64</f>
        <v>-28.779254667818</v>
      </c>
      <c r="N17" s="59" t="n">
        <f aca="false">+'FS Calcs'!N53+'FS Calcs'!N64</f>
        <v>-29.5238889355046</v>
      </c>
      <c r="O17" s="59" t="n">
        <f aca="false">+'FS Calcs'!O53+'FS Calcs'!O64</f>
        <v>-29.9408948410804</v>
      </c>
      <c r="P17" s="59" t="n">
        <f aca="false">+'FS Calcs'!P53+'FS Calcs'!P64</f>
        <v>-30.2329041561876</v>
      </c>
      <c r="Q17" s="59" t="n">
        <f aca="false">+'FS Calcs'!Q53+'FS Calcs'!Q64</f>
        <v>-30.4571549973883</v>
      </c>
      <c r="R17" s="59" t="n">
        <f aca="false">+'FS Calcs'!R53+'FS Calcs'!R64</f>
        <v>-31.919126589091</v>
      </c>
      <c r="S17" s="59" t="n">
        <f aca="false">+'FS Calcs'!S53+'FS Calcs'!S64</f>
        <v>-33.5104803827799</v>
      </c>
    </row>
    <row r="18" customFormat="false" ht="14.25" hidden="false" customHeight="false" outlineLevel="0" collapsed="false">
      <c r="B18" s="6" t="s">
        <v>77</v>
      </c>
      <c r="E18" s="56" t="n">
        <v>-12.027</v>
      </c>
      <c r="F18" s="56" t="n">
        <v>-104.871</v>
      </c>
      <c r="G18" s="56" t="n">
        <v>-196.122</v>
      </c>
      <c r="H18" s="56" t="n">
        <v>-7.832</v>
      </c>
      <c r="I18" s="56" t="n">
        <v>-0.788</v>
      </c>
      <c r="J18" s="59" t="n">
        <f aca="false">+'FS Calcs'!J32+'FS Calcs'!J43+'FS Calcs'!J54+'FS Calcs'!J65</f>
        <v>0</v>
      </c>
      <c r="K18" s="59" t="n">
        <f aca="false">+'FS Calcs'!K32+'FS Calcs'!K43+'FS Calcs'!K54+'FS Calcs'!K65</f>
        <v>0</v>
      </c>
      <c r="L18" s="59" t="n">
        <f aca="false">+'FS Calcs'!L32+'FS Calcs'!L43+'FS Calcs'!L54+'FS Calcs'!L65</f>
        <v>0</v>
      </c>
      <c r="M18" s="59" t="n">
        <f aca="false">+'FS Calcs'!M32+'FS Calcs'!M43+'FS Calcs'!M54+'FS Calcs'!M65</f>
        <v>0</v>
      </c>
      <c r="N18" s="59" t="n">
        <f aca="false">+'FS Calcs'!N32+'FS Calcs'!N43+'FS Calcs'!N54+'FS Calcs'!N65</f>
        <v>0</v>
      </c>
      <c r="O18" s="59" t="n">
        <f aca="false">+'FS Calcs'!O32+'FS Calcs'!O43+'FS Calcs'!O54+'FS Calcs'!O65</f>
        <v>0</v>
      </c>
      <c r="P18" s="59" t="n">
        <f aca="false">+'FS Calcs'!P32+'FS Calcs'!P43+'FS Calcs'!P54+'FS Calcs'!P65</f>
        <v>0</v>
      </c>
      <c r="Q18" s="59" t="n">
        <f aca="false">+'FS Calcs'!Q32+'FS Calcs'!Q43+'FS Calcs'!Q54+'FS Calcs'!Q65</f>
        <v>0</v>
      </c>
      <c r="R18" s="59" t="n">
        <f aca="false">+'FS Calcs'!R32+'FS Calcs'!R43+'FS Calcs'!R54+'FS Calcs'!R65</f>
        <v>0</v>
      </c>
      <c r="S18" s="59" t="n">
        <f aca="false">+'FS Calcs'!S32+'FS Calcs'!S43+'FS Calcs'!S54+'FS Calcs'!S65</f>
        <v>0</v>
      </c>
    </row>
    <row r="19" customFormat="false" ht="14.25" hidden="false" customHeight="false" outlineLevel="0" collapsed="false">
      <c r="E19" s="56"/>
      <c r="F19" s="56"/>
      <c r="G19" s="56"/>
      <c r="I19" s="56"/>
    </row>
    <row r="20" customFormat="false" ht="14.25" hidden="false" customHeight="false" outlineLevel="0" collapsed="false">
      <c r="B20" s="6" t="s">
        <v>78</v>
      </c>
      <c r="E20" s="56" t="n">
        <v>-86.2</v>
      </c>
      <c r="F20" s="56" t="n">
        <v>-81.121</v>
      </c>
      <c r="G20" s="56" t="n">
        <v>-83.098</v>
      </c>
      <c r="H20" s="56" t="n">
        <v>-80.539</v>
      </c>
      <c r="I20" s="56" t="n">
        <v>-104.129</v>
      </c>
      <c r="J20" s="65" t="n">
        <f aca="false">+'FS Calcs'!J104</f>
        <v>-101.230568657498</v>
      </c>
      <c r="K20" s="65" t="n">
        <f aca="false">+'FS Calcs'!K104</f>
        <v>-112.180678426514</v>
      </c>
      <c r="L20" s="65" t="n">
        <f aca="false">+'FS Calcs'!L104</f>
        <v>-125.627920310313</v>
      </c>
      <c r="M20" s="65" t="n">
        <f aca="false">+'FS Calcs'!M104</f>
        <v>-135.911467971575</v>
      </c>
      <c r="N20" s="65" t="n">
        <f aca="false">+'FS Calcs'!N104</f>
        <v>-144.498151066151</v>
      </c>
      <c r="O20" s="65" t="n">
        <f aca="false">+'FS Calcs'!O104</f>
        <v>-152.068871477826</v>
      </c>
      <c r="P20" s="65" t="n">
        <f aca="false">+'FS Calcs'!P104</f>
        <v>-159.573623869497</v>
      </c>
      <c r="Q20" s="65" t="n">
        <f aca="false">+'FS Calcs'!Q104</f>
        <v>-167.318772612358</v>
      </c>
      <c r="R20" s="65" t="n">
        <f aca="false">+'FS Calcs'!R104</f>
        <v>-175.350228352029</v>
      </c>
      <c r="S20" s="65" t="n">
        <f aca="false">+'FS Calcs'!S104</f>
        <v>-184.09245537799</v>
      </c>
    </row>
    <row r="21" customFormat="false" ht="14.25" hidden="false" customHeight="false" outlineLevel="0" collapsed="false">
      <c r="B21" s="6" t="s">
        <v>79</v>
      </c>
      <c r="E21" s="60"/>
      <c r="F21" s="60"/>
      <c r="G21" s="60"/>
      <c r="H21" s="56" t="n">
        <v>-5.075</v>
      </c>
      <c r="I21" s="56" t="n">
        <v>-7.414</v>
      </c>
      <c r="J21" s="66" t="n">
        <v>-5</v>
      </c>
      <c r="K21" s="66" t="n">
        <v>-5</v>
      </c>
      <c r="L21" s="66" t="n">
        <v>-5</v>
      </c>
      <c r="M21" s="66" t="n">
        <v>-5</v>
      </c>
      <c r="N21" s="66" t="n">
        <v>-5</v>
      </c>
      <c r="O21" s="66" t="n">
        <v>-5</v>
      </c>
      <c r="P21" s="66" t="n">
        <v>-5</v>
      </c>
      <c r="Q21" s="66" t="n">
        <v>-5</v>
      </c>
      <c r="R21" s="66" t="n">
        <v>-5</v>
      </c>
      <c r="S21" s="66" t="n">
        <v>-5</v>
      </c>
    </row>
    <row r="22" customFormat="false" ht="14.25" hidden="false" customHeight="false" outlineLevel="0" collapsed="false">
      <c r="B22" s="6" t="s">
        <v>80</v>
      </c>
      <c r="E22" s="56" t="n">
        <v>-50.109</v>
      </c>
      <c r="F22" s="56" t="n">
        <v>-52.236</v>
      </c>
      <c r="G22" s="56" t="n">
        <v>-49.404</v>
      </c>
      <c r="H22" s="56" t="n">
        <v>-42.139</v>
      </c>
      <c r="I22" s="56" t="n">
        <v>-30.486</v>
      </c>
      <c r="J22" s="6" t="n">
        <f aca="false">+IF(Circ=1, 'Debt Calcs'!J22, 0)</f>
        <v>-33.6676311518785</v>
      </c>
      <c r="K22" s="6" t="n">
        <f aca="false">+IF(Circ=1, 'Debt Calcs'!K22, 0)</f>
        <v>-34.8976677175224</v>
      </c>
      <c r="L22" s="6" t="n">
        <f aca="false">+IF(Circ=1, 'Debt Calcs'!L22, 0)</f>
        <v>-36.6335871107579</v>
      </c>
      <c r="M22" s="6" t="n">
        <f aca="false">+IF(Circ=1, 'Debt Calcs'!M22, 0)</f>
        <v>-38.1140304631172</v>
      </c>
      <c r="N22" s="6" t="n">
        <f aca="false">+IF(Circ=1, 'Debt Calcs'!N22, 0)</f>
        <v>-39.2104710720932</v>
      </c>
      <c r="O22" s="6" t="n">
        <f aca="false">+IF(Circ=1, 'Debt Calcs'!O22, 0)</f>
        <v>-39.9885721876774</v>
      </c>
      <c r="P22" s="6" t="n">
        <f aca="false">+IF(Circ=1, 'Debt Calcs'!P22, 0)</f>
        <v>-40.5253130674424</v>
      </c>
      <c r="Q22" s="6" t="n">
        <f aca="false">+IF(Circ=1, 'Debt Calcs'!Q22, 0)</f>
        <v>-40.847902430318</v>
      </c>
      <c r="R22" s="6" t="n">
        <f aca="false">+IF(Circ=1, 'Debt Calcs'!R22, 0)</f>
        <v>-40.9435909865513</v>
      </c>
      <c r="S22" s="6" t="n">
        <f aca="false">+IF(Circ=1, 'Debt Calcs'!S22, 0)</f>
        <v>-40.5117277560348</v>
      </c>
    </row>
    <row r="23" customFormat="false" ht="14.25" hidden="false" customHeight="false" outlineLevel="0" collapsed="false">
      <c r="B23" s="6" t="s">
        <v>81</v>
      </c>
      <c r="E23" s="56" t="n">
        <v>11.251</v>
      </c>
      <c r="F23" s="56" t="n">
        <v>7.185</v>
      </c>
      <c r="G23" s="56" t="n">
        <v>1.955</v>
      </c>
      <c r="H23" s="56" t="n">
        <v>-26.206</v>
      </c>
      <c r="I23" s="56" t="n">
        <v>13.716</v>
      </c>
      <c r="J23" s="66" t="n">
        <v>0</v>
      </c>
      <c r="K23" s="66" t="n">
        <v>0</v>
      </c>
      <c r="L23" s="66" t="n">
        <v>0</v>
      </c>
      <c r="M23" s="66" t="n">
        <v>0</v>
      </c>
      <c r="N23" s="66" t="n">
        <v>0</v>
      </c>
      <c r="O23" s="66" t="n">
        <v>0</v>
      </c>
      <c r="P23" s="66" t="n">
        <v>0</v>
      </c>
      <c r="Q23" s="66" t="n">
        <v>0</v>
      </c>
      <c r="R23" s="66" t="n">
        <v>0</v>
      </c>
      <c r="S23" s="66" t="n">
        <v>0</v>
      </c>
    </row>
    <row r="24" customFormat="false" ht="14.25" hidden="false" customHeight="false" outlineLevel="0" collapsed="false">
      <c r="B24" s="6" t="s">
        <v>82</v>
      </c>
      <c r="E24" s="56" t="n">
        <v>-7.7</v>
      </c>
      <c r="F24" s="56" t="n">
        <v>1.081</v>
      </c>
      <c r="G24" s="56" t="n">
        <v>-14.047</v>
      </c>
      <c r="H24" s="56" t="n">
        <v>24.979</v>
      </c>
      <c r="I24" s="56" t="n">
        <v>-21.754</v>
      </c>
      <c r="J24" s="66" t="n">
        <v>-12.5</v>
      </c>
      <c r="K24" s="66" t="n">
        <v>-5</v>
      </c>
      <c r="L24" s="66" t="n">
        <v>-5</v>
      </c>
      <c r="M24" s="66" t="n">
        <v>-5</v>
      </c>
      <c r="N24" s="66" t="n">
        <v>-5</v>
      </c>
      <c r="O24" s="66" t="n">
        <v>-5</v>
      </c>
      <c r="P24" s="66" t="n">
        <v>-5</v>
      </c>
      <c r="Q24" s="66" t="n">
        <v>-5</v>
      </c>
      <c r="R24" s="66" t="n">
        <v>-5</v>
      </c>
      <c r="S24" s="66" t="n">
        <v>-5</v>
      </c>
    </row>
    <row r="25" customFormat="false" ht="14.25" hidden="false" customHeight="false" outlineLevel="0" collapsed="false">
      <c r="B25" s="6" t="s">
        <v>83</v>
      </c>
      <c r="E25" s="56" t="n">
        <v>-10.554</v>
      </c>
      <c r="F25" s="56" t="n">
        <v>-1.661</v>
      </c>
      <c r="G25" s="56" t="n">
        <v>-17.961</v>
      </c>
      <c r="H25" s="56" t="n">
        <v>-8.612</v>
      </c>
      <c r="I25" s="56" t="n">
        <v>-6.281</v>
      </c>
      <c r="J25" s="66" t="n">
        <v>-2.5</v>
      </c>
      <c r="K25" s="66" t="n">
        <v>-2.5</v>
      </c>
      <c r="L25" s="66" t="n">
        <v>-2.5</v>
      </c>
      <c r="M25" s="66" t="n">
        <v>-2.5</v>
      </c>
      <c r="N25" s="66" t="n">
        <v>-2.5</v>
      </c>
      <c r="O25" s="66" t="n">
        <v>-2.5</v>
      </c>
      <c r="P25" s="66" t="n">
        <v>-2.5</v>
      </c>
      <c r="Q25" s="66" t="n">
        <v>-2.5</v>
      </c>
      <c r="R25" s="66" t="n">
        <v>-2.5</v>
      </c>
      <c r="S25" s="66" t="n">
        <v>-2.5</v>
      </c>
    </row>
    <row r="27" s="9" customFormat="true" ht="14.25" hidden="false" customHeight="false" outlineLevel="0" collapsed="false">
      <c r="B27" s="9" t="s">
        <v>84</v>
      </c>
      <c r="E27" s="9" t="n">
        <f aca="false">+E13+SUM(E16:E18,E20:E25)</f>
        <v>-5.25700000000001</v>
      </c>
      <c r="F27" s="9" t="n">
        <f aca="false">+F13+SUM(F16:F18,F20:F25)</f>
        <v>-81.908</v>
      </c>
      <c r="G27" s="9" t="n">
        <f aca="false">+G13+SUM(G16:G18,G20:G25)</f>
        <v>-207.085</v>
      </c>
      <c r="H27" s="9" t="n">
        <f aca="false">+H13+SUM(H16:H18,H20:H25)</f>
        <v>19.811</v>
      </c>
      <c r="I27" s="9" t="n">
        <f aca="false">+I13+SUM(I16:I18,I20:I25)</f>
        <v>30.205</v>
      </c>
      <c r="J27" s="9" t="n">
        <f aca="false">+J13+SUM(J16:J18,J20:J25)</f>
        <v>24.1118053906232</v>
      </c>
      <c r="K27" s="9" t="n">
        <f aca="false">+K13+SUM(K16:K18,K20:K25)</f>
        <v>49.0540407740704</v>
      </c>
      <c r="L27" s="9" t="n">
        <f aca="false">+L13+SUM(L16:L18,L20:L25)</f>
        <v>61.9881888757314</v>
      </c>
      <c r="M27" s="9" t="n">
        <f aca="false">+M13+SUM(M16:M18,M20:M25)</f>
        <v>73.0043892761537</v>
      </c>
      <c r="N27" s="9" t="n">
        <f aca="false">+N13+SUM(N16:N18,N20:N25)</f>
        <v>80.546648743212</v>
      </c>
      <c r="O27" s="9" t="n">
        <f aca="false">+O13+SUM(O16:O18,O20:O25)</f>
        <v>87.5980360171236</v>
      </c>
      <c r="P27" s="9" t="n">
        <f aca="false">+P13+SUM(P16:P18,P20:P25)</f>
        <v>94.9541319771442</v>
      </c>
      <c r="Q27" s="9" t="n">
        <f aca="false">+Q13+SUM(Q16:Q18,Q20:Q25)</f>
        <v>102.876882414114</v>
      </c>
      <c r="R27" s="9" t="n">
        <f aca="false">+R13+SUM(R16:R18,R20:R25)</f>
        <v>110.125043587062</v>
      </c>
      <c r="S27" s="9" t="n">
        <f aca="false">+S13+SUM(S16:S18,S20:S25)</f>
        <v>118.864899009713</v>
      </c>
    </row>
    <row r="28" customFormat="false" ht="14.25" hidden="false" customHeight="false" outlineLevel="0" collapsed="false">
      <c r="B28" s="6" t="s">
        <v>74</v>
      </c>
      <c r="E28" s="46" t="n">
        <f aca="false">+E27/E6</f>
        <v>-0.0121013038193805</v>
      </c>
      <c r="F28" s="46" t="n">
        <f aca="false">+F27/F6</f>
        <v>-0.186239199636198</v>
      </c>
      <c r="G28" s="46" t="n">
        <f aca="false">+G27/G6</f>
        <v>-0.486533030725929</v>
      </c>
      <c r="H28" s="46" t="n">
        <f aca="false">+H27/H6</f>
        <v>0.0437779260784825</v>
      </c>
      <c r="I28" s="46" t="n">
        <f aca="false">+I27/I6</f>
        <v>0.0595497443925059</v>
      </c>
      <c r="J28" s="46" t="n">
        <f aca="false">+J27/J6</f>
        <v>0.0457974644551545</v>
      </c>
      <c r="K28" s="46" t="n">
        <f aca="false">+K27/K6</f>
        <v>0.084077561351416</v>
      </c>
      <c r="L28" s="46" t="n">
        <f aca="false">+L27/L6</f>
        <v>0.0948737699547011</v>
      </c>
      <c r="M28" s="46" t="n">
        <f aca="false">+M27/M6</f>
        <v>0.103280004909579</v>
      </c>
      <c r="N28" s="46" t="n">
        <f aca="false">+N27/N6</f>
        <v>0.107178720124241</v>
      </c>
      <c r="O28" s="46" t="n">
        <f aca="false">+O27/O6</f>
        <v>0.110758592256748</v>
      </c>
      <c r="P28" s="46" t="n">
        <f aca="false">+P27/P6</f>
        <v>0.114413202294344</v>
      </c>
      <c r="Q28" s="46" t="n">
        <f aca="false">+Q27/Q6</f>
        <v>0.118221510998081</v>
      </c>
      <c r="R28" s="46" t="n">
        <f aca="false">+R27/R6</f>
        <v>0.12075444842731</v>
      </c>
      <c r="S28" s="46" t="n">
        <f aca="false">+S27/S6</f>
        <v>0.124148368445288</v>
      </c>
    </row>
    <row r="30" customFormat="false" ht="14.25" hidden="false" customHeight="false" outlineLevel="0" collapsed="false">
      <c r="B30" s="49" t="s">
        <v>85</v>
      </c>
      <c r="E30" s="56" t="n">
        <v>-2.166</v>
      </c>
      <c r="F30" s="56" t="n">
        <v>1.77</v>
      </c>
      <c r="G30" s="56" t="n">
        <v>-0.489</v>
      </c>
      <c r="H30" s="56" t="n">
        <v>-3.049</v>
      </c>
      <c r="I30" s="56" t="n">
        <v>-0.347</v>
      </c>
      <c r="J30" s="65" t="n">
        <f aca="false">+'FS Calcs'!J107</f>
        <v>-6.99242356328072</v>
      </c>
      <c r="K30" s="65" t="n">
        <f aca="false">+'FS Calcs'!K107</f>
        <v>-14.2256718244804</v>
      </c>
      <c r="L30" s="65" t="n">
        <f aca="false">+'FS Calcs'!L107</f>
        <v>-17.9765747739621</v>
      </c>
      <c r="M30" s="65" t="n">
        <f aca="false">+'FS Calcs'!M107</f>
        <v>-21.1712728900846</v>
      </c>
      <c r="N30" s="65" t="n">
        <f aca="false">+'FS Calcs'!N107</f>
        <v>-23.3585281355315</v>
      </c>
      <c r="O30" s="65" t="n">
        <f aca="false">+'FS Calcs'!O107</f>
        <v>-25.4034304449659</v>
      </c>
      <c r="P30" s="65" t="n">
        <f aca="false">+'FS Calcs'!P107</f>
        <v>-27.5366982733718</v>
      </c>
      <c r="Q30" s="65" t="n">
        <f aca="false">+'FS Calcs'!Q107</f>
        <v>-29.8342959000931</v>
      </c>
      <c r="R30" s="65" t="n">
        <f aca="false">+'FS Calcs'!R107</f>
        <v>-31.9362626402478</v>
      </c>
      <c r="S30" s="65" t="n">
        <f aca="false">+'FS Calcs'!S107</f>
        <v>-34.4708207128167</v>
      </c>
    </row>
    <row r="31" customFormat="false" ht="14.25" hidden="false" customHeight="false" outlineLevel="0" collapsed="false">
      <c r="B31" s="49" t="s">
        <v>86</v>
      </c>
      <c r="E31" s="56" t="n">
        <v>0.675</v>
      </c>
      <c r="F31" s="56" t="n">
        <v>1.936</v>
      </c>
      <c r="G31" s="56" t="n">
        <v>-1.217</v>
      </c>
      <c r="H31" s="56" t="n">
        <v>6.347</v>
      </c>
      <c r="I31" s="56" t="n">
        <v>1.904</v>
      </c>
      <c r="J31" s="65" t="n">
        <f aca="false">+'FS Calcs'!J108</f>
        <v>0</v>
      </c>
      <c r="K31" s="65" t="n">
        <f aca="false">+'FS Calcs'!K108</f>
        <v>0</v>
      </c>
      <c r="L31" s="65" t="n">
        <f aca="false">+'FS Calcs'!L108</f>
        <v>0</v>
      </c>
      <c r="M31" s="65" t="n">
        <f aca="false">+'FS Calcs'!M108</f>
        <v>0</v>
      </c>
      <c r="N31" s="65" t="n">
        <f aca="false">+'FS Calcs'!N108</f>
        <v>0</v>
      </c>
      <c r="O31" s="65" t="n">
        <f aca="false">+'FS Calcs'!O108</f>
        <v>0</v>
      </c>
      <c r="P31" s="65" t="n">
        <f aca="false">+'FS Calcs'!P108</f>
        <v>0</v>
      </c>
      <c r="Q31" s="65" t="n">
        <f aca="false">+'FS Calcs'!Q108</f>
        <v>0</v>
      </c>
      <c r="R31" s="65" t="n">
        <f aca="false">+'FS Calcs'!R108</f>
        <v>0</v>
      </c>
      <c r="S31" s="65" t="n">
        <f aca="false">+'FS Calcs'!S108</f>
        <v>0</v>
      </c>
    </row>
    <row r="32" customFormat="false" ht="14.25" hidden="false" customHeight="false" outlineLevel="0" collapsed="false">
      <c r="B32" s="6" t="s">
        <v>87</v>
      </c>
      <c r="E32" s="6" t="n">
        <f aca="false">SUM(E30:E31)</f>
        <v>-1.491</v>
      </c>
      <c r="F32" s="6" t="n">
        <f aca="false">SUM(F30:F31)</f>
        <v>3.706</v>
      </c>
      <c r="G32" s="6" t="n">
        <f aca="false">SUM(G30:G31)</f>
        <v>-1.706</v>
      </c>
      <c r="H32" s="6" t="n">
        <f aca="false">SUM(H30:H31)</f>
        <v>3.298</v>
      </c>
      <c r="I32" s="6" t="n">
        <f aca="false">SUM(I30:I31)</f>
        <v>1.557</v>
      </c>
      <c r="J32" s="6" t="n">
        <f aca="false">SUM(J30:J31)</f>
        <v>-6.99242356328072</v>
      </c>
      <c r="K32" s="6" t="n">
        <f aca="false">SUM(K30:K31)</f>
        <v>-14.2256718244804</v>
      </c>
      <c r="L32" s="6" t="n">
        <f aca="false">SUM(L30:L31)</f>
        <v>-17.9765747739621</v>
      </c>
      <c r="M32" s="6" t="n">
        <f aca="false">SUM(M30:M31)</f>
        <v>-21.1712728900846</v>
      </c>
      <c r="N32" s="6" t="n">
        <f aca="false">SUM(N30:N31)</f>
        <v>-23.3585281355315</v>
      </c>
      <c r="O32" s="6" t="n">
        <f aca="false">SUM(O30:O31)</f>
        <v>-25.4034304449659</v>
      </c>
      <c r="P32" s="6" t="n">
        <f aca="false">SUM(P30:P31)</f>
        <v>-27.5366982733718</v>
      </c>
      <c r="Q32" s="6" t="n">
        <f aca="false">SUM(Q30:Q31)</f>
        <v>-29.8342959000931</v>
      </c>
      <c r="R32" s="6" t="n">
        <f aca="false">SUM(R30:R31)</f>
        <v>-31.9362626402478</v>
      </c>
      <c r="S32" s="6" t="n">
        <f aca="false">SUM(S30:S31)</f>
        <v>-34.4708207128167</v>
      </c>
    </row>
    <row r="34" customFormat="false" ht="14.25" hidden="false" customHeight="false" outlineLevel="0" collapsed="false">
      <c r="B34" s="6" t="s">
        <v>88</v>
      </c>
      <c r="E34" s="6" t="n">
        <f aca="false">+E32+E27</f>
        <v>-6.74800000000001</v>
      </c>
      <c r="F34" s="6" t="n">
        <f aca="false">+F32+F27</f>
        <v>-78.202</v>
      </c>
      <c r="G34" s="6" t="n">
        <f aca="false">+G32+G27</f>
        <v>-208.791</v>
      </c>
      <c r="H34" s="6" t="n">
        <f aca="false">+H32+H27</f>
        <v>23.109</v>
      </c>
      <c r="I34" s="6" t="n">
        <f aca="false">+I32+I27</f>
        <v>31.762</v>
      </c>
      <c r="J34" s="6" t="n">
        <f aca="false">+J32+J27</f>
        <v>17.1193818273425</v>
      </c>
      <c r="K34" s="6" t="n">
        <f aca="false">+K32+K27</f>
        <v>34.82836894959</v>
      </c>
      <c r="L34" s="6" t="n">
        <f aca="false">+L32+L27</f>
        <v>44.0116141017693</v>
      </c>
      <c r="M34" s="6" t="n">
        <f aca="false">+M32+M27</f>
        <v>51.8331163860691</v>
      </c>
      <c r="N34" s="6" t="n">
        <f aca="false">+N32+N27</f>
        <v>57.1881206076805</v>
      </c>
      <c r="O34" s="6" t="n">
        <f aca="false">+O32+O27</f>
        <v>62.1946055721578</v>
      </c>
      <c r="P34" s="6" t="n">
        <f aca="false">+P32+P27</f>
        <v>67.4174337037724</v>
      </c>
      <c r="Q34" s="6" t="n">
        <f aca="false">+Q32+Q27</f>
        <v>73.042586514021</v>
      </c>
      <c r="R34" s="6" t="n">
        <f aca="false">+R32+R27</f>
        <v>78.1887809468137</v>
      </c>
      <c r="S34" s="6" t="n">
        <f aca="false">+S32+S27</f>
        <v>84.3940782968961</v>
      </c>
    </row>
    <row r="35" customFormat="false" ht="14.25" hidden="false" customHeight="false" outlineLevel="0" collapsed="false">
      <c r="B35" s="49" t="s">
        <v>89</v>
      </c>
      <c r="E35" s="56" t="n">
        <v>7.312</v>
      </c>
      <c r="F35" s="56" t="n">
        <v>23.292</v>
      </c>
      <c r="G35" s="56" t="n">
        <v>27.175</v>
      </c>
      <c r="H35" s="56" t="n">
        <v>30.186</v>
      </c>
      <c r="I35" s="56" t="n">
        <v>26.122</v>
      </c>
      <c r="J35" s="65" t="n">
        <f aca="false">+'FS Calcs'!J98</f>
        <v>26.89925752</v>
      </c>
      <c r="K35" s="65" t="n">
        <f aca="false">+'FS Calcs'!K98</f>
        <v>27.7062352456</v>
      </c>
      <c r="L35" s="65" t="n">
        <f aca="false">+'FS Calcs'!L98</f>
        <v>28.537422302968</v>
      </c>
      <c r="M35" s="65" t="n">
        <f aca="false">+'FS Calcs'!M98</f>
        <v>29.393544972057</v>
      </c>
      <c r="N35" s="65" t="n">
        <f aca="false">+'FS Calcs'!N98</f>
        <v>30.2753513212188</v>
      </c>
      <c r="O35" s="65" t="n">
        <f aca="false">+'FS Calcs'!O98</f>
        <v>31.1836118608553</v>
      </c>
      <c r="P35" s="65" t="n">
        <f aca="false">+'FS Calcs'!P98</f>
        <v>32.119120216681</v>
      </c>
      <c r="Q35" s="65" t="n">
        <f aca="false">+'FS Calcs'!Q98</f>
        <v>33.0826938231814</v>
      </c>
      <c r="R35" s="65" t="n">
        <f aca="false">+'FS Calcs'!R98</f>
        <v>34.0751746378769</v>
      </c>
      <c r="S35" s="65" t="n">
        <f aca="false">+'FS Calcs'!S98</f>
        <v>35.0974298770132</v>
      </c>
    </row>
    <row r="36" s="9" customFormat="true" ht="14.25" hidden="false" customHeight="false" outlineLevel="0" collapsed="false">
      <c r="B36" s="67" t="s">
        <v>90</v>
      </c>
      <c r="E36" s="9" t="n">
        <f aca="false">+E34-E35</f>
        <v>-14.06</v>
      </c>
      <c r="F36" s="9" t="n">
        <f aca="false">+F34-F35</f>
        <v>-101.494</v>
      </c>
      <c r="G36" s="9" t="n">
        <f aca="false">+G34-G35</f>
        <v>-235.966</v>
      </c>
      <c r="H36" s="9" t="n">
        <f aca="false">+H34-H35</f>
        <v>-7.07699999999999</v>
      </c>
      <c r="I36" s="9" t="n">
        <f aca="false">+I34-I35</f>
        <v>5.64000000000004</v>
      </c>
      <c r="J36" s="9" t="n">
        <f aca="false">+J34-J35</f>
        <v>-9.77987569265756</v>
      </c>
      <c r="K36" s="9" t="n">
        <f aca="false">+K34-K35</f>
        <v>7.12213370398996</v>
      </c>
      <c r="L36" s="9" t="n">
        <f aca="false">+L34-L35</f>
        <v>15.4741917988013</v>
      </c>
      <c r="M36" s="9" t="n">
        <f aca="false">+M34-M35</f>
        <v>22.4395714140121</v>
      </c>
      <c r="N36" s="9" t="n">
        <f aca="false">+N34-N35</f>
        <v>26.9127692864618</v>
      </c>
      <c r="O36" s="9" t="n">
        <f aca="false">+O34-O35</f>
        <v>31.0109937113025</v>
      </c>
      <c r="P36" s="9" t="n">
        <f aca="false">+P34-P35</f>
        <v>35.2983134870914</v>
      </c>
      <c r="Q36" s="9" t="n">
        <f aca="false">+Q34-Q35</f>
        <v>39.9598926908396</v>
      </c>
      <c r="R36" s="9" t="n">
        <f aca="false">+R34-R35</f>
        <v>44.1136063089368</v>
      </c>
      <c r="S36" s="9" t="n">
        <f aca="false">+S34-S35</f>
        <v>49.2966484198829</v>
      </c>
    </row>
    <row r="38" customFormat="false" ht="14.25" hidden="false" customHeight="false" outlineLevel="0" collapsed="false">
      <c r="B38" s="6" t="s">
        <v>91</v>
      </c>
      <c r="E38" s="68" t="n">
        <v>-0.1</v>
      </c>
      <c r="F38" s="68" t="n">
        <v>-0.75</v>
      </c>
      <c r="G38" s="68" t="n">
        <v>-1.51</v>
      </c>
      <c r="H38" s="68" t="n">
        <v>-0.04</v>
      </c>
      <c r="I38" s="68" t="n">
        <v>0.03</v>
      </c>
      <c r="J38" s="43" t="n">
        <f aca="false">+J$36/J41</f>
        <v>-0.0564941725500543</v>
      </c>
      <c r="K38" s="43" t="n">
        <f aca="false">+K$36/K41</f>
        <v>0.0411415301218855</v>
      </c>
      <c r="L38" s="43" t="n">
        <f aca="false">+L$36/L41</f>
        <v>0.0893878091119749</v>
      </c>
      <c r="M38" s="43" t="n">
        <f aca="false">+M$36/M41</f>
        <v>0.129623837689902</v>
      </c>
      <c r="N38" s="43" t="n">
        <f aca="false">+N$36/N41</f>
        <v>0.15546359479913</v>
      </c>
      <c r="O38" s="43" t="n">
        <f aca="false">+O$36/O41</f>
        <v>0.179137290159043</v>
      </c>
      <c r="P38" s="43" t="n">
        <f aca="false">+P$36/P41</f>
        <v>0.203903308746838</v>
      </c>
      <c r="Q38" s="43" t="n">
        <f aca="false">+Q$36/Q41</f>
        <v>0.230831264496829</v>
      </c>
      <c r="R38" s="43" t="n">
        <f aca="false">+R$36/R41</f>
        <v>0.254825497270204</v>
      </c>
      <c r="S38" s="43" t="n">
        <f aca="false">+S$36/S41</f>
        <v>0.28476572192662</v>
      </c>
    </row>
    <row r="39" customFormat="false" ht="14.25" hidden="false" customHeight="false" outlineLevel="0" collapsed="false">
      <c r="B39" s="6" t="s">
        <v>92</v>
      </c>
      <c r="E39" s="68" t="n">
        <v>-0.1</v>
      </c>
      <c r="F39" s="68" t="n">
        <v>-0.75</v>
      </c>
      <c r="G39" s="68" t="n">
        <v>-1.51</v>
      </c>
      <c r="H39" s="68" t="n">
        <v>-0.04</v>
      </c>
      <c r="I39" s="68" t="n">
        <v>-0.01</v>
      </c>
      <c r="J39" s="43" t="n">
        <f aca="false">+J$36/J42</f>
        <v>-0.0513773059282051</v>
      </c>
      <c r="K39" s="43" t="n">
        <f aca="false">+K$36/K42</f>
        <v>0.0374152037991845</v>
      </c>
      <c r="L39" s="43" t="n">
        <f aca="false">+L$36/L42</f>
        <v>0.0812916555407362</v>
      </c>
      <c r="M39" s="43" t="n">
        <f aca="false">+M$36/M42</f>
        <v>0.11788337210677</v>
      </c>
      <c r="N39" s="43" t="n">
        <f aca="false">+N$36/N42</f>
        <v>0.141382735778926</v>
      </c>
      <c r="O39" s="43" t="n">
        <f aca="false">+O$36/O42</f>
        <v>0.162912225176789</v>
      </c>
      <c r="P39" s="43" t="n">
        <f aca="false">+P$36/P42</f>
        <v>0.185435102425436</v>
      </c>
      <c r="Q39" s="43" t="n">
        <f aca="false">+Q$36/Q42</f>
        <v>0.209924102938943</v>
      </c>
      <c r="R39" s="43" t="n">
        <f aca="false">+R$36/R42</f>
        <v>0.23174509760203</v>
      </c>
      <c r="S39" s="43" t="n">
        <f aca="false">+S$36/S42</f>
        <v>0.258973535727554</v>
      </c>
    </row>
    <row r="41" customFormat="false" ht="14.25" hidden="false" customHeight="false" outlineLevel="0" collapsed="false">
      <c r="B41" s="6" t="s">
        <v>93</v>
      </c>
      <c r="E41" s="56" t="n">
        <v>134.506</v>
      </c>
      <c r="F41" s="56" t="n">
        <v>134.828</v>
      </c>
      <c r="G41" s="56" t="n">
        <v>156.748</v>
      </c>
      <c r="H41" s="56" t="n">
        <v>171.222</v>
      </c>
      <c r="I41" s="56" t="n">
        <v>172.584</v>
      </c>
      <c r="J41" s="66" t="n">
        <v>173.113</v>
      </c>
      <c r="K41" s="66" t="n">
        <f aca="false">+J41</f>
        <v>173.113</v>
      </c>
      <c r="L41" s="66" t="n">
        <f aca="false">+K41</f>
        <v>173.113</v>
      </c>
      <c r="M41" s="66" t="n">
        <f aca="false">+L41</f>
        <v>173.113</v>
      </c>
      <c r="N41" s="66" t="n">
        <f aca="false">+M41</f>
        <v>173.113</v>
      </c>
      <c r="O41" s="66" t="n">
        <f aca="false">+N41</f>
        <v>173.113</v>
      </c>
      <c r="P41" s="66" t="n">
        <f aca="false">+O41</f>
        <v>173.113</v>
      </c>
      <c r="Q41" s="66" t="n">
        <f aca="false">+P41</f>
        <v>173.113</v>
      </c>
      <c r="R41" s="66" t="n">
        <f aca="false">+Q41</f>
        <v>173.113</v>
      </c>
      <c r="S41" s="66" t="n">
        <f aca="false">+R41</f>
        <v>173.113</v>
      </c>
    </row>
    <row r="42" customFormat="false" ht="14.25" hidden="false" customHeight="false" outlineLevel="0" collapsed="false">
      <c r="B42" s="6" t="s">
        <v>94</v>
      </c>
      <c r="E42" s="56" t="n">
        <v>134.506</v>
      </c>
      <c r="F42" s="56" t="n">
        <v>134.828</v>
      </c>
      <c r="G42" s="56" t="n">
        <v>156.748</v>
      </c>
      <c r="H42" s="56" t="n">
        <v>171.222</v>
      </c>
      <c r="I42" s="56" t="n">
        <v>197.403</v>
      </c>
      <c r="J42" s="66" t="n">
        <v>190.354</v>
      </c>
      <c r="K42" s="66" t="n">
        <f aca="false">+J42</f>
        <v>190.354</v>
      </c>
      <c r="L42" s="66" t="n">
        <f aca="false">+K42</f>
        <v>190.354</v>
      </c>
      <c r="M42" s="66" t="n">
        <f aca="false">+L42</f>
        <v>190.354</v>
      </c>
      <c r="N42" s="66" t="n">
        <f aca="false">+M42</f>
        <v>190.354</v>
      </c>
      <c r="O42" s="66" t="n">
        <f aca="false">+N42</f>
        <v>190.354</v>
      </c>
      <c r="P42" s="66" t="n">
        <f aca="false">+O42</f>
        <v>190.354</v>
      </c>
      <c r="Q42" s="66" t="n">
        <f aca="false">+P42</f>
        <v>190.354</v>
      </c>
      <c r="R42" s="66" t="n">
        <f aca="false">+Q42</f>
        <v>190.354</v>
      </c>
      <c r="S42" s="66" t="n">
        <f aca="false">+R42</f>
        <v>190.354</v>
      </c>
    </row>
    <row r="43" customFormat="false" ht="14.25" hidden="false" customHeight="false" outlineLevel="0" collapsed="false">
      <c r="E43" s="56"/>
      <c r="F43" s="56"/>
      <c r="G43" s="56"/>
      <c r="H43" s="56"/>
      <c r="I43" s="56"/>
    </row>
    <row r="44" customFormat="false" ht="14.25" hidden="false" customHeight="false" outlineLevel="0" collapsed="false">
      <c r="B44" s="6" t="s">
        <v>95</v>
      </c>
      <c r="E44" s="56" t="n">
        <v>0</v>
      </c>
      <c r="F44" s="56" t="n">
        <v>0</v>
      </c>
      <c r="G44" s="56" t="n">
        <v>0</v>
      </c>
      <c r="H44" s="56" t="n">
        <v>0</v>
      </c>
      <c r="I44" s="56" t="n">
        <v>0</v>
      </c>
      <c r="J44" s="65" t="n">
        <f aca="false">+'FS Calcs'!J76</f>
        <v>0</v>
      </c>
      <c r="K44" s="65" t="n">
        <f aca="false">+'FS Calcs'!K76</f>
        <v>0</v>
      </c>
      <c r="L44" s="65" t="n">
        <f aca="false">+'FS Calcs'!L76</f>
        <v>0</v>
      </c>
      <c r="M44" s="65" t="n">
        <f aca="false">+'FS Calcs'!M76</f>
        <v>0</v>
      </c>
      <c r="N44" s="65" t="n">
        <f aca="false">+'FS Calcs'!N76</f>
        <v>0</v>
      </c>
      <c r="O44" s="65" t="n">
        <f aca="false">+'FS Calcs'!O76</f>
        <v>0</v>
      </c>
      <c r="P44" s="65" t="n">
        <f aca="false">+'FS Calcs'!P76</f>
        <v>0</v>
      </c>
      <c r="Q44" s="65" t="n">
        <f aca="false">+'FS Calcs'!Q76</f>
        <v>0</v>
      </c>
      <c r="R44" s="65" t="n">
        <f aca="false">+'FS Calcs'!R76</f>
        <v>0</v>
      </c>
      <c r="S44" s="65" t="n">
        <f aca="false">+'FS Calcs'!S76</f>
        <v>0</v>
      </c>
    </row>
    <row r="45" customFormat="false" ht="14.25" hidden="false" customHeight="false" outlineLevel="0" collapsed="false">
      <c r="B45" s="6" t="s">
        <v>96</v>
      </c>
      <c r="E45" s="56"/>
      <c r="F45" s="56" t="n">
        <v>-26.657</v>
      </c>
      <c r="G45" s="56" t="n">
        <v>-33.46</v>
      </c>
      <c r="H45" s="56" t="n">
        <v>-31.457</v>
      </c>
      <c r="I45" s="56" t="n">
        <v>-33.609</v>
      </c>
      <c r="J45" s="65" t="n">
        <f aca="false">+'FS Calcs'!J82</f>
        <v>-34.28118</v>
      </c>
      <c r="K45" s="65" t="n">
        <f aca="false">+'FS Calcs'!K82</f>
        <v>-34.9668036</v>
      </c>
      <c r="L45" s="65" t="n">
        <f aca="false">+'FS Calcs'!L82</f>
        <v>-35.666139672</v>
      </c>
      <c r="M45" s="65" t="n">
        <f aca="false">+'FS Calcs'!M82</f>
        <v>-36.37946246544</v>
      </c>
      <c r="N45" s="65" t="n">
        <f aca="false">+'FS Calcs'!N82</f>
        <v>-37.1070517147488</v>
      </c>
      <c r="O45" s="65" t="n">
        <f aca="false">+'FS Calcs'!O82</f>
        <v>-37.8491927490438</v>
      </c>
      <c r="P45" s="65" t="n">
        <f aca="false">+'FS Calcs'!P82</f>
        <v>-38.6061766040247</v>
      </c>
      <c r="Q45" s="65" t="n">
        <f aca="false">+'FS Calcs'!Q82</f>
        <v>-39.3783001361051</v>
      </c>
      <c r="R45" s="65" t="n">
        <f aca="false">+'FS Calcs'!R82</f>
        <v>-40.1658661388272</v>
      </c>
      <c r="S45" s="65" t="n">
        <f aca="false">+'FS Calcs'!S82</f>
        <v>-40.9691834616038</v>
      </c>
    </row>
    <row r="46" customFormat="false" ht="14.25" hidden="false" customHeight="false" outlineLevel="0" collapsed="false">
      <c r="E46" s="43"/>
      <c r="F46" s="43"/>
      <c r="H46" s="43"/>
      <c r="I46" s="43"/>
    </row>
    <row r="47" customFormat="false" ht="14.25" hidden="false" customHeight="false" outlineLevel="0" collapsed="false">
      <c r="A47" s="6" t="s">
        <v>2</v>
      </c>
      <c r="B47" s="5" t="s">
        <v>97</v>
      </c>
      <c r="E47" s="43"/>
      <c r="F47" s="43"/>
    </row>
    <row r="48" customFormat="false" ht="14.25" hidden="false" customHeight="false" outlineLevel="0" collapsed="false">
      <c r="B48" s="6" t="s">
        <v>84</v>
      </c>
      <c r="E48" s="6" t="n">
        <f aca="false">+E27</f>
        <v>-5.25700000000001</v>
      </c>
      <c r="F48" s="6" t="n">
        <f aca="false">+F27</f>
        <v>-81.908</v>
      </c>
      <c r="G48" s="6" t="n">
        <f aca="false">+G27</f>
        <v>-207.085</v>
      </c>
      <c r="H48" s="6" t="n">
        <f aca="false">+H27</f>
        <v>19.811</v>
      </c>
      <c r="I48" s="6" t="n">
        <f aca="false">+I27</f>
        <v>30.205</v>
      </c>
      <c r="J48" s="6" t="n">
        <f aca="false">+J27</f>
        <v>24.1118053906232</v>
      </c>
      <c r="K48" s="6" t="n">
        <f aca="false">+K27</f>
        <v>49.0540407740704</v>
      </c>
      <c r="L48" s="6" t="n">
        <f aca="false">+L27</f>
        <v>61.9881888757314</v>
      </c>
      <c r="M48" s="6" t="n">
        <f aca="false">+M27</f>
        <v>73.0043892761537</v>
      </c>
      <c r="N48" s="6" t="n">
        <f aca="false">+N27</f>
        <v>80.546648743212</v>
      </c>
      <c r="O48" s="6" t="n">
        <f aca="false">+O27</f>
        <v>87.5980360171236</v>
      </c>
      <c r="P48" s="6" t="n">
        <f aca="false">+P27</f>
        <v>94.9541319771442</v>
      </c>
      <c r="Q48" s="6" t="n">
        <f aca="false">+Q27</f>
        <v>102.876882414114</v>
      </c>
      <c r="R48" s="6" t="n">
        <f aca="false">+R27</f>
        <v>110.125043587062</v>
      </c>
      <c r="S48" s="6" t="n">
        <f aca="false">+S27</f>
        <v>118.864899009713</v>
      </c>
    </row>
    <row r="49" customFormat="false" ht="14.25" hidden="false" customHeight="false" outlineLevel="0" collapsed="false">
      <c r="B49" s="6" t="s">
        <v>98</v>
      </c>
      <c r="E49" s="6" t="n">
        <f aca="false">+IF(E32&lt;0,E32*-1, 0)</f>
        <v>1.491</v>
      </c>
      <c r="F49" s="6" t="n">
        <f aca="false">+IF(F32&lt;0,F32*-1, 0)</f>
        <v>0</v>
      </c>
      <c r="G49" s="6" t="n">
        <f aca="false">+IF(G32&lt;0,G32*-1, 0)</f>
        <v>1.706</v>
      </c>
      <c r="H49" s="6" t="n">
        <f aca="false">+IF(H32&lt;0,H32*-1, 0)</f>
        <v>0</v>
      </c>
      <c r="I49" s="6" t="n">
        <f aca="false">+IF(I32&lt;0,I32*-1, 0)</f>
        <v>0</v>
      </c>
      <c r="J49" s="6" t="n">
        <f aca="false">+IF(J32&lt;0,J32*-1, 0)</f>
        <v>6.99242356328072</v>
      </c>
      <c r="K49" s="6" t="n">
        <f aca="false">+IF(K32&lt;0,K32*-1, 0)</f>
        <v>14.2256718244804</v>
      </c>
      <c r="L49" s="6" t="n">
        <f aca="false">+IF(L32&lt;0,L32*-1, 0)</f>
        <v>17.9765747739621</v>
      </c>
      <c r="M49" s="6" t="n">
        <f aca="false">+IF(M32&lt;0,M32*-1, 0)</f>
        <v>21.1712728900846</v>
      </c>
      <c r="N49" s="6" t="n">
        <f aca="false">+IF(N32&lt;0,N32*-1, 0)</f>
        <v>23.3585281355315</v>
      </c>
      <c r="O49" s="6" t="n">
        <f aca="false">+IF(O32&lt;0,O32*-1, 0)</f>
        <v>25.4034304449659</v>
      </c>
      <c r="P49" s="6" t="n">
        <f aca="false">+IF(P32&lt;0,P32*-1, 0)</f>
        <v>27.5366982733718</v>
      </c>
      <c r="Q49" s="6" t="n">
        <f aca="false">+IF(Q32&lt;0,Q32*-1, 0)</f>
        <v>29.8342959000931</v>
      </c>
      <c r="R49" s="6" t="n">
        <f aca="false">+IF(R32&lt;0,R32*-1, 0)</f>
        <v>31.9362626402478</v>
      </c>
      <c r="S49" s="6" t="n">
        <f aca="false">+IF(S32&lt;0,S32*-1, 0)</f>
        <v>34.4708207128167</v>
      </c>
    </row>
    <row r="50" customFormat="false" ht="14.25" hidden="false" customHeight="false" outlineLevel="0" collapsed="false">
      <c r="B50" s="6" t="s">
        <v>99</v>
      </c>
      <c r="E50" s="6" t="n">
        <f aca="false">+E22*-1</f>
        <v>50.109</v>
      </c>
      <c r="F50" s="6" t="n">
        <f aca="false">+F22*-1</f>
        <v>52.236</v>
      </c>
      <c r="G50" s="6" t="n">
        <f aca="false">+G22*-1</f>
        <v>49.404</v>
      </c>
      <c r="H50" s="6" t="n">
        <f aca="false">+H22*-1</f>
        <v>42.139</v>
      </c>
      <c r="I50" s="6" t="n">
        <f aca="false">+I22*-1</f>
        <v>30.486</v>
      </c>
      <c r="J50" s="6" t="n">
        <f aca="false">+J22*-1</f>
        <v>33.6676311518785</v>
      </c>
      <c r="K50" s="6" t="n">
        <f aca="false">+K22*-1</f>
        <v>34.8976677175224</v>
      </c>
      <c r="L50" s="6" t="n">
        <f aca="false">+L22*-1</f>
        <v>36.6335871107579</v>
      </c>
      <c r="M50" s="6" t="n">
        <f aca="false">+M22*-1</f>
        <v>38.1140304631172</v>
      </c>
      <c r="N50" s="6" t="n">
        <f aca="false">+N22*-1</f>
        <v>39.2104710720932</v>
      </c>
      <c r="O50" s="6" t="n">
        <f aca="false">+O22*-1</f>
        <v>39.9885721876774</v>
      </c>
      <c r="P50" s="6" t="n">
        <f aca="false">+P22*-1</f>
        <v>40.5253130674424</v>
      </c>
      <c r="Q50" s="6" t="n">
        <f aca="false">+Q22*-1</f>
        <v>40.847902430318</v>
      </c>
      <c r="R50" s="6" t="n">
        <f aca="false">+R22*-1</f>
        <v>40.9435909865513</v>
      </c>
      <c r="S50" s="6" t="n">
        <f aca="false">+S22*-1</f>
        <v>40.5117277560348</v>
      </c>
    </row>
    <row r="51" customFormat="false" ht="14.25" hidden="false" customHeight="false" outlineLevel="0" collapsed="false">
      <c r="B51" s="6" t="s">
        <v>100</v>
      </c>
      <c r="E51" s="6" t="n">
        <f aca="false">+SUM(E16:E17)*-1</f>
        <v>40.09</v>
      </c>
      <c r="F51" s="6" t="n">
        <f aca="false">+SUM(F16:F17)*-1</f>
        <v>37.082</v>
      </c>
      <c r="G51" s="6" t="n">
        <f aca="false">+SUM(G16:G17)*-1</f>
        <v>36.253</v>
      </c>
      <c r="H51" s="6" t="n">
        <f aca="false">+SUM(H16:H17)*-1</f>
        <v>34.024</v>
      </c>
      <c r="I51" s="6" t="n">
        <f aca="false">+SUM(I16:I17)*-1</f>
        <v>34.22</v>
      </c>
      <c r="J51" s="6" t="n">
        <f aca="false">+SUM(J16:J17)*-1</f>
        <v>41.5892668</v>
      </c>
      <c r="K51" s="6" t="n">
        <f aca="false">+SUM(K16:K17)*-1</f>
        <v>39.7970100376929</v>
      </c>
      <c r="L51" s="6" t="n">
        <f aca="false">+SUM(L16:L17)*-1</f>
        <v>39.9852646097724</v>
      </c>
      <c r="M51" s="6" t="n">
        <f aca="false">+SUM(M16:M17)*-1</f>
        <v>38.779254667818</v>
      </c>
      <c r="N51" s="6" t="n">
        <f aca="false">+SUM(N16:N17)*-1</f>
        <v>39.5238889355046</v>
      </c>
      <c r="O51" s="6" t="n">
        <f aca="false">+SUM(O16:O17)*-1</f>
        <v>39.9408948410804</v>
      </c>
      <c r="P51" s="6" t="n">
        <f aca="false">+SUM(P16:P17)*-1</f>
        <v>40.2329041561876</v>
      </c>
      <c r="Q51" s="6" t="n">
        <f aca="false">+SUM(Q16:Q17)*-1</f>
        <v>40.4571549973883</v>
      </c>
      <c r="R51" s="6" t="n">
        <f aca="false">+SUM(R16:R17)*-1</f>
        <v>41.919126589091</v>
      </c>
      <c r="S51" s="6" t="n">
        <f aca="false">+SUM(S16:S17)*-1</f>
        <v>43.5104803827799</v>
      </c>
    </row>
    <row r="52" customFormat="false" ht="14.25" hidden="false" customHeight="false" outlineLevel="0" collapsed="false">
      <c r="B52" s="6" t="s">
        <v>64</v>
      </c>
      <c r="E52" s="6" t="n">
        <f aca="false">+E21*-1</f>
        <v>-0</v>
      </c>
      <c r="F52" s="6" t="n">
        <f aca="false">+F21*-1</f>
        <v>-0</v>
      </c>
      <c r="G52" s="6" t="n">
        <f aca="false">+G21*-1</f>
        <v>-0</v>
      </c>
      <c r="H52" s="6" t="n">
        <f aca="false">+H21*-1</f>
        <v>5.075</v>
      </c>
      <c r="I52" s="6" t="n">
        <f aca="false">+I21*-1</f>
        <v>7.414</v>
      </c>
      <c r="J52" s="6" t="n">
        <f aca="false">+J21*-1</f>
        <v>5</v>
      </c>
      <c r="K52" s="6" t="n">
        <f aca="false">+K21*-1</f>
        <v>5</v>
      </c>
      <c r="L52" s="6" t="n">
        <f aca="false">+L21*-1</f>
        <v>5</v>
      </c>
      <c r="M52" s="6" t="n">
        <f aca="false">+M21*-1</f>
        <v>5</v>
      </c>
      <c r="N52" s="6" t="n">
        <f aca="false">+N21*-1</f>
        <v>5</v>
      </c>
      <c r="O52" s="6" t="n">
        <f aca="false">+O21*-1</f>
        <v>5</v>
      </c>
      <c r="P52" s="6" t="n">
        <f aca="false">+P21*-1</f>
        <v>5</v>
      </c>
      <c r="Q52" s="6" t="n">
        <f aca="false">+Q21*-1</f>
        <v>5</v>
      </c>
      <c r="R52" s="6" t="n">
        <f aca="false">+R21*-1</f>
        <v>5</v>
      </c>
      <c r="S52" s="6" t="n">
        <f aca="false">+S21*-1</f>
        <v>5</v>
      </c>
    </row>
    <row r="53" customFormat="false" ht="14.25" hidden="false" customHeight="false" outlineLevel="0" collapsed="false">
      <c r="B53" s="6" t="s">
        <v>101</v>
      </c>
      <c r="E53" s="6" t="n">
        <f aca="false">+E18*-1</f>
        <v>12.027</v>
      </c>
      <c r="F53" s="6" t="n">
        <f aca="false">+F18*-1</f>
        <v>104.871</v>
      </c>
      <c r="G53" s="6" t="n">
        <f aca="false">+G18*-1</f>
        <v>196.122</v>
      </c>
      <c r="H53" s="6" t="n">
        <f aca="false">+H18*-1</f>
        <v>7.832</v>
      </c>
      <c r="I53" s="6" t="n">
        <f aca="false">+I18*-1</f>
        <v>0.788</v>
      </c>
      <c r="J53" s="6" t="n">
        <f aca="false">+J18*-1</f>
        <v>-0</v>
      </c>
      <c r="K53" s="6" t="n">
        <f aca="false">+K18*-1</f>
        <v>-0</v>
      </c>
      <c r="L53" s="6" t="n">
        <f aca="false">+L18*-1</f>
        <v>-0</v>
      </c>
      <c r="M53" s="6" t="n">
        <f aca="false">+M18*-1</f>
        <v>-0</v>
      </c>
      <c r="N53" s="6" t="n">
        <f aca="false">+N18*-1</f>
        <v>-0</v>
      </c>
      <c r="O53" s="6" t="n">
        <f aca="false">+O18*-1</f>
        <v>-0</v>
      </c>
      <c r="P53" s="6" t="n">
        <f aca="false">+P18*-1</f>
        <v>-0</v>
      </c>
      <c r="Q53" s="6" t="n">
        <f aca="false">+Q18*-1</f>
        <v>-0</v>
      </c>
      <c r="R53" s="6" t="n">
        <f aca="false">+R18*-1</f>
        <v>-0</v>
      </c>
      <c r="S53" s="6" t="n">
        <f aca="false">+S18*-1</f>
        <v>-0</v>
      </c>
    </row>
    <row r="54" customFormat="false" ht="14.25" hidden="false" customHeight="false" outlineLevel="0" collapsed="false">
      <c r="B54" s="6" t="s">
        <v>102</v>
      </c>
      <c r="E54" s="6" t="n">
        <f aca="false">+(E23+E24)*-1</f>
        <v>-3.551</v>
      </c>
      <c r="F54" s="6" t="n">
        <f aca="false">+(F23+F24)*-1</f>
        <v>-8.266</v>
      </c>
      <c r="G54" s="6" t="n">
        <f aca="false">+(G23+G24)*-1</f>
        <v>12.092</v>
      </c>
      <c r="H54" s="6" t="n">
        <f aca="false">+(H23+H24)*-1</f>
        <v>1.227</v>
      </c>
      <c r="I54" s="6" t="n">
        <f aca="false">+(I23+I24)*-1</f>
        <v>8.038</v>
      </c>
      <c r="J54" s="6" t="n">
        <f aca="false">+(J23+J24)*-1</f>
        <v>12.5</v>
      </c>
      <c r="K54" s="6" t="n">
        <f aca="false">+(K23+K24)*-1</f>
        <v>5</v>
      </c>
      <c r="L54" s="6" t="n">
        <f aca="false">+(L23+L24)*-1</f>
        <v>5</v>
      </c>
      <c r="M54" s="6" t="n">
        <f aca="false">+(M23+M24)*-1</f>
        <v>5</v>
      </c>
      <c r="N54" s="6" t="n">
        <f aca="false">+(N23+N24)*-1</f>
        <v>5</v>
      </c>
      <c r="O54" s="6" t="n">
        <f aca="false">+(O23+O24)*-1</f>
        <v>5</v>
      </c>
      <c r="P54" s="6" t="n">
        <f aca="false">+(P23+P24)*-1</f>
        <v>5</v>
      </c>
      <c r="Q54" s="6" t="n">
        <f aca="false">+(Q23+Q24)*-1</f>
        <v>5</v>
      </c>
      <c r="R54" s="6" t="n">
        <f aca="false">+(R23+R24)*-1</f>
        <v>5</v>
      </c>
      <c r="S54" s="6" t="n">
        <f aca="false">+(S23+S24)*-1</f>
        <v>5</v>
      </c>
    </row>
    <row r="55" customFormat="false" ht="14.25" hidden="false" customHeight="false" outlineLevel="0" collapsed="false">
      <c r="B55" s="6" t="s">
        <v>103</v>
      </c>
      <c r="E55" s="6" t="n">
        <f aca="false">+E25*-1</f>
        <v>10.554</v>
      </c>
      <c r="F55" s="6" t="n">
        <f aca="false">+F25*-1</f>
        <v>1.661</v>
      </c>
      <c r="G55" s="6" t="n">
        <f aca="false">+G25*-1</f>
        <v>17.961</v>
      </c>
      <c r="H55" s="6" t="n">
        <f aca="false">+H25*-1</f>
        <v>8.612</v>
      </c>
      <c r="I55" s="6" t="n">
        <f aca="false">+I25*-1</f>
        <v>6.281</v>
      </c>
      <c r="J55" s="6" t="n">
        <f aca="false">+J25*-1</f>
        <v>2.5</v>
      </c>
      <c r="K55" s="6" t="n">
        <f aca="false">+K25*-1</f>
        <v>2.5</v>
      </c>
      <c r="L55" s="6" t="n">
        <f aca="false">+L25*-1</f>
        <v>2.5</v>
      </c>
      <c r="M55" s="6" t="n">
        <f aca="false">+M25*-1</f>
        <v>2.5</v>
      </c>
      <c r="N55" s="6" t="n">
        <f aca="false">+N25*-1</f>
        <v>2.5</v>
      </c>
      <c r="O55" s="6" t="n">
        <f aca="false">+O25*-1</f>
        <v>2.5</v>
      </c>
      <c r="P55" s="6" t="n">
        <f aca="false">+P25*-1</f>
        <v>2.5</v>
      </c>
      <c r="Q55" s="6" t="n">
        <f aca="false">+Q25*-1</f>
        <v>2.5</v>
      </c>
      <c r="R55" s="6" t="n">
        <f aca="false">+R25*-1</f>
        <v>2.5</v>
      </c>
      <c r="S55" s="6" t="n">
        <f aca="false">+S25*-1</f>
        <v>2.5</v>
      </c>
    </row>
    <row r="56" s="9" customFormat="true" ht="14.25" hidden="false" customHeight="false" outlineLevel="0" collapsed="false">
      <c r="B56" s="51" t="s">
        <v>104</v>
      </c>
      <c r="C56" s="51"/>
      <c r="D56" s="51"/>
      <c r="E56" s="51" t="n">
        <f aca="false">SUM(E48:E55)</f>
        <v>105.463</v>
      </c>
      <c r="F56" s="51" t="n">
        <f aca="false">SUM(F48:F55)</f>
        <v>105.676</v>
      </c>
      <c r="G56" s="51" t="n">
        <f aca="false">SUM(G48:G55)</f>
        <v>106.453</v>
      </c>
      <c r="H56" s="51" t="n">
        <f aca="false">SUM(H48:H55)</f>
        <v>118.72</v>
      </c>
      <c r="I56" s="51" t="n">
        <f aca="false">SUM(I48:I55)</f>
        <v>117.432</v>
      </c>
      <c r="J56" s="51" t="n">
        <f aca="false">SUM(J48:J55)</f>
        <v>126.361126905782</v>
      </c>
      <c r="K56" s="51" t="n">
        <f aca="false">SUM(K48:K55)</f>
        <v>150.474390353766</v>
      </c>
      <c r="L56" s="51" t="n">
        <f aca="false">SUM(L48:L55)</f>
        <v>169.083615370224</v>
      </c>
      <c r="M56" s="51" t="n">
        <f aca="false">SUM(M48:M55)</f>
        <v>183.568947297173</v>
      </c>
      <c r="N56" s="51" t="n">
        <f aca="false">SUM(N48:N55)</f>
        <v>195.139536886341</v>
      </c>
      <c r="O56" s="51" t="n">
        <f aca="false">SUM(O48:O55)</f>
        <v>205.430933490847</v>
      </c>
      <c r="P56" s="51" t="n">
        <f aca="false">SUM(P48:P55)</f>
        <v>215.749047474146</v>
      </c>
      <c r="Q56" s="51" t="n">
        <f aca="false">SUM(Q48:Q55)</f>
        <v>226.516235741913</v>
      </c>
      <c r="R56" s="51" t="n">
        <f aca="false">SUM(R48:R55)</f>
        <v>237.424023802952</v>
      </c>
      <c r="S56" s="51" t="n">
        <f aca="false">SUM(S48:S55)</f>
        <v>249.857927861344</v>
      </c>
    </row>
    <row r="57" s="2" customFormat="true" ht="14.25" hidden="false" customHeight="false" outlineLevel="0" collapsed="false">
      <c r="B57" s="2" t="s">
        <v>74</v>
      </c>
      <c r="E57" s="53" t="n">
        <f aca="false">+E56/E$6</f>
        <v>0.242769603329528</v>
      </c>
      <c r="F57" s="53" t="n">
        <f aca="false">+F56/F$6</f>
        <v>0.240281946339245</v>
      </c>
      <c r="G57" s="53" t="n">
        <f aca="false">+G56/G$6</f>
        <v>0.250104549918475</v>
      </c>
      <c r="H57" s="53" t="n">
        <f aca="false">+H56/H$6</f>
        <v>0.262344928778832</v>
      </c>
      <c r="I57" s="53" t="n">
        <f aca="false">+I56/I$6</f>
        <v>0.231519469740134</v>
      </c>
      <c r="J57" s="53" t="n">
        <f aca="false">+J56/J$6</f>
        <v>0.240007710921196</v>
      </c>
      <c r="K57" s="53" t="n">
        <f aca="false">+K56/K$6</f>
        <v>0.257909839579886</v>
      </c>
      <c r="L57" s="53" t="n">
        <f aca="false">+L56/L$6</f>
        <v>0.258784783338365</v>
      </c>
      <c r="M57" s="53" t="n">
        <f aca="false">+M56/M$6</f>
        <v>0.259696738320515</v>
      </c>
      <c r="N57" s="53" t="n">
        <f aca="false">+N56/N$6</f>
        <v>0.259660782111406</v>
      </c>
      <c r="O57" s="53" t="n">
        <f aca="false">+O56/O$6</f>
        <v>0.259746017536148</v>
      </c>
      <c r="P57" s="53" t="n">
        <f aca="false">+P56/P$6</f>
        <v>0.259962772545939</v>
      </c>
      <c r="Q57" s="53" t="n">
        <f aca="false">+Q56/Q$6</f>
        <v>0.260302324745919</v>
      </c>
      <c r="R57" s="53" t="n">
        <f aca="false">+R56/R$6</f>
        <v>0.260340482998785</v>
      </c>
      <c r="S57" s="53" t="n">
        <f aca="false">+S56/S$6</f>
        <v>0.260963954418298</v>
      </c>
    </row>
    <row r="58" s="9" customFormat="true" ht="14.25" hidden="false" customHeight="false" outlineLevel="0" collapsed="false"/>
    <row r="59" s="9" customFormat="true" ht="14.25" hidden="false" customHeight="false" outlineLevel="0" collapsed="false">
      <c r="B59" s="69" t="s">
        <v>89</v>
      </c>
      <c r="E59" s="56" t="n">
        <v>-9.437</v>
      </c>
      <c r="F59" s="56" t="n">
        <v>-27.459</v>
      </c>
      <c r="G59" s="56" t="n">
        <v>-28.399</v>
      </c>
      <c r="H59" s="56" t="n">
        <v>-35.665</v>
      </c>
      <c r="I59" s="56" t="n">
        <v>-28.682</v>
      </c>
      <c r="J59" s="9" t="n">
        <f aca="false">+J60*J56*-1</f>
        <v>-29.3348428357142</v>
      </c>
      <c r="K59" s="9" t="n">
        <f aca="false">+K60*K56*-1</f>
        <v>-34.9327574066264</v>
      </c>
      <c r="L59" s="9" t="n">
        <f aca="false">+L60*L56*-1</f>
        <v>-39.2529047851732</v>
      </c>
      <c r="M59" s="9" t="n">
        <f aca="false">+M60*M56*-1</f>
        <v>-42.6156868836349</v>
      </c>
      <c r="N59" s="9" t="n">
        <f aca="false">+N60*N56*-1</f>
        <v>-45.3018090750575</v>
      </c>
      <c r="O59" s="9" t="n">
        <f aca="false">+O60*O56*-1</f>
        <v>-47.6909655296236</v>
      </c>
      <c r="P59" s="9" t="n">
        <f aca="false">+P60*P56*-1</f>
        <v>-50.0863244463475</v>
      </c>
      <c r="Q59" s="9" t="n">
        <f aca="false">+Q60*Q56*-1</f>
        <v>-52.5859363392757</v>
      </c>
      <c r="R59" s="9" t="n">
        <f aca="false">+R60*R56*-1</f>
        <v>-55.1181885935185</v>
      </c>
      <c r="S59" s="9" t="n">
        <f aca="false">+S60*S56*-1</f>
        <v>-58.0047299715426</v>
      </c>
    </row>
    <row r="60" customFormat="false" ht="14.25" hidden="false" customHeight="false" outlineLevel="0" collapsed="false">
      <c r="B60" s="49" t="s">
        <v>105</v>
      </c>
      <c r="E60" s="46" t="n">
        <f aca="false">+E59/E56*-1</f>
        <v>0.0894816191460512</v>
      </c>
      <c r="F60" s="46" t="n">
        <f aca="false">+F59/F56*-1</f>
        <v>0.259841402021273</v>
      </c>
      <c r="G60" s="46" t="n">
        <f aca="false">+G59/G56*-1</f>
        <v>0.266775008689281</v>
      </c>
      <c r="H60" s="46" t="n">
        <f aca="false">+H59/H56*-1</f>
        <v>0.300412735849057</v>
      </c>
      <c r="I60" s="46" t="n">
        <f aca="false">+I59/I56*-1</f>
        <v>0.244243477076095</v>
      </c>
      <c r="J60" s="70" t="n">
        <f aca="false">+AVERAGE(E60:I60)</f>
        <v>0.232150848556351</v>
      </c>
      <c r="K60" s="70" t="n">
        <f aca="false">+J60</f>
        <v>0.232150848556351</v>
      </c>
      <c r="L60" s="70" t="n">
        <f aca="false">+K60</f>
        <v>0.232150848556351</v>
      </c>
      <c r="M60" s="70" t="n">
        <f aca="false">+L60</f>
        <v>0.232150848556351</v>
      </c>
      <c r="N60" s="70" t="n">
        <f aca="false">+M60</f>
        <v>0.232150848556351</v>
      </c>
      <c r="O60" s="70" t="n">
        <f aca="false">+N60</f>
        <v>0.232150848556351</v>
      </c>
      <c r="P60" s="70" t="n">
        <f aca="false">+O60</f>
        <v>0.232150848556351</v>
      </c>
      <c r="Q60" s="70" t="n">
        <f aca="false">+P60</f>
        <v>0.232150848556351</v>
      </c>
      <c r="R60" s="70" t="n">
        <f aca="false">+Q60</f>
        <v>0.232150848556351</v>
      </c>
      <c r="S60" s="70" t="n">
        <f aca="false">+R60</f>
        <v>0.232150848556351</v>
      </c>
    </row>
    <row r="61" customFormat="false" ht="14.25" hidden="false" customHeight="false" outlineLevel="0" collapsed="false">
      <c r="B61" s="49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 s="9" customFormat="true" ht="14.25" hidden="false" customHeight="false" outlineLevel="0" collapsed="false">
      <c r="B62" s="71" t="s">
        <v>106</v>
      </c>
      <c r="C62" s="72"/>
      <c r="D62" s="72"/>
      <c r="E62" s="72" t="n">
        <f aca="false">+E56+E59</f>
        <v>96.026</v>
      </c>
      <c r="F62" s="72" t="n">
        <f aca="false">+F56+F59</f>
        <v>78.217</v>
      </c>
      <c r="G62" s="72" t="n">
        <f aca="false">+G56+G59</f>
        <v>78.054</v>
      </c>
      <c r="H62" s="72" t="n">
        <f aca="false">+H56+H59</f>
        <v>83.055</v>
      </c>
      <c r="I62" s="72" t="n">
        <f aca="false">+I56+I59</f>
        <v>88.75</v>
      </c>
      <c r="J62" s="72" t="n">
        <f aca="false">+J56+J59</f>
        <v>97.0262840700683</v>
      </c>
      <c r="K62" s="72" t="n">
        <f aca="false">+K56+K59</f>
        <v>115.54163294714</v>
      </c>
      <c r="L62" s="72" t="n">
        <f aca="false">+L56+L59</f>
        <v>129.830710585051</v>
      </c>
      <c r="M62" s="72" t="n">
        <f aca="false">+M56+M59</f>
        <v>140.953260413539</v>
      </c>
      <c r="N62" s="72" t="n">
        <f aca="false">+N56+N59</f>
        <v>149.837727811284</v>
      </c>
      <c r="O62" s="72" t="n">
        <f aca="false">+O56+O59</f>
        <v>157.739967961224</v>
      </c>
      <c r="P62" s="72" t="n">
        <f aca="false">+P56+P59</f>
        <v>165.662723027799</v>
      </c>
      <c r="Q62" s="72" t="n">
        <f aca="false">+Q56+Q59</f>
        <v>173.930299402638</v>
      </c>
      <c r="R62" s="72" t="n">
        <f aca="false">+R56+R59</f>
        <v>182.305835209433</v>
      </c>
      <c r="S62" s="72" t="n">
        <f aca="false">+S56+S59</f>
        <v>191.853197889802</v>
      </c>
      <c r="T62" s="73"/>
    </row>
    <row r="63" s="2" customFormat="true" ht="14.25" hidden="false" customHeight="false" outlineLevel="0" collapsed="false">
      <c r="B63" s="2" t="s">
        <v>74</v>
      </c>
      <c r="E63" s="53" t="n">
        <f aca="false">+E62/E$6</f>
        <v>0.221046186144157</v>
      </c>
      <c r="F63" s="53" t="n">
        <f aca="false">+F62/F$6</f>
        <v>0.177846748522056</v>
      </c>
      <c r="G63" s="53" t="n">
        <f aca="false">+G62/G$6</f>
        <v>0.183382906440745</v>
      </c>
      <c r="H63" s="53" t="n">
        <f aca="false">+H62/H$6</f>
        <v>0.183533170988257</v>
      </c>
      <c r="I63" s="53" t="n">
        <f aca="false">+I62/I$6</f>
        <v>0.17497234943999</v>
      </c>
      <c r="J63" s="53" t="n">
        <f aca="false">+J62/J$6</f>
        <v>0.184289717170773</v>
      </c>
      <c r="K63" s="53" t="n">
        <f aca="false">+K62/K$6</f>
        <v>0.198035851470383</v>
      </c>
      <c r="L63" s="53" t="n">
        <f aca="false">+L62/L$6</f>
        <v>0.198707676292892</v>
      </c>
      <c r="M63" s="53" t="n">
        <f aca="false">+M62/M$6</f>
        <v>0.19940792015209</v>
      </c>
      <c r="N63" s="53" t="n">
        <f aca="false">+N62/N$6</f>
        <v>0.199380311207438</v>
      </c>
      <c r="O63" s="53" t="n">
        <f aca="false">+O62/O$6</f>
        <v>0.199445759155998</v>
      </c>
      <c r="P63" s="53" t="n">
        <f aca="false">+P62/P$6</f>
        <v>0.199612194306337</v>
      </c>
      <c r="Q63" s="53" t="n">
        <f aca="false">+Q62/Q$6</f>
        <v>0.199872919174963</v>
      </c>
      <c r="R63" s="53" t="n">
        <f aca="false">+R62/R$6</f>
        <v>0.199902218957047</v>
      </c>
      <c r="S63" s="53" t="n">
        <f aca="false">+S62/S$6</f>
        <v>0.200380950957469</v>
      </c>
    </row>
    <row r="64" customFormat="false" ht="14.25" hidden="false" customHeight="false" outlineLevel="0" collapsed="false">
      <c r="B64" s="49"/>
    </row>
    <row r="65" customFormat="false" ht="14.25" hidden="false" customHeight="false" outlineLevel="0" collapsed="false">
      <c r="B65" s="6" t="s">
        <v>107</v>
      </c>
      <c r="E65" s="6" t="n">
        <f aca="false">+E52*-1</f>
        <v>0</v>
      </c>
      <c r="F65" s="6" t="n">
        <f aca="false">+F52*-1</f>
        <v>0</v>
      </c>
      <c r="G65" s="6" t="n">
        <f aca="false">+G52*-1</f>
        <v>0</v>
      </c>
      <c r="H65" s="6" t="n">
        <f aca="false">+H52*-1</f>
        <v>-5.075</v>
      </c>
      <c r="I65" s="6" t="n">
        <f aca="false">+I52*-1</f>
        <v>-7.414</v>
      </c>
      <c r="J65" s="6" t="n">
        <f aca="false">+J52*-1</f>
        <v>-5</v>
      </c>
      <c r="K65" s="6" t="n">
        <f aca="false">+K52*-1</f>
        <v>-5</v>
      </c>
      <c r="L65" s="6" t="n">
        <f aca="false">+L52*-1</f>
        <v>-5</v>
      </c>
      <c r="M65" s="6" t="n">
        <f aca="false">+M52*-1</f>
        <v>-5</v>
      </c>
      <c r="N65" s="6" t="n">
        <f aca="false">+N52*-1</f>
        <v>-5</v>
      </c>
      <c r="O65" s="6" t="n">
        <f aca="false">+O52*-1</f>
        <v>-5</v>
      </c>
      <c r="P65" s="6" t="n">
        <f aca="false">+P52*-1</f>
        <v>-5</v>
      </c>
      <c r="Q65" s="6" t="n">
        <f aca="false">+Q52*-1</f>
        <v>-5</v>
      </c>
      <c r="R65" s="6" t="n">
        <f aca="false">+R52*-1</f>
        <v>-5</v>
      </c>
      <c r="S65" s="6" t="n">
        <f aca="false">+S52*-1</f>
        <v>-5</v>
      </c>
    </row>
    <row r="66" customFormat="false" ht="14.25" hidden="false" customHeight="false" outlineLevel="0" collapsed="false">
      <c r="B66" s="6" t="s">
        <v>108</v>
      </c>
      <c r="E66" s="6" t="n">
        <f aca="false">+E54*-1</f>
        <v>3.551</v>
      </c>
      <c r="F66" s="6" t="n">
        <f aca="false">+F54*-1</f>
        <v>8.266</v>
      </c>
      <c r="G66" s="6" t="n">
        <f aca="false">+G54*-1</f>
        <v>-12.092</v>
      </c>
      <c r="H66" s="6" t="n">
        <f aca="false">+H54*-1</f>
        <v>-1.227</v>
      </c>
      <c r="I66" s="6" t="n">
        <f aca="false">+I54*-1</f>
        <v>-8.038</v>
      </c>
      <c r="J66" s="6" t="n">
        <f aca="false">+J54*-1</f>
        <v>-12.5</v>
      </c>
      <c r="K66" s="6" t="n">
        <f aca="false">+K54*-1</f>
        <v>-5</v>
      </c>
      <c r="L66" s="6" t="n">
        <f aca="false">+L54*-1</f>
        <v>-5</v>
      </c>
      <c r="M66" s="6" t="n">
        <f aca="false">+M54*-1</f>
        <v>-5</v>
      </c>
      <c r="N66" s="6" t="n">
        <f aca="false">+N54*-1</f>
        <v>-5</v>
      </c>
      <c r="O66" s="6" t="n">
        <f aca="false">+O54*-1</f>
        <v>-5</v>
      </c>
      <c r="P66" s="6" t="n">
        <f aca="false">+P54*-1</f>
        <v>-5</v>
      </c>
      <c r="Q66" s="6" t="n">
        <f aca="false">+Q54*-1</f>
        <v>-5</v>
      </c>
      <c r="R66" s="6" t="n">
        <f aca="false">+R54*-1</f>
        <v>-5</v>
      </c>
      <c r="S66" s="6" t="n">
        <f aca="false">+S54*-1</f>
        <v>-5</v>
      </c>
    </row>
    <row r="67" customFormat="false" ht="14.25" hidden="false" customHeight="false" outlineLevel="0" collapsed="false">
      <c r="B67" s="6" t="s">
        <v>109</v>
      </c>
      <c r="E67" s="6" t="n">
        <f aca="false">+E55*-1</f>
        <v>-10.554</v>
      </c>
      <c r="F67" s="6" t="n">
        <f aca="false">+F55*-1</f>
        <v>-1.661</v>
      </c>
      <c r="G67" s="6" t="n">
        <f aca="false">+G55*-1</f>
        <v>-17.961</v>
      </c>
      <c r="H67" s="6" t="n">
        <f aca="false">+H55*-1</f>
        <v>-8.612</v>
      </c>
      <c r="I67" s="6" t="n">
        <f aca="false">+I55*-1</f>
        <v>-6.281</v>
      </c>
      <c r="J67" s="6" t="n">
        <f aca="false">+J55*-1</f>
        <v>-2.5</v>
      </c>
      <c r="K67" s="6" t="n">
        <f aca="false">+K55*-1</f>
        <v>-2.5</v>
      </c>
      <c r="L67" s="6" t="n">
        <f aca="false">+L55*-1</f>
        <v>-2.5</v>
      </c>
      <c r="M67" s="6" t="n">
        <f aca="false">+M55*-1</f>
        <v>-2.5</v>
      </c>
      <c r="N67" s="6" t="n">
        <f aca="false">+N55*-1</f>
        <v>-2.5</v>
      </c>
      <c r="O67" s="6" t="n">
        <f aca="false">+O55*-1</f>
        <v>-2.5</v>
      </c>
      <c r="P67" s="6" t="n">
        <f aca="false">+P55*-1</f>
        <v>-2.5</v>
      </c>
      <c r="Q67" s="6" t="n">
        <f aca="false">+Q55*-1</f>
        <v>-2.5</v>
      </c>
      <c r="R67" s="6" t="n">
        <f aca="false">+R55*-1</f>
        <v>-2.5</v>
      </c>
      <c r="S67" s="6" t="n">
        <f aca="false">+S55*-1</f>
        <v>-2.5</v>
      </c>
    </row>
    <row r="68" s="9" customFormat="true" ht="14.25" hidden="false" customHeight="false" outlineLevel="0" collapsed="false">
      <c r="B68" s="51" t="s">
        <v>110</v>
      </c>
      <c r="C68" s="51"/>
      <c r="D68" s="51"/>
      <c r="E68" s="51" t="n">
        <f aca="false">+E56+E65+E66+E67</f>
        <v>98.46</v>
      </c>
      <c r="F68" s="51" t="n">
        <f aca="false">+F56+F65+F66+F67</f>
        <v>112.281</v>
      </c>
      <c r="G68" s="51" t="n">
        <f aca="false">+G56+G65+G66+G67</f>
        <v>76.4</v>
      </c>
      <c r="H68" s="51" t="n">
        <f aca="false">+H56+H65+H66+H67</f>
        <v>103.806</v>
      </c>
      <c r="I68" s="51" t="n">
        <f aca="false">+I56+I65+I66+I67</f>
        <v>95.699</v>
      </c>
      <c r="J68" s="51" t="n">
        <f aca="false">+J56+J65+J66+J67</f>
        <v>106.361126905782</v>
      </c>
      <c r="K68" s="51" t="n">
        <f aca="false">+K56+K65+K66+K67</f>
        <v>137.974390353766</v>
      </c>
      <c r="L68" s="51" t="n">
        <f aca="false">+L56+L65+L66+L67</f>
        <v>156.583615370224</v>
      </c>
      <c r="M68" s="51" t="n">
        <f aca="false">+M56+M65+M66+M67</f>
        <v>171.068947297173</v>
      </c>
      <c r="N68" s="51" t="n">
        <f aca="false">+N56+N65+N66+N67</f>
        <v>182.639536886341</v>
      </c>
      <c r="O68" s="51" t="n">
        <f aca="false">+O56+O65+O66+O67</f>
        <v>192.930933490847</v>
      </c>
      <c r="P68" s="51" t="n">
        <f aca="false">+P56+P65+P66+P67</f>
        <v>203.249047474146</v>
      </c>
      <c r="Q68" s="51" t="n">
        <f aca="false">+Q56+Q65+Q66+Q67</f>
        <v>214.016235741913</v>
      </c>
      <c r="R68" s="51" t="n">
        <f aca="false">+R56+R65+R66+R67</f>
        <v>224.924023802952</v>
      </c>
      <c r="S68" s="51" t="n">
        <f aca="false">+S56+S65+S66+S67</f>
        <v>237.357927861344</v>
      </c>
    </row>
    <row r="69" s="9" customFormat="true" ht="14.25" hidden="false" customHeight="false" outlineLevel="0" collapsed="false">
      <c r="B69" s="2" t="s">
        <v>74</v>
      </c>
      <c r="E69" s="53" t="n">
        <f aca="false">+E68/E6</f>
        <v>0.226649110529999</v>
      </c>
      <c r="F69" s="53" t="n">
        <f aca="false">+F68/F6</f>
        <v>0.255300136425648</v>
      </c>
      <c r="G69" s="53" t="n">
        <f aca="false">+G68/G6</f>
        <v>0.17949693868441</v>
      </c>
      <c r="H69" s="53" t="n">
        <f aca="false">+H68/H6</f>
        <v>0.229388289056734</v>
      </c>
      <c r="I69" s="53" t="n">
        <f aca="false">+I68/I6</f>
        <v>0.188672437961212</v>
      </c>
      <c r="J69" s="53" t="n">
        <f aca="false">+J68/J6</f>
        <v>0.202020124580636</v>
      </c>
      <c r="K69" s="53" t="n">
        <f aca="false">+K68/K6</f>
        <v>0.236485110845852</v>
      </c>
      <c r="L69" s="53" t="n">
        <f aca="false">+L68/L6</f>
        <v>0.239653362563817</v>
      </c>
      <c r="M69" s="53" t="n">
        <f aca="false">+M68/M6</f>
        <v>0.242012869252228</v>
      </c>
      <c r="N69" s="53" t="n">
        <f aca="false">+N68/N6</f>
        <v>0.243027762333958</v>
      </c>
      <c r="O69" s="53" t="n">
        <f aca="false">+O68/O6</f>
        <v>0.243941069546917</v>
      </c>
      <c r="P69" s="53" t="n">
        <f aca="false">+P68/P6</f>
        <v>0.244901131742108</v>
      </c>
      <c r="Q69" s="53" t="n">
        <f aca="false">+Q68/Q6</f>
        <v>0.245937883942518</v>
      </c>
      <c r="R69" s="53" t="n">
        <f aca="false">+R68/R6</f>
        <v>0.24663396760342</v>
      </c>
      <c r="S69" s="53" t="n">
        <f aca="false">+S68/S6</f>
        <v>0.247908337339624</v>
      </c>
    </row>
    <row r="70" s="9" customFormat="true" ht="14.25" hidden="false" customHeight="false" outlineLevel="0" collapsed="false"/>
    <row r="71" s="9" customFormat="true" ht="14.25" hidden="false" customHeight="false" outlineLevel="0" collapsed="false">
      <c r="B71" s="72" t="s">
        <v>111</v>
      </c>
      <c r="C71" s="72"/>
      <c r="D71" s="72"/>
      <c r="E71" s="72" t="n">
        <f aca="false">+E68*(1-E60)</f>
        <v>89.6496397788798</v>
      </c>
      <c r="F71" s="72" t="n">
        <f aca="false">+F68*(1-F60)</f>
        <v>83.1057475396495</v>
      </c>
      <c r="G71" s="72" t="n">
        <f aca="false">+G68*(1-G60)</f>
        <v>56.018389336139</v>
      </c>
      <c r="H71" s="72" t="n">
        <f aca="false">+H68*(1-H60)</f>
        <v>72.6213555424528</v>
      </c>
      <c r="I71" s="72" t="n">
        <f aca="false">+I68*(1-I60)</f>
        <v>72.3251434872948</v>
      </c>
      <c r="J71" s="72" t="n">
        <f aca="false">+J68*(1-J60)</f>
        <v>81.6693010411953</v>
      </c>
      <c r="K71" s="72" t="n">
        <f aca="false">+K68*(1-K60)</f>
        <v>105.943518554094</v>
      </c>
      <c r="L71" s="72" t="n">
        <f aca="false">+L68*(1-L60)</f>
        <v>120.232596192005</v>
      </c>
      <c r="M71" s="72" t="n">
        <f aca="false">+M68*(1-M60)</f>
        <v>131.355146020493</v>
      </c>
      <c r="N71" s="72" t="n">
        <f aca="false">+N68*(1-N60)</f>
        <v>140.239613418238</v>
      </c>
      <c r="O71" s="72" t="n">
        <f aca="false">+O68*(1-O60)</f>
        <v>148.141853568178</v>
      </c>
      <c r="P71" s="72" t="n">
        <f aca="false">+P68*(1-P60)</f>
        <v>156.064608634753</v>
      </c>
      <c r="Q71" s="72" t="n">
        <f aca="false">+Q68*(1-Q60)</f>
        <v>164.332185009592</v>
      </c>
      <c r="R71" s="72" t="n">
        <f aca="false">+R68*(1-R60)</f>
        <v>172.707720816387</v>
      </c>
      <c r="S71" s="72" t="n">
        <f aca="false">+S68*(1-S60)</f>
        <v>182.255083496756</v>
      </c>
    </row>
    <row r="72" s="2" customFormat="true" ht="14.25" hidden="false" customHeight="false" outlineLevel="0" collapsed="false">
      <c r="B72" s="2" t="s">
        <v>112</v>
      </c>
      <c r="E72" s="53" t="n">
        <f aca="false">+E71/E6</f>
        <v>0.206368181141762</v>
      </c>
      <c r="F72" s="53" t="n">
        <f aca="false">+F71/F6</f>
        <v>0.188962591040586</v>
      </c>
      <c r="G72" s="53" t="n">
        <f aca="false">+G71/G6</f>
        <v>0.131611641307177</v>
      </c>
      <c r="H72" s="53" t="n">
        <f aca="false">+H71/H6</f>
        <v>0.160477125569466</v>
      </c>
      <c r="I72" s="53" t="n">
        <f aca="false">+I71/I6</f>
        <v>0.142590425685142</v>
      </c>
      <c r="J72" s="53" t="n">
        <f aca="false">+J71/J6</f>
        <v>0.155120981233782</v>
      </c>
      <c r="K72" s="53" t="n">
        <f aca="false">+K71/K6</f>
        <v>0.181584891692045</v>
      </c>
      <c r="L72" s="53" t="n">
        <f aca="false">+L71/L6</f>
        <v>0.184017631085244</v>
      </c>
      <c r="M72" s="53" t="n">
        <f aca="false">+M71/M6</f>
        <v>0.185829376293766</v>
      </c>
      <c r="N72" s="53" t="n">
        <f aca="false">+N71/N6</f>
        <v>0.186608661085379</v>
      </c>
      <c r="O72" s="53" t="n">
        <f aca="false">+O71/O6</f>
        <v>0.187309943253857</v>
      </c>
      <c r="P72" s="53" t="n">
        <f aca="false">+P71/P6</f>
        <v>0.188047126195767</v>
      </c>
      <c r="Q72" s="53" t="n">
        <f aca="false">+Q71/Q6</f>
        <v>0.188843195493109</v>
      </c>
      <c r="R72" s="53" t="n">
        <f aca="false">+R71/R6</f>
        <v>0.189377682741466</v>
      </c>
      <c r="S72" s="53" t="n">
        <f aca="false">+S71/S6</f>
        <v>0.190356206462036</v>
      </c>
    </row>
    <row r="74" customFormat="false" ht="14.25" hidden="false" customHeight="false" outlineLevel="0" collapsed="false">
      <c r="B74" s="6" t="s">
        <v>113</v>
      </c>
      <c r="H74" s="65" t="n">
        <f aca="false">+'RevBuild Calcs'!H21</f>
        <v>32.195</v>
      </c>
      <c r="I74" s="65" t="n">
        <f aca="false">+'RevBuild Calcs'!I21</f>
        <v>28.106</v>
      </c>
      <c r="J74" s="65" t="n">
        <f aca="false">+'RevBuild Calcs'!J21</f>
        <v>26.010816</v>
      </c>
      <c r="K74" s="65" t="n">
        <f aca="false">+'RevBuild Calcs'!K21</f>
        <v>24.97038336</v>
      </c>
      <c r="L74" s="65" t="n">
        <f aca="false">+'RevBuild Calcs'!L21</f>
        <v>23.9715680256</v>
      </c>
      <c r="M74" s="65" t="n">
        <f aca="false">+'RevBuild Calcs'!M21</f>
        <v>23.012705304576</v>
      </c>
      <c r="N74" s="65" t="n">
        <f aca="false">+'RevBuild Calcs'!N21</f>
        <v>22.092197092393</v>
      </c>
      <c r="O74" s="65" t="n">
        <f aca="false">+'RevBuild Calcs'!O21</f>
        <v>21.2085092086972</v>
      </c>
      <c r="P74" s="65" t="n">
        <f aca="false">+'RevBuild Calcs'!P21</f>
        <v>20.3601688403493</v>
      </c>
      <c r="Q74" s="65" t="n">
        <f aca="false">+'RevBuild Calcs'!Q21</f>
        <v>19.5457620867354</v>
      </c>
      <c r="R74" s="65" t="n">
        <f aca="false">+'RevBuild Calcs'!R21</f>
        <v>18.763931603266</v>
      </c>
      <c r="S74" s="65" t="n">
        <f aca="false">+'RevBuild Calcs'!S21</f>
        <v>18.763931603266</v>
      </c>
    </row>
    <row r="75" customFormat="false" ht="14.25" hidden="false" customHeight="false" outlineLevel="0" collapsed="false">
      <c r="B75" s="6" t="s">
        <v>114</v>
      </c>
      <c r="H75" s="66" t="n">
        <v>-10</v>
      </c>
      <c r="I75" s="66" t="n">
        <v>-10</v>
      </c>
      <c r="J75" s="66" t="n">
        <v>-10</v>
      </c>
      <c r="K75" s="66" t="n">
        <v>-10</v>
      </c>
      <c r="L75" s="66" t="n">
        <v>-10</v>
      </c>
      <c r="M75" s="66" t="n">
        <v>-10</v>
      </c>
      <c r="N75" s="66" t="n">
        <v>-5</v>
      </c>
      <c r="O75" s="66" t="n">
        <v>-5</v>
      </c>
      <c r="P75" s="66" t="n">
        <v>-5</v>
      </c>
      <c r="Q75" s="66" t="n">
        <v>-5</v>
      </c>
      <c r="R75" s="66" t="n">
        <v>-5</v>
      </c>
      <c r="S75" s="66" t="n">
        <v>-5</v>
      </c>
    </row>
    <row r="76" customFormat="false" ht="14.25" hidden="false" customHeight="false" outlineLevel="0" collapsed="false">
      <c r="B76" s="6" t="s">
        <v>115</v>
      </c>
      <c r="H76" s="6" t="n">
        <f aca="false">+H75+H74</f>
        <v>22.195</v>
      </c>
      <c r="I76" s="6" t="n">
        <f aca="false">+I75+I74</f>
        <v>18.106</v>
      </c>
      <c r="J76" s="6" t="n">
        <f aca="false">+J75+J74</f>
        <v>16.010816</v>
      </c>
      <c r="K76" s="6" t="n">
        <f aca="false">+K75+K74</f>
        <v>14.97038336</v>
      </c>
      <c r="L76" s="6" t="n">
        <f aca="false">+L75+L74</f>
        <v>13.9715680256</v>
      </c>
      <c r="M76" s="6" t="n">
        <f aca="false">+M75+M74</f>
        <v>13.012705304576</v>
      </c>
      <c r="N76" s="6" t="n">
        <f aca="false">+N75+N74</f>
        <v>17.092197092393</v>
      </c>
      <c r="O76" s="6" t="n">
        <f aca="false">+O75+O74</f>
        <v>16.2085092086972</v>
      </c>
      <c r="P76" s="6" t="n">
        <f aca="false">+P75+P74</f>
        <v>15.3601688403493</v>
      </c>
      <c r="Q76" s="6" t="n">
        <f aca="false">+Q75+Q74</f>
        <v>14.5457620867354</v>
      </c>
      <c r="R76" s="6" t="n">
        <f aca="false">+R75+R74</f>
        <v>13.763931603266</v>
      </c>
      <c r="S76" s="6" t="n">
        <f aca="false">+S75+S74</f>
        <v>13.763931603266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ADA"/>
    <pageSetUpPr fitToPage="false"/>
  </sheetPr>
  <dimension ref="A1:S12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85" workbookViewId="0">
      <pane xSplit="4" ySplit="3" topLeftCell="E29" activePane="bottomRight" state="frozen"/>
      <selection pane="topLeft" activeCell="A1" activeCellId="0" sqref="A1"/>
      <selection pane="topRight" activeCell="E1" activeCellId="0" sqref="E1"/>
      <selection pane="bottomLeft" activeCell="A29" activeCellId="0" sqref="A29"/>
      <selection pane="bottomRight" activeCell="J29" activeCellId="0" sqref="J29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E3" s="3" t="n">
        <v>2018</v>
      </c>
      <c r="F3" s="3" t="n">
        <f aca="false">+E3+1</f>
        <v>2019</v>
      </c>
      <c r="G3" s="3" t="n">
        <f aca="false">+F3+1</f>
        <v>2020</v>
      </c>
      <c r="H3" s="3" t="n">
        <f aca="false">+G3+1</f>
        <v>2021</v>
      </c>
      <c r="I3" s="3" t="n">
        <f aca="false">+H3+1</f>
        <v>2022</v>
      </c>
      <c r="J3" s="4" t="n">
        <f aca="false">+I3+1</f>
        <v>2023</v>
      </c>
      <c r="K3" s="4" t="n">
        <f aca="false">+J3+1</f>
        <v>2024</v>
      </c>
      <c r="L3" s="4" t="n">
        <f aca="false">+K3+1</f>
        <v>2025</v>
      </c>
      <c r="M3" s="4" t="n">
        <f aca="false">+L3+1</f>
        <v>2026</v>
      </c>
      <c r="N3" s="4" t="n">
        <f aca="false">+M3+1</f>
        <v>2027</v>
      </c>
      <c r="O3" s="4" t="n">
        <f aca="false">+N3+1</f>
        <v>2028</v>
      </c>
      <c r="P3" s="4" t="n">
        <f aca="false">+O3+1</f>
        <v>2029</v>
      </c>
      <c r="Q3" s="4" t="n">
        <f aca="false">+P3+1</f>
        <v>2030</v>
      </c>
      <c r="R3" s="4" t="n">
        <f aca="false">+Q3+1</f>
        <v>2031</v>
      </c>
      <c r="S3" s="4" t="n">
        <f aca="false">+R3+1</f>
        <v>2032</v>
      </c>
    </row>
    <row r="5" customFormat="false" ht="14.25" hidden="false" customHeight="false" outlineLevel="0" collapsed="false">
      <c r="A5" s="6" t="s">
        <v>2</v>
      </c>
      <c r="B5" s="5" t="s">
        <v>116</v>
      </c>
    </row>
    <row r="6" customFormat="false" ht="14.25" hidden="false" customHeight="false" outlineLevel="0" collapsed="false">
      <c r="B6" s="6" t="s">
        <v>117</v>
      </c>
      <c r="E6" s="56" t="n">
        <v>46.55</v>
      </c>
      <c r="F6" s="56" t="n">
        <v>39.999</v>
      </c>
      <c r="G6" s="56" t="n">
        <v>67.889</v>
      </c>
      <c r="H6" s="56" t="n">
        <v>78.431</v>
      </c>
      <c r="I6" s="56" t="n">
        <v>59.899</v>
      </c>
      <c r="J6" s="65" t="n">
        <f aca="false">+'Debt Calcs'!J70</f>
        <v>35</v>
      </c>
      <c r="K6" s="65" t="n">
        <f aca="false">+'Debt Calcs'!K70</f>
        <v>35</v>
      </c>
      <c r="L6" s="65" t="n">
        <f aca="false">+'Debt Calcs'!L70</f>
        <v>35</v>
      </c>
      <c r="M6" s="65" t="n">
        <f aca="false">+'Debt Calcs'!M70</f>
        <v>35</v>
      </c>
      <c r="N6" s="65" t="n">
        <f aca="false">+'Debt Calcs'!N70</f>
        <v>35</v>
      </c>
      <c r="O6" s="65" t="n">
        <f aca="false">+'Debt Calcs'!O70</f>
        <v>35</v>
      </c>
      <c r="P6" s="65" t="n">
        <f aca="false">+'Debt Calcs'!P70</f>
        <v>35</v>
      </c>
      <c r="Q6" s="65" t="n">
        <f aca="false">+'Debt Calcs'!Q70</f>
        <v>35</v>
      </c>
      <c r="R6" s="65" t="n">
        <f aca="false">+'Debt Calcs'!R70</f>
        <v>35</v>
      </c>
      <c r="S6" s="65" t="n">
        <f aca="false">+'Debt Calcs'!S70</f>
        <v>35</v>
      </c>
    </row>
    <row r="7" customFormat="false" ht="14.25" hidden="false" customHeight="false" outlineLevel="0" collapsed="false">
      <c r="B7" s="6" t="s">
        <v>118</v>
      </c>
      <c r="E7" s="56" t="n">
        <v>0</v>
      </c>
      <c r="F7" s="56" t="n">
        <v>0</v>
      </c>
      <c r="G7" s="56" t="n">
        <v>16.637</v>
      </c>
      <c r="H7" s="56" t="n">
        <v>13.626</v>
      </c>
      <c r="I7" s="56" t="n">
        <v>8.835</v>
      </c>
      <c r="J7" s="74" t="n">
        <f aca="false">+I7</f>
        <v>8.835</v>
      </c>
      <c r="K7" s="56" t="n">
        <f aca="false">+J7</f>
        <v>8.835</v>
      </c>
      <c r="L7" s="56" t="n">
        <f aca="false">+K7</f>
        <v>8.835</v>
      </c>
      <c r="M7" s="56" t="n">
        <f aca="false">+L7</f>
        <v>8.835</v>
      </c>
      <c r="N7" s="56" t="n">
        <f aca="false">+M7</f>
        <v>8.835</v>
      </c>
      <c r="O7" s="56" t="n">
        <f aca="false">+N7</f>
        <v>8.835</v>
      </c>
      <c r="P7" s="56" t="n">
        <f aca="false">+O7</f>
        <v>8.835</v>
      </c>
      <c r="Q7" s="56" t="n">
        <f aca="false">+P7</f>
        <v>8.835</v>
      </c>
      <c r="R7" s="56" t="n">
        <f aca="false">+Q7</f>
        <v>8.835</v>
      </c>
      <c r="S7" s="56" t="n">
        <f aca="false">+R7</f>
        <v>8.835</v>
      </c>
    </row>
    <row r="8" customFormat="false" ht="14.25" hidden="false" customHeight="false" outlineLevel="0" collapsed="false">
      <c r="B8" s="6" t="s">
        <v>119</v>
      </c>
      <c r="E8" s="56" t="n">
        <v>251.538</v>
      </c>
      <c r="F8" s="56" t="n">
        <v>265.71</v>
      </c>
      <c r="G8" s="56" t="n">
        <v>200.217</v>
      </c>
      <c r="H8" s="56" t="n">
        <v>195.24</v>
      </c>
      <c r="I8" s="56" t="n">
        <v>249.66</v>
      </c>
      <c r="J8" s="65" t="n">
        <f aca="false">+'FS Calcs'!J15</f>
        <v>259.14230852071</v>
      </c>
      <c r="K8" s="65" t="n">
        <f aca="false">+'FS Calcs'!K15</f>
        <v>287.173729876238</v>
      </c>
      <c r="L8" s="65" t="n">
        <f aca="false">+'FS Calcs'!L15</f>
        <v>321.597613404881</v>
      </c>
      <c r="M8" s="65" t="n">
        <f aca="false">+'FS Calcs'!M15</f>
        <v>347.922688093915</v>
      </c>
      <c r="N8" s="65" t="n">
        <f aca="false">+'FS Calcs'!N15</f>
        <v>369.903922706878</v>
      </c>
      <c r="O8" s="65" t="n">
        <f aca="false">+'FS Calcs'!O15</f>
        <v>389.284372611138</v>
      </c>
      <c r="P8" s="65" t="n">
        <f aca="false">+'FS Calcs'!P15</f>
        <v>408.495949563095</v>
      </c>
      <c r="Q8" s="65" t="n">
        <f aca="false">+'FS Calcs'!Q15</f>
        <v>428.32292230146</v>
      </c>
      <c r="R8" s="65" t="n">
        <f aca="false">+'FS Calcs'!R15</f>
        <v>448.88281847474</v>
      </c>
      <c r="S8" s="65" t="n">
        <f aca="false">+'FS Calcs'!S15</f>
        <v>471.262233340863</v>
      </c>
    </row>
    <row r="9" customFormat="false" ht="14.25" hidden="false" customHeight="false" outlineLevel="0" collapsed="false">
      <c r="B9" s="6" t="s">
        <v>120</v>
      </c>
      <c r="E9" s="56" t="n">
        <v>8.58</v>
      </c>
      <c r="F9" s="56" t="n">
        <v>7.182</v>
      </c>
      <c r="G9" s="56" t="n">
        <v>8.779</v>
      </c>
      <c r="H9" s="56" t="n">
        <v>6.184</v>
      </c>
      <c r="I9" s="56" t="n">
        <v>8.583</v>
      </c>
      <c r="J9" s="65" t="n">
        <f aca="false">+'FS Calcs'!J18</f>
        <v>8.583</v>
      </c>
      <c r="K9" s="65" t="n">
        <f aca="false">+'FS Calcs'!K18</f>
        <v>8.583</v>
      </c>
      <c r="L9" s="65" t="n">
        <f aca="false">+'FS Calcs'!L18</f>
        <v>8.583</v>
      </c>
      <c r="M9" s="65" t="n">
        <f aca="false">+'FS Calcs'!M18</f>
        <v>8.583</v>
      </c>
      <c r="N9" s="65" t="n">
        <f aca="false">+'FS Calcs'!N18</f>
        <v>8.583</v>
      </c>
      <c r="O9" s="65" t="n">
        <f aca="false">+'FS Calcs'!O18</f>
        <v>8.583</v>
      </c>
      <c r="P9" s="65" t="n">
        <f aca="false">+'FS Calcs'!P18</f>
        <v>8.583</v>
      </c>
      <c r="Q9" s="65" t="n">
        <f aca="false">+'FS Calcs'!Q18</f>
        <v>8.583</v>
      </c>
      <c r="R9" s="65" t="n">
        <f aca="false">+'FS Calcs'!R18</f>
        <v>8.583</v>
      </c>
      <c r="S9" s="65" t="n">
        <f aca="false">+'FS Calcs'!S18</f>
        <v>8.583</v>
      </c>
    </row>
    <row r="10" customFormat="false" ht="14.25" hidden="false" customHeight="false" outlineLevel="0" collapsed="false">
      <c r="B10" s="6" t="s">
        <v>121</v>
      </c>
      <c r="E10" s="56" t="n">
        <v>186.008</v>
      </c>
      <c r="F10" s="56" t="n">
        <v>148.561</v>
      </c>
      <c r="G10" s="56" t="n">
        <v>140.548</v>
      </c>
      <c r="H10" s="56" t="n">
        <v>147.783</v>
      </c>
      <c r="I10" s="56" t="n">
        <v>163.563</v>
      </c>
      <c r="J10" s="65" t="n">
        <f aca="false">+'FS Calcs'!J35</f>
        <v>184.696143</v>
      </c>
      <c r="K10" s="65" t="n">
        <f aca="false">+'FS Calcs'!K35</f>
        <v>210.720247089555</v>
      </c>
      <c r="L10" s="65" t="n">
        <f aca="false">+'FS Calcs'!L35</f>
        <v>240.37204654657</v>
      </c>
      <c r="M10" s="65" t="n">
        <f aca="false">+'FS Calcs'!M35</f>
        <v>268.890982626706</v>
      </c>
      <c r="N10" s="65" t="n">
        <f aca="false">+'FS Calcs'!N35</f>
        <v>295.379131476947</v>
      </c>
      <c r="O10" s="65" t="n">
        <f aca="false">+'FS Calcs'!O35</f>
        <v>320.561918025345</v>
      </c>
      <c r="P10" s="65" t="n">
        <f aca="false">+'FS Calcs'!P35</f>
        <v>344.584619533483</v>
      </c>
      <c r="Q10" s="65" t="n">
        <f aca="false">+'FS Calcs'!Q35</f>
        <v>367.407457418893</v>
      </c>
      <c r="R10" s="65" t="n">
        <f aca="false">+'FS Calcs'!R35</f>
        <v>388.965534768074</v>
      </c>
      <c r="S10" s="65" t="n">
        <f aca="false">+'FS Calcs'!S35</f>
        <v>408.992041125764</v>
      </c>
    </row>
    <row r="11" s="9" customFormat="true" ht="14.25" hidden="false" customHeight="false" outlineLevel="0" collapsed="false">
      <c r="B11" s="9" t="s">
        <v>122</v>
      </c>
      <c r="E11" s="9" t="n">
        <f aca="false">SUM(E6:E10)</f>
        <v>492.676</v>
      </c>
      <c r="F11" s="9" t="n">
        <f aca="false">SUM(F6:F10)</f>
        <v>461.452</v>
      </c>
      <c r="G11" s="9" t="n">
        <f aca="false">SUM(G6:G10)</f>
        <v>434.07</v>
      </c>
      <c r="H11" s="9" t="n">
        <f aca="false">SUM(H6:H10)</f>
        <v>441.264</v>
      </c>
      <c r="I11" s="9" t="n">
        <f aca="false">SUM(I6:I10)</f>
        <v>490.54</v>
      </c>
      <c r="J11" s="9" t="n">
        <f aca="false">SUM(J6:J10)</f>
        <v>496.25645152071</v>
      </c>
      <c r="K11" s="9" t="n">
        <f aca="false">SUM(K6:K10)</f>
        <v>550.311976965793</v>
      </c>
      <c r="L11" s="9" t="n">
        <f aca="false">SUM(L6:L10)</f>
        <v>614.387659951451</v>
      </c>
      <c r="M11" s="9" t="n">
        <f aca="false">SUM(M6:M10)</f>
        <v>669.231670720621</v>
      </c>
      <c r="N11" s="9" t="n">
        <f aca="false">SUM(N6:N10)</f>
        <v>717.701054183825</v>
      </c>
      <c r="O11" s="9" t="n">
        <f aca="false">SUM(O6:O10)</f>
        <v>762.264290636483</v>
      </c>
      <c r="P11" s="9" t="n">
        <f aca="false">SUM(P6:P10)</f>
        <v>805.498569096578</v>
      </c>
      <c r="Q11" s="9" t="n">
        <f aca="false">SUM(Q6:Q10)</f>
        <v>848.148379720353</v>
      </c>
      <c r="R11" s="9" t="n">
        <f aca="false">SUM(R6:R10)</f>
        <v>890.266353242814</v>
      </c>
      <c r="S11" s="9" t="n">
        <f aca="false">SUM(S6:S10)</f>
        <v>932.672274466626</v>
      </c>
    </row>
    <row r="13" customFormat="false" ht="14.25" hidden="false" customHeight="false" outlineLevel="0" collapsed="false">
      <c r="B13" s="6" t="s">
        <v>123</v>
      </c>
      <c r="E13" s="56" t="n">
        <v>18.789</v>
      </c>
      <c r="F13" s="56" t="n">
        <v>14.318</v>
      </c>
      <c r="G13" s="56" t="n">
        <v>21.035</v>
      </c>
      <c r="H13" s="56" t="n">
        <v>51.997</v>
      </c>
      <c r="I13" s="56" t="n">
        <v>84.79</v>
      </c>
      <c r="J13" s="65" t="n">
        <f aca="false">+'FS Calcs'!J26</f>
        <v>88.0103995012056</v>
      </c>
      <c r="K13" s="65" t="n">
        <f aca="false">+'FS Calcs'!K26</f>
        <v>97.5304836826331</v>
      </c>
      <c r="L13" s="65" t="n">
        <f aca="false">+'FS Calcs'!L26</f>
        <v>109.221587921973</v>
      </c>
      <c r="M13" s="65" t="n">
        <f aca="false">+'FS Calcs'!M26</f>
        <v>118.162159430758</v>
      </c>
      <c r="N13" s="65" t="n">
        <f aca="false">+'FS Calcs'!N26</f>
        <v>125.627467781448</v>
      </c>
      <c r="O13" s="65" t="n">
        <f aca="false">+'FS Calcs'!O26</f>
        <v>132.2094927249</v>
      </c>
      <c r="P13" s="65" t="n">
        <f aca="false">+'FS Calcs'!P26</f>
        <v>138.734164717836</v>
      </c>
      <c r="Q13" s="65" t="n">
        <f aca="false">+'FS Calcs'!Q26</f>
        <v>145.467838588243</v>
      </c>
      <c r="R13" s="65" t="n">
        <f aca="false">+'FS Calcs'!R26</f>
        <v>152.450429297738</v>
      </c>
      <c r="S13" s="65" t="n">
        <f aca="false">+'FS Calcs'!S26</f>
        <v>160.05096837688</v>
      </c>
    </row>
    <row r="14" customFormat="false" ht="14.25" hidden="false" customHeight="false" outlineLevel="0" collapsed="false">
      <c r="B14" s="6" t="s">
        <v>124</v>
      </c>
      <c r="E14" s="56" t="n">
        <v>147.088</v>
      </c>
      <c r="F14" s="56" t="n">
        <v>118.247</v>
      </c>
      <c r="G14" s="56" t="n">
        <v>109.076</v>
      </c>
      <c r="H14" s="56" t="n">
        <v>100.653</v>
      </c>
      <c r="I14" s="56" t="n">
        <v>92.732</v>
      </c>
      <c r="J14" s="65" t="n">
        <f aca="false">+'FS Calcs'!J46</f>
        <v>93.2617556</v>
      </c>
      <c r="K14" s="65" t="n">
        <f aca="false">+'FS Calcs'!K46</f>
        <v>94.9305147756</v>
      </c>
      <c r="L14" s="65" t="n">
        <f aca="false">+'FS Calcs'!L46</f>
        <v>97.99802308803</v>
      </c>
      <c r="M14" s="65" t="n">
        <f aca="false">+'FS Calcs'!M46</f>
        <v>102.13520081959</v>
      </c>
      <c r="N14" s="65" t="n">
        <f aca="false">+'FS Calcs'!N46</f>
        <v>107.165544277665</v>
      </c>
      <c r="O14" s="65" t="n">
        <f aca="false">+'FS Calcs'!O46</f>
        <v>112.983375514462</v>
      </c>
      <c r="P14" s="65" t="n">
        <f aca="false">+'FS Calcs'!P46</f>
        <v>119.581832698251</v>
      </c>
      <c r="Q14" s="65" t="n">
        <f aca="false">+'FS Calcs'!Q46</f>
        <v>126.985921268187</v>
      </c>
      <c r="R14" s="65" t="n">
        <f aca="false">+'FS Calcs'!R46</f>
        <v>135.225422176239</v>
      </c>
      <c r="S14" s="65" t="n">
        <f aca="false">+'FS Calcs'!S46</f>
        <v>144.374268109257</v>
      </c>
    </row>
    <row r="15" customFormat="false" ht="14.25" hidden="false" customHeight="false" outlineLevel="0" collapsed="false">
      <c r="B15" s="6" t="s">
        <v>125</v>
      </c>
      <c r="E15" s="56" t="n">
        <v>30.436</v>
      </c>
      <c r="F15" s="56" t="n">
        <v>19.352</v>
      </c>
      <c r="G15" s="56" t="n">
        <v>54.245</v>
      </c>
      <c r="H15" s="56" t="n">
        <v>47.229</v>
      </c>
      <c r="I15" s="56" t="n">
        <v>39.287</v>
      </c>
      <c r="J15" s="65" t="n">
        <f aca="false">+'FS Calcs'!J56</f>
        <v>31.3896833</v>
      </c>
      <c r="K15" s="65" t="n">
        <f aca="false">+'FS Calcs'!K56</f>
        <v>27.01389860915</v>
      </c>
      <c r="L15" s="65" t="n">
        <f aca="false">+'FS Calcs'!L56</f>
        <v>24.5637408005694</v>
      </c>
      <c r="M15" s="65" t="n">
        <f aca="false">+'FS Calcs'!M56</f>
        <v>24.5637408005694</v>
      </c>
      <c r="N15" s="65" t="n">
        <f aca="false">+'FS Calcs'!N56</f>
        <v>24.5637408005694</v>
      </c>
      <c r="O15" s="65" t="n">
        <f aca="false">+'FS Calcs'!O56</f>
        <v>24.5637408005694</v>
      </c>
      <c r="P15" s="65" t="n">
        <f aca="false">+'FS Calcs'!P56</f>
        <v>24.5637408005694</v>
      </c>
      <c r="Q15" s="65" t="n">
        <f aca="false">+'FS Calcs'!Q56</f>
        <v>24.5637408005694</v>
      </c>
      <c r="R15" s="65" t="n">
        <f aca="false">+'FS Calcs'!R56</f>
        <v>24.5637408005694</v>
      </c>
      <c r="S15" s="65" t="n">
        <f aca="false">+'FS Calcs'!S56</f>
        <v>24.5637408005694</v>
      </c>
    </row>
    <row r="16" customFormat="false" ht="14.25" hidden="false" customHeight="false" outlineLevel="0" collapsed="false">
      <c r="B16" s="6" t="s">
        <v>126</v>
      </c>
      <c r="E16" s="60"/>
      <c r="F16" s="60"/>
      <c r="G16" s="60"/>
      <c r="H16" s="60"/>
      <c r="I16" s="56" t="n">
        <v>8.845</v>
      </c>
      <c r="J16" s="74" t="n">
        <f aca="false">+I16</f>
        <v>8.845</v>
      </c>
      <c r="K16" s="56" t="n">
        <f aca="false">+J16</f>
        <v>8.845</v>
      </c>
      <c r="L16" s="56" t="n">
        <f aca="false">+K16</f>
        <v>8.845</v>
      </c>
      <c r="M16" s="56" t="n">
        <f aca="false">+L16</f>
        <v>8.845</v>
      </c>
      <c r="N16" s="56" t="n">
        <f aca="false">+M16</f>
        <v>8.845</v>
      </c>
      <c r="O16" s="56" t="n">
        <f aca="false">+N16</f>
        <v>8.845</v>
      </c>
      <c r="P16" s="56" t="n">
        <f aca="false">+O16</f>
        <v>8.845</v>
      </c>
      <c r="Q16" s="56" t="n">
        <f aca="false">+P16</f>
        <v>8.845</v>
      </c>
      <c r="R16" s="56" t="n">
        <f aca="false">+Q16</f>
        <v>8.845</v>
      </c>
      <c r="S16" s="56" t="n">
        <f aca="false">+R16</f>
        <v>8.845</v>
      </c>
    </row>
    <row r="17" customFormat="false" ht="14.25" hidden="false" customHeight="false" outlineLevel="0" collapsed="false">
      <c r="B17" s="6" t="s">
        <v>127</v>
      </c>
      <c r="E17" s="56" t="n">
        <v>546.997</v>
      </c>
      <c r="F17" s="56" t="n">
        <v>465.832</v>
      </c>
      <c r="G17" s="56" t="n">
        <v>472.531</v>
      </c>
      <c r="H17" s="56" t="n">
        <v>433.595</v>
      </c>
      <c r="I17" s="56" t="n">
        <v>448.947</v>
      </c>
      <c r="J17" s="65" t="n">
        <f aca="false">+'FS Calcs'!J67</f>
        <v>443.6821222</v>
      </c>
      <c r="K17" s="65" t="n">
        <f aca="false">+'FS Calcs'!K67</f>
        <v>438.681225410457</v>
      </c>
      <c r="L17" s="65" t="n">
        <f aca="false">+'FS Calcs'!L67</f>
        <v>434.014258156018</v>
      </c>
      <c r="M17" s="65" t="n">
        <f aca="false">+'FS Calcs'!M67</f>
        <v>429.975064518429</v>
      </c>
      <c r="N17" s="65" t="n">
        <f aca="false">+'FS Calcs'!N67</f>
        <v>426.754276634556</v>
      </c>
      <c r="O17" s="65" t="n">
        <f aca="false">+'FS Calcs'!O67</f>
        <v>424.494586457871</v>
      </c>
      <c r="P17" s="65" t="n">
        <f aca="false">+'FS Calcs'!P67</f>
        <v>423.308982373314</v>
      </c>
      <c r="Q17" s="65" t="n">
        <f aca="false">+'FS Calcs'!Q67</f>
        <v>423.308982373314</v>
      </c>
      <c r="R17" s="65" t="n">
        <f aca="false">+'FS Calcs'!R67</f>
        <v>423.308982373314</v>
      </c>
      <c r="S17" s="65" t="n">
        <f aca="false">+'FS Calcs'!S67</f>
        <v>423.308982373314</v>
      </c>
    </row>
    <row r="18" customFormat="false" ht="14.25" hidden="false" customHeight="false" outlineLevel="0" collapsed="false">
      <c r="B18" s="6" t="s">
        <v>128</v>
      </c>
      <c r="E18" s="56" t="n">
        <v>240.806</v>
      </c>
      <c r="F18" s="56" t="n">
        <v>239.754</v>
      </c>
      <c r="G18" s="56" t="n">
        <v>55.344</v>
      </c>
      <c r="H18" s="56" t="n">
        <v>53.164</v>
      </c>
      <c r="I18" s="56" t="n">
        <v>54.033</v>
      </c>
      <c r="J18" s="74" t="n">
        <f aca="false">+I18</f>
        <v>54.033</v>
      </c>
      <c r="K18" s="56" t="n">
        <f aca="false">+J18</f>
        <v>54.033</v>
      </c>
      <c r="L18" s="56" t="n">
        <f aca="false">+K18</f>
        <v>54.033</v>
      </c>
      <c r="M18" s="56" t="n">
        <f aca="false">+L18</f>
        <v>54.033</v>
      </c>
      <c r="N18" s="56" t="n">
        <f aca="false">+M18</f>
        <v>54.033</v>
      </c>
      <c r="O18" s="56" t="n">
        <f aca="false">+N18</f>
        <v>54.033</v>
      </c>
      <c r="P18" s="56" t="n">
        <f aca="false">+O18</f>
        <v>54.033</v>
      </c>
      <c r="Q18" s="56" t="n">
        <f aca="false">+P18</f>
        <v>54.033</v>
      </c>
      <c r="R18" s="56" t="n">
        <f aca="false">+Q18</f>
        <v>54.033</v>
      </c>
      <c r="S18" s="56" t="n">
        <f aca="false">+R18</f>
        <v>54.033</v>
      </c>
    </row>
    <row r="19" s="9" customFormat="true" ht="14.25" hidden="false" customHeight="false" outlineLevel="0" collapsed="false">
      <c r="B19" s="9" t="s">
        <v>129</v>
      </c>
      <c r="E19" s="9" t="n">
        <f aca="false">+SUM(E13:E18,E11)</f>
        <v>1476.792</v>
      </c>
      <c r="F19" s="9" t="n">
        <f aca="false">+SUM(F13:F18,F11)</f>
        <v>1318.955</v>
      </c>
      <c r="G19" s="9" t="n">
        <f aca="false">+SUM(G13:G18,G11)</f>
        <v>1146.301</v>
      </c>
      <c r="H19" s="9" t="n">
        <f aca="false">+SUM(H13:H18,H11)</f>
        <v>1127.902</v>
      </c>
      <c r="I19" s="9" t="n">
        <f aca="false">+SUM(I13:I18,I11)</f>
        <v>1219.174</v>
      </c>
      <c r="J19" s="9" t="n">
        <f aca="false">+SUM(J13:J18,J11)</f>
        <v>1215.47841212192</v>
      </c>
      <c r="K19" s="9" t="n">
        <f aca="false">+SUM(K13:K18,K11)</f>
        <v>1271.34609944363</v>
      </c>
      <c r="L19" s="9" t="n">
        <f aca="false">+SUM(L13:L18,L11)</f>
        <v>1343.06326991804</v>
      </c>
      <c r="M19" s="9" t="n">
        <f aca="false">+SUM(M13:M18,M11)</f>
        <v>1406.94583628997</v>
      </c>
      <c r="N19" s="9" t="n">
        <f aca="false">+SUM(N13:N18,N11)</f>
        <v>1464.69008367806</v>
      </c>
      <c r="O19" s="9" t="n">
        <f aca="false">+SUM(O13:O18,O11)</f>
        <v>1519.39348613428</v>
      </c>
      <c r="P19" s="9" t="n">
        <f aca="false">+SUM(P13:P18,P11)</f>
        <v>1574.56528968655</v>
      </c>
      <c r="Q19" s="9" t="n">
        <f aca="false">+SUM(Q13:Q18,Q11)</f>
        <v>1631.35286275067</v>
      </c>
      <c r="R19" s="9" t="n">
        <f aca="false">+SUM(R13:R18,R11)</f>
        <v>1688.69292789067</v>
      </c>
      <c r="S19" s="9" t="n">
        <f aca="false">+SUM(S13:S18,S11)</f>
        <v>1747.84823412665</v>
      </c>
    </row>
    <row r="21" customFormat="false" ht="14.25" hidden="false" customHeight="false" outlineLevel="0" collapsed="false">
      <c r="B21" s="6" t="s">
        <v>130</v>
      </c>
      <c r="E21" s="56" t="n">
        <v>16.35</v>
      </c>
      <c r="F21" s="56" t="n">
        <v>0</v>
      </c>
      <c r="G21" s="56" t="n">
        <v>10</v>
      </c>
      <c r="H21" s="56" t="n">
        <v>0</v>
      </c>
      <c r="I21" s="56" t="n">
        <v>9.087</v>
      </c>
      <c r="J21" s="65" t="n">
        <f aca="false">+'Debt Calcs'!J7</f>
        <v>40.509</v>
      </c>
      <c r="K21" s="65" t="n">
        <f aca="false">+'Debt Calcs'!K7</f>
        <v>40.509</v>
      </c>
      <c r="L21" s="65" t="n">
        <f aca="false">+'Debt Calcs'!L7</f>
        <v>40.509</v>
      </c>
      <c r="M21" s="65" t="n">
        <f aca="false">+'Debt Calcs'!M7</f>
        <v>40.509</v>
      </c>
      <c r="N21" s="65" t="n">
        <f aca="false">+'Debt Calcs'!N7</f>
        <v>40.509</v>
      </c>
      <c r="O21" s="65" t="n">
        <f aca="false">+'Debt Calcs'!O7</f>
        <v>40.509</v>
      </c>
      <c r="P21" s="65" t="n">
        <f aca="false">+'Debt Calcs'!P7</f>
        <v>40.509</v>
      </c>
      <c r="Q21" s="65" t="n">
        <f aca="false">+'Debt Calcs'!Q7</f>
        <v>40.509</v>
      </c>
      <c r="R21" s="65" t="n">
        <f aca="false">+'Debt Calcs'!R7</f>
        <v>39.8547672230019</v>
      </c>
      <c r="S21" s="65" t="n">
        <f aca="false">+'Debt Calcs'!S7</f>
        <v>17.1650415937025</v>
      </c>
    </row>
    <row r="22" customFormat="false" ht="14.25" hidden="false" customHeight="false" outlineLevel="0" collapsed="false">
      <c r="B22" s="6" t="s">
        <v>131</v>
      </c>
      <c r="E22" s="56" t="n">
        <v>130.545</v>
      </c>
      <c r="F22" s="56" t="n">
        <v>103.487</v>
      </c>
      <c r="G22" s="56" t="n">
        <v>98.927</v>
      </c>
      <c r="H22" s="56" t="n">
        <v>130.299</v>
      </c>
      <c r="I22" s="56" t="n">
        <v>180.956</v>
      </c>
      <c r="J22" s="65" t="n">
        <f aca="false">+'FS Calcs'!J20</f>
        <v>193.768722664015</v>
      </c>
      <c r="K22" s="65" t="n">
        <f aca="false">+'FS Calcs'!K20</f>
        <v>212.215167972849</v>
      </c>
      <c r="L22" s="65" t="n">
        <f aca="false">+'FS Calcs'!L20</f>
        <v>238.587386923686</v>
      </c>
      <c r="M22" s="65" t="n">
        <f aca="false">+'FS Calcs'!M20</f>
        <v>258.800706819012</v>
      </c>
      <c r="N22" s="65" t="n">
        <f aca="false">+'FS Calcs'!N20</f>
        <v>275.706708964208</v>
      </c>
      <c r="O22" s="65" t="n">
        <f aca="false">+'FS Calcs'!O20</f>
        <v>290.629281864517</v>
      </c>
      <c r="P22" s="65" t="n">
        <f aca="false">+'FS Calcs'!P20</f>
        <v>305.415359286796</v>
      </c>
      <c r="Q22" s="65" t="n">
        <f aca="false">+'FS Calcs'!Q20</f>
        <v>320.660779663414</v>
      </c>
      <c r="R22" s="65" t="n">
        <f aca="false">+'FS Calcs'!R20</f>
        <v>336.455101081854</v>
      </c>
      <c r="S22" s="65" t="n">
        <f aca="false">+'FS Calcs'!S20</f>
        <v>353.44814681758</v>
      </c>
    </row>
    <row r="23" customFormat="false" ht="14.25" hidden="false" customHeight="false" outlineLevel="0" collapsed="false">
      <c r="B23" s="6" t="s">
        <v>132</v>
      </c>
      <c r="E23" s="56" t="n">
        <v>47.552</v>
      </c>
      <c r="F23" s="56" t="n">
        <v>64.299</v>
      </c>
      <c r="G23" s="56" t="n">
        <v>48.371</v>
      </c>
      <c r="H23" s="56" t="n">
        <v>42.004</v>
      </c>
      <c r="I23" s="56" t="n">
        <v>58.116</v>
      </c>
      <c r="J23" s="65" t="n">
        <f aca="false">+'FS Calcs'!J23</f>
        <v>52.648778</v>
      </c>
      <c r="K23" s="65" t="n">
        <f aca="false">+'FS Calcs'!K23</f>
        <v>58.343795878</v>
      </c>
      <c r="L23" s="65" t="n">
        <f aca="false">+'FS Calcs'!L23</f>
        <v>65.33754156215</v>
      </c>
      <c r="M23" s="65" t="n">
        <f aca="false">+'FS Calcs'!M23</f>
        <v>70.6858886577986</v>
      </c>
      <c r="N23" s="65" t="n">
        <f aca="false">+'FS Calcs'!N23</f>
        <v>75.1517172903753</v>
      </c>
      <c r="O23" s="65" t="n">
        <f aca="false">+'FS Calcs'!O23</f>
        <v>79.089156183986</v>
      </c>
      <c r="P23" s="65" t="n">
        <f aca="false">+'FS Calcs'!P23</f>
        <v>82.9922859189465</v>
      </c>
      <c r="Q23" s="65" t="n">
        <f aca="false">+'FS Calcs'!Q23</f>
        <v>87.0204428496809</v>
      </c>
      <c r="R23" s="65" t="n">
        <f aca="false">+'FS Calcs'!R23</f>
        <v>91.1975045402599</v>
      </c>
      <c r="S23" s="65" t="n">
        <f aca="false">+'FS Calcs'!S23</f>
        <v>95.7442296650854</v>
      </c>
    </row>
    <row r="24" customFormat="false" ht="14.25" hidden="false" customHeight="false" outlineLevel="0" collapsed="false">
      <c r="B24" s="6" t="s">
        <v>133</v>
      </c>
      <c r="E24" s="56" t="n">
        <v>93.683</v>
      </c>
      <c r="F24" s="56" t="n">
        <v>92.448</v>
      </c>
      <c r="G24" s="56" t="n">
        <v>66.688</v>
      </c>
      <c r="H24" s="56" t="n">
        <v>65.403</v>
      </c>
      <c r="I24" s="56" t="n">
        <v>84.235</v>
      </c>
      <c r="J24" s="65" t="n">
        <f aca="false">+'Debt Calcs'!J8</f>
        <v>85.2687096305576</v>
      </c>
      <c r="K24" s="65" t="n">
        <f aca="false">+'Debt Calcs'!K8</f>
        <v>90</v>
      </c>
      <c r="L24" s="65" t="n">
        <f aca="false">+'Debt Calcs'!L8</f>
        <v>90</v>
      </c>
      <c r="M24" s="65" t="n">
        <f aca="false">+'Debt Calcs'!M8</f>
        <v>90</v>
      </c>
      <c r="N24" s="65" t="n">
        <f aca="false">+'Debt Calcs'!N8</f>
        <v>90</v>
      </c>
      <c r="O24" s="65" t="n">
        <f aca="false">+'Debt Calcs'!O8</f>
        <v>90</v>
      </c>
      <c r="P24" s="65" t="n">
        <f aca="false">+'Debt Calcs'!P8</f>
        <v>90</v>
      </c>
      <c r="Q24" s="65" t="n">
        <f aca="false">+'Debt Calcs'!Q8</f>
        <v>90</v>
      </c>
      <c r="R24" s="65" t="n">
        <f aca="false">+'Debt Calcs'!R8</f>
        <v>90</v>
      </c>
      <c r="S24" s="65" t="n">
        <f aca="false">+'Debt Calcs'!S8</f>
        <v>90</v>
      </c>
    </row>
    <row r="25" customFormat="false" ht="14.25" hidden="false" customHeight="false" outlineLevel="0" collapsed="false">
      <c r="B25" s="6" t="s">
        <v>134</v>
      </c>
      <c r="E25" s="56" t="n">
        <v>0</v>
      </c>
      <c r="F25" s="56" t="n">
        <v>0</v>
      </c>
      <c r="G25" s="56" t="n">
        <v>9.274</v>
      </c>
      <c r="H25" s="56" t="n">
        <v>9.428</v>
      </c>
      <c r="I25" s="56" t="n">
        <v>10.183</v>
      </c>
      <c r="J25" s="65" t="n">
        <f aca="false">+'Debt Calcs'!J9</f>
        <v>0</v>
      </c>
      <c r="K25" s="65" t="n">
        <f aca="false">+'Debt Calcs'!K9</f>
        <v>0</v>
      </c>
      <c r="L25" s="65" t="n">
        <f aca="false">+'Debt Calcs'!L9</f>
        <v>0</v>
      </c>
      <c r="M25" s="65" t="n">
        <f aca="false">+'Debt Calcs'!M9</f>
        <v>0</v>
      </c>
      <c r="N25" s="65" t="n">
        <f aca="false">+'Debt Calcs'!N9</f>
        <v>0</v>
      </c>
      <c r="O25" s="65" t="n">
        <f aca="false">+'Debt Calcs'!O9</f>
        <v>0</v>
      </c>
      <c r="P25" s="65" t="n">
        <f aca="false">+'Debt Calcs'!P9</f>
        <v>0</v>
      </c>
      <c r="Q25" s="65" t="n">
        <f aca="false">+'Debt Calcs'!Q9</f>
        <v>0</v>
      </c>
      <c r="R25" s="65" t="n">
        <f aca="false">+'Debt Calcs'!R9</f>
        <v>0</v>
      </c>
      <c r="S25" s="65" t="n">
        <f aca="false">+'Debt Calcs'!S9</f>
        <v>0</v>
      </c>
    </row>
    <row r="26" customFormat="false" ht="14.25" hidden="false" customHeight="false" outlineLevel="0" collapsed="false">
      <c r="B26" s="6" t="s">
        <v>135</v>
      </c>
      <c r="E26" s="56" t="n">
        <v>10.524</v>
      </c>
      <c r="F26" s="56" t="n">
        <v>11.007</v>
      </c>
      <c r="G26" s="56" t="n">
        <v>0</v>
      </c>
      <c r="H26" s="56" t="n">
        <v>3.532</v>
      </c>
      <c r="I26" s="56" t="n">
        <v>26.335</v>
      </c>
      <c r="J26" s="65" t="n">
        <f aca="false">+'Debt Calcs'!J10</f>
        <v>0</v>
      </c>
      <c r="K26" s="65" t="n">
        <f aca="false">+'Debt Calcs'!K10</f>
        <v>0</v>
      </c>
      <c r="L26" s="65" t="n">
        <f aca="false">+'Debt Calcs'!L10</f>
        <v>0</v>
      </c>
      <c r="M26" s="65" t="n">
        <f aca="false">+'Debt Calcs'!M10</f>
        <v>0</v>
      </c>
      <c r="N26" s="65" t="n">
        <f aca="false">+'Debt Calcs'!N10</f>
        <v>0</v>
      </c>
      <c r="O26" s="65" t="n">
        <f aca="false">+'Debt Calcs'!O10</f>
        <v>0</v>
      </c>
      <c r="P26" s="65" t="n">
        <f aca="false">+'Debt Calcs'!P10</f>
        <v>0</v>
      </c>
      <c r="Q26" s="65" t="n">
        <f aca="false">+'Debt Calcs'!Q10</f>
        <v>0</v>
      </c>
      <c r="R26" s="65" t="n">
        <f aca="false">+'Debt Calcs'!R10</f>
        <v>0</v>
      </c>
      <c r="S26" s="65" t="n">
        <f aca="false">+'Debt Calcs'!S10</f>
        <v>0</v>
      </c>
    </row>
    <row r="27" s="9" customFormat="true" ht="14.25" hidden="false" customHeight="false" outlineLevel="0" collapsed="false">
      <c r="B27" s="9" t="s">
        <v>136</v>
      </c>
      <c r="E27" s="9" t="n">
        <f aca="false">SUM(E21:E26)</f>
        <v>298.654</v>
      </c>
      <c r="F27" s="9" t="n">
        <f aca="false">SUM(F21:F26)</f>
        <v>271.241</v>
      </c>
      <c r="G27" s="9" t="n">
        <f aca="false">SUM(G21:G26)</f>
        <v>233.26</v>
      </c>
      <c r="H27" s="9" t="n">
        <f aca="false">SUM(H21:H26)</f>
        <v>250.666</v>
      </c>
      <c r="I27" s="9" t="n">
        <f aca="false">SUM(I21:I26)</f>
        <v>368.912</v>
      </c>
      <c r="J27" s="9" t="n">
        <f aca="false">SUM(J21:J26)</f>
        <v>372.195210294573</v>
      </c>
      <c r="K27" s="9" t="n">
        <f aca="false">SUM(K21:K26)</f>
        <v>401.067963850849</v>
      </c>
      <c r="L27" s="9" t="n">
        <f aca="false">SUM(L21:L26)</f>
        <v>434.433928485836</v>
      </c>
      <c r="M27" s="9" t="n">
        <f aca="false">SUM(M21:M26)</f>
        <v>459.99559547681</v>
      </c>
      <c r="N27" s="9" t="n">
        <f aca="false">SUM(N21:N26)</f>
        <v>481.367426254583</v>
      </c>
      <c r="O27" s="9" t="n">
        <f aca="false">SUM(O21:O26)</f>
        <v>500.227438048503</v>
      </c>
      <c r="P27" s="9" t="n">
        <f aca="false">SUM(P21:P26)</f>
        <v>518.916645205743</v>
      </c>
      <c r="Q27" s="9" t="n">
        <f aca="false">SUM(Q21:Q26)</f>
        <v>538.190222513095</v>
      </c>
      <c r="R27" s="9" t="n">
        <f aca="false">SUM(R21:R26)</f>
        <v>557.507372845116</v>
      </c>
      <c r="S27" s="9" t="n">
        <f aca="false">SUM(S21:S26)</f>
        <v>556.357418076368</v>
      </c>
    </row>
    <row r="29" customFormat="false" ht="14.25" hidden="false" customHeight="false" outlineLevel="0" collapsed="false">
      <c r="B29" s="6" t="s">
        <v>137</v>
      </c>
      <c r="E29" s="56" t="n">
        <v>746.046</v>
      </c>
      <c r="F29" s="56" t="n">
        <v>523.061</v>
      </c>
      <c r="G29" s="56" t="n">
        <v>502.006</v>
      </c>
      <c r="H29" s="56" t="n">
        <v>478.862</v>
      </c>
      <c r="I29" s="56" t="n">
        <v>477.804</v>
      </c>
      <c r="J29" s="65" t="n">
        <f aca="false">+'Debt Calcs'!J13</f>
        <v>477.804</v>
      </c>
      <c r="K29" s="65" t="n">
        <f aca="false">+'Debt Calcs'!K13</f>
        <v>504.937368415852</v>
      </c>
      <c r="L29" s="65" t="n">
        <f aca="false">+'Debt Calcs'!L13</f>
        <v>534.943099825503</v>
      </c>
      <c r="M29" s="65" t="n">
        <f aca="false">+'Debt Calcs'!M13</f>
        <v>557.810345285826</v>
      </c>
      <c r="N29" s="65" t="n">
        <f aca="false">+'Debt Calcs'!N13</f>
        <v>574.101693003218</v>
      </c>
      <c r="O29" s="65" t="n">
        <f aca="false">+'Debt Calcs'!O13</f>
        <v>585.599670842405</v>
      </c>
      <c r="P29" s="65" t="n">
        <f aca="false">+'Debt Calcs'!P13</f>
        <v>593.271010137682</v>
      </c>
      <c r="Q29" s="65" t="n">
        <f aca="false">+'Debt Calcs'!Q13</f>
        <v>597.120719516532</v>
      </c>
      <c r="R29" s="65" t="n">
        <f aca="false">+'Debt Calcs'!R13</f>
        <v>597.120719516532</v>
      </c>
      <c r="S29" s="65" t="n">
        <f aca="false">+'Debt Calcs'!S13</f>
        <v>597.120719516532</v>
      </c>
    </row>
    <row r="30" customFormat="false" ht="14.25" hidden="false" customHeight="false" outlineLevel="0" collapsed="false">
      <c r="B30" s="6" t="s">
        <v>138</v>
      </c>
      <c r="E30" s="56" t="n">
        <v>0</v>
      </c>
      <c r="F30" s="56" t="n">
        <v>0</v>
      </c>
      <c r="G30" s="56" t="n">
        <v>41.552</v>
      </c>
      <c r="H30" s="56" t="n">
        <v>34.407</v>
      </c>
      <c r="I30" s="56" t="n">
        <v>26.056</v>
      </c>
      <c r="J30" s="65" t="n">
        <f aca="false">+'Debt Calcs'!J14</f>
        <v>36.239</v>
      </c>
      <c r="K30" s="65" t="n">
        <f aca="false">+'Debt Calcs'!K14</f>
        <v>36.239</v>
      </c>
      <c r="L30" s="65" t="n">
        <f aca="false">+'Debt Calcs'!L14</f>
        <v>36.239</v>
      </c>
      <c r="M30" s="65" t="n">
        <f aca="false">+'Debt Calcs'!M14</f>
        <v>36.239</v>
      </c>
      <c r="N30" s="65" t="n">
        <f aca="false">+'Debt Calcs'!N14</f>
        <v>36.239</v>
      </c>
      <c r="O30" s="65" t="n">
        <f aca="false">+'Debt Calcs'!O14</f>
        <v>36.239</v>
      </c>
      <c r="P30" s="65" t="n">
        <f aca="false">+'Debt Calcs'!P14</f>
        <v>36.239</v>
      </c>
      <c r="Q30" s="65" t="n">
        <f aca="false">+'Debt Calcs'!Q14</f>
        <v>36.239</v>
      </c>
      <c r="R30" s="65" t="n">
        <f aca="false">+'Debt Calcs'!R14</f>
        <v>36.239</v>
      </c>
      <c r="S30" s="65" t="n">
        <f aca="false">+'Debt Calcs'!S14</f>
        <v>36.239</v>
      </c>
    </row>
    <row r="31" customFormat="false" ht="14.25" hidden="false" customHeight="false" outlineLevel="0" collapsed="false">
      <c r="B31" s="6" t="s">
        <v>139</v>
      </c>
      <c r="E31" s="56" t="n">
        <v>17.679</v>
      </c>
      <c r="F31" s="56" t="n">
        <v>16.406</v>
      </c>
      <c r="G31" s="56" t="n">
        <v>18.261</v>
      </c>
      <c r="H31" s="56" t="n">
        <v>10.328</v>
      </c>
      <c r="I31" s="56" t="n">
        <v>7.761</v>
      </c>
      <c r="J31" s="74" t="n">
        <f aca="false">+I31</f>
        <v>7.761</v>
      </c>
      <c r="K31" s="56" t="n">
        <f aca="false">+J31</f>
        <v>7.761</v>
      </c>
      <c r="L31" s="56" t="n">
        <f aca="false">+K31</f>
        <v>7.761</v>
      </c>
      <c r="M31" s="56" t="n">
        <f aca="false">+L31</f>
        <v>7.761</v>
      </c>
      <c r="N31" s="56" t="n">
        <f aca="false">+M31</f>
        <v>7.761</v>
      </c>
      <c r="O31" s="56" t="n">
        <f aca="false">+N31</f>
        <v>7.761</v>
      </c>
      <c r="P31" s="56" t="n">
        <f aca="false">+O31</f>
        <v>7.761</v>
      </c>
      <c r="Q31" s="56" t="n">
        <f aca="false">+P31</f>
        <v>7.761</v>
      </c>
      <c r="R31" s="56" t="n">
        <f aca="false">+Q31</f>
        <v>7.761</v>
      </c>
      <c r="S31" s="56" t="n">
        <f aca="false">+R31</f>
        <v>7.761</v>
      </c>
    </row>
    <row r="32" customFormat="false" ht="14.25" hidden="false" customHeight="false" outlineLevel="0" collapsed="false">
      <c r="B32" s="6" t="s">
        <v>140</v>
      </c>
      <c r="E32" s="56" t="n">
        <v>13.621</v>
      </c>
      <c r="F32" s="56" t="n">
        <v>8.269</v>
      </c>
      <c r="G32" s="56" t="n">
        <v>9.736</v>
      </c>
      <c r="H32" s="56" t="n">
        <v>50.726</v>
      </c>
      <c r="I32" s="56" t="n">
        <v>23.238</v>
      </c>
      <c r="J32" s="74" t="n">
        <f aca="false">+I32</f>
        <v>23.238</v>
      </c>
      <c r="K32" s="56" t="n">
        <f aca="false">+J32</f>
        <v>23.238</v>
      </c>
      <c r="L32" s="56" t="n">
        <f aca="false">+K32</f>
        <v>23.238</v>
      </c>
      <c r="M32" s="56" t="n">
        <f aca="false">+L32</f>
        <v>23.238</v>
      </c>
      <c r="N32" s="56" t="n">
        <f aca="false">+M32</f>
        <v>23.238</v>
      </c>
      <c r="O32" s="56" t="n">
        <f aca="false">+N32</f>
        <v>23.238</v>
      </c>
      <c r="P32" s="56" t="n">
        <f aca="false">+O32</f>
        <v>23.238</v>
      </c>
      <c r="Q32" s="56" t="n">
        <f aca="false">+P32</f>
        <v>23.238</v>
      </c>
      <c r="R32" s="56" t="n">
        <f aca="false">+Q32</f>
        <v>23.238</v>
      </c>
      <c r="S32" s="56" t="n">
        <f aca="false">+R32</f>
        <v>23.238</v>
      </c>
    </row>
    <row r="33" s="9" customFormat="true" ht="14.25" hidden="false" customHeight="false" outlineLevel="0" collapsed="false">
      <c r="B33" s="9" t="s">
        <v>141</v>
      </c>
      <c r="E33" s="9" t="n">
        <f aca="false">+SUM(E29:E32,E27)</f>
        <v>1076</v>
      </c>
      <c r="F33" s="9" t="n">
        <f aca="false">+SUM(F29:F32,F27)</f>
        <v>818.977</v>
      </c>
      <c r="G33" s="9" t="n">
        <f aca="false">+SUM(G29:G32,G27)</f>
        <v>804.815</v>
      </c>
      <c r="H33" s="9" t="n">
        <f aca="false">+SUM(H29:H32,H27)</f>
        <v>824.989</v>
      </c>
      <c r="I33" s="9" t="n">
        <f aca="false">+SUM(I29:I32,I27)</f>
        <v>903.771</v>
      </c>
      <c r="J33" s="9" t="n">
        <f aca="false">+SUM(J29:J32,J27)</f>
        <v>917.237210294573</v>
      </c>
      <c r="K33" s="9" t="n">
        <f aca="false">+SUM(K29:K32,K27)</f>
        <v>973.2433322667</v>
      </c>
      <c r="L33" s="9" t="n">
        <f aca="false">+SUM(L29:L32,L27)</f>
        <v>1036.61502831134</v>
      </c>
      <c r="M33" s="9" t="n">
        <f aca="false">+SUM(M29:M32,M27)</f>
        <v>1085.04394076264</v>
      </c>
      <c r="N33" s="9" t="n">
        <f aca="false">+SUM(N29:N32,N27)</f>
        <v>1122.7071192578</v>
      </c>
      <c r="O33" s="9" t="n">
        <f aca="false">+SUM(O29:O32,O27)</f>
        <v>1153.06510889091</v>
      </c>
      <c r="P33" s="9" t="n">
        <f aca="false">+SUM(P29:P32,P27)</f>
        <v>1179.42565534342</v>
      </c>
      <c r="Q33" s="9" t="n">
        <f aca="false">+SUM(Q29:Q32,Q27)</f>
        <v>1202.54894202963</v>
      </c>
      <c r="R33" s="9" t="n">
        <f aca="false">+SUM(R29:R32,R27)</f>
        <v>1221.86609236165</v>
      </c>
      <c r="S33" s="9" t="n">
        <f aca="false">+SUM(S29:S32,S27)</f>
        <v>1220.7161375929</v>
      </c>
    </row>
    <row r="35" customFormat="false" ht="14.25" hidden="false" customHeight="false" outlineLevel="0" collapsed="false">
      <c r="B35" s="6" t="s">
        <v>142</v>
      </c>
      <c r="E35" s="56" t="n">
        <v>315.078</v>
      </c>
      <c r="F35" s="56" t="n">
        <v>243.033</v>
      </c>
      <c r="G35" s="56" t="n">
        <v>81.351</v>
      </c>
      <c r="H35" s="56" t="n">
        <v>68.588</v>
      </c>
      <c r="I35" s="56" t="n">
        <v>79.428</v>
      </c>
      <c r="J35" s="65" t="n">
        <f aca="false">+'FS Calcs'!J78</f>
        <v>69.6481243073424</v>
      </c>
      <c r="K35" s="65" t="n">
        <f aca="false">+'FS Calcs'!K78</f>
        <v>76.7702580113324</v>
      </c>
      <c r="L35" s="65" t="n">
        <f aca="false">+'FS Calcs'!L78</f>
        <v>92.2444498101337</v>
      </c>
      <c r="M35" s="65" t="n">
        <f aca="false">+'FS Calcs'!M78</f>
        <v>114.684021224146</v>
      </c>
      <c r="N35" s="65" t="n">
        <f aca="false">+'FS Calcs'!N78</f>
        <v>141.596790510608</v>
      </c>
      <c r="O35" s="65" t="n">
        <f aca="false">+'FS Calcs'!O78</f>
        <v>172.60778422191</v>
      </c>
      <c r="P35" s="65" t="n">
        <f aca="false">+'FS Calcs'!P78</f>
        <v>207.906097709001</v>
      </c>
      <c r="Q35" s="65" t="n">
        <f aca="false">+'FS Calcs'!Q78</f>
        <v>247.865990399841</v>
      </c>
      <c r="R35" s="65" t="n">
        <f aca="false">+'FS Calcs'!R78</f>
        <v>291.979596708778</v>
      </c>
      <c r="S35" s="65" t="n">
        <f aca="false">+'FS Calcs'!S78</f>
        <v>341.276245128661</v>
      </c>
    </row>
    <row r="36" customFormat="false" ht="14.25" hidden="false" customHeight="false" outlineLevel="0" collapsed="false">
      <c r="B36" s="6" t="s">
        <v>143</v>
      </c>
      <c r="E36" s="56" t="n">
        <v>85.714</v>
      </c>
      <c r="F36" s="56" t="n">
        <v>256.945</v>
      </c>
      <c r="G36" s="56" t="n">
        <v>260.135</v>
      </c>
      <c r="H36" s="56" t="n">
        <v>234.325</v>
      </c>
      <c r="I36" s="56" t="n">
        <v>235.975</v>
      </c>
      <c r="J36" s="65" t="n">
        <f aca="false">+'FS Calcs'!J84</f>
        <v>228.59307752</v>
      </c>
      <c r="K36" s="65" t="n">
        <f aca="false">+'FS Calcs'!K84</f>
        <v>221.3325091656</v>
      </c>
      <c r="L36" s="65" t="n">
        <f aca="false">+'FS Calcs'!L84</f>
        <v>214.203791796568</v>
      </c>
      <c r="M36" s="65" t="n">
        <f aca="false">+'FS Calcs'!M84</f>
        <v>207.217874303185</v>
      </c>
      <c r="N36" s="65" t="n">
        <f aca="false">+'FS Calcs'!N84</f>
        <v>200.386173909655</v>
      </c>
      <c r="O36" s="65" t="n">
        <f aca="false">+'FS Calcs'!O84</f>
        <v>193.720593021467</v>
      </c>
      <c r="P36" s="65" t="n">
        <f aca="false">+'FS Calcs'!P84</f>
        <v>187.233536634123</v>
      </c>
      <c r="Q36" s="65" t="n">
        <f aca="false">+'FS Calcs'!Q84</f>
        <v>180.937930321199</v>
      </c>
      <c r="R36" s="65" t="n">
        <f aca="false">+'FS Calcs'!R84</f>
        <v>174.847238820249</v>
      </c>
      <c r="S36" s="65" t="n">
        <f aca="false">+'FS Calcs'!S84</f>
        <v>168.975485235658</v>
      </c>
    </row>
    <row r="37" s="9" customFormat="true" ht="14.25" hidden="false" customHeight="false" outlineLevel="0" collapsed="false">
      <c r="B37" s="9" t="s">
        <v>144</v>
      </c>
      <c r="E37" s="9" t="n">
        <f aca="false">+E36+E35</f>
        <v>400.792</v>
      </c>
      <c r="F37" s="9" t="n">
        <f aca="false">+F36+F35</f>
        <v>499.978</v>
      </c>
      <c r="G37" s="9" t="n">
        <f aca="false">+G36+G35</f>
        <v>341.486</v>
      </c>
      <c r="H37" s="9" t="n">
        <f aca="false">+H36+H35</f>
        <v>302.913</v>
      </c>
      <c r="I37" s="9" t="n">
        <f aca="false">+I36+I35</f>
        <v>315.403</v>
      </c>
      <c r="J37" s="9" t="n">
        <f aca="false">+J36+J35</f>
        <v>298.241201827343</v>
      </c>
      <c r="K37" s="9" t="n">
        <f aca="false">+K36+K35</f>
        <v>298.102767176932</v>
      </c>
      <c r="L37" s="9" t="n">
        <f aca="false">+L36+L35</f>
        <v>306.448241606702</v>
      </c>
      <c r="M37" s="9" t="n">
        <f aca="false">+M36+M35</f>
        <v>321.901895527331</v>
      </c>
      <c r="N37" s="9" t="n">
        <f aca="false">+N36+N35</f>
        <v>341.982964420263</v>
      </c>
      <c r="O37" s="9" t="n">
        <f aca="false">+O36+O35</f>
        <v>366.328377243377</v>
      </c>
      <c r="P37" s="9" t="n">
        <f aca="false">+P36+P35</f>
        <v>395.139634343124</v>
      </c>
      <c r="Q37" s="9" t="n">
        <f aca="false">+Q36+Q35</f>
        <v>428.80392072104</v>
      </c>
      <c r="R37" s="9" t="n">
        <f aca="false">+R36+R35</f>
        <v>466.826835529027</v>
      </c>
      <c r="S37" s="9" t="n">
        <f aca="false">+S36+S35</f>
        <v>510.251730364319</v>
      </c>
    </row>
    <row r="39" customFormat="false" ht="14.25" hidden="false" customHeight="false" outlineLevel="0" collapsed="false">
      <c r="B39" s="6" t="s">
        <v>145</v>
      </c>
      <c r="E39" s="6" t="n">
        <f aca="false">+E19=E33+E37</f>
        <v>1</v>
      </c>
      <c r="F39" s="6" t="n">
        <f aca="false">+F19=F33+F37</f>
        <v>1</v>
      </c>
      <c r="G39" s="6" t="n">
        <f aca="false">+G19=G33+G37</f>
        <v>1</v>
      </c>
      <c r="H39" s="6" t="n">
        <f aca="false">+H19=H33+H37</f>
        <v>1</v>
      </c>
      <c r="I39" s="6" t="n">
        <f aca="false">+I19=I33+I37</f>
        <v>1</v>
      </c>
      <c r="J39" s="6" t="n">
        <f aca="false">+J19=J33+J37</f>
        <v>1</v>
      </c>
      <c r="K39" s="6" t="n">
        <f aca="false">+K19=K33+K37</f>
        <v>1</v>
      </c>
      <c r="L39" s="6" t="n">
        <f aca="false">+L19=L33+L37</f>
        <v>1</v>
      </c>
      <c r="M39" s="6" t="n">
        <f aca="false">+M19=M33+M37</f>
        <v>1</v>
      </c>
      <c r="N39" s="6" t="n">
        <f aca="false">+N19=N33+N37</f>
        <v>1</v>
      </c>
      <c r="O39" s="6" t="n">
        <f aca="false">+O19=O33+O37</f>
        <v>1</v>
      </c>
      <c r="P39" s="6" t="n">
        <f aca="false">+P19=P33+P37</f>
        <v>1</v>
      </c>
      <c r="Q39" s="6" t="n">
        <f aca="false">+Q19=Q33+Q37</f>
        <v>1</v>
      </c>
      <c r="R39" s="6" t="n">
        <f aca="false">+R19=R33+R37</f>
        <v>1</v>
      </c>
      <c r="S39" s="6" t="n">
        <f aca="false">+S19=S33+S37</f>
        <v>0</v>
      </c>
    </row>
    <row r="40" customFormat="false" ht="14.25" hidden="false" customHeight="false" outlineLevel="0" collapsed="false">
      <c r="F40" s="46"/>
      <c r="G40" s="46"/>
      <c r="H40" s="46"/>
      <c r="I40" s="46"/>
      <c r="J40" s="9"/>
      <c r="K40" s="46"/>
      <c r="L40" s="46"/>
      <c r="M40" s="46"/>
      <c r="N40" s="46"/>
      <c r="O40" s="46"/>
      <c r="P40" s="46"/>
      <c r="Q40" s="46"/>
      <c r="R40" s="46"/>
      <c r="S40" s="46"/>
    </row>
    <row r="41" customFormat="false" ht="14.25" hidden="false" customHeight="false" outlineLevel="0" collapsed="false">
      <c r="B41" s="51" t="s">
        <v>146</v>
      </c>
      <c r="C41" s="51"/>
      <c r="D41" s="51"/>
      <c r="E41" s="51" t="n">
        <f aca="false">+SUM(E8:E9,E13)-SUM(E22:E23)</f>
        <v>100.81</v>
      </c>
      <c r="F41" s="51" t="n">
        <f aca="false">+SUM(F8:F9,F13)-SUM(F22:F23)</f>
        <v>119.424</v>
      </c>
      <c r="G41" s="51" t="n">
        <f aca="false">+SUM(G8:G9,G13)-SUM(G22:G23)</f>
        <v>82.733</v>
      </c>
      <c r="H41" s="51" t="n">
        <f aca="false">+SUM(H8:H9,H13)-SUM(H22:H23)</f>
        <v>81.118</v>
      </c>
      <c r="I41" s="51" t="n">
        <f aca="false">+SUM(I8:I9,I13)-SUM(I22:I23)</f>
        <v>103.961</v>
      </c>
      <c r="J41" s="51" t="n">
        <f aca="false">+SUM(J8:J9,J13)-SUM(J22:J23)</f>
        <v>109.3182073579</v>
      </c>
      <c r="K41" s="51" t="n">
        <f aca="false">+SUM(K8:K9,K13)-SUM(K22:K23)</f>
        <v>122.728249708022</v>
      </c>
      <c r="L41" s="51" t="n">
        <f aca="false">+SUM(L8:L9,L13)-SUM(L22:L23)</f>
        <v>135.477272841018</v>
      </c>
      <c r="M41" s="51" t="n">
        <f aca="false">+SUM(M8:M9,M13)-SUM(M22:M23)</f>
        <v>145.181252047863</v>
      </c>
      <c r="N41" s="51" t="n">
        <f aca="false">+SUM(N8:N9,N13)-SUM(N22:N23)</f>
        <v>153.255964233743</v>
      </c>
      <c r="O41" s="51" t="n">
        <f aca="false">+SUM(O8:O9,O13)-SUM(O22:O23)</f>
        <v>160.358427287535</v>
      </c>
      <c r="P41" s="51" t="n">
        <f aca="false">+SUM(P8:P9,P13)-SUM(P22:P23)</f>
        <v>167.405469075188</v>
      </c>
      <c r="Q41" s="51" t="n">
        <f aca="false">+SUM(Q8:Q9,Q13)-SUM(Q22:Q23)</f>
        <v>174.692538376608</v>
      </c>
      <c r="R41" s="51" t="n">
        <f aca="false">+SUM(R8:R9,R13)-SUM(R22:R23)</f>
        <v>182.263642150363</v>
      </c>
      <c r="S41" s="51" t="n">
        <f aca="false">+SUM(S8:S9,S13)-SUM(S22:S23)</f>
        <v>190.703825235077</v>
      </c>
    </row>
    <row r="42" customFormat="false" ht="14.25" hidden="false" customHeight="false" outlineLevel="0" collapsed="false">
      <c r="B42" s="9" t="s">
        <v>147</v>
      </c>
      <c r="C42" s="9"/>
      <c r="D42" s="9"/>
      <c r="E42" s="9" t="n">
        <f aca="false">+E41+E10</f>
        <v>286.818</v>
      </c>
      <c r="F42" s="9" t="n">
        <f aca="false">+F41+F10</f>
        <v>267.985</v>
      </c>
      <c r="G42" s="9" t="n">
        <f aca="false">+G41+G10</f>
        <v>223.281</v>
      </c>
      <c r="H42" s="9" t="n">
        <f aca="false">+H41+H10</f>
        <v>228.901</v>
      </c>
      <c r="I42" s="9" t="n">
        <f aca="false">+I41+I10</f>
        <v>267.524</v>
      </c>
      <c r="J42" s="9" t="n">
        <f aca="false">+J41+J10</f>
        <v>294.0143503579</v>
      </c>
      <c r="K42" s="9" t="n">
        <f aca="false">+K41+K10</f>
        <v>333.448496797577</v>
      </c>
      <c r="L42" s="9" t="n">
        <f aca="false">+L41+L10</f>
        <v>375.849319387588</v>
      </c>
      <c r="M42" s="9" t="n">
        <f aca="false">+M41+M10</f>
        <v>414.072234674569</v>
      </c>
      <c r="N42" s="9" t="n">
        <f aca="false">+N41+N10</f>
        <v>448.63509571069</v>
      </c>
      <c r="O42" s="9" t="n">
        <f aca="false">+O41+O10</f>
        <v>480.92034531288</v>
      </c>
      <c r="P42" s="9" t="n">
        <f aca="false">+P41+P10</f>
        <v>511.990088608671</v>
      </c>
      <c r="Q42" s="9" t="n">
        <f aca="false">+Q41+Q10</f>
        <v>542.099995795501</v>
      </c>
      <c r="R42" s="9" t="n">
        <f aca="false">+R41+R10</f>
        <v>571.229176918437</v>
      </c>
      <c r="S42" s="9" t="n">
        <f aca="false">+S41+S10</f>
        <v>599.695866360841</v>
      </c>
    </row>
    <row r="43" customFormat="false" ht="14.25" hidden="false" customHeight="fals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customFormat="false" ht="14.25" hidden="false" customHeight="false" outlineLevel="0" collapsed="false">
      <c r="B44" s="9" t="s">
        <v>148</v>
      </c>
      <c r="C44" s="9"/>
      <c r="D44" s="9"/>
      <c r="E44" s="9" t="n">
        <f aca="false">+E6</f>
        <v>46.55</v>
      </c>
      <c r="F44" s="9" t="n">
        <f aca="false">+F6</f>
        <v>39.999</v>
      </c>
      <c r="G44" s="9" t="n">
        <f aca="false">+G6</f>
        <v>67.889</v>
      </c>
      <c r="H44" s="9" t="n">
        <f aca="false">+H6</f>
        <v>78.431</v>
      </c>
      <c r="I44" s="9" t="n">
        <f aca="false">+I6</f>
        <v>59.899</v>
      </c>
      <c r="J44" s="9" t="n">
        <f aca="false">+J6</f>
        <v>35</v>
      </c>
      <c r="K44" s="9" t="n">
        <f aca="false">+K6</f>
        <v>35</v>
      </c>
      <c r="L44" s="9" t="n">
        <f aca="false">+L6</f>
        <v>35</v>
      </c>
      <c r="M44" s="9" t="n">
        <f aca="false">+M6</f>
        <v>35</v>
      </c>
      <c r="N44" s="9" t="n">
        <f aca="false">+N6</f>
        <v>35</v>
      </c>
      <c r="O44" s="9" t="n">
        <f aca="false">+O6</f>
        <v>35</v>
      </c>
      <c r="P44" s="9" t="n">
        <f aca="false">+P6</f>
        <v>35</v>
      </c>
      <c r="Q44" s="9" t="n">
        <f aca="false">+Q6</f>
        <v>35</v>
      </c>
      <c r="R44" s="9" t="n">
        <f aca="false">+R6</f>
        <v>35</v>
      </c>
      <c r="S44" s="9" t="n">
        <f aca="false">+S6</f>
        <v>35</v>
      </c>
    </row>
    <row r="45" customFormat="false" ht="14.25" hidden="false" customHeight="false" outlineLevel="0" collapsed="false">
      <c r="B45" s="9" t="s">
        <v>149</v>
      </c>
      <c r="C45" s="9"/>
      <c r="D45" s="9"/>
      <c r="E45" s="9" t="n">
        <f aca="false">+E44+E7</f>
        <v>46.55</v>
      </c>
      <c r="F45" s="9" t="n">
        <f aca="false">+F44+F7</f>
        <v>39.999</v>
      </c>
      <c r="G45" s="9" t="n">
        <f aca="false">+G44+G7</f>
        <v>84.526</v>
      </c>
      <c r="H45" s="9" t="n">
        <f aca="false">+H44+H7</f>
        <v>92.057</v>
      </c>
      <c r="I45" s="9" t="n">
        <f aca="false">+I44+I7</f>
        <v>68.734</v>
      </c>
      <c r="J45" s="9" t="n">
        <f aca="false">+J44+J7</f>
        <v>43.835</v>
      </c>
      <c r="K45" s="9" t="n">
        <f aca="false">+K44+K7</f>
        <v>43.835</v>
      </c>
      <c r="L45" s="9" t="n">
        <f aca="false">+L44+L7</f>
        <v>43.835</v>
      </c>
      <c r="M45" s="9" t="n">
        <f aca="false">+M44+M7</f>
        <v>43.835</v>
      </c>
      <c r="N45" s="9" t="n">
        <f aca="false">+N44+N7</f>
        <v>43.835</v>
      </c>
      <c r="O45" s="9" t="n">
        <f aca="false">+O44+O7</f>
        <v>43.835</v>
      </c>
      <c r="P45" s="9" t="n">
        <f aca="false">+P44+P7</f>
        <v>43.835</v>
      </c>
      <c r="Q45" s="9" t="n">
        <f aca="false">+Q44+Q7</f>
        <v>43.835</v>
      </c>
      <c r="R45" s="9" t="n">
        <f aca="false">+R44+R7</f>
        <v>43.835</v>
      </c>
      <c r="S45" s="9" t="n">
        <f aca="false">+S44+S7</f>
        <v>43.835</v>
      </c>
    </row>
    <row r="46" customFormat="false" ht="14.25" hidden="false" customHeight="false" outlineLevel="0" collapsed="false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customFormat="false" ht="14.25" hidden="false" customHeight="false" outlineLevel="0" collapsed="false">
      <c r="B47" s="9" t="s">
        <v>150</v>
      </c>
      <c r="C47" s="9"/>
      <c r="D47" s="9"/>
      <c r="E47" s="9" t="n">
        <f aca="false">+E21+E26+E29+E24</f>
        <v>866.603</v>
      </c>
      <c r="F47" s="9" t="n">
        <f aca="false">+F21+F26+F29+F24</f>
        <v>626.516</v>
      </c>
      <c r="G47" s="9" t="n">
        <f aca="false">+G21+G26+G29+G24</f>
        <v>578.694</v>
      </c>
      <c r="H47" s="9" t="n">
        <f aca="false">+H21+H26+H29+H24</f>
        <v>547.797</v>
      </c>
      <c r="I47" s="9" t="n">
        <f aca="false">+I21+I26+I29+I24</f>
        <v>597.461</v>
      </c>
      <c r="J47" s="9" t="n">
        <f aca="false">+J21+J26+J29+J24</f>
        <v>603.581709630558</v>
      </c>
      <c r="K47" s="9" t="n">
        <f aca="false">+K21+K26+K29+K24</f>
        <v>635.446368415852</v>
      </c>
      <c r="L47" s="9" t="n">
        <f aca="false">+L21+L26+L29+L24</f>
        <v>665.452099825503</v>
      </c>
      <c r="M47" s="9" t="n">
        <f aca="false">+M21+M26+M29+M24</f>
        <v>688.319345285826</v>
      </c>
      <c r="N47" s="9" t="n">
        <f aca="false">+N21+N26+N29+N24</f>
        <v>704.610693003218</v>
      </c>
      <c r="O47" s="9" t="n">
        <f aca="false">+O21+O26+O29+O24</f>
        <v>716.108670842405</v>
      </c>
      <c r="P47" s="9" t="n">
        <f aca="false">+P21+P26+P29+P24</f>
        <v>723.780010137682</v>
      </c>
      <c r="Q47" s="9" t="n">
        <f aca="false">+Q21+Q26+Q29+Q24</f>
        <v>727.629719516532</v>
      </c>
      <c r="R47" s="9" t="n">
        <f aca="false">+R21+R26+R29+R24</f>
        <v>726.975486739534</v>
      </c>
      <c r="S47" s="9" t="n">
        <f aca="false">+S21+S26+S29+S24</f>
        <v>704.285761110235</v>
      </c>
    </row>
    <row r="48" customFormat="false" ht="14.25" hidden="false" customHeight="false" outlineLevel="0" collapsed="false">
      <c r="B48" s="9" t="s">
        <v>151</v>
      </c>
      <c r="C48" s="9"/>
      <c r="D48" s="9"/>
      <c r="E48" s="9" t="n">
        <f aca="false">+E47+E25+E30</f>
        <v>866.603</v>
      </c>
      <c r="F48" s="9" t="n">
        <f aca="false">+F47+F25+F30</f>
        <v>626.516</v>
      </c>
      <c r="G48" s="9" t="n">
        <f aca="false">+G47+G25+G30</f>
        <v>629.52</v>
      </c>
      <c r="H48" s="9" t="n">
        <f aca="false">+H47+H25+H30</f>
        <v>591.632</v>
      </c>
      <c r="I48" s="9" t="n">
        <f aca="false">+I47+I25+I30</f>
        <v>633.7</v>
      </c>
      <c r="J48" s="9" t="n">
        <f aca="false">+J47+J25+J30</f>
        <v>639.820709630558</v>
      </c>
      <c r="K48" s="9" t="n">
        <f aca="false">+K47+K25+K30</f>
        <v>671.685368415852</v>
      </c>
      <c r="L48" s="9" t="n">
        <f aca="false">+L47+L25+L30</f>
        <v>701.691099825503</v>
      </c>
      <c r="M48" s="9" t="n">
        <f aca="false">+M47+M25+M30</f>
        <v>724.558345285826</v>
      </c>
      <c r="N48" s="9" t="n">
        <f aca="false">+N47+N25+N30</f>
        <v>740.849693003218</v>
      </c>
      <c r="O48" s="9" t="n">
        <f aca="false">+O47+O25+O30</f>
        <v>752.347670842405</v>
      </c>
      <c r="P48" s="9" t="n">
        <f aca="false">+P47+P25+P30</f>
        <v>760.019010137682</v>
      </c>
      <c r="Q48" s="9" t="n">
        <f aca="false">+Q47+Q25+Q30</f>
        <v>763.868719516532</v>
      </c>
      <c r="R48" s="9" t="n">
        <f aca="false">+R47+R25+R30</f>
        <v>763.214486739534</v>
      </c>
      <c r="S48" s="9" t="n">
        <f aca="false">+S47+S25+S30</f>
        <v>740.524761110235</v>
      </c>
    </row>
    <row r="49" customFormat="false" ht="14.25" hidden="false" customHeight="false" outlineLevel="0" collapsed="false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customFormat="false" ht="14.25" hidden="false" customHeight="false" outlineLevel="0" collapsed="false">
      <c r="B50" s="9" t="s">
        <v>152</v>
      </c>
      <c r="C50" s="9"/>
      <c r="D50" s="9"/>
      <c r="E50" s="9" t="n">
        <f aca="false">+E48-E44</f>
        <v>820.053</v>
      </c>
      <c r="F50" s="9" t="n">
        <f aca="false">+F48-F44</f>
        <v>586.517</v>
      </c>
      <c r="G50" s="9" t="n">
        <f aca="false">+G48-G44</f>
        <v>561.631</v>
      </c>
      <c r="H50" s="9" t="n">
        <f aca="false">+H48-H44</f>
        <v>513.201</v>
      </c>
      <c r="I50" s="9" t="n">
        <f aca="false">+I48-I44</f>
        <v>573.801</v>
      </c>
      <c r="J50" s="9" t="n">
        <f aca="false">+J48-J44</f>
        <v>604.820709630558</v>
      </c>
      <c r="K50" s="9" t="n">
        <f aca="false">+K48-K44</f>
        <v>636.685368415852</v>
      </c>
      <c r="L50" s="9" t="n">
        <f aca="false">+L48-L44</f>
        <v>666.691099825503</v>
      </c>
      <c r="M50" s="9" t="n">
        <f aca="false">+M48-M44</f>
        <v>689.558345285826</v>
      </c>
      <c r="N50" s="9" t="n">
        <f aca="false">+N48-N44</f>
        <v>705.849693003218</v>
      </c>
      <c r="O50" s="9" t="n">
        <f aca="false">+O48-O44</f>
        <v>717.347670842405</v>
      </c>
      <c r="P50" s="9" t="n">
        <f aca="false">+P48-P44</f>
        <v>725.019010137682</v>
      </c>
      <c r="Q50" s="9" t="n">
        <f aca="false">+Q48-Q44</f>
        <v>728.868719516532</v>
      </c>
      <c r="R50" s="9" t="n">
        <f aca="false">+R48-R44</f>
        <v>728.214486739534</v>
      </c>
      <c r="S50" s="9" t="n">
        <f aca="false">+S48-S44</f>
        <v>705.524761110235</v>
      </c>
    </row>
    <row r="51" customFormat="false" ht="14.25" hidden="false" customHeight="false" outlineLevel="0" collapsed="false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customFormat="false" ht="14.25" hidden="false" customHeight="false" outlineLevel="0" collapsed="false">
      <c r="B52" s="75" t="s">
        <v>153</v>
      </c>
      <c r="C52" s="75"/>
      <c r="D52" s="75"/>
      <c r="E52" s="76" t="n">
        <f aca="false">+E50/'P&amp;L'!E56</f>
        <v>7.77574125522695</v>
      </c>
      <c r="F52" s="76" t="n">
        <f aca="false">+F50/'P&amp;L'!F56</f>
        <v>5.55014383587569</v>
      </c>
      <c r="G52" s="76" t="n">
        <f aca="false">+G50/'P&amp;L'!G56</f>
        <v>5.27585882971828</v>
      </c>
      <c r="H52" s="76" t="n">
        <f aca="false">+H50/'P&amp;L'!H56</f>
        <v>4.32278470350404</v>
      </c>
      <c r="I52" s="76" t="n">
        <f aca="false">+I50/'P&amp;L'!I56</f>
        <v>4.88624054772123</v>
      </c>
      <c r="J52" s="76" t="n">
        <f aca="false">+J50/'P&amp;L'!J56</f>
        <v>4.78644599364427</v>
      </c>
      <c r="K52" s="76" t="n">
        <f aca="false">+K50/'P&amp;L'!K56</f>
        <v>4.23118755901919</v>
      </c>
      <c r="L52" s="76" t="n">
        <f aca="false">+L50/'P&amp;L'!L56</f>
        <v>3.94296690643693</v>
      </c>
      <c r="M52" s="76" t="n">
        <f aca="false">+M50/'P&amp;L'!M56</f>
        <v>3.75639973665875</v>
      </c>
      <c r="N52" s="76" t="n">
        <f aca="false">+N50/'P&amp;L'!N56</f>
        <v>3.61715367508707</v>
      </c>
      <c r="O52" s="76" t="n">
        <f aca="false">+O50/'P&amp;L'!O56</f>
        <v>3.49191652227178</v>
      </c>
      <c r="P52" s="76" t="n">
        <f aca="false">+P50/'P&amp;L'!P56</f>
        <v>3.36047374774418</v>
      </c>
      <c r="Q52" s="76" t="n">
        <f aca="false">+Q50/'P&amp;L'!Q56</f>
        <v>3.21773279133504</v>
      </c>
      <c r="R52" s="76" t="n">
        <f aca="false">+R50/'P&amp;L'!R56</f>
        <v>3.06714743973807</v>
      </c>
      <c r="S52" s="76" t="n">
        <f aca="false">+S50/'P&amp;L'!S56</f>
        <v>2.82370372294834</v>
      </c>
    </row>
    <row r="53" customFormat="false" ht="14.25" hidden="false" customHeight="false" outlineLevel="0" collapsed="false">
      <c r="J53" s="4" t="n">
        <v>2023</v>
      </c>
      <c r="K53" s="4" t="n">
        <f aca="false">+J53+1</f>
        <v>2024</v>
      </c>
      <c r="L53" s="4" t="n">
        <f aca="false">+K53+1</f>
        <v>2025</v>
      </c>
      <c r="M53" s="4" t="n">
        <f aca="false">+L53+1</f>
        <v>2026</v>
      </c>
      <c r="N53" s="4" t="n">
        <f aca="false">+M53+1</f>
        <v>2027</v>
      </c>
    </row>
    <row r="55" customFormat="false" ht="14.25" hidden="false" customHeight="false" outlineLevel="0" collapsed="false">
      <c r="A55" s="6" t="s">
        <v>2</v>
      </c>
      <c r="B55" s="5" t="s">
        <v>154</v>
      </c>
    </row>
    <row r="56" customFormat="false" ht="14.25" hidden="false" customHeight="false" outlineLevel="0" collapsed="false">
      <c r="B56" s="6" t="s">
        <v>155</v>
      </c>
      <c r="I56" s="65" t="n">
        <f aca="false">+'P&amp;L'!I34</f>
        <v>31.762</v>
      </c>
      <c r="J56" s="65" t="n">
        <f aca="false">+'P&amp;L'!J34</f>
        <v>17.1193818273425</v>
      </c>
      <c r="K56" s="65" t="n">
        <f aca="false">+'P&amp;L'!K34</f>
        <v>34.82836894959</v>
      </c>
      <c r="L56" s="65" t="n">
        <f aca="false">+'P&amp;L'!L34</f>
        <v>44.0116141017693</v>
      </c>
      <c r="M56" s="65" t="n">
        <f aca="false">+'P&amp;L'!M34</f>
        <v>51.8331163860691</v>
      </c>
      <c r="N56" s="65" t="n">
        <f aca="false">+'P&amp;L'!N34</f>
        <v>57.1881206076805</v>
      </c>
      <c r="O56" s="65" t="n">
        <f aca="false">+'P&amp;L'!O34</f>
        <v>62.1946055721578</v>
      </c>
      <c r="P56" s="65" t="n">
        <f aca="false">+'P&amp;L'!P34</f>
        <v>67.4174337037724</v>
      </c>
      <c r="Q56" s="65" t="n">
        <f aca="false">+'P&amp;L'!Q34</f>
        <v>73.042586514021</v>
      </c>
      <c r="R56" s="65" t="n">
        <f aca="false">+'P&amp;L'!R34</f>
        <v>78.1887809468137</v>
      </c>
      <c r="S56" s="65" t="n">
        <f aca="false">+'P&amp;L'!S34</f>
        <v>84.3940782968961</v>
      </c>
    </row>
    <row r="57" customFormat="false" ht="14.25" hidden="false" customHeight="false" outlineLevel="0" collapsed="false">
      <c r="B57" s="6" t="s">
        <v>156</v>
      </c>
      <c r="I57" s="65" t="n">
        <f aca="false">+'FS Calcs'!I53*-1</f>
        <v>13.378</v>
      </c>
      <c r="J57" s="65" t="n">
        <f aca="false">+'FS Calcs'!J53*-1</f>
        <v>15.7946334</v>
      </c>
      <c r="K57" s="65" t="n">
        <f aca="false">+'FS Calcs'!K53*-1</f>
        <v>13.12735407255</v>
      </c>
      <c r="L57" s="65" t="n">
        <f aca="false">+'FS Calcs'!L53*-1</f>
        <v>12.2507890429031</v>
      </c>
      <c r="M57" s="65" t="n">
        <f aca="false">+'FS Calcs'!M53*-1</f>
        <v>10.6028832986698</v>
      </c>
      <c r="N57" s="65" t="n">
        <f aca="false">+'FS Calcs'!N53*-1</f>
        <v>11.2727575935563</v>
      </c>
      <c r="O57" s="65" t="n">
        <f aca="false">+'FS Calcs'!O53*-1</f>
        <v>11.8633734275979</v>
      </c>
      <c r="P57" s="65" t="n">
        <f aca="false">+'FS Calcs'!P53*-1</f>
        <v>12.448842887842</v>
      </c>
      <c r="Q57" s="65" t="n">
        <f aca="false">+'FS Calcs'!Q53*-1</f>
        <v>13.0530664274521</v>
      </c>
      <c r="R57" s="65" t="n">
        <f aca="false">+'FS Calcs'!R53*-1</f>
        <v>13.679625681039</v>
      </c>
      <c r="S57" s="65" t="n">
        <f aca="false">+'FS Calcs'!S53*-1</f>
        <v>14.3616344497628</v>
      </c>
    </row>
    <row r="58" customFormat="false" ht="14.25" hidden="false" customHeight="false" outlineLevel="0" collapsed="false">
      <c r="B58" s="6" t="s">
        <v>157</v>
      </c>
      <c r="I58" s="65" t="n">
        <f aca="false">+'FS Calcs'!I64*-1</f>
        <v>10.601</v>
      </c>
      <c r="J58" s="65" t="n">
        <f aca="false">+'FS Calcs'!J64*-1</f>
        <v>15.7946334</v>
      </c>
      <c r="K58" s="65" t="n">
        <f aca="false">+'FS Calcs'!K64*-1</f>
        <v>16.6696559651429</v>
      </c>
      <c r="L58" s="65" t="n">
        <f aca="false">+'FS Calcs'!L64*-1</f>
        <v>17.7344755668693</v>
      </c>
      <c r="M58" s="65" t="n">
        <f aca="false">+'FS Calcs'!M64*-1</f>
        <v>18.1763713691482</v>
      </c>
      <c r="N58" s="65" t="n">
        <f aca="false">+'FS Calcs'!N64*-1</f>
        <v>18.2511313419483</v>
      </c>
      <c r="O58" s="65" t="n">
        <f aca="false">+'FS Calcs'!O64*-1</f>
        <v>18.0775214134825</v>
      </c>
      <c r="P58" s="65" t="n">
        <f aca="false">+'FS Calcs'!P64*-1</f>
        <v>17.7840612683457</v>
      </c>
      <c r="Q58" s="65" t="n">
        <f aca="false">+'FS Calcs'!Q64*-1</f>
        <v>17.4040885699362</v>
      </c>
      <c r="R58" s="65" t="n">
        <f aca="false">+'FS Calcs'!R64*-1</f>
        <v>18.239500908052</v>
      </c>
      <c r="S58" s="65" t="n">
        <f aca="false">+'FS Calcs'!S64*-1</f>
        <v>19.1488459330171</v>
      </c>
    </row>
    <row r="59" customFormat="false" ht="14.25" hidden="false" customHeight="false" outlineLevel="0" collapsed="false">
      <c r="B59" s="6" t="s">
        <v>158</v>
      </c>
      <c r="I59" s="65" t="n">
        <f aca="false">+'FS Calcs'!I44*-1</f>
        <v>10.241</v>
      </c>
      <c r="J59" s="65" t="n">
        <f aca="false">+'FS Calcs'!J44*-1</f>
        <v>10</v>
      </c>
      <c r="K59" s="65" t="n">
        <f aca="false">+'FS Calcs'!K44*-1</f>
        <v>10</v>
      </c>
      <c r="L59" s="65" t="n">
        <f aca="false">+'FS Calcs'!L44*-1</f>
        <v>10</v>
      </c>
      <c r="M59" s="65" t="n">
        <f aca="false">+'FS Calcs'!M44*-1</f>
        <v>10</v>
      </c>
      <c r="N59" s="65" t="n">
        <f aca="false">+'FS Calcs'!N44*-1</f>
        <v>10</v>
      </c>
      <c r="O59" s="65" t="n">
        <f aca="false">+'FS Calcs'!O44*-1</f>
        <v>10</v>
      </c>
      <c r="P59" s="65" t="n">
        <f aca="false">+'FS Calcs'!P44*-1</f>
        <v>10</v>
      </c>
      <c r="Q59" s="65" t="n">
        <f aca="false">+'FS Calcs'!Q44*-1</f>
        <v>10</v>
      </c>
      <c r="R59" s="65" t="n">
        <f aca="false">+'FS Calcs'!R44*-1</f>
        <v>10</v>
      </c>
      <c r="S59" s="65" t="n">
        <f aca="false">+'FS Calcs'!S44*-1</f>
        <v>10</v>
      </c>
    </row>
    <row r="60" customFormat="false" ht="14.25" hidden="false" customHeight="false" outlineLevel="0" collapsed="false">
      <c r="B60" s="6" t="s">
        <v>159</v>
      </c>
      <c r="I60" s="65" t="n">
        <f aca="false">+('FS Calcs'!I31+'FS Calcs'!I33)*-1</f>
        <v>-24.197</v>
      </c>
      <c r="J60" s="65" t="n">
        <f aca="false">+('FS Calcs'!J31+'FS Calcs'!J33)*-1</f>
        <v>-21.133143</v>
      </c>
      <c r="K60" s="65" t="n">
        <f aca="false">+('FS Calcs'!K31+'FS Calcs'!K33)*-1</f>
        <v>-26.024104089555</v>
      </c>
      <c r="L60" s="65" t="n">
        <f aca="false">+('FS Calcs'!L31+'FS Calcs'!L33)*-1</f>
        <v>-29.651799457015</v>
      </c>
      <c r="M60" s="65" t="n">
        <f aca="false">+('FS Calcs'!M31+'FS Calcs'!M33)*-1</f>
        <v>-28.5189360801356</v>
      </c>
      <c r="N60" s="65" t="n">
        <f aca="false">+('FS Calcs'!N31+'FS Calcs'!N33)*-1</f>
        <v>-26.4881488502416</v>
      </c>
      <c r="O60" s="65" t="n">
        <f aca="false">+('FS Calcs'!O31+'FS Calcs'!O33)*-1</f>
        <v>-25.1827865483976</v>
      </c>
      <c r="P60" s="65" t="n">
        <f aca="false">+('FS Calcs'!P31+'FS Calcs'!P33)*-1</f>
        <v>-24.0227015081381</v>
      </c>
      <c r="Q60" s="65" t="n">
        <f aca="false">+('FS Calcs'!Q31+'FS Calcs'!Q33)*-1</f>
        <v>-22.8228378854101</v>
      </c>
      <c r="R60" s="65" t="n">
        <f aca="false">+('FS Calcs'!R31+'FS Calcs'!R33)*-1</f>
        <v>-21.5580773491811</v>
      </c>
      <c r="S60" s="65" t="n">
        <f aca="false">+('FS Calcs'!S31+'FS Calcs'!S33)*-1</f>
        <v>-20.0265063576896</v>
      </c>
    </row>
    <row r="61" customFormat="false" ht="14.25" hidden="false" customHeight="false" outlineLevel="0" collapsed="false">
      <c r="B61" s="6" t="s">
        <v>160</v>
      </c>
      <c r="I61" s="6" t="n">
        <f aca="false">+I41-H41</f>
        <v>22.843</v>
      </c>
      <c r="J61" s="77" t="n">
        <f aca="false">I41-J41</f>
        <v>-5.3572073579</v>
      </c>
      <c r="K61" s="77" t="n">
        <f aca="false">J41-K41</f>
        <v>-13.4100423501218</v>
      </c>
      <c r="L61" s="77" t="n">
        <f aca="false">K41-L41</f>
        <v>-12.7490231329959</v>
      </c>
      <c r="M61" s="77" t="n">
        <f aca="false">L41-M41</f>
        <v>-9.70397920684542</v>
      </c>
      <c r="N61" s="77" t="n">
        <f aca="false">M41-N41</f>
        <v>-8.07471218587955</v>
      </c>
      <c r="O61" s="77" t="n">
        <f aca="false">N41-O41</f>
        <v>-7.10246305379224</v>
      </c>
      <c r="P61" s="77" t="n">
        <f aca="false">O41-P41</f>
        <v>-7.04704178765309</v>
      </c>
      <c r="Q61" s="77" t="n">
        <f aca="false">P41-Q41</f>
        <v>-7.28706930141988</v>
      </c>
      <c r="R61" s="77" t="n">
        <f aca="false">Q41-R41</f>
        <v>-7.57110377375528</v>
      </c>
      <c r="S61" s="6" t="n">
        <f aca="false">+S41-R41</f>
        <v>8.44018308471379</v>
      </c>
    </row>
    <row r="62" customFormat="false" ht="14.25" hidden="false" customHeight="false" outlineLevel="0" collapsed="false">
      <c r="B62" s="6" t="s">
        <v>161</v>
      </c>
      <c r="I62" s="65" t="n">
        <f aca="false">+'P&amp;L'!I18</f>
        <v>-0.788</v>
      </c>
      <c r="J62" s="65" t="n">
        <f aca="false">+'P&amp;L'!J18</f>
        <v>0</v>
      </c>
      <c r="K62" s="65" t="n">
        <f aca="false">+'P&amp;L'!K18</f>
        <v>0</v>
      </c>
      <c r="L62" s="65" t="n">
        <f aca="false">+'P&amp;L'!L18</f>
        <v>0</v>
      </c>
      <c r="M62" s="65" t="n">
        <f aca="false">+'P&amp;L'!M18</f>
        <v>0</v>
      </c>
      <c r="N62" s="65" t="n">
        <f aca="false">+'P&amp;L'!N18</f>
        <v>0</v>
      </c>
      <c r="O62" s="65" t="n">
        <f aca="false">+'P&amp;L'!O18</f>
        <v>0</v>
      </c>
      <c r="P62" s="65" t="n">
        <f aca="false">+'P&amp;L'!P18</f>
        <v>0</v>
      </c>
      <c r="Q62" s="65" t="n">
        <f aca="false">+'P&amp;L'!Q18</f>
        <v>0</v>
      </c>
      <c r="R62" s="65" t="n">
        <f aca="false">+'P&amp;L'!R18</f>
        <v>0</v>
      </c>
      <c r="S62" s="65" t="n">
        <f aca="false">+'P&amp;L'!S18</f>
        <v>0</v>
      </c>
    </row>
    <row r="63" customFormat="false" ht="14.25" hidden="false" customHeight="false" outlineLevel="0" collapsed="false">
      <c r="B63" s="6" t="s">
        <v>162</v>
      </c>
      <c r="I63" s="65" t="n">
        <f aca="false">+'P&amp;L'!I22*-1</f>
        <v>30.486</v>
      </c>
      <c r="J63" s="65" t="n">
        <f aca="false">+'P&amp;L'!J22*-1</f>
        <v>33.6676311518785</v>
      </c>
      <c r="K63" s="65" t="n">
        <f aca="false">+'P&amp;L'!K22*-1</f>
        <v>34.8976677175224</v>
      </c>
      <c r="L63" s="65" t="n">
        <f aca="false">+'P&amp;L'!L22*-1</f>
        <v>36.6335871107579</v>
      </c>
      <c r="M63" s="65" t="n">
        <f aca="false">+'P&amp;L'!M22*-1</f>
        <v>38.1140304631172</v>
      </c>
      <c r="N63" s="65" t="n">
        <f aca="false">+'P&amp;L'!N22*-1</f>
        <v>39.2104710720932</v>
      </c>
      <c r="O63" s="65" t="n">
        <f aca="false">+'P&amp;L'!O22*-1</f>
        <v>39.9885721876774</v>
      </c>
      <c r="P63" s="65" t="n">
        <f aca="false">+'P&amp;L'!P22*-1</f>
        <v>40.5253130674424</v>
      </c>
      <c r="Q63" s="65" t="n">
        <f aca="false">+'P&amp;L'!Q22*-1</f>
        <v>40.847902430318</v>
      </c>
      <c r="R63" s="65" t="n">
        <f aca="false">+'P&amp;L'!R22*-1</f>
        <v>40.9435909865513</v>
      </c>
      <c r="S63" s="65" t="n">
        <f aca="false">+'P&amp;L'!S22*-1</f>
        <v>40.5117277560348</v>
      </c>
    </row>
    <row r="64" customFormat="false" ht="14.25" hidden="false" customHeight="false" outlineLevel="0" collapsed="false">
      <c r="B64" s="6" t="s">
        <v>163</v>
      </c>
      <c r="I64" s="6" t="n">
        <f aca="false">+I65-SUM(I56:I63)</f>
        <v>-61.2260000000001</v>
      </c>
      <c r="J64" s="56" t="n">
        <v>0</v>
      </c>
      <c r="K64" s="56" t="n">
        <v>0</v>
      </c>
      <c r="L64" s="56" t="n">
        <v>0</v>
      </c>
      <c r="M64" s="56" t="n">
        <v>0</v>
      </c>
      <c r="N64" s="56" t="n">
        <v>0</v>
      </c>
      <c r="O64" s="56" t="n">
        <v>0</v>
      </c>
      <c r="P64" s="56" t="n">
        <v>0</v>
      </c>
      <c r="Q64" s="56" t="n">
        <v>0</v>
      </c>
      <c r="R64" s="56" t="n">
        <v>0</v>
      </c>
      <c r="S64" s="56" t="n">
        <v>0</v>
      </c>
    </row>
    <row r="65" customFormat="false" ht="14.25" hidden="false" customHeight="false" outlineLevel="0" collapsed="false">
      <c r="B65" s="51" t="s">
        <v>164</v>
      </c>
      <c r="C65" s="51"/>
      <c r="D65" s="51"/>
      <c r="E65" s="51"/>
      <c r="F65" s="51"/>
      <c r="G65" s="51"/>
      <c r="H65" s="51"/>
      <c r="I65" s="78" t="n">
        <f aca="false">+I101</f>
        <v>33.1</v>
      </c>
      <c r="J65" s="79" t="n">
        <f aca="false">SUM(J56:J64)</f>
        <v>65.8859294213209</v>
      </c>
      <c r="K65" s="79" t="n">
        <f aca="false">SUM(K56:K64)</f>
        <v>70.0889002651284</v>
      </c>
      <c r="L65" s="79" t="n">
        <f aca="false">SUM(L56:L64)</f>
        <v>78.2296432322888</v>
      </c>
      <c r="M65" s="79" t="n">
        <f aca="false">SUM(M56:M64)</f>
        <v>90.5034862300233</v>
      </c>
      <c r="N65" s="79" t="n">
        <f aca="false">SUM(N56:N64)</f>
        <v>101.359619579157</v>
      </c>
      <c r="O65" s="79" t="n">
        <f aca="false">SUM(O56:O64)</f>
        <v>109.838822998726</v>
      </c>
      <c r="P65" s="79" t="n">
        <f aca="false">SUM(P56:P64)</f>
        <v>117.105907631611</v>
      </c>
      <c r="Q65" s="79" t="n">
        <f aca="false">SUM(Q56:Q64)</f>
        <v>124.237736754897</v>
      </c>
      <c r="R65" s="79" t="n">
        <f aca="false">SUM(R56:R64)</f>
        <v>131.92231739952</v>
      </c>
      <c r="S65" s="79" t="n">
        <f aca="false">SUM(S56:S64)</f>
        <v>156.829963162735</v>
      </c>
    </row>
    <row r="66" customFormat="false" ht="14.25" hidden="false" customHeight="false" outlineLevel="0" collapsed="false">
      <c r="J66" s="65"/>
    </row>
    <row r="67" customFormat="false" ht="14.25" hidden="false" customHeight="false" outlineLevel="0" collapsed="false">
      <c r="B67" s="6" t="s">
        <v>165</v>
      </c>
      <c r="I67" s="65" t="n">
        <f aca="false">+('FS Calcs'!I52*-1)+'Debt Calcs'!I62</f>
        <v>-2.995</v>
      </c>
      <c r="J67" s="65" t="n">
        <f aca="false">+('FS Calcs'!J52*-1)+'Debt Calcs'!J62</f>
        <v>-5.5843167</v>
      </c>
      <c r="K67" s="65" t="n">
        <f aca="false">+('FS Calcs'!K52*-1)+'Debt Calcs'!K62</f>
        <v>-6.4385693817</v>
      </c>
      <c r="L67" s="65" t="n">
        <f aca="false">+('FS Calcs'!L52*-1)+'Debt Calcs'!L62</f>
        <v>-7.4876312343225</v>
      </c>
      <c r="M67" s="65" t="n">
        <f aca="false">+('FS Calcs'!M52*-1)+'Debt Calcs'!M62</f>
        <v>-8.28988329866978</v>
      </c>
      <c r="N67" s="65" t="n">
        <f aca="false">+('FS Calcs'!N52*-1)+'Debt Calcs'!N62</f>
        <v>-8.95975759355629</v>
      </c>
      <c r="O67" s="65" t="n">
        <f aca="false">+('FS Calcs'!O52*-1)+'Debt Calcs'!O62</f>
        <v>-9.55037342759789</v>
      </c>
      <c r="P67" s="65" t="n">
        <f aca="false">+('FS Calcs'!P52*-1)+'Debt Calcs'!P62</f>
        <v>-10.135842887842</v>
      </c>
      <c r="Q67" s="65" t="n">
        <f aca="false">+('FS Calcs'!Q52*-1)+'Debt Calcs'!Q62</f>
        <v>-10.7400664274521</v>
      </c>
      <c r="R67" s="65" t="n">
        <f aca="false">+('FS Calcs'!R52*-1)+'Debt Calcs'!R62</f>
        <v>-11.366625681039</v>
      </c>
      <c r="S67" s="65" t="n">
        <f aca="false">+('FS Calcs'!S52*-1)+'Debt Calcs'!S62</f>
        <v>-12.0486344497628</v>
      </c>
    </row>
    <row r="68" customFormat="false" ht="14.25" hidden="false" customHeight="false" outlineLevel="0" collapsed="false">
      <c r="B68" s="6" t="s">
        <v>166</v>
      </c>
      <c r="I68" s="65" t="n">
        <f aca="false">+'FS Calcs'!I63*-1</f>
        <v>-14.309</v>
      </c>
      <c r="J68" s="65" t="n">
        <f aca="false">+'FS Calcs'!J63*-1</f>
        <v>-10.5297556</v>
      </c>
      <c r="K68" s="65" t="n">
        <f aca="false">+'FS Calcs'!K63*-1</f>
        <v>-11.6687591756</v>
      </c>
      <c r="L68" s="65" t="n">
        <f aca="false">+'FS Calcs'!L63*-1</f>
        <v>-13.06750831243</v>
      </c>
      <c r="M68" s="65" t="n">
        <f aca="false">+'FS Calcs'!M63*-1</f>
        <v>-14.1371777315597</v>
      </c>
      <c r="N68" s="65" t="n">
        <f aca="false">+'FS Calcs'!N63*-1</f>
        <v>-15.0303434580751</v>
      </c>
      <c r="O68" s="65" t="n">
        <f aca="false">+'FS Calcs'!O63*-1</f>
        <v>-15.8178312367972</v>
      </c>
      <c r="P68" s="65" t="n">
        <f aca="false">+'FS Calcs'!P63*-1</f>
        <v>-16.5984571837893</v>
      </c>
      <c r="Q68" s="65" t="n">
        <f aca="false">+'FS Calcs'!Q63*-1</f>
        <v>-17.4040885699362</v>
      </c>
      <c r="R68" s="65" t="n">
        <f aca="false">+'FS Calcs'!R63*-1</f>
        <v>-18.239500908052</v>
      </c>
      <c r="S68" s="65" t="n">
        <f aca="false">+'FS Calcs'!S63*-1</f>
        <v>-19.1488459330171</v>
      </c>
    </row>
    <row r="69" customFormat="false" ht="14.25" hidden="false" customHeight="false" outlineLevel="0" collapsed="false">
      <c r="B69" s="6" t="s">
        <v>167</v>
      </c>
      <c r="I69" s="65" t="n">
        <f aca="false">+'FS Calcs'!I42*-1</f>
        <v>-1</v>
      </c>
      <c r="J69" s="65" t="n">
        <f aca="false">+'FS Calcs'!J42*-1</f>
        <v>-10.5297556</v>
      </c>
      <c r="K69" s="65" t="n">
        <f aca="false">+'FS Calcs'!K42*-1</f>
        <v>-11.6687591756</v>
      </c>
      <c r="L69" s="65" t="n">
        <f aca="false">+'FS Calcs'!L42*-1</f>
        <v>-13.06750831243</v>
      </c>
      <c r="M69" s="65" t="n">
        <f aca="false">+'FS Calcs'!M42*-1</f>
        <v>-14.1371777315597</v>
      </c>
      <c r="N69" s="65" t="n">
        <f aca="false">+'FS Calcs'!N42*-1</f>
        <v>-15.0303434580751</v>
      </c>
      <c r="O69" s="65" t="n">
        <f aca="false">+'FS Calcs'!O42*-1</f>
        <v>-15.8178312367972</v>
      </c>
      <c r="P69" s="65" t="n">
        <f aca="false">+'FS Calcs'!P42*-1</f>
        <v>-16.5984571837893</v>
      </c>
      <c r="Q69" s="65" t="n">
        <f aca="false">+'FS Calcs'!Q42*-1</f>
        <v>-17.4040885699362</v>
      </c>
      <c r="R69" s="65" t="n">
        <f aca="false">+'FS Calcs'!R42*-1</f>
        <v>-18.239500908052</v>
      </c>
      <c r="S69" s="65" t="n">
        <f aca="false">+'FS Calcs'!S42*-1</f>
        <v>-19.1488459330171</v>
      </c>
    </row>
    <row r="70" customFormat="false" ht="14.25" hidden="false" customHeight="false" outlineLevel="0" collapsed="false">
      <c r="B70" s="6" t="s">
        <v>163</v>
      </c>
      <c r="I70" s="6" t="n">
        <f aca="false">+I71-SUM(I67:I69)</f>
        <v>7.465</v>
      </c>
      <c r="J70" s="56" t="n">
        <v>0</v>
      </c>
      <c r="K70" s="56" t="n">
        <v>0</v>
      </c>
      <c r="L70" s="56" t="n">
        <v>0</v>
      </c>
      <c r="M70" s="56" t="n">
        <v>0</v>
      </c>
      <c r="N70" s="56" t="n">
        <v>0</v>
      </c>
      <c r="O70" s="56" t="n">
        <v>0</v>
      </c>
      <c r="P70" s="56" t="n">
        <v>0</v>
      </c>
      <c r="Q70" s="56" t="n">
        <v>0</v>
      </c>
      <c r="R70" s="56" t="n">
        <v>0</v>
      </c>
      <c r="S70" s="56" t="n">
        <v>0</v>
      </c>
    </row>
    <row r="71" s="9" customFormat="true" ht="14.25" hidden="false" customHeight="false" outlineLevel="0" collapsed="false">
      <c r="B71" s="51" t="s">
        <v>168</v>
      </c>
      <c r="C71" s="51"/>
      <c r="D71" s="51"/>
      <c r="E71" s="51"/>
      <c r="F71" s="51"/>
      <c r="G71" s="51"/>
      <c r="H71" s="51"/>
      <c r="I71" s="78" t="n">
        <f aca="false">+I106</f>
        <v>-10.839</v>
      </c>
      <c r="J71" s="79" t="n">
        <f aca="false">SUM(J67:J70)</f>
        <v>-26.6438279</v>
      </c>
      <c r="K71" s="79" t="n">
        <f aca="false">SUM(K67:K70)</f>
        <v>-29.7760877329</v>
      </c>
      <c r="L71" s="79" t="n">
        <f aca="false">SUM(L67:L70)</f>
        <v>-33.6226478591825</v>
      </c>
      <c r="M71" s="79" t="n">
        <f aca="false">SUM(M67:M70)</f>
        <v>-36.5642387617892</v>
      </c>
      <c r="N71" s="79" t="n">
        <f aca="false">SUM(N67:N70)</f>
        <v>-39.0204445097064</v>
      </c>
      <c r="O71" s="79" t="n">
        <f aca="false">SUM(O67:O70)</f>
        <v>-41.1860359011923</v>
      </c>
      <c r="P71" s="79" t="n">
        <f aca="false">SUM(P67:P70)</f>
        <v>-43.3327572554206</v>
      </c>
      <c r="Q71" s="79" t="n">
        <f aca="false">SUM(Q67:Q70)</f>
        <v>-45.5482435673245</v>
      </c>
      <c r="R71" s="79" t="n">
        <f aca="false">SUM(R67:R70)</f>
        <v>-47.8456274971429</v>
      </c>
      <c r="S71" s="79" t="n">
        <f aca="false">SUM(S67:S70)</f>
        <v>-50.346326315797</v>
      </c>
    </row>
    <row r="72" s="9" customFormat="true" ht="14.25" hidden="false" customHeight="false" outlineLevel="0" collapsed="false">
      <c r="I72" s="12"/>
      <c r="J72" s="80"/>
      <c r="K72" s="80"/>
      <c r="L72" s="80"/>
      <c r="M72" s="80"/>
      <c r="N72" s="80"/>
      <c r="O72" s="80"/>
      <c r="P72" s="80"/>
      <c r="Q72" s="80"/>
      <c r="R72" s="80"/>
      <c r="S72" s="80"/>
    </row>
    <row r="73" s="9" customFormat="true" ht="14.25" hidden="false" customHeight="false" outlineLevel="0" collapsed="false">
      <c r="B73" s="6" t="s">
        <v>169</v>
      </c>
      <c r="I73" s="12" t="n">
        <f aca="false">+I112+I113+I117</f>
        <v>24.299</v>
      </c>
      <c r="J73" s="65" t="n">
        <f aca="false">+'Debt Calcs'!J39+'Debt Calcs'!J45+'Debt Calcs'!J51+'Debt Calcs'!J56</f>
        <v>6.12070963055759</v>
      </c>
      <c r="K73" s="65" t="n">
        <f aca="false">+'Debt Calcs'!K39+'Debt Calcs'!K45+'Debt Calcs'!K51+'Debt Calcs'!K56</f>
        <v>31.864658785294</v>
      </c>
      <c r="L73" s="65" t="n">
        <f aca="false">+'Debt Calcs'!L39+'Debt Calcs'!L45+'Debt Calcs'!L51+'Debt Calcs'!L56</f>
        <v>30.0057314096517</v>
      </c>
      <c r="M73" s="65" t="n">
        <f aca="false">+'Debt Calcs'!M39+'Debt Calcs'!M45+'Debt Calcs'!M51+'Debt Calcs'!M56</f>
        <v>22.8672454603232</v>
      </c>
      <c r="N73" s="65" t="n">
        <f aca="false">+'Debt Calcs'!N39+'Debt Calcs'!N45+'Debt Calcs'!N51+'Debt Calcs'!N56</f>
        <v>16.2913477173913</v>
      </c>
      <c r="O73" s="65" t="n">
        <f aca="false">+'Debt Calcs'!O39+'Debt Calcs'!O45+'Debt Calcs'!O51+'Debt Calcs'!O56</f>
        <v>11.4979778391877</v>
      </c>
      <c r="P73" s="65" t="n">
        <f aca="false">+'Debt Calcs'!P39+'Debt Calcs'!P45+'Debt Calcs'!P51+'Debt Calcs'!P56</f>
        <v>7.67133929527635</v>
      </c>
      <c r="Q73" s="65" t="n">
        <f aca="false">+'Debt Calcs'!Q39+'Debt Calcs'!Q45+'Debt Calcs'!Q51+'Debt Calcs'!Q56</f>
        <v>3.84970937885029</v>
      </c>
      <c r="R73" s="65" t="n">
        <f aca="false">+'Debt Calcs'!R39+'Debt Calcs'!R45+'Debt Calcs'!R51+'Debt Calcs'!R56</f>
        <v>-0.65423277699806</v>
      </c>
      <c r="S73" s="65" t="n">
        <f aca="false">+'Debt Calcs'!S39+'Debt Calcs'!S45+'Debt Calcs'!S51+'Debt Calcs'!S56</f>
        <v>-22.6897256292994</v>
      </c>
    </row>
    <row r="74" s="9" customFormat="true" ht="14.25" hidden="false" customHeight="false" outlineLevel="0" collapsed="false">
      <c r="B74" s="6" t="s">
        <v>170</v>
      </c>
      <c r="I74" s="65" t="n">
        <f aca="false">+'Debt Calcs'!I63</f>
        <v>-9.495</v>
      </c>
      <c r="J74" s="65" t="n">
        <f aca="false">+'Debt Calcs'!J63</f>
        <v>-2.313</v>
      </c>
      <c r="K74" s="65" t="n">
        <f aca="false">+'Debt Calcs'!K63</f>
        <v>-2.313</v>
      </c>
      <c r="L74" s="65" t="n">
        <f aca="false">+'Debt Calcs'!L63</f>
        <v>-2.313</v>
      </c>
      <c r="M74" s="65" t="n">
        <f aca="false">+'Debt Calcs'!M63</f>
        <v>-2.313</v>
      </c>
      <c r="N74" s="65" t="n">
        <f aca="false">+'Debt Calcs'!N63</f>
        <v>-2.313</v>
      </c>
      <c r="O74" s="65" t="n">
        <f aca="false">+'Debt Calcs'!O63</f>
        <v>-2.313</v>
      </c>
      <c r="P74" s="65" t="n">
        <f aca="false">+'Debt Calcs'!P63</f>
        <v>-2.313</v>
      </c>
      <c r="Q74" s="65" t="n">
        <f aca="false">+'Debt Calcs'!Q63</f>
        <v>-2.313</v>
      </c>
      <c r="R74" s="65" t="n">
        <f aca="false">+'Debt Calcs'!R63</f>
        <v>-2.313</v>
      </c>
      <c r="S74" s="65" t="n">
        <f aca="false">+'Debt Calcs'!S63</f>
        <v>-2.313</v>
      </c>
    </row>
    <row r="75" s="9" customFormat="true" ht="14.25" hidden="false" customHeight="false" outlineLevel="0" collapsed="false">
      <c r="B75" s="6" t="s">
        <v>95</v>
      </c>
      <c r="I75" s="65" t="n">
        <f aca="false">+'P&amp;L'!I44</f>
        <v>0</v>
      </c>
      <c r="J75" s="65" t="n">
        <f aca="false">+'P&amp;L'!J44</f>
        <v>0</v>
      </c>
      <c r="K75" s="65" t="n">
        <f aca="false">+'P&amp;L'!K44</f>
        <v>0</v>
      </c>
      <c r="L75" s="65" t="n">
        <f aca="false">+'P&amp;L'!L44</f>
        <v>0</v>
      </c>
      <c r="M75" s="65" t="n">
        <f aca="false">+'P&amp;L'!M44</f>
        <v>0</v>
      </c>
      <c r="N75" s="65" t="n">
        <f aca="false">+'P&amp;L'!N44</f>
        <v>0</v>
      </c>
      <c r="O75" s="65" t="n">
        <f aca="false">+'P&amp;L'!O44</f>
        <v>0</v>
      </c>
      <c r="P75" s="65" t="n">
        <f aca="false">+'P&amp;L'!P44</f>
        <v>0</v>
      </c>
      <c r="Q75" s="65" t="n">
        <f aca="false">+'P&amp;L'!Q44</f>
        <v>0</v>
      </c>
      <c r="R75" s="65" t="n">
        <f aca="false">+'P&amp;L'!R44</f>
        <v>0</v>
      </c>
      <c r="S75" s="65" t="n">
        <f aca="false">+'P&amp;L'!S44</f>
        <v>0</v>
      </c>
    </row>
    <row r="76" s="9" customFormat="true" ht="14.25" hidden="false" customHeight="false" outlineLevel="0" collapsed="false">
      <c r="B76" s="6" t="s">
        <v>171</v>
      </c>
      <c r="I76" s="65" t="n">
        <f aca="false">+'P&amp;L'!I45</f>
        <v>-33.609</v>
      </c>
      <c r="J76" s="65" t="n">
        <f aca="false">+'P&amp;L'!J45</f>
        <v>-34.28118</v>
      </c>
      <c r="K76" s="65" t="n">
        <f aca="false">+'P&amp;L'!K45</f>
        <v>-34.9668036</v>
      </c>
      <c r="L76" s="65" t="n">
        <f aca="false">+'P&amp;L'!L45</f>
        <v>-35.666139672</v>
      </c>
      <c r="M76" s="65" t="n">
        <f aca="false">+'P&amp;L'!M45</f>
        <v>-36.37946246544</v>
      </c>
      <c r="N76" s="65" t="n">
        <f aca="false">+'P&amp;L'!N45</f>
        <v>-37.1070517147488</v>
      </c>
      <c r="O76" s="65" t="n">
        <f aca="false">+'P&amp;L'!O45</f>
        <v>-37.8491927490438</v>
      </c>
      <c r="P76" s="65" t="n">
        <f aca="false">+'P&amp;L'!P45</f>
        <v>-38.6061766040247</v>
      </c>
      <c r="Q76" s="65" t="n">
        <f aca="false">+'P&amp;L'!Q45</f>
        <v>-39.3783001361051</v>
      </c>
      <c r="R76" s="65" t="n">
        <f aca="false">+'P&amp;L'!R45</f>
        <v>-40.1658661388272</v>
      </c>
      <c r="S76" s="65" t="n">
        <f aca="false">+'P&amp;L'!S45</f>
        <v>-40.9691834616038</v>
      </c>
    </row>
    <row r="77" s="9" customFormat="true" ht="14.25" hidden="false" customHeight="false" outlineLevel="0" collapsed="false">
      <c r="B77" s="6" t="s">
        <v>172</v>
      </c>
      <c r="I77" s="65" t="n">
        <f aca="false">+'P&amp;L'!I22</f>
        <v>-30.486</v>
      </c>
      <c r="J77" s="65" t="n">
        <f aca="false">+'P&amp;L'!J22</f>
        <v>-33.6676311518785</v>
      </c>
      <c r="K77" s="65" t="n">
        <f aca="false">+'P&amp;L'!K22</f>
        <v>-34.8976677175224</v>
      </c>
      <c r="L77" s="65" t="n">
        <f aca="false">+'P&amp;L'!L22</f>
        <v>-36.6335871107579</v>
      </c>
      <c r="M77" s="65" t="n">
        <f aca="false">+'P&amp;L'!M22</f>
        <v>-38.1140304631172</v>
      </c>
      <c r="N77" s="65" t="n">
        <f aca="false">+'P&amp;L'!N22</f>
        <v>-39.2104710720932</v>
      </c>
      <c r="O77" s="65" t="n">
        <f aca="false">+'P&amp;L'!O22</f>
        <v>-39.9885721876774</v>
      </c>
      <c r="P77" s="65" t="n">
        <f aca="false">+'P&amp;L'!P22</f>
        <v>-40.5253130674424</v>
      </c>
      <c r="Q77" s="65" t="n">
        <f aca="false">+'P&amp;L'!Q22</f>
        <v>-40.847902430318</v>
      </c>
      <c r="R77" s="65" t="n">
        <f aca="false">+'P&amp;L'!R22</f>
        <v>-40.9435909865513</v>
      </c>
      <c r="S77" s="65" t="n">
        <f aca="false">+'P&amp;L'!S22</f>
        <v>-40.5117277560348</v>
      </c>
    </row>
    <row r="78" s="9" customFormat="true" ht="14.25" hidden="false" customHeight="false" outlineLevel="0" collapsed="false">
      <c r="B78" s="6" t="s">
        <v>163</v>
      </c>
      <c r="I78" s="81" t="n">
        <f aca="false">+I79-SUM(I73:I77)</f>
        <v>3.16</v>
      </c>
      <c r="J78" s="56" t="n">
        <v>0</v>
      </c>
      <c r="K78" s="56" t="n">
        <v>0</v>
      </c>
      <c r="L78" s="56" t="n">
        <v>0</v>
      </c>
      <c r="M78" s="56" t="n">
        <v>0</v>
      </c>
      <c r="N78" s="56" t="n">
        <v>0</v>
      </c>
      <c r="O78" s="56" t="n">
        <v>0</v>
      </c>
      <c r="P78" s="56" t="n">
        <v>0</v>
      </c>
      <c r="Q78" s="56" t="n">
        <v>0</v>
      </c>
      <c r="R78" s="56" t="n">
        <v>0</v>
      </c>
      <c r="S78" s="56" t="n">
        <v>0</v>
      </c>
    </row>
    <row r="79" s="9" customFormat="true" ht="14.25" hidden="false" customHeight="false" outlineLevel="0" collapsed="false">
      <c r="B79" s="51" t="s">
        <v>173</v>
      </c>
      <c r="C79" s="51"/>
      <c r="D79" s="51"/>
      <c r="E79" s="51"/>
      <c r="F79" s="51"/>
      <c r="G79" s="51"/>
      <c r="H79" s="51"/>
      <c r="I79" s="78" t="n">
        <f aca="false">+I118</f>
        <v>-46.131</v>
      </c>
      <c r="J79" s="79" t="n">
        <f aca="false">+SUM(J73:J78)</f>
        <v>-64.1411015213209</v>
      </c>
      <c r="K79" s="79" t="n">
        <f aca="false">+SUM(K73:K78)</f>
        <v>-40.3128125322284</v>
      </c>
      <c r="L79" s="79" t="n">
        <f aca="false">+SUM(L73:L78)</f>
        <v>-44.6069953731063</v>
      </c>
      <c r="M79" s="79" t="n">
        <f aca="false">+SUM(M73:M78)</f>
        <v>-53.9392474682341</v>
      </c>
      <c r="N79" s="79" t="n">
        <f aca="false">+SUM(N73:N78)</f>
        <v>-62.3391750694508</v>
      </c>
      <c r="O79" s="79" t="n">
        <f aca="false">+SUM(O73:O78)</f>
        <v>-68.6527870975335</v>
      </c>
      <c r="P79" s="79" t="n">
        <f aca="false">+SUM(P73:P78)</f>
        <v>-73.7731503761907</v>
      </c>
      <c r="Q79" s="79" t="n">
        <f aca="false">+SUM(Q73:Q78)</f>
        <v>-78.6894931875728</v>
      </c>
      <c r="R79" s="79" t="n">
        <f aca="false">+SUM(R73:R78)</f>
        <v>-84.0766899023766</v>
      </c>
      <c r="S79" s="79" t="n">
        <f aca="false">+SUM(S73:S78)</f>
        <v>-106.483636846938</v>
      </c>
    </row>
    <row r="80" s="9" customFormat="true" ht="14.25" hidden="false" customHeight="false" outlineLevel="0" collapsed="false">
      <c r="I80" s="12"/>
      <c r="J80" s="80"/>
      <c r="K80" s="80"/>
      <c r="L80" s="80"/>
      <c r="M80" s="80"/>
      <c r="N80" s="80"/>
      <c r="O80" s="80"/>
      <c r="P80" s="80"/>
      <c r="Q80" s="80"/>
      <c r="R80" s="80"/>
      <c r="S80" s="80"/>
    </row>
    <row r="81" s="9" customFormat="true" ht="14.25" hidden="false" customHeight="false" outlineLevel="0" collapsed="false">
      <c r="I81" s="12"/>
      <c r="J81" s="80"/>
      <c r="K81" s="80"/>
      <c r="L81" s="80"/>
      <c r="M81" s="80"/>
      <c r="N81" s="80"/>
      <c r="O81" s="80"/>
      <c r="P81" s="80"/>
      <c r="Q81" s="80"/>
      <c r="R81" s="80"/>
      <c r="S81" s="80"/>
    </row>
    <row r="83" customFormat="false" ht="14.25" hidden="false" customHeight="false" outlineLevel="0" collapsed="false">
      <c r="A83" s="6" t="s">
        <v>2</v>
      </c>
      <c r="B83" s="5" t="s">
        <v>174</v>
      </c>
    </row>
    <row r="84" customFormat="false" ht="14.25" hidden="false" customHeight="false" outlineLevel="0" collapsed="false">
      <c r="B84" s="6" t="s">
        <v>175</v>
      </c>
      <c r="H84" s="56"/>
      <c r="I84" s="56" t="n">
        <v>31.762</v>
      </c>
    </row>
    <row r="85" customFormat="false" ht="14.25" hidden="false" customHeight="false" outlineLevel="0" collapsed="false">
      <c r="B85" s="6" t="s">
        <v>176</v>
      </c>
      <c r="H85" s="56"/>
      <c r="I85" s="56" t="n">
        <v>13.378</v>
      </c>
    </row>
    <row r="86" customFormat="false" ht="14.25" hidden="false" customHeight="false" outlineLevel="0" collapsed="false">
      <c r="B86" s="6" t="s">
        <v>177</v>
      </c>
      <c r="H86" s="56"/>
      <c r="I86" s="56" t="n">
        <v>10.601</v>
      </c>
    </row>
    <row r="87" customFormat="false" ht="14.25" hidden="false" customHeight="false" outlineLevel="0" collapsed="false">
      <c r="B87" s="6" t="s">
        <v>75</v>
      </c>
      <c r="H87" s="56"/>
      <c r="I87" s="56" t="n">
        <v>10.241</v>
      </c>
    </row>
    <row r="88" customFormat="false" ht="14.25" hidden="false" customHeight="false" outlineLevel="0" collapsed="false">
      <c r="B88" s="6" t="s">
        <v>178</v>
      </c>
      <c r="H88" s="56"/>
      <c r="I88" s="56" t="n">
        <v>12.813</v>
      </c>
    </row>
    <row r="89" customFormat="false" ht="14.25" hidden="false" customHeight="false" outlineLevel="0" collapsed="false">
      <c r="B89" s="6" t="s">
        <v>179</v>
      </c>
      <c r="H89" s="56"/>
      <c r="I89" s="56" t="n">
        <v>16.667</v>
      </c>
    </row>
    <row r="90" customFormat="false" ht="14.25" hidden="false" customHeight="false" outlineLevel="0" collapsed="false">
      <c r="B90" s="6" t="s">
        <v>79</v>
      </c>
      <c r="H90" s="56"/>
      <c r="I90" s="56" t="n">
        <v>7.414</v>
      </c>
    </row>
    <row r="91" customFormat="false" ht="14.25" hidden="false" customHeight="false" outlineLevel="0" collapsed="false">
      <c r="B91" s="6" t="s">
        <v>81</v>
      </c>
      <c r="H91" s="56"/>
      <c r="I91" s="56" t="n">
        <v>-13.716</v>
      </c>
    </row>
    <row r="92" customFormat="false" ht="14.25" hidden="false" customHeight="false" outlineLevel="0" collapsed="false">
      <c r="B92" s="6" t="s">
        <v>180</v>
      </c>
      <c r="H92" s="56"/>
      <c r="I92" s="56" t="n">
        <v>-9.086</v>
      </c>
    </row>
    <row r="93" customFormat="false" ht="14.25" hidden="false" customHeight="false" outlineLevel="0" collapsed="false">
      <c r="B93" s="6" t="s">
        <v>181</v>
      </c>
      <c r="H93" s="56"/>
      <c r="I93" s="56" t="n">
        <v>-3.041</v>
      </c>
    </row>
    <row r="94" customFormat="false" ht="14.25" hidden="false" customHeight="false" outlineLevel="0" collapsed="false">
      <c r="B94" s="6" t="s">
        <v>182</v>
      </c>
      <c r="H94" s="56"/>
      <c r="I94" s="56" t="n">
        <v>29.8</v>
      </c>
    </row>
    <row r="95" customFormat="false" ht="14.25" hidden="false" customHeight="false" outlineLevel="0" collapsed="false">
      <c r="B95" s="6" t="s">
        <v>183</v>
      </c>
      <c r="H95" s="56"/>
      <c r="I95" s="56" t="n">
        <v>-1.904</v>
      </c>
    </row>
    <row r="96" customFormat="false" ht="14.25" hidden="false" customHeight="false" outlineLevel="0" collapsed="false">
      <c r="B96" s="6" t="s">
        <v>184</v>
      </c>
      <c r="H96" s="56"/>
      <c r="I96" s="56" t="n">
        <v>1.208</v>
      </c>
    </row>
    <row r="97" customFormat="false" ht="14.25" hidden="false" customHeight="false" outlineLevel="0" collapsed="false">
      <c r="B97" s="6" t="s">
        <v>185</v>
      </c>
      <c r="H97" s="56"/>
      <c r="I97" s="56" t="n">
        <v>0</v>
      </c>
    </row>
    <row r="98" customFormat="false" ht="14.25" hidden="false" customHeight="false" outlineLevel="0" collapsed="false">
      <c r="B98" s="6" t="s">
        <v>186</v>
      </c>
      <c r="H98" s="56"/>
      <c r="I98" s="56" t="n">
        <v>-0.42</v>
      </c>
    </row>
    <row r="99" customFormat="false" ht="14.25" hidden="false" customHeight="false" outlineLevel="0" collapsed="false">
      <c r="B99" s="6" t="s">
        <v>187</v>
      </c>
      <c r="H99" s="56"/>
      <c r="I99" s="56" t="n">
        <v>-24.197</v>
      </c>
    </row>
    <row r="100" customFormat="false" ht="14.25" hidden="false" customHeight="false" outlineLevel="0" collapsed="false">
      <c r="B100" s="6" t="s">
        <v>188</v>
      </c>
      <c r="H100" s="56"/>
      <c r="I100" s="56" t="n">
        <v>-48.42</v>
      </c>
    </row>
    <row r="101" s="9" customFormat="true" ht="14.25" hidden="false" customHeight="false" outlineLevel="0" collapsed="false">
      <c r="B101" s="51" t="s">
        <v>164</v>
      </c>
      <c r="C101" s="51"/>
      <c r="D101" s="51"/>
      <c r="E101" s="51"/>
      <c r="F101" s="51"/>
      <c r="G101" s="51"/>
      <c r="H101" s="51"/>
      <c r="I101" s="51" t="n">
        <f aca="false">SUM(I84:I100)</f>
        <v>33.1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3" customFormat="false" ht="14.25" hidden="false" customHeight="false" outlineLevel="0" collapsed="false">
      <c r="B103" s="6" t="s">
        <v>189</v>
      </c>
      <c r="I103" s="56" t="n">
        <v>-0.3</v>
      </c>
    </row>
    <row r="104" customFormat="false" ht="14.25" hidden="false" customHeight="false" outlineLevel="0" collapsed="false">
      <c r="B104" s="6" t="s">
        <v>190</v>
      </c>
      <c r="I104" s="56" t="n">
        <v>-2.995</v>
      </c>
    </row>
    <row r="105" customFormat="false" ht="14.25" hidden="false" customHeight="false" outlineLevel="0" collapsed="false">
      <c r="B105" s="6" t="s">
        <v>191</v>
      </c>
      <c r="I105" s="56" t="n">
        <v>-7.544</v>
      </c>
    </row>
    <row r="106" customFormat="false" ht="14.25" hidden="false" customHeight="false" outlineLevel="0" collapsed="false">
      <c r="B106" s="51" t="s">
        <v>168</v>
      </c>
      <c r="C106" s="51"/>
      <c r="D106" s="51"/>
      <c r="E106" s="51"/>
      <c r="F106" s="51"/>
      <c r="G106" s="51"/>
      <c r="H106" s="51"/>
      <c r="I106" s="51" t="n">
        <f aca="false">SUM(I103:I105)</f>
        <v>-10.839</v>
      </c>
    </row>
    <row r="108" customFormat="false" ht="14.25" hidden="false" customHeight="false" outlineLevel="0" collapsed="false">
      <c r="B108" s="6" t="s">
        <v>192</v>
      </c>
      <c r="H108" s="56"/>
      <c r="I108" s="56" t="n">
        <v>0.416</v>
      </c>
    </row>
    <row r="109" customFormat="false" ht="14.25" hidden="false" customHeight="false" outlineLevel="0" collapsed="false">
      <c r="B109" s="6" t="s">
        <v>193</v>
      </c>
      <c r="H109" s="56"/>
      <c r="I109" s="56" t="n">
        <v>-1.46</v>
      </c>
    </row>
    <row r="110" customFormat="false" ht="14.25" hidden="false" customHeight="false" outlineLevel="0" collapsed="false">
      <c r="B110" s="6" t="s">
        <v>194</v>
      </c>
      <c r="H110" s="56"/>
      <c r="I110" s="56" t="n">
        <v>-0.06</v>
      </c>
    </row>
    <row r="111" customFormat="false" ht="14.25" hidden="false" customHeight="false" outlineLevel="0" collapsed="false">
      <c r="B111" s="6" t="s">
        <v>195</v>
      </c>
      <c r="H111" s="56"/>
      <c r="I111" s="56" t="n">
        <v>-33.609</v>
      </c>
    </row>
    <row r="112" customFormat="false" ht="14.25" hidden="false" customHeight="false" outlineLevel="0" collapsed="false">
      <c r="B112" s="6" t="s">
        <v>196</v>
      </c>
      <c r="H112" s="56"/>
      <c r="I112" s="56" t="n">
        <v>9.087</v>
      </c>
    </row>
    <row r="113" customFormat="false" ht="14.25" hidden="false" customHeight="false" outlineLevel="0" collapsed="false">
      <c r="B113" s="6" t="s">
        <v>197</v>
      </c>
      <c r="H113" s="56"/>
      <c r="I113" s="56" t="n">
        <v>-3.62</v>
      </c>
    </row>
    <row r="114" customFormat="false" ht="14.25" hidden="false" customHeight="false" outlineLevel="0" collapsed="false">
      <c r="B114" s="6" t="s">
        <v>198</v>
      </c>
      <c r="H114" s="56"/>
      <c r="I114" s="56" t="n">
        <v>-26.256</v>
      </c>
    </row>
    <row r="115" customFormat="false" ht="14.25" hidden="false" customHeight="false" outlineLevel="0" collapsed="false">
      <c r="B115" s="6" t="s">
        <v>199</v>
      </c>
      <c r="H115" s="56"/>
      <c r="I115" s="56" t="n">
        <v>0.034</v>
      </c>
    </row>
    <row r="116" customFormat="false" ht="14.25" hidden="false" customHeight="false" outlineLevel="0" collapsed="false">
      <c r="B116" s="6" t="s">
        <v>200</v>
      </c>
      <c r="H116" s="56"/>
      <c r="I116" s="56" t="n">
        <v>-9.495</v>
      </c>
    </row>
    <row r="117" customFormat="false" ht="14.25" hidden="false" customHeight="false" outlineLevel="0" collapsed="false">
      <c r="B117" s="6" t="s">
        <v>201</v>
      </c>
      <c r="H117" s="56"/>
      <c r="I117" s="56" t="n">
        <v>18.832</v>
      </c>
    </row>
    <row r="118" s="9" customFormat="true" ht="14.25" hidden="false" customHeight="false" outlineLevel="0" collapsed="false">
      <c r="B118" s="51" t="s">
        <v>173</v>
      </c>
      <c r="C118" s="51"/>
      <c r="D118" s="51"/>
      <c r="E118" s="51"/>
      <c r="F118" s="51"/>
      <c r="G118" s="51"/>
      <c r="H118" s="51"/>
      <c r="I118" s="51" t="n">
        <f aca="false">SUM(I108:I117)</f>
        <v>-46.131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20" customFormat="false" ht="14.25" hidden="false" customHeight="false" outlineLevel="0" collapsed="false">
      <c r="B120" s="6" t="s">
        <v>202</v>
      </c>
      <c r="H120" s="56"/>
      <c r="I120" s="56" t="n">
        <v>0.545</v>
      </c>
    </row>
    <row r="122" customFormat="false" ht="14.25" hidden="false" customHeight="false" outlineLevel="0" collapsed="false">
      <c r="B122" s="6" t="s">
        <v>203</v>
      </c>
      <c r="I122" s="6" t="n">
        <f aca="false">+I120+I118+I106+I101</f>
        <v>-23.325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T9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4" topLeftCell="E67" activePane="bottomRight" state="frozen"/>
      <selection pane="topLeft" activeCell="A1" activeCellId="0" sqref="A1"/>
      <selection pane="topRight" activeCell="E1" activeCellId="0" sqref="E1"/>
      <selection pane="bottomLeft" activeCell="A67" activeCellId="0" sqref="A67"/>
      <selection pane="bottomRight" activeCell="K96" activeCellId="0" sqref="K96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</cols>
  <sheetData>
    <row r="1" customFormat="false" ht="14.25" hidden="false" customHeight="false" outlineLevel="0" collapsed="false">
      <c r="A1" s="2" t="s">
        <v>0</v>
      </c>
      <c r="I1" s="46"/>
    </row>
    <row r="2" customFormat="false" ht="14.25" hidden="false" customHeight="false" outlineLevel="0" collapsed="false">
      <c r="A2" s="2" t="s">
        <v>1</v>
      </c>
      <c r="I2" s="46"/>
    </row>
    <row r="3" customFormat="false" ht="14.25" hidden="false" customHeight="false" outlineLevel="0" collapsed="false">
      <c r="I3" s="46"/>
    </row>
    <row r="4" customFormat="false" ht="14.25" hidden="false" customHeight="false" outlineLevel="0" collapsed="false">
      <c r="E4" s="3" t="n">
        <v>2018</v>
      </c>
      <c r="F4" s="3" t="n">
        <f aca="false">+E4+1</f>
        <v>2019</v>
      </c>
      <c r="G4" s="3" t="n">
        <f aca="false">+F4+1</f>
        <v>2020</v>
      </c>
      <c r="H4" s="3" t="n">
        <f aca="false">+G4+1</f>
        <v>2021</v>
      </c>
      <c r="I4" s="3" t="n">
        <f aca="false">+H4+1</f>
        <v>2022</v>
      </c>
      <c r="J4" s="4" t="n">
        <f aca="false">+I4+1</f>
        <v>2023</v>
      </c>
      <c r="K4" s="4" t="n">
        <f aca="false">+J4+1</f>
        <v>2024</v>
      </c>
      <c r="L4" s="4" t="n">
        <f aca="false">+K4+1</f>
        <v>2025</v>
      </c>
      <c r="M4" s="4" t="n">
        <f aca="false">+L4+1</f>
        <v>2026</v>
      </c>
      <c r="N4" s="4" t="n">
        <f aca="false">+M4+1</f>
        <v>2027</v>
      </c>
      <c r="O4" s="4" t="n">
        <f aca="false">+N4+1</f>
        <v>2028</v>
      </c>
      <c r="P4" s="4" t="n">
        <f aca="false">+O4+1</f>
        <v>2029</v>
      </c>
      <c r="Q4" s="4" t="n">
        <f aca="false">+P4+1</f>
        <v>2030</v>
      </c>
      <c r="R4" s="4" t="n">
        <f aca="false">+Q4+1</f>
        <v>2031</v>
      </c>
      <c r="S4" s="4" t="n">
        <f aca="false">+R4+1</f>
        <v>2032</v>
      </c>
    </row>
    <row r="5" customFormat="false" ht="14.25" hidden="false" customHeight="false" outlineLevel="0" collapsed="false">
      <c r="E5" s="7"/>
      <c r="F5" s="7"/>
      <c r="G5" s="7"/>
      <c r="H5" s="7"/>
      <c r="I5" s="82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14.25" hidden="false" customHeight="false" outlineLevel="0" collapsed="false">
      <c r="A6" s="6" t="s">
        <v>2</v>
      </c>
      <c r="B6" s="5" t="s">
        <v>204</v>
      </c>
      <c r="E6" s="7"/>
      <c r="F6" s="7"/>
      <c r="G6" s="7"/>
      <c r="H6" s="7"/>
      <c r="I6" s="7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14.25" hidden="false" customHeight="false" outlineLevel="0" collapsed="false">
      <c r="A7" s="54"/>
      <c r="B7" s="49" t="s">
        <v>205</v>
      </c>
      <c r="D7" s="46"/>
      <c r="E7" s="56" t="n">
        <v>164.374</v>
      </c>
      <c r="F7" s="56" t="n">
        <v>143.763</v>
      </c>
      <c r="G7" s="56" t="n">
        <v>145.225</v>
      </c>
      <c r="H7" s="56" t="n">
        <v>185.084</v>
      </c>
      <c r="I7" s="56" t="n">
        <v>206.572</v>
      </c>
      <c r="J7" s="6" t="n">
        <f aca="false">+J29</f>
        <v>216.9006</v>
      </c>
      <c r="K7" s="6" t="n">
        <f aca="false">+K29</f>
        <v>238.59066</v>
      </c>
      <c r="L7" s="6" t="n">
        <f aca="false">+L29</f>
        <v>262.449726</v>
      </c>
      <c r="M7" s="6" t="n">
        <f aca="false">+M29</f>
        <v>275.5722123</v>
      </c>
      <c r="N7" s="6" t="n">
        <f aca="false">+N29</f>
        <v>283.839378669</v>
      </c>
      <c r="O7" s="6" t="n">
        <f aca="false">+O29</f>
        <v>292.35456002907</v>
      </c>
      <c r="P7" s="6" t="n">
        <f aca="false">+P29</f>
        <v>301.125196829942</v>
      </c>
      <c r="Q7" s="6" t="n">
        <f aca="false">+Q29</f>
        <v>310.15895273484</v>
      </c>
      <c r="R7" s="6" t="n">
        <f aca="false">+R29</f>
        <v>319.463721316886</v>
      </c>
      <c r="S7" s="6" t="n">
        <f aca="false">+S29</f>
        <v>329.047632956392</v>
      </c>
    </row>
    <row r="8" customFormat="false" ht="14.25" hidden="false" customHeight="false" outlineLevel="0" collapsed="false">
      <c r="A8" s="54"/>
      <c r="B8" s="49" t="s">
        <v>206</v>
      </c>
      <c r="D8" s="46"/>
      <c r="E8" s="56" t="n">
        <v>57.282</v>
      </c>
      <c r="F8" s="56" t="n">
        <v>68.996</v>
      </c>
      <c r="G8" s="56" t="n">
        <v>62.278</v>
      </c>
      <c r="H8" s="56" t="n">
        <v>45.754</v>
      </c>
      <c r="I8" s="56" t="n">
        <v>55.41</v>
      </c>
      <c r="J8" s="6" t="n">
        <f aca="false">+J36</f>
        <v>45.65784</v>
      </c>
      <c r="K8" s="6" t="n">
        <f aca="false">+K36</f>
        <v>54.08171148</v>
      </c>
      <c r="L8" s="6" t="n">
        <f aca="false">+L36</f>
        <v>69.6302035305</v>
      </c>
      <c r="M8" s="6" t="n">
        <f aca="false">+M36</f>
        <v>75.3050651182358</v>
      </c>
      <c r="N8" s="6" t="n">
        <f aca="false">+N36</f>
        <v>81.0546068400131</v>
      </c>
      <c r="O8" s="6" t="n">
        <f aca="false">+O36</f>
        <v>86.825694847022</v>
      </c>
      <c r="P8" s="6" t="n">
        <f aca="false">+P36</f>
        <v>92.5605319916678</v>
      </c>
      <c r="Q8" s="6" t="n">
        <f aca="false">+Q36</f>
        <v>98.1974683899604</v>
      </c>
      <c r="R8" s="6" t="n">
        <f aca="false">+R36</f>
        <v>103.166260290492</v>
      </c>
      <c r="S8" s="6" t="n">
        <f aca="false">+S36</f>
        <v>108.386473061191</v>
      </c>
    </row>
    <row r="9" customFormat="false" ht="14.25" hidden="false" customHeight="false" outlineLevel="0" collapsed="false">
      <c r="A9" s="54"/>
      <c r="B9" s="49" t="s">
        <v>207</v>
      </c>
      <c r="D9" s="46"/>
      <c r="E9" s="56" t="n">
        <v>157.746</v>
      </c>
      <c r="F9" s="56" t="n">
        <v>174.572</v>
      </c>
      <c r="G9" s="56" t="n">
        <v>168.604</v>
      </c>
      <c r="H9" s="56" t="n">
        <v>175.194</v>
      </c>
      <c r="I9" s="56" t="n">
        <v>203.557</v>
      </c>
      <c r="J9" s="6" t="n">
        <f aca="false">+J64</f>
        <v>223.9127</v>
      </c>
      <c r="K9" s="6" t="n">
        <f aca="false">+K64</f>
        <v>252.3496129</v>
      </c>
      <c r="L9" s="6" t="n">
        <f aca="false">+L64</f>
        <v>284.416150667</v>
      </c>
      <c r="M9" s="6" t="n">
        <f aca="false">+M64</f>
        <v>320.57744715271</v>
      </c>
      <c r="N9" s="6" t="n">
        <f aca="false">+N64</f>
        <v>352.635191867981</v>
      </c>
      <c r="O9" s="6" t="n">
        <f aca="false">+O64</f>
        <v>379.082831258079</v>
      </c>
      <c r="P9" s="6" t="n">
        <f aca="false">+P64</f>
        <v>404.913793690395</v>
      </c>
      <c r="Q9" s="6" t="n">
        <f aca="false">+Q64</f>
        <v>431.777604161646</v>
      </c>
      <c r="R9" s="6" t="n">
        <f aca="false">+R64</f>
        <v>460.477476713273</v>
      </c>
      <c r="S9" s="6" t="n">
        <f aca="false">+S64</f>
        <v>491.140603551323</v>
      </c>
    </row>
    <row r="10" s="9" customFormat="true" ht="14.25" hidden="false" customHeight="false" outlineLevel="0" collapsed="false">
      <c r="A10" s="83"/>
      <c r="B10" s="9" t="s">
        <v>208</v>
      </c>
      <c r="E10" s="84" t="n">
        <f aca="false">SUM(E7:E9)</f>
        <v>379.402</v>
      </c>
      <c r="F10" s="84" t="n">
        <f aca="false">SUM(F7:F9)</f>
        <v>387.331</v>
      </c>
      <c r="G10" s="9" t="n">
        <f aca="false">SUM(G7:G9)</f>
        <v>376.107</v>
      </c>
      <c r="H10" s="9" t="n">
        <f aca="false">SUM(H7:H9)</f>
        <v>406.032</v>
      </c>
      <c r="I10" s="9" t="n">
        <f aca="false">SUM(I7:I9)</f>
        <v>465.539</v>
      </c>
      <c r="J10" s="9" t="n">
        <f aca="false">SUM(J7:J9)</f>
        <v>486.47114</v>
      </c>
      <c r="K10" s="9" t="n">
        <f aca="false">SUM(K7:K9)</f>
        <v>545.02198438</v>
      </c>
      <c r="L10" s="9" t="n">
        <f aca="false">SUM(L7:L9)</f>
        <v>616.4960801975</v>
      </c>
      <c r="M10" s="9" t="n">
        <f aca="false">SUM(M7:M9)</f>
        <v>671.454724570946</v>
      </c>
      <c r="N10" s="9" t="n">
        <f aca="false">SUM(N7:N9)</f>
        <v>717.529177376994</v>
      </c>
      <c r="O10" s="9" t="n">
        <f aca="false">SUM(O7:O9)</f>
        <v>758.263086134172</v>
      </c>
      <c r="P10" s="9" t="n">
        <f aca="false">SUM(P7:P9)</f>
        <v>798.599522512005</v>
      </c>
      <c r="Q10" s="9" t="n">
        <f aca="false">SUM(Q7:Q9)</f>
        <v>840.134025286447</v>
      </c>
      <c r="R10" s="9" t="n">
        <f aca="false">SUM(R7:R9)</f>
        <v>883.107458320651</v>
      </c>
      <c r="S10" s="9" t="n">
        <f aca="false">SUM(S7:S9)</f>
        <v>928.574709568907</v>
      </c>
    </row>
    <row r="11" customFormat="false" ht="14.25" hidden="false" customHeight="false" outlineLevel="0" collapsed="false">
      <c r="A11" s="54"/>
    </row>
    <row r="12" s="9" customFormat="true" ht="14.25" hidden="false" customHeight="false" outlineLevel="0" collapsed="false">
      <c r="A12" s="83"/>
      <c r="B12" s="9" t="s">
        <v>209</v>
      </c>
      <c r="D12" s="46"/>
      <c r="E12" s="58" t="n">
        <v>55.014</v>
      </c>
      <c r="F12" s="58" t="n">
        <v>52.469</v>
      </c>
      <c r="G12" s="58" t="n">
        <v>49.527</v>
      </c>
      <c r="H12" s="58" t="n">
        <v>46.502</v>
      </c>
      <c r="I12" s="58" t="n">
        <v>41.684</v>
      </c>
      <c r="J12" s="9" t="n">
        <f aca="false">+J82</f>
        <v>40.01664</v>
      </c>
      <c r="K12" s="9" t="n">
        <f aca="false">+K82</f>
        <v>38.4159744</v>
      </c>
      <c r="L12" s="9" t="n">
        <f aca="false">+L82</f>
        <v>36.879335424</v>
      </c>
      <c r="M12" s="9" t="n">
        <f aca="false">+M82</f>
        <v>35.40416200704</v>
      </c>
      <c r="N12" s="9" t="n">
        <f aca="false">+N82</f>
        <v>33.9879955267584</v>
      </c>
      <c r="O12" s="9" t="n">
        <f aca="false">+O82</f>
        <v>32.6284757056881</v>
      </c>
      <c r="P12" s="9" t="n">
        <f aca="false">+P82</f>
        <v>31.3233366774605</v>
      </c>
      <c r="Q12" s="9" t="n">
        <f aca="false">+Q82</f>
        <v>30.0704032103621</v>
      </c>
      <c r="R12" s="9" t="n">
        <f aca="false">+R82</f>
        <v>28.8675870819476</v>
      </c>
      <c r="S12" s="9" t="n">
        <f aca="false">+S82</f>
        <v>28.8675870819476</v>
      </c>
    </row>
    <row r="13" customFormat="false" ht="14.25" hidden="false" customHeight="false" outlineLevel="0" collapsed="false">
      <c r="A13" s="54"/>
    </row>
    <row r="14" s="9" customFormat="true" ht="14.25" hidden="false" customHeight="false" outlineLevel="0" collapsed="false">
      <c r="A14" s="83"/>
      <c r="B14" s="9" t="s">
        <v>52</v>
      </c>
      <c r="D14" s="46"/>
      <c r="E14" s="9" t="n">
        <f aca="false">+E12+E10</f>
        <v>434.416</v>
      </c>
      <c r="F14" s="9" t="n">
        <f aca="false">+F12+F10</f>
        <v>439.8</v>
      </c>
      <c r="G14" s="9" t="n">
        <f aca="false">+G12+G10</f>
        <v>425.634</v>
      </c>
      <c r="H14" s="9" t="n">
        <f aca="false">+H12+H10</f>
        <v>452.534</v>
      </c>
      <c r="I14" s="9" t="n">
        <f aca="false">+I12+I10</f>
        <v>507.223</v>
      </c>
      <c r="J14" s="9" t="n">
        <f aca="false">+J12+J10</f>
        <v>526.48778</v>
      </c>
      <c r="K14" s="9" t="n">
        <f aca="false">+K12+K10</f>
        <v>583.43795878</v>
      </c>
      <c r="L14" s="9" t="n">
        <f aca="false">+L12+L10</f>
        <v>653.3754156215</v>
      </c>
      <c r="M14" s="9" t="n">
        <f aca="false">+M12+M10</f>
        <v>706.858886577986</v>
      </c>
      <c r="N14" s="9" t="n">
        <f aca="false">+N12+N10</f>
        <v>751.517172903753</v>
      </c>
      <c r="O14" s="9" t="n">
        <f aca="false">+O12+O10</f>
        <v>790.89156183986</v>
      </c>
      <c r="P14" s="9" t="n">
        <f aca="false">+P12+P10</f>
        <v>829.922859189465</v>
      </c>
      <c r="Q14" s="9" t="n">
        <f aca="false">+Q12+Q10</f>
        <v>870.204428496809</v>
      </c>
      <c r="R14" s="9" t="n">
        <f aca="false">+R12+R10</f>
        <v>911.975045402599</v>
      </c>
      <c r="S14" s="9" t="n">
        <f aca="false">+S12+S10</f>
        <v>957.442296650854</v>
      </c>
    </row>
    <row r="15" customFormat="false" ht="14.25" hidden="false" customHeight="false" outlineLevel="0" collapsed="false">
      <c r="B15" s="85" t="s">
        <v>210</v>
      </c>
      <c r="E15" s="85" t="n">
        <f aca="false">+E14='P&amp;L'!E6</f>
        <v>1</v>
      </c>
      <c r="F15" s="85" t="n">
        <f aca="false">+F14='P&amp;L'!F6</f>
        <v>1</v>
      </c>
      <c r="G15" s="85" t="n">
        <f aca="false">+G14='P&amp;L'!G6</f>
        <v>1</v>
      </c>
      <c r="H15" s="85" t="n">
        <f aca="false">+H14='P&amp;L'!H6</f>
        <v>1</v>
      </c>
      <c r="I15" s="85" t="n">
        <f aca="false">+I14='P&amp;L'!I6</f>
        <v>1</v>
      </c>
    </row>
    <row r="17" customFormat="false" ht="14.25" hidden="false" customHeight="false" outlineLevel="0" collapsed="false">
      <c r="A17" s="6" t="s">
        <v>2</v>
      </c>
      <c r="B17" s="5" t="s">
        <v>211</v>
      </c>
    </row>
    <row r="18" s="9" customFormat="true" ht="14.25" hidden="false" customHeight="false" outlineLevel="0" collapsed="false">
      <c r="A18" s="86"/>
      <c r="B18" s="9" t="s">
        <v>24</v>
      </c>
      <c r="G18" s="58"/>
      <c r="H18" s="58" t="n">
        <v>162.692</v>
      </c>
      <c r="I18" s="58" t="n">
        <v>193.455</v>
      </c>
      <c r="J18" s="9" t="n">
        <f aca="false">+J19*J10</f>
        <v>194.588456</v>
      </c>
      <c r="K18" s="9" t="n">
        <f aca="false">+K19*K10</f>
        <v>223.4590135958</v>
      </c>
      <c r="L18" s="9" t="n">
        <f aca="false">+L19*L10</f>
        <v>252.763392880975</v>
      </c>
      <c r="M18" s="9" t="n">
        <f aca="false">+M19*M10</f>
        <v>275.296437074088</v>
      </c>
      <c r="N18" s="9" t="n">
        <f aca="false">+N19*N10</f>
        <v>294.186962724568</v>
      </c>
      <c r="O18" s="9" t="n">
        <f aca="false">+O19*O10</f>
        <v>310.88786531501</v>
      </c>
      <c r="P18" s="9" t="n">
        <f aca="false">+P19*P10</f>
        <v>327.425804229922</v>
      </c>
      <c r="Q18" s="9" t="n">
        <f aca="false">+Q19*Q10</f>
        <v>344.454950367443</v>
      </c>
      <c r="R18" s="9" t="n">
        <f aca="false">+R19*R10</f>
        <v>362.074057911467</v>
      </c>
      <c r="S18" s="9" t="n">
        <f aca="false">+S19*S10</f>
        <v>380.715630923252</v>
      </c>
    </row>
    <row r="19" customFormat="false" ht="14.25" hidden="false" customHeight="false" outlineLevel="0" collapsed="false">
      <c r="A19" s="87"/>
      <c r="B19" s="6" t="s">
        <v>74</v>
      </c>
      <c r="G19" s="46"/>
      <c r="H19" s="46" t="n">
        <f aca="false">+H18/H10</f>
        <v>0.400687630531584</v>
      </c>
      <c r="I19" s="46" t="n">
        <f aca="false">+I18/I10</f>
        <v>0.415550576858222</v>
      </c>
      <c r="J19" s="70" t="n">
        <v>0.4</v>
      </c>
      <c r="K19" s="70" t="n">
        <v>0.41</v>
      </c>
      <c r="L19" s="70" t="n">
        <v>0.41</v>
      </c>
      <c r="M19" s="70" t="n">
        <v>0.41</v>
      </c>
      <c r="N19" s="70" t="n">
        <v>0.41</v>
      </c>
      <c r="O19" s="70" t="n">
        <v>0.41</v>
      </c>
      <c r="P19" s="70" t="n">
        <v>0.41</v>
      </c>
      <c r="Q19" s="70" t="n">
        <v>0.41</v>
      </c>
      <c r="R19" s="70" t="n">
        <v>0.41</v>
      </c>
      <c r="S19" s="70" t="n">
        <v>0.41</v>
      </c>
    </row>
    <row r="20" customFormat="false" ht="14.25" hidden="false" customHeight="false" outlineLevel="0" collapsed="false">
      <c r="A20" s="87"/>
    </row>
    <row r="21" s="9" customFormat="true" ht="14.25" hidden="false" customHeight="false" outlineLevel="0" collapsed="false">
      <c r="A21" s="86"/>
      <c r="B21" s="9" t="s">
        <v>212</v>
      </c>
      <c r="G21" s="58"/>
      <c r="H21" s="58" t="n">
        <v>32.195</v>
      </c>
      <c r="I21" s="58" t="n">
        <v>28.106</v>
      </c>
      <c r="J21" s="9" t="n">
        <f aca="false">+J22*J12</f>
        <v>26.010816</v>
      </c>
      <c r="K21" s="9" t="n">
        <f aca="false">+K22*K12</f>
        <v>24.97038336</v>
      </c>
      <c r="L21" s="9" t="n">
        <f aca="false">+L22*L12</f>
        <v>23.9715680256</v>
      </c>
      <c r="M21" s="9" t="n">
        <f aca="false">+M22*M12</f>
        <v>23.012705304576</v>
      </c>
      <c r="N21" s="9" t="n">
        <f aca="false">+N22*N12</f>
        <v>22.092197092393</v>
      </c>
      <c r="O21" s="9" t="n">
        <f aca="false">+O22*O12</f>
        <v>21.2085092086972</v>
      </c>
      <c r="P21" s="9" t="n">
        <f aca="false">+P22*P12</f>
        <v>20.3601688403493</v>
      </c>
      <c r="Q21" s="9" t="n">
        <f aca="false">+Q22*Q12</f>
        <v>19.5457620867354</v>
      </c>
      <c r="R21" s="9" t="n">
        <f aca="false">+R22*R12</f>
        <v>18.763931603266</v>
      </c>
      <c r="S21" s="9" t="n">
        <f aca="false">+S22*S12</f>
        <v>18.763931603266</v>
      </c>
    </row>
    <row r="22" customFormat="false" ht="14.25" hidden="false" customHeight="false" outlineLevel="0" collapsed="false">
      <c r="A22" s="87"/>
      <c r="B22" s="6" t="s">
        <v>74</v>
      </c>
      <c r="G22" s="46"/>
      <c r="H22" s="46" t="n">
        <f aca="false">+H21/H12</f>
        <v>0.692335813513397</v>
      </c>
      <c r="I22" s="46" t="n">
        <f aca="false">+I21/I12</f>
        <v>0.674263506381346</v>
      </c>
      <c r="J22" s="70" t="n">
        <v>0.65</v>
      </c>
      <c r="K22" s="70" t="n">
        <f aca="false">+J22</f>
        <v>0.65</v>
      </c>
      <c r="L22" s="70" t="n">
        <f aca="false">+K22</f>
        <v>0.65</v>
      </c>
      <c r="M22" s="70" t="n">
        <f aca="false">+L22</f>
        <v>0.65</v>
      </c>
      <c r="N22" s="70" t="n">
        <f aca="false">+M22</f>
        <v>0.65</v>
      </c>
      <c r="O22" s="70" t="n">
        <f aca="false">+N22</f>
        <v>0.65</v>
      </c>
      <c r="P22" s="70" t="n">
        <f aca="false">+O22</f>
        <v>0.65</v>
      </c>
      <c r="Q22" s="70" t="n">
        <f aca="false">+P22</f>
        <v>0.65</v>
      </c>
      <c r="R22" s="70" t="n">
        <f aca="false">+Q22</f>
        <v>0.65</v>
      </c>
      <c r="S22" s="70" t="n">
        <f aca="false">+R22</f>
        <v>0.65</v>
      </c>
    </row>
    <row r="23" customFormat="false" ht="14.25" hidden="false" customHeight="false" outlineLevel="0" collapsed="false">
      <c r="A23" s="87"/>
      <c r="H23" s="46"/>
      <c r="I23" s="46"/>
    </row>
    <row r="24" customFormat="false" ht="14.25" hidden="false" customHeight="false" outlineLevel="0" collapsed="false">
      <c r="A24" s="87"/>
      <c r="B24" s="6" t="s">
        <v>213</v>
      </c>
      <c r="E24" s="88"/>
      <c r="F24" s="88"/>
      <c r="G24" s="88"/>
      <c r="H24" s="65" t="n">
        <f aca="false">+'P&amp;L'!H9</f>
        <v>4.372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</row>
    <row r="25" customFormat="false" ht="14.25" hidden="false" customHeight="false" outlineLevel="0" collapsed="false">
      <c r="A25" s="87"/>
    </row>
    <row r="26" s="9" customFormat="true" ht="14.25" hidden="false" customHeight="false" outlineLevel="0" collapsed="false">
      <c r="A26" s="86"/>
      <c r="B26" s="9" t="s">
        <v>56</v>
      </c>
      <c r="H26" s="9" t="n">
        <f aca="false">+H21+H18+H24</f>
        <v>199.259</v>
      </c>
      <c r="I26" s="9" t="n">
        <f aca="false">+I21+I18+I24</f>
        <v>221.561</v>
      </c>
      <c r="J26" s="9" t="n">
        <f aca="false">+J21+J18+J24</f>
        <v>220.599272</v>
      </c>
      <c r="K26" s="9" t="n">
        <f aca="false">+K21+K18+K24</f>
        <v>248.4293969558</v>
      </c>
      <c r="L26" s="9" t="n">
        <f aca="false">+L21+L18+L24</f>
        <v>276.734960906575</v>
      </c>
      <c r="M26" s="9" t="n">
        <f aca="false">+M21+M18+M24</f>
        <v>298.309142378664</v>
      </c>
      <c r="N26" s="9" t="n">
        <f aca="false">+N21+N18+N24</f>
        <v>316.279159816961</v>
      </c>
      <c r="O26" s="9" t="n">
        <f aca="false">+O21+O18+O24</f>
        <v>332.096374523708</v>
      </c>
      <c r="P26" s="9" t="n">
        <f aca="false">+P21+P18+P24</f>
        <v>347.785973070271</v>
      </c>
      <c r="Q26" s="9" t="n">
        <f aca="false">+Q21+Q18+Q24</f>
        <v>364.000712454179</v>
      </c>
      <c r="R26" s="9" t="n">
        <f aca="false">+R21+R18+R24</f>
        <v>380.837989514733</v>
      </c>
      <c r="S26" s="9" t="n">
        <f aca="false">+S21+S18+S24</f>
        <v>399.479562526518</v>
      </c>
    </row>
    <row r="27" customFormat="false" ht="14.25" hidden="false" customHeight="false" outlineLevel="0" collapsed="false">
      <c r="G27" s="89"/>
      <c r="H27" s="89" t="n">
        <f aca="false">+ROUND(H26-'P&amp;L'!H13, 1)=0</f>
        <v>1</v>
      </c>
      <c r="I27" s="89" t="n">
        <f aca="false">+I26='P&amp;L'!I13</f>
        <v>1</v>
      </c>
    </row>
    <row r="28" customFormat="false" ht="14.25" hidden="false" customHeight="false" outlineLevel="0" collapsed="false">
      <c r="A28" s="6" t="s">
        <v>2</v>
      </c>
      <c r="B28" s="5" t="s">
        <v>205</v>
      </c>
      <c r="I28" s="90"/>
    </row>
    <row r="29" customFormat="false" ht="14.25" hidden="false" customHeight="false" outlineLevel="0" collapsed="false">
      <c r="A29" s="54"/>
      <c r="B29" s="6" t="s">
        <v>25</v>
      </c>
      <c r="E29" s="91" t="n">
        <f aca="false">+E7</f>
        <v>164.374</v>
      </c>
      <c r="F29" s="91" t="n">
        <f aca="false">+F7</f>
        <v>143.763</v>
      </c>
      <c r="G29" s="91" t="n">
        <f aca="false">+G7</f>
        <v>145.225</v>
      </c>
      <c r="H29" s="91" t="n">
        <f aca="false">+H7</f>
        <v>185.084</v>
      </c>
      <c r="I29" s="91" t="n">
        <f aca="false">+I7</f>
        <v>206.572</v>
      </c>
      <c r="J29" s="6" t="n">
        <f aca="false">+(1+J30)*I29</f>
        <v>216.9006</v>
      </c>
      <c r="K29" s="6" t="n">
        <f aca="false">+(1+K30)*J29</f>
        <v>238.59066</v>
      </c>
      <c r="L29" s="6" t="n">
        <f aca="false">+(1+L30)*K29</f>
        <v>262.449726</v>
      </c>
      <c r="M29" s="6" t="n">
        <f aca="false">+(1+M30)*L29</f>
        <v>275.5722123</v>
      </c>
      <c r="N29" s="6" t="n">
        <f aca="false">+(1+N30)*M29</f>
        <v>283.839378669</v>
      </c>
      <c r="O29" s="6" t="n">
        <f aca="false">+(1+O30)*N29</f>
        <v>292.35456002907</v>
      </c>
      <c r="P29" s="6" t="n">
        <f aca="false">+(1+P30)*O29</f>
        <v>301.125196829942</v>
      </c>
      <c r="Q29" s="6" t="n">
        <f aca="false">+(1+Q30)*P29</f>
        <v>310.15895273484</v>
      </c>
      <c r="R29" s="6" t="n">
        <f aca="false">+(1+R30)*Q29</f>
        <v>319.463721316886</v>
      </c>
      <c r="S29" s="6" t="n">
        <f aca="false">+(1+S30)*R29</f>
        <v>329.047632956392</v>
      </c>
    </row>
    <row r="30" customFormat="false" ht="14.25" hidden="false" customHeight="false" outlineLevel="0" collapsed="false">
      <c r="A30" s="54"/>
      <c r="B30" s="6" t="s">
        <v>53</v>
      </c>
      <c r="F30" s="46" t="n">
        <f aca="false">+F29/E29-1</f>
        <v>-0.125390876902673</v>
      </c>
      <c r="G30" s="46" t="n">
        <f aca="false">+G29/F29-1</f>
        <v>0.010169515104721</v>
      </c>
      <c r="H30" s="46" t="n">
        <f aca="false">+H29/G29-1</f>
        <v>0.274463763126184</v>
      </c>
      <c r="I30" s="46" t="n">
        <f aca="false">+I29/H29-1</f>
        <v>0.116098636294872</v>
      </c>
      <c r="J30" s="46" t="n">
        <f aca="false">+CHOOSE(Case, J31,J32,J33)</f>
        <v>0.05</v>
      </c>
      <c r="K30" s="46" t="n">
        <f aca="false">+CHOOSE(Case, K31,K32,K33)</f>
        <v>0.1</v>
      </c>
      <c r="L30" s="46" t="n">
        <f aca="false">+CHOOSE(Case, L31,L32,L33)</f>
        <v>0.1</v>
      </c>
      <c r="M30" s="46" t="n">
        <f aca="false">+CHOOSE(Case, M31,M32,M33)</f>
        <v>0.05</v>
      </c>
      <c r="N30" s="46" t="n">
        <f aca="false">+CHOOSE(Case, N31,N32,N33)</f>
        <v>0.03</v>
      </c>
      <c r="O30" s="46" t="n">
        <f aca="false">+CHOOSE(Case, O31,O32,O33)</f>
        <v>0.03</v>
      </c>
      <c r="P30" s="46" t="n">
        <f aca="false">+CHOOSE(Case, P31,P32,P33)</f>
        <v>0.03</v>
      </c>
      <c r="Q30" s="46" t="n">
        <f aca="false">+CHOOSE(Case, Q31,Q32,Q33)</f>
        <v>0.03</v>
      </c>
      <c r="R30" s="46" t="n">
        <f aca="false">+CHOOSE(Case, R31,R32,R33)</f>
        <v>0.03</v>
      </c>
      <c r="S30" s="46" t="n">
        <f aca="false">+CHOOSE(Case, S31,S32,S33)</f>
        <v>0.03</v>
      </c>
    </row>
    <row r="31" customFormat="false" ht="14.25" hidden="false" customHeight="false" outlineLevel="0" collapsed="false">
      <c r="A31" s="54"/>
      <c r="B31" s="49" t="s">
        <v>8</v>
      </c>
      <c r="J31" s="70" t="n">
        <v>0.05</v>
      </c>
      <c r="K31" s="70" t="n">
        <v>0.1</v>
      </c>
      <c r="L31" s="70" t="n">
        <v>0.1</v>
      </c>
      <c r="M31" s="70" t="n">
        <v>0.05</v>
      </c>
      <c r="N31" s="70" t="n">
        <v>0.03</v>
      </c>
      <c r="O31" s="70" t="n">
        <v>0.03</v>
      </c>
      <c r="P31" s="70" t="n">
        <v>0.03</v>
      </c>
      <c r="Q31" s="70" t="n">
        <v>0.03</v>
      </c>
      <c r="R31" s="70" t="n">
        <v>0.03</v>
      </c>
      <c r="S31" s="70" t="n">
        <v>0.03</v>
      </c>
    </row>
    <row r="32" customFormat="false" ht="14.25" hidden="false" customHeight="false" outlineLevel="0" collapsed="false">
      <c r="A32" s="54"/>
      <c r="B32" s="49" t="s">
        <v>9</v>
      </c>
      <c r="J32" s="70" t="n">
        <v>0.05</v>
      </c>
      <c r="K32" s="70" t="n">
        <v>0.15</v>
      </c>
      <c r="L32" s="70" t="n">
        <v>0.1</v>
      </c>
      <c r="M32" s="70" t="n">
        <v>0.05</v>
      </c>
      <c r="N32" s="70" t="n">
        <v>0.05</v>
      </c>
      <c r="O32" s="70" t="n">
        <v>0.05</v>
      </c>
      <c r="P32" s="70" t="n">
        <v>0.05</v>
      </c>
      <c r="Q32" s="70" t="n">
        <v>0.05</v>
      </c>
      <c r="R32" s="70" t="n">
        <v>0.05</v>
      </c>
      <c r="S32" s="70" t="n">
        <v>0.05</v>
      </c>
    </row>
    <row r="33" customFormat="false" ht="14.25" hidden="false" customHeight="false" outlineLevel="0" collapsed="false">
      <c r="A33" s="54"/>
      <c r="B33" s="49" t="s">
        <v>10</v>
      </c>
      <c r="J33" s="70" t="n">
        <v>0.05</v>
      </c>
      <c r="K33" s="70" t="n">
        <v>0.05</v>
      </c>
      <c r="L33" s="70" t="n">
        <v>0.05</v>
      </c>
      <c r="M33" s="70" t="n">
        <v>0.05</v>
      </c>
      <c r="N33" s="70" t="n">
        <v>0.05</v>
      </c>
      <c r="O33" s="70" t="n">
        <v>0.05</v>
      </c>
      <c r="P33" s="70" t="n">
        <v>0.05</v>
      </c>
      <c r="Q33" s="70" t="n">
        <v>0.05</v>
      </c>
      <c r="R33" s="70" t="n">
        <v>0.05</v>
      </c>
      <c r="S33" s="70" t="n">
        <v>0.05</v>
      </c>
    </row>
    <row r="35" customFormat="false" ht="14.25" hidden="false" customHeight="false" outlineLevel="0" collapsed="false">
      <c r="A35" s="6" t="s">
        <v>2</v>
      </c>
      <c r="B35" s="5" t="s">
        <v>214</v>
      </c>
    </row>
    <row r="36" customFormat="false" ht="14.25" hidden="false" customHeight="false" outlineLevel="0" collapsed="false">
      <c r="A36" s="54"/>
      <c r="B36" s="6" t="s">
        <v>25</v>
      </c>
      <c r="E36" s="91" t="n">
        <f aca="false">+E8</f>
        <v>57.282</v>
      </c>
      <c r="F36" s="91" t="n">
        <f aca="false">+F8</f>
        <v>68.996</v>
      </c>
      <c r="G36" s="91" t="n">
        <f aca="false">+G8</f>
        <v>62.278</v>
      </c>
      <c r="H36" s="91" t="n">
        <f aca="false">+H8</f>
        <v>45.754</v>
      </c>
      <c r="I36" s="91" t="n">
        <f aca="false">+I8</f>
        <v>55.41</v>
      </c>
      <c r="J36" s="6" t="n">
        <f aca="false">+J39*J45</f>
        <v>45.65784</v>
      </c>
      <c r="K36" s="6" t="n">
        <f aca="false">+K39*K45</f>
        <v>54.08171148</v>
      </c>
      <c r="L36" s="6" t="n">
        <f aca="false">+L39*L45</f>
        <v>69.6302035305</v>
      </c>
      <c r="M36" s="6" t="n">
        <f aca="false">+M39*M45</f>
        <v>75.3050651182358</v>
      </c>
      <c r="N36" s="6" t="n">
        <f aca="false">+N39*N45</f>
        <v>81.0546068400131</v>
      </c>
      <c r="O36" s="6" t="n">
        <f aca="false">+O39*O45</f>
        <v>86.825694847022</v>
      </c>
      <c r="P36" s="6" t="n">
        <f aca="false">+P39*P45</f>
        <v>92.5605319916678</v>
      </c>
      <c r="Q36" s="6" t="n">
        <f aca="false">+Q39*Q45</f>
        <v>98.1974683899604</v>
      </c>
      <c r="R36" s="6" t="n">
        <f aca="false">+R39*R45</f>
        <v>103.166260290492</v>
      </c>
      <c r="S36" s="6" t="n">
        <f aca="false">+S39*S45</f>
        <v>108.386473061191</v>
      </c>
    </row>
    <row r="37" customFormat="false" ht="14.25" hidden="false" customHeight="false" outlineLevel="0" collapsed="false">
      <c r="A37" s="54"/>
      <c r="B37" s="6" t="s">
        <v>53</v>
      </c>
      <c r="F37" s="46" t="n">
        <f aca="false">+F36/E36-1</f>
        <v>0.20449704968402</v>
      </c>
      <c r="G37" s="46" t="n">
        <f aca="false">+G36/F36-1</f>
        <v>-0.0973679633601947</v>
      </c>
      <c r="H37" s="46" t="n">
        <f aca="false">+H36/G36-1</f>
        <v>-0.265326439513151</v>
      </c>
      <c r="I37" s="46" t="n">
        <f aca="false">+I36/H36-1</f>
        <v>0.211041657559995</v>
      </c>
      <c r="J37" s="46" t="n">
        <f aca="false">+J36/I36-1</f>
        <v>-0.176</v>
      </c>
      <c r="K37" s="46" t="n">
        <f aca="false">+K36/J36-1</f>
        <v>0.1845</v>
      </c>
      <c r="L37" s="46" t="n">
        <f aca="false">+L36/K36-1</f>
        <v>0.2875</v>
      </c>
      <c r="M37" s="46" t="n">
        <f aca="false">+M36/L36-1</f>
        <v>0.0815000000000001</v>
      </c>
      <c r="N37" s="46" t="n">
        <f aca="false">+N36/M36-1</f>
        <v>0.0763499999999999</v>
      </c>
      <c r="O37" s="46" t="n">
        <f aca="false">+O36/N36-1</f>
        <v>0.0712000000000002</v>
      </c>
      <c r="P37" s="46" t="n">
        <f aca="false">+P36/O36-1</f>
        <v>0.0660500000000002</v>
      </c>
      <c r="Q37" s="46" t="n">
        <f aca="false">+Q36/P36-1</f>
        <v>0.0608999999999997</v>
      </c>
      <c r="R37" s="46" t="n">
        <f aca="false">+R36/Q36-1</f>
        <v>0.0506000000000002</v>
      </c>
      <c r="S37" s="46" t="n">
        <f aca="false">+S36/R36-1</f>
        <v>0.0506</v>
      </c>
    </row>
    <row r="38" customFormat="false" ht="14.25" hidden="false" customHeight="false" outlineLevel="0" collapsed="false">
      <c r="A38" s="54"/>
      <c r="F38" s="46"/>
      <c r="G38" s="46"/>
      <c r="H38" s="46"/>
      <c r="I38" s="46"/>
    </row>
    <row r="39" customFormat="false" ht="14.25" hidden="false" customHeight="false" outlineLevel="0" collapsed="false">
      <c r="A39" s="54"/>
      <c r="B39" s="6" t="s">
        <v>215</v>
      </c>
      <c r="E39" s="56" t="n">
        <v>25</v>
      </c>
      <c r="F39" s="56" t="n">
        <f aca="false">7.2+7+8.7+9.3</f>
        <v>32.2</v>
      </c>
      <c r="G39" s="56" t="n">
        <f aca="false">12+9.9+10.3+11.6</f>
        <v>43.8</v>
      </c>
      <c r="H39" s="56" t="n">
        <v>35</v>
      </c>
      <c r="I39" s="56" t="n">
        <v>32.9</v>
      </c>
      <c r="J39" s="6" t="n">
        <f aca="false">+(1+J40)*I39</f>
        <v>33.887</v>
      </c>
      <c r="K39" s="6" t="n">
        <f aca="false">+(1+K40)*J39</f>
        <v>34.90361</v>
      </c>
      <c r="L39" s="6" t="n">
        <f aca="false">+(1+L40)*K39</f>
        <v>35.9507183</v>
      </c>
      <c r="M39" s="6" t="n">
        <f aca="false">+(1+M40)*L39</f>
        <v>37.029239849</v>
      </c>
      <c r="N39" s="6" t="n">
        <f aca="false">+(1+N40)*M39</f>
        <v>38.14011704447</v>
      </c>
      <c r="O39" s="6" t="n">
        <f aca="false">+(1+O40)*N39</f>
        <v>39.2843205558041</v>
      </c>
      <c r="P39" s="6" t="n">
        <f aca="false">+(1+P40)*O39</f>
        <v>40.4628501724782</v>
      </c>
      <c r="Q39" s="6" t="n">
        <f aca="false">+(1+Q40)*P39</f>
        <v>41.6767356776526</v>
      </c>
      <c r="R39" s="6" t="n">
        <f aca="false">+(1+R40)*Q39</f>
        <v>42.9270377479822</v>
      </c>
      <c r="S39" s="6" t="n">
        <f aca="false">+(1+S40)*R39</f>
        <v>44.2148488804216</v>
      </c>
    </row>
    <row r="40" customFormat="false" ht="14.25" hidden="false" customHeight="false" outlineLevel="0" collapsed="false">
      <c r="A40" s="54"/>
      <c r="B40" s="6" t="s">
        <v>53</v>
      </c>
      <c r="F40" s="92" t="n">
        <f aca="false">+F39/E39-1</f>
        <v>0.288</v>
      </c>
      <c r="G40" s="92" t="n">
        <f aca="false">+G39/F39-1</f>
        <v>0.360248447204969</v>
      </c>
      <c r="H40" s="92" t="n">
        <f aca="false">+H39/G39-1</f>
        <v>-0.200913242009133</v>
      </c>
      <c r="I40" s="92" t="n">
        <f aca="false">+I39/H39-1</f>
        <v>-0.0600000000000001</v>
      </c>
      <c r="J40" s="46" t="n">
        <f aca="false">+CHOOSE(Case, J41,J42,J43)</f>
        <v>0.03</v>
      </c>
      <c r="K40" s="46" t="n">
        <f aca="false">+CHOOSE(Case, K41,K42,K43)</f>
        <v>0.03</v>
      </c>
      <c r="L40" s="46" t="n">
        <f aca="false">+CHOOSE(Case, L41,L42,L43)</f>
        <v>0.03</v>
      </c>
      <c r="M40" s="46" t="n">
        <f aca="false">+CHOOSE(Case, M41,M42,M43)</f>
        <v>0.03</v>
      </c>
      <c r="N40" s="46" t="n">
        <f aca="false">+CHOOSE(Case, N41,N42,N43)</f>
        <v>0.03</v>
      </c>
      <c r="O40" s="46" t="n">
        <f aca="false">+CHOOSE(Case, O41,O42,O43)</f>
        <v>0.03</v>
      </c>
      <c r="P40" s="46" t="n">
        <f aca="false">+CHOOSE(Case, P41,P42,P43)</f>
        <v>0.03</v>
      </c>
      <c r="Q40" s="46" t="n">
        <f aca="false">+CHOOSE(Case, Q41,Q42,Q43)</f>
        <v>0.03</v>
      </c>
      <c r="R40" s="46" t="n">
        <f aca="false">+CHOOSE(Case, R41,R42,R43)</f>
        <v>0.03</v>
      </c>
      <c r="S40" s="46" t="n">
        <f aca="false">+CHOOSE(Case, S41,S42,S43)</f>
        <v>0.03</v>
      </c>
    </row>
    <row r="41" customFormat="false" ht="14.25" hidden="false" customHeight="false" outlineLevel="0" collapsed="false">
      <c r="A41" s="54"/>
      <c r="B41" s="49" t="s">
        <v>8</v>
      </c>
      <c r="J41" s="70" t="n">
        <v>0.03</v>
      </c>
      <c r="K41" s="70" t="n">
        <v>0.03</v>
      </c>
      <c r="L41" s="70" t="n">
        <v>0.03</v>
      </c>
      <c r="M41" s="70" t="n">
        <v>0.03</v>
      </c>
      <c r="N41" s="70" t="n">
        <v>0.03</v>
      </c>
      <c r="O41" s="70" t="n">
        <v>0.03</v>
      </c>
      <c r="P41" s="70" t="n">
        <v>0.03</v>
      </c>
      <c r="Q41" s="70" t="n">
        <v>0.03</v>
      </c>
      <c r="R41" s="70" t="n">
        <v>0.03</v>
      </c>
      <c r="S41" s="70" t="n">
        <v>0.03</v>
      </c>
    </row>
    <row r="42" customFormat="false" ht="14.25" hidden="false" customHeight="false" outlineLevel="0" collapsed="false">
      <c r="A42" s="54"/>
      <c r="B42" s="49" t="s">
        <v>9</v>
      </c>
      <c r="J42" s="70" t="n">
        <v>0.05</v>
      </c>
      <c r="K42" s="70" t="n">
        <v>0.05</v>
      </c>
      <c r="L42" s="70" t="n">
        <v>0.05</v>
      </c>
      <c r="M42" s="70" t="n">
        <v>0.05</v>
      </c>
      <c r="N42" s="70" t="n">
        <v>0.05</v>
      </c>
      <c r="O42" s="70" t="n">
        <v>0.05</v>
      </c>
      <c r="P42" s="70" t="n">
        <v>0.05</v>
      </c>
      <c r="Q42" s="70" t="n">
        <v>0.05</v>
      </c>
      <c r="R42" s="70" t="n">
        <v>0.05</v>
      </c>
      <c r="S42" s="70" t="n">
        <v>0.05</v>
      </c>
    </row>
    <row r="43" customFormat="false" ht="14.25" hidden="false" customHeight="false" outlineLevel="0" collapsed="false">
      <c r="A43" s="54"/>
      <c r="B43" s="49" t="s">
        <v>10</v>
      </c>
      <c r="J43" s="70" t="n">
        <v>0</v>
      </c>
      <c r="K43" s="70" t="n">
        <v>0.03</v>
      </c>
      <c r="L43" s="70" t="n">
        <v>0.03</v>
      </c>
      <c r="M43" s="70" t="n">
        <v>0.03</v>
      </c>
      <c r="N43" s="70" t="n">
        <v>0.03</v>
      </c>
      <c r="O43" s="70" t="n">
        <v>0.03</v>
      </c>
      <c r="P43" s="70" t="n">
        <v>0.03</v>
      </c>
      <c r="Q43" s="70" t="n">
        <v>0.03</v>
      </c>
      <c r="R43" s="70" t="n">
        <v>0.03</v>
      </c>
      <c r="S43" s="70" t="n">
        <v>0.03</v>
      </c>
    </row>
    <row r="44" customFormat="false" ht="14.25" hidden="false" customHeight="false" outlineLevel="0" collapsed="false">
      <c r="A44" s="54"/>
      <c r="K44" s="43"/>
      <c r="L44" s="43"/>
      <c r="M44" s="43"/>
      <c r="N44" s="43"/>
      <c r="O44" s="43"/>
      <c r="P44" s="43"/>
      <c r="Q44" s="43"/>
      <c r="R44" s="43"/>
      <c r="S44" s="43"/>
    </row>
    <row r="45" customFormat="false" ht="14.25" hidden="false" customHeight="false" outlineLevel="0" collapsed="false">
      <c r="A45" s="54"/>
      <c r="B45" s="6" t="s">
        <v>216</v>
      </c>
      <c r="E45" s="93" t="n">
        <f aca="false">+E36/E39</f>
        <v>2.29128</v>
      </c>
      <c r="F45" s="93" t="n">
        <f aca="false">+F36/F39</f>
        <v>2.14273291925466</v>
      </c>
      <c r="G45" s="93" t="n">
        <f aca="false">+G36/G39</f>
        <v>1.42187214611872</v>
      </c>
      <c r="H45" s="93" t="n">
        <f aca="false">+H36/H39</f>
        <v>1.30725714285714</v>
      </c>
      <c r="I45" s="93" t="n">
        <f aca="false">+I36/I39</f>
        <v>1.68419452887538</v>
      </c>
      <c r="J45" s="43" t="n">
        <f aca="false">+(1+J46)*I45</f>
        <v>1.3473556231003</v>
      </c>
      <c r="K45" s="43" t="n">
        <f aca="false">+(1+K46)*J45</f>
        <v>1.54945896656535</v>
      </c>
      <c r="L45" s="43" t="n">
        <f aca="false">+(1+L46)*K45</f>
        <v>1.93682370820669</v>
      </c>
      <c r="M45" s="43" t="n">
        <f aca="false">+(1+M46)*L45</f>
        <v>2.03366489361702</v>
      </c>
      <c r="N45" s="43" t="n">
        <f aca="false">+(1+N46)*M45</f>
        <v>2.12517981382979</v>
      </c>
      <c r="O45" s="43" t="n">
        <f aca="false">+(1+O46)*N45</f>
        <v>2.21018700638298</v>
      </c>
      <c r="P45" s="43" t="n">
        <f aca="false">+(1+P46)*O45</f>
        <v>2.28754355160638</v>
      </c>
      <c r="Q45" s="43" t="n">
        <f aca="false">+(1+Q46)*P45</f>
        <v>2.35616985815457</v>
      </c>
      <c r="R45" s="43" t="n">
        <f aca="false">+(1+R46)*Q45</f>
        <v>2.40329325531767</v>
      </c>
      <c r="S45" s="43" t="n">
        <f aca="false">+(1+S46)*R45</f>
        <v>2.45135912042402</v>
      </c>
    </row>
    <row r="46" customFormat="false" ht="14.25" hidden="false" customHeight="false" outlineLevel="0" collapsed="false">
      <c r="A46" s="54"/>
      <c r="B46" s="6" t="s">
        <v>53</v>
      </c>
      <c r="F46" s="92" t="n">
        <f aca="false">+F45/E45-1</f>
        <v>-0.0648314831645812</v>
      </c>
      <c r="G46" s="92" t="n">
        <f aca="false">+G45/F45-1</f>
        <v>-0.33642119680818</v>
      </c>
      <c r="H46" s="92" t="n">
        <f aca="false">+H45/G45-1</f>
        <v>-0.0806085157336</v>
      </c>
      <c r="I46" s="92" t="n">
        <f aca="false">+I45/H45-1</f>
        <v>0.288342188893611</v>
      </c>
      <c r="J46" s="46" t="n">
        <f aca="false">+CHOOSE(Case, J47,J48,J49)</f>
        <v>-0.2</v>
      </c>
      <c r="K46" s="46" t="n">
        <f aca="false">+CHOOSE(Case, K47,K48,K49)</f>
        <v>0.15</v>
      </c>
      <c r="L46" s="46" t="n">
        <f aca="false">+CHOOSE(Case, L47,L48,L49)</f>
        <v>0.25</v>
      </c>
      <c r="M46" s="46" t="n">
        <f aca="false">+CHOOSE(Case, M47,M48,M49)</f>
        <v>0.05</v>
      </c>
      <c r="N46" s="46" t="n">
        <f aca="false">+CHOOSE(Case, N47,N48,N49)</f>
        <v>0.045</v>
      </c>
      <c r="O46" s="46" t="n">
        <f aca="false">+CHOOSE(Case, O47,O48,O49)</f>
        <v>0.04</v>
      </c>
      <c r="P46" s="46" t="n">
        <f aca="false">+CHOOSE(Case, P47,P48,P49)</f>
        <v>0.035</v>
      </c>
      <c r="Q46" s="46" t="n">
        <f aca="false">+CHOOSE(Case, Q47,Q48,Q49)</f>
        <v>0.03</v>
      </c>
      <c r="R46" s="46" t="n">
        <f aca="false">+CHOOSE(Case, R47,R48,R49)</f>
        <v>0.02</v>
      </c>
      <c r="S46" s="46" t="n">
        <f aca="false">+CHOOSE(Case, S47,S48,S49)</f>
        <v>0.02</v>
      </c>
    </row>
    <row r="47" customFormat="false" ht="14.25" hidden="false" customHeight="false" outlineLevel="0" collapsed="false">
      <c r="A47" s="54"/>
      <c r="B47" s="49" t="s">
        <v>8</v>
      </c>
      <c r="J47" s="70" t="n">
        <v>-0.2</v>
      </c>
      <c r="K47" s="70" t="n">
        <v>0.15</v>
      </c>
      <c r="L47" s="70" t="n">
        <v>0.25</v>
      </c>
      <c r="M47" s="70" t="n">
        <v>0.05</v>
      </c>
      <c r="N47" s="70" t="n">
        <v>0.045</v>
      </c>
      <c r="O47" s="70" t="n">
        <v>0.04</v>
      </c>
      <c r="P47" s="70" t="n">
        <v>0.035</v>
      </c>
      <c r="Q47" s="70" t="n">
        <v>0.03</v>
      </c>
      <c r="R47" s="70" t="n">
        <v>0.02</v>
      </c>
      <c r="S47" s="70" t="n">
        <v>0.02</v>
      </c>
    </row>
    <row r="48" customFormat="false" ht="14.25" hidden="false" customHeight="false" outlineLevel="0" collapsed="false">
      <c r="A48" s="54"/>
      <c r="B48" s="49" t="s">
        <v>9</v>
      </c>
      <c r="J48" s="70" t="n">
        <v>-0.2</v>
      </c>
      <c r="K48" s="70" t="n">
        <v>0.2</v>
      </c>
      <c r="L48" s="70" t="n">
        <v>0.3</v>
      </c>
      <c r="M48" s="70" t="n">
        <v>0.1</v>
      </c>
      <c r="N48" s="70" t="n">
        <v>0.05</v>
      </c>
      <c r="O48" s="70" t="n">
        <v>0.045</v>
      </c>
      <c r="P48" s="70" t="n">
        <v>0.04</v>
      </c>
      <c r="Q48" s="70" t="n">
        <v>0.03</v>
      </c>
      <c r="R48" s="70" t="n">
        <v>0.02</v>
      </c>
      <c r="S48" s="70" t="n">
        <v>0.02</v>
      </c>
    </row>
    <row r="49" customFormat="false" ht="14.25" hidden="false" customHeight="false" outlineLevel="0" collapsed="false">
      <c r="A49" s="54"/>
      <c r="B49" s="49" t="s">
        <v>10</v>
      </c>
      <c r="J49" s="70" t="n">
        <v>-0.3</v>
      </c>
      <c r="K49" s="70" t="n">
        <v>0.1</v>
      </c>
      <c r="L49" s="70" t="n">
        <v>0.1</v>
      </c>
      <c r="M49" s="70" t="n">
        <v>0.05</v>
      </c>
      <c r="N49" s="70" t="n">
        <v>0.045</v>
      </c>
      <c r="O49" s="70" t="n">
        <v>0.04</v>
      </c>
      <c r="P49" s="70" t="n">
        <v>0.035</v>
      </c>
      <c r="Q49" s="70" t="n">
        <v>0.03</v>
      </c>
      <c r="R49" s="70" t="n">
        <v>0.02</v>
      </c>
      <c r="S49" s="70" t="n">
        <v>0.02</v>
      </c>
    </row>
    <row r="51" customFormat="false" ht="14.25" hidden="false" customHeight="false" outlineLevel="0" collapsed="false">
      <c r="B51" s="5" t="s">
        <v>217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 customFormat="false" ht="14.25" hidden="false" customHeight="false" outlineLevel="0" collapsed="false">
      <c r="B52" s="6" t="s">
        <v>218</v>
      </c>
      <c r="E52" s="68" t="n">
        <v>1.36004219362441</v>
      </c>
      <c r="F52" s="68" t="n">
        <v>1.35117356354974</v>
      </c>
      <c r="G52" s="68" t="n">
        <v>1.47378511580893</v>
      </c>
      <c r="H52" s="68" t="n">
        <v>1.680600634747</v>
      </c>
      <c r="I52" s="68" t="n">
        <v>1.48201151139415</v>
      </c>
      <c r="J52" s="68" t="n">
        <v>1.48220993029504</v>
      </c>
      <c r="K52" s="68" t="n">
        <v>1.56848751759335</v>
      </c>
      <c r="L52" s="68" t="n">
        <v>1.65750472295715</v>
      </c>
      <c r="M52" s="68" t="n">
        <v>1.73746358215172</v>
      </c>
      <c r="N52" s="68" t="n">
        <v>1.80870727961893</v>
      </c>
      <c r="O52" s="68" t="n">
        <v>1.8717475333691</v>
      </c>
      <c r="P52" s="68" t="n">
        <v>1.92719936057798</v>
      </c>
      <c r="Q52" s="68" t="n">
        <v>1.97572979293033</v>
      </c>
      <c r="R52" s="68" t="n">
        <v>1.97572979293033</v>
      </c>
      <c r="S52" s="68" t="n">
        <v>1.97572979293033</v>
      </c>
    </row>
    <row r="53" customFormat="false" ht="14.25" hidden="false" customHeight="false" outlineLevel="0" collapsed="false">
      <c r="B53" s="6" t="s">
        <v>219</v>
      </c>
      <c r="E53" s="68" t="n">
        <v>1.82452704293413</v>
      </c>
      <c r="F53" s="68" t="n">
        <v>1.74632448897197</v>
      </c>
      <c r="G53" s="68" t="n">
        <v>1.84241331799018</v>
      </c>
      <c r="H53" s="68" t="n">
        <v>2.10688210745045</v>
      </c>
      <c r="I53" s="68" t="n">
        <v>1.82869512174317</v>
      </c>
      <c r="J53" s="68" t="n">
        <v>1.78424807767478</v>
      </c>
      <c r="K53" s="68" t="n">
        <v>1.92904663528263</v>
      </c>
      <c r="L53" s="68" t="n">
        <v>2.02770974797425</v>
      </c>
      <c r="M53" s="68" t="n">
        <v>2.10096875090613</v>
      </c>
      <c r="N53" s="68" t="n">
        <v>2.17870087223378</v>
      </c>
      <c r="O53" s="68" t="n">
        <v>2.26114875981961</v>
      </c>
      <c r="P53" s="68" t="n">
        <v>2.34855596694228</v>
      </c>
      <c r="Q53" s="68" t="n">
        <v>2.43096621907052</v>
      </c>
      <c r="R53" s="68" t="n">
        <v>2.43096621907052</v>
      </c>
      <c r="S53" s="68" t="n">
        <v>2.43096621907052</v>
      </c>
    </row>
    <row r="54" customFormat="false" ht="14.25" hidden="false" customHeight="false" outlineLevel="0" collapsed="false"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</row>
    <row r="55" customFormat="false" ht="14.25" hidden="false" customHeight="false" outlineLevel="0" collapsed="false">
      <c r="B55" s="6" t="s">
        <v>220</v>
      </c>
      <c r="E55" s="68"/>
      <c r="F55" s="68"/>
      <c r="G55" s="68"/>
      <c r="H55" s="68"/>
      <c r="I55" s="68"/>
      <c r="J55" s="94" t="n">
        <f aca="false">+Output!J8</f>
        <v>1.3503</v>
      </c>
      <c r="K55" s="94" t="n">
        <f aca="false">+Output!K8</f>
        <v>1.344</v>
      </c>
      <c r="L55" s="94" t="n">
        <f aca="false">+Output!L8</f>
        <v>1.3365</v>
      </c>
      <c r="M55" s="94" t="n">
        <f aca="false">+Output!M8</f>
        <v>1.3303</v>
      </c>
      <c r="N55" s="94" t="n">
        <f aca="false">+Output!N8</f>
        <v>1.3236</v>
      </c>
      <c r="O55" s="94" t="n">
        <f aca="false">+Output!O8</f>
        <v>1.3172</v>
      </c>
      <c r="P55" s="94" t="n">
        <f aca="false">+Output!P8</f>
        <v>1.3128</v>
      </c>
      <c r="Q55" s="94" t="n">
        <f aca="false">+Output!Q8</f>
        <v>1.3102</v>
      </c>
      <c r="R55" s="94" t="n">
        <f aca="false">+Output!R8</f>
        <v>1.3098</v>
      </c>
      <c r="S55" s="94" t="n">
        <f aca="false">+Output!S8</f>
        <v>1.3089</v>
      </c>
    </row>
    <row r="57" customFormat="false" ht="14.25" hidden="false" customHeight="false" outlineLevel="0" collapsed="false">
      <c r="B57" s="6" t="s">
        <v>221</v>
      </c>
      <c r="J57" s="43" t="n">
        <f aca="false">+J52/J$55</f>
        <v>1.0976893507332</v>
      </c>
      <c r="K57" s="43" t="n">
        <f aca="false">+K52/K$55</f>
        <v>1.16702940297124</v>
      </c>
      <c r="L57" s="43" t="n">
        <f aca="false">+L52/L$55</f>
        <v>1.24018310733793</v>
      </c>
      <c r="M57" s="43" t="n">
        <f aca="false">+M52/M$55</f>
        <v>1.30606899357417</v>
      </c>
      <c r="N57" s="43" t="n">
        <f aca="false">+N52/N$55</f>
        <v>1.36650595317236</v>
      </c>
      <c r="O57" s="43" t="n">
        <f aca="false">+O52/O$55</f>
        <v>1.42100480820612</v>
      </c>
      <c r="P57" s="43" t="n">
        <f aca="false">+P52/P$55</f>
        <v>1.4680068255469</v>
      </c>
      <c r="Q57" s="43" t="n">
        <f aca="false">+Q52/Q$55</f>
        <v>1.50796045865542</v>
      </c>
      <c r="R57" s="43" t="n">
        <f aca="false">+R52/R$55</f>
        <v>1.50842097490482</v>
      </c>
      <c r="S57" s="43" t="n">
        <f aca="false">+S52/S$55</f>
        <v>1.50945816558204</v>
      </c>
    </row>
    <row r="58" customFormat="false" ht="14.25" hidden="false" customHeight="false" outlineLevel="0" collapsed="false">
      <c r="B58" s="6" t="s">
        <v>222</v>
      </c>
      <c r="J58" s="43" t="n">
        <f aca="false">+J53/J$55</f>
        <v>1.32137160458771</v>
      </c>
      <c r="K58" s="43" t="n">
        <f aca="false">+K53/K$55</f>
        <v>1.43530255601386</v>
      </c>
      <c r="L58" s="43" t="n">
        <f aca="false">+L53/L$55</f>
        <v>1.51717901082996</v>
      </c>
      <c r="M58" s="43" t="n">
        <f aca="false">+M53/M$55</f>
        <v>1.5793195150764</v>
      </c>
      <c r="N58" s="43" t="n">
        <f aca="false">+N53/N$55</f>
        <v>1.64604175901615</v>
      </c>
      <c r="O58" s="43" t="n">
        <f aca="false">+O53/O$55</f>
        <v>1.71663282707228</v>
      </c>
      <c r="P58" s="43" t="n">
        <f aca="false">+P53/P$55</f>
        <v>1.78896706805476</v>
      </c>
      <c r="Q58" s="43" t="n">
        <f aca="false">+Q53/Q$55</f>
        <v>1.85541613423181</v>
      </c>
      <c r="R58" s="43" t="n">
        <f aca="false">+R53/R$55</f>
        <v>1.85598276001719</v>
      </c>
      <c r="S58" s="43" t="n">
        <f aca="false">+S53/S$55</f>
        <v>1.85725893427345</v>
      </c>
    </row>
    <row r="59" customFormat="false" ht="14.25" hidden="false" customHeight="false" outlineLevel="0" collapsed="false">
      <c r="J59" s="43"/>
      <c r="K59" s="43"/>
      <c r="L59" s="43"/>
      <c r="M59" s="43"/>
      <c r="N59" s="43"/>
      <c r="O59" s="43"/>
      <c r="P59" s="43"/>
      <c r="Q59" s="43"/>
      <c r="R59" s="43"/>
      <c r="S59" s="43"/>
    </row>
    <row r="60" s="2" customFormat="true" ht="14.25" hidden="false" customHeight="false" outlineLevel="0" collapsed="false">
      <c r="B60" s="2" t="s">
        <v>223</v>
      </c>
      <c r="J60" s="95"/>
      <c r="K60" s="53" t="n">
        <f aca="false">+K57/J57-1</f>
        <v>0.0631691035279938</v>
      </c>
      <c r="L60" s="53" t="n">
        <f aca="false">+L57/K57-1</f>
        <v>0.0626836857584223</v>
      </c>
      <c r="M60" s="53" t="n">
        <f aca="false">+M57/L57-1</f>
        <v>0.0531259342643897</v>
      </c>
      <c r="N60" s="53" t="n">
        <f aca="false">+N57/M57-1</f>
        <v>0.046273941036447</v>
      </c>
      <c r="O60" s="53" t="n">
        <f aca="false">+O57/N57-1</f>
        <v>0.0398819009220144</v>
      </c>
      <c r="P60" s="53" t="n">
        <f aca="false">+P57/O57-1</f>
        <v>0.0330766068273343</v>
      </c>
      <c r="Q60" s="53" t="n">
        <f aca="false">+Q57/P57-1</f>
        <v>0.0272162447838948</v>
      </c>
      <c r="R60" s="53" t="n">
        <f aca="false">+R57/Q57-1</f>
        <v>0.000305390135898476</v>
      </c>
      <c r="S60" s="53" t="n">
        <f aca="false">+S57/R57-1</f>
        <v>0.000687600275040223</v>
      </c>
    </row>
    <row r="61" s="2" customFormat="true" ht="14.25" hidden="false" customHeight="false" outlineLevel="0" collapsed="false">
      <c r="B61" s="2" t="s">
        <v>224</v>
      </c>
      <c r="K61" s="53" t="n">
        <f aca="false">+K58/J58-1</f>
        <v>0.0862217343180336</v>
      </c>
      <c r="L61" s="53" t="n">
        <f aca="false">+L58/K58-1</f>
        <v>0.0570447356015911</v>
      </c>
      <c r="M61" s="53" t="n">
        <f aca="false">+M58/L58-1</f>
        <v>0.0409579250720324</v>
      </c>
      <c r="N61" s="53" t="n">
        <f aca="false">+N58/M58-1</f>
        <v>0.0422474637353714</v>
      </c>
      <c r="O61" s="53" t="n">
        <f aca="false">+O58/N58-1</f>
        <v>0.0428853445967983</v>
      </c>
      <c r="P61" s="53" t="n">
        <f aca="false">+P58/O58-1</f>
        <v>0.0421372816840766</v>
      </c>
      <c r="Q61" s="53" t="n">
        <f aca="false">+Q58/P58-1</f>
        <v>0.0371438174372376</v>
      </c>
      <c r="R61" s="53" t="n">
        <f aca="false">+R58/Q58-1</f>
        <v>0.000305390135898476</v>
      </c>
      <c r="S61" s="53" t="n">
        <f aca="false">+S58/R58-1</f>
        <v>0.000687600275040223</v>
      </c>
    </row>
    <row r="63" customFormat="false" ht="14.25" hidden="false" customHeight="false" outlineLevel="0" collapsed="false">
      <c r="A63" s="6" t="s">
        <v>2</v>
      </c>
      <c r="B63" s="5" t="s">
        <v>207</v>
      </c>
    </row>
    <row r="64" customFormat="false" ht="14.25" hidden="false" customHeight="false" outlineLevel="0" collapsed="false">
      <c r="A64" s="54"/>
      <c r="B64" s="6" t="s">
        <v>25</v>
      </c>
      <c r="E64" s="91" t="n">
        <f aca="false">+E9</f>
        <v>157.746</v>
      </c>
      <c r="F64" s="91" t="n">
        <f aca="false">+F9</f>
        <v>174.572</v>
      </c>
      <c r="G64" s="91" t="n">
        <f aca="false">+G9</f>
        <v>168.604</v>
      </c>
      <c r="H64" s="91" t="n">
        <f aca="false">+H9</f>
        <v>175.194</v>
      </c>
      <c r="I64" s="91" t="n">
        <f aca="false">+I9</f>
        <v>203.557</v>
      </c>
      <c r="J64" s="6" t="n">
        <f aca="false">+J67+J74</f>
        <v>223.9127</v>
      </c>
      <c r="K64" s="6" t="n">
        <f aca="false">+K67+K74</f>
        <v>252.3496129</v>
      </c>
      <c r="L64" s="6" t="n">
        <f aca="false">+L67+L74</f>
        <v>284.416150667</v>
      </c>
      <c r="M64" s="6" t="n">
        <f aca="false">+M67+M74</f>
        <v>320.57744715271</v>
      </c>
      <c r="N64" s="6" t="n">
        <f aca="false">+N67+N74</f>
        <v>352.635191867981</v>
      </c>
      <c r="O64" s="6" t="n">
        <f aca="false">+O67+O74</f>
        <v>379.082831258079</v>
      </c>
      <c r="P64" s="6" t="n">
        <f aca="false">+P67+P74</f>
        <v>404.913793690395</v>
      </c>
      <c r="Q64" s="6" t="n">
        <f aca="false">+Q67+Q74</f>
        <v>431.777604161646</v>
      </c>
      <c r="R64" s="6" t="n">
        <f aca="false">+R67+R74</f>
        <v>460.477476713273</v>
      </c>
      <c r="S64" s="6" t="n">
        <f aca="false">+S67+S74</f>
        <v>491.140603551323</v>
      </c>
    </row>
    <row r="65" customFormat="false" ht="14.25" hidden="false" customHeight="false" outlineLevel="0" collapsed="false">
      <c r="A65" s="54"/>
      <c r="B65" s="6" t="s">
        <v>53</v>
      </c>
      <c r="F65" s="46" t="n">
        <f aca="false">+F64/E64-1</f>
        <v>0.106665145233477</v>
      </c>
      <c r="G65" s="46" t="n">
        <f aca="false">+G64/F64-1</f>
        <v>-0.0341864674747382</v>
      </c>
      <c r="H65" s="46" t="n">
        <f aca="false">+H64/G64-1</f>
        <v>0.0390856681929253</v>
      </c>
      <c r="I65" s="46" t="n">
        <f aca="false">+I64/H64-1</f>
        <v>0.161894813749329</v>
      </c>
      <c r="J65" s="46" t="n">
        <f aca="false">+J64/I64-1</f>
        <v>0.1</v>
      </c>
      <c r="K65" s="46" t="n">
        <f aca="false">+K64/J64-1</f>
        <v>0.127</v>
      </c>
      <c r="L65" s="46" t="n">
        <f aca="false">+L64/K64-1</f>
        <v>0.127071872227152</v>
      </c>
      <c r="M65" s="46" t="n">
        <f aca="false">+M64/L64-1</f>
        <v>0.127142204832272</v>
      </c>
      <c r="N65" s="46" t="n">
        <f aca="false">+N64/M64-1</f>
        <v>0.1</v>
      </c>
      <c r="O65" s="46" t="n">
        <f aca="false">+O64/N64-1</f>
        <v>0.0749999999999997</v>
      </c>
      <c r="P65" s="46" t="n">
        <f aca="false">+P64/O64-1</f>
        <v>0.0681406814088328</v>
      </c>
      <c r="Q65" s="46" t="n">
        <f aca="false">+Q64/P64-1</f>
        <v>0.0663445179933588</v>
      </c>
      <c r="R65" s="46" t="n">
        <f aca="false">+R64/Q64-1</f>
        <v>0.0664691088074183</v>
      </c>
      <c r="S65" s="46" t="n">
        <f aca="false">+S64/R64-1</f>
        <v>0.0665898515968963</v>
      </c>
    </row>
    <row r="66" customFormat="false" ht="14.25" hidden="false" customHeight="false" outlineLevel="0" collapsed="false">
      <c r="A66" s="54"/>
      <c r="F66" s="46"/>
      <c r="G66" s="46"/>
      <c r="H66" s="46"/>
      <c r="I66" s="46"/>
    </row>
    <row r="67" customFormat="false" ht="14.25" hidden="false" customHeight="false" outlineLevel="0" collapsed="false">
      <c r="A67" s="54"/>
      <c r="B67" s="6" t="s">
        <v>225</v>
      </c>
      <c r="E67" s="91" t="n">
        <f aca="false">+E68*E64</f>
        <v>110.4222</v>
      </c>
      <c r="F67" s="91" t="n">
        <f aca="false">+F68*F64</f>
        <v>122.2004</v>
      </c>
      <c r="G67" s="91" t="n">
        <f aca="false">+G68*G64</f>
        <v>126.453</v>
      </c>
      <c r="H67" s="91" t="n">
        <f aca="false">+H68*H64</f>
        <v>157.6746</v>
      </c>
      <c r="I67" s="91" t="n">
        <f aca="false">+I68*I64</f>
        <v>183.2013</v>
      </c>
      <c r="J67" s="6" t="n">
        <f aca="false">+(1+J69)*I67</f>
        <v>201.52143</v>
      </c>
      <c r="K67" s="6" t="n">
        <f aca="false">+(1+K69)*J67</f>
        <v>227.7192159</v>
      </c>
      <c r="L67" s="6" t="n">
        <f aca="false">+(1+L69)*K67</f>
        <v>257.322713967</v>
      </c>
      <c r="M67" s="6" t="n">
        <f aca="false">+(1+M69)*L67</f>
        <v>290.77466678271</v>
      </c>
      <c r="N67" s="6" t="n">
        <f aca="false">+(1+N69)*M67</f>
        <v>319.852133460981</v>
      </c>
      <c r="O67" s="6" t="n">
        <f aca="false">+(1+O69)*N67</f>
        <v>343.841043470555</v>
      </c>
      <c r="P67" s="6" t="n">
        <f aca="false">+(1+P69)*O67</f>
        <v>367.909916513493</v>
      </c>
      <c r="Q67" s="6" t="n">
        <f aca="false">+(1+Q69)*P67</f>
        <v>393.663610669438</v>
      </c>
      <c r="R67" s="6" t="n">
        <f aca="false">+(1+R69)*Q67</f>
        <v>421.220063416299</v>
      </c>
      <c r="S67" s="6" t="n">
        <f aca="false">+(1+S69)*R67</f>
        <v>450.70546785544</v>
      </c>
    </row>
    <row r="68" customFormat="false" ht="14.25" hidden="false" customHeight="false" outlineLevel="0" collapsed="false">
      <c r="A68" s="54"/>
      <c r="B68" s="6" t="s">
        <v>226</v>
      </c>
      <c r="E68" s="96" t="n">
        <v>0.7</v>
      </c>
      <c r="F68" s="96" t="n">
        <v>0.7</v>
      </c>
      <c r="G68" s="96" t="n">
        <v>0.75</v>
      </c>
      <c r="H68" s="96" t="n">
        <v>0.9</v>
      </c>
      <c r="I68" s="96" t="n">
        <v>0.9</v>
      </c>
      <c r="J68" s="46" t="n">
        <f aca="false">+J67/J64</f>
        <v>0.9</v>
      </c>
      <c r="K68" s="46" t="n">
        <f aca="false">+K67/K64</f>
        <v>0.902395740905058</v>
      </c>
      <c r="L68" s="46" t="n">
        <f aca="false">+L67/L64</f>
        <v>0.904740161075728</v>
      </c>
      <c r="M68" s="46" t="n">
        <f aca="false">+M67/M64</f>
        <v>0.907034070441633</v>
      </c>
      <c r="N68" s="46" t="n">
        <f aca="false">+N67/N64</f>
        <v>0.907034070441633</v>
      </c>
      <c r="O68" s="46" t="n">
        <f aca="false">+O67/O64</f>
        <v>0.907034070441633</v>
      </c>
      <c r="P68" s="46" t="n">
        <f aca="false">+P67/P64</f>
        <v>0.908612949833971</v>
      </c>
      <c r="Q68" s="46" t="n">
        <f aca="false">+Q67/Q64</f>
        <v>0.911727720185461</v>
      </c>
      <c r="R68" s="46" t="n">
        <f aca="false">+R67/R64</f>
        <v>0.914746289922408</v>
      </c>
      <c r="S68" s="46" t="n">
        <f aca="false">+S67/S64</f>
        <v>0.917670957352117</v>
      </c>
    </row>
    <row r="69" customFormat="false" ht="14.25" hidden="false" customHeight="false" outlineLevel="0" collapsed="false">
      <c r="A69" s="54"/>
      <c r="B69" s="6" t="s">
        <v>53</v>
      </c>
      <c r="E69" s="96"/>
      <c r="F69" s="46" t="n">
        <f aca="false">+F67/E67-1</f>
        <v>0.106665145233476</v>
      </c>
      <c r="G69" s="46" t="n">
        <f aca="false">+G67/F67-1</f>
        <v>0.0348002134199235</v>
      </c>
      <c r="H69" s="46" t="n">
        <f aca="false">+H67/G67-1</f>
        <v>0.24690280183151</v>
      </c>
      <c r="I69" s="46" t="n">
        <f aca="false">+I67/H67-1</f>
        <v>0.161894813749329</v>
      </c>
      <c r="J69" s="46" t="n">
        <f aca="false">+CHOOSE(Case, J70,J71,J72)</f>
        <v>0.1</v>
      </c>
      <c r="K69" s="46" t="n">
        <f aca="false">+CHOOSE(Case, K70,K71,K72)</f>
        <v>0.13</v>
      </c>
      <c r="L69" s="46" t="n">
        <f aca="false">+CHOOSE(Case, L70,L71,L72)</f>
        <v>0.13</v>
      </c>
      <c r="M69" s="46" t="n">
        <f aca="false">+CHOOSE(Case, M70,M71,M72)</f>
        <v>0.13</v>
      </c>
      <c r="N69" s="46" t="n">
        <f aca="false">+CHOOSE(Case, N70,N71,N72)</f>
        <v>0.1</v>
      </c>
      <c r="O69" s="46" t="n">
        <f aca="false">+CHOOSE(Case, O70,O71,O72)</f>
        <v>0.075</v>
      </c>
      <c r="P69" s="46" t="n">
        <f aca="false">+CHOOSE(Case, P70,P71,P72)</f>
        <v>0.07</v>
      </c>
      <c r="Q69" s="46" t="n">
        <f aca="false">+CHOOSE(Case, Q70,Q71,Q72)</f>
        <v>0.07</v>
      </c>
      <c r="R69" s="46" t="n">
        <f aca="false">+CHOOSE(Case, R70,R71,R72)</f>
        <v>0.07</v>
      </c>
      <c r="S69" s="46" t="n">
        <f aca="false">+CHOOSE(Case, S70,S71,S72)</f>
        <v>0.07</v>
      </c>
    </row>
    <row r="70" customFormat="false" ht="14.25" hidden="false" customHeight="false" outlineLevel="0" collapsed="false">
      <c r="A70" s="54"/>
      <c r="B70" s="49" t="s">
        <v>8</v>
      </c>
      <c r="J70" s="70" t="n">
        <v>0.1</v>
      </c>
      <c r="K70" s="70" t="n">
        <v>0.13</v>
      </c>
      <c r="L70" s="70" t="n">
        <v>0.13</v>
      </c>
      <c r="M70" s="70" t="n">
        <v>0.13</v>
      </c>
      <c r="N70" s="70" t="n">
        <v>0.1</v>
      </c>
      <c r="O70" s="70" t="n">
        <v>0.075</v>
      </c>
      <c r="P70" s="70" t="n">
        <v>0.07</v>
      </c>
      <c r="Q70" s="70" t="n">
        <v>0.07</v>
      </c>
      <c r="R70" s="70" t="n">
        <v>0.07</v>
      </c>
      <c r="S70" s="70" t="n">
        <v>0.07</v>
      </c>
    </row>
    <row r="71" customFormat="false" ht="14.25" hidden="false" customHeight="false" outlineLevel="0" collapsed="false">
      <c r="A71" s="54"/>
      <c r="B71" s="49" t="s">
        <v>9</v>
      </c>
      <c r="J71" s="70" t="n">
        <v>0.1</v>
      </c>
      <c r="K71" s="70" t="n">
        <v>0.13</v>
      </c>
      <c r="L71" s="70" t="n">
        <v>0.13</v>
      </c>
      <c r="M71" s="70" t="n">
        <v>0.13</v>
      </c>
      <c r="N71" s="70" t="n">
        <v>0.1</v>
      </c>
      <c r="O71" s="70" t="n">
        <v>0.075</v>
      </c>
      <c r="P71" s="70" t="n">
        <v>0.07</v>
      </c>
      <c r="Q71" s="70" t="n">
        <v>0.07</v>
      </c>
      <c r="R71" s="70" t="n">
        <v>0.07</v>
      </c>
      <c r="S71" s="70" t="n">
        <v>0.07</v>
      </c>
    </row>
    <row r="72" customFormat="false" ht="14.25" hidden="false" customHeight="false" outlineLevel="0" collapsed="false">
      <c r="A72" s="54"/>
      <c r="B72" s="49" t="s">
        <v>10</v>
      </c>
      <c r="J72" s="70" t="n">
        <v>0.05</v>
      </c>
      <c r="K72" s="70" t="n">
        <v>0.1</v>
      </c>
      <c r="L72" s="70" t="n">
        <v>0.075</v>
      </c>
      <c r="M72" s="70" t="n">
        <v>0.05</v>
      </c>
      <c r="N72" s="70" t="n">
        <v>0.05</v>
      </c>
      <c r="O72" s="70" t="n">
        <v>0.05</v>
      </c>
      <c r="P72" s="70" t="n">
        <v>0.05</v>
      </c>
      <c r="Q72" s="70" t="n">
        <v>0.05</v>
      </c>
      <c r="R72" s="70" t="n">
        <v>0.05</v>
      </c>
      <c r="S72" s="70" t="n">
        <v>0.05</v>
      </c>
    </row>
    <row r="73" customFormat="false" ht="14.25" hidden="false" customHeight="false" outlineLevel="0" collapsed="false">
      <c r="A73" s="54"/>
      <c r="E73" s="96"/>
      <c r="F73" s="96"/>
      <c r="G73" s="96"/>
      <c r="H73" s="96"/>
      <c r="I73" s="96"/>
    </row>
    <row r="74" customFormat="false" ht="14.25" hidden="false" customHeight="false" outlineLevel="0" collapsed="false">
      <c r="A74" s="54"/>
      <c r="B74" s="6" t="s">
        <v>227</v>
      </c>
      <c r="E74" s="91" t="n">
        <f aca="false">+E64-E67</f>
        <v>47.3238</v>
      </c>
      <c r="F74" s="91" t="n">
        <f aca="false">+F64-F67</f>
        <v>52.3716</v>
      </c>
      <c r="G74" s="91" t="n">
        <f aca="false">+G64-G67</f>
        <v>42.151</v>
      </c>
      <c r="H74" s="91" t="n">
        <f aca="false">+H64-H67</f>
        <v>17.5194</v>
      </c>
      <c r="I74" s="91" t="n">
        <f aca="false">+I64-I67</f>
        <v>20.3557</v>
      </c>
      <c r="J74" s="6" t="n">
        <f aca="false">+(1+J76)*I74</f>
        <v>22.39127</v>
      </c>
      <c r="K74" s="6" t="n">
        <f aca="false">+(1+K76)*J74</f>
        <v>24.630397</v>
      </c>
      <c r="L74" s="6" t="n">
        <f aca="false">+(1+L76)*K74</f>
        <v>27.0934367</v>
      </c>
      <c r="M74" s="6" t="n">
        <f aca="false">+(1+M76)*L74</f>
        <v>29.80278037</v>
      </c>
      <c r="N74" s="6" t="n">
        <f aca="false">+(1+N76)*M74</f>
        <v>32.783058407</v>
      </c>
      <c r="O74" s="6" t="n">
        <f aca="false">+(1+O76)*N74</f>
        <v>35.241787787525</v>
      </c>
      <c r="P74" s="6" t="n">
        <f aca="false">+(1+P76)*O74</f>
        <v>37.0038771769012</v>
      </c>
      <c r="Q74" s="6" t="n">
        <f aca="false">+(1+Q76)*P74</f>
        <v>38.1139934922083</v>
      </c>
      <c r="R74" s="6" t="n">
        <f aca="false">+(1+R76)*Q74</f>
        <v>39.2574132969745</v>
      </c>
      <c r="S74" s="6" t="n">
        <f aca="false">+(1+S76)*R74</f>
        <v>40.4351356958838</v>
      </c>
    </row>
    <row r="75" customFormat="false" ht="14.25" hidden="false" customHeight="false" outlineLevel="0" collapsed="false">
      <c r="A75" s="54"/>
      <c r="B75" s="6" t="s">
        <v>226</v>
      </c>
      <c r="E75" s="46" t="n">
        <f aca="false">+E74/E64</f>
        <v>0.3</v>
      </c>
      <c r="F75" s="46" t="n">
        <f aca="false">+F74/F64</f>
        <v>0.3</v>
      </c>
      <c r="G75" s="46" t="n">
        <f aca="false">+G74/G64</f>
        <v>0.25</v>
      </c>
      <c r="H75" s="46" t="n">
        <f aca="false">+H74/H64</f>
        <v>0.1</v>
      </c>
      <c r="I75" s="46" t="n">
        <f aca="false">+I74/I64</f>
        <v>0.0999999999999999</v>
      </c>
      <c r="J75" s="46" t="n">
        <f aca="false">+J74/J64</f>
        <v>0.0999999999999999</v>
      </c>
      <c r="K75" s="46" t="n">
        <f aca="false">+K74/K64</f>
        <v>0.0976042590949423</v>
      </c>
      <c r="L75" s="46" t="n">
        <f aca="false">+L74/L64</f>
        <v>0.0952598389242723</v>
      </c>
      <c r="M75" s="46" t="n">
        <f aca="false">+M74/M64</f>
        <v>0.0929659295583671</v>
      </c>
      <c r="N75" s="46" t="n">
        <f aca="false">+N74/N64</f>
        <v>0.0929659295583671</v>
      </c>
      <c r="O75" s="46" t="n">
        <f aca="false">+O74/O64</f>
        <v>0.0929659295583671</v>
      </c>
      <c r="P75" s="46" t="n">
        <f aca="false">+P74/P64</f>
        <v>0.0913870501660291</v>
      </c>
      <c r="Q75" s="46" t="n">
        <f aca="false">+Q74/Q64</f>
        <v>0.0882722798145394</v>
      </c>
      <c r="R75" s="46" t="n">
        <f aca="false">+R74/R64</f>
        <v>0.085253710077592</v>
      </c>
      <c r="S75" s="46" t="n">
        <f aca="false">+S74/S64</f>
        <v>0.0823290426478827</v>
      </c>
    </row>
    <row r="76" customFormat="false" ht="14.25" hidden="false" customHeight="false" outlineLevel="0" collapsed="false">
      <c r="A76" s="54"/>
      <c r="B76" s="6" t="s">
        <v>53</v>
      </c>
      <c r="F76" s="46" t="n">
        <f aca="false">+F74/E74-1</f>
        <v>0.106665145233477</v>
      </c>
      <c r="G76" s="46" t="n">
        <f aca="false">+G74/F74-1</f>
        <v>-0.195155389562282</v>
      </c>
      <c r="H76" s="46" t="n">
        <f aca="false">+H74/G74-1</f>
        <v>-0.58436573272283</v>
      </c>
      <c r="I76" s="46" t="n">
        <f aca="false">+I74/H74-1</f>
        <v>0.161894813749329</v>
      </c>
      <c r="J76" s="46" t="n">
        <f aca="false">+CHOOSE(Case, J77,J78,J79)</f>
        <v>0.1</v>
      </c>
      <c r="K76" s="46" t="n">
        <f aca="false">+CHOOSE(Case, K77,K78,K79)</f>
        <v>0.1</v>
      </c>
      <c r="L76" s="46" t="n">
        <f aca="false">+CHOOSE(Case, L77,L78,L79)</f>
        <v>0.1</v>
      </c>
      <c r="M76" s="46" t="n">
        <f aca="false">+CHOOSE(Case, M77,M78,M79)</f>
        <v>0.1</v>
      </c>
      <c r="N76" s="46" t="n">
        <f aca="false">+CHOOSE(Case, N77,N78,N79)</f>
        <v>0.1</v>
      </c>
      <c r="O76" s="46" t="n">
        <f aca="false">+CHOOSE(Case, O77,O78,O79)</f>
        <v>0.075</v>
      </c>
      <c r="P76" s="46" t="n">
        <f aca="false">+CHOOSE(Case, P77,P78,P79)</f>
        <v>0.05</v>
      </c>
      <c r="Q76" s="46" t="n">
        <f aca="false">+CHOOSE(Case, Q77,Q78,Q79)</f>
        <v>0.03</v>
      </c>
      <c r="R76" s="46" t="n">
        <f aca="false">+CHOOSE(Case, R77,R78,R79)</f>
        <v>0.03</v>
      </c>
      <c r="S76" s="46" t="n">
        <f aca="false">+CHOOSE(Case, S77,S78,S79)</f>
        <v>0.03</v>
      </c>
    </row>
    <row r="77" customFormat="false" ht="14.25" hidden="false" customHeight="false" outlineLevel="0" collapsed="false">
      <c r="A77" s="54"/>
      <c r="B77" s="49" t="s">
        <v>8</v>
      </c>
      <c r="F77" s="46"/>
      <c r="G77" s="46"/>
      <c r="H77" s="46"/>
      <c r="I77" s="46"/>
      <c r="J77" s="70" t="n">
        <v>0.1</v>
      </c>
      <c r="K77" s="70" t="n">
        <v>0.1</v>
      </c>
      <c r="L77" s="70" t="n">
        <v>0.1</v>
      </c>
      <c r="M77" s="70" t="n">
        <v>0.1</v>
      </c>
      <c r="N77" s="70" t="n">
        <v>0.1</v>
      </c>
      <c r="O77" s="70" t="n">
        <v>0.075</v>
      </c>
      <c r="P77" s="70" t="n">
        <v>0.05</v>
      </c>
      <c r="Q77" s="70" t="n">
        <v>0.03</v>
      </c>
      <c r="R77" s="70" t="n">
        <v>0.03</v>
      </c>
      <c r="S77" s="70" t="n">
        <v>0.03</v>
      </c>
    </row>
    <row r="78" customFormat="false" ht="14.25" hidden="false" customHeight="false" outlineLevel="0" collapsed="false">
      <c r="A78" s="54"/>
      <c r="B78" s="49" t="s">
        <v>9</v>
      </c>
      <c r="F78" s="46"/>
      <c r="G78" s="46"/>
      <c r="H78" s="46"/>
      <c r="I78" s="46"/>
      <c r="J78" s="70" t="n">
        <f aca="false">+J77+5%</f>
        <v>0.15</v>
      </c>
      <c r="K78" s="70" t="n">
        <f aca="false">+K77+5%</f>
        <v>0.15</v>
      </c>
      <c r="L78" s="70" t="n">
        <f aca="false">+L77+5%</f>
        <v>0.15</v>
      </c>
      <c r="M78" s="70" t="n">
        <f aca="false">+M77+5%</f>
        <v>0.15</v>
      </c>
      <c r="N78" s="70" t="n">
        <f aca="false">+N77+5%</f>
        <v>0.15</v>
      </c>
      <c r="O78" s="70" t="n">
        <f aca="false">+O77+5%</f>
        <v>0.125</v>
      </c>
      <c r="P78" s="70" t="n">
        <f aca="false">+P77+5%</f>
        <v>0.1</v>
      </c>
      <c r="Q78" s="70" t="n">
        <f aca="false">+Q77+5%</f>
        <v>0.08</v>
      </c>
      <c r="R78" s="70" t="n">
        <f aca="false">+R77+5%</f>
        <v>0.08</v>
      </c>
      <c r="S78" s="70" t="n">
        <f aca="false">+S77+5%</f>
        <v>0.08</v>
      </c>
    </row>
    <row r="79" customFormat="false" ht="14.25" hidden="false" customHeight="false" outlineLevel="0" collapsed="false">
      <c r="A79" s="54"/>
      <c r="B79" s="49" t="s">
        <v>10</v>
      </c>
      <c r="F79" s="46"/>
      <c r="G79" s="46"/>
      <c r="H79" s="46"/>
      <c r="I79" s="46"/>
      <c r="J79" s="70" t="n">
        <v>0</v>
      </c>
      <c r="K79" s="70" t="n">
        <v>0.1</v>
      </c>
      <c r="L79" s="70" t="n">
        <v>0.1</v>
      </c>
      <c r="M79" s="70" t="n">
        <v>0.1</v>
      </c>
      <c r="N79" s="70" t="n">
        <v>0.1</v>
      </c>
      <c r="O79" s="70" t="n">
        <v>0.075</v>
      </c>
      <c r="P79" s="70" t="n">
        <v>0.05</v>
      </c>
      <c r="Q79" s="70" t="n">
        <v>0.03</v>
      </c>
      <c r="R79" s="70" t="n">
        <v>0.03</v>
      </c>
      <c r="S79" s="70" t="n">
        <v>0.03</v>
      </c>
    </row>
    <row r="81" customFormat="false" ht="14.25" hidden="false" customHeight="false" outlineLevel="0" collapsed="false">
      <c r="A81" s="6" t="s">
        <v>2</v>
      </c>
      <c r="B81" s="5" t="s">
        <v>209</v>
      </c>
    </row>
    <row r="82" customFormat="false" ht="14.25" hidden="false" customHeight="false" outlineLevel="0" collapsed="false">
      <c r="A82" s="54"/>
      <c r="B82" s="6" t="s">
        <v>25</v>
      </c>
      <c r="E82" s="91" t="n">
        <f aca="false">+E12</f>
        <v>55.014</v>
      </c>
      <c r="F82" s="91" t="n">
        <f aca="false">+F12</f>
        <v>52.469</v>
      </c>
      <c r="G82" s="91" t="n">
        <f aca="false">+G12</f>
        <v>49.527</v>
      </c>
      <c r="H82" s="91" t="n">
        <f aca="false">+H12</f>
        <v>46.502</v>
      </c>
      <c r="I82" s="91" t="n">
        <f aca="false">+I12</f>
        <v>41.684</v>
      </c>
      <c r="J82" s="6" t="n">
        <f aca="false">+(1+J83)*I82</f>
        <v>40.01664</v>
      </c>
      <c r="K82" s="6" t="n">
        <f aca="false">+(1+K83)*J82</f>
        <v>38.4159744</v>
      </c>
      <c r="L82" s="6" t="n">
        <f aca="false">+(1+L83)*K82</f>
        <v>36.879335424</v>
      </c>
      <c r="M82" s="6" t="n">
        <f aca="false">+(1+M83)*L82</f>
        <v>35.40416200704</v>
      </c>
      <c r="N82" s="6" t="n">
        <f aca="false">+(1+N83)*M82</f>
        <v>33.9879955267584</v>
      </c>
      <c r="O82" s="6" t="n">
        <f aca="false">+(1+O83)*N82</f>
        <v>32.6284757056881</v>
      </c>
      <c r="P82" s="6" t="n">
        <f aca="false">+(1+P83)*O82</f>
        <v>31.3233366774605</v>
      </c>
      <c r="Q82" s="6" t="n">
        <f aca="false">+(1+Q83)*P82</f>
        <v>30.0704032103621</v>
      </c>
      <c r="R82" s="6" t="n">
        <f aca="false">+(1+R83)*Q82</f>
        <v>28.8675870819476</v>
      </c>
      <c r="S82" s="6" t="n">
        <f aca="false">+(1+S83)*R82</f>
        <v>28.8675870819476</v>
      </c>
    </row>
    <row r="83" customFormat="false" ht="14.25" hidden="false" customHeight="false" outlineLevel="0" collapsed="false">
      <c r="A83" s="54"/>
      <c r="B83" s="6" t="s">
        <v>53</v>
      </c>
      <c r="F83" s="46" t="n">
        <f aca="false">+F82/E82-1</f>
        <v>-0.0462609517577344</v>
      </c>
      <c r="G83" s="46" t="n">
        <f aca="false">+G82/F82-1</f>
        <v>-0.0560712039489985</v>
      </c>
      <c r="H83" s="46" t="n">
        <f aca="false">+H82/G82-1</f>
        <v>-0.061077795949684</v>
      </c>
      <c r="I83" s="46" t="n">
        <f aca="false">+I82/H82-1</f>
        <v>-0.103608446948518</v>
      </c>
      <c r="J83" s="46" t="n">
        <f aca="false">+CHOOSE(Case, J84,J85,J86)</f>
        <v>-0.04</v>
      </c>
      <c r="K83" s="46" t="n">
        <f aca="false">+CHOOSE(Case, K84,K85,K86)</f>
        <v>-0.04</v>
      </c>
      <c r="L83" s="46" t="n">
        <f aca="false">+CHOOSE(Case, L84,L85,L86)</f>
        <v>-0.04</v>
      </c>
      <c r="M83" s="46" t="n">
        <f aca="false">+CHOOSE(Case, M84,M85,M86)</f>
        <v>-0.04</v>
      </c>
      <c r="N83" s="46" t="n">
        <f aca="false">+CHOOSE(Case, N84,N85,N86)</f>
        <v>-0.04</v>
      </c>
      <c r="O83" s="46" t="n">
        <f aca="false">+CHOOSE(Case, O84,O85,O86)</f>
        <v>-0.04</v>
      </c>
      <c r="P83" s="46" t="n">
        <f aca="false">+CHOOSE(Case, P84,P85,P86)</f>
        <v>-0.04</v>
      </c>
      <c r="Q83" s="46" t="n">
        <f aca="false">+CHOOSE(Case, Q84,Q85,Q86)</f>
        <v>-0.04</v>
      </c>
      <c r="R83" s="46" t="n">
        <f aca="false">+CHOOSE(Case, R84,R85,R86)</f>
        <v>-0.04</v>
      </c>
      <c r="S83" s="46" t="n">
        <f aca="false">+CHOOSE(Case, S84,S85,S86)</f>
        <v>0</v>
      </c>
    </row>
    <row r="84" customFormat="false" ht="14.25" hidden="false" customHeight="false" outlineLevel="0" collapsed="false">
      <c r="A84" s="54"/>
      <c r="B84" s="49" t="s">
        <v>8</v>
      </c>
      <c r="J84" s="70" t="n">
        <v>-0.04</v>
      </c>
      <c r="K84" s="70" t="n">
        <v>-0.04</v>
      </c>
      <c r="L84" s="70" t="n">
        <v>-0.04</v>
      </c>
      <c r="M84" s="70" t="n">
        <v>-0.04</v>
      </c>
      <c r="N84" s="70" t="n">
        <v>-0.04</v>
      </c>
      <c r="O84" s="70" t="n">
        <v>-0.04</v>
      </c>
      <c r="P84" s="70" t="n">
        <v>-0.04</v>
      </c>
      <c r="Q84" s="70" t="n">
        <v>-0.04</v>
      </c>
      <c r="R84" s="70" t="n">
        <v>-0.04</v>
      </c>
      <c r="S84" s="70" t="n">
        <v>0</v>
      </c>
    </row>
    <row r="85" customFormat="false" ht="14.25" hidden="false" customHeight="false" outlineLevel="0" collapsed="false">
      <c r="A85" s="54"/>
      <c r="B85" s="49" t="s">
        <v>9</v>
      </c>
      <c r="J85" s="70" t="n">
        <v>-0.03</v>
      </c>
      <c r="K85" s="70" t="n">
        <v>-0.03</v>
      </c>
      <c r="L85" s="70" t="n">
        <v>-0.03</v>
      </c>
      <c r="M85" s="70" t="n">
        <v>-0.03</v>
      </c>
      <c r="N85" s="70" t="n">
        <v>-0.03</v>
      </c>
      <c r="O85" s="70" t="n">
        <v>-0.03</v>
      </c>
      <c r="P85" s="70" t="n">
        <v>-0.03</v>
      </c>
      <c r="Q85" s="70" t="n">
        <v>-0.03</v>
      </c>
      <c r="R85" s="70" t="n">
        <v>-0.03</v>
      </c>
      <c r="S85" s="70" t="n">
        <v>0</v>
      </c>
    </row>
    <row r="86" customFormat="false" ht="14.25" hidden="false" customHeight="false" outlineLevel="0" collapsed="false">
      <c r="A86" s="54"/>
      <c r="B86" s="49" t="s">
        <v>10</v>
      </c>
      <c r="J86" s="70" t="n">
        <v>-0.05</v>
      </c>
      <c r="K86" s="70" t="n">
        <v>-0.05</v>
      </c>
      <c r="L86" s="70" t="n">
        <v>-0.05</v>
      </c>
      <c r="M86" s="70" t="n">
        <v>-0.05</v>
      </c>
      <c r="N86" s="70" t="n">
        <v>-0.05</v>
      </c>
      <c r="O86" s="70" t="n">
        <v>-0.05</v>
      </c>
      <c r="P86" s="70" t="n">
        <v>-0.05</v>
      </c>
      <c r="Q86" s="70" t="n">
        <v>-0.05</v>
      </c>
      <c r="R86" s="70" t="n">
        <v>-0.05</v>
      </c>
      <c r="S86" s="70" t="n">
        <v>0</v>
      </c>
    </row>
    <row r="88" customFormat="false" ht="14.25" hidden="false" customHeight="false" outlineLevel="0" collapsed="false">
      <c r="A88" s="6" t="s">
        <v>2</v>
      </c>
      <c r="B88" s="5" t="s">
        <v>228</v>
      </c>
    </row>
    <row r="89" customFormat="false" ht="14.25" hidden="false" customHeight="false" outlineLevel="0" collapsed="false">
      <c r="A89" s="86"/>
      <c r="B89" s="49" t="s">
        <v>229</v>
      </c>
      <c r="H89" s="56" t="n">
        <v>191.879</v>
      </c>
      <c r="I89" s="56" t="n">
        <v>226.375</v>
      </c>
      <c r="J89" s="6" t="n">
        <f aca="false">+J93-J90</f>
        <v>144.127145</v>
      </c>
      <c r="K89" s="6" t="n">
        <f aca="false">+K93-K90</f>
        <v>173.052470545355</v>
      </c>
      <c r="L89" s="6" t="n">
        <f aca="false">+L93-L90</f>
        <v>201.40686996359</v>
      </c>
      <c r="M89" s="6" t="n">
        <f aca="false">+M93-M90</f>
        <v>216.599193538799</v>
      </c>
      <c r="N89" s="6" t="n">
        <f aca="false">+N93-N90</f>
        <v>229.231557199602</v>
      </c>
      <c r="O89" s="6" t="n">
        <f aca="false">+O93-O90</f>
        <v>240.337337060477</v>
      </c>
      <c r="P89" s="6" t="n">
        <f aca="false">+P93-P90</f>
        <v>251.358595846432</v>
      </c>
      <c r="Q89" s="6" t="n">
        <f aca="false">+Q93-Q90</f>
        <v>262.759969245653</v>
      </c>
      <c r="R89" s="6" t="n">
        <f aca="false">+R93-R90</f>
        <v>274.61057833716</v>
      </c>
      <c r="S89" s="6" t="n">
        <f aca="false">+S93-S90</f>
        <v>287.88701570165</v>
      </c>
    </row>
    <row r="90" customFormat="false" ht="14.25" hidden="false" customHeight="false" outlineLevel="0" collapsed="false">
      <c r="A90" s="87"/>
      <c r="B90" s="49" t="s">
        <v>230</v>
      </c>
      <c r="H90" s="97" t="n">
        <f aca="false">+H91+H92</f>
        <v>65.768</v>
      </c>
      <c r="I90" s="97" t="n">
        <f aca="false">+I91+I92</f>
        <v>59.287</v>
      </c>
      <c r="J90" s="65" t="n">
        <f aca="false">+'FS Calcs'!J33*-1</f>
        <v>76.472127</v>
      </c>
      <c r="K90" s="65" t="n">
        <f aca="false">+'FS Calcs'!K33*-1</f>
        <v>75.376926410445</v>
      </c>
      <c r="L90" s="65" t="n">
        <f aca="false">+'FS Calcs'!L33*-1</f>
        <v>75.328090942985</v>
      </c>
      <c r="M90" s="65" t="n">
        <f aca="false">+'FS Calcs'!M33*-1</f>
        <v>81.7099488398644</v>
      </c>
      <c r="N90" s="65" t="n">
        <f aca="false">+'FS Calcs'!N33*-1</f>
        <v>87.0476026173584</v>
      </c>
      <c r="O90" s="65" t="n">
        <f aca="false">+'FS Calcs'!O33*-1</f>
        <v>91.7590374632304</v>
      </c>
      <c r="P90" s="65" t="n">
        <f aca="false">+'FS Calcs'!P33*-1</f>
        <v>96.4273772238388</v>
      </c>
      <c r="Q90" s="65" t="n">
        <f aca="false">+'FS Calcs'!Q33*-1</f>
        <v>101.240743208526</v>
      </c>
      <c r="R90" s="65" t="n">
        <f aca="false">+'FS Calcs'!R33*-1</f>
        <v>106.227411177573</v>
      </c>
      <c r="S90" s="65" t="n">
        <f aca="false">+'FS Calcs'!S33*-1</f>
        <v>111.592546824867</v>
      </c>
    </row>
    <row r="91" customFormat="false" ht="14.25" hidden="false" customHeight="false" outlineLevel="0" collapsed="false">
      <c r="A91" s="87"/>
      <c r="B91" s="98" t="s">
        <v>231</v>
      </c>
      <c r="H91" s="56" t="n">
        <v>55.387</v>
      </c>
      <c r="I91" s="56" t="n">
        <v>50.457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customFormat="false" ht="14.25" hidden="false" customHeight="false" outlineLevel="0" collapsed="false">
      <c r="A92" s="87"/>
      <c r="B92" s="98" t="s">
        <v>232</v>
      </c>
      <c r="H92" s="56" t="n">
        <v>10.381</v>
      </c>
      <c r="I92" s="56" t="n">
        <v>8.83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customFormat="false" ht="14.25" hidden="false" customHeight="false" outlineLevel="0" collapsed="false">
      <c r="A93" s="87"/>
      <c r="B93" s="9" t="s">
        <v>233</v>
      </c>
      <c r="C93" s="9"/>
      <c r="D93" s="9"/>
      <c r="E93" s="9"/>
      <c r="F93" s="9"/>
      <c r="G93" s="9"/>
      <c r="H93" s="12" t="n">
        <f aca="false">+H90+H89</f>
        <v>257.647</v>
      </c>
      <c r="I93" s="12" t="n">
        <f aca="false">+I90+I89</f>
        <v>285.662</v>
      </c>
      <c r="J93" s="9" t="n">
        <f aca="false">+'RevBuild Calcs'!J26</f>
        <v>220.599272</v>
      </c>
      <c r="K93" s="9" t="n">
        <f aca="false">+'RevBuild Calcs'!K26</f>
        <v>248.4293969558</v>
      </c>
      <c r="L93" s="9" t="n">
        <f aca="false">+'RevBuild Calcs'!L26</f>
        <v>276.734960906575</v>
      </c>
      <c r="M93" s="9" t="n">
        <f aca="false">+'RevBuild Calcs'!M26</f>
        <v>298.309142378664</v>
      </c>
      <c r="N93" s="9" t="n">
        <f aca="false">+'RevBuild Calcs'!N26</f>
        <v>316.279159816961</v>
      </c>
      <c r="O93" s="9" t="n">
        <f aca="false">+'RevBuild Calcs'!O26</f>
        <v>332.096374523708</v>
      </c>
      <c r="P93" s="9" t="n">
        <f aca="false">+'RevBuild Calcs'!P26</f>
        <v>347.785973070271</v>
      </c>
      <c r="Q93" s="9" t="n">
        <f aca="false">+'RevBuild Calcs'!Q26</f>
        <v>364.000712454179</v>
      </c>
      <c r="R93" s="9" t="n">
        <f aca="false">+'RevBuild Calcs'!R26</f>
        <v>380.837989514733</v>
      </c>
      <c r="S93" s="9" t="n">
        <f aca="false">+'RevBuild Calcs'!S26</f>
        <v>399.479562526518</v>
      </c>
    </row>
    <row r="94" customFormat="false" ht="14.25" hidden="false" customHeight="false" outlineLevel="0" collapsed="false">
      <c r="A94" s="87"/>
      <c r="H94" s="89" t="n">
        <f aca="false">+H93='P&amp;L'!H11*-1</f>
        <v>1</v>
      </c>
      <c r="I94" s="89" t="n">
        <f aca="false">+I93='P&amp;L'!I11*-1</f>
        <v>1</v>
      </c>
    </row>
    <row r="95" customFormat="false" ht="14.25" hidden="false" customHeight="false" outlineLevel="0" collapsed="false">
      <c r="A95" s="87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</row>
    <row r="96" customFormat="false" ht="14.25" hidden="false" customHeight="false" outlineLevel="0" collapsed="false">
      <c r="A96" s="87"/>
      <c r="B96" s="6" t="s">
        <v>234</v>
      </c>
      <c r="H96" s="46" t="n">
        <f aca="false">+H89/(H7+H9)</f>
        <v>0.532585947518305</v>
      </c>
      <c r="I96" s="46" t="n">
        <f aca="false">+I89/(I7+I9)</f>
        <v>0.551960480726796</v>
      </c>
      <c r="J96" s="46" t="n">
        <f aca="false">+J89/(J7+J9)</f>
        <v>0.326957342258049</v>
      </c>
      <c r="K96" s="46" t="n">
        <f aca="false">+K89/(K7+K9)</f>
        <v>0.352491901964222</v>
      </c>
      <c r="L96" s="46" t="n">
        <f aca="false">+L89/(L7+L9)</f>
        <v>0.368292992042419</v>
      </c>
      <c r="M96" s="46" t="n">
        <f aca="false">+M89/(M7+M9)</f>
        <v>0.36333023109943</v>
      </c>
      <c r="N96" s="46" t="n">
        <f aca="false">+N89/(N7+N9)</f>
        <v>0.36015823382575</v>
      </c>
      <c r="O96" s="46" t="n">
        <f aca="false">+O89/(O7+O9)</f>
        <v>0.357944523464428</v>
      </c>
      <c r="P96" s="46" t="n">
        <f aca="false">+P89/(P7+P9)</f>
        <v>0.356012343824222</v>
      </c>
      <c r="Q96" s="46" t="n">
        <f aca="false">+Q89/(Q7+Q9)</f>
        <v>0.354154228960998</v>
      </c>
      <c r="R96" s="46" t="n">
        <f aca="false">+R89/(R7+R9)</f>
        <v>0.352091387184988</v>
      </c>
      <c r="S96" s="46" t="n">
        <f aca="false">+S89/(S7+S9)</f>
        <v>0.351001151793455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T10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4" topLeftCell="E62" activePane="bottomRight" state="frozen"/>
      <selection pane="topLeft" activeCell="A1" activeCellId="0" sqref="A1"/>
      <selection pane="topRight" activeCell="E1" activeCellId="0" sqref="E1"/>
      <selection pane="bottomLeft" activeCell="A62" activeCellId="0" sqref="A62"/>
      <selection pane="bottomRight" activeCell="I77" activeCellId="0" sqref="I77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E4" s="3" t="n">
        <v>2018</v>
      </c>
      <c r="F4" s="3" t="n">
        <f aca="false">+E4+1</f>
        <v>2019</v>
      </c>
      <c r="G4" s="3" t="n">
        <f aca="false">+F4+1</f>
        <v>2020</v>
      </c>
      <c r="H4" s="3" t="n">
        <f aca="false">+G4+1</f>
        <v>2021</v>
      </c>
      <c r="I4" s="3" t="n">
        <f aca="false">+H4+1</f>
        <v>2022</v>
      </c>
      <c r="J4" s="4" t="n">
        <f aca="false">+I4+1</f>
        <v>2023</v>
      </c>
      <c r="K4" s="4" t="n">
        <f aca="false">+J4+1</f>
        <v>2024</v>
      </c>
      <c r="L4" s="4" t="n">
        <f aca="false">+K4+1</f>
        <v>2025</v>
      </c>
      <c r="M4" s="4" t="n">
        <f aca="false">+L4+1</f>
        <v>2026</v>
      </c>
      <c r="N4" s="4" t="n">
        <f aca="false">+M4+1</f>
        <v>2027</v>
      </c>
      <c r="O4" s="4" t="n">
        <f aca="false">+N4+1</f>
        <v>2028</v>
      </c>
      <c r="P4" s="4" t="n">
        <f aca="false">+O4+1</f>
        <v>2029</v>
      </c>
      <c r="Q4" s="4" t="n">
        <f aca="false">+P4+1</f>
        <v>2030</v>
      </c>
      <c r="R4" s="4" t="n">
        <f aca="false">+Q4+1</f>
        <v>2031</v>
      </c>
      <c r="S4" s="4" t="n">
        <f aca="false">+R4+1</f>
        <v>2032</v>
      </c>
    </row>
    <row r="5" customFormat="false" ht="14.25" hidden="false" customHeight="false" outlineLevel="0" collapsed="false"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14.25" hidden="false" customHeight="false" outlineLevel="0" collapsed="false">
      <c r="B6" s="49" t="s">
        <v>205</v>
      </c>
      <c r="E6" s="65" t="n">
        <f aca="false">+'RevBuild Calcs'!E7</f>
        <v>164.374</v>
      </c>
      <c r="F6" s="65" t="n">
        <f aca="false">+'RevBuild Calcs'!F7</f>
        <v>143.763</v>
      </c>
      <c r="G6" s="65" t="n">
        <f aca="false">+'RevBuild Calcs'!G7</f>
        <v>145.225</v>
      </c>
      <c r="H6" s="65" t="n">
        <f aca="false">+'RevBuild Calcs'!H7</f>
        <v>185.084</v>
      </c>
      <c r="I6" s="65" t="n">
        <f aca="false">+'RevBuild Calcs'!I7</f>
        <v>206.572</v>
      </c>
      <c r="J6" s="65" t="n">
        <f aca="false">+'RevBuild Calcs'!J7</f>
        <v>216.9006</v>
      </c>
      <c r="K6" s="65" t="n">
        <f aca="false">+'RevBuild Calcs'!K7</f>
        <v>238.59066</v>
      </c>
      <c r="L6" s="65" t="n">
        <f aca="false">+'RevBuild Calcs'!L7</f>
        <v>262.449726</v>
      </c>
      <c r="M6" s="65" t="n">
        <f aca="false">+'RevBuild Calcs'!M7</f>
        <v>275.5722123</v>
      </c>
      <c r="N6" s="65" t="n">
        <f aca="false">+'RevBuild Calcs'!N7</f>
        <v>283.839378669</v>
      </c>
      <c r="O6" s="65" t="n">
        <f aca="false">+'RevBuild Calcs'!O7</f>
        <v>292.35456002907</v>
      </c>
      <c r="P6" s="65" t="n">
        <f aca="false">+'RevBuild Calcs'!P7</f>
        <v>301.125196829942</v>
      </c>
      <c r="Q6" s="65" t="n">
        <f aca="false">+'RevBuild Calcs'!Q7</f>
        <v>310.15895273484</v>
      </c>
      <c r="R6" s="65" t="n">
        <f aca="false">+'RevBuild Calcs'!R7</f>
        <v>319.463721316886</v>
      </c>
      <c r="S6" s="65" t="n">
        <f aca="false">+'RevBuild Calcs'!S7</f>
        <v>329.047632956392</v>
      </c>
    </row>
    <row r="7" customFormat="false" ht="14.25" hidden="false" customHeight="false" outlineLevel="0" collapsed="false">
      <c r="B7" s="49" t="s">
        <v>206</v>
      </c>
      <c r="E7" s="65" t="n">
        <f aca="false">+'RevBuild Calcs'!E8</f>
        <v>57.282</v>
      </c>
      <c r="F7" s="65" t="n">
        <f aca="false">+'RevBuild Calcs'!F8</f>
        <v>68.996</v>
      </c>
      <c r="G7" s="65" t="n">
        <f aca="false">+'RevBuild Calcs'!G8</f>
        <v>62.278</v>
      </c>
      <c r="H7" s="65" t="n">
        <f aca="false">+'RevBuild Calcs'!H8</f>
        <v>45.754</v>
      </c>
      <c r="I7" s="65" t="n">
        <f aca="false">+'RevBuild Calcs'!I8</f>
        <v>55.41</v>
      </c>
      <c r="J7" s="65" t="n">
        <f aca="false">+'RevBuild Calcs'!J8</f>
        <v>45.65784</v>
      </c>
      <c r="K7" s="65" t="n">
        <f aca="false">+'RevBuild Calcs'!K8</f>
        <v>54.08171148</v>
      </c>
      <c r="L7" s="65" t="n">
        <f aca="false">+'RevBuild Calcs'!L8</f>
        <v>69.6302035305</v>
      </c>
      <c r="M7" s="65" t="n">
        <f aca="false">+'RevBuild Calcs'!M8</f>
        <v>75.3050651182358</v>
      </c>
      <c r="N7" s="65" t="n">
        <f aca="false">+'RevBuild Calcs'!N8</f>
        <v>81.0546068400131</v>
      </c>
      <c r="O7" s="65" t="n">
        <f aca="false">+'RevBuild Calcs'!O8</f>
        <v>86.825694847022</v>
      </c>
      <c r="P7" s="65" t="n">
        <f aca="false">+'RevBuild Calcs'!P8</f>
        <v>92.5605319916678</v>
      </c>
      <c r="Q7" s="65" t="n">
        <f aca="false">+'RevBuild Calcs'!Q8</f>
        <v>98.1974683899604</v>
      </c>
      <c r="R7" s="65" t="n">
        <f aca="false">+'RevBuild Calcs'!R8</f>
        <v>103.166260290492</v>
      </c>
      <c r="S7" s="65" t="n">
        <f aca="false">+'RevBuild Calcs'!S8</f>
        <v>108.386473061191</v>
      </c>
    </row>
    <row r="8" customFormat="false" ht="14.25" hidden="false" customHeight="false" outlineLevel="0" collapsed="false">
      <c r="B8" s="49" t="s">
        <v>207</v>
      </c>
      <c r="E8" s="65" t="n">
        <f aca="false">+'RevBuild Calcs'!E9</f>
        <v>157.746</v>
      </c>
      <c r="F8" s="65" t="n">
        <f aca="false">+'RevBuild Calcs'!F9</f>
        <v>174.572</v>
      </c>
      <c r="G8" s="65" t="n">
        <f aca="false">+'RevBuild Calcs'!G9</f>
        <v>168.604</v>
      </c>
      <c r="H8" s="65" t="n">
        <f aca="false">+'RevBuild Calcs'!H9</f>
        <v>175.194</v>
      </c>
      <c r="I8" s="65" t="n">
        <f aca="false">+'RevBuild Calcs'!I9</f>
        <v>203.557</v>
      </c>
      <c r="J8" s="65" t="n">
        <f aca="false">+'RevBuild Calcs'!J9</f>
        <v>223.9127</v>
      </c>
      <c r="K8" s="65" t="n">
        <f aca="false">+'RevBuild Calcs'!K9</f>
        <v>252.3496129</v>
      </c>
      <c r="L8" s="65" t="n">
        <f aca="false">+'RevBuild Calcs'!L9</f>
        <v>284.416150667</v>
      </c>
      <c r="M8" s="65" t="n">
        <f aca="false">+'RevBuild Calcs'!M9</f>
        <v>320.57744715271</v>
      </c>
      <c r="N8" s="65" t="n">
        <f aca="false">+'RevBuild Calcs'!N9</f>
        <v>352.635191867981</v>
      </c>
      <c r="O8" s="65" t="n">
        <f aca="false">+'RevBuild Calcs'!O9</f>
        <v>379.082831258079</v>
      </c>
      <c r="P8" s="65" t="n">
        <f aca="false">+'RevBuild Calcs'!P9</f>
        <v>404.913793690395</v>
      </c>
      <c r="Q8" s="65" t="n">
        <f aca="false">+'RevBuild Calcs'!Q9</f>
        <v>431.777604161646</v>
      </c>
      <c r="R8" s="65" t="n">
        <f aca="false">+'RevBuild Calcs'!R9</f>
        <v>460.477476713273</v>
      </c>
      <c r="S8" s="65" t="n">
        <f aca="false">+'RevBuild Calcs'!S9</f>
        <v>491.140603551323</v>
      </c>
    </row>
    <row r="9" customFormat="false" ht="14.25" hidden="false" customHeight="false" outlineLevel="0" collapsed="false">
      <c r="B9" s="49" t="s">
        <v>209</v>
      </c>
      <c r="E9" s="65" t="n">
        <f aca="false">+'RevBuild Calcs'!E12</f>
        <v>55.014</v>
      </c>
      <c r="F9" s="65" t="n">
        <f aca="false">+'RevBuild Calcs'!F12</f>
        <v>52.469</v>
      </c>
      <c r="G9" s="65" t="n">
        <f aca="false">+'RevBuild Calcs'!G12</f>
        <v>49.527</v>
      </c>
      <c r="H9" s="65" t="n">
        <f aca="false">+'RevBuild Calcs'!H12</f>
        <v>46.502</v>
      </c>
      <c r="I9" s="65" t="n">
        <f aca="false">+'RevBuild Calcs'!I12</f>
        <v>41.684</v>
      </c>
      <c r="J9" s="65" t="n">
        <f aca="false">+'RevBuild Calcs'!J12</f>
        <v>40.01664</v>
      </c>
      <c r="K9" s="65" t="n">
        <f aca="false">+'RevBuild Calcs'!K12</f>
        <v>38.4159744</v>
      </c>
      <c r="L9" s="65" t="n">
        <f aca="false">+'RevBuild Calcs'!L12</f>
        <v>36.879335424</v>
      </c>
      <c r="M9" s="65" t="n">
        <f aca="false">+'RevBuild Calcs'!M12</f>
        <v>35.40416200704</v>
      </c>
      <c r="N9" s="65" t="n">
        <f aca="false">+'RevBuild Calcs'!N12</f>
        <v>33.9879955267584</v>
      </c>
      <c r="O9" s="65" t="n">
        <f aca="false">+'RevBuild Calcs'!O12</f>
        <v>32.6284757056881</v>
      </c>
      <c r="P9" s="65" t="n">
        <f aca="false">+'RevBuild Calcs'!P12</f>
        <v>31.3233366774605</v>
      </c>
      <c r="Q9" s="65" t="n">
        <f aca="false">+'RevBuild Calcs'!Q12</f>
        <v>30.0704032103621</v>
      </c>
      <c r="R9" s="65" t="n">
        <f aca="false">+'RevBuild Calcs'!R12</f>
        <v>28.8675870819476</v>
      </c>
      <c r="S9" s="65" t="n">
        <f aca="false">+'RevBuild Calcs'!S12</f>
        <v>28.8675870819476</v>
      </c>
    </row>
    <row r="10" s="9" customFormat="true" ht="14.25" hidden="false" customHeight="false" outlineLevel="0" collapsed="false">
      <c r="B10" s="51" t="s">
        <v>25</v>
      </c>
      <c r="C10" s="51"/>
      <c r="D10" s="51"/>
      <c r="E10" s="79" t="n">
        <f aca="false">SUM(E6:E9)</f>
        <v>434.416</v>
      </c>
      <c r="F10" s="79" t="n">
        <f aca="false">SUM(F6:F9)</f>
        <v>439.8</v>
      </c>
      <c r="G10" s="79" t="n">
        <f aca="false">SUM(G6:G9)</f>
        <v>425.634</v>
      </c>
      <c r="H10" s="79" t="n">
        <f aca="false">SUM(H6:H9)</f>
        <v>452.534</v>
      </c>
      <c r="I10" s="79" t="n">
        <f aca="false">SUM(I6:I9)</f>
        <v>507.223</v>
      </c>
      <c r="J10" s="79" t="n">
        <f aca="false">SUM(J6:J9)</f>
        <v>526.48778</v>
      </c>
      <c r="K10" s="79" t="n">
        <f aca="false">SUM(K6:K9)</f>
        <v>583.43795878</v>
      </c>
      <c r="L10" s="79" t="n">
        <f aca="false">SUM(L6:L9)</f>
        <v>653.3754156215</v>
      </c>
      <c r="M10" s="79" t="n">
        <f aca="false">SUM(M6:M9)</f>
        <v>706.858886577986</v>
      </c>
      <c r="N10" s="79" t="n">
        <f aca="false">SUM(N6:N9)</f>
        <v>751.517172903753</v>
      </c>
      <c r="O10" s="79" t="n">
        <f aca="false">SUM(O6:O9)</f>
        <v>790.89156183986</v>
      </c>
      <c r="P10" s="79" t="n">
        <f aca="false">SUM(P6:P9)</f>
        <v>829.922859189465</v>
      </c>
      <c r="Q10" s="79" t="n">
        <f aca="false">SUM(Q6:Q9)</f>
        <v>870.204428496809</v>
      </c>
      <c r="R10" s="79" t="n">
        <f aca="false">SUM(R6:R9)</f>
        <v>911.975045402599</v>
      </c>
      <c r="S10" s="79" t="n">
        <f aca="false">SUM(S6:S9)</f>
        <v>957.442296650854</v>
      </c>
    </row>
    <row r="11" s="9" customFormat="true" ht="14.25" hidden="false" customHeight="false" outlineLevel="0" collapsed="false">
      <c r="B11" s="9" t="s">
        <v>235</v>
      </c>
      <c r="E11" s="59" t="n">
        <f aca="false">+'P&amp;L'!E11</f>
        <v>-244.244</v>
      </c>
      <c r="F11" s="59" t="n">
        <f aca="false">+'P&amp;L'!F11</f>
        <v>-253.003</v>
      </c>
      <c r="G11" s="59" t="n">
        <f aca="false">+'P&amp;L'!G11</f>
        <v>-237.789</v>
      </c>
      <c r="H11" s="59" t="n">
        <f aca="false">+'P&amp;L'!H11</f>
        <v>-257.647</v>
      </c>
      <c r="I11" s="59" t="n">
        <f aca="false">+'P&amp;L'!I11</f>
        <v>-285.662</v>
      </c>
      <c r="J11" s="59" t="n">
        <f aca="false">+'P&amp;L'!J11</f>
        <v>-305.888508</v>
      </c>
      <c r="K11" s="59" t="n">
        <f aca="false">+'P&amp;L'!K11</f>
        <v>-335.0085618242</v>
      </c>
      <c r="L11" s="59" t="n">
        <f aca="false">+'P&amp;L'!L11</f>
        <v>-376.640454714925</v>
      </c>
      <c r="M11" s="59" t="n">
        <f aca="false">+'P&amp;L'!M11</f>
        <v>-408.549744199322</v>
      </c>
      <c r="N11" s="59" t="n">
        <f aca="false">+'P&amp;L'!N11</f>
        <v>-435.238013086792</v>
      </c>
      <c r="O11" s="59" t="n">
        <f aca="false">+'P&amp;L'!O11</f>
        <v>-458.795187316152</v>
      </c>
      <c r="P11" s="59" t="n">
        <f aca="false">+'P&amp;L'!P11</f>
        <v>-482.136886119194</v>
      </c>
      <c r="Q11" s="59" t="n">
        <f aca="false">+'P&amp;L'!Q11</f>
        <v>-506.203716042631</v>
      </c>
      <c r="R11" s="59" t="n">
        <f aca="false">+'P&amp;L'!R11</f>
        <v>-531.137055887866</v>
      </c>
      <c r="S11" s="59" t="n">
        <f aca="false">+'P&amp;L'!S11</f>
        <v>-557.962734124337</v>
      </c>
    </row>
    <row r="12" s="9" customFormat="true" ht="14.25" hidden="false" customHeight="false" outlineLevel="0" collapsed="false">
      <c r="B12" s="9" t="s">
        <v>84</v>
      </c>
      <c r="E12" s="59" t="n">
        <f aca="false">+'P&amp;L'!E27</f>
        <v>-5.25700000000001</v>
      </c>
      <c r="F12" s="59" t="n">
        <f aca="false">+'P&amp;L'!F27</f>
        <v>-81.908</v>
      </c>
      <c r="G12" s="59" t="n">
        <f aca="false">+'P&amp;L'!G27</f>
        <v>-207.085</v>
      </c>
      <c r="H12" s="59" t="n">
        <f aca="false">+'P&amp;L'!H27</f>
        <v>19.811</v>
      </c>
      <c r="I12" s="59" t="n">
        <f aca="false">+'P&amp;L'!I27</f>
        <v>30.205</v>
      </c>
      <c r="J12" s="59" t="n">
        <f aca="false">+'P&amp;L'!J27</f>
        <v>24.1118053906232</v>
      </c>
      <c r="K12" s="59" t="n">
        <f aca="false">+'P&amp;L'!K27</f>
        <v>49.0540407740704</v>
      </c>
      <c r="L12" s="59" t="n">
        <f aca="false">+'P&amp;L'!L27</f>
        <v>61.9881888757314</v>
      </c>
      <c r="M12" s="59" t="n">
        <f aca="false">+'P&amp;L'!M27</f>
        <v>73.0043892761537</v>
      </c>
      <c r="N12" s="59" t="n">
        <f aca="false">+'P&amp;L'!N27</f>
        <v>80.546648743212</v>
      </c>
      <c r="O12" s="59" t="n">
        <f aca="false">+'P&amp;L'!O27</f>
        <v>87.5980360171236</v>
      </c>
      <c r="P12" s="59" t="n">
        <f aca="false">+'P&amp;L'!P27</f>
        <v>94.9541319771442</v>
      </c>
      <c r="Q12" s="59" t="n">
        <f aca="false">+'P&amp;L'!Q27</f>
        <v>102.876882414114</v>
      </c>
      <c r="R12" s="59" t="n">
        <f aca="false">+'P&amp;L'!R27</f>
        <v>110.125043587062</v>
      </c>
      <c r="S12" s="59" t="n">
        <f aca="false">+'P&amp;L'!S27</f>
        <v>118.864899009713</v>
      </c>
    </row>
    <row r="14" customFormat="false" ht="14.25" hidden="false" customHeight="false" outlineLevel="0" collapsed="false">
      <c r="A14" s="6" t="s">
        <v>2</v>
      </c>
      <c r="B14" s="5" t="s">
        <v>236</v>
      </c>
    </row>
    <row r="15" customFormat="false" ht="14.25" hidden="false" customHeight="false" outlineLevel="0" collapsed="false">
      <c r="B15" s="6" t="s">
        <v>237</v>
      </c>
      <c r="E15" s="65" t="n">
        <f aca="false">+'BS &amp; CFS'!E8</f>
        <v>251.538</v>
      </c>
      <c r="F15" s="65" t="n">
        <f aca="false">+'BS &amp; CFS'!F8</f>
        <v>265.71</v>
      </c>
      <c r="G15" s="65" t="n">
        <f aca="false">+'BS &amp; CFS'!G8</f>
        <v>200.217</v>
      </c>
      <c r="H15" s="65" t="n">
        <f aca="false">+'BS &amp; CFS'!H8</f>
        <v>195.24</v>
      </c>
      <c r="I15" s="65" t="n">
        <f aca="false">+'BS &amp; CFS'!I8</f>
        <v>249.66</v>
      </c>
      <c r="J15" s="6" t="n">
        <f aca="false">+J16/365*J10</f>
        <v>259.14230852071</v>
      </c>
      <c r="K15" s="6" t="n">
        <f aca="false">+K16/365*K10</f>
        <v>287.173729876238</v>
      </c>
      <c r="L15" s="6" t="n">
        <f aca="false">+L16/365*L10</f>
        <v>321.597613404881</v>
      </c>
      <c r="M15" s="6" t="n">
        <f aca="false">+M16/365*M10</f>
        <v>347.922688093915</v>
      </c>
      <c r="N15" s="6" t="n">
        <f aca="false">+N16/365*N10</f>
        <v>369.903922706878</v>
      </c>
      <c r="O15" s="6" t="n">
        <f aca="false">+O16/365*O10</f>
        <v>389.284372611138</v>
      </c>
      <c r="P15" s="6" t="n">
        <f aca="false">+P16/365*P10</f>
        <v>408.495949563095</v>
      </c>
      <c r="Q15" s="6" t="n">
        <f aca="false">+Q16/365*Q10</f>
        <v>428.32292230146</v>
      </c>
      <c r="R15" s="6" t="n">
        <f aca="false">+R16/365*R10</f>
        <v>448.88281847474</v>
      </c>
      <c r="S15" s="6" t="n">
        <f aca="false">+S16/365*S10</f>
        <v>471.262233340863</v>
      </c>
    </row>
    <row r="16" customFormat="false" ht="14.25" hidden="false" customHeight="false" outlineLevel="0" collapsed="false">
      <c r="B16" s="6" t="s">
        <v>238</v>
      </c>
      <c r="E16" s="6" t="n">
        <f aca="false">+E15/E10*365</f>
        <v>211.344356561453</v>
      </c>
      <c r="F16" s="6" t="n">
        <f aca="false">+F15/F10*365</f>
        <v>220.518758526603</v>
      </c>
      <c r="G16" s="6" t="n">
        <f aca="false">+G15/G10*365</f>
        <v>171.694942133382</v>
      </c>
      <c r="H16" s="6" t="n">
        <f aca="false">+H15/H10*365</f>
        <v>157.47457649591</v>
      </c>
      <c r="I16" s="6" t="n">
        <f aca="false">+I15/I10*365</f>
        <v>179.656482454463</v>
      </c>
      <c r="J16" s="66" t="n">
        <f aca="false">+I16</f>
        <v>179.656482454463</v>
      </c>
      <c r="K16" s="66" t="n">
        <f aca="false">+J16</f>
        <v>179.656482454463</v>
      </c>
      <c r="L16" s="66" t="n">
        <f aca="false">+K16</f>
        <v>179.656482454463</v>
      </c>
      <c r="M16" s="66" t="n">
        <f aca="false">+L16</f>
        <v>179.656482454463</v>
      </c>
      <c r="N16" s="66" t="n">
        <f aca="false">+M16</f>
        <v>179.656482454463</v>
      </c>
      <c r="O16" s="66" t="n">
        <f aca="false">+N16</f>
        <v>179.656482454463</v>
      </c>
      <c r="P16" s="66" t="n">
        <f aca="false">+O16</f>
        <v>179.656482454463</v>
      </c>
      <c r="Q16" s="66" t="n">
        <f aca="false">+P16</f>
        <v>179.656482454463</v>
      </c>
      <c r="R16" s="66" t="n">
        <f aca="false">+Q16</f>
        <v>179.656482454463</v>
      </c>
      <c r="S16" s="66" t="n">
        <f aca="false">+R16</f>
        <v>179.656482454463</v>
      </c>
    </row>
    <row r="17" customFormat="false" ht="14.25" hidden="false" customHeight="false" outlineLevel="0" collapsed="false">
      <c r="B17" s="5"/>
    </row>
    <row r="18" customFormat="false" ht="14.25" hidden="false" customHeight="false" outlineLevel="0" collapsed="false">
      <c r="B18" s="6" t="s">
        <v>239</v>
      </c>
      <c r="E18" s="65" t="n">
        <f aca="false">+'BS &amp; CFS'!E9</f>
        <v>8.58</v>
      </c>
      <c r="F18" s="65" t="n">
        <f aca="false">+'BS &amp; CFS'!F9</f>
        <v>7.182</v>
      </c>
      <c r="G18" s="65" t="n">
        <f aca="false">+'BS &amp; CFS'!G9</f>
        <v>8.779</v>
      </c>
      <c r="H18" s="65" t="n">
        <f aca="false">+'BS &amp; CFS'!H9</f>
        <v>6.184</v>
      </c>
      <c r="I18" s="65" t="n">
        <f aca="false">+'BS &amp; CFS'!I9</f>
        <v>8.583</v>
      </c>
      <c r="J18" s="66" t="n">
        <f aca="false">+I18</f>
        <v>8.583</v>
      </c>
      <c r="K18" s="66" t="n">
        <f aca="false">+J18</f>
        <v>8.583</v>
      </c>
      <c r="L18" s="66" t="n">
        <f aca="false">+K18</f>
        <v>8.583</v>
      </c>
      <c r="M18" s="66" t="n">
        <f aca="false">+L18</f>
        <v>8.583</v>
      </c>
      <c r="N18" s="66" t="n">
        <f aca="false">+M18</f>
        <v>8.583</v>
      </c>
      <c r="O18" s="66" t="n">
        <f aca="false">+N18</f>
        <v>8.583</v>
      </c>
      <c r="P18" s="66" t="n">
        <f aca="false">+O18</f>
        <v>8.583</v>
      </c>
      <c r="Q18" s="66" t="n">
        <f aca="false">+P18</f>
        <v>8.583</v>
      </c>
      <c r="R18" s="66" t="n">
        <f aca="false">+Q18</f>
        <v>8.583</v>
      </c>
      <c r="S18" s="66" t="n">
        <f aca="false">+R18</f>
        <v>8.583</v>
      </c>
    </row>
    <row r="20" customFormat="false" ht="14.25" hidden="false" customHeight="false" outlineLevel="0" collapsed="false">
      <c r="B20" s="6" t="s">
        <v>240</v>
      </c>
      <c r="E20" s="65" t="n">
        <f aca="false">+'BS &amp; CFS'!E22</f>
        <v>130.545</v>
      </c>
      <c r="F20" s="65" t="n">
        <f aca="false">+'BS &amp; CFS'!F22</f>
        <v>103.487</v>
      </c>
      <c r="G20" s="65" t="n">
        <f aca="false">+'BS &amp; CFS'!G22</f>
        <v>98.927</v>
      </c>
      <c r="H20" s="65" t="n">
        <f aca="false">+'BS &amp; CFS'!H22</f>
        <v>130.299</v>
      </c>
      <c r="I20" s="65" t="n">
        <f aca="false">+'BS &amp; CFS'!I22</f>
        <v>180.956</v>
      </c>
      <c r="J20" s="6" t="n">
        <f aca="false">+J21/365*J11*-1</f>
        <v>193.768722664015</v>
      </c>
      <c r="K20" s="6" t="n">
        <f aca="false">+K21/365*K11*-1</f>
        <v>212.215167972849</v>
      </c>
      <c r="L20" s="6" t="n">
        <f aca="false">+L21/365*L11*-1</f>
        <v>238.587386923686</v>
      </c>
      <c r="M20" s="6" t="n">
        <f aca="false">+M21/365*M11*-1</f>
        <v>258.800706819012</v>
      </c>
      <c r="N20" s="6" t="n">
        <f aca="false">+N21/365*N11*-1</f>
        <v>275.706708964208</v>
      </c>
      <c r="O20" s="6" t="n">
        <f aca="false">+O21/365*O11*-1</f>
        <v>290.629281864517</v>
      </c>
      <c r="P20" s="6" t="n">
        <f aca="false">+P21/365*P11*-1</f>
        <v>305.415359286796</v>
      </c>
      <c r="Q20" s="6" t="n">
        <f aca="false">+Q21/365*Q11*-1</f>
        <v>320.660779663414</v>
      </c>
      <c r="R20" s="6" t="n">
        <f aca="false">+R21/365*R11*-1</f>
        <v>336.455101081854</v>
      </c>
      <c r="S20" s="6" t="n">
        <f aca="false">+S21/365*S11*-1</f>
        <v>353.44814681758</v>
      </c>
    </row>
    <row r="21" customFormat="false" ht="14.25" hidden="false" customHeight="false" outlineLevel="0" collapsed="false">
      <c r="B21" s="6" t="s">
        <v>241</v>
      </c>
      <c r="E21" s="6" t="n">
        <f aca="false">+E20/E11*365*-1</f>
        <v>195.087392116081</v>
      </c>
      <c r="F21" s="6" t="n">
        <f aca="false">+F20/F11*365*-1</f>
        <v>149.297656549527</v>
      </c>
      <c r="G21" s="6" t="n">
        <f aca="false">+G20/G11*365*-1</f>
        <v>151.850400985748</v>
      </c>
      <c r="H21" s="6" t="n">
        <f aca="false">+H20/H11*365*-1</f>
        <v>184.590292143902</v>
      </c>
      <c r="I21" s="6" t="n">
        <f aca="false">+I20/I11*365*-1</f>
        <v>231.213602089182</v>
      </c>
      <c r="J21" s="66" t="n">
        <f aca="false">+I21</f>
        <v>231.213602089182</v>
      </c>
      <c r="K21" s="66" t="n">
        <f aca="false">+J21</f>
        <v>231.213602089182</v>
      </c>
      <c r="L21" s="66" t="n">
        <f aca="false">+K21</f>
        <v>231.213602089182</v>
      </c>
      <c r="M21" s="66" t="n">
        <f aca="false">+L21</f>
        <v>231.213602089182</v>
      </c>
      <c r="N21" s="66" t="n">
        <f aca="false">+M21</f>
        <v>231.213602089182</v>
      </c>
      <c r="O21" s="66" t="n">
        <f aca="false">+N21</f>
        <v>231.213602089182</v>
      </c>
      <c r="P21" s="66" t="n">
        <f aca="false">+O21</f>
        <v>231.213602089182</v>
      </c>
      <c r="Q21" s="66" t="n">
        <f aca="false">+P21</f>
        <v>231.213602089182</v>
      </c>
      <c r="R21" s="66" t="n">
        <f aca="false">+Q21</f>
        <v>231.213602089182</v>
      </c>
      <c r="S21" s="66" t="n">
        <f aca="false">+R21</f>
        <v>231.213602089182</v>
      </c>
    </row>
    <row r="23" customFormat="false" ht="14.25" hidden="false" customHeight="false" outlineLevel="0" collapsed="false">
      <c r="B23" s="6" t="s">
        <v>242</v>
      </c>
      <c r="E23" s="65" t="n">
        <f aca="false">+'BS &amp; CFS'!E23</f>
        <v>47.552</v>
      </c>
      <c r="F23" s="65" t="n">
        <f aca="false">+'BS &amp; CFS'!F23</f>
        <v>64.299</v>
      </c>
      <c r="G23" s="65" t="n">
        <f aca="false">+'BS &amp; CFS'!G23</f>
        <v>48.371</v>
      </c>
      <c r="H23" s="65" t="n">
        <f aca="false">+'BS &amp; CFS'!H23</f>
        <v>42.004</v>
      </c>
      <c r="I23" s="65" t="n">
        <f aca="false">+'BS &amp; CFS'!I23</f>
        <v>58.116</v>
      </c>
      <c r="J23" s="6" t="n">
        <f aca="false">+J24*J10</f>
        <v>52.648778</v>
      </c>
      <c r="K23" s="6" t="n">
        <f aca="false">+K24*K10</f>
        <v>58.343795878</v>
      </c>
      <c r="L23" s="6" t="n">
        <f aca="false">+L24*L10</f>
        <v>65.33754156215</v>
      </c>
      <c r="M23" s="6" t="n">
        <f aca="false">+M24*M10</f>
        <v>70.6858886577986</v>
      </c>
      <c r="N23" s="6" t="n">
        <f aca="false">+N24*N10</f>
        <v>75.1517172903753</v>
      </c>
      <c r="O23" s="6" t="n">
        <f aca="false">+O24*O10</f>
        <v>79.089156183986</v>
      </c>
      <c r="P23" s="6" t="n">
        <f aca="false">+P24*P10</f>
        <v>82.9922859189465</v>
      </c>
      <c r="Q23" s="6" t="n">
        <f aca="false">+Q24*Q10</f>
        <v>87.0204428496809</v>
      </c>
      <c r="R23" s="6" t="n">
        <f aca="false">+R24*R10</f>
        <v>91.1975045402599</v>
      </c>
      <c r="S23" s="6" t="n">
        <f aca="false">+S24*S10</f>
        <v>95.7442296650854</v>
      </c>
    </row>
    <row r="24" customFormat="false" ht="14.25" hidden="false" customHeight="false" outlineLevel="0" collapsed="false">
      <c r="B24" s="6" t="s">
        <v>243</v>
      </c>
      <c r="E24" s="46" t="n">
        <f aca="false">+E23/E10</f>
        <v>0.109461898272623</v>
      </c>
      <c r="F24" s="46" t="n">
        <f aca="false">+F23/F10</f>
        <v>0.146200545702592</v>
      </c>
      <c r="G24" s="46" t="n">
        <f aca="false">+G23/G10</f>
        <v>0.113644586663659</v>
      </c>
      <c r="H24" s="46" t="n">
        <f aca="false">+H23/H10</f>
        <v>0.0928195450507586</v>
      </c>
      <c r="I24" s="46" t="n">
        <f aca="false">+I23/I10</f>
        <v>0.114576823211881</v>
      </c>
      <c r="J24" s="70" t="n">
        <v>0.1</v>
      </c>
      <c r="K24" s="70" t="n">
        <v>0.1</v>
      </c>
      <c r="L24" s="70" t="n">
        <v>0.1</v>
      </c>
      <c r="M24" s="70" t="n">
        <v>0.1</v>
      </c>
      <c r="N24" s="70" t="n">
        <v>0.1</v>
      </c>
      <c r="O24" s="70" t="n">
        <v>0.1</v>
      </c>
      <c r="P24" s="70" t="n">
        <v>0.1</v>
      </c>
      <c r="Q24" s="70" t="n">
        <v>0.1</v>
      </c>
      <c r="R24" s="70" t="n">
        <v>0.1</v>
      </c>
      <c r="S24" s="70" t="n">
        <v>0.1</v>
      </c>
    </row>
    <row r="25" customFormat="false" ht="14.25" hidden="false" customHeight="false" outlineLevel="0" collapsed="false">
      <c r="E25" s="46"/>
      <c r="F25" s="46"/>
      <c r="G25" s="46"/>
      <c r="H25" s="46"/>
      <c r="I25" s="46"/>
      <c r="J25" s="96"/>
      <c r="K25" s="96"/>
      <c r="L25" s="96"/>
      <c r="M25" s="96"/>
      <c r="N25" s="96"/>
      <c r="O25" s="96"/>
      <c r="P25" s="96"/>
      <c r="Q25" s="96"/>
      <c r="R25" s="96"/>
      <c r="S25" s="96"/>
    </row>
    <row r="26" customFormat="false" ht="14.25" hidden="false" customHeight="false" outlineLevel="0" collapsed="false">
      <c r="B26" s="6" t="s">
        <v>244</v>
      </c>
      <c r="E26" s="65" t="n">
        <f aca="false">+'BS &amp; CFS'!E13</f>
        <v>18.789</v>
      </c>
      <c r="F26" s="65" t="n">
        <f aca="false">+'BS &amp; CFS'!F13</f>
        <v>14.318</v>
      </c>
      <c r="G26" s="65" t="n">
        <f aca="false">+'BS &amp; CFS'!G13</f>
        <v>21.035</v>
      </c>
      <c r="H26" s="65" t="n">
        <f aca="false">+'BS &amp; CFS'!H13</f>
        <v>51.997</v>
      </c>
      <c r="I26" s="65" t="n">
        <f aca="false">+'BS &amp; CFS'!I13</f>
        <v>84.79</v>
      </c>
      <c r="J26" s="6" t="n">
        <f aca="false">+J27/365*J10</f>
        <v>88.0103995012056</v>
      </c>
      <c r="K26" s="6" t="n">
        <f aca="false">+K27/365*K10</f>
        <v>97.5304836826331</v>
      </c>
      <c r="L26" s="6" t="n">
        <f aca="false">+L27/365*L10</f>
        <v>109.221587921973</v>
      </c>
      <c r="M26" s="6" t="n">
        <f aca="false">+M27/365*M10</f>
        <v>118.162159430758</v>
      </c>
      <c r="N26" s="6" t="n">
        <f aca="false">+N27/365*N10</f>
        <v>125.627467781448</v>
      </c>
      <c r="O26" s="6" t="n">
        <f aca="false">+O27/365*O10</f>
        <v>132.2094927249</v>
      </c>
      <c r="P26" s="6" t="n">
        <f aca="false">+P27/365*P10</f>
        <v>138.734164717836</v>
      </c>
      <c r="Q26" s="6" t="n">
        <f aca="false">+Q27/365*Q10</f>
        <v>145.467838588243</v>
      </c>
      <c r="R26" s="6" t="n">
        <f aca="false">+R27/365*R10</f>
        <v>152.450429297738</v>
      </c>
      <c r="S26" s="6" t="n">
        <f aca="false">+S27/365*S10</f>
        <v>160.05096837688</v>
      </c>
    </row>
    <row r="27" customFormat="false" ht="14.25" hidden="false" customHeight="false" outlineLevel="0" collapsed="false">
      <c r="B27" s="6" t="s">
        <v>238</v>
      </c>
      <c r="E27" s="6" t="n">
        <f aca="false">+E26/E10*365</f>
        <v>15.7866768258996</v>
      </c>
      <c r="F27" s="6" t="n">
        <f aca="false">+F26/F10*365</f>
        <v>11.8828331059573</v>
      </c>
      <c r="G27" s="6" t="n">
        <f aca="false">+G26/G10*365</f>
        <v>18.0384438273258</v>
      </c>
      <c r="H27" s="6" t="n">
        <f aca="false">+H26/H10*365</f>
        <v>41.9391802604887</v>
      </c>
      <c r="I27" s="6" t="n">
        <f aca="false">+I26/I10*365</f>
        <v>61.0152733610266</v>
      </c>
      <c r="J27" s="66" t="n">
        <f aca="false">+I27</f>
        <v>61.0152733610266</v>
      </c>
      <c r="K27" s="66" t="n">
        <f aca="false">+J27</f>
        <v>61.0152733610266</v>
      </c>
      <c r="L27" s="66" t="n">
        <f aca="false">+K27</f>
        <v>61.0152733610266</v>
      </c>
      <c r="M27" s="66" t="n">
        <f aca="false">+L27</f>
        <v>61.0152733610266</v>
      </c>
      <c r="N27" s="66" t="n">
        <f aca="false">+M27</f>
        <v>61.0152733610266</v>
      </c>
      <c r="O27" s="66" t="n">
        <f aca="false">+N27</f>
        <v>61.0152733610266</v>
      </c>
      <c r="P27" s="66" t="n">
        <f aca="false">+O27</f>
        <v>61.0152733610266</v>
      </c>
      <c r="Q27" s="66" t="n">
        <f aca="false">+P27</f>
        <v>61.0152733610266</v>
      </c>
      <c r="R27" s="66" t="n">
        <f aca="false">+Q27</f>
        <v>61.0152733610266</v>
      </c>
      <c r="S27" s="66" t="n">
        <f aca="false">+R27</f>
        <v>61.0152733610266</v>
      </c>
    </row>
    <row r="28" customFormat="false" ht="14.25" hidden="false" customHeight="false" outlineLevel="0" collapsed="false">
      <c r="E28" s="46"/>
      <c r="F28" s="46"/>
      <c r="G28" s="46"/>
      <c r="H28" s="46"/>
      <c r="I28" s="46"/>
      <c r="J28" s="96"/>
      <c r="K28" s="96"/>
      <c r="L28" s="96"/>
      <c r="M28" s="96"/>
      <c r="N28" s="96"/>
      <c r="O28" s="96"/>
      <c r="P28" s="96"/>
      <c r="Q28" s="96"/>
      <c r="R28" s="96"/>
      <c r="S28" s="96"/>
    </row>
    <row r="29" customFormat="false" ht="14.25" hidden="false" customHeight="false" outlineLevel="0" collapsed="false">
      <c r="A29" s="6" t="s">
        <v>2</v>
      </c>
      <c r="B29" s="5" t="s">
        <v>245</v>
      </c>
      <c r="E29" s="46"/>
      <c r="F29" s="46"/>
      <c r="G29" s="46"/>
      <c r="H29" s="46"/>
      <c r="I29" s="46"/>
      <c r="J29" s="96"/>
      <c r="K29" s="96"/>
      <c r="L29" s="96"/>
      <c r="M29" s="96"/>
      <c r="N29" s="96"/>
      <c r="O29" s="96"/>
      <c r="P29" s="96"/>
      <c r="Q29" s="96"/>
      <c r="R29" s="96"/>
      <c r="S29" s="96"/>
    </row>
    <row r="30" customFormat="false" ht="14.25" hidden="false" customHeight="false" outlineLevel="0" collapsed="false">
      <c r="B30" s="6" t="s">
        <v>246</v>
      </c>
      <c r="F30" s="6" t="n">
        <f aca="false">+E35</f>
        <v>186.008</v>
      </c>
      <c r="G30" s="6" t="n">
        <f aca="false">+F35</f>
        <v>148.561</v>
      </c>
      <c r="H30" s="6" t="n">
        <f aca="false">+G35</f>
        <v>140.548</v>
      </c>
      <c r="I30" s="6" t="n">
        <f aca="false">+H35</f>
        <v>147.783</v>
      </c>
      <c r="J30" s="6" t="n">
        <f aca="false">+I35</f>
        <v>163.563</v>
      </c>
      <c r="K30" s="6" t="n">
        <f aca="false">+J35</f>
        <v>184.696143</v>
      </c>
      <c r="L30" s="6" t="n">
        <f aca="false">+K35</f>
        <v>210.720247089555</v>
      </c>
      <c r="M30" s="6" t="n">
        <f aca="false">+L35</f>
        <v>240.37204654657</v>
      </c>
      <c r="N30" s="6" t="n">
        <f aca="false">+M35</f>
        <v>268.890982626706</v>
      </c>
      <c r="O30" s="6" t="n">
        <f aca="false">+N35</f>
        <v>295.379131476947</v>
      </c>
      <c r="P30" s="6" t="n">
        <f aca="false">+O35</f>
        <v>320.561918025345</v>
      </c>
      <c r="Q30" s="6" t="n">
        <f aca="false">+P35</f>
        <v>344.584619533483</v>
      </c>
      <c r="R30" s="6" t="n">
        <f aca="false">+Q35</f>
        <v>367.407457418893</v>
      </c>
      <c r="S30" s="6" t="n">
        <f aca="false">+R35</f>
        <v>388.965534768074</v>
      </c>
    </row>
    <row r="31" customFormat="false" ht="14.25" hidden="false" customHeight="false" outlineLevel="0" collapsed="false">
      <c r="B31" s="6" t="s">
        <v>247</v>
      </c>
      <c r="H31" s="56" t="n">
        <f aca="false">1.908+73.165+4.434</f>
        <v>79.507</v>
      </c>
      <c r="I31" s="56" t="n">
        <f aca="false">0.203+71.115+12.166</f>
        <v>83.484</v>
      </c>
      <c r="J31" s="6" t="n">
        <f aca="false">+J37*J6</f>
        <v>97.60527</v>
      </c>
      <c r="K31" s="6" t="n">
        <f aca="false">+K37*K6</f>
        <v>101.4010305</v>
      </c>
      <c r="L31" s="6" t="n">
        <f aca="false">+L37*L6</f>
        <v>104.9798904</v>
      </c>
      <c r="M31" s="6" t="n">
        <f aca="false">+M37*M6</f>
        <v>110.22888492</v>
      </c>
      <c r="N31" s="6" t="n">
        <f aca="false">+N37*N6</f>
        <v>113.5357514676</v>
      </c>
      <c r="O31" s="6" t="n">
        <f aca="false">+O37*O6</f>
        <v>116.941824011628</v>
      </c>
      <c r="P31" s="6" t="n">
        <f aca="false">+P37*P6</f>
        <v>120.450078731977</v>
      </c>
      <c r="Q31" s="6" t="n">
        <f aca="false">+Q37*Q6</f>
        <v>124.063581093936</v>
      </c>
      <c r="R31" s="6" t="n">
        <f aca="false">+R37*R6</f>
        <v>127.785488526754</v>
      </c>
      <c r="S31" s="6" t="n">
        <f aca="false">+S37*S6</f>
        <v>131.619053182557</v>
      </c>
    </row>
    <row r="32" customFormat="false" ht="14.25" hidden="false" customHeight="false" outlineLevel="0" collapsed="false">
      <c r="B32" s="6" t="s">
        <v>248</v>
      </c>
      <c r="H32" s="56" t="n">
        <v>-7.453</v>
      </c>
      <c r="I32" s="56" t="n">
        <v>-1.208</v>
      </c>
      <c r="J32" s="66" t="n">
        <v>0</v>
      </c>
      <c r="K32" s="66" t="n">
        <f aca="false">+J32</f>
        <v>0</v>
      </c>
      <c r="L32" s="66" t="n">
        <f aca="false">+K32</f>
        <v>0</v>
      </c>
      <c r="M32" s="66" t="n">
        <f aca="false">+L32</f>
        <v>0</v>
      </c>
      <c r="N32" s="66" t="n">
        <f aca="false">+M32</f>
        <v>0</v>
      </c>
      <c r="O32" s="66" t="n">
        <f aca="false">+N32</f>
        <v>0</v>
      </c>
      <c r="P32" s="66" t="n">
        <f aca="false">+O32</f>
        <v>0</v>
      </c>
      <c r="Q32" s="66" t="n">
        <f aca="false">+P32</f>
        <v>0</v>
      </c>
      <c r="R32" s="66" t="n">
        <f aca="false">+Q32</f>
        <v>0</v>
      </c>
      <c r="S32" s="66" t="n">
        <f aca="false">+R32</f>
        <v>0</v>
      </c>
    </row>
    <row r="33" customFormat="false" ht="14.25" hidden="false" customHeight="false" outlineLevel="0" collapsed="false">
      <c r="B33" s="6" t="s">
        <v>249</v>
      </c>
      <c r="H33" s="65" t="n">
        <f aca="false">+'RevBuild Calcs'!H90*-1</f>
        <v>-65.768</v>
      </c>
      <c r="I33" s="65" t="n">
        <f aca="false">+'RevBuild Calcs'!I90*-1</f>
        <v>-59.287</v>
      </c>
      <c r="J33" s="6" t="n">
        <f aca="false">+J38*J11</f>
        <v>-76.472127</v>
      </c>
      <c r="K33" s="6" t="n">
        <f aca="false">+K38*K11</f>
        <v>-75.376926410445</v>
      </c>
      <c r="L33" s="6" t="n">
        <f aca="false">+L38*L11</f>
        <v>-75.328090942985</v>
      </c>
      <c r="M33" s="6" t="n">
        <f aca="false">+M38*M11</f>
        <v>-81.7099488398644</v>
      </c>
      <c r="N33" s="6" t="n">
        <f aca="false">+N38*N11</f>
        <v>-87.0476026173584</v>
      </c>
      <c r="O33" s="6" t="n">
        <f aca="false">+O38*O11</f>
        <v>-91.7590374632304</v>
      </c>
      <c r="P33" s="6" t="n">
        <f aca="false">+P38*P11</f>
        <v>-96.4273772238388</v>
      </c>
      <c r="Q33" s="6" t="n">
        <f aca="false">+Q38*Q11</f>
        <v>-101.240743208526</v>
      </c>
      <c r="R33" s="6" t="n">
        <f aca="false">+R38*R11</f>
        <v>-106.227411177573</v>
      </c>
      <c r="S33" s="6" t="n">
        <f aca="false">+S38*S11</f>
        <v>-111.592546824867</v>
      </c>
    </row>
    <row r="34" customFormat="false" ht="14.25" hidden="false" customHeight="false" outlineLevel="0" collapsed="false">
      <c r="B34" s="6" t="s">
        <v>250</v>
      </c>
      <c r="H34" s="6" t="n">
        <f aca="false">+H35-SUM(H30:H33)</f>
        <v>0.948999999999984</v>
      </c>
      <c r="I34" s="6" t="n">
        <f aca="false">+I35-SUM(I30:I33)</f>
        <v>-7.20899999999998</v>
      </c>
      <c r="J34" s="56" t="n">
        <v>0</v>
      </c>
      <c r="K34" s="56" t="n">
        <f aca="false">+J34</f>
        <v>0</v>
      </c>
      <c r="L34" s="56" t="n">
        <f aca="false">+K34</f>
        <v>0</v>
      </c>
      <c r="M34" s="56" t="n">
        <f aca="false">+L34</f>
        <v>0</v>
      </c>
      <c r="N34" s="56" t="n">
        <f aca="false">+M34</f>
        <v>0</v>
      </c>
      <c r="O34" s="56" t="n">
        <f aca="false">+N34</f>
        <v>0</v>
      </c>
      <c r="P34" s="56" t="n">
        <f aca="false">+O34</f>
        <v>0</v>
      </c>
      <c r="Q34" s="56" t="n">
        <f aca="false">+P34</f>
        <v>0</v>
      </c>
      <c r="R34" s="56" t="n">
        <f aca="false">+Q34</f>
        <v>0</v>
      </c>
      <c r="S34" s="56" t="n">
        <f aca="false">+R34</f>
        <v>0</v>
      </c>
    </row>
    <row r="35" customFormat="false" ht="14.25" hidden="false" customHeight="false" outlineLevel="0" collapsed="false">
      <c r="B35" s="57" t="s">
        <v>251</v>
      </c>
      <c r="C35" s="57"/>
      <c r="D35" s="57"/>
      <c r="E35" s="99" t="n">
        <f aca="false">+'BS &amp; CFS'!E10</f>
        <v>186.008</v>
      </c>
      <c r="F35" s="99" t="n">
        <f aca="false">+'BS &amp; CFS'!F10</f>
        <v>148.561</v>
      </c>
      <c r="G35" s="99" t="n">
        <f aca="false">+'BS &amp; CFS'!G10</f>
        <v>140.548</v>
      </c>
      <c r="H35" s="99" t="n">
        <f aca="false">+'BS &amp; CFS'!H10</f>
        <v>147.783</v>
      </c>
      <c r="I35" s="99" t="n">
        <f aca="false">+'BS &amp; CFS'!I10</f>
        <v>163.563</v>
      </c>
      <c r="J35" s="57" t="n">
        <f aca="false">+SUM(J30:J34)</f>
        <v>184.696143</v>
      </c>
      <c r="K35" s="57" t="n">
        <f aca="false">+SUM(K30:K34)</f>
        <v>210.720247089555</v>
      </c>
      <c r="L35" s="57" t="n">
        <f aca="false">+SUM(L30:L34)</f>
        <v>240.37204654657</v>
      </c>
      <c r="M35" s="57" t="n">
        <f aca="false">+SUM(M30:M34)</f>
        <v>268.890982626706</v>
      </c>
      <c r="N35" s="57" t="n">
        <f aca="false">+SUM(N30:N34)</f>
        <v>295.379131476947</v>
      </c>
      <c r="O35" s="57" t="n">
        <f aca="false">+SUM(O30:O34)</f>
        <v>320.561918025345</v>
      </c>
      <c r="P35" s="57" t="n">
        <f aca="false">+SUM(P30:P34)</f>
        <v>344.584619533483</v>
      </c>
      <c r="Q35" s="57" t="n">
        <f aca="false">+SUM(Q30:Q34)</f>
        <v>367.407457418893</v>
      </c>
      <c r="R35" s="57" t="n">
        <f aca="false">+SUM(R30:R34)</f>
        <v>388.965534768074</v>
      </c>
      <c r="S35" s="57" t="n">
        <f aca="false">+SUM(S30:S34)</f>
        <v>408.992041125764</v>
      </c>
    </row>
    <row r="36" customFormat="false" ht="14.25" hidden="false" customHeight="false" outlineLevel="0" collapsed="false">
      <c r="E36" s="65"/>
      <c r="F36" s="65"/>
      <c r="G36" s="65"/>
      <c r="H36" s="65"/>
      <c r="I36" s="65"/>
      <c r="J36" s="100"/>
      <c r="K36" s="100"/>
      <c r="L36" s="100"/>
      <c r="M36" s="100"/>
      <c r="N36" s="100"/>
      <c r="O36" s="100"/>
      <c r="P36" s="100"/>
      <c r="Q36" s="100"/>
      <c r="R36" s="100"/>
      <c r="S36" s="100"/>
    </row>
    <row r="37" customFormat="false" ht="14.25" hidden="false" customHeight="false" outlineLevel="0" collapsed="false">
      <c r="B37" s="6" t="s">
        <v>252</v>
      </c>
      <c r="E37" s="65"/>
      <c r="F37" s="65"/>
      <c r="G37" s="65"/>
      <c r="H37" s="46" t="n">
        <f aca="false">+H31/H6</f>
        <v>0.429572518424067</v>
      </c>
      <c r="I37" s="46" t="n">
        <f aca="false">+I31/I6</f>
        <v>0.404139960885309</v>
      </c>
      <c r="J37" s="70" t="n">
        <v>0.45</v>
      </c>
      <c r="K37" s="70" t="n">
        <v>0.425</v>
      </c>
      <c r="L37" s="70" t="n">
        <v>0.4</v>
      </c>
      <c r="M37" s="70" t="n">
        <v>0.4</v>
      </c>
      <c r="N37" s="70" t="n">
        <v>0.4</v>
      </c>
      <c r="O37" s="70" t="n">
        <v>0.4</v>
      </c>
      <c r="P37" s="70" t="n">
        <v>0.4</v>
      </c>
      <c r="Q37" s="70" t="n">
        <v>0.4</v>
      </c>
      <c r="R37" s="70" t="n">
        <v>0.4</v>
      </c>
      <c r="S37" s="70" t="n">
        <v>0.4</v>
      </c>
    </row>
    <row r="38" customFormat="false" ht="14.25" hidden="false" customHeight="false" outlineLevel="0" collapsed="false">
      <c r="B38" s="6" t="s">
        <v>253</v>
      </c>
      <c r="E38" s="65"/>
      <c r="F38" s="65"/>
      <c r="G38" s="65"/>
      <c r="H38" s="64" t="n">
        <f aca="false">+H33/H11</f>
        <v>0.255263985220088</v>
      </c>
      <c r="I38" s="64" t="n">
        <f aca="false">+I33/I11</f>
        <v>0.20754248027389</v>
      </c>
      <c r="J38" s="70" t="n">
        <v>0.25</v>
      </c>
      <c r="K38" s="70" t="n">
        <v>0.225</v>
      </c>
      <c r="L38" s="70" t="n">
        <v>0.2</v>
      </c>
      <c r="M38" s="70" t="n">
        <v>0.2</v>
      </c>
      <c r="N38" s="70" t="n">
        <v>0.2</v>
      </c>
      <c r="O38" s="70" t="n">
        <v>0.2</v>
      </c>
      <c r="P38" s="70" t="n">
        <v>0.2</v>
      </c>
      <c r="Q38" s="70" t="n">
        <v>0.2</v>
      </c>
      <c r="R38" s="70" t="n">
        <v>0.2</v>
      </c>
      <c r="S38" s="70" t="n">
        <v>0.2</v>
      </c>
    </row>
    <row r="39" customFormat="false" ht="14.25" hidden="false" customHeight="false" outlineLevel="0" collapsed="false"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 customFormat="false" ht="14.25" hidden="false" customHeight="false" outlineLevel="0" collapsed="false">
      <c r="A40" s="6" t="s">
        <v>2</v>
      </c>
      <c r="B40" s="5" t="s">
        <v>254</v>
      </c>
      <c r="J40" s="6" t="n">
        <f aca="false">+J39*J6</f>
        <v>0</v>
      </c>
      <c r="K40" s="6" t="n">
        <f aca="false">+K39*K6</f>
        <v>0</v>
      </c>
      <c r="L40" s="6" t="n">
        <f aca="false">+L39*L6</f>
        <v>0</v>
      </c>
      <c r="M40" s="6" t="n">
        <f aca="false">+M39*M6</f>
        <v>0</v>
      </c>
      <c r="N40" s="6" t="n">
        <f aca="false">+N39*N6</f>
        <v>0</v>
      </c>
      <c r="O40" s="6" t="n">
        <f aca="false">+O39*O6</f>
        <v>0</v>
      </c>
      <c r="P40" s="6" t="n">
        <f aca="false">+P39*P6</f>
        <v>0</v>
      </c>
      <c r="Q40" s="6" t="n">
        <f aca="false">+Q39*Q6</f>
        <v>0</v>
      </c>
      <c r="R40" s="6" t="n">
        <f aca="false">+R39*R6</f>
        <v>0</v>
      </c>
      <c r="S40" s="6" t="n">
        <f aca="false">+S39*S6</f>
        <v>0</v>
      </c>
    </row>
    <row r="41" customFormat="false" ht="14.25" hidden="false" customHeight="false" outlineLevel="0" collapsed="false">
      <c r="B41" s="6" t="s">
        <v>255</v>
      </c>
      <c r="F41" s="6" t="n">
        <f aca="false">+E46</f>
        <v>147.088</v>
      </c>
      <c r="G41" s="6" t="n">
        <f aca="false">+F46</f>
        <v>118.247</v>
      </c>
      <c r="H41" s="6" t="n">
        <f aca="false">+G46</f>
        <v>109.076</v>
      </c>
      <c r="I41" s="6" t="n">
        <f aca="false">+H46</f>
        <v>100.653</v>
      </c>
      <c r="J41" s="6" t="n">
        <f aca="false">+I46</f>
        <v>92.732</v>
      </c>
      <c r="K41" s="6" t="n">
        <f aca="false">+J46</f>
        <v>93.2617556</v>
      </c>
      <c r="L41" s="6" t="n">
        <f aca="false">+K46</f>
        <v>94.9305147756</v>
      </c>
      <c r="M41" s="6" t="n">
        <f aca="false">+L46</f>
        <v>97.99802308803</v>
      </c>
      <c r="N41" s="6" t="n">
        <f aca="false">+M46</f>
        <v>102.13520081959</v>
      </c>
      <c r="O41" s="6" t="n">
        <f aca="false">+N46</f>
        <v>107.165544277665</v>
      </c>
      <c r="P41" s="6" t="n">
        <f aca="false">+O46</f>
        <v>112.983375514462</v>
      </c>
      <c r="Q41" s="6" t="n">
        <f aca="false">+P46</f>
        <v>119.581832698251</v>
      </c>
      <c r="R41" s="6" t="n">
        <f aca="false">+Q46</f>
        <v>126.985921268187</v>
      </c>
      <c r="S41" s="6" t="n">
        <f aca="false">+R46</f>
        <v>135.225422176239</v>
      </c>
    </row>
    <row r="42" customFormat="false" ht="14.25" hidden="false" customHeight="false" outlineLevel="0" collapsed="false">
      <c r="B42" s="6" t="s">
        <v>256</v>
      </c>
      <c r="H42" s="56" t="n">
        <v>8.918</v>
      </c>
      <c r="I42" s="56" t="n">
        <v>1</v>
      </c>
      <c r="J42" s="6" t="n">
        <f aca="false">+J48*J10</f>
        <v>10.5297556</v>
      </c>
      <c r="K42" s="6" t="n">
        <f aca="false">+K48*K10</f>
        <v>11.6687591756</v>
      </c>
      <c r="L42" s="6" t="n">
        <f aca="false">+L48*L10</f>
        <v>13.06750831243</v>
      </c>
      <c r="M42" s="6" t="n">
        <f aca="false">+M48*M10</f>
        <v>14.1371777315597</v>
      </c>
      <c r="N42" s="6" t="n">
        <f aca="false">+N48*N10</f>
        <v>15.0303434580751</v>
      </c>
      <c r="O42" s="6" t="n">
        <f aca="false">+O48*O10</f>
        <v>15.8178312367972</v>
      </c>
      <c r="P42" s="6" t="n">
        <f aca="false">+P48*P10</f>
        <v>16.5984571837893</v>
      </c>
      <c r="Q42" s="6" t="n">
        <f aca="false">+Q48*Q10</f>
        <v>17.4040885699362</v>
      </c>
      <c r="R42" s="6" t="n">
        <f aca="false">+R48*R10</f>
        <v>18.239500908052</v>
      </c>
      <c r="S42" s="6" t="n">
        <f aca="false">+S48*S10</f>
        <v>19.1488459330171</v>
      </c>
    </row>
    <row r="43" customFormat="false" ht="14.25" hidden="false" customHeight="false" outlineLevel="0" collapsed="false">
      <c r="B43" s="6" t="s">
        <v>248</v>
      </c>
      <c r="H43" s="56" t="n">
        <v>-0.379</v>
      </c>
      <c r="I43" s="56" t="n">
        <v>0</v>
      </c>
      <c r="J43" s="66" t="n">
        <v>0</v>
      </c>
      <c r="K43" s="66" t="n">
        <f aca="false">+J43</f>
        <v>0</v>
      </c>
      <c r="L43" s="66" t="n">
        <f aca="false">+K43</f>
        <v>0</v>
      </c>
      <c r="M43" s="66" t="n">
        <f aca="false">+L43</f>
        <v>0</v>
      </c>
      <c r="N43" s="66" t="n">
        <f aca="false">+M43</f>
        <v>0</v>
      </c>
      <c r="O43" s="66" t="n">
        <f aca="false">+N43</f>
        <v>0</v>
      </c>
      <c r="P43" s="66" t="n">
        <f aca="false">+O43</f>
        <v>0</v>
      </c>
      <c r="Q43" s="66" t="n">
        <f aca="false">+P43</f>
        <v>0</v>
      </c>
      <c r="R43" s="66" t="n">
        <f aca="false">+Q43</f>
        <v>0</v>
      </c>
      <c r="S43" s="66" t="n">
        <f aca="false">+R43</f>
        <v>0</v>
      </c>
    </row>
    <row r="44" customFormat="false" ht="14.25" hidden="false" customHeight="false" outlineLevel="0" collapsed="false">
      <c r="B44" s="6" t="s">
        <v>257</v>
      </c>
      <c r="H44" s="56" t="n">
        <v>-11.1</v>
      </c>
      <c r="I44" s="56" t="n">
        <v>-10.241</v>
      </c>
      <c r="J44" s="6" t="n">
        <f aca="false">+J49</f>
        <v>-10</v>
      </c>
      <c r="K44" s="6" t="n">
        <f aca="false">+K49</f>
        <v>-10</v>
      </c>
      <c r="L44" s="6" t="n">
        <f aca="false">+L49</f>
        <v>-10</v>
      </c>
      <c r="M44" s="6" t="n">
        <f aca="false">+M49</f>
        <v>-10</v>
      </c>
      <c r="N44" s="6" t="n">
        <f aca="false">+N49</f>
        <v>-10</v>
      </c>
      <c r="O44" s="6" t="n">
        <f aca="false">+O49</f>
        <v>-10</v>
      </c>
      <c r="P44" s="6" t="n">
        <f aca="false">+P49</f>
        <v>-10</v>
      </c>
      <c r="Q44" s="6" t="n">
        <f aca="false">+Q49</f>
        <v>-10</v>
      </c>
      <c r="R44" s="6" t="n">
        <f aca="false">+R49</f>
        <v>-10</v>
      </c>
      <c r="S44" s="6" t="n">
        <f aca="false">+S49</f>
        <v>-10</v>
      </c>
    </row>
    <row r="45" customFormat="false" ht="14.25" hidden="false" customHeight="false" outlineLevel="0" collapsed="false">
      <c r="B45" s="6" t="s">
        <v>250</v>
      </c>
      <c r="H45" s="6" t="n">
        <f aca="false">+H46-SUM(H41:H44)</f>
        <v>-5.86199999999998</v>
      </c>
      <c r="I45" s="6" t="n">
        <f aca="false">+I46-SUM(I41:I44)</f>
        <v>1.31999999999999</v>
      </c>
      <c r="J45" s="56" t="n">
        <v>0</v>
      </c>
      <c r="K45" s="56" t="n">
        <f aca="false">+J45</f>
        <v>0</v>
      </c>
      <c r="L45" s="56" t="n">
        <f aca="false">+K45</f>
        <v>0</v>
      </c>
      <c r="M45" s="56" t="n">
        <f aca="false">+L45</f>
        <v>0</v>
      </c>
      <c r="N45" s="56" t="n">
        <f aca="false">+M45</f>
        <v>0</v>
      </c>
      <c r="O45" s="56" t="n">
        <f aca="false">+N45</f>
        <v>0</v>
      </c>
      <c r="P45" s="56" t="n">
        <f aca="false">+O45</f>
        <v>0</v>
      </c>
      <c r="Q45" s="56" t="n">
        <f aca="false">+P45</f>
        <v>0</v>
      </c>
      <c r="R45" s="56" t="n">
        <f aca="false">+Q45</f>
        <v>0</v>
      </c>
      <c r="S45" s="56" t="n">
        <f aca="false">+R45</f>
        <v>0</v>
      </c>
    </row>
    <row r="46" customFormat="false" ht="14.25" hidden="false" customHeight="false" outlineLevel="0" collapsed="false">
      <c r="B46" s="57" t="s">
        <v>258</v>
      </c>
      <c r="C46" s="57"/>
      <c r="D46" s="57"/>
      <c r="E46" s="99" t="n">
        <f aca="false">+'BS &amp; CFS'!E14</f>
        <v>147.088</v>
      </c>
      <c r="F46" s="99" t="n">
        <f aca="false">+'BS &amp; CFS'!F14</f>
        <v>118.247</v>
      </c>
      <c r="G46" s="99" t="n">
        <f aca="false">+'BS &amp; CFS'!G14</f>
        <v>109.076</v>
      </c>
      <c r="H46" s="99" t="n">
        <f aca="false">+'BS &amp; CFS'!H14</f>
        <v>100.653</v>
      </c>
      <c r="I46" s="99" t="n">
        <f aca="false">+'BS &amp; CFS'!I14</f>
        <v>92.732</v>
      </c>
      <c r="J46" s="57" t="n">
        <f aca="false">+SUM(J41:J45)</f>
        <v>93.2617556</v>
      </c>
      <c r="K46" s="57" t="n">
        <f aca="false">+SUM(K41:K45)</f>
        <v>94.9305147756</v>
      </c>
      <c r="L46" s="57" t="n">
        <f aca="false">+SUM(L41:L45)</f>
        <v>97.99802308803</v>
      </c>
      <c r="M46" s="57" t="n">
        <f aca="false">+SUM(M41:M45)</f>
        <v>102.13520081959</v>
      </c>
      <c r="N46" s="57" t="n">
        <f aca="false">+SUM(N41:N45)</f>
        <v>107.165544277665</v>
      </c>
      <c r="O46" s="57" t="n">
        <f aca="false">+SUM(O41:O45)</f>
        <v>112.983375514462</v>
      </c>
      <c r="P46" s="57" t="n">
        <f aca="false">+SUM(P41:P45)</f>
        <v>119.581832698251</v>
      </c>
      <c r="Q46" s="57" t="n">
        <f aca="false">+SUM(Q41:Q45)</f>
        <v>126.985921268187</v>
      </c>
      <c r="R46" s="57" t="n">
        <f aca="false">+SUM(R41:R45)</f>
        <v>135.225422176239</v>
      </c>
      <c r="S46" s="57" t="n">
        <f aca="false">+SUM(S41:S45)</f>
        <v>144.374268109257</v>
      </c>
    </row>
    <row r="47" customFormat="false" ht="14.25" hidden="false" customHeight="false" outlineLevel="0" collapsed="false">
      <c r="E47" s="65"/>
      <c r="F47" s="65"/>
      <c r="G47" s="65"/>
      <c r="H47" s="65"/>
      <c r="I47" s="65"/>
    </row>
    <row r="48" customFormat="false" ht="14.25" hidden="false" customHeight="false" outlineLevel="0" collapsed="false">
      <c r="B48" s="6" t="s">
        <v>259</v>
      </c>
      <c r="E48" s="65"/>
      <c r="F48" s="65"/>
      <c r="G48" s="65"/>
      <c r="H48" s="46" t="n">
        <f aca="false">+H42/H10</f>
        <v>0.019706806560391</v>
      </c>
      <c r="I48" s="46" t="n">
        <f aca="false">+I42/I10</f>
        <v>0.00197151943030975</v>
      </c>
      <c r="J48" s="70" t="n">
        <v>0.02</v>
      </c>
      <c r="K48" s="70" t="n">
        <v>0.02</v>
      </c>
      <c r="L48" s="70" t="n">
        <v>0.02</v>
      </c>
      <c r="M48" s="70" t="n">
        <v>0.02</v>
      </c>
      <c r="N48" s="70" t="n">
        <v>0.02</v>
      </c>
      <c r="O48" s="70" t="n">
        <v>0.02</v>
      </c>
      <c r="P48" s="70" t="n">
        <v>0.02</v>
      </c>
      <c r="Q48" s="70" t="n">
        <v>0.02</v>
      </c>
      <c r="R48" s="70" t="n">
        <v>0.02</v>
      </c>
      <c r="S48" s="70" t="n">
        <v>0.02</v>
      </c>
    </row>
    <row r="49" customFormat="false" ht="14.25" hidden="false" customHeight="false" outlineLevel="0" collapsed="false">
      <c r="B49" s="6" t="s">
        <v>257</v>
      </c>
      <c r="E49" s="65"/>
      <c r="F49" s="65"/>
      <c r="G49" s="65"/>
      <c r="H49" s="81" t="n">
        <f aca="false">+H44</f>
        <v>-11.1</v>
      </c>
      <c r="I49" s="81" t="n">
        <f aca="false">+I44</f>
        <v>-10.241</v>
      </c>
      <c r="J49" s="66" t="n">
        <v>-10</v>
      </c>
      <c r="K49" s="66" t="n">
        <v>-10</v>
      </c>
      <c r="L49" s="66" t="n">
        <v>-10</v>
      </c>
      <c r="M49" s="66" t="n">
        <v>-10</v>
      </c>
      <c r="N49" s="66" t="n">
        <v>-10</v>
      </c>
      <c r="O49" s="66" t="n">
        <v>-10</v>
      </c>
      <c r="P49" s="66" t="n">
        <v>-10</v>
      </c>
      <c r="Q49" s="66" t="n">
        <v>-10</v>
      </c>
      <c r="R49" s="66" t="n">
        <v>-10</v>
      </c>
      <c r="S49" s="66" t="n">
        <v>-10</v>
      </c>
    </row>
    <row r="50" customFormat="false" ht="14.2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customFormat="false" ht="14.25" hidden="false" customHeight="false" outlineLevel="0" collapsed="false">
      <c r="B51" s="6" t="s">
        <v>260</v>
      </c>
      <c r="F51" s="6" t="n">
        <f aca="false">+E56</f>
        <v>30.436</v>
      </c>
      <c r="G51" s="6" t="n">
        <f aca="false">+F56</f>
        <v>19.352</v>
      </c>
      <c r="H51" s="97" t="n">
        <f aca="false">+G56</f>
        <v>54.245</v>
      </c>
      <c r="I51" s="6" t="n">
        <f aca="false">+H56</f>
        <v>47.229</v>
      </c>
      <c r="J51" s="6" t="n">
        <f aca="false">+I56</f>
        <v>39.287</v>
      </c>
      <c r="K51" s="6" t="n">
        <f aca="false">+J56</f>
        <v>31.3896833</v>
      </c>
      <c r="L51" s="6" t="n">
        <f aca="false">+K56</f>
        <v>27.01389860915</v>
      </c>
      <c r="M51" s="6" t="n">
        <f aca="false">+L56</f>
        <v>24.5637408005694</v>
      </c>
      <c r="N51" s="6" t="n">
        <f aca="false">+M56</f>
        <v>24.5637408005694</v>
      </c>
      <c r="O51" s="6" t="n">
        <f aca="false">+N56</f>
        <v>24.5637408005694</v>
      </c>
      <c r="P51" s="6" t="n">
        <f aca="false">+O56</f>
        <v>24.5637408005694</v>
      </c>
      <c r="Q51" s="6" t="n">
        <f aca="false">+P56</f>
        <v>24.5637408005694</v>
      </c>
      <c r="R51" s="6" t="n">
        <f aca="false">+Q56</f>
        <v>24.5637408005694</v>
      </c>
      <c r="S51" s="6" t="n">
        <f aca="false">+R56</f>
        <v>24.5637408005694</v>
      </c>
    </row>
    <row r="52" customFormat="false" ht="14.25" hidden="false" customHeight="false" outlineLevel="0" collapsed="false">
      <c r="B52" s="6" t="s">
        <v>256</v>
      </c>
      <c r="H52" s="56" t="n">
        <v>5.733</v>
      </c>
      <c r="I52" s="56" t="n">
        <v>5.308</v>
      </c>
      <c r="J52" s="6" t="n">
        <f aca="false">+J59*J10</f>
        <v>7.8973167</v>
      </c>
      <c r="K52" s="6" t="n">
        <f aca="false">+K59*K10</f>
        <v>8.7515693817</v>
      </c>
      <c r="L52" s="6" t="n">
        <f aca="false">+L59*L10</f>
        <v>9.8006312343225</v>
      </c>
      <c r="M52" s="6" t="n">
        <f aca="false">+M59*M10</f>
        <v>10.6028832986698</v>
      </c>
      <c r="N52" s="6" t="n">
        <f aca="false">+N59*N10</f>
        <v>11.2727575935563</v>
      </c>
      <c r="O52" s="6" t="n">
        <f aca="false">+O59*O10</f>
        <v>11.8633734275979</v>
      </c>
      <c r="P52" s="6" t="n">
        <f aca="false">+P59*P10</f>
        <v>12.448842887842</v>
      </c>
      <c r="Q52" s="6" t="n">
        <f aca="false">+Q59*Q10</f>
        <v>13.0530664274521</v>
      </c>
      <c r="R52" s="6" t="n">
        <f aca="false">+R59*R10</f>
        <v>13.679625681039</v>
      </c>
      <c r="S52" s="6" t="n">
        <f aca="false">+S59*S10</f>
        <v>14.3616344497628</v>
      </c>
    </row>
    <row r="53" customFormat="false" ht="14.25" hidden="false" customHeight="false" outlineLevel="0" collapsed="false">
      <c r="B53" s="6" t="s">
        <v>261</v>
      </c>
      <c r="H53" s="56" t="n">
        <v>-12.382</v>
      </c>
      <c r="I53" s="56" t="n">
        <v>-13.378</v>
      </c>
      <c r="J53" s="6" t="n">
        <f aca="false">+J52*J60*-1</f>
        <v>-15.7946334</v>
      </c>
      <c r="K53" s="6" t="n">
        <f aca="false">+K52*K60*-1</f>
        <v>-13.12735407255</v>
      </c>
      <c r="L53" s="6" t="n">
        <f aca="false">+L52*L60*-1</f>
        <v>-12.2507890429031</v>
      </c>
      <c r="M53" s="6" t="n">
        <f aca="false">+M52*M60*-1</f>
        <v>-10.6028832986698</v>
      </c>
      <c r="N53" s="6" t="n">
        <f aca="false">+N52*N60*-1</f>
        <v>-11.2727575935563</v>
      </c>
      <c r="O53" s="6" t="n">
        <f aca="false">+O52*O60*-1</f>
        <v>-11.8633734275979</v>
      </c>
      <c r="P53" s="6" t="n">
        <f aca="false">+P52*P60*-1</f>
        <v>-12.448842887842</v>
      </c>
      <c r="Q53" s="6" t="n">
        <f aca="false">+Q52*Q60*-1</f>
        <v>-13.0530664274521</v>
      </c>
      <c r="R53" s="6" t="n">
        <f aca="false">+R52*R60*-1</f>
        <v>-13.679625681039</v>
      </c>
      <c r="S53" s="6" t="n">
        <f aca="false">+S52*S60*-1</f>
        <v>-14.3616344497628</v>
      </c>
    </row>
    <row r="54" customFormat="false" ht="14.25" hidden="false" customHeight="false" outlineLevel="0" collapsed="false">
      <c r="B54" s="6" t="s">
        <v>262</v>
      </c>
      <c r="H54" s="56" t="n">
        <v>0</v>
      </c>
      <c r="I54" s="56" t="n">
        <v>0.42</v>
      </c>
      <c r="J54" s="66" t="n">
        <v>0</v>
      </c>
      <c r="K54" s="66" t="n">
        <v>0</v>
      </c>
      <c r="L54" s="66" t="n">
        <v>0</v>
      </c>
      <c r="M54" s="66" t="n">
        <v>0</v>
      </c>
      <c r="N54" s="66" t="n">
        <v>0</v>
      </c>
      <c r="O54" s="66" t="n">
        <v>0</v>
      </c>
      <c r="P54" s="66" t="n">
        <v>0</v>
      </c>
      <c r="Q54" s="66" t="n">
        <v>0</v>
      </c>
      <c r="R54" s="66" t="n">
        <v>0</v>
      </c>
      <c r="S54" s="66" t="n">
        <v>0</v>
      </c>
    </row>
    <row r="55" customFormat="false" ht="14.25" hidden="false" customHeight="false" outlineLevel="0" collapsed="false">
      <c r="B55" s="6" t="s">
        <v>263</v>
      </c>
      <c r="H55" s="56" t="n">
        <v>-0.367</v>
      </c>
      <c r="I55" s="56" t="n">
        <v>-0.292</v>
      </c>
      <c r="J55" s="56" t="n">
        <v>0</v>
      </c>
      <c r="K55" s="56" t="n">
        <f aca="false">+J55</f>
        <v>0</v>
      </c>
      <c r="L55" s="56" t="n">
        <f aca="false">+K55</f>
        <v>0</v>
      </c>
      <c r="M55" s="56" t="n">
        <f aca="false">+L55</f>
        <v>0</v>
      </c>
      <c r="N55" s="56" t="n">
        <f aca="false">+M55</f>
        <v>0</v>
      </c>
      <c r="O55" s="56" t="n">
        <f aca="false">+N55</f>
        <v>0</v>
      </c>
      <c r="P55" s="56" t="n">
        <f aca="false">+O55</f>
        <v>0</v>
      </c>
      <c r="Q55" s="56" t="n">
        <f aca="false">+P55</f>
        <v>0</v>
      </c>
      <c r="R55" s="56" t="n">
        <f aca="false">+Q55</f>
        <v>0</v>
      </c>
      <c r="S55" s="56" t="n">
        <f aca="false">+R55</f>
        <v>0</v>
      </c>
    </row>
    <row r="56" customFormat="false" ht="14.25" hidden="false" customHeight="false" outlineLevel="0" collapsed="false">
      <c r="B56" s="57" t="s">
        <v>264</v>
      </c>
      <c r="C56" s="57"/>
      <c r="D56" s="57"/>
      <c r="E56" s="99" t="n">
        <f aca="false">+'BS &amp; CFS'!E15</f>
        <v>30.436</v>
      </c>
      <c r="F56" s="99" t="n">
        <f aca="false">+'BS &amp; CFS'!F15</f>
        <v>19.352</v>
      </c>
      <c r="G56" s="99" t="n">
        <f aca="false">+'BS &amp; CFS'!G15</f>
        <v>54.245</v>
      </c>
      <c r="H56" s="99" t="n">
        <f aca="false">+'BS &amp; CFS'!H15</f>
        <v>47.229</v>
      </c>
      <c r="I56" s="99" t="n">
        <f aca="false">+'BS &amp; CFS'!I15</f>
        <v>39.287</v>
      </c>
      <c r="J56" s="57" t="n">
        <f aca="false">+SUM(J51:J55)</f>
        <v>31.3896833</v>
      </c>
      <c r="K56" s="57" t="n">
        <f aca="false">+SUM(K51:K55)</f>
        <v>27.01389860915</v>
      </c>
      <c r="L56" s="57" t="n">
        <f aca="false">+SUM(L51:L55)</f>
        <v>24.5637408005694</v>
      </c>
      <c r="M56" s="57" t="n">
        <f aca="false">+SUM(M51:M55)</f>
        <v>24.5637408005694</v>
      </c>
      <c r="N56" s="57" t="n">
        <f aca="false">+SUM(N51:N55)</f>
        <v>24.5637408005694</v>
      </c>
      <c r="O56" s="57" t="n">
        <f aca="false">+SUM(O51:O55)</f>
        <v>24.5637408005694</v>
      </c>
      <c r="P56" s="57" t="n">
        <f aca="false">+SUM(P51:P55)</f>
        <v>24.5637408005694</v>
      </c>
      <c r="Q56" s="57" t="n">
        <f aca="false">+SUM(Q51:Q55)</f>
        <v>24.5637408005694</v>
      </c>
      <c r="R56" s="57" t="n">
        <f aca="false">+SUM(R51:R55)</f>
        <v>24.5637408005694</v>
      </c>
      <c r="S56" s="57" t="n">
        <f aca="false">+SUM(S51:S55)</f>
        <v>24.5637408005694</v>
      </c>
    </row>
    <row r="57" customFormat="false" ht="14.25" hidden="false" customHeight="false" outlineLevel="0" collapsed="false">
      <c r="H57" s="89" t="n">
        <f aca="false">+H56=SUM(H51:H55)</f>
        <v>1</v>
      </c>
      <c r="I57" s="89" t="n">
        <f aca="false">+I56=SUM(I51:I55)</f>
        <v>1</v>
      </c>
    </row>
    <row r="58" customFormat="false" ht="14.25" hidden="false" customHeight="false" outlineLevel="0" collapsed="false">
      <c r="H58" s="89"/>
      <c r="I58" s="89"/>
    </row>
    <row r="59" customFormat="false" ht="14.25" hidden="false" customHeight="false" outlineLevel="0" collapsed="false">
      <c r="B59" s="6" t="s">
        <v>259</v>
      </c>
      <c r="H59" s="46" t="n">
        <f aca="false">+H52/'P&amp;L'!H6</f>
        <v>0.0126686613602514</v>
      </c>
      <c r="I59" s="46" t="n">
        <f aca="false">+I52/'P&amp;L'!I6</f>
        <v>0.0104648251360841</v>
      </c>
      <c r="J59" s="70" t="n">
        <v>0.015</v>
      </c>
      <c r="K59" s="70" t="n">
        <v>0.015</v>
      </c>
      <c r="L59" s="70" t="n">
        <v>0.015</v>
      </c>
      <c r="M59" s="70" t="n">
        <v>0.015</v>
      </c>
      <c r="N59" s="70" t="n">
        <v>0.015</v>
      </c>
      <c r="O59" s="70" t="n">
        <v>0.015</v>
      </c>
      <c r="P59" s="70" t="n">
        <v>0.015</v>
      </c>
      <c r="Q59" s="70" t="n">
        <v>0.015</v>
      </c>
      <c r="R59" s="70" t="n">
        <v>0.015</v>
      </c>
      <c r="S59" s="70" t="n">
        <v>0.015</v>
      </c>
    </row>
    <row r="60" customFormat="false" ht="14.25" hidden="false" customHeight="false" outlineLevel="0" collapsed="false">
      <c r="B60" s="6" t="s">
        <v>265</v>
      </c>
      <c r="H60" s="46" t="n">
        <f aca="false">+H53/H52*-1</f>
        <v>2.1597767312053</v>
      </c>
      <c r="I60" s="46" t="n">
        <f aca="false">+I53/I52*-1</f>
        <v>2.52034664657121</v>
      </c>
      <c r="J60" s="70" t="n">
        <v>2</v>
      </c>
      <c r="K60" s="70" t="n">
        <v>1.5</v>
      </c>
      <c r="L60" s="70" t="n">
        <v>1.25</v>
      </c>
      <c r="M60" s="70" t="n">
        <v>1</v>
      </c>
      <c r="N60" s="70" t="n">
        <v>1</v>
      </c>
      <c r="O60" s="70" t="n">
        <v>1</v>
      </c>
      <c r="P60" s="70" t="n">
        <v>1</v>
      </c>
      <c r="Q60" s="70" t="n">
        <v>1</v>
      </c>
      <c r="R60" s="70" t="n">
        <v>1</v>
      </c>
      <c r="S60" s="70" t="n">
        <v>1</v>
      </c>
    </row>
    <row r="61" customFormat="false" ht="14.25" hidden="false" customHeight="false" outlineLevel="0" collapsed="false">
      <c r="H61" s="89"/>
      <c r="I61" s="89"/>
    </row>
    <row r="62" customFormat="false" ht="14.25" hidden="false" customHeight="false" outlineLevel="0" collapsed="false">
      <c r="B62" s="6" t="s">
        <v>266</v>
      </c>
      <c r="F62" s="6" t="n">
        <f aca="false">+E67</f>
        <v>546.997</v>
      </c>
      <c r="G62" s="6" t="n">
        <f aca="false">+F67</f>
        <v>465.832</v>
      </c>
      <c r="H62" s="6" t="n">
        <f aca="false">+G67</f>
        <v>472.531</v>
      </c>
      <c r="I62" s="6" t="n">
        <f aca="false">+H67</f>
        <v>433.595</v>
      </c>
      <c r="J62" s="6" t="n">
        <f aca="false">+I67</f>
        <v>448.947</v>
      </c>
      <c r="K62" s="6" t="n">
        <f aca="false">+J67</f>
        <v>443.6821222</v>
      </c>
      <c r="L62" s="6" t="n">
        <f aca="false">+K67</f>
        <v>438.681225410457</v>
      </c>
      <c r="M62" s="6" t="n">
        <f aca="false">+L67</f>
        <v>434.014258156018</v>
      </c>
      <c r="N62" s="6" t="n">
        <f aca="false">+M67</f>
        <v>429.975064518429</v>
      </c>
      <c r="O62" s="6" t="n">
        <f aca="false">+N67</f>
        <v>426.754276634556</v>
      </c>
      <c r="P62" s="6" t="n">
        <f aca="false">+O67</f>
        <v>424.494586457871</v>
      </c>
      <c r="Q62" s="6" t="n">
        <f aca="false">+P67</f>
        <v>423.308982373314</v>
      </c>
      <c r="R62" s="6" t="n">
        <f aca="false">+Q67</f>
        <v>423.308982373314</v>
      </c>
      <c r="S62" s="6" t="n">
        <f aca="false">+R67</f>
        <v>423.308982373314</v>
      </c>
    </row>
    <row r="63" customFormat="false" ht="14.25" hidden="false" customHeight="false" outlineLevel="0" collapsed="false">
      <c r="B63" s="6" t="s">
        <v>267</v>
      </c>
      <c r="H63" s="56" t="n">
        <v>4.279</v>
      </c>
      <c r="I63" s="56" t="n">
        <v>14.309</v>
      </c>
      <c r="J63" s="6" t="n">
        <f aca="false">+J70*J10</f>
        <v>10.5297556</v>
      </c>
      <c r="K63" s="6" t="n">
        <f aca="false">+K70*K10</f>
        <v>11.6687591756</v>
      </c>
      <c r="L63" s="6" t="n">
        <f aca="false">+L70*L10</f>
        <v>13.06750831243</v>
      </c>
      <c r="M63" s="6" t="n">
        <f aca="false">+M70*M10</f>
        <v>14.1371777315597</v>
      </c>
      <c r="N63" s="6" t="n">
        <f aca="false">+N70*N10</f>
        <v>15.0303434580751</v>
      </c>
      <c r="O63" s="6" t="n">
        <f aca="false">+O70*O10</f>
        <v>15.8178312367972</v>
      </c>
      <c r="P63" s="6" t="n">
        <f aca="false">+P70*P10</f>
        <v>16.5984571837893</v>
      </c>
      <c r="Q63" s="6" t="n">
        <f aca="false">+Q70*Q10</f>
        <v>17.4040885699362</v>
      </c>
      <c r="R63" s="6" t="n">
        <f aca="false">+R70*R10</f>
        <v>18.239500908052</v>
      </c>
      <c r="S63" s="6" t="n">
        <f aca="false">+S70*S10</f>
        <v>19.1488459330171</v>
      </c>
    </row>
    <row r="64" customFormat="false" ht="14.25" hidden="false" customHeight="false" outlineLevel="0" collapsed="false">
      <c r="B64" s="6" t="s">
        <v>257</v>
      </c>
      <c r="H64" s="56" t="n">
        <v>-10.542</v>
      </c>
      <c r="I64" s="56" t="n">
        <v>-10.601</v>
      </c>
      <c r="J64" s="6" t="n">
        <f aca="false">+J63*J71*-1</f>
        <v>-15.7946334</v>
      </c>
      <c r="K64" s="6" t="n">
        <f aca="false">+K63*K71*-1</f>
        <v>-16.6696559651429</v>
      </c>
      <c r="L64" s="6" t="n">
        <f aca="false">+L63*L71*-1</f>
        <v>-17.7344755668693</v>
      </c>
      <c r="M64" s="6" t="n">
        <f aca="false">+M63*M71*-1</f>
        <v>-18.1763713691482</v>
      </c>
      <c r="N64" s="6" t="n">
        <f aca="false">+N63*N71*-1</f>
        <v>-18.2511313419483</v>
      </c>
      <c r="O64" s="6" t="n">
        <f aca="false">+O63*O71*-1</f>
        <v>-18.0775214134825</v>
      </c>
      <c r="P64" s="6" t="n">
        <f aca="false">+P63*P71*-1</f>
        <v>-17.7840612683457</v>
      </c>
      <c r="Q64" s="6" t="n">
        <f aca="false">+Q63*Q71*-1</f>
        <v>-17.4040885699362</v>
      </c>
      <c r="R64" s="6" t="n">
        <f aca="false">+R63*R71*-1</f>
        <v>-18.239500908052</v>
      </c>
      <c r="S64" s="6" t="n">
        <f aca="false">+S63*S71*-1</f>
        <v>-19.1488459330171</v>
      </c>
    </row>
    <row r="65" customFormat="false" ht="14.25" hidden="false" customHeight="false" outlineLevel="0" collapsed="false">
      <c r="B65" s="6" t="s">
        <v>262</v>
      </c>
      <c r="H65" s="56" t="n">
        <v>0</v>
      </c>
      <c r="I65" s="56" t="n">
        <v>0</v>
      </c>
      <c r="J65" s="66" t="n">
        <v>0</v>
      </c>
      <c r="K65" s="66" t="n">
        <v>0</v>
      </c>
      <c r="L65" s="66" t="n">
        <v>0</v>
      </c>
      <c r="M65" s="66" t="n">
        <v>0</v>
      </c>
      <c r="N65" s="66" t="n">
        <v>0</v>
      </c>
      <c r="O65" s="66" t="n">
        <v>0</v>
      </c>
      <c r="P65" s="66" t="n">
        <v>0</v>
      </c>
      <c r="Q65" s="66" t="n">
        <v>0</v>
      </c>
      <c r="R65" s="66" t="n">
        <v>0</v>
      </c>
      <c r="S65" s="66" t="n">
        <v>0</v>
      </c>
    </row>
    <row r="66" customFormat="false" ht="14.25" hidden="false" customHeight="false" outlineLevel="0" collapsed="false">
      <c r="B66" s="6" t="s">
        <v>268</v>
      </c>
      <c r="H66" s="56" t="n">
        <v>-32.673</v>
      </c>
      <c r="I66" s="56" t="n">
        <v>11.644</v>
      </c>
      <c r="J66" s="56" t="n">
        <v>0</v>
      </c>
      <c r="K66" s="56" t="n">
        <f aca="false">+J66</f>
        <v>0</v>
      </c>
      <c r="L66" s="56" t="n">
        <f aca="false">+K66</f>
        <v>0</v>
      </c>
      <c r="M66" s="56" t="n">
        <f aca="false">+L66</f>
        <v>0</v>
      </c>
      <c r="N66" s="56" t="n">
        <f aca="false">+M66</f>
        <v>0</v>
      </c>
      <c r="O66" s="56" t="n">
        <f aca="false">+N66</f>
        <v>0</v>
      </c>
      <c r="P66" s="56" t="n">
        <f aca="false">+O66</f>
        <v>0</v>
      </c>
      <c r="Q66" s="56" t="n">
        <f aca="false">+P66</f>
        <v>0</v>
      </c>
      <c r="R66" s="56" t="n">
        <f aca="false">+Q66</f>
        <v>0</v>
      </c>
      <c r="S66" s="56" t="n">
        <f aca="false">+R66</f>
        <v>0</v>
      </c>
    </row>
    <row r="67" customFormat="false" ht="14.25" hidden="false" customHeight="false" outlineLevel="0" collapsed="false">
      <c r="B67" s="57" t="s">
        <v>269</v>
      </c>
      <c r="C67" s="57"/>
      <c r="D67" s="57"/>
      <c r="E67" s="99" t="n">
        <f aca="false">+'BS &amp; CFS'!E17</f>
        <v>546.997</v>
      </c>
      <c r="F67" s="99" t="n">
        <f aca="false">+'BS &amp; CFS'!F17</f>
        <v>465.832</v>
      </c>
      <c r="G67" s="99" t="n">
        <f aca="false">+'BS &amp; CFS'!G17</f>
        <v>472.531</v>
      </c>
      <c r="H67" s="99" t="n">
        <f aca="false">+'BS &amp; CFS'!H17</f>
        <v>433.595</v>
      </c>
      <c r="I67" s="99" t="n">
        <f aca="false">+'BS &amp; CFS'!I17</f>
        <v>448.947</v>
      </c>
      <c r="J67" s="101" t="n">
        <f aca="false">+SUM(J62:J66)</f>
        <v>443.6821222</v>
      </c>
      <c r="K67" s="101" t="n">
        <f aca="false">+SUM(K62:K66)</f>
        <v>438.681225410457</v>
      </c>
      <c r="L67" s="101" t="n">
        <f aca="false">+SUM(L62:L66)</f>
        <v>434.014258156018</v>
      </c>
      <c r="M67" s="101" t="n">
        <f aca="false">+SUM(M62:M66)</f>
        <v>429.975064518429</v>
      </c>
      <c r="N67" s="101" t="n">
        <f aca="false">+SUM(N62:N66)</f>
        <v>426.754276634556</v>
      </c>
      <c r="O67" s="101" t="n">
        <f aca="false">+SUM(O62:O66)</f>
        <v>424.494586457871</v>
      </c>
      <c r="P67" s="101" t="n">
        <f aca="false">+SUM(P62:P66)</f>
        <v>423.308982373314</v>
      </c>
      <c r="Q67" s="101" t="n">
        <f aca="false">+SUM(Q62:Q66)</f>
        <v>423.308982373314</v>
      </c>
      <c r="R67" s="101" t="n">
        <f aca="false">+SUM(R62:R66)</f>
        <v>423.308982373314</v>
      </c>
      <c r="S67" s="101" t="n">
        <f aca="false">+SUM(S62:S66)</f>
        <v>423.308982373314</v>
      </c>
    </row>
    <row r="68" customFormat="false" ht="14.25" hidden="false" customHeight="false" outlineLevel="0" collapsed="false">
      <c r="H68" s="89" t="n">
        <f aca="false">+H67=SUM(H62:H66)</f>
        <v>1</v>
      </c>
      <c r="I68" s="89" t="n">
        <f aca="false">+I67=SUM(I62:I66)</f>
        <v>1</v>
      </c>
    </row>
    <row r="69" customFormat="false" ht="14.25" hidden="false" customHeight="false" outlineLevel="0" collapsed="false">
      <c r="H69" s="89"/>
      <c r="I69" s="89"/>
    </row>
    <row r="70" customFormat="false" ht="14.25" hidden="false" customHeight="false" outlineLevel="0" collapsed="false">
      <c r="B70" s="6" t="s">
        <v>259</v>
      </c>
      <c r="H70" s="46" t="n">
        <f aca="false">+H63/H10</f>
        <v>0.00945564311189878</v>
      </c>
      <c r="I70" s="46" t="n">
        <f aca="false">+I63/I10</f>
        <v>0.0282104715283022</v>
      </c>
      <c r="J70" s="70" t="n">
        <v>0.02</v>
      </c>
      <c r="K70" s="70" t="n">
        <v>0.02</v>
      </c>
      <c r="L70" s="70" t="n">
        <v>0.02</v>
      </c>
      <c r="M70" s="70" t="n">
        <v>0.02</v>
      </c>
      <c r="N70" s="70" t="n">
        <v>0.02</v>
      </c>
      <c r="O70" s="70" t="n">
        <v>0.02</v>
      </c>
      <c r="P70" s="70" t="n">
        <v>0.02</v>
      </c>
      <c r="Q70" s="70" t="n">
        <v>0.02</v>
      </c>
      <c r="R70" s="70" t="n">
        <v>0.02</v>
      </c>
      <c r="S70" s="70" t="n">
        <v>0.02</v>
      </c>
    </row>
    <row r="71" customFormat="false" ht="14.25" hidden="false" customHeight="false" outlineLevel="0" collapsed="false">
      <c r="B71" s="6" t="s">
        <v>265</v>
      </c>
      <c r="H71" s="46" t="n">
        <f aca="false">+H64/H63</f>
        <v>-2.46365973358261</v>
      </c>
      <c r="I71" s="46" t="n">
        <f aca="false">+I64/I63</f>
        <v>-0.740862394297296</v>
      </c>
      <c r="J71" s="70" t="n">
        <v>1.5</v>
      </c>
      <c r="K71" s="70" t="n">
        <v>1.42857142857143</v>
      </c>
      <c r="L71" s="70" t="n">
        <v>1.35714285714286</v>
      </c>
      <c r="M71" s="70" t="n">
        <v>1.28571428571429</v>
      </c>
      <c r="N71" s="70" t="n">
        <v>1.21428571428571</v>
      </c>
      <c r="O71" s="70" t="n">
        <v>1.14285714285714</v>
      </c>
      <c r="P71" s="70" t="n">
        <v>1.07142857142857</v>
      </c>
      <c r="Q71" s="70" t="n">
        <v>1</v>
      </c>
      <c r="R71" s="70" t="n">
        <v>1</v>
      </c>
      <c r="S71" s="70" t="n">
        <v>1</v>
      </c>
    </row>
    <row r="73" customFormat="false" ht="14.25" hidden="false" customHeight="false" outlineLevel="0" collapsed="false">
      <c r="A73" s="6" t="s">
        <v>2</v>
      </c>
      <c r="B73" s="5" t="s">
        <v>270</v>
      </c>
    </row>
    <row r="74" customFormat="false" ht="14.25" hidden="false" customHeight="false" outlineLevel="0" collapsed="false">
      <c r="B74" s="6" t="s">
        <v>271</v>
      </c>
      <c r="F74" s="6" t="n">
        <f aca="false">+E78</f>
        <v>315.078</v>
      </c>
      <c r="G74" s="6" t="n">
        <f aca="false">+F78</f>
        <v>243.033</v>
      </c>
      <c r="H74" s="6" t="n">
        <f aca="false">+G78</f>
        <v>81.351</v>
      </c>
      <c r="I74" s="6" t="n">
        <f aca="false">+H78</f>
        <v>68.588</v>
      </c>
      <c r="J74" s="6" t="n">
        <f aca="false">+I78</f>
        <v>79.428</v>
      </c>
      <c r="K74" s="6" t="n">
        <f aca="false">+J78</f>
        <v>69.6481243073424</v>
      </c>
      <c r="L74" s="6" t="n">
        <f aca="false">+K78</f>
        <v>76.7702580113324</v>
      </c>
      <c r="M74" s="6" t="n">
        <f aca="false">+L78</f>
        <v>92.2444498101337</v>
      </c>
      <c r="N74" s="6" t="n">
        <f aca="false">+M78</f>
        <v>114.684021224146</v>
      </c>
      <c r="O74" s="6" t="n">
        <f aca="false">+N78</f>
        <v>141.596790510608</v>
      </c>
      <c r="P74" s="6" t="n">
        <f aca="false">+O78</f>
        <v>172.60778422191</v>
      </c>
      <c r="Q74" s="6" t="n">
        <f aca="false">+P78</f>
        <v>207.906097709001</v>
      </c>
      <c r="R74" s="6" t="n">
        <f aca="false">+Q78</f>
        <v>247.865990399841</v>
      </c>
      <c r="S74" s="6" t="n">
        <f aca="false">+R78</f>
        <v>291.979596708778</v>
      </c>
    </row>
    <row r="75" customFormat="false" ht="14.25" hidden="false" customHeight="false" outlineLevel="0" collapsed="false">
      <c r="B75" s="6" t="s">
        <v>88</v>
      </c>
      <c r="F75" s="65" t="n">
        <f aca="false">+'P&amp;L'!F36</f>
        <v>-101.494</v>
      </c>
      <c r="G75" s="65" t="n">
        <f aca="false">+'P&amp;L'!G36</f>
        <v>-235.966</v>
      </c>
      <c r="H75" s="65" t="n">
        <f aca="false">+'P&amp;L'!H36</f>
        <v>-7.07699999999999</v>
      </c>
      <c r="I75" s="65" t="n">
        <f aca="false">+'P&amp;L'!I36</f>
        <v>5.64000000000004</v>
      </c>
      <c r="J75" s="65" t="n">
        <f aca="false">+'P&amp;L'!J36</f>
        <v>-9.77987569265756</v>
      </c>
      <c r="K75" s="65" t="n">
        <f aca="false">+'P&amp;L'!K36</f>
        <v>7.12213370398996</v>
      </c>
      <c r="L75" s="65" t="n">
        <f aca="false">+'P&amp;L'!L36</f>
        <v>15.4741917988013</v>
      </c>
      <c r="M75" s="65" t="n">
        <f aca="false">+'P&amp;L'!M36</f>
        <v>22.4395714140121</v>
      </c>
      <c r="N75" s="65" t="n">
        <f aca="false">+'P&amp;L'!N36</f>
        <v>26.9127692864618</v>
      </c>
      <c r="O75" s="65" t="n">
        <f aca="false">+'P&amp;L'!O36</f>
        <v>31.0109937113025</v>
      </c>
      <c r="P75" s="65" t="n">
        <f aca="false">+'P&amp;L'!P36</f>
        <v>35.2983134870914</v>
      </c>
      <c r="Q75" s="65" t="n">
        <f aca="false">+'P&amp;L'!Q36</f>
        <v>39.9598926908396</v>
      </c>
      <c r="R75" s="65" t="n">
        <f aca="false">+'P&amp;L'!R36</f>
        <v>44.1136063089368</v>
      </c>
      <c r="S75" s="65" t="n">
        <f aca="false">+'P&amp;L'!S36</f>
        <v>49.2966484198829</v>
      </c>
    </row>
    <row r="76" customFormat="false" ht="14.25" hidden="false" customHeight="false" outlineLevel="0" collapsed="false">
      <c r="B76" s="6" t="s">
        <v>272</v>
      </c>
      <c r="F76" s="65" t="n">
        <f aca="false">+'P&amp;L'!F44</f>
        <v>0</v>
      </c>
      <c r="G76" s="65" t="n">
        <f aca="false">+'P&amp;L'!G44</f>
        <v>0</v>
      </c>
      <c r="H76" s="65" t="n">
        <f aca="false">+'P&amp;L'!H44</f>
        <v>0</v>
      </c>
      <c r="I76" s="65" t="n">
        <f aca="false">+'P&amp;L'!I44</f>
        <v>0</v>
      </c>
      <c r="J76" s="66" t="n">
        <v>0</v>
      </c>
      <c r="K76" s="66" t="n">
        <v>0</v>
      </c>
      <c r="L76" s="66" t="n">
        <v>0</v>
      </c>
      <c r="M76" s="66" t="n">
        <v>0</v>
      </c>
      <c r="N76" s="66" t="n">
        <v>0</v>
      </c>
      <c r="O76" s="66" t="n">
        <v>0</v>
      </c>
      <c r="P76" s="66" t="n">
        <v>0</v>
      </c>
      <c r="Q76" s="66" t="n">
        <v>0</v>
      </c>
      <c r="R76" s="66" t="n">
        <v>0</v>
      </c>
      <c r="S76" s="66" t="n">
        <v>0</v>
      </c>
    </row>
    <row r="77" customFormat="false" ht="14.25" hidden="false" customHeight="false" outlineLevel="0" collapsed="false">
      <c r="B77" s="6" t="s">
        <v>273</v>
      </c>
      <c r="F77" s="6" t="n">
        <f aca="false">+F78-SUM(F74:F76)</f>
        <v>29.449</v>
      </c>
      <c r="G77" s="6" t="n">
        <f aca="false">+G78-SUM(G74:G76)</f>
        <v>74.284</v>
      </c>
      <c r="H77" s="6" t="n">
        <f aca="false">+H78-SUM(H74:H76)</f>
        <v>-5.68600000000001</v>
      </c>
      <c r="I77" s="6" t="n">
        <f aca="false">+I78-SUM(I74:I76)</f>
        <v>5.19999999999996</v>
      </c>
      <c r="J77" s="56" t="n">
        <v>0</v>
      </c>
      <c r="K77" s="56" t="n">
        <f aca="false">+J77</f>
        <v>0</v>
      </c>
      <c r="L77" s="56" t="n">
        <f aca="false">+K77</f>
        <v>0</v>
      </c>
      <c r="M77" s="56" t="n">
        <f aca="false">+L77</f>
        <v>0</v>
      </c>
      <c r="N77" s="56" t="n">
        <f aca="false">+M77</f>
        <v>0</v>
      </c>
      <c r="O77" s="56" t="n">
        <f aca="false">+N77</f>
        <v>0</v>
      </c>
      <c r="P77" s="56" t="n">
        <f aca="false">+O77</f>
        <v>0</v>
      </c>
      <c r="Q77" s="56" t="n">
        <f aca="false">+P77</f>
        <v>0</v>
      </c>
      <c r="R77" s="56" t="n">
        <f aca="false">+Q77</f>
        <v>0</v>
      </c>
      <c r="S77" s="56" t="n">
        <f aca="false">+R77</f>
        <v>0</v>
      </c>
    </row>
    <row r="78" customFormat="false" ht="14.25" hidden="false" customHeight="false" outlineLevel="0" collapsed="false">
      <c r="B78" s="57" t="s">
        <v>274</v>
      </c>
      <c r="C78" s="57"/>
      <c r="D78" s="57"/>
      <c r="E78" s="99" t="n">
        <f aca="false">+'BS &amp; CFS'!E35</f>
        <v>315.078</v>
      </c>
      <c r="F78" s="99" t="n">
        <f aca="false">+'BS &amp; CFS'!F35</f>
        <v>243.033</v>
      </c>
      <c r="G78" s="99" t="n">
        <f aca="false">+'BS &amp; CFS'!G35</f>
        <v>81.351</v>
      </c>
      <c r="H78" s="99" t="n">
        <f aca="false">+'BS &amp; CFS'!H35</f>
        <v>68.588</v>
      </c>
      <c r="I78" s="99" t="n">
        <f aca="false">+'BS &amp; CFS'!I35</f>
        <v>79.428</v>
      </c>
      <c r="J78" s="101" t="n">
        <f aca="false">SUM(J74:J77)</f>
        <v>69.6481243073424</v>
      </c>
      <c r="K78" s="101" t="n">
        <f aca="false">SUM(K74:K77)</f>
        <v>76.7702580113324</v>
      </c>
      <c r="L78" s="101" t="n">
        <f aca="false">SUM(L74:L77)</f>
        <v>92.2444498101337</v>
      </c>
      <c r="M78" s="101" t="n">
        <f aca="false">SUM(M74:M77)</f>
        <v>114.684021224146</v>
      </c>
      <c r="N78" s="101" t="n">
        <f aca="false">SUM(N74:N77)</f>
        <v>141.596790510608</v>
      </c>
      <c r="O78" s="101" t="n">
        <f aca="false">SUM(O74:O77)</f>
        <v>172.60778422191</v>
      </c>
      <c r="P78" s="101" t="n">
        <f aca="false">SUM(P74:P77)</f>
        <v>207.906097709001</v>
      </c>
      <c r="Q78" s="101" t="n">
        <f aca="false">SUM(Q74:Q77)</f>
        <v>247.865990399841</v>
      </c>
      <c r="R78" s="101" t="n">
        <f aca="false">SUM(R74:R77)</f>
        <v>291.979596708778</v>
      </c>
      <c r="S78" s="101" t="n">
        <f aca="false">SUM(S74:S77)</f>
        <v>341.276245128661</v>
      </c>
    </row>
    <row r="80" customFormat="false" ht="14.25" hidden="false" customHeight="false" outlineLevel="0" collapsed="false">
      <c r="B80" s="6" t="s">
        <v>275</v>
      </c>
      <c r="F80" s="6" t="n">
        <f aca="false">+E84</f>
        <v>85.714</v>
      </c>
      <c r="G80" s="6" t="n">
        <f aca="false">+F84</f>
        <v>256.945</v>
      </c>
      <c r="H80" s="6" t="n">
        <f aca="false">+G84</f>
        <v>260.135</v>
      </c>
      <c r="I80" s="6" t="n">
        <f aca="false">+H84</f>
        <v>234.325</v>
      </c>
      <c r="J80" s="6" t="n">
        <f aca="false">+I84</f>
        <v>235.975</v>
      </c>
      <c r="K80" s="6" t="n">
        <f aca="false">+J84</f>
        <v>228.59307752</v>
      </c>
      <c r="L80" s="6" t="n">
        <f aca="false">+K84</f>
        <v>221.3325091656</v>
      </c>
      <c r="M80" s="6" t="n">
        <f aca="false">+L84</f>
        <v>214.203791796568</v>
      </c>
      <c r="N80" s="6" t="n">
        <f aca="false">+M84</f>
        <v>207.217874303185</v>
      </c>
      <c r="O80" s="6" t="n">
        <f aca="false">+N84</f>
        <v>200.386173909655</v>
      </c>
      <c r="P80" s="6" t="n">
        <f aca="false">+O84</f>
        <v>193.720593021467</v>
      </c>
      <c r="Q80" s="6" t="n">
        <f aca="false">+P84</f>
        <v>187.233536634123</v>
      </c>
      <c r="R80" s="6" t="n">
        <f aca="false">+Q84</f>
        <v>180.937930321199</v>
      </c>
      <c r="S80" s="6" t="n">
        <f aca="false">+R84</f>
        <v>174.847238820249</v>
      </c>
    </row>
    <row r="81" customFormat="false" ht="14.25" hidden="false" customHeight="false" outlineLevel="0" collapsed="false">
      <c r="B81" s="6" t="s">
        <v>276</v>
      </c>
      <c r="F81" s="65" t="n">
        <f aca="false">+'P&amp;L'!F35</f>
        <v>23.292</v>
      </c>
      <c r="G81" s="65" t="n">
        <f aca="false">+'P&amp;L'!G35</f>
        <v>27.175</v>
      </c>
      <c r="H81" s="65" t="n">
        <f aca="false">+'P&amp;L'!H35</f>
        <v>30.186</v>
      </c>
      <c r="I81" s="65" t="n">
        <f aca="false">+'P&amp;L'!I35</f>
        <v>26.122</v>
      </c>
      <c r="J81" s="65" t="n">
        <f aca="false">+'P&amp;L'!J35</f>
        <v>26.89925752</v>
      </c>
      <c r="K81" s="65" t="n">
        <f aca="false">+'P&amp;L'!K35</f>
        <v>27.7062352456</v>
      </c>
      <c r="L81" s="65" t="n">
        <f aca="false">+'P&amp;L'!L35</f>
        <v>28.537422302968</v>
      </c>
      <c r="M81" s="65" t="n">
        <f aca="false">+'P&amp;L'!M35</f>
        <v>29.393544972057</v>
      </c>
      <c r="N81" s="65" t="n">
        <f aca="false">+'P&amp;L'!N35</f>
        <v>30.2753513212188</v>
      </c>
      <c r="O81" s="65" t="n">
        <f aca="false">+'P&amp;L'!O35</f>
        <v>31.1836118608553</v>
      </c>
      <c r="P81" s="65" t="n">
        <f aca="false">+'P&amp;L'!P35</f>
        <v>32.119120216681</v>
      </c>
      <c r="Q81" s="65" t="n">
        <f aca="false">+'P&amp;L'!Q35</f>
        <v>33.0826938231814</v>
      </c>
      <c r="R81" s="65" t="n">
        <f aca="false">+'P&amp;L'!R35</f>
        <v>34.0751746378769</v>
      </c>
      <c r="S81" s="65" t="n">
        <f aca="false">+'P&amp;L'!S35</f>
        <v>35.0974298770132</v>
      </c>
    </row>
    <row r="82" customFormat="false" ht="14.25" hidden="false" customHeight="false" outlineLevel="0" collapsed="false">
      <c r="B82" s="6" t="s">
        <v>277</v>
      </c>
      <c r="F82" s="65" t="n">
        <f aca="false">+'P&amp;L'!F45</f>
        <v>-26.657</v>
      </c>
      <c r="G82" s="65" t="n">
        <f aca="false">+'P&amp;L'!G45</f>
        <v>-33.46</v>
      </c>
      <c r="H82" s="65" t="n">
        <f aca="false">+'P&amp;L'!H45</f>
        <v>-31.457</v>
      </c>
      <c r="I82" s="65" t="n">
        <f aca="false">+'P&amp;L'!I45</f>
        <v>-33.609</v>
      </c>
      <c r="J82" s="6" t="n">
        <f aca="false">+(1+J101)*I82</f>
        <v>-34.28118</v>
      </c>
      <c r="K82" s="6" t="n">
        <f aca="false">+(1+K101)*J82</f>
        <v>-34.9668036</v>
      </c>
      <c r="L82" s="6" t="n">
        <f aca="false">+(1+L101)*K82</f>
        <v>-35.666139672</v>
      </c>
      <c r="M82" s="6" t="n">
        <f aca="false">+(1+M101)*L82</f>
        <v>-36.37946246544</v>
      </c>
      <c r="N82" s="6" t="n">
        <f aca="false">+(1+N101)*M82</f>
        <v>-37.1070517147488</v>
      </c>
      <c r="O82" s="6" t="n">
        <f aca="false">+(1+O101)*N82</f>
        <v>-37.8491927490438</v>
      </c>
      <c r="P82" s="6" t="n">
        <f aca="false">+(1+P101)*O82</f>
        <v>-38.6061766040247</v>
      </c>
      <c r="Q82" s="6" t="n">
        <f aca="false">+(1+Q101)*P82</f>
        <v>-39.3783001361051</v>
      </c>
      <c r="R82" s="6" t="n">
        <f aca="false">+(1+R101)*Q82</f>
        <v>-40.1658661388272</v>
      </c>
      <c r="S82" s="6" t="n">
        <f aca="false">+(1+S101)*R82</f>
        <v>-40.9691834616038</v>
      </c>
    </row>
    <row r="83" customFormat="false" ht="14.25" hidden="false" customHeight="false" outlineLevel="0" collapsed="false">
      <c r="B83" s="6" t="s">
        <v>273</v>
      </c>
      <c r="F83" s="6" t="n">
        <f aca="false">+F84-SUM(F80:F82)</f>
        <v>174.596</v>
      </c>
      <c r="G83" s="6" t="n">
        <f aca="false">+G84-SUM(G80:G82)</f>
        <v>9.47499999999999</v>
      </c>
      <c r="H83" s="6" t="n">
        <f aca="false">+H84-SUM(H80:H82)</f>
        <v>-24.539</v>
      </c>
      <c r="I83" s="6" t="n">
        <f aca="false">+I84-SUM(I80:I82)</f>
        <v>9.137</v>
      </c>
      <c r="J83" s="56" t="n">
        <v>0</v>
      </c>
      <c r="K83" s="56" t="n">
        <f aca="false">+J83</f>
        <v>0</v>
      </c>
      <c r="L83" s="56" t="n">
        <f aca="false">+K83</f>
        <v>0</v>
      </c>
      <c r="M83" s="56" t="n">
        <f aca="false">+L83</f>
        <v>0</v>
      </c>
      <c r="N83" s="56" t="n">
        <f aca="false">+M83</f>
        <v>0</v>
      </c>
      <c r="O83" s="56" t="n">
        <f aca="false">+N83</f>
        <v>0</v>
      </c>
      <c r="P83" s="56" t="n">
        <f aca="false">+O83</f>
        <v>0</v>
      </c>
      <c r="Q83" s="56" t="n">
        <f aca="false">+P83</f>
        <v>0</v>
      </c>
      <c r="R83" s="56" t="n">
        <f aca="false">+Q83</f>
        <v>0</v>
      </c>
      <c r="S83" s="56" t="n">
        <f aca="false">+R83</f>
        <v>0</v>
      </c>
    </row>
    <row r="84" customFormat="false" ht="14.25" hidden="false" customHeight="false" outlineLevel="0" collapsed="false">
      <c r="B84" s="57" t="s">
        <v>278</v>
      </c>
      <c r="C84" s="57"/>
      <c r="D84" s="57"/>
      <c r="E84" s="99" t="n">
        <f aca="false">+'BS &amp; CFS'!E36</f>
        <v>85.714</v>
      </c>
      <c r="F84" s="99" t="n">
        <f aca="false">+'BS &amp; CFS'!F36</f>
        <v>256.945</v>
      </c>
      <c r="G84" s="99" t="n">
        <f aca="false">+'BS &amp; CFS'!G36</f>
        <v>260.135</v>
      </c>
      <c r="H84" s="99" t="n">
        <f aca="false">+'BS &amp; CFS'!H36</f>
        <v>234.325</v>
      </c>
      <c r="I84" s="99" t="n">
        <f aca="false">+'BS &amp; CFS'!I36</f>
        <v>235.975</v>
      </c>
      <c r="J84" s="57" t="n">
        <f aca="false">SUM(J80:J83)</f>
        <v>228.59307752</v>
      </c>
      <c r="K84" s="57" t="n">
        <f aca="false">SUM(K80:K83)</f>
        <v>221.3325091656</v>
      </c>
      <c r="L84" s="57" t="n">
        <f aca="false">SUM(L80:L83)</f>
        <v>214.203791796568</v>
      </c>
      <c r="M84" s="57" t="n">
        <f aca="false">SUM(M80:M83)</f>
        <v>207.217874303185</v>
      </c>
      <c r="N84" s="57" t="n">
        <f aca="false">SUM(N80:N83)</f>
        <v>200.386173909655</v>
      </c>
      <c r="O84" s="57" t="n">
        <f aca="false">SUM(O80:O83)</f>
        <v>193.720593021467</v>
      </c>
      <c r="P84" s="57" t="n">
        <f aca="false">SUM(P80:P83)</f>
        <v>187.233536634123</v>
      </c>
      <c r="Q84" s="57" t="n">
        <f aca="false">SUM(Q80:Q83)</f>
        <v>180.937930321199</v>
      </c>
      <c r="R84" s="57" t="n">
        <f aca="false">SUM(R80:R83)</f>
        <v>174.847238820249</v>
      </c>
      <c r="S84" s="57" t="n">
        <f aca="false">SUM(S80:S83)</f>
        <v>168.975485235658</v>
      </c>
    </row>
    <row r="85" customFormat="false" ht="14.25" hidden="false" customHeight="false" outlineLevel="0" collapsed="false">
      <c r="E85" s="65"/>
      <c r="F85" s="65"/>
      <c r="G85" s="65"/>
      <c r="H85" s="65"/>
      <c r="I85" s="65"/>
    </row>
    <row r="86" s="9" customFormat="true" ht="14.25" hidden="false" customHeight="false" outlineLevel="0" collapsed="false">
      <c r="B86" s="9" t="s">
        <v>279</v>
      </c>
      <c r="E86" s="59"/>
      <c r="F86" s="73" t="n">
        <f aca="false">+SUM(F87:F89)</f>
        <v>1</v>
      </c>
      <c r="G86" s="73" t="n">
        <f aca="false">+SUM(G87:G89)</f>
        <v>1</v>
      </c>
      <c r="H86" s="73" t="n">
        <f aca="false">+SUM(H87:H89)</f>
        <v>1</v>
      </c>
      <c r="I86" s="73" t="n">
        <f aca="false">+SUM(I87:I89)</f>
        <v>1</v>
      </c>
      <c r="J86" s="73" t="n">
        <f aca="false">+SUM(J87:J89)</f>
        <v>1</v>
      </c>
      <c r="K86" s="73" t="n">
        <f aca="false">+SUM(K87:K89)</f>
        <v>1</v>
      </c>
      <c r="L86" s="73" t="n">
        <f aca="false">+SUM(L87:L89)</f>
        <v>1</v>
      </c>
      <c r="M86" s="73" t="n">
        <f aca="false">+SUM(M87:M89)</f>
        <v>1</v>
      </c>
      <c r="N86" s="73" t="n">
        <f aca="false">+SUM(N87:N89)</f>
        <v>1</v>
      </c>
      <c r="O86" s="73" t="n">
        <f aca="false">+SUM(O87:O89)</f>
        <v>1</v>
      </c>
      <c r="P86" s="73" t="n">
        <f aca="false">+SUM(P87:P89)</f>
        <v>1</v>
      </c>
      <c r="Q86" s="73" t="n">
        <f aca="false">+SUM(Q87:Q89)</f>
        <v>1</v>
      </c>
      <c r="R86" s="73" t="n">
        <f aca="false">+SUM(R87:R89)</f>
        <v>1</v>
      </c>
      <c r="S86" s="73" t="n">
        <f aca="false">+SUM(S87:S89)</f>
        <v>1</v>
      </c>
    </row>
    <row r="87" customFormat="false" ht="14.25" hidden="false" customHeight="false" outlineLevel="0" collapsed="false">
      <c r="B87" s="49" t="s">
        <v>280</v>
      </c>
      <c r="E87" s="102"/>
      <c r="F87" s="102" t="n">
        <f aca="false">0.51*0.8</f>
        <v>0.408</v>
      </c>
      <c r="G87" s="102" t="n">
        <f aca="false">0.51*0.8</f>
        <v>0.408</v>
      </c>
      <c r="H87" s="102" t="n">
        <f aca="false">0.51*0.8</f>
        <v>0.408</v>
      </c>
      <c r="I87" s="102" t="n">
        <f aca="false">0.51*0.8</f>
        <v>0.408</v>
      </c>
      <c r="J87" s="102" t="n">
        <f aca="false">0.51*0.8</f>
        <v>0.408</v>
      </c>
      <c r="K87" s="102" t="n">
        <f aca="false">0.51*0.8</f>
        <v>0.408</v>
      </c>
      <c r="L87" s="102" t="n">
        <f aca="false">0.51*0.8</f>
        <v>0.408</v>
      </c>
      <c r="M87" s="102" t="n">
        <f aca="false">0.51*0.8</f>
        <v>0.408</v>
      </c>
      <c r="N87" s="102" t="n">
        <f aca="false">0.51*0.8</f>
        <v>0.408</v>
      </c>
      <c r="O87" s="102" t="n">
        <f aca="false">0.51*0.8</f>
        <v>0.408</v>
      </c>
      <c r="P87" s="102" t="n">
        <f aca="false">0.51*0.8</f>
        <v>0.408</v>
      </c>
      <c r="Q87" s="102" t="n">
        <f aca="false">0.51*0.8</f>
        <v>0.408</v>
      </c>
      <c r="R87" s="102" t="n">
        <f aca="false">0.51*0.8</f>
        <v>0.408</v>
      </c>
      <c r="S87" s="102" t="n">
        <f aca="false">0.51*0.8</f>
        <v>0.408</v>
      </c>
    </row>
    <row r="88" customFormat="false" ht="14.25" hidden="false" customHeight="false" outlineLevel="0" collapsed="false">
      <c r="B88" s="49" t="s">
        <v>281</v>
      </c>
      <c r="E88" s="65"/>
      <c r="F88" s="102" t="n">
        <f aca="false">0.49*0.8</f>
        <v>0.392</v>
      </c>
      <c r="G88" s="102" t="n">
        <f aca="false">0.49*0.8</f>
        <v>0.392</v>
      </c>
      <c r="H88" s="102" t="n">
        <f aca="false">0.49*0.8</f>
        <v>0.392</v>
      </c>
      <c r="I88" s="102" t="n">
        <f aca="false">0.49*0.8</f>
        <v>0.392</v>
      </c>
      <c r="J88" s="102" t="n">
        <f aca="false">0.49*0.8</f>
        <v>0.392</v>
      </c>
      <c r="K88" s="102" t="n">
        <f aca="false">0.49*0.8</f>
        <v>0.392</v>
      </c>
      <c r="L88" s="102" t="n">
        <f aca="false">0.49*0.8</f>
        <v>0.392</v>
      </c>
      <c r="M88" s="102" t="n">
        <f aca="false">0.49*0.8</f>
        <v>0.392</v>
      </c>
      <c r="N88" s="102" t="n">
        <f aca="false">0.49*0.8</f>
        <v>0.392</v>
      </c>
      <c r="O88" s="102" t="n">
        <f aca="false">0.49*0.8</f>
        <v>0.392</v>
      </c>
      <c r="P88" s="102" t="n">
        <f aca="false">0.49*0.8</f>
        <v>0.392</v>
      </c>
      <c r="Q88" s="102" t="n">
        <f aca="false">0.49*0.8</f>
        <v>0.392</v>
      </c>
      <c r="R88" s="102" t="n">
        <f aca="false">0.49*0.8</f>
        <v>0.392</v>
      </c>
      <c r="S88" s="102" t="n">
        <f aca="false">0.49*0.8</f>
        <v>0.392</v>
      </c>
    </row>
    <row r="89" customFormat="false" ht="14.25" hidden="false" customHeight="false" outlineLevel="0" collapsed="false">
      <c r="B89" s="49" t="s">
        <v>282</v>
      </c>
      <c r="E89" s="65"/>
      <c r="F89" s="102" t="n">
        <v>0.2</v>
      </c>
      <c r="G89" s="102" t="n">
        <v>0.2</v>
      </c>
      <c r="H89" s="102" t="n">
        <v>0.2</v>
      </c>
      <c r="I89" s="102" t="n">
        <v>0.2</v>
      </c>
      <c r="J89" s="102" t="n">
        <v>0.2</v>
      </c>
      <c r="K89" s="102" t="n">
        <v>0.2</v>
      </c>
      <c r="L89" s="102" t="n">
        <v>0.2</v>
      </c>
      <c r="M89" s="102" t="n">
        <v>0.2</v>
      </c>
      <c r="N89" s="102" t="n">
        <v>0.2</v>
      </c>
      <c r="O89" s="102" t="n">
        <v>0.2</v>
      </c>
      <c r="P89" s="102" t="n">
        <v>0.2</v>
      </c>
      <c r="Q89" s="102" t="n">
        <v>0.2</v>
      </c>
      <c r="R89" s="102" t="n">
        <v>0.2</v>
      </c>
      <c r="S89" s="102" t="n">
        <v>0.2</v>
      </c>
    </row>
    <row r="90" customFormat="false" ht="14.25" hidden="false" customHeight="false" outlineLevel="0" collapsed="false">
      <c r="B90" s="49"/>
      <c r="E90" s="65"/>
      <c r="F90" s="65"/>
      <c r="G90" s="65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</row>
    <row r="91" customFormat="false" ht="14.25" hidden="false" customHeight="false" outlineLevel="0" collapsed="false">
      <c r="B91" s="49" t="s">
        <v>283</v>
      </c>
      <c r="E91" s="65"/>
      <c r="F91" s="56" t="n">
        <v>149.625</v>
      </c>
      <c r="G91" s="56" t="n">
        <v>151.705</v>
      </c>
      <c r="H91" s="56" t="n">
        <v>193.817</v>
      </c>
      <c r="I91" s="56" t="n">
        <v>176.458</v>
      </c>
      <c r="J91" s="6" t="n">
        <f aca="false">+(1+J95)*I91</f>
        <v>181.75174</v>
      </c>
      <c r="K91" s="6" t="n">
        <f aca="false">+(1+K95)*J91</f>
        <v>187.2042922</v>
      </c>
      <c r="L91" s="6" t="n">
        <f aca="false">+(1+L95)*K91</f>
        <v>192.820420966</v>
      </c>
      <c r="M91" s="6" t="n">
        <f aca="false">+(1+M95)*L91</f>
        <v>198.60503359498</v>
      </c>
      <c r="N91" s="6" t="n">
        <f aca="false">+(1+N95)*M91</f>
        <v>204.563184602829</v>
      </c>
      <c r="O91" s="6" t="n">
        <f aca="false">+(1+O95)*N91</f>
        <v>210.700080140914</v>
      </c>
      <c r="P91" s="6" t="n">
        <f aca="false">+(1+P95)*O91</f>
        <v>217.021082545142</v>
      </c>
      <c r="Q91" s="6" t="n">
        <f aca="false">+(1+Q95)*P91</f>
        <v>223.531715021496</v>
      </c>
      <c r="R91" s="6" t="n">
        <f aca="false">+(1+R95)*Q91</f>
        <v>230.237666472141</v>
      </c>
      <c r="S91" s="6" t="n">
        <f aca="false">+(1+S95)*R91</f>
        <v>237.144796466305</v>
      </c>
    </row>
    <row r="92" customFormat="false" ht="14.25" hidden="false" customHeight="false" outlineLevel="0" collapsed="false">
      <c r="B92" s="49" t="s">
        <v>284</v>
      </c>
      <c r="E92" s="65"/>
      <c r="F92" s="56" t="n">
        <v>-108.667</v>
      </c>
      <c r="G92" s="56" t="n">
        <v>-108.891</v>
      </c>
      <c r="H92" s="56" t="n">
        <v>-144.354</v>
      </c>
      <c r="I92" s="56" t="n">
        <v>-143.968</v>
      </c>
      <c r="J92" s="6" t="n">
        <f aca="false">+J96*J91*-1</f>
        <v>-136.313805</v>
      </c>
      <c r="K92" s="6" t="n">
        <f aca="false">+K96*K91*-1</f>
        <v>-140.40321915</v>
      </c>
      <c r="L92" s="6" t="n">
        <f aca="false">+L96*L91*-1</f>
        <v>-144.6153157245</v>
      </c>
      <c r="M92" s="6" t="n">
        <f aca="false">+M96*M91*-1</f>
        <v>-148.953775196235</v>
      </c>
      <c r="N92" s="6" t="n">
        <f aca="false">+N96*N91*-1</f>
        <v>-153.422388452122</v>
      </c>
      <c r="O92" s="6" t="n">
        <f aca="false">+O96*O91*-1</f>
        <v>-158.025060105686</v>
      </c>
      <c r="P92" s="6" t="n">
        <f aca="false">+P96*P91*-1</f>
        <v>-162.765811908856</v>
      </c>
      <c r="Q92" s="6" t="n">
        <f aca="false">+Q96*Q91*-1</f>
        <v>-167.648786266122</v>
      </c>
      <c r="R92" s="6" t="n">
        <f aca="false">+R96*R91*-1</f>
        <v>-172.678249854106</v>
      </c>
      <c r="S92" s="6" t="n">
        <f aca="false">+S96*S91*-1</f>
        <v>-177.858597349729</v>
      </c>
    </row>
    <row r="93" s="9" customFormat="true" ht="14.25" hidden="false" customHeight="false" outlineLevel="0" collapsed="false">
      <c r="B93" s="103" t="s">
        <v>285</v>
      </c>
      <c r="C93" s="51"/>
      <c r="D93" s="51"/>
      <c r="E93" s="104"/>
      <c r="F93" s="51" t="n">
        <f aca="false">SUM(F91:F92)</f>
        <v>40.958</v>
      </c>
      <c r="G93" s="51" t="n">
        <f aca="false">SUM(G91:G92)</f>
        <v>42.814</v>
      </c>
      <c r="H93" s="51" t="n">
        <f aca="false">SUM(H91:H92)</f>
        <v>49.463</v>
      </c>
      <c r="I93" s="51" t="n">
        <f aca="false">SUM(I91:I92)</f>
        <v>32.49</v>
      </c>
      <c r="J93" s="51" t="n">
        <f aca="false">SUM(J91:J92)</f>
        <v>45.437935</v>
      </c>
      <c r="K93" s="51" t="n">
        <f aca="false">SUM(K91:K92)</f>
        <v>46.80107305</v>
      </c>
      <c r="L93" s="51" t="n">
        <f aca="false">SUM(L91:L92)</f>
        <v>48.2051052415</v>
      </c>
      <c r="M93" s="51" t="n">
        <f aca="false">SUM(M91:M92)</f>
        <v>49.651258398745</v>
      </c>
      <c r="N93" s="51" t="n">
        <f aca="false">SUM(N91:N92)</f>
        <v>51.1407961507074</v>
      </c>
      <c r="O93" s="51" t="n">
        <f aca="false">SUM(O91:O92)</f>
        <v>52.6750200352286</v>
      </c>
      <c r="P93" s="51" t="n">
        <f aca="false">SUM(P91:P92)</f>
        <v>54.2552706362854</v>
      </c>
      <c r="Q93" s="51" t="n">
        <f aca="false">SUM(Q91:Q92)</f>
        <v>55.882928755374</v>
      </c>
      <c r="R93" s="51" t="n">
        <f aca="false">SUM(R91:R92)</f>
        <v>57.5594166180352</v>
      </c>
      <c r="S93" s="51" t="n">
        <f aca="false">SUM(S91:S92)</f>
        <v>59.2861991165763</v>
      </c>
    </row>
    <row r="94" s="9" customFormat="true" ht="14.25" hidden="false" customHeight="false" outlineLevel="0" collapsed="false">
      <c r="B94" s="105"/>
      <c r="E94" s="59"/>
      <c r="J94" s="106"/>
      <c r="K94" s="106"/>
      <c r="L94" s="106"/>
      <c r="M94" s="106"/>
      <c r="N94" s="106"/>
      <c r="O94" s="106"/>
      <c r="P94" s="106"/>
      <c r="Q94" s="106"/>
      <c r="R94" s="106"/>
      <c r="S94" s="106"/>
    </row>
    <row r="95" customFormat="false" ht="14.25" hidden="false" customHeight="false" outlineLevel="0" collapsed="false">
      <c r="B95" s="69" t="s">
        <v>286</v>
      </c>
      <c r="E95" s="65"/>
      <c r="G95" s="46" t="n">
        <f aca="false">+G91/F91-1</f>
        <v>0.0139014202172099</v>
      </c>
      <c r="H95" s="46" t="n">
        <f aca="false">+H91/G91-1</f>
        <v>0.277591378003362</v>
      </c>
      <c r="I95" s="46" t="n">
        <f aca="false">+I91/H91-1</f>
        <v>-0.0895638669466559</v>
      </c>
      <c r="J95" s="70" t="n">
        <v>0.03</v>
      </c>
      <c r="K95" s="70" t="n">
        <v>0.03</v>
      </c>
      <c r="L95" s="70" t="n">
        <v>0.03</v>
      </c>
      <c r="M95" s="70" t="n">
        <v>0.03</v>
      </c>
      <c r="N95" s="70" t="n">
        <v>0.03</v>
      </c>
      <c r="O95" s="70" t="n">
        <v>0.03</v>
      </c>
      <c r="P95" s="70" t="n">
        <v>0.03</v>
      </c>
      <c r="Q95" s="70" t="n">
        <v>0.03</v>
      </c>
      <c r="R95" s="70" t="n">
        <v>0.03</v>
      </c>
      <c r="S95" s="70" t="n">
        <v>0.03</v>
      </c>
    </row>
    <row r="96" customFormat="false" ht="14.25" hidden="false" customHeight="false" outlineLevel="0" collapsed="false">
      <c r="B96" s="69" t="s">
        <v>287</v>
      </c>
      <c r="E96" s="65"/>
      <c r="F96" s="65"/>
      <c r="G96" s="46" t="n">
        <f aca="false">+G92/G91*-1</f>
        <v>0.717781220131176</v>
      </c>
      <c r="H96" s="46" t="n">
        <f aca="false">+H92/H91*-1</f>
        <v>0.744795348189271</v>
      </c>
      <c r="I96" s="46" t="n">
        <f aca="false">+I92/I91*-1</f>
        <v>0.8158768658831</v>
      </c>
      <c r="J96" s="70" t="n">
        <v>0.75</v>
      </c>
      <c r="K96" s="70" t="n">
        <v>0.75</v>
      </c>
      <c r="L96" s="70" t="n">
        <v>0.75</v>
      </c>
      <c r="M96" s="70" t="n">
        <v>0.75</v>
      </c>
      <c r="N96" s="70" t="n">
        <v>0.75</v>
      </c>
      <c r="O96" s="70" t="n">
        <v>0.75</v>
      </c>
      <c r="P96" s="70" t="n">
        <v>0.75</v>
      </c>
      <c r="Q96" s="70" t="n">
        <v>0.75</v>
      </c>
      <c r="R96" s="70" t="n">
        <v>0.75</v>
      </c>
      <c r="S96" s="70" t="n">
        <v>0.75</v>
      </c>
    </row>
    <row r="97" customFormat="false" ht="14.25" hidden="false" customHeight="false" outlineLevel="0" collapsed="false">
      <c r="B97" s="69"/>
      <c r="E97" s="65"/>
      <c r="F97" s="65"/>
      <c r="G97" s="46"/>
      <c r="H97" s="46"/>
      <c r="I97" s="46"/>
      <c r="J97" s="96"/>
      <c r="K97" s="96"/>
      <c r="L97" s="96"/>
      <c r="M97" s="96"/>
      <c r="N97" s="96"/>
      <c r="O97" s="96"/>
      <c r="P97" s="96"/>
      <c r="Q97" s="96"/>
      <c r="R97" s="96"/>
      <c r="S97" s="96"/>
    </row>
    <row r="98" customFormat="false" ht="14.25" hidden="false" customHeight="false" outlineLevel="0" collapsed="false">
      <c r="B98" s="69" t="s">
        <v>288</v>
      </c>
      <c r="E98" s="65"/>
      <c r="F98" s="65" t="n">
        <f aca="false">+'P&amp;L'!E35</f>
        <v>7.312</v>
      </c>
      <c r="G98" s="65" t="n">
        <f aca="false">+'P&amp;L'!F35</f>
        <v>23.292</v>
      </c>
      <c r="H98" s="65" t="n">
        <f aca="false">+'P&amp;L'!G35</f>
        <v>27.175</v>
      </c>
      <c r="I98" s="65" t="n">
        <f aca="false">+'P&amp;L'!H35</f>
        <v>30.186</v>
      </c>
      <c r="J98" s="81" t="n">
        <f aca="false">+J99*J93</f>
        <v>26.89925752</v>
      </c>
      <c r="K98" s="81" t="n">
        <f aca="false">+K99*K93</f>
        <v>27.7062352456</v>
      </c>
      <c r="L98" s="81" t="n">
        <f aca="false">+L99*L93</f>
        <v>28.537422302968</v>
      </c>
      <c r="M98" s="81" t="n">
        <f aca="false">+M99*M93</f>
        <v>29.393544972057</v>
      </c>
      <c r="N98" s="81" t="n">
        <f aca="false">+N99*N93</f>
        <v>30.2753513212188</v>
      </c>
      <c r="O98" s="81" t="n">
        <f aca="false">+O99*O93</f>
        <v>31.1836118608553</v>
      </c>
      <c r="P98" s="81" t="n">
        <f aca="false">+P99*P93</f>
        <v>32.119120216681</v>
      </c>
      <c r="Q98" s="81" t="n">
        <f aca="false">+Q99*Q93</f>
        <v>33.0826938231814</v>
      </c>
      <c r="R98" s="81" t="n">
        <f aca="false">+R99*R93</f>
        <v>34.0751746378769</v>
      </c>
      <c r="S98" s="81" t="n">
        <f aca="false">+S99*S93</f>
        <v>35.0974298770132</v>
      </c>
    </row>
    <row r="99" customFormat="false" ht="14.25" hidden="false" customHeight="false" outlineLevel="0" collapsed="false">
      <c r="B99" s="69" t="s">
        <v>289</v>
      </c>
      <c r="E99" s="65"/>
      <c r="F99" s="46" t="n">
        <f aca="false">+F98/F93</f>
        <v>0.178524342008887</v>
      </c>
      <c r="G99" s="46" t="n">
        <f aca="false">+G98/G93</f>
        <v>0.544027654505536</v>
      </c>
      <c r="H99" s="46" t="n">
        <f aca="false">+H98/H93</f>
        <v>0.54940056203627</v>
      </c>
      <c r="I99" s="46" t="n">
        <f aca="false">+I98/I93</f>
        <v>0.929085872576177</v>
      </c>
      <c r="J99" s="70" t="n">
        <f aca="false">+J88+J89</f>
        <v>0.592</v>
      </c>
      <c r="K99" s="70" t="n">
        <f aca="false">+K88+K89</f>
        <v>0.592</v>
      </c>
      <c r="L99" s="70" t="n">
        <f aca="false">+L88+L89</f>
        <v>0.592</v>
      </c>
      <c r="M99" s="70" t="n">
        <f aca="false">+M88+M89</f>
        <v>0.592</v>
      </c>
      <c r="N99" s="70" t="n">
        <f aca="false">+N88+N89</f>
        <v>0.592</v>
      </c>
      <c r="O99" s="70" t="n">
        <f aca="false">+O88+O89</f>
        <v>0.592</v>
      </c>
      <c r="P99" s="70" t="n">
        <f aca="false">+P88+P89</f>
        <v>0.592</v>
      </c>
      <c r="Q99" s="70" t="n">
        <f aca="false">+Q88+Q89</f>
        <v>0.592</v>
      </c>
      <c r="R99" s="70" t="n">
        <f aca="false">+R88+R89</f>
        <v>0.592</v>
      </c>
      <c r="S99" s="70" t="n">
        <f aca="false">+S88+S89</f>
        <v>0.592</v>
      </c>
    </row>
    <row r="100" customFormat="false" ht="14.25" hidden="false" customHeight="false" outlineLevel="0" collapsed="false">
      <c r="B100" s="69"/>
      <c r="E100" s="65"/>
      <c r="F100" s="46"/>
      <c r="G100" s="46"/>
      <c r="H100" s="46"/>
      <c r="I100" s="46"/>
      <c r="J100" s="96"/>
      <c r="K100" s="96"/>
      <c r="L100" s="96"/>
      <c r="M100" s="96"/>
      <c r="N100" s="96"/>
      <c r="O100" s="96"/>
      <c r="P100" s="96"/>
      <c r="Q100" s="96"/>
      <c r="R100" s="96"/>
      <c r="S100" s="96"/>
    </row>
    <row r="101" customFormat="false" ht="14.25" hidden="false" customHeight="false" outlineLevel="0" collapsed="false">
      <c r="B101" s="69" t="s">
        <v>290</v>
      </c>
      <c r="E101" s="65"/>
      <c r="F101" s="46"/>
      <c r="G101" s="46" t="n">
        <f aca="false">+G82/F82-1</f>
        <v>0.255205011816784</v>
      </c>
      <c r="H101" s="46" t="n">
        <f aca="false">+H82/G82-1</f>
        <v>-0.0598625224148237</v>
      </c>
      <c r="I101" s="46" t="n">
        <f aca="false">+I82/H82-1</f>
        <v>0.0684108465524367</v>
      </c>
      <c r="J101" s="70" t="n">
        <v>0.02</v>
      </c>
      <c r="K101" s="70" t="n">
        <v>0.02</v>
      </c>
      <c r="L101" s="70" t="n">
        <v>0.02</v>
      </c>
      <c r="M101" s="70" t="n">
        <v>0.02</v>
      </c>
      <c r="N101" s="70" t="n">
        <v>0.02</v>
      </c>
      <c r="O101" s="70" t="n">
        <v>0.02</v>
      </c>
      <c r="P101" s="70" t="n">
        <v>0.02</v>
      </c>
      <c r="Q101" s="70" t="n">
        <v>0.02</v>
      </c>
      <c r="R101" s="70" t="n">
        <v>0.02</v>
      </c>
      <c r="S101" s="70" t="n">
        <v>0.02</v>
      </c>
    </row>
    <row r="103" customFormat="false" ht="14.25" hidden="false" customHeight="false" outlineLevel="0" collapsed="false">
      <c r="A103" s="6" t="s">
        <v>2</v>
      </c>
      <c r="B103" s="5" t="s">
        <v>291</v>
      </c>
    </row>
    <row r="104" customFormat="false" ht="14.25" hidden="false" customHeight="false" outlineLevel="0" collapsed="false">
      <c r="B104" s="6" t="s">
        <v>292</v>
      </c>
      <c r="E104" s="65" t="n">
        <f aca="false">+'P&amp;L'!E20</f>
        <v>-86.2</v>
      </c>
      <c r="F104" s="65" t="n">
        <f aca="false">+'P&amp;L'!F20</f>
        <v>-81.121</v>
      </c>
      <c r="G104" s="65" t="n">
        <f aca="false">+'P&amp;L'!G20</f>
        <v>-83.098</v>
      </c>
      <c r="H104" s="65" t="n">
        <f aca="false">+'P&amp;L'!H20</f>
        <v>-80.539</v>
      </c>
      <c r="I104" s="65" t="n">
        <f aca="false">+'P&amp;L'!I20</f>
        <v>-104.129</v>
      </c>
      <c r="J104" s="6" t="n">
        <f aca="false">+J105*J10*-1</f>
        <v>-101.230568657498</v>
      </c>
      <c r="K104" s="6" t="n">
        <f aca="false">+K105*K10*-1</f>
        <v>-112.180678426514</v>
      </c>
      <c r="L104" s="6" t="n">
        <f aca="false">+L105*L10*-1</f>
        <v>-125.627920310313</v>
      </c>
      <c r="M104" s="6" t="n">
        <f aca="false">+M105*M10*-1</f>
        <v>-135.911467971575</v>
      </c>
      <c r="N104" s="6" t="n">
        <f aca="false">+N105*N10*-1</f>
        <v>-144.498151066151</v>
      </c>
      <c r="O104" s="6" t="n">
        <f aca="false">+O105*O10*-1</f>
        <v>-152.068871477826</v>
      </c>
      <c r="P104" s="6" t="n">
        <f aca="false">+P105*P10*-1</f>
        <v>-159.573623869497</v>
      </c>
      <c r="Q104" s="6" t="n">
        <f aca="false">+Q105*Q10*-1</f>
        <v>-167.318772612358</v>
      </c>
      <c r="R104" s="6" t="n">
        <f aca="false">+R105*R10*-1</f>
        <v>-175.350228352029</v>
      </c>
      <c r="S104" s="6" t="n">
        <f aca="false">+S105*S10*-1</f>
        <v>-184.09245537799</v>
      </c>
    </row>
    <row r="105" customFormat="false" ht="14.25" hidden="false" customHeight="false" outlineLevel="0" collapsed="false">
      <c r="B105" s="6" t="s">
        <v>293</v>
      </c>
      <c r="E105" s="46" t="n">
        <f aca="false">+E104/E10*-1</f>
        <v>0.19842731391109</v>
      </c>
      <c r="F105" s="46" t="n">
        <f aca="false">+F104/F10*-1</f>
        <v>0.184449749886312</v>
      </c>
      <c r="G105" s="46" t="n">
        <f aca="false">+G104/G10*-1</f>
        <v>0.195233463492108</v>
      </c>
      <c r="H105" s="46" t="n">
        <f aca="false">+H104/H10*-1</f>
        <v>0.177973367746954</v>
      </c>
      <c r="I105" s="46" t="n">
        <f aca="false">+I104/I10*-1</f>
        <v>0.205292346758724</v>
      </c>
      <c r="J105" s="70" t="n">
        <f aca="false">+AVERAGE(E105:I105)</f>
        <v>0.192275248359037</v>
      </c>
      <c r="K105" s="70" t="n">
        <f aca="false">+J105</f>
        <v>0.192275248359037</v>
      </c>
      <c r="L105" s="70" t="n">
        <f aca="false">+K105</f>
        <v>0.192275248359037</v>
      </c>
      <c r="M105" s="70" t="n">
        <f aca="false">+L105</f>
        <v>0.192275248359037</v>
      </c>
      <c r="N105" s="70" t="n">
        <f aca="false">+M105</f>
        <v>0.192275248359037</v>
      </c>
      <c r="O105" s="70" t="n">
        <f aca="false">+N105</f>
        <v>0.192275248359037</v>
      </c>
      <c r="P105" s="70" t="n">
        <f aca="false">+O105</f>
        <v>0.192275248359037</v>
      </c>
      <c r="Q105" s="70" t="n">
        <f aca="false">+P105</f>
        <v>0.192275248359037</v>
      </c>
      <c r="R105" s="70" t="n">
        <f aca="false">+Q105</f>
        <v>0.192275248359037</v>
      </c>
      <c r="S105" s="70" t="n">
        <f aca="false">+R105</f>
        <v>0.192275248359037</v>
      </c>
    </row>
    <row r="107" customFormat="false" ht="14.25" hidden="false" customHeight="false" outlineLevel="0" collapsed="false">
      <c r="B107" s="6" t="s">
        <v>294</v>
      </c>
      <c r="E107" s="65" t="n">
        <f aca="false">+'P&amp;L'!E30</f>
        <v>-2.166</v>
      </c>
      <c r="F107" s="65" t="n">
        <f aca="false">+'P&amp;L'!F30</f>
        <v>1.77</v>
      </c>
      <c r="G107" s="65" t="n">
        <f aca="false">+'P&amp;L'!G30</f>
        <v>-0.489</v>
      </c>
      <c r="H107" s="65" t="n">
        <f aca="false">+'P&amp;L'!H30</f>
        <v>-3.049</v>
      </c>
      <c r="I107" s="65" t="n">
        <f aca="false">+'P&amp;L'!I30</f>
        <v>-0.347</v>
      </c>
      <c r="J107" s="6" t="n">
        <f aca="false">+(J109*J12-J108)*-1</f>
        <v>-6.99242356328072</v>
      </c>
      <c r="K107" s="6" t="n">
        <f aca="false">+(K109*K12-K108)*-1</f>
        <v>-14.2256718244804</v>
      </c>
      <c r="L107" s="6" t="n">
        <f aca="false">+(L109*L12-L108)*-1</f>
        <v>-17.9765747739621</v>
      </c>
      <c r="M107" s="6" t="n">
        <f aca="false">+(M109*M12-M108)*-1</f>
        <v>-21.1712728900846</v>
      </c>
      <c r="N107" s="6" t="n">
        <f aca="false">+(N109*N12-N108)*-1</f>
        <v>-23.3585281355315</v>
      </c>
      <c r="O107" s="6" t="n">
        <f aca="false">+(O109*O12-O108)*-1</f>
        <v>-25.4034304449659</v>
      </c>
      <c r="P107" s="6" t="n">
        <f aca="false">+(P109*P12-P108)*-1</f>
        <v>-27.5366982733718</v>
      </c>
      <c r="Q107" s="6" t="n">
        <f aca="false">+(Q109*Q12-Q108)*-1</f>
        <v>-29.8342959000931</v>
      </c>
      <c r="R107" s="6" t="n">
        <f aca="false">+(R109*R12-R108)*-1</f>
        <v>-31.9362626402478</v>
      </c>
      <c r="S107" s="6" t="n">
        <f aca="false">+(S109*S12-S108)*-1</f>
        <v>-34.4708207128167</v>
      </c>
    </row>
    <row r="108" customFormat="false" ht="14.25" hidden="false" customHeight="false" outlineLevel="0" collapsed="false">
      <c r="B108" s="6" t="s">
        <v>295</v>
      </c>
      <c r="E108" s="65" t="n">
        <f aca="false">+'P&amp;L'!E31</f>
        <v>0.675</v>
      </c>
      <c r="F108" s="65" t="n">
        <f aca="false">+'P&amp;L'!F31</f>
        <v>1.936</v>
      </c>
      <c r="G108" s="65" t="n">
        <f aca="false">+'P&amp;L'!G31</f>
        <v>-1.217</v>
      </c>
      <c r="H108" s="65" t="n">
        <f aca="false">+'P&amp;L'!H31</f>
        <v>6.347</v>
      </c>
      <c r="I108" s="65" t="n">
        <f aca="false">+'P&amp;L'!I31</f>
        <v>1.904</v>
      </c>
      <c r="J108" s="66" t="n">
        <v>0</v>
      </c>
      <c r="K108" s="66" t="n">
        <v>0</v>
      </c>
      <c r="L108" s="66" t="n">
        <v>0</v>
      </c>
      <c r="M108" s="66" t="n">
        <v>0</v>
      </c>
      <c r="N108" s="66" t="n">
        <v>0</v>
      </c>
      <c r="O108" s="66" t="n">
        <v>0</v>
      </c>
      <c r="P108" s="66" t="n">
        <v>0</v>
      </c>
      <c r="Q108" s="66" t="n">
        <v>0</v>
      </c>
      <c r="R108" s="66" t="n">
        <v>0</v>
      </c>
      <c r="S108" s="66" t="n">
        <v>0</v>
      </c>
    </row>
    <row r="109" customFormat="false" ht="14.25" hidden="false" customHeight="false" outlineLevel="0" collapsed="false">
      <c r="B109" s="6" t="s">
        <v>296</v>
      </c>
      <c r="E109" s="46" t="n">
        <f aca="false">+SUM(E107:E108)/E12*-1</f>
        <v>-0.283621837549933</v>
      </c>
      <c r="F109" s="46" t="n">
        <f aca="false">+SUM(F107:F108)/F12*-1</f>
        <v>0.0452458856277775</v>
      </c>
      <c r="G109" s="46" t="n">
        <f aca="false">+SUM(G107:G108)/G12*-1</f>
        <v>-0.00823816307313422</v>
      </c>
      <c r="H109" s="46" t="n">
        <f aca="false">+SUM(H107:H108)/H12*-1</f>
        <v>-0.166473171470395</v>
      </c>
      <c r="I109" s="46" t="n">
        <f aca="false">+SUM(I107:I108)/I12*-1</f>
        <v>-0.0515477569938751</v>
      </c>
      <c r="J109" s="70" t="n">
        <v>0.29</v>
      </c>
      <c r="K109" s="70" t="n">
        <v>0.29</v>
      </c>
      <c r="L109" s="70" t="n">
        <v>0.29</v>
      </c>
      <c r="M109" s="70" t="n">
        <v>0.29</v>
      </c>
      <c r="N109" s="70" t="n">
        <v>0.29</v>
      </c>
      <c r="O109" s="70" t="n">
        <v>0.29</v>
      </c>
      <c r="P109" s="70" t="n">
        <v>0.29</v>
      </c>
      <c r="Q109" s="70" t="n">
        <v>0.29</v>
      </c>
      <c r="R109" s="70" t="n">
        <v>0.29</v>
      </c>
      <c r="S109" s="70" t="n">
        <v>0.29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S7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J30" activeCellId="0" sqref="J30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  <col collapsed="false" customWidth="false" hidden="false" outlineLevel="0" max="2" min="2" style="1" width="15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E4" s="3" t="n">
        <v>2018</v>
      </c>
      <c r="F4" s="3" t="n">
        <f aca="false">+E4+1</f>
        <v>2019</v>
      </c>
      <c r="G4" s="3" t="n">
        <f aca="false">+F4+1</f>
        <v>2020</v>
      </c>
      <c r="H4" s="3" t="n">
        <f aca="false">+G4+1</f>
        <v>2021</v>
      </c>
      <c r="I4" s="3" t="n">
        <f aca="false">+H4+1</f>
        <v>2022</v>
      </c>
      <c r="J4" s="4" t="n">
        <f aca="false">+I4+1</f>
        <v>2023</v>
      </c>
      <c r="K4" s="4" t="n">
        <f aca="false">+J4+1</f>
        <v>2024</v>
      </c>
      <c r="L4" s="4" t="n">
        <f aca="false">+K4+1</f>
        <v>2025</v>
      </c>
      <c r="M4" s="4" t="n">
        <f aca="false">+L4+1</f>
        <v>2026</v>
      </c>
      <c r="N4" s="4" t="n">
        <f aca="false">+M4+1</f>
        <v>2027</v>
      </c>
      <c r="O4" s="4" t="n">
        <f aca="false">+N4+1</f>
        <v>2028</v>
      </c>
      <c r="P4" s="4" t="n">
        <f aca="false">+O4+1</f>
        <v>2029</v>
      </c>
      <c r="Q4" s="4" t="n">
        <f aca="false">+P4+1</f>
        <v>2030</v>
      </c>
      <c r="R4" s="4" t="n">
        <f aca="false">+Q4+1</f>
        <v>2031</v>
      </c>
      <c r="S4" s="4" t="n">
        <f aca="false">+R4+1</f>
        <v>2032</v>
      </c>
    </row>
    <row r="6" customFormat="false" ht="14.25" hidden="false" customHeight="false" outlineLevel="0" collapsed="false">
      <c r="A6" s="6" t="s">
        <v>2</v>
      </c>
      <c r="B6" s="5" t="s">
        <v>297</v>
      </c>
    </row>
    <row r="7" customFormat="false" ht="14.25" hidden="false" customHeight="false" outlineLevel="0" collapsed="false">
      <c r="B7" s="6" t="s">
        <v>298</v>
      </c>
      <c r="E7" s="65" t="n">
        <f aca="false">+'BS &amp; CFS'!E21</f>
        <v>16.35</v>
      </c>
      <c r="F7" s="65" t="n">
        <f aca="false">+'BS &amp; CFS'!F21</f>
        <v>0</v>
      </c>
      <c r="G7" s="65" t="n">
        <f aca="false">+'BS &amp; CFS'!G21</f>
        <v>10</v>
      </c>
      <c r="H7" s="65" t="n">
        <f aca="false">+'BS &amp; CFS'!H21</f>
        <v>0</v>
      </c>
      <c r="I7" s="65" t="n">
        <f aca="false">+'BS &amp; CFS'!I21</f>
        <v>9.087</v>
      </c>
      <c r="J7" s="6" t="n">
        <f aca="false">+J40</f>
        <v>40.509</v>
      </c>
      <c r="K7" s="6" t="n">
        <f aca="false">+K40</f>
        <v>40.509</v>
      </c>
      <c r="L7" s="6" t="n">
        <f aca="false">+L40</f>
        <v>40.509</v>
      </c>
      <c r="M7" s="6" t="n">
        <f aca="false">+M40</f>
        <v>40.509</v>
      </c>
      <c r="N7" s="6" t="n">
        <f aca="false">+N40</f>
        <v>40.509</v>
      </c>
      <c r="O7" s="6" t="n">
        <f aca="false">+O40</f>
        <v>40.509</v>
      </c>
      <c r="P7" s="6" t="n">
        <f aca="false">+P40</f>
        <v>40.509</v>
      </c>
      <c r="Q7" s="6" t="n">
        <f aca="false">+Q40</f>
        <v>40.509</v>
      </c>
      <c r="R7" s="6" t="n">
        <f aca="false">+R40</f>
        <v>39.8547672230019</v>
      </c>
      <c r="S7" s="6" t="n">
        <f aca="false">+S40</f>
        <v>17.1650415937025</v>
      </c>
    </row>
    <row r="8" customFormat="false" ht="14.25" hidden="false" customHeight="false" outlineLevel="0" collapsed="false">
      <c r="B8" s="6" t="s">
        <v>133</v>
      </c>
      <c r="E8" s="65" t="n">
        <f aca="false">+'BS &amp; CFS'!E24</f>
        <v>93.683</v>
      </c>
      <c r="F8" s="65" t="n">
        <f aca="false">+'BS &amp; CFS'!F24</f>
        <v>92.448</v>
      </c>
      <c r="G8" s="65" t="n">
        <f aca="false">+'BS &amp; CFS'!G24</f>
        <v>66.688</v>
      </c>
      <c r="H8" s="65" t="n">
        <f aca="false">+'BS &amp; CFS'!H24</f>
        <v>65.403</v>
      </c>
      <c r="I8" s="65" t="n">
        <f aca="false">+'BS &amp; CFS'!I24</f>
        <v>84.235</v>
      </c>
      <c r="J8" s="6" t="n">
        <f aca="false">+J46</f>
        <v>85.2687096305576</v>
      </c>
      <c r="K8" s="6" t="n">
        <f aca="false">+K46</f>
        <v>90</v>
      </c>
      <c r="L8" s="6" t="n">
        <f aca="false">+L46</f>
        <v>90</v>
      </c>
      <c r="M8" s="6" t="n">
        <f aca="false">+M46</f>
        <v>90</v>
      </c>
      <c r="N8" s="6" t="n">
        <f aca="false">+N46</f>
        <v>90</v>
      </c>
      <c r="O8" s="6" t="n">
        <f aca="false">+O46</f>
        <v>90</v>
      </c>
      <c r="P8" s="6" t="n">
        <f aca="false">+P46</f>
        <v>90</v>
      </c>
      <c r="Q8" s="6" t="n">
        <f aca="false">+Q46</f>
        <v>90</v>
      </c>
      <c r="R8" s="6" t="n">
        <f aca="false">+R46</f>
        <v>90</v>
      </c>
      <c r="S8" s="6" t="n">
        <f aca="false">+S46</f>
        <v>90</v>
      </c>
    </row>
    <row r="9" customFormat="false" ht="14.25" hidden="false" customHeight="false" outlineLevel="0" collapsed="false">
      <c r="B9" s="6" t="s">
        <v>134</v>
      </c>
      <c r="E9" s="65" t="n">
        <f aca="false">+'BS &amp; CFS'!E25</f>
        <v>0</v>
      </c>
      <c r="F9" s="65" t="n">
        <f aca="false">+'BS &amp; CFS'!F25</f>
        <v>0</v>
      </c>
      <c r="G9" s="65" t="n">
        <f aca="false">+'BS &amp; CFS'!G25</f>
        <v>9.274</v>
      </c>
      <c r="H9" s="65" t="n">
        <f aca="false">+'BS &amp; CFS'!H25</f>
        <v>9.428</v>
      </c>
      <c r="I9" s="65" t="n">
        <f aca="false">+'BS &amp; CFS'!I25</f>
        <v>10.183</v>
      </c>
      <c r="J9" s="56" t="n">
        <v>0</v>
      </c>
      <c r="K9" s="56" t="n">
        <v>0</v>
      </c>
      <c r="L9" s="56" t="n">
        <v>0</v>
      </c>
      <c r="M9" s="56" t="n">
        <v>0</v>
      </c>
      <c r="N9" s="56" t="n">
        <v>0</v>
      </c>
      <c r="O9" s="56" t="n">
        <v>0</v>
      </c>
      <c r="P9" s="56" t="n">
        <v>0</v>
      </c>
      <c r="Q9" s="56" t="n">
        <v>0</v>
      </c>
      <c r="R9" s="56" t="n">
        <v>0</v>
      </c>
      <c r="S9" s="56" t="n">
        <v>0</v>
      </c>
    </row>
    <row r="10" customFormat="false" ht="14.25" hidden="false" customHeight="false" outlineLevel="0" collapsed="false">
      <c r="B10" s="6" t="s">
        <v>135</v>
      </c>
      <c r="E10" s="65" t="n">
        <f aca="false">+'BS &amp; CFS'!E26</f>
        <v>10.524</v>
      </c>
      <c r="F10" s="65" t="n">
        <f aca="false">+'BS &amp; CFS'!F26</f>
        <v>11.007</v>
      </c>
      <c r="G10" s="65" t="n">
        <f aca="false">+'BS &amp; CFS'!G26</f>
        <v>0</v>
      </c>
      <c r="H10" s="65" t="n">
        <f aca="false">+'BS &amp; CFS'!H26</f>
        <v>3.532</v>
      </c>
      <c r="I10" s="65" t="n">
        <f aca="false">+'BS &amp; CFS'!I26</f>
        <v>26.335</v>
      </c>
      <c r="J10" s="6" t="n">
        <f aca="false">+J52</f>
        <v>0</v>
      </c>
      <c r="K10" s="6" t="n">
        <f aca="false">+K52</f>
        <v>0</v>
      </c>
      <c r="L10" s="6" t="n">
        <f aca="false">+L52</f>
        <v>0</v>
      </c>
      <c r="M10" s="6" t="n">
        <f aca="false">+M52</f>
        <v>0</v>
      </c>
      <c r="N10" s="6" t="n">
        <f aca="false">+N52</f>
        <v>0</v>
      </c>
      <c r="O10" s="6" t="n">
        <f aca="false">+O52</f>
        <v>0</v>
      </c>
      <c r="P10" s="6" t="n">
        <f aca="false">+P52</f>
        <v>0</v>
      </c>
      <c r="Q10" s="6" t="n">
        <f aca="false">+Q52</f>
        <v>0</v>
      </c>
      <c r="R10" s="6" t="n">
        <f aca="false">+R52</f>
        <v>0</v>
      </c>
      <c r="S10" s="6" t="n">
        <f aca="false">+S52</f>
        <v>0</v>
      </c>
    </row>
    <row r="12" customFormat="false" ht="14.25" hidden="false" customHeight="false" outlineLevel="0" collapsed="false">
      <c r="A12" s="6" t="s">
        <v>2</v>
      </c>
      <c r="B12" s="5" t="s">
        <v>299</v>
      </c>
    </row>
    <row r="13" customFormat="false" ht="14.25" hidden="false" customHeight="false" outlineLevel="0" collapsed="false">
      <c r="B13" s="6" t="s">
        <v>137</v>
      </c>
      <c r="E13" s="65" t="n">
        <f aca="false">+'BS &amp; CFS'!E29</f>
        <v>746.046</v>
      </c>
      <c r="F13" s="65" t="n">
        <f aca="false">+'BS &amp; CFS'!F29</f>
        <v>523.061</v>
      </c>
      <c r="G13" s="65" t="n">
        <f aca="false">+'BS &amp; CFS'!G29</f>
        <v>502.006</v>
      </c>
      <c r="H13" s="65" t="n">
        <f aca="false">+'BS &amp; CFS'!H29</f>
        <v>478.862</v>
      </c>
      <c r="I13" s="65" t="n">
        <f aca="false">+'BS &amp; CFS'!I29</f>
        <v>477.804</v>
      </c>
      <c r="J13" s="6" t="n">
        <f aca="false">+J57</f>
        <v>477.804</v>
      </c>
      <c r="K13" s="6" t="n">
        <f aca="false">+K57</f>
        <v>504.937368415852</v>
      </c>
      <c r="L13" s="6" t="n">
        <f aca="false">+L57</f>
        <v>534.943099825503</v>
      </c>
      <c r="M13" s="6" t="n">
        <f aca="false">+M57</f>
        <v>557.810345285826</v>
      </c>
      <c r="N13" s="6" t="n">
        <f aca="false">+N57</f>
        <v>574.101693003218</v>
      </c>
      <c r="O13" s="6" t="n">
        <f aca="false">+O57</f>
        <v>585.599670842405</v>
      </c>
      <c r="P13" s="6" t="n">
        <f aca="false">+P57</f>
        <v>593.271010137682</v>
      </c>
      <c r="Q13" s="6" t="n">
        <f aca="false">+Q57</f>
        <v>597.120719516532</v>
      </c>
      <c r="R13" s="6" t="n">
        <f aca="false">+R57</f>
        <v>597.120719516532</v>
      </c>
      <c r="S13" s="6" t="n">
        <f aca="false">+S57</f>
        <v>597.120719516532</v>
      </c>
    </row>
    <row r="14" customFormat="false" ht="14.25" hidden="false" customHeight="false" outlineLevel="0" collapsed="false">
      <c r="B14" s="6" t="s">
        <v>138</v>
      </c>
      <c r="E14" s="65" t="n">
        <f aca="false">+'BS &amp; CFS'!E30</f>
        <v>0</v>
      </c>
      <c r="F14" s="65" t="n">
        <f aca="false">+'BS &amp; CFS'!F30</f>
        <v>0</v>
      </c>
      <c r="G14" s="65" t="n">
        <f aca="false">+'BS &amp; CFS'!G30</f>
        <v>41.552</v>
      </c>
      <c r="H14" s="65" t="n">
        <f aca="false">+'BS &amp; CFS'!H30</f>
        <v>34.407</v>
      </c>
      <c r="I14" s="65" t="n">
        <f aca="false">+'BS &amp; CFS'!I30</f>
        <v>26.056</v>
      </c>
      <c r="J14" s="6" t="n">
        <f aca="false">+J64-J9</f>
        <v>36.239</v>
      </c>
      <c r="K14" s="6" t="n">
        <f aca="false">+K64-K9</f>
        <v>36.239</v>
      </c>
      <c r="L14" s="6" t="n">
        <f aca="false">+L64-L9</f>
        <v>36.239</v>
      </c>
      <c r="M14" s="6" t="n">
        <f aca="false">+M64-M9</f>
        <v>36.239</v>
      </c>
      <c r="N14" s="6" t="n">
        <f aca="false">+N64-N9</f>
        <v>36.239</v>
      </c>
      <c r="O14" s="6" t="n">
        <f aca="false">+O64-O9</f>
        <v>36.239</v>
      </c>
      <c r="P14" s="6" t="n">
        <f aca="false">+P64-P9</f>
        <v>36.239</v>
      </c>
      <c r="Q14" s="6" t="n">
        <f aca="false">+Q64-Q9</f>
        <v>36.239</v>
      </c>
      <c r="R14" s="6" t="n">
        <f aca="false">+R64-R9</f>
        <v>36.239</v>
      </c>
      <c r="S14" s="6" t="n">
        <f aca="false">+S64-S9</f>
        <v>36.239</v>
      </c>
    </row>
    <row r="15" customFormat="false" ht="14.25" hidden="false" customHeight="false" outlineLevel="0" collapsed="false">
      <c r="I15" s="46"/>
    </row>
    <row r="16" customFormat="false" ht="14.25" hidden="false" customHeight="false" outlineLevel="0" collapsed="false">
      <c r="A16" s="6" t="s">
        <v>2</v>
      </c>
      <c r="B16" s="9" t="s">
        <v>172</v>
      </c>
    </row>
    <row r="17" customFormat="false" ht="14.25" hidden="false" customHeight="false" outlineLevel="0" collapsed="false">
      <c r="B17" s="6" t="s">
        <v>300</v>
      </c>
      <c r="J17" s="70" t="n">
        <v>0.037</v>
      </c>
      <c r="K17" s="70" t="n">
        <v>0.037</v>
      </c>
      <c r="L17" s="70" t="n">
        <v>0.037</v>
      </c>
      <c r="M17" s="70" t="n">
        <v>0.037</v>
      </c>
      <c r="N17" s="70" t="n">
        <v>0.037</v>
      </c>
      <c r="O17" s="70" t="n">
        <v>0.037</v>
      </c>
      <c r="P17" s="70" t="n">
        <v>0.037</v>
      </c>
      <c r="Q17" s="70" t="n">
        <v>0.037</v>
      </c>
      <c r="R17" s="70" t="n">
        <v>0.037</v>
      </c>
      <c r="S17" s="70" t="n">
        <v>0.037</v>
      </c>
    </row>
    <row r="18" customFormat="false" ht="14.25" hidden="false" customHeight="false" outlineLevel="0" collapsed="false">
      <c r="B18" s="6" t="s">
        <v>301</v>
      </c>
      <c r="J18" s="70" t="n">
        <v>0.0575</v>
      </c>
      <c r="K18" s="70" t="n">
        <v>0.0575</v>
      </c>
      <c r="L18" s="70" t="n">
        <v>0.0575</v>
      </c>
      <c r="M18" s="70" t="n">
        <v>0.0575</v>
      </c>
      <c r="N18" s="70" t="n">
        <v>0.0575</v>
      </c>
      <c r="O18" s="70" t="n">
        <v>0.0575</v>
      </c>
      <c r="P18" s="70" t="n">
        <v>0.0575</v>
      </c>
      <c r="Q18" s="70" t="n">
        <v>0.0575</v>
      </c>
      <c r="R18" s="70" t="n">
        <v>0.0575</v>
      </c>
      <c r="S18" s="70" t="n">
        <v>0.0575</v>
      </c>
    </row>
    <row r="19" customFormat="false" ht="14.25" hidden="false" customHeight="false" outlineLevel="0" collapsed="false">
      <c r="B19" s="6" t="s">
        <v>302</v>
      </c>
      <c r="J19" s="70" t="n">
        <v>0.056</v>
      </c>
      <c r="K19" s="70" t="n">
        <v>0.056</v>
      </c>
      <c r="L19" s="70" t="n">
        <v>0.056</v>
      </c>
      <c r="M19" s="70" t="n">
        <v>0.056</v>
      </c>
      <c r="N19" s="70" t="n">
        <v>0.056</v>
      </c>
      <c r="O19" s="70" t="n">
        <v>0.056</v>
      </c>
      <c r="P19" s="70" t="n">
        <v>0.056</v>
      </c>
      <c r="Q19" s="70" t="n">
        <v>0.056</v>
      </c>
      <c r="R19" s="70" t="n">
        <v>0.056</v>
      </c>
      <c r="S19" s="70" t="n">
        <v>0.056</v>
      </c>
    </row>
    <row r="20" customFormat="false" ht="14.25" hidden="false" customHeight="false" outlineLevel="0" collapsed="false">
      <c r="B20" s="6" t="s">
        <v>303</v>
      </c>
      <c r="J20" s="70" t="n">
        <v>0.059</v>
      </c>
      <c r="K20" s="70" t="n">
        <v>0.059</v>
      </c>
      <c r="L20" s="70" t="n">
        <v>0.059</v>
      </c>
      <c r="M20" s="70" t="n">
        <v>0.059</v>
      </c>
      <c r="N20" s="70" t="n">
        <v>0.059</v>
      </c>
      <c r="O20" s="70" t="n">
        <v>0.059</v>
      </c>
      <c r="P20" s="70" t="n">
        <v>0.059</v>
      </c>
      <c r="Q20" s="70" t="n">
        <v>0.059</v>
      </c>
      <c r="R20" s="70" t="n">
        <v>0.059</v>
      </c>
      <c r="S20" s="70" t="n">
        <v>0.059</v>
      </c>
    </row>
    <row r="22" customFormat="false" ht="14.25" hidden="false" customHeight="false" outlineLevel="0" collapsed="false">
      <c r="B22" s="6" t="s">
        <v>304</v>
      </c>
      <c r="J22" s="6" t="n">
        <f aca="false">+J41+J47+J53+J58+J65+J71</f>
        <v>-33.6676311518785</v>
      </c>
      <c r="K22" s="6" t="n">
        <f aca="false">+K41+K47+K53+K58+K65+K71</f>
        <v>-34.8976677175224</v>
      </c>
      <c r="L22" s="6" t="n">
        <f aca="false">+L41+L47+L53+L58+L65+L71</f>
        <v>-36.6335871107579</v>
      </c>
      <c r="M22" s="6" t="n">
        <f aca="false">+M41+M47+M53+M58+M65+M71</f>
        <v>-38.1140304631172</v>
      </c>
      <c r="N22" s="6" t="n">
        <f aca="false">+N41+N47+N53+N58+N65+N71</f>
        <v>-39.2104710720932</v>
      </c>
      <c r="O22" s="6" t="n">
        <f aca="false">+O41+O47+O53+O58+O65+O71</f>
        <v>-39.9885721876774</v>
      </c>
      <c r="P22" s="6" t="n">
        <f aca="false">+P41+P47+P53+P58+P65+P71</f>
        <v>-40.5253130674424</v>
      </c>
      <c r="Q22" s="6" t="n">
        <f aca="false">+Q41+Q47+Q53+Q58+Q65+Q71</f>
        <v>-40.847902430318</v>
      </c>
      <c r="R22" s="6" t="n">
        <f aca="false">+R41+R47+R53+R58+R65+R71</f>
        <v>-40.9435909865513</v>
      </c>
      <c r="S22" s="6" t="n">
        <f aca="false">+S41+S47+S53+S58+S65+S71</f>
        <v>-40.5117277560348</v>
      </c>
    </row>
    <row r="24" customFormat="false" ht="14.25" hidden="false" customHeight="false" outlineLevel="0" collapsed="false">
      <c r="A24" s="6" t="s">
        <v>2</v>
      </c>
      <c r="B24" s="5" t="s">
        <v>305</v>
      </c>
    </row>
    <row r="25" customFormat="false" ht="14.25" hidden="false" customHeight="false" outlineLevel="0" collapsed="false">
      <c r="B25" s="6" t="s">
        <v>164</v>
      </c>
      <c r="J25" s="65" t="n">
        <f aca="false">+'BS &amp; CFS'!J65</f>
        <v>65.8859294213209</v>
      </c>
      <c r="K25" s="65" t="n">
        <f aca="false">+'BS &amp; CFS'!K65</f>
        <v>70.0889002651284</v>
      </c>
      <c r="L25" s="65" t="n">
        <f aca="false">+'BS &amp; CFS'!L65</f>
        <v>78.2296432322888</v>
      </c>
      <c r="M25" s="65" t="n">
        <f aca="false">+'BS &amp; CFS'!M65</f>
        <v>90.5034862300233</v>
      </c>
      <c r="N25" s="65" t="n">
        <f aca="false">+'BS &amp; CFS'!N65</f>
        <v>101.359619579157</v>
      </c>
      <c r="O25" s="65" t="n">
        <f aca="false">+'BS &amp; CFS'!O65</f>
        <v>109.838822998726</v>
      </c>
      <c r="P25" s="65" t="n">
        <f aca="false">+'BS &amp; CFS'!P65</f>
        <v>117.105907631611</v>
      </c>
      <c r="Q25" s="65" t="n">
        <f aca="false">+'BS &amp; CFS'!Q65</f>
        <v>124.237736754897</v>
      </c>
      <c r="R25" s="65" t="n">
        <f aca="false">+'BS &amp; CFS'!R65</f>
        <v>131.92231739952</v>
      </c>
      <c r="S25" s="65" t="n">
        <f aca="false">+'BS &amp; CFS'!S65</f>
        <v>156.829963162735</v>
      </c>
    </row>
    <row r="26" customFormat="false" ht="14.25" hidden="false" customHeight="false" outlineLevel="0" collapsed="false">
      <c r="B26" s="6" t="s">
        <v>306</v>
      </c>
      <c r="J26" s="65" t="n">
        <f aca="false">+'P&amp;L'!J22</f>
        <v>-33.6676311518785</v>
      </c>
      <c r="K26" s="65" t="n">
        <f aca="false">+'P&amp;L'!K22</f>
        <v>-34.8976677175224</v>
      </c>
      <c r="L26" s="65" t="n">
        <f aca="false">+'P&amp;L'!L22</f>
        <v>-36.6335871107579</v>
      </c>
      <c r="M26" s="65" t="n">
        <f aca="false">+'P&amp;L'!M22</f>
        <v>-38.1140304631172</v>
      </c>
      <c r="N26" s="65" t="n">
        <f aca="false">+'P&amp;L'!N22</f>
        <v>-39.2104710720932</v>
      </c>
      <c r="O26" s="65" t="n">
        <f aca="false">+'P&amp;L'!O22</f>
        <v>-39.9885721876774</v>
      </c>
      <c r="P26" s="65" t="n">
        <f aca="false">+'P&amp;L'!P22</f>
        <v>-40.5253130674424</v>
      </c>
      <c r="Q26" s="65" t="n">
        <f aca="false">+'P&amp;L'!Q22</f>
        <v>-40.847902430318</v>
      </c>
      <c r="R26" s="65" t="n">
        <f aca="false">+'P&amp;L'!R22</f>
        <v>-40.9435909865513</v>
      </c>
      <c r="S26" s="65" t="n">
        <f aca="false">+'P&amp;L'!S22</f>
        <v>-40.5117277560348</v>
      </c>
    </row>
    <row r="27" customFormat="false" ht="14.25" hidden="false" customHeight="false" outlineLevel="0" collapsed="false">
      <c r="B27" s="6" t="s">
        <v>307</v>
      </c>
      <c r="J27" s="65" t="n">
        <f aca="false">+'BS &amp; CFS'!J67+'BS &amp; CFS'!J68+'BS &amp; CFS'!J69</f>
        <v>-26.6438279</v>
      </c>
      <c r="K27" s="65" t="n">
        <f aca="false">+'BS &amp; CFS'!K67+'BS &amp; CFS'!K68+'BS &amp; CFS'!K69</f>
        <v>-29.7760877329</v>
      </c>
      <c r="L27" s="65" t="n">
        <f aca="false">+'BS &amp; CFS'!L67+'BS &amp; CFS'!L68+'BS &amp; CFS'!L69</f>
        <v>-33.6226478591825</v>
      </c>
      <c r="M27" s="65" t="n">
        <f aca="false">+'BS &amp; CFS'!M67+'BS &amp; CFS'!M68+'BS &amp; CFS'!M69</f>
        <v>-36.5642387617892</v>
      </c>
      <c r="N27" s="65" t="n">
        <f aca="false">+'BS &amp; CFS'!N67+'BS &amp; CFS'!N68+'BS &amp; CFS'!N69</f>
        <v>-39.0204445097064</v>
      </c>
      <c r="O27" s="65" t="n">
        <f aca="false">+'BS &amp; CFS'!O67+'BS &amp; CFS'!O68+'BS &amp; CFS'!O69</f>
        <v>-41.1860359011923</v>
      </c>
      <c r="P27" s="65" t="n">
        <f aca="false">+'BS &amp; CFS'!P67+'BS &amp; CFS'!P68+'BS &amp; CFS'!P69</f>
        <v>-43.3327572554206</v>
      </c>
      <c r="Q27" s="65" t="n">
        <f aca="false">+'BS &amp; CFS'!Q67+'BS &amp; CFS'!Q68+'BS &amp; CFS'!Q69</f>
        <v>-45.5482435673245</v>
      </c>
      <c r="R27" s="65" t="n">
        <f aca="false">+'BS &amp; CFS'!R67+'BS &amp; CFS'!R68+'BS &amp; CFS'!R69</f>
        <v>-47.8456274971429</v>
      </c>
      <c r="S27" s="65" t="n">
        <f aca="false">+'BS &amp; CFS'!S67+'BS &amp; CFS'!S68+'BS &amp; CFS'!S69</f>
        <v>-50.346326315797</v>
      </c>
    </row>
    <row r="28" customFormat="false" ht="14.25" hidden="false" customHeight="false" outlineLevel="0" collapsed="false">
      <c r="B28" s="6" t="s">
        <v>308</v>
      </c>
      <c r="J28" s="65" t="n">
        <f aca="false">+'FS Calcs'!J82</f>
        <v>-34.28118</v>
      </c>
      <c r="K28" s="65" t="n">
        <f aca="false">+'FS Calcs'!K82</f>
        <v>-34.9668036</v>
      </c>
      <c r="L28" s="65" t="n">
        <f aca="false">+'FS Calcs'!L82</f>
        <v>-35.666139672</v>
      </c>
      <c r="M28" s="65" t="n">
        <f aca="false">+'FS Calcs'!M82</f>
        <v>-36.37946246544</v>
      </c>
      <c r="N28" s="65" t="n">
        <f aca="false">+'FS Calcs'!N82</f>
        <v>-37.1070517147488</v>
      </c>
      <c r="O28" s="65" t="n">
        <f aca="false">+'FS Calcs'!O82</f>
        <v>-37.8491927490438</v>
      </c>
      <c r="P28" s="65" t="n">
        <f aca="false">+'FS Calcs'!P82</f>
        <v>-38.6061766040247</v>
      </c>
      <c r="Q28" s="65" t="n">
        <f aca="false">+'FS Calcs'!Q82</f>
        <v>-39.3783001361051</v>
      </c>
      <c r="R28" s="65" t="n">
        <f aca="false">+'FS Calcs'!R82</f>
        <v>-40.1658661388272</v>
      </c>
      <c r="S28" s="65" t="n">
        <f aca="false">+'FS Calcs'!S82</f>
        <v>-40.9691834616038</v>
      </c>
    </row>
    <row r="29" customFormat="false" ht="14.25" hidden="false" customHeight="false" outlineLevel="0" collapsed="false">
      <c r="B29" s="6" t="s">
        <v>309</v>
      </c>
      <c r="J29" s="81" t="n">
        <f aca="false">+J63</f>
        <v>-2.313</v>
      </c>
      <c r="K29" s="81" t="n">
        <f aca="false">+K63</f>
        <v>-2.313</v>
      </c>
      <c r="L29" s="81" t="n">
        <f aca="false">+L63</f>
        <v>-2.313</v>
      </c>
      <c r="M29" s="81" t="n">
        <f aca="false">+M63</f>
        <v>-2.313</v>
      </c>
      <c r="N29" s="81" t="n">
        <f aca="false">+N63</f>
        <v>-2.313</v>
      </c>
      <c r="O29" s="81" t="n">
        <f aca="false">+O63</f>
        <v>-2.313</v>
      </c>
      <c r="P29" s="81" t="n">
        <f aca="false">+P63</f>
        <v>-2.313</v>
      </c>
      <c r="Q29" s="81" t="n">
        <f aca="false">+Q63</f>
        <v>-2.313</v>
      </c>
      <c r="R29" s="81" t="n">
        <f aca="false">+R63</f>
        <v>-2.313</v>
      </c>
      <c r="S29" s="81" t="n">
        <f aca="false">+S63</f>
        <v>-2.313</v>
      </c>
    </row>
    <row r="30" customFormat="false" ht="14.25" hidden="false" customHeight="false" outlineLevel="0" collapsed="false">
      <c r="B30" s="57" t="s">
        <v>32</v>
      </c>
      <c r="C30" s="57"/>
      <c r="D30" s="57"/>
      <c r="E30" s="57"/>
      <c r="F30" s="57"/>
      <c r="G30" s="57"/>
      <c r="H30" s="57"/>
      <c r="I30" s="57"/>
      <c r="J30" s="57" t="n">
        <f aca="false">SUM(J25:J29)</f>
        <v>-31.0197096305576</v>
      </c>
      <c r="K30" s="57" t="n">
        <f aca="false">SUM(K25:K29)</f>
        <v>-31.864658785294</v>
      </c>
      <c r="L30" s="57" t="n">
        <f aca="false">SUM(L25:L29)</f>
        <v>-30.0057314096517</v>
      </c>
      <c r="M30" s="57" t="n">
        <f aca="false">SUM(M25:M29)</f>
        <v>-22.8672454603232</v>
      </c>
      <c r="N30" s="57" t="n">
        <f aca="false">SUM(N25:N29)</f>
        <v>-16.2913477173913</v>
      </c>
      <c r="O30" s="57" t="n">
        <f aca="false">SUM(O25:O29)</f>
        <v>-11.4979778391877</v>
      </c>
      <c r="P30" s="57" t="n">
        <f aca="false">SUM(P25:P29)</f>
        <v>-7.67133929527635</v>
      </c>
      <c r="Q30" s="57" t="n">
        <f aca="false">SUM(Q25:Q29)</f>
        <v>-3.84970937885029</v>
      </c>
      <c r="R30" s="57" t="n">
        <f aca="false">SUM(R25:R29)</f>
        <v>0.65423277699806</v>
      </c>
      <c r="S30" s="57" t="n">
        <f aca="false">SUM(S25:S29)</f>
        <v>22.6897256292994</v>
      </c>
    </row>
    <row r="32" customFormat="false" ht="14.25" hidden="false" customHeight="false" outlineLevel="0" collapsed="false">
      <c r="B32" s="6" t="s">
        <v>310</v>
      </c>
      <c r="J32" s="6" t="n">
        <f aca="false">+J68</f>
        <v>59.899</v>
      </c>
      <c r="K32" s="6" t="n">
        <f aca="false">+K68</f>
        <v>35</v>
      </c>
      <c r="L32" s="6" t="n">
        <f aca="false">+L68</f>
        <v>35</v>
      </c>
      <c r="M32" s="6" t="n">
        <f aca="false">+M68</f>
        <v>35</v>
      </c>
      <c r="N32" s="6" t="n">
        <f aca="false">+N68</f>
        <v>35</v>
      </c>
      <c r="O32" s="6" t="n">
        <f aca="false">+O68</f>
        <v>35</v>
      </c>
      <c r="P32" s="6" t="n">
        <f aca="false">+P68</f>
        <v>35</v>
      </c>
      <c r="Q32" s="6" t="n">
        <f aca="false">+Q68</f>
        <v>35</v>
      </c>
      <c r="R32" s="6" t="n">
        <f aca="false">+R68</f>
        <v>35</v>
      </c>
      <c r="S32" s="6" t="n">
        <f aca="false">+S68</f>
        <v>35</v>
      </c>
    </row>
    <row r="33" customFormat="false" ht="14.25" hidden="false" customHeight="false" outlineLevel="0" collapsed="false">
      <c r="B33" s="6" t="s">
        <v>311</v>
      </c>
      <c r="J33" s="66" t="n">
        <v>-35</v>
      </c>
      <c r="K33" s="66" t="n">
        <f aca="false">+J33</f>
        <v>-35</v>
      </c>
      <c r="L33" s="66" t="n">
        <f aca="false">+K33</f>
        <v>-35</v>
      </c>
      <c r="M33" s="66" t="n">
        <f aca="false">+L33</f>
        <v>-35</v>
      </c>
      <c r="N33" s="66" t="n">
        <f aca="false">+M33</f>
        <v>-35</v>
      </c>
      <c r="O33" s="66" t="n">
        <f aca="false">+N33</f>
        <v>-35</v>
      </c>
      <c r="P33" s="66" t="n">
        <f aca="false">+O33</f>
        <v>-35</v>
      </c>
      <c r="Q33" s="66" t="n">
        <f aca="false">+P33</f>
        <v>-35</v>
      </c>
      <c r="R33" s="66" t="n">
        <f aca="false">+Q33</f>
        <v>-35</v>
      </c>
      <c r="S33" s="66" t="n">
        <f aca="false">+R33</f>
        <v>-35</v>
      </c>
    </row>
    <row r="34" customFormat="false" ht="14.25" hidden="false" customHeight="false" outlineLevel="0" collapsed="false">
      <c r="B34" s="6" t="s">
        <v>312</v>
      </c>
      <c r="J34" s="6" t="n">
        <f aca="false">+J33+J32+J30</f>
        <v>-6.12070963055759</v>
      </c>
      <c r="K34" s="6" t="n">
        <f aca="false">+K33+K32+K30</f>
        <v>-31.864658785294</v>
      </c>
      <c r="L34" s="6" t="n">
        <f aca="false">+L33+L32+L30</f>
        <v>-30.0057314096517</v>
      </c>
      <c r="M34" s="6" t="n">
        <f aca="false">+M33+M32+M30</f>
        <v>-22.8672454603232</v>
      </c>
      <c r="N34" s="6" t="n">
        <f aca="false">+N33+N32+N30</f>
        <v>-16.2913477173913</v>
      </c>
      <c r="O34" s="6" t="n">
        <f aca="false">+O33+O32+O30</f>
        <v>-11.4979778391877</v>
      </c>
      <c r="P34" s="6" t="n">
        <f aca="false">+P33+P32+P30</f>
        <v>-7.67133929527635</v>
      </c>
      <c r="Q34" s="6" t="n">
        <f aca="false">+Q33+Q32+Q30</f>
        <v>-3.84970937885029</v>
      </c>
      <c r="R34" s="6" t="n">
        <f aca="false">+R33+R32+R30</f>
        <v>0.65423277699806</v>
      </c>
      <c r="S34" s="6" t="n">
        <f aca="false">+S33+S32+S30</f>
        <v>22.6897256292994</v>
      </c>
    </row>
    <row r="36" customFormat="false" ht="14.25" hidden="false" customHeight="false" outlineLevel="0" collapsed="false">
      <c r="B36" s="6" t="s">
        <v>313</v>
      </c>
      <c r="J36" s="6" t="n">
        <f aca="false">+J51</f>
        <v>-26.335</v>
      </c>
      <c r="K36" s="6" t="n">
        <f aca="false">+K51</f>
        <v>-0</v>
      </c>
      <c r="L36" s="6" t="n">
        <f aca="false">+L51</f>
        <v>-0</v>
      </c>
      <c r="M36" s="6" t="n">
        <f aca="false">+M51</f>
        <v>-0</v>
      </c>
      <c r="N36" s="6" t="n">
        <f aca="false">+N51</f>
        <v>-0</v>
      </c>
      <c r="O36" s="6" t="n">
        <f aca="false">+O51</f>
        <v>-0</v>
      </c>
      <c r="P36" s="6" t="n">
        <f aca="false">+P51</f>
        <v>-0</v>
      </c>
      <c r="Q36" s="6" t="n">
        <f aca="false">+Q51</f>
        <v>-0</v>
      </c>
      <c r="R36" s="6" t="n">
        <f aca="false">+R51</f>
        <v>-0</v>
      </c>
      <c r="S36" s="6" t="n">
        <f aca="false">+S51</f>
        <v>-0</v>
      </c>
    </row>
    <row r="38" customFormat="false" ht="14.25" hidden="false" customHeight="false" outlineLevel="0" collapsed="false">
      <c r="B38" s="6" t="s">
        <v>314</v>
      </c>
      <c r="J38" s="6" t="n">
        <f aca="false">+I40</f>
        <v>9.087</v>
      </c>
      <c r="K38" s="6" t="n">
        <f aca="false">+J40</f>
        <v>40.509</v>
      </c>
      <c r="L38" s="6" t="n">
        <f aca="false">+K40</f>
        <v>40.509</v>
      </c>
      <c r="M38" s="6" t="n">
        <f aca="false">+L40</f>
        <v>40.509</v>
      </c>
      <c r="N38" s="6" t="n">
        <f aca="false">+M40</f>
        <v>40.509</v>
      </c>
      <c r="O38" s="6" t="n">
        <f aca="false">+N40</f>
        <v>40.509</v>
      </c>
      <c r="P38" s="6" t="n">
        <f aca="false">+O40</f>
        <v>40.509</v>
      </c>
      <c r="Q38" s="6" t="n">
        <f aca="false">+P40</f>
        <v>40.509</v>
      </c>
      <c r="R38" s="6" t="n">
        <f aca="false">+Q40</f>
        <v>40.509</v>
      </c>
      <c r="S38" s="6" t="n">
        <f aca="false">+R40</f>
        <v>39.8547672230019</v>
      </c>
    </row>
    <row r="39" customFormat="false" ht="14.25" hidden="false" customHeight="false" outlineLevel="0" collapsed="false">
      <c r="B39" s="6" t="s">
        <v>315</v>
      </c>
      <c r="J39" s="6" t="n">
        <f aca="false">+IF(MIN(J36+J34,J38)*-1&gt;=(J42-J38),J42-J38,MIN(J36+J34,J38)*-1)</f>
        <v>31.422</v>
      </c>
      <c r="K39" s="6" t="n">
        <f aca="false">+IF(MIN(K36+K34,K38)*-1&gt;=(K42-K38),K42-K38,MIN(K36+K34,K38)*-1)</f>
        <v>0</v>
      </c>
      <c r="L39" s="6" t="n">
        <f aca="false">+IF(MIN(L36+L34,L38)*-1&gt;=(L42-L38),L42-L38,MIN(L36+L34,L38)*-1)</f>
        <v>0</v>
      </c>
      <c r="M39" s="6" t="n">
        <f aca="false">+IF(MIN(M36+M34,M38)*-1&gt;=(M42-M38),M42-M38,MIN(M36+M34,M38)*-1)</f>
        <v>0</v>
      </c>
      <c r="N39" s="6" t="n">
        <f aca="false">+IF(MIN(N36+N34,N38)*-1&gt;=(N42-N38),N42-N38,MIN(N36+N34,N38)*-1)</f>
        <v>0</v>
      </c>
      <c r="O39" s="6" t="n">
        <f aca="false">+IF(MIN(O36+O34,O38)*-1&gt;=(O42-O38),O42-O38,MIN(O36+O34,O38)*-1)</f>
        <v>0</v>
      </c>
      <c r="P39" s="6" t="n">
        <f aca="false">+IF(MIN(P36+P34,P38)*-1&gt;=(P42-P38),P42-P38,MIN(P36+P34,P38)*-1)</f>
        <v>0</v>
      </c>
      <c r="Q39" s="6" t="n">
        <f aca="false">+IF(MIN(Q36+Q34,Q38)*-1&gt;=(Q42-Q38),Q42-Q38,MIN(Q36+Q34,Q38)*-1)</f>
        <v>0</v>
      </c>
      <c r="R39" s="6" t="n">
        <f aca="false">+IF(MIN(R36+R34,R38)*-1&gt;=(R42-R38),R42-R38,MIN(R36+R34,R38)*-1)</f>
        <v>-0.65423277699806</v>
      </c>
      <c r="S39" s="6" t="n">
        <f aca="false">+IF(MIN(S36+S34,S38)*-1&gt;=(S42-S38),S42-S38,MIN(S36+S34,S38)*-1)</f>
        <v>-22.6897256292994</v>
      </c>
    </row>
    <row r="40" customFormat="false" ht="14.25" hidden="false" customHeight="false" outlineLevel="0" collapsed="false">
      <c r="B40" s="57" t="s">
        <v>316</v>
      </c>
      <c r="C40" s="57"/>
      <c r="D40" s="57"/>
      <c r="E40" s="57"/>
      <c r="F40" s="57"/>
      <c r="G40" s="57"/>
      <c r="H40" s="57"/>
      <c r="I40" s="107" t="n">
        <f aca="false">+I7</f>
        <v>9.087</v>
      </c>
      <c r="J40" s="57" t="n">
        <f aca="false">SUM(J38:J39)</f>
        <v>40.509</v>
      </c>
      <c r="K40" s="57" t="n">
        <f aca="false">SUM(K38:K39)</f>
        <v>40.509</v>
      </c>
      <c r="L40" s="57" t="n">
        <f aca="false">SUM(L38:L39)</f>
        <v>40.509</v>
      </c>
      <c r="M40" s="57" t="n">
        <f aca="false">SUM(M38:M39)</f>
        <v>40.509</v>
      </c>
      <c r="N40" s="57" t="n">
        <f aca="false">SUM(N38:N39)</f>
        <v>40.509</v>
      </c>
      <c r="O40" s="57" t="n">
        <f aca="false">SUM(O38:O39)</f>
        <v>40.509</v>
      </c>
      <c r="P40" s="57" t="n">
        <f aca="false">SUM(P38:P39)</f>
        <v>40.509</v>
      </c>
      <c r="Q40" s="57" t="n">
        <f aca="false">SUM(Q38:Q39)</f>
        <v>40.509</v>
      </c>
      <c r="R40" s="57" t="n">
        <f aca="false">SUM(R38:R39)</f>
        <v>39.8547672230019</v>
      </c>
      <c r="S40" s="57" t="n">
        <f aca="false">SUM(S38:S39)</f>
        <v>17.1650415937025</v>
      </c>
    </row>
    <row r="41" customFormat="false" ht="14.25" hidden="false" customHeight="false" outlineLevel="0" collapsed="false">
      <c r="B41" s="2" t="s">
        <v>99</v>
      </c>
      <c r="J41" s="2" t="n">
        <f aca="false">+AVERAGE(I40:J40)*J17*-1</f>
        <v>-0.917526</v>
      </c>
      <c r="K41" s="2" t="n">
        <f aca="false">+AVERAGE(J40:K40)*K17*-1</f>
        <v>-1.498833</v>
      </c>
      <c r="L41" s="2" t="n">
        <f aca="false">+AVERAGE(K40:L40)*L17*-1</f>
        <v>-1.498833</v>
      </c>
      <c r="M41" s="2" t="n">
        <f aca="false">+AVERAGE(L40:M40)*M17*-1</f>
        <v>-1.498833</v>
      </c>
      <c r="N41" s="2" t="n">
        <f aca="false">+AVERAGE(M40:N40)*N17*-1</f>
        <v>-1.498833</v>
      </c>
      <c r="O41" s="2" t="n">
        <f aca="false">+AVERAGE(N40:O40)*O17*-1</f>
        <v>-1.498833</v>
      </c>
      <c r="P41" s="2" t="n">
        <f aca="false">+AVERAGE(O40:P40)*P17*-1</f>
        <v>-1.498833</v>
      </c>
      <c r="Q41" s="2" t="n">
        <f aca="false">+AVERAGE(P40:Q40)*Q17*-1</f>
        <v>-1.498833</v>
      </c>
      <c r="R41" s="2" t="n">
        <f aca="false">+AVERAGE(Q40:R40)*R17*-1</f>
        <v>-1.48672969362554</v>
      </c>
      <c r="S41" s="2" t="n">
        <f aca="false">+AVERAGE(R40:S40)*S17*-1</f>
        <v>-1.05486646310903</v>
      </c>
    </row>
    <row r="42" customFormat="false" ht="14.25" hidden="false" customHeight="false" outlineLevel="0" collapsed="false">
      <c r="B42" s="6" t="s">
        <v>317</v>
      </c>
      <c r="J42" s="56" t="n">
        <f aca="false">30*Output!$J$8</f>
        <v>40.509</v>
      </c>
      <c r="K42" s="56" t="n">
        <f aca="false">30*Output!$J$8</f>
        <v>40.509</v>
      </c>
      <c r="L42" s="56" t="n">
        <f aca="false">30*Output!$J$8</f>
        <v>40.509</v>
      </c>
      <c r="M42" s="56" t="n">
        <f aca="false">30*Output!$J$8</f>
        <v>40.509</v>
      </c>
      <c r="N42" s="56" t="n">
        <f aca="false">30*Output!$J$8</f>
        <v>40.509</v>
      </c>
      <c r="O42" s="56" t="n">
        <f aca="false">30*Output!$J$8</f>
        <v>40.509</v>
      </c>
      <c r="P42" s="56" t="n">
        <f aca="false">30*Output!$J$8</f>
        <v>40.509</v>
      </c>
      <c r="Q42" s="56" t="n">
        <f aca="false">30*Output!$J$8</f>
        <v>40.509</v>
      </c>
      <c r="R42" s="56" t="n">
        <f aca="false">30*Output!$J$8</f>
        <v>40.509</v>
      </c>
      <c r="S42" s="56" t="n">
        <f aca="false">30*Output!$J$8</f>
        <v>40.509</v>
      </c>
    </row>
    <row r="44" customFormat="false" ht="14.25" hidden="false" customHeight="false" outlineLevel="0" collapsed="false">
      <c r="B44" s="6" t="s">
        <v>318</v>
      </c>
      <c r="J44" s="6" t="n">
        <f aca="false">+I46</f>
        <v>84.235</v>
      </c>
      <c r="K44" s="6" t="n">
        <f aca="false">+J46</f>
        <v>85.2687096305576</v>
      </c>
      <c r="L44" s="6" t="n">
        <f aca="false">+K46</f>
        <v>90</v>
      </c>
      <c r="M44" s="6" t="n">
        <f aca="false">+L46</f>
        <v>90</v>
      </c>
      <c r="N44" s="6" t="n">
        <f aca="false">+M46</f>
        <v>90</v>
      </c>
      <c r="O44" s="6" t="n">
        <f aca="false">+N46</f>
        <v>90</v>
      </c>
      <c r="P44" s="6" t="n">
        <f aca="false">+O46</f>
        <v>90</v>
      </c>
      <c r="Q44" s="6" t="n">
        <f aca="false">+P46</f>
        <v>90</v>
      </c>
      <c r="R44" s="6" t="n">
        <f aca="false">+Q46</f>
        <v>90</v>
      </c>
      <c r="S44" s="6" t="n">
        <f aca="false">+R46</f>
        <v>90</v>
      </c>
    </row>
    <row r="45" customFormat="false" ht="14.25" hidden="false" customHeight="false" outlineLevel="0" collapsed="false">
      <c r="B45" s="6" t="s">
        <v>315</v>
      </c>
      <c r="J45" s="6" t="n">
        <f aca="false">+IF(MIN(J44, J34+J36+J39)*-1&gt;=(J48-J44), J48-J44, MIN(J44, J34+J36+J39)*-1)</f>
        <v>1.03370963055759</v>
      </c>
      <c r="K45" s="6" t="n">
        <f aca="false">+IF(MIN(K44, K34+K36+K39)*-1&gt;=(K48-K44), K48-K44, MIN(K44, K34+K36+K39)*-1)</f>
        <v>4.73129036944241</v>
      </c>
      <c r="L45" s="6" t="n">
        <f aca="false">+IF(MIN(L44, L34+L36+L39)*-1&gt;=(L48-L44), L48-L44, MIN(L44, L34+L36+L39)*-1)</f>
        <v>0</v>
      </c>
      <c r="M45" s="6" t="n">
        <f aca="false">+IF(MIN(M44, M34+M36+M39)*-1&gt;=(M48-M44), M48-M44, MIN(M44, M34+M36+M39)*-1)</f>
        <v>0</v>
      </c>
      <c r="N45" s="6" t="n">
        <f aca="false">+IF(MIN(N44, N34+N36+N39)*-1&gt;=(N48-N44), N48-N44, MIN(N44, N34+N36+N39)*-1)</f>
        <v>0</v>
      </c>
      <c r="O45" s="6" t="n">
        <f aca="false">+IF(MIN(O44, O34+O36+O39)*-1&gt;=(O48-O44), O48-O44, MIN(O44, O34+O36+O39)*-1)</f>
        <v>0</v>
      </c>
      <c r="P45" s="6" t="n">
        <f aca="false">+IF(MIN(P44, P34+P36+P39)*-1&gt;=(P48-P44), P48-P44, MIN(P44, P34+P36+P39)*-1)</f>
        <v>0</v>
      </c>
      <c r="Q45" s="6" t="n">
        <f aca="false">+IF(MIN(Q44, Q34+Q36+Q39)*-1&gt;=(Q48-Q44), Q48-Q44, MIN(Q44, Q34+Q36+Q39)*-1)</f>
        <v>0</v>
      </c>
      <c r="R45" s="6" t="n">
        <f aca="false">+IF(MIN(R44, R34+R36+R39)*-1&gt;=(R48-R44), R48-R44, MIN(R44, R34+R36+R39)*-1)</f>
        <v>0</v>
      </c>
      <c r="S45" s="6" t="n">
        <f aca="false">+IF(MIN(S44, S34+S36+S39)*-1&gt;=(S48-S44), S48-S44, MIN(S44, S34+S36+S39)*-1)</f>
        <v>0</v>
      </c>
    </row>
    <row r="46" customFormat="false" ht="14.25" hidden="false" customHeight="false" outlineLevel="0" collapsed="false">
      <c r="B46" s="57" t="s">
        <v>319</v>
      </c>
      <c r="C46" s="57"/>
      <c r="D46" s="57"/>
      <c r="E46" s="57"/>
      <c r="F46" s="57"/>
      <c r="G46" s="57"/>
      <c r="H46" s="57"/>
      <c r="I46" s="107" t="n">
        <f aca="false">+I8</f>
        <v>84.235</v>
      </c>
      <c r="J46" s="57" t="n">
        <f aca="false">SUM(J44:J45)</f>
        <v>85.2687096305576</v>
      </c>
      <c r="K46" s="57" t="n">
        <f aca="false">SUM(K44:K45)</f>
        <v>90</v>
      </c>
      <c r="L46" s="57" t="n">
        <f aca="false">SUM(L44:L45)</f>
        <v>90</v>
      </c>
      <c r="M46" s="57" t="n">
        <f aca="false">SUM(M44:M45)</f>
        <v>90</v>
      </c>
      <c r="N46" s="57" t="n">
        <f aca="false">SUM(N44:N45)</f>
        <v>90</v>
      </c>
      <c r="O46" s="57" t="n">
        <f aca="false">SUM(O44:O45)</f>
        <v>90</v>
      </c>
      <c r="P46" s="57" t="n">
        <f aca="false">SUM(P44:P45)</f>
        <v>90</v>
      </c>
      <c r="Q46" s="57" t="n">
        <f aca="false">SUM(Q44:Q45)</f>
        <v>90</v>
      </c>
      <c r="R46" s="57" t="n">
        <f aca="false">SUM(R44:R45)</f>
        <v>90</v>
      </c>
      <c r="S46" s="57" t="n">
        <f aca="false">SUM(S44:S45)</f>
        <v>90</v>
      </c>
    </row>
    <row r="47" customFormat="false" ht="14.25" hidden="false" customHeight="false" outlineLevel="0" collapsed="false">
      <c r="B47" s="2" t="s">
        <v>99</v>
      </c>
      <c r="J47" s="2" t="n">
        <f aca="false">+AVERAGE(I46:J46)*J18*-1</f>
        <v>-4.87323165187853</v>
      </c>
      <c r="K47" s="2" t="n">
        <f aca="false">+AVERAGE(J46:K46)*K18*-1</f>
        <v>-5.03897540187853</v>
      </c>
      <c r="L47" s="2" t="n">
        <f aca="false">+AVERAGE(K46:L46)*L18*-1</f>
        <v>-5.175</v>
      </c>
      <c r="M47" s="2" t="n">
        <f aca="false">+AVERAGE(L46:M46)*M18*-1</f>
        <v>-5.175</v>
      </c>
      <c r="N47" s="2" t="n">
        <f aca="false">+AVERAGE(M46:N46)*N18*-1</f>
        <v>-5.175</v>
      </c>
      <c r="O47" s="2" t="n">
        <f aca="false">+AVERAGE(N46:O46)*O18*-1</f>
        <v>-5.175</v>
      </c>
      <c r="P47" s="2" t="n">
        <f aca="false">+AVERAGE(O46:P46)*P18*-1</f>
        <v>-5.175</v>
      </c>
      <c r="Q47" s="2" t="n">
        <f aca="false">+AVERAGE(P46:Q46)*Q18*-1</f>
        <v>-5.175</v>
      </c>
      <c r="R47" s="2" t="n">
        <f aca="false">+AVERAGE(Q46:R46)*R18*-1</f>
        <v>-5.175</v>
      </c>
      <c r="S47" s="2" t="n">
        <f aca="false">+AVERAGE(R46:S46)*S18*-1</f>
        <v>-5.175</v>
      </c>
    </row>
    <row r="48" customFormat="false" ht="14.25" hidden="false" customHeight="false" outlineLevel="0" collapsed="false">
      <c r="B48" s="6" t="s">
        <v>317</v>
      </c>
      <c r="J48" s="56" t="n">
        <v>90</v>
      </c>
      <c r="K48" s="56" t="n">
        <v>90</v>
      </c>
      <c r="L48" s="56" t="n">
        <v>90</v>
      </c>
      <c r="M48" s="56" t="n">
        <v>90</v>
      </c>
      <c r="N48" s="56" t="n">
        <v>90</v>
      </c>
      <c r="O48" s="56" t="n">
        <v>90</v>
      </c>
      <c r="P48" s="56" t="n">
        <v>90</v>
      </c>
      <c r="Q48" s="56" t="n">
        <v>90</v>
      </c>
      <c r="R48" s="56" t="n">
        <v>90</v>
      </c>
      <c r="S48" s="56" t="n">
        <v>90</v>
      </c>
    </row>
    <row r="50" customFormat="false" ht="14.25" hidden="false" customHeight="false" outlineLevel="0" collapsed="false">
      <c r="B50" s="6" t="s">
        <v>320</v>
      </c>
      <c r="J50" s="6" t="n">
        <f aca="false">+I52</f>
        <v>26.335</v>
      </c>
      <c r="K50" s="6" t="n">
        <f aca="false">+J52</f>
        <v>0</v>
      </c>
      <c r="L50" s="6" t="n">
        <f aca="false">+K52</f>
        <v>0</v>
      </c>
      <c r="M50" s="6" t="n">
        <f aca="false">+L52</f>
        <v>0</v>
      </c>
      <c r="N50" s="6" t="n">
        <f aca="false">+M52</f>
        <v>0</v>
      </c>
      <c r="O50" s="6" t="n">
        <f aca="false">+N52</f>
        <v>0</v>
      </c>
      <c r="P50" s="6" t="n">
        <f aca="false">+O52</f>
        <v>0</v>
      </c>
      <c r="Q50" s="6" t="n">
        <f aca="false">+P52</f>
        <v>0</v>
      </c>
      <c r="R50" s="6" t="n">
        <f aca="false">+Q52</f>
        <v>0</v>
      </c>
      <c r="S50" s="6" t="n">
        <f aca="false">+R52</f>
        <v>0</v>
      </c>
    </row>
    <row r="51" customFormat="false" ht="14.25" hidden="false" customHeight="false" outlineLevel="0" collapsed="false">
      <c r="B51" s="6" t="s">
        <v>321</v>
      </c>
      <c r="J51" s="6" t="n">
        <f aca="false">+J50*-1</f>
        <v>-26.335</v>
      </c>
      <c r="K51" s="6" t="n">
        <f aca="false">+K50*-1</f>
        <v>-0</v>
      </c>
      <c r="L51" s="6" t="n">
        <f aca="false">+L50*-1</f>
        <v>-0</v>
      </c>
      <c r="M51" s="6" t="n">
        <f aca="false">+M50*-1</f>
        <v>-0</v>
      </c>
      <c r="N51" s="6" t="n">
        <f aca="false">+N50*-1</f>
        <v>-0</v>
      </c>
      <c r="O51" s="6" t="n">
        <f aca="false">+O50*-1</f>
        <v>-0</v>
      </c>
      <c r="P51" s="6" t="n">
        <f aca="false">+P50*-1</f>
        <v>-0</v>
      </c>
      <c r="Q51" s="6" t="n">
        <f aca="false">+Q50*-1</f>
        <v>-0</v>
      </c>
      <c r="R51" s="6" t="n">
        <f aca="false">+R50*-1</f>
        <v>-0</v>
      </c>
      <c r="S51" s="6" t="n">
        <f aca="false">+S50*-1</f>
        <v>-0</v>
      </c>
    </row>
    <row r="52" customFormat="false" ht="14.25" hidden="false" customHeight="false" outlineLevel="0" collapsed="false">
      <c r="B52" s="57" t="s">
        <v>322</v>
      </c>
      <c r="C52" s="57"/>
      <c r="D52" s="57"/>
      <c r="E52" s="57"/>
      <c r="F52" s="57"/>
      <c r="G52" s="57"/>
      <c r="H52" s="57"/>
      <c r="I52" s="107" t="n">
        <f aca="false">+I10</f>
        <v>26.335</v>
      </c>
      <c r="J52" s="57" t="n">
        <f aca="false">SUM(J50:J51)</f>
        <v>0</v>
      </c>
      <c r="K52" s="57" t="n">
        <f aca="false">SUM(K50:K51)</f>
        <v>0</v>
      </c>
      <c r="L52" s="57" t="n">
        <f aca="false">SUM(L50:L51)</f>
        <v>0</v>
      </c>
      <c r="M52" s="57" t="n">
        <f aca="false">SUM(M50:M51)</f>
        <v>0</v>
      </c>
      <c r="N52" s="57" t="n">
        <f aca="false">SUM(N50:N51)</f>
        <v>0</v>
      </c>
      <c r="O52" s="57" t="n">
        <f aca="false">SUM(O50:O51)</f>
        <v>0</v>
      </c>
      <c r="P52" s="57" t="n">
        <f aca="false">SUM(P50:P51)</f>
        <v>0</v>
      </c>
      <c r="Q52" s="57" t="n">
        <f aca="false">SUM(Q50:Q51)</f>
        <v>0</v>
      </c>
      <c r="R52" s="57" t="n">
        <f aca="false">SUM(R50:R51)</f>
        <v>0</v>
      </c>
      <c r="S52" s="57" t="n">
        <f aca="false">SUM(S50:S51)</f>
        <v>0</v>
      </c>
    </row>
    <row r="53" customFormat="false" ht="14.25" hidden="false" customHeight="false" outlineLevel="0" collapsed="false">
      <c r="B53" s="2" t="s">
        <v>99</v>
      </c>
      <c r="J53" s="2" t="n">
        <f aca="false">+AVERAGE(I52:J52)*J19*-1</f>
        <v>-0.73738</v>
      </c>
      <c r="K53" s="2" t="n">
        <f aca="false">+AVERAGE(J52:K52)*K19*-1</f>
        <v>-0</v>
      </c>
      <c r="L53" s="2" t="n">
        <f aca="false">+AVERAGE(K52:L52)*L19*-1</f>
        <v>-0</v>
      </c>
      <c r="M53" s="2" t="n">
        <f aca="false">+AVERAGE(L52:M52)*M19*-1</f>
        <v>-0</v>
      </c>
      <c r="N53" s="2" t="n">
        <f aca="false">+AVERAGE(M52:N52)*N19*-1</f>
        <v>-0</v>
      </c>
      <c r="O53" s="2" t="n">
        <f aca="false">+AVERAGE(N52:O52)*O19*-1</f>
        <v>-0</v>
      </c>
      <c r="P53" s="2" t="n">
        <f aca="false">+AVERAGE(O52:P52)*P19*-1</f>
        <v>-0</v>
      </c>
      <c r="Q53" s="2" t="n">
        <f aca="false">+AVERAGE(P52:Q52)*Q19*-1</f>
        <v>-0</v>
      </c>
      <c r="R53" s="2" t="n">
        <f aca="false">+AVERAGE(Q52:R52)*R19*-1</f>
        <v>-0</v>
      </c>
      <c r="S53" s="2" t="n">
        <f aca="false">+AVERAGE(R52:S52)*S19*-1</f>
        <v>-0</v>
      </c>
    </row>
    <row r="54" customFormat="false" ht="14.25" hidden="false" customHeight="false" outlineLevel="0" collapsed="false"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14.25" hidden="false" customHeight="false" outlineLevel="0" collapsed="false">
      <c r="B55" s="6" t="s">
        <v>323</v>
      </c>
      <c r="J55" s="6" t="n">
        <f aca="false">+I57</f>
        <v>477.804</v>
      </c>
      <c r="K55" s="6" t="n">
        <f aca="false">+J57</f>
        <v>477.804</v>
      </c>
      <c r="L55" s="6" t="n">
        <f aca="false">+K57</f>
        <v>504.937368415852</v>
      </c>
      <c r="M55" s="6" t="n">
        <f aca="false">+L57</f>
        <v>534.943099825503</v>
      </c>
      <c r="N55" s="6" t="n">
        <f aca="false">+M57</f>
        <v>557.810345285826</v>
      </c>
      <c r="O55" s="6" t="n">
        <f aca="false">+N57</f>
        <v>574.101693003218</v>
      </c>
      <c r="P55" s="6" t="n">
        <f aca="false">+O57</f>
        <v>585.599670842405</v>
      </c>
      <c r="Q55" s="6" t="n">
        <f aca="false">+P57</f>
        <v>593.271010137682</v>
      </c>
      <c r="R55" s="6" t="n">
        <f aca="false">+Q57</f>
        <v>597.120719516532</v>
      </c>
      <c r="S55" s="6" t="n">
        <f aca="false">+R57</f>
        <v>597.120719516532</v>
      </c>
    </row>
    <row r="56" customFormat="false" ht="14.25" hidden="false" customHeight="false" outlineLevel="0" collapsed="false">
      <c r="B56" s="6" t="s">
        <v>324</v>
      </c>
      <c r="J56" s="6" t="n">
        <f aca="false">+MIN(J55, J34+J39+J45+J36)*-1</f>
        <v>-0</v>
      </c>
      <c r="K56" s="6" t="n">
        <f aca="false">+MIN(K55, K34+K39+K45+K36)*-1</f>
        <v>27.1333684158516</v>
      </c>
      <c r="L56" s="6" t="n">
        <f aca="false">+MIN(L55, L34+L39+L45+L36)*-1</f>
        <v>30.0057314096517</v>
      </c>
      <c r="M56" s="6" t="n">
        <f aca="false">+MIN(M55, M34+M39+M45+M36)*-1</f>
        <v>22.8672454603232</v>
      </c>
      <c r="N56" s="6" t="n">
        <f aca="false">+MIN(N55, N34+N39+N45+N36)*-1</f>
        <v>16.2913477173913</v>
      </c>
      <c r="O56" s="6" t="n">
        <f aca="false">+MIN(O55, O34+O39+O45+O36)*-1</f>
        <v>11.4979778391877</v>
      </c>
      <c r="P56" s="6" t="n">
        <f aca="false">+MIN(P55, P34+P39+P45+P36)*-1</f>
        <v>7.67133929527635</v>
      </c>
      <c r="Q56" s="6" t="n">
        <f aca="false">+MIN(Q55, Q34+Q39+Q45+Q36)*-1</f>
        <v>3.84970937885029</v>
      </c>
      <c r="R56" s="6" t="n">
        <f aca="false">+MIN(R55, R34+R39+R45+R36)*-1</f>
        <v>-0</v>
      </c>
      <c r="S56" s="6" t="n">
        <f aca="false">+MIN(S55, S34+S39+S45+S36)*-1</f>
        <v>-0</v>
      </c>
    </row>
    <row r="57" customFormat="false" ht="14.25" hidden="false" customHeight="false" outlineLevel="0" collapsed="false">
      <c r="B57" s="57" t="s">
        <v>325</v>
      </c>
      <c r="C57" s="57"/>
      <c r="D57" s="57"/>
      <c r="E57" s="57"/>
      <c r="F57" s="57"/>
      <c r="G57" s="57"/>
      <c r="H57" s="57"/>
      <c r="I57" s="107" t="n">
        <f aca="false">+I13</f>
        <v>477.804</v>
      </c>
      <c r="J57" s="57" t="n">
        <f aca="false">SUM(J55:J56)</f>
        <v>477.804</v>
      </c>
      <c r="K57" s="57" t="n">
        <f aca="false">SUM(K55:K56)</f>
        <v>504.937368415852</v>
      </c>
      <c r="L57" s="57" t="n">
        <f aca="false">SUM(L55:L56)</f>
        <v>534.943099825503</v>
      </c>
      <c r="M57" s="57" t="n">
        <f aca="false">SUM(M55:M56)</f>
        <v>557.810345285826</v>
      </c>
      <c r="N57" s="57" t="n">
        <f aca="false">SUM(N55:N56)</f>
        <v>574.101693003218</v>
      </c>
      <c r="O57" s="57" t="n">
        <f aca="false">SUM(O55:O56)</f>
        <v>585.599670842405</v>
      </c>
      <c r="P57" s="57" t="n">
        <f aca="false">SUM(P55:P56)</f>
        <v>593.271010137682</v>
      </c>
      <c r="Q57" s="57" t="n">
        <f aca="false">SUM(Q55:Q56)</f>
        <v>597.120719516532</v>
      </c>
      <c r="R57" s="57" t="n">
        <f aca="false">SUM(R55:R56)</f>
        <v>597.120719516532</v>
      </c>
      <c r="S57" s="57" t="n">
        <f aca="false">SUM(S55:S56)</f>
        <v>597.120719516532</v>
      </c>
    </row>
    <row r="58" s="2" customFormat="true" ht="14.25" hidden="false" customHeight="false" outlineLevel="0" collapsed="false">
      <c r="B58" s="2" t="s">
        <v>99</v>
      </c>
      <c r="I58" s="108"/>
      <c r="J58" s="2" t="n">
        <f aca="false">+AVERAGE(I57:J57)*J19*-1</f>
        <v>-26.757024</v>
      </c>
      <c r="K58" s="2" t="n">
        <f aca="false">+AVERAGE(J57:K57)*K19*-1</f>
        <v>-27.5167583156438</v>
      </c>
      <c r="L58" s="2" t="n">
        <f aca="false">+AVERAGE(K57:L57)*L19*-1</f>
        <v>-29.1166531107579</v>
      </c>
      <c r="M58" s="2" t="n">
        <f aca="false">+AVERAGE(L57:M57)*M19*-1</f>
        <v>-30.5970964631172</v>
      </c>
      <c r="N58" s="2" t="n">
        <f aca="false">+AVERAGE(M57:N57)*N19*-1</f>
        <v>-31.6935370720932</v>
      </c>
      <c r="O58" s="2" t="n">
        <f aca="false">+AVERAGE(N57:O57)*O19*-1</f>
        <v>-32.4716381876774</v>
      </c>
      <c r="P58" s="2" t="n">
        <f aca="false">+AVERAGE(O57:P57)*P19*-1</f>
        <v>-33.0083790674424</v>
      </c>
      <c r="Q58" s="2" t="n">
        <f aca="false">+AVERAGE(P57:Q57)*Q19*-1</f>
        <v>-33.330968430318</v>
      </c>
      <c r="R58" s="2" t="n">
        <f aca="false">+AVERAGE(Q57:R57)*R19*-1</f>
        <v>-33.4387602929258</v>
      </c>
      <c r="S58" s="2" t="n">
        <f aca="false">+AVERAGE(R57:S57)*S19*-1</f>
        <v>-33.4387602929258</v>
      </c>
    </row>
    <row r="59" s="2" customFormat="true" ht="14.25" hidden="false" customHeight="false" outlineLevel="0" collapsed="false">
      <c r="I59" s="108"/>
    </row>
    <row r="60" s="2" customFormat="true" ht="14.25" hidden="false" customHeight="false" outlineLevel="0" collapsed="false">
      <c r="A60" s="2" t="s">
        <v>2</v>
      </c>
      <c r="B60" s="5" t="s">
        <v>326</v>
      </c>
      <c r="I60" s="108"/>
    </row>
    <row r="61" s="2" customFormat="true" ht="14.25" hidden="false" customHeight="false" outlineLevel="0" collapsed="false">
      <c r="B61" s="6" t="s">
        <v>327</v>
      </c>
      <c r="D61" s="6"/>
      <c r="E61" s="6"/>
      <c r="F61" s="6"/>
      <c r="G61" s="6"/>
      <c r="H61" s="6"/>
      <c r="I61" s="6"/>
      <c r="J61" s="6" t="n">
        <f aca="false">+I64</f>
        <v>36.239</v>
      </c>
      <c r="K61" s="6" t="n">
        <f aca="false">+J64</f>
        <v>36.239</v>
      </c>
      <c r="L61" s="6" t="n">
        <f aca="false">+K64</f>
        <v>36.239</v>
      </c>
      <c r="M61" s="6" t="n">
        <f aca="false">+L64</f>
        <v>36.239</v>
      </c>
      <c r="N61" s="6" t="n">
        <f aca="false">+M64</f>
        <v>36.239</v>
      </c>
      <c r="O61" s="6" t="n">
        <f aca="false">+N64</f>
        <v>36.239</v>
      </c>
      <c r="P61" s="6" t="n">
        <f aca="false">+O64</f>
        <v>36.239</v>
      </c>
      <c r="Q61" s="6" t="n">
        <f aca="false">+P64</f>
        <v>36.239</v>
      </c>
      <c r="R61" s="6" t="n">
        <f aca="false">+Q64</f>
        <v>36.239</v>
      </c>
      <c r="S61" s="6" t="n">
        <f aca="false">+R64</f>
        <v>36.239</v>
      </c>
    </row>
    <row r="62" s="2" customFormat="true" ht="14.25" hidden="false" customHeight="false" outlineLevel="0" collapsed="false">
      <c r="B62" s="6" t="s">
        <v>328</v>
      </c>
      <c r="D62" s="6"/>
      <c r="E62" s="6"/>
      <c r="F62" s="6"/>
      <c r="G62" s="6"/>
      <c r="H62" s="6"/>
      <c r="I62" s="56" t="n">
        <v>2.313</v>
      </c>
      <c r="J62" s="66" t="n">
        <f aca="false">+I62</f>
        <v>2.313</v>
      </c>
      <c r="K62" s="66" t="n">
        <f aca="false">+J62</f>
        <v>2.313</v>
      </c>
      <c r="L62" s="66" t="n">
        <f aca="false">+K62</f>
        <v>2.313</v>
      </c>
      <c r="M62" s="66" t="n">
        <f aca="false">+L62</f>
        <v>2.313</v>
      </c>
      <c r="N62" s="66" t="n">
        <f aca="false">+M62</f>
        <v>2.313</v>
      </c>
      <c r="O62" s="66" t="n">
        <f aca="false">+N62</f>
        <v>2.313</v>
      </c>
      <c r="P62" s="66" t="n">
        <f aca="false">+O62</f>
        <v>2.313</v>
      </c>
      <c r="Q62" s="66" t="n">
        <f aca="false">+P62</f>
        <v>2.313</v>
      </c>
      <c r="R62" s="66" t="n">
        <f aca="false">+Q62</f>
        <v>2.313</v>
      </c>
      <c r="S62" s="66" t="n">
        <f aca="false">+R62</f>
        <v>2.313</v>
      </c>
    </row>
    <row r="63" s="2" customFormat="true" ht="14.25" hidden="false" customHeight="false" outlineLevel="0" collapsed="false">
      <c r="B63" s="6" t="s">
        <v>329</v>
      </c>
      <c r="D63" s="6"/>
      <c r="E63" s="6"/>
      <c r="F63" s="6"/>
      <c r="G63" s="6"/>
      <c r="H63" s="6"/>
      <c r="I63" s="56" t="n">
        <v>-9.495</v>
      </c>
      <c r="J63" s="66" t="n">
        <f aca="false">+J62*-1</f>
        <v>-2.313</v>
      </c>
      <c r="K63" s="66" t="n">
        <f aca="false">+K62*-1</f>
        <v>-2.313</v>
      </c>
      <c r="L63" s="66" t="n">
        <f aca="false">+L62*-1</f>
        <v>-2.313</v>
      </c>
      <c r="M63" s="66" t="n">
        <f aca="false">+M62*-1</f>
        <v>-2.313</v>
      </c>
      <c r="N63" s="66" t="n">
        <f aca="false">+N62*-1</f>
        <v>-2.313</v>
      </c>
      <c r="O63" s="66" t="n">
        <f aca="false">+O62*-1</f>
        <v>-2.313</v>
      </c>
      <c r="P63" s="66" t="n">
        <f aca="false">+P62*-1</f>
        <v>-2.313</v>
      </c>
      <c r="Q63" s="66" t="n">
        <f aca="false">+Q62*-1</f>
        <v>-2.313</v>
      </c>
      <c r="R63" s="66" t="n">
        <f aca="false">+R62*-1</f>
        <v>-2.313</v>
      </c>
      <c r="S63" s="66" t="n">
        <f aca="false">+S62*-1</f>
        <v>-2.313</v>
      </c>
    </row>
    <row r="64" s="2" customFormat="true" ht="14.25" hidden="false" customHeight="false" outlineLevel="0" collapsed="false">
      <c r="B64" s="57" t="s">
        <v>330</v>
      </c>
      <c r="C64" s="109"/>
      <c r="D64" s="57"/>
      <c r="E64" s="57"/>
      <c r="F64" s="57"/>
      <c r="G64" s="57"/>
      <c r="H64" s="107"/>
      <c r="I64" s="107" t="n">
        <f aca="false">+I9+I14</f>
        <v>36.239</v>
      </c>
      <c r="J64" s="57" t="n">
        <f aca="false">SUM(J61:J63)</f>
        <v>36.239</v>
      </c>
      <c r="K64" s="57" t="n">
        <f aca="false">SUM(K61:K63)</f>
        <v>36.239</v>
      </c>
      <c r="L64" s="57" t="n">
        <f aca="false">SUM(L61:L63)</f>
        <v>36.239</v>
      </c>
      <c r="M64" s="57" t="n">
        <f aca="false">SUM(M61:M63)</f>
        <v>36.239</v>
      </c>
      <c r="N64" s="57" t="n">
        <f aca="false">SUM(N61:N63)</f>
        <v>36.239</v>
      </c>
      <c r="O64" s="57" t="n">
        <f aca="false">SUM(O61:O63)</f>
        <v>36.239</v>
      </c>
      <c r="P64" s="57" t="n">
        <f aca="false">SUM(P61:P63)</f>
        <v>36.239</v>
      </c>
      <c r="Q64" s="57" t="n">
        <f aca="false">SUM(Q61:Q63)</f>
        <v>36.239</v>
      </c>
      <c r="R64" s="57" t="n">
        <f aca="false">SUM(R61:R63)</f>
        <v>36.239</v>
      </c>
      <c r="S64" s="57" t="n">
        <f aca="false">SUM(S61:S63)</f>
        <v>36.239</v>
      </c>
    </row>
    <row r="65" s="2" customFormat="true" ht="14.25" hidden="false" customHeight="false" outlineLevel="0" collapsed="false">
      <c r="B65" s="2" t="s">
        <v>99</v>
      </c>
      <c r="D65" s="6"/>
      <c r="E65" s="6"/>
      <c r="F65" s="6"/>
      <c r="G65" s="6"/>
      <c r="H65" s="6"/>
      <c r="I65" s="6"/>
      <c r="J65" s="2" t="n">
        <f aca="false">+AVERAGE(I64:J64)*J20*-1</f>
        <v>-2.138101</v>
      </c>
      <c r="K65" s="2" t="n">
        <f aca="false">+AVERAGE(J64:K64)*K20*-1</f>
        <v>-2.138101</v>
      </c>
      <c r="L65" s="2" t="n">
        <f aca="false">+AVERAGE(K64:L64)*L20*-1</f>
        <v>-2.138101</v>
      </c>
      <c r="M65" s="2" t="n">
        <f aca="false">+AVERAGE(L64:M64)*M20*-1</f>
        <v>-2.138101</v>
      </c>
      <c r="N65" s="2" t="n">
        <f aca="false">+AVERAGE(M64:N64)*N20*-1</f>
        <v>-2.138101</v>
      </c>
      <c r="O65" s="2" t="n">
        <f aca="false">+AVERAGE(N64:O64)*O20*-1</f>
        <v>-2.138101</v>
      </c>
      <c r="P65" s="2" t="n">
        <f aca="false">+AVERAGE(O64:P64)*P20*-1</f>
        <v>-2.138101</v>
      </c>
      <c r="Q65" s="2" t="n">
        <f aca="false">+AVERAGE(P64:Q64)*Q20*-1</f>
        <v>-2.138101</v>
      </c>
      <c r="R65" s="2" t="n">
        <f aca="false">+AVERAGE(Q64:R64)*R20*-1</f>
        <v>-2.138101</v>
      </c>
      <c r="S65" s="2" t="n">
        <f aca="false">+AVERAGE(R64:S64)*S20*-1</f>
        <v>-2.138101</v>
      </c>
    </row>
    <row r="66" s="2" customFormat="true" ht="14.25" hidden="false" customHeight="false" outlineLevel="0" collapsed="false">
      <c r="D66" s="6"/>
      <c r="E66" s="6"/>
      <c r="F66" s="6"/>
      <c r="G66" s="6"/>
      <c r="H66" s="6"/>
      <c r="I66" s="6"/>
    </row>
    <row r="67" customFormat="false" ht="14.25" hidden="false" customHeight="false" outlineLevel="0" collapsed="false">
      <c r="A67" s="6" t="s">
        <v>2</v>
      </c>
      <c r="B67" s="5" t="s">
        <v>331</v>
      </c>
    </row>
    <row r="68" customFormat="false" ht="14.25" hidden="false" customHeight="false" outlineLevel="0" collapsed="false">
      <c r="B68" s="6" t="s">
        <v>310</v>
      </c>
      <c r="J68" s="6" t="n">
        <f aca="false">+I70</f>
        <v>59.899</v>
      </c>
      <c r="K68" s="6" t="n">
        <f aca="false">+J70</f>
        <v>35</v>
      </c>
      <c r="L68" s="6" t="n">
        <f aca="false">+K70</f>
        <v>35</v>
      </c>
      <c r="M68" s="6" t="n">
        <f aca="false">+L70</f>
        <v>35</v>
      </c>
      <c r="N68" s="6" t="n">
        <f aca="false">+M70</f>
        <v>35</v>
      </c>
      <c r="O68" s="6" t="n">
        <f aca="false">+N70</f>
        <v>35</v>
      </c>
      <c r="P68" s="6" t="n">
        <f aca="false">+O70</f>
        <v>35</v>
      </c>
      <c r="Q68" s="6" t="n">
        <f aca="false">+P70</f>
        <v>35</v>
      </c>
      <c r="R68" s="6" t="n">
        <f aca="false">+Q70</f>
        <v>35</v>
      </c>
      <c r="S68" s="6" t="n">
        <f aca="false">+R70</f>
        <v>35</v>
      </c>
    </row>
    <row r="69" customFormat="false" ht="14.25" hidden="false" customHeight="false" outlineLevel="0" collapsed="false">
      <c r="B69" s="6" t="s">
        <v>332</v>
      </c>
      <c r="J69" s="6" t="n">
        <f aca="false">+J30+J39+J45+J51+J56</f>
        <v>-24.899</v>
      </c>
      <c r="K69" s="6" t="n">
        <f aca="false">+K30+K39+K45+K51+K56</f>
        <v>0</v>
      </c>
      <c r="L69" s="6" t="n">
        <f aca="false">+L30+L39+L45+L51+L56</f>
        <v>0</v>
      </c>
      <c r="M69" s="6" t="n">
        <f aca="false">+M30+M39+M45+M51+M56</f>
        <v>0</v>
      </c>
      <c r="N69" s="6" t="n">
        <f aca="false">+N30+N39+N45+N51+N56</f>
        <v>0</v>
      </c>
      <c r="O69" s="6" t="n">
        <f aca="false">+O30+O39+O45+O51+O56</f>
        <v>0</v>
      </c>
      <c r="P69" s="6" t="n">
        <f aca="false">+P30+P39+P45+P51+P56</f>
        <v>0</v>
      </c>
      <c r="Q69" s="6" t="n">
        <f aca="false">+Q30+Q39+Q45+Q51+Q56</f>
        <v>0</v>
      </c>
      <c r="R69" s="6" t="n">
        <f aca="false">+R30+R39+R45+R51+R56</f>
        <v>0</v>
      </c>
      <c r="S69" s="6" t="n">
        <f aca="false">+S30+S39+S45+S51+S56</f>
        <v>0</v>
      </c>
    </row>
    <row r="70" customFormat="false" ht="14.25" hidden="false" customHeight="false" outlineLevel="0" collapsed="false">
      <c r="B70" s="57" t="s">
        <v>333</v>
      </c>
      <c r="C70" s="57"/>
      <c r="D70" s="57"/>
      <c r="E70" s="57"/>
      <c r="F70" s="57"/>
      <c r="G70" s="57"/>
      <c r="H70" s="57"/>
      <c r="I70" s="99" t="n">
        <f aca="false">+'BS &amp; CFS'!I6</f>
        <v>59.899</v>
      </c>
      <c r="J70" s="57" t="n">
        <f aca="false">SUM(J68:J69)</f>
        <v>35</v>
      </c>
      <c r="K70" s="57" t="n">
        <f aca="false">SUM(K68:K69)</f>
        <v>35</v>
      </c>
      <c r="L70" s="57" t="n">
        <f aca="false">SUM(L68:L69)</f>
        <v>35</v>
      </c>
      <c r="M70" s="57" t="n">
        <f aca="false">SUM(M68:M69)</f>
        <v>35</v>
      </c>
      <c r="N70" s="57" t="n">
        <f aca="false">SUM(N68:N69)</f>
        <v>35</v>
      </c>
      <c r="O70" s="57" t="n">
        <f aca="false">SUM(O68:O69)</f>
        <v>35</v>
      </c>
      <c r="P70" s="57" t="n">
        <f aca="false">SUM(P68:P69)</f>
        <v>35</v>
      </c>
      <c r="Q70" s="57" t="n">
        <f aca="false">SUM(Q68:Q69)</f>
        <v>35</v>
      </c>
      <c r="R70" s="57" t="n">
        <f aca="false">SUM(R68:R69)</f>
        <v>35</v>
      </c>
      <c r="S70" s="57" t="n">
        <f aca="false">SUM(S68:S69)</f>
        <v>35</v>
      </c>
    </row>
    <row r="71" customFormat="false" ht="14.25" hidden="false" customHeight="false" outlineLevel="0" collapsed="false">
      <c r="B71" s="2" t="s">
        <v>99</v>
      </c>
      <c r="J71" s="2" t="n">
        <f aca="false">+AVERAGE(I70:J70)*J17</f>
        <v>1.7556315</v>
      </c>
      <c r="K71" s="2" t="n">
        <f aca="false">+AVERAGE(J70:K70)*K17</f>
        <v>1.295</v>
      </c>
      <c r="L71" s="2" t="n">
        <f aca="false">+AVERAGE(K70:L70)*L17</f>
        <v>1.295</v>
      </c>
      <c r="M71" s="2" t="n">
        <f aca="false">+AVERAGE(L70:M70)*M17</f>
        <v>1.295</v>
      </c>
      <c r="N71" s="2" t="n">
        <f aca="false">+AVERAGE(M70:N70)*N17</f>
        <v>1.295</v>
      </c>
      <c r="O71" s="2" t="n">
        <f aca="false">+AVERAGE(N70:O70)*O17</f>
        <v>1.295</v>
      </c>
      <c r="P71" s="2" t="n">
        <f aca="false">+AVERAGE(O70:P70)*P17</f>
        <v>1.295</v>
      </c>
      <c r="Q71" s="2" t="n">
        <f aca="false">+AVERAGE(P70:Q70)*Q17</f>
        <v>1.295</v>
      </c>
      <c r="R71" s="2" t="n">
        <f aca="false">+AVERAGE(Q70:R70)*R17</f>
        <v>1.295</v>
      </c>
      <c r="S71" s="2" t="n">
        <f aca="false">+AVERAGE(R70:S70)*S17</f>
        <v>1.295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D9F1"/>
    <pageSetUpPr fitToPage="false"/>
  </sheetPr>
  <dimension ref="A1:I13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4" topLeftCell="E34" activePane="bottomRight" state="frozen"/>
      <selection pane="topLeft" activeCell="A1" activeCellId="0" sqref="A1"/>
      <selection pane="topRight" activeCell="E1" activeCellId="0" sqref="E1"/>
      <selection pane="bottomLeft" activeCell="A34" activeCellId="0" sqref="A34"/>
      <selection pane="bottomRight" activeCell="E88" activeCellId="0" sqref="E88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  <col collapsed="false" customWidth="false" hidden="false" outlineLevel="0" max="2" min="2" style="1" width="15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/>
    </row>
    <row r="4" customFormat="false" ht="14.25" hidden="false" customHeight="false" outlineLevel="0" collapsed="false">
      <c r="A4" s="2"/>
      <c r="E4" s="110" t="s">
        <v>334</v>
      </c>
      <c r="F4" s="110" t="s">
        <v>335</v>
      </c>
      <c r="G4" s="110" t="s">
        <v>336</v>
      </c>
      <c r="H4" s="110" t="s">
        <v>337</v>
      </c>
    </row>
    <row r="5" customFormat="false" ht="14.25" hidden="false" customHeight="false" outlineLevel="0" collapsed="false">
      <c r="A5" s="2"/>
      <c r="E5" s="110"/>
    </row>
    <row r="6" customFormat="false" ht="14.25" hidden="false" customHeight="false" outlineLevel="0" collapsed="false">
      <c r="A6" s="6" t="s">
        <v>2</v>
      </c>
      <c r="B6" s="5" t="s">
        <v>291</v>
      </c>
    </row>
    <row r="7" customFormat="false" ht="14.25" hidden="false" customHeight="false" outlineLevel="0" collapsed="false">
      <c r="B7" s="69" t="s">
        <v>205</v>
      </c>
      <c r="E7" s="56" t="n">
        <v>52.761</v>
      </c>
    </row>
    <row r="8" customFormat="false" ht="14.25" hidden="false" customHeight="false" outlineLevel="0" collapsed="false">
      <c r="B8" s="69" t="s">
        <v>206</v>
      </c>
      <c r="E8" s="56" t="n">
        <v>11.617</v>
      </c>
    </row>
    <row r="9" customFormat="false" ht="14.25" hidden="false" customHeight="false" outlineLevel="0" collapsed="false">
      <c r="B9" s="69" t="s">
        <v>207</v>
      </c>
      <c r="E9" s="56" t="n">
        <v>52.101</v>
      </c>
    </row>
    <row r="10" customFormat="false" ht="14.25" hidden="false" customHeight="false" outlineLevel="0" collapsed="false">
      <c r="B10" s="6" t="s">
        <v>338</v>
      </c>
      <c r="E10" s="56" t="n">
        <v>10.173</v>
      </c>
    </row>
    <row r="11" customFormat="false" ht="14.25" hidden="false" customHeight="false" outlineLevel="0" collapsed="false">
      <c r="B11" s="51" t="s">
        <v>52</v>
      </c>
      <c r="C11" s="51"/>
      <c r="D11" s="51"/>
      <c r="E11" s="51" t="n">
        <f aca="false">SUM(E7:E10)</f>
        <v>126.652</v>
      </c>
    </row>
    <row r="13" customFormat="false" ht="14.25" hidden="false" customHeight="false" outlineLevel="0" collapsed="false">
      <c r="B13" s="49" t="s">
        <v>24</v>
      </c>
      <c r="E13" s="56" t="n">
        <v>48.723</v>
      </c>
    </row>
    <row r="14" customFormat="false" ht="14.25" hidden="false" customHeight="false" outlineLevel="0" collapsed="false">
      <c r="B14" s="49" t="s">
        <v>51</v>
      </c>
      <c r="E14" s="56" t="n">
        <v>6.554</v>
      </c>
      <c r="F14" s="46"/>
    </row>
    <row r="15" s="9" customFormat="true" ht="14.25" hidden="false" customHeight="false" outlineLevel="0" collapsed="false">
      <c r="B15" s="51" t="s">
        <v>339</v>
      </c>
      <c r="C15" s="51"/>
      <c r="D15" s="51"/>
      <c r="E15" s="51" t="n">
        <f aca="false">+E14+E13</f>
        <v>55.277</v>
      </c>
    </row>
    <row r="16" s="2" customFormat="true" ht="14.25" hidden="false" customHeight="false" outlineLevel="0" collapsed="false">
      <c r="B16" s="2" t="s">
        <v>340</v>
      </c>
      <c r="E16" s="53" t="n">
        <f aca="false">+E15/E11</f>
        <v>0.436447904494205</v>
      </c>
    </row>
    <row r="17" s="2" customFormat="true" ht="14.25" hidden="false" customHeight="false" outlineLevel="0" collapsed="false">
      <c r="B17" s="2" t="s">
        <v>341</v>
      </c>
      <c r="E17" s="53" t="n">
        <f aca="false">+E13/SUM(E7:E9)</f>
        <v>0.418298577425974</v>
      </c>
    </row>
    <row r="18" s="2" customFormat="true" ht="14.25" hidden="false" customHeight="false" outlineLevel="0" collapsed="false">
      <c r="B18" s="2" t="s">
        <v>342</v>
      </c>
      <c r="E18" s="53" t="n">
        <f aca="false">+E14/E10</f>
        <v>0.644254398899047</v>
      </c>
    </row>
    <row r="20" customFormat="false" ht="14.25" hidden="false" customHeight="false" outlineLevel="0" collapsed="false">
      <c r="B20" s="6" t="str">
        <f aca="false">+'P&amp;L'!B16</f>
        <v>Amortization of acquired and library content</v>
      </c>
      <c r="E20" s="56" t="n">
        <v>-2.349</v>
      </c>
    </row>
    <row r="21" customFormat="false" ht="14.25" hidden="false" customHeight="false" outlineLevel="0" collapsed="false">
      <c r="B21" s="6" t="str">
        <f aca="false">+'P&amp;L'!B17</f>
        <v>Amortization of property and equipment and intangible assets</v>
      </c>
      <c r="E21" s="56" t="n">
        <v>-6.274</v>
      </c>
    </row>
    <row r="22" customFormat="false" ht="14.25" hidden="false" customHeight="false" outlineLevel="0" collapsed="false">
      <c r="B22" s="6" t="str">
        <f aca="false">+'P&amp;L'!B18</f>
        <v>Write-down of investment in film and television programs, acquired and library content, and property and equipment</v>
      </c>
      <c r="E22" s="56" t="n">
        <v>0</v>
      </c>
    </row>
    <row r="23" customFormat="false" ht="14.25" hidden="false" customHeight="false" outlineLevel="0" collapsed="false">
      <c r="E23" s="56"/>
    </row>
    <row r="24" customFormat="false" ht="14.25" hidden="false" customHeight="false" outlineLevel="0" collapsed="false">
      <c r="B24" s="6" t="str">
        <f aca="false">+'P&amp;L'!B20</f>
        <v>Selling, general and administrative</v>
      </c>
      <c r="E24" s="56" t="n">
        <v>-25.728</v>
      </c>
    </row>
    <row r="25" customFormat="false" ht="14.25" hidden="false" customHeight="false" outlineLevel="0" collapsed="false">
      <c r="B25" s="6" t="str">
        <f aca="false">+'P&amp;L'!B21</f>
        <v>Share-based compensation</v>
      </c>
      <c r="E25" s="56" t="n">
        <v>-1.327</v>
      </c>
    </row>
    <row r="26" customFormat="false" ht="14.25" hidden="false" customHeight="false" outlineLevel="0" collapsed="false">
      <c r="B26" s="6" t="str">
        <f aca="false">+'P&amp;L'!B22</f>
        <v>Finance costs, net</v>
      </c>
      <c r="E26" s="56" t="n">
        <v>-8.803</v>
      </c>
    </row>
    <row r="27" customFormat="false" ht="14.25" hidden="false" customHeight="false" outlineLevel="0" collapsed="false">
      <c r="B27" s="6" t="str">
        <f aca="false">+'P&amp;L'!B23</f>
        <v>Change in fair value of embedded derivatives</v>
      </c>
      <c r="E27" s="56" t="n">
        <v>6.034</v>
      </c>
    </row>
    <row r="28" customFormat="false" ht="14.25" hidden="false" customHeight="false" outlineLevel="0" collapsed="false">
      <c r="B28" s="6" t="str">
        <f aca="false">+'P&amp;L'!B24</f>
        <v>Foreign exchange (loss) / gain</v>
      </c>
      <c r="E28" s="56" t="n">
        <v>-12.456</v>
      </c>
    </row>
    <row r="29" customFormat="false" ht="14.25" hidden="false" customHeight="false" outlineLevel="0" collapsed="false">
      <c r="B29" s="6" t="str">
        <f aca="false">+'P&amp;L'!B25</f>
        <v>Reorganization, development and other expense</v>
      </c>
      <c r="E29" s="56" t="n">
        <v>-1.568</v>
      </c>
    </row>
    <row r="31" s="9" customFormat="true" ht="14.25" hidden="false" customHeight="false" outlineLevel="0" collapsed="false">
      <c r="B31" s="9" t="s">
        <v>84</v>
      </c>
      <c r="E31" s="9" t="n">
        <f aca="false">+E15+SUM(E20:E22,E24:E29)</f>
        <v>2.806</v>
      </c>
      <c r="I31" s="6"/>
    </row>
    <row r="32" s="2" customFormat="true" ht="14.25" hidden="false" customHeight="false" outlineLevel="0" collapsed="false">
      <c r="B32" s="2" t="s">
        <v>74</v>
      </c>
      <c r="E32" s="53" t="n">
        <f aca="false">+E31/E11</f>
        <v>0.0221551969175378</v>
      </c>
    </row>
    <row r="34" customFormat="false" ht="14.25" hidden="false" customHeight="false" outlineLevel="0" collapsed="false">
      <c r="B34" s="49" t="s">
        <v>85</v>
      </c>
      <c r="E34" s="56" t="n">
        <v>-0.613</v>
      </c>
    </row>
    <row r="35" customFormat="false" ht="14.25" hidden="false" customHeight="false" outlineLevel="0" collapsed="false">
      <c r="B35" s="49" t="s">
        <v>86</v>
      </c>
      <c r="E35" s="56" t="n">
        <v>1.545</v>
      </c>
    </row>
    <row r="36" customFormat="false" ht="14.25" hidden="false" customHeight="false" outlineLevel="0" collapsed="false">
      <c r="B36" s="6" t="s">
        <v>87</v>
      </c>
      <c r="E36" s="6" t="n">
        <f aca="false">SUM(E34:E35)</f>
        <v>0.932</v>
      </c>
    </row>
    <row r="38" customFormat="false" ht="14.25" hidden="false" customHeight="false" outlineLevel="0" collapsed="false">
      <c r="B38" s="6" t="s">
        <v>88</v>
      </c>
      <c r="E38" s="6" t="n">
        <f aca="false">+E31+E36</f>
        <v>3.738</v>
      </c>
    </row>
    <row r="39" customFormat="false" ht="14.25" hidden="false" customHeight="false" outlineLevel="0" collapsed="false">
      <c r="B39" s="49" t="s">
        <v>89</v>
      </c>
      <c r="E39" s="56" t="n">
        <v>11.31</v>
      </c>
    </row>
    <row r="40" customFormat="false" ht="14.25" hidden="false" customHeight="false" outlineLevel="0" collapsed="false">
      <c r="B40" s="67" t="s">
        <v>90</v>
      </c>
      <c r="E40" s="6" t="n">
        <f aca="false">+E38-E39</f>
        <v>-7.572</v>
      </c>
    </row>
    <row r="42" customFormat="false" ht="14.25" hidden="false" customHeight="false" outlineLevel="0" collapsed="false">
      <c r="B42" s="6" t="s">
        <v>91</v>
      </c>
      <c r="E42" s="68" t="n">
        <v>-0.04</v>
      </c>
    </row>
    <row r="43" customFormat="false" ht="14.25" hidden="false" customHeight="false" outlineLevel="0" collapsed="false">
      <c r="B43" s="6" t="s">
        <v>92</v>
      </c>
      <c r="E43" s="68" t="n">
        <v>-0.06</v>
      </c>
    </row>
    <row r="45" customFormat="false" ht="14.25" hidden="false" customHeight="false" outlineLevel="0" collapsed="false">
      <c r="B45" s="6" t="s">
        <v>93</v>
      </c>
      <c r="E45" s="56" t="n">
        <v>173.113</v>
      </c>
    </row>
    <row r="46" customFormat="false" ht="14.25" hidden="false" customHeight="false" outlineLevel="0" collapsed="false">
      <c r="B46" s="6" t="s">
        <v>94</v>
      </c>
      <c r="E46" s="56" t="n">
        <v>190.354</v>
      </c>
    </row>
    <row r="48" customFormat="false" ht="14.25" hidden="false" customHeight="false" outlineLevel="0" collapsed="false">
      <c r="B48" s="6" t="s">
        <v>95</v>
      </c>
      <c r="E48" s="56" t="n">
        <v>0</v>
      </c>
    </row>
    <row r="49" customFormat="false" ht="14.25" hidden="false" customHeight="false" outlineLevel="0" collapsed="false">
      <c r="B49" s="6" t="s">
        <v>96</v>
      </c>
      <c r="E49" s="56" t="n">
        <v>-2.378</v>
      </c>
    </row>
    <row r="51" customFormat="false" ht="14.25" hidden="false" customHeight="false" outlineLevel="0" collapsed="false">
      <c r="A51" s="6" t="s">
        <v>2</v>
      </c>
      <c r="B51" s="5" t="s">
        <v>116</v>
      </c>
    </row>
    <row r="52" customFormat="false" ht="14.25" hidden="false" customHeight="false" outlineLevel="0" collapsed="false">
      <c r="B52" s="6" t="s">
        <v>117</v>
      </c>
      <c r="E52" s="56" t="n">
        <v>62.075</v>
      </c>
    </row>
    <row r="53" customFormat="false" ht="14.25" hidden="false" customHeight="false" outlineLevel="0" collapsed="false">
      <c r="B53" s="6" t="s">
        <v>118</v>
      </c>
      <c r="E53" s="56" t="n">
        <v>8.764</v>
      </c>
    </row>
    <row r="54" customFormat="false" ht="14.25" hidden="false" customHeight="false" outlineLevel="0" collapsed="false">
      <c r="B54" s="6" t="s">
        <v>119</v>
      </c>
      <c r="E54" s="56" t="n">
        <v>299.003</v>
      </c>
    </row>
    <row r="55" customFormat="false" ht="14.25" hidden="false" customHeight="false" outlineLevel="0" collapsed="false">
      <c r="B55" s="6" t="s">
        <v>120</v>
      </c>
      <c r="E55" s="56" t="n">
        <v>7.636</v>
      </c>
    </row>
    <row r="56" customFormat="false" ht="14.25" hidden="false" customHeight="false" outlineLevel="0" collapsed="false">
      <c r="B56" s="6" t="s">
        <v>121</v>
      </c>
      <c r="E56" s="56" t="n">
        <v>165.982</v>
      </c>
    </row>
    <row r="57" customFormat="false" ht="14.25" hidden="false" customHeight="false" outlineLevel="0" collapsed="false">
      <c r="B57" s="9" t="s">
        <v>122</v>
      </c>
      <c r="E57" s="51" t="n">
        <f aca="false">SUM(E52:E56)</f>
        <v>543.46</v>
      </c>
    </row>
    <row r="59" customFormat="false" ht="14.25" hidden="false" customHeight="false" outlineLevel="0" collapsed="false">
      <c r="B59" s="6" t="s">
        <v>123</v>
      </c>
      <c r="E59" s="56" t="n">
        <v>95.827</v>
      </c>
    </row>
    <row r="60" customFormat="false" ht="14.25" hidden="false" customHeight="false" outlineLevel="0" collapsed="false">
      <c r="B60" s="6" t="s">
        <v>124</v>
      </c>
      <c r="E60" s="56" t="n">
        <v>95.52</v>
      </c>
    </row>
    <row r="61" customFormat="false" ht="14.25" hidden="false" customHeight="false" outlineLevel="0" collapsed="false">
      <c r="B61" s="6" t="s">
        <v>125</v>
      </c>
      <c r="E61" s="56" t="n">
        <v>38.039</v>
      </c>
    </row>
    <row r="62" customFormat="false" ht="14.25" hidden="false" customHeight="false" outlineLevel="0" collapsed="false">
      <c r="B62" s="6" t="s">
        <v>126</v>
      </c>
      <c r="E62" s="56" t="n">
        <v>11.864</v>
      </c>
    </row>
    <row r="63" customFormat="false" ht="14.25" hidden="false" customHeight="false" outlineLevel="0" collapsed="false">
      <c r="B63" s="6" t="s">
        <v>127</v>
      </c>
      <c r="E63" s="56" t="n">
        <v>466.614</v>
      </c>
    </row>
    <row r="64" customFormat="false" ht="14.25" hidden="false" customHeight="false" outlineLevel="0" collapsed="false">
      <c r="B64" s="6" t="s">
        <v>128</v>
      </c>
      <c r="E64" s="56" t="n">
        <v>55.484</v>
      </c>
    </row>
    <row r="65" customFormat="false" ht="14.25" hidden="false" customHeight="false" outlineLevel="0" collapsed="false">
      <c r="B65" s="9" t="s">
        <v>129</v>
      </c>
      <c r="E65" s="51" t="n">
        <f aca="false">SUM(E59:E64)+E57</f>
        <v>1306.808</v>
      </c>
    </row>
    <row r="67" customFormat="false" ht="14.25" hidden="false" customHeight="false" outlineLevel="0" collapsed="false">
      <c r="B67" s="6" t="s">
        <v>130</v>
      </c>
      <c r="E67" s="56" t="n">
        <v>21.392</v>
      </c>
    </row>
    <row r="68" customFormat="false" ht="14.25" hidden="false" customHeight="false" outlineLevel="0" collapsed="false">
      <c r="B68" s="6" t="s">
        <v>131</v>
      </c>
      <c r="E68" s="56" t="n">
        <v>168.288</v>
      </c>
    </row>
    <row r="69" customFormat="false" ht="14.25" hidden="false" customHeight="false" outlineLevel="0" collapsed="false">
      <c r="B69" s="6" t="s">
        <v>132</v>
      </c>
      <c r="E69" s="56" t="n">
        <v>70.387</v>
      </c>
    </row>
    <row r="70" customFormat="false" ht="14.25" hidden="false" customHeight="false" outlineLevel="0" collapsed="false">
      <c r="B70" s="6" t="s">
        <v>133</v>
      </c>
      <c r="E70" s="56" t="n">
        <v>112.527</v>
      </c>
    </row>
    <row r="71" customFormat="false" ht="14.25" hidden="false" customHeight="false" outlineLevel="0" collapsed="false">
      <c r="B71" s="6" t="s">
        <v>134</v>
      </c>
      <c r="E71" s="56" t="n">
        <v>10.208</v>
      </c>
    </row>
    <row r="72" customFormat="false" ht="14.25" hidden="false" customHeight="false" outlineLevel="0" collapsed="false">
      <c r="B72" s="6" t="s">
        <v>135</v>
      </c>
      <c r="E72" s="56" t="n">
        <v>29.51</v>
      </c>
    </row>
    <row r="73" customFormat="false" ht="14.25" hidden="false" customHeight="false" outlineLevel="0" collapsed="false">
      <c r="B73" s="9" t="s">
        <v>136</v>
      </c>
      <c r="E73" s="51" t="n">
        <f aca="false">SUM(E67:E72)</f>
        <v>412.312</v>
      </c>
    </row>
    <row r="75" customFormat="false" ht="14.25" hidden="false" customHeight="false" outlineLevel="0" collapsed="false">
      <c r="B75" s="6" t="s">
        <v>137</v>
      </c>
      <c r="E75" s="56" t="n">
        <v>501.258</v>
      </c>
    </row>
    <row r="76" customFormat="false" ht="14.25" hidden="false" customHeight="false" outlineLevel="0" collapsed="false">
      <c r="B76" s="6" t="s">
        <v>138</v>
      </c>
      <c r="E76" s="56" t="n">
        <v>24.935</v>
      </c>
    </row>
    <row r="77" customFormat="false" ht="14.25" hidden="false" customHeight="false" outlineLevel="0" collapsed="false">
      <c r="B77" s="6" t="s">
        <v>139</v>
      </c>
      <c r="E77" s="56" t="n">
        <v>5.431</v>
      </c>
    </row>
    <row r="78" customFormat="false" ht="14.25" hidden="false" customHeight="false" outlineLevel="0" collapsed="false">
      <c r="B78" s="6" t="s">
        <v>140</v>
      </c>
      <c r="E78" s="56" t="n">
        <f aca="false">(1764+19742)/1000</f>
        <v>21.506</v>
      </c>
    </row>
    <row r="79" customFormat="false" ht="14.25" hidden="false" customHeight="false" outlineLevel="0" collapsed="false">
      <c r="B79" s="9" t="s">
        <v>141</v>
      </c>
      <c r="E79" s="51" t="n">
        <f aca="false">SUM(E75:E78)+E73</f>
        <v>965.442</v>
      </c>
    </row>
    <row r="81" customFormat="false" ht="14.25" hidden="false" customHeight="false" outlineLevel="0" collapsed="false">
      <c r="B81" s="6" t="s">
        <v>142</v>
      </c>
      <c r="E81" s="56" t="n">
        <v>80.863</v>
      </c>
    </row>
    <row r="82" customFormat="false" ht="14.25" hidden="false" customHeight="false" outlineLevel="0" collapsed="false">
      <c r="B82" s="6" t="s">
        <v>143</v>
      </c>
      <c r="E82" s="56" t="n">
        <v>260.503</v>
      </c>
    </row>
    <row r="83" customFormat="false" ht="14.25" hidden="false" customHeight="false" outlineLevel="0" collapsed="false">
      <c r="B83" s="9" t="s">
        <v>144</v>
      </c>
      <c r="E83" s="51" t="n">
        <f aca="false">SUM(E81:E82)</f>
        <v>341.366</v>
      </c>
    </row>
    <row r="85" customFormat="false" ht="14.25" hidden="false" customHeight="false" outlineLevel="0" collapsed="false">
      <c r="B85" s="6" t="s">
        <v>145</v>
      </c>
      <c r="E85" s="6" t="n">
        <f aca="false">+E65=E79+E83</f>
        <v>1</v>
      </c>
    </row>
    <row r="87" customFormat="false" ht="14.25" hidden="false" customHeight="false" outlineLevel="0" collapsed="false">
      <c r="B87" s="51" t="s">
        <v>146</v>
      </c>
      <c r="C87" s="51"/>
      <c r="D87" s="51"/>
      <c r="E87" s="51" t="n">
        <f aca="false">+SUM(E54:E55,E59)-SUM(E68:E69)</f>
        <v>163.791</v>
      </c>
    </row>
    <row r="88" customFormat="false" ht="14.25" hidden="false" customHeight="false" outlineLevel="0" collapsed="false">
      <c r="B88" s="9" t="s">
        <v>147</v>
      </c>
      <c r="C88" s="9"/>
      <c r="D88" s="9"/>
      <c r="E88" s="9" t="n">
        <f aca="false">+E87+E56</f>
        <v>329.773</v>
      </c>
    </row>
    <row r="89" customFormat="false" ht="14.25" hidden="false" customHeight="false" outlineLevel="0" collapsed="false">
      <c r="B89" s="9"/>
      <c r="C89" s="9"/>
      <c r="D89" s="9"/>
      <c r="E89" s="9"/>
    </row>
    <row r="90" customFormat="false" ht="14.25" hidden="false" customHeight="false" outlineLevel="0" collapsed="false">
      <c r="B90" s="9" t="s">
        <v>148</v>
      </c>
      <c r="C90" s="9"/>
      <c r="D90" s="9"/>
      <c r="E90" s="9" t="n">
        <f aca="false">+E52</f>
        <v>62.075</v>
      </c>
    </row>
    <row r="91" customFormat="false" ht="14.25" hidden="false" customHeight="false" outlineLevel="0" collapsed="false">
      <c r="B91" s="9" t="s">
        <v>149</v>
      </c>
      <c r="C91" s="9"/>
      <c r="D91" s="9"/>
      <c r="E91" s="9" t="n">
        <f aca="false">+E90+E53</f>
        <v>70.839</v>
      </c>
    </row>
    <row r="92" customFormat="false" ht="14.25" hidden="false" customHeight="false" outlineLevel="0" collapsed="false">
      <c r="B92" s="9"/>
      <c r="C92" s="9"/>
      <c r="D92" s="9"/>
      <c r="E92" s="9"/>
    </row>
    <row r="93" customFormat="false" ht="14.25" hidden="false" customHeight="false" outlineLevel="0" collapsed="false">
      <c r="B93" s="9" t="s">
        <v>150</v>
      </c>
      <c r="C93" s="9"/>
      <c r="D93" s="9"/>
      <c r="E93" s="9" t="n">
        <f aca="false">+E67+E72+E75+E70</f>
        <v>664.687</v>
      </c>
    </row>
    <row r="94" customFormat="false" ht="14.25" hidden="false" customHeight="false" outlineLevel="0" collapsed="false">
      <c r="B94" s="9" t="s">
        <v>151</v>
      </c>
      <c r="C94" s="9"/>
      <c r="D94" s="9"/>
      <c r="E94" s="9" t="n">
        <f aca="false">+E93+E71+E76</f>
        <v>699.83</v>
      </c>
    </row>
    <row r="95" customFormat="false" ht="14.25" hidden="false" customHeight="false" outlineLevel="0" collapsed="false">
      <c r="B95" s="9"/>
      <c r="C95" s="9"/>
      <c r="D95" s="9"/>
      <c r="E95" s="9"/>
    </row>
    <row r="96" customFormat="false" ht="14.25" hidden="false" customHeight="false" outlineLevel="0" collapsed="false">
      <c r="B96" s="75" t="s">
        <v>152</v>
      </c>
      <c r="C96" s="75"/>
      <c r="D96" s="75"/>
      <c r="E96" s="75" t="n">
        <f aca="false">+E94-E90</f>
        <v>637.755</v>
      </c>
    </row>
    <row r="98" customFormat="false" ht="14.25" hidden="false" customHeight="false" outlineLevel="0" collapsed="false">
      <c r="A98" s="6" t="s">
        <v>2</v>
      </c>
      <c r="B98" s="5" t="s">
        <v>174</v>
      </c>
    </row>
    <row r="99" customFormat="false" ht="14.25" hidden="false" customHeight="false" outlineLevel="0" collapsed="false">
      <c r="B99" s="6" t="s">
        <v>175</v>
      </c>
      <c r="E99" s="56" t="n">
        <v>3.738</v>
      </c>
    </row>
    <row r="100" customFormat="false" ht="14.25" hidden="false" customHeight="false" outlineLevel="0" collapsed="false">
      <c r="B100" s="6" t="s">
        <v>176</v>
      </c>
      <c r="E100" s="56" t="n">
        <v>2.709</v>
      </c>
    </row>
    <row r="101" customFormat="false" ht="14.25" hidden="false" customHeight="false" outlineLevel="0" collapsed="false">
      <c r="B101" s="6" t="s">
        <v>177</v>
      </c>
      <c r="E101" s="56" t="n">
        <v>3.565</v>
      </c>
    </row>
    <row r="102" customFormat="false" ht="14.25" hidden="false" customHeight="false" outlineLevel="0" collapsed="false">
      <c r="B102" s="6" t="s">
        <v>75</v>
      </c>
      <c r="E102" s="56" t="n">
        <v>2.349</v>
      </c>
    </row>
    <row r="103" customFormat="false" ht="14.25" hidden="false" customHeight="false" outlineLevel="0" collapsed="false">
      <c r="B103" s="6" t="s">
        <v>178</v>
      </c>
      <c r="E103" s="56" t="n">
        <v>3.477</v>
      </c>
    </row>
    <row r="104" customFormat="false" ht="14.25" hidden="false" customHeight="false" outlineLevel="0" collapsed="false">
      <c r="B104" s="6" t="s">
        <v>179</v>
      </c>
      <c r="E104" s="56" t="n">
        <v>24.322</v>
      </c>
    </row>
    <row r="105" customFormat="false" ht="14.25" hidden="false" customHeight="false" outlineLevel="0" collapsed="false">
      <c r="B105" s="6" t="s">
        <v>79</v>
      </c>
      <c r="E105" s="56" t="n">
        <v>1.327</v>
      </c>
    </row>
    <row r="106" customFormat="false" ht="14.25" hidden="false" customHeight="false" outlineLevel="0" collapsed="false">
      <c r="B106" s="6" t="s">
        <v>81</v>
      </c>
      <c r="E106" s="56" t="n">
        <v>-6.034</v>
      </c>
    </row>
    <row r="107" customFormat="false" ht="14.25" hidden="false" customHeight="false" outlineLevel="0" collapsed="false">
      <c r="B107" s="6" t="s">
        <v>180</v>
      </c>
      <c r="E107" s="56" t="n">
        <v>-3.019</v>
      </c>
    </row>
    <row r="108" customFormat="false" ht="14.25" hidden="false" customHeight="false" outlineLevel="0" collapsed="false">
      <c r="B108" s="6" t="s">
        <v>181</v>
      </c>
      <c r="E108" s="56" t="n">
        <v>-1.303</v>
      </c>
    </row>
    <row r="109" customFormat="false" ht="14.25" hidden="false" customHeight="false" outlineLevel="0" collapsed="false">
      <c r="B109" s="6" t="s">
        <v>182</v>
      </c>
      <c r="E109" s="56" t="n">
        <v>9.648</v>
      </c>
    </row>
    <row r="110" customFormat="false" ht="14.25" hidden="false" customHeight="false" outlineLevel="0" collapsed="false">
      <c r="B110" s="6" t="s">
        <v>183</v>
      </c>
      <c r="E110" s="56" t="n">
        <v>-1.545</v>
      </c>
    </row>
    <row r="111" customFormat="false" ht="14.25" hidden="false" customHeight="false" outlineLevel="0" collapsed="false">
      <c r="B111" s="6" t="s">
        <v>184</v>
      </c>
      <c r="E111" s="56" t="n">
        <v>0</v>
      </c>
    </row>
    <row r="112" customFormat="false" ht="14.25" hidden="false" customHeight="false" outlineLevel="0" collapsed="false">
      <c r="B112" s="6" t="s">
        <v>185</v>
      </c>
      <c r="E112" s="56" t="n">
        <v>0</v>
      </c>
    </row>
    <row r="113" customFormat="false" ht="14.25" hidden="false" customHeight="false" outlineLevel="0" collapsed="false">
      <c r="B113" s="6" t="s">
        <v>186</v>
      </c>
      <c r="E113" s="56" t="n">
        <v>0</v>
      </c>
    </row>
    <row r="114" customFormat="false" ht="14.25" hidden="false" customHeight="false" outlineLevel="0" collapsed="false">
      <c r="B114" s="6" t="s">
        <v>187</v>
      </c>
      <c r="E114" s="56" t="n">
        <v>-5.255</v>
      </c>
    </row>
    <row r="115" customFormat="false" ht="14.25" hidden="false" customHeight="false" outlineLevel="0" collapsed="false">
      <c r="B115" s="6" t="s">
        <v>188</v>
      </c>
      <c r="E115" s="56" t="n">
        <v>-57.303</v>
      </c>
    </row>
    <row r="116" customFormat="false" ht="14.25" hidden="false" customHeight="false" outlineLevel="0" collapsed="false">
      <c r="A116" s="9"/>
      <c r="B116" s="51" t="s">
        <v>164</v>
      </c>
      <c r="C116" s="51"/>
      <c r="D116" s="51"/>
      <c r="E116" s="51" t="n">
        <f aca="false">SUM(E99:E115)</f>
        <v>-23.324</v>
      </c>
    </row>
    <row r="118" customFormat="false" ht="14.25" hidden="false" customHeight="false" outlineLevel="0" collapsed="false">
      <c r="B118" s="6" t="s">
        <v>189</v>
      </c>
      <c r="E118" s="56" t="n">
        <v>-0.24</v>
      </c>
    </row>
    <row r="119" customFormat="false" ht="14.25" hidden="false" customHeight="false" outlineLevel="0" collapsed="false">
      <c r="B119" s="6" t="s">
        <v>190</v>
      </c>
      <c r="E119" s="56" t="n">
        <v>0</v>
      </c>
    </row>
    <row r="120" customFormat="false" ht="14.25" hidden="false" customHeight="false" outlineLevel="0" collapsed="false">
      <c r="B120" s="6" t="s">
        <v>191</v>
      </c>
      <c r="E120" s="56" t="n">
        <v>-1.696</v>
      </c>
    </row>
    <row r="121" customFormat="false" ht="14.25" hidden="false" customHeight="false" outlineLevel="0" collapsed="false">
      <c r="B121" s="51" t="s">
        <v>168</v>
      </c>
      <c r="C121" s="51"/>
      <c r="D121" s="51"/>
      <c r="E121" s="51" t="n">
        <f aca="false">SUM(E118:E120)</f>
        <v>-1.936</v>
      </c>
    </row>
    <row r="123" customFormat="false" ht="14.25" hidden="false" customHeight="false" outlineLevel="0" collapsed="false">
      <c r="B123" s="6" t="s">
        <v>192</v>
      </c>
      <c r="E123" s="56" t="n">
        <v>0.018</v>
      </c>
    </row>
    <row r="124" customFormat="false" ht="14.25" hidden="false" customHeight="false" outlineLevel="0" collapsed="false">
      <c r="B124" s="6" t="s">
        <v>193</v>
      </c>
      <c r="E124" s="56" t="n">
        <v>0</v>
      </c>
    </row>
    <row r="125" customFormat="false" ht="14.25" hidden="false" customHeight="false" outlineLevel="0" collapsed="false">
      <c r="B125" s="6" t="s">
        <v>194</v>
      </c>
      <c r="E125" s="56" t="n">
        <v>-0.045</v>
      </c>
    </row>
    <row r="126" customFormat="false" ht="14.25" hidden="false" customHeight="false" outlineLevel="0" collapsed="false">
      <c r="B126" s="6" t="s">
        <v>195</v>
      </c>
      <c r="E126" s="56" t="n">
        <v>-2.378</v>
      </c>
    </row>
    <row r="127" customFormat="false" ht="14.25" hidden="false" customHeight="false" outlineLevel="0" collapsed="false">
      <c r="B127" s="6" t="s">
        <v>196</v>
      </c>
      <c r="E127" s="56" t="n">
        <v>12.305</v>
      </c>
    </row>
    <row r="128" customFormat="false" ht="14.25" hidden="false" customHeight="false" outlineLevel="0" collapsed="false">
      <c r="B128" s="6" t="s">
        <v>197</v>
      </c>
      <c r="E128" s="56" t="n">
        <v>-0.977</v>
      </c>
    </row>
    <row r="129" customFormat="false" ht="14.25" hidden="false" customHeight="false" outlineLevel="0" collapsed="false">
      <c r="B129" s="6" t="s">
        <v>198</v>
      </c>
      <c r="E129" s="56" t="n">
        <v>-9.09</v>
      </c>
    </row>
    <row r="130" customFormat="false" ht="14.25" hidden="false" customHeight="false" outlineLevel="0" collapsed="false">
      <c r="B130" s="6" t="s">
        <v>199</v>
      </c>
      <c r="E130" s="56" t="n">
        <v>-0.058</v>
      </c>
    </row>
    <row r="131" customFormat="false" ht="14.25" hidden="false" customHeight="false" outlineLevel="0" collapsed="false">
      <c r="B131" s="6" t="s">
        <v>200</v>
      </c>
      <c r="E131" s="56" t="n">
        <v>-2.331</v>
      </c>
    </row>
    <row r="132" customFormat="false" ht="14.25" hidden="false" customHeight="false" outlineLevel="0" collapsed="false">
      <c r="B132" s="6" t="s">
        <v>201</v>
      </c>
      <c r="E132" s="56" t="n">
        <v>28.292</v>
      </c>
    </row>
    <row r="133" customFormat="false" ht="14.25" hidden="false" customHeight="false" outlineLevel="0" collapsed="false">
      <c r="A133" s="9"/>
      <c r="B133" s="51" t="s">
        <v>173</v>
      </c>
      <c r="C133" s="51"/>
      <c r="D133" s="51"/>
      <c r="E133" s="51" t="n">
        <f aca="false">SUM(E123:E132)</f>
        <v>25.736</v>
      </c>
    </row>
    <row r="135" customFormat="false" ht="14.25" hidden="false" customHeight="false" outlineLevel="0" collapsed="false">
      <c r="B135" s="6" t="s">
        <v>202</v>
      </c>
      <c r="E135" s="56" t="n">
        <v>1.629</v>
      </c>
    </row>
    <row r="137" customFormat="false" ht="14.25" hidden="false" customHeight="false" outlineLevel="0" collapsed="false">
      <c r="B137" s="6" t="s">
        <v>203</v>
      </c>
      <c r="E137" s="6" t="n">
        <f aca="false">+E135+E133+E121+E116</f>
        <v>2.105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D9F1"/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43" activeCellId="0" sqref="H43"/>
    </sheetView>
  </sheetViews>
  <sheetFormatPr defaultColWidth="15.73046875" defaultRowHeight="14.25" zeroHeight="false" outlineLevelRow="0" outlineLevelCol="0"/>
  <cols>
    <col collapsed="false" customWidth="true" hidden="false" outlineLevel="0" max="1" min="1" style="1" width="1.73"/>
    <col collapsed="false" customWidth="false" hidden="false" outlineLevel="0" max="2" min="2" style="1" width="15.73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E4" s="58" t="s">
        <v>343</v>
      </c>
      <c r="F4" s="58" t="s">
        <v>344</v>
      </c>
      <c r="G4" s="58" t="s">
        <v>14</v>
      </c>
      <c r="H4" s="58" t="s">
        <v>15</v>
      </c>
      <c r="I4" s="58" t="s">
        <v>16</v>
      </c>
      <c r="J4" s="58" t="s">
        <v>345</v>
      </c>
    </row>
    <row r="5" customFormat="false" ht="14.25" hidden="false" customHeight="false" outlineLevel="0" collapsed="false">
      <c r="F5" s="58"/>
    </row>
    <row r="6" customFormat="false" ht="14.25" hidden="false" customHeight="false" outlineLevel="0" collapsed="false">
      <c r="A6" s="6" t="s">
        <v>2</v>
      </c>
      <c r="B6" s="5" t="s">
        <v>346</v>
      </c>
    </row>
    <row r="7" customFormat="false" ht="14.25" hidden="false" customHeight="false" outlineLevel="0" collapsed="false">
      <c r="B7" s="6" t="s">
        <v>25</v>
      </c>
      <c r="E7" s="56" t="s">
        <v>347</v>
      </c>
      <c r="F7" s="56" t="s">
        <v>348</v>
      </c>
    </row>
    <row r="8" customFormat="false" ht="14.25" hidden="false" customHeight="false" outlineLevel="0" collapsed="false">
      <c r="B8" s="6" t="s">
        <v>349</v>
      </c>
      <c r="E8" s="56" t="n">
        <v>490</v>
      </c>
      <c r="F8" s="56" t="n">
        <v>550</v>
      </c>
    </row>
    <row r="10" customFormat="false" ht="14.25" hidden="false" customHeight="false" outlineLevel="0" collapsed="false">
      <c r="B10" s="6" t="s">
        <v>350</v>
      </c>
      <c r="E10" s="56" t="s">
        <v>351</v>
      </c>
      <c r="F10" s="56" t="s">
        <v>352</v>
      </c>
    </row>
    <row r="11" customFormat="false" ht="14.25" hidden="false" customHeight="false" outlineLevel="0" collapsed="false">
      <c r="B11" s="6" t="s">
        <v>349</v>
      </c>
      <c r="E11" s="56" t="n">
        <v>90</v>
      </c>
      <c r="F11" s="56" t="n">
        <v>100</v>
      </c>
    </row>
    <row r="13" customFormat="false" ht="14.25" hidden="false" customHeight="false" outlineLevel="0" collapsed="false">
      <c r="A13" s="6" t="s">
        <v>2</v>
      </c>
      <c r="B13" s="5" t="s">
        <v>353</v>
      </c>
    </row>
    <row r="14" customFormat="false" ht="14.25" hidden="false" customHeight="false" outlineLevel="0" collapsed="false">
      <c r="B14" s="49" t="s">
        <v>354</v>
      </c>
      <c r="E14" s="56" t="n">
        <v>498.75</v>
      </c>
      <c r="F14" s="56" t="n">
        <v>545.956</v>
      </c>
      <c r="G14" s="56" t="n">
        <v>600.17</v>
      </c>
      <c r="H14" s="56"/>
      <c r="I14" s="56"/>
      <c r="J14" s="56"/>
    </row>
    <row r="15" customFormat="false" ht="14.25" hidden="false" customHeight="false" outlineLevel="0" collapsed="false">
      <c r="B15" s="49" t="s">
        <v>355</v>
      </c>
      <c r="E15" s="56" t="n">
        <v>503.4</v>
      </c>
      <c r="F15" s="56" t="n">
        <v>543</v>
      </c>
      <c r="G15" s="56" t="n">
        <v>599</v>
      </c>
      <c r="H15" s="56" t="n">
        <v>640.2</v>
      </c>
      <c r="I15" s="56"/>
      <c r="J15" s="56"/>
    </row>
    <row r="16" customFormat="false" ht="14.25" hidden="false" customHeight="false" outlineLevel="0" collapsed="false">
      <c r="B16" s="49" t="s">
        <v>356</v>
      </c>
      <c r="E16" s="56" t="n">
        <v>505.6</v>
      </c>
      <c r="F16" s="56" t="n">
        <v>550.8</v>
      </c>
      <c r="G16" s="56" t="n">
        <v>605.7</v>
      </c>
      <c r="H16" s="56" t="n">
        <v>640</v>
      </c>
      <c r="I16" s="56"/>
      <c r="J16" s="56"/>
    </row>
    <row r="17" customFormat="false" ht="14.25" hidden="false" customHeight="false" outlineLevel="0" collapsed="false">
      <c r="B17" s="49" t="s">
        <v>357</v>
      </c>
      <c r="E17" s="56" t="n">
        <v>497</v>
      </c>
      <c r="F17" s="56" t="n">
        <v>538</v>
      </c>
      <c r="G17" s="56" t="n">
        <v>570</v>
      </c>
      <c r="H17" s="56"/>
      <c r="I17" s="56"/>
      <c r="J17" s="56"/>
    </row>
    <row r="18" customFormat="false" ht="14.25" hidden="false" customHeight="false" outlineLevel="0" collapsed="false">
      <c r="B18" s="49" t="s">
        <v>358</v>
      </c>
      <c r="E18" s="56" t="n">
        <v>509.9</v>
      </c>
      <c r="F18" s="56" t="n">
        <v>537.2</v>
      </c>
      <c r="G18" s="56" t="n">
        <v>593.4</v>
      </c>
      <c r="H18" s="56"/>
      <c r="I18" s="56"/>
      <c r="J18" s="56"/>
    </row>
    <row r="19" customFormat="false" ht="14.25" hidden="false" customHeight="false" outlineLevel="0" collapsed="false">
      <c r="B19" s="49" t="s">
        <v>359</v>
      </c>
      <c r="E19" s="56" t="n">
        <v>500.1</v>
      </c>
      <c r="F19" s="56" t="n">
        <v>530.3</v>
      </c>
      <c r="G19" s="56" t="n">
        <v>576.1</v>
      </c>
      <c r="H19" s="56"/>
      <c r="I19" s="56"/>
      <c r="J19" s="56"/>
    </row>
    <row r="20" customFormat="false" ht="14.25" hidden="false" customHeight="false" outlineLevel="0" collapsed="false">
      <c r="B20" s="51" t="s">
        <v>360</v>
      </c>
      <c r="C20" s="51"/>
      <c r="D20" s="51"/>
      <c r="E20" s="51" t="n">
        <f aca="false">+AVERAGE(E14:E19)</f>
        <v>502.458333333333</v>
      </c>
      <c r="F20" s="51" t="n">
        <f aca="false">+AVERAGE(F14:F19)</f>
        <v>540.876</v>
      </c>
      <c r="G20" s="51" t="n">
        <f aca="false">+AVERAGE(G14:G19)</f>
        <v>590.728333333333</v>
      </c>
      <c r="H20" s="51" t="n">
        <f aca="false">+AVERAGE(H14:H19)</f>
        <v>640.1</v>
      </c>
      <c r="I20" s="51"/>
      <c r="J20" s="51"/>
    </row>
    <row r="21" customFormat="false" ht="14.25" hidden="false" customHeight="false" outlineLevel="0" collapsed="false">
      <c r="B21" s="9" t="s">
        <v>361</v>
      </c>
      <c r="C21" s="9"/>
      <c r="D21" s="9"/>
      <c r="E21" s="9" t="n">
        <f aca="false">+MEDIAN(E14:E19)</f>
        <v>501.75</v>
      </c>
      <c r="F21" s="9" t="n">
        <f aca="false">+MEDIAN(F14:F19)</f>
        <v>540.5</v>
      </c>
      <c r="G21" s="9" t="n">
        <f aca="false">+MEDIAN(G14:G19)</f>
        <v>596.2</v>
      </c>
      <c r="H21" s="9" t="n">
        <f aca="false">+MEDIAN(H14:H19)</f>
        <v>640.1</v>
      </c>
      <c r="I21" s="9"/>
      <c r="J21" s="9"/>
    </row>
    <row r="22" customFormat="false" ht="14.25" hidden="false" customHeight="false" outlineLevel="0" collapsed="false"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4.25" hidden="false" customHeight="false" outlineLevel="0" collapsed="false">
      <c r="B23" s="49" t="s">
        <v>354</v>
      </c>
      <c r="E23" s="56" t="n">
        <v>88.26</v>
      </c>
      <c r="F23" s="56" t="n">
        <v>100.18</v>
      </c>
      <c r="G23" s="56" t="n">
        <v>113.15</v>
      </c>
      <c r="H23" s="56"/>
      <c r="I23" s="56"/>
      <c r="J23" s="56"/>
    </row>
    <row r="24" customFormat="false" ht="14.25" hidden="false" customHeight="false" outlineLevel="0" collapsed="false">
      <c r="B24" s="49" t="s">
        <v>355</v>
      </c>
      <c r="E24" s="56" t="n">
        <v>92.8</v>
      </c>
      <c r="F24" s="56" t="n">
        <v>93</v>
      </c>
      <c r="G24" s="56" t="n">
        <v>112</v>
      </c>
      <c r="H24" s="56" t="n">
        <v>123</v>
      </c>
      <c r="I24" s="56"/>
      <c r="J24" s="56"/>
    </row>
    <row r="25" customFormat="false" ht="14.25" hidden="false" customHeight="false" outlineLevel="0" collapsed="false">
      <c r="B25" s="49" t="s">
        <v>356</v>
      </c>
      <c r="E25" s="56" t="n">
        <v>92.6</v>
      </c>
      <c r="F25" s="56" t="n">
        <v>99.7</v>
      </c>
      <c r="G25" s="56" t="n">
        <v>113.7</v>
      </c>
      <c r="H25" s="56"/>
      <c r="I25" s="56"/>
      <c r="J25" s="56"/>
    </row>
    <row r="26" customFormat="false" ht="14.25" hidden="false" customHeight="false" outlineLevel="0" collapsed="false">
      <c r="B26" s="49" t="s">
        <v>357</v>
      </c>
      <c r="E26" s="56" t="n">
        <v>93</v>
      </c>
      <c r="F26" s="56" t="n">
        <v>95</v>
      </c>
      <c r="G26" s="56" t="n">
        <v>102</v>
      </c>
      <c r="H26" s="56"/>
      <c r="I26" s="56"/>
      <c r="J26" s="56"/>
    </row>
    <row r="27" customFormat="false" ht="14.25" hidden="false" customHeight="false" outlineLevel="0" collapsed="false">
      <c r="B27" s="49" t="s">
        <v>358</v>
      </c>
      <c r="E27" s="56" t="n">
        <v>94.2</v>
      </c>
      <c r="F27" s="56" t="n">
        <v>100.2</v>
      </c>
      <c r="G27" s="56" t="n">
        <v>114.9</v>
      </c>
      <c r="H27" s="56"/>
      <c r="I27" s="56"/>
      <c r="J27" s="56"/>
    </row>
    <row r="28" customFormat="false" ht="14.25" hidden="false" customHeight="false" outlineLevel="0" collapsed="false">
      <c r="B28" s="49" t="s">
        <v>359</v>
      </c>
      <c r="E28" s="56" t="n">
        <v>91.82</v>
      </c>
      <c r="F28" s="56" t="n">
        <v>99.1</v>
      </c>
      <c r="G28" s="56" t="n">
        <v>108.8</v>
      </c>
      <c r="H28" s="56"/>
      <c r="I28" s="56"/>
      <c r="J28" s="56"/>
    </row>
    <row r="29" customFormat="false" ht="14.25" hidden="false" customHeight="false" outlineLevel="0" collapsed="false">
      <c r="B29" s="51" t="s">
        <v>362</v>
      </c>
      <c r="C29" s="51"/>
      <c r="D29" s="51"/>
      <c r="E29" s="51" t="n">
        <f aca="false">+AVERAGE(E23:E28)</f>
        <v>92.1133333333333</v>
      </c>
      <c r="F29" s="51" t="n">
        <f aca="false">+AVERAGE(F23:F28)</f>
        <v>97.8633333333333</v>
      </c>
      <c r="G29" s="51" t="n">
        <f aca="false">+AVERAGE(G23:G28)</f>
        <v>110.758333333333</v>
      </c>
      <c r="H29" s="51" t="n">
        <f aca="false">+AVERAGE(H23:H28)</f>
        <v>123</v>
      </c>
      <c r="I29" s="51"/>
      <c r="J29" s="51"/>
    </row>
    <row r="30" customFormat="false" ht="14.25" hidden="false" customHeight="false" outlineLevel="0" collapsed="false">
      <c r="B30" s="9" t="s">
        <v>363</v>
      </c>
      <c r="C30" s="9"/>
      <c r="D30" s="9"/>
      <c r="E30" s="9" t="n">
        <f aca="false">+MEDIAN(E23:E28)</f>
        <v>92.7</v>
      </c>
      <c r="F30" s="9" t="n">
        <f aca="false">+MEDIAN(F23:F28)</f>
        <v>99.4</v>
      </c>
      <c r="G30" s="9" t="n">
        <f aca="false">+MEDIAN(G23:G28)</f>
        <v>112.575</v>
      </c>
      <c r="H30" s="9" t="n">
        <f aca="false">+MEDIAN(H23:H28)</f>
        <v>123</v>
      </c>
      <c r="I30" s="9"/>
      <c r="J30" s="9"/>
    </row>
    <row r="32" customFormat="false" ht="14.25" hidden="false" customHeight="false" outlineLevel="0" collapsed="false">
      <c r="A32" s="6" t="s">
        <v>2</v>
      </c>
      <c r="B32" s="5" t="s">
        <v>364</v>
      </c>
    </row>
    <row r="33" customFormat="false" ht="14.25" hidden="false" customHeight="false" outlineLevel="0" collapsed="false">
      <c r="B33" s="6" t="s">
        <v>25</v>
      </c>
      <c r="E33" s="65" t="n">
        <f aca="false">+'P&amp;L'!I6</f>
        <v>507.223</v>
      </c>
      <c r="F33" s="65" t="n">
        <f aca="false">+'P&amp;L'!J6</f>
        <v>526.48778</v>
      </c>
      <c r="G33" s="65" t="n">
        <f aca="false">+'P&amp;L'!K6</f>
        <v>583.43795878</v>
      </c>
      <c r="H33" s="65" t="n">
        <f aca="false">+'P&amp;L'!L6</f>
        <v>653.3754156215</v>
      </c>
      <c r="I33" s="65" t="n">
        <f aca="false">+'P&amp;L'!M6</f>
        <v>706.858886577986</v>
      </c>
      <c r="J33" s="65" t="n">
        <f aca="false">+'P&amp;L'!N6</f>
        <v>751.517172903753</v>
      </c>
    </row>
    <row r="34" customFormat="false" ht="14.25" hidden="false" customHeight="false" outlineLevel="0" collapsed="false">
      <c r="B34" s="6" t="s">
        <v>350</v>
      </c>
      <c r="E34" s="65" t="n">
        <f aca="false">+'P&amp;L'!I62</f>
        <v>88.75</v>
      </c>
      <c r="F34" s="65" t="n">
        <f aca="false">+'P&amp;L'!J62</f>
        <v>97.0262840700683</v>
      </c>
      <c r="G34" s="65" t="n">
        <f aca="false">+'P&amp;L'!K62</f>
        <v>115.54163294714</v>
      </c>
      <c r="H34" s="65" t="n">
        <f aca="false">+'P&amp;L'!L62</f>
        <v>129.830710585051</v>
      </c>
      <c r="I34" s="65" t="n">
        <f aca="false">+'P&amp;L'!M62</f>
        <v>140.953260413539</v>
      </c>
      <c r="J34" s="65" t="n">
        <f aca="false">+'P&amp;L'!N62</f>
        <v>149.837727811284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2009-10-20T07:07:16Z</dcterms:created>
  <dc:creator>Danial AZMI</dc:creator>
  <dc:description/>
  <dc:language>en-US</dc:language>
  <cp:lastModifiedBy/>
  <cp:lastPrinted>2023-02-02T17:08:32Z</cp:lastPrinted>
  <dcterms:modified xsi:type="dcterms:W3CDTF">2026-01-14T04:43:33Z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