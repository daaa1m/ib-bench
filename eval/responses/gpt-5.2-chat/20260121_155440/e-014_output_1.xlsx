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\\Mac\Home\Code\ib-bench\eval\responses\gpt-5.2-chat\20260121_155440\"/>
    </mc:Choice>
  </mc:AlternateContent>
  <xr:revisionPtr revIDLastSave="0" documentId="13_ncr:1_{C713AB8F-AC8C-4D52-8576-C935FE49A522}" xr6:coauthVersionLast="47" xr6:coauthVersionMax="47" xr10:uidLastSave="{00000000-0000-0000-0000-000000000000}"/>
  <bookViews>
    <workbookView xWindow="30" yWindow="1320" windowWidth="22650" windowHeight="12915" activeTab="2" xr2:uid="{00000000-000D-0000-FFFF-FFFF00000000}"/>
  </bookViews>
  <sheets>
    <sheet name="Assumptions" sheetId="1" r:id="rId1"/>
    <sheet name="Income Statement" sheetId="2" r:id="rId2"/>
    <sheet name="Balance Sheet" sheetId="3" r:id="rId3"/>
    <sheet name="Cash Flow" sheetId="4" r:id="rId4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7" i="4" l="1"/>
  <c r="F25" i="4"/>
  <c r="E25" i="4"/>
  <c r="G22" i="4"/>
  <c r="F15" i="4"/>
  <c r="E15" i="4"/>
  <c r="F9" i="4" s="1"/>
  <c r="F13" i="4" s="1"/>
  <c r="F14" i="4"/>
  <c r="E14" i="4"/>
  <c r="E13" i="4"/>
  <c r="E9" i="4"/>
  <c r="D41" i="3"/>
  <c r="F40" i="3"/>
  <c r="G40" i="3" s="1"/>
  <c r="G41" i="3" s="1"/>
  <c r="E40" i="3"/>
  <c r="D33" i="3"/>
  <c r="D35" i="3" s="1"/>
  <c r="D45" i="3" s="1"/>
  <c r="G32" i="3"/>
  <c r="G33" i="3" s="1"/>
  <c r="F32" i="3"/>
  <c r="F33" i="3" s="1"/>
  <c r="E32" i="3"/>
  <c r="E33" i="3" s="1"/>
  <c r="D28" i="3"/>
  <c r="G26" i="3"/>
  <c r="F26" i="3"/>
  <c r="E26" i="3"/>
  <c r="F25" i="3"/>
  <c r="G25" i="3" s="1"/>
  <c r="G28" i="3" s="1"/>
  <c r="G35" i="3" s="1"/>
  <c r="E25" i="3"/>
  <c r="D18" i="3"/>
  <c r="G17" i="3"/>
  <c r="F17" i="3"/>
  <c r="E17" i="3"/>
  <c r="F16" i="3"/>
  <c r="G16" i="3" s="1"/>
  <c r="G18" i="3" s="1"/>
  <c r="E16" i="3"/>
  <c r="D12" i="3"/>
  <c r="D20" i="3" s="1"/>
  <c r="D47" i="3" s="1"/>
  <c r="E11" i="3"/>
  <c r="F11" i="3" s="1"/>
  <c r="G11" i="3" s="1"/>
  <c r="E8" i="3"/>
  <c r="F8" i="3" s="1"/>
  <c r="G8" i="3" s="1"/>
  <c r="D13" i="2"/>
  <c r="E12" i="2"/>
  <c r="E11" i="2"/>
  <c r="E13" i="2" s="1"/>
  <c r="D7" i="2"/>
  <c r="D15" i="2" s="1"/>
  <c r="E6" i="2"/>
  <c r="E24" i="3" s="1"/>
  <c r="E28" i="3" s="1"/>
  <c r="E35" i="3" s="1"/>
  <c r="F5" i="2"/>
  <c r="E5" i="2"/>
  <c r="E9" i="3" s="1"/>
  <c r="D21" i="2" l="1"/>
  <c r="D24" i="2" s="1"/>
  <c r="D16" i="2"/>
  <c r="G45" i="3"/>
  <c r="F12" i="2"/>
  <c r="F9" i="3"/>
  <c r="E21" i="4"/>
  <c r="E22" i="4" s="1"/>
  <c r="D8" i="2"/>
  <c r="F21" i="4"/>
  <c r="F22" i="4" s="1"/>
  <c r="G5" i="2"/>
  <c r="E7" i="2"/>
  <c r="F11" i="2"/>
  <c r="E10" i="3"/>
  <c r="F6" i="2"/>
  <c r="E15" i="3"/>
  <c r="E18" i="3" l="1"/>
  <c r="F15" i="3"/>
  <c r="F18" i="3" s="1"/>
  <c r="F24" i="3"/>
  <c r="F28" i="3" s="1"/>
  <c r="F35" i="3" s="1"/>
  <c r="F10" i="3"/>
  <c r="G7" i="2"/>
  <c r="G6" i="2"/>
  <c r="G11" i="2"/>
  <c r="G12" i="2"/>
  <c r="F13" i="2"/>
  <c r="D28" i="2"/>
  <c r="D25" i="2"/>
  <c r="E15" i="2"/>
  <c r="E8" i="2"/>
  <c r="F7" i="2"/>
  <c r="G8" i="2" l="1"/>
  <c r="E21" i="2"/>
  <c r="E16" i="2"/>
  <c r="G13" i="2"/>
  <c r="G15" i="2" s="1"/>
  <c r="F8" i="2"/>
  <c r="F15" i="2"/>
  <c r="G16" i="2" l="1"/>
  <c r="G21" i="2"/>
  <c r="E22" i="2"/>
  <c r="E24" i="2" s="1"/>
  <c r="F16" i="2"/>
  <c r="F21" i="2"/>
  <c r="E6" i="4" l="1"/>
  <c r="E18" i="4" s="1"/>
  <c r="E28" i="2"/>
  <c r="E25" i="2"/>
  <c r="E39" i="3"/>
  <c r="F24" i="2"/>
  <c r="F22" i="2"/>
  <c r="G22" i="2"/>
  <c r="G24" i="2"/>
  <c r="F6" i="4" l="1"/>
  <c r="F18" i="4" s="1"/>
  <c r="F29" i="4" s="1"/>
  <c r="F28" i="2"/>
  <c r="F25" i="2"/>
  <c r="E29" i="4"/>
  <c r="G6" i="4"/>
  <c r="G18" i="4" s="1"/>
  <c r="G29" i="4" s="1"/>
  <c r="G28" i="2"/>
  <c r="G25" i="2"/>
  <c r="E41" i="3"/>
  <c r="E45" i="3" s="1"/>
  <c r="F39" i="3"/>
  <c r="F41" i="3" s="1"/>
  <c r="F45" i="3" s="1"/>
  <c r="E7" i="3"/>
  <c r="F7" i="3"/>
  <c r="G7" i="3"/>
  <c r="E12" i="3"/>
  <c r="F12" i="3"/>
  <c r="G12" i="3"/>
  <c r="E20" i="3"/>
  <c r="F20" i="3"/>
  <c r="G20" i="3"/>
  <c r="E47" i="3"/>
  <c r="F47" i="3"/>
  <c r="G47" i="3"/>
  <c r="E26" i="4"/>
  <c r="F26" i="4"/>
  <c r="E27" i="4"/>
  <c r="F27" i="4"/>
  <c r="G27" i="4"/>
</calcChain>
</file>

<file path=xl/sharedStrings.xml><?xml version="1.0" encoding="utf-8"?>
<sst xmlns="http://schemas.openxmlformats.org/spreadsheetml/2006/main" count="115" uniqueCount="97">
  <si>
    <t>3S Model Drivers</t>
  </si>
  <si>
    <t>Assumptions &amp; Drivers</t>
  </si>
  <si>
    <t>Fiscal Year</t>
  </si>
  <si>
    <t>FY2023</t>
  </si>
  <si>
    <t>FY2024</t>
  </si>
  <si>
    <t>FY2025</t>
  </si>
  <si>
    <t>FY2026E</t>
  </si>
  <si>
    <t>FY2027E</t>
  </si>
  <si>
    <t>FY2028E</t>
  </si>
  <si>
    <t>Revenue Growth Assumptions</t>
  </si>
  <si>
    <t>Revenue Growth Rate</t>
  </si>
  <si>
    <t>Margin Assumptions</t>
  </si>
  <si>
    <t>Gross Margin</t>
  </si>
  <si>
    <t>R&amp;D as % of Revenue</t>
  </si>
  <si>
    <t>SG&amp;A as % of Revenue</t>
  </si>
  <si>
    <t>Other Assumptions</t>
  </si>
  <si>
    <t>Effective Tax Rate</t>
  </si>
  <si>
    <t>Depreciation as % of PP&amp;E</t>
  </si>
  <si>
    <t>CapEx as % of Revenue</t>
  </si>
  <si>
    <t>Working Capital Assumptions</t>
  </si>
  <si>
    <t>Days Sales Outstanding (DSO)</t>
  </si>
  <si>
    <t>Days Inventory Outstanding (DIO)</t>
  </si>
  <si>
    <t>Days Payable Outstanding (DPO)</t>
  </si>
  <si>
    <t>Income Statement</t>
  </si>
  <si>
    <t>($ in millions)</t>
  </si>
  <si>
    <t>Revenue</t>
  </si>
  <si>
    <t>Cost of Revenue</t>
  </si>
  <si>
    <t>Gross Profit</t>
  </si>
  <si>
    <t>Gross Margin %</t>
  </si>
  <si>
    <t>Operating Expenses:</t>
  </si>
  <si>
    <t>Research &amp; Development</t>
  </si>
  <si>
    <t>Selling, General &amp; Admin</t>
  </si>
  <si>
    <t>Total Operating Expenses</t>
  </si>
  <si>
    <t>Operating Income (EBIT)</t>
  </si>
  <si>
    <t>Operating Margin %</t>
  </si>
  <si>
    <t>Interest Income (Expense), net</t>
  </si>
  <si>
    <t>Other Income (Expense)</t>
  </si>
  <si>
    <t>Income Before Taxes</t>
  </si>
  <si>
    <t>Income Tax Expense</t>
  </si>
  <si>
    <t>Net Income</t>
  </si>
  <si>
    <t>Net Margin %</t>
  </si>
  <si>
    <t>Shares Outstanding (millions)</t>
  </si>
  <si>
    <t>Earnings Per Share (EPS)</t>
  </si>
  <si>
    <t>Balance Sheet</t>
  </si>
  <si>
    <t>ASSETS</t>
  </si>
  <si>
    <t>Current Assets:</t>
  </si>
  <si>
    <t>Cash &amp; Cash Equivalents</t>
  </si>
  <si>
    <t>Short-term Investments</t>
  </si>
  <si>
    <t>Accounts Receivable</t>
  </si>
  <si>
    <t>Inventories</t>
  </si>
  <si>
    <t>Other Current Assets</t>
  </si>
  <si>
    <t>Total Current Assets</t>
  </si>
  <si>
    <t>Non-Current Assets:</t>
  </si>
  <si>
    <t>Property, Plant &amp; Equipment, net</t>
  </si>
  <si>
    <t>Goodwill &amp; Intangibles</t>
  </si>
  <si>
    <t>Other Non-Current Assets</t>
  </si>
  <si>
    <t>Total Non-Current Assets</t>
  </si>
  <si>
    <t>TOTAL ASSETS</t>
  </si>
  <si>
    <t>LIABILITIES &amp; EQUITY</t>
  </si>
  <si>
    <t>Current Liabilities:</t>
  </si>
  <si>
    <t>Accounts Payable</t>
  </si>
  <si>
    <t>Accrued Liabilities</t>
  </si>
  <si>
    <t>Deferred Revenue</t>
  </si>
  <si>
    <t>Short-term Debt</t>
  </si>
  <si>
    <t>Total Current Liabilities</t>
  </si>
  <si>
    <t>Non-Current Liabilities:</t>
  </si>
  <si>
    <t>Long-term Debt</t>
  </si>
  <si>
    <t>Other Non-Current Liabilities</t>
  </si>
  <si>
    <t>Total Non-Current Liabilities</t>
  </si>
  <si>
    <t>Total Liabilities</t>
  </si>
  <si>
    <t>Shareholders' Equity:</t>
  </si>
  <si>
    <t>Common Stock &amp; APIC</t>
  </si>
  <si>
    <t>Retained Earnings</t>
  </si>
  <si>
    <t>AOCI &amp; Other</t>
  </si>
  <si>
    <t>Total Shareholders' Equity</t>
  </si>
  <si>
    <t>Dividends &amp; Buybacks (estimate)</t>
  </si>
  <si>
    <t>TOTAL LIABILITIES &amp; EQUITY</t>
  </si>
  <si>
    <t>Balance Check (Assets - L&amp;E)</t>
  </si>
  <si>
    <t>Cash Flow Statement</t>
  </si>
  <si>
    <t>Operating Activities</t>
  </si>
  <si>
    <t>Adjustments:</t>
  </si>
  <si>
    <t>Depreciation &amp; Amortization</t>
  </si>
  <si>
    <t>Stock-Based Compensation</t>
  </si>
  <si>
    <t>Changes in Working Capital:</t>
  </si>
  <si>
    <t>(Increase) Decrease in A/R</t>
  </si>
  <si>
    <t>(Increase) Decrease in Inventory</t>
  </si>
  <si>
    <t>Increase (Decrease) in A/P</t>
  </si>
  <si>
    <t>Other Working Capital Changes</t>
  </si>
  <si>
    <t>Net Cash from Operating Activities</t>
  </si>
  <si>
    <t>Investing Activities</t>
  </si>
  <si>
    <t>Capital Expenditures</t>
  </si>
  <si>
    <t>Net Cash from Investing Activities</t>
  </si>
  <si>
    <t>Financing Activities</t>
  </si>
  <si>
    <t>Dividends &amp; Share Repurchases</t>
  </si>
  <si>
    <t>Debt &amp; Other Financing</t>
  </si>
  <si>
    <t>Ending Cash &amp; Equivalents</t>
  </si>
  <si>
    <t>Free Cash Flow (CFO - CapEx)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</si>
</sst>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164" formatCode="0.0%"/>
    <numFmt numFmtId="165" formatCode="\$#,##0.00"/>
  </numFmts>
  <fonts count="14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2"/>
      <name val="Calibri"/>
    </font>
    <font>
      <b/>
      <sz val="11"/>
      <name val="Calibri"/>
    </font>
    <font>
      <sz val="11"/>
      <color rgb="FF0000FF"/>
      <name val="Calibri"/>
    </font>
    <font>
      <i/>
      <sz val="11"/>
      <name val="Calibri"/>
    </font>
    <font>
      <sz val="11"/>
      <color rgb="FF000000"/>
      <name val="Calibri"/>
    </font>
    <font>
      <i/>
      <sz val="11"/>
      <color rgb="FF666666"/>
      <name val="Calibri"/>
    </font>
    <font>
      <b/>
      <sz val="11"/>
      <name val="Calibri"/>
    </font>
    <font>
      <sz val="11"/>
      <color rgb="FFFF0000"/>
      <name val="Calibri"/>
    </font>
    <font>
      <sz val="11"/>
      <color rgb="FF00B050"/>
      <name val="Calibri"/>
      <family val="2"/>
      <scheme val="minor"/>
    </font>
    <font>
      <sz val="11"/>
      <color rgb="FF00B050"/>
      <name val="Calibri"/>
      <family val="2"/>
    </font>
    <font>
      <sz val="11"/>
      <color rgb="FF0000FF"/>
      <name val="Calibri"/>
      <family val="2"/>
    </font>
    <font>
      <sz val="11"/>
      <color rgb="FF00AA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rgb="FFDCE6F1"/>
        <bgColor rgb="FFDCE6F1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0" borderId="0" xfId="0" applyFont="1"/>
    <xf numFmtId="0" fontId="3" fillId="2" borderId="0" xfId="0" applyFont="1" applyFill="1"/>
    <xf numFmtId="164" fontId="0" fillId="0" borderId="0" xfId="0" applyNumberFormat="1"/>
    <xf numFmtId="164" fontId="4" fillId="3" borderId="0" xfId="0" applyNumberFormat="1" applyFont="1" applyFill="1"/>
    <xf numFmtId="1" fontId="4" fillId="3" borderId="0" xfId="0" applyNumberFormat="1" applyFont="1" applyFill="1"/>
    <xf numFmtId="0" fontId="5" fillId="0" borderId="0" xfId="0" applyFont="1"/>
    <xf numFmtId="0" fontId="3" fillId="0" borderId="0" xfId="0" applyFont="1"/>
    <xf numFmtId="164" fontId="7" fillId="0" borderId="0" xfId="0" applyNumberFormat="1" applyFont="1"/>
    <xf numFmtId="0" fontId="8" fillId="0" borderId="0" xfId="0" applyFont="1"/>
    <xf numFmtId="165" fontId="0" fillId="0" borderId="0" xfId="0" applyNumberFormat="1"/>
    <xf numFmtId="41" fontId="0" fillId="0" borderId="0" xfId="0" applyNumberFormat="1"/>
    <xf numFmtId="41" fontId="4" fillId="0" borderId="0" xfId="0" applyNumberFormat="1" applyFont="1"/>
    <xf numFmtId="41" fontId="6" fillId="0" borderId="0" xfId="0" applyNumberFormat="1" applyFont="1"/>
    <xf numFmtId="41" fontId="3" fillId="4" borderId="0" xfId="0" applyNumberFormat="1" applyFont="1" applyFill="1"/>
    <xf numFmtId="41" fontId="8" fillId="4" borderId="0" xfId="0" applyNumberFormat="1" applyFont="1" applyFill="1"/>
    <xf numFmtId="41" fontId="3" fillId="0" borderId="0" xfId="0" applyNumberFormat="1" applyFont="1"/>
    <xf numFmtId="41" fontId="3" fillId="0" borderId="1" xfId="0" applyNumberFormat="1" applyFont="1" applyBorder="1"/>
    <xf numFmtId="41" fontId="9" fillId="0" borderId="0" xfId="0" applyNumberFormat="1" applyFont="1"/>
    <xf numFmtId="41" fontId="10" fillId="0" borderId="0" xfId="0" applyNumberFormat="1" applyFont="1"/>
    <xf numFmtId="41" fontId="6" fillId="5" borderId="0" xfId="0" applyNumberFormat="1" applyFont="1" applyFill="1"/>
    <xf numFmtId="41" fontId="11" fillId="0" borderId="0" xfId="0" applyNumberFormat="1" applyFont="1"/>
    <xf numFmtId="41" fontId="12" fillId="0" borderId="0" xfId="0" applyNumberFormat="1" applyFont="1"/>
    <xf numFmtId="41" fontId="11" fillId="5" borderId="0" xfId="0" applyNumberFormat="1" applyFont="1" applyFill="1"/>
    <xf numFmtId="41" fontId="8" fillId="0" borderId="0" xfId="0" applyNumberFormat="1" applyFont="1"/>
    <xf numFmtId="41" fontId="13" fillId="5" borderId="0" xfId="0" applyNumberFormat="1" applyFont="1" applyFill="1"/>
    <xf numFmtId="0" fontId="1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2"/>
  <sheetViews>
    <sheetView showGridLines="0" workbookViewId="0">
      <selection sqref="A1:E1"/>
    </sheetView>
  </sheetViews>
  <sheetFormatPr defaultRowHeight="15" x14ac:dyDescent="0.25"/>
  <cols>
    <col min="1" max="1" width="30" customWidth="1"/>
    <col min="2" max="7" width="14" customWidth="1"/>
  </cols>
  <sheetData>
    <row r="1" spans="1:7" ht="18" customHeight="1" x14ac:dyDescent="0.3">
      <c r="A1" s="26" t="s">
        <v>0</v>
      </c>
      <c r="B1" s="27"/>
      <c r="C1" s="27"/>
      <c r="D1" s="27"/>
      <c r="E1" s="27"/>
    </row>
    <row r="2" spans="1:7" ht="15.75" customHeight="1" x14ac:dyDescent="0.25">
      <c r="A2" s="1" t="s">
        <v>1</v>
      </c>
    </row>
    <row r="4" spans="1:7" x14ac:dyDescent="0.25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</row>
    <row r="6" spans="1:7" ht="15.75" customHeight="1" x14ac:dyDescent="0.25">
      <c r="A6" s="1" t="s">
        <v>9</v>
      </c>
    </row>
    <row r="7" spans="1:7" x14ac:dyDescent="0.25">
      <c r="A7" t="s">
        <v>10</v>
      </c>
      <c r="C7" s="3"/>
      <c r="D7" s="3"/>
      <c r="E7" s="4">
        <v>0.25</v>
      </c>
      <c r="F7" s="4">
        <v>0.2</v>
      </c>
      <c r="G7" s="4">
        <v>0.15</v>
      </c>
    </row>
    <row r="9" spans="1:7" ht="15.75" customHeight="1" x14ac:dyDescent="0.25">
      <c r="A9" s="1" t="s">
        <v>11</v>
      </c>
    </row>
    <row r="10" spans="1:7" x14ac:dyDescent="0.25">
      <c r="A10" t="s">
        <v>12</v>
      </c>
      <c r="E10" s="4">
        <v>0.73</v>
      </c>
      <c r="F10" s="4">
        <v>0.72</v>
      </c>
      <c r="G10" s="4">
        <v>0.71</v>
      </c>
    </row>
    <row r="11" spans="1:7" x14ac:dyDescent="0.25">
      <c r="A11" t="s">
        <v>13</v>
      </c>
      <c r="E11" s="4">
        <v>0.1</v>
      </c>
      <c r="F11" s="4">
        <v>0.1</v>
      </c>
      <c r="G11" s="4">
        <v>0.1</v>
      </c>
    </row>
    <row r="12" spans="1:7" x14ac:dyDescent="0.25">
      <c r="A12" t="s">
        <v>14</v>
      </c>
      <c r="E12" s="4">
        <v>0.03</v>
      </c>
      <c r="F12" s="4">
        <v>0.03</v>
      </c>
      <c r="G12" s="4">
        <v>0.03</v>
      </c>
    </row>
    <row r="14" spans="1:7" ht="15.75" customHeight="1" x14ac:dyDescent="0.25">
      <c r="A14" s="1" t="s">
        <v>15</v>
      </c>
    </row>
    <row r="15" spans="1:7" x14ac:dyDescent="0.25">
      <c r="A15" t="s">
        <v>16</v>
      </c>
      <c r="E15" s="4">
        <v>0.12</v>
      </c>
      <c r="F15" s="4">
        <v>0.13</v>
      </c>
      <c r="G15" s="4">
        <v>0.14000000000000001</v>
      </c>
    </row>
    <row r="16" spans="1:7" x14ac:dyDescent="0.25">
      <c r="A16" t="s">
        <v>17</v>
      </c>
      <c r="E16" s="4">
        <v>0.2</v>
      </c>
      <c r="F16" s="4">
        <v>0.2</v>
      </c>
      <c r="G16" s="4">
        <v>0.2</v>
      </c>
    </row>
    <row r="17" spans="1:7" x14ac:dyDescent="0.25">
      <c r="A17" t="s">
        <v>18</v>
      </c>
      <c r="E17" s="4">
        <v>0.02</v>
      </c>
      <c r="F17" s="4">
        <v>0.02</v>
      </c>
      <c r="G17" s="4">
        <v>0.02</v>
      </c>
    </row>
    <row r="19" spans="1:7" ht="15.75" customHeight="1" x14ac:dyDescent="0.25">
      <c r="A19" s="1" t="s">
        <v>19</v>
      </c>
    </row>
    <row r="20" spans="1:7" x14ac:dyDescent="0.25">
      <c r="A20" t="s">
        <v>20</v>
      </c>
      <c r="E20" s="5">
        <v>45</v>
      </c>
      <c r="F20" s="5">
        <v>45</v>
      </c>
      <c r="G20" s="5">
        <v>45</v>
      </c>
    </row>
    <row r="21" spans="1:7" x14ac:dyDescent="0.25">
      <c r="A21" t="s">
        <v>21</v>
      </c>
      <c r="E21" s="5">
        <v>90</v>
      </c>
      <c r="F21" s="5">
        <v>85</v>
      </c>
      <c r="G21" s="5">
        <v>80</v>
      </c>
    </row>
    <row r="22" spans="1:7" x14ac:dyDescent="0.25">
      <c r="A22" t="s">
        <v>22</v>
      </c>
      <c r="E22" s="5">
        <v>30</v>
      </c>
      <c r="F22" s="5">
        <v>30</v>
      </c>
      <c r="G22" s="5">
        <v>30</v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8"/>
  <sheetViews>
    <sheetView showGridLines="0" workbookViewId="0">
      <selection activeCell="C30" sqref="C30"/>
    </sheetView>
  </sheetViews>
  <sheetFormatPr defaultRowHeight="15" x14ac:dyDescent="0.25"/>
  <cols>
    <col min="1" max="1" width="30" customWidth="1"/>
    <col min="2" max="7" width="14" customWidth="1"/>
  </cols>
  <sheetData>
    <row r="1" spans="1:7" ht="18" customHeight="1" x14ac:dyDescent="0.3">
      <c r="A1" s="26" t="s">
        <v>23</v>
      </c>
      <c r="B1" s="27"/>
      <c r="C1" s="27"/>
      <c r="D1" s="27"/>
      <c r="E1" s="27"/>
      <c r="F1" s="27"/>
      <c r="G1" s="27"/>
    </row>
    <row r="2" spans="1:7" x14ac:dyDescent="0.25">
      <c r="A2" s="6" t="s">
        <v>24</v>
      </c>
    </row>
    <row r="4" spans="1:7" x14ac:dyDescent="0.25">
      <c r="A4" s="2" t="s">
        <v>2</v>
      </c>
      <c r="B4" s="2"/>
      <c r="C4" s="2"/>
      <c r="D4" s="2" t="s">
        <v>5</v>
      </c>
      <c r="E4" s="2" t="s">
        <v>6</v>
      </c>
      <c r="F4" s="2" t="s">
        <v>7</v>
      </c>
      <c r="G4" s="2" t="s">
        <v>8</v>
      </c>
    </row>
    <row r="5" spans="1:7" x14ac:dyDescent="0.25">
      <c r="A5" t="s">
        <v>25</v>
      </c>
      <c r="B5" s="12"/>
      <c r="C5" s="12"/>
      <c r="D5" s="12">
        <v>130497</v>
      </c>
      <c r="E5" s="13">
        <f>D5*(1+Assumptions!E7)</f>
        <v>163121.25</v>
      </c>
      <c r="F5" s="13">
        <f>E5*(1+Assumptions!F7)</f>
        <v>195745.5</v>
      </c>
      <c r="G5" s="13">
        <f>F5*(1+Assumptions!G7)</f>
        <v>225107.32499999998</v>
      </c>
    </row>
    <row r="6" spans="1:7" x14ac:dyDescent="0.25">
      <c r="A6" t="s">
        <v>26</v>
      </c>
      <c r="B6" s="12"/>
      <c r="C6" s="12"/>
      <c r="D6" s="12">
        <v>35312</v>
      </c>
      <c r="E6" s="13">
        <f>E5*(1-Assumptions!E10)</f>
        <v>44042.737500000003</v>
      </c>
      <c r="F6" s="13">
        <f>F5*(1-Assumptions!F10)</f>
        <v>54808.740000000005</v>
      </c>
      <c r="G6" s="13">
        <f>G5*(1-Assumptions!G10)</f>
        <v>65281.124250000001</v>
      </c>
    </row>
    <row r="7" spans="1:7" x14ac:dyDescent="0.25">
      <c r="A7" s="7" t="s">
        <v>27</v>
      </c>
      <c r="B7" s="17"/>
      <c r="C7" s="17"/>
      <c r="D7" s="17">
        <f>D5-D6</f>
        <v>95185</v>
      </c>
      <c r="E7" s="17">
        <f>E5-E6</f>
        <v>119078.5125</v>
      </c>
      <c r="F7" s="17">
        <f>F5-F6</f>
        <v>140936.76</v>
      </c>
      <c r="G7" s="17">
        <f>G5-G6</f>
        <v>159826.20074999999</v>
      </c>
    </row>
    <row r="8" spans="1:7" x14ac:dyDescent="0.25">
      <c r="A8" t="s">
        <v>28</v>
      </c>
      <c r="B8" s="8"/>
      <c r="C8" s="8"/>
      <c r="D8" s="8">
        <f>D7/D5</f>
        <v>0.72940374108217043</v>
      </c>
      <c r="E8" s="8">
        <f>E7/E5</f>
        <v>0.73</v>
      </c>
      <c r="F8" s="8">
        <f>F7/F5</f>
        <v>0.72000000000000008</v>
      </c>
      <c r="G8" s="8">
        <f>G7/G5</f>
        <v>0.71</v>
      </c>
    </row>
    <row r="10" spans="1:7" x14ac:dyDescent="0.25">
      <c r="A10" s="7" t="s">
        <v>29</v>
      </c>
    </row>
    <row r="11" spans="1:7" x14ac:dyDescent="0.25">
      <c r="A11" t="s">
        <v>30</v>
      </c>
      <c r="B11" s="12"/>
      <c r="C11" s="12"/>
      <c r="D11" s="12">
        <v>12912</v>
      </c>
      <c r="E11" s="13">
        <f>E5*Assumptions!E11</f>
        <v>16312.125</v>
      </c>
      <c r="F11" s="13">
        <f>F5*Assumptions!F11</f>
        <v>19574.55</v>
      </c>
      <c r="G11" s="13">
        <f>G5*Assumptions!G11</f>
        <v>22510.732499999998</v>
      </c>
    </row>
    <row r="12" spans="1:7" x14ac:dyDescent="0.25">
      <c r="A12" t="s">
        <v>31</v>
      </c>
      <c r="B12" s="12"/>
      <c r="C12" s="12"/>
      <c r="D12" s="12">
        <v>3667</v>
      </c>
      <c r="E12" s="13">
        <f>E5*Assumptions!E12</f>
        <v>4893.6374999999998</v>
      </c>
      <c r="F12" s="13">
        <f>F5*Assumptions!F12</f>
        <v>5872.3649999999998</v>
      </c>
      <c r="G12" s="13">
        <f>G5*Assumptions!G12</f>
        <v>6753.2197499999993</v>
      </c>
    </row>
    <row r="13" spans="1:7" x14ac:dyDescent="0.25">
      <c r="A13" s="7" t="s">
        <v>32</v>
      </c>
      <c r="B13" s="17"/>
      <c r="C13" s="17"/>
      <c r="D13" s="17">
        <f>D11+D12</f>
        <v>16579</v>
      </c>
      <c r="E13" s="17">
        <f>E11+E12</f>
        <v>21205.762500000001</v>
      </c>
      <c r="F13" s="17">
        <f>F11+F12</f>
        <v>25446.915000000001</v>
      </c>
      <c r="G13" s="17">
        <f>G11+G12</f>
        <v>29263.952249999998</v>
      </c>
    </row>
    <row r="14" spans="1:7" x14ac:dyDescent="0.25">
      <c r="B14" s="11"/>
      <c r="C14" s="11"/>
      <c r="D14" s="11"/>
      <c r="E14" s="11"/>
      <c r="F14" s="11"/>
      <c r="G14" s="11"/>
    </row>
    <row r="15" spans="1:7" x14ac:dyDescent="0.25">
      <c r="A15" s="7" t="s">
        <v>33</v>
      </c>
      <c r="B15" s="16"/>
      <c r="C15" s="16"/>
      <c r="D15" s="16">
        <f>D7-D13</f>
        <v>78606</v>
      </c>
      <c r="E15" s="16">
        <f>E7-E13</f>
        <v>97872.75</v>
      </c>
      <c r="F15" s="16">
        <f>F7-F13</f>
        <v>115489.845</v>
      </c>
      <c r="G15" s="16">
        <f>G7-G13</f>
        <v>130562.24849999999</v>
      </c>
    </row>
    <row r="16" spans="1:7" x14ac:dyDescent="0.25">
      <c r="A16" t="s">
        <v>34</v>
      </c>
      <c r="B16" s="8"/>
      <c r="C16" s="8"/>
      <c r="D16" s="8">
        <f>D15/D5</f>
        <v>0.60235867491206696</v>
      </c>
      <c r="E16" s="8">
        <f>E15/E5</f>
        <v>0.6</v>
      </c>
      <c r="F16" s="8">
        <f>F15/F5</f>
        <v>0.59</v>
      </c>
      <c r="G16" s="8">
        <f>G15/G5</f>
        <v>0.57999999999999996</v>
      </c>
    </row>
    <row r="18" spans="1:7" x14ac:dyDescent="0.25">
      <c r="A18" t="s">
        <v>35</v>
      </c>
      <c r="B18" s="12"/>
      <c r="C18" s="12"/>
      <c r="D18" s="12">
        <v>1500</v>
      </c>
      <c r="E18" s="12">
        <v>1800</v>
      </c>
      <c r="F18" s="12">
        <v>2000</v>
      </c>
      <c r="G18" s="12">
        <v>2200</v>
      </c>
    </row>
    <row r="19" spans="1:7" x14ac:dyDescent="0.25">
      <c r="A19" t="s">
        <v>36</v>
      </c>
      <c r="B19" s="12"/>
      <c r="C19" s="12"/>
      <c r="D19" s="12">
        <v>500</v>
      </c>
      <c r="E19" s="12">
        <v>400</v>
      </c>
      <c r="F19" s="12">
        <v>400</v>
      </c>
      <c r="G19" s="12">
        <v>400</v>
      </c>
    </row>
    <row r="20" spans="1:7" x14ac:dyDescent="0.25">
      <c r="B20" s="11"/>
      <c r="C20" s="11"/>
      <c r="D20" s="11"/>
      <c r="E20" s="11"/>
      <c r="F20" s="11"/>
      <c r="G20" s="11"/>
    </row>
    <row r="21" spans="1:7" x14ac:dyDescent="0.25">
      <c r="A21" s="7" t="s">
        <v>37</v>
      </c>
      <c r="B21" s="16"/>
      <c r="C21" s="16"/>
      <c r="D21" s="16">
        <f>D15+D18+D19</f>
        <v>80606</v>
      </c>
      <c r="E21" s="16">
        <f>E15+E18+E19</f>
        <v>100072.75</v>
      </c>
      <c r="F21" s="16">
        <f>F15+F18+F19</f>
        <v>117889.845</v>
      </c>
      <c r="G21" s="16">
        <f>G15+G18+G19</f>
        <v>133162.24849999999</v>
      </c>
    </row>
    <row r="22" spans="1:7" x14ac:dyDescent="0.25">
      <c r="A22" t="s">
        <v>38</v>
      </c>
      <c r="B22" s="12"/>
      <c r="C22" s="12"/>
      <c r="D22" s="12">
        <v>-8935</v>
      </c>
      <c r="E22" s="13">
        <f>-E21*Assumptions!E15</f>
        <v>-12008.73</v>
      </c>
      <c r="F22" s="13">
        <f>-F21*Assumptions!F15</f>
        <v>-15325.67985</v>
      </c>
      <c r="G22" s="13">
        <f>-G21*Assumptions!G15</f>
        <v>-18642.714789999998</v>
      </c>
    </row>
    <row r="23" spans="1:7" x14ac:dyDescent="0.25">
      <c r="B23" s="11"/>
      <c r="C23" s="11"/>
      <c r="D23" s="11"/>
      <c r="E23" s="11"/>
      <c r="F23" s="11"/>
      <c r="G23" s="11"/>
    </row>
    <row r="24" spans="1:7" x14ac:dyDescent="0.25">
      <c r="A24" s="9" t="s">
        <v>39</v>
      </c>
      <c r="B24" s="15"/>
      <c r="C24" s="15"/>
      <c r="D24" s="15">
        <f>D21+D22</f>
        <v>71671</v>
      </c>
      <c r="E24" s="15">
        <f>E21+E22</f>
        <v>88064.02</v>
      </c>
      <c r="F24" s="15">
        <f>F21+F22</f>
        <v>102564.16515</v>
      </c>
      <c r="G24" s="15">
        <f>G21+G22</f>
        <v>114519.53370999999</v>
      </c>
    </row>
    <row r="25" spans="1:7" x14ac:dyDescent="0.25">
      <c r="A25" t="s">
        <v>40</v>
      </c>
      <c r="B25" s="8"/>
      <c r="C25" s="8"/>
      <c r="D25" s="8">
        <f>D24/D5</f>
        <v>0.54921569078216359</v>
      </c>
      <c r="E25" s="8">
        <f>E24/E5</f>
        <v>0.53986847207215494</v>
      </c>
      <c r="F25" s="8">
        <f>F24/F5</f>
        <v>0.52396691188303179</v>
      </c>
      <c r="G25" s="8">
        <f>G24/G5</f>
        <v>0.50873303971783235</v>
      </c>
    </row>
    <row r="27" spans="1:7" x14ac:dyDescent="0.25">
      <c r="A27" t="s">
        <v>41</v>
      </c>
      <c r="B27" s="12"/>
      <c r="C27" s="12"/>
      <c r="D27" s="12">
        <v>24610</v>
      </c>
      <c r="E27" s="12">
        <v>24500</v>
      </c>
      <c r="F27" s="12">
        <v>24400</v>
      </c>
      <c r="G27" s="12">
        <v>24300</v>
      </c>
    </row>
    <row r="28" spans="1:7" x14ac:dyDescent="0.25">
      <c r="A28" t="s">
        <v>42</v>
      </c>
      <c r="B28" s="10"/>
      <c r="C28" s="10"/>
      <c r="D28" s="10">
        <f>D24/D27</f>
        <v>2.9122714343762697</v>
      </c>
      <c r="E28" s="10">
        <f>E24/E27</f>
        <v>3.5944497959183677</v>
      </c>
      <c r="F28" s="10">
        <f>F24/F27</f>
        <v>4.203449391393443</v>
      </c>
      <c r="G28" s="10">
        <f>G24/G27</f>
        <v>4.7127380127572014</v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47"/>
  <sheetViews>
    <sheetView showGridLines="0" tabSelected="1" workbookViewId="0">
      <selection activeCell="E47" sqref="E47"/>
    </sheetView>
  </sheetViews>
  <sheetFormatPr defaultRowHeight="15" x14ac:dyDescent="0.25"/>
  <cols>
    <col min="1" max="1" width="30" customWidth="1"/>
    <col min="2" max="7" width="14" customWidth="1"/>
  </cols>
  <sheetData>
    <row r="1" spans="1:7" ht="18" customHeight="1" x14ac:dyDescent="0.3">
      <c r="A1" s="26" t="s">
        <v>43</v>
      </c>
      <c r="B1" s="27"/>
      <c r="C1" s="27"/>
      <c r="D1" s="27"/>
      <c r="E1" s="27"/>
      <c r="F1" s="27"/>
      <c r="G1" s="27"/>
    </row>
    <row r="2" spans="1:7" x14ac:dyDescent="0.25">
      <c r="A2" s="6" t="s">
        <v>24</v>
      </c>
    </row>
    <row r="4" spans="1:7" x14ac:dyDescent="0.25">
      <c r="A4" s="2" t="s">
        <v>2</v>
      </c>
      <c r="B4" s="2"/>
      <c r="C4" s="2"/>
      <c r="D4" s="2" t="s">
        <v>5</v>
      </c>
      <c r="E4" s="2" t="s">
        <v>6</v>
      </c>
      <c r="F4" s="2" t="s">
        <v>7</v>
      </c>
      <c r="G4" s="2" t="s">
        <v>8</v>
      </c>
    </row>
    <row r="5" spans="1:7" ht="15.75" customHeight="1" x14ac:dyDescent="0.25">
      <c r="A5" s="1" t="s">
        <v>44</v>
      </c>
    </row>
    <row r="6" spans="1:7" x14ac:dyDescent="0.25">
      <c r="A6" s="7" t="s">
        <v>45</v>
      </c>
      <c r="C6" s="12"/>
      <c r="D6" s="12"/>
    </row>
    <row r="7" spans="1:7" x14ac:dyDescent="0.25">
      <c r="A7" t="s">
        <v>46</v>
      </c>
      <c r="B7" s="12"/>
      <c r="C7" s="12"/>
      <c r="D7" s="12">
        <v>105627</v>
      </c>
      <c r="E7" s="21" t="e">
        <f ca="1">+'Cash Flow'!E27</f>
        <v>#VALUE!</v>
      </c>
      <c r="F7" s="21" t="e">
        <f ca="1">+'Cash Flow'!F27</f>
        <v>#VALUE!</v>
      </c>
      <c r="G7" s="21" t="e">
        <f ca="1">+'Cash Flow'!G27</f>
        <v>#VALUE!</v>
      </c>
    </row>
    <row r="8" spans="1:7" x14ac:dyDescent="0.25">
      <c r="A8" t="s">
        <v>47</v>
      </c>
      <c r="B8" s="12"/>
      <c r="C8" s="12"/>
      <c r="D8" s="12">
        <v>34255</v>
      </c>
      <c r="E8" s="12">
        <f>+D8</f>
        <v>34255</v>
      </c>
      <c r="F8" s="12">
        <f>+E8</f>
        <v>34255</v>
      </c>
      <c r="G8" s="12">
        <f>+F8</f>
        <v>34255</v>
      </c>
    </row>
    <row r="9" spans="1:7" x14ac:dyDescent="0.25">
      <c r="A9" t="s">
        <v>48</v>
      </c>
      <c r="B9" s="12"/>
      <c r="C9" s="12"/>
      <c r="D9" s="12">
        <v>17693</v>
      </c>
      <c r="E9" s="25">
        <f>+'Income Statement'!E5*Assumptions!E20/365</f>
        <v>20110.839041095889</v>
      </c>
      <c r="F9" s="25">
        <f>+'Income Statement'!F5*Assumptions!F20/365</f>
        <v>24133.006849315068</v>
      </c>
      <c r="G9" s="20"/>
    </row>
    <row r="10" spans="1:7" x14ac:dyDescent="0.25">
      <c r="A10" t="s">
        <v>49</v>
      </c>
      <c r="B10" s="12"/>
      <c r="C10" s="12"/>
      <c r="D10" s="12">
        <v>8669</v>
      </c>
      <c r="E10" s="25">
        <f>+'Income Statement'!E6*Assumptions!E21/365</f>
        <v>10859.853082191783</v>
      </c>
      <c r="F10" s="25">
        <f>+'Income Statement'!F6*Assumptions!F21/365</f>
        <v>12763.679178082193</v>
      </c>
      <c r="G10" s="20"/>
    </row>
    <row r="11" spans="1:7" x14ac:dyDescent="0.25">
      <c r="A11" t="s">
        <v>50</v>
      </c>
      <c r="B11" s="12"/>
      <c r="C11" s="12"/>
      <c r="D11" s="12">
        <v>2468</v>
      </c>
      <c r="E11" s="12">
        <f>+D11</f>
        <v>2468</v>
      </c>
      <c r="F11" s="12">
        <f>+E11</f>
        <v>2468</v>
      </c>
      <c r="G11" s="12">
        <f>+F11</f>
        <v>2468</v>
      </c>
    </row>
    <row r="12" spans="1:7" x14ac:dyDescent="0.25">
      <c r="A12" s="7" t="s">
        <v>51</v>
      </c>
      <c r="B12" s="17"/>
      <c r="C12" s="17"/>
      <c r="D12" s="17">
        <f>SUM(D7:D11)</f>
        <v>168712</v>
      </c>
      <c r="E12" s="17" t="e">
        <f ca="1">SUM(E7:E11)</f>
        <v>#VALUE!</v>
      </c>
      <c r="F12" s="17" t="e">
        <f ca="1">SUM(F7:F11)</f>
        <v>#VALUE!</v>
      </c>
      <c r="G12" s="17" t="e">
        <f ca="1">SUM(G7:G11)</f>
        <v>#VALUE!</v>
      </c>
    </row>
    <row r="13" spans="1:7" x14ac:dyDescent="0.25">
      <c r="B13" s="11"/>
      <c r="C13" s="11"/>
      <c r="D13" s="11"/>
      <c r="E13" s="11"/>
      <c r="F13" s="11"/>
      <c r="G13" s="11"/>
    </row>
    <row r="14" spans="1:7" x14ac:dyDescent="0.25">
      <c r="A14" s="7" t="s">
        <v>52</v>
      </c>
      <c r="B14" s="11"/>
      <c r="C14" s="11"/>
      <c r="D14" s="11"/>
      <c r="E14" s="11"/>
      <c r="F14" s="11"/>
      <c r="G14" s="11"/>
    </row>
    <row r="15" spans="1:7" x14ac:dyDescent="0.25">
      <c r="A15" t="s">
        <v>53</v>
      </c>
      <c r="B15" s="12"/>
      <c r="C15" s="12"/>
      <c r="D15" s="12">
        <v>5769</v>
      </c>
      <c r="E15" s="25">
        <f>D15+('Income Statement'!E5*Assumptions!E17)-D15*Assumptions!E16</f>
        <v>7877.6249999999991</v>
      </c>
      <c r="F15" s="25">
        <f>E15+('Income Statement'!F5*Assumptions!F17)-E15*Assumptions!F16</f>
        <v>10217.01</v>
      </c>
      <c r="G15" s="20"/>
    </row>
    <row r="16" spans="1:7" x14ac:dyDescent="0.25">
      <c r="A16" t="s">
        <v>54</v>
      </c>
      <c r="B16" s="12"/>
      <c r="C16" s="12"/>
      <c r="D16" s="12">
        <v>4943</v>
      </c>
      <c r="E16" s="12">
        <f t="shared" ref="E16:G17" si="0">+D16</f>
        <v>4943</v>
      </c>
      <c r="F16" s="12">
        <f t="shared" si="0"/>
        <v>4943</v>
      </c>
      <c r="G16" s="12">
        <f t="shared" si="0"/>
        <v>4943</v>
      </c>
    </row>
    <row r="17" spans="1:8" x14ac:dyDescent="0.25">
      <c r="A17" t="s">
        <v>55</v>
      </c>
      <c r="B17" s="12"/>
      <c r="C17" s="12"/>
      <c r="D17" s="12">
        <v>21946</v>
      </c>
      <c r="E17" s="12">
        <f t="shared" si="0"/>
        <v>21946</v>
      </c>
      <c r="F17" s="12">
        <f t="shared" si="0"/>
        <v>21946</v>
      </c>
      <c r="G17" s="12">
        <f t="shared" si="0"/>
        <v>21946</v>
      </c>
    </row>
    <row r="18" spans="1:8" x14ac:dyDescent="0.25">
      <c r="A18" s="7" t="s">
        <v>56</v>
      </c>
      <c r="B18" s="17"/>
      <c r="C18" s="17"/>
      <c r="D18" s="17">
        <f>SUM(D15:D17)</f>
        <v>32658</v>
      </c>
      <c r="E18" s="17">
        <f>SUM(E15:E17)</f>
        <v>34766.625</v>
      </c>
      <c r="F18" s="17">
        <f>SUM(F15:F17)</f>
        <v>37106.01</v>
      </c>
      <c r="G18" s="17">
        <f>SUM(G15:G17)</f>
        <v>26889</v>
      </c>
    </row>
    <row r="19" spans="1:8" x14ac:dyDescent="0.25">
      <c r="B19" s="11"/>
      <c r="C19" s="11"/>
      <c r="D19" s="11"/>
      <c r="E19" s="11"/>
      <c r="F19" s="11"/>
      <c r="G19" s="11"/>
    </row>
    <row r="20" spans="1:8" x14ac:dyDescent="0.25">
      <c r="A20" s="9" t="s">
        <v>57</v>
      </c>
      <c r="B20" s="15"/>
      <c r="C20" s="15"/>
      <c r="D20" s="15">
        <f>D12+D18</f>
        <v>201370</v>
      </c>
      <c r="E20" s="24" t="e">
        <f ca="1">E12+E18</f>
        <v>#VALUE!</v>
      </c>
      <c r="F20" s="24" t="e">
        <f ca="1">F12+F18</f>
        <v>#VALUE!</v>
      </c>
      <c r="G20" s="24" t="e">
        <f ca="1">G12+G18</f>
        <v>#VALUE!</v>
      </c>
    </row>
    <row r="21" spans="1:8" x14ac:dyDescent="0.25">
      <c r="B21" s="11"/>
      <c r="C21" s="11"/>
      <c r="D21" s="11"/>
      <c r="E21" s="11"/>
      <c r="F21" s="11"/>
      <c r="G21" s="11"/>
    </row>
    <row r="22" spans="1:8" ht="15.75" customHeight="1" x14ac:dyDescent="0.25">
      <c r="A22" s="1" t="s">
        <v>58</v>
      </c>
      <c r="B22" s="11"/>
      <c r="C22" s="11"/>
      <c r="D22" s="11"/>
      <c r="E22" s="11"/>
      <c r="F22" s="11"/>
      <c r="G22" s="11"/>
    </row>
    <row r="23" spans="1:8" x14ac:dyDescent="0.25">
      <c r="A23" s="7" t="s">
        <v>59</v>
      </c>
      <c r="B23" s="11"/>
      <c r="C23" s="11"/>
      <c r="D23" s="11"/>
      <c r="E23" s="11"/>
      <c r="F23" s="11"/>
      <c r="G23" s="11"/>
    </row>
    <row r="24" spans="1:8" x14ac:dyDescent="0.25">
      <c r="A24" t="s">
        <v>60</v>
      </c>
      <c r="B24" s="12"/>
      <c r="C24" s="12"/>
      <c r="D24" s="12">
        <v>3546</v>
      </c>
      <c r="E24" s="25">
        <f>+'Income Statement'!E6*Assumptions!E22/365</f>
        <v>3619.9510273972601</v>
      </c>
      <c r="F24" s="25">
        <f>+'Income Statement'!F6*Assumptions!F22/365</f>
        <v>4504.8279452054803</v>
      </c>
      <c r="G24" s="20"/>
    </row>
    <row r="25" spans="1:8" x14ac:dyDescent="0.25">
      <c r="A25" t="s">
        <v>61</v>
      </c>
      <c r="B25" s="12"/>
      <c r="C25" s="12"/>
      <c r="D25" s="12">
        <v>13709</v>
      </c>
      <c r="E25" s="12">
        <f t="shared" ref="E25:G26" si="1">+D25</f>
        <v>13709</v>
      </c>
      <c r="F25" s="12">
        <f t="shared" si="1"/>
        <v>13709</v>
      </c>
      <c r="G25" s="12">
        <f t="shared" si="1"/>
        <v>13709</v>
      </c>
    </row>
    <row r="26" spans="1:8" x14ac:dyDescent="0.25">
      <c r="A26" t="s">
        <v>62</v>
      </c>
      <c r="B26" s="12"/>
      <c r="C26" s="12"/>
      <c r="D26" s="12">
        <v>985</v>
      </c>
      <c r="E26" s="12">
        <f t="shared" si="1"/>
        <v>985</v>
      </c>
      <c r="F26" s="12">
        <f t="shared" si="1"/>
        <v>985</v>
      </c>
      <c r="G26" s="12">
        <f t="shared" si="1"/>
        <v>985</v>
      </c>
    </row>
    <row r="27" spans="1:8" x14ac:dyDescent="0.25">
      <c r="A27" t="s">
        <v>63</v>
      </c>
      <c r="B27" s="12"/>
      <c r="C27" s="12"/>
      <c r="D27" s="12">
        <v>99</v>
      </c>
      <c r="E27" s="12">
        <v>100</v>
      </c>
      <c r="F27" s="12">
        <v>100</v>
      </c>
      <c r="G27" s="12">
        <v>100</v>
      </c>
      <c r="H27" s="22"/>
    </row>
    <row r="28" spans="1:8" x14ac:dyDescent="0.25">
      <c r="A28" s="7" t="s">
        <v>64</v>
      </c>
      <c r="B28" s="17"/>
      <c r="C28" s="17"/>
      <c r="D28" s="17">
        <f>SUM(D24:D27)</f>
        <v>18339</v>
      </c>
      <c r="E28" s="17">
        <f>SUM(E24:E27)</f>
        <v>18413.951027397259</v>
      </c>
      <c r="F28" s="17">
        <f>SUM(F24:F27)</f>
        <v>19298.827945205481</v>
      </c>
      <c r="G28" s="17">
        <f>SUM(G24:G27)</f>
        <v>14794</v>
      </c>
    </row>
    <row r="29" spans="1:8" x14ac:dyDescent="0.25">
      <c r="B29" s="11"/>
      <c r="C29" s="11"/>
      <c r="D29" s="11"/>
      <c r="E29" s="11"/>
      <c r="F29" s="11"/>
      <c r="G29" s="11"/>
    </row>
    <row r="30" spans="1:8" x14ac:dyDescent="0.25">
      <c r="A30" s="7" t="s">
        <v>65</v>
      </c>
      <c r="B30" s="11"/>
      <c r="C30" s="11"/>
      <c r="D30" s="11"/>
      <c r="E30" s="11"/>
      <c r="F30" s="11"/>
      <c r="G30" s="11"/>
    </row>
    <row r="31" spans="1:8" x14ac:dyDescent="0.25">
      <c r="A31" t="s">
        <v>66</v>
      </c>
      <c r="B31" s="12"/>
      <c r="C31" s="12"/>
      <c r="D31" s="12">
        <v>8458</v>
      </c>
      <c r="E31" s="12">
        <v>8000</v>
      </c>
      <c r="F31" s="12">
        <v>7500</v>
      </c>
      <c r="G31" s="12">
        <v>7000</v>
      </c>
      <c r="H31" s="22"/>
    </row>
    <row r="32" spans="1:8" x14ac:dyDescent="0.25">
      <c r="A32" t="s">
        <v>67</v>
      </c>
      <c r="B32" s="12"/>
      <c r="C32" s="12"/>
      <c r="D32" s="12">
        <v>3719</v>
      </c>
      <c r="E32" s="12">
        <f>+D32</f>
        <v>3719</v>
      </c>
      <c r="F32" s="12">
        <f>+E32</f>
        <v>3719</v>
      </c>
      <c r="G32" s="12">
        <f>+F32</f>
        <v>3719</v>
      </c>
    </row>
    <row r="33" spans="1:12" x14ac:dyDescent="0.25">
      <c r="A33" s="7" t="s">
        <v>68</v>
      </c>
      <c r="B33" s="17"/>
      <c r="C33" s="17"/>
      <c r="D33" s="17">
        <f>D31+D32</f>
        <v>12177</v>
      </c>
      <c r="E33" s="17">
        <f>E31+E32</f>
        <v>11719</v>
      </c>
      <c r="F33" s="17">
        <f>F31+F32</f>
        <v>11219</v>
      </c>
      <c r="G33" s="17">
        <f>G31+G32</f>
        <v>10719</v>
      </c>
    </row>
    <row r="34" spans="1:12" x14ac:dyDescent="0.25">
      <c r="B34" s="11"/>
      <c r="C34" s="11"/>
      <c r="D34" s="11"/>
      <c r="E34" s="11"/>
      <c r="F34" s="11"/>
      <c r="G34" s="11"/>
    </row>
    <row r="35" spans="1:12" x14ac:dyDescent="0.25">
      <c r="A35" s="7" t="s">
        <v>69</v>
      </c>
      <c r="B35" s="16"/>
      <c r="C35" s="16"/>
      <c r="D35" s="16">
        <f>D28+D33</f>
        <v>30516</v>
      </c>
      <c r="E35" s="16">
        <f>E28+E33</f>
        <v>30132.951027397259</v>
      </c>
      <c r="F35" s="16">
        <f>F28+F33</f>
        <v>30517.827945205481</v>
      </c>
      <c r="G35" s="16">
        <f>G28+G33</f>
        <v>25513</v>
      </c>
    </row>
    <row r="36" spans="1:12" x14ac:dyDescent="0.25">
      <c r="B36" s="11"/>
      <c r="C36" s="11"/>
      <c r="D36" s="11"/>
      <c r="E36" s="11"/>
      <c r="F36" s="11"/>
      <c r="G36" s="11"/>
    </row>
    <row r="37" spans="1:12" x14ac:dyDescent="0.25">
      <c r="A37" s="7" t="s">
        <v>70</v>
      </c>
      <c r="B37" s="11"/>
      <c r="C37" s="11"/>
      <c r="D37" s="11"/>
      <c r="E37" s="11"/>
      <c r="F37" s="11"/>
      <c r="G37" s="11"/>
    </row>
    <row r="38" spans="1:12" x14ac:dyDescent="0.25">
      <c r="A38" t="s">
        <v>71</v>
      </c>
      <c r="B38" s="12"/>
      <c r="C38" s="12"/>
      <c r="D38" s="12">
        <v>16377</v>
      </c>
      <c r="E38" s="20"/>
      <c r="F38" s="20"/>
      <c r="G38" s="20"/>
      <c r="J38" s="12"/>
      <c r="K38" s="12"/>
      <c r="L38" s="12"/>
    </row>
    <row r="39" spans="1:12" x14ac:dyDescent="0.25">
      <c r="A39" t="s">
        <v>72</v>
      </c>
      <c r="B39" s="12"/>
      <c r="C39" s="12"/>
      <c r="D39" s="12">
        <v>154544</v>
      </c>
      <c r="E39" s="25">
        <f>D39+'Income Statement'!E24-E43</f>
        <v>227608.02000000002</v>
      </c>
      <c r="F39" s="25">
        <f>E39+'Income Statement'!F24-F43</f>
        <v>312172.18515000003</v>
      </c>
      <c r="G39" s="20"/>
    </row>
    <row r="40" spans="1:12" x14ac:dyDescent="0.25">
      <c r="A40" t="s">
        <v>73</v>
      </c>
      <c r="B40" s="12"/>
      <c r="C40" s="12"/>
      <c r="D40" s="12">
        <v>-67</v>
      </c>
      <c r="E40" s="12">
        <f>+D40</f>
        <v>-67</v>
      </c>
      <c r="F40" s="12">
        <f>+E40</f>
        <v>-67</v>
      </c>
      <c r="G40" s="12">
        <f>+F40</f>
        <v>-67</v>
      </c>
    </row>
    <row r="41" spans="1:12" x14ac:dyDescent="0.25">
      <c r="A41" s="7" t="s">
        <v>74</v>
      </c>
      <c r="B41" s="17"/>
      <c r="C41" s="17"/>
      <c r="D41" s="17">
        <f>SUM(D38:D40)</f>
        <v>170854</v>
      </c>
      <c r="E41" s="17">
        <f>SUM(E38:E40)</f>
        <v>227541.02000000002</v>
      </c>
      <c r="F41" s="17">
        <f>SUM(F38:F40)</f>
        <v>312105.18515000003</v>
      </c>
      <c r="G41" s="17">
        <f>SUM(G38:G40)</f>
        <v>-67</v>
      </c>
    </row>
    <row r="42" spans="1:12" x14ac:dyDescent="0.25">
      <c r="B42" s="11"/>
      <c r="C42" s="11"/>
      <c r="D42" s="11"/>
      <c r="E42" s="11"/>
      <c r="F42" s="11"/>
      <c r="G42" s="11"/>
    </row>
    <row r="43" spans="1:12" x14ac:dyDescent="0.25">
      <c r="A43" t="s">
        <v>75</v>
      </c>
      <c r="B43" s="11"/>
      <c r="C43" s="11"/>
      <c r="D43" s="11"/>
      <c r="E43" s="12">
        <v>15000</v>
      </c>
      <c r="F43" s="12">
        <v>18000</v>
      </c>
      <c r="G43" s="12">
        <v>20000</v>
      </c>
    </row>
    <row r="44" spans="1:12" x14ac:dyDescent="0.25">
      <c r="B44" s="11"/>
      <c r="C44" s="11"/>
      <c r="D44" s="11"/>
      <c r="E44" s="11"/>
      <c r="F44" s="11"/>
      <c r="G44" s="11"/>
    </row>
    <row r="45" spans="1:12" x14ac:dyDescent="0.25">
      <c r="A45" s="9" t="s">
        <v>76</v>
      </c>
      <c r="B45" s="15"/>
      <c r="C45" s="15"/>
      <c r="D45" s="15">
        <f>D35+D41</f>
        <v>201370</v>
      </c>
      <c r="E45" s="24">
        <f>E35+E41</f>
        <v>257673.97102739729</v>
      </c>
      <c r="F45" s="24">
        <f>F35+F41</f>
        <v>342623.01309520553</v>
      </c>
      <c r="G45" s="24">
        <f>G35+G41</f>
        <v>25446</v>
      </c>
    </row>
    <row r="46" spans="1:12" x14ac:dyDescent="0.25">
      <c r="B46" s="11"/>
      <c r="C46" s="11"/>
      <c r="D46" s="11"/>
      <c r="E46" s="11"/>
      <c r="F46" s="11"/>
      <c r="G46" s="11"/>
    </row>
    <row r="47" spans="1:12" x14ac:dyDescent="0.25">
      <c r="A47" t="s">
        <v>77</v>
      </c>
      <c r="B47" s="18"/>
      <c r="C47" s="18"/>
      <c r="D47" s="18">
        <f>D20-D45</f>
        <v>0</v>
      </c>
      <c r="E47" s="18" t="e">
        <f ca="1">E20-E45</f>
        <v>#VALUE!</v>
      </c>
      <c r="F47" s="18" t="e">
        <f ca="1">F20-F45</f>
        <v>#VALUE!</v>
      </c>
      <c r="G47" s="18" t="e">
        <f ca="1">G20-G45</f>
        <v>#VALUE!</v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9"/>
  <sheetViews>
    <sheetView showGridLines="0" topLeftCell="A10" workbookViewId="0">
      <selection activeCell="E32" sqref="E32"/>
    </sheetView>
  </sheetViews>
  <sheetFormatPr defaultRowHeight="15" x14ac:dyDescent="0.25"/>
  <cols>
    <col min="1" max="1" width="35" customWidth="1"/>
    <col min="2" max="7" width="14" customWidth="1"/>
  </cols>
  <sheetData>
    <row r="1" spans="1:8" ht="18" customHeight="1" x14ac:dyDescent="0.3">
      <c r="A1" s="26" t="s">
        <v>78</v>
      </c>
      <c r="B1" s="27"/>
      <c r="C1" s="27"/>
      <c r="D1" s="27"/>
      <c r="E1" s="27"/>
      <c r="F1" s="27"/>
      <c r="G1" s="27"/>
    </row>
    <row r="2" spans="1:8" x14ac:dyDescent="0.25">
      <c r="A2" s="6" t="s">
        <v>24</v>
      </c>
    </row>
    <row r="4" spans="1:8" x14ac:dyDescent="0.25">
      <c r="A4" s="2" t="s">
        <v>2</v>
      </c>
      <c r="B4" s="2"/>
      <c r="C4" s="2"/>
      <c r="D4" s="2" t="s">
        <v>5</v>
      </c>
      <c r="E4" s="2" t="s">
        <v>6</v>
      </c>
      <c r="F4" s="2" t="s">
        <v>7</v>
      </c>
      <c r="G4" s="2" t="s">
        <v>8</v>
      </c>
    </row>
    <row r="5" spans="1:8" ht="15.75" customHeight="1" x14ac:dyDescent="0.25">
      <c r="A5" s="1" t="s">
        <v>79</v>
      </c>
      <c r="B5" s="11"/>
      <c r="C5" s="11"/>
      <c r="D5" s="11"/>
      <c r="E5" s="11"/>
      <c r="F5" s="11"/>
      <c r="G5" s="11"/>
    </row>
    <row r="6" spans="1:8" x14ac:dyDescent="0.25">
      <c r="A6" t="s">
        <v>39</v>
      </c>
      <c r="B6" s="19"/>
      <c r="C6" s="19"/>
      <c r="D6" s="19"/>
      <c r="E6" s="19">
        <f>+'Income Statement'!E24</f>
        <v>88064.02</v>
      </c>
      <c r="F6" s="19">
        <f>+'Income Statement'!F24</f>
        <v>102564.16515</v>
      </c>
      <c r="G6" s="19">
        <f>+'Income Statement'!G24</f>
        <v>114519.53370999999</v>
      </c>
    </row>
    <row r="7" spans="1:8" x14ac:dyDescent="0.25">
      <c r="B7" s="11"/>
      <c r="C7" s="11"/>
      <c r="D7" s="11"/>
      <c r="E7" s="11"/>
      <c r="F7" s="11"/>
      <c r="G7" s="11"/>
    </row>
    <row r="8" spans="1:8" x14ac:dyDescent="0.25">
      <c r="A8" s="7" t="s">
        <v>80</v>
      </c>
      <c r="B8" s="11"/>
      <c r="C8" s="11"/>
      <c r="D8" s="11"/>
      <c r="E8" s="11"/>
      <c r="F8" s="11"/>
      <c r="G8" s="11"/>
    </row>
    <row r="9" spans="1:8" x14ac:dyDescent="0.25">
      <c r="A9" t="s">
        <v>81</v>
      </c>
      <c r="B9" s="12"/>
      <c r="C9" s="12"/>
      <c r="D9" s="12"/>
      <c r="E9" s="25">
        <f>D15*Assumptions!E16</f>
        <v>0</v>
      </c>
      <c r="F9" s="25">
        <f>E15*Assumptions!F16</f>
        <v>0</v>
      </c>
      <c r="G9" s="20"/>
    </row>
    <row r="10" spans="1:8" x14ac:dyDescent="0.25">
      <c r="A10" t="s">
        <v>82</v>
      </c>
      <c r="B10" s="12"/>
      <c r="C10" s="12"/>
      <c r="D10" s="12"/>
      <c r="E10" s="12">
        <v>5000</v>
      </c>
      <c r="F10" s="12">
        <v>5500</v>
      </c>
      <c r="G10" s="12">
        <v>6000</v>
      </c>
      <c r="H10" s="22"/>
    </row>
    <row r="11" spans="1:8" x14ac:dyDescent="0.25">
      <c r="B11" s="11"/>
      <c r="C11" s="11"/>
      <c r="D11" s="11"/>
      <c r="E11" s="11"/>
      <c r="F11" s="11"/>
      <c r="G11" s="11"/>
    </row>
    <row r="12" spans="1:8" x14ac:dyDescent="0.25">
      <c r="A12" s="7" t="s">
        <v>83</v>
      </c>
      <c r="B12" s="11"/>
      <c r="C12" s="11"/>
      <c r="D12" s="11"/>
      <c r="E12" s="11"/>
      <c r="F12" s="11"/>
      <c r="G12" s="11"/>
    </row>
    <row r="13" spans="1:8" x14ac:dyDescent="0.25">
      <c r="A13" t="s">
        <v>84</v>
      </c>
      <c r="B13" s="12"/>
      <c r="C13" s="12"/>
      <c r="D13" s="12"/>
      <c r="E13" s="25">
        <f>D9-E9</f>
        <v>0</v>
      </c>
      <c r="F13" s="25">
        <f>E9-F9</f>
        <v>0</v>
      </c>
      <c r="G13" s="23"/>
    </row>
    <row r="14" spans="1:8" x14ac:dyDescent="0.25">
      <c r="A14" t="s">
        <v>85</v>
      </c>
      <c r="B14" s="12"/>
      <c r="C14" s="12"/>
      <c r="D14" s="12"/>
      <c r="E14" s="25">
        <f>D10-E10</f>
        <v>-5000</v>
      </c>
      <c r="F14" s="25">
        <f>E10-F10</f>
        <v>-500</v>
      </c>
      <c r="G14" s="23"/>
    </row>
    <row r="15" spans="1:8" x14ac:dyDescent="0.25">
      <c r="A15" t="s">
        <v>86</v>
      </c>
      <c r="B15" s="12"/>
      <c r="C15" s="12"/>
      <c r="D15" s="12"/>
      <c r="E15" s="25">
        <f>E24-D24</f>
        <v>0</v>
      </c>
      <c r="F15" s="25">
        <f>F24-E24</f>
        <v>0</v>
      </c>
      <c r="G15" s="23"/>
    </row>
    <row r="16" spans="1:8" x14ac:dyDescent="0.25">
      <c r="A16" t="s">
        <v>87</v>
      </c>
      <c r="B16" s="12"/>
      <c r="C16" s="12"/>
      <c r="D16" s="12"/>
      <c r="E16" s="23"/>
      <c r="F16" s="23"/>
      <c r="G16" s="23"/>
    </row>
    <row r="17" spans="1:7" x14ac:dyDescent="0.25">
      <c r="B17" s="11"/>
      <c r="C17" s="11"/>
      <c r="D17" s="11"/>
      <c r="E17" s="11"/>
      <c r="F17" s="11"/>
      <c r="G17" s="11"/>
    </row>
    <row r="18" spans="1:7" x14ac:dyDescent="0.25">
      <c r="A18" s="7" t="s">
        <v>88</v>
      </c>
      <c r="B18" s="14"/>
      <c r="C18" s="14"/>
      <c r="D18" s="14"/>
      <c r="E18" s="14">
        <f>E6+E9+E10+E13+E14+E15+E16</f>
        <v>88064.02</v>
      </c>
      <c r="F18" s="14">
        <f>F6+F9+F10+F13+F14+F15+F16</f>
        <v>107564.16515</v>
      </c>
      <c r="G18" s="14">
        <f>G6+G9+G10+G13+G14+G15+G16</f>
        <v>120519.53370999999</v>
      </c>
    </row>
    <row r="19" spans="1:7" x14ac:dyDescent="0.25">
      <c r="B19" s="11"/>
      <c r="C19" s="11"/>
      <c r="D19" s="11"/>
      <c r="E19" s="11"/>
      <c r="F19" s="11"/>
      <c r="G19" s="11"/>
    </row>
    <row r="20" spans="1:7" ht="15.75" customHeight="1" x14ac:dyDescent="0.25">
      <c r="A20" s="1" t="s">
        <v>89</v>
      </c>
      <c r="B20" s="11"/>
      <c r="C20" s="11"/>
      <c r="D20" s="11"/>
      <c r="E20" s="11"/>
      <c r="F20" s="11"/>
      <c r="G20" s="11"/>
    </row>
    <row r="21" spans="1:7" x14ac:dyDescent="0.25">
      <c r="A21" t="s">
        <v>90</v>
      </c>
      <c r="B21" s="12"/>
      <c r="C21" s="12"/>
      <c r="D21" s="12"/>
      <c r="E21" s="25">
        <f>-'Income Statement'!E5*Assumptions!E17</f>
        <v>-3262.4250000000002</v>
      </c>
      <c r="F21" s="25">
        <f>-'Income Statement'!F5*Assumptions!F17</f>
        <v>-3914.91</v>
      </c>
      <c r="G21" s="23"/>
    </row>
    <row r="22" spans="1:7" x14ac:dyDescent="0.25">
      <c r="A22" s="7" t="s">
        <v>91</v>
      </c>
      <c r="B22" s="14"/>
      <c r="C22" s="14"/>
      <c r="D22" s="14"/>
      <c r="E22" s="14">
        <f>+E21</f>
        <v>-3262.4250000000002</v>
      </c>
      <c r="F22" s="14">
        <f>+F21</f>
        <v>-3914.91</v>
      </c>
      <c r="G22" s="14">
        <f>+G21</f>
        <v>0</v>
      </c>
    </row>
    <row r="23" spans="1:7" x14ac:dyDescent="0.25">
      <c r="B23" s="11"/>
      <c r="C23" s="11"/>
      <c r="D23" s="11"/>
      <c r="E23" s="11"/>
      <c r="F23" s="11"/>
      <c r="G23" s="11"/>
    </row>
    <row r="24" spans="1:7" ht="15.75" customHeight="1" x14ac:dyDescent="0.25">
      <c r="A24" s="1" t="s">
        <v>92</v>
      </c>
      <c r="B24" s="11"/>
      <c r="C24" s="11"/>
      <c r="D24" s="11"/>
      <c r="E24" s="11"/>
      <c r="F24" s="11"/>
      <c r="G24" s="11"/>
    </row>
    <row r="25" spans="1:7" x14ac:dyDescent="0.25">
      <c r="A25" t="s">
        <v>93</v>
      </c>
      <c r="B25" s="12"/>
      <c r="C25" s="12"/>
      <c r="D25" s="12"/>
      <c r="E25" s="25">
        <f>-'Balance Sheet'!E43</f>
        <v>-15000</v>
      </c>
      <c r="F25" s="25">
        <f>-'Balance Sheet'!F43</f>
        <v>-18000</v>
      </c>
      <c r="G25" s="23"/>
    </row>
    <row r="26" spans="1:7" x14ac:dyDescent="0.25">
      <c r="A26" t="s">
        <v>94</v>
      </c>
      <c r="B26" s="12"/>
      <c r="C26" s="12"/>
      <c r="D26" s="12"/>
      <c r="E26" s="25" t="e">
        <f ca="1">E31-D31+E27-D27</f>
        <v>#VALUE!</v>
      </c>
      <c r="F26" s="25" t="e">
        <f ca="1">F31-E31+F27-E27</f>
        <v>#VALUE!</v>
      </c>
      <c r="G26" s="23"/>
    </row>
    <row r="27" spans="1:7" x14ac:dyDescent="0.25">
      <c r="A27" s="9" t="s">
        <v>95</v>
      </c>
      <c r="B27" s="15"/>
      <c r="C27" s="15"/>
      <c r="D27" s="15">
        <f>+'Balance Sheet'!D7</f>
        <v>105627</v>
      </c>
      <c r="E27" s="15" t="e">
        <f ca="1">D27+E18+E22+E25+E26</f>
        <v>#VALUE!</v>
      </c>
      <c r="F27" s="15" t="e">
        <f ca="1">E27+F18+F22+F25+F26</f>
        <v>#VALUE!</v>
      </c>
      <c r="G27" s="15" t="e">
        <f ca="1">F27+G18+G22+G25+G26</f>
        <v>#VALUE!</v>
      </c>
    </row>
    <row r="28" spans="1:7" x14ac:dyDescent="0.25">
      <c r="B28" s="11"/>
      <c r="C28" s="11"/>
      <c r="D28" s="11"/>
      <c r="E28" s="11"/>
      <c r="F28" s="11"/>
      <c r="G28" s="11"/>
    </row>
    <row r="29" spans="1:7" x14ac:dyDescent="0.25">
      <c r="A29" s="7" t="s">
        <v>96</v>
      </c>
      <c r="B29" s="16"/>
      <c r="C29" s="16"/>
      <c r="D29" s="16"/>
      <c r="E29" s="16">
        <f>E18+E21</f>
        <v>84801.595000000001</v>
      </c>
      <c r="F29" s="16">
        <f>F18+F21</f>
        <v>103649.25515</v>
      </c>
      <c r="G29" s="16">
        <f>G18+G21</f>
        <v>120519.53370999999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Assumptions</vt:lpstr>
      <vt:lpstr>Income Statement</vt:lpstr>
      <vt:lpstr>Balance Sheet</vt:lpstr>
      <vt:lpstr>Cash Flow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Danial Azmi</cp:lastModifiedBy>
  <dcterms:created xsi:type="dcterms:W3CDTF">2025-12-12T03:51:48Z</dcterms:created>
  <dcterms:modified xsi:type="dcterms:W3CDTF">2026-01-21T11:47:06Z</dcterms:modified>
</cp:coreProperties>
</file>