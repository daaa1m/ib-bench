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1" activeTab="3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S &amp; CFS" sheetId="4" state="visible" r:id="rId4"/>
    <sheet xmlns:r="http://schemas.openxmlformats.org/officeDocument/2006/relationships" name="RevBuild Calcs" sheetId="5" state="visible" r:id="rId5"/>
    <sheet xmlns:r="http://schemas.openxmlformats.org/officeDocument/2006/relationships" name="FS Calcs" sheetId="6" state="visible" r:id="rId6"/>
    <sheet xmlns:r="http://schemas.openxmlformats.org/officeDocument/2006/relationships" name="Debt Calcs" sheetId="7" state="visible" r:id="rId7"/>
    <sheet xmlns:r="http://schemas.openxmlformats.org/officeDocument/2006/relationships" name="Quarterly" sheetId="8" state="visible" r:id="rId8"/>
    <sheet xmlns:r="http://schemas.openxmlformats.org/officeDocument/2006/relationships" name="Reference" sheetId="9" state="visible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'P&amp;L'!$A$1:$T$93</definedName>
    <definedName name="_xlnm.Print_Area" localSheetId="3">'BS &amp; CFS'!$A$1:$T$123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17">
    <numFmt numFmtId="164" formatCode="#,##0.0_);\(#,##0.0\);0.0_);@_)"/>
    <numFmt numFmtId="165" formatCode="General\A"/>
    <numFmt numFmtId="166" formatCode="General\E"/>
    <numFmt numFmtId="167" formatCode="0.0%_);\(0.0%\)"/>
    <numFmt numFmtId="168" formatCode="#,##0.00_);\(#,##0.00\);0.00_);@_)"/>
    <numFmt numFmtId="169" formatCode="#,##0_);\(#,##0\);0_);@_)"/>
    <numFmt numFmtId="170" formatCode="#,##0.000_);\(#,##0.000\);0.000_);@_)"/>
    <numFmt numFmtId="171" formatCode="#,##0.00000_);\(#,##0.00000\);0.00000_);@_)"/>
    <numFmt numFmtId="172" formatCode="0.0\ \x_);\(0.0\ \x\)"/>
    <numFmt numFmtId="173" formatCode="dd\-mmm\-yy_)"/>
    <numFmt numFmtId="174" formatCode=";;;"/>
    <numFmt numFmtId="175" formatCode="_-* #,##0.00_-;\-* #,##0.00_-;_-* &quot;-&quot;??_-;_-@_-"/>
    <numFmt numFmtId="176" formatCode="_-* #,##0_-;\-* #,##0_-;_-* &quot;-&quot;_-;_-@_-"/>
    <numFmt numFmtId="177" formatCode="_-&quot;£&quot;* #,##0.00_-;\-&quot;£&quot;* #,##0.00_-;_-&quot;£&quot;* &quot;-&quot;??_-;_-@_-"/>
    <numFmt numFmtId="178" formatCode="_-&quot;£&quot;* #,##0_-;\-&quot;£&quot;* #,##0_-;_-&quot;£&quot;* &quot;-&quot;_-;_-@_-"/>
    <numFmt numFmtId="179" formatCode="###0.00_)"/>
    <numFmt numFmtId="180" formatCode="General\F"/>
  </numFmts>
  <fonts count="57"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12"/>
      <sz val="10"/>
    </font>
    <font>
      <name val="Cambria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6"/>
    </font>
    <font>
      <name val="Arial"/>
      <family val="2"/>
      <color rgb="FF9C0006"/>
      <sz val="16"/>
    </font>
    <font>
      <name val="Arial"/>
      <family val="2"/>
      <color rgb="FF9C6500"/>
      <sz val="16"/>
    </font>
    <font>
      <name val="Arial"/>
      <family val="2"/>
      <b val="1"/>
      <color rgb="FF3F3F3F"/>
      <sz val="16"/>
    </font>
    <font>
      <name val="Arial"/>
      <family val="2"/>
      <b val="1"/>
      <color rgb="FFFA7D00"/>
      <sz val="16"/>
    </font>
    <font>
      <name val="Arial"/>
      <family val="2"/>
      <color rgb="FFFA7D00"/>
      <sz val="16"/>
    </font>
    <font>
      <name val="Arial"/>
      <family val="2"/>
      <b val="1"/>
      <color theme="0"/>
      <sz val="16"/>
    </font>
    <font>
      <name val="Arial"/>
      <family val="2"/>
      <color rgb="FFFF0000"/>
      <sz val="16"/>
    </font>
    <font>
      <name val="Arial"/>
      <family val="2"/>
      <sz val="10"/>
    </font>
    <font>
      <name val="Arial"/>
      <family val="2"/>
      <i val="1"/>
      <color rgb="FF7F7F7F"/>
      <sz val="16"/>
    </font>
    <font>
      <name val="Arial"/>
      <family val="2"/>
      <b val="1"/>
      <color theme="1"/>
      <sz val="16"/>
    </font>
    <font>
      <name val="Arial"/>
      <family val="2"/>
      <color theme="0"/>
      <sz val="16"/>
    </font>
    <font>
      <name val="Arial"/>
      <family val="2"/>
      <color theme="1"/>
      <sz val="16"/>
    </font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sz val="11"/>
    </font>
    <font>
      <name val="Calibri"/>
      <family val="2"/>
      <color rgb="FF0000FF"/>
      <sz val="11"/>
    </font>
    <font>
      <name val="Calibri"/>
      <family val="2"/>
      <color rgb="FF0000FF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Helv"/>
      <family val="2"/>
      <sz val="10"/>
    </font>
    <font>
      <name val="Helv"/>
      <family val="2"/>
      <sz val="12"/>
      <vertAlign val="superscript"/>
    </font>
    <font>
      <name val="Helv"/>
      <family val="2"/>
      <sz val="8"/>
    </font>
    <font>
      <name val="Calibri"/>
      <family val="2"/>
      <color rgb="FF00B050"/>
      <sz val="11"/>
      <scheme val="minor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Calibri"/>
      <family val="2"/>
      <b val="1"/>
      <sz val="11"/>
      <scheme val="minor"/>
    </font>
    <font>
      <name val="Calibri"/>
      <family val="2"/>
      <b val="1"/>
      <color rgb="FF0000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sz val="11"/>
      <u val="single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B050"/>
      <sz val="11"/>
      <scheme val="minor"/>
    </font>
    <font>
      <name val="Calibri"/>
      <family val="2"/>
      <color theme="0" tint="-0.1499984740745262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b val="1"/>
      <color rgb="FF0000FF"/>
      <sz val="11"/>
      <u val="single"/>
    </font>
    <font>
      <name val="Arial"/>
      <family val="2"/>
      <b val="1"/>
      <color theme="1"/>
      <sz val="10"/>
      <u val="single"/>
    </font>
    <font>
      <color rgb="00008000"/>
    </font>
  </fonts>
  <fills count="41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4" fontId="51" fillId="0" borderId="0"/>
    <xf numFmtId="164" fontId="3" fillId="2" borderId="1"/>
    <xf numFmtId="0" fontId="4" fillId="0" borderId="0"/>
    <xf numFmtId="0" fontId="5" fillId="0" borderId="2"/>
    <xf numFmtId="0" fontId="6" fillId="0" borderId="3"/>
    <xf numFmtId="0" fontId="7" fillId="0" borderId="4"/>
    <xf numFmtId="0" fontId="7" fillId="0" borderId="0"/>
    <xf numFmtId="0" fontId="8" fillId="3" borderId="0"/>
    <xf numFmtId="0" fontId="9" fillId="4" borderId="0"/>
    <xf numFmtId="0" fontId="10" fillId="5" borderId="0"/>
    <xf numFmtId="0" fontId="11" fillId="6" borderId="5"/>
    <xf numFmtId="0" fontId="12" fillId="6" borderId="6"/>
    <xf numFmtId="0" fontId="13" fillId="0" borderId="7"/>
    <xf numFmtId="0" fontId="14" fillId="7" borderId="8"/>
    <xf numFmtId="0" fontId="15" fillId="0" borderId="0"/>
    <xf numFmtId="0" fontId="22" fillId="8" borderId="9"/>
    <xf numFmtId="0" fontId="17" fillId="0" borderId="0"/>
    <xf numFmtId="0" fontId="18" fillId="0" borderId="10"/>
    <xf numFmtId="0" fontId="19" fillId="9" borderId="0"/>
    <xf numFmtId="0" fontId="20" fillId="10" borderId="0"/>
    <xf numFmtId="0" fontId="20" fillId="11" borderId="0"/>
    <xf numFmtId="0" fontId="19" fillId="12" borderId="0"/>
    <xf numFmtId="0" fontId="19" fillId="13" borderId="0"/>
    <xf numFmtId="0" fontId="20" fillId="14" borderId="0"/>
    <xf numFmtId="0" fontId="20" fillId="15" borderId="0"/>
    <xf numFmtId="0" fontId="19" fillId="16" borderId="0"/>
    <xf numFmtId="0" fontId="19" fillId="17" borderId="0"/>
    <xf numFmtId="0" fontId="20" fillId="18" borderId="0"/>
    <xf numFmtId="0" fontId="20" fillId="19" borderId="0"/>
    <xf numFmtId="0" fontId="19" fillId="20" borderId="0"/>
    <xf numFmtId="0" fontId="19" fillId="21" borderId="0"/>
    <xf numFmtId="0" fontId="20" fillId="22" borderId="0"/>
    <xf numFmtId="0" fontId="20" fillId="23" borderId="0"/>
    <xf numFmtId="0" fontId="19" fillId="24" borderId="0"/>
    <xf numFmtId="0" fontId="19" fillId="25" borderId="0"/>
    <xf numFmtId="0" fontId="20" fillId="26" borderId="0"/>
    <xf numFmtId="0" fontId="20" fillId="27" borderId="0"/>
    <xf numFmtId="0" fontId="19" fillId="28" borderId="0"/>
    <xf numFmtId="0" fontId="19" fillId="29" borderId="0"/>
    <xf numFmtId="0" fontId="20" fillId="30" borderId="0"/>
    <xf numFmtId="0" fontId="20" fillId="31" borderId="0"/>
    <xf numFmtId="0" fontId="19" fillId="32" borderId="0"/>
    <xf numFmtId="167" fontId="26" fillId="33" borderId="1"/>
    <xf numFmtId="173" fontId="22" fillId="0" borderId="0"/>
    <xf numFmtId="174" fontId="25" fillId="0" borderId="0"/>
    <xf numFmtId="175" fontId="22" fillId="0" borderId="0"/>
    <xf numFmtId="176" fontId="22" fillId="0" borderId="0"/>
    <xf numFmtId="177" fontId="22" fillId="0" borderId="0"/>
    <xf numFmtId="178" fontId="22" fillId="0" borderId="0"/>
    <xf numFmtId="167" fontId="22" fillId="0" borderId="0"/>
    <xf numFmtId="164" fontId="27" fillId="34" borderId="1"/>
    <xf numFmtId="172" fontId="22" fillId="0" borderId="0"/>
    <xf numFmtId="164" fontId="23" fillId="0" borderId="0"/>
    <xf numFmtId="164" fontId="24" fillId="0" borderId="0"/>
    <xf numFmtId="0" fontId="30" fillId="0" borderId="0"/>
    <xf numFmtId="0" fontId="29" fillId="0" borderId="0"/>
    <xf numFmtId="9" fontId="30" fillId="0" borderId="0"/>
    <xf numFmtId="179" fontId="31" fillId="0" borderId="11" applyAlignment="1">
      <alignment horizontal="right"/>
    </xf>
    <xf numFmtId="0" fontId="32" fillId="0" borderId="0" applyAlignment="1">
      <alignment horizontal="right"/>
    </xf>
    <xf numFmtId="0" fontId="33" fillId="0" borderId="0" applyAlignment="1">
      <alignment horizontal="left"/>
    </xf>
    <xf numFmtId="164" fontId="34" fillId="0" borderId="0"/>
    <xf numFmtId="165" fontId="30" fillId="0" borderId="0"/>
    <xf numFmtId="166" fontId="30" fillId="0" borderId="0"/>
    <xf numFmtId="180" fontId="30" fillId="0" borderId="0"/>
  </cellStyleXfs>
  <cellXfs count="231">
    <xf numFmtId="164" fontId="0" fillId="0" borderId="0" pivotButton="0" quotePrefix="0" xfId="0"/>
    <xf numFmtId="164" fontId="28" fillId="0" borderId="0" pivotButton="0" quotePrefix="0" xfId="0"/>
    <xf numFmtId="165" fontId="36" fillId="35" borderId="0" pivotButton="0" quotePrefix="0" xfId="61"/>
    <xf numFmtId="166" fontId="37" fillId="36" borderId="0" pivotButton="0" quotePrefix="0" xfId="62"/>
    <xf numFmtId="164" fontId="26" fillId="0" borderId="0" pivotButton="0" quotePrefix="0" xfId="42"/>
    <xf numFmtId="164" fontId="26" fillId="37" borderId="0" pivotButton="0" quotePrefix="0" xfId="42"/>
    <xf numFmtId="167" fontId="0" fillId="0" borderId="0" pivotButton="0" quotePrefix="0" xfId="49"/>
    <xf numFmtId="164" fontId="38" fillId="0" borderId="0" pivotButton="0" quotePrefix="0" xfId="0"/>
    <xf numFmtId="164" fontId="39" fillId="0" borderId="0" pivotButton="0" quotePrefix="0" xfId="42"/>
    <xf numFmtId="164" fontId="40" fillId="0" borderId="0" pivotButton="0" quotePrefix="0" xfId="0"/>
    <xf numFmtId="164" fontId="41" fillId="0" borderId="0" pivotButton="0" quotePrefix="0" xfId="42"/>
    <xf numFmtId="164" fontId="2" fillId="0" borderId="0" pivotButton="0" quotePrefix="0" xfId="0"/>
    <xf numFmtId="167" fontId="35" fillId="0" borderId="0" pivotButton="0" quotePrefix="0" xfId="49"/>
    <xf numFmtId="164" fontId="0" fillId="0" borderId="12" pivotButton="0" quotePrefix="0" xfId="0"/>
    <xf numFmtId="164" fontId="0" fillId="0" borderId="0" applyAlignment="1" pivotButton="0" quotePrefix="0" xfId="0">
      <alignment horizontal="left" indent="1"/>
    </xf>
    <xf numFmtId="168" fontId="0" fillId="0" borderId="0" pivotButton="0" quotePrefix="0" xfId="0"/>
    <xf numFmtId="164" fontId="38" fillId="0" borderId="0" applyAlignment="1" pivotButton="0" quotePrefix="0" xfId="0">
      <alignment horizontal="left" indent="1"/>
    </xf>
    <xf numFmtId="168" fontId="26" fillId="0" borderId="0" pivotButton="0" quotePrefix="0" xfId="42"/>
    <xf numFmtId="165" fontId="36" fillId="0" borderId="0" pivotButton="0" quotePrefix="0" xfId="61"/>
    <xf numFmtId="166" fontId="37" fillId="0" borderId="0" pivotButton="0" quotePrefix="0" xfId="62"/>
    <xf numFmtId="164" fontId="44" fillId="0" borderId="0" pivotButton="0" quotePrefix="0" xfId="0"/>
    <xf numFmtId="164" fontId="45" fillId="0" borderId="0" pivotButton="0" quotePrefix="0" xfId="0"/>
    <xf numFmtId="164" fontId="46" fillId="0" borderId="0" pivotButton="0" quotePrefix="0" xfId="0"/>
    <xf numFmtId="167" fontId="27" fillId="34" borderId="1" pivotButton="0" quotePrefix="0" xfId="49"/>
    <xf numFmtId="167" fontId="46" fillId="0" borderId="0" pivotButton="0" quotePrefix="0" xfId="49"/>
    <xf numFmtId="164" fontId="27" fillId="34" borderId="1" pivotButton="0" quotePrefix="0" xfId="50"/>
    <xf numFmtId="169" fontId="27" fillId="34" borderId="1" pivotButton="0" quotePrefix="0" xfId="50"/>
    <xf numFmtId="164" fontId="47" fillId="0" borderId="0" pivotButton="0" quotePrefix="0" xfId="0"/>
    <xf numFmtId="168" fontId="46" fillId="0" borderId="0" pivotButton="0" quotePrefix="0" xfId="0"/>
    <xf numFmtId="164" fontId="34" fillId="0" borderId="0" pivotButton="0" quotePrefix="0" xfId="60"/>
    <xf numFmtId="170" fontId="34" fillId="0" borderId="0" pivotButton="0" quotePrefix="0" xfId="60"/>
    <xf numFmtId="164" fontId="0" fillId="38" borderId="0" pivotButton="0" quotePrefix="0" xfId="0"/>
    <xf numFmtId="164" fontId="38" fillId="38" borderId="0" pivotButton="0" quotePrefix="0" xfId="0"/>
    <xf numFmtId="164" fontId="48" fillId="0" borderId="0" pivotButton="0" quotePrefix="0" xfId="42"/>
    <xf numFmtId="164" fontId="49" fillId="0" borderId="0" pivotButton="0" quotePrefix="0" xfId="60"/>
    <xf numFmtId="167" fontId="26" fillId="0" borderId="0" pivotButton="0" quotePrefix="0" xfId="49"/>
    <xf numFmtId="167" fontId="25" fillId="0" borderId="0" pivotButton="0" quotePrefix="0" xfId="49"/>
    <xf numFmtId="164" fontId="26" fillId="0" borderId="1" pivotButton="0" quotePrefix="0" xfId="42"/>
    <xf numFmtId="164" fontId="0" fillId="39" borderId="0" pivotButton="0" quotePrefix="0" xfId="0"/>
    <xf numFmtId="167" fontId="0" fillId="37" borderId="0" pivotButton="0" quotePrefix="0" xfId="49"/>
    <xf numFmtId="164" fontId="50" fillId="0" borderId="0" pivotButton="0" quotePrefix="0" xfId="0"/>
    <xf numFmtId="164" fontId="38" fillId="39" borderId="0" pivotButton="0" quotePrefix="0" xfId="0"/>
    <xf numFmtId="164" fontId="34" fillId="0" borderId="12" pivotButton="0" quotePrefix="0" xfId="60"/>
    <xf numFmtId="164" fontId="38" fillId="0" borderId="12" pivotButton="0" quotePrefix="0" xfId="0"/>
    <xf numFmtId="164" fontId="38" fillId="0" borderId="13" pivotButton="0" quotePrefix="0" xfId="0"/>
    <xf numFmtId="164" fontId="25" fillId="0" borderId="0" pivotButton="0" quotePrefix="0" xfId="42"/>
    <xf numFmtId="164" fontId="27" fillId="34" borderId="1" pivotButton="0" quotePrefix="0" xfId="50"/>
    <xf numFmtId="167" fontId="51" fillId="0" borderId="0" pivotButton="0" quotePrefix="0" xfId="49"/>
    <xf numFmtId="164" fontId="51" fillId="0" borderId="12" pivotButton="0" quotePrefix="0" xfId="60"/>
    <xf numFmtId="167" fontId="51" fillId="0" borderId="0" pivotButton="0" quotePrefix="0" xfId="49"/>
    <xf numFmtId="167" fontId="1" fillId="0" borderId="0" pivotButton="0" quotePrefix="0" xfId="49"/>
    <xf numFmtId="164" fontId="51" fillId="0" borderId="0" pivotButton="0" quotePrefix="0" xfId="60"/>
    <xf numFmtId="164" fontId="0" fillId="0" borderId="0" applyAlignment="1" pivotButton="0" quotePrefix="0" xfId="0">
      <alignment horizontal="left" indent="2"/>
    </xf>
    <xf numFmtId="164" fontId="0" fillId="40" borderId="0" pivotButton="0" quotePrefix="0" xfId="0"/>
    <xf numFmtId="164" fontId="52" fillId="0" borderId="0" pivotButton="0" quotePrefix="0" xfId="0"/>
    <xf numFmtId="171" fontId="0" fillId="0" borderId="0" pivotButton="0" quotePrefix="0" xfId="0"/>
    <xf numFmtId="167" fontId="26" fillId="0" borderId="0" pivotButton="0" quotePrefix="0" xfId="42"/>
    <xf numFmtId="167" fontId="38" fillId="0" borderId="0" pivotButton="0" quotePrefix="0" xfId="49"/>
    <xf numFmtId="164" fontId="0" fillId="0" borderId="0" applyAlignment="1" pivotButton="0" quotePrefix="0" xfId="0">
      <alignment horizontal="left"/>
    </xf>
    <xf numFmtId="167" fontId="39" fillId="0" borderId="0" pivotButton="0" quotePrefix="0" xfId="42"/>
    <xf numFmtId="164" fontId="38" fillId="0" borderId="0" applyAlignment="1" pivotButton="0" quotePrefix="0" xfId="0">
      <alignment horizontal="left"/>
    </xf>
    <xf numFmtId="164" fontId="38" fillId="0" borderId="12" applyAlignment="1" pivotButton="0" quotePrefix="0" xfId="0">
      <alignment horizontal="left"/>
    </xf>
    <xf numFmtId="164" fontId="49" fillId="0" borderId="12" pivotButton="0" quotePrefix="0" xfId="60"/>
    <xf numFmtId="167" fontId="0" fillId="0" borderId="0" pivotButton="0" quotePrefix="0" xfId="49"/>
    <xf numFmtId="167" fontId="51" fillId="0" borderId="0" pivotButton="0" quotePrefix="0" xfId="49"/>
    <xf numFmtId="167" fontId="27" fillId="0" borderId="0" pivotButton="0" quotePrefix="0" xfId="49"/>
    <xf numFmtId="167" fontId="0" fillId="0" borderId="0" pivotButton="0" quotePrefix="0" xfId="49"/>
    <xf numFmtId="164" fontId="38" fillId="0" borderId="12" pivotButton="0" quotePrefix="0" xfId="60"/>
    <xf numFmtId="164" fontId="52" fillId="0" borderId="12" pivotButton="0" quotePrefix="0" xfId="0"/>
    <xf numFmtId="164" fontId="38" fillId="0" borderId="0" pivotButton="0" quotePrefix="0" xfId="60"/>
    <xf numFmtId="164" fontId="46" fillId="0" borderId="12" pivotButton="0" quotePrefix="0" xfId="0"/>
    <xf numFmtId="167" fontId="51" fillId="0" borderId="0" pivotButton="0" quotePrefix="0" xfId="49"/>
    <xf numFmtId="164" fontId="27" fillId="0" borderId="0" pivotButton="0" quotePrefix="0" xfId="50"/>
    <xf numFmtId="164" fontId="53" fillId="0" borderId="0" pivotButton="0" quotePrefix="0" xfId="0"/>
    <xf numFmtId="172" fontId="38" fillId="0" borderId="13" pivotButton="0" quotePrefix="0" xfId="51"/>
    <xf numFmtId="164" fontId="25" fillId="0" borderId="0" pivotButton="0" quotePrefix="0" xfId="0"/>
    <xf numFmtId="170" fontId="39" fillId="0" borderId="0" pivotButton="0" quotePrefix="0" xfId="42"/>
    <xf numFmtId="167" fontId="36" fillId="0" borderId="0" pivotButton="0" quotePrefix="0" xfId="49"/>
    <xf numFmtId="167" fontId="28" fillId="0" borderId="0" pivotButton="0" quotePrefix="0" xfId="49"/>
    <xf numFmtId="164" fontId="0" fillId="37" borderId="0" pivotButton="0" quotePrefix="0" xfId="0"/>
    <xf numFmtId="167" fontId="28" fillId="0" borderId="0" pivotButton="0" quotePrefix="0" xfId="49"/>
    <xf numFmtId="164" fontId="28" fillId="0" borderId="12" pivotButton="0" quotePrefix="0" xfId="0"/>
    <xf numFmtId="164" fontId="54" fillId="0" borderId="0" applyAlignment="1" pivotButton="0" quotePrefix="0" xfId="42">
      <alignment horizontal="center"/>
    </xf>
    <xf numFmtId="164" fontId="26" fillId="0" borderId="0" pivotButton="0" quotePrefix="1" xfId="42"/>
    <xf numFmtId="167" fontId="38" fillId="0" borderId="0" pivotButton="0" quotePrefix="0" xfId="49"/>
    <xf numFmtId="164" fontId="38" fillId="0" borderId="14" pivotButton="0" quotePrefix="0" xfId="0"/>
    <xf numFmtId="164" fontId="38" fillId="0" borderId="14" applyAlignment="1" pivotButton="0" quotePrefix="0" xfId="0">
      <alignment horizontal="left"/>
    </xf>
    <xf numFmtId="168" fontId="28" fillId="0" borderId="0" pivotButton="0" quotePrefix="0" xfId="0"/>
    <xf numFmtId="173" fontId="26" fillId="40" borderId="0" pivotButton="0" quotePrefix="0" xfId="42"/>
    <xf numFmtId="173" fontId="0" fillId="40" borderId="0" pivotButton="0" quotePrefix="0" xfId="43"/>
    <xf numFmtId="164" fontId="44" fillId="40" borderId="0" pivotButton="0" quotePrefix="0" xfId="0"/>
    <xf numFmtId="164" fontId="0" fillId="40" borderId="0" applyAlignment="1" pivotButton="0" quotePrefix="0" xfId="0">
      <alignment horizontal="left" indent="1"/>
    </xf>
    <xf numFmtId="164" fontId="34" fillId="40" borderId="0" pivotButton="0" quotePrefix="0" xfId="60"/>
    <xf numFmtId="164" fontId="38" fillId="40" borderId="12" pivotButton="0" quotePrefix="0" xfId="0"/>
    <xf numFmtId="172" fontId="27" fillId="40" borderId="1" pivotButton="0" quotePrefix="0" xfId="51"/>
    <xf numFmtId="164" fontId="28" fillId="40" borderId="0" pivotButton="0" quotePrefix="0" xfId="0"/>
    <xf numFmtId="172" fontId="28" fillId="40" borderId="0" pivotButton="0" quotePrefix="0" xfId="51"/>
    <xf numFmtId="172" fontId="0" fillId="40" borderId="0" pivotButton="0" quotePrefix="0" xfId="51"/>
    <xf numFmtId="164" fontId="38" fillId="40" borderId="0" pivotButton="0" quotePrefix="0" xfId="0"/>
    <xf numFmtId="172" fontId="38" fillId="40" borderId="12" pivotButton="0" quotePrefix="0" xfId="51"/>
    <xf numFmtId="168" fontId="38" fillId="40" borderId="12" pivotButton="0" quotePrefix="0" xfId="0"/>
    <xf numFmtId="172" fontId="38" fillId="40" borderId="0" pivotButton="0" quotePrefix="0" xfId="51"/>
    <xf numFmtId="167" fontId="38" fillId="40" borderId="0" pivotButton="0" quotePrefix="0" xfId="49"/>
    <xf numFmtId="164" fontId="38" fillId="40" borderId="13" pivotButton="0" quotePrefix="0" xfId="0"/>
    <xf numFmtId="167" fontId="38" fillId="40" borderId="13" pivotButton="0" quotePrefix="0" xfId="49"/>
    <xf numFmtId="168" fontId="26" fillId="40" borderId="0" pivotButton="0" quotePrefix="0" xfId="42"/>
    <xf numFmtId="164" fontId="26" fillId="40" borderId="0" pivotButton="0" quotePrefix="0" xfId="42"/>
    <xf numFmtId="164" fontId="0" fillId="40" borderId="12" pivotButton="0" quotePrefix="0" xfId="0"/>
    <xf numFmtId="164" fontId="51" fillId="40" borderId="12" pivotButton="0" quotePrefix="0" xfId="0"/>
    <xf numFmtId="164" fontId="51" fillId="40" borderId="0" pivotButton="0" quotePrefix="0" xfId="0"/>
    <xf numFmtId="172" fontId="34" fillId="0" borderId="0" pivotButton="0" quotePrefix="0" xfId="51"/>
    <xf numFmtId="172" fontId="34" fillId="40" borderId="0" pivotButton="0" quotePrefix="0" xfId="51"/>
    <xf numFmtId="164" fontId="51" fillId="40" borderId="0" pivotButton="0" quotePrefix="0" xfId="60"/>
    <xf numFmtId="167" fontId="0" fillId="40" borderId="0" pivotButton="0" quotePrefix="0" xfId="49"/>
    <xf numFmtId="168" fontId="0" fillId="40" borderId="0" pivotButton="0" quotePrefix="0" xfId="0"/>
    <xf numFmtId="167" fontId="34" fillId="40" borderId="0" pivotButton="0" quotePrefix="0" xfId="49"/>
    <xf numFmtId="168" fontId="0" fillId="40" borderId="12" pivotButton="0" quotePrefix="0" xfId="0"/>
    <xf numFmtId="0" fontId="55" fillId="38" borderId="0" applyAlignment="1" pivotButton="0" quotePrefix="0" xfId="54">
      <alignment horizontal="center"/>
    </xf>
    <xf numFmtId="172" fontId="27" fillId="34" borderId="1" pivotButton="0" quotePrefix="0" xfId="51"/>
    <xf numFmtId="172" fontId="51" fillId="40" borderId="1" pivotButton="0" quotePrefix="0" xfId="51"/>
    <xf numFmtId="164" fontId="0" fillId="0" borderId="0" applyAlignment="1" pivotButton="0" quotePrefix="0" xfId="0">
      <alignment horizontal="center"/>
    </xf>
    <xf numFmtId="167" fontId="0" fillId="0" borderId="0" applyAlignment="1" pivotButton="0" quotePrefix="0" xfId="49">
      <alignment horizontal="center"/>
    </xf>
    <xf numFmtId="164" fontId="38" fillId="0" borderId="0" applyAlignment="1" pivotButton="0" quotePrefix="1" xfId="0">
      <alignment horizontal="center"/>
    </xf>
    <xf numFmtId="164" fontId="44" fillId="40" borderId="0" applyAlignment="1" pivotButton="0" quotePrefix="0" xfId="0">
      <alignment horizontal="center"/>
    </xf>
    <xf numFmtId="0" fontId="0" fillId="0" borderId="0" pivotButton="0" quotePrefix="0" xfId="0"/>
    <xf numFmtId="164" fontId="28" fillId="0" borderId="0" pivotButton="0" quotePrefix="0" xfId="0"/>
    <xf numFmtId="165" fontId="36" fillId="35" borderId="0" pivotButton="0" quotePrefix="0" xfId="61"/>
    <xf numFmtId="166" fontId="37" fillId="36" borderId="0" pivotButton="0" quotePrefix="0" xfId="62"/>
    <xf numFmtId="164" fontId="44" fillId="0" borderId="0" pivotButton="0" quotePrefix="0" xfId="0"/>
    <xf numFmtId="164" fontId="0" fillId="0" borderId="0" pivotButton="0" quotePrefix="0" xfId="0"/>
    <xf numFmtId="165" fontId="36" fillId="0" borderId="0" pivotButton="0" quotePrefix="0" xfId="61"/>
    <xf numFmtId="166" fontId="37" fillId="0" borderId="0" pivotButton="0" quotePrefix="0" xfId="62"/>
    <xf numFmtId="164" fontId="38" fillId="0" borderId="0" pivotButton="0" quotePrefix="0" xfId="0"/>
    <xf numFmtId="169" fontId="27" fillId="34" borderId="1" pivotButton="0" quotePrefix="0" xfId="50"/>
    <xf numFmtId="164" fontId="47" fillId="0" borderId="0" pivotButton="0" quotePrefix="0" xfId="0"/>
    <xf numFmtId="164" fontId="52" fillId="0" borderId="0" pivotButton="0" quotePrefix="0" xfId="0"/>
    <xf numFmtId="170" fontId="39" fillId="0" borderId="0" pivotButton="0" quotePrefix="0" xfId="42"/>
    <xf numFmtId="164" fontId="0" fillId="40" borderId="0" pivotButton="0" quotePrefix="0" xfId="0"/>
    <xf numFmtId="173" fontId="26" fillId="40" borderId="0" pivotButton="0" quotePrefix="0" xfId="42"/>
    <xf numFmtId="173" fontId="0" fillId="40" borderId="0" pivotButton="0" quotePrefix="0" xfId="43"/>
    <xf numFmtId="164" fontId="44" fillId="40" borderId="0" pivotButton="0" quotePrefix="0" xfId="0"/>
    <xf numFmtId="164" fontId="44" fillId="40" borderId="0" applyAlignment="1" pivotButton="0" quotePrefix="0" xfId="0">
      <alignment horizontal="center"/>
    </xf>
    <xf numFmtId="164" fontId="38" fillId="40" borderId="0" pivotButton="0" quotePrefix="0" xfId="0"/>
    <xf numFmtId="168" fontId="26" fillId="40" borderId="0" pivotButton="0" quotePrefix="0" xfId="42"/>
    <xf numFmtId="164" fontId="0" fillId="40" borderId="0" applyAlignment="1" pivotButton="0" quotePrefix="0" xfId="0">
      <alignment horizontal="left" indent="1"/>
    </xf>
    <xf numFmtId="164" fontId="51" fillId="40" borderId="0" pivotButton="0" quotePrefix="0" xfId="60"/>
    <xf numFmtId="164" fontId="34" fillId="40" borderId="0" pivotButton="0" quotePrefix="0" xfId="60"/>
    <xf numFmtId="167" fontId="0" fillId="40" borderId="0" pivotButton="0" quotePrefix="0" xfId="49"/>
    <xf numFmtId="168" fontId="0" fillId="40" borderId="0" pivotButton="0" quotePrefix="0" xfId="0"/>
    <xf numFmtId="164" fontId="26" fillId="40" borderId="0" pivotButton="0" quotePrefix="0" xfId="42"/>
    <xf numFmtId="167" fontId="34" fillId="40" borderId="0" pivotButton="0" quotePrefix="0" xfId="49"/>
    <xf numFmtId="164" fontId="0" fillId="40" borderId="12" pivotButton="0" quotePrefix="0" xfId="0"/>
    <xf numFmtId="164" fontId="51" fillId="40" borderId="12" pivotButton="0" quotePrefix="0" xfId="0"/>
    <xf numFmtId="164" fontId="38" fillId="40" borderId="12" pivotButton="0" quotePrefix="0" xfId="0"/>
    <xf numFmtId="164" fontId="51" fillId="40" borderId="0" pivotButton="0" quotePrefix="0" xfId="0"/>
    <xf numFmtId="168" fontId="0" fillId="40" borderId="12" pivotButton="0" quotePrefix="0" xfId="0"/>
    <xf numFmtId="164" fontId="28" fillId="40" borderId="0" pivotButton="0" quotePrefix="0" xfId="0"/>
    <xf numFmtId="168" fontId="38" fillId="40" borderId="12" pivotButton="0" quotePrefix="0" xfId="0"/>
    <xf numFmtId="167" fontId="38" fillId="40" borderId="0" pivotButton="0" quotePrefix="0" xfId="49"/>
    <xf numFmtId="168" fontId="0" fillId="0" borderId="0" pivotButton="0" quotePrefix="0" xfId="0"/>
    <xf numFmtId="164" fontId="38" fillId="40" borderId="13" pivotButton="0" quotePrefix="0" xfId="0"/>
    <xf numFmtId="167" fontId="38" fillId="40" borderId="13" pivotButton="0" quotePrefix="0" xfId="49"/>
    <xf numFmtId="167" fontId="0" fillId="0" borderId="0" pivotButton="0" quotePrefix="0" xfId="49"/>
    <xf numFmtId="164" fontId="38" fillId="0" borderId="0" applyAlignment="1" pivotButton="0" quotePrefix="1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indent="1"/>
    </xf>
    <xf numFmtId="167" fontId="0" fillId="0" borderId="0" applyAlignment="1" pivotButton="0" quotePrefix="0" xfId="49">
      <alignment horizontal="center"/>
    </xf>
    <xf numFmtId="164" fontId="38" fillId="0" borderId="12" pivotButton="0" quotePrefix="0" xfId="0"/>
    <xf numFmtId="164" fontId="0" fillId="37" borderId="0" pivotButton="0" quotePrefix="0" xfId="0"/>
    <xf numFmtId="167" fontId="28" fillId="0" borderId="0" pivotButton="0" quotePrefix="0" xfId="49"/>
    <xf numFmtId="164" fontId="0" fillId="38" borderId="0" pivotButton="0" quotePrefix="0" xfId="0"/>
    <xf numFmtId="164" fontId="26" fillId="0" borderId="0" pivotButton="0" quotePrefix="0" xfId="42"/>
    <xf numFmtId="164" fontId="0" fillId="0" borderId="12" pivotButton="0" quotePrefix="0" xfId="0"/>
    <xf numFmtId="164" fontId="39" fillId="0" borderId="0" pivotButton="0" quotePrefix="0" xfId="42"/>
    <xf numFmtId="164" fontId="49" fillId="0" borderId="0" pivotButton="0" quotePrefix="0" xfId="60"/>
    <xf numFmtId="164" fontId="26" fillId="37" borderId="0" pivotButton="0" quotePrefix="0" xfId="42"/>
    <xf numFmtId="164" fontId="40" fillId="0" borderId="0" pivotButton="0" quotePrefix="0" xfId="0"/>
    <xf numFmtId="164" fontId="41" fillId="0" borderId="0" pivotButton="0" quotePrefix="0" xfId="42"/>
    <xf numFmtId="164" fontId="2" fillId="0" borderId="0" pivotButton="0" quotePrefix="0" xfId="0"/>
    <xf numFmtId="167" fontId="35" fillId="0" borderId="0" pivotButton="0" quotePrefix="0" xfId="49"/>
    <xf numFmtId="164" fontId="34" fillId="0" borderId="0" pivotButton="0" quotePrefix="0" xfId="60"/>
    <xf numFmtId="164" fontId="27" fillId="34" borderId="1" pivotButton="0" quotePrefix="0" xfId="50"/>
    <xf numFmtId="164" fontId="38" fillId="0" borderId="0" applyAlignment="1" pivotButton="0" quotePrefix="0" xfId="0">
      <alignment horizontal="left" indent="1"/>
    </xf>
    <xf numFmtId="168" fontId="26" fillId="0" borderId="0" pivotButton="0" quotePrefix="0" xfId="42"/>
    <xf numFmtId="164" fontId="0" fillId="0" borderId="0" applyAlignment="1" pivotButton="0" quotePrefix="0" xfId="0">
      <alignment horizontal="left"/>
    </xf>
    <xf numFmtId="167" fontId="27" fillId="34" borderId="1" pivotButton="0" quotePrefix="0" xfId="49"/>
    <xf numFmtId="164" fontId="38" fillId="0" borderId="14" applyAlignment="1" pivotButton="0" quotePrefix="0" xfId="0">
      <alignment horizontal="left"/>
    </xf>
    <xf numFmtId="164" fontId="38" fillId="0" borderId="14" pivotButton="0" quotePrefix="0" xfId="0"/>
    <xf numFmtId="167" fontId="38" fillId="0" borderId="0" pivotButton="0" quotePrefix="0" xfId="49"/>
    <xf numFmtId="164" fontId="25" fillId="0" borderId="0" pivotButton="0" quotePrefix="0" xfId="0"/>
    <xf numFmtId="164" fontId="26" fillId="0" borderId="1" pivotButton="0" quotePrefix="0" xfId="42"/>
    <xf numFmtId="164" fontId="38" fillId="0" borderId="13" pivotButton="0" quotePrefix="0" xfId="0"/>
    <xf numFmtId="164" fontId="56" fillId="0" borderId="0" pivotButton="0" quotePrefix="0" xfId="0"/>
    <xf numFmtId="164" fontId="52" fillId="0" borderId="12" pivotButton="0" quotePrefix="0" xfId="0"/>
    <xf numFmtId="164" fontId="38" fillId="0" borderId="12" pivotButton="0" quotePrefix="0" xfId="60"/>
    <xf numFmtId="164" fontId="38" fillId="0" borderId="0" pivotButton="0" quotePrefix="0" xfId="60"/>
    <xf numFmtId="164" fontId="51" fillId="0" borderId="0" pivotButton="0" quotePrefix="0" xfId="60"/>
    <xf numFmtId="167" fontId="36" fillId="0" borderId="0" pivotButton="0" quotePrefix="0" xfId="49"/>
    <xf numFmtId="164" fontId="38" fillId="38" borderId="0" pivotButton="0" quotePrefix="0" xfId="0"/>
    <xf numFmtId="164" fontId="48" fillId="0" borderId="0" pivotButton="0" quotePrefix="0" xfId="42"/>
    <xf numFmtId="164" fontId="45" fillId="0" borderId="0" pivotButton="0" quotePrefix="0" xfId="0"/>
    <xf numFmtId="164" fontId="38" fillId="39" borderId="0" pivotButton="0" quotePrefix="0" xfId="0"/>
    <xf numFmtId="164" fontId="0" fillId="39" borderId="0" pivotButton="0" quotePrefix="0" xfId="0"/>
    <xf numFmtId="167" fontId="0" fillId="37" borderId="0" pivotButton="0" quotePrefix="0" xfId="49"/>
    <xf numFmtId="164" fontId="50" fillId="0" borderId="0" pivotButton="0" quotePrefix="0" xfId="0"/>
    <xf numFmtId="171" fontId="0" fillId="0" borderId="0" pivotButton="0" quotePrefix="0" xfId="0"/>
    <xf numFmtId="164" fontId="46" fillId="0" borderId="0" pivotButton="0" quotePrefix="0" xfId="0"/>
    <xf numFmtId="167" fontId="46" fillId="0" borderId="0" pivotButton="0" quotePrefix="0" xfId="49"/>
    <xf numFmtId="168" fontId="46" fillId="0" borderId="0" pivotButton="0" quotePrefix="0" xfId="0"/>
    <xf numFmtId="170" fontId="34" fillId="0" borderId="0" pivotButton="0" quotePrefix="0" xfId="60"/>
    <xf numFmtId="168" fontId="28" fillId="0" borderId="0" pivotButton="0" quotePrefix="0" xfId="0"/>
    <xf numFmtId="167" fontId="26" fillId="0" borderId="0" pivotButton="0" quotePrefix="0" xfId="49"/>
    <xf numFmtId="167" fontId="25" fillId="0" borderId="0" pivotButton="0" quotePrefix="0" xfId="49"/>
    <xf numFmtId="164" fontId="25" fillId="0" borderId="0" pivotButton="0" quotePrefix="0" xfId="42"/>
    <xf numFmtId="164" fontId="0" fillId="0" borderId="0" applyAlignment="1" pivotButton="0" quotePrefix="0" xfId="0">
      <alignment horizontal="left" indent="2"/>
    </xf>
    <xf numFmtId="167" fontId="27" fillId="0" borderId="0" pivotButton="0" quotePrefix="0" xfId="49"/>
    <xf numFmtId="164" fontId="34" fillId="0" borderId="12" pivotButton="0" quotePrefix="0" xfId="60"/>
    <xf numFmtId="164" fontId="27" fillId="0" borderId="0" pivotButton="0" quotePrefix="0" xfId="50"/>
    <xf numFmtId="167" fontId="51" fillId="0" borderId="0" pivotButton="0" quotePrefix="0" xfId="49"/>
    <xf numFmtId="167" fontId="1" fillId="0" borderId="0" pivotButton="0" quotePrefix="0" xfId="49"/>
    <xf numFmtId="164" fontId="51" fillId="0" borderId="12" pivotButton="0" quotePrefix="0" xfId="60"/>
    <xf numFmtId="167" fontId="26" fillId="0" borderId="0" pivotButton="0" quotePrefix="0" xfId="42"/>
    <xf numFmtId="164" fontId="38" fillId="0" borderId="12" applyAlignment="1" pivotButton="0" quotePrefix="0" xfId="0">
      <alignment horizontal="left"/>
    </xf>
    <xf numFmtId="164" fontId="49" fillId="0" borderId="12" pivotButton="0" quotePrefix="0" xfId="60"/>
    <xf numFmtId="164" fontId="38" fillId="0" borderId="0" applyAlignment="1" pivotButton="0" quotePrefix="0" xfId="0">
      <alignment horizontal="left"/>
    </xf>
    <xf numFmtId="167" fontId="39" fillId="0" borderId="0" pivotButton="0" quotePrefix="0" xfId="42"/>
    <xf numFmtId="164" fontId="46" fillId="0" borderId="12" pivotButton="0" quotePrefix="0" xfId="0"/>
    <xf numFmtId="164" fontId="53" fillId="0" borderId="0" pivotButton="0" quotePrefix="0" xfId="0"/>
    <xf numFmtId="164" fontId="28" fillId="0" borderId="12" pivotButton="0" quotePrefix="0" xfId="0"/>
    <xf numFmtId="164" fontId="54" fillId="0" borderId="0" applyAlignment="1" pivotButton="0" quotePrefix="0" xfId="42">
      <alignment horizontal="center"/>
    </xf>
    <xf numFmtId="164" fontId="26" fillId="0" borderId="0" pivotButton="0" quotePrefix="1" xfId="42"/>
  </cellXfs>
  <cellStyles count="64">
    <cellStyle name="Normal" xfId="0" builtinId="0"/>
    <cellStyle name="Input" xfId="1" builtinId="20" hidden="1"/>
    <cellStyle name="Title" xfId="2" builtinId="15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Good" xfId="7" builtinId="26" hidden="1"/>
    <cellStyle name="Bad" xfId="8" builtinId="27" hidden="1"/>
    <cellStyle name="Neutral" xfId="9" builtinId="28" hidden="1"/>
    <cellStyle name="Output" xfId="10" builtinId="21" hidden="1"/>
    <cellStyle name="Calculation" xfId="11" builtinId="22" hidden="1"/>
    <cellStyle name="Linked Cell" xfId="12" builtinId="24" hidden="1"/>
    <cellStyle name="Check Cell" xfId="13" builtinId="23" hidden="1"/>
    <cellStyle name="Warning Text" xfId="14" builtinId="11" hidden="1"/>
    <cellStyle name="Note" xfId="15" builtinId="10" hidden="1"/>
    <cellStyle name="Explanatory Text" xfId="16" builtinId="53" hidden="1"/>
    <cellStyle name="Total" xfId="17" builtinId="25" hidden="1"/>
    <cellStyle name="Accent1" xfId="18" builtinId="29" hidden="1"/>
    <cellStyle name="20% - Accent1" xfId="19" builtinId="30" hidden="1"/>
    <cellStyle name="40% - Accent1" xfId="20" builtinId="31" hidden="1"/>
    <cellStyle name="60% - Accent1" xfId="21" builtinId="32" hidden="1"/>
    <cellStyle name="Accent2" xfId="22" builtinId="33" hidden="1"/>
    <cellStyle name="20% - Accent2" xfId="23" builtinId="34" hidden="1"/>
    <cellStyle name="40% - Accent2" xfId="24" builtinId="35" hidden="1"/>
    <cellStyle name="60% - Accent2" xfId="25" builtinId="36" hidden="1"/>
    <cellStyle name="Accent3" xfId="26" builtinId="37" hidden="1"/>
    <cellStyle name="20% - Accent3" xfId="27" builtinId="38" hidden="1"/>
    <cellStyle name="40% - Accent3" xfId="28" builtinId="39" hidden="1"/>
    <cellStyle name="60% - Accent3" xfId="29" builtinId="40" hidden="1"/>
    <cellStyle name="Accent4" xfId="30" builtinId="41" hidden="1"/>
    <cellStyle name="20% - Accent4" xfId="31" builtinId="42" hidden="1"/>
    <cellStyle name="40% - Accent4" xfId="32" builtinId="43" hidden="1"/>
    <cellStyle name="60% - Accent4" xfId="33" builtinId="44" hidden="1"/>
    <cellStyle name="Accent5" xfId="34" builtinId="45" hidden="1"/>
    <cellStyle name="20% - Accent5" xfId="35" builtinId="46" hidden="1"/>
    <cellStyle name="40% - Accent5" xfId="36" builtinId="47" hidden="1"/>
    <cellStyle name="60% - Accent5" xfId="37" builtinId="48" hidden="1"/>
    <cellStyle name="Accent6" xfId="38" builtinId="49" hidden="1"/>
    <cellStyle name="20% - Accent6" xfId="39" builtinId="50" hidden="1"/>
    <cellStyle name="40% - Accent6" xfId="40" builtinId="51" hidden="1"/>
    <cellStyle name="60% - Accent6" xfId="41" builtinId="52" hidden="1"/>
    <cellStyle name="Blue" xfId="42"/>
    <cellStyle name="Date" xfId="43"/>
    <cellStyle name="Blank" xfId="44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Percent" xfId="49" builtinId="5"/>
    <cellStyle name="I" xfId="50"/>
    <cellStyle name="Multiple" xfId="51"/>
    <cellStyle name="Hyperlink" xfId="52" builtinId="8" hidden="1"/>
    <cellStyle name="Followed Hyperlink" xfId="53" builtinId="9" hidden="1"/>
    <cellStyle name="Normal 2" xfId="54"/>
    <cellStyle name="Hyperlink 2" xfId="55"/>
    <cellStyle name="Percent 2" xfId="56"/>
    <cellStyle name="Data" xfId="57"/>
    <cellStyle name="Source Superscript" xfId="58"/>
    <cellStyle name="Source Text" xfId="59"/>
    <cellStyle name="Diff Tab" xfId="60"/>
    <cellStyle name="Year Actual" xfId="61"/>
    <cellStyle name="Year Estimate" xfId="62"/>
    <cellStyle name="Year Forecast" xfId="6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Danial AZMI</author>
  </authors>
  <commentList>
    <comment ref="O19" authorId="0" shapeId="0">
      <text>
        <t xml:space="preserve">Danial AZMI:
to get to proportionate EBITDA
</t>
      </text>
    </comment>
  </commentList>
</comments>
</file>

<file path=xl/comments/comment2.xml><?xml version="1.0" encoding="utf-8"?>
<comments xmlns="http://schemas.openxmlformats.org/spreadsheetml/2006/main">
  <authors>
    <author>Danial AZMI</author>
  </authors>
  <commentList>
    <comment ref="H9" authorId="0" shapeId="0">
      <text>
        <t>Danial AZMI:
Dispute with former employee settlement</t>
      </text>
    </comment>
    <comment ref="I39" authorId="0" shapeId="0">
      <text>
        <t>Danial AZMI:
Dilutive effect casues and adjusted net loss to common</t>
      </text>
    </comment>
    <comment ref="B59" authorId="0" shapeId="0">
      <text>
        <t xml:space="preserve">Danial AZMI:
Company defined
</t>
      </text>
    </comment>
    <comment ref="H75" authorId="0" shapeId="0">
      <text>
        <t xml:space="preserve">Danial AZMI:
RBC assumption
</t>
      </text>
    </comment>
    <comment ref="I75" authorId="0" shapeId="0">
      <text>
        <t xml:space="preserve">Danial AZMI:
RBC assumption
</t>
      </text>
    </comment>
    <comment ref="J75" authorId="0" shapeId="0">
      <text>
        <t xml:space="preserve">Danial AZMI:
RBC assumption
</t>
      </text>
    </comment>
    <comment ref="K75" authorId="0" shapeId="0">
      <text>
        <t xml:space="preserve">Danial AZMI:
RBC assumption
</t>
      </text>
    </comment>
    <comment ref="L75" authorId="0" shapeId="0">
      <text>
        <t xml:space="preserve">Danial AZMI:
RBC assumption
</t>
      </text>
    </comment>
    <comment ref="M75" authorId="0" shapeId="0">
      <text>
        <t xml:space="preserve">Danial AZMI:
RBC assumption
</t>
      </text>
    </comment>
    <comment ref="N75" authorId="0" shapeId="0">
      <text>
        <t xml:space="preserve">Danial AZMI:
RBC assumption
</t>
      </text>
    </comment>
    <comment ref="O75" authorId="0" shapeId="0">
      <text>
        <t xml:space="preserve">Danial AZMI:
RBC assumption
</t>
      </text>
    </comment>
    <comment ref="P75" authorId="0" shapeId="0">
      <text>
        <t xml:space="preserve">Danial AZMI:
RBC assumption
</t>
      </text>
    </comment>
    <comment ref="Q75" authorId="0" shapeId="0">
      <text>
        <t xml:space="preserve">Danial AZMI:
RBC assumption
</t>
      </text>
    </comment>
    <comment ref="R75" authorId="0" shapeId="0">
      <text>
        <t xml:space="preserve">Danial AZMI:
RBC assumption
</t>
      </text>
    </comment>
    <comment ref="S75" authorId="0" shapeId="0">
      <text>
        <t xml:space="preserve">Danial AZMI:
RBC assumption
</t>
      </text>
    </comment>
  </commentList>
</comments>
</file>

<file path=xl/comments/comment3.xml><?xml version="1.0" encoding="utf-8"?>
<comments xmlns="http://schemas.openxmlformats.org/spreadsheetml/2006/main">
  <authors>
    <author>Danial AZMI</author>
  </authors>
  <commentList>
    <comment ref="E39" authorId="0" shapeId="0">
      <text>
        <t>Danial AZMI:
Source: RBC Capital Markets</t>
      </text>
    </comment>
    <comment ref="F39" authorId="0" shapeId="0">
      <text>
        <t>Danial AZMI:
Source: RBC Capital Markets</t>
      </text>
    </comment>
    <comment ref="G39" authorId="0" shapeId="0">
      <text>
        <t>Danial AZMI:
Source: RBC Capital Markets
Elevated due to  lockdowns</t>
      </text>
    </comment>
    <comment ref="H39" authorId="0" shapeId="0">
      <text>
        <t>Danial AZMI:
Source: RBC Capital Markets</t>
      </text>
    </comment>
    <comment ref="I39" authorId="0" shapeId="0">
      <text>
        <t>Danial AZMI:
Source: RBC Capital Markets</t>
      </text>
    </comment>
    <comment ref="E68" authorId="0" shapeId="0">
      <text>
        <t xml:space="preserve">Danial AZMI:
Based on Benchmark estimate
</t>
      </text>
    </comment>
    <comment ref="F68" authorId="0" shapeId="0">
      <text>
        <t xml:space="preserve">Danial AZMI:
Based on Benchmark estimate
</t>
      </text>
    </comment>
    <comment ref="G68" authorId="0" shapeId="0">
      <text>
        <t xml:space="preserve">Danial AZMI:
Based on Benchmark estimate
</t>
      </text>
    </comment>
    <comment ref="H68" authorId="0" shapeId="0">
      <text>
        <t xml:space="preserve">Danial AZMI:
Based on Benchmark estimate
</t>
      </text>
    </comment>
    <comment ref="I68" authorId="0" shapeId="0">
      <text>
        <t xml:space="preserve">Danial AZMI:
Based on Benchmark estimate
</t>
      </text>
    </comment>
  </commentList>
</comments>
</file>

<file path=xl/comments/comment4.xml><?xml version="1.0" encoding="utf-8"?>
<comments xmlns="http://schemas.openxmlformats.org/spreadsheetml/2006/main">
  <authors>
    <author>Danial AZMI</author>
  </authors>
  <commentList>
    <comment ref="B33" authorId="0" shapeId="0">
      <text>
        <t>Danial AZMI:
In TV and broadcasting</t>
      </text>
    </comment>
  </commentList>
</comments>
</file>

<file path=xl/comments/comment5.xml><?xml version="1.0" encoding="utf-8"?>
<comments xmlns="http://schemas.openxmlformats.org/spreadsheetml/2006/main">
  <authors>
    <author>Danial AZMI</author>
  </authors>
  <commentList>
    <comment ref="J19" authorId="0" shapeId="0">
      <text>
        <t>Danial AZMI:
pg 44 of Q4 2022 FS</t>
      </text>
    </comment>
    <comment ref="J20" authorId="0" shapeId="0">
      <text>
        <t xml:space="preserve">Danial AZMI:
pg52 of Q4 2022 FS
</t>
      </text>
    </comment>
    <comment ref="J33" authorId="0" shapeId="0">
      <text>
        <t xml:space="preserve">Danial AZMI:
Based on yearly salaries and employee benefits of c.CAD69m; assume need to keep 2Q worth
</t>
      </text>
    </comment>
    <comment ref="J48" authorId="0" shapeId="0">
      <text>
        <t xml:space="preserve">Danial AZMI:
pg35 2022 Q4 FS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T38"/>
  <sheetViews>
    <sheetView showGridLines="0" topLeftCell="A8" zoomScale="85" zoomScaleNormal="85" workbookViewId="0">
      <selection activeCell="T21" sqref="T21"/>
    </sheetView>
  </sheetViews>
  <sheetFormatPr baseColWidth="8" defaultColWidth="15.73046875" defaultRowHeight="14.25"/>
  <cols>
    <col width="1.73046875" customWidth="1" style="124" min="1" max="1"/>
    <col width="1.73046875" customWidth="1" style="124" min="7" max="7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3">
      <c r="E3" s="126" t="n"/>
      <c r="F3" s="126" t="n"/>
      <c r="G3" s="126" t="n"/>
      <c r="H3" s="126" t="n"/>
      <c r="I3" s="126" t="n"/>
      <c r="J3" s="127" t="n">
        <v>2023</v>
      </c>
      <c r="K3" s="127">
        <f>+J3+1</f>
        <v/>
      </c>
      <c r="L3" s="127">
        <f>+K3+1</f>
        <v/>
      </c>
      <c r="M3" s="127">
        <f>+L3+1</f>
        <v/>
      </c>
      <c r="N3" s="127">
        <f>+M3+1</f>
        <v/>
      </c>
      <c r="O3" s="127">
        <f>+N3+1</f>
        <v/>
      </c>
      <c r="P3" s="127">
        <f>+O3+1</f>
        <v/>
      </c>
      <c r="Q3" s="127">
        <f>+P3+1</f>
        <v/>
      </c>
      <c r="R3" s="127">
        <f>+Q3+1</f>
        <v/>
      </c>
      <c r="S3" s="127">
        <f>+R3+1</f>
        <v/>
      </c>
    </row>
    <row r="4">
      <c r="B4" s="128" t="n"/>
    </row>
    <row r="5">
      <c r="A5" s="129" t="inlineStr">
        <is>
          <t>x</t>
        </is>
      </c>
      <c r="B5" s="128" t="inlineStr">
        <is>
          <t>Cover</t>
        </is>
      </c>
      <c r="E5" s="130" t="n"/>
      <c r="F5" s="130" t="n"/>
      <c r="G5" s="130" t="n"/>
      <c r="H5" s="130" t="n"/>
      <c r="I5" s="130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</row>
    <row r="6">
      <c r="B6" s="132" t="inlineStr">
        <is>
          <t>Operating case</t>
        </is>
      </c>
      <c r="C6" s="133" t="n">
        <v>1</v>
      </c>
      <c r="D6" s="134">
        <f>+CHOOSE(Case, "Base", "Upside", "Downside")</f>
        <v/>
      </c>
      <c r="F6" s="135" t="n"/>
    </row>
    <row r="7">
      <c r="B7" s="132" t="inlineStr">
        <is>
          <t>Circularity</t>
        </is>
      </c>
      <c r="C7" s="133" t="n">
        <v>1</v>
      </c>
    </row>
    <row r="8" customFormat="1" s="132">
      <c r="B8" s="132" t="inlineStr">
        <is>
          <t>FX USDCAD (Bloomberg fwd)</t>
        </is>
      </c>
      <c r="J8" s="136" t="n">
        <v>1.3503</v>
      </c>
      <c r="K8" s="136" t="n">
        <v>1.344</v>
      </c>
      <c r="L8" s="136" t="n">
        <v>1.3365</v>
      </c>
      <c r="M8" s="136" t="n">
        <v>1.3303</v>
      </c>
      <c r="N8" s="136" t="n">
        <v>1.3236</v>
      </c>
      <c r="O8" s="136" t="n">
        <v>1.3172</v>
      </c>
      <c r="P8" s="136" t="n">
        <v>1.3128</v>
      </c>
      <c r="Q8" s="136" t="n">
        <v>1.3102</v>
      </c>
      <c r="R8" s="136" t="n">
        <v>1.3098</v>
      </c>
      <c r="S8" s="136" t="n">
        <v>1.3089</v>
      </c>
    </row>
    <row r="9" customFormat="1" s="132">
      <c r="J9" s="136" t="n"/>
      <c r="K9" s="136" t="n"/>
      <c r="L9" s="136" t="n"/>
      <c r="M9" s="136" t="n"/>
      <c r="N9" s="136" t="n"/>
      <c r="O9" s="136" t="n"/>
      <c r="P9" s="136" t="n"/>
      <c r="Q9" s="136" t="n"/>
      <c r="R9" s="136" t="n"/>
      <c r="S9" s="136" t="n"/>
    </row>
    <row r="10" customFormat="1" s="132">
      <c r="B10" s="128" t="inlineStr">
        <is>
          <t>Exit multiple (Content business)</t>
        </is>
      </c>
      <c r="J10" s="136" t="n"/>
      <c r="K10" s="136" t="n"/>
      <c r="L10" s="136" t="n"/>
      <c r="M10" s="136" t="n"/>
      <c r="N10" s="136" t="n"/>
      <c r="O10" s="136" t="n"/>
      <c r="P10" s="136" t="n"/>
      <c r="Q10" s="136" t="n"/>
      <c r="R10" s="136" t="n"/>
      <c r="S10" s="136" t="n"/>
    </row>
    <row r="11" customFormat="1" s="132">
      <c r="B11" s="129" t="inlineStr">
        <is>
          <t>Base</t>
        </is>
      </c>
      <c r="C11" s="118" t="n">
        <v>15</v>
      </c>
      <c r="J11" s="136" t="n"/>
      <c r="K11" s="136" t="n"/>
      <c r="L11" s="136" t="n"/>
      <c r="M11" s="136" t="n"/>
      <c r="N11" s="136" t="n"/>
      <c r="O11" s="136" t="n"/>
      <c r="P11" s="136" t="n"/>
      <c r="Q11" s="136" t="n"/>
      <c r="R11" s="136" t="n"/>
      <c r="S11" s="136" t="n"/>
    </row>
    <row r="12" customFormat="1" s="132">
      <c r="B12" s="129" t="inlineStr">
        <is>
          <t>Upside</t>
        </is>
      </c>
      <c r="C12" s="118" t="n">
        <v>15</v>
      </c>
      <c r="J12" s="136" t="n"/>
      <c r="K12" s="136" t="n"/>
      <c r="L12" s="136" t="n"/>
      <c r="M12" s="136" t="n"/>
      <c r="N12" s="136" t="n"/>
      <c r="O12" s="136" t="n"/>
      <c r="P12" s="136" t="n"/>
      <c r="Q12" s="136" t="n"/>
      <c r="R12" s="136" t="n"/>
      <c r="S12" s="136" t="n"/>
    </row>
    <row r="13" customFormat="1" s="132">
      <c r="B13" s="129" t="inlineStr">
        <is>
          <t>Downside</t>
        </is>
      </c>
      <c r="C13" s="118" t="n">
        <v>11</v>
      </c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</row>
    <row r="15">
      <c r="A15" s="129" t="inlineStr">
        <is>
          <t>x</t>
        </is>
      </c>
      <c r="B15" s="128" t="inlineStr">
        <is>
          <t>Entry</t>
        </is>
      </c>
      <c r="G15" s="129" t="inlineStr">
        <is>
          <t>x</t>
        </is>
      </c>
      <c r="H15" s="128" t="inlineStr">
        <is>
          <t>Valuation</t>
        </is>
      </c>
    </row>
    <row r="16">
      <c r="B16" s="137" t="n"/>
      <c r="C16" s="137" t="n"/>
      <c r="D16" s="138" t="n">
        <v>44958</v>
      </c>
      <c r="H16" s="137" t="n"/>
      <c r="I16" s="137" t="n"/>
      <c r="J16" s="138" t="n"/>
      <c r="K16" s="138" t="n">
        <v>45473</v>
      </c>
      <c r="L16" s="139">
        <f>+EDATE(K16,12)</f>
        <v/>
      </c>
      <c r="M16" s="139">
        <f>+EDATE(L16,12)</f>
        <v/>
      </c>
      <c r="O16" s="137" t="n"/>
      <c r="P16" s="137" t="n"/>
      <c r="Q16" s="137" t="n"/>
      <c r="R16" s="137" t="n"/>
      <c r="S16" s="137" t="n"/>
      <c r="T16" s="137" t="n"/>
    </row>
    <row r="17">
      <c r="B17" s="140" t="inlineStr">
        <is>
          <t>Capitalization</t>
        </is>
      </c>
      <c r="C17" s="137" t="n"/>
      <c r="D17" s="137" t="n"/>
      <c r="H17" s="140" t="n"/>
      <c r="I17" s="137" t="n"/>
      <c r="J17" s="137" t="n"/>
      <c r="K17" s="141" t="inlineStr">
        <is>
          <t>FY2024</t>
        </is>
      </c>
      <c r="L17" s="141" t="inlineStr">
        <is>
          <t>FY2025</t>
        </is>
      </c>
      <c r="M17" s="141" t="inlineStr">
        <is>
          <t>FY2026</t>
        </is>
      </c>
      <c r="O17" s="140" t="inlineStr">
        <is>
          <t>Bridge</t>
        </is>
      </c>
      <c r="P17" s="142" t="inlineStr">
        <is>
          <t>2022 Entry</t>
        </is>
      </c>
      <c r="Q17" s="142" t="inlineStr">
        <is>
          <t>2026 Exit</t>
        </is>
      </c>
      <c r="R17" s="142" t="inlineStr">
        <is>
          <t>Value</t>
        </is>
      </c>
      <c r="S17" s="142" t="inlineStr">
        <is>
          <t>% of value</t>
        </is>
      </c>
      <c r="T17" s="142" t="inlineStr">
        <is>
          <t>Bridge to TP</t>
        </is>
      </c>
    </row>
    <row r="18">
      <c r="B18" s="137" t="inlineStr">
        <is>
          <t>Current share price (CAD)</t>
        </is>
      </c>
      <c r="C18" s="137" t="n"/>
      <c r="D18" s="143" t="n">
        <v>2.81</v>
      </c>
      <c r="H18" s="144" t="inlineStr">
        <is>
          <t>Content</t>
        </is>
      </c>
      <c r="I18" s="137" t="n"/>
      <c r="J18" s="137" t="n"/>
      <c r="K18" s="137">
        <f>+K20-K19</f>
        <v/>
      </c>
      <c r="L18" s="137">
        <f>+L20-L19</f>
        <v/>
      </c>
      <c r="M18" s="137">
        <f>+M20-M19</f>
        <v/>
      </c>
      <c r="O18" s="145" t="inlineStr">
        <is>
          <t>Revenue</t>
        </is>
      </c>
      <c r="P18" s="146">
        <f>+'P&amp;L'!I6</f>
        <v/>
      </c>
      <c r="Q18" s="146">
        <f>+'P&amp;L'!M6</f>
        <v/>
      </c>
      <c r="R18" s="137">
        <f>+(Q18-P18)*P19*P20/$M$31</f>
        <v/>
      </c>
      <c r="S18" s="147">
        <f>+R18/$R$22</f>
        <v/>
      </c>
      <c r="T18" s="148">
        <f>+$R$22*S18</f>
        <v/>
      </c>
    </row>
    <row r="19">
      <c r="B19" s="137" t="inlineStr">
        <is>
          <t>Shares outstanding (mm)</t>
        </is>
      </c>
      <c r="C19" s="137" t="n"/>
      <c r="D19" s="149" t="n">
        <v>173.117</v>
      </c>
      <c r="H19" s="144" t="inlineStr">
        <is>
          <t>TV</t>
        </is>
      </c>
      <c r="I19" s="146" t="n"/>
      <c r="J19" s="146" t="n"/>
      <c r="K19" s="146">
        <f>+'P&amp;L'!K76</f>
        <v/>
      </c>
      <c r="L19" s="146">
        <f>+'P&amp;L'!L76</f>
        <v/>
      </c>
      <c r="M19" s="146">
        <f>+'P&amp;L'!M76</f>
        <v/>
      </c>
      <c r="O19" s="137" t="inlineStr">
        <is>
          <t xml:space="preserve">Margin </t>
        </is>
      </c>
      <c r="P19" s="150">
        <f>+'P&amp;L'!I72</f>
        <v/>
      </c>
      <c r="Q19" s="150">
        <f>+'P&amp;L'!M72</f>
        <v/>
      </c>
      <c r="R19" s="137">
        <f>+(Q19-P19)*Q18*P20/$M$31</f>
        <v/>
      </c>
      <c r="S19" s="147">
        <f>+R19/$R$22</f>
        <v/>
      </c>
      <c r="T19" s="148">
        <f>+$R$22*S19</f>
        <v/>
      </c>
    </row>
    <row r="20">
      <c r="B20" s="151" t="inlineStr">
        <is>
          <t>Market cap (CADm)</t>
        </is>
      </c>
      <c r="C20" s="151" t="n"/>
      <c r="D20" s="152">
        <f>+D18*D19</f>
        <v/>
      </c>
      <c r="H20" s="153" t="inlineStr">
        <is>
          <t>Total proportionate Adj. EBITDA</t>
        </is>
      </c>
      <c r="I20" s="153" t="n"/>
      <c r="J20" s="153" t="n"/>
      <c r="K20" s="153">
        <f>+'P&amp;L'!K71</f>
        <v/>
      </c>
      <c r="L20" s="153">
        <f>+'P&amp;L'!L71</f>
        <v/>
      </c>
      <c r="M20" s="153">
        <f>+'P&amp;L'!M71</f>
        <v/>
      </c>
      <c r="O20" s="137" t="inlineStr">
        <is>
          <t>Multiple</t>
        </is>
      </c>
      <c r="P20" s="97">
        <f>+D28</f>
        <v/>
      </c>
      <c r="Q20" s="97">
        <f>+M26</f>
        <v/>
      </c>
      <c r="R20" s="137">
        <f>+(Q20-P20)*Q19*Q18/$M$31</f>
        <v/>
      </c>
      <c r="S20" s="147">
        <f>+R20/$R$22</f>
        <v/>
      </c>
      <c r="T20" s="148">
        <f>+$R$22*S20</f>
        <v/>
      </c>
    </row>
    <row r="21">
      <c r="B21" s="137" t="n"/>
      <c r="C21" s="137" t="n"/>
      <c r="D21" s="154" t="n"/>
      <c r="H21" s="137" t="n"/>
      <c r="I21" s="137" t="n"/>
      <c r="J21" s="137" t="n"/>
      <c r="K21" s="137" t="n"/>
      <c r="L21" s="137" t="n"/>
      <c r="M21" s="137" t="n"/>
      <c r="O21" s="137" t="inlineStr">
        <is>
          <t>FCF</t>
        </is>
      </c>
      <c r="P21" s="137" t="n"/>
      <c r="Q21" s="137" t="n"/>
      <c r="R21" s="137">
        <f>+R22-SUM(R18:R20)</f>
        <v/>
      </c>
      <c r="S21" s="147">
        <f>+R21/$R$22</f>
        <v/>
      </c>
      <c r="T21" s="148">
        <f>+$R$22*S21</f>
        <v/>
      </c>
    </row>
    <row r="22">
      <c r="B22" s="137" t="inlineStr">
        <is>
          <t>(+) Net debt (incl leases)</t>
        </is>
      </c>
      <c r="C22" s="137" t="n"/>
      <c r="D22" s="146">
        <f>+Quarterly!E96</f>
        <v/>
      </c>
      <c r="H22" s="144" t="inlineStr">
        <is>
          <t>Content</t>
        </is>
      </c>
      <c r="I22" s="119">
        <f>+CHOOSE(Case,C11,C12,C13)</f>
        <v/>
      </c>
      <c r="J22" s="137" t="n"/>
      <c r="K22" s="137">
        <f>+K18*$I22</f>
        <v/>
      </c>
      <c r="L22" s="137">
        <f>+L18*$I22</f>
        <v/>
      </c>
      <c r="M22" s="137">
        <f>+M18*$I22</f>
        <v/>
      </c>
      <c r="O22" s="151" t="inlineStr">
        <is>
          <t>Total value per share</t>
        </is>
      </c>
      <c r="P22" s="151" t="n"/>
      <c r="Q22" s="151" t="n"/>
      <c r="R22" s="155">
        <f>+M33-D18</f>
        <v/>
      </c>
      <c r="S22" s="137" t="n"/>
      <c r="T22" s="137" t="n"/>
    </row>
    <row r="23">
      <c r="B23" s="137" t="inlineStr">
        <is>
          <t>(+) NCI</t>
        </is>
      </c>
      <c r="C23" s="137" t="n"/>
      <c r="D23" s="146">
        <f>+Quarterly!E82</f>
        <v/>
      </c>
      <c r="H23" s="144" t="inlineStr">
        <is>
          <t>TV</t>
        </is>
      </c>
      <c r="I23" s="94" t="n">
        <v>5</v>
      </c>
      <c r="J23" s="137" t="n"/>
      <c r="K23" s="137">
        <f>+K19*$I23</f>
        <v/>
      </c>
      <c r="L23" s="137">
        <f>+L19*$I23</f>
        <v/>
      </c>
      <c r="M23" s="137">
        <f>+M19*$I23</f>
        <v/>
      </c>
    </row>
    <row r="24">
      <c r="B24" s="151" t="inlineStr">
        <is>
          <t>EV (CADm)</t>
        </is>
      </c>
      <c r="C24" s="151" t="n"/>
      <c r="D24" s="151">
        <f>+D22+D20+D23</f>
        <v/>
      </c>
      <c r="H24" s="153" t="inlineStr">
        <is>
          <t>EV (excl. NCI)</t>
        </is>
      </c>
      <c r="I24" s="153" t="n"/>
      <c r="J24" s="153" t="n"/>
      <c r="K24" s="153">
        <f>SUM(K22:K23)</f>
        <v/>
      </c>
      <c r="L24" s="153">
        <f>SUM(L22:L23)</f>
        <v/>
      </c>
      <c r="M24" s="153">
        <f>SUM(M22:M23)</f>
        <v/>
      </c>
    </row>
    <row r="25">
      <c r="B25" s="137" t="inlineStr">
        <is>
          <t>LTM EBITDA</t>
        </is>
      </c>
      <c r="C25" s="137" t="n"/>
      <c r="D25" s="111">
        <f>+D24/Summary!I19</f>
        <v/>
      </c>
      <c r="H25" s="137" t="n"/>
      <c r="I25" s="137" t="n"/>
      <c r="J25" s="137" t="n"/>
      <c r="K25" s="137" t="n"/>
      <c r="L25" s="137" t="n"/>
      <c r="M25" s="137" t="n"/>
    </row>
    <row r="26">
      <c r="H26" s="156" t="inlineStr">
        <is>
          <t>Implied multiple</t>
        </is>
      </c>
      <c r="I26" s="156" t="n"/>
      <c r="J26" s="96" t="n"/>
      <c r="K26" s="96">
        <f>+K24/K20</f>
        <v/>
      </c>
      <c r="L26" s="96">
        <f>+L24/L20</f>
        <v/>
      </c>
      <c r="M26" s="96">
        <f>+M24/M20</f>
        <v/>
      </c>
    </row>
    <row r="27">
      <c r="B27" s="129" t="inlineStr">
        <is>
          <t>EV excl NCI (CADm)</t>
        </is>
      </c>
      <c r="D27" s="129">
        <f>+D24-D23</f>
        <v/>
      </c>
      <c r="H27" s="137" t="n"/>
      <c r="I27" s="137" t="n"/>
      <c r="J27" s="97" t="n"/>
      <c r="K27" s="97" t="n"/>
      <c r="L27" s="97" t="n"/>
      <c r="M27" s="97" t="n"/>
    </row>
    <row r="28">
      <c r="B28" s="129" t="inlineStr">
        <is>
          <t>LTM EBITDA</t>
        </is>
      </c>
      <c r="D28" s="110">
        <f>+D27/Summary!I22</f>
        <v/>
      </c>
      <c r="H28" s="137" t="inlineStr">
        <is>
          <t>(-) Net debt (incl leases)</t>
        </is>
      </c>
      <c r="I28" s="137" t="n"/>
      <c r="J28" s="146" t="n"/>
      <c r="K28" s="146">
        <f>+'BS &amp; CFS'!K50</f>
        <v/>
      </c>
      <c r="L28" s="146">
        <f>+'BS &amp; CFS'!L50</f>
        <v/>
      </c>
      <c r="M28" s="146">
        <f>+'BS &amp; CFS'!M50</f>
        <v/>
      </c>
    </row>
    <row r="29">
      <c r="H29" s="153" t="inlineStr">
        <is>
          <t>Equity value</t>
        </is>
      </c>
      <c r="I29" s="153" t="n"/>
      <c r="J29" s="153" t="n"/>
      <c r="K29" s="153">
        <f>+K24-K28</f>
        <v/>
      </c>
      <c r="L29" s="153">
        <f>+L24-L28</f>
        <v/>
      </c>
      <c r="M29" s="153">
        <f>+M24-M28</f>
        <v/>
      </c>
    </row>
    <row r="30">
      <c r="H30" s="142" t="n"/>
      <c r="I30" s="142" t="n"/>
      <c r="J30" s="142" t="n"/>
      <c r="K30" s="142" t="n"/>
      <c r="L30" s="142" t="n"/>
      <c r="M30" s="142" t="n"/>
    </row>
    <row r="31">
      <c r="H31" s="137" t="inlineStr">
        <is>
          <t>Shares out (mm)</t>
        </is>
      </c>
      <c r="I31" s="97" t="n"/>
      <c r="J31" s="146" t="n"/>
      <c r="K31" s="146">
        <f>+'P&amp;L'!K41</f>
        <v/>
      </c>
      <c r="L31" s="146">
        <f>+'P&amp;L'!L41</f>
        <v/>
      </c>
      <c r="M31" s="146">
        <f>+'P&amp;L'!M41</f>
        <v/>
      </c>
    </row>
    <row r="32">
      <c r="H32" s="137" t="n"/>
      <c r="I32" s="97" t="n"/>
      <c r="J32" s="97" t="n"/>
      <c r="K32" s="97" t="n"/>
      <c r="L32" s="97" t="n"/>
      <c r="M32" s="97" t="n"/>
    </row>
    <row r="33">
      <c r="H33" s="153" t="inlineStr">
        <is>
          <t>Price per share (CAD)</t>
        </is>
      </c>
      <c r="I33" s="99" t="n"/>
      <c r="J33" s="157" t="n"/>
      <c r="K33" s="157">
        <f>+K29/K31</f>
        <v/>
      </c>
      <c r="L33" s="157">
        <f>+L29/L31</f>
        <v/>
      </c>
      <c r="M33" s="157">
        <f>+M29/M31</f>
        <v/>
      </c>
    </row>
    <row r="34">
      <c r="H34" s="142" t="inlineStr">
        <is>
          <t>Upside %</t>
        </is>
      </c>
      <c r="I34" s="101" t="n"/>
      <c r="J34" s="158" t="n"/>
      <c r="K34" s="158">
        <f>+K33/$D$18-1</f>
        <v/>
      </c>
      <c r="L34" s="158">
        <f>+L33/$D$18-1</f>
        <v/>
      </c>
      <c r="M34" s="158">
        <f>+M33/$D$18-1</f>
        <v/>
      </c>
    </row>
    <row r="35">
      <c r="H35" s="142" t="inlineStr">
        <is>
          <t>MOIC</t>
        </is>
      </c>
      <c r="I35" s="101" t="n"/>
      <c r="J35" s="101" t="n"/>
      <c r="K35" s="101">
        <f>+K33/$D$18</f>
        <v/>
      </c>
      <c r="L35" s="101">
        <f>+L33/$D$18</f>
        <v/>
      </c>
      <c r="M35" s="101">
        <f>+M33/$D$18</f>
        <v/>
      </c>
      <c r="Q35" s="159" t="n"/>
    </row>
    <row r="36">
      <c r="H36" s="160" t="inlineStr">
        <is>
          <t>IRR %</t>
        </is>
      </c>
      <c r="I36" s="160" t="n"/>
      <c r="J36" s="161" t="n"/>
      <c r="K36" s="161">
        <f>+K35^(1/(YEARFRAC($D$16,K16)))-1</f>
        <v/>
      </c>
      <c r="L36" s="161">
        <f>+L35^(1/(YEARFRAC($D$16,L16)))-1</f>
        <v/>
      </c>
      <c r="M36" s="161">
        <f>+M35^(1/(YEARFRAC($D$16,M16)))-1</f>
        <v/>
      </c>
      <c r="O36" s="162" t="n"/>
    </row>
    <row r="38">
      <c r="B38" s="128" t="n"/>
    </row>
  </sheetData>
  <dataValidations count="2">
    <dataValidation sqref="C6" showErrorMessage="1" showInputMessage="1" allowBlank="1" type="list">
      <formula1>"1,2,3"</formula1>
    </dataValidation>
    <dataValidation sqref="C7" showErrorMessage="1" showInputMessage="1" allowBlank="1" type="list">
      <formula1>"0,1"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V32"/>
  <sheetViews>
    <sheetView showGridLines="0" zoomScale="85" zoomScaleNormal="85" workbookViewId="0">
      <selection activeCell="J5" sqref="J5"/>
    </sheetView>
  </sheetViews>
  <sheetFormatPr baseColWidth="8" defaultColWidth="15.73046875" defaultRowHeight="14.25"/>
  <cols>
    <col width="1.73046875" customWidth="1" style="124" min="1" max="1"/>
    <col width="15.73046875" customWidth="1" style="124" min="2" max="2"/>
    <col width="1.73046875" customWidth="1" style="124" min="20" max="20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3">
      <c r="E3" s="126" t="n">
        <v>2018</v>
      </c>
      <c r="F3" s="126">
        <f>+E3+1</f>
        <v/>
      </c>
      <c r="G3" s="126">
        <f>+F3+1</f>
        <v/>
      </c>
      <c r="H3" s="126">
        <f>+G3+1</f>
        <v/>
      </c>
      <c r="I3" s="126">
        <f>+H3+1</f>
        <v/>
      </c>
      <c r="J3" s="127">
        <f>+I3+1</f>
        <v/>
      </c>
      <c r="K3" s="127">
        <f>+J3+1</f>
        <v/>
      </c>
      <c r="L3" s="127">
        <f>+K3+1</f>
        <v/>
      </c>
      <c r="M3" s="127">
        <f>+L3+1</f>
        <v/>
      </c>
      <c r="N3" s="127">
        <f>+M3+1</f>
        <v/>
      </c>
      <c r="O3" s="127">
        <f>+N3+1</f>
        <v/>
      </c>
      <c r="P3" s="127">
        <f>+O3+1</f>
        <v/>
      </c>
      <c r="Q3" s="127">
        <f>+P3+1</f>
        <v/>
      </c>
      <c r="R3" s="127">
        <f>+Q3+1</f>
        <v/>
      </c>
      <c r="S3" s="127">
        <f>+R3+1</f>
        <v/>
      </c>
      <c r="U3" s="163" t="inlineStr">
        <is>
          <t>'18-'22 CAGR</t>
        </is>
      </c>
      <c r="V3" s="163" t="inlineStr">
        <is>
          <t>'22-'26 CAGR</t>
        </is>
      </c>
    </row>
    <row r="4">
      <c r="A4" s="129" t="inlineStr">
        <is>
          <t>x</t>
        </is>
      </c>
      <c r="B4" s="128" t="inlineStr">
        <is>
          <t>Profit model</t>
        </is>
      </c>
      <c r="V4" s="164" t="n"/>
    </row>
    <row r="5">
      <c r="B5" s="165">
        <f>+'RevBuild Calcs'!B7</f>
        <v/>
      </c>
      <c r="E5" s="129">
        <f>+'RevBuild Calcs'!E7</f>
        <v/>
      </c>
      <c r="F5" s="129">
        <f>+'RevBuild Calcs'!F7</f>
        <v/>
      </c>
      <c r="G5" s="129">
        <f>+'RevBuild Calcs'!G7</f>
        <v/>
      </c>
      <c r="H5" s="129">
        <f>+'RevBuild Calcs'!H7</f>
        <v/>
      </c>
      <c r="I5" s="129">
        <f>+'RevBuild Calcs'!I7</f>
        <v/>
      </c>
      <c r="J5" s="129">
        <f>+'RevBuild Calcs'!J7</f>
        <v/>
      </c>
      <c r="K5" s="129">
        <f>+'RevBuild Calcs'!K7</f>
        <v/>
      </c>
      <c r="L5" s="129">
        <f>+'RevBuild Calcs'!L7</f>
        <v/>
      </c>
      <c r="M5" s="129">
        <f>+'RevBuild Calcs'!M7</f>
        <v/>
      </c>
      <c r="N5" s="129">
        <f>+'RevBuild Calcs'!N7</f>
        <v/>
      </c>
      <c r="O5" s="129">
        <f>+'RevBuild Calcs'!O7</f>
        <v/>
      </c>
      <c r="P5" s="129">
        <f>+'RevBuild Calcs'!P7</f>
        <v/>
      </c>
      <c r="Q5" s="129">
        <f>+'RevBuild Calcs'!Q7</f>
        <v/>
      </c>
      <c r="R5" s="129">
        <f>+'RevBuild Calcs'!R7</f>
        <v/>
      </c>
      <c r="S5" s="129">
        <f>+'RevBuild Calcs'!S7</f>
        <v/>
      </c>
      <c r="U5" s="166">
        <f>+(I5/E5)^(0.166666666666667)-1</f>
        <v/>
      </c>
      <c r="V5" s="166">
        <f>+(M5/I5)^(0.166666666666667)-1</f>
        <v/>
      </c>
    </row>
    <row r="6">
      <c r="B6" s="165">
        <f>+'RevBuild Calcs'!B8</f>
        <v/>
      </c>
      <c r="E6" s="129">
        <f>+'RevBuild Calcs'!E8</f>
        <v/>
      </c>
      <c r="F6" s="129">
        <f>+'RevBuild Calcs'!F8</f>
        <v/>
      </c>
      <c r="G6" s="129">
        <f>+'RevBuild Calcs'!G8</f>
        <v/>
      </c>
      <c r="H6" s="129">
        <f>+'RevBuild Calcs'!H8</f>
        <v/>
      </c>
      <c r="I6" s="129">
        <f>+'RevBuild Calcs'!I8</f>
        <v/>
      </c>
      <c r="J6" s="129">
        <f>+'RevBuild Calcs'!J8</f>
        <v/>
      </c>
      <c r="K6" s="129">
        <f>+'RevBuild Calcs'!K8</f>
        <v/>
      </c>
      <c r="L6" s="129">
        <f>+'RevBuild Calcs'!L8</f>
        <v/>
      </c>
      <c r="M6" s="129">
        <f>+'RevBuild Calcs'!M8</f>
        <v/>
      </c>
      <c r="N6" s="129">
        <f>+'RevBuild Calcs'!N8</f>
        <v/>
      </c>
      <c r="O6" s="129">
        <f>+'RevBuild Calcs'!O8</f>
        <v/>
      </c>
      <c r="P6" s="129">
        <f>+'RevBuild Calcs'!P8</f>
        <v/>
      </c>
      <c r="Q6" s="129">
        <f>+'RevBuild Calcs'!Q8</f>
        <v/>
      </c>
      <c r="R6" s="129">
        <f>+'RevBuild Calcs'!R8</f>
        <v/>
      </c>
      <c r="S6" s="129">
        <f>+'RevBuild Calcs'!S8</f>
        <v/>
      </c>
      <c r="U6" s="166">
        <f>+(I6/E6)^(0.166666666666667)-1</f>
        <v/>
      </c>
      <c r="V6" s="166">
        <f>+(M6/I6)^(0.166666666666667)-1</f>
        <v/>
      </c>
    </row>
    <row r="7">
      <c r="B7" s="165">
        <f>+'RevBuild Calcs'!B9</f>
        <v/>
      </c>
      <c r="E7" s="129">
        <f>+'RevBuild Calcs'!E9</f>
        <v/>
      </c>
      <c r="F7" s="129">
        <f>+'RevBuild Calcs'!F9</f>
        <v/>
      </c>
      <c r="G7" s="129">
        <f>+'RevBuild Calcs'!G9</f>
        <v/>
      </c>
      <c r="H7" s="129">
        <f>+'RevBuild Calcs'!H9</f>
        <v/>
      </c>
      <c r="I7" s="129">
        <f>+'RevBuild Calcs'!I9</f>
        <v/>
      </c>
      <c r="J7" s="129">
        <f>+'RevBuild Calcs'!J9</f>
        <v/>
      </c>
      <c r="K7" s="129">
        <f>+'RevBuild Calcs'!K9</f>
        <v/>
      </c>
      <c r="L7" s="129">
        <f>+'RevBuild Calcs'!L9</f>
        <v/>
      </c>
      <c r="M7" s="129">
        <f>+'RevBuild Calcs'!M9</f>
        <v/>
      </c>
      <c r="N7" s="129">
        <f>+'RevBuild Calcs'!N9</f>
        <v/>
      </c>
      <c r="O7" s="129">
        <f>+'RevBuild Calcs'!O9</f>
        <v/>
      </c>
      <c r="P7" s="129">
        <f>+'RevBuild Calcs'!P9</f>
        <v/>
      </c>
      <c r="Q7" s="129">
        <f>+'RevBuild Calcs'!Q9</f>
        <v/>
      </c>
      <c r="R7" s="129">
        <f>+'RevBuild Calcs'!R9</f>
        <v/>
      </c>
      <c r="S7" s="129">
        <f>+'RevBuild Calcs'!S9</f>
        <v/>
      </c>
      <c r="U7" s="166">
        <f>+(I7/E7)^(0.166666666666667)-1</f>
        <v/>
      </c>
      <c r="V7" s="166">
        <f>+(M7/I7)^(0.166666666666667)-1</f>
        <v/>
      </c>
    </row>
    <row r="8">
      <c r="B8" s="165" t="inlineStr">
        <is>
          <t>Canadian TV</t>
        </is>
      </c>
      <c r="E8" s="129">
        <f>+'RevBuild Calcs'!E12</f>
        <v/>
      </c>
      <c r="F8" s="129">
        <f>+'RevBuild Calcs'!F12</f>
        <v/>
      </c>
      <c r="G8" s="129">
        <f>+'RevBuild Calcs'!G12</f>
        <v/>
      </c>
      <c r="H8" s="129">
        <f>+'RevBuild Calcs'!H12</f>
        <v/>
      </c>
      <c r="I8" s="129">
        <f>+'RevBuild Calcs'!I12</f>
        <v/>
      </c>
      <c r="J8" s="129">
        <f>+'RevBuild Calcs'!J12</f>
        <v/>
      </c>
      <c r="K8" s="129">
        <f>+'RevBuild Calcs'!K12</f>
        <v/>
      </c>
      <c r="L8" s="129">
        <f>+'RevBuild Calcs'!L12</f>
        <v/>
      </c>
      <c r="M8" s="129">
        <f>+'RevBuild Calcs'!M12</f>
        <v/>
      </c>
      <c r="N8" s="129">
        <f>+'RevBuild Calcs'!N12</f>
        <v/>
      </c>
      <c r="O8" s="129">
        <f>+'RevBuild Calcs'!O12</f>
        <v/>
      </c>
      <c r="P8" s="129">
        <f>+'RevBuild Calcs'!P12</f>
        <v/>
      </c>
      <c r="Q8" s="129">
        <f>+'RevBuild Calcs'!Q12</f>
        <v/>
      </c>
      <c r="R8" s="129">
        <f>+'RevBuild Calcs'!R12</f>
        <v/>
      </c>
      <c r="S8" s="129">
        <f>+'RevBuild Calcs'!S12</f>
        <v/>
      </c>
      <c r="U8" s="166">
        <f>+(I8/E8)^(0.166666666666667)-1</f>
        <v/>
      </c>
      <c r="V8" s="166">
        <f>+(M8/I8)^(0.166666666666667)-1</f>
        <v/>
      </c>
    </row>
    <row r="9">
      <c r="B9" s="167" t="inlineStr">
        <is>
          <t>Total revenue</t>
        </is>
      </c>
      <c r="C9" s="167" t="n"/>
      <c r="D9" s="167" t="n"/>
      <c r="E9" s="167">
        <f>SUM(E5:E8)</f>
        <v/>
      </c>
      <c r="F9" s="167">
        <f>SUM(F5:F8)</f>
        <v/>
      </c>
      <c r="G9" s="167">
        <f>SUM(G5:G8)</f>
        <v/>
      </c>
      <c r="H9" s="167">
        <f>SUM(H5:H8)</f>
        <v/>
      </c>
      <c r="I9" s="167">
        <f>SUM(I5:I8)</f>
        <v/>
      </c>
      <c r="J9" s="167">
        <f>SUM(J5:J8)</f>
        <v/>
      </c>
      <c r="K9" s="167">
        <f>SUM(K5:K8)</f>
        <v/>
      </c>
      <c r="L9" s="167">
        <f>SUM(L5:L8)</f>
        <v/>
      </c>
      <c r="M9" s="167">
        <f>SUM(M5:M8)</f>
        <v/>
      </c>
      <c r="N9" s="167">
        <f>SUM(N5:N8)</f>
        <v/>
      </c>
      <c r="O9" s="167">
        <f>SUM(O5:O8)</f>
        <v/>
      </c>
      <c r="P9" s="167">
        <f>SUM(P5:P8)</f>
        <v/>
      </c>
      <c r="Q9" s="167">
        <f>SUM(Q5:Q8)</f>
        <v/>
      </c>
      <c r="R9" s="167">
        <f>SUM(R5:R8)</f>
        <v/>
      </c>
      <c r="S9" s="167">
        <f>SUM(S5:S8)</f>
        <v/>
      </c>
      <c r="U9" s="166">
        <f>+(I9/E9)^(0.166666666666667)-1</f>
        <v/>
      </c>
      <c r="V9" s="166">
        <f>+(M9/I9)^(0.166666666666667)-1</f>
        <v/>
      </c>
    </row>
    <row r="10">
      <c r="B10" s="125" t="inlineStr">
        <is>
          <t>% YoY</t>
        </is>
      </c>
      <c r="F10" s="162">
        <f>+F9/E9-1</f>
        <v/>
      </c>
      <c r="G10" s="162">
        <f>+G9/F9-1</f>
        <v/>
      </c>
      <c r="H10" s="162">
        <f>+H9/G9-1</f>
        <v/>
      </c>
      <c r="I10" s="162">
        <f>+I9/H9-1</f>
        <v/>
      </c>
      <c r="J10" s="162">
        <f>+J9/I9-1</f>
        <v/>
      </c>
      <c r="K10" s="162">
        <f>+K9/J9-1</f>
        <v/>
      </c>
      <c r="L10" s="162">
        <f>+L9/K9-1</f>
        <v/>
      </c>
      <c r="M10" s="162">
        <f>+M9/L9-1</f>
        <v/>
      </c>
      <c r="N10" s="162">
        <f>+N9/M9-1</f>
        <v/>
      </c>
      <c r="O10" s="162">
        <f>+O9/N9-1</f>
        <v/>
      </c>
      <c r="P10" s="162">
        <f>+P9/O9-1</f>
        <v/>
      </c>
      <c r="Q10" s="162">
        <f>+Q9/P9-1</f>
        <v/>
      </c>
      <c r="R10" s="162">
        <f>+R9/Q9-1</f>
        <v/>
      </c>
      <c r="S10" s="162">
        <f>+S9/R9-1</f>
        <v/>
      </c>
    </row>
    <row r="12">
      <c r="B12" s="165" t="inlineStr">
        <is>
          <t>Content business</t>
        </is>
      </c>
      <c r="E12" s="168" t="n"/>
      <c r="F12" s="168" t="n"/>
      <c r="G12" s="168" t="n"/>
      <c r="H12" s="129">
        <f>+'RevBuild Calcs'!H18</f>
        <v/>
      </c>
      <c r="I12" s="129">
        <f>+'RevBuild Calcs'!I18</f>
        <v/>
      </c>
      <c r="J12" s="129">
        <f>+'RevBuild Calcs'!J18</f>
        <v/>
      </c>
      <c r="K12" s="129">
        <f>+'RevBuild Calcs'!K18</f>
        <v/>
      </c>
      <c r="L12" s="129">
        <f>+'RevBuild Calcs'!L18</f>
        <v/>
      </c>
      <c r="M12" s="129">
        <f>+'RevBuild Calcs'!M18</f>
        <v/>
      </c>
      <c r="N12" s="129">
        <f>+'RevBuild Calcs'!N18</f>
        <v/>
      </c>
      <c r="O12" s="129">
        <f>+'RevBuild Calcs'!O18</f>
        <v/>
      </c>
      <c r="P12" s="129">
        <f>+'RevBuild Calcs'!P18</f>
        <v/>
      </c>
      <c r="Q12" s="129">
        <f>+'RevBuild Calcs'!Q18</f>
        <v/>
      </c>
      <c r="R12" s="129">
        <f>+'RevBuild Calcs'!R18</f>
        <v/>
      </c>
      <c r="S12" s="129">
        <f>+'RevBuild Calcs'!S18</f>
        <v/>
      </c>
    </row>
    <row r="13">
      <c r="B13" s="165" t="inlineStr">
        <is>
          <t>TV business</t>
        </is>
      </c>
      <c r="E13" s="168" t="n"/>
      <c r="F13" s="168" t="n"/>
      <c r="G13" s="168" t="n"/>
      <c r="H13" s="129">
        <f>+'RevBuild Calcs'!H21</f>
        <v/>
      </c>
      <c r="I13" s="129">
        <f>+'RevBuild Calcs'!I21</f>
        <v/>
      </c>
      <c r="J13" s="129">
        <f>+'RevBuild Calcs'!J21</f>
        <v/>
      </c>
      <c r="K13" s="129">
        <f>+'RevBuild Calcs'!K21</f>
        <v/>
      </c>
      <c r="L13" s="129">
        <f>+'RevBuild Calcs'!L21</f>
        <v/>
      </c>
      <c r="M13" s="129">
        <f>+'RevBuild Calcs'!M21</f>
        <v/>
      </c>
      <c r="N13" s="129">
        <f>+'RevBuild Calcs'!N21</f>
        <v/>
      </c>
      <c r="O13" s="129">
        <f>+'RevBuild Calcs'!O21</f>
        <v/>
      </c>
      <c r="P13" s="129">
        <f>+'RevBuild Calcs'!P21</f>
        <v/>
      </c>
      <c r="Q13" s="129">
        <f>+'RevBuild Calcs'!Q21</f>
        <v/>
      </c>
      <c r="R13" s="129">
        <f>+'RevBuild Calcs'!R21</f>
        <v/>
      </c>
      <c r="S13" s="129">
        <f>+'RevBuild Calcs'!S21</f>
        <v/>
      </c>
    </row>
    <row r="14">
      <c r="B14" s="167" t="inlineStr">
        <is>
          <t>Total gross profit</t>
        </is>
      </c>
      <c r="C14" s="167" t="n"/>
      <c r="D14" s="167" t="n"/>
      <c r="E14" s="167">
        <f>+'P&amp;L'!E13</f>
        <v/>
      </c>
      <c r="F14" s="167">
        <f>+'P&amp;L'!F13</f>
        <v/>
      </c>
      <c r="G14" s="167">
        <f>+'P&amp;L'!G13</f>
        <v/>
      </c>
      <c r="H14" s="167">
        <f>+'P&amp;L'!H13</f>
        <v/>
      </c>
      <c r="I14" s="167">
        <f>+'P&amp;L'!I13</f>
        <v/>
      </c>
      <c r="J14" s="167">
        <f>+'P&amp;L'!J13</f>
        <v/>
      </c>
      <c r="K14" s="167">
        <f>+'P&amp;L'!K13</f>
        <v/>
      </c>
      <c r="L14" s="167">
        <f>+'P&amp;L'!L13</f>
        <v/>
      </c>
      <c r="M14" s="167">
        <f>+'P&amp;L'!M13</f>
        <v/>
      </c>
      <c r="N14" s="167">
        <f>+'P&amp;L'!N13</f>
        <v/>
      </c>
      <c r="O14" s="167">
        <f>+'P&amp;L'!O13</f>
        <v/>
      </c>
      <c r="P14" s="167">
        <f>+'P&amp;L'!P13</f>
        <v/>
      </c>
      <c r="Q14" s="167">
        <f>+'P&amp;L'!Q13</f>
        <v/>
      </c>
      <c r="R14" s="167">
        <f>+'P&amp;L'!R13</f>
        <v/>
      </c>
      <c r="S14" s="167">
        <f>+'P&amp;L'!S13</f>
        <v/>
      </c>
    </row>
    <row r="15" customFormat="1" s="125">
      <c r="B15" s="125" t="inlineStr">
        <is>
          <t>Gross margin %</t>
        </is>
      </c>
      <c r="E15" s="169">
        <f>+'P&amp;L'!E14</f>
        <v/>
      </c>
      <c r="F15" s="169">
        <f>+'P&amp;L'!F14</f>
        <v/>
      </c>
      <c r="G15" s="169">
        <f>+'P&amp;L'!G14</f>
        <v/>
      </c>
      <c r="H15" s="169">
        <f>+'P&amp;L'!H14</f>
        <v/>
      </c>
      <c r="I15" s="169">
        <f>+'P&amp;L'!I14</f>
        <v/>
      </c>
      <c r="J15" s="169">
        <f>+'P&amp;L'!J14</f>
        <v/>
      </c>
      <c r="K15" s="169">
        <f>+'P&amp;L'!K14</f>
        <v/>
      </c>
      <c r="L15" s="169">
        <f>+'P&amp;L'!L14</f>
        <v/>
      </c>
      <c r="M15" s="169">
        <f>+'P&amp;L'!M14</f>
        <v/>
      </c>
      <c r="N15" s="169">
        <f>+'P&amp;L'!N14</f>
        <v/>
      </c>
      <c r="O15" s="169">
        <f>+'P&amp;L'!O14</f>
        <v/>
      </c>
      <c r="P15" s="169">
        <f>+'P&amp;L'!P14</f>
        <v/>
      </c>
      <c r="Q15" s="169">
        <f>+'P&amp;L'!Q14</f>
        <v/>
      </c>
      <c r="R15" s="169">
        <f>+'P&amp;L'!R14</f>
        <v/>
      </c>
      <c r="S15" s="169">
        <f>+'P&amp;L'!S14</f>
        <v/>
      </c>
    </row>
    <row r="17">
      <c r="B17" s="129" t="inlineStr">
        <is>
          <t>Cash SG&amp;A</t>
        </is>
      </c>
      <c r="E17" s="129">
        <f>+(E14-E19)*-1</f>
        <v/>
      </c>
      <c r="F17" s="129">
        <f>+(F14-F19)*-1</f>
        <v/>
      </c>
      <c r="G17" s="129">
        <f>+(G14-G19)*-1</f>
        <v/>
      </c>
      <c r="H17" s="129">
        <f>+(H14-H19)*-1</f>
        <v/>
      </c>
      <c r="I17" s="129">
        <f>+(I14-I19)*-1</f>
        <v/>
      </c>
      <c r="J17" s="129">
        <f>+(J14-J19)*-1</f>
        <v/>
      </c>
      <c r="K17" s="129">
        <f>+(K14-K19)*-1</f>
        <v/>
      </c>
      <c r="L17" s="129">
        <f>+(L14-L19)*-1</f>
        <v/>
      </c>
      <c r="M17" s="129">
        <f>+(M14-M19)*-1</f>
        <v/>
      </c>
      <c r="N17" s="129">
        <f>+(N14-N19)*-1</f>
        <v/>
      </c>
      <c r="O17" s="129">
        <f>+(O14-O19)*-1</f>
        <v/>
      </c>
      <c r="P17" s="129">
        <f>+(P14-P19)*-1</f>
        <v/>
      </c>
      <c r="Q17" s="129">
        <f>+(Q14-Q19)*-1</f>
        <v/>
      </c>
      <c r="R17" s="129">
        <f>+(R14-R19)*-1</f>
        <v/>
      </c>
      <c r="S17" s="129">
        <f>+(S14-S19)*-1</f>
        <v/>
      </c>
    </row>
    <row r="19" customFormat="1" s="132">
      <c r="A19" s="129" t="n"/>
      <c r="B19" s="132" t="inlineStr">
        <is>
          <t>Adj. EBITDA</t>
        </is>
      </c>
      <c r="E19" s="132">
        <f>+'P&amp;L'!E68</f>
        <v/>
      </c>
      <c r="F19" s="132">
        <f>+'P&amp;L'!F68</f>
        <v/>
      </c>
      <c r="G19" s="132">
        <f>+'P&amp;L'!G68</f>
        <v/>
      </c>
      <c r="H19" s="132">
        <f>+'P&amp;L'!H68</f>
        <v/>
      </c>
      <c r="I19" s="132">
        <f>+'P&amp;L'!I68</f>
        <v/>
      </c>
      <c r="J19" s="132">
        <f>+'P&amp;L'!J68</f>
        <v/>
      </c>
      <c r="K19" s="132">
        <f>+'P&amp;L'!K68</f>
        <v/>
      </c>
      <c r="L19" s="132">
        <f>+'P&amp;L'!L68</f>
        <v/>
      </c>
      <c r="M19" s="132">
        <f>+'P&amp;L'!M68</f>
        <v/>
      </c>
      <c r="N19" s="132">
        <f>+'P&amp;L'!N68</f>
        <v/>
      </c>
      <c r="O19" s="132">
        <f>+'P&amp;L'!O68</f>
        <v/>
      </c>
      <c r="P19" s="132">
        <f>+'P&amp;L'!P68</f>
        <v/>
      </c>
      <c r="Q19" s="132">
        <f>+'P&amp;L'!Q68</f>
        <v/>
      </c>
      <c r="R19" s="132">
        <f>+'P&amp;L'!R68</f>
        <v/>
      </c>
      <c r="S19" s="132">
        <f>+'P&amp;L'!S68</f>
        <v/>
      </c>
    </row>
    <row r="20" customFormat="1" s="125">
      <c r="A20" s="129" t="n"/>
      <c r="B20" s="125" t="inlineStr">
        <is>
          <t>EBITDA margin %</t>
        </is>
      </c>
      <c r="E20" s="169">
        <f>+E19/E9</f>
        <v/>
      </c>
      <c r="F20" s="169">
        <f>+F19/F9</f>
        <v/>
      </c>
      <c r="G20" s="169">
        <f>+G19/G9</f>
        <v/>
      </c>
      <c r="H20" s="169">
        <f>+H19/H9</f>
        <v/>
      </c>
      <c r="I20" s="169">
        <f>+I19/I9</f>
        <v/>
      </c>
      <c r="J20" s="169">
        <f>+J19/J9</f>
        <v/>
      </c>
      <c r="K20" s="169">
        <f>+K19/K9</f>
        <v/>
      </c>
      <c r="L20" s="169">
        <f>+L19/L9</f>
        <v/>
      </c>
      <c r="M20" s="169">
        <f>+M19/M9</f>
        <v/>
      </c>
      <c r="N20" s="169">
        <f>+N19/N9</f>
        <v/>
      </c>
      <c r="O20" s="169">
        <f>+O19/O9</f>
        <v/>
      </c>
      <c r="P20" s="169">
        <f>+P19/P9</f>
        <v/>
      </c>
      <c r="Q20" s="169">
        <f>+Q19/Q9</f>
        <v/>
      </c>
      <c r="R20" s="169">
        <f>+R19/R9</f>
        <v/>
      </c>
      <c r="S20" s="169">
        <f>+S19/S9</f>
        <v/>
      </c>
    </row>
    <row r="22">
      <c r="B22" s="132" t="inlineStr">
        <is>
          <t>Proportionate Adj. EBITDA</t>
        </is>
      </c>
      <c r="E22" s="132">
        <f>+'P&amp;L'!E71</f>
        <v/>
      </c>
      <c r="F22" s="132">
        <f>+'P&amp;L'!F71</f>
        <v/>
      </c>
      <c r="G22" s="132">
        <f>+'P&amp;L'!G71</f>
        <v/>
      </c>
      <c r="H22" s="132">
        <f>+'P&amp;L'!H71</f>
        <v/>
      </c>
      <c r="I22" s="132">
        <f>+'P&amp;L'!I71</f>
        <v/>
      </c>
      <c r="J22" s="132">
        <f>+'P&amp;L'!J71</f>
        <v/>
      </c>
      <c r="K22" s="132">
        <f>+'P&amp;L'!K71</f>
        <v/>
      </c>
      <c r="L22" s="132">
        <f>+'P&amp;L'!L71</f>
        <v/>
      </c>
      <c r="M22" s="132">
        <f>+'P&amp;L'!M71</f>
        <v/>
      </c>
      <c r="N22" s="132">
        <f>+'P&amp;L'!N71</f>
        <v/>
      </c>
      <c r="O22" s="132">
        <f>+'P&amp;L'!O71</f>
        <v/>
      </c>
      <c r="P22" s="132">
        <f>+'P&amp;L'!P71</f>
        <v/>
      </c>
      <c r="Q22" s="132">
        <f>+'P&amp;L'!Q71</f>
        <v/>
      </c>
      <c r="R22" s="132">
        <f>+'P&amp;L'!R71</f>
        <v/>
      </c>
      <c r="S22" s="132">
        <f>+'P&amp;L'!S71</f>
        <v/>
      </c>
    </row>
    <row r="24">
      <c r="A24" s="129" t="inlineStr">
        <is>
          <t>x</t>
        </is>
      </c>
      <c r="B24" s="128" t="inlineStr">
        <is>
          <t>Mgmt compensation analysis</t>
        </is>
      </c>
    </row>
    <row r="25">
      <c r="B25" s="170" t="n"/>
      <c r="C25" s="170" t="n"/>
      <c r="D25" s="170" t="n"/>
      <c r="E25" s="117" t="n">
        <v>2018</v>
      </c>
      <c r="F25" s="117">
        <f>+E25+1</f>
        <v/>
      </c>
      <c r="G25" s="117">
        <f>+F25+1</f>
        <v/>
      </c>
      <c r="H25" s="117">
        <f>+G25+1</f>
        <v/>
      </c>
      <c r="I25" s="117">
        <f>+H25+1</f>
        <v/>
      </c>
    </row>
    <row r="26">
      <c r="B26" s="129" t="inlineStr">
        <is>
          <t>Salaries &amp; benefits</t>
        </is>
      </c>
      <c r="E26" s="171" t="n">
        <v>4.205</v>
      </c>
      <c r="F26" s="171" t="n">
        <v>3.392</v>
      </c>
      <c r="G26" s="171" t="n">
        <v>4.709</v>
      </c>
      <c r="H26" s="171" t="n">
        <v>4.443</v>
      </c>
      <c r="I26" s="171" t="n">
        <v>4.071</v>
      </c>
    </row>
    <row r="27">
      <c r="B27" s="129" t="inlineStr">
        <is>
          <t>SBC</t>
        </is>
      </c>
      <c r="E27" s="171" t="n">
        <v>2.146</v>
      </c>
      <c r="F27" s="171" t="n">
        <v>1.838</v>
      </c>
      <c r="G27" s="171" t="n">
        <v>3.798</v>
      </c>
      <c r="H27" s="171" t="n">
        <v>2.895</v>
      </c>
      <c r="I27" s="171" t="n">
        <v>2.74</v>
      </c>
    </row>
    <row r="28">
      <c r="B28" s="129" t="inlineStr">
        <is>
          <t>Termination and other</t>
        </is>
      </c>
      <c r="E28" s="171" t="n">
        <v>2.899</v>
      </c>
      <c r="F28" s="171" t="n">
        <v>0.732</v>
      </c>
      <c r="G28" s="171" t="n">
        <v>1.388</v>
      </c>
      <c r="H28" s="171" t="n">
        <v>0</v>
      </c>
      <c r="I28" s="171" t="n">
        <v>0</v>
      </c>
    </row>
    <row r="29">
      <c r="B29" s="172" t="inlineStr">
        <is>
          <t>Total</t>
        </is>
      </c>
      <c r="C29" s="172" t="n"/>
      <c r="D29" s="172" t="n"/>
      <c r="E29" s="172">
        <f>+SUM(E26:E28)</f>
        <v/>
      </c>
      <c r="F29" s="172">
        <f>+SUM(F26:F28)</f>
        <v/>
      </c>
      <c r="G29" s="172">
        <f>+SUM(G26:G28)</f>
        <v/>
      </c>
      <c r="H29" s="172">
        <f>+SUM(H26:H28)</f>
        <v/>
      </c>
      <c r="I29" s="172">
        <f>+SUM(I26:I28)</f>
        <v/>
      </c>
    </row>
    <row r="30">
      <c r="B30" s="162" t="inlineStr">
        <is>
          <t>% SBC</t>
        </is>
      </c>
      <c r="C30" s="162" t="n"/>
      <c r="E30" s="162">
        <f>+E27/E29</f>
        <v/>
      </c>
      <c r="F30" s="162">
        <f>+F27/F29</f>
        <v/>
      </c>
      <c r="G30" s="162">
        <f>+G27/G29</f>
        <v/>
      </c>
      <c r="H30" s="162">
        <f>+H27/H29</f>
        <v/>
      </c>
      <c r="I30" s="162">
        <f>+I27/I29</f>
        <v/>
      </c>
    </row>
    <row r="32">
      <c r="A32" s="129" t="inlineStr">
        <is>
          <t>x</t>
        </is>
      </c>
      <c r="B32" s="129" t="inlineStr">
        <is>
          <t>Model Drivers</t>
        </is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baseColWidth="8" defaultColWidth="15.73046875" defaultRowHeight="14.25"/>
  <cols>
    <col width="1.73046875" customWidth="1" style="124" min="1" max="1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3">
      <c r="E3" s="126" t="n">
        <v>2018</v>
      </c>
      <c r="F3" s="126">
        <f>+E3+1</f>
        <v/>
      </c>
      <c r="G3" s="126">
        <f>+F3+1</f>
        <v/>
      </c>
      <c r="H3" s="126">
        <f>+G3+1</f>
        <v/>
      </c>
      <c r="I3" s="126">
        <f>+H3+1</f>
        <v/>
      </c>
      <c r="J3" s="127">
        <f>+I3+1</f>
        <v/>
      </c>
      <c r="K3" s="127">
        <f>+J3+1</f>
        <v/>
      </c>
      <c r="L3" s="127">
        <f>+K3+1</f>
        <v/>
      </c>
      <c r="M3" s="127">
        <f>+L3+1</f>
        <v/>
      </c>
      <c r="N3" s="127">
        <f>+M3+1</f>
        <v/>
      </c>
      <c r="O3" s="127">
        <f>+N3+1</f>
        <v/>
      </c>
      <c r="P3" s="127">
        <f>+O3+1</f>
        <v/>
      </c>
      <c r="Q3" s="127">
        <f>+P3+1</f>
        <v/>
      </c>
      <c r="R3" s="127">
        <f>+Q3+1</f>
        <v/>
      </c>
      <c r="S3" s="127">
        <f>+R3+1</f>
        <v/>
      </c>
    </row>
    <row r="5">
      <c r="A5" s="129" t="inlineStr">
        <is>
          <t>x</t>
        </is>
      </c>
      <c r="B5" s="128" t="inlineStr">
        <is>
          <t xml:space="preserve">P&amp;L </t>
        </is>
      </c>
      <c r="E5" s="130" t="n"/>
      <c r="F5" s="130" t="n"/>
      <c r="G5" s="130" t="n"/>
      <c r="H5" s="130" t="n"/>
      <c r="I5" s="130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</row>
    <row r="6" customFormat="1" s="132">
      <c r="A6" s="129" t="n"/>
      <c r="B6" s="132" t="inlineStr">
        <is>
          <t>Revenues</t>
        </is>
      </c>
      <c r="E6" s="173" t="n">
        <v>434.416</v>
      </c>
      <c r="F6" s="173" t="n">
        <v>439.8</v>
      </c>
      <c r="G6" s="173" t="n">
        <v>425.634</v>
      </c>
      <c r="H6" s="173" t="n">
        <v>452.534</v>
      </c>
      <c r="I6" s="173" t="n">
        <v>507.223</v>
      </c>
      <c r="J6" s="174">
        <f>+'RevBuild Calcs'!J14</f>
        <v/>
      </c>
      <c r="K6" s="174">
        <f>+'RevBuild Calcs'!K14</f>
        <v/>
      </c>
      <c r="L6" s="174">
        <f>+'RevBuild Calcs'!L14</f>
        <v/>
      </c>
      <c r="M6" s="174">
        <f>+'RevBuild Calcs'!M14</f>
        <v/>
      </c>
      <c r="N6" s="174">
        <f>+'RevBuild Calcs'!N14</f>
        <v/>
      </c>
      <c r="O6" s="174">
        <f>+'RevBuild Calcs'!O14</f>
        <v/>
      </c>
      <c r="P6" s="174">
        <f>+'RevBuild Calcs'!P14</f>
        <v/>
      </c>
      <c r="Q6" s="174">
        <f>+'RevBuild Calcs'!Q14</f>
        <v/>
      </c>
      <c r="R6" s="174">
        <f>+'RevBuild Calcs'!R14</f>
        <v/>
      </c>
      <c r="S6" s="174">
        <f>+'RevBuild Calcs'!S14</f>
        <v/>
      </c>
    </row>
    <row r="7">
      <c r="B7" s="129" t="inlineStr">
        <is>
          <t>% YoY</t>
        </is>
      </c>
      <c r="F7" s="162">
        <f>+F6/E6-1</f>
        <v/>
      </c>
      <c r="G7" s="162">
        <f>+G6/F6-1</f>
        <v/>
      </c>
      <c r="H7" s="162">
        <f>+H6/G6-1</f>
        <v/>
      </c>
      <c r="I7" s="162">
        <f>+I6/H6-1</f>
        <v/>
      </c>
      <c r="J7" s="162">
        <f>+J6/I6-1</f>
        <v/>
      </c>
      <c r="K7" s="162">
        <f>+K6/J6-1</f>
        <v/>
      </c>
      <c r="L7" s="162">
        <f>+L6/K6-1</f>
        <v/>
      </c>
      <c r="M7" s="162">
        <f>+M6/L6-1</f>
        <v/>
      </c>
      <c r="N7" s="162">
        <f>+N6/M6-1</f>
        <v/>
      </c>
      <c r="O7" s="162">
        <f>+O6/N6-1</f>
        <v/>
      </c>
      <c r="P7" s="162">
        <f>+P6/O6-1</f>
        <v/>
      </c>
      <c r="Q7" s="162">
        <f>+Q6/P6-1</f>
        <v/>
      </c>
      <c r="R7" s="162">
        <f>+R6/Q6-1</f>
        <v/>
      </c>
      <c r="S7" s="162">
        <f>+S6/R6-1</f>
        <v/>
      </c>
    </row>
    <row r="8">
      <c r="H8" s="171" t="n"/>
      <c r="I8" s="171" t="n"/>
    </row>
    <row r="9">
      <c r="B9" s="129" t="inlineStr">
        <is>
          <t>Income from litigation settlement</t>
        </is>
      </c>
      <c r="E9" s="175" t="n"/>
      <c r="F9" s="175" t="n"/>
      <c r="G9" s="175" t="n"/>
      <c r="H9" s="171" t="n">
        <v>4.372</v>
      </c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</row>
    <row r="10">
      <c r="H10" s="171" t="n"/>
      <c r="I10" s="171" t="n"/>
    </row>
    <row r="11">
      <c r="B11" s="129" t="inlineStr">
        <is>
          <t>Direct production costs and expense of film and television produced</t>
        </is>
      </c>
      <c r="E11" s="171" t="n">
        <v>-244.244</v>
      </c>
      <c r="F11" s="171" t="n">
        <v>-253.003</v>
      </c>
      <c r="G11" s="171" t="n">
        <v>-237.789</v>
      </c>
      <c r="H11" s="171" t="n">
        <v>-257.647</v>
      </c>
      <c r="I11" s="171" t="n">
        <v>-285.662</v>
      </c>
      <c r="J11" s="129">
        <f>+J13-J6</f>
        <v/>
      </c>
      <c r="K11" s="129">
        <f>+K13-K6</f>
        <v/>
      </c>
      <c r="L11" s="129">
        <f>+L13-L6</f>
        <v/>
      </c>
      <c r="M11" s="129">
        <f>+M13-M6</f>
        <v/>
      </c>
      <c r="N11" s="129">
        <f>+N13-N6</f>
        <v/>
      </c>
      <c r="O11" s="129">
        <f>+O13-O6</f>
        <v/>
      </c>
      <c r="P11" s="129">
        <f>+P13-P6</f>
        <v/>
      </c>
      <c r="Q11" s="129">
        <f>+Q13-Q6</f>
        <v/>
      </c>
      <c r="R11" s="129">
        <f>+R13-R6</f>
        <v/>
      </c>
      <c r="S11" s="129">
        <f>+S13-S6</f>
        <v/>
      </c>
    </row>
    <row r="12">
      <c r="H12" s="171" t="n"/>
      <c r="I12" s="171" t="n"/>
    </row>
    <row r="13" customFormat="1" s="176">
      <c r="B13" s="176" t="inlineStr">
        <is>
          <t>Gross profit</t>
        </is>
      </c>
      <c r="E13" s="177">
        <f>+E6+E9+E11</f>
        <v/>
      </c>
      <c r="F13" s="177">
        <f>+F6+F9+F11</f>
        <v/>
      </c>
      <c r="G13" s="177">
        <f>+G6+G9+G11</f>
        <v/>
      </c>
      <c r="H13" s="177">
        <f>+H6+H9+H11</f>
        <v/>
      </c>
      <c r="I13" s="177">
        <f>+I6+I9+I11</f>
        <v/>
      </c>
      <c r="J13" s="174">
        <f>+'RevBuild Calcs'!J26</f>
        <v/>
      </c>
      <c r="K13" s="174">
        <f>+'RevBuild Calcs'!K26</f>
        <v/>
      </c>
      <c r="L13" s="174">
        <f>+'RevBuild Calcs'!L26</f>
        <v/>
      </c>
      <c r="M13" s="174">
        <f>+'RevBuild Calcs'!M26</f>
        <v/>
      </c>
      <c r="N13" s="174">
        <f>+'RevBuild Calcs'!N26</f>
        <v/>
      </c>
      <c r="O13" s="174">
        <f>+'RevBuild Calcs'!O26</f>
        <v/>
      </c>
      <c r="P13" s="174">
        <f>+'RevBuild Calcs'!P26</f>
        <v/>
      </c>
      <c r="Q13" s="174">
        <f>+'RevBuild Calcs'!Q26</f>
        <v/>
      </c>
      <c r="R13" s="174">
        <f>+'RevBuild Calcs'!R26</f>
        <v/>
      </c>
      <c r="S13" s="174">
        <f>+'RevBuild Calcs'!S26</f>
        <v/>
      </c>
    </row>
    <row r="14" customFormat="1" s="178">
      <c r="B14" s="178" t="inlineStr">
        <is>
          <t>% margin</t>
        </is>
      </c>
      <c r="E14" s="179">
        <f>+E13/E6</f>
        <v/>
      </c>
      <c r="F14" s="179">
        <f>+F13/F6</f>
        <v/>
      </c>
      <c r="G14" s="179">
        <f>+G13/G6</f>
        <v/>
      </c>
      <c r="H14" s="179">
        <f>+H13/H6</f>
        <v/>
      </c>
      <c r="I14" s="179">
        <f>+I13/I6</f>
        <v/>
      </c>
      <c r="J14" s="179">
        <f>+J13/J6</f>
        <v/>
      </c>
      <c r="K14" s="179">
        <f>+K13/K6</f>
        <v/>
      </c>
      <c r="L14" s="179">
        <f>+L13/L6</f>
        <v/>
      </c>
      <c r="M14" s="179">
        <f>+M13/M6</f>
        <v/>
      </c>
      <c r="N14" s="179">
        <f>+N13/N6</f>
        <v/>
      </c>
      <c r="O14" s="179">
        <f>+O13/O6</f>
        <v/>
      </c>
      <c r="P14" s="179">
        <f>+P13/P6</f>
        <v/>
      </c>
      <c r="Q14" s="179">
        <f>+Q13/Q6</f>
        <v/>
      </c>
      <c r="R14" s="179">
        <f>+R13/R6</f>
        <v/>
      </c>
      <c r="S14" s="179">
        <f>+S13/S6</f>
        <v/>
      </c>
    </row>
    <row r="15"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</row>
    <row r="16">
      <c r="B16" s="129" t="inlineStr">
        <is>
          <t>Amortization of acquired and library content</t>
        </is>
      </c>
      <c r="E16" s="171" t="n">
        <v>-15.916</v>
      </c>
      <c r="F16" s="171" t="n">
        <v>-14.431</v>
      </c>
      <c r="G16" s="171" t="n">
        <v>-12.082</v>
      </c>
      <c r="H16" s="171" t="n">
        <v>-11.1</v>
      </c>
      <c r="I16" s="171" t="n">
        <v>-10.241</v>
      </c>
      <c r="J16" s="174">
        <f>+'FS Calcs'!J44</f>
        <v/>
      </c>
      <c r="K16" s="174">
        <f>+'FS Calcs'!K44</f>
        <v/>
      </c>
      <c r="L16" s="174">
        <f>+'FS Calcs'!L44</f>
        <v/>
      </c>
      <c r="M16" s="174">
        <f>+'FS Calcs'!M44</f>
        <v/>
      </c>
      <c r="N16" s="174">
        <f>+'FS Calcs'!N44</f>
        <v/>
      </c>
      <c r="O16" s="174">
        <f>+'FS Calcs'!O44</f>
        <v/>
      </c>
      <c r="P16" s="174">
        <f>+'FS Calcs'!P44</f>
        <v/>
      </c>
      <c r="Q16" s="174">
        <f>+'FS Calcs'!Q44</f>
        <v/>
      </c>
      <c r="R16" s="174">
        <f>+'FS Calcs'!R44</f>
        <v/>
      </c>
      <c r="S16" s="174">
        <f>+'FS Calcs'!S44</f>
        <v/>
      </c>
    </row>
    <row r="17">
      <c r="B17" s="129" t="inlineStr">
        <is>
          <t>Amortization of property and equipment and intangible assets</t>
        </is>
      </c>
      <c r="E17" s="171" t="n">
        <v>-24.174</v>
      </c>
      <c r="F17" s="171" t="n">
        <v>-22.651</v>
      </c>
      <c r="G17" s="171" t="n">
        <v>-24.171</v>
      </c>
      <c r="H17" s="171" t="n">
        <v>-22.924</v>
      </c>
      <c r="I17" s="171" t="n">
        <v>-23.979</v>
      </c>
      <c r="J17" s="174">
        <f>+'FS Calcs'!J53+'FS Calcs'!J64</f>
        <v/>
      </c>
      <c r="K17" s="174">
        <f>+'FS Calcs'!K53+'FS Calcs'!K64</f>
        <v/>
      </c>
      <c r="L17" s="174">
        <f>+'FS Calcs'!L53+'FS Calcs'!L64</f>
        <v/>
      </c>
      <c r="M17" s="174">
        <f>+'FS Calcs'!M53+'FS Calcs'!M64</f>
        <v/>
      </c>
      <c r="N17" s="174">
        <f>+'FS Calcs'!N53+'FS Calcs'!N64</f>
        <v/>
      </c>
      <c r="O17" s="174">
        <f>+'FS Calcs'!O53+'FS Calcs'!O64</f>
        <v/>
      </c>
      <c r="P17" s="174">
        <f>+'FS Calcs'!P53+'FS Calcs'!P64</f>
        <v/>
      </c>
      <c r="Q17" s="174">
        <f>+'FS Calcs'!Q53+'FS Calcs'!Q64</f>
        <v/>
      </c>
      <c r="R17" s="174">
        <f>+'FS Calcs'!R53+'FS Calcs'!R64</f>
        <v/>
      </c>
      <c r="S17" s="174">
        <f>+'FS Calcs'!S53+'FS Calcs'!S64</f>
        <v/>
      </c>
    </row>
    <row r="18">
      <c r="B18" s="129" t="inlineStr">
        <is>
          <t>Write-down of investment in film and television programs, acquired and library content, and property and equipment</t>
        </is>
      </c>
      <c r="E18" s="171" t="n">
        <v>-12.027</v>
      </c>
      <c r="F18" s="171" t="n">
        <v>-104.871</v>
      </c>
      <c r="G18" s="171" t="n">
        <v>-196.122</v>
      </c>
      <c r="H18" s="171" t="n">
        <v>-7.832</v>
      </c>
      <c r="I18" s="171" t="n">
        <v>-0.788</v>
      </c>
      <c r="J18" s="174">
        <f>+'FS Calcs'!J32+'FS Calcs'!J43+'FS Calcs'!J54+'FS Calcs'!J65</f>
        <v/>
      </c>
      <c r="K18" s="174">
        <f>+'FS Calcs'!K32+'FS Calcs'!K43+'FS Calcs'!K54+'FS Calcs'!K65</f>
        <v/>
      </c>
      <c r="L18" s="174">
        <f>+'FS Calcs'!L32+'FS Calcs'!L43+'FS Calcs'!L54+'FS Calcs'!L65</f>
        <v/>
      </c>
      <c r="M18" s="174">
        <f>+'FS Calcs'!M32+'FS Calcs'!M43+'FS Calcs'!M54+'FS Calcs'!M65</f>
        <v/>
      </c>
      <c r="N18" s="174">
        <f>+'FS Calcs'!N32+'FS Calcs'!N43+'FS Calcs'!N54+'FS Calcs'!N65</f>
        <v/>
      </c>
      <c r="O18" s="174">
        <f>+'FS Calcs'!O32+'FS Calcs'!O43+'FS Calcs'!O54+'FS Calcs'!O65</f>
        <v/>
      </c>
      <c r="P18" s="174">
        <f>+'FS Calcs'!P32+'FS Calcs'!P43+'FS Calcs'!P54+'FS Calcs'!P65</f>
        <v/>
      </c>
      <c r="Q18" s="174">
        <f>+'FS Calcs'!Q32+'FS Calcs'!Q43+'FS Calcs'!Q54+'FS Calcs'!Q65</f>
        <v/>
      </c>
      <c r="R18" s="174">
        <f>+'FS Calcs'!R32+'FS Calcs'!R43+'FS Calcs'!R54+'FS Calcs'!R65</f>
        <v/>
      </c>
      <c r="S18" s="174">
        <f>+'FS Calcs'!S32+'FS Calcs'!S43+'FS Calcs'!S54+'FS Calcs'!S65</f>
        <v/>
      </c>
    </row>
    <row r="19">
      <c r="E19" s="171" t="n"/>
      <c r="F19" s="171" t="n"/>
      <c r="G19" s="171" t="n"/>
      <c r="I19" s="171" t="n"/>
    </row>
    <row r="20">
      <c r="B20" s="129" t="inlineStr">
        <is>
          <t>Selling, general and administrative</t>
        </is>
      </c>
      <c r="E20" s="171" t="n">
        <v>-86.2</v>
      </c>
      <c r="F20" s="171" t="n">
        <v>-81.121</v>
      </c>
      <c r="G20" s="171" t="n">
        <v>-83.098</v>
      </c>
      <c r="H20" s="171" t="n">
        <v>-80.539</v>
      </c>
      <c r="I20" s="171" t="n">
        <v>-104.129</v>
      </c>
      <c r="J20" s="180">
        <f>+'FS Calcs'!J104</f>
        <v/>
      </c>
      <c r="K20" s="180">
        <f>+'FS Calcs'!K104</f>
        <v/>
      </c>
      <c r="L20" s="180">
        <f>+'FS Calcs'!L104</f>
        <v/>
      </c>
      <c r="M20" s="180">
        <f>+'FS Calcs'!M104</f>
        <v/>
      </c>
      <c r="N20" s="180">
        <f>+'FS Calcs'!N104</f>
        <v/>
      </c>
      <c r="O20" s="180">
        <f>+'FS Calcs'!O104</f>
        <v/>
      </c>
      <c r="P20" s="180">
        <f>+'FS Calcs'!P104</f>
        <v/>
      </c>
      <c r="Q20" s="180">
        <f>+'FS Calcs'!Q104</f>
        <v/>
      </c>
      <c r="R20" s="180">
        <f>+'FS Calcs'!R104</f>
        <v/>
      </c>
      <c r="S20" s="180">
        <f>+'FS Calcs'!S104</f>
        <v/>
      </c>
    </row>
    <row r="21">
      <c r="B21" s="129" t="inlineStr">
        <is>
          <t>Share-based compensation</t>
        </is>
      </c>
      <c r="E21" s="175" t="n"/>
      <c r="F21" s="175" t="n"/>
      <c r="G21" s="175" t="n"/>
      <c r="H21" s="171" t="n">
        <v>-5.075</v>
      </c>
      <c r="I21" s="171" t="n">
        <v>-7.414</v>
      </c>
      <c r="J21" s="181" t="n">
        <v>-5</v>
      </c>
      <c r="K21" s="181" t="n">
        <v>-5</v>
      </c>
      <c r="L21" s="181" t="n">
        <v>-5</v>
      </c>
      <c r="M21" s="181" t="n">
        <v>-5</v>
      </c>
      <c r="N21" s="181" t="n">
        <v>-5</v>
      </c>
      <c r="O21" s="181" t="n">
        <v>-5</v>
      </c>
      <c r="P21" s="181" t="n">
        <v>-5</v>
      </c>
      <c r="Q21" s="181" t="n">
        <v>-5</v>
      </c>
      <c r="R21" s="181" t="n">
        <v>-5</v>
      </c>
      <c r="S21" s="181" t="n">
        <v>-5</v>
      </c>
    </row>
    <row r="22">
      <c r="B22" s="129" t="inlineStr">
        <is>
          <t>Finance costs, net</t>
        </is>
      </c>
      <c r="E22" s="171" t="n">
        <v>-50.109</v>
      </c>
      <c r="F22" s="171" t="n">
        <v>-52.236</v>
      </c>
      <c r="G22" s="171" t="n">
        <v>-49.404</v>
      </c>
      <c r="H22" s="171" t="n">
        <v>-42.139</v>
      </c>
      <c r="I22" s="171" t="n">
        <v>-30.486</v>
      </c>
      <c r="J22" s="129">
        <f>+IF(Circ=1, 'Debt Calcs'!J22, 0)</f>
        <v/>
      </c>
      <c r="K22" s="129">
        <f>+IF(Circ=1, 'Debt Calcs'!K22, 0)</f>
        <v/>
      </c>
      <c r="L22" s="129">
        <f>+IF(Circ=1, 'Debt Calcs'!L22, 0)</f>
        <v/>
      </c>
      <c r="M22" s="129">
        <f>+IF(Circ=1, 'Debt Calcs'!M22, 0)</f>
        <v/>
      </c>
      <c r="N22" s="129">
        <f>+IF(Circ=1, 'Debt Calcs'!N22, 0)</f>
        <v/>
      </c>
      <c r="O22" s="129">
        <f>+IF(Circ=1, 'Debt Calcs'!O22, 0)</f>
        <v/>
      </c>
      <c r="P22" s="129">
        <f>+IF(Circ=1, 'Debt Calcs'!P22, 0)</f>
        <v/>
      </c>
      <c r="Q22" s="129">
        <f>+IF(Circ=1, 'Debt Calcs'!Q22, 0)</f>
        <v/>
      </c>
      <c r="R22" s="129">
        <f>+IF(Circ=1, 'Debt Calcs'!R22, 0)</f>
        <v/>
      </c>
      <c r="S22" s="129">
        <f>+IF(Circ=1, 'Debt Calcs'!S22, 0)</f>
        <v/>
      </c>
    </row>
    <row r="23">
      <c r="B23" s="129" t="inlineStr">
        <is>
          <t>Change in fair value of embedded derivatives</t>
        </is>
      </c>
      <c r="E23" s="171" t="n">
        <v>11.251</v>
      </c>
      <c r="F23" s="171" t="n">
        <v>7.185</v>
      </c>
      <c r="G23" s="171" t="n">
        <v>1.955</v>
      </c>
      <c r="H23" s="171" t="n">
        <v>-26.206</v>
      </c>
      <c r="I23" s="171" t="n">
        <v>13.716</v>
      </c>
      <c r="J23" s="181" t="n">
        <v>0</v>
      </c>
      <c r="K23" s="181" t="n">
        <v>0</v>
      </c>
      <c r="L23" s="181" t="n">
        <v>0</v>
      </c>
      <c r="M23" s="181" t="n">
        <v>0</v>
      </c>
      <c r="N23" s="181" t="n">
        <v>0</v>
      </c>
      <c r="O23" s="181" t="n">
        <v>0</v>
      </c>
      <c r="P23" s="181" t="n">
        <v>0</v>
      </c>
      <c r="Q23" s="181" t="n">
        <v>0</v>
      </c>
      <c r="R23" s="181" t="n">
        <v>0</v>
      </c>
      <c r="S23" s="181" t="n">
        <v>0</v>
      </c>
    </row>
    <row r="24">
      <c r="B24" s="129" t="inlineStr">
        <is>
          <t>Foreign exchange (loss) / gain</t>
        </is>
      </c>
      <c r="E24" s="171" t="n">
        <v>-7.7</v>
      </c>
      <c r="F24" s="171" t="n">
        <v>1.081</v>
      </c>
      <c r="G24" s="171" t="n">
        <v>-14.047</v>
      </c>
      <c r="H24" s="171" t="n">
        <v>24.979</v>
      </c>
      <c r="I24" s="171" t="n">
        <v>-21.754</v>
      </c>
      <c r="J24" s="181" t="n">
        <v>-12.5</v>
      </c>
      <c r="K24" s="181" t="n">
        <v>-5</v>
      </c>
      <c r="L24" s="181" t="n">
        <v>-5</v>
      </c>
      <c r="M24" s="181" t="n">
        <v>-5</v>
      </c>
      <c r="N24" s="181" t="n">
        <v>-5</v>
      </c>
      <c r="O24" s="181" t="n">
        <v>-5</v>
      </c>
      <c r="P24" s="181" t="n">
        <v>-5</v>
      </c>
      <c r="Q24" s="181" t="n">
        <v>-5</v>
      </c>
      <c r="R24" s="181" t="n">
        <v>-5</v>
      </c>
      <c r="S24" s="181" t="n">
        <v>-5</v>
      </c>
    </row>
    <row r="25">
      <c r="B25" s="129" t="inlineStr">
        <is>
          <t>Reorganization, development and other expense</t>
        </is>
      </c>
      <c r="E25" s="171" t="n">
        <v>-10.554</v>
      </c>
      <c r="F25" s="171" t="n">
        <v>-1.661</v>
      </c>
      <c r="G25" s="171" t="n">
        <v>-17.961</v>
      </c>
      <c r="H25" s="171" t="n">
        <v>-8.612</v>
      </c>
      <c r="I25" s="171" t="n">
        <v>-6.281</v>
      </c>
      <c r="J25" s="181" t="n">
        <v>-2.5</v>
      </c>
      <c r="K25" s="181" t="n">
        <v>-2.5</v>
      </c>
      <c r="L25" s="181" t="n">
        <v>-2.5</v>
      </c>
      <c r="M25" s="181" t="n">
        <v>-2.5</v>
      </c>
      <c r="N25" s="181" t="n">
        <v>-2.5</v>
      </c>
      <c r="O25" s="181" t="n">
        <v>-2.5</v>
      </c>
      <c r="P25" s="181" t="n">
        <v>-2.5</v>
      </c>
      <c r="Q25" s="181" t="n">
        <v>-2.5</v>
      </c>
      <c r="R25" s="181" t="n">
        <v>-2.5</v>
      </c>
      <c r="S25" s="181" t="n">
        <v>-2.5</v>
      </c>
    </row>
    <row r="27" customFormat="1" s="132">
      <c r="B27" s="132" t="inlineStr">
        <is>
          <t>EBT</t>
        </is>
      </c>
      <c r="E27" s="132">
        <f>+E13+SUM(E16:E18,E20:E25)</f>
        <v/>
      </c>
      <c r="F27" s="132">
        <f>+F13+SUM(F16:F18,F20:F25)</f>
        <v/>
      </c>
      <c r="G27" s="132">
        <f>+G13+SUM(G16:G18,G20:G25)</f>
        <v/>
      </c>
      <c r="H27" s="132">
        <f>+H13+SUM(H16:H18,H20:H25)</f>
        <v/>
      </c>
      <c r="I27" s="132">
        <f>+I13+SUM(I16:I18,I20:I25)</f>
        <v/>
      </c>
      <c r="J27" s="132">
        <f>+J13+SUM(J16:J18,J20:J25)</f>
        <v/>
      </c>
      <c r="K27" s="132">
        <f>+K13+SUM(K16:K18,K20:K25)</f>
        <v/>
      </c>
      <c r="L27" s="132">
        <f>+L13+SUM(L16:L18,L20:L25)</f>
        <v/>
      </c>
      <c r="M27" s="132">
        <f>+M13+SUM(M16:M18,M20:M25)</f>
        <v/>
      </c>
      <c r="N27" s="132">
        <f>+N13+SUM(N16:N18,N20:N25)</f>
        <v/>
      </c>
      <c r="O27" s="132">
        <f>+O13+SUM(O16:O18,O20:O25)</f>
        <v/>
      </c>
      <c r="P27" s="132">
        <f>+P13+SUM(P16:P18,P20:P25)</f>
        <v/>
      </c>
      <c r="Q27" s="132">
        <f>+Q13+SUM(Q16:Q18,Q20:Q25)</f>
        <v/>
      </c>
      <c r="R27" s="132">
        <f>+R13+SUM(R16:R18,R20:R25)</f>
        <v/>
      </c>
      <c r="S27" s="132">
        <f>+S13+SUM(S16:S18,S20:S25)</f>
        <v/>
      </c>
    </row>
    <row r="28">
      <c r="B28" s="129" t="inlineStr">
        <is>
          <t>% margin</t>
        </is>
      </c>
      <c r="E28" s="162">
        <f>+E27/E6</f>
        <v/>
      </c>
      <c r="F28" s="162">
        <f>+F27/F6</f>
        <v/>
      </c>
      <c r="G28" s="162">
        <f>+G27/G6</f>
        <v/>
      </c>
      <c r="H28" s="162">
        <f>+H27/H6</f>
        <v/>
      </c>
      <c r="I28" s="162">
        <f>+I27/I6</f>
        <v/>
      </c>
      <c r="J28" s="162">
        <f>+J27/J6</f>
        <v/>
      </c>
      <c r="K28" s="162">
        <f>+K27/K6</f>
        <v/>
      </c>
      <c r="L28" s="162">
        <f>+L27/L6</f>
        <v/>
      </c>
      <c r="M28" s="162">
        <f>+M27/M6</f>
        <v/>
      </c>
      <c r="N28" s="162">
        <f>+N27/N6</f>
        <v/>
      </c>
      <c r="O28" s="162">
        <f>+O27/O6</f>
        <v/>
      </c>
      <c r="P28" s="162">
        <f>+P27/P6</f>
        <v/>
      </c>
      <c r="Q28" s="162">
        <f>+Q27/Q6</f>
        <v/>
      </c>
      <c r="R28" s="162">
        <f>+R27/R6</f>
        <v/>
      </c>
      <c r="S28" s="162">
        <f>+S27/S6</f>
        <v/>
      </c>
    </row>
    <row r="30">
      <c r="B30" s="165" t="inlineStr">
        <is>
          <t>Current income taxes (paid) / recovered</t>
        </is>
      </c>
      <c r="E30" s="171" t="n">
        <v>-2.166</v>
      </c>
      <c r="F30" s="171" t="n">
        <v>1.77</v>
      </c>
      <c r="G30" s="171" t="n">
        <v>-0.489</v>
      </c>
      <c r="H30" s="171" t="n">
        <v>-3.049</v>
      </c>
      <c r="I30" s="171" t="n">
        <v>-0.347</v>
      </c>
      <c r="J30" s="180">
        <f>+'FS Calcs'!J107</f>
        <v/>
      </c>
      <c r="K30" s="180">
        <f>+'FS Calcs'!K107</f>
        <v/>
      </c>
      <c r="L30" s="180">
        <f>+'FS Calcs'!L107</f>
        <v/>
      </c>
      <c r="M30" s="180">
        <f>+'FS Calcs'!M107</f>
        <v/>
      </c>
      <c r="N30" s="180">
        <f>+'FS Calcs'!N107</f>
        <v/>
      </c>
      <c r="O30" s="180">
        <f>+'FS Calcs'!O107</f>
        <v/>
      </c>
      <c r="P30" s="180">
        <f>+'FS Calcs'!P107</f>
        <v/>
      </c>
      <c r="Q30" s="180">
        <f>+'FS Calcs'!Q107</f>
        <v/>
      </c>
      <c r="R30" s="180">
        <f>+'FS Calcs'!R107</f>
        <v/>
      </c>
      <c r="S30" s="180">
        <f>+'FS Calcs'!S107</f>
        <v/>
      </c>
    </row>
    <row r="31">
      <c r="B31" s="165" t="inlineStr">
        <is>
          <t>Deferred income taxes (paid) / recovered</t>
        </is>
      </c>
      <c r="E31" s="171" t="n">
        <v>0.675</v>
      </c>
      <c r="F31" s="171" t="n">
        <v>1.936</v>
      </c>
      <c r="G31" s="171" t="n">
        <v>-1.217</v>
      </c>
      <c r="H31" s="171" t="n">
        <v>6.347</v>
      </c>
      <c r="I31" s="171" t="n">
        <v>1.904</v>
      </c>
      <c r="J31" s="180">
        <f>+'FS Calcs'!J108</f>
        <v/>
      </c>
      <c r="K31" s="180">
        <f>+'FS Calcs'!K108</f>
        <v/>
      </c>
      <c r="L31" s="180">
        <f>+'FS Calcs'!L108</f>
        <v/>
      </c>
      <c r="M31" s="180">
        <f>+'FS Calcs'!M108</f>
        <v/>
      </c>
      <c r="N31" s="180">
        <f>+'FS Calcs'!N108</f>
        <v/>
      </c>
      <c r="O31" s="180">
        <f>+'FS Calcs'!O108</f>
        <v/>
      </c>
      <c r="P31" s="180">
        <f>+'FS Calcs'!P108</f>
        <v/>
      </c>
      <c r="Q31" s="180">
        <f>+'FS Calcs'!Q108</f>
        <v/>
      </c>
      <c r="R31" s="180">
        <f>+'FS Calcs'!R108</f>
        <v/>
      </c>
      <c r="S31" s="180">
        <f>+'FS Calcs'!S108</f>
        <v/>
      </c>
    </row>
    <row r="32">
      <c r="B32" s="129" t="inlineStr">
        <is>
          <t xml:space="preserve">Total </t>
        </is>
      </c>
      <c r="E32" s="129">
        <f>SUM(E30:E31)</f>
        <v/>
      </c>
      <c r="F32" s="129">
        <f>SUM(F30:F31)</f>
        <v/>
      </c>
      <c r="G32" s="129">
        <f>SUM(G30:G31)</f>
        <v/>
      </c>
      <c r="H32" s="129">
        <f>SUM(H30:H31)</f>
        <v/>
      </c>
      <c r="I32" s="129">
        <f>SUM(I30:I31)</f>
        <v/>
      </c>
      <c r="J32" s="129">
        <f>SUM(J30:J31)</f>
        <v/>
      </c>
      <c r="K32" s="129">
        <f>SUM(K30:K31)</f>
        <v/>
      </c>
      <c r="L32" s="129">
        <f>SUM(L30:L31)</f>
        <v/>
      </c>
      <c r="M32" s="129">
        <f>SUM(M30:M31)</f>
        <v/>
      </c>
      <c r="N32" s="129">
        <f>SUM(N30:N31)</f>
        <v/>
      </c>
      <c r="O32" s="129">
        <f>SUM(O30:O31)</f>
        <v/>
      </c>
      <c r="P32" s="129">
        <f>SUM(P30:P31)</f>
        <v/>
      </c>
      <c r="Q32" s="129">
        <f>SUM(Q30:Q31)</f>
        <v/>
      </c>
      <c r="R32" s="129">
        <f>SUM(R30:R31)</f>
        <v/>
      </c>
      <c r="S32" s="129">
        <f>SUM(S30:S31)</f>
        <v/>
      </c>
    </row>
    <row r="34">
      <c r="B34" s="129" t="inlineStr">
        <is>
          <t>Net income</t>
        </is>
      </c>
      <c r="E34" s="129">
        <f>+E32+E27</f>
        <v/>
      </c>
      <c r="F34" s="129">
        <f>+F32+F27</f>
        <v/>
      </c>
      <c r="G34" s="129">
        <f>+G32+G27</f>
        <v/>
      </c>
      <c r="H34" s="129">
        <f>+H32+H27</f>
        <v/>
      </c>
      <c r="I34" s="129">
        <f>+I32+I27</f>
        <v/>
      </c>
      <c r="J34" s="129">
        <f>+J32+J27</f>
        <v/>
      </c>
      <c r="K34" s="129">
        <f>+K32+K27</f>
        <v/>
      </c>
      <c r="L34" s="129">
        <f>+L32+L27</f>
        <v/>
      </c>
      <c r="M34" s="129">
        <f>+M32+M27</f>
        <v/>
      </c>
      <c r="N34" s="129">
        <f>+N32+N27</f>
        <v/>
      </c>
      <c r="O34" s="129">
        <f>+O32+O27</f>
        <v/>
      </c>
      <c r="P34" s="129">
        <f>+P32+P27</f>
        <v/>
      </c>
      <c r="Q34" s="129">
        <f>+Q32+Q27</f>
        <v/>
      </c>
      <c r="R34" s="129">
        <f>+R32+R27</f>
        <v/>
      </c>
      <c r="S34" s="129">
        <f>+S32+S27</f>
        <v/>
      </c>
    </row>
    <row r="35">
      <c r="B35" s="165" t="inlineStr">
        <is>
          <t>Attributable to NCI</t>
        </is>
      </c>
      <c r="E35" s="171" t="n">
        <v>7.312</v>
      </c>
      <c r="F35" s="171" t="n">
        <v>23.292</v>
      </c>
      <c r="G35" s="171" t="n">
        <v>27.175</v>
      </c>
      <c r="H35" s="171" t="n">
        <v>30.186</v>
      </c>
      <c r="I35" s="171" t="n">
        <v>26.122</v>
      </c>
      <c r="J35" s="180">
        <f>+'FS Calcs'!J98</f>
        <v/>
      </c>
      <c r="K35" s="180">
        <f>+'FS Calcs'!K98</f>
        <v/>
      </c>
      <c r="L35" s="180">
        <f>+'FS Calcs'!L98</f>
        <v/>
      </c>
      <c r="M35" s="180">
        <f>+'FS Calcs'!M98</f>
        <v/>
      </c>
      <c r="N35" s="180">
        <f>+'FS Calcs'!N98</f>
        <v/>
      </c>
      <c r="O35" s="180">
        <f>+'FS Calcs'!O98</f>
        <v/>
      </c>
      <c r="P35" s="180">
        <f>+'FS Calcs'!P98</f>
        <v/>
      </c>
      <c r="Q35" s="180">
        <f>+'FS Calcs'!Q98</f>
        <v/>
      </c>
      <c r="R35" s="180">
        <f>+'FS Calcs'!R98</f>
        <v/>
      </c>
      <c r="S35" s="180">
        <f>+'FS Calcs'!S98</f>
        <v/>
      </c>
    </row>
    <row r="36" customFormat="1" s="132">
      <c r="B36" s="182" t="inlineStr">
        <is>
          <t>Attributable to common</t>
        </is>
      </c>
      <c r="E36" s="132">
        <f>+E34-E35</f>
        <v/>
      </c>
      <c r="F36" s="132">
        <f>+F34-F35</f>
        <v/>
      </c>
      <c r="G36" s="132">
        <f>+G34-G35</f>
        <v/>
      </c>
      <c r="H36" s="132">
        <f>+H34-H35</f>
        <v/>
      </c>
      <c r="I36" s="132">
        <f>+I34-I35</f>
        <v/>
      </c>
      <c r="J36" s="132">
        <f>+J34-J35</f>
        <v/>
      </c>
      <c r="K36" s="132">
        <f>+K34-K35</f>
        <v/>
      </c>
      <c r="L36" s="132">
        <f>+L34-L35</f>
        <v/>
      </c>
      <c r="M36" s="132">
        <f>+M34-M35</f>
        <v/>
      </c>
      <c r="N36" s="132">
        <f>+N34-N35</f>
        <v/>
      </c>
      <c r="O36" s="132">
        <f>+O34-O35</f>
        <v/>
      </c>
      <c r="P36" s="132">
        <f>+P34-P35</f>
        <v/>
      </c>
      <c r="Q36" s="132">
        <f>+Q34-Q35</f>
        <v/>
      </c>
      <c r="R36" s="132">
        <f>+R34-R35</f>
        <v/>
      </c>
      <c r="S36" s="132">
        <f>+S34-S35</f>
        <v/>
      </c>
    </row>
    <row r="38">
      <c r="B38" s="129" t="inlineStr">
        <is>
          <t>Basic EPS (CAD)</t>
        </is>
      </c>
      <c r="E38" s="183" t="n">
        <v>-0.1</v>
      </c>
      <c r="F38" s="183" t="n">
        <v>-0.75</v>
      </c>
      <c r="G38" s="183" t="n">
        <v>-1.51</v>
      </c>
      <c r="H38" s="183" t="n">
        <v>-0.04</v>
      </c>
      <c r="I38" s="183" t="n">
        <v>0.03</v>
      </c>
      <c r="J38" s="159">
        <f>+J$36/J41</f>
        <v/>
      </c>
      <c r="K38" s="159">
        <f>+K$36/K41</f>
        <v/>
      </c>
      <c r="L38" s="159">
        <f>+L$36/L41</f>
        <v/>
      </c>
      <c r="M38" s="159">
        <f>+M$36/M41</f>
        <v/>
      </c>
      <c r="N38" s="159">
        <f>+N$36/N41</f>
        <v/>
      </c>
      <c r="O38" s="159">
        <f>+O$36/O41</f>
        <v/>
      </c>
      <c r="P38" s="159">
        <f>+P$36/P41</f>
        <v/>
      </c>
      <c r="Q38" s="159">
        <f>+Q$36/Q41</f>
        <v/>
      </c>
      <c r="R38" s="159">
        <f>+R$36/R41</f>
        <v/>
      </c>
      <c r="S38" s="159">
        <f>+S$36/S41</f>
        <v/>
      </c>
    </row>
    <row r="39">
      <c r="B39" s="129" t="inlineStr">
        <is>
          <t>Diluted EPS (CAD)</t>
        </is>
      </c>
      <c r="E39" s="183" t="n">
        <v>-0.1</v>
      </c>
      <c r="F39" s="183" t="n">
        <v>-0.75</v>
      </c>
      <c r="G39" s="183" t="n">
        <v>-1.51</v>
      </c>
      <c r="H39" s="183" t="n">
        <v>-0.04</v>
      </c>
      <c r="I39" s="183" t="n">
        <v>-0.01</v>
      </c>
      <c r="J39" s="159">
        <f>+J$36/J42</f>
        <v/>
      </c>
      <c r="K39" s="159">
        <f>+K$36/K42</f>
        <v/>
      </c>
      <c r="L39" s="159">
        <f>+L$36/L42</f>
        <v/>
      </c>
      <c r="M39" s="159">
        <f>+M$36/M42</f>
        <v/>
      </c>
      <c r="N39" s="159">
        <f>+N$36/N42</f>
        <v/>
      </c>
      <c r="O39" s="159">
        <f>+O$36/O42</f>
        <v/>
      </c>
      <c r="P39" s="159">
        <f>+P$36/P42</f>
        <v/>
      </c>
      <c r="Q39" s="159">
        <f>+Q$36/Q42</f>
        <v/>
      </c>
      <c r="R39" s="159">
        <f>+R$36/R42</f>
        <v/>
      </c>
      <c r="S39" s="159">
        <f>+S$36/S42</f>
        <v/>
      </c>
    </row>
    <row r="41">
      <c r="B41" s="129" t="inlineStr">
        <is>
          <t>Basic - WASO</t>
        </is>
      </c>
      <c r="E41" s="171" t="n">
        <v>134.506</v>
      </c>
      <c r="F41" s="171" t="n">
        <v>134.828</v>
      </c>
      <c r="G41" s="171" t="n">
        <v>156.748</v>
      </c>
      <c r="H41" s="171" t="n">
        <v>171.222</v>
      </c>
      <c r="I41" s="171" t="n">
        <v>172.584</v>
      </c>
      <c r="J41" s="181" t="n">
        <v>173.113</v>
      </c>
      <c r="K41" s="181">
        <f>+J41</f>
        <v/>
      </c>
      <c r="L41" s="181">
        <f>+K41</f>
        <v/>
      </c>
      <c r="M41" s="181">
        <f>+L41</f>
        <v/>
      </c>
      <c r="N41" s="181">
        <f>+M41</f>
        <v/>
      </c>
      <c r="O41" s="181">
        <f>+N41</f>
        <v/>
      </c>
      <c r="P41" s="181">
        <f>+O41</f>
        <v/>
      </c>
      <c r="Q41" s="181">
        <f>+P41</f>
        <v/>
      </c>
      <c r="R41" s="181">
        <f>+Q41</f>
        <v/>
      </c>
      <c r="S41" s="181">
        <f>+R41</f>
        <v/>
      </c>
    </row>
    <row r="42">
      <c r="B42" s="129" t="inlineStr">
        <is>
          <t>Diluted - WASO</t>
        </is>
      </c>
      <c r="E42" s="171" t="n">
        <v>134.506</v>
      </c>
      <c r="F42" s="171" t="n">
        <v>134.828</v>
      </c>
      <c r="G42" s="171" t="n">
        <v>156.748</v>
      </c>
      <c r="H42" s="171" t="n">
        <v>171.222</v>
      </c>
      <c r="I42" s="171" t="n">
        <v>197.403</v>
      </c>
      <c r="J42" s="181" t="n">
        <v>190.354</v>
      </c>
      <c r="K42" s="181">
        <f>+J42</f>
        <v/>
      </c>
      <c r="L42" s="181">
        <f>+K42</f>
        <v/>
      </c>
      <c r="M42" s="181">
        <f>+L42</f>
        <v/>
      </c>
      <c r="N42" s="181">
        <f>+M42</f>
        <v/>
      </c>
      <c r="O42" s="181">
        <f>+N42</f>
        <v/>
      </c>
      <c r="P42" s="181">
        <f>+O42</f>
        <v/>
      </c>
      <c r="Q42" s="181">
        <f>+P42</f>
        <v/>
      </c>
      <c r="R42" s="181">
        <f>+Q42</f>
        <v/>
      </c>
      <c r="S42" s="181">
        <f>+R42</f>
        <v/>
      </c>
    </row>
    <row r="43">
      <c r="E43" s="171" t="n"/>
      <c r="F43" s="171" t="n"/>
      <c r="G43" s="171" t="n"/>
      <c r="H43" s="171" t="n"/>
      <c r="I43" s="171" t="n"/>
    </row>
    <row r="44">
      <c r="B44" s="129" t="inlineStr">
        <is>
          <t>Dividend to common</t>
        </is>
      </c>
      <c r="E44" s="171" t="n">
        <v>0</v>
      </c>
      <c r="F44" s="171" t="n">
        <v>0</v>
      </c>
      <c r="G44" s="171" t="n">
        <v>0</v>
      </c>
      <c r="H44" s="171" t="n">
        <v>0</v>
      </c>
      <c r="I44" s="171" t="n">
        <v>0</v>
      </c>
      <c r="J44" s="180">
        <f>+'FS Calcs'!J76</f>
        <v/>
      </c>
      <c r="K44" s="180">
        <f>+'FS Calcs'!K76</f>
        <v/>
      </c>
      <c r="L44" s="180">
        <f>+'FS Calcs'!L76</f>
        <v/>
      </c>
      <c r="M44" s="180">
        <f>+'FS Calcs'!M76</f>
        <v/>
      </c>
      <c r="N44" s="180">
        <f>+'FS Calcs'!N76</f>
        <v/>
      </c>
      <c r="O44" s="180">
        <f>+'FS Calcs'!O76</f>
        <v/>
      </c>
      <c r="P44" s="180">
        <f>+'FS Calcs'!P76</f>
        <v/>
      </c>
      <c r="Q44" s="180">
        <f>+'FS Calcs'!Q76</f>
        <v/>
      </c>
      <c r="R44" s="180">
        <f>+'FS Calcs'!R76</f>
        <v/>
      </c>
      <c r="S44" s="180">
        <f>+'FS Calcs'!S76</f>
        <v/>
      </c>
    </row>
    <row r="45">
      <c r="B45" s="129" t="inlineStr">
        <is>
          <t>Distribution to NCI</t>
        </is>
      </c>
      <c r="E45" s="171" t="n"/>
      <c r="F45" s="171" t="n">
        <v>-26.657</v>
      </c>
      <c r="G45" s="171" t="n">
        <v>-33.46</v>
      </c>
      <c r="H45" s="171" t="n">
        <v>-31.457</v>
      </c>
      <c r="I45" s="171" t="n">
        <v>-33.609</v>
      </c>
      <c r="J45" s="180">
        <f>+'FS Calcs'!J82</f>
        <v/>
      </c>
      <c r="K45" s="180">
        <f>+'FS Calcs'!K82</f>
        <v/>
      </c>
      <c r="L45" s="180">
        <f>+'FS Calcs'!L82</f>
        <v/>
      </c>
      <c r="M45" s="180">
        <f>+'FS Calcs'!M82</f>
        <v/>
      </c>
      <c r="N45" s="180">
        <f>+'FS Calcs'!N82</f>
        <v/>
      </c>
      <c r="O45" s="180">
        <f>+'FS Calcs'!O82</f>
        <v/>
      </c>
      <c r="P45" s="180">
        <f>+'FS Calcs'!P82</f>
        <v/>
      </c>
      <c r="Q45" s="180">
        <f>+'FS Calcs'!Q82</f>
        <v/>
      </c>
      <c r="R45" s="180">
        <f>+'FS Calcs'!R82</f>
        <v/>
      </c>
      <c r="S45" s="180">
        <f>+'FS Calcs'!S82</f>
        <v/>
      </c>
    </row>
    <row r="46">
      <c r="E46" s="159" t="n"/>
      <c r="F46" s="159" t="n"/>
      <c r="H46" s="159" t="n"/>
      <c r="I46" s="159" t="n"/>
    </row>
    <row r="47">
      <c r="A47" s="129" t="inlineStr">
        <is>
          <t>x</t>
        </is>
      </c>
      <c r="B47" s="128" t="inlineStr">
        <is>
          <t>Adj. EBITDA reconcillation</t>
        </is>
      </c>
      <c r="E47" s="159" t="n"/>
      <c r="F47" s="159" t="n"/>
    </row>
    <row r="48">
      <c r="B48" s="129" t="inlineStr">
        <is>
          <t>EBT</t>
        </is>
      </c>
      <c r="E48" s="129">
        <f>+E27</f>
        <v/>
      </c>
      <c r="F48" s="129">
        <f>+F27</f>
        <v/>
      </c>
      <c r="G48" s="129">
        <f>+G27</f>
        <v/>
      </c>
      <c r="H48" s="129">
        <f>+H27</f>
        <v/>
      </c>
      <c r="I48" s="129">
        <f>+I27</f>
        <v/>
      </c>
      <c r="J48" s="129">
        <f>+J27</f>
        <v/>
      </c>
      <c r="K48" s="129">
        <f>+K27</f>
        <v/>
      </c>
      <c r="L48" s="129">
        <f>+L27</f>
        <v/>
      </c>
      <c r="M48" s="129">
        <f>+M27</f>
        <v/>
      </c>
      <c r="N48" s="129">
        <f>+N27</f>
        <v/>
      </c>
      <c r="O48" s="129">
        <f>+O27</f>
        <v/>
      </c>
      <c r="P48" s="129">
        <f>+P27</f>
        <v/>
      </c>
      <c r="Q48" s="129">
        <f>+Q27</f>
        <v/>
      </c>
      <c r="R48" s="129">
        <f>+R27</f>
        <v/>
      </c>
      <c r="S48" s="129">
        <f>+S27</f>
        <v/>
      </c>
    </row>
    <row r="49">
      <c r="B49" s="129" t="inlineStr">
        <is>
          <t>Tax expense</t>
        </is>
      </c>
      <c r="E49" s="129">
        <f>+IF(E32&lt;0,E32*-1, 0)</f>
        <v/>
      </c>
      <c r="F49" s="129">
        <f>+IF(F32&lt;0,F32*-1, 0)</f>
        <v/>
      </c>
      <c r="G49" s="129">
        <f>+IF(G32&lt;0,G32*-1, 0)</f>
        <v/>
      </c>
      <c r="H49" s="129">
        <f>+IF(H32&lt;0,H32*-1, 0)</f>
        <v/>
      </c>
      <c r="I49" s="129">
        <f>+IF(I32&lt;0,I32*-1, 0)</f>
        <v/>
      </c>
      <c r="J49" s="129">
        <f>+IF(J32&lt;0,J32*-1, 0)</f>
        <v/>
      </c>
      <c r="K49" s="129">
        <f>+IF(K32&lt;0,K32*-1, 0)</f>
        <v/>
      </c>
      <c r="L49" s="129">
        <f>+IF(L32&lt;0,L32*-1, 0)</f>
        <v/>
      </c>
      <c r="M49" s="129">
        <f>+IF(M32&lt;0,M32*-1, 0)</f>
        <v/>
      </c>
      <c r="N49" s="129">
        <f>+IF(N32&lt;0,N32*-1, 0)</f>
        <v/>
      </c>
      <c r="O49" s="129">
        <f>+IF(O32&lt;0,O32*-1, 0)</f>
        <v/>
      </c>
      <c r="P49" s="129">
        <f>+IF(P32&lt;0,P32*-1, 0)</f>
        <v/>
      </c>
      <c r="Q49" s="129">
        <f>+IF(Q32&lt;0,Q32*-1, 0)</f>
        <v/>
      </c>
      <c r="R49" s="129">
        <f>+IF(R32&lt;0,R32*-1, 0)</f>
        <v/>
      </c>
      <c r="S49" s="129">
        <f>+IF(S32&lt;0,S32*-1, 0)</f>
        <v/>
      </c>
    </row>
    <row r="50">
      <c r="B50" s="129" t="inlineStr">
        <is>
          <t>Interest</t>
        </is>
      </c>
      <c r="E50" s="129">
        <f>+E22*-1</f>
        <v/>
      </c>
      <c r="F50" s="129">
        <f>+F22*-1</f>
        <v/>
      </c>
      <c r="G50" s="129">
        <f>+G22*-1</f>
        <v/>
      </c>
      <c r="H50" s="129">
        <f>+H22*-1</f>
        <v/>
      </c>
      <c r="I50" s="129">
        <f>+I22*-1</f>
        <v/>
      </c>
      <c r="J50" s="129">
        <f>+J22*-1</f>
        <v/>
      </c>
      <c r="K50" s="129">
        <f>+K22*-1</f>
        <v/>
      </c>
      <c r="L50" s="129">
        <f>+L22*-1</f>
        <v/>
      </c>
      <c r="M50" s="129">
        <f>+M22*-1</f>
        <v/>
      </c>
      <c r="N50" s="129">
        <f>+N22*-1</f>
        <v/>
      </c>
      <c r="O50" s="129">
        <f>+O22*-1</f>
        <v/>
      </c>
      <c r="P50" s="129">
        <f>+P22*-1</f>
        <v/>
      </c>
      <c r="Q50" s="129">
        <f>+Q22*-1</f>
        <v/>
      </c>
      <c r="R50" s="129">
        <f>+R22*-1</f>
        <v/>
      </c>
      <c r="S50" s="129">
        <f>+S22*-1</f>
        <v/>
      </c>
    </row>
    <row r="51">
      <c r="B51" s="129" t="inlineStr">
        <is>
          <t>D&amp;A</t>
        </is>
      </c>
      <c r="E51" s="129">
        <f>+SUM(E16:E17)*-1</f>
        <v/>
      </c>
      <c r="F51" s="129">
        <f>+SUM(F16:F17)*-1</f>
        <v/>
      </c>
      <c r="G51" s="129">
        <f>+SUM(G16:G17)*-1</f>
        <v/>
      </c>
      <c r="H51" s="129">
        <f>+SUM(H16:H17)*-1</f>
        <v/>
      </c>
      <c r="I51" s="129">
        <f>+SUM(I16:I17)*-1</f>
        <v/>
      </c>
      <c r="J51" s="129">
        <f>+SUM(J16:J17)*-1</f>
        <v/>
      </c>
      <c r="K51" s="129">
        <f>+SUM(K16:K17)*-1</f>
        <v/>
      </c>
      <c r="L51" s="129">
        <f>+SUM(L16:L17)*-1</f>
        <v/>
      </c>
      <c r="M51" s="129">
        <f>+SUM(M16:M17)*-1</f>
        <v/>
      </c>
      <c r="N51" s="129">
        <f>+SUM(N16:N17)*-1</f>
        <v/>
      </c>
      <c r="O51" s="129">
        <f>+SUM(O16:O17)*-1</f>
        <v/>
      </c>
      <c r="P51" s="129">
        <f>+SUM(P16:P17)*-1</f>
        <v/>
      </c>
      <c r="Q51" s="129">
        <f>+SUM(Q16:Q17)*-1</f>
        <v/>
      </c>
      <c r="R51" s="129">
        <f>+SUM(R16:R17)*-1</f>
        <v/>
      </c>
      <c r="S51" s="129">
        <f>+SUM(S16:S17)*-1</f>
        <v/>
      </c>
    </row>
    <row r="52">
      <c r="B52" s="129" t="inlineStr">
        <is>
          <t>SBC</t>
        </is>
      </c>
      <c r="E52" s="129">
        <f>+E21*-1</f>
        <v/>
      </c>
      <c r="F52" s="129">
        <f>+F21*-1</f>
        <v/>
      </c>
      <c r="G52" s="129">
        <f>+G21*-1</f>
        <v/>
      </c>
      <c r="H52" s="129">
        <f>+H21*-1</f>
        <v/>
      </c>
      <c r="I52" s="129">
        <f>+I21*-1</f>
        <v/>
      </c>
      <c r="J52" s="129">
        <f>+J21*-1</f>
        <v/>
      </c>
      <c r="K52" s="129">
        <f>+K21*-1</f>
        <v/>
      </c>
      <c r="L52" s="129">
        <f>+L21*-1</f>
        <v/>
      </c>
      <c r="M52" s="129">
        <f>+M21*-1</f>
        <v/>
      </c>
      <c r="N52" s="129">
        <f>+N21*-1</f>
        <v/>
      </c>
      <c r="O52" s="129">
        <f>+O21*-1</f>
        <v/>
      </c>
      <c r="P52" s="129">
        <f>+P21*-1</f>
        <v/>
      </c>
      <c r="Q52" s="129">
        <f>+Q21*-1</f>
        <v/>
      </c>
      <c r="R52" s="129">
        <f>+R21*-1</f>
        <v/>
      </c>
      <c r="S52" s="129">
        <f>+S21*-1</f>
        <v/>
      </c>
    </row>
    <row r="53">
      <c r="B53" s="129" t="inlineStr">
        <is>
          <t>Writedowns</t>
        </is>
      </c>
      <c r="E53" s="129">
        <f>+E18*-1</f>
        <v/>
      </c>
      <c r="F53" s="129">
        <f>+F18*-1</f>
        <v/>
      </c>
      <c r="G53" s="129">
        <f>+G18*-1</f>
        <v/>
      </c>
      <c r="H53" s="129">
        <f>+H18*-1</f>
        <v/>
      </c>
      <c r="I53" s="129">
        <f>+I18*-1</f>
        <v/>
      </c>
      <c r="J53" s="129">
        <f>+J18*-1</f>
        <v/>
      </c>
      <c r="K53" s="129">
        <f>+K18*-1</f>
        <v/>
      </c>
      <c r="L53" s="129">
        <f>+L18*-1</f>
        <v/>
      </c>
      <c r="M53" s="129">
        <f>+M18*-1</f>
        <v/>
      </c>
      <c r="N53" s="129">
        <f>+N18*-1</f>
        <v/>
      </c>
      <c r="O53" s="129">
        <f>+O18*-1</f>
        <v/>
      </c>
      <c r="P53" s="129">
        <f>+P18*-1</f>
        <v/>
      </c>
      <c r="Q53" s="129">
        <f>+Q18*-1</f>
        <v/>
      </c>
      <c r="R53" s="129">
        <f>+R18*-1</f>
        <v/>
      </c>
      <c r="S53" s="129">
        <f>+S18*-1</f>
        <v/>
      </c>
    </row>
    <row r="54">
      <c r="B54" s="129" t="inlineStr">
        <is>
          <t>Derivatives, FX</t>
        </is>
      </c>
      <c r="E54" s="129">
        <f>+(E23+E24)*-1</f>
        <v/>
      </c>
      <c r="F54" s="129">
        <f>+(F23+F24)*-1</f>
        <v/>
      </c>
      <c r="G54" s="129">
        <f>+(G23+G24)*-1</f>
        <v/>
      </c>
      <c r="H54" s="129">
        <f>+(H23+H24)*-1</f>
        <v/>
      </c>
      <c r="I54" s="129">
        <f>+(I23+I24)*-1</f>
        <v/>
      </c>
      <c r="J54" s="129">
        <f>+(J23+J24)*-1</f>
        <v/>
      </c>
      <c r="K54" s="129">
        <f>+(K23+K24)*-1</f>
        <v/>
      </c>
      <c r="L54" s="129">
        <f>+(L23+L24)*-1</f>
        <v/>
      </c>
      <c r="M54" s="129">
        <f>+(M23+M24)*-1</f>
        <v/>
      </c>
      <c r="N54" s="129">
        <f>+(N23+N24)*-1</f>
        <v/>
      </c>
      <c r="O54" s="129">
        <f>+(O23+O24)*-1</f>
        <v/>
      </c>
      <c r="P54" s="129">
        <f>+(P23+P24)*-1</f>
        <v/>
      </c>
      <c r="Q54" s="129">
        <f>+(Q23+Q24)*-1</f>
        <v/>
      </c>
      <c r="R54" s="129">
        <f>+(R23+R24)*-1</f>
        <v/>
      </c>
      <c r="S54" s="129">
        <f>+(S23+S24)*-1</f>
        <v/>
      </c>
    </row>
    <row r="55">
      <c r="B55" s="129" t="inlineStr">
        <is>
          <t>Reorg, dev and other</t>
        </is>
      </c>
      <c r="E55" s="129">
        <f>+E25*-1</f>
        <v/>
      </c>
      <c r="F55" s="129">
        <f>+F25*-1</f>
        <v/>
      </c>
      <c r="G55" s="129">
        <f>+G25*-1</f>
        <v/>
      </c>
      <c r="H55" s="129">
        <f>+H25*-1</f>
        <v/>
      </c>
      <c r="I55" s="129">
        <f>+I25*-1</f>
        <v/>
      </c>
      <c r="J55" s="129">
        <f>+J25*-1</f>
        <v/>
      </c>
      <c r="K55" s="129">
        <f>+K25*-1</f>
        <v/>
      </c>
      <c r="L55" s="129">
        <f>+L25*-1</f>
        <v/>
      </c>
      <c r="M55" s="129">
        <f>+M25*-1</f>
        <v/>
      </c>
      <c r="N55" s="129">
        <f>+N25*-1</f>
        <v/>
      </c>
      <c r="O55" s="129">
        <f>+O25*-1</f>
        <v/>
      </c>
      <c r="P55" s="129">
        <f>+P25*-1</f>
        <v/>
      </c>
      <c r="Q55" s="129">
        <f>+Q25*-1</f>
        <v/>
      </c>
      <c r="R55" s="129">
        <f>+R25*-1</f>
        <v/>
      </c>
      <c r="S55" s="129">
        <f>+S25*-1</f>
        <v/>
      </c>
    </row>
    <row r="56" customFormat="1" s="132">
      <c r="B56" s="167" t="inlineStr">
        <is>
          <t>Adj EBITDA (company defined)</t>
        </is>
      </c>
      <c r="C56" s="167" t="n"/>
      <c r="D56" s="167" t="n"/>
      <c r="E56" s="167">
        <f>SUM(E48:E55)</f>
        <v/>
      </c>
      <c r="F56" s="167">
        <f>SUM(F48:F55)</f>
        <v/>
      </c>
      <c r="G56" s="167">
        <f>SUM(G48:G55)</f>
        <v/>
      </c>
      <c r="H56" s="167">
        <f>SUM(H48:H55)</f>
        <v/>
      </c>
      <c r="I56" s="167">
        <f>SUM(I48:I55)</f>
        <v/>
      </c>
      <c r="J56" s="167">
        <f>SUM(J48:J55)</f>
        <v/>
      </c>
      <c r="K56" s="167">
        <f>SUM(K48:K55)</f>
        <v/>
      </c>
      <c r="L56" s="167">
        <f>SUM(L48:L55)</f>
        <v/>
      </c>
      <c r="M56" s="167">
        <f>SUM(M48:M55)</f>
        <v/>
      </c>
      <c r="N56" s="167">
        <f>SUM(N48:N55)</f>
        <v/>
      </c>
      <c r="O56" s="167">
        <f>SUM(O48:O55)</f>
        <v/>
      </c>
      <c r="P56" s="167">
        <f>SUM(P48:P55)</f>
        <v/>
      </c>
      <c r="Q56" s="167">
        <f>SUM(Q48:Q55)</f>
        <v/>
      </c>
      <c r="R56" s="167">
        <f>SUM(R48:R55)</f>
        <v/>
      </c>
      <c r="S56" s="167">
        <f>SUM(S48:S55)</f>
        <v/>
      </c>
    </row>
    <row r="57" customFormat="1" s="125">
      <c r="B57" s="125" t="inlineStr">
        <is>
          <t>% margin</t>
        </is>
      </c>
      <c r="E57" s="169">
        <f>+E56/E$6</f>
        <v/>
      </c>
      <c r="F57" s="169">
        <f>+F56/F$6</f>
        <v/>
      </c>
      <c r="G57" s="169">
        <f>+G56/G$6</f>
        <v/>
      </c>
      <c r="H57" s="169">
        <f>+H56/H$6</f>
        <v/>
      </c>
      <c r="I57" s="169">
        <f>+I56/I$6</f>
        <v/>
      </c>
      <c r="J57" s="169">
        <f>+J56/J$6</f>
        <v/>
      </c>
      <c r="K57" s="169">
        <f>+K56/K$6</f>
        <v/>
      </c>
      <c r="L57" s="169">
        <f>+L56/L$6</f>
        <v/>
      </c>
      <c r="M57" s="169">
        <f>+M56/M$6</f>
        <v/>
      </c>
      <c r="N57" s="169">
        <f>+N56/N$6</f>
        <v/>
      </c>
      <c r="O57" s="169">
        <f>+O56/O$6</f>
        <v/>
      </c>
      <c r="P57" s="169">
        <f>+P56/P$6</f>
        <v/>
      </c>
      <c r="Q57" s="169">
        <f>+Q56/Q$6</f>
        <v/>
      </c>
      <c r="R57" s="169">
        <f>+R56/R$6</f>
        <v/>
      </c>
      <c r="S57" s="169">
        <f>+S56/S$6</f>
        <v/>
      </c>
    </row>
    <row r="58" customFormat="1" s="132"/>
    <row r="59" customFormat="1" s="132">
      <c r="B59" s="184" t="inlineStr">
        <is>
          <t>Attributable to NCI</t>
        </is>
      </c>
      <c r="E59" s="171" t="n">
        <v>-9.436999999999999</v>
      </c>
      <c r="F59" s="171" t="n">
        <v>-27.459</v>
      </c>
      <c r="G59" s="171" t="n">
        <v>-28.399</v>
      </c>
      <c r="H59" s="171" t="n">
        <v>-35.665</v>
      </c>
      <c r="I59" s="171" t="n">
        <v>-28.682</v>
      </c>
      <c r="J59" s="132">
        <f>+J60*J56*-1</f>
        <v/>
      </c>
      <c r="K59" s="132">
        <f>+K60*K56*-1</f>
        <v/>
      </c>
      <c r="L59" s="132">
        <f>+L60*L56*-1</f>
        <v/>
      </c>
      <c r="M59" s="132">
        <f>+M60*M56*-1</f>
        <v/>
      </c>
      <c r="N59" s="132">
        <f>+N60*N56*-1</f>
        <v/>
      </c>
      <c r="O59" s="132">
        <f>+O60*O56*-1</f>
        <v/>
      </c>
      <c r="P59" s="132">
        <f>+P60*P56*-1</f>
        <v/>
      </c>
      <c r="Q59" s="132">
        <f>+Q60*Q56*-1</f>
        <v/>
      </c>
      <c r="R59" s="132">
        <f>+R60*R56*-1</f>
        <v/>
      </c>
      <c r="S59" s="132">
        <f>+S60*S56*-1</f>
        <v/>
      </c>
    </row>
    <row r="60">
      <c r="B60" s="165" t="inlineStr">
        <is>
          <t>% attributable</t>
        </is>
      </c>
      <c r="E60" s="162">
        <f>+E59/E56*-1</f>
        <v/>
      </c>
      <c r="F60" s="162">
        <f>+F59/F56*-1</f>
        <v/>
      </c>
      <c r="G60" s="162">
        <f>+G59/G56*-1</f>
        <v/>
      </c>
      <c r="H60" s="162">
        <f>+H59/H56*-1</f>
        <v/>
      </c>
      <c r="I60" s="162">
        <f>+I59/I56*-1</f>
        <v/>
      </c>
      <c r="J60" s="185">
        <f>+AVERAGE(E60:I60)</f>
        <v/>
      </c>
      <c r="K60" s="185">
        <f>+J60</f>
        <v/>
      </c>
      <c r="L60" s="185">
        <f>+K60</f>
        <v/>
      </c>
      <c r="M60" s="185">
        <f>+L60</f>
        <v/>
      </c>
      <c r="N60" s="185">
        <f>+M60</f>
        <v/>
      </c>
      <c r="O60" s="185">
        <f>+N60</f>
        <v/>
      </c>
      <c r="P60" s="185">
        <f>+O60</f>
        <v/>
      </c>
      <c r="Q60" s="185">
        <f>+P60</f>
        <v/>
      </c>
      <c r="R60" s="185">
        <f>+Q60</f>
        <v/>
      </c>
      <c r="S60" s="185">
        <f>+R60</f>
        <v/>
      </c>
    </row>
    <row r="61">
      <c r="B61" s="165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</row>
    <row r="62" customFormat="1" s="132">
      <c r="B62" s="186" t="inlineStr">
        <is>
          <t>Proportionate Adj EBITDA (company defined)</t>
        </is>
      </c>
      <c r="C62" s="187" t="n"/>
      <c r="D62" s="187" t="n"/>
      <c r="E62" s="187">
        <f>+E56+E59</f>
        <v/>
      </c>
      <c r="F62" s="187">
        <f>+F56+F59</f>
        <v/>
      </c>
      <c r="G62" s="187">
        <f>+G56+G59</f>
        <v/>
      </c>
      <c r="H62" s="187">
        <f>+H56+H59</f>
        <v/>
      </c>
      <c r="I62" s="187">
        <f>+I56+I59</f>
        <v/>
      </c>
      <c r="J62" s="187">
        <f>+J56+J59</f>
        <v/>
      </c>
      <c r="K62" s="187">
        <f>+K56+K59</f>
        <v/>
      </c>
      <c r="L62" s="187">
        <f>+L56+L59</f>
        <v/>
      </c>
      <c r="M62" s="187">
        <f>+M56+M59</f>
        <v/>
      </c>
      <c r="N62" s="187">
        <f>+N56+N59</f>
        <v/>
      </c>
      <c r="O62" s="187">
        <f>+O56+O59</f>
        <v/>
      </c>
      <c r="P62" s="187">
        <f>+P56+P59</f>
        <v/>
      </c>
      <c r="Q62" s="187">
        <f>+Q56+Q59</f>
        <v/>
      </c>
      <c r="R62" s="187">
        <f>+R56+R59</f>
        <v/>
      </c>
      <c r="S62" s="187">
        <f>+S56+S59</f>
        <v/>
      </c>
      <c r="T62" s="188" t="n"/>
    </row>
    <row r="63" customFormat="1" s="125">
      <c r="B63" s="125" t="inlineStr">
        <is>
          <t>% margin</t>
        </is>
      </c>
      <c r="E63" s="169">
        <f>+E62/E$6</f>
        <v/>
      </c>
      <c r="F63" s="169">
        <f>+F62/F$6</f>
        <v/>
      </c>
      <c r="G63" s="169">
        <f>+G62/G$6</f>
        <v/>
      </c>
      <c r="H63" s="169">
        <f>+H62/H$6</f>
        <v/>
      </c>
      <c r="I63" s="169">
        <f>+I62/I$6</f>
        <v/>
      </c>
      <c r="J63" s="169">
        <f>+J62/J$6</f>
        <v/>
      </c>
      <c r="K63" s="169">
        <f>+K62/K$6</f>
        <v/>
      </c>
      <c r="L63" s="169">
        <f>+L62/L$6</f>
        <v/>
      </c>
      <c r="M63" s="169">
        <f>+M62/M$6</f>
        <v/>
      </c>
      <c r="N63" s="169">
        <f>+N62/N$6</f>
        <v/>
      </c>
      <c r="O63" s="169">
        <f>+O62/O$6</f>
        <v/>
      </c>
      <c r="P63" s="169">
        <f>+P62/P$6</f>
        <v/>
      </c>
      <c r="Q63" s="169">
        <f>+Q62/Q$6</f>
        <v/>
      </c>
      <c r="R63" s="169">
        <f>+R62/R$6</f>
        <v/>
      </c>
      <c r="S63" s="169">
        <f>+S62/S$6</f>
        <v/>
      </c>
    </row>
    <row r="64">
      <c r="B64" s="165" t="n"/>
    </row>
    <row r="65">
      <c r="B65" s="189" t="inlineStr">
        <is>
          <t>(-) SBC</t>
        </is>
      </c>
      <c r="E65" s="129">
        <f>+E52*-1</f>
        <v/>
      </c>
      <c r="F65" s="129">
        <f>+F52*-1</f>
        <v/>
      </c>
      <c r="G65" s="129">
        <f>+G52*-1</f>
        <v/>
      </c>
      <c r="H65" s="129">
        <f>+H52*-1</f>
        <v/>
      </c>
      <c r="I65" s="129">
        <f>+I52*-1</f>
        <v/>
      </c>
      <c r="J65" s="129">
        <f>+J52*-1</f>
        <v/>
      </c>
      <c r="K65" s="129">
        <f>+K52*-1</f>
        <v/>
      </c>
      <c r="L65" s="129">
        <f>+L52*-1</f>
        <v/>
      </c>
      <c r="M65" s="129">
        <f>+M52*-1</f>
        <v/>
      </c>
      <c r="N65" s="129">
        <f>+N52*-1</f>
        <v/>
      </c>
      <c r="O65" s="129">
        <f>+O52*-1</f>
        <v/>
      </c>
      <c r="P65" s="129">
        <f>+P52*-1</f>
        <v/>
      </c>
      <c r="Q65" s="129">
        <f>+Q52*-1</f>
        <v/>
      </c>
      <c r="R65" s="129">
        <f>+R52*-1</f>
        <v/>
      </c>
      <c r="S65" s="129">
        <f>+S52*-1</f>
        <v/>
      </c>
    </row>
    <row r="66">
      <c r="B66" s="129" t="inlineStr">
        <is>
          <t>(-) Derivatives, FX</t>
        </is>
      </c>
      <c r="E66" s="129">
        <f>+E54*-1</f>
        <v/>
      </c>
      <c r="F66" s="129">
        <f>+F54*-1</f>
        <v/>
      </c>
      <c r="G66" s="129">
        <f>+G54*-1</f>
        <v/>
      </c>
      <c r="H66" s="129">
        <f>+H54*-1</f>
        <v/>
      </c>
      <c r="I66" s="129">
        <f>+I54*-1</f>
        <v/>
      </c>
      <c r="J66" s="129">
        <f>+J54*-1</f>
        <v/>
      </c>
      <c r="K66" s="129">
        <f>+K54*-1</f>
        <v/>
      </c>
      <c r="L66" s="129">
        <f>+L54*-1</f>
        <v/>
      </c>
      <c r="M66" s="129">
        <f>+M54*-1</f>
        <v/>
      </c>
      <c r="N66" s="129">
        <f>+N54*-1</f>
        <v/>
      </c>
      <c r="O66" s="129">
        <f>+O54*-1</f>
        <v/>
      </c>
      <c r="P66" s="129">
        <f>+P54*-1</f>
        <v/>
      </c>
      <c r="Q66" s="129">
        <f>+Q54*-1</f>
        <v/>
      </c>
      <c r="R66" s="129">
        <f>+R54*-1</f>
        <v/>
      </c>
      <c r="S66" s="129">
        <f>+S54*-1</f>
        <v/>
      </c>
    </row>
    <row r="67">
      <c r="B67" s="129" t="inlineStr">
        <is>
          <t>(-) Reorg, dev and other</t>
        </is>
      </c>
      <c r="E67" s="129">
        <f>+E55*-1</f>
        <v/>
      </c>
      <c r="F67" s="129">
        <f>+F55*-1</f>
        <v/>
      </c>
      <c r="G67" s="129">
        <f>+G55*-1</f>
        <v/>
      </c>
      <c r="H67" s="129">
        <f>+H55*-1</f>
        <v/>
      </c>
      <c r="I67" s="129">
        <f>+I55*-1</f>
        <v/>
      </c>
      <c r="J67" s="129">
        <f>+J55*-1</f>
        <v/>
      </c>
      <c r="K67" s="129">
        <f>+K55*-1</f>
        <v/>
      </c>
      <c r="L67" s="129">
        <f>+L55*-1</f>
        <v/>
      </c>
      <c r="M67" s="129">
        <f>+M55*-1</f>
        <v/>
      </c>
      <c r="N67" s="129">
        <f>+N55*-1</f>
        <v/>
      </c>
      <c r="O67" s="129">
        <f>+O55*-1</f>
        <v/>
      </c>
      <c r="P67" s="129">
        <f>+P55*-1</f>
        <v/>
      </c>
      <c r="Q67" s="129">
        <f>+Q55*-1</f>
        <v/>
      </c>
      <c r="R67" s="129">
        <f>+R55*-1</f>
        <v/>
      </c>
      <c r="S67" s="129">
        <f>+S55*-1</f>
        <v/>
      </c>
    </row>
    <row r="68" customFormat="1" s="132">
      <c r="B68" s="167" t="inlineStr">
        <is>
          <t>Adj EBITDA (Danial Azmi defined)</t>
        </is>
      </c>
      <c r="C68" s="167" t="n"/>
      <c r="D68" s="167" t="n"/>
      <c r="E68" s="167">
        <f>+E56+E65+E66+E67</f>
        <v/>
      </c>
      <c r="F68" s="167">
        <f>+F56+F65+F66+F67</f>
        <v/>
      </c>
      <c r="G68" s="167">
        <f>+G56+G65+G66+G67</f>
        <v/>
      </c>
      <c r="H68" s="167">
        <f>+H56+H65+H66+H67</f>
        <v/>
      </c>
      <c r="I68" s="167">
        <f>+I56+I65+I66+I67</f>
        <v/>
      </c>
      <c r="J68" s="167">
        <f>+J56+J65+J66+J67</f>
        <v/>
      </c>
      <c r="K68" s="167">
        <f>+K56+K65+K66+K67</f>
        <v/>
      </c>
      <c r="L68" s="167">
        <f>+L56+L65+L66+L67</f>
        <v/>
      </c>
      <c r="M68" s="167">
        <f>+M56+M65+M66+M67</f>
        <v/>
      </c>
      <c r="N68" s="167">
        <f>+N56+N65+N66+N67</f>
        <v/>
      </c>
      <c r="O68" s="167">
        <f>+O56+O65+O66+O67</f>
        <v/>
      </c>
      <c r="P68" s="167">
        <f>+P56+P65+P66+P67</f>
        <v/>
      </c>
      <c r="Q68" s="167">
        <f>+Q56+Q65+Q66+Q67</f>
        <v/>
      </c>
      <c r="R68" s="167">
        <f>+R56+R65+R66+R67</f>
        <v/>
      </c>
      <c r="S68" s="167">
        <f>+S56+S65+S66+S67</f>
        <v/>
      </c>
    </row>
    <row r="69" customFormat="1" s="132">
      <c r="B69" s="125" t="inlineStr">
        <is>
          <t>% margin</t>
        </is>
      </c>
      <c r="E69" s="169">
        <f>+E68/E6</f>
        <v/>
      </c>
      <c r="F69" s="169">
        <f>+F68/F6</f>
        <v/>
      </c>
      <c r="G69" s="169">
        <f>+G68/G6</f>
        <v/>
      </c>
      <c r="H69" s="169">
        <f>+H68/H6</f>
        <v/>
      </c>
      <c r="I69" s="169">
        <f>+I68/I6</f>
        <v/>
      </c>
      <c r="J69" s="169">
        <f>+J68/J6</f>
        <v/>
      </c>
      <c r="K69" s="169">
        <f>+K68/K6</f>
        <v/>
      </c>
      <c r="L69" s="169">
        <f>+L68/L6</f>
        <v/>
      </c>
      <c r="M69" s="169">
        <f>+M68/M6</f>
        <v/>
      </c>
      <c r="N69" s="169">
        <f>+N68/N6</f>
        <v/>
      </c>
      <c r="O69" s="169">
        <f>+O68/O6</f>
        <v/>
      </c>
      <c r="P69" s="169">
        <f>+P68/P6</f>
        <v/>
      </c>
      <c r="Q69" s="169">
        <f>+Q68/Q6</f>
        <v/>
      </c>
      <c r="R69" s="169">
        <f>+R68/R6</f>
        <v/>
      </c>
      <c r="S69" s="169">
        <f>+S68/S6</f>
        <v/>
      </c>
    </row>
    <row r="70" customFormat="1" s="132"/>
    <row r="71" customFormat="1" s="132">
      <c r="B71" s="187" t="inlineStr">
        <is>
          <t>Proportionate Adj. EBITDA (DA defined)</t>
        </is>
      </c>
      <c r="C71" s="187" t="n"/>
      <c r="D71" s="187" t="n"/>
      <c r="E71" s="187">
        <f>+E68*(1-E60)</f>
        <v/>
      </c>
      <c r="F71" s="187">
        <f>+F68*(1-F60)</f>
        <v/>
      </c>
      <c r="G71" s="187">
        <f>+G68*(1-G60)</f>
        <v/>
      </c>
      <c r="H71" s="187">
        <f>+H68*(1-H60)</f>
        <v/>
      </c>
      <c r="I71" s="187">
        <f>+I68*(1-I60)</f>
        <v/>
      </c>
      <c r="J71" s="187">
        <f>+J68*(1-J60)</f>
        <v/>
      </c>
      <c r="K71" s="187">
        <f>+K68*(1-K60)</f>
        <v/>
      </c>
      <c r="L71" s="187">
        <f>+L68*(1-L60)</f>
        <v/>
      </c>
      <c r="M71" s="187">
        <f>+M68*(1-M60)</f>
        <v/>
      </c>
      <c r="N71" s="187">
        <f>+N68*(1-N60)</f>
        <v/>
      </c>
      <c r="O71" s="187">
        <f>+O68*(1-O60)</f>
        <v/>
      </c>
      <c r="P71" s="187">
        <f>+P68*(1-P60)</f>
        <v/>
      </c>
      <c r="Q71" s="187">
        <f>+Q68*(1-Q60)</f>
        <v/>
      </c>
      <c r="R71" s="187">
        <f>+R68*(1-R60)</f>
        <v/>
      </c>
      <c r="S71" s="187">
        <f>+S68*(1-S60)</f>
        <v/>
      </c>
    </row>
    <row r="72" customFormat="1" s="125">
      <c r="B72" s="125" t="inlineStr">
        <is>
          <t>% margin to common</t>
        </is>
      </c>
      <c r="E72" s="169">
        <f>+E71/E6</f>
        <v/>
      </c>
      <c r="F72" s="169">
        <f>+F71/F6</f>
        <v/>
      </c>
      <c r="G72" s="169">
        <f>+G71/G6</f>
        <v/>
      </c>
      <c r="H72" s="169">
        <f>+H71/H6</f>
        <v/>
      </c>
      <c r="I72" s="169">
        <f>+I71/I6</f>
        <v/>
      </c>
      <c r="J72" s="169">
        <f>+J71/J6</f>
        <v/>
      </c>
      <c r="K72" s="169">
        <f>+K71/K6</f>
        <v/>
      </c>
      <c r="L72" s="169">
        <f>+L71/L6</f>
        <v/>
      </c>
      <c r="M72" s="169">
        <f>+M71/M6</f>
        <v/>
      </c>
      <c r="N72" s="169">
        <f>+N71/N6</f>
        <v/>
      </c>
      <c r="O72" s="169">
        <f>+O71/O6</f>
        <v/>
      </c>
      <c r="P72" s="169">
        <f>+P71/P6</f>
        <v/>
      </c>
      <c r="Q72" s="169">
        <f>+Q71/Q6</f>
        <v/>
      </c>
      <c r="R72" s="169">
        <f>+R71/R6</f>
        <v/>
      </c>
      <c r="S72" s="169">
        <f>+S71/S6</f>
        <v/>
      </c>
    </row>
    <row r="74">
      <c r="B74" s="129" t="inlineStr">
        <is>
          <t>TV gross margin</t>
        </is>
      </c>
      <c r="H74" s="180">
        <f>+'RevBuild Calcs'!H21</f>
        <v/>
      </c>
      <c r="I74" s="180">
        <f>+'RevBuild Calcs'!I21</f>
        <v/>
      </c>
      <c r="J74" s="180">
        <f>+'RevBuild Calcs'!J21</f>
        <v/>
      </c>
      <c r="K74" s="180">
        <f>+'RevBuild Calcs'!K21</f>
        <v/>
      </c>
      <c r="L74" s="180">
        <f>+'RevBuild Calcs'!L21</f>
        <v/>
      </c>
      <c r="M74" s="180">
        <f>+'RevBuild Calcs'!M21</f>
        <v/>
      </c>
      <c r="N74" s="180">
        <f>+'RevBuild Calcs'!N21</f>
        <v/>
      </c>
      <c r="O74" s="180">
        <f>+'RevBuild Calcs'!O21</f>
        <v/>
      </c>
      <c r="P74" s="180">
        <f>+'RevBuild Calcs'!P21</f>
        <v/>
      </c>
      <c r="Q74" s="180">
        <f>+'RevBuild Calcs'!Q21</f>
        <v/>
      </c>
      <c r="R74" s="180">
        <f>+'RevBuild Calcs'!R21</f>
        <v/>
      </c>
      <c r="S74" s="180">
        <f>+'RevBuild Calcs'!S21</f>
        <v/>
      </c>
    </row>
    <row r="75">
      <c r="B75" s="129" t="inlineStr">
        <is>
          <t>TV SG&amp;A</t>
        </is>
      </c>
      <c r="H75" s="181" t="n">
        <v>-10</v>
      </c>
      <c r="I75" s="181" t="n">
        <v>-10</v>
      </c>
      <c r="J75" s="181" t="n">
        <v>-10</v>
      </c>
      <c r="K75" s="181" t="n">
        <v>-10</v>
      </c>
      <c r="L75" s="181" t="n">
        <v>-10</v>
      </c>
      <c r="M75" s="181" t="n">
        <v>-10</v>
      </c>
      <c r="N75" s="181" t="n">
        <v>-5</v>
      </c>
      <c r="O75" s="181" t="n">
        <v>-5</v>
      </c>
      <c r="P75" s="181" t="n">
        <v>-5</v>
      </c>
      <c r="Q75" s="181" t="n">
        <v>-5</v>
      </c>
      <c r="R75" s="181" t="n">
        <v>-5</v>
      </c>
      <c r="S75" s="181" t="n">
        <v>-5</v>
      </c>
    </row>
    <row r="76">
      <c r="B76" s="129" t="inlineStr">
        <is>
          <t>TV EBITDA</t>
        </is>
      </c>
      <c r="H76" s="129">
        <f>+H75+H74</f>
        <v/>
      </c>
      <c r="I76" s="129">
        <f>+I75+I74</f>
        <v/>
      </c>
      <c r="J76" s="129">
        <f>+J75+J74</f>
        <v/>
      </c>
      <c r="K76" s="129">
        <f>+K75+K74</f>
        <v/>
      </c>
      <c r="L76" s="129">
        <f>+L75+L74</f>
        <v/>
      </c>
      <c r="M76" s="129">
        <f>+M75+M74</f>
        <v/>
      </c>
      <c r="N76" s="129">
        <f>+N75+N74</f>
        <v/>
      </c>
      <c r="O76" s="129">
        <f>+O75+O74</f>
        <v/>
      </c>
      <c r="P76" s="129">
        <f>+P75+P74</f>
        <v/>
      </c>
      <c r="Q76" s="129">
        <f>+Q75+Q74</f>
        <v/>
      </c>
      <c r="R76" s="129">
        <f>+R75+R74</f>
        <v/>
      </c>
      <c r="S76" s="129">
        <f>+S75+S74</f>
        <v/>
      </c>
    </row>
  </sheetData>
  <pageMargins left="0.7" right="0.7" top="0.75" bottom="0.75" header="0.3" footer="0.3"/>
  <pageSetup orientation="portrait" paperSize="9" scale="27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S122"/>
  <sheetViews>
    <sheetView showGridLines="0" tabSelected="1" zoomScale="85" zoomScaleNormal="85" zoomScaleSheetLayoutView="85" workbookViewId="0">
      <pane xSplit="4" ySplit="3" topLeftCell="E29" activePane="bottomRight" state="frozen"/>
      <selection activeCell="B6" sqref="B6"/>
      <selection pane="topRight" activeCell="B6" sqref="B6"/>
      <selection pane="bottomLeft" activeCell="B6" sqref="B6"/>
      <selection pane="bottomRight" activeCell="J29" sqref="J29"/>
    </sheetView>
  </sheetViews>
  <sheetFormatPr baseColWidth="8" defaultColWidth="15.73046875" defaultRowHeight="14.25"/>
  <cols>
    <col width="1.73046875" customWidth="1" style="124" min="1" max="1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3">
      <c r="E3" s="126" t="n">
        <v>2018</v>
      </c>
      <c r="F3" s="126">
        <f>+E3+1</f>
        <v/>
      </c>
      <c r="G3" s="126">
        <f>+F3+1</f>
        <v/>
      </c>
      <c r="H3" s="126">
        <f>+G3+1</f>
        <v/>
      </c>
      <c r="I3" s="126">
        <f>+H3+1</f>
        <v/>
      </c>
      <c r="J3" s="127">
        <f>+I3+1</f>
        <v/>
      </c>
      <c r="K3" s="127">
        <f>+J3+1</f>
        <v/>
      </c>
      <c r="L3" s="127">
        <f>+K3+1</f>
        <v/>
      </c>
      <c r="M3" s="127">
        <f>+L3+1</f>
        <v/>
      </c>
      <c r="N3" s="127">
        <f>+M3+1</f>
        <v/>
      </c>
      <c r="O3" s="127">
        <f>+N3+1</f>
        <v/>
      </c>
      <c r="P3" s="127">
        <f>+O3+1</f>
        <v/>
      </c>
      <c r="Q3" s="127">
        <f>+P3+1</f>
        <v/>
      </c>
      <c r="R3" s="127">
        <f>+Q3+1</f>
        <v/>
      </c>
      <c r="S3" s="127">
        <f>+R3+1</f>
        <v/>
      </c>
    </row>
    <row r="4"/>
    <row r="5">
      <c r="A5" s="129" t="inlineStr">
        <is>
          <t>x</t>
        </is>
      </c>
      <c r="B5" s="128" t="inlineStr">
        <is>
          <t>BS</t>
        </is>
      </c>
    </row>
    <row r="6">
      <c r="B6" s="129" t="inlineStr">
        <is>
          <t>Cash &amp; Equivalents</t>
        </is>
      </c>
      <c r="E6" s="171" t="n">
        <v>46.55</v>
      </c>
      <c r="F6" s="171" t="n">
        <v>39.999</v>
      </c>
      <c r="G6" s="171" t="n">
        <v>67.889</v>
      </c>
      <c r="H6" s="171" t="n">
        <v>78.431</v>
      </c>
      <c r="I6" s="171" t="n">
        <v>59.899</v>
      </c>
      <c r="J6" s="180">
        <f>+'Debt Calcs'!J70</f>
        <v/>
      </c>
      <c r="K6" s="180">
        <f>+'Debt Calcs'!K70</f>
        <v/>
      </c>
      <c r="L6" s="180">
        <f>+'Debt Calcs'!L70</f>
        <v/>
      </c>
      <c r="M6" s="180">
        <f>+'Debt Calcs'!M70</f>
        <v/>
      </c>
      <c r="N6" s="180">
        <f>+'Debt Calcs'!N70</f>
        <v/>
      </c>
      <c r="O6" s="180">
        <f>+'Debt Calcs'!O70</f>
        <v/>
      </c>
      <c r="P6" s="180">
        <f>+'Debt Calcs'!P70</f>
        <v/>
      </c>
      <c r="Q6" s="180">
        <f>+'Debt Calcs'!Q70</f>
        <v/>
      </c>
      <c r="R6" s="180">
        <f>+'Debt Calcs'!R70</f>
        <v/>
      </c>
      <c r="S6" s="180">
        <f>+'Debt Calcs'!S70</f>
        <v/>
      </c>
    </row>
    <row r="7">
      <c r="B7" s="129" t="inlineStr">
        <is>
          <t>Restricted Cash</t>
        </is>
      </c>
      <c r="E7" s="171" t="n">
        <v>0</v>
      </c>
      <c r="F7" s="171" t="n">
        <v>0</v>
      </c>
      <c r="G7" s="171" t="n">
        <v>16.637</v>
      </c>
      <c r="H7" s="171" t="n">
        <v>13.626</v>
      </c>
      <c r="I7" s="171" t="n">
        <v>8.835000000000001</v>
      </c>
      <c r="J7" s="190">
        <f>+I7</f>
        <v/>
      </c>
      <c r="K7" s="171">
        <f>+J7</f>
        <v/>
      </c>
      <c r="L7" s="171">
        <f>+K7</f>
        <v/>
      </c>
      <c r="M7" s="171">
        <f>+L7</f>
        <v/>
      </c>
      <c r="N7" s="171">
        <f>+M7</f>
        <v/>
      </c>
      <c r="O7" s="171">
        <f>+N7</f>
        <v/>
      </c>
      <c r="P7" s="171">
        <f>+O7</f>
        <v/>
      </c>
      <c r="Q7" s="171">
        <f>+P7</f>
        <v/>
      </c>
      <c r="R7" s="171">
        <f>+Q7</f>
        <v/>
      </c>
      <c r="S7" s="171">
        <f>+R7</f>
        <v/>
      </c>
    </row>
    <row r="8">
      <c r="B8" s="129" t="inlineStr">
        <is>
          <t>Accounts Receivable</t>
        </is>
      </c>
      <c r="E8" s="171" t="n">
        <v>251.538</v>
      </c>
      <c r="F8" s="171" t="n">
        <v>265.71</v>
      </c>
      <c r="G8" s="171" t="n">
        <v>200.217</v>
      </c>
      <c r="H8" s="171" t="n">
        <v>195.24</v>
      </c>
      <c r="I8" s="171" t="n">
        <v>249.66</v>
      </c>
      <c r="J8" s="180">
        <f>+'FS Calcs'!J15</f>
        <v/>
      </c>
      <c r="K8" s="180">
        <f>+'FS Calcs'!K15</f>
        <v/>
      </c>
      <c r="L8" s="180">
        <f>+'FS Calcs'!L15</f>
        <v/>
      </c>
      <c r="M8" s="180">
        <f>+'FS Calcs'!M15</f>
        <v/>
      </c>
      <c r="N8" s="180">
        <f>+'FS Calcs'!N15</f>
        <v/>
      </c>
      <c r="O8" s="180">
        <f>+'FS Calcs'!O15</f>
        <v/>
      </c>
      <c r="P8" s="180">
        <f>+'FS Calcs'!P15</f>
        <v/>
      </c>
      <c r="Q8" s="180">
        <f>+'FS Calcs'!Q15</f>
        <v/>
      </c>
      <c r="R8" s="180">
        <f>+'FS Calcs'!R15</f>
        <v/>
      </c>
      <c r="S8" s="180">
        <f>+'FS Calcs'!S15</f>
        <v/>
      </c>
    </row>
    <row r="9">
      <c r="B9" s="129" t="inlineStr">
        <is>
          <t>Prepaid Expenses and Deposits</t>
        </is>
      </c>
      <c r="E9" s="171" t="n">
        <v>8.58</v>
      </c>
      <c r="F9" s="171" t="n">
        <v>7.182</v>
      </c>
      <c r="G9" s="171" t="n">
        <v>8.779</v>
      </c>
      <c r="H9" s="171" t="n">
        <v>6.184</v>
      </c>
      <c r="I9" s="171" t="n">
        <v>8.583</v>
      </c>
      <c r="J9" s="180">
        <f>+'FS Calcs'!J18</f>
        <v/>
      </c>
      <c r="K9" s="180">
        <f>+'FS Calcs'!K18</f>
        <v/>
      </c>
      <c r="L9" s="180">
        <f>+'FS Calcs'!L18</f>
        <v/>
      </c>
      <c r="M9" s="180">
        <f>+'FS Calcs'!M18</f>
        <v/>
      </c>
      <c r="N9" s="180">
        <f>+'FS Calcs'!N18</f>
        <v/>
      </c>
      <c r="O9" s="180">
        <f>+'FS Calcs'!O18</f>
        <v/>
      </c>
      <c r="P9" s="180">
        <f>+'FS Calcs'!P18</f>
        <v/>
      </c>
      <c r="Q9" s="180">
        <f>+'FS Calcs'!Q18</f>
        <v/>
      </c>
      <c r="R9" s="180">
        <f>+'FS Calcs'!R18</f>
        <v/>
      </c>
      <c r="S9" s="180">
        <f>+'FS Calcs'!S18</f>
        <v/>
      </c>
    </row>
    <row r="10">
      <c r="B10" s="129" t="inlineStr">
        <is>
          <t>Investment in Film and Television Programs</t>
        </is>
      </c>
      <c r="E10" s="171" t="n">
        <v>186.008</v>
      </c>
      <c r="F10" s="171" t="n">
        <v>148.561</v>
      </c>
      <c r="G10" s="171" t="n">
        <v>140.548</v>
      </c>
      <c r="H10" s="171" t="n">
        <v>147.783</v>
      </c>
      <c r="I10" s="171" t="n">
        <v>163.563</v>
      </c>
      <c r="J10" s="180">
        <f>+'FS Calcs'!J35</f>
        <v/>
      </c>
      <c r="K10" s="180">
        <f>+'FS Calcs'!K35</f>
        <v/>
      </c>
      <c r="L10" s="180">
        <f>+'FS Calcs'!L35</f>
        <v/>
      </c>
      <c r="M10" s="180">
        <f>+'FS Calcs'!M35</f>
        <v/>
      </c>
      <c r="N10" s="180">
        <f>+'FS Calcs'!N35</f>
        <v/>
      </c>
      <c r="O10" s="180">
        <f>+'FS Calcs'!O35</f>
        <v/>
      </c>
      <c r="P10" s="180">
        <f>+'FS Calcs'!P35</f>
        <v/>
      </c>
      <c r="Q10" s="180">
        <f>+'FS Calcs'!Q35</f>
        <v/>
      </c>
      <c r="R10" s="180">
        <f>+'FS Calcs'!R35</f>
        <v/>
      </c>
      <c r="S10" s="180">
        <f>+'FS Calcs'!S35</f>
        <v/>
      </c>
    </row>
    <row r="11" customFormat="1" s="132">
      <c r="B11" s="132" t="inlineStr">
        <is>
          <t>Total Current Assets</t>
        </is>
      </c>
      <c r="E11" s="132">
        <f>SUM(E6:E10)</f>
        <v/>
      </c>
      <c r="F11" s="132">
        <f>SUM(F6:F10)</f>
        <v/>
      </c>
      <c r="G11" s="132">
        <f>SUM(G6:G10)</f>
        <v/>
      </c>
      <c r="H11" s="132">
        <f>SUM(H6:H10)</f>
        <v/>
      </c>
      <c r="I11" s="132">
        <f>SUM(I6:I10)</f>
        <v/>
      </c>
      <c r="J11" s="132">
        <f>SUM(J6:J10)</f>
        <v/>
      </c>
      <c r="K11" s="132">
        <f>SUM(K6:K10)</f>
        <v/>
      </c>
      <c r="L11" s="132">
        <f>SUM(L6:L10)</f>
        <v/>
      </c>
      <c r="M11" s="132">
        <f>SUM(M6:M10)</f>
        <v/>
      </c>
      <c r="N11" s="132">
        <f>SUM(N6:N10)</f>
        <v/>
      </c>
      <c r="O11" s="132">
        <f>SUM(O6:O10)</f>
        <v/>
      </c>
      <c r="P11" s="132">
        <f>SUM(P6:P10)</f>
        <v/>
      </c>
      <c r="Q11" s="132">
        <f>SUM(Q6:Q10)</f>
        <v/>
      </c>
      <c r="R11" s="132">
        <f>SUM(R6:R10)</f>
        <v/>
      </c>
      <c r="S11" s="132">
        <f>SUM(S6:S10)</f>
        <v/>
      </c>
    </row>
    <row r="12"/>
    <row r="13">
      <c r="B13" s="129" t="inlineStr">
        <is>
          <t>LT receivables</t>
        </is>
      </c>
      <c r="E13" s="171" t="n">
        <v>18.789</v>
      </c>
      <c r="F13" s="171" t="n">
        <v>14.318</v>
      </c>
      <c r="G13" s="171" t="n">
        <v>21.035</v>
      </c>
      <c r="H13" s="171" t="n">
        <v>51.997</v>
      </c>
      <c r="I13" s="171" t="n">
        <v>84.79000000000001</v>
      </c>
      <c r="J13" s="180">
        <f>+'FS Calcs'!J26</f>
        <v/>
      </c>
      <c r="K13" s="180">
        <f>+'FS Calcs'!K26</f>
        <v/>
      </c>
      <c r="L13" s="180">
        <f>+'FS Calcs'!L26</f>
        <v/>
      </c>
      <c r="M13" s="180">
        <f>+'FS Calcs'!M26</f>
        <v/>
      </c>
      <c r="N13" s="180">
        <f>+'FS Calcs'!N26</f>
        <v/>
      </c>
      <c r="O13" s="180">
        <f>+'FS Calcs'!O26</f>
        <v/>
      </c>
      <c r="P13" s="180">
        <f>+'FS Calcs'!P26</f>
        <v/>
      </c>
      <c r="Q13" s="180">
        <f>+'FS Calcs'!Q26</f>
        <v/>
      </c>
      <c r="R13" s="180">
        <f>+'FS Calcs'!R26</f>
        <v/>
      </c>
      <c r="S13" s="180">
        <f>+'FS Calcs'!S26</f>
        <v/>
      </c>
    </row>
    <row r="14">
      <c r="B14" s="129" t="inlineStr">
        <is>
          <t>Acquired and library content</t>
        </is>
      </c>
      <c r="E14" s="171" t="n">
        <v>147.088</v>
      </c>
      <c r="F14" s="171" t="n">
        <v>118.247</v>
      </c>
      <c r="G14" s="171" t="n">
        <v>109.076</v>
      </c>
      <c r="H14" s="171" t="n">
        <v>100.653</v>
      </c>
      <c r="I14" s="171" t="n">
        <v>92.732</v>
      </c>
      <c r="J14" s="180">
        <f>+'FS Calcs'!J46</f>
        <v/>
      </c>
      <c r="K14" s="180">
        <f>+'FS Calcs'!K46</f>
        <v/>
      </c>
      <c r="L14" s="180">
        <f>+'FS Calcs'!L46</f>
        <v/>
      </c>
      <c r="M14" s="180">
        <f>+'FS Calcs'!M46</f>
        <v/>
      </c>
      <c r="N14" s="180">
        <f>+'FS Calcs'!N46</f>
        <v/>
      </c>
      <c r="O14" s="180">
        <f>+'FS Calcs'!O46</f>
        <v/>
      </c>
      <c r="P14" s="180">
        <f>+'FS Calcs'!P46</f>
        <v/>
      </c>
      <c r="Q14" s="180">
        <f>+'FS Calcs'!Q46</f>
        <v/>
      </c>
      <c r="R14" s="180">
        <f>+'FS Calcs'!R46</f>
        <v/>
      </c>
      <c r="S14" s="180">
        <f>+'FS Calcs'!S46</f>
        <v/>
      </c>
    </row>
    <row r="15">
      <c r="B15" s="129" t="inlineStr">
        <is>
          <t>Property, Plant &amp; Equipment</t>
        </is>
      </c>
      <c r="E15" s="171" t="n">
        <v>30.436</v>
      </c>
      <c r="F15" s="171" t="n">
        <v>19.352</v>
      </c>
      <c r="G15" s="171" t="n">
        <v>54.245</v>
      </c>
      <c r="H15" s="171" t="n">
        <v>47.229</v>
      </c>
      <c r="I15" s="171" t="n">
        <v>39.287</v>
      </c>
      <c r="J15" s="180">
        <f>+'FS Calcs'!J56</f>
        <v/>
      </c>
      <c r="K15" s="180">
        <f>+'FS Calcs'!K56</f>
        <v/>
      </c>
      <c r="L15" s="180">
        <f>+'FS Calcs'!L56</f>
        <v/>
      </c>
      <c r="M15" s="180">
        <f>+'FS Calcs'!M56</f>
        <v/>
      </c>
      <c r="N15" s="180">
        <f>+'FS Calcs'!N56</f>
        <v/>
      </c>
      <c r="O15" s="180">
        <f>+'FS Calcs'!O56</f>
        <v/>
      </c>
      <c r="P15" s="180">
        <f>+'FS Calcs'!P56</f>
        <v/>
      </c>
      <c r="Q15" s="180">
        <f>+'FS Calcs'!Q56</f>
        <v/>
      </c>
      <c r="R15" s="180">
        <f>+'FS Calcs'!R56</f>
        <v/>
      </c>
      <c r="S15" s="180">
        <f>+'FS Calcs'!S56</f>
        <v/>
      </c>
    </row>
    <row r="16">
      <c r="B16" s="129" t="inlineStr">
        <is>
          <t>Derivative assets</t>
        </is>
      </c>
      <c r="E16" s="175" t="n"/>
      <c r="F16" s="175" t="n"/>
      <c r="G16" s="175" t="n"/>
      <c r="H16" s="175" t="n"/>
      <c r="I16" s="171" t="n">
        <v>8.845000000000001</v>
      </c>
      <c r="J16" s="190">
        <f>+I16</f>
        <v/>
      </c>
      <c r="K16" s="171">
        <f>+J16</f>
        <v/>
      </c>
      <c r="L16" s="171">
        <f>+K16</f>
        <v/>
      </c>
      <c r="M16" s="171">
        <f>+L16</f>
        <v/>
      </c>
      <c r="N16" s="171">
        <f>+M16</f>
        <v/>
      </c>
      <c r="O16" s="171">
        <f>+N16</f>
        <v/>
      </c>
      <c r="P16" s="171">
        <f>+O16</f>
        <v/>
      </c>
      <c r="Q16" s="171">
        <f>+P16</f>
        <v/>
      </c>
      <c r="R16" s="171">
        <f>+Q16</f>
        <v/>
      </c>
      <c r="S16" s="171">
        <f>+R16</f>
        <v/>
      </c>
    </row>
    <row r="17">
      <c r="B17" s="129" t="inlineStr">
        <is>
          <t>Intangible Assets</t>
        </is>
      </c>
      <c r="E17" s="171" t="n">
        <v>546.997</v>
      </c>
      <c r="F17" s="171" t="n">
        <v>465.832</v>
      </c>
      <c r="G17" s="171" t="n">
        <v>472.531</v>
      </c>
      <c r="H17" s="171" t="n">
        <v>433.595</v>
      </c>
      <c r="I17" s="171" t="n">
        <v>448.947</v>
      </c>
      <c r="J17" s="180">
        <f>+'FS Calcs'!J67</f>
        <v/>
      </c>
      <c r="K17" s="180">
        <f>+'FS Calcs'!K67</f>
        <v/>
      </c>
      <c r="L17" s="180">
        <f>+'FS Calcs'!L67</f>
        <v/>
      </c>
      <c r="M17" s="180">
        <f>+'FS Calcs'!M67</f>
        <v/>
      </c>
      <c r="N17" s="180">
        <f>+'FS Calcs'!N67</f>
        <v/>
      </c>
      <c r="O17" s="180">
        <f>+'FS Calcs'!O67</f>
        <v/>
      </c>
      <c r="P17" s="180">
        <f>+'FS Calcs'!P67</f>
        <v/>
      </c>
      <c r="Q17" s="180">
        <f>+'FS Calcs'!Q67</f>
        <v/>
      </c>
      <c r="R17" s="180">
        <f>+'FS Calcs'!R67</f>
        <v/>
      </c>
      <c r="S17" s="180">
        <f>+'FS Calcs'!S67</f>
        <v/>
      </c>
    </row>
    <row r="18">
      <c r="B18" s="129" t="inlineStr">
        <is>
          <t>Goodwill</t>
        </is>
      </c>
      <c r="E18" s="171" t="n">
        <v>240.806</v>
      </c>
      <c r="F18" s="171" t="n">
        <v>239.754</v>
      </c>
      <c r="G18" s="171" t="n">
        <v>55.344</v>
      </c>
      <c r="H18" s="171" t="n">
        <v>53.164</v>
      </c>
      <c r="I18" s="171" t="n">
        <v>54.033</v>
      </c>
      <c r="J18" s="190">
        <f>+I18</f>
        <v/>
      </c>
      <c r="K18" s="171">
        <f>+J18</f>
        <v/>
      </c>
      <c r="L18" s="171">
        <f>+K18</f>
        <v/>
      </c>
      <c r="M18" s="171">
        <f>+L18</f>
        <v/>
      </c>
      <c r="N18" s="171">
        <f>+M18</f>
        <v/>
      </c>
      <c r="O18" s="171">
        <f>+N18</f>
        <v/>
      </c>
      <c r="P18" s="171">
        <f>+O18</f>
        <v/>
      </c>
      <c r="Q18" s="171">
        <f>+P18</f>
        <v/>
      </c>
      <c r="R18" s="171">
        <f>+Q18</f>
        <v/>
      </c>
      <c r="S18" s="171">
        <f>+R18</f>
        <v/>
      </c>
    </row>
    <row r="19" customFormat="1" s="132">
      <c r="B19" s="132" t="inlineStr">
        <is>
          <t>Total Assets</t>
        </is>
      </c>
      <c r="E19" s="132">
        <f>+SUM(E13:E18,E11)</f>
        <v/>
      </c>
      <c r="F19" s="132">
        <f>+SUM(F13:F18,F11)</f>
        <v/>
      </c>
      <c r="G19" s="132">
        <f>+SUM(G13:G18,G11)</f>
        <v/>
      </c>
      <c r="H19" s="132">
        <f>+SUM(H13:H18,H11)</f>
        <v/>
      </c>
      <c r="I19" s="132">
        <f>+SUM(I13:I18,I11)</f>
        <v/>
      </c>
      <c r="J19" s="132">
        <f>+SUM(J13:J18,J11)</f>
        <v/>
      </c>
      <c r="K19" s="132">
        <f>+SUM(K13:K18,K11)</f>
        <v/>
      </c>
      <c r="L19" s="132">
        <f>+SUM(L13:L18,L11)</f>
        <v/>
      </c>
      <c r="M19" s="132">
        <f>+SUM(M13:M18,M11)</f>
        <v/>
      </c>
      <c r="N19" s="132">
        <f>+SUM(N13:N18,N11)</f>
        <v/>
      </c>
      <c r="O19" s="132">
        <f>+SUM(O13:O18,O11)</f>
        <v/>
      </c>
      <c r="P19" s="132">
        <f>+SUM(P13:P18,P11)</f>
        <v/>
      </c>
      <c r="Q19" s="132">
        <f>+SUM(Q13:Q18,Q11)</f>
        <v/>
      </c>
      <c r="R19" s="132">
        <f>+SUM(R13:R18,R11)</f>
        <v/>
      </c>
      <c r="S19" s="132">
        <f>+SUM(S13:S18,S11)</f>
        <v/>
      </c>
    </row>
    <row r="20"/>
    <row r="21">
      <c r="B21" s="129" t="inlineStr">
        <is>
          <t>Bank Indebtedness</t>
        </is>
      </c>
      <c r="E21" s="171" t="n">
        <v>16.35</v>
      </c>
      <c r="F21" s="171" t="n">
        <v>0</v>
      </c>
      <c r="G21" s="171" t="n">
        <v>10</v>
      </c>
      <c r="H21" s="171" t="n">
        <v>0</v>
      </c>
      <c r="I21" s="171" t="n">
        <v>9.087</v>
      </c>
      <c r="J21" s="180">
        <f>+'Debt Calcs'!J7</f>
        <v/>
      </c>
      <c r="K21" s="180">
        <f>+'Debt Calcs'!K7</f>
        <v/>
      </c>
      <c r="L21" s="180">
        <f>+'Debt Calcs'!L7</f>
        <v/>
      </c>
      <c r="M21" s="180">
        <f>+'Debt Calcs'!M7</f>
        <v/>
      </c>
      <c r="N21" s="180">
        <f>+'Debt Calcs'!N7</f>
        <v/>
      </c>
      <c r="O21" s="180">
        <f>+'Debt Calcs'!O7</f>
        <v/>
      </c>
      <c r="P21" s="180">
        <f>+'Debt Calcs'!P7</f>
        <v/>
      </c>
      <c r="Q21" s="180">
        <f>+'Debt Calcs'!Q7</f>
        <v/>
      </c>
      <c r="R21" s="180">
        <f>+'Debt Calcs'!R7</f>
        <v/>
      </c>
      <c r="S21" s="180">
        <f>+'Debt Calcs'!S7</f>
        <v/>
      </c>
    </row>
    <row r="22">
      <c r="B22" s="129" t="inlineStr">
        <is>
          <t>Accounts Payable and Accrued Liabilities</t>
        </is>
      </c>
      <c r="E22" s="171" t="n">
        <v>130.545</v>
      </c>
      <c r="F22" s="171" t="n">
        <v>103.487</v>
      </c>
      <c r="G22" s="171" t="n">
        <v>98.92700000000001</v>
      </c>
      <c r="H22" s="171" t="n">
        <v>130.299</v>
      </c>
      <c r="I22" s="171" t="n">
        <v>180.956</v>
      </c>
      <c r="J22" s="180">
        <f>+'FS Calcs'!J20</f>
        <v/>
      </c>
      <c r="K22" s="180">
        <f>+'FS Calcs'!K20</f>
        <v/>
      </c>
      <c r="L22" s="180">
        <f>+'FS Calcs'!L20</f>
        <v/>
      </c>
      <c r="M22" s="180">
        <f>+'FS Calcs'!M20</f>
        <v/>
      </c>
      <c r="N22" s="180">
        <f>+'FS Calcs'!N20</f>
        <v/>
      </c>
      <c r="O22" s="180">
        <f>+'FS Calcs'!O20</f>
        <v/>
      </c>
      <c r="P22" s="180">
        <f>+'FS Calcs'!P20</f>
        <v/>
      </c>
      <c r="Q22" s="180">
        <f>+'FS Calcs'!Q20</f>
        <v/>
      </c>
      <c r="R22" s="180">
        <f>+'FS Calcs'!R20</f>
        <v/>
      </c>
      <c r="S22" s="180">
        <f>+'FS Calcs'!S20</f>
        <v/>
      </c>
    </row>
    <row r="23">
      <c r="B23" s="129" t="inlineStr">
        <is>
          <t>Deferred Revenue</t>
        </is>
      </c>
      <c r="E23" s="171" t="n">
        <v>47.552</v>
      </c>
      <c r="F23" s="171" t="n">
        <v>64.29900000000001</v>
      </c>
      <c r="G23" s="171" t="n">
        <v>48.371</v>
      </c>
      <c r="H23" s="171" t="n">
        <v>42.004</v>
      </c>
      <c r="I23" s="171" t="n">
        <v>58.116</v>
      </c>
      <c r="J23" s="180">
        <f>+'FS Calcs'!J23</f>
        <v/>
      </c>
      <c r="K23" s="180">
        <f>+'FS Calcs'!K23</f>
        <v/>
      </c>
      <c r="L23" s="180">
        <f>+'FS Calcs'!L23</f>
        <v/>
      </c>
      <c r="M23" s="180">
        <f>+'FS Calcs'!M23</f>
        <v/>
      </c>
      <c r="N23" s="180">
        <f>+'FS Calcs'!N23</f>
        <v/>
      </c>
      <c r="O23" s="180">
        <f>+'FS Calcs'!O23</f>
        <v/>
      </c>
      <c r="P23" s="180">
        <f>+'FS Calcs'!P23</f>
        <v/>
      </c>
      <c r="Q23" s="180">
        <f>+'FS Calcs'!Q23</f>
        <v/>
      </c>
      <c r="R23" s="180">
        <f>+'FS Calcs'!R23</f>
        <v/>
      </c>
      <c r="S23" s="180">
        <f>+'FS Calcs'!S23</f>
        <v/>
      </c>
    </row>
    <row r="24">
      <c r="B24" s="129" t="inlineStr">
        <is>
          <t>Production Financing</t>
        </is>
      </c>
      <c r="E24" s="171" t="n">
        <v>93.68300000000001</v>
      </c>
      <c r="F24" s="171" t="n">
        <v>92.44799999999999</v>
      </c>
      <c r="G24" s="171" t="n">
        <v>66.688</v>
      </c>
      <c r="H24" s="171" t="n">
        <v>65.40300000000001</v>
      </c>
      <c r="I24" s="171" t="n">
        <v>84.235</v>
      </c>
      <c r="J24" s="180">
        <f>+'Debt Calcs'!J8</f>
        <v/>
      </c>
      <c r="K24" s="180">
        <f>+'Debt Calcs'!K8</f>
        <v/>
      </c>
      <c r="L24" s="180">
        <f>+'Debt Calcs'!L8</f>
        <v/>
      </c>
      <c r="M24" s="180">
        <f>+'Debt Calcs'!M8</f>
        <v/>
      </c>
      <c r="N24" s="180">
        <f>+'Debt Calcs'!N8</f>
        <v/>
      </c>
      <c r="O24" s="180">
        <f>+'Debt Calcs'!O8</f>
        <v/>
      </c>
      <c r="P24" s="180">
        <f>+'Debt Calcs'!P8</f>
        <v/>
      </c>
      <c r="Q24" s="180">
        <f>+'Debt Calcs'!Q8</f>
        <v/>
      </c>
      <c r="R24" s="180">
        <f>+'Debt Calcs'!R8</f>
        <v/>
      </c>
      <c r="S24" s="180">
        <f>+'Debt Calcs'!S8</f>
        <v/>
      </c>
    </row>
    <row r="25">
      <c r="B25" s="129" t="inlineStr">
        <is>
          <t>Current Portion of Lease Liabilities</t>
        </is>
      </c>
      <c r="E25" s="171" t="n">
        <v>0</v>
      </c>
      <c r="F25" s="171" t="n">
        <v>0</v>
      </c>
      <c r="G25" s="171" t="n">
        <v>9.273999999999999</v>
      </c>
      <c r="H25" s="171" t="n">
        <v>9.428000000000001</v>
      </c>
      <c r="I25" s="171" t="n">
        <v>10.183</v>
      </c>
      <c r="J25" s="180">
        <f>+'Debt Calcs'!J9</f>
        <v/>
      </c>
      <c r="K25" s="180">
        <f>+'Debt Calcs'!K9</f>
        <v/>
      </c>
      <c r="L25" s="180">
        <f>+'Debt Calcs'!L9</f>
        <v/>
      </c>
      <c r="M25" s="180">
        <f>+'Debt Calcs'!M9</f>
        <v/>
      </c>
      <c r="N25" s="180">
        <f>+'Debt Calcs'!N9</f>
        <v/>
      </c>
      <c r="O25" s="180">
        <f>+'Debt Calcs'!O9</f>
        <v/>
      </c>
      <c r="P25" s="180">
        <f>+'Debt Calcs'!P9</f>
        <v/>
      </c>
      <c r="Q25" s="180">
        <f>+'Debt Calcs'!Q9</f>
        <v/>
      </c>
      <c r="R25" s="180">
        <f>+'Debt Calcs'!R9</f>
        <v/>
      </c>
      <c r="S25" s="180">
        <f>+'Debt Calcs'!S9</f>
        <v/>
      </c>
    </row>
    <row r="26">
      <c r="B26" s="129" t="inlineStr">
        <is>
          <t>Current Portion of Long-Term Debt</t>
        </is>
      </c>
      <c r="E26" s="171" t="n">
        <v>10.524</v>
      </c>
      <c r="F26" s="171" t="n">
        <v>11.007</v>
      </c>
      <c r="G26" s="171" t="n">
        <v>0</v>
      </c>
      <c r="H26" s="171" t="n">
        <v>3.532</v>
      </c>
      <c r="I26" s="171" t="n">
        <v>26.335</v>
      </c>
      <c r="J26" s="180">
        <f>+'Debt Calcs'!J10</f>
        <v/>
      </c>
      <c r="K26" s="180">
        <f>+'Debt Calcs'!K10</f>
        <v/>
      </c>
      <c r="L26" s="180">
        <f>+'Debt Calcs'!L10</f>
        <v/>
      </c>
      <c r="M26" s="180">
        <f>+'Debt Calcs'!M10</f>
        <v/>
      </c>
      <c r="N26" s="180">
        <f>+'Debt Calcs'!N10</f>
        <v/>
      </c>
      <c r="O26" s="180">
        <f>+'Debt Calcs'!O10</f>
        <v/>
      </c>
      <c r="P26" s="180">
        <f>+'Debt Calcs'!P10</f>
        <v/>
      </c>
      <c r="Q26" s="180">
        <f>+'Debt Calcs'!Q10</f>
        <v/>
      </c>
      <c r="R26" s="180">
        <f>+'Debt Calcs'!R10</f>
        <v/>
      </c>
      <c r="S26" s="180">
        <f>+'Debt Calcs'!S10</f>
        <v/>
      </c>
    </row>
    <row r="27" customFormat="1" s="132">
      <c r="B27" s="132" t="inlineStr">
        <is>
          <t>Total Current Liabilities</t>
        </is>
      </c>
      <c r="E27" s="132">
        <f>SUM(E21:E26)</f>
        <v/>
      </c>
      <c r="F27" s="132">
        <f>SUM(F21:F26)</f>
        <v/>
      </c>
      <c r="G27" s="132">
        <f>SUM(G21:G26)</f>
        <v/>
      </c>
      <c r="H27" s="132">
        <f>SUM(H21:H26)</f>
        <v/>
      </c>
      <c r="I27" s="132">
        <f>SUM(I21:I26)</f>
        <v/>
      </c>
      <c r="J27" s="132">
        <f>SUM(J21:J26)</f>
        <v/>
      </c>
      <c r="K27" s="132">
        <f>SUM(K21:K26)</f>
        <v/>
      </c>
      <c r="L27" s="132">
        <f>SUM(L21:L26)</f>
        <v/>
      </c>
      <c r="M27" s="132">
        <f>SUM(M21:M26)</f>
        <v/>
      </c>
      <c r="N27" s="132">
        <f>SUM(N21:N26)</f>
        <v/>
      </c>
      <c r="O27" s="132">
        <f>SUM(O21:O26)</f>
        <v/>
      </c>
      <c r="P27" s="132">
        <f>SUM(P21:P26)</f>
        <v/>
      </c>
      <c r="Q27" s="132">
        <f>SUM(Q21:Q26)</f>
        <v/>
      </c>
      <c r="R27" s="132">
        <f>SUM(R21:R26)</f>
        <v/>
      </c>
      <c r="S27" s="132">
        <f>SUM(S21:S26)</f>
        <v/>
      </c>
    </row>
    <row r="28"/>
    <row r="29">
      <c r="B29" s="129" t="inlineStr">
        <is>
          <t>Long-Term Debt</t>
        </is>
      </c>
      <c r="E29" s="171" t="n">
        <v>746.046</v>
      </c>
      <c r="F29" s="171" t="n">
        <v>523.061</v>
      </c>
      <c r="G29" s="171" t="n">
        <v>502.006</v>
      </c>
      <c r="H29" s="171" t="n">
        <v>478.862</v>
      </c>
      <c r="I29" s="171" t="n">
        <v>477.804</v>
      </c>
      <c r="J29" s="180">
        <f>+'Debt Calcs'!J13</f>
        <v/>
      </c>
      <c r="K29" s="180">
        <f>+'Debt Calcs'!K13</f>
        <v/>
      </c>
      <c r="L29" s="180">
        <f>+'Debt Calcs'!L13</f>
        <v/>
      </c>
      <c r="M29" s="180">
        <f>+'Debt Calcs'!M13</f>
        <v/>
      </c>
      <c r="N29" s="180">
        <f>+'Debt Calcs'!N13</f>
        <v/>
      </c>
      <c r="O29" s="180">
        <f>+'Debt Calcs'!O13</f>
        <v/>
      </c>
      <c r="P29" s="180">
        <f>+'Debt Calcs'!P13</f>
        <v/>
      </c>
      <c r="Q29" s="180">
        <f>+'Debt Calcs'!Q13</f>
        <v/>
      </c>
      <c r="R29" s="180">
        <f>+'Debt Calcs'!R13</f>
        <v/>
      </c>
      <c r="S29" s="180">
        <f>+'Debt Calcs'!S13</f>
        <v/>
      </c>
    </row>
    <row r="30">
      <c r="B30" s="129" t="inlineStr">
        <is>
          <t>Long-Term Lease Liabilities</t>
        </is>
      </c>
      <c r="E30" s="171" t="n">
        <v>0</v>
      </c>
      <c r="F30" s="171" t="n">
        <v>0</v>
      </c>
      <c r="G30" s="171" t="n">
        <v>41.552</v>
      </c>
      <c r="H30" s="171" t="n">
        <v>34.407</v>
      </c>
      <c r="I30" s="171" t="n">
        <v>26.056</v>
      </c>
      <c r="J30" s="180">
        <f>+'Debt Calcs'!J14</f>
        <v/>
      </c>
      <c r="K30" s="180">
        <f>+'Debt Calcs'!K14</f>
        <v/>
      </c>
      <c r="L30" s="180">
        <f>+'Debt Calcs'!L14</f>
        <v/>
      </c>
      <c r="M30" s="180">
        <f>+'Debt Calcs'!M14</f>
        <v/>
      </c>
      <c r="N30" s="180">
        <f>+'Debt Calcs'!N14</f>
        <v/>
      </c>
      <c r="O30" s="180">
        <f>+'Debt Calcs'!O14</f>
        <v/>
      </c>
      <c r="P30" s="180">
        <f>+'Debt Calcs'!P14</f>
        <v/>
      </c>
      <c r="Q30" s="180">
        <f>+'Debt Calcs'!Q14</f>
        <v/>
      </c>
      <c r="R30" s="180">
        <f>+'Debt Calcs'!R14</f>
        <v/>
      </c>
      <c r="S30" s="180">
        <f>+'Debt Calcs'!S14</f>
        <v/>
      </c>
    </row>
    <row r="31">
      <c r="B31" s="129" t="inlineStr">
        <is>
          <t>Deferred Taxes</t>
        </is>
      </c>
      <c r="E31" s="171" t="n">
        <v>17.679</v>
      </c>
      <c r="F31" s="171" t="n">
        <v>16.406</v>
      </c>
      <c r="G31" s="171" t="n">
        <v>18.261</v>
      </c>
      <c r="H31" s="171" t="n">
        <v>10.328</v>
      </c>
      <c r="I31" s="171" t="n">
        <v>7.761</v>
      </c>
      <c r="J31" s="190">
        <f>+I31</f>
        <v/>
      </c>
      <c r="K31" s="171">
        <f>+J31</f>
        <v/>
      </c>
      <c r="L31" s="171">
        <f>+K31</f>
        <v/>
      </c>
      <c r="M31" s="171">
        <f>+L31</f>
        <v/>
      </c>
      <c r="N31" s="171">
        <f>+M31</f>
        <v/>
      </c>
      <c r="O31" s="171">
        <f>+N31</f>
        <v/>
      </c>
      <c r="P31" s="171">
        <f>+O31</f>
        <v/>
      </c>
      <c r="Q31" s="171">
        <f>+P31</f>
        <v/>
      </c>
      <c r="R31" s="171">
        <f>+Q31</f>
        <v/>
      </c>
      <c r="S31" s="171">
        <f>+R31</f>
        <v/>
      </c>
    </row>
    <row r="32">
      <c r="B32" s="129" t="inlineStr">
        <is>
          <t>Other Long-Term Liabilities (incl. derivatives)</t>
        </is>
      </c>
      <c r="E32" s="171" t="n">
        <v>13.621</v>
      </c>
      <c r="F32" s="171" t="n">
        <v>8.269</v>
      </c>
      <c r="G32" s="171" t="n">
        <v>9.736000000000001</v>
      </c>
      <c r="H32" s="171" t="n">
        <v>50.726</v>
      </c>
      <c r="I32" s="171" t="n">
        <v>23.238</v>
      </c>
      <c r="J32" s="190">
        <f>+I32</f>
        <v/>
      </c>
      <c r="K32" s="171">
        <f>+J32</f>
        <v/>
      </c>
      <c r="L32" s="171">
        <f>+K32</f>
        <v/>
      </c>
      <c r="M32" s="171">
        <f>+L32</f>
        <v/>
      </c>
      <c r="N32" s="171">
        <f>+M32</f>
        <v/>
      </c>
      <c r="O32" s="171">
        <f>+N32</f>
        <v/>
      </c>
      <c r="P32" s="171">
        <f>+O32</f>
        <v/>
      </c>
      <c r="Q32" s="171">
        <f>+P32</f>
        <v/>
      </c>
      <c r="R32" s="171">
        <f>+Q32</f>
        <v/>
      </c>
      <c r="S32" s="171">
        <f>+R32</f>
        <v/>
      </c>
    </row>
    <row r="33" customFormat="1" s="132">
      <c r="B33" s="132" t="inlineStr">
        <is>
          <t>Total Liabilities</t>
        </is>
      </c>
      <c r="E33" s="132">
        <f>+SUM(E29:E32,E27)</f>
        <v/>
      </c>
      <c r="F33" s="132">
        <f>+SUM(F29:F32,F27)</f>
        <v/>
      </c>
      <c r="G33" s="132">
        <f>+SUM(G29:G32,G27)</f>
        <v/>
      </c>
      <c r="H33" s="132">
        <f>+SUM(H29:H32,H27)</f>
        <v/>
      </c>
      <c r="I33" s="132">
        <f>+SUM(I29:I32,I27)</f>
        <v/>
      </c>
      <c r="J33" s="132">
        <f>+SUM(J29:J32,J27)</f>
        <v/>
      </c>
      <c r="K33" s="132">
        <f>+SUM(K29:K32,K27)</f>
        <v/>
      </c>
      <c r="L33" s="132">
        <f>+SUM(L29:L32,L27)</f>
        <v/>
      </c>
      <c r="M33" s="132">
        <f>+SUM(M29:M32,M27)</f>
        <v/>
      </c>
      <c r="N33" s="132">
        <f>+SUM(N29:N32,N27)</f>
        <v/>
      </c>
      <c r="O33" s="132">
        <f>+SUM(O29:O32,O27)</f>
        <v/>
      </c>
      <c r="P33" s="132">
        <f>+SUM(P29:P32,P27)</f>
        <v/>
      </c>
      <c r="Q33" s="132">
        <f>+SUM(Q29:Q32,Q27)</f>
        <v/>
      </c>
      <c r="R33" s="132">
        <f>+SUM(R29:R32,R27)</f>
        <v/>
      </c>
      <c r="S33" s="132">
        <f>+SUM(S29:S32,S27)</f>
        <v/>
      </c>
    </row>
    <row r="34"/>
    <row r="35">
      <c r="B35" s="129" t="inlineStr">
        <is>
          <t>Equity to common</t>
        </is>
      </c>
      <c r="E35" s="171" t="n">
        <v>315.078</v>
      </c>
      <c r="F35" s="171" t="n">
        <v>243.033</v>
      </c>
      <c r="G35" s="171" t="n">
        <v>81.351</v>
      </c>
      <c r="H35" s="171" t="n">
        <v>68.58799999999999</v>
      </c>
      <c r="I35" s="171" t="n">
        <v>79.428</v>
      </c>
      <c r="J35" s="180">
        <f>+'FS Calcs'!J78</f>
        <v/>
      </c>
      <c r="K35" s="180">
        <f>+'FS Calcs'!K78</f>
        <v/>
      </c>
      <c r="L35" s="180">
        <f>+'FS Calcs'!L78</f>
        <v/>
      </c>
      <c r="M35" s="180">
        <f>+'FS Calcs'!M78</f>
        <v/>
      </c>
      <c r="N35" s="180">
        <f>+'FS Calcs'!N78</f>
        <v/>
      </c>
      <c r="O35" s="180">
        <f>+'FS Calcs'!O78</f>
        <v/>
      </c>
      <c r="P35" s="180">
        <f>+'FS Calcs'!P78</f>
        <v/>
      </c>
      <c r="Q35" s="180">
        <f>+'FS Calcs'!Q78</f>
        <v/>
      </c>
      <c r="R35" s="180">
        <f>+'FS Calcs'!R78</f>
        <v/>
      </c>
      <c r="S35" s="180">
        <f>+'FS Calcs'!S78</f>
        <v/>
      </c>
    </row>
    <row r="36">
      <c r="B36" s="129" t="inlineStr">
        <is>
          <t>NCI</t>
        </is>
      </c>
      <c r="E36" s="171" t="n">
        <v>85.714</v>
      </c>
      <c r="F36" s="171" t="n">
        <v>256.945</v>
      </c>
      <c r="G36" s="171" t="n">
        <v>260.135</v>
      </c>
      <c r="H36" s="171" t="n">
        <v>234.325</v>
      </c>
      <c r="I36" s="171" t="n">
        <v>235.975</v>
      </c>
      <c r="J36" s="180">
        <f>+'FS Calcs'!J84</f>
        <v/>
      </c>
      <c r="K36" s="180">
        <f>+'FS Calcs'!K84</f>
        <v/>
      </c>
      <c r="L36" s="180">
        <f>+'FS Calcs'!L84</f>
        <v/>
      </c>
      <c r="M36" s="180">
        <f>+'FS Calcs'!M84</f>
        <v/>
      </c>
      <c r="N36" s="180">
        <f>+'FS Calcs'!N84</f>
        <v/>
      </c>
      <c r="O36" s="180">
        <f>+'FS Calcs'!O84</f>
        <v/>
      </c>
      <c r="P36" s="180">
        <f>+'FS Calcs'!P84</f>
        <v/>
      </c>
      <c r="Q36" s="180">
        <f>+'FS Calcs'!Q84</f>
        <v/>
      </c>
      <c r="R36" s="180">
        <f>+'FS Calcs'!R84</f>
        <v/>
      </c>
      <c r="S36" s="180">
        <f>+'FS Calcs'!S84</f>
        <v/>
      </c>
    </row>
    <row r="37" customFormat="1" s="132">
      <c r="B37" s="132" t="inlineStr">
        <is>
          <t>Total Equity</t>
        </is>
      </c>
      <c r="E37" s="132">
        <f>+E36+E35</f>
        <v/>
      </c>
      <c r="F37" s="132">
        <f>+F36+F35</f>
        <v/>
      </c>
      <c r="G37" s="132">
        <f>+G36+G35</f>
        <v/>
      </c>
      <c r="H37" s="132">
        <f>+H36+H35</f>
        <v/>
      </c>
      <c r="I37" s="132">
        <f>+I36+I35</f>
        <v/>
      </c>
      <c r="J37" s="132">
        <f>+J36+J35</f>
        <v/>
      </c>
      <c r="K37" s="132">
        <f>+K36+K35</f>
        <v/>
      </c>
      <c r="L37" s="132">
        <f>+L36+L35</f>
        <v/>
      </c>
      <c r="M37" s="132">
        <f>+M36+M35</f>
        <v/>
      </c>
      <c r="N37" s="132">
        <f>+N36+N35</f>
        <v/>
      </c>
      <c r="O37" s="132">
        <f>+O36+O35</f>
        <v/>
      </c>
      <c r="P37" s="132">
        <f>+P36+P35</f>
        <v/>
      </c>
      <c r="Q37" s="132">
        <f>+Q36+Q35</f>
        <v/>
      </c>
      <c r="R37" s="132">
        <f>+R36+R35</f>
        <v/>
      </c>
      <c r="S37" s="132">
        <f>+S36+S35</f>
        <v/>
      </c>
    </row>
    <row r="38"/>
    <row r="39">
      <c r="B39" s="129" t="inlineStr">
        <is>
          <t xml:space="preserve">Balance </t>
        </is>
      </c>
      <c r="E39" s="129">
        <f>+E19=E33+E37</f>
        <v/>
      </c>
      <c r="F39" s="129">
        <f>+F19=F33+F37</f>
        <v/>
      </c>
      <c r="G39" s="129">
        <f>+G19=G33+G37</f>
        <v/>
      </c>
      <c r="H39" s="129">
        <f>+H19=H33+H37</f>
        <v/>
      </c>
      <c r="I39" s="129">
        <f>+I19=I33+I37</f>
        <v/>
      </c>
      <c r="J39" s="129">
        <f>+J19=J33+J37</f>
        <v/>
      </c>
      <c r="K39" s="129">
        <f>+K19=K33+K37</f>
        <v/>
      </c>
      <c r="L39" s="129">
        <f>+L19=L33+L37</f>
        <v/>
      </c>
      <c r="M39" s="129">
        <f>+M19=M33+M37</f>
        <v/>
      </c>
      <c r="N39" s="129">
        <f>+N19=N33+N37</f>
        <v/>
      </c>
      <c r="O39" s="129">
        <f>+O19=O33+O37</f>
        <v/>
      </c>
      <c r="P39" s="129">
        <f>+P19=P33+P37</f>
        <v/>
      </c>
      <c r="Q39" s="129">
        <f>+Q19=Q33+Q37</f>
        <v/>
      </c>
      <c r="R39" s="129">
        <f>+R19=R33+R37</f>
        <v/>
      </c>
      <c r="S39" s="129">
        <f>+S19=S33+S37</f>
        <v/>
      </c>
    </row>
    <row r="40">
      <c r="F40" s="162" t="n"/>
      <c r="G40" s="162" t="n"/>
      <c r="H40" s="162" t="n"/>
      <c r="I40" s="162" t="n"/>
      <c r="J40" s="13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</row>
    <row r="41">
      <c r="B41" s="167" t="inlineStr">
        <is>
          <t>NWC (excl. investment in film and TV)</t>
        </is>
      </c>
      <c r="C41" s="167" t="n"/>
      <c r="D41" s="167" t="n"/>
      <c r="E41" s="167">
        <f>+SUM(E8:E9,E13)-SUM(E22:E23)</f>
        <v/>
      </c>
      <c r="F41" s="167">
        <f>+SUM(F8:F9,F13)-SUM(F22:F23)</f>
        <v/>
      </c>
      <c r="G41" s="167">
        <f>+SUM(G8:G9,G13)-SUM(G22:G23)</f>
        <v/>
      </c>
      <c r="H41" s="167">
        <f>+SUM(H8:H9,H13)-SUM(H22:H23)</f>
        <v/>
      </c>
      <c r="I41" s="167">
        <f>+SUM(I8:I9,I13)-SUM(I22:I23)</f>
        <v/>
      </c>
      <c r="J41" s="167">
        <f>+SUM(J8:J9,J13)-SUM(J22:J23)</f>
        <v/>
      </c>
      <c r="K41" s="167">
        <f>+SUM(K8:K9,K13)-SUM(K22:K23)</f>
        <v/>
      </c>
      <c r="L41" s="167">
        <f>+SUM(L8:L9,L13)-SUM(L22:L23)</f>
        <v/>
      </c>
      <c r="M41" s="167">
        <f>+SUM(M8:M9,M13)-SUM(M22:M23)</f>
        <v/>
      </c>
      <c r="N41" s="167">
        <f>+SUM(N8:N9,N13)-SUM(N22:N23)</f>
        <v/>
      </c>
      <c r="O41" s="167">
        <f>+SUM(O8:O9,O13)-SUM(O22:O23)</f>
        <v/>
      </c>
      <c r="P41" s="167">
        <f>+SUM(P8:P9,P13)-SUM(P22:P23)</f>
        <v/>
      </c>
      <c r="Q41" s="167">
        <f>+SUM(Q8:Q9,Q13)-SUM(Q22:Q23)</f>
        <v/>
      </c>
      <c r="R41" s="167">
        <f>+SUM(R8:R9,R13)-SUM(R22:R23)</f>
        <v/>
      </c>
      <c r="S41" s="167">
        <f>+SUM(S8:S9,S13)-SUM(S22:S23)</f>
        <v/>
      </c>
    </row>
    <row r="42">
      <c r="B42" s="132" t="inlineStr">
        <is>
          <t>NWC (incl. investment in film and TV)</t>
        </is>
      </c>
      <c r="C42" s="132" t="n"/>
      <c r="D42" s="132" t="n"/>
      <c r="E42" s="132">
        <f>+E41+E10</f>
        <v/>
      </c>
      <c r="F42" s="132">
        <f>+F41+F10</f>
        <v/>
      </c>
      <c r="G42" s="132">
        <f>+G41+G10</f>
        <v/>
      </c>
      <c r="H42" s="132">
        <f>+H41+H10</f>
        <v/>
      </c>
      <c r="I42" s="132">
        <f>+I41+I10</f>
        <v/>
      </c>
      <c r="J42" s="132">
        <f>+J41+J10</f>
        <v/>
      </c>
      <c r="K42" s="132">
        <f>+K41+K10</f>
        <v/>
      </c>
      <c r="L42" s="132">
        <f>+L41+L10</f>
        <v/>
      </c>
      <c r="M42" s="132">
        <f>+M41+M10</f>
        <v/>
      </c>
      <c r="N42" s="132">
        <f>+N41+N10</f>
        <v/>
      </c>
      <c r="O42" s="132">
        <f>+O41+O10</f>
        <v/>
      </c>
      <c r="P42" s="132">
        <f>+P41+P10</f>
        <v/>
      </c>
      <c r="Q42" s="132">
        <f>+Q41+Q10</f>
        <v/>
      </c>
      <c r="R42" s="132">
        <f>+R41+R10</f>
        <v/>
      </c>
      <c r="S42" s="132">
        <f>+S41+S10</f>
        <v/>
      </c>
    </row>
    <row r="43">
      <c r="B43" s="132" t="n"/>
      <c r="C43" s="132" t="n"/>
      <c r="D43" s="132" t="n"/>
      <c r="E43" s="132" t="n"/>
      <c r="F43" s="132" t="n"/>
      <c r="G43" s="132" t="n"/>
      <c r="H43" s="132" t="n"/>
      <c r="I43" s="132" t="n"/>
      <c r="J43" s="132" t="n"/>
      <c r="K43" s="132" t="n"/>
      <c r="L43" s="132" t="n"/>
      <c r="M43" s="132" t="n"/>
      <c r="N43" s="132" t="n"/>
      <c r="O43" s="132" t="n"/>
      <c r="P43" s="132" t="n"/>
      <c r="Q43" s="132" t="n"/>
      <c r="R43" s="132" t="n"/>
      <c r="S43" s="132" t="n"/>
    </row>
    <row r="44">
      <c r="B44" s="132" t="inlineStr">
        <is>
          <t>Total cash excl restricted cash</t>
        </is>
      </c>
      <c r="C44" s="132" t="n"/>
      <c r="D44" s="132" t="n"/>
      <c r="E44" s="132">
        <f>+E6</f>
        <v/>
      </c>
      <c r="F44" s="132">
        <f>+F6</f>
        <v/>
      </c>
      <c r="G44" s="132">
        <f>+G6</f>
        <v/>
      </c>
      <c r="H44" s="132">
        <f>+H6</f>
        <v/>
      </c>
      <c r="I44" s="132">
        <f>+I6</f>
        <v/>
      </c>
      <c r="J44" s="132">
        <f>+J6</f>
        <v/>
      </c>
      <c r="K44" s="132">
        <f>+K6</f>
        <v/>
      </c>
      <c r="L44" s="132">
        <f>+L6</f>
        <v/>
      </c>
      <c r="M44" s="132">
        <f>+M6</f>
        <v/>
      </c>
      <c r="N44" s="132">
        <f>+N6</f>
        <v/>
      </c>
      <c r="O44" s="132">
        <f>+O6</f>
        <v/>
      </c>
      <c r="P44" s="132">
        <f>+P6</f>
        <v/>
      </c>
      <c r="Q44" s="132">
        <f>+Q6</f>
        <v/>
      </c>
      <c r="R44" s="132">
        <f>+R6</f>
        <v/>
      </c>
      <c r="S44" s="132">
        <f>+S6</f>
        <v/>
      </c>
    </row>
    <row r="45">
      <c r="B45" s="132" t="inlineStr">
        <is>
          <t>Total cash incl restricted cash</t>
        </is>
      </c>
      <c r="C45" s="132" t="n"/>
      <c r="D45" s="132" t="n"/>
      <c r="E45" s="132">
        <f>+E44+E7</f>
        <v/>
      </c>
      <c r="F45" s="132">
        <f>+F44+F7</f>
        <v/>
      </c>
      <c r="G45" s="132">
        <f>+G44+G7</f>
        <v/>
      </c>
      <c r="H45" s="132">
        <f>+H44+H7</f>
        <v/>
      </c>
      <c r="I45" s="132">
        <f>+I44+I7</f>
        <v/>
      </c>
      <c r="J45" s="132">
        <f>+J44+J7</f>
        <v/>
      </c>
      <c r="K45" s="132">
        <f>+K44+K7</f>
        <v/>
      </c>
      <c r="L45" s="132">
        <f>+L44+L7</f>
        <v/>
      </c>
      <c r="M45" s="132">
        <f>+M44+M7</f>
        <v/>
      </c>
      <c r="N45" s="132">
        <f>+N44+N7</f>
        <v/>
      </c>
      <c r="O45" s="132">
        <f>+O44+O7</f>
        <v/>
      </c>
      <c r="P45" s="132">
        <f>+P44+P7</f>
        <v/>
      </c>
      <c r="Q45" s="132">
        <f>+Q44+Q7</f>
        <v/>
      </c>
      <c r="R45" s="132">
        <f>+R44+R7</f>
        <v/>
      </c>
      <c r="S45" s="132">
        <f>+S44+S7</f>
        <v/>
      </c>
    </row>
    <row r="46">
      <c r="B46" s="132" t="n"/>
      <c r="C46" s="132" t="n"/>
      <c r="D46" s="132" t="n"/>
      <c r="E46" s="132" t="n"/>
      <c r="F46" s="132" t="n"/>
      <c r="G46" s="132" t="n"/>
      <c r="H46" s="132" t="n"/>
      <c r="I46" s="132" t="n"/>
      <c r="J46" s="132" t="n"/>
      <c r="K46" s="132" t="n"/>
      <c r="L46" s="132" t="n"/>
      <c r="M46" s="132" t="n"/>
      <c r="N46" s="132" t="n"/>
      <c r="O46" s="132" t="n"/>
      <c r="P46" s="132" t="n"/>
      <c r="Q46" s="132" t="n"/>
      <c r="R46" s="132" t="n"/>
      <c r="S46" s="132" t="n"/>
    </row>
    <row r="47">
      <c r="B47" s="132" t="inlineStr">
        <is>
          <t>Total debt excl lease</t>
        </is>
      </c>
      <c r="C47" s="132" t="n"/>
      <c r="D47" s="132" t="n"/>
      <c r="E47" s="132">
        <f>+E21+E26+E29+E24</f>
        <v/>
      </c>
      <c r="F47" s="132">
        <f>+F21+F26+F29+F24</f>
        <v/>
      </c>
      <c r="G47" s="132">
        <f>+G21+G26+G29+G24</f>
        <v/>
      </c>
      <c r="H47" s="132">
        <f>+H21+H26+H29+H24</f>
        <v/>
      </c>
      <c r="I47" s="132">
        <f>+I21+I26+I29+I24</f>
        <v/>
      </c>
      <c r="J47" s="132">
        <f>+J21+J26+J29+J24</f>
        <v/>
      </c>
      <c r="K47" s="132">
        <f>+K21+K26+K29+K24</f>
        <v/>
      </c>
      <c r="L47" s="132">
        <f>+L21+L26+L29+L24</f>
        <v/>
      </c>
      <c r="M47" s="132">
        <f>+M21+M26+M29+M24</f>
        <v/>
      </c>
      <c r="N47" s="132">
        <f>+N21+N26+N29+N24</f>
        <v/>
      </c>
      <c r="O47" s="132">
        <f>+O21+O26+O29+O24</f>
        <v/>
      </c>
      <c r="P47" s="132">
        <f>+P21+P26+P29+P24</f>
        <v/>
      </c>
      <c r="Q47" s="132">
        <f>+Q21+Q26+Q29+Q24</f>
        <v/>
      </c>
      <c r="R47" s="132">
        <f>+R21+R26+R29+R24</f>
        <v/>
      </c>
      <c r="S47" s="132">
        <f>+S21+S26+S29+S24</f>
        <v/>
      </c>
    </row>
    <row r="48">
      <c r="B48" s="132" t="inlineStr">
        <is>
          <t>Total debt incl lease</t>
        </is>
      </c>
      <c r="C48" s="132" t="n"/>
      <c r="D48" s="132" t="n"/>
      <c r="E48" s="132">
        <f>+E47+E25+E30</f>
        <v/>
      </c>
      <c r="F48" s="132">
        <f>+F47+F25+F30</f>
        <v/>
      </c>
      <c r="G48" s="132">
        <f>+G47+G25+G30</f>
        <v/>
      </c>
      <c r="H48" s="132">
        <f>+H47+H25+H30</f>
        <v/>
      </c>
      <c r="I48" s="132">
        <f>+I47+I25+I30</f>
        <v/>
      </c>
      <c r="J48" s="132">
        <f>+J47+J25+J30</f>
        <v/>
      </c>
      <c r="K48" s="132">
        <f>+K47+K25+K30</f>
        <v/>
      </c>
      <c r="L48" s="132">
        <f>+L47+L25+L30</f>
        <v/>
      </c>
      <c r="M48" s="132">
        <f>+M47+M25+M30</f>
        <v/>
      </c>
      <c r="N48" s="132">
        <f>+N47+N25+N30</f>
        <v/>
      </c>
      <c r="O48" s="132">
        <f>+O47+O25+O30</f>
        <v/>
      </c>
      <c r="P48" s="132">
        <f>+P47+P25+P30</f>
        <v/>
      </c>
      <c r="Q48" s="132">
        <f>+Q47+Q25+Q30</f>
        <v/>
      </c>
      <c r="R48" s="132">
        <f>+R47+R25+R30</f>
        <v/>
      </c>
      <c r="S48" s="132">
        <f>+S47+S25+S30</f>
        <v/>
      </c>
    </row>
    <row r="49">
      <c r="B49" s="132" t="n"/>
      <c r="C49" s="132" t="n"/>
      <c r="D49" s="132" t="n"/>
      <c r="E49" s="132" t="n"/>
      <c r="F49" s="132" t="n"/>
      <c r="G49" s="132" t="n"/>
      <c r="H49" s="132" t="n"/>
      <c r="I49" s="132" t="n"/>
      <c r="J49" s="132" t="n"/>
      <c r="K49" s="132" t="n"/>
      <c r="L49" s="132" t="n"/>
      <c r="M49" s="132" t="n"/>
      <c r="N49" s="132" t="n"/>
      <c r="O49" s="132" t="n"/>
      <c r="P49" s="132" t="n"/>
      <c r="Q49" s="132" t="n"/>
      <c r="R49" s="132" t="n"/>
      <c r="S49" s="132" t="n"/>
    </row>
    <row r="50">
      <c r="B50" s="132" t="inlineStr">
        <is>
          <t>Net debt (excl restricted cash, incl leases)</t>
        </is>
      </c>
      <c r="C50" s="132" t="n"/>
      <c r="D50" s="132" t="n"/>
      <c r="E50" s="132">
        <f>+E48-E44</f>
        <v/>
      </c>
      <c r="F50" s="132">
        <f>+F48-F44</f>
        <v/>
      </c>
      <c r="G50" s="132">
        <f>+G48-G44</f>
        <v/>
      </c>
      <c r="H50" s="132">
        <f>+H48-H44</f>
        <v/>
      </c>
      <c r="I50" s="132">
        <f>+I48-I44</f>
        <v/>
      </c>
      <c r="J50" s="132">
        <f>+J48-J44</f>
        <v/>
      </c>
      <c r="K50" s="132">
        <f>+K48-K44</f>
        <v/>
      </c>
      <c r="L50" s="132">
        <f>+L48-L44</f>
        <v/>
      </c>
      <c r="M50" s="132">
        <f>+M48-M44</f>
        <v/>
      </c>
      <c r="N50" s="132">
        <f>+N48-N44</f>
        <v/>
      </c>
      <c r="O50" s="132">
        <f>+O48-O44</f>
        <v/>
      </c>
      <c r="P50" s="132">
        <f>+P48-P44</f>
        <v/>
      </c>
      <c r="Q50" s="132">
        <f>+Q48-Q44</f>
        <v/>
      </c>
      <c r="R50" s="132">
        <f>+R48-R44</f>
        <v/>
      </c>
      <c r="S50" s="132">
        <f>+S48-S44</f>
        <v/>
      </c>
    </row>
    <row r="51">
      <c r="B51" s="132" t="n"/>
      <c r="C51" s="132" t="n"/>
      <c r="D51" s="132" t="n"/>
      <c r="E51" s="132" t="n"/>
      <c r="F51" s="132" t="n"/>
      <c r="G51" s="132" t="n"/>
      <c r="H51" s="132" t="n"/>
      <c r="I51" s="132" t="n"/>
      <c r="J51" s="132" t="n"/>
      <c r="K51" s="132" t="n"/>
      <c r="L51" s="132" t="n"/>
      <c r="M51" s="132" t="n"/>
      <c r="N51" s="132" t="n"/>
      <c r="O51" s="132" t="n"/>
      <c r="P51" s="132" t="n"/>
      <c r="Q51" s="132" t="n"/>
      <c r="R51" s="132" t="n"/>
      <c r="S51" s="132" t="n"/>
    </row>
    <row r="52">
      <c r="B52" s="191" t="inlineStr">
        <is>
          <t>ND / EBITDA</t>
        </is>
      </c>
      <c r="C52" s="191" t="n"/>
      <c r="D52" s="191" t="n"/>
      <c r="E52" s="74">
        <f>+E50/'P&amp;L'!E56</f>
        <v/>
      </c>
      <c r="F52" s="74">
        <f>+F50/'P&amp;L'!F56</f>
        <v/>
      </c>
      <c r="G52" s="74">
        <f>+G50/'P&amp;L'!G56</f>
        <v/>
      </c>
      <c r="H52" s="74">
        <f>+H50/'P&amp;L'!H56</f>
        <v/>
      </c>
      <c r="I52" s="74">
        <f>+I50/'P&amp;L'!I56</f>
        <v/>
      </c>
      <c r="J52" s="74">
        <f>+J50/'P&amp;L'!J56</f>
        <v/>
      </c>
      <c r="K52" s="74">
        <f>+K50/'P&amp;L'!K56</f>
        <v/>
      </c>
      <c r="L52" s="74">
        <f>+L50/'P&amp;L'!L56</f>
        <v/>
      </c>
      <c r="M52" s="74">
        <f>+M50/'P&amp;L'!M56</f>
        <v/>
      </c>
      <c r="N52" s="74">
        <f>+N50/'P&amp;L'!N56</f>
        <v/>
      </c>
      <c r="O52" s="74">
        <f>+O50/'P&amp;L'!O56</f>
        <v/>
      </c>
      <c r="P52" s="74">
        <f>+P50/'P&amp;L'!P56</f>
        <v/>
      </c>
      <c r="Q52" s="74">
        <f>+Q50/'P&amp;L'!Q56</f>
        <v/>
      </c>
      <c r="R52" s="74">
        <f>+R50/'P&amp;L'!R56</f>
        <v/>
      </c>
      <c r="S52" s="74">
        <f>+S50/'P&amp;L'!S56</f>
        <v/>
      </c>
    </row>
    <row r="53">
      <c r="J53" s="127" t="n">
        <v>2023</v>
      </c>
      <c r="K53" s="127">
        <f>+J53+1</f>
        <v/>
      </c>
      <c r="L53" s="127">
        <f>+K53+1</f>
        <v/>
      </c>
      <c r="M53" s="127">
        <f>+L53+1</f>
        <v/>
      </c>
      <c r="N53" s="127">
        <f>+M53+1</f>
        <v/>
      </c>
    </row>
    <row r="54"/>
    <row r="55">
      <c r="A55" s="129" t="inlineStr">
        <is>
          <t>x</t>
        </is>
      </c>
      <c r="B55" s="128" t="inlineStr">
        <is>
          <t>CFS</t>
        </is>
      </c>
    </row>
    <row r="56">
      <c r="B56" s="129" t="inlineStr">
        <is>
          <t>Net income to common and NCI</t>
        </is>
      </c>
      <c r="I56" s="180">
        <f>+'P&amp;L'!I34</f>
        <v/>
      </c>
      <c r="J56" s="180">
        <f>+'P&amp;L'!J34</f>
        <v/>
      </c>
      <c r="K56" s="180">
        <f>+'P&amp;L'!K34</f>
        <v/>
      </c>
      <c r="L56" s="180">
        <f>+'P&amp;L'!L34</f>
        <v/>
      </c>
      <c r="M56" s="180">
        <f>+'P&amp;L'!M34</f>
        <v/>
      </c>
      <c r="N56" s="180">
        <f>+'P&amp;L'!N34</f>
        <v/>
      </c>
      <c r="O56" s="180">
        <f>+'P&amp;L'!O34</f>
        <v/>
      </c>
      <c r="P56" s="180">
        <f>+'P&amp;L'!P34</f>
        <v/>
      </c>
      <c r="Q56" s="180">
        <f>+'P&amp;L'!Q34</f>
        <v/>
      </c>
      <c r="R56" s="180">
        <f>+'P&amp;L'!R34</f>
        <v/>
      </c>
      <c r="S56" s="180">
        <f>+'P&amp;L'!S34</f>
        <v/>
      </c>
    </row>
    <row r="57">
      <c r="B57" s="129" t="inlineStr">
        <is>
          <t>Depreciation of PPE</t>
        </is>
      </c>
      <c r="I57" s="180">
        <f>+'FS Calcs'!I53*-1</f>
        <v/>
      </c>
      <c r="J57" s="180">
        <f>+'FS Calcs'!J53*-1</f>
        <v/>
      </c>
      <c r="K57" s="180">
        <f>+'FS Calcs'!K53*-1</f>
        <v/>
      </c>
      <c r="L57" s="180">
        <f>+'FS Calcs'!L53*-1</f>
        <v/>
      </c>
      <c r="M57" s="180">
        <f>+'FS Calcs'!M53*-1</f>
        <v/>
      </c>
      <c r="N57" s="180">
        <f>+'FS Calcs'!N53*-1</f>
        <v/>
      </c>
      <c r="O57" s="180">
        <f>+'FS Calcs'!O53*-1</f>
        <v/>
      </c>
      <c r="P57" s="180">
        <f>+'FS Calcs'!P53*-1</f>
        <v/>
      </c>
      <c r="Q57" s="180">
        <f>+'FS Calcs'!Q53*-1</f>
        <v/>
      </c>
      <c r="R57" s="180">
        <f>+'FS Calcs'!R53*-1</f>
        <v/>
      </c>
      <c r="S57" s="180">
        <f>+'FS Calcs'!S53*-1</f>
        <v/>
      </c>
    </row>
    <row r="58">
      <c r="B58" s="129" t="inlineStr">
        <is>
          <t>Amort of intangibles</t>
        </is>
      </c>
      <c r="I58" s="180">
        <f>+'FS Calcs'!I64*-1</f>
        <v/>
      </c>
      <c r="J58" s="180">
        <f>+'FS Calcs'!J64*-1</f>
        <v/>
      </c>
      <c r="K58" s="180">
        <f>+'FS Calcs'!K64*-1</f>
        <v/>
      </c>
      <c r="L58" s="180">
        <f>+'FS Calcs'!L64*-1</f>
        <v/>
      </c>
      <c r="M58" s="180">
        <f>+'FS Calcs'!M64*-1</f>
        <v/>
      </c>
      <c r="N58" s="180">
        <f>+'FS Calcs'!N64*-1</f>
        <v/>
      </c>
      <c r="O58" s="180">
        <f>+'FS Calcs'!O64*-1</f>
        <v/>
      </c>
      <c r="P58" s="180">
        <f>+'FS Calcs'!P64*-1</f>
        <v/>
      </c>
      <c r="Q58" s="180">
        <f>+'FS Calcs'!Q64*-1</f>
        <v/>
      </c>
      <c r="R58" s="180">
        <f>+'FS Calcs'!R64*-1</f>
        <v/>
      </c>
      <c r="S58" s="180">
        <f>+'FS Calcs'!S64*-1</f>
        <v/>
      </c>
    </row>
    <row r="59">
      <c r="B59" s="129" t="inlineStr">
        <is>
          <t>Amort of acquired and library content</t>
        </is>
      </c>
      <c r="I59" s="180">
        <f>+'FS Calcs'!I44*-1</f>
        <v/>
      </c>
      <c r="J59" s="180">
        <f>+'FS Calcs'!J44*-1</f>
        <v/>
      </c>
      <c r="K59" s="180">
        <f>+'FS Calcs'!K44*-1</f>
        <v/>
      </c>
      <c r="L59" s="180">
        <f>+'FS Calcs'!L44*-1</f>
        <v/>
      </c>
      <c r="M59" s="180">
        <f>+'FS Calcs'!M44*-1</f>
        <v/>
      </c>
      <c r="N59" s="180">
        <f>+'FS Calcs'!N44*-1</f>
        <v/>
      </c>
      <c r="O59" s="180">
        <f>+'FS Calcs'!O44*-1</f>
        <v/>
      </c>
      <c r="P59" s="180">
        <f>+'FS Calcs'!P44*-1</f>
        <v/>
      </c>
      <c r="Q59" s="180">
        <f>+'FS Calcs'!Q44*-1</f>
        <v/>
      </c>
      <c r="R59" s="180">
        <f>+'FS Calcs'!R44*-1</f>
        <v/>
      </c>
      <c r="S59" s="180">
        <f>+'FS Calcs'!S44*-1</f>
        <v/>
      </c>
    </row>
    <row r="60">
      <c r="B60" s="129" t="inlineStr">
        <is>
          <t>Net investment in TV and film programs</t>
        </is>
      </c>
      <c r="I60" s="180">
        <f>+('FS Calcs'!I31+'FS Calcs'!I33)*-1</f>
        <v/>
      </c>
      <c r="J60" s="180">
        <f>+('FS Calcs'!J31+'FS Calcs'!J33)*-1</f>
        <v/>
      </c>
      <c r="K60" s="180">
        <f>+('FS Calcs'!K31+'FS Calcs'!K33)*-1</f>
        <v/>
      </c>
      <c r="L60" s="180">
        <f>+('FS Calcs'!L31+'FS Calcs'!L33)*-1</f>
        <v/>
      </c>
      <c r="M60" s="180">
        <f>+('FS Calcs'!M31+'FS Calcs'!M33)*-1</f>
        <v/>
      </c>
      <c r="N60" s="180">
        <f>+('FS Calcs'!N31+'FS Calcs'!N33)*-1</f>
        <v/>
      </c>
      <c r="O60" s="180">
        <f>+('FS Calcs'!O31+'FS Calcs'!O33)*-1</f>
        <v/>
      </c>
      <c r="P60" s="180">
        <f>+('FS Calcs'!P31+'FS Calcs'!P33)*-1</f>
        <v/>
      </c>
      <c r="Q60" s="180">
        <f>+('FS Calcs'!Q31+'FS Calcs'!Q33)*-1</f>
        <v/>
      </c>
      <c r="R60" s="180">
        <f>+('FS Calcs'!R31+'FS Calcs'!R33)*-1</f>
        <v/>
      </c>
      <c r="S60" s="180">
        <f>+('FS Calcs'!S31+'FS Calcs'!S33)*-1</f>
        <v/>
      </c>
    </row>
    <row r="61">
      <c r="B61" s="129" t="inlineStr">
        <is>
          <t>Chg in NWC</t>
        </is>
      </c>
      <c r="I61" s="192">
        <f>H41-I41</f>
        <v/>
      </c>
      <c r="J61" s="192">
        <f>H41-I41</f>
        <v/>
      </c>
      <c r="K61" s="192">
        <f>I41-J41</f>
        <v/>
      </c>
      <c r="L61" s="192">
        <f>J41-K41</f>
        <v/>
      </c>
      <c r="M61" s="192">
        <f>K41-L41</f>
        <v/>
      </c>
      <c r="N61" s="192">
        <f>L41-M41</f>
        <v/>
      </c>
      <c r="O61" s="192">
        <f>M41-N41</f>
        <v/>
      </c>
      <c r="P61" s="192">
        <f>N41-O41</f>
        <v/>
      </c>
      <c r="Q61" s="192">
        <f>O41-P41</f>
        <v/>
      </c>
      <c r="R61" s="192">
        <f>P41-Q41</f>
        <v/>
      </c>
      <c r="S61" s="192">
        <f>Q41-R41</f>
        <v/>
      </c>
    </row>
    <row r="62">
      <c r="B62" s="129" t="inlineStr">
        <is>
          <t>Writedown and impairements</t>
        </is>
      </c>
      <c r="I62" s="180">
        <f>+'P&amp;L'!I18</f>
        <v/>
      </c>
      <c r="J62" s="180">
        <f>+'P&amp;L'!J18</f>
        <v/>
      </c>
      <c r="K62" s="180">
        <f>+'P&amp;L'!K18</f>
        <v/>
      </c>
      <c r="L62" s="180">
        <f>+'P&amp;L'!L18</f>
        <v/>
      </c>
      <c r="M62" s="180">
        <f>+'P&amp;L'!M18</f>
        <v/>
      </c>
      <c r="N62" s="180">
        <f>+'P&amp;L'!N18</f>
        <v/>
      </c>
      <c r="O62" s="180">
        <f>+'P&amp;L'!O18</f>
        <v/>
      </c>
      <c r="P62" s="180">
        <f>+'P&amp;L'!P18</f>
        <v/>
      </c>
      <c r="Q62" s="180">
        <f>+'P&amp;L'!Q18</f>
        <v/>
      </c>
      <c r="R62" s="180">
        <f>+'P&amp;L'!R18</f>
        <v/>
      </c>
      <c r="S62" s="180">
        <f>+'P&amp;L'!S18</f>
        <v/>
      </c>
    </row>
    <row r="63">
      <c r="B63" s="129" t="inlineStr">
        <is>
          <t>Adj of finance cost, net</t>
        </is>
      </c>
      <c r="I63" s="180">
        <f>+'P&amp;L'!I22*-1</f>
        <v/>
      </c>
      <c r="J63" s="180">
        <f>+'P&amp;L'!J22*-1</f>
        <v/>
      </c>
      <c r="K63" s="180">
        <f>+'P&amp;L'!K22*-1</f>
        <v/>
      </c>
      <c r="L63" s="180">
        <f>+'P&amp;L'!L22*-1</f>
        <v/>
      </c>
      <c r="M63" s="180">
        <f>+'P&amp;L'!M22*-1</f>
        <v/>
      </c>
      <c r="N63" s="180">
        <f>+'P&amp;L'!N22*-1</f>
        <v/>
      </c>
      <c r="O63" s="180">
        <f>+'P&amp;L'!O22*-1</f>
        <v/>
      </c>
      <c r="P63" s="180">
        <f>+'P&amp;L'!P22*-1</f>
        <v/>
      </c>
      <c r="Q63" s="180">
        <f>+'P&amp;L'!Q22*-1</f>
        <v/>
      </c>
      <c r="R63" s="180">
        <f>+'P&amp;L'!R22*-1</f>
        <v/>
      </c>
      <c r="S63" s="180">
        <f>+'P&amp;L'!S22*-1</f>
        <v/>
      </c>
    </row>
    <row r="64">
      <c r="B64" s="129" t="inlineStr">
        <is>
          <t>Adjustments</t>
        </is>
      </c>
      <c r="I64" s="129">
        <f>+I65-SUM(I56:I63)</f>
        <v/>
      </c>
      <c r="J64" s="171" t="n">
        <v>0</v>
      </c>
      <c r="K64" s="171" t="n">
        <v>0</v>
      </c>
      <c r="L64" s="171" t="n">
        <v>0</v>
      </c>
      <c r="M64" s="171" t="n">
        <v>0</v>
      </c>
      <c r="N64" s="171" t="n">
        <v>0</v>
      </c>
      <c r="O64" s="171" t="n">
        <v>0</v>
      </c>
      <c r="P64" s="171" t="n">
        <v>0</v>
      </c>
      <c r="Q64" s="171" t="n">
        <v>0</v>
      </c>
      <c r="R64" s="171" t="n">
        <v>0</v>
      </c>
      <c r="S64" s="171" t="n">
        <v>0</v>
      </c>
    </row>
    <row r="65">
      <c r="B65" s="167" t="inlineStr">
        <is>
          <t>OCF</t>
        </is>
      </c>
      <c r="C65" s="167" t="n"/>
      <c r="D65" s="167" t="n"/>
      <c r="E65" s="167" t="n"/>
      <c r="F65" s="167" t="n"/>
      <c r="G65" s="167" t="n"/>
      <c r="H65" s="167" t="n"/>
      <c r="I65" s="193">
        <f>+I101</f>
        <v/>
      </c>
      <c r="J65" s="194">
        <f>SUM(J56:J64)</f>
        <v/>
      </c>
      <c r="K65" s="194">
        <f>SUM(K56:K64)</f>
        <v/>
      </c>
      <c r="L65" s="194">
        <f>SUM(L56:L64)</f>
        <v/>
      </c>
      <c r="M65" s="194">
        <f>SUM(M56:M64)</f>
        <v/>
      </c>
      <c r="N65" s="194">
        <f>SUM(N56:N64)</f>
        <v/>
      </c>
      <c r="O65" s="194">
        <f>SUM(O56:O64)</f>
        <v/>
      </c>
      <c r="P65" s="194">
        <f>SUM(P56:P64)</f>
        <v/>
      </c>
      <c r="Q65" s="194">
        <f>SUM(Q56:Q64)</f>
        <v/>
      </c>
      <c r="R65" s="194">
        <f>SUM(R56:R64)</f>
        <v/>
      </c>
      <c r="S65" s="194">
        <f>SUM(S56:S64)</f>
        <v/>
      </c>
    </row>
    <row r="66">
      <c r="J66" s="180" t="n"/>
    </row>
    <row r="67">
      <c r="B67" s="129" t="inlineStr">
        <is>
          <t>Addition of PPE incl leases</t>
        </is>
      </c>
      <c r="I67" s="180">
        <f>+('FS Calcs'!I52*-1)+'Debt Calcs'!I62</f>
        <v/>
      </c>
      <c r="J67" s="180">
        <f>+('FS Calcs'!J52*-1)+'Debt Calcs'!J62</f>
        <v/>
      </c>
      <c r="K67" s="180">
        <f>+('FS Calcs'!K52*-1)+'Debt Calcs'!K62</f>
        <v/>
      </c>
      <c r="L67" s="180">
        <f>+('FS Calcs'!L52*-1)+'Debt Calcs'!L62</f>
        <v/>
      </c>
      <c r="M67" s="180">
        <f>+('FS Calcs'!M52*-1)+'Debt Calcs'!M62</f>
        <v/>
      </c>
      <c r="N67" s="180">
        <f>+('FS Calcs'!N52*-1)+'Debt Calcs'!N62</f>
        <v/>
      </c>
      <c r="O67" s="180">
        <f>+('FS Calcs'!O52*-1)+'Debt Calcs'!O62</f>
        <v/>
      </c>
      <c r="P67" s="180">
        <f>+('FS Calcs'!P52*-1)+'Debt Calcs'!P62</f>
        <v/>
      </c>
      <c r="Q67" s="180">
        <f>+('FS Calcs'!Q52*-1)+'Debt Calcs'!Q62</f>
        <v/>
      </c>
      <c r="R67" s="180">
        <f>+('FS Calcs'!R52*-1)+'Debt Calcs'!R62</f>
        <v/>
      </c>
      <c r="S67" s="180">
        <f>+('FS Calcs'!S52*-1)+'Debt Calcs'!S62</f>
        <v/>
      </c>
    </row>
    <row r="68">
      <c r="B68" s="129" t="inlineStr">
        <is>
          <t>Addition of intangibles</t>
        </is>
      </c>
      <c r="I68" s="180">
        <f>+'FS Calcs'!I63*-1</f>
        <v/>
      </c>
      <c r="J68" s="180">
        <f>+'FS Calcs'!J63*-1</f>
        <v/>
      </c>
      <c r="K68" s="180">
        <f>+'FS Calcs'!K63*-1</f>
        <v/>
      </c>
      <c r="L68" s="180">
        <f>+'FS Calcs'!L63*-1</f>
        <v/>
      </c>
      <c r="M68" s="180">
        <f>+'FS Calcs'!M63*-1</f>
        <v/>
      </c>
      <c r="N68" s="180">
        <f>+'FS Calcs'!N63*-1</f>
        <v/>
      </c>
      <c r="O68" s="180">
        <f>+'FS Calcs'!O63*-1</f>
        <v/>
      </c>
      <c r="P68" s="180">
        <f>+'FS Calcs'!P63*-1</f>
        <v/>
      </c>
      <c r="Q68" s="180">
        <f>+'FS Calcs'!Q63*-1</f>
        <v/>
      </c>
      <c r="R68" s="180">
        <f>+'FS Calcs'!R63*-1</f>
        <v/>
      </c>
      <c r="S68" s="180">
        <f>+'FS Calcs'!S63*-1</f>
        <v/>
      </c>
    </row>
    <row r="69">
      <c r="B69" s="129" t="inlineStr">
        <is>
          <t>Addition of content</t>
        </is>
      </c>
      <c r="I69" s="180">
        <f>+'FS Calcs'!I42*-1</f>
        <v/>
      </c>
      <c r="J69" s="180">
        <f>+'FS Calcs'!J42*-1</f>
        <v/>
      </c>
      <c r="K69" s="180">
        <f>+'FS Calcs'!K42*-1</f>
        <v/>
      </c>
      <c r="L69" s="180">
        <f>+'FS Calcs'!L42*-1</f>
        <v/>
      </c>
      <c r="M69" s="180">
        <f>+'FS Calcs'!M42*-1</f>
        <v/>
      </c>
      <c r="N69" s="180">
        <f>+'FS Calcs'!N42*-1</f>
        <v/>
      </c>
      <c r="O69" s="180">
        <f>+'FS Calcs'!O42*-1</f>
        <v/>
      </c>
      <c r="P69" s="180">
        <f>+'FS Calcs'!P42*-1</f>
        <v/>
      </c>
      <c r="Q69" s="180">
        <f>+'FS Calcs'!Q42*-1</f>
        <v/>
      </c>
      <c r="R69" s="180">
        <f>+'FS Calcs'!R42*-1</f>
        <v/>
      </c>
      <c r="S69" s="180">
        <f>+'FS Calcs'!S42*-1</f>
        <v/>
      </c>
    </row>
    <row r="70">
      <c r="B70" s="129" t="inlineStr">
        <is>
          <t>Adjustments</t>
        </is>
      </c>
      <c r="I70" s="129">
        <f>+I71-SUM(I67:I69)</f>
        <v/>
      </c>
      <c r="J70" s="171" t="n">
        <v>0</v>
      </c>
      <c r="K70" s="171" t="n">
        <v>0</v>
      </c>
      <c r="L70" s="171" t="n">
        <v>0</v>
      </c>
      <c r="M70" s="171" t="n">
        <v>0</v>
      </c>
      <c r="N70" s="171" t="n">
        <v>0</v>
      </c>
      <c r="O70" s="171" t="n">
        <v>0</v>
      </c>
      <c r="P70" s="171" t="n">
        <v>0</v>
      </c>
      <c r="Q70" s="171" t="n">
        <v>0</v>
      </c>
      <c r="R70" s="171" t="n">
        <v>0</v>
      </c>
      <c r="S70" s="171" t="n">
        <v>0</v>
      </c>
    </row>
    <row r="71" customFormat="1" s="132">
      <c r="B71" s="167" t="inlineStr">
        <is>
          <t>Investing cash flow</t>
        </is>
      </c>
      <c r="C71" s="167" t="n"/>
      <c r="D71" s="167" t="n"/>
      <c r="E71" s="167" t="n"/>
      <c r="F71" s="167" t="n"/>
      <c r="G71" s="167" t="n"/>
      <c r="H71" s="167" t="n"/>
      <c r="I71" s="193">
        <f>+I106</f>
        <v/>
      </c>
      <c r="J71" s="194">
        <f>SUM(J67:J70)</f>
        <v/>
      </c>
      <c r="K71" s="194">
        <f>SUM(K67:K70)</f>
        <v/>
      </c>
      <c r="L71" s="194">
        <f>SUM(L67:L70)</f>
        <v/>
      </c>
      <c r="M71" s="194">
        <f>SUM(M67:M70)</f>
        <v/>
      </c>
      <c r="N71" s="194">
        <f>SUM(N67:N70)</f>
        <v/>
      </c>
      <c r="O71" s="194">
        <f>SUM(O67:O70)</f>
        <v/>
      </c>
      <c r="P71" s="194">
        <f>SUM(P67:P70)</f>
        <v/>
      </c>
      <c r="Q71" s="194">
        <f>SUM(Q67:Q70)</f>
        <v/>
      </c>
      <c r="R71" s="194">
        <f>SUM(R67:R70)</f>
        <v/>
      </c>
      <c r="S71" s="194">
        <f>SUM(S67:S70)</f>
        <v/>
      </c>
    </row>
    <row r="72" customFormat="1" s="132">
      <c r="I72" s="135" t="n"/>
      <c r="J72" s="195" t="n"/>
      <c r="K72" s="195" t="n"/>
      <c r="L72" s="195" t="n"/>
      <c r="M72" s="195" t="n"/>
      <c r="N72" s="195" t="n"/>
      <c r="O72" s="195" t="n"/>
      <c r="P72" s="195" t="n"/>
      <c r="Q72" s="195" t="n"/>
      <c r="R72" s="195" t="n"/>
      <c r="S72" s="195" t="n"/>
    </row>
    <row r="73" customFormat="1" s="132">
      <c r="B73" s="129" t="inlineStr">
        <is>
          <t>Debt draw / (repayments)</t>
        </is>
      </c>
      <c r="I73" s="135">
        <f>+I112+I113+I117</f>
        <v/>
      </c>
      <c r="J73" s="180">
        <f>+'Debt Calcs'!J39+'Debt Calcs'!J45+'Debt Calcs'!J51+'Debt Calcs'!J56</f>
        <v/>
      </c>
      <c r="K73" s="180">
        <f>+'Debt Calcs'!K39+'Debt Calcs'!K45+'Debt Calcs'!K51+'Debt Calcs'!K56</f>
        <v/>
      </c>
      <c r="L73" s="180">
        <f>+'Debt Calcs'!L39+'Debt Calcs'!L45+'Debt Calcs'!L51+'Debt Calcs'!L56</f>
        <v/>
      </c>
      <c r="M73" s="180">
        <f>+'Debt Calcs'!M39+'Debt Calcs'!M45+'Debt Calcs'!M51+'Debt Calcs'!M56</f>
        <v/>
      </c>
      <c r="N73" s="180">
        <f>+'Debt Calcs'!N39+'Debt Calcs'!N45+'Debt Calcs'!N51+'Debt Calcs'!N56</f>
        <v/>
      </c>
      <c r="O73" s="180">
        <f>+'Debt Calcs'!O39+'Debt Calcs'!O45+'Debt Calcs'!O51+'Debt Calcs'!O56</f>
        <v/>
      </c>
      <c r="P73" s="180">
        <f>+'Debt Calcs'!P39+'Debt Calcs'!P45+'Debt Calcs'!P51+'Debt Calcs'!P56</f>
        <v/>
      </c>
      <c r="Q73" s="180">
        <f>+'Debt Calcs'!Q39+'Debt Calcs'!Q45+'Debt Calcs'!Q51+'Debt Calcs'!Q56</f>
        <v/>
      </c>
      <c r="R73" s="180">
        <f>+'Debt Calcs'!R39+'Debt Calcs'!R45+'Debt Calcs'!R51+'Debt Calcs'!R56</f>
        <v/>
      </c>
      <c r="S73" s="180">
        <f>+'Debt Calcs'!S39+'Debt Calcs'!S45+'Debt Calcs'!S51+'Debt Calcs'!S56</f>
        <v/>
      </c>
    </row>
    <row r="74" customFormat="1" s="132">
      <c r="B74" s="129" t="inlineStr">
        <is>
          <t>Lease repayments</t>
        </is>
      </c>
      <c r="I74" s="180">
        <f>+'Debt Calcs'!I63</f>
        <v/>
      </c>
      <c r="J74" s="180">
        <f>+'Debt Calcs'!J63</f>
        <v/>
      </c>
      <c r="K74" s="180">
        <f>+'Debt Calcs'!K63</f>
        <v/>
      </c>
      <c r="L74" s="180">
        <f>+'Debt Calcs'!L63</f>
        <v/>
      </c>
      <c r="M74" s="180">
        <f>+'Debt Calcs'!M63</f>
        <v/>
      </c>
      <c r="N74" s="180">
        <f>+'Debt Calcs'!N63</f>
        <v/>
      </c>
      <c r="O74" s="180">
        <f>+'Debt Calcs'!O63</f>
        <v/>
      </c>
      <c r="P74" s="180">
        <f>+'Debt Calcs'!P63</f>
        <v/>
      </c>
      <c r="Q74" s="180">
        <f>+'Debt Calcs'!Q63</f>
        <v/>
      </c>
      <c r="R74" s="180">
        <f>+'Debt Calcs'!R63</f>
        <v/>
      </c>
      <c r="S74" s="180">
        <f>+'Debt Calcs'!S63</f>
        <v/>
      </c>
    </row>
    <row r="75" customFormat="1" s="132">
      <c r="B75" s="129" t="inlineStr">
        <is>
          <t>Dividend to common</t>
        </is>
      </c>
      <c r="I75" s="180">
        <f>+'P&amp;L'!I44</f>
        <v/>
      </c>
      <c r="J75" s="180">
        <f>+'P&amp;L'!J44</f>
        <v/>
      </c>
      <c r="K75" s="180">
        <f>+'P&amp;L'!K44</f>
        <v/>
      </c>
      <c r="L75" s="180">
        <f>+'P&amp;L'!L44</f>
        <v/>
      </c>
      <c r="M75" s="180">
        <f>+'P&amp;L'!M44</f>
        <v/>
      </c>
      <c r="N75" s="180">
        <f>+'P&amp;L'!N44</f>
        <v/>
      </c>
      <c r="O75" s="180">
        <f>+'P&amp;L'!O44</f>
        <v/>
      </c>
      <c r="P75" s="180">
        <f>+'P&amp;L'!P44</f>
        <v/>
      </c>
      <c r="Q75" s="180">
        <f>+'P&amp;L'!Q44</f>
        <v/>
      </c>
      <c r="R75" s="180">
        <f>+'P&amp;L'!R44</f>
        <v/>
      </c>
      <c r="S75" s="180">
        <f>+'P&amp;L'!S44</f>
        <v/>
      </c>
    </row>
    <row r="76" customFormat="1" s="132">
      <c r="B76" s="129" t="inlineStr">
        <is>
          <t>Dictribution to NCI</t>
        </is>
      </c>
      <c r="I76" s="180">
        <f>+'P&amp;L'!I45</f>
        <v/>
      </c>
      <c r="J76" s="180">
        <f>+'P&amp;L'!J45</f>
        <v/>
      </c>
      <c r="K76" s="180">
        <f>+'P&amp;L'!K45</f>
        <v/>
      </c>
      <c r="L76" s="180">
        <f>+'P&amp;L'!L45</f>
        <v/>
      </c>
      <c r="M76" s="180">
        <f>+'P&amp;L'!M45</f>
        <v/>
      </c>
      <c r="N76" s="180">
        <f>+'P&amp;L'!N45</f>
        <v/>
      </c>
      <c r="O76" s="180">
        <f>+'P&amp;L'!O45</f>
        <v/>
      </c>
      <c r="P76" s="180">
        <f>+'P&amp;L'!P45</f>
        <v/>
      </c>
      <c r="Q76" s="180">
        <f>+'P&amp;L'!Q45</f>
        <v/>
      </c>
      <c r="R76" s="180">
        <f>+'P&amp;L'!R45</f>
        <v/>
      </c>
      <c r="S76" s="180">
        <f>+'P&amp;L'!S45</f>
        <v/>
      </c>
    </row>
    <row r="77" customFormat="1" s="132">
      <c r="B77" s="129" t="inlineStr">
        <is>
          <t>Finance cost</t>
        </is>
      </c>
      <c r="I77" s="180">
        <f>+'P&amp;L'!I22</f>
        <v/>
      </c>
      <c r="J77" s="180">
        <f>+'P&amp;L'!J22</f>
        <v/>
      </c>
      <c r="K77" s="180">
        <f>+'P&amp;L'!K22</f>
        <v/>
      </c>
      <c r="L77" s="180">
        <f>+'P&amp;L'!L22</f>
        <v/>
      </c>
      <c r="M77" s="180">
        <f>+'P&amp;L'!M22</f>
        <v/>
      </c>
      <c r="N77" s="180">
        <f>+'P&amp;L'!N22</f>
        <v/>
      </c>
      <c r="O77" s="180">
        <f>+'P&amp;L'!O22</f>
        <v/>
      </c>
      <c r="P77" s="180">
        <f>+'P&amp;L'!P22</f>
        <v/>
      </c>
      <c r="Q77" s="180">
        <f>+'P&amp;L'!Q22</f>
        <v/>
      </c>
      <c r="R77" s="180">
        <f>+'P&amp;L'!R22</f>
        <v/>
      </c>
      <c r="S77" s="180">
        <f>+'P&amp;L'!S22</f>
        <v/>
      </c>
    </row>
    <row r="78" customFormat="1" s="132">
      <c r="B78" s="129" t="inlineStr">
        <is>
          <t>Adjustments</t>
        </is>
      </c>
      <c r="I78" s="196">
        <f>+I79-SUM(I73:I77)</f>
        <v/>
      </c>
      <c r="J78" s="171" t="n">
        <v>0</v>
      </c>
      <c r="K78" s="171" t="n">
        <v>0</v>
      </c>
      <c r="L78" s="171" t="n">
        <v>0</v>
      </c>
      <c r="M78" s="171" t="n">
        <v>0</v>
      </c>
      <c r="N78" s="171" t="n">
        <v>0</v>
      </c>
      <c r="O78" s="171" t="n">
        <v>0</v>
      </c>
      <c r="P78" s="171" t="n">
        <v>0</v>
      </c>
      <c r="Q78" s="171" t="n">
        <v>0</v>
      </c>
      <c r="R78" s="171" t="n">
        <v>0</v>
      </c>
      <c r="S78" s="171" t="n">
        <v>0</v>
      </c>
    </row>
    <row r="79" customFormat="1" s="132">
      <c r="B79" s="167" t="inlineStr">
        <is>
          <t>Financing cash flow</t>
        </is>
      </c>
      <c r="C79" s="167" t="n"/>
      <c r="D79" s="167" t="n"/>
      <c r="E79" s="167" t="n"/>
      <c r="F79" s="167" t="n"/>
      <c r="G79" s="167" t="n"/>
      <c r="H79" s="167" t="n"/>
      <c r="I79" s="193">
        <f>+I118</f>
        <v/>
      </c>
      <c r="J79" s="194">
        <f>+SUM(J73:J78)</f>
        <v/>
      </c>
      <c r="K79" s="194">
        <f>+SUM(K73:K78)</f>
        <v/>
      </c>
      <c r="L79" s="194">
        <f>+SUM(L73:L78)</f>
        <v/>
      </c>
      <c r="M79" s="194">
        <f>+SUM(M73:M78)</f>
        <v/>
      </c>
      <c r="N79" s="194">
        <f>+SUM(N73:N78)</f>
        <v/>
      </c>
      <c r="O79" s="194">
        <f>+SUM(O73:O78)</f>
        <v/>
      </c>
      <c r="P79" s="194">
        <f>+SUM(P73:P78)</f>
        <v/>
      </c>
      <c r="Q79" s="194">
        <f>+SUM(Q73:Q78)</f>
        <v/>
      </c>
      <c r="R79" s="194">
        <f>+SUM(R73:R78)</f>
        <v/>
      </c>
      <c r="S79" s="194">
        <f>+SUM(S73:S78)</f>
        <v/>
      </c>
    </row>
    <row r="80" customFormat="1" s="132">
      <c r="I80" s="135" t="n"/>
      <c r="J80" s="195" t="n"/>
      <c r="K80" s="195" t="n"/>
      <c r="L80" s="195" t="n"/>
      <c r="M80" s="195" t="n"/>
      <c r="N80" s="195" t="n"/>
      <c r="O80" s="195" t="n"/>
      <c r="P80" s="195" t="n"/>
      <c r="Q80" s="195" t="n"/>
      <c r="R80" s="195" t="n"/>
      <c r="S80" s="195" t="n"/>
    </row>
    <row r="81" customFormat="1" s="132">
      <c r="I81" s="135" t="n"/>
      <c r="J81" s="195" t="n"/>
      <c r="K81" s="195" t="n"/>
      <c r="L81" s="195" t="n"/>
      <c r="M81" s="195" t="n"/>
      <c r="N81" s="195" t="n"/>
      <c r="O81" s="195" t="n"/>
      <c r="P81" s="195" t="n"/>
      <c r="Q81" s="195" t="n"/>
      <c r="R81" s="195" t="n"/>
      <c r="S81" s="195" t="n"/>
    </row>
    <row r="82"/>
    <row r="83">
      <c r="A83" s="129" t="inlineStr">
        <is>
          <t>x</t>
        </is>
      </c>
      <c r="B83" s="128" t="inlineStr">
        <is>
          <t>CFS (based on FS)</t>
        </is>
      </c>
    </row>
    <row r="84">
      <c r="B84" s="129" t="inlineStr">
        <is>
          <t>Net income for the year</t>
        </is>
      </c>
      <c r="H84" s="171" t="n"/>
      <c r="I84" s="171" t="n">
        <v>31.762</v>
      </c>
    </row>
    <row r="85">
      <c r="B85" s="129" t="inlineStr">
        <is>
          <t>Amortization of property and equipment</t>
        </is>
      </c>
      <c r="H85" s="171" t="n"/>
      <c r="I85" s="171" t="n">
        <v>13.378</v>
      </c>
    </row>
    <row r="86">
      <c r="B86" s="129" t="inlineStr">
        <is>
          <t>Amortization of intangible assets</t>
        </is>
      </c>
      <c r="H86" s="171" t="n"/>
      <c r="I86" s="171" t="n">
        <v>10.601</v>
      </c>
    </row>
    <row r="87">
      <c r="B87" s="129" t="inlineStr">
        <is>
          <t>Amortization of acquired and library content</t>
        </is>
      </c>
      <c r="H87" s="171" t="n"/>
      <c r="I87" s="171" t="n">
        <v>10.241</v>
      </c>
    </row>
    <row r="88">
      <c r="B88" s="129" t="inlineStr">
        <is>
          <t>Accretion expense and amortization of deferred financing fees</t>
        </is>
      </c>
      <c r="H88" s="171" t="n"/>
      <c r="I88" s="171" t="n">
        <v>12.813</v>
      </c>
    </row>
    <row r="89">
      <c r="B89" s="129" t="inlineStr">
        <is>
          <t>Unrealized foreign exchange loss (gain)</t>
        </is>
      </c>
      <c r="H89" s="171" t="n"/>
      <c r="I89" s="171" t="n">
        <v>16.667</v>
      </c>
    </row>
    <row r="90">
      <c r="B90" s="129" t="inlineStr">
        <is>
          <t>Share-based compensation</t>
        </is>
      </c>
      <c r="H90" s="171" t="n"/>
      <c r="I90" s="171" t="n">
        <v>7.414</v>
      </c>
    </row>
    <row r="91">
      <c r="B91" s="129" t="inlineStr">
        <is>
          <t>Change in fair value of embedded derivatives</t>
        </is>
      </c>
      <c r="H91" s="171" t="n"/>
      <c r="I91" s="171" t="n">
        <v>-13.716</v>
      </c>
    </row>
    <row r="92">
      <c r="B92" s="129" t="inlineStr">
        <is>
          <t>Change in fair value of interest rate swap</t>
        </is>
      </c>
      <c r="H92" s="171" t="n"/>
      <c r="I92" s="171" t="n">
        <v>-9.086</v>
      </c>
    </row>
    <row r="93">
      <c r="B93" s="129" t="inlineStr">
        <is>
          <t>Interest income</t>
        </is>
      </c>
      <c r="H93" s="171" t="n"/>
      <c r="I93" s="171" t="n">
        <v>-3.041</v>
      </c>
    </row>
    <row r="94">
      <c r="B94" s="129" t="inlineStr">
        <is>
          <t>Interest expense</t>
        </is>
      </c>
      <c r="H94" s="171" t="n"/>
      <c r="I94" s="171" t="n">
        <v>29.8</v>
      </c>
    </row>
    <row r="95">
      <c r="B95" s="129" t="inlineStr">
        <is>
          <t>Deferred tax recovery</t>
        </is>
      </c>
      <c r="H95" s="171" t="n"/>
      <c r="I95" s="171" t="n">
        <v>-1.904</v>
      </c>
    </row>
    <row r="96">
      <c r="B96" s="129" t="inlineStr">
        <is>
          <t>Write-down of investment in film and television programs</t>
        </is>
      </c>
      <c r="H96" s="171" t="n"/>
      <c r="I96" s="171" t="n">
        <v>1.208</v>
      </c>
    </row>
    <row r="97">
      <c r="B97" s="129" t="inlineStr">
        <is>
          <t>Write-down of acquired and library content</t>
        </is>
      </c>
      <c r="H97" s="171" t="n"/>
      <c r="I97" s="171" t="n">
        <v>0</v>
      </c>
    </row>
    <row r="98">
      <c r="B98" s="129" t="inlineStr">
        <is>
          <t>Reversal of right-of-use asset impairment (note 21)</t>
        </is>
      </c>
      <c r="H98" s="171" t="n"/>
      <c r="I98" s="171" t="n">
        <v>-0.42</v>
      </c>
    </row>
    <row r="99">
      <c r="B99" s="129" t="inlineStr">
        <is>
          <t>Net investment in film and television programs (note 25)</t>
        </is>
      </c>
      <c r="H99" s="171" t="n"/>
      <c r="I99" s="171" t="n">
        <v>-24.197</v>
      </c>
    </row>
    <row r="100">
      <c r="B100" s="129" t="inlineStr">
        <is>
          <t>Net change in non-cash balances related to operations (note 25)</t>
        </is>
      </c>
      <c r="H100" s="171" t="n"/>
      <c r="I100" s="171" t="n">
        <v>-48.42</v>
      </c>
    </row>
    <row r="101" customFormat="1" s="132">
      <c r="B101" s="167" t="inlineStr">
        <is>
          <t>OCF</t>
        </is>
      </c>
      <c r="C101" s="167" t="n"/>
      <c r="D101" s="167" t="n"/>
      <c r="E101" s="167" t="n"/>
      <c r="F101" s="167" t="n"/>
      <c r="G101" s="167" t="n"/>
      <c r="H101" s="167" t="n"/>
      <c r="I101" s="167">
        <f>SUM(I84:I100)</f>
        <v/>
      </c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</row>
    <row r="102"/>
    <row r="103">
      <c r="B103" s="129" t="inlineStr">
        <is>
          <t>Acquisition of acquired and library content (note 5)</t>
        </is>
      </c>
      <c r="I103" s="171" t="n">
        <v>-0.3</v>
      </c>
    </row>
    <row r="104">
      <c r="B104" s="129" t="inlineStr">
        <is>
          <t>Acquisition of property and equipment</t>
        </is>
      </c>
      <c r="I104" s="171" t="n">
        <v>-2.995</v>
      </c>
    </row>
    <row r="105">
      <c r="B105" s="129" t="inlineStr">
        <is>
          <t>Acquisition of intangible assets</t>
        </is>
      </c>
      <c r="I105" s="171" t="n">
        <v>-7.544</v>
      </c>
    </row>
    <row r="106">
      <c r="B106" s="167" t="inlineStr">
        <is>
          <t>Investing cash flow</t>
        </is>
      </c>
      <c r="C106" s="167" t="n"/>
      <c r="D106" s="167" t="n"/>
      <c r="E106" s="167" t="n"/>
      <c r="F106" s="167" t="n"/>
      <c r="G106" s="167" t="n"/>
      <c r="H106" s="167" t="n"/>
      <c r="I106" s="167">
        <f>SUM(I103:I105)</f>
        <v/>
      </c>
    </row>
    <row r="107"/>
    <row r="108">
      <c r="B108" s="129" t="inlineStr">
        <is>
          <t>Common shares issued, net of issuance costs</t>
        </is>
      </c>
      <c r="H108" s="171" t="n"/>
      <c r="I108" s="171" t="n">
        <v>0.416</v>
      </c>
    </row>
    <row r="109">
      <c r="B109" s="129" t="inlineStr">
        <is>
          <t>Payroll taxes remitted on net share settlement</t>
        </is>
      </c>
      <c r="H109" s="171" t="n"/>
      <c r="I109" s="171" t="n">
        <v>-1.46</v>
      </c>
    </row>
    <row r="110">
      <c r="B110" s="129" t="inlineStr">
        <is>
          <t>Common share purchased held in trust, net</t>
        </is>
      </c>
      <c r="H110" s="171" t="n"/>
      <c r="I110" s="171" t="n">
        <v>-0.06</v>
      </c>
    </row>
    <row r="111">
      <c r="B111" s="129" t="inlineStr">
        <is>
          <t>Distributions to non-controlling interests</t>
        </is>
      </c>
      <c r="H111" s="171" t="n"/>
      <c r="I111" s="171" t="n">
        <v>-33.609</v>
      </c>
    </row>
    <row r="112">
      <c r="B112" s="129" t="inlineStr">
        <is>
          <t>Proceeds from (repayment of) bank indebtedness</t>
        </is>
      </c>
      <c r="H112" s="171" t="n"/>
      <c r="I112" s="171" t="n">
        <v>9.087</v>
      </c>
    </row>
    <row r="113">
      <c r="B113" s="129" t="inlineStr">
        <is>
          <t>(Repayment of) proceeds from long-term debt</t>
        </is>
      </c>
      <c r="H113" s="171" t="n"/>
      <c r="I113" s="171" t="n">
        <v>-3.62</v>
      </c>
    </row>
    <row r="114">
      <c r="B114" s="129" t="inlineStr">
        <is>
          <t>Interest paid on long-term debt</t>
        </is>
      </c>
      <c r="H114" s="171" t="n"/>
      <c r="I114" s="171" t="n">
        <v>-26.256</v>
      </c>
    </row>
    <row r="115">
      <c r="B115" s="129" t="inlineStr">
        <is>
          <t>Realized foreign exchange on long term debt repayment</t>
        </is>
      </c>
      <c r="H115" s="171" t="n"/>
      <c r="I115" s="171" t="n">
        <v>0.034</v>
      </c>
    </row>
    <row r="116">
      <c r="B116" s="129" t="inlineStr">
        <is>
          <t>Repayment of obligations under finance leases</t>
        </is>
      </c>
      <c r="H116" s="171" t="n"/>
      <c r="I116" s="171" t="n">
        <v>-9.494999999999999</v>
      </c>
    </row>
    <row r="117">
      <c r="B117" s="129" t="inlineStr">
        <is>
          <t>Proceeds from (repayment of) interim production financing, net (note 25)</t>
        </is>
      </c>
      <c r="H117" s="171" t="n"/>
      <c r="I117" s="171" t="n">
        <v>18.832</v>
      </c>
    </row>
    <row r="118" customFormat="1" s="132">
      <c r="B118" s="167" t="inlineStr">
        <is>
          <t>Financing cash flow</t>
        </is>
      </c>
      <c r="C118" s="167" t="n"/>
      <c r="D118" s="167" t="n"/>
      <c r="E118" s="167" t="n"/>
      <c r="F118" s="167" t="n"/>
      <c r="G118" s="167" t="n"/>
      <c r="H118" s="167" t="n"/>
      <c r="I118" s="167">
        <f>SUM(I108:I117)</f>
        <v/>
      </c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</row>
    <row r="119"/>
    <row r="120">
      <c r="B120" s="129" t="inlineStr">
        <is>
          <t>FX impact</t>
        </is>
      </c>
      <c r="H120" s="171" t="n"/>
      <c r="I120" s="171" t="n">
        <v>0.545</v>
      </c>
    </row>
    <row r="121"/>
    <row r="122">
      <c r="B122" s="129" t="inlineStr">
        <is>
          <t>Net change in cash</t>
        </is>
      </c>
      <c r="I122" s="129">
        <f>+I120+I118+I106+I101</f>
        <v/>
      </c>
    </row>
  </sheetData>
  <pageMargins left="0.7" right="0.7" top="0.75" bottom="0.75" header="0.3" footer="0.3"/>
  <pageSetup orientation="portrait" paperSize="9" scale="27" verticalDpi="0"/>
</worksheet>
</file>

<file path=xl/worksheets/sheet5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T96"/>
  <sheetViews>
    <sheetView showGridLines="0" zoomScale="85" zoomScaleNormal="85" workbookViewId="0">
      <pane xSplit="4" ySplit="4" topLeftCell="E67" activePane="bottomRight" state="frozen"/>
      <selection pane="topRight" activeCell="E1" sqref="E1"/>
      <selection pane="bottomLeft" activeCell="A5" sqref="A5"/>
      <selection pane="bottomRight" activeCell="K96" sqref="K96"/>
    </sheetView>
  </sheetViews>
  <sheetFormatPr baseColWidth="8" defaultColWidth="15.73046875" defaultRowHeight="14.25"/>
  <cols>
    <col width="1.73046875" customWidth="1" style="124" min="1" max="1"/>
  </cols>
  <sheetData>
    <row r="1">
      <c r="A1" s="125" t="inlineStr">
        <is>
          <t>in CADm unless otherwise stated</t>
        </is>
      </c>
      <c r="I1" s="162" t="n"/>
    </row>
    <row r="2">
      <c r="A2" s="125" t="inlineStr">
        <is>
          <t>FYE June</t>
        </is>
      </c>
      <c r="I2" s="162" t="n"/>
    </row>
    <row r="3">
      <c r="I3" s="162" t="n"/>
    </row>
    <row r="4">
      <c r="E4" s="126" t="n">
        <v>2018</v>
      </c>
      <c r="F4" s="126">
        <f>+E4+1</f>
        <v/>
      </c>
      <c r="G4" s="126">
        <f>+F4+1</f>
        <v/>
      </c>
      <c r="H4" s="126">
        <f>+G4+1</f>
        <v/>
      </c>
      <c r="I4" s="126">
        <f>+H4+1</f>
        <v/>
      </c>
      <c r="J4" s="127">
        <f>+I4+1</f>
        <v/>
      </c>
      <c r="K4" s="127">
        <f>+J4+1</f>
        <v/>
      </c>
      <c r="L4" s="127">
        <f>+K4+1</f>
        <v/>
      </c>
      <c r="M4" s="127">
        <f>+L4+1</f>
        <v/>
      </c>
      <c r="N4" s="127">
        <f>+M4+1</f>
        <v/>
      </c>
      <c r="O4" s="127">
        <f>+N4+1</f>
        <v/>
      </c>
      <c r="P4" s="127">
        <f>+O4+1</f>
        <v/>
      </c>
      <c r="Q4" s="127">
        <f>+P4+1</f>
        <v/>
      </c>
      <c r="R4" s="127">
        <f>+Q4+1</f>
        <v/>
      </c>
      <c r="S4" s="127">
        <f>+R4+1</f>
        <v/>
      </c>
    </row>
    <row r="5">
      <c r="E5" s="130" t="n"/>
      <c r="F5" s="130" t="n"/>
      <c r="G5" s="130" t="n"/>
      <c r="H5" s="130" t="n"/>
      <c r="I5" s="197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</row>
    <row r="6">
      <c r="A6" s="129" t="inlineStr">
        <is>
          <t>x</t>
        </is>
      </c>
      <c r="B6" s="128" t="inlineStr">
        <is>
          <t>Segmental Revenue</t>
        </is>
      </c>
      <c r="E6" s="130" t="n"/>
      <c r="F6" s="130" t="n"/>
      <c r="G6" s="130" t="n"/>
      <c r="H6" s="130" t="n"/>
      <c r="I6" s="130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</row>
    <row r="7">
      <c r="A7" s="170" t="n"/>
      <c r="B7" s="165" t="inlineStr">
        <is>
          <t>Content production and distribution</t>
        </is>
      </c>
      <c r="D7" s="162" t="n"/>
      <c r="E7" s="171" t="n">
        <v>164.374</v>
      </c>
      <c r="F7" s="171" t="n">
        <v>143.763</v>
      </c>
      <c r="G7" s="171" t="n">
        <v>145.225</v>
      </c>
      <c r="H7" s="171" t="n">
        <v>185.084</v>
      </c>
      <c r="I7" s="171" t="n">
        <v>206.572</v>
      </c>
      <c r="J7" s="129">
        <f>+J29</f>
        <v/>
      </c>
      <c r="K7" s="129">
        <f>+K29</f>
        <v/>
      </c>
      <c r="L7" s="129">
        <f>+L29</f>
        <v/>
      </c>
      <c r="M7" s="129">
        <f>+M29</f>
        <v/>
      </c>
      <c r="N7" s="129">
        <f>+N29</f>
        <v/>
      </c>
      <c r="O7" s="129">
        <f>+O29</f>
        <v/>
      </c>
      <c r="P7" s="129">
        <f>+P29</f>
        <v/>
      </c>
      <c r="Q7" s="129">
        <f>+Q29</f>
        <v/>
      </c>
      <c r="R7" s="129">
        <f>+R29</f>
        <v/>
      </c>
      <c r="S7" s="129">
        <f>+S29</f>
        <v/>
      </c>
    </row>
    <row r="8">
      <c r="A8" s="170" t="n"/>
      <c r="B8" s="165" t="inlineStr">
        <is>
          <t>WildBrain Spark</t>
        </is>
      </c>
      <c r="D8" s="162" t="n"/>
      <c r="E8" s="171" t="n">
        <v>57.282</v>
      </c>
      <c r="F8" s="171" t="n">
        <v>68.996</v>
      </c>
      <c r="G8" s="171" t="n">
        <v>62.278</v>
      </c>
      <c r="H8" s="171" t="n">
        <v>45.754</v>
      </c>
      <c r="I8" s="171" t="n">
        <v>55.41</v>
      </c>
      <c r="J8" s="129">
        <f>+J36</f>
        <v/>
      </c>
      <c r="K8" s="129">
        <f>+K36</f>
        <v/>
      </c>
      <c r="L8" s="129">
        <f>+L36</f>
        <v/>
      </c>
      <c r="M8" s="129">
        <f>+M36</f>
        <v/>
      </c>
      <c r="N8" s="129">
        <f>+N36</f>
        <v/>
      </c>
      <c r="O8" s="129">
        <f>+O36</f>
        <v/>
      </c>
      <c r="P8" s="129">
        <f>+P36</f>
        <v/>
      </c>
      <c r="Q8" s="129">
        <f>+Q36</f>
        <v/>
      </c>
      <c r="R8" s="129">
        <f>+R36</f>
        <v/>
      </c>
      <c r="S8" s="129">
        <f>+S36</f>
        <v/>
      </c>
    </row>
    <row r="9">
      <c r="A9" s="170" t="n"/>
      <c r="B9" s="165" t="inlineStr">
        <is>
          <t>Consumer Products</t>
        </is>
      </c>
      <c r="D9" s="162" t="n"/>
      <c r="E9" s="171" t="n">
        <v>157.746</v>
      </c>
      <c r="F9" s="171" t="n">
        <v>174.572</v>
      </c>
      <c r="G9" s="171" t="n">
        <v>168.604</v>
      </c>
      <c r="H9" s="171" t="n">
        <v>175.194</v>
      </c>
      <c r="I9" s="171" t="n">
        <v>203.557</v>
      </c>
      <c r="J9" s="129">
        <f>+J64</f>
        <v/>
      </c>
      <c r="K9" s="129">
        <f>+K64</f>
        <v/>
      </c>
      <c r="L9" s="129">
        <f>+L64</f>
        <v/>
      </c>
      <c r="M9" s="129">
        <f>+M64</f>
        <v/>
      </c>
      <c r="N9" s="129">
        <f>+N64</f>
        <v/>
      </c>
      <c r="O9" s="129">
        <f>+O64</f>
        <v/>
      </c>
      <c r="P9" s="129">
        <f>+P64</f>
        <v/>
      </c>
      <c r="Q9" s="129">
        <f>+Q64</f>
        <v/>
      </c>
      <c r="R9" s="129">
        <f>+R64</f>
        <v/>
      </c>
      <c r="S9" s="129">
        <f>+S64</f>
        <v/>
      </c>
    </row>
    <row r="10" customFormat="1" s="132">
      <c r="A10" s="198" t="n"/>
      <c r="B10" s="132" t="inlineStr">
        <is>
          <t>Total content</t>
        </is>
      </c>
      <c r="E10" s="199">
        <f>SUM(E7:E9)</f>
        <v/>
      </c>
      <c r="F10" s="199">
        <f>SUM(F7:F9)</f>
        <v/>
      </c>
      <c r="G10" s="132">
        <f>SUM(G7:G9)</f>
        <v/>
      </c>
      <c r="H10" s="132">
        <f>SUM(H7:H9)</f>
        <v/>
      </c>
      <c r="I10" s="132">
        <f>SUM(I7:I9)</f>
        <v/>
      </c>
      <c r="J10" s="132">
        <f>SUM(J7:J9)</f>
        <v/>
      </c>
      <c r="K10" s="132">
        <f>SUM(K7:K9)</f>
        <v/>
      </c>
      <c r="L10" s="132">
        <f>SUM(L7:L9)</f>
        <v/>
      </c>
      <c r="M10" s="132">
        <f>SUM(M7:M9)</f>
        <v/>
      </c>
      <c r="N10" s="132">
        <f>SUM(N7:N9)</f>
        <v/>
      </c>
      <c r="O10" s="132">
        <f>SUM(O7:O9)</f>
        <v/>
      </c>
      <c r="P10" s="132">
        <f>SUM(P7:P9)</f>
        <v/>
      </c>
      <c r="Q10" s="132">
        <f>SUM(Q7:Q9)</f>
        <v/>
      </c>
      <c r="R10" s="132">
        <f>SUM(R7:R9)</f>
        <v/>
      </c>
      <c r="S10" s="132">
        <f>SUM(S7:S9)</f>
        <v/>
      </c>
    </row>
    <row r="11">
      <c r="A11" s="170" t="n"/>
    </row>
    <row r="12" customFormat="1" s="132">
      <c r="A12" s="198" t="n"/>
      <c r="B12" s="132" t="inlineStr">
        <is>
          <t>Canadian Television Broadcasting</t>
        </is>
      </c>
      <c r="D12" s="162" t="n"/>
      <c r="E12" s="173" t="n">
        <v>55.014</v>
      </c>
      <c r="F12" s="173" t="n">
        <v>52.469</v>
      </c>
      <c r="G12" s="173" t="n">
        <v>49.527</v>
      </c>
      <c r="H12" s="173" t="n">
        <v>46.502</v>
      </c>
      <c r="I12" s="173" t="n">
        <v>41.684</v>
      </c>
      <c r="J12" s="132">
        <f>+J82</f>
        <v/>
      </c>
      <c r="K12" s="132">
        <f>+K82</f>
        <v/>
      </c>
      <c r="L12" s="132">
        <f>+L82</f>
        <v/>
      </c>
      <c r="M12" s="132">
        <f>+M82</f>
        <v/>
      </c>
      <c r="N12" s="132">
        <f>+N82</f>
        <v/>
      </c>
      <c r="O12" s="132">
        <f>+O82</f>
        <v/>
      </c>
      <c r="P12" s="132">
        <f>+P82</f>
        <v/>
      </c>
      <c r="Q12" s="132">
        <f>+Q82</f>
        <v/>
      </c>
      <c r="R12" s="132">
        <f>+R82</f>
        <v/>
      </c>
      <c r="S12" s="132">
        <f>+S82</f>
        <v/>
      </c>
    </row>
    <row r="13">
      <c r="A13" s="170" t="n"/>
    </row>
    <row r="14" customFormat="1" s="132">
      <c r="A14" s="198" t="n"/>
      <c r="B14" s="132" t="inlineStr">
        <is>
          <t>Total revenue</t>
        </is>
      </c>
      <c r="D14" s="162" t="n"/>
      <c r="E14" s="132">
        <f>+E12+E10</f>
        <v/>
      </c>
      <c r="F14" s="132">
        <f>+F12+F10</f>
        <v/>
      </c>
      <c r="G14" s="132">
        <f>+G12+G10</f>
        <v/>
      </c>
      <c r="H14" s="132">
        <f>+H12+H10</f>
        <v/>
      </c>
      <c r="I14" s="132">
        <f>+I12+I10</f>
        <v/>
      </c>
      <c r="J14" s="132">
        <f>+J12+J10</f>
        <v/>
      </c>
      <c r="K14" s="132">
        <f>+K12+K10</f>
        <v/>
      </c>
      <c r="L14" s="132">
        <f>+L12+L10</f>
        <v/>
      </c>
      <c r="M14" s="132">
        <f>+M12+M10</f>
        <v/>
      </c>
      <c r="N14" s="132">
        <f>+N12+N10</f>
        <v/>
      </c>
      <c r="O14" s="132">
        <f>+O12+O10</f>
        <v/>
      </c>
      <c r="P14" s="132">
        <f>+P12+P10</f>
        <v/>
      </c>
      <c r="Q14" s="132">
        <f>+Q12+Q10</f>
        <v/>
      </c>
      <c r="R14" s="132">
        <f>+R12+R10</f>
        <v/>
      </c>
      <c r="S14" s="132">
        <f>+S12+S10</f>
        <v/>
      </c>
    </row>
    <row r="15">
      <c r="B15" s="200" t="inlineStr">
        <is>
          <t>Check</t>
        </is>
      </c>
      <c r="E15" s="200">
        <f>+E14='P&amp;L'!E6</f>
        <v/>
      </c>
      <c r="F15" s="200">
        <f>+F14='P&amp;L'!F6</f>
        <v/>
      </c>
      <c r="G15" s="200">
        <f>+G14='P&amp;L'!G6</f>
        <v/>
      </c>
      <c r="H15" s="200">
        <f>+H14='P&amp;L'!H6</f>
        <v/>
      </c>
      <c r="I15" s="200">
        <f>+I14='P&amp;L'!I6</f>
        <v/>
      </c>
    </row>
    <row r="17">
      <c r="A17" s="129" t="inlineStr">
        <is>
          <t>x</t>
        </is>
      </c>
      <c r="B17" s="128" t="inlineStr">
        <is>
          <t>Segmental gross profit</t>
        </is>
      </c>
    </row>
    <row r="18" customFormat="1" s="132">
      <c r="A18" s="201" t="n"/>
      <c r="B18" s="132" t="inlineStr">
        <is>
          <t>Content</t>
        </is>
      </c>
      <c r="G18" s="173" t="n"/>
      <c r="H18" s="173" t="n">
        <v>162.692</v>
      </c>
      <c r="I18" s="173" t="n">
        <v>193.455</v>
      </c>
      <c r="J18" s="132">
        <f>+J19*J10</f>
        <v/>
      </c>
      <c r="K18" s="132">
        <f>+K19*K10</f>
        <v/>
      </c>
      <c r="L18" s="132">
        <f>+L19*L10</f>
        <v/>
      </c>
      <c r="M18" s="132">
        <f>+M19*M10</f>
        <v/>
      </c>
      <c r="N18" s="132">
        <f>+N19*N10</f>
        <v/>
      </c>
      <c r="O18" s="132">
        <f>+O19*O10</f>
        <v/>
      </c>
      <c r="P18" s="132">
        <f>+P19*P10</f>
        <v/>
      </c>
      <c r="Q18" s="132">
        <f>+Q19*Q10</f>
        <v/>
      </c>
      <c r="R18" s="132">
        <f>+R19*R10</f>
        <v/>
      </c>
      <c r="S18" s="132">
        <f>+S19*S10</f>
        <v/>
      </c>
    </row>
    <row r="19">
      <c r="A19" s="202" t="n"/>
      <c r="B19" s="129" t="inlineStr">
        <is>
          <t>% margin</t>
        </is>
      </c>
      <c r="G19" s="162" t="n"/>
      <c r="H19" s="162">
        <f>+H18/H10</f>
        <v/>
      </c>
      <c r="I19" s="162">
        <f>+I18/I10</f>
        <v/>
      </c>
      <c r="J19" s="185" t="n">
        <v>0.4</v>
      </c>
      <c r="K19" s="185" t="n">
        <v>0.41</v>
      </c>
      <c r="L19" s="185" t="n">
        <v>0.41</v>
      </c>
      <c r="M19" s="185" t="n">
        <v>0.41</v>
      </c>
      <c r="N19" s="185" t="n">
        <v>0.41</v>
      </c>
      <c r="O19" s="185" t="n">
        <v>0.41</v>
      </c>
      <c r="P19" s="185" t="n">
        <v>0.41</v>
      </c>
      <c r="Q19" s="185" t="n">
        <v>0.41</v>
      </c>
      <c r="R19" s="185" t="n">
        <v>0.41</v>
      </c>
      <c r="S19" s="185" t="n">
        <v>0.41</v>
      </c>
    </row>
    <row r="20">
      <c r="A20" s="202" t="n"/>
    </row>
    <row r="21" customFormat="1" s="132">
      <c r="A21" s="201" t="n"/>
      <c r="B21" s="132" t="inlineStr">
        <is>
          <t>Canadian TV business</t>
        </is>
      </c>
      <c r="G21" s="173" t="n"/>
      <c r="H21" s="173" t="n">
        <v>32.195</v>
      </c>
      <c r="I21" s="173" t="n">
        <v>28.106</v>
      </c>
      <c r="J21" s="132">
        <f>+J22*J12</f>
        <v/>
      </c>
      <c r="K21" s="132">
        <f>+K22*K12</f>
        <v/>
      </c>
      <c r="L21" s="132">
        <f>+L22*L12</f>
        <v/>
      </c>
      <c r="M21" s="132">
        <f>+M22*M12</f>
        <v/>
      </c>
      <c r="N21" s="132">
        <f>+N22*N12</f>
        <v/>
      </c>
      <c r="O21" s="132">
        <f>+O22*O12</f>
        <v/>
      </c>
      <c r="P21" s="132">
        <f>+P22*P12</f>
        <v/>
      </c>
      <c r="Q21" s="132">
        <f>+Q22*Q12</f>
        <v/>
      </c>
      <c r="R21" s="132">
        <f>+R22*R12</f>
        <v/>
      </c>
      <c r="S21" s="132">
        <f>+S22*S12</f>
        <v/>
      </c>
    </row>
    <row r="22">
      <c r="A22" s="202" t="n"/>
      <c r="B22" s="129" t="inlineStr">
        <is>
          <t>% margin</t>
        </is>
      </c>
      <c r="G22" s="162" t="n"/>
      <c r="H22" s="162">
        <f>+H21/H12</f>
        <v/>
      </c>
      <c r="I22" s="162">
        <f>+I21/I12</f>
        <v/>
      </c>
      <c r="J22" s="185" t="n">
        <v>0.65</v>
      </c>
      <c r="K22" s="185">
        <f>+J22</f>
        <v/>
      </c>
      <c r="L22" s="185">
        <f>+K22</f>
        <v/>
      </c>
      <c r="M22" s="185">
        <f>+L22</f>
        <v/>
      </c>
      <c r="N22" s="185">
        <f>+M22</f>
        <v/>
      </c>
      <c r="O22" s="185">
        <f>+N22</f>
        <v/>
      </c>
      <c r="P22" s="185">
        <f>+O22</f>
        <v/>
      </c>
      <c r="Q22" s="185">
        <f>+P22</f>
        <v/>
      </c>
      <c r="R22" s="185">
        <f>+Q22</f>
        <v/>
      </c>
      <c r="S22" s="185">
        <f>+R22</f>
        <v/>
      </c>
    </row>
    <row r="23">
      <c r="A23" s="202" t="n"/>
      <c r="H23" s="162" t="n"/>
      <c r="I23" s="162" t="n"/>
    </row>
    <row r="24">
      <c r="A24" s="202" t="n"/>
      <c r="B24" s="129" t="inlineStr">
        <is>
          <t xml:space="preserve">Adjustments </t>
        </is>
      </c>
      <c r="E24" s="203" t="n"/>
      <c r="F24" s="203" t="n"/>
      <c r="G24" s="203" t="n"/>
      <c r="H24" s="180">
        <f>+'P&amp;L'!H9</f>
        <v/>
      </c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203" t="n"/>
      <c r="S24" s="203" t="n"/>
    </row>
    <row r="25">
      <c r="A25" s="202" t="n"/>
    </row>
    <row r="26" customFormat="1" s="132">
      <c r="A26" s="201" t="n"/>
      <c r="B26" s="132" t="inlineStr">
        <is>
          <t>Total gross profit</t>
        </is>
      </c>
      <c r="H26" s="132">
        <f>+H21+H18+H24</f>
        <v/>
      </c>
      <c r="I26" s="132">
        <f>+I21+I18+I24</f>
        <v/>
      </c>
      <c r="J26" s="132">
        <f>+J21+J18+J24</f>
        <v/>
      </c>
      <c r="K26" s="132">
        <f>+K21+K18+K24</f>
        <v/>
      </c>
      <c r="L26" s="132">
        <f>+L21+L18+L24</f>
        <v/>
      </c>
      <c r="M26" s="132">
        <f>+M21+M18+M24</f>
        <v/>
      </c>
      <c r="N26" s="132">
        <f>+N21+N18+N24</f>
        <v/>
      </c>
      <c r="O26" s="132">
        <f>+O21+O18+O24</f>
        <v/>
      </c>
      <c r="P26" s="132">
        <f>+P21+P18+P24</f>
        <v/>
      </c>
      <c r="Q26" s="132">
        <f>+Q21+Q18+Q24</f>
        <v/>
      </c>
      <c r="R26" s="132">
        <f>+R21+R18+R24</f>
        <v/>
      </c>
      <c r="S26" s="132">
        <f>+S21+S18+S24</f>
        <v/>
      </c>
    </row>
    <row r="27">
      <c r="G27" s="204" t="n"/>
      <c r="H27" s="204">
        <f>+ROUND(H26-'P&amp;L'!H13, 1)=0</f>
        <v/>
      </c>
      <c r="I27" s="204">
        <f>+I26='P&amp;L'!I13</f>
        <v/>
      </c>
    </row>
    <row r="28">
      <c r="A28" s="129" t="inlineStr">
        <is>
          <t>x</t>
        </is>
      </c>
      <c r="B28" s="128" t="inlineStr">
        <is>
          <t>Content production and distribution</t>
        </is>
      </c>
      <c r="I28" s="205" t="n"/>
    </row>
    <row r="29">
      <c r="A29" s="170" t="n"/>
      <c r="B29" s="129" t="inlineStr">
        <is>
          <t>Revenue</t>
        </is>
      </c>
      <c r="E29" s="206">
        <f>+E7</f>
        <v/>
      </c>
      <c r="F29" s="206">
        <f>+F7</f>
        <v/>
      </c>
      <c r="G29" s="206">
        <f>+G7</f>
        <v/>
      </c>
      <c r="H29" s="206">
        <f>+H7</f>
        <v/>
      </c>
      <c r="I29" s="206">
        <f>+I7</f>
        <v/>
      </c>
      <c r="J29" s="129">
        <f>+(1+J30)*I29</f>
        <v/>
      </c>
      <c r="K29" s="129">
        <f>+(1+K30)*J29</f>
        <v/>
      </c>
      <c r="L29" s="129">
        <f>+(1+L30)*K29</f>
        <v/>
      </c>
      <c r="M29" s="129">
        <f>+(1+M30)*L29</f>
        <v/>
      </c>
      <c r="N29" s="129">
        <f>+(1+N30)*M29</f>
        <v/>
      </c>
      <c r="O29" s="129">
        <f>+(1+O30)*N29</f>
        <v/>
      </c>
      <c r="P29" s="129">
        <f>+(1+P30)*O29</f>
        <v/>
      </c>
      <c r="Q29" s="129">
        <f>+(1+Q30)*P29</f>
        <v/>
      </c>
      <c r="R29" s="129">
        <f>+(1+R30)*Q29</f>
        <v/>
      </c>
      <c r="S29" s="129">
        <f>+(1+S30)*R29</f>
        <v/>
      </c>
    </row>
    <row r="30">
      <c r="A30" s="170" t="n"/>
      <c r="B30" s="129" t="inlineStr">
        <is>
          <t>% YoY</t>
        </is>
      </c>
      <c r="F30" s="162">
        <f>+F29/E29-1</f>
        <v/>
      </c>
      <c r="G30" s="162">
        <f>+G29/F29-1</f>
        <v/>
      </c>
      <c r="H30" s="162">
        <f>+H29/G29-1</f>
        <v/>
      </c>
      <c r="I30" s="162">
        <f>+I29/H29-1</f>
        <v/>
      </c>
      <c r="J30" s="162">
        <f>+CHOOSE(Case, J31,J32,J33)</f>
        <v/>
      </c>
      <c r="K30" s="162">
        <f>+CHOOSE(Case, K31,K32,K33)</f>
        <v/>
      </c>
      <c r="L30" s="162">
        <f>+CHOOSE(Case, L31,L32,L33)</f>
        <v/>
      </c>
      <c r="M30" s="162">
        <f>+CHOOSE(Case, M31,M32,M33)</f>
        <v/>
      </c>
      <c r="N30" s="162">
        <f>+CHOOSE(Case, N31,N32,N33)</f>
        <v/>
      </c>
      <c r="O30" s="162">
        <f>+CHOOSE(Case, O31,O32,O33)</f>
        <v/>
      </c>
      <c r="P30" s="162">
        <f>+CHOOSE(Case, P31,P32,P33)</f>
        <v/>
      </c>
      <c r="Q30" s="162">
        <f>+CHOOSE(Case, Q31,Q32,Q33)</f>
        <v/>
      </c>
      <c r="R30" s="162">
        <f>+CHOOSE(Case, R31,R32,R33)</f>
        <v/>
      </c>
      <c r="S30" s="162">
        <f>+CHOOSE(Case, S31,S32,S33)</f>
        <v/>
      </c>
    </row>
    <row r="31">
      <c r="A31" s="170" t="n"/>
      <c r="B31" s="165" t="inlineStr">
        <is>
          <t>Base</t>
        </is>
      </c>
      <c r="J31" s="185" t="n">
        <v>0.05</v>
      </c>
      <c r="K31" s="185" t="n">
        <v>0.1</v>
      </c>
      <c r="L31" s="185" t="n">
        <v>0.1</v>
      </c>
      <c r="M31" s="185" t="n">
        <v>0.05</v>
      </c>
      <c r="N31" s="185" t="n">
        <v>0.03</v>
      </c>
      <c r="O31" s="185" t="n">
        <v>0.03</v>
      </c>
      <c r="P31" s="185" t="n">
        <v>0.03</v>
      </c>
      <c r="Q31" s="185" t="n">
        <v>0.03</v>
      </c>
      <c r="R31" s="185" t="n">
        <v>0.03</v>
      </c>
      <c r="S31" s="185" t="n">
        <v>0.03</v>
      </c>
    </row>
    <row r="32">
      <c r="A32" s="170" t="n"/>
      <c r="B32" s="165" t="inlineStr">
        <is>
          <t>Upside</t>
        </is>
      </c>
      <c r="J32" s="185" t="n">
        <v>0.05</v>
      </c>
      <c r="K32" s="185" t="n">
        <v>0.15</v>
      </c>
      <c r="L32" s="185" t="n">
        <v>0.1</v>
      </c>
      <c r="M32" s="185" t="n">
        <v>0.05</v>
      </c>
      <c r="N32" s="185" t="n">
        <v>0.05</v>
      </c>
      <c r="O32" s="185" t="n">
        <v>0.05</v>
      </c>
      <c r="P32" s="185" t="n">
        <v>0.05</v>
      </c>
      <c r="Q32" s="185" t="n">
        <v>0.05</v>
      </c>
      <c r="R32" s="185" t="n">
        <v>0.05</v>
      </c>
      <c r="S32" s="185" t="n">
        <v>0.05</v>
      </c>
    </row>
    <row r="33">
      <c r="A33" s="170" t="n"/>
      <c r="B33" s="165" t="inlineStr">
        <is>
          <t>Downside</t>
        </is>
      </c>
      <c r="J33" s="185" t="n">
        <v>0.05</v>
      </c>
      <c r="K33" s="185" t="n">
        <v>0.05</v>
      </c>
      <c r="L33" s="185" t="n">
        <v>0.05</v>
      </c>
      <c r="M33" s="185" t="n">
        <v>0.05</v>
      </c>
      <c r="N33" s="185" t="n">
        <v>0.05</v>
      </c>
      <c r="O33" s="185" t="n">
        <v>0.05</v>
      </c>
      <c r="P33" s="185" t="n">
        <v>0.05</v>
      </c>
      <c r="Q33" s="185" t="n">
        <v>0.05</v>
      </c>
      <c r="R33" s="185" t="n">
        <v>0.05</v>
      </c>
      <c r="S33" s="185" t="n">
        <v>0.05</v>
      </c>
    </row>
    <row r="35">
      <c r="A35" s="129" t="inlineStr">
        <is>
          <t>x</t>
        </is>
      </c>
      <c r="B35" s="128" t="inlineStr">
        <is>
          <t>Wildbrain Spark</t>
        </is>
      </c>
    </row>
    <row r="36">
      <c r="A36" s="170" t="n"/>
      <c r="B36" s="129" t="inlineStr">
        <is>
          <t>Revenue</t>
        </is>
      </c>
      <c r="E36" s="206">
        <f>+E8</f>
        <v/>
      </c>
      <c r="F36" s="206">
        <f>+F8</f>
        <v/>
      </c>
      <c r="G36" s="206">
        <f>+G8</f>
        <v/>
      </c>
      <c r="H36" s="206">
        <f>+H8</f>
        <v/>
      </c>
      <c r="I36" s="206">
        <f>+I8</f>
        <v/>
      </c>
      <c r="J36" s="129">
        <f>+J39*J45</f>
        <v/>
      </c>
      <c r="K36" s="129">
        <f>+K39*K45</f>
        <v/>
      </c>
      <c r="L36" s="129">
        <f>+L39*L45</f>
        <v/>
      </c>
      <c r="M36" s="129">
        <f>+M39*M45</f>
        <v/>
      </c>
      <c r="N36" s="129">
        <f>+N39*N45</f>
        <v/>
      </c>
      <c r="O36" s="129">
        <f>+O39*O45</f>
        <v/>
      </c>
      <c r="P36" s="129">
        <f>+P39*P45</f>
        <v/>
      </c>
      <c r="Q36" s="129">
        <f>+Q39*Q45</f>
        <v/>
      </c>
      <c r="R36" s="129">
        <f>+R39*R45</f>
        <v/>
      </c>
      <c r="S36" s="129">
        <f>+S39*S45</f>
        <v/>
      </c>
    </row>
    <row r="37">
      <c r="A37" s="170" t="n"/>
      <c r="B37" s="129" t="inlineStr">
        <is>
          <t>% YoY</t>
        </is>
      </c>
      <c r="F37" s="162">
        <f>+F36/E36-1</f>
        <v/>
      </c>
      <c r="G37" s="162">
        <f>+G36/F36-1</f>
        <v/>
      </c>
      <c r="H37" s="162">
        <f>+H36/G36-1</f>
        <v/>
      </c>
      <c r="I37" s="162">
        <f>+I36/H36-1</f>
        <v/>
      </c>
      <c r="J37" s="162">
        <f>+J36/I36-1</f>
        <v/>
      </c>
      <c r="K37" s="162">
        <f>+K36/J36-1</f>
        <v/>
      </c>
      <c r="L37" s="162">
        <f>+L36/K36-1</f>
        <v/>
      </c>
      <c r="M37" s="162">
        <f>+M36/L36-1</f>
        <v/>
      </c>
      <c r="N37" s="162">
        <f>+N36/M36-1</f>
        <v/>
      </c>
      <c r="O37" s="162">
        <f>+O36/N36-1</f>
        <v/>
      </c>
      <c r="P37" s="162">
        <f>+P36/O36-1</f>
        <v/>
      </c>
      <c r="Q37" s="162">
        <f>+Q36/P36-1</f>
        <v/>
      </c>
      <c r="R37" s="162">
        <f>+R36/Q36-1</f>
        <v/>
      </c>
      <c r="S37" s="162">
        <f>+S36/R36-1</f>
        <v/>
      </c>
    </row>
    <row r="38">
      <c r="A38" s="170" t="n"/>
      <c r="F38" s="162" t="n"/>
      <c r="G38" s="162" t="n"/>
      <c r="H38" s="162" t="n"/>
      <c r="I38" s="162" t="n"/>
    </row>
    <row r="39">
      <c r="A39" s="170" t="n"/>
      <c r="B39" s="129" t="inlineStr">
        <is>
          <t>Views (billions)</t>
        </is>
      </c>
      <c r="E39" s="171" t="n">
        <v>25</v>
      </c>
      <c r="F39" s="171">
        <f>7.2+7+8.7+9.3</f>
        <v/>
      </c>
      <c r="G39" s="171">
        <f>12+9.9+10.3+11.6</f>
        <v/>
      </c>
      <c r="H39" s="171" t="n">
        <v>35</v>
      </c>
      <c r="I39" s="171" t="n">
        <v>32.9</v>
      </c>
      <c r="J39" s="129">
        <f>+(1+J40)*I39</f>
        <v/>
      </c>
      <c r="K39" s="129">
        <f>+(1+K40)*J39</f>
        <v/>
      </c>
      <c r="L39" s="129">
        <f>+(1+L40)*K39</f>
        <v/>
      </c>
      <c r="M39" s="129">
        <f>+(1+M40)*L39</f>
        <v/>
      </c>
      <c r="N39" s="129">
        <f>+(1+N40)*M39</f>
        <v/>
      </c>
      <c r="O39" s="129">
        <f>+(1+O40)*N39</f>
        <v/>
      </c>
      <c r="P39" s="129">
        <f>+(1+P40)*O39</f>
        <v/>
      </c>
      <c r="Q39" s="129">
        <f>+(1+Q40)*P39</f>
        <v/>
      </c>
      <c r="R39" s="129">
        <f>+(1+R40)*Q39</f>
        <v/>
      </c>
      <c r="S39" s="129">
        <f>+(1+S40)*R39</f>
        <v/>
      </c>
    </row>
    <row r="40">
      <c r="A40" s="170" t="n"/>
      <c r="B40" s="129" t="inlineStr">
        <is>
          <t>% YoY</t>
        </is>
      </c>
      <c r="F40" s="207">
        <f>+F39/E39-1</f>
        <v/>
      </c>
      <c r="G40" s="207">
        <f>+G39/F39-1</f>
        <v/>
      </c>
      <c r="H40" s="207">
        <f>+H39/G39-1</f>
        <v/>
      </c>
      <c r="I40" s="207">
        <f>+I39/H39-1</f>
        <v/>
      </c>
      <c r="J40" s="162">
        <f>+CHOOSE(Case, J41,J42,J43)</f>
        <v/>
      </c>
      <c r="K40" s="162">
        <f>+CHOOSE(Case, K41,K42,K43)</f>
        <v/>
      </c>
      <c r="L40" s="162">
        <f>+CHOOSE(Case, L41,L42,L43)</f>
        <v/>
      </c>
      <c r="M40" s="162">
        <f>+CHOOSE(Case, M41,M42,M43)</f>
        <v/>
      </c>
      <c r="N40" s="162">
        <f>+CHOOSE(Case, N41,N42,N43)</f>
        <v/>
      </c>
      <c r="O40" s="162">
        <f>+CHOOSE(Case, O41,O42,O43)</f>
        <v/>
      </c>
      <c r="P40" s="162">
        <f>+CHOOSE(Case, P41,P42,P43)</f>
        <v/>
      </c>
      <c r="Q40" s="162">
        <f>+CHOOSE(Case, Q41,Q42,Q43)</f>
        <v/>
      </c>
      <c r="R40" s="162">
        <f>+CHOOSE(Case, R41,R42,R43)</f>
        <v/>
      </c>
      <c r="S40" s="162">
        <f>+CHOOSE(Case, S41,S42,S43)</f>
        <v/>
      </c>
    </row>
    <row r="41">
      <c r="A41" s="170" t="n"/>
      <c r="B41" s="165" t="inlineStr">
        <is>
          <t>Base</t>
        </is>
      </c>
      <c r="J41" s="185" t="n">
        <v>0.03</v>
      </c>
      <c r="K41" s="185" t="n">
        <v>0.03</v>
      </c>
      <c r="L41" s="185" t="n">
        <v>0.03</v>
      </c>
      <c r="M41" s="185" t="n">
        <v>0.03</v>
      </c>
      <c r="N41" s="185" t="n">
        <v>0.03</v>
      </c>
      <c r="O41" s="185" t="n">
        <v>0.03</v>
      </c>
      <c r="P41" s="185" t="n">
        <v>0.03</v>
      </c>
      <c r="Q41" s="185" t="n">
        <v>0.03</v>
      </c>
      <c r="R41" s="185" t="n">
        <v>0.03</v>
      </c>
      <c r="S41" s="185" t="n">
        <v>0.03</v>
      </c>
    </row>
    <row r="42">
      <c r="A42" s="170" t="n"/>
      <c r="B42" s="165" t="inlineStr">
        <is>
          <t>Upside</t>
        </is>
      </c>
      <c r="J42" s="185" t="n">
        <v>0.05</v>
      </c>
      <c r="K42" s="185" t="n">
        <v>0.05</v>
      </c>
      <c r="L42" s="185" t="n">
        <v>0.05</v>
      </c>
      <c r="M42" s="185" t="n">
        <v>0.05</v>
      </c>
      <c r="N42" s="185" t="n">
        <v>0.05</v>
      </c>
      <c r="O42" s="185" t="n">
        <v>0.05</v>
      </c>
      <c r="P42" s="185" t="n">
        <v>0.05</v>
      </c>
      <c r="Q42" s="185" t="n">
        <v>0.05</v>
      </c>
      <c r="R42" s="185" t="n">
        <v>0.05</v>
      </c>
      <c r="S42" s="185" t="n">
        <v>0.05</v>
      </c>
    </row>
    <row r="43">
      <c r="A43" s="170" t="n"/>
      <c r="B43" s="165" t="inlineStr">
        <is>
          <t>Downside</t>
        </is>
      </c>
      <c r="J43" s="185" t="n">
        <v>0</v>
      </c>
      <c r="K43" s="185" t="n">
        <v>0.03</v>
      </c>
      <c r="L43" s="185" t="n">
        <v>0.03</v>
      </c>
      <c r="M43" s="185" t="n">
        <v>0.03</v>
      </c>
      <c r="N43" s="185" t="n">
        <v>0.03</v>
      </c>
      <c r="O43" s="185" t="n">
        <v>0.03</v>
      </c>
      <c r="P43" s="185" t="n">
        <v>0.03</v>
      </c>
      <c r="Q43" s="185" t="n">
        <v>0.03</v>
      </c>
      <c r="R43" s="185" t="n">
        <v>0.03</v>
      </c>
      <c r="S43" s="185" t="n">
        <v>0.03</v>
      </c>
    </row>
    <row r="44">
      <c r="A44" s="170" t="n"/>
      <c r="K44" s="159" t="n"/>
      <c r="L44" s="159" t="n"/>
      <c r="M44" s="159" t="n"/>
      <c r="N44" s="159" t="n"/>
      <c r="O44" s="159" t="n"/>
      <c r="P44" s="159" t="n"/>
      <c r="Q44" s="159" t="n"/>
      <c r="R44" s="159" t="n"/>
      <c r="S44" s="159" t="n"/>
    </row>
    <row r="45">
      <c r="A45" s="170" t="n"/>
      <c r="B45" s="129" t="inlineStr">
        <is>
          <t>CPM (CAD)</t>
        </is>
      </c>
      <c r="E45" s="208">
        <f>+E36/E39</f>
        <v/>
      </c>
      <c r="F45" s="208">
        <f>+F36/F39</f>
        <v/>
      </c>
      <c r="G45" s="208">
        <f>+G36/G39</f>
        <v/>
      </c>
      <c r="H45" s="208">
        <f>+H36/H39</f>
        <v/>
      </c>
      <c r="I45" s="208">
        <f>+I36/I39</f>
        <v/>
      </c>
      <c r="J45" s="159">
        <f>+(1+J46)*I45</f>
        <v/>
      </c>
      <c r="K45" s="159">
        <f>+(1+K46)*J45</f>
        <v/>
      </c>
      <c r="L45" s="159">
        <f>+(1+L46)*K45</f>
        <v/>
      </c>
      <c r="M45" s="159">
        <f>+(1+M46)*L45</f>
        <v/>
      </c>
      <c r="N45" s="159">
        <f>+(1+N46)*M45</f>
        <v/>
      </c>
      <c r="O45" s="159">
        <f>+(1+O46)*N45</f>
        <v/>
      </c>
      <c r="P45" s="159">
        <f>+(1+P46)*O45</f>
        <v/>
      </c>
      <c r="Q45" s="159">
        <f>+(1+Q46)*P45</f>
        <v/>
      </c>
      <c r="R45" s="159">
        <f>+(1+R46)*Q45</f>
        <v/>
      </c>
      <c r="S45" s="159">
        <f>+(1+S46)*R45</f>
        <v/>
      </c>
    </row>
    <row r="46">
      <c r="A46" s="170" t="n"/>
      <c r="B46" s="129" t="inlineStr">
        <is>
          <t>% YoY</t>
        </is>
      </c>
      <c r="F46" s="207">
        <f>+F45/E45-1</f>
        <v/>
      </c>
      <c r="G46" s="207">
        <f>+G45/F45-1</f>
        <v/>
      </c>
      <c r="H46" s="207">
        <f>+H45/G45-1</f>
        <v/>
      </c>
      <c r="I46" s="207">
        <f>+I45/H45-1</f>
        <v/>
      </c>
      <c r="J46" s="162">
        <f>+CHOOSE(Case, J47,J48,J49)</f>
        <v/>
      </c>
      <c r="K46" s="162">
        <f>+CHOOSE(Case, K47,K48,K49)</f>
        <v/>
      </c>
      <c r="L46" s="162">
        <f>+CHOOSE(Case, L47,L48,L49)</f>
        <v/>
      </c>
      <c r="M46" s="162">
        <f>+CHOOSE(Case, M47,M48,M49)</f>
        <v/>
      </c>
      <c r="N46" s="162">
        <f>+CHOOSE(Case, N47,N48,N49)</f>
        <v/>
      </c>
      <c r="O46" s="162">
        <f>+CHOOSE(Case, O47,O48,O49)</f>
        <v/>
      </c>
      <c r="P46" s="162">
        <f>+CHOOSE(Case, P47,P48,P49)</f>
        <v/>
      </c>
      <c r="Q46" s="162">
        <f>+CHOOSE(Case, Q47,Q48,Q49)</f>
        <v/>
      </c>
      <c r="R46" s="162">
        <f>+CHOOSE(Case, R47,R48,R49)</f>
        <v/>
      </c>
      <c r="S46" s="162">
        <f>+CHOOSE(Case, S47,S48,S49)</f>
        <v/>
      </c>
    </row>
    <row r="47">
      <c r="A47" s="170" t="n"/>
      <c r="B47" s="165" t="inlineStr">
        <is>
          <t>Base</t>
        </is>
      </c>
      <c r="J47" s="185" t="n">
        <v>-0.2</v>
      </c>
      <c r="K47" s="185" t="n">
        <v>0.15</v>
      </c>
      <c r="L47" s="185" t="n">
        <v>0.25</v>
      </c>
      <c r="M47" s="185" t="n">
        <v>0.05</v>
      </c>
      <c r="N47" s="185" t="n">
        <v>0.045</v>
      </c>
      <c r="O47" s="185" t="n">
        <v>0.04</v>
      </c>
      <c r="P47" s="185" t="n">
        <v>0.035</v>
      </c>
      <c r="Q47" s="185" t="n">
        <v>0.03</v>
      </c>
      <c r="R47" s="185" t="n">
        <v>0.02</v>
      </c>
      <c r="S47" s="185" t="n">
        <v>0.02</v>
      </c>
    </row>
    <row r="48">
      <c r="A48" s="170" t="n"/>
      <c r="B48" s="165" t="inlineStr">
        <is>
          <t>Upside</t>
        </is>
      </c>
      <c r="J48" s="185" t="n">
        <v>-0.2</v>
      </c>
      <c r="K48" s="185" t="n">
        <v>0.2</v>
      </c>
      <c r="L48" s="185" t="n">
        <v>0.3</v>
      </c>
      <c r="M48" s="185" t="n">
        <v>0.1</v>
      </c>
      <c r="N48" s="185" t="n">
        <v>0.05</v>
      </c>
      <c r="O48" s="185" t="n">
        <v>0.045</v>
      </c>
      <c r="P48" s="185" t="n">
        <v>0.04</v>
      </c>
      <c r="Q48" s="185" t="n">
        <v>0.03</v>
      </c>
      <c r="R48" s="185" t="n">
        <v>0.02</v>
      </c>
      <c r="S48" s="185" t="n">
        <v>0.02</v>
      </c>
    </row>
    <row r="49">
      <c r="A49" s="170" t="n"/>
      <c r="B49" s="165" t="inlineStr">
        <is>
          <t>Downside</t>
        </is>
      </c>
      <c r="J49" s="185" t="n">
        <v>-0.3</v>
      </c>
      <c r="K49" s="185" t="n">
        <v>0.1</v>
      </c>
      <c r="L49" s="185" t="n">
        <v>0.1</v>
      </c>
      <c r="M49" s="185" t="n">
        <v>0.05</v>
      </c>
      <c r="N49" s="185" t="n">
        <v>0.045</v>
      </c>
      <c r="O49" s="185" t="n">
        <v>0.04</v>
      </c>
      <c r="P49" s="185" t="n">
        <v>0.035</v>
      </c>
      <c r="Q49" s="185" t="n">
        <v>0.03</v>
      </c>
      <c r="R49" s="185" t="n">
        <v>0.02</v>
      </c>
      <c r="S49" s="185" t="n">
        <v>0.02</v>
      </c>
    </row>
    <row r="51">
      <c r="B51" s="128" t="inlineStr">
        <is>
          <t>Memo (based on Morgan Stanley analyst on Google)</t>
        </is>
      </c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</row>
    <row r="52">
      <c r="B52" s="129" t="inlineStr">
        <is>
          <t>Youtube mobile CPM (USD)</t>
        </is>
      </c>
      <c r="E52" s="183" t="n">
        <v>1.360042193624412</v>
      </c>
      <c r="F52" s="183" t="n">
        <v>1.351173563549742</v>
      </c>
      <c r="G52" s="183" t="n">
        <v>1.473785115808925</v>
      </c>
      <c r="H52" s="183" t="n">
        <v>1.680600634746998</v>
      </c>
      <c r="I52" s="183" t="n">
        <v>1.482011511394147</v>
      </c>
      <c r="J52" s="183" t="n">
        <v>1.482209930295042</v>
      </c>
      <c r="K52" s="183" t="n">
        <v>1.568487517593351</v>
      </c>
      <c r="L52" s="183" t="n">
        <v>1.657504722957146</v>
      </c>
      <c r="M52" s="183" t="n">
        <v>1.737463582151723</v>
      </c>
      <c r="N52" s="183" t="n">
        <v>1.808707279618931</v>
      </c>
      <c r="O52" s="183" t="n">
        <v>1.8717475333691</v>
      </c>
      <c r="P52" s="183" t="n">
        <v>1.927199360577976</v>
      </c>
      <c r="Q52" s="183" t="n">
        <v>1.975729792930328</v>
      </c>
      <c r="R52" s="183" t="n">
        <v>1.975729792930328</v>
      </c>
      <c r="S52" s="183" t="n">
        <v>1.975729792930328</v>
      </c>
    </row>
    <row r="53">
      <c r="B53" s="129" t="inlineStr">
        <is>
          <t>Youtube dekstop CPM (USD)</t>
        </is>
      </c>
      <c r="E53" s="183" t="n">
        <v>1.824527042934132</v>
      </c>
      <c r="F53" s="183" t="n">
        <v>1.746324488971971</v>
      </c>
      <c r="G53" s="183" t="n">
        <v>1.842413317990181</v>
      </c>
      <c r="H53" s="183" t="n">
        <v>2.106882107450447</v>
      </c>
      <c r="I53" s="183" t="n">
        <v>1.828695121743174</v>
      </c>
      <c r="J53" s="183" t="n">
        <v>1.784248077674784</v>
      </c>
      <c r="K53" s="183" t="n">
        <v>1.929046635282634</v>
      </c>
      <c r="L53" s="183" t="n">
        <v>2.027709747974246</v>
      </c>
      <c r="M53" s="183" t="n">
        <v>2.100968750906131</v>
      </c>
      <c r="N53" s="183" t="n">
        <v>2.178700872233778</v>
      </c>
      <c r="O53" s="183" t="n">
        <v>2.261148759819606</v>
      </c>
      <c r="P53" s="183" t="n">
        <v>2.348555966942284</v>
      </c>
      <c r="Q53" s="183" t="n">
        <v>2.430966219070521</v>
      </c>
      <c r="R53" s="183" t="n">
        <v>2.430966219070521</v>
      </c>
      <c r="S53" s="183" t="n">
        <v>2.430966219070521</v>
      </c>
    </row>
    <row r="54">
      <c r="E54" s="183" t="n"/>
      <c r="F54" s="183" t="n"/>
      <c r="G54" s="183" t="n"/>
      <c r="H54" s="183" t="n"/>
      <c r="I54" s="183" t="n"/>
      <c r="J54" s="183" t="n"/>
      <c r="K54" s="183" t="n"/>
      <c r="L54" s="183" t="n"/>
      <c r="M54" s="183" t="n"/>
      <c r="N54" s="183" t="n"/>
      <c r="O54" s="183" t="n"/>
      <c r="P54" s="183" t="n"/>
      <c r="Q54" s="183" t="n"/>
      <c r="R54" s="183" t="n"/>
      <c r="S54" s="183" t="n"/>
    </row>
    <row r="55">
      <c r="B55" s="129" t="inlineStr">
        <is>
          <t>FX - USDCAD</t>
        </is>
      </c>
      <c r="E55" s="183" t="n"/>
      <c r="F55" s="183" t="n"/>
      <c r="G55" s="183" t="n"/>
      <c r="H55" s="183" t="n"/>
      <c r="I55" s="183" t="n"/>
      <c r="J55" s="209">
        <f>+Output!J8</f>
        <v/>
      </c>
      <c r="K55" s="209">
        <f>+Output!K8</f>
        <v/>
      </c>
      <c r="L55" s="209">
        <f>+Output!L8</f>
        <v/>
      </c>
      <c r="M55" s="209">
        <f>+Output!M8</f>
        <v/>
      </c>
      <c r="N55" s="209">
        <f>+Output!N8</f>
        <v/>
      </c>
      <c r="O55" s="209">
        <f>+Output!O8</f>
        <v/>
      </c>
      <c r="P55" s="209">
        <f>+Output!P8</f>
        <v/>
      </c>
      <c r="Q55" s="209">
        <f>+Output!Q8</f>
        <v/>
      </c>
      <c r="R55" s="209">
        <f>+Output!R8</f>
        <v/>
      </c>
      <c r="S55" s="209">
        <f>+Output!S8</f>
        <v/>
      </c>
    </row>
    <row r="57">
      <c r="B57" s="129" t="inlineStr">
        <is>
          <t>Youtube mobile CPM (CAD)</t>
        </is>
      </c>
      <c r="J57" s="159">
        <f>+J52/J$55</f>
        <v/>
      </c>
      <c r="K57" s="159">
        <f>+K52/K$55</f>
        <v/>
      </c>
      <c r="L57" s="159">
        <f>+L52/L$55</f>
        <v/>
      </c>
      <c r="M57" s="159">
        <f>+M52/M$55</f>
        <v/>
      </c>
      <c r="N57" s="159">
        <f>+N52/N$55</f>
        <v/>
      </c>
      <c r="O57" s="159">
        <f>+O52/O$55</f>
        <v/>
      </c>
      <c r="P57" s="159">
        <f>+P52/P$55</f>
        <v/>
      </c>
      <c r="Q57" s="159">
        <f>+Q52/Q$55</f>
        <v/>
      </c>
      <c r="R57" s="159">
        <f>+R52/R$55</f>
        <v/>
      </c>
      <c r="S57" s="159">
        <f>+S52/S$55</f>
        <v/>
      </c>
    </row>
    <row r="58">
      <c r="B58" s="129" t="inlineStr">
        <is>
          <t>Youtube dekstop CPM (CAD)</t>
        </is>
      </c>
      <c r="J58" s="159">
        <f>+J53/J$55</f>
        <v/>
      </c>
      <c r="K58" s="159">
        <f>+K53/K$55</f>
        <v/>
      </c>
      <c r="L58" s="159">
        <f>+L53/L$55</f>
        <v/>
      </c>
      <c r="M58" s="159">
        <f>+M53/M$55</f>
        <v/>
      </c>
      <c r="N58" s="159">
        <f>+N53/N$55</f>
        <v/>
      </c>
      <c r="O58" s="159">
        <f>+O53/O$55</f>
        <v/>
      </c>
      <c r="P58" s="159">
        <f>+P53/P$55</f>
        <v/>
      </c>
      <c r="Q58" s="159">
        <f>+Q53/Q$55</f>
        <v/>
      </c>
      <c r="R58" s="159">
        <f>+R53/R$55</f>
        <v/>
      </c>
      <c r="S58" s="159">
        <f>+S53/S$55</f>
        <v/>
      </c>
    </row>
    <row r="59">
      <c r="J59" s="159" t="n"/>
      <c r="K59" s="159" t="n"/>
      <c r="L59" s="159" t="n"/>
      <c r="M59" s="159" t="n"/>
      <c r="N59" s="159" t="n"/>
      <c r="O59" s="159" t="n"/>
      <c r="P59" s="159" t="n"/>
      <c r="Q59" s="159" t="n"/>
      <c r="R59" s="159" t="n"/>
      <c r="S59" s="159" t="n"/>
    </row>
    <row r="60" customFormat="1" s="125">
      <c r="B60" s="125" t="inlineStr">
        <is>
          <t>Youtube mobile CPM (CAD) growth %</t>
        </is>
      </c>
      <c r="J60" s="210" t="n"/>
      <c r="K60" s="169">
        <f>+K57/J57-1</f>
        <v/>
      </c>
      <c r="L60" s="169">
        <f>+L57/K57-1</f>
        <v/>
      </c>
      <c r="M60" s="169">
        <f>+M57/L57-1</f>
        <v/>
      </c>
      <c r="N60" s="169">
        <f>+N57/M57-1</f>
        <v/>
      </c>
      <c r="O60" s="169">
        <f>+O57/N57-1</f>
        <v/>
      </c>
      <c r="P60" s="169">
        <f>+P57/O57-1</f>
        <v/>
      </c>
      <c r="Q60" s="169">
        <f>+Q57/P57-1</f>
        <v/>
      </c>
      <c r="R60" s="169">
        <f>+R57/Q57-1</f>
        <v/>
      </c>
      <c r="S60" s="169">
        <f>+S57/R57-1</f>
        <v/>
      </c>
    </row>
    <row r="61" customFormat="1" s="125">
      <c r="B61" s="125" t="inlineStr">
        <is>
          <t>Youtube dekstop CPM (CAD) growth %</t>
        </is>
      </c>
      <c r="K61" s="169">
        <f>+K58/J58-1</f>
        <v/>
      </c>
      <c r="L61" s="169">
        <f>+L58/K58-1</f>
        <v/>
      </c>
      <c r="M61" s="169">
        <f>+M58/L58-1</f>
        <v/>
      </c>
      <c r="N61" s="169">
        <f>+N58/M58-1</f>
        <v/>
      </c>
      <c r="O61" s="169">
        <f>+O58/N58-1</f>
        <v/>
      </c>
      <c r="P61" s="169">
        <f>+P58/O58-1</f>
        <v/>
      </c>
      <c r="Q61" s="169">
        <f>+Q58/P58-1</f>
        <v/>
      </c>
      <c r="R61" s="169">
        <f>+R58/Q58-1</f>
        <v/>
      </c>
      <c r="S61" s="169">
        <f>+S58/R58-1</f>
        <v/>
      </c>
    </row>
    <row r="63">
      <c r="A63" s="129" t="inlineStr">
        <is>
          <t>x</t>
        </is>
      </c>
      <c r="B63" s="128" t="inlineStr">
        <is>
          <t>Consumer Products</t>
        </is>
      </c>
    </row>
    <row r="64">
      <c r="A64" s="170" t="n"/>
      <c r="B64" s="129" t="inlineStr">
        <is>
          <t>Revenue</t>
        </is>
      </c>
      <c r="E64" s="206">
        <f>+E9</f>
        <v/>
      </c>
      <c r="F64" s="206">
        <f>+F9</f>
        <v/>
      </c>
      <c r="G64" s="206">
        <f>+G9</f>
        <v/>
      </c>
      <c r="H64" s="206">
        <f>+H9</f>
        <v/>
      </c>
      <c r="I64" s="206">
        <f>+I9</f>
        <v/>
      </c>
      <c r="J64" s="129">
        <f>+J67+J74</f>
        <v/>
      </c>
      <c r="K64" s="129">
        <f>+K67+K74</f>
        <v/>
      </c>
      <c r="L64" s="129">
        <f>+L67+L74</f>
        <v/>
      </c>
      <c r="M64" s="129">
        <f>+M67+M74</f>
        <v/>
      </c>
      <c r="N64" s="129">
        <f>+N67+N74</f>
        <v/>
      </c>
      <c r="O64" s="129">
        <f>+O67+O74</f>
        <v/>
      </c>
      <c r="P64" s="129">
        <f>+P67+P74</f>
        <v/>
      </c>
      <c r="Q64" s="129">
        <f>+Q67+Q74</f>
        <v/>
      </c>
      <c r="R64" s="129">
        <f>+R67+R74</f>
        <v/>
      </c>
      <c r="S64" s="129">
        <f>+S67+S74</f>
        <v/>
      </c>
    </row>
    <row r="65">
      <c r="A65" s="170" t="n"/>
      <c r="B65" s="129" t="inlineStr">
        <is>
          <t>% YoY</t>
        </is>
      </c>
      <c r="F65" s="162">
        <f>+F64/E64-1</f>
        <v/>
      </c>
      <c r="G65" s="162">
        <f>+G64/F64-1</f>
        <v/>
      </c>
      <c r="H65" s="162">
        <f>+H64/G64-1</f>
        <v/>
      </c>
      <c r="I65" s="162">
        <f>+I64/H64-1</f>
        <v/>
      </c>
      <c r="J65" s="162">
        <f>+J64/I64-1</f>
        <v/>
      </c>
      <c r="K65" s="162">
        <f>+K64/J64-1</f>
        <v/>
      </c>
      <c r="L65" s="162">
        <f>+L64/K64-1</f>
        <v/>
      </c>
      <c r="M65" s="162">
        <f>+M64/L64-1</f>
        <v/>
      </c>
      <c r="N65" s="162">
        <f>+N64/M64-1</f>
        <v/>
      </c>
      <c r="O65" s="162">
        <f>+O64/N64-1</f>
        <v/>
      </c>
      <c r="P65" s="162">
        <f>+P64/O64-1</f>
        <v/>
      </c>
      <c r="Q65" s="162">
        <f>+Q64/P64-1</f>
        <v/>
      </c>
      <c r="R65" s="162">
        <f>+R64/Q64-1</f>
        <v/>
      </c>
      <c r="S65" s="162">
        <f>+S64/R64-1</f>
        <v/>
      </c>
    </row>
    <row r="66">
      <c r="A66" s="170" t="n"/>
      <c r="F66" s="162" t="n"/>
      <c r="G66" s="162" t="n"/>
      <c r="H66" s="162" t="n"/>
      <c r="I66" s="162" t="n"/>
    </row>
    <row r="67">
      <c r="A67" s="170" t="n"/>
      <c r="B67" s="129" t="inlineStr">
        <is>
          <t>Peanuts franchise</t>
        </is>
      </c>
      <c r="E67" s="206">
        <f>+E68*E64</f>
        <v/>
      </c>
      <c r="F67" s="206">
        <f>+F68*F64</f>
        <v/>
      </c>
      <c r="G67" s="206">
        <f>+G68*G64</f>
        <v/>
      </c>
      <c r="H67" s="206">
        <f>+H68*H64</f>
        <v/>
      </c>
      <c r="I67" s="206">
        <f>+I68*I64</f>
        <v/>
      </c>
      <c r="J67" s="129">
        <f>+(1+J69)*I67</f>
        <v/>
      </c>
      <c r="K67" s="129">
        <f>+(1+K69)*J67</f>
        <v/>
      </c>
      <c r="L67" s="129">
        <f>+(1+L69)*K67</f>
        <v/>
      </c>
      <c r="M67" s="129">
        <f>+(1+M69)*L67</f>
        <v/>
      </c>
      <c r="N67" s="129">
        <f>+(1+N69)*M67</f>
        <v/>
      </c>
      <c r="O67" s="129">
        <f>+(1+O69)*N67</f>
        <v/>
      </c>
      <c r="P67" s="129">
        <f>+(1+P69)*O67</f>
        <v/>
      </c>
      <c r="Q67" s="129">
        <f>+(1+Q69)*P67</f>
        <v/>
      </c>
      <c r="R67" s="129">
        <f>+(1+R69)*Q67</f>
        <v/>
      </c>
      <c r="S67" s="129">
        <f>+(1+S69)*R67</f>
        <v/>
      </c>
    </row>
    <row r="68">
      <c r="A68" s="170" t="n"/>
      <c r="B68" s="129" t="inlineStr">
        <is>
          <t xml:space="preserve">% of total </t>
        </is>
      </c>
      <c r="E68" s="211" t="n">
        <v>0.7</v>
      </c>
      <c r="F68" s="211" t="n">
        <v>0.7</v>
      </c>
      <c r="G68" s="211" t="n">
        <v>0.75</v>
      </c>
      <c r="H68" s="211" t="n">
        <v>0.9</v>
      </c>
      <c r="I68" s="211" t="n">
        <v>0.9</v>
      </c>
      <c r="J68" s="162">
        <f>+J67/J64</f>
        <v/>
      </c>
      <c r="K68" s="162">
        <f>+K67/K64</f>
        <v/>
      </c>
      <c r="L68" s="162">
        <f>+L67/L64</f>
        <v/>
      </c>
      <c r="M68" s="162">
        <f>+M67/M64</f>
        <v/>
      </c>
      <c r="N68" s="162">
        <f>+N67/N64</f>
        <v/>
      </c>
      <c r="O68" s="162">
        <f>+O67/O64</f>
        <v/>
      </c>
      <c r="P68" s="162">
        <f>+P67/P64</f>
        <v/>
      </c>
      <c r="Q68" s="162">
        <f>+Q67/Q64</f>
        <v/>
      </c>
      <c r="R68" s="162">
        <f>+R67/R64</f>
        <v/>
      </c>
      <c r="S68" s="162">
        <f>+S67/S64</f>
        <v/>
      </c>
    </row>
    <row r="69">
      <c r="A69" s="170" t="n"/>
      <c r="B69" s="129" t="inlineStr">
        <is>
          <t>% YoY</t>
        </is>
      </c>
      <c r="E69" s="211" t="n"/>
      <c r="F69" s="212">
        <f>+F67/E67-1</f>
        <v/>
      </c>
      <c r="G69" s="212">
        <f>+G67/F67-1</f>
        <v/>
      </c>
      <c r="H69" s="212">
        <f>+H67/G67-1</f>
        <v/>
      </c>
      <c r="I69" s="212">
        <f>+I67/H67-1</f>
        <v/>
      </c>
      <c r="J69" s="162">
        <f>+CHOOSE(Case, J70,J71,J72)</f>
        <v/>
      </c>
      <c r="K69" s="162">
        <f>+CHOOSE(Case, K70,K71,K72)</f>
        <v/>
      </c>
      <c r="L69" s="162">
        <f>+CHOOSE(Case, L70,L71,L72)</f>
        <v/>
      </c>
      <c r="M69" s="162">
        <f>+CHOOSE(Case, M70,M71,M72)</f>
        <v/>
      </c>
      <c r="N69" s="162">
        <f>+CHOOSE(Case, N70,N71,N72)</f>
        <v/>
      </c>
      <c r="O69" s="162">
        <f>+CHOOSE(Case, O70,O71,O72)</f>
        <v/>
      </c>
      <c r="P69" s="162">
        <f>+CHOOSE(Case, P70,P71,P72)</f>
        <v/>
      </c>
      <c r="Q69" s="162">
        <f>+CHOOSE(Case, Q70,Q71,Q72)</f>
        <v/>
      </c>
      <c r="R69" s="162">
        <f>+CHOOSE(Case, R70,R71,R72)</f>
        <v/>
      </c>
      <c r="S69" s="162">
        <f>+CHOOSE(Case, S70,S71,S72)</f>
        <v/>
      </c>
    </row>
    <row r="70">
      <c r="A70" s="170" t="n"/>
      <c r="B70" s="165" t="inlineStr">
        <is>
          <t>Base</t>
        </is>
      </c>
      <c r="J70" s="185" t="n">
        <v>0.1</v>
      </c>
      <c r="K70" s="185" t="n">
        <v>0.13</v>
      </c>
      <c r="L70" s="185" t="n">
        <v>0.13</v>
      </c>
      <c r="M70" s="185" t="n">
        <v>0.13</v>
      </c>
      <c r="N70" s="185" t="n">
        <v>0.1</v>
      </c>
      <c r="O70" s="185" t="n">
        <v>0.075</v>
      </c>
      <c r="P70" s="185" t="n">
        <v>0.07000000000000001</v>
      </c>
      <c r="Q70" s="185" t="n">
        <v>0.07000000000000001</v>
      </c>
      <c r="R70" s="185" t="n">
        <v>0.07000000000000001</v>
      </c>
      <c r="S70" s="185" t="n">
        <v>0.07000000000000001</v>
      </c>
    </row>
    <row r="71">
      <c r="A71" s="170" t="n"/>
      <c r="B71" s="165" t="inlineStr">
        <is>
          <t>Upside</t>
        </is>
      </c>
      <c r="J71" s="185" t="n">
        <v>0.1</v>
      </c>
      <c r="K71" s="185" t="n">
        <v>0.13</v>
      </c>
      <c r="L71" s="185" t="n">
        <v>0.13</v>
      </c>
      <c r="M71" s="185" t="n">
        <v>0.13</v>
      </c>
      <c r="N71" s="185" t="n">
        <v>0.1</v>
      </c>
      <c r="O71" s="185" t="n">
        <v>0.075</v>
      </c>
      <c r="P71" s="185" t="n">
        <v>0.07000000000000001</v>
      </c>
      <c r="Q71" s="185" t="n">
        <v>0.07000000000000001</v>
      </c>
      <c r="R71" s="185" t="n">
        <v>0.07000000000000001</v>
      </c>
      <c r="S71" s="185" t="n">
        <v>0.07000000000000001</v>
      </c>
    </row>
    <row r="72">
      <c r="A72" s="170" t="n"/>
      <c r="B72" s="165" t="inlineStr">
        <is>
          <t>Downside</t>
        </is>
      </c>
      <c r="J72" s="185" t="n">
        <v>0.05</v>
      </c>
      <c r="K72" s="185" t="n">
        <v>0.1</v>
      </c>
      <c r="L72" s="185" t="n">
        <v>0.075</v>
      </c>
      <c r="M72" s="185" t="n">
        <v>0.05</v>
      </c>
      <c r="N72" s="185" t="n">
        <v>0.05</v>
      </c>
      <c r="O72" s="185" t="n">
        <v>0.05</v>
      </c>
      <c r="P72" s="185" t="n">
        <v>0.05</v>
      </c>
      <c r="Q72" s="185" t="n">
        <v>0.05</v>
      </c>
      <c r="R72" s="185" t="n">
        <v>0.05</v>
      </c>
      <c r="S72" s="185" t="n">
        <v>0.05</v>
      </c>
    </row>
    <row r="73">
      <c r="A73" s="170" t="n"/>
      <c r="E73" s="211" t="n"/>
      <c r="F73" s="211" t="n"/>
      <c r="G73" s="211" t="n"/>
      <c r="H73" s="211" t="n"/>
      <c r="I73" s="211" t="n"/>
    </row>
    <row r="74">
      <c r="A74" s="170" t="n"/>
      <c r="B74" s="129" t="inlineStr">
        <is>
          <t>Other franchise</t>
        </is>
      </c>
      <c r="E74" s="206">
        <f>+E64-E67</f>
        <v/>
      </c>
      <c r="F74" s="206">
        <f>+F64-F67</f>
        <v/>
      </c>
      <c r="G74" s="206">
        <f>+G64-G67</f>
        <v/>
      </c>
      <c r="H74" s="206">
        <f>+H64-H67</f>
        <v/>
      </c>
      <c r="I74" s="206">
        <f>+I64-I67</f>
        <v/>
      </c>
      <c r="J74" s="129">
        <f>+(1+J76)*I74</f>
        <v/>
      </c>
      <c r="K74" s="129">
        <f>+(1+K76)*J74</f>
        <v/>
      </c>
      <c r="L74" s="129">
        <f>+(1+L76)*K74</f>
        <v/>
      </c>
      <c r="M74" s="129">
        <f>+(1+M76)*L74</f>
        <v/>
      </c>
      <c r="N74" s="129">
        <f>+(1+N76)*M74</f>
        <v/>
      </c>
      <c r="O74" s="129">
        <f>+(1+O76)*N74</f>
        <v/>
      </c>
      <c r="P74" s="129">
        <f>+(1+P76)*O74</f>
        <v/>
      </c>
      <c r="Q74" s="129">
        <f>+(1+Q76)*P74</f>
        <v/>
      </c>
      <c r="R74" s="129">
        <f>+(1+R76)*Q74</f>
        <v/>
      </c>
      <c r="S74" s="129">
        <f>+(1+S76)*R74</f>
        <v/>
      </c>
    </row>
    <row r="75">
      <c r="A75" s="170" t="n"/>
      <c r="B75" s="129" t="inlineStr">
        <is>
          <t xml:space="preserve">% of total </t>
        </is>
      </c>
      <c r="E75" s="162">
        <f>+E74/E64</f>
        <v/>
      </c>
      <c r="F75" s="162">
        <f>+F74/F64</f>
        <v/>
      </c>
      <c r="G75" s="162">
        <f>+G74/G64</f>
        <v/>
      </c>
      <c r="H75" s="162">
        <f>+H74/H64</f>
        <v/>
      </c>
      <c r="I75" s="162">
        <f>+I74/I64</f>
        <v/>
      </c>
      <c r="J75" s="162">
        <f>+J74/J64</f>
        <v/>
      </c>
      <c r="K75" s="162">
        <f>+K74/K64</f>
        <v/>
      </c>
      <c r="L75" s="162">
        <f>+L74/L64</f>
        <v/>
      </c>
      <c r="M75" s="162">
        <f>+M74/M64</f>
        <v/>
      </c>
      <c r="N75" s="162">
        <f>+N74/N64</f>
        <v/>
      </c>
      <c r="O75" s="162">
        <f>+O74/O64</f>
        <v/>
      </c>
      <c r="P75" s="162">
        <f>+P74/P64</f>
        <v/>
      </c>
      <c r="Q75" s="162">
        <f>+Q74/Q64</f>
        <v/>
      </c>
      <c r="R75" s="162">
        <f>+R74/R64</f>
        <v/>
      </c>
      <c r="S75" s="162">
        <f>+S74/S64</f>
        <v/>
      </c>
    </row>
    <row r="76">
      <c r="A76" s="170" t="n"/>
      <c r="B76" s="129" t="inlineStr">
        <is>
          <t>% YoY</t>
        </is>
      </c>
      <c r="F76" s="212">
        <f>+F74/E74-1</f>
        <v/>
      </c>
      <c r="G76" s="212">
        <f>+G74/F74-1</f>
        <v/>
      </c>
      <c r="H76" s="212">
        <f>+H74/G74-1</f>
        <v/>
      </c>
      <c r="I76" s="212">
        <f>+I74/H74-1</f>
        <v/>
      </c>
      <c r="J76" s="162">
        <f>+CHOOSE(Case, J77,J78,J79)</f>
        <v/>
      </c>
      <c r="K76" s="162">
        <f>+CHOOSE(Case, K77,K78,K79)</f>
        <v/>
      </c>
      <c r="L76" s="162">
        <f>+CHOOSE(Case, L77,L78,L79)</f>
        <v/>
      </c>
      <c r="M76" s="162">
        <f>+CHOOSE(Case, M77,M78,M79)</f>
        <v/>
      </c>
      <c r="N76" s="162">
        <f>+CHOOSE(Case, N77,N78,N79)</f>
        <v/>
      </c>
      <c r="O76" s="162">
        <f>+CHOOSE(Case, O77,O78,O79)</f>
        <v/>
      </c>
      <c r="P76" s="162">
        <f>+CHOOSE(Case, P77,P78,P79)</f>
        <v/>
      </c>
      <c r="Q76" s="162">
        <f>+CHOOSE(Case, Q77,Q78,Q79)</f>
        <v/>
      </c>
      <c r="R76" s="162">
        <f>+CHOOSE(Case, R77,R78,R79)</f>
        <v/>
      </c>
      <c r="S76" s="162">
        <f>+CHOOSE(Case, S77,S78,S79)</f>
        <v/>
      </c>
    </row>
    <row r="77">
      <c r="A77" s="170" t="n"/>
      <c r="B77" s="165" t="inlineStr">
        <is>
          <t>Base</t>
        </is>
      </c>
      <c r="F77" s="212" t="n"/>
      <c r="G77" s="212" t="n"/>
      <c r="H77" s="212" t="n"/>
      <c r="I77" s="212" t="n"/>
      <c r="J77" s="185" t="n">
        <v>0.1</v>
      </c>
      <c r="K77" s="185" t="n">
        <v>0.1</v>
      </c>
      <c r="L77" s="185" t="n">
        <v>0.1</v>
      </c>
      <c r="M77" s="185" t="n">
        <v>0.1</v>
      </c>
      <c r="N77" s="185" t="n">
        <v>0.1</v>
      </c>
      <c r="O77" s="185" t="n">
        <v>0.075</v>
      </c>
      <c r="P77" s="185" t="n">
        <v>0.05</v>
      </c>
      <c r="Q77" s="185" t="n">
        <v>0.03</v>
      </c>
      <c r="R77" s="185" t="n">
        <v>0.03</v>
      </c>
      <c r="S77" s="185" t="n">
        <v>0.03</v>
      </c>
    </row>
    <row r="78">
      <c r="A78" s="170" t="n"/>
      <c r="B78" s="165" t="inlineStr">
        <is>
          <t>Upside</t>
        </is>
      </c>
      <c r="F78" s="212" t="n"/>
      <c r="G78" s="212" t="n"/>
      <c r="H78" s="212" t="n"/>
      <c r="I78" s="212" t="n"/>
      <c r="J78" s="185">
        <f>+J77+5%</f>
        <v/>
      </c>
      <c r="K78" s="185">
        <f>+K77+5%</f>
        <v/>
      </c>
      <c r="L78" s="185">
        <f>+L77+5%</f>
        <v/>
      </c>
      <c r="M78" s="185">
        <f>+M77+5%</f>
        <v/>
      </c>
      <c r="N78" s="185">
        <f>+N77+5%</f>
        <v/>
      </c>
      <c r="O78" s="185">
        <f>+O77+5%</f>
        <v/>
      </c>
      <c r="P78" s="185">
        <f>+P77+5%</f>
        <v/>
      </c>
      <c r="Q78" s="185">
        <f>+Q77+5%</f>
        <v/>
      </c>
      <c r="R78" s="185">
        <f>+R77+5%</f>
        <v/>
      </c>
      <c r="S78" s="185">
        <f>+S77+5%</f>
        <v/>
      </c>
    </row>
    <row r="79">
      <c r="A79" s="170" t="n"/>
      <c r="B79" s="165" t="inlineStr">
        <is>
          <t>Downside</t>
        </is>
      </c>
      <c r="F79" s="212" t="n"/>
      <c r="G79" s="212" t="n"/>
      <c r="H79" s="212" t="n"/>
      <c r="I79" s="212" t="n"/>
      <c r="J79" s="185" t="n">
        <v>0</v>
      </c>
      <c r="K79" s="185" t="n">
        <v>0.1</v>
      </c>
      <c r="L79" s="185" t="n">
        <v>0.1</v>
      </c>
      <c r="M79" s="185" t="n">
        <v>0.1</v>
      </c>
      <c r="N79" s="185" t="n">
        <v>0.1</v>
      </c>
      <c r="O79" s="185" t="n">
        <v>0.075</v>
      </c>
      <c r="P79" s="185" t="n">
        <v>0.05</v>
      </c>
      <c r="Q79" s="185" t="n">
        <v>0.03</v>
      </c>
      <c r="R79" s="185" t="n">
        <v>0.03</v>
      </c>
      <c r="S79" s="185" t="n">
        <v>0.03</v>
      </c>
    </row>
    <row r="81">
      <c r="A81" s="129" t="inlineStr">
        <is>
          <t>x</t>
        </is>
      </c>
      <c r="B81" s="128" t="inlineStr">
        <is>
          <t>Canadian Television Broadcasting</t>
        </is>
      </c>
    </row>
    <row r="82">
      <c r="A82" s="170" t="n"/>
      <c r="B82" s="129" t="inlineStr">
        <is>
          <t>Revenue</t>
        </is>
      </c>
      <c r="E82" s="206">
        <f>+E12</f>
        <v/>
      </c>
      <c r="F82" s="206">
        <f>+F12</f>
        <v/>
      </c>
      <c r="G82" s="206">
        <f>+G12</f>
        <v/>
      </c>
      <c r="H82" s="206">
        <f>+H12</f>
        <v/>
      </c>
      <c r="I82" s="206">
        <f>+I12</f>
        <v/>
      </c>
      <c r="J82" s="129">
        <f>+(1+J83)*I82</f>
        <v/>
      </c>
      <c r="K82" s="129">
        <f>+(1+K83)*J82</f>
        <v/>
      </c>
      <c r="L82" s="129">
        <f>+(1+L83)*K82</f>
        <v/>
      </c>
      <c r="M82" s="129">
        <f>+(1+M83)*L82</f>
        <v/>
      </c>
      <c r="N82" s="129">
        <f>+(1+N83)*M82</f>
        <v/>
      </c>
      <c r="O82" s="129">
        <f>+(1+O83)*N82</f>
        <v/>
      </c>
      <c r="P82" s="129">
        <f>+(1+P83)*O82</f>
        <v/>
      </c>
      <c r="Q82" s="129">
        <f>+(1+Q83)*P82</f>
        <v/>
      </c>
      <c r="R82" s="129">
        <f>+(1+R83)*Q82</f>
        <v/>
      </c>
      <c r="S82" s="129">
        <f>+(1+S83)*R82</f>
        <v/>
      </c>
    </row>
    <row r="83">
      <c r="A83" s="170" t="n"/>
      <c r="B83" s="129" t="inlineStr">
        <is>
          <t>% YoY</t>
        </is>
      </c>
      <c r="F83" s="162">
        <f>+F82/E82-1</f>
        <v/>
      </c>
      <c r="G83" s="162">
        <f>+G82/F82-1</f>
        <v/>
      </c>
      <c r="H83" s="162">
        <f>+H82/G82-1</f>
        <v/>
      </c>
      <c r="I83" s="162">
        <f>+I82/H82-1</f>
        <v/>
      </c>
      <c r="J83" s="162">
        <f>+CHOOSE(Case, J84,J85,J86)</f>
        <v/>
      </c>
      <c r="K83" s="162">
        <f>+CHOOSE(Case, K84,K85,K86)</f>
        <v/>
      </c>
      <c r="L83" s="162">
        <f>+CHOOSE(Case, L84,L85,L86)</f>
        <v/>
      </c>
      <c r="M83" s="162">
        <f>+CHOOSE(Case, M84,M85,M86)</f>
        <v/>
      </c>
      <c r="N83" s="162">
        <f>+CHOOSE(Case, N84,N85,N86)</f>
        <v/>
      </c>
      <c r="O83" s="162">
        <f>+CHOOSE(Case, O84,O85,O86)</f>
        <v/>
      </c>
      <c r="P83" s="162">
        <f>+CHOOSE(Case, P84,P85,P86)</f>
        <v/>
      </c>
      <c r="Q83" s="162">
        <f>+CHOOSE(Case, Q84,Q85,Q86)</f>
        <v/>
      </c>
      <c r="R83" s="162">
        <f>+CHOOSE(Case, R84,R85,R86)</f>
        <v/>
      </c>
      <c r="S83" s="162">
        <f>+CHOOSE(Case, S84,S85,S86)</f>
        <v/>
      </c>
    </row>
    <row r="84">
      <c r="A84" s="170" t="n"/>
      <c r="B84" s="165" t="inlineStr">
        <is>
          <t>Base</t>
        </is>
      </c>
      <c r="J84" s="185" t="n">
        <v>-0.04</v>
      </c>
      <c r="K84" s="185" t="n">
        <v>-0.04</v>
      </c>
      <c r="L84" s="185" t="n">
        <v>-0.04</v>
      </c>
      <c r="M84" s="185" t="n">
        <v>-0.04</v>
      </c>
      <c r="N84" s="185" t="n">
        <v>-0.04</v>
      </c>
      <c r="O84" s="185" t="n">
        <v>-0.04</v>
      </c>
      <c r="P84" s="185" t="n">
        <v>-0.04</v>
      </c>
      <c r="Q84" s="185" t="n">
        <v>-0.04</v>
      </c>
      <c r="R84" s="185" t="n">
        <v>-0.04</v>
      </c>
      <c r="S84" s="185" t="n">
        <v>0</v>
      </c>
    </row>
    <row r="85">
      <c r="A85" s="170" t="n"/>
      <c r="B85" s="165" t="inlineStr">
        <is>
          <t>Upside</t>
        </is>
      </c>
      <c r="J85" s="185" t="n">
        <v>-0.03</v>
      </c>
      <c r="K85" s="185" t="n">
        <v>-0.03</v>
      </c>
      <c r="L85" s="185" t="n">
        <v>-0.03</v>
      </c>
      <c r="M85" s="185" t="n">
        <v>-0.03</v>
      </c>
      <c r="N85" s="185" t="n">
        <v>-0.03</v>
      </c>
      <c r="O85" s="185" t="n">
        <v>-0.03</v>
      </c>
      <c r="P85" s="185" t="n">
        <v>-0.03</v>
      </c>
      <c r="Q85" s="185" t="n">
        <v>-0.03</v>
      </c>
      <c r="R85" s="185" t="n">
        <v>-0.03</v>
      </c>
      <c r="S85" s="185" t="n">
        <v>0</v>
      </c>
    </row>
    <row r="86">
      <c r="A86" s="170" t="n"/>
      <c r="B86" s="165" t="inlineStr">
        <is>
          <t>Downside</t>
        </is>
      </c>
      <c r="J86" s="185" t="n">
        <v>-0.05</v>
      </c>
      <c r="K86" s="185" t="n">
        <v>-0.05</v>
      </c>
      <c r="L86" s="185" t="n">
        <v>-0.05</v>
      </c>
      <c r="M86" s="185" t="n">
        <v>-0.05</v>
      </c>
      <c r="N86" s="185" t="n">
        <v>-0.05</v>
      </c>
      <c r="O86" s="185" t="n">
        <v>-0.05</v>
      </c>
      <c r="P86" s="185" t="n">
        <v>-0.05</v>
      </c>
      <c r="Q86" s="185" t="n">
        <v>-0.05</v>
      </c>
      <c r="R86" s="185" t="n">
        <v>-0.05</v>
      </c>
      <c r="S86" s="185" t="n">
        <v>0</v>
      </c>
    </row>
    <row r="88">
      <c r="A88" s="129" t="inlineStr">
        <is>
          <t>x</t>
        </is>
      </c>
      <c r="B88" s="128" t="inlineStr">
        <is>
          <t>Gross profit analysis</t>
        </is>
      </c>
    </row>
    <row r="89">
      <c r="A89" s="201" t="n"/>
      <c r="B89" s="165" t="inlineStr">
        <is>
          <t>Direct production and new media cost</t>
        </is>
      </c>
      <c r="H89" s="171" t="n">
        <v>191.879</v>
      </c>
      <c r="I89" s="171" t="n">
        <v>226.375</v>
      </c>
      <c r="J89" s="129">
        <f>+J93-J90</f>
        <v/>
      </c>
      <c r="K89" s="129">
        <f>+K93-K90</f>
        <v/>
      </c>
      <c r="L89" s="129">
        <f>+L93-L90</f>
        <v/>
      </c>
      <c r="M89" s="129">
        <f>+M93-M90</f>
        <v/>
      </c>
      <c r="N89" s="129">
        <f>+N93-N90</f>
        <v/>
      </c>
      <c r="O89" s="129">
        <f>+O93-O90</f>
        <v/>
      </c>
      <c r="P89" s="129">
        <f>+P93-P90</f>
        <v/>
      </c>
      <c r="Q89" s="129">
        <f>+Q93-Q90</f>
        <v/>
      </c>
      <c r="R89" s="129">
        <f>+R93-R90</f>
        <v/>
      </c>
      <c r="S89" s="129">
        <f>+S93-S90</f>
        <v/>
      </c>
    </row>
    <row r="90">
      <c r="A90" s="202" t="n"/>
      <c r="B90" s="165" t="inlineStr">
        <is>
          <t>Expense of film, TV and broadcasting rights</t>
        </is>
      </c>
      <c r="H90" s="213">
        <f>+H91+H92</f>
        <v/>
      </c>
      <c r="I90" s="213">
        <f>+I91+I92</f>
        <v/>
      </c>
      <c r="J90" s="180">
        <f>+'FS Calcs'!J33*-1</f>
        <v/>
      </c>
      <c r="K90" s="180">
        <f>+'FS Calcs'!K33*-1</f>
        <v/>
      </c>
      <c r="L90" s="180">
        <f>+'FS Calcs'!L33*-1</f>
        <v/>
      </c>
      <c r="M90" s="180">
        <f>+'FS Calcs'!M33*-1</f>
        <v/>
      </c>
      <c r="N90" s="180">
        <f>+'FS Calcs'!N33*-1</f>
        <v/>
      </c>
      <c r="O90" s="180">
        <f>+'FS Calcs'!O33*-1</f>
        <v/>
      </c>
      <c r="P90" s="180">
        <f>+'FS Calcs'!P33*-1</f>
        <v/>
      </c>
      <c r="Q90" s="180">
        <f>+'FS Calcs'!Q33*-1</f>
        <v/>
      </c>
      <c r="R90" s="180">
        <f>+'FS Calcs'!R33*-1</f>
        <v/>
      </c>
      <c r="S90" s="180">
        <f>+'FS Calcs'!S33*-1</f>
        <v/>
      </c>
    </row>
    <row r="91">
      <c r="A91" s="202" t="n"/>
      <c r="B91" s="214" t="inlineStr">
        <is>
          <t>Expense of film and TV</t>
        </is>
      </c>
      <c r="H91" s="171" t="n">
        <v>55.387</v>
      </c>
      <c r="I91" s="171" t="n">
        <v>50.457</v>
      </c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</row>
    <row r="92">
      <c r="A92" s="202" t="n"/>
      <c r="B92" s="214" t="inlineStr">
        <is>
          <t>Expense of film and broadcast risghts for broadcasting</t>
        </is>
      </c>
      <c r="H92" s="171" t="n">
        <v>10.381</v>
      </c>
      <c r="I92" s="171" t="n">
        <v>8.83</v>
      </c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</row>
    <row r="93">
      <c r="A93" s="202" t="n"/>
      <c r="B93" s="132" t="inlineStr">
        <is>
          <t>Total COGS</t>
        </is>
      </c>
      <c r="C93" s="132" t="n"/>
      <c r="D93" s="132" t="n"/>
      <c r="E93" s="132" t="n"/>
      <c r="F93" s="132" t="n"/>
      <c r="G93" s="132" t="n"/>
      <c r="H93" s="135">
        <f>+H90+H89</f>
        <v/>
      </c>
      <c r="I93" s="135">
        <f>+I90+I89</f>
        <v/>
      </c>
      <c r="J93" s="132">
        <f>+'RevBuild Calcs'!J26</f>
        <v/>
      </c>
      <c r="K93" s="132">
        <f>+'RevBuild Calcs'!K26</f>
        <v/>
      </c>
      <c r="L93" s="132">
        <f>+'RevBuild Calcs'!L26</f>
        <v/>
      </c>
      <c r="M93" s="132">
        <f>+'RevBuild Calcs'!M26</f>
        <v/>
      </c>
      <c r="N93" s="132">
        <f>+'RevBuild Calcs'!N26</f>
        <v/>
      </c>
      <c r="O93" s="132">
        <f>+'RevBuild Calcs'!O26</f>
        <v/>
      </c>
      <c r="P93" s="132">
        <f>+'RevBuild Calcs'!P26</f>
        <v/>
      </c>
      <c r="Q93" s="132">
        <f>+'RevBuild Calcs'!Q26</f>
        <v/>
      </c>
      <c r="R93" s="132">
        <f>+'RevBuild Calcs'!R26</f>
        <v/>
      </c>
      <c r="S93" s="132">
        <f>+'RevBuild Calcs'!S26</f>
        <v/>
      </c>
    </row>
    <row r="94">
      <c r="A94" s="202" t="n"/>
      <c r="H94" s="204">
        <f>+H93='P&amp;L'!H11*-1</f>
        <v/>
      </c>
      <c r="I94" s="204">
        <f>+I93='P&amp;L'!I11*-1</f>
        <v/>
      </c>
    </row>
    <row r="95">
      <c r="A95" s="202" t="n"/>
      <c r="H95" s="204" t="n"/>
      <c r="I95" s="204" t="n"/>
      <c r="J95" s="204" t="n"/>
      <c r="K95" s="204" t="n"/>
      <c r="L95" s="204" t="n"/>
      <c r="M95" s="204" t="n"/>
      <c r="N95" s="204" t="n"/>
      <c r="O95" s="204" t="n"/>
      <c r="P95" s="204" t="n"/>
      <c r="Q95" s="204" t="n"/>
      <c r="R95" s="204" t="n"/>
      <c r="S95" s="204" t="n"/>
      <c r="T95" s="204" t="n"/>
    </row>
    <row r="96">
      <c r="A96" s="202" t="n"/>
      <c r="B96" s="129" t="inlineStr">
        <is>
          <t>Direct production and new media cost as % of content revenue ex Spark</t>
        </is>
      </c>
      <c r="H96" s="162">
        <f>+H89/(H7+H9)</f>
        <v/>
      </c>
      <c r="I96" s="162">
        <f>+I89/(I7+I9)</f>
        <v/>
      </c>
      <c r="J96" s="162">
        <f>+J89/(J7+J9)</f>
        <v/>
      </c>
      <c r="K96" s="162">
        <f>+K89/(K7+K9)</f>
        <v/>
      </c>
      <c r="L96" s="162">
        <f>+L89/(L7+L9)</f>
        <v/>
      </c>
      <c r="M96" s="162">
        <f>+M89/(M7+M9)</f>
        <v/>
      </c>
      <c r="N96" s="162">
        <f>+N89/(N7+N9)</f>
        <v/>
      </c>
      <c r="O96" s="162">
        <f>+O89/(O7+O9)</f>
        <v/>
      </c>
      <c r="P96" s="162">
        <f>+P89/(P7+P9)</f>
        <v/>
      </c>
      <c r="Q96" s="162">
        <f>+Q89/(Q7+Q9)</f>
        <v/>
      </c>
      <c r="R96" s="162">
        <f>+R89/(R7+R9)</f>
        <v/>
      </c>
      <c r="S96" s="162">
        <f>+S89/(S7+S9)</f>
        <v/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baseColWidth="8" defaultColWidth="15.73046875" defaultRowHeight="14.25"/>
  <cols>
    <col width="1.73046875" customWidth="1" style="124" min="1" max="1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4">
      <c r="E4" s="126" t="n">
        <v>2018</v>
      </c>
      <c r="F4" s="126">
        <f>+E4+1</f>
        <v/>
      </c>
      <c r="G4" s="126">
        <f>+F4+1</f>
        <v/>
      </c>
      <c r="H4" s="126">
        <f>+G4+1</f>
        <v/>
      </c>
      <c r="I4" s="126">
        <f>+H4+1</f>
        <v/>
      </c>
      <c r="J4" s="127">
        <f>+I4+1</f>
        <v/>
      </c>
      <c r="K4" s="127">
        <f>+J4+1</f>
        <v/>
      </c>
      <c r="L4" s="127">
        <f>+K4+1</f>
        <v/>
      </c>
      <c r="M4" s="127">
        <f>+L4+1</f>
        <v/>
      </c>
      <c r="N4" s="127">
        <f>+M4+1</f>
        <v/>
      </c>
      <c r="O4" s="127">
        <f>+N4+1</f>
        <v/>
      </c>
      <c r="P4" s="127">
        <f>+O4+1</f>
        <v/>
      </c>
      <c r="Q4" s="127">
        <f>+P4+1</f>
        <v/>
      </c>
      <c r="R4" s="127">
        <f>+Q4+1</f>
        <v/>
      </c>
      <c r="S4" s="127">
        <f>+R4+1</f>
        <v/>
      </c>
    </row>
    <row r="5">
      <c r="E5" s="130" t="n"/>
      <c r="F5" s="130" t="n"/>
      <c r="G5" s="130" t="n"/>
      <c r="H5" s="130" t="n"/>
      <c r="I5" s="130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</row>
    <row r="6">
      <c r="B6" s="165" t="inlineStr">
        <is>
          <t>Content production and distribution</t>
        </is>
      </c>
      <c r="E6" s="180">
        <f>+'RevBuild Calcs'!E7</f>
        <v/>
      </c>
      <c r="F6" s="180">
        <f>+'RevBuild Calcs'!F7</f>
        <v/>
      </c>
      <c r="G6" s="180">
        <f>+'RevBuild Calcs'!G7</f>
        <v/>
      </c>
      <c r="H6" s="180">
        <f>+'RevBuild Calcs'!H7</f>
        <v/>
      </c>
      <c r="I6" s="180">
        <f>+'RevBuild Calcs'!I7</f>
        <v/>
      </c>
      <c r="J6" s="180">
        <f>+'RevBuild Calcs'!J7</f>
        <v/>
      </c>
      <c r="K6" s="180">
        <f>+'RevBuild Calcs'!K7</f>
        <v/>
      </c>
      <c r="L6" s="180">
        <f>+'RevBuild Calcs'!L7</f>
        <v/>
      </c>
      <c r="M6" s="180">
        <f>+'RevBuild Calcs'!M7</f>
        <v/>
      </c>
      <c r="N6" s="180">
        <f>+'RevBuild Calcs'!N7</f>
        <v/>
      </c>
      <c r="O6" s="180">
        <f>+'RevBuild Calcs'!O7</f>
        <v/>
      </c>
      <c r="P6" s="180">
        <f>+'RevBuild Calcs'!P7</f>
        <v/>
      </c>
      <c r="Q6" s="180">
        <f>+'RevBuild Calcs'!Q7</f>
        <v/>
      </c>
      <c r="R6" s="180">
        <f>+'RevBuild Calcs'!R7</f>
        <v/>
      </c>
      <c r="S6" s="180">
        <f>+'RevBuild Calcs'!S7</f>
        <v/>
      </c>
    </row>
    <row r="7">
      <c r="B7" s="165" t="inlineStr">
        <is>
          <t>WildBrain Spark</t>
        </is>
      </c>
      <c r="E7" s="180">
        <f>+'RevBuild Calcs'!E8</f>
        <v/>
      </c>
      <c r="F7" s="180">
        <f>+'RevBuild Calcs'!F8</f>
        <v/>
      </c>
      <c r="G7" s="180">
        <f>+'RevBuild Calcs'!G8</f>
        <v/>
      </c>
      <c r="H7" s="180">
        <f>+'RevBuild Calcs'!H8</f>
        <v/>
      </c>
      <c r="I7" s="180">
        <f>+'RevBuild Calcs'!I8</f>
        <v/>
      </c>
      <c r="J7" s="180">
        <f>+'RevBuild Calcs'!J8</f>
        <v/>
      </c>
      <c r="K7" s="180">
        <f>+'RevBuild Calcs'!K8</f>
        <v/>
      </c>
      <c r="L7" s="180">
        <f>+'RevBuild Calcs'!L8</f>
        <v/>
      </c>
      <c r="M7" s="180">
        <f>+'RevBuild Calcs'!M8</f>
        <v/>
      </c>
      <c r="N7" s="180">
        <f>+'RevBuild Calcs'!N8</f>
        <v/>
      </c>
      <c r="O7" s="180">
        <f>+'RevBuild Calcs'!O8</f>
        <v/>
      </c>
      <c r="P7" s="180">
        <f>+'RevBuild Calcs'!P8</f>
        <v/>
      </c>
      <c r="Q7" s="180">
        <f>+'RevBuild Calcs'!Q8</f>
        <v/>
      </c>
      <c r="R7" s="180">
        <f>+'RevBuild Calcs'!R8</f>
        <v/>
      </c>
      <c r="S7" s="180">
        <f>+'RevBuild Calcs'!S8</f>
        <v/>
      </c>
    </row>
    <row r="8">
      <c r="B8" s="165" t="inlineStr">
        <is>
          <t>Consumer Products</t>
        </is>
      </c>
      <c r="E8" s="180">
        <f>+'RevBuild Calcs'!E9</f>
        <v/>
      </c>
      <c r="F8" s="180">
        <f>+'RevBuild Calcs'!F9</f>
        <v/>
      </c>
      <c r="G8" s="180">
        <f>+'RevBuild Calcs'!G9</f>
        <v/>
      </c>
      <c r="H8" s="180">
        <f>+'RevBuild Calcs'!H9</f>
        <v/>
      </c>
      <c r="I8" s="180">
        <f>+'RevBuild Calcs'!I9</f>
        <v/>
      </c>
      <c r="J8" s="180">
        <f>+'RevBuild Calcs'!J9</f>
        <v/>
      </c>
      <c r="K8" s="180">
        <f>+'RevBuild Calcs'!K9</f>
        <v/>
      </c>
      <c r="L8" s="180">
        <f>+'RevBuild Calcs'!L9</f>
        <v/>
      </c>
      <c r="M8" s="180">
        <f>+'RevBuild Calcs'!M9</f>
        <v/>
      </c>
      <c r="N8" s="180">
        <f>+'RevBuild Calcs'!N9</f>
        <v/>
      </c>
      <c r="O8" s="180">
        <f>+'RevBuild Calcs'!O9</f>
        <v/>
      </c>
      <c r="P8" s="180">
        <f>+'RevBuild Calcs'!P9</f>
        <v/>
      </c>
      <c r="Q8" s="180">
        <f>+'RevBuild Calcs'!Q9</f>
        <v/>
      </c>
      <c r="R8" s="180">
        <f>+'RevBuild Calcs'!R9</f>
        <v/>
      </c>
      <c r="S8" s="180">
        <f>+'RevBuild Calcs'!S9</f>
        <v/>
      </c>
    </row>
    <row r="9">
      <c r="B9" s="165" t="inlineStr">
        <is>
          <t>Canadian Television Broadcasting</t>
        </is>
      </c>
      <c r="E9" s="180">
        <f>+'RevBuild Calcs'!E12</f>
        <v/>
      </c>
      <c r="F9" s="180">
        <f>+'RevBuild Calcs'!F12</f>
        <v/>
      </c>
      <c r="G9" s="180">
        <f>+'RevBuild Calcs'!G12</f>
        <v/>
      </c>
      <c r="H9" s="180">
        <f>+'RevBuild Calcs'!H12</f>
        <v/>
      </c>
      <c r="I9" s="180">
        <f>+'RevBuild Calcs'!I12</f>
        <v/>
      </c>
      <c r="J9" s="180">
        <f>+'RevBuild Calcs'!J12</f>
        <v/>
      </c>
      <c r="K9" s="180">
        <f>+'RevBuild Calcs'!K12</f>
        <v/>
      </c>
      <c r="L9" s="180">
        <f>+'RevBuild Calcs'!L12</f>
        <v/>
      </c>
      <c r="M9" s="180">
        <f>+'RevBuild Calcs'!M12</f>
        <v/>
      </c>
      <c r="N9" s="180">
        <f>+'RevBuild Calcs'!N12</f>
        <v/>
      </c>
      <c r="O9" s="180">
        <f>+'RevBuild Calcs'!O12</f>
        <v/>
      </c>
      <c r="P9" s="180">
        <f>+'RevBuild Calcs'!P12</f>
        <v/>
      </c>
      <c r="Q9" s="180">
        <f>+'RevBuild Calcs'!Q12</f>
        <v/>
      </c>
      <c r="R9" s="180">
        <f>+'RevBuild Calcs'!R12</f>
        <v/>
      </c>
      <c r="S9" s="180">
        <f>+'RevBuild Calcs'!S12</f>
        <v/>
      </c>
    </row>
    <row r="10" customFormat="1" s="132">
      <c r="B10" s="167" t="inlineStr">
        <is>
          <t>Revenue</t>
        </is>
      </c>
      <c r="C10" s="167" t="n"/>
      <c r="D10" s="167" t="n"/>
      <c r="E10" s="194">
        <f>SUM(E6:E9)</f>
        <v/>
      </c>
      <c r="F10" s="194">
        <f>SUM(F6:F9)</f>
        <v/>
      </c>
      <c r="G10" s="194">
        <f>SUM(G6:G9)</f>
        <v/>
      </c>
      <c r="H10" s="194">
        <f>SUM(H6:H9)</f>
        <v/>
      </c>
      <c r="I10" s="194">
        <f>SUM(I6:I9)</f>
        <v/>
      </c>
      <c r="J10" s="194">
        <f>SUM(J6:J9)</f>
        <v/>
      </c>
      <c r="K10" s="194">
        <f>SUM(K6:K9)</f>
        <v/>
      </c>
      <c r="L10" s="194">
        <f>SUM(L6:L9)</f>
        <v/>
      </c>
      <c r="M10" s="194">
        <f>SUM(M6:M9)</f>
        <v/>
      </c>
      <c r="N10" s="194">
        <f>SUM(N6:N9)</f>
        <v/>
      </c>
      <c r="O10" s="194">
        <f>SUM(O6:O9)</f>
        <v/>
      </c>
      <c r="P10" s="194">
        <f>SUM(P6:P9)</f>
        <v/>
      </c>
      <c r="Q10" s="194">
        <f>SUM(Q6:Q9)</f>
        <v/>
      </c>
      <c r="R10" s="194">
        <f>SUM(R6:R9)</f>
        <v/>
      </c>
      <c r="S10" s="194">
        <f>SUM(S6:S9)</f>
        <v/>
      </c>
    </row>
    <row r="11" customFormat="1" s="132">
      <c r="B11" s="132" t="inlineStr">
        <is>
          <t>COGS</t>
        </is>
      </c>
      <c r="E11" s="174">
        <f>+'P&amp;L'!E11</f>
        <v/>
      </c>
      <c r="F11" s="174">
        <f>+'P&amp;L'!F11</f>
        <v/>
      </c>
      <c r="G11" s="174">
        <f>+'P&amp;L'!G11</f>
        <v/>
      </c>
      <c r="H11" s="174">
        <f>+'P&amp;L'!H11</f>
        <v/>
      </c>
      <c r="I11" s="174">
        <f>+'P&amp;L'!I11</f>
        <v/>
      </c>
      <c r="J11" s="174">
        <f>+'P&amp;L'!J11</f>
        <v/>
      </c>
      <c r="K11" s="174">
        <f>+'P&amp;L'!K11</f>
        <v/>
      </c>
      <c r="L11" s="174">
        <f>+'P&amp;L'!L11</f>
        <v/>
      </c>
      <c r="M11" s="174">
        <f>+'P&amp;L'!M11</f>
        <v/>
      </c>
      <c r="N11" s="174">
        <f>+'P&amp;L'!N11</f>
        <v/>
      </c>
      <c r="O11" s="174">
        <f>+'P&amp;L'!O11</f>
        <v/>
      </c>
      <c r="P11" s="174">
        <f>+'P&amp;L'!P11</f>
        <v/>
      </c>
      <c r="Q11" s="174">
        <f>+'P&amp;L'!Q11</f>
        <v/>
      </c>
      <c r="R11" s="174">
        <f>+'P&amp;L'!R11</f>
        <v/>
      </c>
      <c r="S11" s="174">
        <f>+'P&amp;L'!S11</f>
        <v/>
      </c>
    </row>
    <row r="12" customFormat="1" s="132">
      <c r="B12" s="132" t="inlineStr">
        <is>
          <t>EBT</t>
        </is>
      </c>
      <c r="E12" s="174">
        <f>+'P&amp;L'!E27</f>
        <v/>
      </c>
      <c r="F12" s="174">
        <f>+'P&amp;L'!F27</f>
        <v/>
      </c>
      <c r="G12" s="174">
        <f>+'P&amp;L'!G27</f>
        <v/>
      </c>
      <c r="H12" s="174">
        <f>+'P&amp;L'!H27</f>
        <v/>
      </c>
      <c r="I12" s="174">
        <f>+'P&amp;L'!I27</f>
        <v/>
      </c>
      <c r="J12" s="174">
        <f>+'P&amp;L'!J27</f>
        <v/>
      </c>
      <c r="K12" s="174">
        <f>+'P&amp;L'!K27</f>
        <v/>
      </c>
      <c r="L12" s="174">
        <f>+'P&amp;L'!L27</f>
        <v/>
      </c>
      <c r="M12" s="174">
        <f>+'P&amp;L'!M27</f>
        <v/>
      </c>
      <c r="N12" s="174">
        <f>+'P&amp;L'!N27</f>
        <v/>
      </c>
      <c r="O12" s="174">
        <f>+'P&amp;L'!O27</f>
        <v/>
      </c>
      <c r="P12" s="174">
        <f>+'P&amp;L'!P27</f>
        <v/>
      </c>
      <c r="Q12" s="174">
        <f>+'P&amp;L'!Q27</f>
        <v/>
      </c>
      <c r="R12" s="174">
        <f>+'P&amp;L'!R27</f>
        <v/>
      </c>
      <c r="S12" s="174">
        <f>+'P&amp;L'!S27</f>
        <v/>
      </c>
    </row>
    <row r="14">
      <c r="A14" s="129" t="inlineStr">
        <is>
          <t>x</t>
        </is>
      </c>
      <c r="B14" s="128" t="inlineStr">
        <is>
          <t>WC items</t>
        </is>
      </c>
    </row>
    <row r="15">
      <c r="B15" s="129" t="inlineStr">
        <is>
          <t>Account receivables</t>
        </is>
      </c>
      <c r="E15" s="180">
        <f>+'BS &amp; CFS'!E8</f>
        <v/>
      </c>
      <c r="F15" s="180">
        <f>+'BS &amp; CFS'!F8</f>
        <v/>
      </c>
      <c r="G15" s="180">
        <f>+'BS &amp; CFS'!G8</f>
        <v/>
      </c>
      <c r="H15" s="180">
        <f>+'BS &amp; CFS'!H8</f>
        <v/>
      </c>
      <c r="I15" s="180">
        <f>+'BS &amp; CFS'!I8</f>
        <v/>
      </c>
      <c r="J15" s="129">
        <f>+J16/365*J10</f>
        <v/>
      </c>
      <c r="K15" s="129">
        <f>+K16/365*K10</f>
        <v/>
      </c>
      <c r="L15" s="129">
        <f>+L16/365*L10</f>
        <v/>
      </c>
      <c r="M15" s="129">
        <f>+M16/365*M10</f>
        <v/>
      </c>
      <c r="N15" s="129">
        <f>+N16/365*N10</f>
        <v/>
      </c>
      <c r="O15" s="129">
        <f>+O16/365*O10</f>
        <v/>
      </c>
      <c r="P15" s="129">
        <f>+P16/365*P10</f>
        <v/>
      </c>
      <c r="Q15" s="129">
        <f>+Q16/365*Q10</f>
        <v/>
      </c>
      <c r="R15" s="129">
        <f>+R16/365*R10</f>
        <v/>
      </c>
      <c r="S15" s="129">
        <f>+S16/365*S10</f>
        <v/>
      </c>
    </row>
    <row r="16">
      <c r="B16" s="129" t="inlineStr">
        <is>
          <t>AR days</t>
        </is>
      </c>
      <c r="E16" s="129">
        <f>+E15/E10*365</f>
        <v/>
      </c>
      <c r="F16" s="129">
        <f>+F15/F10*365</f>
        <v/>
      </c>
      <c r="G16" s="129">
        <f>+G15/G10*365</f>
        <v/>
      </c>
      <c r="H16" s="129">
        <f>+H15/H10*365</f>
        <v/>
      </c>
      <c r="I16" s="129">
        <f>+I15/I10*365</f>
        <v/>
      </c>
      <c r="J16" s="181">
        <f>+I16</f>
        <v/>
      </c>
      <c r="K16" s="181">
        <f>+J16</f>
        <v/>
      </c>
      <c r="L16" s="181">
        <f>+K16</f>
        <v/>
      </c>
      <c r="M16" s="181">
        <f>+L16</f>
        <v/>
      </c>
      <c r="N16" s="181">
        <f>+M16</f>
        <v/>
      </c>
      <c r="O16" s="181">
        <f>+N16</f>
        <v/>
      </c>
      <c r="P16" s="181">
        <f>+O16</f>
        <v/>
      </c>
      <c r="Q16" s="181">
        <f>+P16</f>
        <v/>
      </c>
      <c r="R16" s="181">
        <f>+Q16</f>
        <v/>
      </c>
      <c r="S16" s="181">
        <f>+R16</f>
        <v/>
      </c>
    </row>
    <row r="17">
      <c r="B17" s="128" t="n"/>
    </row>
    <row r="18">
      <c r="B18" s="129" t="inlineStr">
        <is>
          <t>Prepaid expense and deposits</t>
        </is>
      </c>
      <c r="E18" s="180">
        <f>+'BS &amp; CFS'!E9</f>
        <v/>
      </c>
      <c r="F18" s="180">
        <f>+'BS &amp; CFS'!F9</f>
        <v/>
      </c>
      <c r="G18" s="180">
        <f>+'BS &amp; CFS'!G9</f>
        <v/>
      </c>
      <c r="H18" s="180">
        <f>+'BS &amp; CFS'!H9</f>
        <v/>
      </c>
      <c r="I18" s="180">
        <f>+'BS &amp; CFS'!I9</f>
        <v/>
      </c>
      <c r="J18" s="181">
        <f>+I18</f>
        <v/>
      </c>
      <c r="K18" s="181">
        <f>+J18</f>
        <v/>
      </c>
      <c r="L18" s="181">
        <f>+K18</f>
        <v/>
      </c>
      <c r="M18" s="181">
        <f>+L18</f>
        <v/>
      </c>
      <c r="N18" s="181">
        <f>+M18</f>
        <v/>
      </c>
      <c r="O18" s="181">
        <f>+N18</f>
        <v/>
      </c>
      <c r="P18" s="181">
        <f>+O18</f>
        <v/>
      </c>
      <c r="Q18" s="181">
        <f>+P18</f>
        <v/>
      </c>
      <c r="R18" s="181">
        <f>+Q18</f>
        <v/>
      </c>
      <c r="S18" s="181">
        <f>+R18</f>
        <v/>
      </c>
    </row>
    <row r="20">
      <c r="B20" s="129" t="inlineStr">
        <is>
          <t>Accounts payables and accrued liabilities</t>
        </is>
      </c>
      <c r="E20" s="180">
        <f>+'BS &amp; CFS'!E22</f>
        <v/>
      </c>
      <c r="F20" s="180">
        <f>+'BS &amp; CFS'!F22</f>
        <v/>
      </c>
      <c r="G20" s="180">
        <f>+'BS &amp; CFS'!G22</f>
        <v/>
      </c>
      <c r="H20" s="180">
        <f>+'BS &amp; CFS'!H22</f>
        <v/>
      </c>
      <c r="I20" s="180">
        <f>+'BS &amp; CFS'!I22</f>
        <v/>
      </c>
      <c r="J20" s="129">
        <f>+J21/365*J11*-1</f>
        <v/>
      </c>
      <c r="K20" s="129">
        <f>+K21/365*K11*-1</f>
        <v/>
      </c>
      <c r="L20" s="129">
        <f>+L21/365*L11*-1</f>
        <v/>
      </c>
      <c r="M20" s="129">
        <f>+M21/365*M11*-1</f>
        <v/>
      </c>
      <c r="N20" s="129">
        <f>+N21/365*N11*-1</f>
        <v/>
      </c>
      <c r="O20" s="129">
        <f>+O21/365*O11*-1</f>
        <v/>
      </c>
      <c r="P20" s="129">
        <f>+P21/365*P11*-1</f>
        <v/>
      </c>
      <c r="Q20" s="129">
        <f>+Q21/365*Q11*-1</f>
        <v/>
      </c>
      <c r="R20" s="129">
        <f>+R21/365*R11*-1</f>
        <v/>
      </c>
      <c r="S20" s="129">
        <f>+S21/365*S11*-1</f>
        <v/>
      </c>
    </row>
    <row r="21">
      <c r="B21" s="129" t="inlineStr">
        <is>
          <t>AP days</t>
        </is>
      </c>
      <c r="E21" s="129">
        <f>+E20/E11*365*-1</f>
        <v/>
      </c>
      <c r="F21" s="129">
        <f>+F20/F11*365*-1</f>
        <v/>
      </c>
      <c r="G21" s="129">
        <f>+G20/G11*365*-1</f>
        <v/>
      </c>
      <c r="H21" s="129">
        <f>+H20/H11*365*-1</f>
        <v/>
      </c>
      <c r="I21" s="129">
        <f>+I20/I11*365*-1</f>
        <v/>
      </c>
      <c r="J21" s="181">
        <f>+I21</f>
        <v/>
      </c>
      <c r="K21" s="181">
        <f>+J21</f>
        <v/>
      </c>
      <c r="L21" s="181">
        <f>+K21</f>
        <v/>
      </c>
      <c r="M21" s="181">
        <f>+L21</f>
        <v/>
      </c>
      <c r="N21" s="181">
        <f>+M21</f>
        <v/>
      </c>
      <c r="O21" s="181">
        <f>+N21</f>
        <v/>
      </c>
      <c r="P21" s="181">
        <f>+O21</f>
        <v/>
      </c>
      <c r="Q21" s="181">
        <f>+P21</f>
        <v/>
      </c>
      <c r="R21" s="181">
        <f>+Q21</f>
        <v/>
      </c>
      <c r="S21" s="181">
        <f>+R21</f>
        <v/>
      </c>
    </row>
    <row r="23">
      <c r="B23" s="129" t="inlineStr">
        <is>
          <t>Deferred revenue</t>
        </is>
      </c>
      <c r="E23" s="180">
        <f>+'BS &amp; CFS'!E23</f>
        <v/>
      </c>
      <c r="F23" s="180">
        <f>+'BS &amp; CFS'!F23</f>
        <v/>
      </c>
      <c r="G23" s="180">
        <f>+'BS &amp; CFS'!G23</f>
        <v/>
      </c>
      <c r="H23" s="180">
        <f>+'BS &amp; CFS'!H23</f>
        <v/>
      </c>
      <c r="I23" s="180">
        <f>+'BS &amp; CFS'!I23</f>
        <v/>
      </c>
      <c r="J23" s="129">
        <f>+J24*J10</f>
        <v/>
      </c>
      <c r="K23" s="129">
        <f>+K24*K10</f>
        <v/>
      </c>
      <c r="L23" s="129">
        <f>+L24*L10</f>
        <v/>
      </c>
      <c r="M23" s="129">
        <f>+M24*M10</f>
        <v/>
      </c>
      <c r="N23" s="129">
        <f>+N24*N10</f>
        <v/>
      </c>
      <c r="O23" s="129">
        <f>+O24*O10</f>
        <v/>
      </c>
      <c r="P23" s="129">
        <f>+P24*P10</f>
        <v/>
      </c>
      <c r="Q23" s="129">
        <f>+Q24*Q10</f>
        <v/>
      </c>
      <c r="R23" s="129">
        <f>+R24*R10</f>
        <v/>
      </c>
      <c r="S23" s="129">
        <f>+S24*S10</f>
        <v/>
      </c>
    </row>
    <row r="24">
      <c r="B24" s="129" t="inlineStr">
        <is>
          <t>% of total revenue</t>
        </is>
      </c>
      <c r="E24" s="162">
        <f>+E23/E10</f>
        <v/>
      </c>
      <c r="F24" s="162">
        <f>+F23/F10</f>
        <v/>
      </c>
      <c r="G24" s="162">
        <f>+G23/G10</f>
        <v/>
      </c>
      <c r="H24" s="162">
        <f>+H23/H10</f>
        <v/>
      </c>
      <c r="I24" s="162">
        <f>+I23/I10</f>
        <v/>
      </c>
      <c r="J24" s="185" t="n">
        <v>0.1</v>
      </c>
      <c r="K24" s="185" t="n">
        <v>0.1</v>
      </c>
      <c r="L24" s="185" t="n">
        <v>0.1</v>
      </c>
      <c r="M24" s="185" t="n">
        <v>0.1</v>
      </c>
      <c r="N24" s="185" t="n">
        <v>0.1</v>
      </c>
      <c r="O24" s="185" t="n">
        <v>0.1</v>
      </c>
      <c r="P24" s="185" t="n">
        <v>0.1</v>
      </c>
      <c r="Q24" s="185" t="n">
        <v>0.1</v>
      </c>
      <c r="R24" s="185" t="n">
        <v>0.1</v>
      </c>
      <c r="S24" s="185" t="n">
        <v>0.1</v>
      </c>
    </row>
    <row r="25">
      <c r="E25" s="162" t="n"/>
      <c r="F25" s="162" t="n"/>
      <c r="G25" s="162" t="n"/>
      <c r="H25" s="162" t="n"/>
      <c r="I25" s="162" t="n"/>
      <c r="J25" s="215" t="n"/>
      <c r="K25" s="215" t="n"/>
      <c r="L25" s="215" t="n"/>
      <c r="M25" s="215" t="n"/>
      <c r="N25" s="215" t="n"/>
      <c r="O25" s="215" t="n"/>
      <c r="P25" s="215" t="n"/>
      <c r="Q25" s="215" t="n"/>
      <c r="R25" s="215" t="n"/>
      <c r="S25" s="215" t="n"/>
    </row>
    <row r="26">
      <c r="B26" s="129" t="inlineStr">
        <is>
          <t>LT acccount receivables</t>
        </is>
      </c>
      <c r="E26" s="180">
        <f>+'BS &amp; CFS'!E13</f>
        <v/>
      </c>
      <c r="F26" s="180">
        <f>+'BS &amp; CFS'!F13</f>
        <v/>
      </c>
      <c r="G26" s="180">
        <f>+'BS &amp; CFS'!G13</f>
        <v/>
      </c>
      <c r="H26" s="180">
        <f>+'BS &amp; CFS'!H13</f>
        <v/>
      </c>
      <c r="I26" s="180">
        <f>+'BS &amp; CFS'!I13</f>
        <v/>
      </c>
      <c r="J26" s="129">
        <f>+J27/365*J10</f>
        <v/>
      </c>
      <c r="K26" s="129">
        <f>+K27/365*K10</f>
        <v/>
      </c>
      <c r="L26" s="129">
        <f>+L27/365*L10</f>
        <v/>
      </c>
      <c r="M26" s="129">
        <f>+M27/365*M10</f>
        <v/>
      </c>
      <c r="N26" s="129">
        <f>+N27/365*N10</f>
        <v/>
      </c>
      <c r="O26" s="129">
        <f>+O27/365*O10</f>
        <v/>
      </c>
      <c r="P26" s="129">
        <f>+P27/365*P10</f>
        <v/>
      </c>
      <c r="Q26" s="129">
        <f>+Q27/365*Q10</f>
        <v/>
      </c>
      <c r="R26" s="129">
        <f>+R27/365*R10</f>
        <v/>
      </c>
      <c r="S26" s="129">
        <f>+S27/365*S10</f>
        <v/>
      </c>
    </row>
    <row r="27">
      <c r="B27" s="129" t="inlineStr">
        <is>
          <t>AR days</t>
        </is>
      </c>
      <c r="E27" s="129">
        <f>+E26/E10*365</f>
        <v/>
      </c>
      <c r="F27" s="129">
        <f>+F26/F10*365</f>
        <v/>
      </c>
      <c r="G27" s="129">
        <f>+G26/G10*365</f>
        <v/>
      </c>
      <c r="H27" s="129">
        <f>+H26/H10*365</f>
        <v/>
      </c>
      <c r="I27" s="129">
        <f>+I26/I10*365</f>
        <v/>
      </c>
      <c r="J27" s="181">
        <f>+I27</f>
        <v/>
      </c>
      <c r="K27" s="181">
        <f>+J27</f>
        <v/>
      </c>
      <c r="L27" s="181">
        <f>+K27</f>
        <v/>
      </c>
      <c r="M27" s="181">
        <f>+L27</f>
        <v/>
      </c>
      <c r="N27" s="181">
        <f>+M27</f>
        <v/>
      </c>
      <c r="O27" s="181">
        <f>+N27</f>
        <v/>
      </c>
      <c r="P27" s="181">
        <f>+O27</f>
        <v/>
      </c>
      <c r="Q27" s="181">
        <f>+P27</f>
        <v/>
      </c>
      <c r="R27" s="181">
        <f>+Q27</f>
        <v/>
      </c>
      <c r="S27" s="181">
        <f>+R27</f>
        <v/>
      </c>
    </row>
    <row r="28">
      <c r="E28" s="162" t="n"/>
      <c r="F28" s="162" t="n"/>
      <c r="G28" s="162" t="n"/>
      <c r="H28" s="162" t="n"/>
      <c r="I28" s="162" t="n"/>
      <c r="J28" s="215" t="n"/>
      <c r="K28" s="215" t="n"/>
      <c r="L28" s="215" t="n"/>
      <c r="M28" s="215" t="n"/>
      <c r="N28" s="215" t="n"/>
      <c r="O28" s="215" t="n"/>
      <c r="P28" s="215" t="n"/>
      <c r="Q28" s="215" t="n"/>
      <c r="R28" s="215" t="n"/>
      <c r="S28" s="215" t="n"/>
    </row>
    <row r="29">
      <c r="A29" s="129" t="inlineStr">
        <is>
          <t>x</t>
        </is>
      </c>
      <c r="B29" s="128" t="inlineStr">
        <is>
          <t>ST assets</t>
        </is>
      </c>
      <c r="E29" s="162" t="n"/>
      <c r="F29" s="162" t="n"/>
      <c r="G29" s="162" t="n"/>
      <c r="H29" s="162" t="n"/>
      <c r="I29" s="162" t="n"/>
      <c r="J29" s="215" t="n"/>
      <c r="K29" s="215" t="n"/>
      <c r="L29" s="215" t="n"/>
      <c r="M29" s="215" t="n"/>
      <c r="N29" s="215" t="n"/>
      <c r="O29" s="215" t="n"/>
      <c r="P29" s="215" t="n"/>
      <c r="Q29" s="215" t="n"/>
      <c r="R29" s="215" t="n"/>
      <c r="S29" s="215" t="n"/>
    </row>
    <row r="30">
      <c r="B30" s="129" t="inlineStr">
        <is>
          <t>BoP investment in film and TV</t>
        </is>
      </c>
      <c r="F30" s="129">
        <f>+E35</f>
        <v/>
      </c>
      <c r="G30" s="129">
        <f>+F35</f>
        <v/>
      </c>
      <c r="H30" s="129">
        <f>+G35</f>
        <v/>
      </c>
      <c r="I30" s="129">
        <f>+H35</f>
        <v/>
      </c>
      <c r="J30" s="129">
        <f>+I35</f>
        <v/>
      </c>
      <c r="K30" s="129">
        <f>+J35</f>
        <v/>
      </c>
      <c r="L30" s="129">
        <f>+K35</f>
        <v/>
      </c>
      <c r="M30" s="129">
        <f>+L35</f>
        <v/>
      </c>
      <c r="N30" s="129">
        <f>+M35</f>
        <v/>
      </c>
      <c r="O30" s="129">
        <f>+N35</f>
        <v/>
      </c>
      <c r="P30" s="129">
        <f>+O35</f>
        <v/>
      </c>
      <c r="Q30" s="129">
        <f>+P35</f>
        <v/>
      </c>
      <c r="R30" s="129">
        <f>+Q35</f>
        <v/>
      </c>
      <c r="S30" s="129">
        <f>+R35</f>
        <v/>
      </c>
    </row>
    <row r="31">
      <c r="B31" s="129" t="inlineStr">
        <is>
          <t>Development cost</t>
        </is>
      </c>
      <c r="H31" s="171">
        <f>1.908+73.165+4.434</f>
        <v/>
      </c>
      <c r="I31" s="171">
        <f>0.203+71.115+12.166</f>
        <v/>
      </c>
      <c r="J31" s="129">
        <f>+J37*J6</f>
        <v/>
      </c>
      <c r="K31" s="129">
        <f>+K37*K6</f>
        <v/>
      </c>
      <c r="L31" s="129">
        <f>+L37*L6</f>
        <v/>
      </c>
      <c r="M31" s="129">
        <f>+M37*M6</f>
        <v/>
      </c>
      <c r="N31" s="129">
        <f>+N37*N6</f>
        <v/>
      </c>
      <c r="O31" s="129">
        <f>+O37*O6</f>
        <v/>
      </c>
      <c r="P31" s="129">
        <f>+P37*P6</f>
        <v/>
      </c>
      <c r="Q31" s="129">
        <f>+Q37*Q6</f>
        <v/>
      </c>
      <c r="R31" s="129">
        <f>+R37*R6</f>
        <v/>
      </c>
      <c r="S31" s="129">
        <f>+S37*S6</f>
        <v/>
      </c>
    </row>
    <row r="32">
      <c r="B32" s="129" t="inlineStr">
        <is>
          <t>Write down</t>
        </is>
      </c>
      <c r="H32" s="171" t="n">
        <v>-7.453</v>
      </c>
      <c r="I32" s="171" t="n">
        <v>-1.208</v>
      </c>
      <c r="J32" s="181" t="n">
        <v>0</v>
      </c>
      <c r="K32" s="181">
        <f>+J32</f>
        <v/>
      </c>
      <c r="L32" s="181">
        <f>+K32</f>
        <v/>
      </c>
      <c r="M32" s="181">
        <f>+L32</f>
        <v/>
      </c>
      <c r="N32" s="181">
        <f>+M32</f>
        <v/>
      </c>
      <c r="O32" s="181">
        <f>+N32</f>
        <v/>
      </c>
      <c r="P32" s="181">
        <f>+O32</f>
        <v/>
      </c>
      <c r="Q32" s="181">
        <f>+P32</f>
        <v/>
      </c>
      <c r="R32" s="181">
        <f>+Q32</f>
        <v/>
      </c>
      <c r="S32" s="181">
        <f>+R32</f>
        <v/>
      </c>
    </row>
    <row r="33">
      <c r="B33" s="129" t="inlineStr">
        <is>
          <t>Expense</t>
        </is>
      </c>
      <c r="H33" s="180">
        <f>+'RevBuild Calcs'!H90*-1</f>
        <v/>
      </c>
      <c r="I33" s="180">
        <f>+'RevBuild Calcs'!I90*-1</f>
        <v/>
      </c>
      <c r="J33" s="129">
        <f>+J38*J11</f>
        <v/>
      </c>
      <c r="K33" s="129">
        <f>+K38*K11</f>
        <v/>
      </c>
      <c r="L33" s="129">
        <f>+L38*L11</f>
        <v/>
      </c>
      <c r="M33" s="129">
        <f>+M38*M11</f>
        <v/>
      </c>
      <c r="N33" s="129">
        <f>+N38*N11</f>
        <v/>
      </c>
      <c r="O33" s="129">
        <f>+O38*O11</f>
        <v/>
      </c>
      <c r="P33" s="129">
        <f>+P38*P11</f>
        <v/>
      </c>
      <c r="Q33" s="129">
        <f>+Q38*Q11</f>
        <v/>
      </c>
      <c r="R33" s="129">
        <f>+R38*R11</f>
        <v/>
      </c>
      <c r="S33" s="129">
        <f>+S38*S11</f>
        <v/>
      </c>
    </row>
    <row r="34">
      <c r="B34" s="129" t="inlineStr">
        <is>
          <t>FX &amp; Other</t>
        </is>
      </c>
      <c r="H34" s="129">
        <f>+H35-SUM(H30:H33)</f>
        <v/>
      </c>
      <c r="I34" s="129">
        <f>+I35-SUM(I30:I33)</f>
        <v/>
      </c>
      <c r="J34" s="171" t="n">
        <v>0</v>
      </c>
      <c r="K34" s="171">
        <f>+J34</f>
        <v/>
      </c>
      <c r="L34" s="171">
        <f>+K34</f>
        <v/>
      </c>
      <c r="M34" s="171">
        <f>+L34</f>
        <v/>
      </c>
      <c r="N34" s="171">
        <f>+M34</f>
        <v/>
      </c>
      <c r="O34" s="171">
        <f>+N34</f>
        <v/>
      </c>
      <c r="P34" s="171">
        <f>+O34</f>
        <v/>
      </c>
      <c r="Q34" s="171">
        <f>+P34</f>
        <v/>
      </c>
      <c r="R34" s="171">
        <f>+Q34</f>
        <v/>
      </c>
      <c r="S34" s="171">
        <f>+R34</f>
        <v/>
      </c>
    </row>
    <row r="35">
      <c r="B35" s="172" t="inlineStr">
        <is>
          <t>EoP investment in film and TV</t>
        </is>
      </c>
      <c r="C35" s="172" t="n"/>
      <c r="D35" s="172" t="n"/>
      <c r="E35" s="216">
        <f>+'BS &amp; CFS'!E10</f>
        <v/>
      </c>
      <c r="F35" s="216">
        <f>+'BS &amp; CFS'!F10</f>
        <v/>
      </c>
      <c r="G35" s="216">
        <f>+'BS &amp; CFS'!G10</f>
        <v/>
      </c>
      <c r="H35" s="216">
        <f>+'BS &amp; CFS'!H10</f>
        <v/>
      </c>
      <c r="I35" s="216">
        <f>+'BS &amp; CFS'!I10</f>
        <v/>
      </c>
      <c r="J35" s="172">
        <f>+SUM(J30:J34)</f>
        <v/>
      </c>
      <c r="K35" s="172">
        <f>+SUM(K30:K34)</f>
        <v/>
      </c>
      <c r="L35" s="172">
        <f>+SUM(L30:L34)</f>
        <v/>
      </c>
      <c r="M35" s="172">
        <f>+SUM(M30:M34)</f>
        <v/>
      </c>
      <c r="N35" s="172">
        <f>+SUM(N30:N34)</f>
        <v/>
      </c>
      <c r="O35" s="172">
        <f>+SUM(O30:O34)</f>
        <v/>
      </c>
      <c r="P35" s="172">
        <f>+SUM(P30:P34)</f>
        <v/>
      </c>
      <c r="Q35" s="172">
        <f>+SUM(Q30:Q34)</f>
        <v/>
      </c>
      <c r="R35" s="172">
        <f>+SUM(R30:R34)</f>
        <v/>
      </c>
      <c r="S35" s="172">
        <f>+SUM(S30:S34)</f>
        <v/>
      </c>
    </row>
    <row r="36">
      <c r="E36" s="180" t="n"/>
      <c r="F36" s="180" t="n"/>
      <c r="G36" s="180" t="n"/>
      <c r="H36" s="180" t="n"/>
      <c r="I36" s="180" t="n"/>
      <c r="J36" s="217" t="n"/>
      <c r="K36" s="217" t="n"/>
      <c r="L36" s="217" t="n"/>
      <c r="M36" s="217" t="n"/>
      <c r="N36" s="217" t="n"/>
      <c r="O36" s="217" t="n"/>
      <c r="P36" s="217" t="n"/>
      <c r="Q36" s="217" t="n"/>
      <c r="R36" s="217" t="n"/>
      <c r="S36" s="217" t="n"/>
    </row>
    <row r="37">
      <c r="B37" s="129" t="inlineStr">
        <is>
          <t>Development cost as a % of content revenue</t>
        </is>
      </c>
      <c r="E37" s="180" t="n"/>
      <c r="F37" s="180" t="n"/>
      <c r="G37" s="180" t="n"/>
      <c r="H37" s="218">
        <f>+H31/H6</f>
        <v/>
      </c>
      <c r="I37" s="218">
        <f>+I31/I6</f>
        <v/>
      </c>
      <c r="J37" s="185" t="n">
        <v>0.45</v>
      </c>
      <c r="K37" s="185" t="n">
        <v>0.425</v>
      </c>
      <c r="L37" s="185" t="n">
        <v>0.4</v>
      </c>
      <c r="M37" s="185" t="n">
        <v>0.4</v>
      </c>
      <c r="N37" s="185" t="n">
        <v>0.4</v>
      </c>
      <c r="O37" s="185" t="n">
        <v>0.4</v>
      </c>
      <c r="P37" s="185" t="n">
        <v>0.4</v>
      </c>
      <c r="Q37" s="185" t="n">
        <v>0.4</v>
      </c>
      <c r="R37" s="185" t="n">
        <v>0.4</v>
      </c>
      <c r="S37" s="185" t="n">
        <v>0.4</v>
      </c>
    </row>
    <row r="38">
      <c r="B38" s="129" t="inlineStr">
        <is>
          <t>Expense as a % of COGS</t>
        </is>
      </c>
      <c r="E38" s="180" t="n"/>
      <c r="F38" s="180" t="n"/>
      <c r="G38" s="180" t="n"/>
      <c r="H38" s="219">
        <f>+H33/H11</f>
        <v/>
      </c>
      <c r="I38" s="219">
        <f>+I33/I11</f>
        <v/>
      </c>
      <c r="J38" s="185" t="n">
        <v>0.25</v>
      </c>
      <c r="K38" s="185" t="n">
        <v>0.225</v>
      </c>
      <c r="L38" s="185" t="n">
        <v>0.2</v>
      </c>
      <c r="M38" s="185" t="n">
        <v>0.2</v>
      </c>
      <c r="N38" s="185" t="n">
        <v>0.2</v>
      </c>
      <c r="O38" s="185" t="n">
        <v>0.2</v>
      </c>
      <c r="P38" s="185" t="n">
        <v>0.2</v>
      </c>
      <c r="Q38" s="185" t="n">
        <v>0.2</v>
      </c>
      <c r="R38" s="185" t="n">
        <v>0.2</v>
      </c>
      <c r="S38" s="185" t="n">
        <v>0.2</v>
      </c>
    </row>
    <row r="39"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</row>
    <row r="40">
      <c r="A40" s="129" t="inlineStr">
        <is>
          <t>x</t>
        </is>
      </c>
      <c r="B40" s="128" t="inlineStr">
        <is>
          <t>LT assets</t>
        </is>
      </c>
      <c r="J40" s="129">
        <f>+J39*J6</f>
        <v/>
      </c>
      <c r="K40" s="129">
        <f>+K39*K6</f>
        <v/>
      </c>
      <c r="L40" s="129">
        <f>+L39*L6</f>
        <v/>
      </c>
      <c r="M40" s="129">
        <f>+M39*M6</f>
        <v/>
      </c>
      <c r="N40" s="129">
        <f>+N39*N6</f>
        <v/>
      </c>
      <c r="O40" s="129">
        <f>+O39*O6</f>
        <v/>
      </c>
      <c r="P40" s="129">
        <f>+P39*P6</f>
        <v/>
      </c>
      <c r="Q40" s="129">
        <f>+Q39*Q6</f>
        <v/>
      </c>
      <c r="R40" s="129">
        <f>+R39*R6</f>
        <v/>
      </c>
      <c r="S40" s="129">
        <f>+S39*S6</f>
        <v/>
      </c>
    </row>
    <row r="41">
      <c r="B41" s="129" t="inlineStr">
        <is>
          <t>BoP acquired and library content</t>
        </is>
      </c>
      <c r="F41" s="129">
        <f>+E46</f>
        <v/>
      </c>
      <c r="G41" s="129">
        <f>+F46</f>
        <v/>
      </c>
      <c r="H41" s="129">
        <f>+G46</f>
        <v/>
      </c>
      <c r="I41" s="129">
        <f>+H46</f>
        <v/>
      </c>
      <c r="J41" s="129">
        <f>+I46</f>
        <v/>
      </c>
      <c r="K41" s="129">
        <f>+J46</f>
        <v/>
      </c>
      <c r="L41" s="129">
        <f>+K46</f>
        <v/>
      </c>
      <c r="M41" s="129">
        <f>+L46</f>
        <v/>
      </c>
      <c r="N41" s="129">
        <f>+M46</f>
        <v/>
      </c>
      <c r="O41" s="129">
        <f>+N46</f>
        <v/>
      </c>
      <c r="P41" s="129">
        <f>+O46</f>
        <v/>
      </c>
      <c r="Q41" s="129">
        <f>+P46</f>
        <v/>
      </c>
      <c r="R41" s="129">
        <f>+Q46</f>
        <v/>
      </c>
      <c r="S41" s="129">
        <f>+R46</f>
        <v/>
      </c>
    </row>
    <row r="42">
      <c r="B42" s="129" t="inlineStr">
        <is>
          <t>Additions</t>
        </is>
      </c>
      <c r="H42" s="171" t="n">
        <v>8.917999999999999</v>
      </c>
      <c r="I42" s="171" t="n">
        <v>1</v>
      </c>
      <c r="J42" s="129">
        <f>+J48*J10</f>
        <v/>
      </c>
      <c r="K42" s="129">
        <f>+K48*K10</f>
        <v/>
      </c>
      <c r="L42" s="129">
        <f>+L48*L10</f>
        <v/>
      </c>
      <c r="M42" s="129">
        <f>+M48*M10</f>
        <v/>
      </c>
      <c r="N42" s="129">
        <f>+N48*N10</f>
        <v/>
      </c>
      <c r="O42" s="129">
        <f>+O48*O10</f>
        <v/>
      </c>
      <c r="P42" s="129">
        <f>+P48*P10</f>
        <v/>
      </c>
      <c r="Q42" s="129">
        <f>+Q48*Q10</f>
        <v/>
      </c>
      <c r="R42" s="129">
        <f>+R48*R10</f>
        <v/>
      </c>
      <c r="S42" s="129">
        <f>+S48*S10</f>
        <v/>
      </c>
    </row>
    <row r="43">
      <c r="B43" s="129" t="inlineStr">
        <is>
          <t>Write down</t>
        </is>
      </c>
      <c r="H43" s="171" t="n">
        <v>-0.379</v>
      </c>
      <c r="I43" s="171" t="n">
        <v>0</v>
      </c>
      <c r="J43" s="181" t="n">
        <v>0</v>
      </c>
      <c r="K43" s="181">
        <f>+J43</f>
        <v/>
      </c>
      <c r="L43" s="181">
        <f>+K43</f>
        <v/>
      </c>
      <c r="M43" s="181">
        <f>+L43</f>
        <v/>
      </c>
      <c r="N43" s="181">
        <f>+M43</f>
        <v/>
      </c>
      <c r="O43" s="181">
        <f>+N43</f>
        <v/>
      </c>
      <c r="P43" s="181">
        <f>+O43</f>
        <v/>
      </c>
      <c r="Q43" s="181">
        <f>+P43</f>
        <v/>
      </c>
      <c r="R43" s="181">
        <f>+Q43</f>
        <v/>
      </c>
      <c r="S43" s="181">
        <f>+R43</f>
        <v/>
      </c>
    </row>
    <row r="44">
      <c r="B44" s="129" t="inlineStr">
        <is>
          <t>Amortization</t>
        </is>
      </c>
      <c r="H44" s="171" t="n">
        <v>-11.1</v>
      </c>
      <c r="I44" s="171" t="n">
        <v>-10.241</v>
      </c>
      <c r="J44" s="129">
        <f>+J49</f>
        <v/>
      </c>
      <c r="K44" s="129">
        <f>+K49</f>
        <v/>
      </c>
      <c r="L44" s="129">
        <f>+L49</f>
        <v/>
      </c>
      <c r="M44" s="129">
        <f>+M49</f>
        <v/>
      </c>
      <c r="N44" s="129">
        <f>+N49</f>
        <v/>
      </c>
      <c r="O44" s="129">
        <f>+O49</f>
        <v/>
      </c>
      <c r="P44" s="129">
        <f>+P49</f>
        <v/>
      </c>
      <c r="Q44" s="129">
        <f>+Q49</f>
        <v/>
      </c>
      <c r="R44" s="129">
        <f>+R49</f>
        <v/>
      </c>
      <c r="S44" s="129">
        <f>+S49</f>
        <v/>
      </c>
    </row>
    <row r="45">
      <c r="B45" s="129" t="inlineStr">
        <is>
          <t>FX &amp; Other</t>
        </is>
      </c>
      <c r="H45" s="129">
        <f>+H46-SUM(H41:H44)</f>
        <v/>
      </c>
      <c r="I45" s="129">
        <f>+I46-SUM(I41:I44)</f>
        <v/>
      </c>
      <c r="J45" s="171" t="n">
        <v>0</v>
      </c>
      <c r="K45" s="171">
        <f>+J45</f>
        <v/>
      </c>
      <c r="L45" s="171">
        <f>+K45</f>
        <v/>
      </c>
      <c r="M45" s="171">
        <f>+L45</f>
        <v/>
      </c>
      <c r="N45" s="171">
        <f>+M45</f>
        <v/>
      </c>
      <c r="O45" s="171">
        <f>+N45</f>
        <v/>
      </c>
      <c r="P45" s="171">
        <f>+O45</f>
        <v/>
      </c>
      <c r="Q45" s="171">
        <f>+P45</f>
        <v/>
      </c>
      <c r="R45" s="171">
        <f>+Q45</f>
        <v/>
      </c>
      <c r="S45" s="171">
        <f>+R45</f>
        <v/>
      </c>
    </row>
    <row r="46">
      <c r="B46" s="172" t="inlineStr">
        <is>
          <t>EoP acquired and library content</t>
        </is>
      </c>
      <c r="C46" s="172" t="n"/>
      <c r="D46" s="172" t="n"/>
      <c r="E46" s="216">
        <f>+'BS &amp; CFS'!E14</f>
        <v/>
      </c>
      <c r="F46" s="216">
        <f>+'BS &amp; CFS'!F14</f>
        <v/>
      </c>
      <c r="G46" s="216">
        <f>+'BS &amp; CFS'!G14</f>
        <v/>
      </c>
      <c r="H46" s="216">
        <f>+'BS &amp; CFS'!H14</f>
        <v/>
      </c>
      <c r="I46" s="216">
        <f>+'BS &amp; CFS'!I14</f>
        <v/>
      </c>
      <c r="J46" s="172">
        <f>+SUM(J41:J45)</f>
        <v/>
      </c>
      <c r="K46" s="172">
        <f>+SUM(K41:K45)</f>
        <v/>
      </c>
      <c r="L46" s="172">
        <f>+SUM(L41:L45)</f>
        <v/>
      </c>
      <c r="M46" s="172">
        <f>+SUM(M41:M45)</f>
        <v/>
      </c>
      <c r="N46" s="172">
        <f>+SUM(N41:N45)</f>
        <v/>
      </c>
      <c r="O46" s="172">
        <f>+SUM(O41:O45)</f>
        <v/>
      </c>
      <c r="P46" s="172">
        <f>+SUM(P41:P45)</f>
        <v/>
      </c>
      <c r="Q46" s="172">
        <f>+SUM(Q41:Q45)</f>
        <v/>
      </c>
      <c r="R46" s="172">
        <f>+SUM(R41:R45)</f>
        <v/>
      </c>
      <c r="S46" s="172">
        <f>+SUM(S41:S45)</f>
        <v/>
      </c>
    </row>
    <row r="47">
      <c r="E47" s="180" t="n"/>
      <c r="F47" s="180" t="n"/>
      <c r="G47" s="180" t="n"/>
      <c r="H47" s="180" t="n"/>
      <c r="I47" s="180" t="n"/>
    </row>
    <row r="48">
      <c r="B48" s="129" t="inlineStr">
        <is>
          <t>Additions as a % of revenue</t>
        </is>
      </c>
      <c r="E48" s="180" t="n"/>
      <c r="F48" s="180" t="n"/>
      <c r="G48" s="180" t="n"/>
      <c r="H48" s="218">
        <f>+H42/H10</f>
        <v/>
      </c>
      <c r="I48" s="218">
        <f>+I42/I10</f>
        <v/>
      </c>
      <c r="J48" s="185" t="n">
        <v>0.02</v>
      </c>
      <c r="K48" s="185" t="n">
        <v>0.02</v>
      </c>
      <c r="L48" s="185" t="n">
        <v>0.02</v>
      </c>
      <c r="M48" s="185" t="n">
        <v>0.02</v>
      </c>
      <c r="N48" s="185" t="n">
        <v>0.02</v>
      </c>
      <c r="O48" s="185" t="n">
        <v>0.02</v>
      </c>
      <c r="P48" s="185" t="n">
        <v>0.02</v>
      </c>
      <c r="Q48" s="185" t="n">
        <v>0.02</v>
      </c>
      <c r="R48" s="185" t="n">
        <v>0.02</v>
      </c>
      <c r="S48" s="185" t="n">
        <v>0.02</v>
      </c>
    </row>
    <row r="49">
      <c r="B49" s="129" t="inlineStr">
        <is>
          <t>Amortization</t>
        </is>
      </c>
      <c r="E49" s="180" t="n"/>
      <c r="F49" s="180" t="n"/>
      <c r="G49" s="180" t="n"/>
      <c r="H49" s="196">
        <f>+H44</f>
        <v/>
      </c>
      <c r="I49" s="196">
        <f>+I44</f>
        <v/>
      </c>
      <c r="J49" s="181" t="n">
        <v>-10</v>
      </c>
      <c r="K49" s="181" t="n">
        <v>-10</v>
      </c>
      <c r="L49" s="181" t="n">
        <v>-10</v>
      </c>
      <c r="M49" s="181" t="n">
        <v>-10</v>
      </c>
      <c r="N49" s="181" t="n">
        <v>-10</v>
      </c>
      <c r="O49" s="181" t="n">
        <v>-10</v>
      </c>
      <c r="P49" s="181" t="n">
        <v>-10</v>
      </c>
      <c r="Q49" s="181" t="n">
        <v>-10</v>
      </c>
      <c r="R49" s="181" t="n">
        <v>-10</v>
      </c>
      <c r="S49" s="181" t="n">
        <v>-10</v>
      </c>
    </row>
    <row r="50"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</row>
    <row r="51">
      <c r="B51" s="129" t="inlineStr">
        <is>
          <t>BoP PPE</t>
        </is>
      </c>
      <c r="F51" s="129">
        <f>+E56</f>
        <v/>
      </c>
      <c r="G51" s="129">
        <f>+F56</f>
        <v/>
      </c>
      <c r="H51" s="213">
        <f>+G56</f>
        <v/>
      </c>
      <c r="I51" s="129">
        <f>+H56</f>
        <v/>
      </c>
      <c r="J51" s="129">
        <f>+I56</f>
        <v/>
      </c>
      <c r="K51" s="129">
        <f>+J56</f>
        <v/>
      </c>
      <c r="L51" s="129">
        <f>+K56</f>
        <v/>
      </c>
      <c r="M51" s="129">
        <f>+L56</f>
        <v/>
      </c>
      <c r="N51" s="129">
        <f>+M56</f>
        <v/>
      </c>
      <c r="O51" s="129">
        <f>+N56</f>
        <v/>
      </c>
      <c r="P51" s="129">
        <f>+O56</f>
        <v/>
      </c>
      <c r="Q51" s="129">
        <f>+P56</f>
        <v/>
      </c>
      <c r="R51" s="129">
        <f>+Q56</f>
        <v/>
      </c>
      <c r="S51" s="129">
        <f>+R56</f>
        <v/>
      </c>
    </row>
    <row r="52">
      <c r="B52" s="129" t="inlineStr">
        <is>
          <t>Additions</t>
        </is>
      </c>
      <c r="H52" s="171" t="n">
        <v>5.733</v>
      </c>
      <c r="I52" s="171" t="n">
        <v>5.308</v>
      </c>
      <c r="J52" s="129">
        <f>+J59*J10</f>
        <v/>
      </c>
      <c r="K52" s="129">
        <f>+K59*K10</f>
        <v/>
      </c>
      <c r="L52" s="129">
        <f>+L59*L10</f>
        <v/>
      </c>
      <c r="M52" s="129">
        <f>+M59*M10</f>
        <v/>
      </c>
      <c r="N52" s="129">
        <f>+N59*N10</f>
        <v/>
      </c>
      <c r="O52" s="129">
        <f>+O59*O10</f>
        <v/>
      </c>
      <c r="P52" s="129">
        <f>+P59*P10</f>
        <v/>
      </c>
      <c r="Q52" s="129">
        <f>+Q59*Q10</f>
        <v/>
      </c>
      <c r="R52" s="129">
        <f>+R59*R10</f>
        <v/>
      </c>
      <c r="S52" s="129">
        <f>+S59*S10</f>
        <v/>
      </c>
    </row>
    <row r="53">
      <c r="B53" s="129" t="inlineStr">
        <is>
          <t>Depreciation</t>
        </is>
      </c>
      <c r="H53" s="171" t="n">
        <v>-12.382</v>
      </c>
      <c r="I53" s="171" t="n">
        <v>-13.378</v>
      </c>
      <c r="J53" s="129">
        <f>+J52*J60*-1</f>
        <v/>
      </c>
      <c r="K53" s="129">
        <f>+K52*K60*-1</f>
        <v/>
      </c>
      <c r="L53" s="129">
        <f>+L52*L60*-1</f>
        <v/>
      </c>
      <c r="M53" s="129">
        <f>+M52*M60*-1</f>
        <v/>
      </c>
      <c r="N53" s="129">
        <f>+N52*N60*-1</f>
        <v/>
      </c>
      <c r="O53" s="129">
        <f>+O52*O60*-1</f>
        <v/>
      </c>
      <c r="P53" s="129">
        <f>+P52*P60*-1</f>
        <v/>
      </c>
      <c r="Q53" s="129">
        <f>+Q52*Q60*-1</f>
        <v/>
      </c>
      <c r="R53" s="129">
        <f>+R52*R60*-1</f>
        <v/>
      </c>
      <c r="S53" s="129">
        <f>+S52*S60*-1</f>
        <v/>
      </c>
    </row>
    <row r="54">
      <c r="B54" s="129" t="inlineStr">
        <is>
          <t>Impairement</t>
        </is>
      </c>
      <c r="H54" s="171" t="n">
        <v>0</v>
      </c>
      <c r="I54" s="171" t="n">
        <v>0.42</v>
      </c>
      <c r="J54" s="181" t="n">
        <v>0</v>
      </c>
      <c r="K54" s="181" t="n">
        <v>0</v>
      </c>
      <c r="L54" s="181" t="n">
        <v>0</v>
      </c>
      <c r="M54" s="181" t="n">
        <v>0</v>
      </c>
      <c r="N54" s="181" t="n">
        <v>0</v>
      </c>
      <c r="O54" s="181" t="n">
        <v>0</v>
      </c>
      <c r="P54" s="181" t="n">
        <v>0</v>
      </c>
      <c r="Q54" s="181" t="n">
        <v>0</v>
      </c>
      <c r="R54" s="181" t="n">
        <v>0</v>
      </c>
      <c r="S54" s="181" t="n">
        <v>0</v>
      </c>
    </row>
    <row r="55">
      <c r="B55" s="129" t="inlineStr">
        <is>
          <t>FX &amp; other</t>
        </is>
      </c>
      <c r="H55" s="171" t="n">
        <v>-0.367</v>
      </c>
      <c r="I55" s="171" t="n">
        <v>-0.292</v>
      </c>
      <c r="J55" s="171" t="n">
        <v>0</v>
      </c>
      <c r="K55" s="171">
        <f>+J55</f>
        <v/>
      </c>
      <c r="L55" s="171">
        <f>+K55</f>
        <v/>
      </c>
      <c r="M55" s="171">
        <f>+L55</f>
        <v/>
      </c>
      <c r="N55" s="171">
        <f>+M55</f>
        <v/>
      </c>
      <c r="O55" s="171">
        <f>+N55</f>
        <v/>
      </c>
      <c r="P55" s="171">
        <f>+O55</f>
        <v/>
      </c>
      <c r="Q55" s="171">
        <f>+P55</f>
        <v/>
      </c>
      <c r="R55" s="171">
        <f>+Q55</f>
        <v/>
      </c>
      <c r="S55" s="171">
        <f>+R55</f>
        <v/>
      </c>
    </row>
    <row r="56">
      <c r="B56" s="172" t="inlineStr">
        <is>
          <t>EoP PPE</t>
        </is>
      </c>
      <c r="C56" s="172" t="n"/>
      <c r="D56" s="172" t="n"/>
      <c r="E56" s="216">
        <f>+'BS &amp; CFS'!E15</f>
        <v/>
      </c>
      <c r="F56" s="216">
        <f>+'BS &amp; CFS'!F15</f>
        <v/>
      </c>
      <c r="G56" s="216">
        <f>+'BS &amp; CFS'!G15</f>
        <v/>
      </c>
      <c r="H56" s="216">
        <f>+'BS &amp; CFS'!H15</f>
        <v/>
      </c>
      <c r="I56" s="216">
        <f>+'BS &amp; CFS'!I15</f>
        <v/>
      </c>
      <c r="J56" s="172">
        <f>+SUM(J51:J55)</f>
        <v/>
      </c>
      <c r="K56" s="172">
        <f>+SUM(K51:K55)</f>
        <v/>
      </c>
      <c r="L56" s="172">
        <f>+SUM(L51:L55)</f>
        <v/>
      </c>
      <c r="M56" s="172">
        <f>+SUM(M51:M55)</f>
        <v/>
      </c>
      <c r="N56" s="172">
        <f>+SUM(N51:N55)</f>
        <v/>
      </c>
      <c r="O56" s="172">
        <f>+SUM(O51:O55)</f>
        <v/>
      </c>
      <c r="P56" s="172">
        <f>+SUM(P51:P55)</f>
        <v/>
      </c>
      <c r="Q56" s="172">
        <f>+SUM(Q51:Q55)</f>
        <v/>
      </c>
      <c r="R56" s="172">
        <f>+SUM(R51:R55)</f>
        <v/>
      </c>
      <c r="S56" s="172">
        <f>+SUM(S51:S55)</f>
        <v/>
      </c>
    </row>
    <row r="57">
      <c r="H57" s="204">
        <f>+H56=SUM(H51:H55)</f>
        <v/>
      </c>
      <c r="I57" s="204">
        <f>+I56=SUM(I51:I55)</f>
        <v/>
      </c>
    </row>
    <row r="58">
      <c r="H58" s="204" t="n"/>
      <c r="I58" s="204" t="n"/>
    </row>
    <row r="59">
      <c r="B59" s="129" t="inlineStr">
        <is>
          <t>Additions as a % of revenue</t>
        </is>
      </c>
      <c r="H59" s="218">
        <f>+H52/'P&amp;L'!H6</f>
        <v/>
      </c>
      <c r="I59" s="218">
        <f>+I52/'P&amp;L'!I6</f>
        <v/>
      </c>
      <c r="J59" s="185" t="n">
        <v>0.015</v>
      </c>
      <c r="K59" s="185" t="n">
        <v>0.015</v>
      </c>
      <c r="L59" s="185" t="n">
        <v>0.015</v>
      </c>
      <c r="M59" s="185" t="n">
        <v>0.015</v>
      </c>
      <c r="N59" s="185" t="n">
        <v>0.015</v>
      </c>
      <c r="O59" s="185" t="n">
        <v>0.015</v>
      </c>
      <c r="P59" s="185" t="n">
        <v>0.015</v>
      </c>
      <c r="Q59" s="185" t="n">
        <v>0.015</v>
      </c>
      <c r="R59" s="185" t="n">
        <v>0.015</v>
      </c>
      <c r="S59" s="185" t="n">
        <v>0.015</v>
      </c>
    </row>
    <row r="60">
      <c r="B60" s="129" t="inlineStr">
        <is>
          <t>Depreciation as a % of additions</t>
        </is>
      </c>
      <c r="H60" s="218">
        <f>+H53/H52*-1</f>
        <v/>
      </c>
      <c r="I60" s="218">
        <f>+I53/I52*-1</f>
        <v/>
      </c>
      <c r="J60" s="185" t="n">
        <v>2</v>
      </c>
      <c r="K60" s="185" t="n">
        <v>1.5</v>
      </c>
      <c r="L60" s="185" t="n">
        <v>1.25</v>
      </c>
      <c r="M60" s="185" t="n">
        <v>1</v>
      </c>
      <c r="N60" s="185" t="n">
        <v>1</v>
      </c>
      <c r="O60" s="185" t="n">
        <v>1</v>
      </c>
      <c r="P60" s="185" t="n">
        <v>1</v>
      </c>
      <c r="Q60" s="185" t="n">
        <v>1</v>
      </c>
      <c r="R60" s="185" t="n">
        <v>1</v>
      </c>
      <c r="S60" s="185" t="n">
        <v>1</v>
      </c>
    </row>
    <row r="61">
      <c r="H61" s="204" t="n"/>
      <c r="I61" s="204" t="n"/>
    </row>
    <row r="62">
      <c r="B62" s="129" t="inlineStr">
        <is>
          <t>BoP intangibles</t>
        </is>
      </c>
      <c r="F62" s="129">
        <f>+E67</f>
        <v/>
      </c>
      <c r="G62" s="129">
        <f>+F67</f>
        <v/>
      </c>
      <c r="H62" s="129">
        <f>+G67</f>
        <v/>
      </c>
      <c r="I62" s="129">
        <f>+H67</f>
        <v/>
      </c>
      <c r="J62" s="129">
        <f>+I67</f>
        <v/>
      </c>
      <c r="K62" s="129">
        <f>+J67</f>
        <v/>
      </c>
      <c r="L62" s="129">
        <f>+K67</f>
        <v/>
      </c>
      <c r="M62" s="129">
        <f>+L67</f>
        <v/>
      </c>
      <c r="N62" s="129">
        <f>+M67</f>
        <v/>
      </c>
      <c r="O62" s="129">
        <f>+N67</f>
        <v/>
      </c>
      <c r="P62" s="129">
        <f>+O67</f>
        <v/>
      </c>
      <c r="Q62" s="129">
        <f>+P67</f>
        <v/>
      </c>
      <c r="R62" s="129">
        <f>+Q67</f>
        <v/>
      </c>
      <c r="S62" s="129">
        <f>+R67</f>
        <v/>
      </c>
    </row>
    <row r="63">
      <c r="B63" s="129" t="inlineStr">
        <is>
          <t xml:space="preserve">Addition </t>
        </is>
      </c>
      <c r="H63" s="171" t="n">
        <v>4.279</v>
      </c>
      <c r="I63" s="171" t="n">
        <v>14.309</v>
      </c>
      <c r="J63" s="129">
        <f>+J70*J10</f>
        <v/>
      </c>
      <c r="K63" s="129">
        <f>+K70*K10</f>
        <v/>
      </c>
      <c r="L63" s="129">
        <f>+L70*L10</f>
        <v/>
      </c>
      <c r="M63" s="129">
        <f>+M70*M10</f>
        <v/>
      </c>
      <c r="N63" s="129">
        <f>+N70*N10</f>
        <v/>
      </c>
      <c r="O63" s="129">
        <f>+O70*O10</f>
        <v/>
      </c>
      <c r="P63" s="129">
        <f>+P70*P10</f>
        <v/>
      </c>
      <c r="Q63" s="129">
        <f>+Q70*Q10</f>
        <v/>
      </c>
      <c r="R63" s="129">
        <f>+R70*R10</f>
        <v/>
      </c>
      <c r="S63" s="129">
        <f>+S70*S10</f>
        <v/>
      </c>
    </row>
    <row r="64">
      <c r="B64" s="129" t="inlineStr">
        <is>
          <t>Amortization</t>
        </is>
      </c>
      <c r="H64" s="171" t="n">
        <v>-10.542</v>
      </c>
      <c r="I64" s="171" t="n">
        <v>-10.601</v>
      </c>
      <c r="J64" s="129">
        <f>+J63*J71*-1</f>
        <v/>
      </c>
      <c r="K64" s="129">
        <f>+K63*K71*-1</f>
        <v/>
      </c>
      <c r="L64" s="129">
        <f>+L63*L71*-1</f>
        <v/>
      </c>
      <c r="M64" s="129">
        <f>+M63*M71*-1</f>
        <v/>
      </c>
      <c r="N64" s="129">
        <f>+N63*N71*-1</f>
        <v/>
      </c>
      <c r="O64" s="129">
        <f>+O63*O71*-1</f>
        <v/>
      </c>
      <c r="P64" s="129">
        <f>+P63*P71*-1</f>
        <v/>
      </c>
      <c r="Q64" s="129">
        <f>+Q63*Q71*-1</f>
        <v/>
      </c>
      <c r="R64" s="129">
        <f>+R63*R71*-1</f>
        <v/>
      </c>
      <c r="S64" s="129">
        <f>+S63*S71*-1</f>
        <v/>
      </c>
    </row>
    <row r="65">
      <c r="B65" s="129" t="inlineStr">
        <is>
          <t>Impairement</t>
        </is>
      </c>
      <c r="H65" s="171" t="n">
        <v>0</v>
      </c>
      <c r="I65" s="171" t="n">
        <v>0</v>
      </c>
      <c r="J65" s="181" t="n">
        <v>0</v>
      </c>
      <c r="K65" s="181" t="n">
        <v>0</v>
      </c>
      <c r="L65" s="181" t="n">
        <v>0</v>
      </c>
      <c r="M65" s="181" t="n">
        <v>0</v>
      </c>
      <c r="N65" s="181" t="n">
        <v>0</v>
      </c>
      <c r="O65" s="181" t="n">
        <v>0</v>
      </c>
      <c r="P65" s="181" t="n">
        <v>0</v>
      </c>
      <c r="Q65" s="181" t="n">
        <v>0</v>
      </c>
      <c r="R65" s="181" t="n">
        <v>0</v>
      </c>
      <c r="S65" s="181" t="n">
        <v>0</v>
      </c>
    </row>
    <row r="66">
      <c r="B66" s="129" t="inlineStr">
        <is>
          <t>FX</t>
        </is>
      </c>
      <c r="H66" s="171" t="n">
        <v>-32.673</v>
      </c>
      <c r="I66" s="171" t="n">
        <v>11.644</v>
      </c>
      <c r="J66" s="171" t="n">
        <v>0</v>
      </c>
      <c r="K66" s="171">
        <f>+J66</f>
        <v/>
      </c>
      <c r="L66" s="171">
        <f>+K66</f>
        <v/>
      </c>
      <c r="M66" s="171">
        <f>+L66</f>
        <v/>
      </c>
      <c r="N66" s="171">
        <f>+M66</f>
        <v/>
      </c>
      <c r="O66" s="171">
        <f>+N66</f>
        <v/>
      </c>
      <c r="P66" s="171">
        <f>+O66</f>
        <v/>
      </c>
      <c r="Q66" s="171">
        <f>+P66</f>
        <v/>
      </c>
      <c r="R66" s="171">
        <f>+Q66</f>
        <v/>
      </c>
      <c r="S66" s="171">
        <f>+R66</f>
        <v/>
      </c>
    </row>
    <row r="67">
      <c r="B67" s="172" t="inlineStr">
        <is>
          <t>EoP intangibles</t>
        </is>
      </c>
      <c r="C67" s="172" t="n"/>
      <c r="D67" s="172" t="n"/>
      <c r="E67" s="216">
        <f>+'BS &amp; CFS'!E17</f>
        <v/>
      </c>
      <c r="F67" s="216">
        <f>+'BS &amp; CFS'!F17</f>
        <v/>
      </c>
      <c r="G67" s="216">
        <f>+'BS &amp; CFS'!G17</f>
        <v/>
      </c>
      <c r="H67" s="216">
        <f>+'BS &amp; CFS'!H17</f>
        <v/>
      </c>
      <c r="I67" s="216">
        <f>+'BS &amp; CFS'!I17</f>
        <v/>
      </c>
      <c r="J67" s="220">
        <f>+SUM(J62:J66)</f>
        <v/>
      </c>
      <c r="K67" s="220">
        <f>+SUM(K62:K66)</f>
        <v/>
      </c>
      <c r="L67" s="220">
        <f>+SUM(L62:L66)</f>
        <v/>
      </c>
      <c r="M67" s="220">
        <f>+SUM(M62:M66)</f>
        <v/>
      </c>
      <c r="N67" s="220">
        <f>+SUM(N62:N66)</f>
        <v/>
      </c>
      <c r="O67" s="220">
        <f>+SUM(O62:O66)</f>
        <v/>
      </c>
      <c r="P67" s="220">
        <f>+SUM(P62:P66)</f>
        <v/>
      </c>
      <c r="Q67" s="220">
        <f>+SUM(Q62:Q66)</f>
        <v/>
      </c>
      <c r="R67" s="220">
        <f>+SUM(R62:R66)</f>
        <v/>
      </c>
      <c r="S67" s="220">
        <f>+SUM(S62:S66)</f>
        <v/>
      </c>
    </row>
    <row r="68">
      <c r="H68" s="204">
        <f>+H67=SUM(H62:H66)</f>
        <v/>
      </c>
      <c r="I68" s="204">
        <f>+I67=SUM(I62:I66)</f>
        <v/>
      </c>
    </row>
    <row r="69">
      <c r="H69" s="204" t="n"/>
      <c r="I69" s="204" t="n"/>
    </row>
    <row r="70">
      <c r="B70" s="129" t="inlineStr">
        <is>
          <t>Additions as a % of revenue</t>
        </is>
      </c>
      <c r="H70" s="218">
        <f>+H63/H10</f>
        <v/>
      </c>
      <c r="I70" s="218">
        <f>+I63/I10</f>
        <v/>
      </c>
      <c r="J70" s="185" t="n">
        <v>0.02</v>
      </c>
      <c r="K70" s="185" t="n">
        <v>0.02</v>
      </c>
      <c r="L70" s="185" t="n">
        <v>0.02</v>
      </c>
      <c r="M70" s="185" t="n">
        <v>0.02</v>
      </c>
      <c r="N70" s="185" t="n">
        <v>0.02</v>
      </c>
      <c r="O70" s="185" t="n">
        <v>0.02</v>
      </c>
      <c r="P70" s="185" t="n">
        <v>0.02</v>
      </c>
      <c r="Q70" s="185" t="n">
        <v>0.02</v>
      </c>
      <c r="R70" s="185" t="n">
        <v>0.02</v>
      </c>
      <c r="S70" s="185" t="n">
        <v>0.02</v>
      </c>
    </row>
    <row r="71">
      <c r="B71" s="129" t="inlineStr">
        <is>
          <t>Depreciation as a % of additions</t>
        </is>
      </c>
      <c r="H71" s="218">
        <f>+H64/H63</f>
        <v/>
      </c>
      <c r="I71" s="218">
        <f>+I64/I63</f>
        <v/>
      </c>
      <c r="J71" s="185" t="n">
        <v>1.5</v>
      </c>
      <c r="K71" s="185" t="n">
        <v>1.428571428571429</v>
      </c>
      <c r="L71" s="185" t="n">
        <v>1.357142857142857</v>
      </c>
      <c r="M71" s="185" t="n">
        <v>1.285714285714286</v>
      </c>
      <c r="N71" s="185" t="n">
        <v>1.214285714285714</v>
      </c>
      <c r="O71" s="185" t="n">
        <v>1.142857142857143</v>
      </c>
      <c r="P71" s="185" t="n">
        <v>1.071428571428571</v>
      </c>
      <c r="Q71" s="185" t="n">
        <v>1</v>
      </c>
      <c r="R71" s="185" t="n">
        <v>1</v>
      </c>
      <c r="S71" s="185" t="n">
        <v>1</v>
      </c>
    </row>
    <row r="73">
      <c r="A73" s="129" t="inlineStr">
        <is>
          <t>x</t>
        </is>
      </c>
      <c r="B73" s="128" t="inlineStr">
        <is>
          <t>Equity</t>
        </is>
      </c>
    </row>
    <row r="74">
      <c r="B74" s="129" t="inlineStr">
        <is>
          <t>BoP common equity</t>
        </is>
      </c>
      <c r="F74" s="129">
        <f>+E78</f>
        <v/>
      </c>
      <c r="G74" s="129">
        <f>+F78</f>
        <v/>
      </c>
      <c r="H74" s="129">
        <f>+G78</f>
        <v/>
      </c>
      <c r="I74" s="129">
        <f>+H78</f>
        <v/>
      </c>
      <c r="J74" s="129">
        <f>+I78</f>
        <v/>
      </c>
      <c r="K74" s="129">
        <f>+J78</f>
        <v/>
      </c>
      <c r="L74" s="129">
        <f>+K78</f>
        <v/>
      </c>
      <c r="M74" s="129">
        <f>+L78</f>
        <v/>
      </c>
      <c r="N74" s="129">
        <f>+M78</f>
        <v/>
      </c>
      <c r="O74" s="129">
        <f>+N78</f>
        <v/>
      </c>
      <c r="P74" s="129">
        <f>+O78</f>
        <v/>
      </c>
      <c r="Q74" s="129">
        <f>+P78</f>
        <v/>
      </c>
      <c r="R74" s="129">
        <f>+Q78</f>
        <v/>
      </c>
      <c r="S74" s="129">
        <f>+R78</f>
        <v/>
      </c>
    </row>
    <row r="75">
      <c r="B75" s="129" t="inlineStr">
        <is>
          <t>Net income</t>
        </is>
      </c>
      <c r="F75" s="180">
        <f>+'P&amp;L'!F36</f>
        <v/>
      </c>
      <c r="G75" s="180">
        <f>+'P&amp;L'!G36</f>
        <v/>
      </c>
      <c r="H75" s="180">
        <f>+'P&amp;L'!H36</f>
        <v/>
      </c>
      <c r="I75" s="180">
        <f>+'P&amp;L'!I36</f>
        <v/>
      </c>
      <c r="J75" s="180">
        <f>+'P&amp;L'!J36</f>
        <v/>
      </c>
      <c r="K75" s="180">
        <f>+'P&amp;L'!K36</f>
        <v/>
      </c>
      <c r="L75" s="180">
        <f>+'P&amp;L'!L36</f>
        <v/>
      </c>
      <c r="M75" s="180">
        <f>+'P&amp;L'!M36</f>
        <v/>
      </c>
      <c r="N75" s="180">
        <f>+'P&amp;L'!N36</f>
        <v/>
      </c>
      <c r="O75" s="180">
        <f>+'P&amp;L'!O36</f>
        <v/>
      </c>
      <c r="P75" s="180">
        <f>+'P&amp;L'!P36</f>
        <v/>
      </c>
      <c r="Q75" s="180">
        <f>+'P&amp;L'!Q36</f>
        <v/>
      </c>
      <c r="R75" s="180">
        <f>+'P&amp;L'!R36</f>
        <v/>
      </c>
      <c r="S75" s="180">
        <f>+'P&amp;L'!S36</f>
        <v/>
      </c>
    </row>
    <row r="76">
      <c r="B76" s="129" t="inlineStr">
        <is>
          <t>Dividends</t>
        </is>
      </c>
      <c r="F76" s="180">
        <f>+'P&amp;L'!F44</f>
        <v/>
      </c>
      <c r="G76" s="180">
        <f>+'P&amp;L'!G44</f>
        <v/>
      </c>
      <c r="H76" s="180">
        <f>+'P&amp;L'!H44</f>
        <v/>
      </c>
      <c r="I76" s="180">
        <f>+'P&amp;L'!I44</f>
        <v/>
      </c>
      <c r="J76" s="181" t="n">
        <v>0</v>
      </c>
      <c r="K76" s="181" t="n">
        <v>0</v>
      </c>
      <c r="L76" s="181" t="n">
        <v>0</v>
      </c>
      <c r="M76" s="181" t="n">
        <v>0</v>
      </c>
      <c r="N76" s="181" t="n">
        <v>0</v>
      </c>
      <c r="O76" s="181" t="n">
        <v>0</v>
      </c>
      <c r="P76" s="181" t="n">
        <v>0</v>
      </c>
      <c r="Q76" s="181" t="n">
        <v>0</v>
      </c>
      <c r="R76" s="181" t="n">
        <v>0</v>
      </c>
      <c r="S76" s="181" t="n">
        <v>0</v>
      </c>
    </row>
    <row r="77">
      <c r="B77" s="129" t="inlineStr">
        <is>
          <t>Others</t>
        </is>
      </c>
      <c r="F77" s="129">
        <f>+F78-SUM(F74:F76)</f>
        <v/>
      </c>
      <c r="G77" s="129">
        <f>+G78-SUM(G74:G76)</f>
        <v/>
      </c>
      <c r="H77" s="129">
        <f>+H78-SUM(H74:H76)</f>
        <v/>
      </c>
      <c r="I77" s="129">
        <f>+I78-SUM(I74:I76)</f>
        <v/>
      </c>
      <c r="J77" s="171" t="n">
        <v>0</v>
      </c>
      <c r="K77" s="171">
        <f>+J77</f>
        <v/>
      </c>
      <c r="L77" s="171">
        <f>+K77</f>
        <v/>
      </c>
      <c r="M77" s="171">
        <f>+L77</f>
        <v/>
      </c>
      <c r="N77" s="171">
        <f>+M77</f>
        <v/>
      </c>
      <c r="O77" s="171">
        <f>+N77</f>
        <v/>
      </c>
      <c r="P77" s="171">
        <f>+O77</f>
        <v/>
      </c>
      <c r="Q77" s="171">
        <f>+P77</f>
        <v/>
      </c>
      <c r="R77" s="171">
        <f>+Q77</f>
        <v/>
      </c>
      <c r="S77" s="171">
        <f>+R77</f>
        <v/>
      </c>
    </row>
    <row r="78">
      <c r="B78" s="172" t="inlineStr">
        <is>
          <t>EoP common equity</t>
        </is>
      </c>
      <c r="C78" s="172" t="n"/>
      <c r="D78" s="172" t="n"/>
      <c r="E78" s="216">
        <f>+'BS &amp; CFS'!E35</f>
        <v/>
      </c>
      <c r="F78" s="216">
        <f>+'BS &amp; CFS'!F35</f>
        <v/>
      </c>
      <c r="G78" s="216">
        <f>+'BS &amp; CFS'!G35</f>
        <v/>
      </c>
      <c r="H78" s="216">
        <f>+'BS &amp; CFS'!H35</f>
        <v/>
      </c>
      <c r="I78" s="216">
        <f>+'BS &amp; CFS'!I35</f>
        <v/>
      </c>
      <c r="J78" s="220">
        <f>SUM(J74:J77)</f>
        <v/>
      </c>
      <c r="K78" s="220">
        <f>SUM(K74:K77)</f>
        <v/>
      </c>
      <c r="L78" s="220">
        <f>SUM(L74:L77)</f>
        <v/>
      </c>
      <c r="M78" s="220">
        <f>SUM(M74:M77)</f>
        <v/>
      </c>
      <c r="N78" s="220">
        <f>SUM(N74:N77)</f>
        <v/>
      </c>
      <c r="O78" s="220">
        <f>SUM(O74:O77)</f>
        <v/>
      </c>
      <c r="P78" s="220">
        <f>SUM(P74:P77)</f>
        <v/>
      </c>
      <c r="Q78" s="220">
        <f>SUM(Q74:Q77)</f>
        <v/>
      </c>
      <c r="R78" s="220">
        <f>SUM(R74:R77)</f>
        <v/>
      </c>
      <c r="S78" s="220">
        <f>SUM(S74:S77)</f>
        <v/>
      </c>
    </row>
    <row r="80">
      <c r="B80" s="129" t="inlineStr">
        <is>
          <t>BoP NCI</t>
        </is>
      </c>
      <c r="F80" s="129">
        <f>+E84</f>
        <v/>
      </c>
      <c r="G80" s="129">
        <f>+F84</f>
        <v/>
      </c>
      <c r="H80" s="129">
        <f>+G84</f>
        <v/>
      </c>
      <c r="I80" s="129">
        <f>+H84</f>
        <v/>
      </c>
      <c r="J80" s="129">
        <f>+I84</f>
        <v/>
      </c>
      <c r="K80" s="129">
        <f>+J84</f>
        <v/>
      </c>
      <c r="L80" s="129">
        <f>+K84</f>
        <v/>
      </c>
      <c r="M80" s="129">
        <f>+L84</f>
        <v/>
      </c>
      <c r="N80" s="129">
        <f>+M84</f>
        <v/>
      </c>
      <c r="O80" s="129">
        <f>+N84</f>
        <v/>
      </c>
      <c r="P80" s="129">
        <f>+O84</f>
        <v/>
      </c>
      <c r="Q80" s="129">
        <f>+P84</f>
        <v/>
      </c>
      <c r="R80" s="129">
        <f>+Q84</f>
        <v/>
      </c>
      <c r="S80" s="129">
        <f>+R84</f>
        <v/>
      </c>
    </row>
    <row r="81">
      <c r="B81" s="129" t="inlineStr">
        <is>
          <t>Net income to NCI</t>
        </is>
      </c>
      <c r="F81" s="180">
        <f>+'P&amp;L'!F35</f>
        <v/>
      </c>
      <c r="G81" s="180">
        <f>+'P&amp;L'!G35</f>
        <v/>
      </c>
      <c r="H81" s="180">
        <f>+'P&amp;L'!H35</f>
        <v/>
      </c>
      <c r="I81" s="180">
        <f>+'P&amp;L'!I35</f>
        <v/>
      </c>
      <c r="J81" s="180">
        <f>+'P&amp;L'!J35</f>
        <v/>
      </c>
      <c r="K81" s="180">
        <f>+'P&amp;L'!K35</f>
        <v/>
      </c>
      <c r="L81" s="180">
        <f>+'P&amp;L'!L35</f>
        <v/>
      </c>
      <c r="M81" s="180">
        <f>+'P&amp;L'!M35</f>
        <v/>
      </c>
      <c r="N81" s="180">
        <f>+'P&amp;L'!N35</f>
        <v/>
      </c>
      <c r="O81" s="180">
        <f>+'P&amp;L'!O35</f>
        <v/>
      </c>
      <c r="P81" s="180">
        <f>+'P&amp;L'!P35</f>
        <v/>
      </c>
      <c r="Q81" s="180">
        <f>+'P&amp;L'!Q35</f>
        <v/>
      </c>
      <c r="R81" s="180">
        <f>+'P&amp;L'!R35</f>
        <v/>
      </c>
      <c r="S81" s="180">
        <f>+'P&amp;L'!S35</f>
        <v/>
      </c>
    </row>
    <row r="82">
      <c r="B82" s="129" t="inlineStr">
        <is>
          <t>Distributions</t>
        </is>
      </c>
      <c r="F82" s="180">
        <f>+'P&amp;L'!F45</f>
        <v/>
      </c>
      <c r="G82" s="180">
        <f>+'P&amp;L'!G45</f>
        <v/>
      </c>
      <c r="H82" s="180">
        <f>+'P&amp;L'!H45</f>
        <v/>
      </c>
      <c r="I82" s="180">
        <f>+'P&amp;L'!I45</f>
        <v/>
      </c>
      <c r="J82" s="129">
        <f>+(1+J101)*I82</f>
        <v/>
      </c>
      <c r="K82" s="129">
        <f>+(1+K101)*J82</f>
        <v/>
      </c>
      <c r="L82" s="129">
        <f>+(1+L101)*K82</f>
        <v/>
      </c>
      <c r="M82" s="129">
        <f>+(1+M101)*L82</f>
        <v/>
      </c>
      <c r="N82" s="129">
        <f>+(1+N101)*M82</f>
        <v/>
      </c>
      <c r="O82" s="129">
        <f>+(1+O101)*N82</f>
        <v/>
      </c>
      <c r="P82" s="129">
        <f>+(1+P101)*O82</f>
        <v/>
      </c>
      <c r="Q82" s="129">
        <f>+(1+Q101)*P82</f>
        <v/>
      </c>
      <c r="R82" s="129">
        <f>+(1+R101)*Q82</f>
        <v/>
      </c>
      <c r="S82" s="129">
        <f>+(1+S101)*R82</f>
        <v/>
      </c>
    </row>
    <row r="83">
      <c r="B83" s="129" t="inlineStr">
        <is>
          <t>Others</t>
        </is>
      </c>
      <c r="F83" s="129">
        <f>+F84-SUM(F80:F82)</f>
        <v/>
      </c>
      <c r="G83" s="129">
        <f>+G84-SUM(G80:G82)</f>
        <v/>
      </c>
      <c r="H83" s="129">
        <f>+H84-SUM(H80:H82)</f>
        <v/>
      </c>
      <c r="I83" s="129">
        <f>+I84-SUM(I80:I82)</f>
        <v/>
      </c>
      <c r="J83" s="171" t="n">
        <v>0</v>
      </c>
      <c r="K83" s="171">
        <f>+J83</f>
        <v/>
      </c>
      <c r="L83" s="171">
        <f>+K83</f>
        <v/>
      </c>
      <c r="M83" s="171">
        <f>+L83</f>
        <v/>
      </c>
      <c r="N83" s="171">
        <f>+M83</f>
        <v/>
      </c>
      <c r="O83" s="171">
        <f>+N83</f>
        <v/>
      </c>
      <c r="P83" s="171">
        <f>+O83</f>
        <v/>
      </c>
      <c r="Q83" s="171">
        <f>+P83</f>
        <v/>
      </c>
      <c r="R83" s="171">
        <f>+Q83</f>
        <v/>
      </c>
      <c r="S83" s="171">
        <f>+R83</f>
        <v/>
      </c>
    </row>
    <row r="84">
      <c r="B84" s="172" t="inlineStr">
        <is>
          <t>EoP NCI</t>
        </is>
      </c>
      <c r="C84" s="172" t="n"/>
      <c r="D84" s="172" t="n"/>
      <c r="E84" s="216">
        <f>+'BS &amp; CFS'!E36</f>
        <v/>
      </c>
      <c r="F84" s="216">
        <f>+'BS &amp; CFS'!F36</f>
        <v/>
      </c>
      <c r="G84" s="216">
        <f>+'BS &amp; CFS'!G36</f>
        <v/>
      </c>
      <c r="H84" s="216">
        <f>+'BS &amp; CFS'!H36</f>
        <v/>
      </c>
      <c r="I84" s="216">
        <f>+'BS &amp; CFS'!I36</f>
        <v/>
      </c>
      <c r="J84" s="172">
        <f>SUM(J80:J83)</f>
        <v/>
      </c>
      <c r="K84" s="172">
        <f>SUM(K80:K83)</f>
        <v/>
      </c>
      <c r="L84" s="172">
        <f>SUM(L80:L83)</f>
        <v/>
      </c>
      <c r="M84" s="172">
        <f>SUM(M80:M83)</f>
        <v/>
      </c>
      <c r="N84" s="172">
        <f>SUM(N80:N83)</f>
        <v/>
      </c>
      <c r="O84" s="172">
        <f>SUM(O80:O83)</f>
        <v/>
      </c>
      <c r="P84" s="172">
        <f>SUM(P80:P83)</f>
        <v/>
      </c>
      <c r="Q84" s="172">
        <f>SUM(Q80:Q83)</f>
        <v/>
      </c>
      <c r="R84" s="172">
        <f>SUM(R80:R83)</f>
        <v/>
      </c>
      <c r="S84" s="172">
        <f>SUM(S80:S83)</f>
        <v/>
      </c>
    </row>
    <row r="85">
      <c r="E85" s="180" t="n"/>
      <c r="F85" s="180" t="n"/>
      <c r="G85" s="180" t="n"/>
      <c r="H85" s="180" t="n"/>
      <c r="I85" s="180" t="n"/>
    </row>
    <row r="86" customFormat="1" s="132">
      <c r="B86" s="132" t="inlineStr">
        <is>
          <t>Peanuts ownership</t>
        </is>
      </c>
      <c r="E86" s="174" t="n"/>
      <c r="F86" s="188">
        <f>+SUM(F87:F89)</f>
        <v/>
      </c>
      <c r="G86" s="188">
        <f>+SUM(G87:G89)</f>
        <v/>
      </c>
      <c r="H86" s="188">
        <f>+SUM(H87:H89)</f>
        <v/>
      </c>
      <c r="I86" s="188">
        <f>+SUM(I87:I89)</f>
        <v/>
      </c>
      <c r="J86" s="188">
        <f>+SUM(J87:J89)</f>
        <v/>
      </c>
      <c r="K86" s="188">
        <f>+SUM(K87:K89)</f>
        <v/>
      </c>
      <c r="L86" s="188">
        <f>+SUM(L87:L89)</f>
        <v/>
      </c>
      <c r="M86" s="188">
        <f>+SUM(M87:M89)</f>
        <v/>
      </c>
      <c r="N86" s="188">
        <f>+SUM(N87:N89)</f>
        <v/>
      </c>
      <c r="O86" s="188">
        <f>+SUM(O87:O89)</f>
        <v/>
      </c>
      <c r="P86" s="188">
        <f>+SUM(P87:P89)</f>
        <v/>
      </c>
      <c r="Q86" s="188">
        <f>+SUM(Q87:Q89)</f>
        <v/>
      </c>
      <c r="R86" s="188">
        <f>+SUM(R87:R89)</f>
        <v/>
      </c>
      <c r="S86" s="188">
        <f>+SUM(S87:S89)</f>
        <v/>
      </c>
    </row>
    <row r="87">
      <c r="B87" s="165" t="inlineStr">
        <is>
          <t>WILD</t>
        </is>
      </c>
      <c r="E87" s="221" t="n"/>
      <c r="F87" s="221">
        <f>0.51*0.8</f>
        <v/>
      </c>
      <c r="G87" s="221">
        <f>0.51*0.8</f>
        <v/>
      </c>
      <c r="H87" s="221">
        <f>0.51*0.8</f>
        <v/>
      </c>
      <c r="I87" s="221">
        <f>0.51*0.8</f>
        <v/>
      </c>
      <c r="J87" s="221">
        <f>0.51*0.8</f>
        <v/>
      </c>
      <c r="K87" s="221">
        <f>0.51*0.8</f>
        <v/>
      </c>
      <c r="L87" s="221">
        <f>0.51*0.8</f>
        <v/>
      </c>
      <c r="M87" s="221">
        <f>0.51*0.8</f>
        <v/>
      </c>
      <c r="N87" s="221">
        <f>0.51*0.8</f>
        <v/>
      </c>
      <c r="O87" s="221">
        <f>0.51*0.8</f>
        <v/>
      </c>
      <c r="P87" s="221">
        <f>0.51*0.8</f>
        <v/>
      </c>
      <c r="Q87" s="221">
        <f>0.51*0.8</f>
        <v/>
      </c>
      <c r="R87" s="221">
        <f>0.51*0.8</f>
        <v/>
      </c>
      <c r="S87" s="221">
        <f>0.51*0.8</f>
        <v/>
      </c>
    </row>
    <row r="88">
      <c r="B88" s="165" t="inlineStr">
        <is>
          <t>Sony</t>
        </is>
      </c>
      <c r="E88" s="180" t="n"/>
      <c r="F88" s="221">
        <f>0.49*0.8</f>
        <v/>
      </c>
      <c r="G88" s="221">
        <f>0.49*0.8</f>
        <v/>
      </c>
      <c r="H88" s="221">
        <f>0.49*0.8</f>
        <v/>
      </c>
      <c r="I88" s="221">
        <f>0.49*0.8</f>
        <v/>
      </c>
      <c r="J88" s="221">
        <f>0.49*0.8</f>
        <v/>
      </c>
      <c r="K88" s="221">
        <f>0.49*0.8</f>
        <v/>
      </c>
      <c r="L88" s="221">
        <f>0.49*0.8</f>
        <v/>
      </c>
      <c r="M88" s="221">
        <f>0.49*0.8</f>
        <v/>
      </c>
      <c r="N88" s="221">
        <f>0.49*0.8</f>
        <v/>
      </c>
      <c r="O88" s="221">
        <f>0.49*0.8</f>
        <v/>
      </c>
      <c r="P88" s="221">
        <f>0.49*0.8</f>
        <v/>
      </c>
      <c r="Q88" s="221">
        <f>0.49*0.8</f>
        <v/>
      </c>
      <c r="R88" s="221">
        <f>0.49*0.8</f>
        <v/>
      </c>
      <c r="S88" s="221">
        <f>0.49*0.8</f>
        <v/>
      </c>
    </row>
    <row r="89">
      <c r="B89" s="165" t="inlineStr">
        <is>
          <t>Charles M Schulz</t>
        </is>
      </c>
      <c r="E89" s="180" t="n"/>
      <c r="F89" s="221" t="n">
        <v>0.2</v>
      </c>
      <c r="G89" s="221" t="n">
        <v>0.2</v>
      </c>
      <c r="H89" s="221" t="n">
        <v>0.2</v>
      </c>
      <c r="I89" s="221" t="n">
        <v>0.2</v>
      </c>
      <c r="J89" s="221" t="n">
        <v>0.2</v>
      </c>
      <c r="K89" s="221" t="n">
        <v>0.2</v>
      </c>
      <c r="L89" s="221" t="n">
        <v>0.2</v>
      </c>
      <c r="M89" s="221" t="n">
        <v>0.2</v>
      </c>
      <c r="N89" s="221" t="n">
        <v>0.2</v>
      </c>
      <c r="O89" s="221" t="n">
        <v>0.2</v>
      </c>
      <c r="P89" s="221" t="n">
        <v>0.2</v>
      </c>
      <c r="Q89" s="221" t="n">
        <v>0.2</v>
      </c>
      <c r="R89" s="221" t="n">
        <v>0.2</v>
      </c>
      <c r="S89" s="221" t="n">
        <v>0.2</v>
      </c>
    </row>
    <row r="90">
      <c r="B90" s="165" t="n"/>
      <c r="E90" s="180" t="n"/>
      <c r="F90" s="180" t="n"/>
      <c r="G90" s="180" t="n"/>
      <c r="H90" s="221" t="n"/>
      <c r="I90" s="221" t="n"/>
      <c r="J90" s="221" t="n"/>
      <c r="K90" s="221" t="n"/>
      <c r="L90" s="221" t="n"/>
      <c r="M90" s="221" t="n"/>
      <c r="N90" s="221" t="n"/>
      <c r="O90" s="221" t="n"/>
      <c r="P90" s="221" t="n"/>
      <c r="Q90" s="221" t="n"/>
      <c r="R90" s="221" t="n"/>
      <c r="S90" s="221" t="n"/>
    </row>
    <row r="91">
      <c r="B91" s="165" t="inlineStr">
        <is>
          <t>Peanuts revenue</t>
        </is>
      </c>
      <c r="E91" s="180" t="n"/>
      <c r="F91" s="171" t="n">
        <v>149.625</v>
      </c>
      <c r="G91" s="171" t="n">
        <v>151.705</v>
      </c>
      <c r="H91" s="171" t="n">
        <v>193.817</v>
      </c>
      <c r="I91" s="171" t="n">
        <v>176.458</v>
      </c>
      <c r="J91" s="129">
        <f>+(1+J95)*I91</f>
        <v/>
      </c>
      <c r="K91" s="129">
        <f>+(1+K95)*J91</f>
        <v/>
      </c>
      <c r="L91" s="129">
        <f>+(1+L95)*K91</f>
        <v/>
      </c>
      <c r="M91" s="129">
        <f>+(1+M95)*L91</f>
        <v/>
      </c>
      <c r="N91" s="129">
        <f>+(1+N95)*M91</f>
        <v/>
      </c>
      <c r="O91" s="129">
        <f>+(1+O95)*N91</f>
        <v/>
      </c>
      <c r="P91" s="129">
        <f>+(1+P95)*O91</f>
        <v/>
      </c>
      <c r="Q91" s="129">
        <f>+(1+Q95)*P91</f>
        <v/>
      </c>
      <c r="R91" s="129">
        <f>+(1+R95)*Q91</f>
        <v/>
      </c>
      <c r="S91" s="129">
        <f>+(1+S95)*R91</f>
        <v/>
      </c>
    </row>
    <row r="92">
      <c r="B92" s="165" t="inlineStr">
        <is>
          <t>Peanuts total expense</t>
        </is>
      </c>
      <c r="E92" s="180" t="n"/>
      <c r="F92" s="171" t="n">
        <v>-108.667</v>
      </c>
      <c r="G92" s="171" t="n">
        <v>-108.891</v>
      </c>
      <c r="H92" s="171" t="n">
        <v>-144.354</v>
      </c>
      <c r="I92" s="171" t="n">
        <v>-143.968</v>
      </c>
      <c r="J92" s="129">
        <f>+J96*J91*-1</f>
        <v/>
      </c>
      <c r="K92" s="129">
        <f>+K96*K91*-1</f>
        <v/>
      </c>
      <c r="L92" s="129">
        <f>+L96*L91*-1</f>
        <v/>
      </c>
      <c r="M92" s="129">
        <f>+M96*M91*-1</f>
        <v/>
      </c>
      <c r="N92" s="129">
        <f>+N96*N91*-1</f>
        <v/>
      </c>
      <c r="O92" s="129">
        <f>+O96*O91*-1</f>
        <v/>
      </c>
      <c r="P92" s="129">
        <f>+P96*P91*-1</f>
        <v/>
      </c>
      <c r="Q92" s="129">
        <f>+Q96*Q91*-1</f>
        <v/>
      </c>
      <c r="R92" s="129">
        <f>+R96*R91*-1</f>
        <v/>
      </c>
      <c r="S92" s="129">
        <f>+S96*S91*-1</f>
        <v/>
      </c>
    </row>
    <row r="93" customFormat="1" s="132">
      <c r="B93" s="222" t="inlineStr">
        <is>
          <t>Peanuts net income</t>
        </is>
      </c>
      <c r="C93" s="167" t="n"/>
      <c r="D93" s="167" t="n"/>
      <c r="E93" s="223" t="n"/>
      <c r="F93" s="167">
        <f>SUM(F91:F92)</f>
        <v/>
      </c>
      <c r="G93" s="167">
        <f>SUM(G91:G92)</f>
        <v/>
      </c>
      <c r="H93" s="167">
        <f>SUM(H91:H92)</f>
        <v/>
      </c>
      <c r="I93" s="167">
        <f>SUM(I91:I92)</f>
        <v/>
      </c>
      <c r="J93" s="167">
        <f>SUM(J91:J92)</f>
        <v/>
      </c>
      <c r="K93" s="167">
        <f>SUM(K91:K92)</f>
        <v/>
      </c>
      <c r="L93" s="167">
        <f>SUM(L91:L92)</f>
        <v/>
      </c>
      <c r="M93" s="167">
        <f>SUM(M91:M92)</f>
        <v/>
      </c>
      <c r="N93" s="167">
        <f>SUM(N91:N92)</f>
        <v/>
      </c>
      <c r="O93" s="167">
        <f>SUM(O91:O92)</f>
        <v/>
      </c>
      <c r="P93" s="167">
        <f>SUM(P91:P92)</f>
        <v/>
      </c>
      <c r="Q93" s="167">
        <f>SUM(Q91:Q92)</f>
        <v/>
      </c>
      <c r="R93" s="167">
        <f>SUM(R91:R92)</f>
        <v/>
      </c>
      <c r="S93" s="167">
        <f>SUM(S91:S92)</f>
        <v/>
      </c>
    </row>
    <row r="94" customFormat="1" s="132">
      <c r="B94" s="224" t="n"/>
      <c r="E94" s="174" t="n"/>
      <c r="J94" s="225" t="n"/>
      <c r="K94" s="225" t="n"/>
      <c r="L94" s="225" t="n"/>
      <c r="M94" s="225" t="n"/>
      <c r="N94" s="225" t="n"/>
      <c r="O94" s="225" t="n"/>
      <c r="P94" s="225" t="n"/>
      <c r="Q94" s="225" t="n"/>
      <c r="R94" s="225" t="n"/>
      <c r="S94" s="225" t="n"/>
    </row>
    <row r="95">
      <c r="B95" s="184" t="inlineStr">
        <is>
          <t xml:space="preserve">Revenue growth </t>
        </is>
      </c>
      <c r="E95" s="180" t="n"/>
      <c r="G95" s="162">
        <f>+G91/F91-1</f>
        <v/>
      </c>
      <c r="H95" s="162">
        <f>+H91/G91-1</f>
        <v/>
      </c>
      <c r="I95" s="162">
        <f>+I91/H91-1</f>
        <v/>
      </c>
      <c r="J95" s="185" t="n">
        <v>0.03</v>
      </c>
      <c r="K95" s="185" t="n">
        <v>0.03</v>
      </c>
      <c r="L95" s="185" t="n">
        <v>0.03</v>
      </c>
      <c r="M95" s="185" t="n">
        <v>0.03</v>
      </c>
      <c r="N95" s="185" t="n">
        <v>0.03</v>
      </c>
      <c r="O95" s="185" t="n">
        <v>0.03</v>
      </c>
      <c r="P95" s="185" t="n">
        <v>0.03</v>
      </c>
      <c r="Q95" s="185" t="n">
        <v>0.03</v>
      </c>
      <c r="R95" s="185" t="n">
        <v>0.03</v>
      </c>
      <c r="S95" s="185" t="n">
        <v>0.03</v>
      </c>
    </row>
    <row r="96">
      <c r="B96" s="184" t="inlineStr">
        <is>
          <t>Expense % of revenue</t>
        </is>
      </c>
      <c r="E96" s="180" t="n"/>
      <c r="F96" s="180" t="n"/>
      <c r="G96" s="218">
        <f>+G92/G91*-1</f>
        <v/>
      </c>
      <c r="H96" s="218">
        <f>+H92/H91*-1</f>
        <v/>
      </c>
      <c r="I96" s="218">
        <f>+I92/I91*-1</f>
        <v/>
      </c>
      <c r="J96" s="185" t="n">
        <v>0.75</v>
      </c>
      <c r="K96" s="185" t="n">
        <v>0.75</v>
      </c>
      <c r="L96" s="185" t="n">
        <v>0.75</v>
      </c>
      <c r="M96" s="185" t="n">
        <v>0.75</v>
      </c>
      <c r="N96" s="185" t="n">
        <v>0.75</v>
      </c>
      <c r="O96" s="185" t="n">
        <v>0.75</v>
      </c>
      <c r="P96" s="185" t="n">
        <v>0.75</v>
      </c>
      <c r="Q96" s="185" t="n">
        <v>0.75</v>
      </c>
      <c r="R96" s="185" t="n">
        <v>0.75</v>
      </c>
      <c r="S96" s="185" t="n">
        <v>0.75</v>
      </c>
    </row>
    <row r="97">
      <c r="B97" s="184" t="n"/>
      <c r="E97" s="180" t="n"/>
      <c r="F97" s="180" t="n"/>
      <c r="G97" s="218" t="n"/>
      <c r="H97" s="218" t="n"/>
      <c r="I97" s="218" t="n"/>
      <c r="J97" s="215" t="n"/>
      <c r="K97" s="215" t="n"/>
      <c r="L97" s="215" t="n"/>
      <c r="M97" s="215" t="n"/>
      <c r="N97" s="215" t="n"/>
      <c r="O97" s="215" t="n"/>
      <c r="P97" s="215" t="n"/>
      <c r="Q97" s="215" t="n"/>
      <c r="R97" s="215" t="n"/>
      <c r="S97" s="215" t="n"/>
    </row>
    <row r="98">
      <c r="B98" s="184" t="inlineStr">
        <is>
          <t>NI to NCI</t>
        </is>
      </c>
      <c r="E98" s="180" t="n"/>
      <c r="F98" s="180">
        <f>+'P&amp;L'!E35</f>
        <v/>
      </c>
      <c r="G98" s="180">
        <f>+'P&amp;L'!F35</f>
        <v/>
      </c>
      <c r="H98" s="180">
        <f>+'P&amp;L'!G35</f>
        <v/>
      </c>
      <c r="I98" s="180">
        <f>+'P&amp;L'!H35</f>
        <v/>
      </c>
      <c r="J98" s="196">
        <f>+J99*J93</f>
        <v/>
      </c>
      <c r="K98" s="196">
        <f>+K99*K93</f>
        <v/>
      </c>
      <c r="L98" s="196">
        <f>+L99*L93</f>
        <v/>
      </c>
      <c r="M98" s="196">
        <f>+M99*M93</f>
        <v/>
      </c>
      <c r="N98" s="196">
        <f>+N99*N93</f>
        <v/>
      </c>
      <c r="O98" s="196">
        <f>+O99*O93</f>
        <v/>
      </c>
      <c r="P98" s="196">
        <f>+P99*P93</f>
        <v/>
      </c>
      <c r="Q98" s="196">
        <f>+Q99*Q93</f>
        <v/>
      </c>
      <c r="R98" s="196">
        <f>+R99*R93</f>
        <v/>
      </c>
      <c r="S98" s="196">
        <f>+S99*S93</f>
        <v/>
      </c>
    </row>
    <row r="99">
      <c r="B99" s="184" t="inlineStr">
        <is>
          <t>% of total</t>
        </is>
      </c>
      <c r="E99" s="180" t="n"/>
      <c r="F99" s="218">
        <f>+F98/F93</f>
        <v/>
      </c>
      <c r="G99" s="218">
        <f>+G98/G93</f>
        <v/>
      </c>
      <c r="H99" s="218">
        <f>+H98/H93</f>
        <v/>
      </c>
      <c r="I99" s="218">
        <f>+I98/I93</f>
        <v/>
      </c>
      <c r="J99" s="185">
        <f>+J88+J89</f>
        <v/>
      </c>
      <c r="K99" s="185">
        <f>+K88+K89</f>
        <v/>
      </c>
      <c r="L99" s="185">
        <f>+L88+L89</f>
        <v/>
      </c>
      <c r="M99" s="185">
        <f>+M88+M89</f>
        <v/>
      </c>
      <c r="N99" s="185">
        <f>+N88+N89</f>
        <v/>
      </c>
      <c r="O99" s="185">
        <f>+O88+O89</f>
        <v/>
      </c>
      <c r="P99" s="185">
        <f>+P88+P89</f>
        <v/>
      </c>
      <c r="Q99" s="185">
        <f>+Q88+Q89</f>
        <v/>
      </c>
      <c r="R99" s="185">
        <f>+R88+R89</f>
        <v/>
      </c>
      <c r="S99" s="185">
        <f>+S88+S89</f>
        <v/>
      </c>
    </row>
    <row r="100">
      <c r="B100" s="184" t="n"/>
      <c r="E100" s="180" t="n"/>
      <c r="F100" s="218" t="n"/>
      <c r="G100" s="218" t="n"/>
      <c r="H100" s="218" t="n"/>
      <c r="I100" s="218" t="n"/>
      <c r="J100" s="215" t="n"/>
      <c r="K100" s="215" t="n"/>
      <c r="L100" s="215" t="n"/>
      <c r="M100" s="215" t="n"/>
      <c r="N100" s="215" t="n"/>
      <c r="O100" s="215" t="n"/>
      <c r="P100" s="215" t="n"/>
      <c r="Q100" s="215" t="n"/>
      <c r="R100" s="215" t="n"/>
      <c r="S100" s="215" t="n"/>
    </row>
    <row r="101">
      <c r="B101" s="184" t="inlineStr">
        <is>
          <t>Distributions to NCI growth</t>
        </is>
      </c>
      <c r="E101" s="180" t="n"/>
      <c r="F101" s="218" t="n"/>
      <c r="G101" s="218">
        <f>+G82/F82-1</f>
        <v/>
      </c>
      <c r="H101" s="218">
        <f>+H82/G82-1</f>
        <v/>
      </c>
      <c r="I101" s="218">
        <f>+I82/H82-1</f>
        <v/>
      </c>
      <c r="J101" s="185" t="n">
        <v>0.02</v>
      </c>
      <c r="K101" s="185" t="n">
        <v>0.02</v>
      </c>
      <c r="L101" s="185" t="n">
        <v>0.02</v>
      </c>
      <c r="M101" s="185" t="n">
        <v>0.02</v>
      </c>
      <c r="N101" s="185" t="n">
        <v>0.02</v>
      </c>
      <c r="O101" s="185" t="n">
        <v>0.02</v>
      </c>
      <c r="P101" s="185" t="n">
        <v>0.02</v>
      </c>
      <c r="Q101" s="185" t="n">
        <v>0.02</v>
      </c>
      <c r="R101" s="185" t="n">
        <v>0.02</v>
      </c>
      <c r="S101" s="185" t="n">
        <v>0.02</v>
      </c>
    </row>
    <row r="103">
      <c r="A103" s="129" t="inlineStr">
        <is>
          <t>x</t>
        </is>
      </c>
      <c r="B103" s="128" t="inlineStr">
        <is>
          <t>P&amp;L</t>
        </is>
      </c>
    </row>
    <row r="104">
      <c r="B104" s="129" t="inlineStr">
        <is>
          <t>SG&amp;A</t>
        </is>
      </c>
      <c r="E104" s="180">
        <f>+'P&amp;L'!E20</f>
        <v/>
      </c>
      <c r="F104" s="180">
        <f>+'P&amp;L'!F20</f>
        <v/>
      </c>
      <c r="G104" s="180">
        <f>+'P&amp;L'!G20</f>
        <v/>
      </c>
      <c r="H104" s="180">
        <f>+'P&amp;L'!H20</f>
        <v/>
      </c>
      <c r="I104" s="180">
        <f>+'P&amp;L'!I20</f>
        <v/>
      </c>
      <c r="J104" s="129">
        <f>+J105*J10*-1</f>
        <v/>
      </c>
      <c r="K104" s="129">
        <f>+K105*K10*-1</f>
        <v/>
      </c>
      <c r="L104" s="129">
        <f>+L105*L10*-1</f>
        <v/>
      </c>
      <c r="M104" s="129">
        <f>+M105*M10*-1</f>
        <v/>
      </c>
      <c r="N104" s="129">
        <f>+N105*N10*-1</f>
        <v/>
      </c>
      <c r="O104" s="129">
        <f>+O105*O10*-1</f>
        <v/>
      </c>
      <c r="P104" s="129">
        <f>+P105*P10*-1</f>
        <v/>
      </c>
      <c r="Q104" s="129">
        <f>+Q105*Q10*-1</f>
        <v/>
      </c>
      <c r="R104" s="129">
        <f>+R105*R10*-1</f>
        <v/>
      </c>
      <c r="S104" s="129">
        <f>+S105*S10*-1</f>
        <v/>
      </c>
    </row>
    <row r="105">
      <c r="B105" s="129" t="inlineStr">
        <is>
          <t>% of revenue</t>
        </is>
      </c>
      <c r="E105" s="162">
        <f>+E104/E10*-1</f>
        <v/>
      </c>
      <c r="F105" s="162">
        <f>+F104/F10*-1</f>
        <v/>
      </c>
      <c r="G105" s="162">
        <f>+G104/G10*-1</f>
        <v/>
      </c>
      <c r="H105" s="162">
        <f>+H104/H10*-1</f>
        <v/>
      </c>
      <c r="I105" s="162">
        <f>+I104/I10*-1</f>
        <v/>
      </c>
      <c r="J105" s="185">
        <f>+AVERAGE(E105:I105)</f>
        <v/>
      </c>
      <c r="K105" s="185">
        <f>+J105</f>
        <v/>
      </c>
      <c r="L105" s="185">
        <f>+K105</f>
        <v/>
      </c>
      <c r="M105" s="185">
        <f>+L105</f>
        <v/>
      </c>
      <c r="N105" s="185">
        <f>+M105</f>
        <v/>
      </c>
      <c r="O105" s="185">
        <f>+N105</f>
        <v/>
      </c>
      <c r="P105" s="185">
        <f>+O105</f>
        <v/>
      </c>
      <c r="Q105" s="185">
        <f>+P105</f>
        <v/>
      </c>
      <c r="R105" s="185">
        <f>+Q105</f>
        <v/>
      </c>
      <c r="S105" s="185">
        <f>+R105</f>
        <v/>
      </c>
    </row>
    <row r="107">
      <c r="B107" s="129" t="inlineStr">
        <is>
          <t>Current taxes</t>
        </is>
      </c>
      <c r="E107" s="180">
        <f>+'P&amp;L'!E30</f>
        <v/>
      </c>
      <c r="F107" s="180">
        <f>+'P&amp;L'!F30</f>
        <v/>
      </c>
      <c r="G107" s="180">
        <f>+'P&amp;L'!G30</f>
        <v/>
      </c>
      <c r="H107" s="180">
        <f>+'P&amp;L'!H30</f>
        <v/>
      </c>
      <c r="I107" s="180">
        <f>+'P&amp;L'!I30</f>
        <v/>
      </c>
      <c r="J107" s="129">
        <f>+(J109*J12-J108)*-1</f>
        <v/>
      </c>
      <c r="K107" s="129">
        <f>+(K109*K12-K108)*-1</f>
        <v/>
      </c>
      <c r="L107" s="129">
        <f>+(L109*L12-L108)*-1</f>
        <v/>
      </c>
      <c r="M107" s="129">
        <f>+(M109*M12-M108)*-1</f>
        <v/>
      </c>
      <c r="N107" s="129">
        <f>+(N109*N12-N108)*-1</f>
        <v/>
      </c>
      <c r="O107" s="129">
        <f>+(O109*O12-O108)*-1</f>
        <v/>
      </c>
      <c r="P107" s="129">
        <f>+(P109*P12-P108)*-1</f>
        <v/>
      </c>
      <c r="Q107" s="129">
        <f>+(Q109*Q12-Q108)*-1</f>
        <v/>
      </c>
      <c r="R107" s="129">
        <f>+(R109*R12-R108)*-1</f>
        <v/>
      </c>
      <c r="S107" s="129">
        <f>+(S109*S12-S108)*-1</f>
        <v/>
      </c>
    </row>
    <row r="108">
      <c r="B108" s="129" t="inlineStr">
        <is>
          <t>Deferred taxes</t>
        </is>
      </c>
      <c r="E108" s="180">
        <f>+'P&amp;L'!E31</f>
        <v/>
      </c>
      <c r="F108" s="180">
        <f>+'P&amp;L'!F31</f>
        <v/>
      </c>
      <c r="G108" s="180">
        <f>+'P&amp;L'!G31</f>
        <v/>
      </c>
      <c r="H108" s="180">
        <f>+'P&amp;L'!H31</f>
        <v/>
      </c>
      <c r="I108" s="180">
        <f>+'P&amp;L'!I31</f>
        <v/>
      </c>
      <c r="J108" s="181" t="n">
        <v>0</v>
      </c>
      <c r="K108" s="181" t="n">
        <v>0</v>
      </c>
      <c r="L108" s="181" t="n">
        <v>0</v>
      </c>
      <c r="M108" s="181" t="n">
        <v>0</v>
      </c>
      <c r="N108" s="181" t="n">
        <v>0</v>
      </c>
      <c r="O108" s="181" t="n">
        <v>0</v>
      </c>
      <c r="P108" s="181" t="n">
        <v>0</v>
      </c>
      <c r="Q108" s="181" t="n">
        <v>0</v>
      </c>
      <c r="R108" s="181" t="n">
        <v>0</v>
      </c>
      <c r="S108" s="181" t="n">
        <v>0</v>
      </c>
    </row>
    <row r="109">
      <c r="B109" s="129" t="inlineStr">
        <is>
          <t xml:space="preserve">ETR </t>
        </is>
      </c>
      <c r="E109" s="162">
        <f>+SUM(E107:E108)/E12*-1</f>
        <v/>
      </c>
      <c r="F109" s="162">
        <f>+SUM(F107:F108)/F12*-1</f>
        <v/>
      </c>
      <c r="G109" s="162">
        <f>+SUM(G107:G108)/G12*-1</f>
        <v/>
      </c>
      <c r="H109" s="162">
        <f>+SUM(H107:H108)/H12*-1</f>
        <v/>
      </c>
      <c r="I109" s="162">
        <f>+SUM(I107:I108)/I12*-1</f>
        <v/>
      </c>
      <c r="J109" s="185" t="n">
        <v>0.29</v>
      </c>
      <c r="K109" s="185" t="n">
        <v>0.29</v>
      </c>
      <c r="L109" s="185" t="n">
        <v>0.29</v>
      </c>
      <c r="M109" s="185" t="n">
        <v>0.29</v>
      </c>
      <c r="N109" s="185" t="n">
        <v>0.29</v>
      </c>
      <c r="O109" s="185" t="n">
        <v>0.29</v>
      </c>
      <c r="P109" s="185" t="n">
        <v>0.29</v>
      </c>
      <c r="Q109" s="185" t="n">
        <v>0.29</v>
      </c>
      <c r="R109" s="185" t="n">
        <v>0.29</v>
      </c>
      <c r="S109" s="185" t="n">
        <v>0.29</v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6" tint="0.7999816888943144"/>
    <outlinePr summaryBelow="1" summaryRight="1"/>
    <pageSetUpPr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baseColWidth="8" defaultColWidth="15.73046875" defaultRowHeight="14.25"/>
  <cols>
    <col width="1.73046875" customWidth="1" style="124" min="1" max="1"/>
    <col width="15.73046875" customWidth="1" style="124" min="2" max="2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4">
      <c r="E4" s="126" t="n">
        <v>2018</v>
      </c>
      <c r="F4" s="126">
        <f>+E4+1</f>
        <v/>
      </c>
      <c r="G4" s="126">
        <f>+F4+1</f>
        <v/>
      </c>
      <c r="H4" s="126">
        <f>+G4+1</f>
        <v/>
      </c>
      <c r="I4" s="126">
        <f>+H4+1</f>
        <v/>
      </c>
      <c r="J4" s="127">
        <f>+I4+1</f>
        <v/>
      </c>
      <c r="K4" s="127">
        <f>+J4+1</f>
        <v/>
      </c>
      <c r="L4" s="127">
        <f>+K4+1</f>
        <v/>
      </c>
      <c r="M4" s="127">
        <f>+L4+1</f>
        <v/>
      </c>
      <c r="N4" s="127">
        <f>+M4+1</f>
        <v/>
      </c>
      <c r="O4" s="127">
        <f>+N4+1</f>
        <v/>
      </c>
      <c r="P4" s="127">
        <f>+O4+1</f>
        <v/>
      </c>
      <c r="Q4" s="127">
        <f>+P4+1</f>
        <v/>
      </c>
      <c r="R4" s="127">
        <f>+Q4+1</f>
        <v/>
      </c>
      <c r="S4" s="127">
        <f>+R4+1</f>
        <v/>
      </c>
    </row>
    <row r="6">
      <c r="A6" s="129" t="inlineStr">
        <is>
          <t>x</t>
        </is>
      </c>
      <c r="B6" s="128" t="inlineStr">
        <is>
          <t>Current debt</t>
        </is>
      </c>
    </row>
    <row r="7">
      <c r="B7" s="129" t="inlineStr">
        <is>
          <t>Bank indebtedness</t>
        </is>
      </c>
      <c r="E7" s="180">
        <f>+'BS &amp; CFS'!E21</f>
        <v/>
      </c>
      <c r="F7" s="180">
        <f>+'BS &amp; CFS'!F21</f>
        <v/>
      </c>
      <c r="G7" s="180">
        <f>+'BS &amp; CFS'!G21</f>
        <v/>
      </c>
      <c r="H7" s="180">
        <f>+'BS &amp; CFS'!H21</f>
        <v/>
      </c>
      <c r="I7" s="180">
        <f>+'BS &amp; CFS'!I21</f>
        <v/>
      </c>
      <c r="J7" s="129">
        <f>+J40</f>
        <v/>
      </c>
      <c r="K7" s="129">
        <f>+K40</f>
        <v/>
      </c>
      <c r="L7" s="129">
        <f>+L40</f>
        <v/>
      </c>
      <c r="M7" s="129">
        <f>+M40</f>
        <v/>
      </c>
      <c r="N7" s="129">
        <f>+N40</f>
        <v/>
      </c>
      <c r="O7" s="129">
        <f>+O40</f>
        <v/>
      </c>
      <c r="P7" s="129">
        <f>+P40</f>
        <v/>
      </c>
      <c r="Q7" s="129">
        <f>+Q40</f>
        <v/>
      </c>
      <c r="R7" s="129">
        <f>+R40</f>
        <v/>
      </c>
      <c r="S7" s="129">
        <f>+S40</f>
        <v/>
      </c>
    </row>
    <row r="8">
      <c r="B8" s="129" t="inlineStr">
        <is>
          <t>Production Financing</t>
        </is>
      </c>
      <c r="E8" s="180">
        <f>+'BS &amp; CFS'!E24</f>
        <v/>
      </c>
      <c r="F8" s="180">
        <f>+'BS &amp; CFS'!F24</f>
        <v/>
      </c>
      <c r="G8" s="180">
        <f>+'BS &amp; CFS'!G24</f>
        <v/>
      </c>
      <c r="H8" s="180">
        <f>+'BS &amp; CFS'!H24</f>
        <v/>
      </c>
      <c r="I8" s="180">
        <f>+'BS &amp; CFS'!I24</f>
        <v/>
      </c>
      <c r="J8" s="129">
        <f>+J46</f>
        <v/>
      </c>
      <c r="K8" s="129">
        <f>+K46</f>
        <v/>
      </c>
      <c r="L8" s="129">
        <f>+L46</f>
        <v/>
      </c>
      <c r="M8" s="129">
        <f>+M46</f>
        <v/>
      </c>
      <c r="N8" s="129">
        <f>+N46</f>
        <v/>
      </c>
      <c r="O8" s="129">
        <f>+O46</f>
        <v/>
      </c>
      <c r="P8" s="129">
        <f>+P46</f>
        <v/>
      </c>
      <c r="Q8" s="129">
        <f>+Q46</f>
        <v/>
      </c>
      <c r="R8" s="129">
        <f>+R46</f>
        <v/>
      </c>
      <c r="S8" s="129">
        <f>+S46</f>
        <v/>
      </c>
    </row>
    <row r="9">
      <c r="B9" s="129" t="inlineStr">
        <is>
          <t>Current Portion of Lease Liabilities</t>
        </is>
      </c>
      <c r="E9" s="180">
        <f>+'BS &amp; CFS'!E25</f>
        <v/>
      </c>
      <c r="F9" s="180">
        <f>+'BS &amp; CFS'!F25</f>
        <v/>
      </c>
      <c r="G9" s="180">
        <f>+'BS &amp; CFS'!G25</f>
        <v/>
      </c>
      <c r="H9" s="180">
        <f>+'BS &amp; CFS'!H25</f>
        <v/>
      </c>
      <c r="I9" s="180">
        <f>+'BS &amp; CFS'!I25</f>
        <v/>
      </c>
      <c r="J9" s="171" t="n">
        <v>0</v>
      </c>
      <c r="K9" s="171" t="n">
        <v>0</v>
      </c>
      <c r="L9" s="171" t="n">
        <v>0</v>
      </c>
      <c r="M9" s="171" t="n">
        <v>0</v>
      </c>
      <c r="N9" s="171" t="n">
        <v>0</v>
      </c>
      <c r="O9" s="171" t="n">
        <v>0</v>
      </c>
      <c r="P9" s="171" t="n">
        <v>0</v>
      </c>
      <c r="Q9" s="171" t="n">
        <v>0</v>
      </c>
      <c r="R9" s="171" t="n">
        <v>0</v>
      </c>
      <c r="S9" s="171" t="n">
        <v>0</v>
      </c>
    </row>
    <row r="10">
      <c r="B10" s="129" t="inlineStr">
        <is>
          <t>Current Portion of Long-Term Debt</t>
        </is>
      </c>
      <c r="E10" s="180">
        <f>+'BS &amp; CFS'!E26</f>
        <v/>
      </c>
      <c r="F10" s="180">
        <f>+'BS &amp; CFS'!F26</f>
        <v/>
      </c>
      <c r="G10" s="180">
        <f>+'BS &amp; CFS'!G26</f>
        <v/>
      </c>
      <c r="H10" s="180">
        <f>+'BS &amp; CFS'!H26</f>
        <v/>
      </c>
      <c r="I10" s="180">
        <f>+'BS &amp; CFS'!I26</f>
        <v/>
      </c>
      <c r="J10" s="129">
        <f>+J52</f>
        <v/>
      </c>
      <c r="K10" s="129">
        <f>+K52</f>
        <v/>
      </c>
      <c r="L10" s="129">
        <f>+L52</f>
        <v/>
      </c>
      <c r="M10" s="129">
        <f>+M52</f>
        <v/>
      </c>
      <c r="N10" s="129">
        <f>+N52</f>
        <v/>
      </c>
      <c r="O10" s="129">
        <f>+O52</f>
        <v/>
      </c>
      <c r="P10" s="129">
        <f>+P52</f>
        <v/>
      </c>
      <c r="Q10" s="129">
        <f>+Q52</f>
        <v/>
      </c>
      <c r="R10" s="129">
        <f>+R52</f>
        <v/>
      </c>
      <c r="S10" s="129">
        <f>+S52</f>
        <v/>
      </c>
    </row>
    <row r="12">
      <c r="A12" s="129" t="inlineStr">
        <is>
          <t>x</t>
        </is>
      </c>
      <c r="B12" s="128" t="inlineStr">
        <is>
          <t>LT debt</t>
        </is>
      </c>
    </row>
    <row r="13">
      <c r="B13" s="129" t="inlineStr">
        <is>
          <t>Long-Term Debt</t>
        </is>
      </c>
      <c r="E13" s="180">
        <f>+'BS &amp; CFS'!E29</f>
        <v/>
      </c>
      <c r="F13" s="180">
        <f>+'BS &amp; CFS'!F29</f>
        <v/>
      </c>
      <c r="G13" s="180">
        <f>+'BS &amp; CFS'!G29</f>
        <v/>
      </c>
      <c r="H13" s="180">
        <f>+'BS &amp; CFS'!H29</f>
        <v/>
      </c>
      <c r="I13" s="180">
        <f>+'BS &amp; CFS'!I29</f>
        <v/>
      </c>
      <c r="J13" s="129">
        <f>+J57</f>
        <v/>
      </c>
      <c r="K13" s="129">
        <f>+K57</f>
        <v/>
      </c>
      <c r="L13" s="129">
        <f>+L57</f>
        <v/>
      </c>
      <c r="M13" s="129">
        <f>+M57</f>
        <v/>
      </c>
      <c r="N13" s="129">
        <f>+N57</f>
        <v/>
      </c>
      <c r="O13" s="129">
        <f>+O57</f>
        <v/>
      </c>
      <c r="P13" s="129">
        <f>+P57</f>
        <v/>
      </c>
      <c r="Q13" s="129">
        <f>+Q57</f>
        <v/>
      </c>
      <c r="R13" s="129">
        <f>+R57</f>
        <v/>
      </c>
      <c r="S13" s="129">
        <f>+S57</f>
        <v/>
      </c>
    </row>
    <row r="14">
      <c r="B14" s="129" t="inlineStr">
        <is>
          <t>Long-Term Lease Liabilities</t>
        </is>
      </c>
      <c r="E14" s="180">
        <f>+'BS &amp; CFS'!E30</f>
        <v/>
      </c>
      <c r="F14" s="180">
        <f>+'BS &amp; CFS'!F30</f>
        <v/>
      </c>
      <c r="G14" s="180">
        <f>+'BS &amp; CFS'!G30</f>
        <v/>
      </c>
      <c r="H14" s="180">
        <f>+'BS &amp; CFS'!H30</f>
        <v/>
      </c>
      <c r="I14" s="180">
        <f>+'BS &amp; CFS'!I30</f>
        <v/>
      </c>
      <c r="J14" s="129">
        <f>+J64-J9</f>
        <v/>
      </c>
      <c r="K14" s="129">
        <f>+K64-K9</f>
        <v/>
      </c>
      <c r="L14" s="129">
        <f>+L64-L9</f>
        <v/>
      </c>
      <c r="M14" s="129">
        <f>+M64-M9</f>
        <v/>
      </c>
      <c r="N14" s="129">
        <f>+N64-N9</f>
        <v/>
      </c>
      <c r="O14" s="129">
        <f>+O64-O9</f>
        <v/>
      </c>
      <c r="P14" s="129">
        <f>+P64-P9</f>
        <v/>
      </c>
      <c r="Q14" s="129">
        <f>+Q64-Q9</f>
        <v/>
      </c>
      <c r="R14" s="129">
        <f>+R64-R9</f>
        <v/>
      </c>
      <c r="S14" s="129">
        <f>+S64-S9</f>
        <v/>
      </c>
    </row>
    <row r="15">
      <c r="I15" s="162" t="n"/>
    </row>
    <row r="16">
      <c r="A16" s="129" t="inlineStr">
        <is>
          <t>x</t>
        </is>
      </c>
      <c r="B16" s="132" t="inlineStr">
        <is>
          <t>Finance cost</t>
        </is>
      </c>
    </row>
    <row r="17">
      <c r="B17" s="129" t="inlineStr">
        <is>
          <t>Canadian prime rate</t>
        </is>
      </c>
      <c r="J17" s="185" t="n">
        <v>0.037</v>
      </c>
      <c r="K17" s="185" t="n">
        <v>0.037</v>
      </c>
      <c r="L17" s="185" t="n">
        <v>0.037</v>
      </c>
      <c r="M17" s="185" t="n">
        <v>0.037</v>
      </c>
      <c r="N17" s="185" t="n">
        <v>0.037</v>
      </c>
      <c r="O17" s="185" t="n">
        <v>0.037</v>
      </c>
      <c r="P17" s="185" t="n">
        <v>0.037</v>
      </c>
      <c r="Q17" s="185" t="n">
        <v>0.037</v>
      </c>
      <c r="R17" s="185" t="n">
        <v>0.037</v>
      </c>
      <c r="S17" s="185" t="n">
        <v>0.037</v>
      </c>
    </row>
    <row r="18">
      <c r="B18" s="129" t="inlineStr">
        <is>
          <t>Blended production financing rate</t>
        </is>
      </c>
      <c r="J18" s="185" t="n">
        <v>0.0575</v>
      </c>
      <c r="K18" s="185" t="n">
        <v>0.0575</v>
      </c>
      <c r="L18" s="185" t="n">
        <v>0.0575</v>
      </c>
      <c r="M18" s="185" t="n">
        <v>0.0575</v>
      </c>
      <c r="N18" s="185" t="n">
        <v>0.0575</v>
      </c>
      <c r="O18" s="185" t="n">
        <v>0.0575</v>
      </c>
      <c r="P18" s="185" t="n">
        <v>0.0575</v>
      </c>
      <c r="Q18" s="185" t="n">
        <v>0.0575</v>
      </c>
      <c r="R18" s="185" t="n">
        <v>0.0575</v>
      </c>
      <c r="S18" s="185" t="n">
        <v>0.0575</v>
      </c>
    </row>
    <row r="19">
      <c r="B19" s="129" t="inlineStr">
        <is>
          <t>Blended LT debt rate</t>
        </is>
      </c>
      <c r="J19" s="185" t="n">
        <v>0.056</v>
      </c>
      <c r="K19" s="185" t="n">
        <v>0.056</v>
      </c>
      <c r="L19" s="185" t="n">
        <v>0.056</v>
      </c>
      <c r="M19" s="185" t="n">
        <v>0.056</v>
      </c>
      <c r="N19" s="185" t="n">
        <v>0.056</v>
      </c>
      <c r="O19" s="185" t="n">
        <v>0.056</v>
      </c>
      <c r="P19" s="185" t="n">
        <v>0.056</v>
      </c>
      <c r="Q19" s="185" t="n">
        <v>0.056</v>
      </c>
      <c r="R19" s="185" t="n">
        <v>0.056</v>
      </c>
      <c r="S19" s="185" t="n">
        <v>0.056</v>
      </c>
    </row>
    <row r="20">
      <c r="B20" s="129" t="inlineStr">
        <is>
          <t>Blended lease liability rate</t>
        </is>
      </c>
      <c r="J20" s="185" t="n">
        <v>0.059</v>
      </c>
      <c r="K20" s="185" t="n">
        <v>0.059</v>
      </c>
      <c r="L20" s="185" t="n">
        <v>0.059</v>
      </c>
      <c r="M20" s="185" t="n">
        <v>0.059</v>
      </c>
      <c r="N20" s="185" t="n">
        <v>0.059</v>
      </c>
      <c r="O20" s="185" t="n">
        <v>0.059</v>
      </c>
      <c r="P20" s="185" t="n">
        <v>0.059</v>
      </c>
      <c r="Q20" s="185" t="n">
        <v>0.059</v>
      </c>
      <c r="R20" s="185" t="n">
        <v>0.059</v>
      </c>
      <c r="S20" s="185" t="n">
        <v>0.059</v>
      </c>
    </row>
    <row r="22">
      <c r="B22" s="129" t="inlineStr">
        <is>
          <t>Net finance cost</t>
        </is>
      </c>
      <c r="J22" s="129">
        <f>+J41+J47+J53+J58+J65+J71</f>
        <v/>
      </c>
      <c r="K22" s="129">
        <f>+K41+K47+K53+K58+K65+K71</f>
        <v/>
      </c>
      <c r="L22" s="129">
        <f>+L41+L47+L53+L58+L65+L71</f>
        <v/>
      </c>
      <c r="M22" s="129">
        <f>+M41+M47+M53+M58+M65+M71</f>
        <v/>
      </c>
      <c r="N22" s="129">
        <f>+N41+N47+N53+N58+N65+N71</f>
        <v/>
      </c>
      <c r="O22" s="129">
        <f>+O41+O47+O53+O58+O65+O71</f>
        <v/>
      </c>
      <c r="P22" s="129">
        <f>+P41+P47+P53+P58+P65+P71</f>
        <v/>
      </c>
      <c r="Q22" s="129">
        <f>+Q41+Q47+Q53+Q58+Q65+Q71</f>
        <v/>
      </c>
      <c r="R22" s="129">
        <f>+R41+R47+R53+R58+R65+R71</f>
        <v/>
      </c>
      <c r="S22" s="129">
        <f>+S41+S47+S53+S58+S65+S71</f>
        <v/>
      </c>
    </row>
    <row r="24">
      <c r="A24" s="129" t="inlineStr">
        <is>
          <t>x</t>
        </is>
      </c>
      <c r="B24" s="128" t="inlineStr">
        <is>
          <t>Debt calcs</t>
        </is>
      </c>
    </row>
    <row r="25">
      <c r="B25" s="129" t="inlineStr">
        <is>
          <t>OCF</t>
        </is>
      </c>
      <c r="J25" s="180">
        <f>+'BS &amp; CFS'!J65</f>
        <v/>
      </c>
      <c r="K25" s="180">
        <f>+'BS &amp; CFS'!K65</f>
        <v/>
      </c>
      <c r="L25" s="180">
        <f>+'BS &amp; CFS'!L65</f>
        <v/>
      </c>
      <c r="M25" s="180">
        <f>+'BS &amp; CFS'!M65</f>
        <v/>
      </c>
      <c r="N25" s="180">
        <f>+'BS &amp; CFS'!N65</f>
        <v/>
      </c>
      <c r="O25" s="180">
        <f>+'BS &amp; CFS'!O65</f>
        <v/>
      </c>
      <c r="P25" s="180">
        <f>+'BS &amp; CFS'!P65</f>
        <v/>
      </c>
      <c r="Q25" s="180">
        <f>+'BS &amp; CFS'!Q65</f>
        <v/>
      </c>
      <c r="R25" s="180">
        <f>+'BS &amp; CFS'!R65</f>
        <v/>
      </c>
      <c r="S25" s="180">
        <f>+'BS &amp; CFS'!S65</f>
        <v/>
      </c>
    </row>
    <row r="26">
      <c r="B26" s="129" t="inlineStr">
        <is>
          <t>Finance costs</t>
        </is>
      </c>
      <c r="J26" s="180">
        <f>+'P&amp;L'!J22</f>
        <v/>
      </c>
      <c r="K26" s="180">
        <f>+'P&amp;L'!K22</f>
        <v/>
      </c>
      <c r="L26" s="180">
        <f>+'P&amp;L'!L22</f>
        <v/>
      </c>
      <c r="M26" s="180">
        <f>+'P&amp;L'!M22</f>
        <v/>
      </c>
      <c r="N26" s="180">
        <f>+'P&amp;L'!N22</f>
        <v/>
      </c>
      <c r="O26" s="180">
        <f>+'P&amp;L'!O22</f>
        <v/>
      </c>
      <c r="P26" s="180">
        <f>+'P&amp;L'!P22</f>
        <v/>
      </c>
      <c r="Q26" s="180">
        <f>+'P&amp;L'!Q22</f>
        <v/>
      </c>
      <c r="R26" s="180">
        <f>+'P&amp;L'!R22</f>
        <v/>
      </c>
      <c r="S26" s="180">
        <f>+'P&amp;L'!S22</f>
        <v/>
      </c>
    </row>
    <row r="27">
      <c r="B27" s="129" t="inlineStr">
        <is>
          <t>Capex, addition of content and intangibles</t>
        </is>
      </c>
      <c r="J27" s="180">
        <f>+'BS &amp; CFS'!J67+'BS &amp; CFS'!J68+'BS &amp; CFS'!J69</f>
        <v/>
      </c>
      <c r="K27" s="180">
        <f>+'BS &amp; CFS'!K67+'BS &amp; CFS'!K68+'BS &amp; CFS'!K69</f>
        <v/>
      </c>
      <c r="L27" s="180">
        <f>+'BS &amp; CFS'!L67+'BS &amp; CFS'!L68+'BS &amp; CFS'!L69</f>
        <v/>
      </c>
      <c r="M27" s="180">
        <f>+'BS &amp; CFS'!M67+'BS &amp; CFS'!M68+'BS &amp; CFS'!M69</f>
        <v/>
      </c>
      <c r="N27" s="180">
        <f>+'BS &amp; CFS'!N67+'BS &amp; CFS'!N68+'BS &amp; CFS'!N69</f>
        <v/>
      </c>
      <c r="O27" s="180">
        <f>+'BS &amp; CFS'!O67+'BS &amp; CFS'!O68+'BS &amp; CFS'!O69</f>
        <v/>
      </c>
      <c r="P27" s="180">
        <f>+'BS &amp; CFS'!P67+'BS &amp; CFS'!P68+'BS &amp; CFS'!P69</f>
        <v/>
      </c>
      <c r="Q27" s="180">
        <f>+'BS &amp; CFS'!Q67+'BS &amp; CFS'!Q68+'BS &amp; CFS'!Q69</f>
        <v/>
      </c>
      <c r="R27" s="180">
        <f>+'BS &amp; CFS'!R67+'BS &amp; CFS'!R68+'BS &amp; CFS'!R69</f>
        <v/>
      </c>
      <c r="S27" s="180">
        <f>+'BS &amp; CFS'!S67+'BS &amp; CFS'!S68+'BS &amp; CFS'!S69</f>
        <v/>
      </c>
    </row>
    <row r="28">
      <c r="B28" s="129" t="inlineStr">
        <is>
          <t>Dicstribution to NCI</t>
        </is>
      </c>
      <c r="J28" s="180">
        <f>+'FS Calcs'!J82</f>
        <v/>
      </c>
      <c r="K28" s="180">
        <f>+'FS Calcs'!K82</f>
        <v/>
      </c>
      <c r="L28" s="180">
        <f>+'FS Calcs'!L82</f>
        <v/>
      </c>
      <c r="M28" s="180">
        <f>+'FS Calcs'!M82</f>
        <v/>
      </c>
      <c r="N28" s="180">
        <f>+'FS Calcs'!N82</f>
        <v/>
      </c>
      <c r="O28" s="180">
        <f>+'FS Calcs'!O82</f>
        <v/>
      </c>
      <c r="P28" s="180">
        <f>+'FS Calcs'!P82</f>
        <v/>
      </c>
      <c r="Q28" s="180">
        <f>+'FS Calcs'!Q82</f>
        <v/>
      </c>
      <c r="R28" s="180">
        <f>+'FS Calcs'!R82</f>
        <v/>
      </c>
      <c r="S28" s="180">
        <f>+'FS Calcs'!S82</f>
        <v/>
      </c>
    </row>
    <row r="29">
      <c r="B29" s="129" t="inlineStr">
        <is>
          <t>Lease liability repayment</t>
        </is>
      </c>
      <c r="J29" s="196">
        <f>+J63</f>
        <v/>
      </c>
      <c r="K29" s="196">
        <f>+K63</f>
        <v/>
      </c>
      <c r="L29" s="196">
        <f>+L63</f>
        <v/>
      </c>
      <c r="M29" s="196">
        <f>+M63</f>
        <v/>
      </c>
      <c r="N29" s="196">
        <f>+N63</f>
        <v/>
      </c>
      <c r="O29" s="196">
        <f>+O63</f>
        <v/>
      </c>
      <c r="P29" s="196">
        <f>+P63</f>
        <v/>
      </c>
      <c r="Q29" s="196">
        <f>+Q63</f>
        <v/>
      </c>
      <c r="R29" s="196">
        <f>+R63</f>
        <v/>
      </c>
      <c r="S29" s="196">
        <f>+S63</f>
        <v/>
      </c>
    </row>
    <row r="30">
      <c r="B30" s="172" t="inlineStr">
        <is>
          <t>FCF</t>
        </is>
      </c>
      <c r="C30" s="172" t="n"/>
      <c r="D30" s="172" t="n"/>
      <c r="E30" s="172" t="n"/>
      <c r="F30" s="172" t="n"/>
      <c r="G30" s="172" t="n"/>
      <c r="H30" s="172" t="n"/>
      <c r="I30" s="172" t="n"/>
      <c r="J30" s="172">
        <f>SUM(J25:J29)</f>
        <v/>
      </c>
      <c r="K30" s="172">
        <f>SUM(K25:K29)</f>
        <v/>
      </c>
      <c r="L30" s="172">
        <f>SUM(L25:L29)</f>
        <v/>
      </c>
      <c r="M30" s="172">
        <f>SUM(M25:M29)</f>
        <v/>
      </c>
      <c r="N30" s="172">
        <f>SUM(N25:N29)</f>
        <v/>
      </c>
      <c r="O30" s="172">
        <f>SUM(O25:O29)</f>
        <v/>
      </c>
      <c r="P30" s="172">
        <f>SUM(P25:P29)</f>
        <v/>
      </c>
      <c r="Q30" s="172">
        <f>SUM(Q25:Q29)</f>
        <v/>
      </c>
      <c r="R30" s="172">
        <f>SUM(R25:R29)</f>
        <v/>
      </c>
      <c r="S30" s="172">
        <f>SUM(S25:S29)</f>
        <v/>
      </c>
    </row>
    <row r="32">
      <c r="B32" s="129" t="inlineStr">
        <is>
          <t>BoP cash</t>
        </is>
      </c>
      <c r="J32" s="129">
        <f>+J68</f>
        <v/>
      </c>
      <c r="K32" s="129">
        <f>+K68</f>
        <v/>
      </c>
      <c r="L32" s="129">
        <f>+L68</f>
        <v/>
      </c>
      <c r="M32" s="129">
        <f>+M68</f>
        <v/>
      </c>
      <c r="N32" s="129">
        <f>+N68</f>
        <v/>
      </c>
      <c r="O32" s="129">
        <f>+O68</f>
        <v/>
      </c>
      <c r="P32" s="129">
        <f>+P68</f>
        <v/>
      </c>
      <c r="Q32" s="129">
        <f>+Q68</f>
        <v/>
      </c>
      <c r="R32" s="129">
        <f>+R68</f>
        <v/>
      </c>
      <c r="S32" s="129">
        <f>+S68</f>
        <v/>
      </c>
    </row>
    <row r="33">
      <c r="B33" s="129" t="inlineStr">
        <is>
          <t>Minimum cash</t>
        </is>
      </c>
      <c r="J33" s="181" t="n">
        <v>-35</v>
      </c>
      <c r="K33" s="181">
        <f>+J33</f>
        <v/>
      </c>
      <c r="L33" s="181">
        <f>+K33</f>
        <v/>
      </c>
      <c r="M33" s="181">
        <f>+L33</f>
        <v/>
      </c>
      <c r="N33" s="181">
        <f>+M33</f>
        <v/>
      </c>
      <c r="O33" s="181">
        <f>+N33</f>
        <v/>
      </c>
      <c r="P33" s="181">
        <f>+O33</f>
        <v/>
      </c>
      <c r="Q33" s="181">
        <f>+P33</f>
        <v/>
      </c>
      <c r="R33" s="181">
        <f>+Q33</f>
        <v/>
      </c>
      <c r="S33" s="181">
        <f>+R33</f>
        <v/>
      </c>
    </row>
    <row r="34">
      <c r="B34" s="129" t="inlineStr">
        <is>
          <t>CFADS</t>
        </is>
      </c>
      <c r="J34" s="129">
        <f>+J33+J32+J30</f>
        <v/>
      </c>
      <c r="K34" s="129">
        <f>+K33+K32+K30</f>
        <v/>
      </c>
      <c r="L34" s="129">
        <f>+L33+L32+L30</f>
        <v/>
      </c>
      <c r="M34" s="129">
        <f>+M33+M32+M30</f>
        <v/>
      </c>
      <c r="N34" s="129">
        <f>+N33+N32+N30</f>
        <v/>
      </c>
      <c r="O34" s="129">
        <f>+O33+O32+O30</f>
        <v/>
      </c>
      <c r="P34" s="129">
        <f>+P33+P32+P30</f>
        <v/>
      </c>
      <c r="Q34" s="129">
        <f>+Q33+Q32+Q30</f>
        <v/>
      </c>
      <c r="R34" s="129">
        <f>+R33+R32+R30</f>
        <v/>
      </c>
      <c r="S34" s="129">
        <f>+S33+S32+S30</f>
        <v/>
      </c>
    </row>
    <row r="36">
      <c r="B36" s="129" t="inlineStr">
        <is>
          <t>Mandatory payments</t>
        </is>
      </c>
      <c r="J36" s="129">
        <f>+J51</f>
        <v/>
      </c>
      <c r="K36" s="129">
        <f>+K51</f>
        <v/>
      </c>
      <c r="L36" s="129">
        <f>+L51</f>
        <v/>
      </c>
      <c r="M36" s="129">
        <f>+M51</f>
        <v/>
      </c>
      <c r="N36" s="129">
        <f>+N51</f>
        <v/>
      </c>
      <c r="O36" s="129">
        <f>+O51</f>
        <v/>
      </c>
      <c r="P36" s="129">
        <f>+P51</f>
        <v/>
      </c>
      <c r="Q36" s="129">
        <f>+Q51</f>
        <v/>
      </c>
      <c r="R36" s="129">
        <f>+R51</f>
        <v/>
      </c>
      <c r="S36" s="129">
        <f>+S51</f>
        <v/>
      </c>
    </row>
    <row r="38">
      <c r="B38" s="129" t="inlineStr">
        <is>
          <t>BoP bank indebtedness</t>
        </is>
      </c>
      <c r="J38" s="129">
        <f>+I40</f>
        <v/>
      </c>
      <c r="K38" s="129">
        <f>+J40</f>
        <v/>
      </c>
      <c r="L38" s="129">
        <f>+K40</f>
        <v/>
      </c>
      <c r="M38" s="129">
        <f>+L40</f>
        <v/>
      </c>
      <c r="N38" s="129">
        <f>+M40</f>
        <v/>
      </c>
      <c r="O38" s="129">
        <f>+N40</f>
        <v/>
      </c>
      <c r="P38" s="129">
        <f>+O40</f>
        <v/>
      </c>
      <c r="Q38" s="129">
        <f>+P40</f>
        <v/>
      </c>
      <c r="R38" s="129">
        <f>+Q40</f>
        <v/>
      </c>
      <c r="S38" s="129">
        <f>+R40</f>
        <v/>
      </c>
    </row>
    <row r="39">
      <c r="B39" s="129" t="inlineStr">
        <is>
          <t>Draw / (repayment)</t>
        </is>
      </c>
      <c r="J39" s="129">
        <f>+IF(MIN(J36+J34,J38)*-1&gt;=(J42-J38),J42-J38,MIN(J36+J34,J38)*-1)</f>
        <v/>
      </c>
      <c r="K39" s="129">
        <f>+IF(MIN(K36+K34,K38)*-1&gt;=(K42-K38),K42-K38,MIN(K36+K34,K38)*-1)</f>
        <v/>
      </c>
      <c r="L39" s="129">
        <f>+IF(MIN(L36+L34,L38)*-1&gt;=(L42-L38),L42-L38,MIN(L36+L34,L38)*-1)</f>
        <v/>
      </c>
      <c r="M39" s="129">
        <f>+IF(MIN(M36+M34,M38)*-1&gt;=(M42-M38),M42-M38,MIN(M36+M34,M38)*-1)</f>
        <v/>
      </c>
      <c r="N39" s="129">
        <f>+IF(MIN(N36+N34,N38)*-1&gt;=(N42-N38),N42-N38,MIN(N36+N34,N38)*-1)</f>
        <v/>
      </c>
      <c r="O39" s="129">
        <f>+IF(MIN(O36+O34,O38)*-1&gt;=(O42-O38),O42-O38,MIN(O36+O34,O38)*-1)</f>
        <v/>
      </c>
      <c r="P39" s="129">
        <f>+IF(MIN(P36+P34,P38)*-1&gt;=(P42-P38),P42-P38,MIN(P36+P34,P38)*-1)</f>
        <v/>
      </c>
      <c r="Q39" s="129">
        <f>+IF(MIN(Q36+Q34,Q38)*-1&gt;=(Q42-Q38),Q42-Q38,MIN(Q36+Q34,Q38)*-1)</f>
        <v/>
      </c>
      <c r="R39" s="129">
        <f>+IF(MIN(R36+R34,R38)*-1&gt;=(R42-R38),R42-R38,MIN(R36+R34,R38)*-1)</f>
        <v/>
      </c>
      <c r="S39" s="129">
        <f>+IF(MIN(S36+S34,S38)*-1&gt;=(S42-S38),S42-S38,MIN(S36+S34,S38)*-1)</f>
        <v/>
      </c>
    </row>
    <row r="40">
      <c r="B40" s="172" t="inlineStr">
        <is>
          <t>EoP bank indebtedness</t>
        </is>
      </c>
      <c r="C40" s="172" t="n"/>
      <c r="D40" s="172" t="n"/>
      <c r="E40" s="172" t="n"/>
      <c r="F40" s="172" t="n"/>
      <c r="G40" s="172" t="n"/>
      <c r="H40" s="172" t="n"/>
      <c r="I40" s="226">
        <f>+I7</f>
        <v/>
      </c>
      <c r="J40" s="172">
        <f>SUM(J38:J39)</f>
        <v/>
      </c>
      <c r="K40" s="172">
        <f>SUM(K38:K39)</f>
        <v/>
      </c>
      <c r="L40" s="172">
        <f>SUM(L38:L39)</f>
        <v/>
      </c>
      <c r="M40" s="172">
        <f>SUM(M38:M39)</f>
        <v/>
      </c>
      <c r="N40" s="172">
        <f>SUM(N38:N39)</f>
        <v/>
      </c>
      <c r="O40" s="172">
        <f>SUM(O38:O39)</f>
        <v/>
      </c>
      <c r="P40" s="172">
        <f>SUM(P38:P39)</f>
        <v/>
      </c>
      <c r="Q40" s="172">
        <f>SUM(Q38:Q39)</f>
        <v/>
      </c>
      <c r="R40" s="172">
        <f>SUM(R38:R39)</f>
        <v/>
      </c>
      <c r="S40" s="172">
        <f>SUM(S38:S39)</f>
        <v/>
      </c>
    </row>
    <row r="41">
      <c r="B41" s="125" t="inlineStr">
        <is>
          <t>Interest</t>
        </is>
      </c>
      <c r="J41" s="125">
        <f>+AVERAGE(I40:J40)*J17*-1</f>
        <v/>
      </c>
      <c r="K41" s="125">
        <f>+AVERAGE(J40:K40)*K17*-1</f>
        <v/>
      </c>
      <c r="L41" s="125">
        <f>+AVERAGE(K40:L40)*L17*-1</f>
        <v/>
      </c>
      <c r="M41" s="125">
        <f>+AVERAGE(L40:M40)*M17*-1</f>
        <v/>
      </c>
      <c r="N41" s="125">
        <f>+AVERAGE(M40:N40)*N17*-1</f>
        <v/>
      </c>
      <c r="O41" s="125">
        <f>+AVERAGE(N40:O40)*O17*-1</f>
        <v/>
      </c>
      <c r="P41" s="125">
        <f>+AVERAGE(O40:P40)*P17*-1</f>
        <v/>
      </c>
      <c r="Q41" s="125">
        <f>+AVERAGE(P40:Q40)*Q17*-1</f>
        <v/>
      </c>
      <c r="R41" s="125">
        <f>+AVERAGE(Q40:R40)*R17*-1</f>
        <v/>
      </c>
      <c r="S41" s="125">
        <f>+AVERAGE(R40:S40)*S17*-1</f>
        <v/>
      </c>
    </row>
    <row r="42">
      <c r="B42" s="129" t="inlineStr">
        <is>
          <t>Credit limit</t>
        </is>
      </c>
      <c r="J42" s="171">
        <f>30*Output!$J$8</f>
        <v/>
      </c>
      <c r="K42" s="171">
        <f>30*Output!$J$8</f>
        <v/>
      </c>
      <c r="L42" s="171">
        <f>30*Output!$J$8</f>
        <v/>
      </c>
      <c r="M42" s="171">
        <f>30*Output!$J$8</f>
        <v/>
      </c>
      <c r="N42" s="171">
        <f>30*Output!$J$8</f>
        <v/>
      </c>
      <c r="O42" s="171">
        <f>30*Output!$J$8</f>
        <v/>
      </c>
      <c r="P42" s="171">
        <f>30*Output!$J$8</f>
        <v/>
      </c>
      <c r="Q42" s="171">
        <f>30*Output!$J$8</f>
        <v/>
      </c>
      <c r="R42" s="171">
        <f>30*Output!$J$8</f>
        <v/>
      </c>
      <c r="S42" s="171">
        <f>30*Output!$J$8</f>
        <v/>
      </c>
    </row>
    <row r="44">
      <c r="B44" s="129" t="inlineStr">
        <is>
          <t>BoP production financing</t>
        </is>
      </c>
      <c r="J44" s="129">
        <f>+I46</f>
        <v/>
      </c>
      <c r="K44" s="129">
        <f>+J46</f>
        <v/>
      </c>
      <c r="L44" s="129">
        <f>+K46</f>
        <v/>
      </c>
      <c r="M44" s="129">
        <f>+L46</f>
        <v/>
      </c>
      <c r="N44" s="129">
        <f>+M46</f>
        <v/>
      </c>
      <c r="O44" s="129">
        <f>+N46</f>
        <v/>
      </c>
      <c r="P44" s="129">
        <f>+O46</f>
        <v/>
      </c>
      <c r="Q44" s="129">
        <f>+P46</f>
        <v/>
      </c>
      <c r="R44" s="129">
        <f>+Q46</f>
        <v/>
      </c>
      <c r="S44" s="129">
        <f>+R46</f>
        <v/>
      </c>
    </row>
    <row r="45">
      <c r="B45" s="129" t="inlineStr">
        <is>
          <t>Draw / (repayment)</t>
        </is>
      </c>
      <c r="J45" s="129">
        <f>+IF(MIN(J44, J34+J36+J39)*-1&gt;=(J48-J44), J48-J44, MIN(J44, J34+J36+J39)*-1)</f>
        <v/>
      </c>
      <c r="K45" s="129">
        <f>+IF(MIN(K44, K34+K36+K39)*-1&gt;=(K48-K44), K48-K44, MIN(K44, K34+K36+K39)*-1)</f>
        <v/>
      </c>
      <c r="L45" s="129">
        <f>+IF(MIN(L44, L34+L36+L39)*-1&gt;=(L48-L44), L48-L44, MIN(L44, L34+L36+L39)*-1)</f>
        <v/>
      </c>
      <c r="M45" s="129">
        <f>+IF(MIN(M44, M34+M36+M39)*-1&gt;=(M48-M44), M48-M44, MIN(M44, M34+M36+M39)*-1)</f>
        <v/>
      </c>
      <c r="N45" s="129">
        <f>+IF(MIN(N44, N34+N36+N39)*-1&gt;=(N48-N44), N48-N44, MIN(N44, N34+N36+N39)*-1)</f>
        <v/>
      </c>
      <c r="O45" s="129">
        <f>+IF(MIN(O44, O34+O36+O39)*-1&gt;=(O48-O44), O48-O44, MIN(O44, O34+O36+O39)*-1)</f>
        <v/>
      </c>
      <c r="P45" s="129">
        <f>+IF(MIN(P44, P34+P36+P39)*-1&gt;=(P48-P44), P48-P44, MIN(P44, P34+P36+P39)*-1)</f>
        <v/>
      </c>
      <c r="Q45" s="129">
        <f>+IF(MIN(Q44, Q34+Q36+Q39)*-1&gt;=(Q48-Q44), Q48-Q44, MIN(Q44, Q34+Q36+Q39)*-1)</f>
        <v/>
      </c>
      <c r="R45" s="129">
        <f>+IF(MIN(R44, R34+R36+R39)*-1&gt;=(R48-R44), R48-R44, MIN(R44, R34+R36+R39)*-1)</f>
        <v/>
      </c>
      <c r="S45" s="129">
        <f>+IF(MIN(S44, S34+S36+S39)*-1&gt;=(S48-S44), S48-S44, MIN(S44, S34+S36+S39)*-1)</f>
        <v/>
      </c>
    </row>
    <row r="46">
      <c r="B46" s="172" t="inlineStr">
        <is>
          <t>EoP production fianncing</t>
        </is>
      </c>
      <c r="C46" s="172" t="n"/>
      <c r="D46" s="172" t="n"/>
      <c r="E46" s="172" t="n"/>
      <c r="F46" s="172" t="n"/>
      <c r="G46" s="172" t="n"/>
      <c r="H46" s="172" t="n"/>
      <c r="I46" s="226">
        <f>+I8</f>
        <v/>
      </c>
      <c r="J46" s="172">
        <f>SUM(J44:J45)</f>
        <v/>
      </c>
      <c r="K46" s="172">
        <f>SUM(K44:K45)</f>
        <v/>
      </c>
      <c r="L46" s="172">
        <f>SUM(L44:L45)</f>
        <v/>
      </c>
      <c r="M46" s="172">
        <f>SUM(M44:M45)</f>
        <v/>
      </c>
      <c r="N46" s="172">
        <f>SUM(N44:N45)</f>
        <v/>
      </c>
      <c r="O46" s="172">
        <f>SUM(O44:O45)</f>
        <v/>
      </c>
      <c r="P46" s="172">
        <f>SUM(P44:P45)</f>
        <v/>
      </c>
      <c r="Q46" s="172">
        <f>SUM(Q44:Q45)</f>
        <v/>
      </c>
      <c r="R46" s="172">
        <f>SUM(R44:R45)</f>
        <v/>
      </c>
      <c r="S46" s="172">
        <f>SUM(S44:S45)</f>
        <v/>
      </c>
    </row>
    <row r="47">
      <c r="B47" s="125" t="inlineStr">
        <is>
          <t>Interest</t>
        </is>
      </c>
      <c r="J47" s="125">
        <f>+AVERAGE(I46:J46)*J18*-1</f>
        <v/>
      </c>
      <c r="K47" s="125">
        <f>+AVERAGE(J46:K46)*K18*-1</f>
        <v/>
      </c>
      <c r="L47" s="125">
        <f>+AVERAGE(K46:L46)*L18*-1</f>
        <v/>
      </c>
      <c r="M47" s="125">
        <f>+AVERAGE(L46:M46)*M18*-1</f>
        <v/>
      </c>
      <c r="N47" s="125">
        <f>+AVERAGE(M46:N46)*N18*-1</f>
        <v/>
      </c>
      <c r="O47" s="125">
        <f>+AVERAGE(N46:O46)*O18*-1</f>
        <v/>
      </c>
      <c r="P47" s="125">
        <f>+AVERAGE(O46:P46)*P18*-1</f>
        <v/>
      </c>
      <c r="Q47" s="125">
        <f>+AVERAGE(P46:Q46)*Q18*-1</f>
        <v/>
      </c>
      <c r="R47" s="125">
        <f>+AVERAGE(Q46:R46)*R18*-1</f>
        <v/>
      </c>
      <c r="S47" s="125">
        <f>+AVERAGE(R46:S46)*S18*-1</f>
        <v/>
      </c>
    </row>
    <row r="48">
      <c r="B48" s="129" t="inlineStr">
        <is>
          <t>Credit limit</t>
        </is>
      </c>
      <c r="J48" s="171" t="n">
        <v>90</v>
      </c>
      <c r="K48" s="171" t="n">
        <v>90</v>
      </c>
      <c r="L48" s="171" t="n">
        <v>90</v>
      </c>
      <c r="M48" s="171" t="n">
        <v>90</v>
      </c>
      <c r="N48" s="171" t="n">
        <v>90</v>
      </c>
      <c r="O48" s="171" t="n">
        <v>90</v>
      </c>
      <c r="P48" s="171" t="n">
        <v>90</v>
      </c>
      <c r="Q48" s="171" t="n">
        <v>90</v>
      </c>
      <c r="R48" s="171" t="n">
        <v>90</v>
      </c>
      <c r="S48" s="171" t="n">
        <v>90</v>
      </c>
    </row>
    <row r="50">
      <c r="B50" s="129" t="inlineStr">
        <is>
          <t>BoP curent portion of LT debt</t>
        </is>
      </c>
      <c r="J50" s="129">
        <f>+I52</f>
        <v/>
      </c>
      <c r="K50" s="129">
        <f>+J52</f>
        <v/>
      </c>
      <c r="L50" s="129">
        <f>+K52</f>
        <v/>
      </c>
      <c r="M50" s="129">
        <f>+L52</f>
        <v/>
      </c>
      <c r="N50" s="129">
        <f>+M52</f>
        <v/>
      </c>
      <c r="O50" s="129">
        <f>+N52</f>
        <v/>
      </c>
      <c r="P50" s="129">
        <f>+O52</f>
        <v/>
      </c>
      <c r="Q50" s="129">
        <f>+P52</f>
        <v/>
      </c>
      <c r="R50" s="129">
        <f>+Q52</f>
        <v/>
      </c>
      <c r="S50" s="129">
        <f>+R52</f>
        <v/>
      </c>
    </row>
    <row r="51">
      <c r="B51" s="129" t="inlineStr">
        <is>
          <t>Mandatory payment</t>
        </is>
      </c>
      <c r="J51" s="129">
        <f>+J50*-1</f>
        <v/>
      </c>
      <c r="K51" s="129">
        <f>+K50*-1</f>
        <v/>
      </c>
      <c r="L51" s="129">
        <f>+L50*-1</f>
        <v/>
      </c>
      <c r="M51" s="129">
        <f>+M50*-1</f>
        <v/>
      </c>
      <c r="N51" s="129">
        <f>+N50*-1</f>
        <v/>
      </c>
      <c r="O51" s="129">
        <f>+O50*-1</f>
        <v/>
      </c>
      <c r="P51" s="129">
        <f>+P50*-1</f>
        <v/>
      </c>
      <c r="Q51" s="129">
        <f>+Q50*-1</f>
        <v/>
      </c>
      <c r="R51" s="129">
        <f>+R50*-1</f>
        <v/>
      </c>
      <c r="S51" s="129">
        <f>+S50*-1</f>
        <v/>
      </c>
    </row>
    <row r="52">
      <c r="B52" s="172" t="inlineStr">
        <is>
          <t>EoP curent portion of LT debt</t>
        </is>
      </c>
      <c r="C52" s="172" t="n"/>
      <c r="D52" s="172" t="n"/>
      <c r="E52" s="172" t="n"/>
      <c r="F52" s="172" t="n"/>
      <c r="G52" s="172" t="n"/>
      <c r="H52" s="172" t="n"/>
      <c r="I52" s="226">
        <f>+I10</f>
        <v/>
      </c>
      <c r="J52" s="172">
        <f>SUM(J50:J51)</f>
        <v/>
      </c>
      <c r="K52" s="172">
        <f>SUM(K50:K51)</f>
        <v/>
      </c>
      <c r="L52" s="172">
        <f>SUM(L50:L51)</f>
        <v/>
      </c>
      <c r="M52" s="172">
        <f>SUM(M50:M51)</f>
        <v/>
      </c>
      <c r="N52" s="172">
        <f>SUM(N50:N51)</f>
        <v/>
      </c>
      <c r="O52" s="172">
        <f>SUM(O50:O51)</f>
        <v/>
      </c>
      <c r="P52" s="172">
        <f>SUM(P50:P51)</f>
        <v/>
      </c>
      <c r="Q52" s="172">
        <f>SUM(Q50:Q51)</f>
        <v/>
      </c>
      <c r="R52" s="172">
        <f>SUM(R50:R51)</f>
        <v/>
      </c>
      <c r="S52" s="172">
        <f>SUM(S50:S51)</f>
        <v/>
      </c>
    </row>
    <row r="53">
      <c r="B53" s="125" t="inlineStr">
        <is>
          <t>Interest</t>
        </is>
      </c>
      <c r="J53" s="125">
        <f>+AVERAGE(I52:J52)*J19*-1</f>
        <v/>
      </c>
      <c r="K53" s="125">
        <f>+AVERAGE(J52:K52)*K19*-1</f>
        <v/>
      </c>
      <c r="L53" s="125">
        <f>+AVERAGE(K52:L52)*L19*-1</f>
        <v/>
      </c>
      <c r="M53" s="125">
        <f>+AVERAGE(L52:M52)*M19*-1</f>
        <v/>
      </c>
      <c r="N53" s="125">
        <f>+AVERAGE(M52:N52)*N19*-1</f>
        <v/>
      </c>
      <c r="O53" s="125">
        <f>+AVERAGE(N52:O52)*O19*-1</f>
        <v/>
      </c>
      <c r="P53" s="125">
        <f>+AVERAGE(O52:P52)*P19*-1</f>
        <v/>
      </c>
      <c r="Q53" s="125">
        <f>+AVERAGE(P52:Q52)*Q19*-1</f>
        <v/>
      </c>
      <c r="R53" s="125">
        <f>+AVERAGE(Q52:R52)*R19*-1</f>
        <v/>
      </c>
      <c r="S53" s="125">
        <f>+AVERAGE(R52:S52)*S19*-1</f>
        <v/>
      </c>
    </row>
    <row r="54"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</row>
    <row r="55">
      <c r="B55" s="129" t="inlineStr">
        <is>
          <t>BoP LT debt</t>
        </is>
      </c>
      <c r="J55" s="129">
        <f>+I57</f>
        <v/>
      </c>
      <c r="K55" s="129">
        <f>+J57</f>
        <v/>
      </c>
      <c r="L55" s="129">
        <f>+K57</f>
        <v/>
      </c>
      <c r="M55" s="129">
        <f>+L57</f>
        <v/>
      </c>
      <c r="N55" s="129">
        <f>+M57</f>
        <v/>
      </c>
      <c r="O55" s="129">
        <f>+N57</f>
        <v/>
      </c>
      <c r="P55" s="129">
        <f>+O57</f>
        <v/>
      </c>
      <c r="Q55" s="129">
        <f>+P57</f>
        <v/>
      </c>
      <c r="R55" s="129">
        <f>+Q57</f>
        <v/>
      </c>
      <c r="S55" s="129">
        <f>+R57</f>
        <v/>
      </c>
    </row>
    <row r="56">
      <c r="B56" s="129" t="inlineStr">
        <is>
          <t>Draw / repayment</t>
        </is>
      </c>
      <c r="J56" s="129">
        <f>+MIN(J55, J34+J39+J45+J36)*-1</f>
        <v/>
      </c>
      <c r="K56" s="129">
        <f>+MIN(K55, K34+K39+K45+K36)*-1</f>
        <v/>
      </c>
      <c r="L56" s="129">
        <f>+MIN(L55, L34+L39+L45+L36)*-1</f>
        <v/>
      </c>
      <c r="M56" s="129">
        <f>+MIN(M55, M34+M39+M45+M36)*-1</f>
        <v/>
      </c>
      <c r="N56" s="129">
        <f>+MIN(N55, N34+N39+N45+N36)*-1</f>
        <v/>
      </c>
      <c r="O56" s="129">
        <f>+MIN(O55, O34+O39+O45+O36)*-1</f>
        <v/>
      </c>
      <c r="P56" s="129">
        <f>+MIN(P55, P34+P39+P45+P36)*-1</f>
        <v/>
      </c>
      <c r="Q56" s="129">
        <f>+MIN(Q55, Q34+Q39+Q45+Q36)*-1</f>
        <v/>
      </c>
      <c r="R56" s="129">
        <f>+MIN(R55, R34+R39+R45+R36)*-1</f>
        <v/>
      </c>
      <c r="S56" s="129">
        <f>+MIN(S55, S34+S39+S45+S36)*-1</f>
        <v/>
      </c>
    </row>
    <row r="57">
      <c r="B57" s="172" t="inlineStr">
        <is>
          <t>EoP LT debt</t>
        </is>
      </c>
      <c r="C57" s="172" t="n"/>
      <c r="D57" s="172" t="n"/>
      <c r="E57" s="172" t="n"/>
      <c r="F57" s="172" t="n"/>
      <c r="G57" s="172" t="n"/>
      <c r="H57" s="172" t="n"/>
      <c r="I57" s="226">
        <f>+I13</f>
        <v/>
      </c>
      <c r="J57" s="172">
        <f>SUM(J55:J56)</f>
        <v/>
      </c>
      <c r="K57" s="172">
        <f>SUM(K55:K56)</f>
        <v/>
      </c>
      <c r="L57" s="172">
        <f>SUM(L55:L56)</f>
        <v/>
      </c>
      <c r="M57" s="172">
        <f>SUM(M55:M56)</f>
        <v/>
      </c>
      <c r="N57" s="172">
        <f>SUM(N55:N56)</f>
        <v/>
      </c>
      <c r="O57" s="172">
        <f>SUM(O55:O56)</f>
        <v/>
      </c>
      <c r="P57" s="172">
        <f>SUM(P55:P56)</f>
        <v/>
      </c>
      <c r="Q57" s="172">
        <f>SUM(Q55:Q56)</f>
        <v/>
      </c>
      <c r="R57" s="172">
        <f>SUM(R55:R56)</f>
        <v/>
      </c>
      <c r="S57" s="172">
        <f>SUM(S55:S56)</f>
        <v/>
      </c>
    </row>
    <row r="58" customFormat="1" s="125">
      <c r="B58" s="125" t="inlineStr">
        <is>
          <t>Interest</t>
        </is>
      </c>
      <c r="I58" s="227" t="n"/>
      <c r="J58" s="125">
        <f>+AVERAGE(I57:J57)*J19*-1</f>
        <v/>
      </c>
      <c r="K58" s="125">
        <f>+AVERAGE(J57:K57)*K19*-1</f>
        <v/>
      </c>
      <c r="L58" s="125">
        <f>+AVERAGE(K57:L57)*L19*-1</f>
        <v/>
      </c>
      <c r="M58" s="125">
        <f>+AVERAGE(L57:M57)*M19*-1</f>
        <v/>
      </c>
      <c r="N58" s="125">
        <f>+AVERAGE(M57:N57)*N19*-1</f>
        <v/>
      </c>
      <c r="O58" s="125">
        <f>+AVERAGE(N57:O57)*O19*-1</f>
        <v/>
      </c>
      <c r="P58" s="125">
        <f>+AVERAGE(O57:P57)*P19*-1</f>
        <v/>
      </c>
      <c r="Q58" s="125">
        <f>+AVERAGE(P57:Q57)*Q19*-1</f>
        <v/>
      </c>
      <c r="R58" s="125">
        <f>+AVERAGE(Q57:R57)*R19*-1</f>
        <v/>
      </c>
      <c r="S58" s="125">
        <f>+AVERAGE(R57:S57)*S19*-1</f>
        <v/>
      </c>
    </row>
    <row r="59" customFormat="1" s="125">
      <c r="I59" s="227" t="n"/>
    </row>
    <row r="60" customFormat="1" s="125">
      <c r="A60" s="125" t="inlineStr">
        <is>
          <t>x</t>
        </is>
      </c>
      <c r="B60" s="128" t="inlineStr">
        <is>
          <t>Lease calcs</t>
        </is>
      </c>
      <c r="I60" s="227" t="n"/>
    </row>
    <row r="61" customFormat="1" s="125">
      <c r="B61" s="129" t="inlineStr">
        <is>
          <t>BoP lease liabilities</t>
        </is>
      </c>
      <c r="D61" s="129" t="n"/>
      <c r="E61" s="129" t="n"/>
      <c r="F61" s="129" t="n"/>
      <c r="G61" s="129" t="n"/>
      <c r="H61" s="129" t="n"/>
      <c r="I61" s="129" t="n"/>
      <c r="J61" s="129">
        <f>+I64</f>
        <v/>
      </c>
      <c r="K61" s="129">
        <f>+J64</f>
        <v/>
      </c>
      <c r="L61" s="129">
        <f>+K64</f>
        <v/>
      </c>
      <c r="M61" s="129">
        <f>+L64</f>
        <v/>
      </c>
      <c r="N61" s="129">
        <f>+M64</f>
        <v/>
      </c>
      <c r="O61" s="129">
        <f>+N64</f>
        <v/>
      </c>
      <c r="P61" s="129">
        <f>+O64</f>
        <v/>
      </c>
      <c r="Q61" s="129">
        <f>+P64</f>
        <v/>
      </c>
      <c r="R61" s="129">
        <f>+Q64</f>
        <v/>
      </c>
      <c r="S61" s="129">
        <f>+R64</f>
        <v/>
      </c>
    </row>
    <row r="62" customFormat="1" s="125">
      <c r="B62" s="129" t="inlineStr">
        <is>
          <t>Addition</t>
        </is>
      </c>
      <c r="D62" s="129" t="n"/>
      <c r="E62" s="129" t="n"/>
      <c r="F62" s="129" t="n"/>
      <c r="G62" s="129" t="n"/>
      <c r="H62" s="129" t="n"/>
      <c r="I62" s="171" t="n">
        <v>2.313</v>
      </c>
      <c r="J62" s="181">
        <f>+I62</f>
        <v/>
      </c>
      <c r="K62" s="181">
        <f>+J62</f>
        <v/>
      </c>
      <c r="L62" s="181">
        <f>+K62</f>
        <v/>
      </c>
      <c r="M62" s="181">
        <f>+L62</f>
        <v/>
      </c>
      <c r="N62" s="181">
        <f>+M62</f>
        <v/>
      </c>
      <c r="O62" s="181">
        <f>+N62</f>
        <v/>
      </c>
      <c r="P62" s="181">
        <f>+O62</f>
        <v/>
      </c>
      <c r="Q62" s="181">
        <f>+P62</f>
        <v/>
      </c>
      <c r="R62" s="181">
        <f>+Q62</f>
        <v/>
      </c>
      <c r="S62" s="181">
        <f>+R62</f>
        <v/>
      </c>
    </row>
    <row r="63" customFormat="1" s="125">
      <c r="B63" s="129" t="inlineStr">
        <is>
          <t>Repayment</t>
        </is>
      </c>
      <c r="D63" s="129" t="n"/>
      <c r="E63" s="129" t="n"/>
      <c r="F63" s="129" t="n"/>
      <c r="G63" s="129" t="n"/>
      <c r="H63" s="129" t="n"/>
      <c r="I63" s="171" t="n">
        <v>-9.494999999999999</v>
      </c>
      <c r="J63" s="181">
        <f>+J62*-1</f>
        <v/>
      </c>
      <c r="K63" s="181">
        <f>+K62*-1</f>
        <v/>
      </c>
      <c r="L63" s="181">
        <f>+L62*-1</f>
        <v/>
      </c>
      <c r="M63" s="181">
        <f>+M62*-1</f>
        <v/>
      </c>
      <c r="N63" s="181">
        <f>+N62*-1</f>
        <v/>
      </c>
      <c r="O63" s="181">
        <f>+O62*-1</f>
        <v/>
      </c>
      <c r="P63" s="181">
        <f>+P62*-1</f>
        <v/>
      </c>
      <c r="Q63" s="181">
        <f>+Q62*-1</f>
        <v/>
      </c>
      <c r="R63" s="181">
        <f>+R62*-1</f>
        <v/>
      </c>
      <c r="S63" s="181">
        <f>+S62*-1</f>
        <v/>
      </c>
    </row>
    <row r="64" customFormat="1" s="125">
      <c r="B64" s="172" t="inlineStr">
        <is>
          <t>EoP lease liabilities</t>
        </is>
      </c>
      <c r="C64" s="228" t="n"/>
      <c r="D64" s="172" t="n"/>
      <c r="E64" s="172" t="n"/>
      <c r="F64" s="172" t="n"/>
      <c r="G64" s="172" t="n"/>
      <c r="H64" s="226" t="n"/>
      <c r="I64" s="226">
        <f>+I9+I14</f>
        <v/>
      </c>
      <c r="J64" s="172">
        <f>SUM(J61:J63)</f>
        <v/>
      </c>
      <c r="K64" s="172">
        <f>SUM(K61:K63)</f>
        <v/>
      </c>
      <c r="L64" s="172">
        <f>SUM(L61:L63)</f>
        <v/>
      </c>
      <c r="M64" s="172">
        <f>SUM(M61:M63)</f>
        <v/>
      </c>
      <c r="N64" s="172">
        <f>SUM(N61:N63)</f>
        <v/>
      </c>
      <c r="O64" s="172">
        <f>SUM(O61:O63)</f>
        <v/>
      </c>
      <c r="P64" s="172">
        <f>SUM(P61:P63)</f>
        <v/>
      </c>
      <c r="Q64" s="172">
        <f>SUM(Q61:Q63)</f>
        <v/>
      </c>
      <c r="R64" s="172">
        <f>SUM(R61:R63)</f>
        <v/>
      </c>
      <c r="S64" s="172">
        <f>SUM(S61:S63)</f>
        <v/>
      </c>
    </row>
    <row r="65" customFormat="1" s="125">
      <c r="B65" s="125" t="inlineStr">
        <is>
          <t>Interest</t>
        </is>
      </c>
      <c r="D65" s="129" t="n"/>
      <c r="E65" s="129" t="n"/>
      <c r="F65" s="129" t="n"/>
      <c r="G65" s="129" t="n"/>
      <c r="H65" s="129" t="n"/>
      <c r="I65" s="129" t="n"/>
      <c r="J65" s="125">
        <f>+AVERAGE(I64:J64)*J20*-1</f>
        <v/>
      </c>
      <c r="K65" s="125">
        <f>+AVERAGE(J64:K64)*K20*-1</f>
        <v/>
      </c>
      <c r="L65" s="125">
        <f>+AVERAGE(K64:L64)*L20*-1</f>
        <v/>
      </c>
      <c r="M65" s="125">
        <f>+AVERAGE(L64:M64)*M20*-1</f>
        <v/>
      </c>
      <c r="N65" s="125">
        <f>+AVERAGE(M64:N64)*N20*-1</f>
        <v/>
      </c>
      <c r="O65" s="125">
        <f>+AVERAGE(N64:O64)*O20*-1</f>
        <v/>
      </c>
      <c r="P65" s="125">
        <f>+AVERAGE(O64:P64)*P20*-1</f>
        <v/>
      </c>
      <c r="Q65" s="125">
        <f>+AVERAGE(P64:Q64)*Q20*-1</f>
        <v/>
      </c>
      <c r="R65" s="125">
        <f>+AVERAGE(Q64:R64)*R20*-1</f>
        <v/>
      </c>
      <c r="S65" s="125">
        <f>+AVERAGE(R64:S64)*S20*-1</f>
        <v/>
      </c>
    </row>
    <row r="66" customFormat="1" s="125">
      <c r="D66" s="129" t="n"/>
      <c r="E66" s="129" t="n"/>
      <c r="F66" s="129" t="n"/>
      <c r="G66" s="129" t="n"/>
      <c r="H66" s="129" t="n"/>
      <c r="I66" s="129" t="n"/>
    </row>
    <row r="67">
      <c r="A67" s="129" t="inlineStr">
        <is>
          <t>x</t>
        </is>
      </c>
      <c r="B67" s="128" t="inlineStr">
        <is>
          <t>Cash calcs</t>
        </is>
      </c>
    </row>
    <row r="68">
      <c r="B68" s="129" t="inlineStr">
        <is>
          <t>BoP cash</t>
        </is>
      </c>
      <c r="J68" s="129">
        <f>+I70</f>
        <v/>
      </c>
      <c r="K68" s="129">
        <f>+J70</f>
        <v/>
      </c>
      <c r="L68" s="129">
        <f>+K70</f>
        <v/>
      </c>
      <c r="M68" s="129">
        <f>+L70</f>
        <v/>
      </c>
      <c r="N68" s="129">
        <f>+M70</f>
        <v/>
      </c>
      <c r="O68" s="129">
        <f>+N70</f>
        <v/>
      </c>
      <c r="P68" s="129">
        <f>+O70</f>
        <v/>
      </c>
      <c r="Q68" s="129">
        <f>+P70</f>
        <v/>
      </c>
      <c r="R68" s="129">
        <f>+Q70</f>
        <v/>
      </c>
      <c r="S68" s="129">
        <f>+R70</f>
        <v/>
      </c>
    </row>
    <row r="69">
      <c r="B69" s="129" t="inlineStr">
        <is>
          <t>Net cash flow</t>
        </is>
      </c>
      <c r="J69" s="129">
        <f>+J30+J39+J45+J51+J56</f>
        <v/>
      </c>
      <c r="K69" s="129">
        <f>+K30+K39+K45+K51+K56</f>
        <v/>
      </c>
      <c r="L69" s="129">
        <f>+L30+L39+L45+L51+L56</f>
        <v/>
      </c>
      <c r="M69" s="129">
        <f>+M30+M39+M45+M51+M56</f>
        <v/>
      </c>
      <c r="N69" s="129">
        <f>+N30+N39+N45+N51+N56</f>
        <v/>
      </c>
      <c r="O69" s="129">
        <f>+O30+O39+O45+O51+O56</f>
        <v/>
      </c>
      <c r="P69" s="129">
        <f>+P30+P39+P45+P51+P56</f>
        <v/>
      </c>
      <c r="Q69" s="129">
        <f>+Q30+Q39+Q45+Q51+Q56</f>
        <v/>
      </c>
      <c r="R69" s="129">
        <f>+R30+R39+R45+R51+R56</f>
        <v/>
      </c>
      <c r="S69" s="129">
        <f>+S30+S39+S45+S51+S56</f>
        <v/>
      </c>
    </row>
    <row r="70">
      <c r="B70" s="172" t="inlineStr">
        <is>
          <t>EoP cash</t>
        </is>
      </c>
      <c r="C70" s="172" t="n"/>
      <c r="D70" s="172" t="n"/>
      <c r="E70" s="172" t="n"/>
      <c r="F70" s="172" t="n"/>
      <c r="G70" s="172" t="n"/>
      <c r="H70" s="172" t="n"/>
      <c r="I70" s="216">
        <f>+'BS &amp; CFS'!I6</f>
        <v/>
      </c>
      <c r="J70" s="172">
        <f>SUM(J68:J69)</f>
        <v/>
      </c>
      <c r="K70" s="172">
        <f>SUM(K68:K69)</f>
        <v/>
      </c>
      <c r="L70" s="172">
        <f>SUM(L68:L69)</f>
        <v/>
      </c>
      <c r="M70" s="172">
        <f>SUM(M68:M69)</f>
        <v/>
      </c>
      <c r="N70" s="172">
        <f>SUM(N68:N69)</f>
        <v/>
      </c>
      <c r="O70" s="172">
        <f>SUM(O68:O69)</f>
        <v/>
      </c>
      <c r="P70" s="172">
        <f>SUM(P68:P69)</f>
        <v/>
      </c>
      <c r="Q70" s="172">
        <f>SUM(Q68:Q69)</f>
        <v/>
      </c>
      <c r="R70" s="172">
        <f>SUM(R68:R69)</f>
        <v/>
      </c>
      <c r="S70" s="172">
        <f>SUM(S68:S69)</f>
        <v/>
      </c>
    </row>
    <row r="71">
      <c r="B71" s="125" t="inlineStr">
        <is>
          <t>Interest</t>
        </is>
      </c>
      <c r="J71" s="125">
        <f>+AVERAGE(I70:J70)*J17</f>
        <v/>
      </c>
      <c r="K71" s="125">
        <f>+AVERAGE(J70:K70)*K17</f>
        <v/>
      </c>
      <c r="L71" s="125">
        <f>+AVERAGE(K70:L70)*L17</f>
        <v/>
      </c>
      <c r="M71" s="125">
        <f>+AVERAGE(L70:M70)*M17</f>
        <v/>
      </c>
      <c r="N71" s="125">
        <f>+AVERAGE(M70:N70)*N17</f>
        <v/>
      </c>
      <c r="O71" s="125">
        <f>+AVERAGE(N70:O70)*O17</f>
        <v/>
      </c>
      <c r="P71" s="125">
        <f>+AVERAGE(O70:P70)*P17</f>
        <v/>
      </c>
      <c r="Q71" s="125">
        <f>+AVERAGE(P70:Q70)*Q17</f>
        <v/>
      </c>
      <c r="R71" s="125">
        <f>+AVERAGE(Q70:R70)*R17</f>
        <v/>
      </c>
      <c r="S71" s="125">
        <f>+AVERAGE(R70:S70)*S17</f>
        <v/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baseColWidth="8" defaultColWidth="15.73046875" defaultRowHeight="14.25"/>
  <cols>
    <col width="1.73046875" customWidth="1" style="124" min="1" max="1"/>
    <col width="15.73046875" customWidth="1" style="124" min="2" max="2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3">
      <c r="A3" s="125" t="n"/>
    </row>
    <row r="4">
      <c r="A4" s="125" t="n"/>
      <c r="E4" s="229" t="inlineStr">
        <is>
          <t>Q1/FY23</t>
        </is>
      </c>
      <c r="F4" s="229" t="inlineStr">
        <is>
          <t>Q2/FY23</t>
        </is>
      </c>
      <c r="G4" s="229" t="inlineStr">
        <is>
          <t>Q3/FY23</t>
        </is>
      </c>
      <c r="H4" s="229" t="inlineStr">
        <is>
          <t>Q4/FY23</t>
        </is>
      </c>
    </row>
    <row r="5">
      <c r="A5" s="125" t="n"/>
      <c r="E5" s="229" t="n"/>
    </row>
    <row r="6">
      <c r="A6" s="129" t="inlineStr">
        <is>
          <t>x</t>
        </is>
      </c>
      <c r="B6" s="128" t="inlineStr">
        <is>
          <t>P&amp;L</t>
        </is>
      </c>
    </row>
    <row r="7">
      <c r="B7" s="184" t="inlineStr">
        <is>
          <t>Content production and distribution</t>
        </is>
      </c>
      <c r="E7" s="171" t="n">
        <v>52.761</v>
      </c>
    </row>
    <row r="8">
      <c r="B8" s="184" t="inlineStr">
        <is>
          <t>WildBrain Spark</t>
        </is>
      </c>
      <c r="E8" s="171" t="n">
        <v>11.617</v>
      </c>
    </row>
    <row r="9">
      <c r="B9" s="184" t="inlineStr">
        <is>
          <t>Consumer Products</t>
        </is>
      </c>
      <c r="E9" s="171" t="n">
        <v>52.101</v>
      </c>
    </row>
    <row r="10">
      <c r="B10" s="129" t="inlineStr">
        <is>
          <t>Canadian Television</t>
        </is>
      </c>
      <c r="E10" s="171" t="n">
        <v>10.173</v>
      </c>
    </row>
    <row r="11">
      <c r="B11" s="167" t="inlineStr">
        <is>
          <t>Total revenue</t>
        </is>
      </c>
      <c r="C11" s="167" t="n"/>
      <c r="D11" s="167" t="n"/>
      <c r="E11" s="167">
        <f>SUM(E7:E10)</f>
        <v/>
      </c>
    </row>
    <row r="13">
      <c r="B13" s="165" t="inlineStr">
        <is>
          <t>Content</t>
        </is>
      </c>
      <c r="E13" s="171" t="n">
        <v>48.723</v>
      </c>
    </row>
    <row r="14">
      <c r="B14" s="165" t="inlineStr">
        <is>
          <t>Canadian TV</t>
        </is>
      </c>
      <c r="E14" s="171" t="n">
        <v>6.554</v>
      </c>
      <c r="F14" s="162" t="n"/>
    </row>
    <row r="15" customFormat="1" s="132">
      <c r="B15" s="167" t="inlineStr">
        <is>
          <t>Gross profits</t>
        </is>
      </c>
      <c r="C15" s="167" t="n"/>
      <c r="D15" s="167" t="n"/>
      <c r="E15" s="167">
        <f>+E14+E13</f>
        <v/>
      </c>
    </row>
    <row r="16" customFormat="1" s="125">
      <c r="B16" s="125" t="inlineStr">
        <is>
          <t>Gross margins %</t>
        </is>
      </c>
      <c r="E16" s="169">
        <f>+E15/E11</f>
        <v/>
      </c>
    </row>
    <row r="17" customFormat="1" s="125">
      <c r="B17" s="125" t="inlineStr">
        <is>
          <t>Content GM %</t>
        </is>
      </c>
      <c r="E17" s="169">
        <f>+E13/SUM(E7:E9)</f>
        <v/>
      </c>
    </row>
    <row r="18" customFormat="1" s="125">
      <c r="B18" s="125" t="inlineStr">
        <is>
          <t>TV GM %</t>
        </is>
      </c>
      <c r="E18" s="169">
        <f>+E14/E10</f>
        <v/>
      </c>
    </row>
    <row r="20">
      <c r="B20" s="129">
        <f>+'P&amp;L'!B16</f>
        <v/>
      </c>
      <c r="E20" s="171" t="n">
        <v>-2.349</v>
      </c>
    </row>
    <row r="21">
      <c r="B21" s="129">
        <f>+'P&amp;L'!B17</f>
        <v/>
      </c>
      <c r="E21" s="171" t="n">
        <v>-6.274</v>
      </c>
    </row>
    <row r="22">
      <c r="B22" s="129">
        <f>+'P&amp;L'!B18</f>
        <v/>
      </c>
      <c r="E22" s="171" t="n">
        <v>0</v>
      </c>
    </row>
    <row r="23">
      <c r="E23" s="171" t="n"/>
    </row>
    <row r="24">
      <c r="B24" s="129">
        <f>+'P&amp;L'!B20</f>
        <v/>
      </c>
      <c r="E24" s="171" t="n">
        <v>-25.728</v>
      </c>
    </row>
    <row r="25">
      <c r="B25" s="129">
        <f>+'P&amp;L'!B21</f>
        <v/>
      </c>
      <c r="E25" s="171" t="n">
        <v>-1.327</v>
      </c>
    </row>
    <row r="26">
      <c r="B26" s="129">
        <f>+'P&amp;L'!B22</f>
        <v/>
      </c>
      <c r="E26" s="171" t="n">
        <v>-8.803000000000001</v>
      </c>
    </row>
    <row r="27">
      <c r="B27" s="129">
        <f>+'P&amp;L'!B23</f>
        <v/>
      </c>
      <c r="E27" s="171" t="n">
        <v>6.034</v>
      </c>
    </row>
    <row r="28">
      <c r="B28" s="129">
        <f>+'P&amp;L'!B24</f>
        <v/>
      </c>
      <c r="E28" s="171" t="n">
        <v>-12.456</v>
      </c>
    </row>
    <row r="29">
      <c r="B29" s="129">
        <f>+'P&amp;L'!B25</f>
        <v/>
      </c>
      <c r="E29" s="171" t="n">
        <v>-1.568</v>
      </c>
    </row>
    <row r="31" customFormat="1" s="132">
      <c r="B31" s="132" t="inlineStr">
        <is>
          <t>EBT</t>
        </is>
      </c>
      <c r="E31" s="132">
        <f>+E15+SUM(E20:E22,E24:E29)</f>
        <v/>
      </c>
      <c r="I31" s="129" t="n"/>
    </row>
    <row r="32" customFormat="1" s="125">
      <c r="B32" s="125" t="inlineStr">
        <is>
          <t>% margin</t>
        </is>
      </c>
      <c r="E32" s="169">
        <f>+E31/E11</f>
        <v/>
      </c>
    </row>
    <row r="34">
      <c r="B34" s="165" t="inlineStr">
        <is>
          <t>Current income taxes (paid) / recovered</t>
        </is>
      </c>
      <c r="E34" s="171" t="n">
        <v>-0.613</v>
      </c>
    </row>
    <row r="35">
      <c r="B35" s="165" t="inlineStr">
        <is>
          <t>Deferred income taxes (paid) / recovered</t>
        </is>
      </c>
      <c r="E35" s="171" t="n">
        <v>1.545</v>
      </c>
    </row>
    <row r="36">
      <c r="B36" s="129" t="inlineStr">
        <is>
          <t xml:space="preserve">Total </t>
        </is>
      </c>
      <c r="E36" s="129">
        <f>SUM(E34:E35)</f>
        <v/>
      </c>
    </row>
    <row r="38">
      <c r="B38" s="129" t="inlineStr">
        <is>
          <t>Net income</t>
        </is>
      </c>
      <c r="E38" s="129">
        <f>+E31+E36</f>
        <v/>
      </c>
    </row>
    <row r="39">
      <c r="B39" s="165" t="inlineStr">
        <is>
          <t>Attributable to NCI</t>
        </is>
      </c>
      <c r="E39" s="171" t="n">
        <v>11.31</v>
      </c>
    </row>
    <row r="40">
      <c r="B40" s="182" t="inlineStr">
        <is>
          <t>Attributable to common</t>
        </is>
      </c>
      <c r="E40" s="129">
        <f>+E38-E39</f>
        <v/>
      </c>
    </row>
    <row r="42">
      <c r="B42" s="129" t="inlineStr">
        <is>
          <t>Basic EPS (CAD)</t>
        </is>
      </c>
      <c r="E42" s="183" t="n">
        <v>-0.04</v>
      </c>
    </row>
    <row r="43">
      <c r="B43" s="129" t="inlineStr">
        <is>
          <t>Diluted EPS (CAD)</t>
        </is>
      </c>
      <c r="E43" s="183" t="n">
        <v>-0.06</v>
      </c>
    </row>
    <row r="45">
      <c r="B45" s="129" t="inlineStr">
        <is>
          <t>Basic - WASO</t>
        </is>
      </c>
      <c r="E45" s="171" t="n">
        <v>173.113</v>
      </c>
    </row>
    <row r="46">
      <c r="B46" s="129" t="inlineStr">
        <is>
          <t>Diluted - WASO</t>
        </is>
      </c>
      <c r="E46" s="171" t="n">
        <v>190.354</v>
      </c>
    </row>
    <row r="48">
      <c r="B48" s="129" t="inlineStr">
        <is>
          <t>Dividend to common</t>
        </is>
      </c>
      <c r="E48" s="171" t="n">
        <v>0</v>
      </c>
    </row>
    <row r="49">
      <c r="B49" s="129" t="inlineStr">
        <is>
          <t>Distribution to NCI</t>
        </is>
      </c>
      <c r="E49" s="171" t="n">
        <v>-2.378</v>
      </c>
    </row>
    <row r="51">
      <c r="A51" s="129" t="inlineStr">
        <is>
          <t>x</t>
        </is>
      </c>
      <c r="B51" s="128" t="inlineStr">
        <is>
          <t>BS</t>
        </is>
      </c>
    </row>
    <row r="52">
      <c r="B52" s="129" t="inlineStr">
        <is>
          <t>Cash &amp; Equivalents</t>
        </is>
      </c>
      <c r="E52" s="171" t="n">
        <v>62.075</v>
      </c>
    </row>
    <row r="53">
      <c r="B53" s="129" t="inlineStr">
        <is>
          <t>Restricted Cash</t>
        </is>
      </c>
      <c r="E53" s="171" t="n">
        <v>8.763999999999999</v>
      </c>
    </row>
    <row r="54">
      <c r="B54" s="129" t="inlineStr">
        <is>
          <t>Accounts Receivable</t>
        </is>
      </c>
      <c r="E54" s="171" t="n">
        <v>299.003</v>
      </c>
    </row>
    <row r="55">
      <c r="B55" s="129" t="inlineStr">
        <is>
          <t>Prepaid Expenses and Deposits</t>
        </is>
      </c>
      <c r="E55" s="171" t="n">
        <v>7.636</v>
      </c>
    </row>
    <row r="56">
      <c r="B56" s="129" t="inlineStr">
        <is>
          <t>Investment in Film and Television Programs</t>
        </is>
      </c>
      <c r="E56" s="171" t="n">
        <v>165.982</v>
      </c>
    </row>
    <row r="57">
      <c r="B57" s="132" t="inlineStr">
        <is>
          <t>Total Current Assets</t>
        </is>
      </c>
      <c r="E57" s="167">
        <f>SUM(E52:E56)</f>
        <v/>
      </c>
    </row>
    <row r="59">
      <c r="B59" s="129" t="inlineStr">
        <is>
          <t>LT receivables</t>
        </is>
      </c>
      <c r="E59" s="171" t="n">
        <v>95.827</v>
      </c>
    </row>
    <row r="60">
      <c r="B60" s="129" t="inlineStr">
        <is>
          <t>Acquired and library content</t>
        </is>
      </c>
      <c r="E60" s="171" t="n">
        <v>95.52</v>
      </c>
    </row>
    <row r="61">
      <c r="B61" s="129" t="inlineStr">
        <is>
          <t>Property, Plant &amp; Equipment</t>
        </is>
      </c>
      <c r="E61" s="171" t="n">
        <v>38.039</v>
      </c>
    </row>
    <row r="62">
      <c r="B62" s="129" t="inlineStr">
        <is>
          <t>Derivative assets</t>
        </is>
      </c>
      <c r="E62" s="171" t="n">
        <v>11.864</v>
      </c>
    </row>
    <row r="63">
      <c r="B63" s="129" t="inlineStr">
        <is>
          <t>Intangible Assets</t>
        </is>
      </c>
      <c r="E63" s="171" t="n">
        <v>466.614</v>
      </c>
    </row>
    <row r="64">
      <c r="B64" s="129" t="inlineStr">
        <is>
          <t>Goodwill</t>
        </is>
      </c>
      <c r="E64" s="171" t="n">
        <v>55.484</v>
      </c>
    </row>
    <row r="65">
      <c r="B65" s="132" t="inlineStr">
        <is>
          <t>Total Assets</t>
        </is>
      </c>
      <c r="E65" s="167">
        <f>SUM(E59:E64)+E57</f>
        <v/>
      </c>
    </row>
    <row r="67">
      <c r="B67" s="129" t="inlineStr">
        <is>
          <t>Bank Indebtedness</t>
        </is>
      </c>
      <c r="E67" s="171" t="n">
        <v>21.392</v>
      </c>
    </row>
    <row r="68">
      <c r="B68" s="129" t="inlineStr">
        <is>
          <t>Accounts Payable and Accrued Liabilities</t>
        </is>
      </c>
      <c r="E68" s="171" t="n">
        <v>168.288</v>
      </c>
    </row>
    <row r="69">
      <c r="B69" s="129" t="inlineStr">
        <is>
          <t>Deferred Revenue</t>
        </is>
      </c>
      <c r="E69" s="171" t="n">
        <v>70.387</v>
      </c>
    </row>
    <row r="70">
      <c r="B70" s="129" t="inlineStr">
        <is>
          <t>Production Financing</t>
        </is>
      </c>
      <c r="E70" s="171" t="n">
        <v>112.527</v>
      </c>
    </row>
    <row r="71">
      <c r="B71" s="129" t="inlineStr">
        <is>
          <t>Current Portion of Lease Liabilities</t>
        </is>
      </c>
      <c r="E71" s="171" t="n">
        <v>10.208</v>
      </c>
    </row>
    <row r="72">
      <c r="B72" s="129" t="inlineStr">
        <is>
          <t>Current Portion of Long-Term Debt</t>
        </is>
      </c>
      <c r="E72" s="171" t="n">
        <v>29.51</v>
      </c>
    </row>
    <row r="73">
      <c r="B73" s="132" t="inlineStr">
        <is>
          <t>Total Current Liabilities</t>
        </is>
      </c>
      <c r="E73" s="167">
        <f>SUM(E67:E72)</f>
        <v/>
      </c>
    </row>
    <row r="75">
      <c r="B75" s="129" t="inlineStr">
        <is>
          <t>Long-Term Debt</t>
        </is>
      </c>
      <c r="E75" s="171" t="n">
        <v>501.258</v>
      </c>
    </row>
    <row r="76">
      <c r="B76" s="129" t="inlineStr">
        <is>
          <t>Long-Term Lease Liabilities</t>
        </is>
      </c>
      <c r="E76" s="171" t="n">
        <v>24.935</v>
      </c>
    </row>
    <row r="77">
      <c r="B77" s="129" t="inlineStr">
        <is>
          <t>Deferred Taxes</t>
        </is>
      </c>
      <c r="E77" s="171" t="n">
        <v>5.431</v>
      </c>
    </row>
    <row r="78">
      <c r="B78" s="129" t="inlineStr">
        <is>
          <t>Other Long-Term Liabilities (incl. derivatives)</t>
        </is>
      </c>
      <c r="E78" s="171">
        <f>(1764+19742)/1000</f>
        <v/>
      </c>
    </row>
    <row r="79">
      <c r="B79" s="132" t="inlineStr">
        <is>
          <t>Total Liabilities</t>
        </is>
      </c>
      <c r="E79" s="167">
        <f>SUM(E75:E78)+E73</f>
        <v/>
      </c>
    </row>
    <row r="81">
      <c r="B81" s="129" t="inlineStr">
        <is>
          <t>Equity to common</t>
        </is>
      </c>
      <c r="E81" s="171" t="n">
        <v>80.863</v>
      </c>
    </row>
    <row r="82">
      <c r="B82" s="129" t="inlineStr">
        <is>
          <t>NCI</t>
        </is>
      </c>
      <c r="E82" s="171" t="n">
        <v>260.503</v>
      </c>
    </row>
    <row r="83">
      <c r="B83" s="132" t="inlineStr">
        <is>
          <t>Total Equity</t>
        </is>
      </c>
      <c r="E83" s="167">
        <f>SUM(E81:E82)</f>
        <v/>
      </c>
    </row>
    <row r="85">
      <c r="B85" s="129" t="inlineStr">
        <is>
          <t xml:space="preserve">Balance </t>
        </is>
      </c>
      <c r="E85" s="129">
        <f>+E65=E79+E83</f>
        <v/>
      </c>
    </row>
    <row r="87">
      <c r="B87" s="167" t="inlineStr">
        <is>
          <t>NWC (excl. investment in film and TV)</t>
        </is>
      </c>
      <c r="C87" s="167" t="n"/>
      <c r="D87" s="167" t="n"/>
      <c r="E87" s="167">
        <f>+SUM(E54:E55,E59)-SUM(E68:E69)</f>
        <v/>
      </c>
    </row>
    <row r="88">
      <c r="B88" s="132" t="inlineStr">
        <is>
          <t>NWC (incl. investment in film and TV)</t>
        </is>
      </c>
      <c r="C88" s="132" t="n"/>
      <c r="D88" s="132" t="n"/>
      <c r="E88" s="132">
        <f>+E87+E56</f>
        <v/>
      </c>
    </row>
    <row r="89">
      <c r="B89" s="132" t="n"/>
      <c r="C89" s="132" t="n"/>
      <c r="D89" s="132" t="n"/>
      <c r="E89" s="132" t="n"/>
    </row>
    <row r="90">
      <c r="B90" s="132" t="inlineStr">
        <is>
          <t>Total cash excl restricted cash</t>
        </is>
      </c>
      <c r="C90" s="132" t="n"/>
      <c r="D90" s="132" t="n"/>
      <c r="E90" s="132">
        <f>+E52</f>
        <v/>
      </c>
    </row>
    <row r="91">
      <c r="B91" s="132" t="inlineStr">
        <is>
          <t>Total cash incl restricted cash</t>
        </is>
      </c>
      <c r="C91" s="132" t="n"/>
      <c r="D91" s="132" t="n"/>
      <c r="E91" s="132">
        <f>+E90+E53</f>
        <v/>
      </c>
    </row>
    <row r="92">
      <c r="B92" s="132" t="n"/>
      <c r="C92" s="132" t="n"/>
      <c r="D92" s="132" t="n"/>
      <c r="E92" s="132" t="n"/>
    </row>
    <row r="93">
      <c r="B93" s="132" t="inlineStr">
        <is>
          <t>Total debt excl lease</t>
        </is>
      </c>
      <c r="C93" s="132" t="n"/>
      <c r="D93" s="132" t="n"/>
      <c r="E93" s="132">
        <f>+E67+E72+E75+E70</f>
        <v/>
      </c>
    </row>
    <row r="94">
      <c r="B94" s="132" t="inlineStr">
        <is>
          <t>Total debt incl lease</t>
        </is>
      </c>
      <c r="C94" s="132" t="n"/>
      <c r="D94" s="132" t="n"/>
      <c r="E94" s="132">
        <f>+E93+E71+E76</f>
        <v/>
      </c>
    </row>
    <row r="95">
      <c r="B95" s="132" t="n"/>
      <c r="C95" s="132" t="n"/>
      <c r="D95" s="132" t="n"/>
      <c r="E95" s="132" t="n"/>
    </row>
    <row r="96">
      <c r="B96" s="191" t="inlineStr">
        <is>
          <t>Net debt (excl restricted cash, incl leases)</t>
        </is>
      </c>
      <c r="C96" s="191" t="n"/>
      <c r="D96" s="191" t="n"/>
      <c r="E96" s="191">
        <f>+E94-E90</f>
        <v/>
      </c>
    </row>
    <row r="98">
      <c r="A98" s="129" t="inlineStr">
        <is>
          <t>x</t>
        </is>
      </c>
      <c r="B98" s="128" t="inlineStr">
        <is>
          <t>CFS (based on FS)</t>
        </is>
      </c>
    </row>
    <row r="99">
      <c r="B99" s="129" t="inlineStr">
        <is>
          <t>Net income for the year</t>
        </is>
      </c>
      <c r="E99" s="171" t="n">
        <v>3.738</v>
      </c>
    </row>
    <row r="100">
      <c r="B100" s="129" t="inlineStr">
        <is>
          <t>Amortization of property and equipment</t>
        </is>
      </c>
      <c r="E100" s="171" t="n">
        <v>2.709</v>
      </c>
    </row>
    <row r="101">
      <c r="B101" s="129" t="inlineStr">
        <is>
          <t>Amortization of intangible assets</t>
        </is>
      </c>
      <c r="E101" s="171" t="n">
        <v>3.565</v>
      </c>
    </row>
    <row r="102">
      <c r="B102" s="129" t="inlineStr">
        <is>
          <t>Amortization of acquired and library content</t>
        </is>
      </c>
      <c r="E102" s="171" t="n">
        <v>2.349</v>
      </c>
    </row>
    <row r="103">
      <c r="B103" s="129" t="inlineStr">
        <is>
          <t>Accretion expense and amortization of deferred financing fees</t>
        </is>
      </c>
      <c r="E103" s="171" t="n">
        <v>3.477</v>
      </c>
    </row>
    <row r="104">
      <c r="B104" s="129" t="inlineStr">
        <is>
          <t>Unrealized foreign exchange loss (gain)</t>
        </is>
      </c>
      <c r="E104" s="171" t="n">
        <v>24.322</v>
      </c>
    </row>
    <row r="105">
      <c r="B105" s="129" t="inlineStr">
        <is>
          <t>Share-based compensation</t>
        </is>
      </c>
      <c r="E105" s="171" t="n">
        <v>1.327</v>
      </c>
    </row>
    <row r="106">
      <c r="B106" s="129" t="inlineStr">
        <is>
          <t>Change in fair value of embedded derivatives</t>
        </is>
      </c>
      <c r="E106" s="171" t="n">
        <v>-6.034</v>
      </c>
    </row>
    <row r="107">
      <c r="B107" s="129" t="inlineStr">
        <is>
          <t>Change in fair value of interest rate swap</t>
        </is>
      </c>
      <c r="E107" s="171" t="n">
        <v>-3.019</v>
      </c>
    </row>
    <row r="108">
      <c r="B108" s="129" t="inlineStr">
        <is>
          <t>Interest income</t>
        </is>
      </c>
      <c r="E108" s="171" t="n">
        <v>-1.303</v>
      </c>
    </row>
    <row r="109">
      <c r="B109" s="129" t="inlineStr">
        <is>
          <t>Interest expense</t>
        </is>
      </c>
      <c r="E109" s="171" t="n">
        <v>9.648</v>
      </c>
    </row>
    <row r="110">
      <c r="B110" s="129" t="inlineStr">
        <is>
          <t>Deferred tax recovery</t>
        </is>
      </c>
      <c r="E110" s="171" t="n">
        <v>-1.545</v>
      </c>
    </row>
    <row r="111">
      <c r="B111" s="129" t="inlineStr">
        <is>
          <t>Write-down of investment in film and television programs</t>
        </is>
      </c>
      <c r="E111" s="171" t="n">
        <v>0</v>
      </c>
    </row>
    <row r="112">
      <c r="B112" s="129" t="inlineStr">
        <is>
          <t>Write-down of acquired and library content</t>
        </is>
      </c>
      <c r="E112" s="171" t="n">
        <v>0</v>
      </c>
    </row>
    <row r="113">
      <c r="B113" s="129" t="inlineStr">
        <is>
          <t>Reversal of right-of-use asset impairment (note 21)</t>
        </is>
      </c>
      <c r="E113" s="171" t="n">
        <v>0</v>
      </c>
    </row>
    <row r="114">
      <c r="B114" s="129" t="inlineStr">
        <is>
          <t>Net investment in film and television programs (note 25)</t>
        </is>
      </c>
      <c r="E114" s="171" t="n">
        <v>-5.255</v>
      </c>
    </row>
    <row r="115">
      <c r="B115" s="129" t="inlineStr">
        <is>
          <t>Net change in non-cash balances related to operations (note 25)</t>
        </is>
      </c>
      <c r="E115" s="171" t="n">
        <v>-57.303</v>
      </c>
    </row>
    <row r="116">
      <c r="A116" s="132" t="n"/>
      <c r="B116" s="167" t="inlineStr">
        <is>
          <t>OCF</t>
        </is>
      </c>
      <c r="C116" s="167" t="n"/>
      <c r="D116" s="167" t="n"/>
      <c r="E116" s="167">
        <f>SUM(E99:E115)</f>
        <v/>
      </c>
    </row>
    <row r="118">
      <c r="B118" s="129" t="inlineStr">
        <is>
          <t>Acquisition of acquired and library content (note 5)</t>
        </is>
      </c>
      <c r="E118" s="171" t="n">
        <v>-0.24</v>
      </c>
    </row>
    <row r="119">
      <c r="B119" s="129" t="inlineStr">
        <is>
          <t>Acquisition of property and equipment</t>
        </is>
      </c>
      <c r="E119" s="171" t="n">
        <v>0</v>
      </c>
    </row>
    <row r="120">
      <c r="B120" s="129" t="inlineStr">
        <is>
          <t>Acquisition of intangible assets</t>
        </is>
      </c>
      <c r="E120" s="171" t="n">
        <v>-1.696</v>
      </c>
    </row>
    <row r="121">
      <c r="B121" s="167" t="inlineStr">
        <is>
          <t>Investing cash flow</t>
        </is>
      </c>
      <c r="C121" s="167" t="n"/>
      <c r="D121" s="167" t="n"/>
      <c r="E121" s="167">
        <f>SUM(E118:E120)</f>
        <v/>
      </c>
    </row>
    <row r="123">
      <c r="B123" s="129" t="inlineStr">
        <is>
          <t>Common shares issued, net of issuance costs</t>
        </is>
      </c>
      <c r="E123" s="171" t="n">
        <v>0.018</v>
      </c>
    </row>
    <row r="124">
      <c r="B124" s="129" t="inlineStr">
        <is>
          <t>Payroll taxes remitted on net share settlement</t>
        </is>
      </c>
      <c r="E124" s="171" t="n">
        <v>0</v>
      </c>
    </row>
    <row r="125">
      <c r="B125" s="129" t="inlineStr">
        <is>
          <t>Common share purchased held in trust, net</t>
        </is>
      </c>
      <c r="E125" s="171" t="n">
        <v>-0.045</v>
      </c>
    </row>
    <row r="126">
      <c r="B126" s="129" t="inlineStr">
        <is>
          <t>Distributions to non-controlling interests</t>
        </is>
      </c>
      <c r="E126" s="171" t="n">
        <v>-2.378</v>
      </c>
    </row>
    <row r="127">
      <c r="B127" s="129" t="inlineStr">
        <is>
          <t>Proceeds from (repayment of) bank indebtedness</t>
        </is>
      </c>
      <c r="E127" s="171" t="n">
        <v>12.305</v>
      </c>
    </row>
    <row r="128">
      <c r="B128" s="129" t="inlineStr">
        <is>
          <t>(Repayment of) proceeds from long-term debt</t>
        </is>
      </c>
      <c r="E128" s="171" t="n">
        <v>-0.977</v>
      </c>
    </row>
    <row r="129">
      <c r="B129" s="129" t="inlineStr">
        <is>
          <t>Interest paid on long-term debt</t>
        </is>
      </c>
      <c r="E129" s="171" t="n">
        <v>-9.09</v>
      </c>
    </row>
    <row r="130">
      <c r="B130" s="129" t="inlineStr">
        <is>
          <t>Realized foreign exchange on long term debt repayment</t>
        </is>
      </c>
      <c r="E130" s="171" t="n">
        <v>-0.058</v>
      </c>
    </row>
    <row r="131">
      <c r="B131" s="129" t="inlineStr">
        <is>
          <t>Repayment of obligations under finance leases</t>
        </is>
      </c>
      <c r="E131" s="171" t="n">
        <v>-2.331</v>
      </c>
    </row>
    <row r="132">
      <c r="B132" s="129" t="inlineStr">
        <is>
          <t>Proceeds from (repayment of) interim production financing, net (note 25)</t>
        </is>
      </c>
      <c r="E132" s="171" t="n">
        <v>28.292</v>
      </c>
    </row>
    <row r="133">
      <c r="A133" s="132" t="n"/>
      <c r="B133" s="167" t="inlineStr">
        <is>
          <t>Financing cash flow</t>
        </is>
      </c>
      <c r="C133" s="167" t="n"/>
      <c r="D133" s="167" t="n"/>
      <c r="E133" s="167">
        <f>SUM(E123:E132)</f>
        <v/>
      </c>
    </row>
    <row r="135">
      <c r="B135" s="129" t="inlineStr">
        <is>
          <t>FX impact</t>
        </is>
      </c>
      <c r="E135" s="171" t="n">
        <v>1.629</v>
      </c>
    </row>
    <row r="137">
      <c r="B137" s="129" t="inlineStr">
        <is>
          <t>Net change in cash</t>
        </is>
      </c>
      <c r="E137" s="129">
        <f>+E135+E133+E121+E116</f>
        <v/>
      </c>
    </row>
  </sheetData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J34"/>
  <sheetViews>
    <sheetView showGridLines="0" zoomScale="85" zoomScaleNormal="85" workbookViewId="0">
      <selection activeCell="H43" sqref="H43"/>
    </sheetView>
  </sheetViews>
  <sheetFormatPr baseColWidth="8" defaultColWidth="15.73046875" defaultRowHeight="14.25"/>
  <cols>
    <col width="1.73046875" customWidth="1" style="124" min="1" max="1"/>
    <col width="15.73046875" customWidth="1" style="124" min="2" max="2"/>
  </cols>
  <sheetData>
    <row r="1">
      <c r="A1" s="125" t="inlineStr">
        <is>
          <t>in CADm unless otherwise stated</t>
        </is>
      </c>
    </row>
    <row r="2">
      <c r="A2" s="125" t="inlineStr">
        <is>
          <t>FYE June</t>
        </is>
      </c>
    </row>
    <row r="4">
      <c r="E4" s="173" t="inlineStr">
        <is>
          <t>FY2022</t>
        </is>
      </c>
      <c r="F4" s="173" t="inlineStr">
        <is>
          <t>FY2023</t>
        </is>
      </c>
      <c r="G4" s="173" t="inlineStr">
        <is>
          <t>FY2024</t>
        </is>
      </c>
      <c r="H4" s="173" t="inlineStr">
        <is>
          <t>FY2025</t>
        </is>
      </c>
      <c r="I4" s="173" t="inlineStr">
        <is>
          <t>FY2026</t>
        </is>
      </c>
      <c r="J4" s="173" t="inlineStr">
        <is>
          <t>FY2027</t>
        </is>
      </c>
    </row>
    <row r="5">
      <c r="F5" s="173" t="n"/>
    </row>
    <row r="6">
      <c r="A6" s="129" t="inlineStr">
        <is>
          <t>x</t>
        </is>
      </c>
      <c r="B6" s="128" t="inlineStr">
        <is>
          <t>Mgmt guidance</t>
        </is>
      </c>
    </row>
    <row r="7">
      <c r="B7" s="129" t="inlineStr">
        <is>
          <t>Revenue</t>
        </is>
      </c>
      <c r="E7" s="230" t="inlineStr">
        <is>
          <t>CAD480 - 500m</t>
        </is>
      </c>
      <c r="F7" s="230" t="inlineStr">
        <is>
          <t>CAD525 - 575m</t>
        </is>
      </c>
    </row>
    <row r="8">
      <c r="B8" s="129" t="inlineStr">
        <is>
          <t>Midpoint</t>
        </is>
      </c>
      <c r="E8" s="171" t="n">
        <v>490</v>
      </c>
      <c r="F8" s="171" t="n">
        <v>550</v>
      </c>
    </row>
    <row r="10">
      <c r="B10" s="129" t="inlineStr">
        <is>
          <t>Proportionate Adj EBITDA (co defined)</t>
        </is>
      </c>
      <c r="E10" s="230" t="inlineStr">
        <is>
          <t>CAD87 - 93m</t>
        </is>
      </c>
      <c r="F10" s="230" t="inlineStr">
        <is>
          <t>CAD95 - 105m</t>
        </is>
      </c>
    </row>
    <row r="11">
      <c r="B11" s="129" t="inlineStr">
        <is>
          <t>Midpoint</t>
        </is>
      </c>
      <c r="E11" s="171" t="n">
        <v>90</v>
      </c>
      <c r="F11" s="171" t="n">
        <v>100</v>
      </c>
    </row>
    <row r="13">
      <c r="A13" s="129" t="inlineStr">
        <is>
          <t>x</t>
        </is>
      </c>
      <c r="B13" s="128" t="inlineStr">
        <is>
          <t>Street view</t>
        </is>
      </c>
    </row>
    <row r="14">
      <c r="B14" s="165" t="inlineStr">
        <is>
          <t>Benchmark</t>
        </is>
      </c>
      <c r="E14" s="171" t="n">
        <v>498.75</v>
      </c>
      <c r="F14" s="171" t="n">
        <v>545.956</v>
      </c>
      <c r="G14" s="171" t="n">
        <v>600.17</v>
      </c>
      <c r="H14" s="171" t="n"/>
      <c r="I14" s="171" t="n"/>
      <c r="J14" s="171" t="n"/>
    </row>
    <row r="15">
      <c r="B15" s="165" t="inlineStr">
        <is>
          <t>RBC</t>
        </is>
      </c>
      <c r="E15" s="171" t="n">
        <v>503.4</v>
      </c>
      <c r="F15" s="171" t="n">
        <v>543</v>
      </c>
      <c r="G15" s="171" t="n">
        <v>599</v>
      </c>
      <c r="H15" s="171" t="n">
        <v>640.2</v>
      </c>
      <c r="I15" s="171" t="n"/>
      <c r="J15" s="171" t="n"/>
    </row>
    <row r="16">
      <c r="B16" s="165" t="inlineStr">
        <is>
          <t>NBC</t>
        </is>
      </c>
      <c r="E16" s="171" t="n">
        <v>505.6</v>
      </c>
      <c r="F16" s="171" t="n">
        <v>550.8</v>
      </c>
      <c r="G16" s="171" t="n">
        <v>605.7</v>
      </c>
      <c r="H16" s="171" t="n">
        <v>640</v>
      </c>
      <c r="I16" s="171" t="n"/>
      <c r="J16" s="171" t="n"/>
    </row>
    <row r="17">
      <c r="B17" s="165" t="inlineStr">
        <is>
          <t>BMO</t>
        </is>
      </c>
      <c r="E17" s="171" t="n">
        <v>497</v>
      </c>
      <c r="F17" s="171" t="n">
        <v>538</v>
      </c>
      <c r="G17" s="171" t="n">
        <v>570</v>
      </c>
      <c r="H17" s="171" t="n"/>
      <c r="I17" s="171" t="n"/>
      <c r="J17" s="171" t="n"/>
    </row>
    <row r="18">
      <c r="B18" s="165" t="inlineStr">
        <is>
          <t>Cannacord</t>
        </is>
      </c>
      <c r="E18" s="171" t="n">
        <v>509.9</v>
      </c>
      <c r="F18" s="171" t="n">
        <v>537.2</v>
      </c>
      <c r="G18" s="171" t="n">
        <v>593.4</v>
      </c>
      <c r="H18" s="171" t="n"/>
      <c r="I18" s="171" t="n"/>
      <c r="J18" s="171" t="n"/>
    </row>
    <row r="19">
      <c r="B19" s="165" t="inlineStr">
        <is>
          <t>Comark</t>
        </is>
      </c>
      <c r="E19" s="171" t="n">
        <v>500.1</v>
      </c>
      <c r="F19" s="171" t="n">
        <v>530.3</v>
      </c>
      <c r="G19" s="171" t="n">
        <v>576.1</v>
      </c>
      <c r="H19" s="171" t="n"/>
      <c r="I19" s="171" t="n"/>
      <c r="J19" s="171" t="n"/>
    </row>
    <row r="20">
      <c r="B20" s="167" t="inlineStr">
        <is>
          <t>Average revenue</t>
        </is>
      </c>
      <c r="C20" s="167" t="n"/>
      <c r="D20" s="167" t="n"/>
      <c r="E20" s="167">
        <f>+AVERAGE(E14:E19)</f>
        <v/>
      </c>
      <c r="F20" s="167">
        <f>+AVERAGE(F14:F19)</f>
        <v/>
      </c>
      <c r="G20" s="167">
        <f>+AVERAGE(G14:G19)</f>
        <v/>
      </c>
      <c r="H20" s="167">
        <f>+AVERAGE(H14:H19)</f>
        <v/>
      </c>
      <c r="I20" s="167" t="n"/>
      <c r="J20" s="167" t="n"/>
    </row>
    <row r="21">
      <c r="B21" s="132" t="inlineStr">
        <is>
          <t>Median revenue</t>
        </is>
      </c>
      <c r="C21" s="132" t="n"/>
      <c r="D21" s="132" t="n"/>
      <c r="E21" s="132">
        <f>+MEDIAN(E14:E19)</f>
        <v/>
      </c>
      <c r="F21" s="132">
        <f>+MEDIAN(F14:F19)</f>
        <v/>
      </c>
      <c r="G21" s="132">
        <f>+MEDIAN(G14:G19)</f>
        <v/>
      </c>
      <c r="H21" s="132">
        <f>+MEDIAN(H14:H19)</f>
        <v/>
      </c>
      <c r="I21" s="132" t="n"/>
      <c r="J21" s="132" t="n"/>
    </row>
    <row r="22">
      <c r="B22" s="132" t="n"/>
      <c r="C22" s="132" t="n"/>
      <c r="D22" s="132" t="n"/>
      <c r="E22" s="132" t="n"/>
      <c r="F22" s="132" t="n"/>
      <c r="G22" s="132" t="n"/>
      <c r="H22" s="132" t="n"/>
      <c r="I22" s="132" t="n"/>
      <c r="J22" s="132" t="n"/>
    </row>
    <row r="23">
      <c r="B23" s="165" t="inlineStr">
        <is>
          <t>Benchmark</t>
        </is>
      </c>
      <c r="E23" s="171" t="n">
        <v>88.26000000000001</v>
      </c>
      <c r="F23" s="171" t="n">
        <v>100.18</v>
      </c>
      <c r="G23" s="171" t="n">
        <v>113.15</v>
      </c>
      <c r="H23" s="171" t="n"/>
      <c r="I23" s="171" t="n"/>
      <c r="J23" s="171" t="n"/>
    </row>
    <row r="24">
      <c r="B24" s="165" t="inlineStr">
        <is>
          <t>RBC</t>
        </is>
      </c>
      <c r="E24" s="171" t="n">
        <v>92.8</v>
      </c>
      <c r="F24" s="171" t="n">
        <v>93</v>
      </c>
      <c r="G24" s="171" t="n">
        <v>112</v>
      </c>
      <c r="H24" s="171" t="n">
        <v>123</v>
      </c>
      <c r="I24" s="171" t="n"/>
      <c r="J24" s="171" t="n"/>
    </row>
    <row r="25">
      <c r="B25" s="165" t="inlineStr">
        <is>
          <t>NBC</t>
        </is>
      </c>
      <c r="E25" s="171" t="n">
        <v>92.59999999999999</v>
      </c>
      <c r="F25" s="171" t="n">
        <v>99.7</v>
      </c>
      <c r="G25" s="171" t="n">
        <v>113.7</v>
      </c>
      <c r="H25" s="171" t="n"/>
      <c r="I25" s="171" t="n"/>
      <c r="J25" s="171" t="n"/>
    </row>
    <row r="26">
      <c r="B26" s="165" t="inlineStr">
        <is>
          <t>BMO</t>
        </is>
      </c>
      <c r="E26" s="171" t="n">
        <v>93</v>
      </c>
      <c r="F26" s="171" t="n">
        <v>95</v>
      </c>
      <c r="G26" s="171" t="n">
        <v>102</v>
      </c>
      <c r="H26" s="171" t="n"/>
      <c r="I26" s="171" t="n"/>
      <c r="J26" s="171" t="n"/>
    </row>
    <row r="27">
      <c r="B27" s="165" t="inlineStr">
        <is>
          <t>Cannacord</t>
        </is>
      </c>
      <c r="E27" s="171" t="n">
        <v>94.2</v>
      </c>
      <c r="F27" s="171" t="n">
        <v>100.2</v>
      </c>
      <c r="G27" s="171" t="n">
        <v>114.9</v>
      </c>
      <c r="H27" s="171" t="n"/>
      <c r="I27" s="171" t="n"/>
      <c r="J27" s="171" t="n"/>
    </row>
    <row r="28">
      <c r="B28" s="165" t="inlineStr">
        <is>
          <t>Comark</t>
        </is>
      </c>
      <c r="E28" s="171" t="n">
        <v>91.81999999999999</v>
      </c>
      <c r="F28" s="171" t="n">
        <v>99.09999999999999</v>
      </c>
      <c r="G28" s="171" t="n">
        <v>108.8</v>
      </c>
      <c r="H28" s="171" t="n"/>
      <c r="I28" s="171" t="n"/>
      <c r="J28" s="171" t="n"/>
    </row>
    <row r="29">
      <c r="B29" s="167" t="inlineStr">
        <is>
          <t>Average porportionate Adj EBITDA</t>
        </is>
      </c>
      <c r="C29" s="167" t="n"/>
      <c r="D29" s="167" t="n"/>
      <c r="E29" s="167">
        <f>+AVERAGE(E23:E28)</f>
        <v/>
      </c>
      <c r="F29" s="167">
        <f>+AVERAGE(F23:F28)</f>
        <v/>
      </c>
      <c r="G29" s="167">
        <f>+AVERAGE(G23:G28)</f>
        <v/>
      </c>
      <c r="H29" s="167">
        <f>+AVERAGE(H23:H28)</f>
        <v/>
      </c>
      <c r="I29" s="167" t="n"/>
      <c r="J29" s="167" t="n"/>
    </row>
    <row r="30">
      <c r="B30" s="132" t="inlineStr">
        <is>
          <t>Median porportionate Adj EBITDA</t>
        </is>
      </c>
      <c r="C30" s="132" t="n"/>
      <c r="D30" s="132" t="n"/>
      <c r="E30" s="132">
        <f>+MEDIAN(E23:E28)</f>
        <v/>
      </c>
      <c r="F30" s="132">
        <f>+MEDIAN(F23:F28)</f>
        <v/>
      </c>
      <c r="G30" s="132">
        <f>+MEDIAN(G23:G28)</f>
        <v/>
      </c>
      <c r="H30" s="132">
        <f>+MEDIAN(H23:H28)</f>
        <v/>
      </c>
      <c r="I30" s="132" t="n"/>
      <c r="J30" s="132" t="n"/>
    </row>
    <row r="32">
      <c r="A32" s="129" t="inlineStr">
        <is>
          <t>x</t>
        </is>
      </c>
      <c r="B32" s="128" t="inlineStr">
        <is>
          <t>Actual / forecast</t>
        </is>
      </c>
    </row>
    <row r="33">
      <c r="B33" s="129" t="inlineStr">
        <is>
          <t>Revenue</t>
        </is>
      </c>
      <c r="E33" s="180">
        <f>+'P&amp;L'!I6</f>
        <v/>
      </c>
      <c r="F33" s="180">
        <f>+'P&amp;L'!J6</f>
        <v/>
      </c>
      <c r="G33" s="180">
        <f>+'P&amp;L'!K6</f>
        <v/>
      </c>
      <c r="H33" s="180">
        <f>+'P&amp;L'!L6</f>
        <v/>
      </c>
      <c r="I33" s="180">
        <f>+'P&amp;L'!M6</f>
        <v/>
      </c>
      <c r="J33" s="180">
        <f>+'P&amp;L'!N6</f>
        <v/>
      </c>
    </row>
    <row r="34">
      <c r="B34" s="129" t="inlineStr">
        <is>
          <t>Proportionate Adj EBITDA (co defined)</t>
        </is>
      </c>
      <c r="E34" s="180">
        <f>+'P&amp;L'!I62</f>
        <v/>
      </c>
      <c r="F34" s="180">
        <f>+'P&amp;L'!J62</f>
        <v/>
      </c>
      <c r="G34" s="180">
        <f>+'P&amp;L'!K62</f>
        <v/>
      </c>
      <c r="H34" s="180">
        <f>+'P&amp;L'!L62</f>
        <v/>
      </c>
      <c r="I34" s="180">
        <f>+'P&amp;L'!M62</f>
        <v/>
      </c>
      <c r="J34" s="180">
        <f>+'P&amp;L'!N62</f>
        <v/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2009-10-20T07:07:16Z</dcterms:created>
  <dcterms:modified xmlns:dcterms="http://purl.org/dc/terms/" xmlns:xsi="http://www.w3.org/2001/XMLSchema-instance" xsi:type="dcterms:W3CDTF">2026-01-11T23:43:11Z</dcterms:modified>
  <cp:lastModifiedBy>Danial Azmi</cp:lastModifiedBy>
  <cp:lastPrinted>2023-02-02T17:08:32Z</cp:lastPrinted>
</cp:coreProperties>
</file>