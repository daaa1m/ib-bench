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" sheetId="1" state="visible" r:id="rId1"/>
    <sheet xmlns:r="http://schemas.openxmlformats.org/officeDocument/2006/relationships" name="Valuation" sheetId="2" state="visible" r:id="rId2"/>
    <sheet xmlns:r="http://schemas.openxmlformats.org/officeDocument/2006/relationships" name="SourcesUses" sheetId="3" state="visible" r:id="rId3"/>
    <sheet xmlns:r="http://schemas.openxmlformats.org/officeDocument/2006/relationships" name="Returns" sheetId="4" state="visible" r:id="rId4"/>
    <sheet xmlns:r="http://schemas.openxmlformats.org/officeDocument/2006/relationships" name="Sensitiv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008000"/>
    </font>
    <font>
      <color rgb="000000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15"/>
  <sheetViews>
    <sheetView workbookViewId="0">
      <selection activeCell="A1" sqref="A1"/>
    </sheetView>
  </sheetViews>
  <sheetFormatPr baseColWidth="8" defaultRowHeight="15"/>
  <sheetData>
    <row r="2">
      <c r="B2" t="inlineStr">
        <is>
          <t>2020E</t>
        </is>
      </c>
      <c r="C2" t="n">
        <v>2021</v>
      </c>
      <c r="D2" t="n">
        <v>2022</v>
      </c>
      <c r="E2" t="n">
        <v>2023</v>
      </c>
      <c r="F2" t="n">
        <v>2024</v>
      </c>
      <c r="G2" t="n">
        <v>2025</v>
      </c>
    </row>
    <row r="4">
      <c r="A4" t="inlineStr">
        <is>
          <t>Revenue</t>
        </is>
      </c>
    </row>
    <row r="5">
      <c r="A5" t="inlineStr">
        <is>
          <t>AMS Europe</t>
        </is>
      </c>
      <c r="B5" s="1">
        <f>Data!F6</f>
        <v/>
      </c>
      <c r="C5" s="1">
        <f>Forecast!B5*(1+Forecast!B11)</f>
        <v/>
      </c>
      <c r="D5" s="1">
        <f>Forecast!C5*(1+Forecast!B11)</f>
        <v/>
      </c>
      <c r="E5" s="1">
        <f>Forecast!D5*(1+Forecast!B11)</f>
        <v/>
      </c>
      <c r="F5" s="1">
        <f>Forecast!E5*(1+Forecast!B11)</f>
        <v/>
      </c>
      <c r="G5" s="1">
        <f>Forecast!F5*(1+Forecast!B11)</f>
        <v/>
      </c>
    </row>
    <row r="6">
      <c r="A6" t="inlineStr">
        <is>
          <t>ECS Europe</t>
        </is>
      </c>
      <c r="B6" s="1">
        <f>Data!F7</f>
        <v/>
      </c>
      <c r="C6" s="1">
        <f>Forecast!B6*(1+Forecast!B12)</f>
        <v/>
      </c>
      <c r="D6" s="1">
        <f>Forecast!C6*(1+Forecast!B12)</f>
        <v/>
      </c>
      <c r="E6" s="1">
        <f>Forecast!D6*(1+Forecast!B12)</f>
        <v/>
      </c>
      <c r="F6" s="1">
        <f>Forecast!E6*(1+Forecast!B12)</f>
        <v/>
      </c>
      <c r="G6" s="1">
        <f>Forecast!F6*(1+Forecast!B12)</f>
        <v/>
      </c>
    </row>
    <row r="7">
      <c r="A7" t="inlineStr">
        <is>
          <t>Americas &amp; Asia</t>
        </is>
      </c>
      <c r="B7" s="1">
        <f>Data!F8</f>
        <v/>
      </c>
      <c r="C7" s="1">
        <f>Forecast!B7*(1+Forecast!B13)</f>
        <v/>
      </c>
      <c r="D7" s="1">
        <f>Forecast!C7*(1+Forecast!B13)</f>
        <v/>
      </c>
      <c r="E7" s="1">
        <f>Forecast!D7*(1+Forecast!B13)</f>
        <v/>
      </c>
      <c r="F7" s="1">
        <f>Forecast!E7*(1+Forecast!B13)</f>
        <v/>
      </c>
      <c r="G7" s="1">
        <f>Forecast!F7*(1+Forecast!B13)</f>
        <v/>
      </c>
    </row>
    <row r="9">
      <c r="A9" t="inlineStr">
        <is>
          <t>Total Revenue</t>
        </is>
      </c>
      <c r="B9">
        <f>SUM(B5:B7)</f>
        <v/>
      </c>
      <c r="C9" s="1">
        <f>SUM(C5:C7)</f>
        <v/>
      </c>
      <c r="D9" s="1">
        <f>SUM(D5:D7)</f>
        <v/>
      </c>
      <c r="E9" s="1">
        <f>SUM(E5:E7)</f>
        <v/>
      </c>
      <c r="F9" s="1">
        <f>SUM(F5:F7)</f>
        <v/>
      </c>
      <c r="G9" s="1">
        <f>SUM(G5:G7)</f>
        <v/>
      </c>
    </row>
    <row r="10">
      <c r="A10" t="inlineStr">
        <is>
          <t>Growth assumptions</t>
        </is>
      </c>
    </row>
    <row r="11">
      <c r="B11" s="2" t="n">
        <v>0.07000000000000001</v>
      </c>
    </row>
    <row r="12">
      <c r="B12" s="2" t="n">
        <v>0.05</v>
      </c>
    </row>
    <row r="13">
      <c r="B13" s="2" t="n">
        <v>0.1</v>
      </c>
    </row>
    <row r="14">
      <c r="A14" t="inlineStr">
        <is>
          <t>EBITDA Margin</t>
        </is>
      </c>
      <c r="B14" s="2" t="n">
        <v>0.11</v>
      </c>
      <c r="C14" s="1">
        <f>B14</f>
        <v/>
      </c>
      <c r="D14" s="1">
        <f>B14</f>
        <v/>
      </c>
      <c r="E14" s="1">
        <f>B14</f>
        <v/>
      </c>
      <c r="F14" s="1">
        <f>B14</f>
        <v/>
      </c>
      <c r="G14" s="1">
        <f>B14</f>
        <v/>
      </c>
    </row>
    <row r="15">
      <c r="A15" t="inlineStr">
        <is>
          <t>EBITDA</t>
        </is>
      </c>
      <c r="B15" s="1">
        <f>Forecast!B9*Forecast!B14</f>
        <v/>
      </c>
      <c r="C15" s="1">
        <f>Forecast!C9*Forecast!C14</f>
        <v/>
      </c>
      <c r="D15" s="1">
        <f>Forecast!D9*Forecast!D14</f>
        <v/>
      </c>
      <c r="E15" s="1">
        <f>Forecast!E9*Forecast!E14</f>
        <v/>
      </c>
      <c r="F15" s="1">
        <f>Forecast!F9*Forecast!F14</f>
        <v/>
      </c>
      <c r="G15" s="1">
        <f>Forecast!G9*Forecast!G14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5"/>
  <sheetViews>
    <sheetView workbookViewId="0">
      <selection activeCell="A1" sqref="A1"/>
    </sheetView>
  </sheetViews>
  <sheetFormatPr baseColWidth="8" defaultRowHeight="15"/>
  <sheetData>
    <row r="2">
      <c r="A2" t="inlineStr">
        <is>
          <t>Entry EV/EBITDA</t>
        </is>
      </c>
      <c r="B2" s="2" t="n">
        <v>8</v>
      </c>
    </row>
    <row r="3">
      <c r="A3" t="inlineStr">
        <is>
          <t>Entry EV</t>
        </is>
      </c>
      <c r="B3" s="1">
        <f>Forecast!B15*Valuation!B2</f>
        <v/>
      </c>
    </row>
    <row r="4">
      <c r="A4" t="inlineStr">
        <is>
          <t>Net Debt</t>
        </is>
      </c>
      <c r="B4" s="2" t="n">
        <v>20</v>
      </c>
    </row>
    <row r="5">
      <c r="A5" t="inlineStr">
        <is>
          <t>Equity Value</t>
        </is>
      </c>
      <c r="B5" s="1">
        <f>B3-B4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B8"/>
  <sheetViews>
    <sheetView workbookViewId="0">
      <selection activeCell="A1" sqref="A1"/>
    </sheetView>
  </sheetViews>
  <sheetFormatPr baseColWidth="8" defaultRowHeight="15"/>
  <sheetData>
    <row r="2">
      <c r="A2" t="inlineStr">
        <is>
          <t>Uses</t>
        </is>
      </c>
    </row>
    <row r="3">
      <c r="A3" t="inlineStr">
        <is>
          <t>Equity Purchase</t>
        </is>
      </c>
      <c r="B3" s="1">
        <f>Valuation!B5</f>
        <v/>
      </c>
    </row>
    <row r="6">
      <c r="A6" t="inlineStr">
        <is>
          <t>Sources</t>
        </is>
      </c>
    </row>
    <row r="7">
      <c r="A7" t="inlineStr">
        <is>
          <t>Debt</t>
        </is>
      </c>
      <c r="B7" s="2" t="n">
        <v>0.5</v>
      </c>
    </row>
    <row r="8">
      <c r="A8" t="inlineStr">
        <is>
          <t>Equity</t>
        </is>
      </c>
      <c r="B8" s="1">
        <f>B3-B7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B6"/>
  <sheetViews>
    <sheetView workbookViewId="0">
      <selection activeCell="A1" sqref="A1"/>
    </sheetView>
  </sheetViews>
  <sheetFormatPr baseColWidth="8" defaultRowHeight="15"/>
  <sheetData>
    <row r="2">
      <c r="A2" t="inlineStr">
        <is>
          <t>Exit EV/EBITDA</t>
        </is>
      </c>
      <c r="B2" s="2" t="n">
        <v>8.5</v>
      </c>
    </row>
    <row r="3">
      <c r="A3" t="inlineStr">
        <is>
          <t>Exit EV</t>
        </is>
      </c>
      <c r="B3" s="1">
        <f>Forecast!G15*B2</f>
        <v/>
      </c>
    </row>
    <row r="4">
      <c r="A4" t="inlineStr">
        <is>
          <t>Exit Equity</t>
        </is>
      </c>
      <c r="B4" s="1">
        <f>B3-Valuation!B4</f>
        <v/>
      </c>
    </row>
    <row r="5">
      <c r="A5" t="inlineStr">
        <is>
          <t>MOIC</t>
        </is>
      </c>
      <c r="B5" s="1">
        <f>B4/Valuation!B5</f>
        <v/>
      </c>
    </row>
    <row r="6">
      <c r="A6" t="inlineStr">
        <is>
          <t>IRR</t>
        </is>
      </c>
      <c r="B6" s="1">
        <f>POWER(B5,1/5)-1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IRR Sensitivity (Entry vs Exit Multiple)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2026-01-21T10:04:22Z</dcterms:created>
  <dcterms:modified xmlns:dcterms="http://purl.org/dc/terms/" xmlns:xsi="http://www.w3.org/2001/XMLSchema-instance" xsi:type="dcterms:W3CDTF">2026-01-21T10:04:22Z</dcterms:modified>
</cp:coreProperties>
</file>