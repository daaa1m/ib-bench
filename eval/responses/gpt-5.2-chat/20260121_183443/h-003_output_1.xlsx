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(USD mm)</t>
        </is>
      </c>
    </row>
    <row r="3">
      <c r="A3" t="inlineStr">
        <is>
          <t>EBITDA</t>
        </is>
      </c>
      <c r="B3" s="1">
        <f>Assumptions!B3</f>
        <v/>
      </c>
      <c r="C3" s="1">
        <f>Assumptions!B4</f>
        <v/>
      </c>
      <c r="D3" s="1">
        <f>Assumptions!B5</f>
        <v/>
      </c>
    </row>
    <row r="4">
      <c r="A4" t="inlineStr">
        <is>
          <t>D&amp;A</t>
        </is>
      </c>
      <c r="B4" s="1">
        <f>B3*0.25</f>
        <v/>
      </c>
      <c r="C4" s="1">
        <f>C3*0.25</f>
        <v/>
      </c>
      <c r="D4" s="1">
        <f>D3*0.25</f>
        <v/>
      </c>
    </row>
    <row r="5">
      <c r="A5" t="inlineStr">
        <is>
          <t>EBIT</t>
        </is>
      </c>
      <c r="B5" s="1">
        <f>B3-B4</f>
        <v/>
      </c>
      <c r="C5" s="1">
        <f>C3-C4</f>
        <v/>
      </c>
      <c r="D5" s="1">
        <f>D3-D4</f>
        <v/>
      </c>
    </row>
    <row r="6">
      <c r="A6" t="inlineStr">
        <is>
          <t>Taxes</t>
        </is>
      </c>
      <c r="B6" s="1">
        <f>B5*Assumptions!B7</f>
        <v/>
      </c>
      <c r="C6" s="1">
        <f>C5*Assumptions!B7</f>
        <v/>
      </c>
      <c r="D6" s="1">
        <f>D5*Assumptions!B7</f>
        <v/>
      </c>
    </row>
    <row r="7">
      <c r="A7" t="inlineStr">
        <is>
          <t>Net Income</t>
        </is>
      </c>
      <c r="B7" s="1">
        <f>B5-B6</f>
        <v/>
      </c>
      <c r="C7" s="1">
        <f>C5-C6</f>
        <v/>
      </c>
      <c r="D7" s="1">
        <f>D5-D6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(USD mm)</t>
        </is>
      </c>
    </row>
    <row r="3">
      <c r="A3" t="inlineStr">
        <is>
          <t>Net Debt</t>
        </is>
      </c>
      <c r="B3" s="2" t="n">
        <v>20000</v>
      </c>
      <c r="C3" s="1">
        <f>B3-Income Statement!C7</f>
        <v/>
      </c>
      <c r="D3" s="1">
        <f>C3-Income Statement!D7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(USD mm)</t>
        </is>
      </c>
    </row>
    <row r="3">
      <c r="A3" t="inlineStr">
        <is>
          <t>Net Income</t>
        </is>
      </c>
      <c r="B3" s="1">
        <f>Income Statement!B7</f>
        <v/>
      </c>
      <c r="C3" s="1">
        <f>Income Statement!C7</f>
        <v/>
      </c>
      <c r="D3" s="1">
        <f>Income Statement!D7</f>
        <v/>
      </c>
    </row>
    <row r="4">
      <c r="A4" t="inlineStr">
        <is>
          <t>Add: D&amp;A</t>
        </is>
      </c>
      <c r="B4" s="1">
        <f>Income Statement!B4</f>
        <v/>
      </c>
      <c r="C4" s="1">
        <f>Income Statement!C4</f>
        <v/>
      </c>
      <c r="D4" s="1">
        <f>Income Statement!D4</f>
        <v/>
      </c>
    </row>
    <row r="5">
      <c r="A5" t="inlineStr">
        <is>
          <t>Operating Cash Flow</t>
        </is>
      </c>
      <c r="B5" s="1">
        <f>B3+B4</f>
        <v/>
      </c>
      <c r="C5" s="1">
        <f>C3+C4</f>
        <v/>
      </c>
      <c r="D5" s="1">
        <f>D3+D4</f>
        <v/>
      </c>
    </row>
    <row r="6">
      <c r="A6" t="inlineStr">
        <is>
          <t>Capex</t>
        </is>
      </c>
      <c r="B6" s="1">
        <f>Income Statement!B3*Assumptions!B6</f>
        <v/>
      </c>
      <c r="C6" s="1">
        <f>Income Statement!C3*Assumptions!B6</f>
        <v/>
      </c>
      <c r="D6" s="1">
        <f>Income Statement!D3*Assumptions!B6</f>
        <v/>
      </c>
    </row>
    <row r="7">
      <c r="A7" t="inlineStr">
        <is>
          <t>Free Cash Flow</t>
        </is>
      </c>
      <c r="B7" s="1">
        <f>B5-B6</f>
        <v/>
      </c>
      <c r="C7" s="1">
        <f>C5-C6</f>
        <v/>
      </c>
      <c r="D7" s="1">
        <f>D5-D6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Assumptions (USD mm)</t>
        </is>
      </c>
    </row>
    <row r="3">
      <c r="A3" t="inlineStr">
        <is>
          <t>FY24A EBITDA</t>
        </is>
      </c>
      <c r="B3" s="2" t="n">
        <v>10488</v>
      </c>
    </row>
    <row r="4">
      <c r="A4" t="inlineStr">
        <is>
          <t>FY25E EBITDA (Consensus)</t>
        </is>
      </c>
      <c r="B4" s="2" t="n">
        <v>11626</v>
      </c>
    </row>
    <row r="5">
      <c r="A5" t="inlineStr">
        <is>
          <t>FY26E EBITDA (Post-Activist Base)</t>
        </is>
      </c>
      <c r="B5" s="2" t="n">
        <v>13000</v>
      </c>
    </row>
    <row r="6">
      <c r="A6" t="inlineStr">
        <is>
          <t>Capex % of EBITDA</t>
        </is>
      </c>
      <c r="B6" s="2" t="n">
        <v>0.08</v>
      </c>
    </row>
    <row r="7">
      <c r="A7" t="inlineStr">
        <is>
          <t>Tax Rate</t>
        </is>
      </c>
      <c r="B7" s="2" t="n">
        <v>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Analysis</t>
        </is>
      </c>
    </row>
    <row r="3">
      <c r="A3" t="inlineStr">
        <is>
          <t>Entry EV/EBITDA</t>
        </is>
      </c>
      <c r="B3" s="2" t="n">
        <v>6.6</v>
      </c>
    </row>
    <row r="4">
      <c r="A4" t="inlineStr">
        <is>
          <t>Exit EV/EBITDA (Base)</t>
        </is>
      </c>
      <c r="B4" s="2" t="n">
        <v>8</v>
      </c>
    </row>
    <row r="5">
      <c r="A5" t="inlineStr">
        <is>
          <t>Implied IRR (Base)</t>
        </is>
      </c>
      <c r="B5" s="2" t="inlineStr">
        <is>
          <t>High-teens to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2026-01-21T10:35:40Z</dcterms:created>
  <dcterms:modified xmlns:dcterms="http://purl.org/dc/terms/" xmlns:xsi="http://www.w3.org/2001/XMLSchema-instance" xsi:type="dcterms:W3CDTF">2026-01-21T10:35:40Z</dcterms:modified>
</cp:coreProperties>
</file>