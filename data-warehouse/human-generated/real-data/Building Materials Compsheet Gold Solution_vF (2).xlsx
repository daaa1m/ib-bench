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rohith/Downloads/"/>
    </mc:Choice>
  </mc:AlternateContent>
  <xr:revisionPtr revIDLastSave="0" documentId="13_ncr:1_{F8E3461D-995B-5D4C-A478-FFB48E9B4000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BBPTACShadowWks0001" sheetId="2" state="veryHidden" r:id="rId1"/>
    <sheet name="BBPTACShadowWks0002" sheetId="4" state="veryHidden" r:id="rId2"/>
    <sheet name="Grading" sheetId="5" r:id="rId3"/>
    <sheet name="Compsheet - Gold Solution" sheetId="3" r:id="rId4"/>
    <sheet name="TEV Buildouts - Gold Solution" sheetId="1" r:id="rId5"/>
  </sheets>
  <definedNames>
    <definedName name="BBPTAutoColor_Changed" localSheetId="3" hidden="1">TRUE</definedName>
    <definedName name="BBPTAutoColor_Changed" localSheetId="4" hidden="1">TRUE</definedName>
    <definedName name="BBPTAutoColor_ShadowWksName" localSheetId="3" hidden="1">"BBPTACShadowWks0002"</definedName>
    <definedName name="BBPTAutoColor_ShadowWksName" localSheetId="4" hidden="1">"BBPTACShadowWks0001"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3" i="1"/>
  <c r="B9" i="3"/>
  <c r="C9" i="3" s="1"/>
  <c r="C9" i="4" s="1"/>
  <c r="B8" i="3"/>
  <c r="B7" i="3"/>
  <c r="B6" i="3"/>
  <c r="B5" i="3"/>
  <c r="B4" i="3"/>
  <c r="C4" i="3" s="1"/>
  <c r="C4" i="4" s="1"/>
  <c r="B3" i="3"/>
  <c r="D2" i="2"/>
  <c r="E2" i="2"/>
  <c r="F2" i="2"/>
  <c r="G2" i="2"/>
  <c r="H2" i="2"/>
  <c r="I2" i="2"/>
  <c r="J2" i="2"/>
  <c r="I10" i="1"/>
  <c r="I9" i="1"/>
  <c r="I8" i="1"/>
  <c r="I11" i="1" s="1"/>
  <c r="I51" i="1"/>
  <c r="I57" i="1" s="1"/>
  <c r="I17" i="1"/>
  <c r="I18" i="1" s="1"/>
  <c r="I28" i="1"/>
  <c r="I37" i="1"/>
  <c r="I38" i="1"/>
  <c r="I32" i="1"/>
  <c r="I21" i="1"/>
  <c r="AE3" i="3" l="1"/>
  <c r="AE4" i="3"/>
  <c r="AE9" i="3"/>
  <c r="AE5" i="3"/>
  <c r="AF9" i="3"/>
  <c r="S9" i="4" s="1"/>
  <c r="C3" i="3"/>
  <c r="AE8" i="3"/>
  <c r="AF7" i="3"/>
  <c r="S7" i="4" s="1"/>
  <c r="C8" i="3"/>
  <c r="C8" i="4" s="1"/>
  <c r="AE7" i="3"/>
  <c r="AE6" i="3"/>
  <c r="C7" i="3"/>
  <c r="C7" i="4" s="1"/>
  <c r="C6" i="3"/>
  <c r="C6" i="4" s="1"/>
  <c r="C5" i="3"/>
  <c r="C5" i="4" s="1"/>
  <c r="I7" i="1"/>
  <c r="I58" i="1"/>
  <c r="I29" i="1"/>
  <c r="I30" i="1" s="1"/>
  <c r="AH9" i="3" s="1"/>
  <c r="I45" i="1"/>
  <c r="I46" i="1" s="1"/>
  <c r="I47" i="1" s="1"/>
  <c r="I19" i="1"/>
  <c r="I41" i="1" s="1"/>
  <c r="I40" i="1"/>
  <c r="I39" i="1"/>
  <c r="H51" i="1"/>
  <c r="H57" i="1" s="1"/>
  <c r="H45" i="1"/>
  <c r="H46" i="1" s="1"/>
  <c r="H47" i="1" s="1"/>
  <c r="H37" i="1"/>
  <c r="H38" i="1"/>
  <c r="H32" i="1"/>
  <c r="H21" i="1"/>
  <c r="H17" i="1"/>
  <c r="H18" i="1" s="1"/>
  <c r="H19" i="1" s="1"/>
  <c r="H55" i="1"/>
  <c r="H28" i="1" s="1"/>
  <c r="AF8" i="3" s="1"/>
  <c r="S8" i="4" s="1"/>
  <c r="H11" i="1"/>
  <c r="H5" i="1"/>
  <c r="H6" i="1"/>
  <c r="G51" i="1"/>
  <c r="G58" i="1" s="1"/>
  <c r="G46" i="1"/>
  <c r="G47" i="1" s="1"/>
  <c r="G37" i="1"/>
  <c r="G38" i="1"/>
  <c r="G17" i="1"/>
  <c r="G18" i="1" s="1"/>
  <c r="G19" i="1" s="1"/>
  <c r="G32" i="1"/>
  <c r="G55" i="1"/>
  <c r="G28" i="1" s="1"/>
  <c r="G8" i="1"/>
  <c r="G11" i="1" s="1"/>
  <c r="G5" i="1"/>
  <c r="G6" i="1"/>
  <c r="G21" i="1"/>
  <c r="F3" i="1"/>
  <c r="F51" i="1"/>
  <c r="F58" i="1" s="1"/>
  <c r="F57" i="1"/>
  <c r="F37" i="1"/>
  <c r="F38" i="1"/>
  <c r="F28" i="1"/>
  <c r="AF6" i="3" s="1"/>
  <c r="S6" i="4" s="1"/>
  <c r="F29" i="1"/>
  <c r="F60" i="1" s="1"/>
  <c r="F30" i="1"/>
  <c r="F61" i="1" s="1"/>
  <c r="F32" i="1"/>
  <c r="AH6" i="3" l="1"/>
  <c r="U6" i="4" s="1"/>
  <c r="AG6" i="3"/>
  <c r="T6" i="4" s="1"/>
  <c r="C3" i="4"/>
  <c r="F9" i="3"/>
  <c r="F9" i="4" s="1"/>
  <c r="V6" i="3"/>
  <c r="AA6" i="4" s="1"/>
  <c r="R6" i="4"/>
  <c r="V8" i="3"/>
  <c r="AA8" i="4" s="1"/>
  <c r="R8" i="4"/>
  <c r="V4" i="3"/>
  <c r="AA4" i="4" s="1"/>
  <c r="R4" i="4"/>
  <c r="V3" i="3"/>
  <c r="R3" i="4"/>
  <c r="V7" i="3"/>
  <c r="AA7" i="4" s="1"/>
  <c r="R7" i="4"/>
  <c r="V9" i="3"/>
  <c r="AA9" i="4" s="1"/>
  <c r="R9" i="4"/>
  <c r="Y9" i="3"/>
  <c r="AD9" i="4" s="1"/>
  <c r="U9" i="4"/>
  <c r="V5" i="3"/>
  <c r="AA5" i="4" s="1"/>
  <c r="R5" i="4"/>
  <c r="AG9" i="3"/>
  <c r="T9" i="4" s="1"/>
  <c r="I61" i="1"/>
  <c r="S6" i="3"/>
  <c r="X6" i="4" s="1"/>
  <c r="W7" i="3"/>
  <c r="R7" i="3"/>
  <c r="W7" i="4" s="1"/>
  <c r="T6" i="3"/>
  <c r="Y6" i="4" s="1"/>
  <c r="R6" i="3"/>
  <c r="W6" i="4" s="1"/>
  <c r="R8" i="3"/>
  <c r="W8" i="4" s="1"/>
  <c r="W8" i="3"/>
  <c r="W9" i="3"/>
  <c r="R9" i="3"/>
  <c r="W9" i="4" s="1"/>
  <c r="H39" i="1"/>
  <c r="H7" i="1"/>
  <c r="F8" i="3" s="1"/>
  <c r="F8" i="4" s="1"/>
  <c r="G7" i="1"/>
  <c r="F7" i="3" s="1"/>
  <c r="F7" i="4" s="1"/>
  <c r="H29" i="1"/>
  <c r="G57" i="1"/>
  <c r="H33" i="1"/>
  <c r="G33" i="1"/>
  <c r="G29" i="1"/>
  <c r="H59" i="1"/>
  <c r="H63" i="1" s="1"/>
  <c r="H58" i="1"/>
  <c r="H22" i="1"/>
  <c r="G39" i="1"/>
  <c r="I60" i="1"/>
  <c r="I59" i="1"/>
  <c r="I63" i="1" s="1"/>
  <c r="G59" i="1"/>
  <c r="G63" i="1" s="1"/>
  <c r="F21" i="1"/>
  <c r="F5" i="1"/>
  <c r="F8" i="1"/>
  <c r="F11" i="1" s="1"/>
  <c r="F6" i="1"/>
  <c r="F45" i="1"/>
  <c r="F59" i="1" s="1"/>
  <c r="F63" i="1" s="1"/>
  <c r="H30" i="1" l="1"/>
  <c r="AG8" i="3"/>
  <c r="G40" i="1"/>
  <c r="AG7" i="3"/>
  <c r="H40" i="1"/>
  <c r="S9" i="3"/>
  <c r="X9" i="4" s="1"/>
  <c r="X9" i="3"/>
  <c r="AC9" i="4" s="1"/>
  <c r="T9" i="3"/>
  <c r="Y9" i="4" s="1"/>
  <c r="AA7" i="3"/>
  <c r="AF7" i="4" s="1"/>
  <c r="AB7" i="4"/>
  <c r="AA8" i="3"/>
  <c r="AF8" i="4" s="1"/>
  <c r="AB8" i="4"/>
  <c r="V11" i="3"/>
  <c r="AA3" i="4"/>
  <c r="V12" i="3"/>
  <c r="AA9" i="3"/>
  <c r="AF9" i="4" s="1"/>
  <c r="AB9" i="4"/>
  <c r="H60" i="1"/>
  <c r="G60" i="1"/>
  <c r="G30" i="1"/>
  <c r="AH7" i="3" s="1"/>
  <c r="E51" i="1"/>
  <c r="E58" i="1" s="1"/>
  <c r="D51" i="1"/>
  <c r="D58" i="1" s="1"/>
  <c r="C51" i="1"/>
  <c r="C58" i="1" s="1"/>
  <c r="E5" i="1"/>
  <c r="E7" i="1" s="1"/>
  <c r="E8" i="1"/>
  <c r="E11" i="1" s="1"/>
  <c r="E45" i="1"/>
  <c r="E17" i="1"/>
  <c r="E18" i="1" s="1"/>
  <c r="E19" i="1" s="1"/>
  <c r="E57" i="1"/>
  <c r="E21" i="1"/>
  <c r="E32" i="1"/>
  <c r="E37" i="1"/>
  <c r="E38" i="1"/>
  <c r="E46" i="1"/>
  <c r="E47" i="1" s="1"/>
  <c r="E55" i="1"/>
  <c r="E28" i="1" s="1"/>
  <c r="AF5" i="3" s="1"/>
  <c r="AC9" i="3" l="1"/>
  <c r="AH9" i="4" s="1"/>
  <c r="T7" i="4"/>
  <c r="X7" i="3"/>
  <c r="S7" i="3"/>
  <c r="X7" i="4" s="1"/>
  <c r="E22" i="1"/>
  <c r="W5" i="3"/>
  <c r="S5" i="4"/>
  <c r="F5" i="3"/>
  <c r="F5" i="4" s="1"/>
  <c r="R5" i="3"/>
  <c r="W5" i="4" s="1"/>
  <c r="U7" i="4"/>
  <c r="T7" i="3"/>
  <c r="Y7" i="4" s="1"/>
  <c r="Y7" i="3"/>
  <c r="AB9" i="3"/>
  <c r="AG9" i="4" s="1"/>
  <c r="T8" i="4"/>
  <c r="X8" i="3"/>
  <c r="S8" i="3"/>
  <c r="X8" i="4" s="1"/>
  <c r="H61" i="1"/>
  <c r="AH8" i="3"/>
  <c r="H41" i="1"/>
  <c r="D57" i="1"/>
  <c r="C57" i="1"/>
  <c r="G61" i="1"/>
  <c r="G41" i="1"/>
  <c r="E29" i="1"/>
  <c r="E59" i="1"/>
  <c r="E4" i="1"/>
  <c r="E40" i="1"/>
  <c r="E39" i="1"/>
  <c r="E33" i="1"/>
  <c r="D45" i="1"/>
  <c r="D46" i="1" s="1"/>
  <c r="D47" i="1" s="1"/>
  <c r="D54" i="1"/>
  <c r="D53" i="1"/>
  <c r="D55" i="1" s="1"/>
  <c r="D28" i="1" s="1"/>
  <c r="AF4" i="3" s="1"/>
  <c r="D17" i="1"/>
  <c r="D22" i="1" s="1"/>
  <c r="D7" i="1"/>
  <c r="D10" i="1"/>
  <c r="D5" i="1"/>
  <c r="D8" i="1"/>
  <c r="D6" i="1"/>
  <c r="D21" i="1"/>
  <c r="D32" i="1"/>
  <c r="D37" i="1"/>
  <c r="D38" i="1"/>
  <c r="D3" i="2"/>
  <c r="C38" i="1"/>
  <c r="C37" i="1"/>
  <c r="C17" i="1"/>
  <c r="D34" i="2"/>
  <c r="D35" i="2"/>
  <c r="C55" i="1"/>
  <c r="C28" i="1" s="1"/>
  <c r="AF3" i="3" s="1"/>
  <c r="C45" i="1"/>
  <c r="C46" i="1" s="1"/>
  <c r="C47" i="1" s="1"/>
  <c r="D45" i="2"/>
  <c r="D26" i="2"/>
  <c r="D27" i="2"/>
  <c r="C32" i="1"/>
  <c r="C21" i="1"/>
  <c r="D6" i="2"/>
  <c r="AA5" i="3" l="1"/>
  <c r="AF5" i="4" s="1"/>
  <c r="AB5" i="4"/>
  <c r="AC7" i="3"/>
  <c r="AH7" i="4" s="1"/>
  <c r="AD7" i="4"/>
  <c r="S3" i="4"/>
  <c r="R3" i="3"/>
  <c r="W3" i="3"/>
  <c r="F3" i="3"/>
  <c r="E13" i="1"/>
  <c r="E5" i="3" s="1"/>
  <c r="N5" i="3" s="1"/>
  <c r="N5" i="4" s="1"/>
  <c r="D5" i="3"/>
  <c r="D5" i="4" s="1"/>
  <c r="U8" i="4"/>
  <c r="T8" i="3"/>
  <c r="Y8" i="4" s="1"/>
  <c r="Y8" i="3"/>
  <c r="S4" i="4"/>
  <c r="W4" i="3"/>
  <c r="F4" i="3"/>
  <c r="F4" i="4" s="1"/>
  <c r="R4" i="3"/>
  <c r="W4" i="4" s="1"/>
  <c r="E60" i="1"/>
  <c r="AG5" i="3"/>
  <c r="AC7" i="4"/>
  <c r="AB7" i="3"/>
  <c r="AG7" i="4" s="1"/>
  <c r="AC8" i="4"/>
  <c r="AB8" i="3"/>
  <c r="AG8" i="4" s="1"/>
  <c r="E63" i="1"/>
  <c r="D11" i="1"/>
  <c r="C59" i="1"/>
  <c r="C33" i="1"/>
  <c r="C29" i="1"/>
  <c r="AG3" i="3" s="1"/>
  <c r="D18" i="1"/>
  <c r="D19" i="1" s="1"/>
  <c r="D33" i="1"/>
  <c r="D59" i="1"/>
  <c r="C39" i="1"/>
  <c r="E30" i="1"/>
  <c r="D4" i="1"/>
  <c r="D29" i="1"/>
  <c r="D39" i="1"/>
  <c r="C18" i="1"/>
  <c r="F7" i="1"/>
  <c r="F6" i="3" s="1"/>
  <c r="F6" i="4" s="1"/>
  <c r="C7" i="1"/>
  <c r="D7" i="2" s="1"/>
  <c r="C9" i="1"/>
  <c r="D9" i="2" s="1"/>
  <c r="C10" i="1"/>
  <c r="D10" i="2" s="1"/>
  <c r="C8" i="1"/>
  <c r="D8" i="2" s="1"/>
  <c r="C5" i="1"/>
  <c r="D5" i="2" s="1"/>
  <c r="O5" i="3" l="1"/>
  <c r="O5" i="4" s="1"/>
  <c r="F3" i="4"/>
  <c r="F12" i="3"/>
  <c r="F11" i="3"/>
  <c r="T3" i="4"/>
  <c r="X3" i="3"/>
  <c r="S3" i="3"/>
  <c r="AB4" i="4"/>
  <c r="AA4" i="3"/>
  <c r="AF4" i="4" s="1"/>
  <c r="AA3" i="3"/>
  <c r="AB3" i="4"/>
  <c r="W3" i="4"/>
  <c r="R12" i="3"/>
  <c r="R11" i="3"/>
  <c r="D60" i="1"/>
  <c r="AG4" i="3"/>
  <c r="D13" i="1"/>
  <c r="E4" i="3" s="1"/>
  <c r="N4" i="3" s="1"/>
  <c r="N4" i="4" s="1"/>
  <c r="D4" i="3"/>
  <c r="D4" i="4" s="1"/>
  <c r="AC8" i="3"/>
  <c r="AH8" i="4" s="1"/>
  <c r="AD8" i="4"/>
  <c r="E61" i="1"/>
  <c r="P5" i="3" s="1"/>
  <c r="P5" i="4" s="1"/>
  <c r="AH5" i="3"/>
  <c r="T5" i="4"/>
  <c r="X5" i="3"/>
  <c r="S5" i="3"/>
  <c r="X5" i="4" s="1"/>
  <c r="E5" i="4"/>
  <c r="H5" i="3"/>
  <c r="H5" i="4" s="1"/>
  <c r="J5" i="3"/>
  <c r="J5" i="4" s="1"/>
  <c r="I5" i="3"/>
  <c r="I5" i="4" s="1"/>
  <c r="M5" i="3"/>
  <c r="M5" i="4" s="1"/>
  <c r="C63" i="1"/>
  <c r="D63" i="1"/>
  <c r="C11" i="1"/>
  <c r="D11" i="2" s="1"/>
  <c r="C30" i="1"/>
  <c r="C60" i="1"/>
  <c r="E41" i="1"/>
  <c r="D40" i="1"/>
  <c r="D30" i="1"/>
  <c r="C40" i="1"/>
  <c r="C19" i="1"/>
  <c r="H4" i="1"/>
  <c r="C4" i="1"/>
  <c r="G4" i="1"/>
  <c r="F4" i="1"/>
  <c r="I4" i="1"/>
  <c r="O4" i="3" l="1"/>
  <c r="O4" i="4" s="1"/>
  <c r="U5" i="4"/>
  <c r="Y5" i="3"/>
  <c r="T5" i="3"/>
  <c r="Y5" i="4" s="1"/>
  <c r="F13" i="1"/>
  <c r="E6" i="3" s="1"/>
  <c r="D6" i="3"/>
  <c r="D6" i="4" s="1"/>
  <c r="G13" i="1"/>
  <c r="E7" i="3" s="1"/>
  <c r="D7" i="3"/>
  <c r="D7" i="4" s="1"/>
  <c r="X3" i="4"/>
  <c r="AC3" i="4"/>
  <c r="AB3" i="3"/>
  <c r="C41" i="1"/>
  <c r="C13" i="1"/>
  <c r="D3" i="3"/>
  <c r="D3" i="4" s="1"/>
  <c r="C61" i="1"/>
  <c r="AH3" i="3"/>
  <c r="H13" i="1"/>
  <c r="E8" i="3" s="1"/>
  <c r="D8" i="3"/>
  <c r="D8" i="4" s="1"/>
  <c r="K5" i="3"/>
  <c r="K5" i="4" s="1"/>
  <c r="D61" i="1"/>
  <c r="P4" i="3" s="1"/>
  <c r="P4" i="4" s="1"/>
  <c r="AH4" i="3"/>
  <c r="I4" i="3"/>
  <c r="I4" i="4" s="1"/>
  <c r="J4" i="3"/>
  <c r="J4" i="4" s="1"/>
  <c r="H4" i="3"/>
  <c r="H4" i="4" s="1"/>
  <c r="E4" i="4"/>
  <c r="M4" i="3"/>
  <c r="M4" i="4" s="1"/>
  <c r="I13" i="1"/>
  <c r="E9" i="3" s="1"/>
  <c r="D9" i="3"/>
  <c r="D9" i="4" s="1"/>
  <c r="AB5" i="3"/>
  <c r="AG5" i="4" s="1"/>
  <c r="AC5" i="4"/>
  <c r="T4" i="4"/>
  <c r="S4" i="3"/>
  <c r="X4" i="4" s="1"/>
  <c r="X4" i="3"/>
  <c r="AF3" i="4"/>
  <c r="D41" i="1"/>
  <c r="F17" i="1"/>
  <c r="W6" i="3" s="1"/>
  <c r="S12" i="3" l="1"/>
  <c r="U4" i="4"/>
  <c r="T4" i="3"/>
  <c r="Y4" i="4" s="1"/>
  <c r="Y4" i="3"/>
  <c r="D13" i="2"/>
  <c r="E3" i="3"/>
  <c r="I9" i="3"/>
  <c r="I9" i="4" s="1"/>
  <c r="H9" i="3"/>
  <c r="H9" i="4" s="1"/>
  <c r="E9" i="4"/>
  <c r="K9" i="3"/>
  <c r="K9" i="4" s="1"/>
  <c r="P9" i="3"/>
  <c r="P9" i="4" s="1"/>
  <c r="M9" i="3"/>
  <c r="M9" i="4" s="1"/>
  <c r="O9" i="3"/>
  <c r="O9" i="4" s="1"/>
  <c r="N9" i="3"/>
  <c r="N9" i="4" s="1"/>
  <c r="J9" i="3"/>
  <c r="J9" i="4" s="1"/>
  <c r="E7" i="4"/>
  <c r="J7" i="3"/>
  <c r="J7" i="4" s="1"/>
  <c r="H7" i="3"/>
  <c r="H7" i="4" s="1"/>
  <c r="K7" i="3"/>
  <c r="K7" i="4" s="1"/>
  <c r="I7" i="3"/>
  <c r="I7" i="4" s="1"/>
  <c r="M7" i="3"/>
  <c r="M7" i="4" s="1"/>
  <c r="N7" i="3"/>
  <c r="N7" i="4" s="1"/>
  <c r="O7" i="3"/>
  <c r="O7" i="4" s="1"/>
  <c r="P7" i="3"/>
  <c r="P7" i="4" s="1"/>
  <c r="AG3" i="4"/>
  <c r="AA6" i="3"/>
  <c r="AB6" i="4"/>
  <c r="W12" i="3"/>
  <c r="W11" i="3"/>
  <c r="J8" i="3"/>
  <c r="J8" i="4" s="1"/>
  <c r="K8" i="3"/>
  <c r="K8" i="4" s="1"/>
  <c r="H8" i="3"/>
  <c r="H8" i="4" s="1"/>
  <c r="E8" i="4"/>
  <c r="I8" i="3"/>
  <c r="I8" i="4" s="1"/>
  <c r="M8" i="3"/>
  <c r="M8" i="4" s="1"/>
  <c r="N8" i="3"/>
  <c r="N8" i="4" s="1"/>
  <c r="O8" i="3"/>
  <c r="O8" i="4" s="1"/>
  <c r="P8" i="3"/>
  <c r="P8" i="4" s="1"/>
  <c r="P6" i="3"/>
  <c r="P6" i="4" s="1"/>
  <c r="H6" i="3"/>
  <c r="H6" i="4" s="1"/>
  <c r="E6" i="4"/>
  <c r="O6" i="3"/>
  <c r="O6" i="4" s="1"/>
  <c r="J6" i="3"/>
  <c r="J6" i="4" s="1"/>
  <c r="K6" i="3"/>
  <c r="K6" i="4" s="1"/>
  <c r="M6" i="3"/>
  <c r="M6" i="4" s="1"/>
  <c r="I6" i="3"/>
  <c r="I6" i="4" s="1"/>
  <c r="N6" i="3"/>
  <c r="N6" i="4" s="1"/>
  <c r="AC4" i="4"/>
  <c r="AB4" i="3"/>
  <c r="AG4" i="4" s="1"/>
  <c r="K4" i="3"/>
  <c r="K4" i="4" s="1"/>
  <c r="U3" i="4"/>
  <c r="T3" i="3"/>
  <c r="Y3" i="3"/>
  <c r="P3" i="3"/>
  <c r="AD5" i="4"/>
  <c r="AC5" i="3"/>
  <c r="AH5" i="4" s="1"/>
  <c r="S11" i="3"/>
  <c r="F18" i="1"/>
  <c r="F39" i="1"/>
  <c r="AD3" i="4" l="1"/>
  <c r="AC3" i="3"/>
  <c r="H3" i="3"/>
  <c r="I3" i="3"/>
  <c r="K3" i="3"/>
  <c r="E3" i="4"/>
  <c r="J3" i="3"/>
  <c r="M3" i="3"/>
  <c r="N3" i="3"/>
  <c r="O3" i="3"/>
  <c r="X6" i="3"/>
  <c r="P12" i="3"/>
  <c r="P11" i="3"/>
  <c r="P3" i="4"/>
  <c r="T11" i="3"/>
  <c r="Y3" i="4"/>
  <c r="T12" i="3"/>
  <c r="AF6" i="4"/>
  <c r="AA12" i="3"/>
  <c r="AA11" i="3"/>
  <c r="AC4" i="3"/>
  <c r="AH4" i="4" s="1"/>
  <c r="AD4" i="4"/>
  <c r="F19" i="1"/>
  <c r="F40" i="1"/>
  <c r="I3" i="4" l="1"/>
  <c r="I12" i="3"/>
  <c r="I11" i="3"/>
  <c r="F41" i="1"/>
  <c r="D5" i="5" s="1"/>
  <c r="Y6" i="3"/>
  <c r="AB6" i="3"/>
  <c r="AC6" i="4"/>
  <c r="X12" i="3"/>
  <c r="X11" i="3"/>
  <c r="H11" i="3"/>
  <c r="H3" i="4"/>
  <c r="H12" i="3"/>
  <c r="O12" i="3"/>
  <c r="O3" i="4"/>
  <c r="O11" i="3"/>
  <c r="N11" i="3"/>
  <c r="N3" i="4"/>
  <c r="N12" i="3"/>
  <c r="K12" i="3"/>
  <c r="K11" i="3"/>
  <c r="K3" i="4"/>
  <c r="M3" i="4"/>
  <c r="M12" i="3"/>
  <c r="M11" i="3"/>
  <c r="AH3" i="4"/>
  <c r="J3" i="4"/>
  <c r="J11" i="3"/>
  <c r="J12" i="3"/>
  <c r="AD6" i="4" l="1"/>
  <c r="AC6" i="3"/>
  <c r="D14" i="5" s="1"/>
  <c r="D16" i="5" s="1"/>
  <c r="Y11" i="3"/>
  <c r="Y12" i="3"/>
  <c r="AG6" i="4"/>
  <c r="AB11" i="3"/>
  <c r="AB12" i="3"/>
  <c r="D6" i="5"/>
  <c r="D8" i="5" s="1"/>
  <c r="AH6" i="4" l="1"/>
  <c r="AC11" i="3"/>
  <c r="AC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AgentUser</author>
  </authors>
  <commentList>
    <comment ref="I5" authorId="0" shapeId="0" xr:uid="{00000000-0006-0000-0400-000001000000}">
      <text>
        <r>
          <rPr>
            <b/>
            <sz val="9"/>
            <color rgb="FF000000"/>
            <rFont val="Tahoma"/>
            <family val="2"/>
          </rPr>
          <t>AgentUser: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Dec 2024 PF calcs</t>
        </r>
      </text>
    </comment>
    <comment ref="G6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AgentUser:</t>
        </r>
        <r>
          <rPr>
            <sz val="9"/>
            <color indexed="81"/>
            <rFont val="Tahoma"/>
            <family val="2"/>
          </rPr>
          <t xml:space="preserve">
With Restricted Cash
</t>
        </r>
      </text>
    </comment>
  </commentList>
</comments>
</file>

<file path=xl/sharedStrings.xml><?xml version="1.0" encoding="utf-8"?>
<sst xmlns="http://schemas.openxmlformats.org/spreadsheetml/2006/main" count="111" uniqueCount="103">
  <si>
    <t>CRH US EQUITY</t>
  </si>
  <si>
    <t>GVA US EQUITY</t>
  </si>
  <si>
    <t>KNF US EQUITY</t>
  </si>
  <si>
    <t>EXP US EQUITY</t>
  </si>
  <si>
    <t>VMC US EQUITY</t>
  </si>
  <si>
    <t>MLM US EQUITY</t>
  </si>
  <si>
    <t>AMRZ US EQUITY</t>
  </si>
  <si>
    <t>Sh Px</t>
  </si>
  <si>
    <t>EqV</t>
  </si>
  <si>
    <t>(+) Debt</t>
  </si>
  <si>
    <t>(-) Cash</t>
  </si>
  <si>
    <t>Net Debt</t>
  </si>
  <si>
    <t>(+) Pension</t>
  </si>
  <si>
    <t>Other debt-like items</t>
  </si>
  <si>
    <t>TEV</t>
  </si>
  <si>
    <t>Dilut. Sh Out</t>
  </si>
  <si>
    <t>'24 Revenue</t>
  </si>
  <si>
    <t>'25 Revenue Est.</t>
  </si>
  <si>
    <t>'26 Revenue Est.</t>
  </si>
  <si>
    <t>'27 Revenue Est.</t>
  </si>
  <si>
    <t>'23 Revenue</t>
  </si>
  <si>
    <t>'24 % Rev Growth</t>
  </si>
  <si>
    <t>'25 % Rev Growth</t>
  </si>
  <si>
    <t>'26 % Rev Growth</t>
  </si>
  <si>
    <t>'27 % Rev Growth</t>
  </si>
  <si>
    <t>'23 Adj. EBITDA</t>
  </si>
  <si>
    <t>'24 Adj. EBITDA</t>
  </si>
  <si>
    <t>'25 Adj. EBITDA Est.</t>
  </si>
  <si>
    <t>'26 Adj. EBITDA Est.</t>
  </si>
  <si>
    <t>'27 Adj. EBITDA Est.</t>
  </si>
  <si>
    <t>'24 % EBITDA Growth</t>
  </si>
  <si>
    <t>'25 % EBITDA Growth</t>
  </si>
  <si>
    <t>'26 % EBITDA Growth</t>
  </si>
  <si>
    <t>'27 % EBITDA Growth</t>
  </si>
  <si>
    <t>'23 CAPEX</t>
  </si>
  <si>
    <t>'24 CAPEX</t>
  </si>
  <si>
    <t>'25 CAPEX Est.</t>
  </si>
  <si>
    <t>'26 CAPEX Est.</t>
  </si>
  <si>
    <t>'27 CAPEX Est.</t>
  </si>
  <si>
    <t>mCAPEX</t>
  </si>
  <si>
    <t>Low EBITDA Guide</t>
  </si>
  <si>
    <t>High EBITDA Guide</t>
  </si>
  <si>
    <t>(+) NCI/ Equity Inv.</t>
  </si>
  <si>
    <t>Avg '25 EBITDA</t>
  </si>
  <si>
    <t>'23 EBITDA Margin</t>
  </si>
  <si>
    <t>'24 EBITDA Margin</t>
  </si>
  <si>
    <t>'25 EBITDA Margin</t>
  </si>
  <si>
    <t>'26 EBITDA Margin</t>
  </si>
  <si>
    <t>'27 EBITDA Margin</t>
  </si>
  <si>
    <t>7/18/2025 in mm</t>
  </si>
  <si>
    <t>'25 FCFF Est.</t>
  </si>
  <si>
    <t>'26 FCFF Est.</t>
  </si>
  <si>
    <t>'27 FCFF Est.</t>
  </si>
  <si>
    <t>'23 FCFF Est.</t>
  </si>
  <si>
    <t>'24 FCFF Est.</t>
  </si>
  <si>
    <t>(+) ARO Liabilities</t>
  </si>
  <si>
    <t>FCFF Conversion</t>
  </si>
  <si>
    <t>Approx. tax rate on EBITDA</t>
  </si>
  <si>
    <t>Ticker</t>
  </si>
  <si>
    <t>Mkt Cap</t>
  </si>
  <si>
    <t>Median</t>
  </si>
  <si>
    <t>Mean</t>
  </si>
  <si>
    <t>EV/'24 EBITDA</t>
  </si>
  <si>
    <t>EV/'25 EBITDA</t>
  </si>
  <si>
    <t>EV/'26 EBITDA</t>
  </si>
  <si>
    <t>EV/'27 EBITDA</t>
  </si>
  <si>
    <t>'24 FCFF Yield</t>
  </si>
  <si>
    <t>'25 FCFF Yield</t>
  </si>
  <si>
    <t>'26 FCFF Yield</t>
  </si>
  <si>
    <t>'27 FCFF Yield</t>
  </si>
  <si>
    <t>ND/EBITDA</t>
  </si>
  <si>
    <t>'24 EBITDA</t>
  </si>
  <si>
    <t>'25 EBITDA</t>
  </si>
  <si>
    <t>'26 EBITDA</t>
  </si>
  <si>
    <t>'27 EBITDA</t>
  </si>
  <si>
    <t>Adj. EBITDA</t>
  </si>
  <si>
    <t>Adj. EBITDA % Growth</t>
  </si>
  <si>
    <t>'25 Growth %</t>
  </si>
  <si>
    <t>'26 Growth %</t>
  </si>
  <si>
    <t>'27 Growth %</t>
  </si>
  <si>
    <t>Adj. EBITDA Margin %</t>
  </si>
  <si>
    <t>'24 Margin %</t>
  </si>
  <si>
    <t>'25 Margin %</t>
  </si>
  <si>
    <t>'26 Margin %</t>
  </si>
  <si>
    <t>'27 Margin %</t>
  </si>
  <si>
    <t>Margin Improvement %</t>
  </si>
  <si>
    <t>'25 %</t>
  </si>
  <si>
    <t>'26 %</t>
  </si>
  <si>
    <t>'27 %</t>
  </si>
  <si>
    <t>EV/EBITDA</t>
  </si>
  <si>
    <t>Est. FCFF Yield</t>
  </si>
  <si>
    <t>x</t>
  </si>
  <si>
    <t>Subtask Breakdown</t>
  </si>
  <si>
    <t>Section Name</t>
  </si>
  <si>
    <t>Total</t>
  </si>
  <si>
    <t xml:space="preserve">&lt;&lt; Note from OAI: Make sure that all the "Total" cells in this section contain the exact range that should be checked </t>
  </si>
  <si>
    <t>Formatting</t>
  </si>
  <si>
    <t>Check</t>
  </si>
  <si>
    <t>Check that model's solution matches formatting of this range exactly in the gold solution</t>
  </si>
  <si>
    <t>Citations</t>
  </si>
  <si>
    <t>Cell</t>
  </si>
  <si>
    <t>TEV Buildouts</t>
  </si>
  <si>
    <t>Summary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</si>
</sst>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\x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i/>
      <sz val="10"/>
      <color rgb="FFFF0000"/>
      <name val="Arial"/>
      <family val="2"/>
    </font>
    <font>
      <i/>
      <sz val="10"/>
      <color theme="1"/>
      <name val="Arial"/>
      <family val="2"/>
    </font>
    <font>
      <b/>
      <sz val="11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67">
    <xf numFmtId="0" fontId="0" fillId="0" borderId="0" xfId="0"/>
    <xf numFmtId="0" fontId="2" fillId="0" borderId="0" xfId="0" applyFont="1"/>
    <xf numFmtId="44" fontId="0" fillId="0" borderId="0" xfId="2" applyFont="1"/>
    <xf numFmtId="0" fontId="0" fillId="0" borderId="1" xfId="0" applyBorder="1"/>
    <xf numFmtId="164" fontId="2" fillId="0" borderId="0" xfId="1" applyNumberFormat="1" applyFont="1"/>
    <xf numFmtId="0" fontId="0" fillId="0" borderId="0" xfId="0" quotePrefix="1"/>
    <xf numFmtId="164" fontId="0" fillId="0" borderId="0" xfId="1" applyNumberFormat="1" applyFont="1"/>
    <xf numFmtId="164" fontId="0" fillId="0" borderId="1" xfId="1" applyNumberFormat="1" applyFont="1" applyBorder="1"/>
    <xf numFmtId="164" fontId="2" fillId="0" borderId="0" xfId="0" applyNumberFormat="1" applyFont="1"/>
    <xf numFmtId="164" fontId="3" fillId="0" borderId="0" xfId="1" applyNumberFormat="1" applyFont="1"/>
    <xf numFmtId="164" fontId="3" fillId="0" borderId="0" xfId="0" applyNumberFormat="1" applyFont="1"/>
    <xf numFmtId="164" fontId="4" fillId="0" borderId="1" xfId="1" applyNumberFormat="1" applyFont="1" applyBorder="1"/>
    <xf numFmtId="164" fontId="4" fillId="0" borderId="0" xfId="1" applyNumberFormat="1" applyFont="1" applyBorder="1"/>
    <xf numFmtId="164" fontId="4" fillId="0" borderId="0" xfId="1" applyNumberFormat="1" applyFont="1"/>
    <xf numFmtId="9" fontId="0" fillId="0" borderId="0" xfId="0" applyNumberFormat="1"/>
    <xf numFmtId="164" fontId="0" fillId="0" borderId="0" xfId="0" applyNumberFormat="1"/>
    <xf numFmtId="165" fontId="0" fillId="0" borderId="0" xfId="3" applyNumberFormat="1" applyFont="1"/>
    <xf numFmtId="165" fontId="4" fillId="2" borderId="2" xfId="0" applyNumberFormat="1" applyFont="1" applyFill="1" applyBorder="1"/>
    <xf numFmtId="164" fontId="4" fillId="2" borderId="2" xfId="1" applyNumberFormat="1" applyFont="1" applyFill="1" applyBorder="1"/>
    <xf numFmtId="164" fontId="4" fillId="3" borderId="0" xfId="1" applyNumberFormat="1" applyFont="1" applyFill="1"/>
    <xf numFmtId="164" fontId="2" fillId="3" borderId="0" xfId="0" applyNumberFormat="1" applyFont="1" applyFill="1"/>
    <xf numFmtId="164" fontId="7" fillId="2" borderId="2" xfId="1" applyNumberFormat="1" applyFont="1" applyFill="1" applyBorder="1"/>
    <xf numFmtId="44" fontId="4" fillId="0" borderId="0" xfId="2" applyFont="1"/>
    <xf numFmtId="166" fontId="0" fillId="0" borderId="0" xfId="0" applyNumberFormat="1"/>
    <xf numFmtId="44" fontId="8" fillId="0" borderId="0" xfId="2" applyFont="1"/>
    <xf numFmtId="164" fontId="8" fillId="0" borderId="0" xfId="1" applyNumberFormat="1" applyFont="1"/>
    <xf numFmtId="166" fontId="8" fillId="0" borderId="0" xfId="0" applyNumberFormat="1" applyFont="1"/>
    <xf numFmtId="165" fontId="8" fillId="0" borderId="0" xfId="3" applyNumberFormat="1" applyFont="1"/>
    <xf numFmtId="166" fontId="9" fillId="0" borderId="0" xfId="0" applyNumberFormat="1" applyFont="1"/>
    <xf numFmtId="165" fontId="9" fillId="0" borderId="0" xfId="3" applyNumberFormat="1" applyFont="1"/>
    <xf numFmtId="0" fontId="12" fillId="0" borderId="3" xfId="4" applyFont="1" applyBorder="1"/>
    <xf numFmtId="0" fontId="11" fillId="0" borderId="0" xfId="4"/>
    <xf numFmtId="0" fontId="12" fillId="0" borderId="4" xfId="4" applyFont="1" applyBorder="1"/>
    <xf numFmtId="0" fontId="12" fillId="0" borderId="5" xfId="4" applyFont="1" applyBorder="1"/>
    <xf numFmtId="0" fontId="13" fillId="0" borderId="4" xfId="4" applyFont="1" applyBorder="1"/>
    <xf numFmtId="0" fontId="14" fillId="4" borderId="6" xfId="4" applyFont="1" applyFill="1" applyBorder="1"/>
    <xf numFmtId="0" fontId="12" fillId="0" borderId="7" xfId="4" applyFont="1" applyBorder="1"/>
    <xf numFmtId="0" fontId="13" fillId="0" borderId="3" xfId="4" applyFont="1" applyBorder="1"/>
    <xf numFmtId="0" fontId="15" fillId="5" borderId="6" xfId="4" applyFont="1" applyFill="1" applyBorder="1"/>
    <xf numFmtId="3" fontId="16" fillId="0" borderId="6" xfId="4" applyNumberFormat="1" applyFont="1" applyBorder="1"/>
    <xf numFmtId="0" fontId="17" fillId="0" borderId="3" xfId="4" applyFont="1" applyBorder="1" applyAlignment="1">
      <alignment horizontal="left"/>
    </xf>
    <xf numFmtId="0" fontId="12" fillId="0" borderId="3" xfId="4" applyFont="1" applyBorder="1" applyAlignment="1">
      <alignment horizontal="left"/>
    </xf>
    <xf numFmtId="0" fontId="18" fillId="0" borderId="3" xfId="4" applyFont="1" applyBorder="1" applyAlignment="1">
      <alignment horizontal="left"/>
    </xf>
    <xf numFmtId="0" fontId="16" fillId="0" borderId="9" xfId="4" applyFont="1" applyBorder="1"/>
    <xf numFmtId="0" fontId="19" fillId="0" borderId="5" xfId="4" applyFont="1" applyBorder="1" applyAlignment="1">
      <alignment horizontal="right"/>
    </xf>
    <xf numFmtId="3" fontId="19" fillId="0" borderId="6" xfId="4" applyNumberFormat="1" applyFont="1" applyBorder="1"/>
    <xf numFmtId="0" fontId="12" fillId="0" borderId="10" xfId="4" applyFont="1" applyBorder="1"/>
    <xf numFmtId="0" fontId="16" fillId="0" borderId="4" xfId="4" applyFont="1" applyBorder="1"/>
    <xf numFmtId="0" fontId="16" fillId="0" borderId="6" xfId="4" applyFont="1" applyBorder="1"/>
    <xf numFmtId="0" fontId="13" fillId="0" borderId="5" xfId="4" applyFont="1" applyBorder="1" applyAlignment="1">
      <alignment horizontal="right"/>
    </xf>
    <xf numFmtId="0" fontId="13" fillId="0" borderId="6" xfId="4" applyFont="1" applyBorder="1"/>
    <xf numFmtId="0" fontId="20" fillId="0" borderId="8" xfId="4" applyFont="1" applyBorder="1"/>
    <xf numFmtId="0" fontId="21" fillId="0" borderId="3" xfId="4" applyFont="1" applyBorder="1"/>
    <xf numFmtId="0" fontId="15" fillId="5" borderId="6" xfId="4" applyFont="1" applyFill="1" applyBorder="1" applyAlignment="1">
      <alignment wrapText="1"/>
    </xf>
    <xf numFmtId="0" fontId="16" fillId="0" borderId="6" xfId="4" applyFont="1" applyBorder="1" applyAlignment="1">
      <alignment wrapText="1"/>
    </xf>
    <xf numFmtId="3" fontId="16" fillId="0" borderId="6" xfId="4" applyNumberFormat="1" applyFont="1" applyBorder="1" applyAlignment="1">
      <alignment wrapText="1"/>
    </xf>
    <xf numFmtId="0" fontId="10" fillId="6" borderId="0" xfId="0" applyFont="1" applyFill="1" applyAlignment="1">
      <alignment horizontal="centerContinuous"/>
    </xf>
    <xf numFmtId="0" fontId="0" fillId="6" borderId="0" xfId="0" applyFont="1" applyFill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6" borderId="0" xfId="0" quotePrefix="1" applyFont="1" applyFill="1" applyAlignment="1">
      <alignment horizontal="center"/>
    </xf>
    <xf numFmtId="0" fontId="2" fillId="0" borderId="0" xfId="0" applyFont="1" applyFill="1"/>
    <xf numFmtId="166" fontId="2" fillId="0" borderId="0" xfId="0" applyNumberFormat="1" applyFont="1" applyFill="1"/>
    <xf numFmtId="165" fontId="2" fillId="0" borderId="0" xfId="3" applyNumberFormat="1" applyFont="1" applyFill="1"/>
    <xf numFmtId="0" fontId="0" fillId="0" borderId="0" xfId="0" applyFill="1"/>
    <xf numFmtId="14" fontId="2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 2" xfId="4" xr:uid="{00000000-0005-0000-0000-000003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J45"/>
  <sheetViews>
    <sheetView workbookViewId="0">
      <selection activeCell="D2" sqref="D2:J2"/>
    </sheetView>
  </sheetViews>
  <sheetFormatPr baseColWidth="10" defaultColWidth="8.83203125" defaultRowHeight="15" x14ac:dyDescent="0.2"/>
  <sheetData>
    <row r="2" spans="4:10" x14ac:dyDescent="0.2">
      <c r="D2" s="2">
        <f>'TEV Buildouts - Gold Solution'!C2</f>
        <v>94.06</v>
      </c>
      <c r="E2" s="2">
        <f>'TEV Buildouts - Gold Solution'!D2</f>
        <v>94.04</v>
      </c>
      <c r="F2" s="2">
        <f>'TEV Buildouts - Gold Solution'!E2</f>
        <v>80.569999999999993</v>
      </c>
      <c r="G2" s="2">
        <f>'TEV Buildouts - Gold Solution'!F2</f>
        <v>215.12</v>
      </c>
      <c r="H2" s="2">
        <f>'TEV Buildouts - Gold Solution'!G2</f>
        <v>266.60000000000002</v>
      </c>
      <c r="I2" s="2">
        <f>'TEV Buildouts - Gold Solution'!H2</f>
        <v>565.03</v>
      </c>
      <c r="J2" s="2">
        <f>'TEV Buildouts - Gold Solution'!I2</f>
        <v>49.6</v>
      </c>
    </row>
    <row r="3" spans="4:10" x14ac:dyDescent="0.2">
      <c r="D3" s="7">
        <f>'TEV Buildouts - Gold Solution'!$C$3</f>
        <v>676.7</v>
      </c>
    </row>
    <row r="5" spans="4:10" x14ac:dyDescent="0.2">
      <c r="D5" s="6">
        <f>'TEV Buildouts - Gold Solution'!C5</f>
        <v>15671</v>
      </c>
    </row>
    <row r="6" spans="4:10" x14ac:dyDescent="0.2">
      <c r="D6" s="7">
        <f>'TEV Buildouts - Gold Solution'!C6</f>
        <v>-3352</v>
      </c>
    </row>
    <row r="7" spans="4:10" x14ac:dyDescent="0.2">
      <c r="D7" s="4">
        <f>'TEV Buildouts - Gold Solution'!C7</f>
        <v>12319</v>
      </c>
    </row>
    <row r="8" spans="4:10" x14ac:dyDescent="0.2">
      <c r="D8" s="6">
        <f>'TEV Buildouts - Gold Solution'!C8</f>
        <v>506</v>
      </c>
    </row>
    <row r="9" spans="4:10" x14ac:dyDescent="0.2">
      <c r="D9" s="6">
        <f>'TEV Buildouts - Gold Solution'!C9</f>
        <v>229</v>
      </c>
    </row>
    <row r="10" spans="4:10" x14ac:dyDescent="0.2">
      <c r="D10" s="7">
        <f>'TEV Buildouts - Gold Solution'!C10</f>
        <v>339</v>
      </c>
    </row>
    <row r="11" spans="4:10" x14ac:dyDescent="0.2">
      <c r="D11" s="4">
        <f>'TEV Buildouts - Gold Solution'!C11</f>
        <v>1074</v>
      </c>
    </row>
    <row r="13" spans="4:10" x14ac:dyDescent="0.2">
      <c r="D13" s="8">
        <f>'TEV Buildouts - Gold Solution'!$C$13</f>
        <v>77043.402000000002</v>
      </c>
    </row>
    <row r="26" spans="4:4" x14ac:dyDescent="0.2">
      <c r="D26">
        <f>'TEV Buildouts - Gold Solution'!C26</f>
        <v>6176</v>
      </c>
    </row>
    <row r="27" spans="4:4" x14ac:dyDescent="0.2">
      <c r="D27">
        <f>'TEV Buildouts - Gold Solution'!C27</f>
        <v>6930</v>
      </c>
    </row>
    <row r="34" spans="4:4" x14ac:dyDescent="0.2">
      <c r="D34" s="14">
        <f>'TEV Buildouts - Gold Solution'!C34</f>
        <v>0.1</v>
      </c>
    </row>
    <row r="35" spans="4:4" x14ac:dyDescent="0.2">
      <c r="D35" s="14">
        <f>'TEV Buildouts - Gold Solution'!C35</f>
        <v>0.1</v>
      </c>
    </row>
    <row r="45" spans="4:4" x14ac:dyDescent="0.2">
      <c r="D45" s="14">
        <f>'TEV Buildouts - Gold Solution'!$C$51</f>
        <v>0.17250000000000001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AH9"/>
  <sheetViews>
    <sheetView workbookViewId="0">
      <selection activeCell="AF3" sqref="AF3:AH9"/>
    </sheetView>
  </sheetViews>
  <sheetFormatPr baseColWidth="10" defaultColWidth="8.83203125" defaultRowHeight="15" x14ac:dyDescent="0.2"/>
  <sheetData>
    <row r="3" spans="3:34" x14ac:dyDescent="0.2">
      <c r="C3" s="2">
        <f>'Compsheet - Gold Solution'!C3</f>
        <v>94.06</v>
      </c>
      <c r="D3" s="6">
        <f>'Compsheet - Gold Solution'!D3</f>
        <v>63650.402000000009</v>
      </c>
      <c r="E3" s="6">
        <f>'Compsheet - Gold Solution'!E3</f>
        <v>77043.402000000002</v>
      </c>
      <c r="F3" s="23">
        <f>'Compsheet - Gold Solution'!F3</f>
        <v>1.6425333333333334</v>
      </c>
      <c r="H3" s="23">
        <f>'Compsheet - Gold Solution'!H3</f>
        <v>11.117374025974026</v>
      </c>
      <c r="I3" s="23">
        <f>'Compsheet - Gold Solution'!I3</f>
        <v>10.2724536</v>
      </c>
      <c r="J3" s="23">
        <f>'Compsheet - Gold Solution'!J3</f>
        <v>9.3385941818181823</v>
      </c>
      <c r="K3" s="23">
        <f>'Compsheet - Gold Solution'!K3</f>
        <v>8.4896310743801653</v>
      </c>
      <c r="M3" s="16">
        <f>'Compsheet - Gold Solution'!M3</f>
        <v>4.0971386491993174E-2</v>
      </c>
      <c r="N3" s="16">
        <f>'Compsheet - Gold Solution'!N3</f>
        <v>4.2914122613640554E-2</v>
      </c>
      <c r="O3" s="16">
        <f>'Compsheet - Gold Solution'!O3</f>
        <v>5.0969646953025256E-2</v>
      </c>
      <c r="P3" s="16">
        <f>'Compsheet - Gold Solution'!P3</f>
        <v>5.9830723726348428E-2</v>
      </c>
      <c r="R3" s="6">
        <f>'Compsheet - Gold Solution'!AE3</f>
        <v>6930</v>
      </c>
      <c r="S3" s="6">
        <f>'Compsheet - Gold Solution'!AF3</f>
        <v>7500</v>
      </c>
      <c r="T3" s="6">
        <f>'Compsheet - Gold Solution'!AG3</f>
        <v>8250</v>
      </c>
      <c r="U3" s="6">
        <f>'Compsheet - Gold Solution'!AH3</f>
        <v>9075</v>
      </c>
      <c r="W3" s="16">
        <f>'Compsheet - Gold Solution'!R3</f>
        <v>8.2251082251082241E-2</v>
      </c>
      <c r="X3" s="16">
        <f>'Compsheet - Gold Solution'!S3</f>
        <v>0.10000000000000009</v>
      </c>
      <c r="Y3" s="16">
        <f>'Compsheet - Gold Solution'!T3</f>
        <v>0.10000000000000009</v>
      </c>
      <c r="AA3" s="16">
        <f>'Compsheet - Gold Solution'!V3</f>
        <v>0.19481614753176657</v>
      </c>
      <c r="AB3" s="16">
        <f>'Compsheet - Gold Solution'!W3</f>
        <v>0.20273075625600082</v>
      </c>
      <c r="AC3" s="16">
        <f>'Compsheet - Gold Solution'!X3</f>
        <v>0.21442676142461622</v>
      </c>
      <c r="AD3" s="16">
        <f>'Compsheet - Gold Solution'!Y3</f>
        <v>0.22679753612219022</v>
      </c>
      <c r="AF3" s="16">
        <f>'Compsheet - Gold Solution'!AA3</f>
        <v>7.9146087242342456E-3</v>
      </c>
      <c r="AG3" s="16">
        <f>'Compsheet - Gold Solution'!AB3</f>
        <v>1.1696005168615409E-2</v>
      </c>
      <c r="AH3" s="16">
        <f>'Compsheet - Gold Solution'!AC3</f>
        <v>1.2370774697574E-2</v>
      </c>
    </row>
    <row r="4" spans="3:34" x14ac:dyDescent="0.2">
      <c r="C4" s="2">
        <f>'Compsheet - Gold Solution'!C4</f>
        <v>94.04</v>
      </c>
      <c r="D4" s="6">
        <f>'Compsheet - Gold Solution'!D4</f>
        <v>4087.2605200000003</v>
      </c>
      <c r="E4" s="6">
        <f>'Compsheet - Gold Solution'!E4</f>
        <v>5286.9285199999995</v>
      </c>
      <c r="F4" s="23">
        <f>'Compsheet - Gold Solution'!F4</f>
        <v>2.7161979797979798</v>
      </c>
      <c r="H4" s="23">
        <f>'Compsheet - Gold Solution'!H4</f>
        <v>13.160140489572806</v>
      </c>
      <c r="I4" s="23">
        <f>'Compsheet - Gold Solution'!I4</f>
        <v>10.680663676767676</v>
      </c>
      <c r="J4" s="23">
        <f>'Compsheet - Gold Solution'!J4</f>
        <v>9.7096942516069777</v>
      </c>
      <c r="K4" s="23">
        <f>'Compsheet - Gold Solution'!K4</f>
        <v>8.8269947741881616</v>
      </c>
      <c r="M4" s="16">
        <f>'Compsheet - Gold Solution'!M4</f>
        <v>3.5939038003108846E-2</v>
      </c>
      <c r="N4" s="16">
        <f>'Compsheet - Gold Solution'!N4</f>
        <v>4.7700190960781146E-2</v>
      </c>
      <c r="O4" s="16">
        <f>'Compsheet - Gold Solution'!O4</f>
        <v>5.5307396136310923E-2</v>
      </c>
      <c r="P4" s="16">
        <f>'Compsheet - Gold Solution'!P4</f>
        <v>6.3675321829393686E-2</v>
      </c>
      <c r="R4" s="6">
        <f>'Compsheet - Gold Solution'!AE4</f>
        <v>401.738</v>
      </c>
      <c r="S4" s="6">
        <f>'Compsheet - Gold Solution'!AF4</f>
        <v>495</v>
      </c>
      <c r="T4" s="6">
        <f>'Compsheet - Gold Solution'!AG4</f>
        <v>544.5</v>
      </c>
      <c r="U4" s="6">
        <f>'Compsheet - Gold Solution'!AH4</f>
        <v>598.95000000000005</v>
      </c>
      <c r="W4" s="16">
        <f>'Compsheet - Gold Solution'!R4</f>
        <v>0.23214632422125869</v>
      </c>
      <c r="X4" s="16">
        <f>'Compsheet - Gold Solution'!S4</f>
        <v>0.10000000000000009</v>
      </c>
      <c r="Y4" s="16">
        <f>'Compsheet - Gold Solution'!T4</f>
        <v>0.10000000000000009</v>
      </c>
      <c r="AA4" s="16">
        <f>'Compsheet - Gold Solution'!V4</f>
        <v>0.10024468668576052</v>
      </c>
      <c r="AB4" s="16">
        <f>'Compsheet - Gold Solution'!W4</f>
        <v>0.11511627906976744</v>
      </c>
      <c r="AC4" s="16">
        <f>'Compsheet - Gold Solution'!X4</f>
        <v>0.11946028960070207</v>
      </c>
      <c r="AD4" s="16">
        <f>'Compsheet - Gold Solution'!Y4</f>
        <v>0.12396822505733232</v>
      </c>
      <c r="AF4" s="16">
        <f>'Compsheet - Gold Solution'!AA4</f>
        <v>1.4871592384006926E-2</v>
      </c>
      <c r="AG4" s="16">
        <f>'Compsheet - Gold Solution'!AB4</f>
        <v>4.344010530934625E-3</v>
      </c>
      <c r="AH4" s="16">
        <f>'Compsheet - Gold Solution'!AC4</f>
        <v>4.5079354566302521E-3</v>
      </c>
    </row>
    <row r="5" spans="3:34" x14ac:dyDescent="0.2">
      <c r="C5" s="2">
        <f>'Compsheet - Gold Solution'!C5</f>
        <v>80.569999999999993</v>
      </c>
      <c r="D5" s="6">
        <f>'Compsheet - Gold Solution'!D5</f>
        <v>4560.2619999999997</v>
      </c>
      <c r="E5" s="6">
        <f>'Compsheet - Gold Solution'!E5</f>
        <v>5600.9919999999993</v>
      </c>
      <c r="F5" s="23">
        <f>'Compsheet - Gold Solution'!F5</f>
        <v>1.8625225225225226</v>
      </c>
      <c r="H5" s="23">
        <f>'Compsheet - Gold Solution'!H5</f>
        <v>12.097174946004317</v>
      </c>
      <c r="I5" s="23">
        <f>'Compsheet - Gold Solution'!I5</f>
        <v>10.091877477477476</v>
      </c>
      <c r="J5" s="23">
        <f>'Compsheet - Gold Solution'!J5</f>
        <v>9.3443309976643292</v>
      </c>
      <c r="K5" s="23">
        <f>'Compsheet - Gold Solution'!K5</f>
        <v>8.6521583311706749</v>
      </c>
      <c r="M5" s="16">
        <f>'Compsheet - Gold Solution'!M5</f>
        <v>3.9479256531700105E-2</v>
      </c>
      <c r="N5" s="16">
        <f>'Compsheet - Gold Solution'!N5</f>
        <v>4.8161111460255618E-2</v>
      </c>
      <c r="O5" s="16">
        <f>'Compsheet - Gold Solution'!O5</f>
        <v>5.4899203569653394E-2</v>
      </c>
      <c r="P5" s="16">
        <f>'Compsheet - Gold Solution'!P5</f>
        <v>6.2176343047802986E-2</v>
      </c>
      <c r="R5" s="6">
        <f>'Compsheet - Gold Solution'!AE5</f>
        <v>463</v>
      </c>
      <c r="S5" s="6">
        <f>'Compsheet - Gold Solution'!AF5</f>
        <v>555</v>
      </c>
      <c r="T5" s="6">
        <f>'Compsheet - Gold Solution'!AG5</f>
        <v>599.40000000000009</v>
      </c>
      <c r="U5" s="6">
        <f>'Compsheet - Gold Solution'!AH5</f>
        <v>647.35200000000009</v>
      </c>
      <c r="W5" s="16">
        <f>'Compsheet - Gold Solution'!R5</f>
        <v>0.19870410367170632</v>
      </c>
      <c r="X5" s="16">
        <f>'Compsheet - Gold Solution'!S5</f>
        <v>8.0000000000000071E-2</v>
      </c>
      <c r="Y5" s="16">
        <f>'Compsheet - Gold Solution'!T5</f>
        <v>8.0000000000000071E-2</v>
      </c>
      <c r="AA5" s="16">
        <f>'Compsheet - Gold Solution'!V5</f>
        <v>0.15970996945503715</v>
      </c>
      <c r="AB5" s="16">
        <f>'Compsheet - Gold Solution'!W5</f>
        <v>0.16567164179104477</v>
      </c>
      <c r="AC5" s="16">
        <f>'Compsheet - Gold Solution'!X5</f>
        <v>0.17204362801377729</v>
      </c>
      <c r="AD5" s="16">
        <f>'Compsheet - Gold Solution'!Y5</f>
        <v>0.17866069062969181</v>
      </c>
      <c r="AF5" s="16">
        <f>'Compsheet - Gold Solution'!AA5</f>
        <v>5.9616723360076118E-3</v>
      </c>
      <c r="AG5" s="16">
        <f>'Compsheet - Gold Solution'!AB5</f>
        <v>6.371986222732523E-3</v>
      </c>
      <c r="AH5" s="16">
        <f>'Compsheet - Gold Solution'!AC5</f>
        <v>6.6170626159145207E-3</v>
      </c>
    </row>
    <row r="6" spans="3:34" x14ac:dyDescent="0.2">
      <c r="C6" s="2">
        <f>'Compsheet - Gold Solution'!C6</f>
        <v>215.12</v>
      </c>
      <c r="D6" s="6">
        <f>'Compsheet - Gold Solution'!D6</f>
        <v>7155.7940586400009</v>
      </c>
      <c r="E6" s="6">
        <f>'Compsheet - Gold Solution'!E6</f>
        <v>8233.6200586400009</v>
      </c>
      <c r="F6" s="23">
        <f>'Compsheet - Gold Solution'!F6</f>
        <v>1.4530176427025541</v>
      </c>
      <c r="H6" s="23">
        <f>'Compsheet - Gold Solution'!H6</f>
        <v>9.9212434041773818</v>
      </c>
      <c r="I6" s="23">
        <f>'Compsheet - Gold Solution'!I6</f>
        <v>9.823013271462754</v>
      </c>
      <c r="J6" s="23">
        <f>'Compsheet - Gold Solution'!J6</f>
        <v>9.266993652323352</v>
      </c>
      <c r="K6" s="23">
        <f>'Compsheet - Gold Solution'!K6</f>
        <v>8.7424468418144823</v>
      </c>
      <c r="M6" s="16">
        <f>'Compsheet - Gold Solution'!M6</f>
        <v>6.2370236462529149E-2</v>
      </c>
      <c r="N6" s="16">
        <f>'Compsheet - Gold Solution'!N6</f>
        <v>4.5532156649201003E-2</v>
      </c>
      <c r="O6" s="16">
        <f>'Compsheet - Gold Solution'!O6</f>
        <v>5.3668756130458323E-2</v>
      </c>
      <c r="P6" s="16">
        <f>'Compsheet - Gold Solution'!P6</f>
        <v>5.9075040183263226E-2</v>
      </c>
      <c r="R6" s="6">
        <f>'Compsheet - Gold Solution'!AE6</f>
        <v>829.89800000000002</v>
      </c>
      <c r="S6" s="6">
        <f>'Compsheet - Gold Solution'!AF6</f>
        <v>838.19698000000005</v>
      </c>
      <c r="T6" s="6">
        <f>'Compsheet - Gold Solution'!AG6</f>
        <v>888.48879880000015</v>
      </c>
      <c r="U6" s="6">
        <f>'Compsheet - Gold Solution'!AH6</f>
        <v>941.79812672800017</v>
      </c>
      <c r="W6" s="16">
        <f>'Compsheet - Gold Solution'!R6</f>
        <v>1.0000000000000009E-2</v>
      </c>
      <c r="X6" s="16">
        <f>'Compsheet - Gold Solution'!S6</f>
        <v>6.0000000000000053E-2</v>
      </c>
      <c r="Y6" s="16">
        <f>'Compsheet - Gold Solution'!T6</f>
        <v>6.0000000000000053E-2</v>
      </c>
      <c r="AA6" s="16">
        <f>'Compsheet - Gold Solution'!V6</f>
        <v>0.36607117651210391</v>
      </c>
      <c r="AB6" s="16">
        <f>'Compsheet - Gold Solution'!W6</f>
        <v>0.36973188827722497</v>
      </c>
      <c r="AC6" s="16">
        <f>'Compsheet - Gold Solution'!X6</f>
        <v>0.37684211689794089</v>
      </c>
      <c r="AD6" s="16">
        <f>'Compsheet - Gold Solution'!Y6</f>
        <v>0.38408908068443975</v>
      </c>
      <c r="AF6" s="16">
        <f>'Compsheet - Gold Solution'!AA6</f>
        <v>3.6607117651210608E-3</v>
      </c>
      <c r="AG6" s="16">
        <f>'Compsheet - Gold Solution'!AB6</f>
        <v>7.1102286207159193E-3</v>
      </c>
      <c r="AH6" s="16">
        <f>'Compsheet - Gold Solution'!AC6</f>
        <v>7.2469637864988612E-3</v>
      </c>
    </row>
    <row r="7" spans="3:34" x14ac:dyDescent="0.2">
      <c r="C7" s="2">
        <f>'Compsheet - Gold Solution'!C7</f>
        <v>266.60000000000002</v>
      </c>
      <c r="D7" s="6">
        <f>'Compsheet - Gold Solution'!D7</f>
        <v>35457.800000000003</v>
      </c>
      <c r="E7" s="6">
        <f>'Compsheet - Gold Solution'!E7</f>
        <v>40627.200000000004</v>
      </c>
      <c r="F7" s="23">
        <f>'Compsheet - Gold Solution'!F7</f>
        <v>1.9246938775510205</v>
      </c>
      <c r="H7" s="23">
        <f>'Compsheet - Gold Solution'!H7</f>
        <v>19.748784755979006</v>
      </c>
      <c r="I7" s="23">
        <f>'Compsheet - Gold Solution'!I7</f>
        <v>16.582530612244899</v>
      </c>
      <c r="J7" s="23">
        <f>'Compsheet - Gold Solution'!J7</f>
        <v>15.075027829313544</v>
      </c>
      <c r="K7" s="23">
        <f>'Compsheet - Gold Solution'!K7</f>
        <v>13.704570753921402</v>
      </c>
      <c r="M7" s="16">
        <f>'Compsheet - Gold Solution'!M7</f>
        <v>2.7426502441713917E-2</v>
      </c>
      <c r="N7" s="16">
        <f>'Compsheet - Gold Solution'!N7</f>
        <v>3.1278306159420288E-2</v>
      </c>
      <c r="O7" s="16">
        <f>'Compsheet - Gold Solution'!O7</f>
        <v>3.6313725779773147E-2</v>
      </c>
      <c r="P7" s="16">
        <f>'Compsheet - Gold Solution'!P7</f>
        <v>4.1852687362161307E-2</v>
      </c>
      <c r="R7" s="6">
        <f>'Compsheet - Gold Solution'!AE7</f>
        <v>2057.1999999999998</v>
      </c>
      <c r="S7" s="6">
        <f>'Compsheet - Gold Solution'!AF7</f>
        <v>2450</v>
      </c>
      <c r="T7" s="6">
        <f>'Compsheet - Gold Solution'!AG7</f>
        <v>2695</v>
      </c>
      <c r="U7" s="6">
        <f>'Compsheet - Gold Solution'!AH7</f>
        <v>2964.5000000000005</v>
      </c>
      <c r="W7" s="16">
        <f>'Compsheet - Gold Solution'!R7</f>
        <v>0.19093914057942851</v>
      </c>
      <c r="X7" s="16">
        <f>'Compsheet - Gold Solution'!S7</f>
        <v>0.10000000000000009</v>
      </c>
      <c r="Y7" s="16">
        <f>'Compsheet - Gold Solution'!T7</f>
        <v>0.10000000000000009</v>
      </c>
      <c r="AA7" s="16">
        <f>'Compsheet - Gold Solution'!V7</f>
        <v>0.27732542464276083</v>
      </c>
      <c r="AB7" s="16">
        <f>'Compsheet - Gold Solution'!W7</f>
        <v>0.30581268785636539</v>
      </c>
      <c r="AC7" s="16">
        <f>'Compsheet - Gold Solution'!X7</f>
        <v>0.31735278928490745</v>
      </c>
      <c r="AD7" s="16">
        <f>'Compsheet - Gold Solution'!Y7</f>
        <v>0.32932836623905493</v>
      </c>
      <c r="AF7" s="16">
        <f>'Compsheet - Gold Solution'!AA7</f>
        <v>2.8487263213604563E-2</v>
      </c>
      <c r="AG7" s="16">
        <f>'Compsheet - Gold Solution'!AB7</f>
        <v>1.154010142854206E-2</v>
      </c>
      <c r="AH7" s="16">
        <f>'Compsheet - Gold Solution'!AC7</f>
        <v>1.1975576954147471E-2</v>
      </c>
    </row>
    <row r="8" spans="3:34" x14ac:dyDescent="0.2">
      <c r="C8" s="2">
        <f>'Compsheet - Gold Solution'!C8</f>
        <v>565.03</v>
      </c>
      <c r="D8" s="6">
        <f>'Compsheet - Gold Solution'!D8</f>
        <v>34466.83</v>
      </c>
      <c r="E8" s="6">
        <f>'Compsheet - Gold Solution'!E8</f>
        <v>40155.83</v>
      </c>
      <c r="F8" s="23">
        <f>'Compsheet - Gold Solution'!F8</f>
        <v>2.3613333333333335</v>
      </c>
      <c r="H8" s="23">
        <f>'Compsheet - Gold Solution'!H8</f>
        <v>19.436510164569217</v>
      </c>
      <c r="I8" s="23">
        <f>'Compsheet - Gold Solution'!I8</f>
        <v>17.847035555555557</v>
      </c>
      <c r="J8" s="23">
        <f>'Compsheet - Gold Solution'!J8</f>
        <v>16.525032921810702</v>
      </c>
      <c r="K8" s="23">
        <f>'Compsheet - Gold Solution'!K8</f>
        <v>15.300956409083982</v>
      </c>
      <c r="M8" s="16">
        <f>'Compsheet - Gold Solution'!M8</f>
        <v>2.2054207321825996E-2</v>
      </c>
      <c r="N8" s="16">
        <f>'Compsheet - Gold Solution'!N8</f>
        <v>2.8529481273329424E-2</v>
      </c>
      <c r="O8" s="16">
        <f>'Compsheet - Gold Solution'!O8</f>
        <v>3.2306018827154115E-2</v>
      </c>
      <c r="P8" s="16">
        <f>'Compsheet - Gold Solution'!P8</f>
        <v>3.6384679385284779E-2</v>
      </c>
      <c r="R8" s="6">
        <f>'Compsheet - Gold Solution'!AE8</f>
        <v>2066</v>
      </c>
      <c r="S8" s="6">
        <f>'Compsheet - Gold Solution'!AF8</f>
        <v>2250</v>
      </c>
      <c r="T8" s="6">
        <f>'Compsheet - Gold Solution'!AG8</f>
        <v>2430</v>
      </c>
      <c r="U8" s="6">
        <f>'Compsheet - Gold Solution'!AH8</f>
        <v>2624.4</v>
      </c>
      <c r="W8" s="16">
        <f>'Compsheet - Gold Solution'!R8</f>
        <v>8.9060987415295223E-2</v>
      </c>
      <c r="X8" s="16">
        <f>'Compsheet - Gold Solution'!S8</f>
        <v>8.0000000000000071E-2</v>
      </c>
      <c r="Y8" s="16">
        <f>'Compsheet - Gold Solution'!T8</f>
        <v>8.0000000000000071E-2</v>
      </c>
      <c r="AA8" s="16">
        <f>'Compsheet - Gold Solution'!V8</f>
        <v>0.31609547123623011</v>
      </c>
      <c r="AB8" s="16">
        <f>'Compsheet - Gold Solution'!W8</f>
        <v>0.32005689900426743</v>
      </c>
      <c r="AC8" s="16">
        <f>'Compsheet - Gold Solution'!X8</f>
        <v>0.3260957084194423</v>
      </c>
      <c r="AD8" s="16">
        <f>'Compsheet - Gold Solution'!Y8</f>
        <v>0.33224845763490346</v>
      </c>
      <c r="AF8" s="16">
        <f>'Compsheet - Gold Solution'!AA8</f>
        <v>3.9614277680373178E-3</v>
      </c>
      <c r="AG8" s="16">
        <f>'Compsheet - Gold Solution'!AB8</f>
        <v>6.0388094151748728E-3</v>
      </c>
      <c r="AH8" s="16">
        <f>'Compsheet - Gold Solution'!AC8</f>
        <v>6.1527492154611618E-3</v>
      </c>
    </row>
    <row r="9" spans="3:34" x14ac:dyDescent="0.2">
      <c r="C9" s="2">
        <f>'Compsheet - Gold Solution'!C9</f>
        <v>49.6</v>
      </c>
      <c r="D9" s="6">
        <f>'Compsheet - Gold Solution'!D9</f>
        <v>27413.920000000002</v>
      </c>
      <c r="E9" s="6">
        <f>'Compsheet - Gold Solution'!E9</f>
        <v>33004.92</v>
      </c>
      <c r="F9" s="23">
        <f>'Compsheet - Gold Solution'!F9</f>
        <v>1.5002769419619466</v>
      </c>
      <c r="H9" s="23">
        <f>'Compsheet - Gold Solution'!H9</f>
        <v>10.37564287959761</v>
      </c>
      <c r="I9" s="23">
        <f>'Compsheet - Gold Solution'!I9</f>
        <v>9.8815646472358196</v>
      </c>
      <c r="J9" s="23">
        <f>'Compsheet - Gold Solution'!J9</f>
        <v>9.0656556396658878</v>
      </c>
      <c r="K9" s="23">
        <f>'Compsheet - Gold Solution'!K9</f>
        <v>8.3171152657485212</v>
      </c>
      <c r="M9" s="16">
        <f>'Compsheet - Gold Solution'!M9</f>
        <v>6.0302448847020393E-2</v>
      </c>
      <c r="N9" s="16">
        <f>'Compsheet - Gold Solution'!N9</f>
        <v>6.1613898018840832E-2</v>
      </c>
      <c r="O9" s="16">
        <f>'Compsheet - Gold Solution'!O9</f>
        <v>6.9150659924338567E-2</v>
      </c>
      <c r="P9" s="16">
        <f>'Compsheet - Gold Solution'!P9</f>
        <v>7.7365730401331101E-2</v>
      </c>
      <c r="R9" s="6">
        <f>'Compsheet - Gold Solution'!AE9</f>
        <v>3181</v>
      </c>
      <c r="S9" s="6">
        <f>'Compsheet - Gold Solution'!AF9</f>
        <v>3340.05</v>
      </c>
      <c r="T9" s="6">
        <f>'Compsheet - Gold Solution'!AG9</f>
        <v>3640.6545000000006</v>
      </c>
      <c r="U9" s="6">
        <f>'Compsheet - Gold Solution'!AH9</f>
        <v>3968.3134050000008</v>
      </c>
      <c r="W9" s="16">
        <f>'Compsheet - Gold Solution'!R9</f>
        <v>5.0000000000000044E-2</v>
      </c>
      <c r="X9" s="16">
        <f>'Compsheet - Gold Solution'!S9</f>
        <v>9.000000000000008E-2</v>
      </c>
      <c r="Y9" s="16">
        <f>'Compsheet - Gold Solution'!T9</f>
        <v>9.000000000000008E-2</v>
      </c>
      <c r="AA9" s="16">
        <f>'Compsheet - Gold Solution'!V9</f>
        <v>0.27178742310321258</v>
      </c>
      <c r="AB9" s="16">
        <f>'Compsheet - Gold Solution'!W9</f>
        <v>0.27440076370997424</v>
      </c>
      <c r="AC9" s="16">
        <f>'Compsheet - Gold Solution'!X9</f>
        <v>0.28216682306025653</v>
      </c>
      <c r="AD9" s="16">
        <f>'Compsheet - Gold Solution'!Y9</f>
        <v>0.29015267654309401</v>
      </c>
      <c r="AF9" s="16">
        <f>'Compsheet - Gold Solution'!AA9</f>
        <v>2.6133406067616605E-3</v>
      </c>
      <c r="AG9" s="16">
        <f>'Compsheet - Gold Solution'!AB9</f>
        <v>7.766059350282295E-3</v>
      </c>
      <c r="AH9" s="16">
        <f>'Compsheet - Gold Solution'!AC9</f>
        <v>7.9858534828374794E-3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982"/>
  <sheetViews>
    <sheetView tabSelected="1" workbookViewId="0">
      <selection activeCell="C6" sqref="C6"/>
    </sheetView>
  </sheetViews>
  <sheetFormatPr baseColWidth="10" defaultColWidth="12.5" defaultRowHeight="15.75" customHeight="1" x14ac:dyDescent="0.2"/>
  <cols>
    <col min="1" max="1" width="4.83203125" style="31" customWidth="1"/>
    <col min="2" max="2" width="5.5" style="31" customWidth="1"/>
    <col min="3" max="3" width="90" style="31" customWidth="1"/>
    <col min="4" max="8" width="12.5" style="31" customWidth="1"/>
    <col min="9" max="9" width="2.33203125" style="31" customWidth="1"/>
    <col min="10" max="28" width="12.5" style="31" customWidth="1"/>
    <col min="29" max="16384" width="12.5" style="31"/>
  </cols>
  <sheetData>
    <row r="1" spans="1:28" ht="15" customHeight="1" x14ac:dyDescent="0.2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" customHeight="1" x14ac:dyDescent="0.2">
      <c r="A2" s="30"/>
      <c r="B2" s="30"/>
      <c r="C2" s="32"/>
      <c r="D2" s="32"/>
      <c r="E2" s="32"/>
      <c r="F2" s="32"/>
      <c r="G2" s="32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 spans="1:28" ht="15" customHeight="1" x14ac:dyDescent="0.2">
      <c r="A3" s="33"/>
      <c r="B3" s="34" t="s">
        <v>92</v>
      </c>
      <c r="C3" s="32"/>
      <c r="D3" s="32"/>
      <c r="E3" s="32"/>
      <c r="F3" s="32"/>
      <c r="G3" s="32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spans="1:28" ht="15" customHeight="1" x14ac:dyDescent="0.2">
      <c r="A4" s="33"/>
      <c r="B4" s="30"/>
      <c r="C4" s="35" t="s">
        <v>93</v>
      </c>
      <c r="D4" s="35" t="s">
        <v>94</v>
      </c>
      <c r="E4" s="36"/>
      <c r="F4" s="37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 spans="1:28" ht="15" customHeight="1" x14ac:dyDescent="0.2">
      <c r="A5" s="33"/>
      <c r="B5" s="30"/>
      <c r="C5" s="38" t="s">
        <v>101</v>
      </c>
      <c r="D5" s="39">
        <f>COUNT('TEV Buildouts - Gold Solution'!C2:I3,'TEV Buildouts - Gold Solution'!C5:I6,'TEV Buildouts - Gold Solution'!C8:I10,'TEV Buildouts - Gold Solution'!C15:I19,'TEV Buildouts - Gold Solution'!C21:I21,'TEV Buildouts - Gold Solution'!D22:E22,'TEV Buildouts - Gold Solution'!H22,'TEV Buildouts - Gold Solution'!C26:I30,'TEV Buildouts - Gold Solution'!C32:I32,'TEV Buildouts - Gold Solution'!C33:E33,'TEV Buildouts - Gold Solution'!G33:H33,'TEV Buildouts - Gold Solution'!C37:I41,'TEV Buildouts - Gold Solution'!C43:I45,'TEV Buildouts - Gold Solution'!C53:I54,'TEV Buildouts - Gold Solution'!C57:I63)</f>
        <v>249</v>
      </c>
      <c r="E5" s="36"/>
      <c r="F5" s="40" t="s">
        <v>95</v>
      </c>
      <c r="G5" s="41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spans="1:28" ht="15" customHeight="1" x14ac:dyDescent="0.2">
      <c r="A6" s="33"/>
      <c r="B6" s="30"/>
      <c r="C6" s="38" t="s">
        <v>102</v>
      </c>
      <c r="D6" s="39">
        <f>COUNT('Compsheet - Gold Solution'!C3:F9,'Compsheet - Gold Solution'!H3:K9,'Compsheet - Gold Solution'!M3:P9,'Compsheet - Gold Solution'!R3:T9,'Compsheet - Gold Solution'!V3:Y9,'Compsheet - Gold Solution'!AA3:AC9,'Compsheet - Gold Solution'!AE3:AH9)</f>
        <v>182</v>
      </c>
      <c r="E6" s="36"/>
      <c r="F6" s="42"/>
      <c r="G6" s="41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 spans="1:28" ht="15" customHeight="1" x14ac:dyDescent="0.2">
      <c r="A7" s="30"/>
      <c r="B7" s="30"/>
      <c r="C7" s="43"/>
      <c r="D7" s="43"/>
      <c r="E7" s="43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</row>
    <row r="8" spans="1:28" ht="15" customHeight="1" x14ac:dyDescent="0.2">
      <c r="A8" s="30"/>
      <c r="B8" s="30"/>
      <c r="C8" s="44" t="s">
        <v>94</v>
      </c>
      <c r="D8" s="45">
        <f>SUM(D5:D6)</f>
        <v>431</v>
      </c>
      <c r="E8" s="36"/>
      <c r="F8" s="4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</row>
    <row r="9" spans="1:28" ht="15" customHeight="1" x14ac:dyDescent="0.2">
      <c r="A9" s="30"/>
      <c r="B9" s="30"/>
      <c r="C9" s="30"/>
      <c r="D9" s="46"/>
      <c r="E9" s="46"/>
      <c r="F9" s="46"/>
      <c r="G9" s="46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spans="1:28" ht="15" customHeight="1" x14ac:dyDescent="0.2">
      <c r="A10" s="30"/>
      <c r="B10" s="30"/>
      <c r="C10" s="30"/>
      <c r="D10" s="46"/>
      <c r="E10" s="46"/>
      <c r="F10" s="46"/>
      <c r="G10" s="46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spans="1:28" ht="15" customHeight="1" x14ac:dyDescent="0.2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spans="1:28" ht="15" customHeight="1" x14ac:dyDescent="0.2">
      <c r="A12" s="30"/>
      <c r="B12" s="34" t="s">
        <v>96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 spans="1:28" ht="15" customHeight="1" x14ac:dyDescent="0.2">
      <c r="A13" s="30"/>
      <c r="B13" s="47"/>
      <c r="C13" s="35" t="s">
        <v>97</v>
      </c>
      <c r="D13" s="35" t="s">
        <v>94</v>
      </c>
      <c r="E13" s="30"/>
      <c r="F13" s="36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spans="1:28" ht="15" customHeight="1" x14ac:dyDescent="0.2">
      <c r="A14" s="30"/>
      <c r="B14" s="30"/>
      <c r="C14" s="38" t="s">
        <v>98</v>
      </c>
      <c r="D14" s="48">
        <f>COUNT('Compsheet - Gold Solution'!C3:AH9,'TEV Buildouts - Gold Solution'!C2:I51,'TEV Buildouts - Gold Solution'!C53:E55,'TEV Buildouts - Gold Solution'!G53:H55,'TEV Buildouts - Gold Solution'!C57:I63)</f>
        <v>526</v>
      </c>
      <c r="E14" s="30"/>
      <c r="F14" s="40" t="s">
        <v>95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</row>
    <row r="15" spans="1:28" ht="15" customHeight="1" x14ac:dyDescent="0.2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spans="1:28" ht="15" customHeight="1" x14ac:dyDescent="0.2">
      <c r="A16" s="30"/>
      <c r="B16" s="30"/>
      <c r="C16" s="49" t="s">
        <v>94</v>
      </c>
      <c r="D16" s="50">
        <f>SUM(D14)</f>
        <v>526</v>
      </c>
      <c r="E16" s="51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8" ht="15" customHeight="1" x14ac:dyDescent="0.2">
      <c r="A17" s="30"/>
      <c r="B17" s="30"/>
      <c r="C17" s="30"/>
      <c r="D17" s="30"/>
      <c r="E17" s="46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spans="1:28" ht="15" customHeight="1" x14ac:dyDescent="0.2">
      <c r="A18" s="30"/>
      <c r="B18" s="52" t="s">
        <v>99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spans="1:28" ht="15" customHeight="1" x14ac:dyDescent="0.2">
      <c r="A19" s="30"/>
      <c r="B19" s="30"/>
      <c r="C19" s="35" t="s">
        <v>97</v>
      </c>
      <c r="D19" s="35" t="s">
        <v>100</v>
      </c>
      <c r="E19" s="35" t="s">
        <v>94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8" ht="15" x14ac:dyDescent="0.2">
      <c r="A20" s="30"/>
      <c r="B20" s="30"/>
      <c r="C20" s="53"/>
      <c r="D20" s="48"/>
      <c r="E20" s="39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8" ht="15" x14ac:dyDescent="0.2">
      <c r="A21" s="30"/>
      <c r="B21" s="30"/>
      <c r="C21" s="53"/>
      <c r="D21" s="48"/>
      <c r="E21" s="3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8" ht="15" x14ac:dyDescent="0.2">
      <c r="A22" s="30"/>
      <c r="B22" s="30"/>
      <c r="C22" s="53"/>
      <c r="D22" s="54"/>
      <c r="E22" s="5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8" ht="15" x14ac:dyDescent="0.2">
      <c r="A23" s="30"/>
      <c r="B23" s="30"/>
      <c r="C23" s="53"/>
      <c r="D23" s="54"/>
      <c r="E23" s="5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8" ht="15" x14ac:dyDescent="0.2">
      <c r="A24" s="30"/>
      <c r="B24" s="30"/>
      <c r="C24" s="53"/>
      <c r="D24" s="54"/>
      <c r="E24" s="55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8" ht="15" customHeight="1" x14ac:dyDescent="0.2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5" customHeight="1" x14ac:dyDescent="0.2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spans="1:28" ht="15" customHeight="1" x14ac:dyDescent="0.2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spans="1:28" ht="15" customHeight="1" x14ac:dyDescent="0.2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spans="1:28" ht="15" customHeight="1" x14ac:dyDescent="0.2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:28" ht="15" customHeight="1" x14ac:dyDescent="0.2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spans="1:28" ht="15" customHeight="1" x14ac:dyDescent="0.2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spans="1:28" ht="15" customHeight="1" x14ac:dyDescent="0.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1:28" ht="15" customHeight="1" x14ac:dyDescent="0.2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:28" ht="15" customHeight="1" x14ac:dyDescent="0.2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spans="1:28" ht="15" customHeight="1" x14ac:dyDescent="0.2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1:28" ht="15" customHeight="1" x14ac:dyDescent="0.2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spans="1:28" ht="15" customHeight="1" x14ac:dyDescent="0.2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spans="1:28" ht="14" x14ac:dyDescent="0.2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spans="1:28" ht="14" x14ac:dyDescent="0.2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spans="1:28" ht="14" x14ac:dyDescent="0.2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spans="1:28" ht="14" x14ac:dyDescent="0.2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1:28" ht="14" x14ac:dyDescent="0.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1:28" ht="14" x14ac:dyDescent="0.2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1:28" ht="14" x14ac:dyDescent="0.2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4" x14ac:dyDescent="0.2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spans="1:28" ht="14" x14ac:dyDescent="0.2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spans="1:28" ht="14" x14ac:dyDescent="0.2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1:28" ht="14" x14ac:dyDescent="0.2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1:28" ht="14" x14ac:dyDescent="0.2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1:28" ht="14" x14ac:dyDescent="0.2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ht="14" x14ac:dyDescent="0.2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1:28" ht="14" x14ac:dyDescent="0.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1:28" ht="14" x14ac:dyDescent="0.2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spans="1:28" ht="14" x14ac:dyDescent="0.2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 spans="1:28" ht="14" x14ac:dyDescent="0.2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spans="1:28" ht="14" x14ac:dyDescent="0.2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 spans="1:28" ht="14" x14ac:dyDescent="0.2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 spans="1:28" ht="14" x14ac:dyDescent="0.2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spans="1:28" ht="14" x14ac:dyDescent="0.2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 spans="1:28" ht="14" x14ac:dyDescent="0.2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 spans="1:28" ht="14" x14ac:dyDescent="0.2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spans="1:28" ht="14" x14ac:dyDescent="0.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 spans="1:28" ht="14" x14ac:dyDescent="0.2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 spans="1:28" ht="14" x14ac:dyDescent="0.2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spans="1:28" ht="14" x14ac:dyDescent="0.2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 spans="1:28" ht="14" x14ac:dyDescent="0.2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 spans="1:28" ht="14" x14ac:dyDescent="0.2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spans="1:28" ht="14" x14ac:dyDescent="0.2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 spans="1:28" ht="14" x14ac:dyDescent="0.2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 spans="1:28" ht="14" x14ac:dyDescent="0.2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spans="1:28" ht="14" x14ac:dyDescent="0.2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 spans="1:28" ht="14" x14ac:dyDescent="0.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 spans="1:28" ht="14" x14ac:dyDescent="0.2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 spans="1:28" ht="14" x14ac:dyDescent="0.2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 spans="1:28" ht="14" x14ac:dyDescent="0.2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 spans="1:28" ht="14" x14ac:dyDescent="0.2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 spans="1:28" ht="14" x14ac:dyDescent="0.2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 spans="1:28" ht="14" x14ac:dyDescent="0.2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 spans="1:28" ht="14" x14ac:dyDescent="0.2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 spans="1:28" ht="14" x14ac:dyDescent="0.2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 spans="1:28" ht="14" x14ac:dyDescent="0.2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 spans="1:28" ht="14" x14ac:dyDescent="0.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 spans="1:28" ht="14" x14ac:dyDescent="0.2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 spans="1:28" ht="14" x14ac:dyDescent="0.2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 spans="1:28" ht="14" x14ac:dyDescent="0.2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 spans="1:28" ht="14" x14ac:dyDescent="0.2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 spans="1:28" ht="14" x14ac:dyDescent="0.2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 spans="1:28" ht="14" x14ac:dyDescent="0.2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 spans="1:28" ht="14" x14ac:dyDescent="0.2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 spans="1:28" ht="14" x14ac:dyDescent="0.2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 spans="1:28" ht="14" x14ac:dyDescent="0.2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 spans="1:28" ht="14" x14ac:dyDescent="0.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 spans="1:28" ht="14" x14ac:dyDescent="0.2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 spans="1:28" ht="14" x14ac:dyDescent="0.2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 spans="1:28" ht="14" x14ac:dyDescent="0.2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 spans="1:28" ht="14" x14ac:dyDescent="0.2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 spans="1:28" ht="14" x14ac:dyDescent="0.2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 spans="1:28" ht="14" x14ac:dyDescent="0.2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 spans="1:28" ht="14" x14ac:dyDescent="0.2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 spans="1:28" ht="14" x14ac:dyDescent="0.2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 spans="1:28" ht="14" x14ac:dyDescent="0.2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 spans="1:28" ht="14" x14ac:dyDescent="0.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 spans="1:28" ht="14" x14ac:dyDescent="0.2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 spans="1:28" ht="14" x14ac:dyDescent="0.2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 spans="1:28" ht="14" x14ac:dyDescent="0.2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 spans="1:28" ht="14" x14ac:dyDescent="0.2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 spans="1:28" ht="14" x14ac:dyDescent="0.2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 spans="1:28" ht="14" x14ac:dyDescent="0.2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 spans="1:28" ht="14" x14ac:dyDescent="0.2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 spans="1:28" ht="14" x14ac:dyDescent="0.2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 spans="1:28" ht="14" x14ac:dyDescent="0.2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 spans="1:28" ht="14" x14ac:dyDescent="0.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 spans="1:28" ht="14" x14ac:dyDescent="0.2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 spans="1:28" ht="14" x14ac:dyDescent="0.2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 spans="1:28" ht="14" x14ac:dyDescent="0.2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 spans="1:28" ht="14" x14ac:dyDescent="0.2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 spans="1:28" ht="14" x14ac:dyDescent="0.2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 spans="1:28" ht="14" x14ac:dyDescent="0.2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 spans="1:28" ht="14" x14ac:dyDescent="0.2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 spans="1:28" ht="14" x14ac:dyDescent="0.2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 spans="1:28" ht="14" x14ac:dyDescent="0.2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 spans="1:28" ht="14" x14ac:dyDescent="0.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 spans="1:28" ht="14" x14ac:dyDescent="0.2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 spans="1:28" ht="14" x14ac:dyDescent="0.2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 spans="1:28" ht="14" x14ac:dyDescent="0.2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 spans="1:28" ht="14" x14ac:dyDescent="0.2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 spans="1:28" ht="14" x14ac:dyDescent="0.2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 spans="1:28" ht="14" x14ac:dyDescent="0.2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 spans="1:28" ht="14" x14ac:dyDescent="0.2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 spans="1:28" ht="14" x14ac:dyDescent="0.2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 spans="1:28" ht="14" x14ac:dyDescent="0.2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 spans="1:28" ht="14" x14ac:dyDescent="0.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 spans="1:28" ht="14" x14ac:dyDescent="0.2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 spans="1:28" ht="14" x14ac:dyDescent="0.2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 spans="1:28" ht="14" x14ac:dyDescent="0.2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 spans="1:28" ht="14" x14ac:dyDescent="0.2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 spans="1:28" ht="14" x14ac:dyDescent="0.2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 spans="1:28" ht="14" x14ac:dyDescent="0.2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 spans="1:28" ht="14" x14ac:dyDescent="0.2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 spans="1:28" ht="14" x14ac:dyDescent="0.2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 spans="1:28" ht="14" x14ac:dyDescent="0.2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 spans="1:28" ht="14" x14ac:dyDescent="0.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 spans="1:28" ht="14" x14ac:dyDescent="0.2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 spans="1:28" ht="14" x14ac:dyDescent="0.2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 spans="1:28" ht="14" x14ac:dyDescent="0.2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 spans="1:28" ht="14" x14ac:dyDescent="0.2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 spans="1:28" ht="14" x14ac:dyDescent="0.2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 spans="1:28" ht="14" x14ac:dyDescent="0.2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 spans="1:28" ht="14" x14ac:dyDescent="0.2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 spans="1:28" ht="14" x14ac:dyDescent="0.2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 spans="1:28" ht="14" x14ac:dyDescent="0.2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 spans="1:28" ht="14" x14ac:dyDescent="0.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 spans="1:28" ht="14" x14ac:dyDescent="0.2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 spans="1:28" ht="14" x14ac:dyDescent="0.2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 spans="1:28" ht="14" x14ac:dyDescent="0.2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 spans="1:28" ht="14" x14ac:dyDescent="0.2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 spans="1:28" ht="14" x14ac:dyDescent="0.2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 spans="1:28" ht="14" x14ac:dyDescent="0.2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 spans="1:28" ht="14" x14ac:dyDescent="0.2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 spans="1:28" ht="14" x14ac:dyDescent="0.2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 spans="1:28" ht="14" x14ac:dyDescent="0.2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 spans="1:28" ht="14" x14ac:dyDescent="0.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 spans="1:28" ht="14" x14ac:dyDescent="0.2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 spans="1:28" ht="14" x14ac:dyDescent="0.2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 spans="1:28" ht="14" x14ac:dyDescent="0.2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 spans="1:28" ht="14" x14ac:dyDescent="0.2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 spans="1:28" ht="14" x14ac:dyDescent="0.2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 spans="1:28" ht="14" x14ac:dyDescent="0.2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 spans="1:28" ht="14" x14ac:dyDescent="0.2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 spans="1:28" ht="14" x14ac:dyDescent="0.2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 spans="1:28" ht="14" x14ac:dyDescent="0.2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 spans="1:28" ht="14" x14ac:dyDescent="0.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 spans="1:28" ht="14" x14ac:dyDescent="0.2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 spans="1:28" ht="14" x14ac:dyDescent="0.2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 spans="1:28" ht="14" x14ac:dyDescent="0.2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 spans="1:28" ht="14" x14ac:dyDescent="0.2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 spans="1:28" ht="14" x14ac:dyDescent="0.2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 spans="1:28" ht="14" x14ac:dyDescent="0.2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 spans="1:28" ht="14" x14ac:dyDescent="0.2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 spans="1:28" ht="14" x14ac:dyDescent="0.2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 spans="1:28" ht="14" x14ac:dyDescent="0.2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 spans="1:28" ht="14" x14ac:dyDescent="0.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 spans="1:28" ht="14" x14ac:dyDescent="0.2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 spans="1:28" ht="14" x14ac:dyDescent="0.2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 spans="1:28" ht="14" x14ac:dyDescent="0.2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 spans="1:28" ht="14" x14ac:dyDescent="0.2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 spans="1:28" ht="14" x14ac:dyDescent="0.2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 spans="1:28" ht="14" x14ac:dyDescent="0.2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 spans="1:28" ht="14" x14ac:dyDescent="0.2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 spans="1:28" ht="14" x14ac:dyDescent="0.2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 spans="1:28" ht="14" x14ac:dyDescent="0.2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 spans="1:28" ht="14" x14ac:dyDescent="0.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 spans="1:28" ht="14" x14ac:dyDescent="0.2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 spans="1:28" ht="14" x14ac:dyDescent="0.2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 spans="1:28" ht="14" x14ac:dyDescent="0.2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 spans="1:28" ht="14" x14ac:dyDescent="0.2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 spans="1:28" ht="14" x14ac:dyDescent="0.2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 spans="1:28" ht="14" x14ac:dyDescent="0.2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 spans="1:28" ht="14" x14ac:dyDescent="0.2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 spans="1:28" ht="14" x14ac:dyDescent="0.2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 spans="1:28" ht="14" x14ac:dyDescent="0.2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 spans="1:28" ht="14" x14ac:dyDescent="0.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 spans="1:28" ht="14" x14ac:dyDescent="0.2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 spans="1:28" ht="14" x14ac:dyDescent="0.2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 spans="1:28" ht="14" x14ac:dyDescent="0.2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 spans="1:28" ht="14" x14ac:dyDescent="0.2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 spans="1:28" ht="14" x14ac:dyDescent="0.2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 spans="1:28" ht="14" x14ac:dyDescent="0.2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 spans="1:28" ht="14" x14ac:dyDescent="0.2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 spans="1:28" ht="14" x14ac:dyDescent="0.2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 spans="1:28" ht="14" x14ac:dyDescent="0.2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 spans="1:28" ht="14" x14ac:dyDescent="0.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 spans="1:28" ht="14" x14ac:dyDescent="0.2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 spans="1:28" ht="14" x14ac:dyDescent="0.2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 spans="1:28" ht="14" x14ac:dyDescent="0.2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 spans="1:28" ht="14" x14ac:dyDescent="0.2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 spans="1:28" ht="14" x14ac:dyDescent="0.2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 spans="1:28" ht="14" x14ac:dyDescent="0.2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 spans="1:28" ht="14" x14ac:dyDescent="0.2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 spans="1:28" ht="14" x14ac:dyDescent="0.2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 spans="1:28" ht="14" x14ac:dyDescent="0.2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 spans="1:28" ht="14" x14ac:dyDescent="0.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 spans="1:28" ht="14" x14ac:dyDescent="0.2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 spans="1:28" ht="14" x14ac:dyDescent="0.2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 spans="1:28" ht="14" x14ac:dyDescent="0.2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 spans="1:28" ht="14" x14ac:dyDescent="0.2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 spans="1:28" ht="14" x14ac:dyDescent="0.2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 spans="1:28" ht="14" x14ac:dyDescent="0.2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 spans="1:28" ht="14" x14ac:dyDescent="0.2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 spans="1:28" ht="14" x14ac:dyDescent="0.2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 spans="1:28" ht="14" x14ac:dyDescent="0.2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 spans="1:28" ht="14" x14ac:dyDescent="0.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 spans="1:28" ht="14" x14ac:dyDescent="0.2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 spans="1:28" ht="14" x14ac:dyDescent="0.2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 spans="1:28" ht="14" x14ac:dyDescent="0.2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 spans="1:28" ht="14" x14ac:dyDescent="0.2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 spans="1:28" ht="14" x14ac:dyDescent="0.2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 spans="1:28" ht="14" x14ac:dyDescent="0.2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 spans="1:28" ht="14" x14ac:dyDescent="0.2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 spans="1:28" ht="14" x14ac:dyDescent="0.2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 spans="1:28" ht="14" x14ac:dyDescent="0.2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 spans="1:28" ht="14" x14ac:dyDescent="0.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 spans="1:28" ht="14" x14ac:dyDescent="0.2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 spans="1:28" ht="14" x14ac:dyDescent="0.2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 spans="1:28" ht="14" x14ac:dyDescent="0.2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 spans="1:28" ht="14" x14ac:dyDescent="0.2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 spans="1:28" ht="14" x14ac:dyDescent="0.2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 spans="1:28" ht="14" x14ac:dyDescent="0.2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spans="1:28" ht="14" x14ac:dyDescent="0.2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spans="1:28" ht="14" x14ac:dyDescent="0.2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spans="1:28" ht="14" x14ac:dyDescent="0.2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spans="1:28" ht="14" x14ac:dyDescent="0.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spans="1:28" ht="14" x14ac:dyDescent="0.2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spans="1:28" ht="14" x14ac:dyDescent="0.2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spans="1:28" ht="14" x14ac:dyDescent="0.2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spans="1:28" ht="14" x14ac:dyDescent="0.2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spans="1:28" ht="14" x14ac:dyDescent="0.2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spans="1:28" ht="14" x14ac:dyDescent="0.2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spans="1:28" ht="14" x14ac:dyDescent="0.2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spans="1:28" ht="14" x14ac:dyDescent="0.2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spans="1:28" ht="14" x14ac:dyDescent="0.2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spans="1:28" ht="14" x14ac:dyDescent="0.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spans="1:28" ht="14" x14ac:dyDescent="0.2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spans="1:28" ht="14" x14ac:dyDescent="0.2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spans="1:28" ht="14" x14ac:dyDescent="0.2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spans="1:28" ht="14" x14ac:dyDescent="0.2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spans="1:28" ht="14" x14ac:dyDescent="0.2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spans="1:28" ht="14" x14ac:dyDescent="0.2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spans="1:28" ht="14" x14ac:dyDescent="0.2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spans="1:28" ht="14" x14ac:dyDescent="0.2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spans="1:28" ht="14" x14ac:dyDescent="0.2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spans="1:28" ht="14" x14ac:dyDescent="0.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spans="1:28" ht="14" x14ac:dyDescent="0.2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spans="1:28" ht="14" x14ac:dyDescent="0.2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spans="1:28" ht="14" x14ac:dyDescent="0.2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spans="1:28" ht="14" x14ac:dyDescent="0.2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spans="1:28" ht="14" x14ac:dyDescent="0.2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spans="1:28" ht="14" x14ac:dyDescent="0.2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spans="1:28" ht="14" x14ac:dyDescent="0.2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spans="1:28" ht="14" x14ac:dyDescent="0.2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spans="1:28" ht="14" x14ac:dyDescent="0.2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spans="1:28" ht="14" x14ac:dyDescent="0.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spans="1:28" ht="14" x14ac:dyDescent="0.2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spans="1:28" ht="14" x14ac:dyDescent="0.2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spans="1:28" ht="14" x14ac:dyDescent="0.2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spans="1:28" ht="14" x14ac:dyDescent="0.2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spans="1:28" ht="14" x14ac:dyDescent="0.2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spans="1:28" ht="14" x14ac:dyDescent="0.2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spans="1:28" ht="14" x14ac:dyDescent="0.2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spans="1:28" ht="14" x14ac:dyDescent="0.2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spans="1:28" ht="14" x14ac:dyDescent="0.2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spans="1:28" ht="14" x14ac:dyDescent="0.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spans="1:28" ht="14" x14ac:dyDescent="0.2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spans="1:28" ht="14" x14ac:dyDescent="0.2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spans="1:28" ht="14" x14ac:dyDescent="0.2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spans="1:28" ht="14" x14ac:dyDescent="0.2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spans="1:28" ht="14" x14ac:dyDescent="0.2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spans="1:28" ht="14" x14ac:dyDescent="0.2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spans="1:28" ht="14" x14ac:dyDescent="0.2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spans="1:28" ht="14" x14ac:dyDescent="0.2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spans="1:28" ht="14" x14ac:dyDescent="0.2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spans="1:28" ht="14" x14ac:dyDescent="0.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spans="1:28" ht="14" x14ac:dyDescent="0.2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spans="1:28" ht="14" x14ac:dyDescent="0.2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spans="1:28" ht="14" x14ac:dyDescent="0.2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spans="1:28" ht="14" x14ac:dyDescent="0.2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spans="1:28" ht="14" x14ac:dyDescent="0.2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spans="1:28" ht="14" x14ac:dyDescent="0.2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spans="1:28" ht="14" x14ac:dyDescent="0.2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spans="1:28" ht="14" x14ac:dyDescent="0.2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spans="1:28" ht="14" x14ac:dyDescent="0.2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spans="1:28" ht="14" x14ac:dyDescent="0.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spans="1:28" ht="14" x14ac:dyDescent="0.2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spans="1:28" ht="14" x14ac:dyDescent="0.2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spans="1:28" ht="14" x14ac:dyDescent="0.2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spans="1:28" ht="14" x14ac:dyDescent="0.2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spans="1:28" ht="14" x14ac:dyDescent="0.2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spans="1:28" ht="14" x14ac:dyDescent="0.2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spans="1:28" ht="14" x14ac:dyDescent="0.2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spans="1:28" ht="14" x14ac:dyDescent="0.2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spans="1:28" ht="14" x14ac:dyDescent="0.2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spans="1:28" ht="14" x14ac:dyDescent="0.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spans="1:28" ht="14" x14ac:dyDescent="0.2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spans="1:28" ht="14" x14ac:dyDescent="0.2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spans="1:28" ht="14" x14ac:dyDescent="0.2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spans="1:28" ht="14" x14ac:dyDescent="0.2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spans="1:28" ht="14" x14ac:dyDescent="0.2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spans="1:28" ht="14" x14ac:dyDescent="0.2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spans="1:28" ht="14" x14ac:dyDescent="0.2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spans="1:28" ht="14" x14ac:dyDescent="0.2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spans="1:28" ht="14" x14ac:dyDescent="0.2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spans="1:28" ht="14" x14ac:dyDescent="0.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spans="1:28" ht="14" x14ac:dyDescent="0.2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spans="1:28" ht="14" x14ac:dyDescent="0.2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spans="1:28" ht="14" x14ac:dyDescent="0.2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spans="1:28" ht="14" x14ac:dyDescent="0.2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spans="1:28" ht="14" x14ac:dyDescent="0.2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spans="1:28" ht="14" x14ac:dyDescent="0.2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spans="1:28" ht="14" x14ac:dyDescent="0.2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spans="1:28" ht="14" x14ac:dyDescent="0.2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spans="1:28" ht="14" x14ac:dyDescent="0.2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spans="1:28" ht="14" x14ac:dyDescent="0.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spans="1:28" ht="14" x14ac:dyDescent="0.2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spans="1:28" ht="14" x14ac:dyDescent="0.2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spans="1:28" ht="14" x14ac:dyDescent="0.2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spans="1:28" ht="14" x14ac:dyDescent="0.2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spans="1:28" ht="14" x14ac:dyDescent="0.2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spans="1:28" ht="14" x14ac:dyDescent="0.2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spans="1:28" ht="14" x14ac:dyDescent="0.2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spans="1:28" ht="14" x14ac:dyDescent="0.2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spans="1:28" ht="14" x14ac:dyDescent="0.2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spans="1:28" ht="14" x14ac:dyDescent="0.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spans="1:28" ht="14" x14ac:dyDescent="0.2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spans="1:28" ht="14" x14ac:dyDescent="0.2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spans="1:28" ht="14" x14ac:dyDescent="0.2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spans="1:28" ht="14" x14ac:dyDescent="0.2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spans="1:28" ht="14" x14ac:dyDescent="0.2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spans="1:28" ht="14" x14ac:dyDescent="0.2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spans="1:28" ht="14" x14ac:dyDescent="0.2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spans="1:28" ht="14" x14ac:dyDescent="0.2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spans="1:28" ht="14" x14ac:dyDescent="0.2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spans="1:28" ht="14" x14ac:dyDescent="0.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spans="1:28" ht="14" x14ac:dyDescent="0.2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spans="1:28" ht="14" x14ac:dyDescent="0.2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spans="1:28" ht="14" x14ac:dyDescent="0.2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spans="1:28" ht="14" x14ac:dyDescent="0.2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spans="1:28" ht="14" x14ac:dyDescent="0.2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spans="1:28" ht="14" x14ac:dyDescent="0.2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spans="1:28" ht="14" x14ac:dyDescent="0.2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spans="1:28" ht="14" x14ac:dyDescent="0.2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spans="1:28" ht="14" x14ac:dyDescent="0.2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spans="1:28" ht="14" x14ac:dyDescent="0.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spans="1:28" ht="14" x14ac:dyDescent="0.2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spans="1:28" ht="14" x14ac:dyDescent="0.2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spans="1:28" ht="14" x14ac:dyDescent="0.2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spans="1:28" ht="14" x14ac:dyDescent="0.2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spans="1:28" ht="14" x14ac:dyDescent="0.2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spans="1:28" ht="14" x14ac:dyDescent="0.2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spans="1:28" ht="14" x14ac:dyDescent="0.2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spans="1:28" ht="14" x14ac:dyDescent="0.2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spans="1:28" ht="14" x14ac:dyDescent="0.2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spans="1:28" ht="14" x14ac:dyDescent="0.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spans="1:28" ht="14" x14ac:dyDescent="0.2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spans="1:28" ht="14" x14ac:dyDescent="0.2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spans="1:28" ht="14" x14ac:dyDescent="0.2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spans="1:28" ht="14" x14ac:dyDescent="0.2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spans="1:28" ht="14" x14ac:dyDescent="0.2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spans="1:28" ht="14" x14ac:dyDescent="0.2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spans="1:28" ht="14" x14ac:dyDescent="0.2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spans="1:28" ht="14" x14ac:dyDescent="0.2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spans="1:28" ht="14" x14ac:dyDescent="0.2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spans="1:28" ht="14" x14ac:dyDescent="0.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spans="1:28" ht="14" x14ac:dyDescent="0.2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spans="1:28" ht="14" x14ac:dyDescent="0.2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spans="1:28" ht="14" x14ac:dyDescent="0.2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spans="1:28" ht="14" x14ac:dyDescent="0.2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spans="1:28" ht="14" x14ac:dyDescent="0.2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spans="1:28" ht="14" x14ac:dyDescent="0.2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spans="1:28" ht="14" x14ac:dyDescent="0.2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spans="1:28" ht="14" x14ac:dyDescent="0.2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spans="1:28" ht="14" x14ac:dyDescent="0.2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spans="1:28" ht="14" x14ac:dyDescent="0.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spans="1:28" ht="14" x14ac:dyDescent="0.2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spans="1:28" ht="14" x14ac:dyDescent="0.2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spans="1:28" ht="14" x14ac:dyDescent="0.2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spans="1:28" ht="14" x14ac:dyDescent="0.2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spans="1:28" ht="14" x14ac:dyDescent="0.2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spans="1:28" ht="14" x14ac:dyDescent="0.2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spans="1:28" ht="14" x14ac:dyDescent="0.2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spans="1:28" ht="14" x14ac:dyDescent="0.2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spans="1:28" ht="14" x14ac:dyDescent="0.2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spans="1:28" ht="14" x14ac:dyDescent="0.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spans="1:28" ht="14" x14ac:dyDescent="0.2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spans="1:28" ht="14" x14ac:dyDescent="0.2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spans="1:28" ht="14" x14ac:dyDescent="0.2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spans="1:28" ht="14" x14ac:dyDescent="0.2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spans="1:28" ht="14" x14ac:dyDescent="0.2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spans="1:28" ht="14" x14ac:dyDescent="0.2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spans="1:28" ht="14" x14ac:dyDescent="0.2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spans="1:28" ht="14" x14ac:dyDescent="0.2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spans="1:28" ht="14" x14ac:dyDescent="0.2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spans="1:28" ht="14" x14ac:dyDescent="0.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spans="1:28" ht="14" x14ac:dyDescent="0.2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spans="1:28" ht="14" x14ac:dyDescent="0.2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spans="1:28" ht="14" x14ac:dyDescent="0.2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spans="1:28" ht="14" x14ac:dyDescent="0.2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spans="1:28" ht="14" x14ac:dyDescent="0.2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spans="1:28" ht="14" x14ac:dyDescent="0.2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spans="1:28" ht="14" x14ac:dyDescent="0.2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spans="1:28" ht="14" x14ac:dyDescent="0.2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spans="1:28" ht="14" x14ac:dyDescent="0.2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spans="1:28" ht="14" x14ac:dyDescent="0.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spans="1:28" ht="14" x14ac:dyDescent="0.2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spans="1:28" ht="14" x14ac:dyDescent="0.2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spans="1:28" ht="14" x14ac:dyDescent="0.2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spans="1:28" ht="14" x14ac:dyDescent="0.2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spans="1:28" ht="14" x14ac:dyDescent="0.2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spans="1:28" ht="14" x14ac:dyDescent="0.2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spans="1:28" ht="14" x14ac:dyDescent="0.2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spans="1:28" ht="14" x14ac:dyDescent="0.2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spans="1:28" ht="14" x14ac:dyDescent="0.2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spans="1:28" ht="14" x14ac:dyDescent="0.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spans="1:28" ht="14" x14ac:dyDescent="0.2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spans="1:28" ht="14" x14ac:dyDescent="0.2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spans="1:28" ht="14" x14ac:dyDescent="0.2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spans="1:28" ht="14" x14ac:dyDescent="0.2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spans="1:28" ht="14" x14ac:dyDescent="0.2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spans="1:28" ht="14" x14ac:dyDescent="0.2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spans="1:28" ht="14" x14ac:dyDescent="0.2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spans="1:28" ht="14" x14ac:dyDescent="0.2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spans="1:28" ht="14" x14ac:dyDescent="0.2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spans="1:28" ht="14" x14ac:dyDescent="0.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spans="1:28" ht="14" x14ac:dyDescent="0.2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spans="1:28" ht="14" x14ac:dyDescent="0.2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spans="1:28" ht="14" x14ac:dyDescent="0.2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spans="1:28" ht="14" x14ac:dyDescent="0.2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spans="1:28" ht="14" x14ac:dyDescent="0.2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spans="1:28" ht="14" x14ac:dyDescent="0.2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spans="1:28" ht="14" x14ac:dyDescent="0.2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spans="1:28" ht="14" x14ac:dyDescent="0.2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spans="1:28" ht="14" x14ac:dyDescent="0.2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spans="1:28" ht="14" x14ac:dyDescent="0.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spans="1:28" ht="14" x14ac:dyDescent="0.2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spans="1:28" ht="14" x14ac:dyDescent="0.2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spans="1:28" ht="14" x14ac:dyDescent="0.2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spans="1:28" ht="14" x14ac:dyDescent="0.2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spans="1:28" ht="14" x14ac:dyDescent="0.2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spans="1:28" ht="14" x14ac:dyDescent="0.2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spans="1:28" ht="14" x14ac:dyDescent="0.2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spans="1:28" ht="14" x14ac:dyDescent="0.2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spans="1:28" ht="14" x14ac:dyDescent="0.2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spans="1:28" ht="14" x14ac:dyDescent="0.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spans="1:28" ht="14" x14ac:dyDescent="0.2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spans="1:28" ht="14" x14ac:dyDescent="0.2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spans="1:28" ht="14" x14ac:dyDescent="0.2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spans="1:28" ht="14" x14ac:dyDescent="0.2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spans="1:28" ht="14" x14ac:dyDescent="0.2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spans="1:28" ht="14" x14ac:dyDescent="0.2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spans="1:28" ht="14" x14ac:dyDescent="0.2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spans="1:28" ht="14" x14ac:dyDescent="0.2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spans="1:28" ht="14" x14ac:dyDescent="0.2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spans="1:28" ht="14" x14ac:dyDescent="0.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spans="1:28" ht="14" x14ac:dyDescent="0.2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spans="1:28" ht="14" x14ac:dyDescent="0.2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spans="1:28" ht="14" x14ac:dyDescent="0.2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spans="1:28" ht="14" x14ac:dyDescent="0.2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spans="1:28" ht="14" x14ac:dyDescent="0.2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spans="1:28" ht="14" x14ac:dyDescent="0.2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spans="1:28" ht="14" x14ac:dyDescent="0.2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spans="1:28" ht="14" x14ac:dyDescent="0.2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spans="1:28" ht="14" x14ac:dyDescent="0.2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spans="1:28" ht="14" x14ac:dyDescent="0.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spans="1:28" ht="14" x14ac:dyDescent="0.2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spans="1:28" ht="14" x14ac:dyDescent="0.2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spans="1:28" ht="14" x14ac:dyDescent="0.2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spans="1:28" ht="14" x14ac:dyDescent="0.2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spans="1:28" ht="14" x14ac:dyDescent="0.2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spans="1:28" ht="14" x14ac:dyDescent="0.2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spans="1:28" ht="14" x14ac:dyDescent="0.2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spans="1:28" ht="14" x14ac:dyDescent="0.2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spans="1:28" ht="14" x14ac:dyDescent="0.2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spans="1:28" ht="14" x14ac:dyDescent="0.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spans="1:28" ht="14" x14ac:dyDescent="0.2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spans="1:28" ht="14" x14ac:dyDescent="0.2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spans="1:28" ht="14" x14ac:dyDescent="0.2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spans="1:28" ht="14" x14ac:dyDescent="0.2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spans="1:28" ht="14" x14ac:dyDescent="0.2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spans="1:28" ht="14" x14ac:dyDescent="0.2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spans="1:28" ht="14" x14ac:dyDescent="0.2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spans="1:28" ht="14" x14ac:dyDescent="0.2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spans="1:28" ht="14" x14ac:dyDescent="0.2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spans="1:28" ht="14" x14ac:dyDescent="0.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spans="1:28" ht="14" x14ac:dyDescent="0.2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spans="1:28" ht="14" x14ac:dyDescent="0.2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spans="1:28" ht="14" x14ac:dyDescent="0.2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spans="1:28" ht="14" x14ac:dyDescent="0.2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spans="1:28" ht="14" x14ac:dyDescent="0.2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spans="1:28" ht="14" x14ac:dyDescent="0.2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spans="1:28" ht="14" x14ac:dyDescent="0.2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spans="1:28" ht="14" x14ac:dyDescent="0.2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spans="1:28" ht="14" x14ac:dyDescent="0.2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spans="1:28" ht="14" x14ac:dyDescent="0.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spans="1:28" ht="14" x14ac:dyDescent="0.2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spans="1:28" ht="14" x14ac:dyDescent="0.2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spans="1:28" ht="14" x14ac:dyDescent="0.2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spans="1:28" ht="14" x14ac:dyDescent="0.2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spans="1:28" ht="14" x14ac:dyDescent="0.2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spans="1:28" ht="14" x14ac:dyDescent="0.2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spans="1:28" ht="14" x14ac:dyDescent="0.2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spans="1:28" ht="14" x14ac:dyDescent="0.2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spans="1:28" ht="14" x14ac:dyDescent="0.2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spans="1:28" ht="14" x14ac:dyDescent="0.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spans="1:28" ht="14" x14ac:dyDescent="0.2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spans="1:28" ht="14" x14ac:dyDescent="0.2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spans="1:28" ht="14" x14ac:dyDescent="0.2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spans="1:28" ht="14" x14ac:dyDescent="0.2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spans="1:28" ht="14" x14ac:dyDescent="0.2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spans="1:28" ht="14" x14ac:dyDescent="0.2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spans="1:28" ht="14" x14ac:dyDescent="0.2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spans="1:28" ht="14" x14ac:dyDescent="0.2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spans="1:28" ht="14" x14ac:dyDescent="0.2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spans="1:28" ht="14" x14ac:dyDescent="0.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spans="1:28" ht="14" x14ac:dyDescent="0.2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spans="1:28" ht="14" x14ac:dyDescent="0.2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spans="1:28" ht="14" x14ac:dyDescent="0.2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spans="1:28" ht="14" x14ac:dyDescent="0.2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spans="1:28" ht="14" x14ac:dyDescent="0.2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spans="1:28" ht="14" x14ac:dyDescent="0.2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spans="1:28" ht="14" x14ac:dyDescent="0.2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spans="1:28" ht="14" x14ac:dyDescent="0.2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spans="1:28" ht="14" x14ac:dyDescent="0.2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spans="1:28" ht="14" x14ac:dyDescent="0.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spans="1:28" ht="14" x14ac:dyDescent="0.2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spans="1:28" ht="14" x14ac:dyDescent="0.2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spans="1:28" ht="14" x14ac:dyDescent="0.2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spans="1:28" ht="14" x14ac:dyDescent="0.2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spans="1:28" ht="14" x14ac:dyDescent="0.2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spans="1:28" ht="14" x14ac:dyDescent="0.2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spans="1:28" ht="14" x14ac:dyDescent="0.2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spans="1:28" ht="14" x14ac:dyDescent="0.2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spans="1:28" ht="14" x14ac:dyDescent="0.2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spans="1:28" ht="14" x14ac:dyDescent="0.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spans="1:28" ht="14" x14ac:dyDescent="0.2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spans="1:28" ht="14" x14ac:dyDescent="0.2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spans="1:28" ht="14" x14ac:dyDescent="0.2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spans="1:28" ht="14" x14ac:dyDescent="0.2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spans="1:28" ht="14" x14ac:dyDescent="0.2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spans="1:28" ht="14" x14ac:dyDescent="0.2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spans="1:28" ht="14" x14ac:dyDescent="0.2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spans="1:28" ht="14" x14ac:dyDescent="0.2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spans="1:28" ht="14" x14ac:dyDescent="0.2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spans="1:28" ht="14" x14ac:dyDescent="0.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spans="1:28" ht="14" x14ac:dyDescent="0.2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spans="1:28" ht="14" x14ac:dyDescent="0.2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spans="1:28" ht="14" x14ac:dyDescent="0.2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spans="1:28" ht="14" x14ac:dyDescent="0.2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spans="1:28" ht="14" x14ac:dyDescent="0.2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spans="1:28" ht="14" x14ac:dyDescent="0.2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spans="1:28" ht="14" x14ac:dyDescent="0.2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spans="1:28" ht="14" x14ac:dyDescent="0.2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spans="1:28" ht="14" x14ac:dyDescent="0.2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spans="1:28" ht="14" x14ac:dyDescent="0.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spans="1:28" ht="14" x14ac:dyDescent="0.2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spans="1:28" ht="14" x14ac:dyDescent="0.2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spans="1:28" ht="14" x14ac:dyDescent="0.2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spans="1:28" ht="14" x14ac:dyDescent="0.2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spans="1:28" ht="14" x14ac:dyDescent="0.2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spans="1:28" ht="14" x14ac:dyDescent="0.2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spans="1:28" ht="14" x14ac:dyDescent="0.2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spans="1:28" ht="14" x14ac:dyDescent="0.2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spans="1:28" ht="14" x14ac:dyDescent="0.2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spans="1:28" ht="14" x14ac:dyDescent="0.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spans="1:28" ht="14" x14ac:dyDescent="0.2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spans="1:28" ht="14" x14ac:dyDescent="0.2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spans="1:28" ht="14" x14ac:dyDescent="0.2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spans="1:28" ht="14" x14ac:dyDescent="0.2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spans="1:28" ht="14" x14ac:dyDescent="0.2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spans="1:28" ht="14" x14ac:dyDescent="0.2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spans="1:28" ht="14" x14ac:dyDescent="0.2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spans="1:28" ht="14" x14ac:dyDescent="0.2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spans="1:28" ht="14" x14ac:dyDescent="0.2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spans="1:28" ht="14" x14ac:dyDescent="0.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spans="1:28" ht="14" x14ac:dyDescent="0.2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spans="1:28" ht="14" x14ac:dyDescent="0.2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spans="1:28" ht="14" x14ac:dyDescent="0.2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spans="1:28" ht="14" x14ac:dyDescent="0.2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spans="1:28" ht="14" x14ac:dyDescent="0.2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spans="1:28" ht="14" x14ac:dyDescent="0.2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spans="1:28" ht="14" x14ac:dyDescent="0.2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spans="1:28" ht="14" x14ac:dyDescent="0.2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spans="1:28" ht="14" x14ac:dyDescent="0.2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spans="1:28" ht="14" x14ac:dyDescent="0.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spans="1:28" ht="14" x14ac:dyDescent="0.2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spans="1:28" ht="14" x14ac:dyDescent="0.2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spans="1:28" ht="14" x14ac:dyDescent="0.2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spans="1:28" ht="14" x14ac:dyDescent="0.2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spans="1:28" ht="14" x14ac:dyDescent="0.2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spans="1:28" ht="14" x14ac:dyDescent="0.2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spans="1:28" ht="14" x14ac:dyDescent="0.2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spans="1:28" ht="14" x14ac:dyDescent="0.2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spans="1:28" ht="14" x14ac:dyDescent="0.2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spans="1:28" ht="14" x14ac:dyDescent="0.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spans="1:28" ht="14" x14ac:dyDescent="0.2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spans="1:28" ht="14" x14ac:dyDescent="0.2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spans="1:28" ht="14" x14ac:dyDescent="0.2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spans="1:28" ht="14" x14ac:dyDescent="0.2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spans="1:28" ht="14" x14ac:dyDescent="0.2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spans="1:28" ht="14" x14ac:dyDescent="0.2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spans="1:28" ht="14" x14ac:dyDescent="0.2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spans="1:28" ht="14" x14ac:dyDescent="0.2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spans="1:28" ht="14" x14ac:dyDescent="0.2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spans="1:28" ht="14" x14ac:dyDescent="0.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spans="1:28" ht="14" x14ac:dyDescent="0.2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spans="1:28" ht="14" x14ac:dyDescent="0.2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spans="1:28" ht="14" x14ac:dyDescent="0.2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spans="1:28" ht="14" x14ac:dyDescent="0.2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spans="1:28" ht="14" x14ac:dyDescent="0.2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spans="1:28" ht="14" x14ac:dyDescent="0.2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spans="1:28" ht="14" x14ac:dyDescent="0.2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spans="1:28" ht="14" x14ac:dyDescent="0.2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spans="1:28" ht="14" x14ac:dyDescent="0.2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spans="1:28" ht="14" x14ac:dyDescent="0.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spans="1:28" ht="14" x14ac:dyDescent="0.2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spans="1:28" ht="14" x14ac:dyDescent="0.2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spans="1:28" ht="14" x14ac:dyDescent="0.2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spans="1:28" ht="14" x14ac:dyDescent="0.2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spans="1:28" ht="14" x14ac:dyDescent="0.2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spans="1:28" ht="14" x14ac:dyDescent="0.2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spans="1:28" ht="14" x14ac:dyDescent="0.2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spans="1:28" ht="14" x14ac:dyDescent="0.2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spans="1:28" ht="14" x14ac:dyDescent="0.2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spans="1:28" ht="14" x14ac:dyDescent="0.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spans="1:28" ht="14" x14ac:dyDescent="0.2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spans="1:28" ht="14" x14ac:dyDescent="0.2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spans="1:28" ht="14" x14ac:dyDescent="0.2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spans="1:28" ht="14" x14ac:dyDescent="0.2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spans="1:28" ht="14" x14ac:dyDescent="0.2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spans="1:28" ht="14" x14ac:dyDescent="0.2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spans="1:28" ht="14" x14ac:dyDescent="0.2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spans="1:28" ht="14" x14ac:dyDescent="0.2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spans="1:28" ht="14" x14ac:dyDescent="0.2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spans="1:28" ht="14" x14ac:dyDescent="0.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spans="1:28" ht="14" x14ac:dyDescent="0.2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spans="1:28" ht="14" x14ac:dyDescent="0.2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spans="1:28" ht="14" x14ac:dyDescent="0.2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spans="1:28" ht="14" x14ac:dyDescent="0.2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spans="1:28" ht="14" x14ac:dyDescent="0.2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spans="1:28" ht="14" x14ac:dyDescent="0.2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spans="1:28" ht="14" x14ac:dyDescent="0.2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spans="1:28" ht="14" x14ac:dyDescent="0.2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spans="1:28" ht="14" x14ac:dyDescent="0.2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spans="1:28" ht="14" x14ac:dyDescent="0.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spans="1:28" ht="14" x14ac:dyDescent="0.2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spans="1:28" ht="14" x14ac:dyDescent="0.2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spans="1:28" ht="14" x14ac:dyDescent="0.2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spans="1:28" ht="14" x14ac:dyDescent="0.2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spans="1:28" ht="14" x14ac:dyDescent="0.2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spans="1:28" ht="14" x14ac:dyDescent="0.2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spans="1:28" ht="14" x14ac:dyDescent="0.2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spans="1:28" ht="14" x14ac:dyDescent="0.2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spans="1:28" ht="14" x14ac:dyDescent="0.2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spans="1:28" ht="14" x14ac:dyDescent="0.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spans="1:28" ht="14" x14ac:dyDescent="0.2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spans="1:28" ht="14" x14ac:dyDescent="0.2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spans="1:28" ht="14" x14ac:dyDescent="0.2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spans="1:28" ht="14" x14ac:dyDescent="0.2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spans="1:28" ht="14" x14ac:dyDescent="0.2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spans="1:28" ht="14" x14ac:dyDescent="0.2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spans="1:28" ht="14" x14ac:dyDescent="0.2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spans="1:28" ht="14" x14ac:dyDescent="0.2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spans="1:28" ht="14" x14ac:dyDescent="0.2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spans="1:28" ht="14" x14ac:dyDescent="0.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spans="1:28" ht="14" x14ac:dyDescent="0.2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spans="1:28" ht="14" x14ac:dyDescent="0.2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spans="1:28" ht="14" x14ac:dyDescent="0.2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spans="1:28" ht="14" x14ac:dyDescent="0.2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spans="1:28" ht="14" x14ac:dyDescent="0.2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spans="1:28" ht="14" x14ac:dyDescent="0.2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spans="1:28" ht="14" x14ac:dyDescent="0.2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spans="1:28" ht="14" x14ac:dyDescent="0.2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spans="1:28" ht="14" x14ac:dyDescent="0.2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spans="1:28" ht="14" x14ac:dyDescent="0.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spans="1:28" ht="14" x14ac:dyDescent="0.2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spans="1:28" ht="14" x14ac:dyDescent="0.2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spans="1:28" ht="14" x14ac:dyDescent="0.2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spans="1:28" ht="14" x14ac:dyDescent="0.2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spans="1:28" ht="14" x14ac:dyDescent="0.2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spans="1:28" ht="14" x14ac:dyDescent="0.2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spans="1:28" ht="14" x14ac:dyDescent="0.2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spans="1:28" ht="14" x14ac:dyDescent="0.2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spans="1:28" ht="14" x14ac:dyDescent="0.2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spans="1:28" ht="14" x14ac:dyDescent="0.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spans="1:28" ht="14" x14ac:dyDescent="0.2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spans="1:28" ht="14" x14ac:dyDescent="0.2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spans="1:28" ht="14" x14ac:dyDescent="0.2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spans="1:28" ht="14" x14ac:dyDescent="0.2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spans="1:28" ht="14" x14ac:dyDescent="0.2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spans="1:28" ht="14" x14ac:dyDescent="0.2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spans="1:28" ht="14" x14ac:dyDescent="0.2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spans="1:28" ht="14" x14ac:dyDescent="0.2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spans="1:28" ht="14" x14ac:dyDescent="0.2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spans="1:28" ht="14" x14ac:dyDescent="0.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spans="1:28" ht="14" x14ac:dyDescent="0.2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spans="1:28" ht="14" x14ac:dyDescent="0.2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spans="1:28" ht="14" x14ac:dyDescent="0.2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spans="1:28" ht="14" x14ac:dyDescent="0.2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spans="1:28" ht="14" x14ac:dyDescent="0.2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spans="1:28" ht="14" x14ac:dyDescent="0.2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spans="1:28" ht="14" x14ac:dyDescent="0.2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spans="1:28" ht="14" x14ac:dyDescent="0.2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spans="1:28" ht="14" x14ac:dyDescent="0.2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spans="1:28" ht="14" x14ac:dyDescent="0.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spans="1:28" ht="14" x14ac:dyDescent="0.2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spans="1:28" ht="14" x14ac:dyDescent="0.2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spans="1:28" ht="14" x14ac:dyDescent="0.2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spans="1:28" ht="14" x14ac:dyDescent="0.2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spans="1:28" ht="14" x14ac:dyDescent="0.2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spans="1:28" ht="14" x14ac:dyDescent="0.2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spans="1:28" ht="14" x14ac:dyDescent="0.2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spans="1:28" ht="14" x14ac:dyDescent="0.2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spans="1:28" ht="14" x14ac:dyDescent="0.2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spans="1:28" ht="14" x14ac:dyDescent="0.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spans="1:28" ht="14" x14ac:dyDescent="0.2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spans="1:28" ht="14" x14ac:dyDescent="0.2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spans="1:28" ht="14" x14ac:dyDescent="0.2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spans="1:28" ht="14" x14ac:dyDescent="0.2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spans="1:28" ht="14" x14ac:dyDescent="0.2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spans="1:28" ht="14" x14ac:dyDescent="0.2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spans="1:28" ht="14" x14ac:dyDescent="0.2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spans="1:28" ht="14" x14ac:dyDescent="0.2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spans="1:28" ht="14" x14ac:dyDescent="0.2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spans="1:28" ht="14" x14ac:dyDescent="0.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spans="1:28" ht="14" x14ac:dyDescent="0.2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spans="1:28" ht="14" x14ac:dyDescent="0.2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spans="1:28" ht="14" x14ac:dyDescent="0.2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spans="1:28" ht="14" x14ac:dyDescent="0.2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spans="1:28" ht="14" x14ac:dyDescent="0.2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spans="1:28" ht="14" x14ac:dyDescent="0.2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spans="1:28" ht="14" x14ac:dyDescent="0.2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spans="1:28" ht="14" x14ac:dyDescent="0.2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spans="1:28" ht="14" x14ac:dyDescent="0.2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spans="1:28" ht="14" x14ac:dyDescent="0.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spans="1:28" ht="14" x14ac:dyDescent="0.2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spans="1:28" ht="14" x14ac:dyDescent="0.2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spans="1:28" ht="14" x14ac:dyDescent="0.2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spans="1:28" ht="14" x14ac:dyDescent="0.2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spans="1:28" ht="14" x14ac:dyDescent="0.2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spans="1:28" ht="14" x14ac:dyDescent="0.2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spans="1:28" ht="14" x14ac:dyDescent="0.2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spans="1:28" ht="14" x14ac:dyDescent="0.2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spans="1:28" ht="14" x14ac:dyDescent="0.2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spans="1:28" ht="14" x14ac:dyDescent="0.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spans="1:28" ht="14" x14ac:dyDescent="0.2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spans="1:28" ht="14" x14ac:dyDescent="0.2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spans="1:28" ht="14" x14ac:dyDescent="0.2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spans="1:28" ht="14" x14ac:dyDescent="0.2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spans="1:28" ht="14" x14ac:dyDescent="0.2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spans="1:28" ht="14" x14ac:dyDescent="0.2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spans="1:28" ht="14" x14ac:dyDescent="0.2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spans="1:28" ht="14" x14ac:dyDescent="0.2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spans="1:28" ht="14" x14ac:dyDescent="0.2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spans="1:28" ht="14" x14ac:dyDescent="0.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spans="1:28" ht="14" x14ac:dyDescent="0.2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spans="1:28" ht="14" x14ac:dyDescent="0.2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spans="1:28" ht="14" x14ac:dyDescent="0.2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spans="1:28" ht="14" x14ac:dyDescent="0.2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spans="1:28" ht="14" x14ac:dyDescent="0.2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spans="1:28" ht="14" x14ac:dyDescent="0.2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spans="1:28" ht="14" x14ac:dyDescent="0.2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spans="1:28" ht="14" x14ac:dyDescent="0.2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spans="1:28" ht="14" x14ac:dyDescent="0.2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spans="1:28" ht="14" x14ac:dyDescent="0.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spans="1:28" ht="14" x14ac:dyDescent="0.2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spans="1:28" ht="14" x14ac:dyDescent="0.2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spans="1:28" ht="14" x14ac:dyDescent="0.2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spans="1:28" ht="14" x14ac:dyDescent="0.2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spans="1:28" ht="14" x14ac:dyDescent="0.2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spans="1:28" ht="14" x14ac:dyDescent="0.2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spans="1:28" ht="14" x14ac:dyDescent="0.2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spans="1:28" ht="14" x14ac:dyDescent="0.2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spans="1:28" ht="14" x14ac:dyDescent="0.2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spans="1:28" ht="14" x14ac:dyDescent="0.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spans="1:28" ht="14" x14ac:dyDescent="0.2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spans="1:28" ht="14" x14ac:dyDescent="0.2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spans="1:28" ht="14" x14ac:dyDescent="0.2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spans="1:28" ht="14" x14ac:dyDescent="0.2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spans="1:28" ht="14" x14ac:dyDescent="0.2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spans="1:28" ht="14" x14ac:dyDescent="0.2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spans="1:28" ht="14" x14ac:dyDescent="0.2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spans="1:28" ht="14" x14ac:dyDescent="0.2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spans="1:28" ht="14" x14ac:dyDescent="0.2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spans="1:28" ht="14" x14ac:dyDescent="0.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spans="1:28" ht="14" x14ac:dyDescent="0.2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spans="1:28" ht="14" x14ac:dyDescent="0.2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spans="1:28" ht="14" x14ac:dyDescent="0.2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spans="1:28" ht="14" x14ac:dyDescent="0.2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spans="1:28" ht="14" x14ac:dyDescent="0.2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spans="1:28" ht="14" x14ac:dyDescent="0.2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spans="1:28" ht="14" x14ac:dyDescent="0.2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spans="1:28" ht="14" x14ac:dyDescent="0.2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spans="1:28" ht="14" x14ac:dyDescent="0.2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spans="1:28" ht="14" x14ac:dyDescent="0.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spans="1:28" ht="14" x14ac:dyDescent="0.2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spans="1:28" ht="14" x14ac:dyDescent="0.2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spans="1:28" ht="14" x14ac:dyDescent="0.2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spans="1:28" ht="14" x14ac:dyDescent="0.2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spans="1:28" ht="14" x14ac:dyDescent="0.2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spans="1:28" ht="14" x14ac:dyDescent="0.2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spans="1:28" ht="14" x14ac:dyDescent="0.2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spans="1:28" ht="14" x14ac:dyDescent="0.2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spans="1:28" ht="14" x14ac:dyDescent="0.2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spans="1:28" ht="14" x14ac:dyDescent="0.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spans="1:28" ht="14" x14ac:dyDescent="0.2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spans="1:28" ht="14" x14ac:dyDescent="0.2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spans="1:28" ht="14" x14ac:dyDescent="0.2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spans="1:28" ht="14" x14ac:dyDescent="0.2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spans="1:28" ht="14" x14ac:dyDescent="0.2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spans="1:28" ht="14" x14ac:dyDescent="0.2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spans="1:28" ht="14" x14ac:dyDescent="0.2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spans="1:28" ht="14" x14ac:dyDescent="0.2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spans="1:28" ht="14" x14ac:dyDescent="0.2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spans="1:28" ht="14" x14ac:dyDescent="0.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spans="1:28" ht="14" x14ac:dyDescent="0.2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spans="1:28" ht="14" x14ac:dyDescent="0.2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spans="1:28" ht="14" x14ac:dyDescent="0.2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spans="1:28" ht="14" x14ac:dyDescent="0.2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spans="1:28" ht="14" x14ac:dyDescent="0.2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spans="1:28" ht="14" x14ac:dyDescent="0.2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spans="1:28" ht="14" x14ac:dyDescent="0.2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spans="1:28" ht="14" x14ac:dyDescent="0.2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spans="1:28" ht="14" x14ac:dyDescent="0.2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spans="1:28" ht="14" x14ac:dyDescent="0.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spans="1:28" ht="14" x14ac:dyDescent="0.2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spans="1:28" ht="14" x14ac:dyDescent="0.2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spans="1:28" ht="14" x14ac:dyDescent="0.2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spans="1:28" ht="14" x14ac:dyDescent="0.2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spans="1:28" ht="14" x14ac:dyDescent="0.2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spans="1:28" ht="14" x14ac:dyDescent="0.2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spans="1:28" ht="14" x14ac:dyDescent="0.2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spans="1:28" ht="14" x14ac:dyDescent="0.2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spans="1:28" ht="14" x14ac:dyDescent="0.2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spans="1:28" ht="14" x14ac:dyDescent="0.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spans="1:28" ht="14" x14ac:dyDescent="0.2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spans="1:28" ht="14" x14ac:dyDescent="0.2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spans="1:28" ht="14" x14ac:dyDescent="0.2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spans="1:28" ht="14" x14ac:dyDescent="0.2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spans="1:28" ht="14" x14ac:dyDescent="0.2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spans="1:28" ht="14" x14ac:dyDescent="0.2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spans="1:28" ht="14" x14ac:dyDescent="0.2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spans="1:28" ht="14" x14ac:dyDescent="0.2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spans="1:28" ht="14" x14ac:dyDescent="0.2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spans="1:28" ht="14" x14ac:dyDescent="0.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spans="1:28" ht="14" x14ac:dyDescent="0.2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spans="1:28" ht="14" x14ac:dyDescent="0.2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spans="1:28" ht="14" x14ac:dyDescent="0.2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spans="1:28" ht="14" x14ac:dyDescent="0.2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spans="1:28" ht="14" x14ac:dyDescent="0.2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spans="1:28" ht="14" x14ac:dyDescent="0.2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spans="1:28" ht="14" x14ac:dyDescent="0.2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spans="1:28" ht="14" x14ac:dyDescent="0.2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spans="1:28" ht="14" x14ac:dyDescent="0.2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spans="1:28" ht="14" x14ac:dyDescent="0.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spans="1:28" ht="14" x14ac:dyDescent="0.2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spans="1:28" ht="14" x14ac:dyDescent="0.2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spans="1:28" ht="14" x14ac:dyDescent="0.2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spans="1:28" ht="14" x14ac:dyDescent="0.2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spans="1:28" ht="14" x14ac:dyDescent="0.2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spans="1:28" ht="14" x14ac:dyDescent="0.2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spans="1:28" ht="14" x14ac:dyDescent="0.2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spans="1:28" ht="14" x14ac:dyDescent="0.2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spans="1:28" ht="14" x14ac:dyDescent="0.2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spans="1:28" ht="14" x14ac:dyDescent="0.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spans="1:28" ht="14" x14ac:dyDescent="0.2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spans="1:28" ht="14" x14ac:dyDescent="0.2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spans="1:28" ht="14" x14ac:dyDescent="0.2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spans="1:28" ht="14" x14ac:dyDescent="0.2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spans="1:28" ht="14" x14ac:dyDescent="0.2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spans="1:28" ht="14" x14ac:dyDescent="0.2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spans="1:28" ht="14" x14ac:dyDescent="0.2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spans="1:28" ht="14" x14ac:dyDescent="0.2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spans="1:28" ht="14" x14ac:dyDescent="0.2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spans="1:28" ht="14" x14ac:dyDescent="0.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spans="1:28" ht="14" x14ac:dyDescent="0.2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spans="1:28" ht="14" x14ac:dyDescent="0.2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spans="1:28" ht="14" x14ac:dyDescent="0.2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spans="1:28" ht="14" x14ac:dyDescent="0.2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spans="1:28" ht="14" x14ac:dyDescent="0.2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spans="1:28" ht="14" x14ac:dyDescent="0.2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spans="1:28" ht="14" x14ac:dyDescent="0.2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spans="1:28" ht="14" x14ac:dyDescent="0.2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spans="1:28" ht="14" x14ac:dyDescent="0.2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spans="1:28" ht="14" x14ac:dyDescent="0.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spans="1:28" ht="14" x14ac:dyDescent="0.2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spans="1:28" ht="14" x14ac:dyDescent="0.2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spans="1:28" ht="14" x14ac:dyDescent="0.2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spans="1:28" ht="14" x14ac:dyDescent="0.2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spans="1:28" ht="14" x14ac:dyDescent="0.2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spans="1:28" ht="14" x14ac:dyDescent="0.2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spans="1:28" ht="14" x14ac:dyDescent="0.2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spans="1:28" ht="14" x14ac:dyDescent="0.2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spans="1:28" ht="14" x14ac:dyDescent="0.2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spans="1:28" ht="14" x14ac:dyDescent="0.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spans="1:28" ht="14" x14ac:dyDescent="0.2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spans="1:28" ht="14" x14ac:dyDescent="0.2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spans="1:28" ht="14" x14ac:dyDescent="0.2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spans="1:28" ht="14" x14ac:dyDescent="0.2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spans="1:28" ht="14" x14ac:dyDescent="0.2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spans="1:28" ht="14" x14ac:dyDescent="0.2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spans="1:28" ht="14" x14ac:dyDescent="0.2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spans="1:28" ht="14" x14ac:dyDescent="0.2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spans="1:28" ht="14" x14ac:dyDescent="0.2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spans="1:28" ht="14" x14ac:dyDescent="0.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spans="1:28" ht="14" x14ac:dyDescent="0.2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spans="1:28" ht="14" x14ac:dyDescent="0.2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spans="1:28" ht="14" x14ac:dyDescent="0.2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spans="1:28" ht="14" x14ac:dyDescent="0.2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spans="1:28" ht="14" x14ac:dyDescent="0.2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spans="1:28" ht="14" x14ac:dyDescent="0.2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spans="1:28" ht="14" x14ac:dyDescent="0.2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spans="1:28" ht="14" x14ac:dyDescent="0.2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spans="1:28" ht="14" x14ac:dyDescent="0.2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spans="1:28" ht="14" x14ac:dyDescent="0.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spans="1:28" ht="14" x14ac:dyDescent="0.2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spans="1:28" ht="14" x14ac:dyDescent="0.2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spans="1:28" ht="14" x14ac:dyDescent="0.2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spans="1:28" ht="14" x14ac:dyDescent="0.2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spans="1:28" ht="14" x14ac:dyDescent="0.2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spans="1:28" ht="14" x14ac:dyDescent="0.2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spans="1:28" ht="14" x14ac:dyDescent="0.2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spans="1:28" ht="14" x14ac:dyDescent="0.2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spans="1:28" ht="14" x14ac:dyDescent="0.2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spans="1:28" ht="14" x14ac:dyDescent="0.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spans="1:28" ht="14" x14ac:dyDescent="0.2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spans="1:28" ht="14" x14ac:dyDescent="0.2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spans="1:28" ht="14" x14ac:dyDescent="0.2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spans="1:28" ht="14" x14ac:dyDescent="0.2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spans="1:28" ht="14" x14ac:dyDescent="0.2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spans="1:28" ht="14" x14ac:dyDescent="0.2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spans="1:28" ht="14" x14ac:dyDescent="0.2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spans="1:28" ht="14" x14ac:dyDescent="0.2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spans="1:28" ht="14" x14ac:dyDescent="0.2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spans="1:28" ht="14" x14ac:dyDescent="0.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spans="1:28" ht="14" x14ac:dyDescent="0.2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spans="1:28" ht="14" x14ac:dyDescent="0.2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spans="1:28" ht="14" x14ac:dyDescent="0.2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spans="1:28" ht="14" x14ac:dyDescent="0.2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spans="1:28" ht="14" x14ac:dyDescent="0.2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spans="1:28" ht="14" x14ac:dyDescent="0.2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spans="1:28" ht="14" x14ac:dyDescent="0.2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spans="1:28" ht="14" x14ac:dyDescent="0.2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spans="1:28" ht="14" x14ac:dyDescent="0.2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spans="1:28" ht="14" x14ac:dyDescent="0.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spans="1:28" ht="14" x14ac:dyDescent="0.2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spans="1:28" ht="14" x14ac:dyDescent="0.2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spans="1:28" ht="14" x14ac:dyDescent="0.2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spans="1:28" ht="14" x14ac:dyDescent="0.2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spans="1:28" ht="14" x14ac:dyDescent="0.2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spans="1:28" ht="14" x14ac:dyDescent="0.2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spans="1:28" ht="14" x14ac:dyDescent="0.2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spans="1:28" ht="14" x14ac:dyDescent="0.2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spans="1:28" ht="14" x14ac:dyDescent="0.2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spans="1:28" ht="14" x14ac:dyDescent="0.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2"/>
  <sheetViews>
    <sheetView showGridLines="0" zoomScale="106" zoomScaleNormal="10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8" sqref="D18"/>
    </sheetView>
  </sheetViews>
  <sheetFormatPr baseColWidth="10" defaultColWidth="8.83203125" defaultRowHeight="15" x14ac:dyDescent="0.2"/>
  <cols>
    <col min="1" max="1" width="2.6640625" customWidth="1"/>
    <col min="2" max="2" width="17.83203125" customWidth="1"/>
    <col min="3" max="3" width="11" customWidth="1"/>
    <col min="4" max="4" width="10.5" customWidth="1"/>
    <col min="6" max="6" width="11.33203125" customWidth="1"/>
    <col min="7" max="7" width="2.6640625" customWidth="1"/>
    <col min="8" max="11" width="13.6640625" customWidth="1"/>
    <col min="12" max="12" width="2.6640625" customWidth="1"/>
    <col min="13" max="16" width="13.6640625" customWidth="1"/>
    <col min="17" max="17" width="2.6640625" customWidth="1"/>
    <col min="18" max="20" width="13.6640625" customWidth="1"/>
    <col min="21" max="21" width="2.6640625" customWidth="1"/>
    <col min="22" max="25" width="13.6640625" customWidth="1"/>
    <col min="26" max="26" width="2.6640625" customWidth="1"/>
    <col min="30" max="30" width="2.6640625" customWidth="1"/>
    <col min="31" max="34" width="13.6640625" customWidth="1"/>
  </cols>
  <sheetData>
    <row r="1" spans="1:34" x14ac:dyDescent="0.2">
      <c r="A1" s="57"/>
      <c r="B1" s="57"/>
      <c r="C1" s="57"/>
      <c r="D1" s="57"/>
      <c r="E1" s="57"/>
      <c r="F1" s="57"/>
      <c r="G1" s="57"/>
      <c r="H1" s="56" t="s">
        <v>89</v>
      </c>
      <c r="I1" s="56"/>
      <c r="J1" s="56"/>
      <c r="K1" s="56"/>
      <c r="L1" s="57"/>
      <c r="M1" s="56" t="s">
        <v>90</v>
      </c>
      <c r="N1" s="56"/>
      <c r="O1" s="56"/>
      <c r="P1" s="56"/>
      <c r="Q1" s="57"/>
      <c r="R1" s="56" t="s">
        <v>76</v>
      </c>
      <c r="S1" s="56"/>
      <c r="T1" s="56"/>
      <c r="U1" s="57"/>
      <c r="V1" s="56" t="s">
        <v>80</v>
      </c>
      <c r="W1" s="56"/>
      <c r="X1" s="56"/>
      <c r="Y1" s="56"/>
      <c r="Z1" s="57"/>
      <c r="AA1" s="56" t="s">
        <v>85</v>
      </c>
      <c r="AB1" s="56"/>
      <c r="AC1" s="56"/>
      <c r="AD1" s="57"/>
      <c r="AE1" s="56" t="s">
        <v>75</v>
      </c>
      <c r="AF1" s="56"/>
      <c r="AG1" s="56"/>
      <c r="AH1" s="56"/>
    </row>
    <row r="2" spans="1:34" x14ac:dyDescent="0.2">
      <c r="A2" s="58" t="s">
        <v>91</v>
      </c>
      <c r="B2" s="58" t="s">
        <v>58</v>
      </c>
      <c r="C2" s="59" t="s">
        <v>7</v>
      </c>
      <c r="D2" s="59" t="s">
        <v>59</v>
      </c>
      <c r="E2" s="59" t="s">
        <v>14</v>
      </c>
      <c r="F2" s="59" t="s">
        <v>70</v>
      </c>
      <c r="G2" s="58"/>
      <c r="H2" s="59" t="s">
        <v>62</v>
      </c>
      <c r="I2" s="59" t="s">
        <v>63</v>
      </c>
      <c r="J2" s="59" t="s">
        <v>64</v>
      </c>
      <c r="K2" s="59" t="s">
        <v>65</v>
      </c>
      <c r="L2" s="58"/>
      <c r="M2" s="60" t="s">
        <v>66</v>
      </c>
      <c r="N2" s="60" t="s">
        <v>67</v>
      </c>
      <c r="O2" s="60" t="s">
        <v>68</v>
      </c>
      <c r="P2" s="60" t="s">
        <v>69</v>
      </c>
      <c r="Q2" s="58"/>
      <c r="R2" s="60" t="s">
        <v>77</v>
      </c>
      <c r="S2" s="60" t="s">
        <v>78</v>
      </c>
      <c r="T2" s="60" t="s">
        <v>79</v>
      </c>
      <c r="U2" s="58"/>
      <c r="V2" s="60" t="s">
        <v>81</v>
      </c>
      <c r="W2" s="60" t="s">
        <v>82</v>
      </c>
      <c r="X2" s="60" t="s">
        <v>83</v>
      </c>
      <c r="Y2" s="60" t="s">
        <v>84</v>
      </c>
      <c r="Z2" s="58"/>
      <c r="AA2" s="60" t="s">
        <v>86</v>
      </c>
      <c r="AB2" s="60" t="s">
        <v>87</v>
      </c>
      <c r="AC2" s="60" t="s">
        <v>88</v>
      </c>
      <c r="AD2" s="58"/>
      <c r="AE2" s="60" t="s">
        <v>71</v>
      </c>
      <c r="AF2" s="60" t="s">
        <v>72</v>
      </c>
      <c r="AG2" s="60" t="s">
        <v>73</v>
      </c>
      <c r="AH2" s="60" t="s">
        <v>74</v>
      </c>
    </row>
    <row r="3" spans="1:34" x14ac:dyDescent="0.2">
      <c r="B3" t="str">
        <f>'TEV Buildouts - Gold Solution'!C1</f>
        <v>CRH US EQUITY</v>
      </c>
      <c r="C3" s="24">
        <f>INDEX('TEV Buildouts - Gold Solution'!$C$1:$I$63,2,MATCH('Compsheet - Gold Solution'!$B3,'TEV Buildouts - Gold Solution'!$C$1:$I$1,0))</f>
        <v>94.06</v>
      </c>
      <c r="D3" s="25">
        <f>INDEX('TEV Buildouts - Gold Solution'!$C$1:$I$63,4,MATCH('Compsheet - Gold Solution'!$B3,'TEV Buildouts - Gold Solution'!$C$1:$I$1,0))</f>
        <v>63650.402000000009</v>
      </c>
      <c r="E3" s="25">
        <f>INDEX('TEV Buildouts - Gold Solution'!$C$1:$I$63,13,MATCH('Compsheet - Gold Solution'!$B3,'TEV Buildouts - Gold Solution'!$C$1:$I$1,0))</f>
        <v>77043.402000000002</v>
      </c>
      <c r="F3" s="26">
        <f>INDEX('TEV Buildouts - Gold Solution'!$C$1:$I$63,7,MATCH('Compsheet - Gold Solution'!$B3,'TEV Buildouts - Gold Solution'!$C$1:$I$1,0))/AF3</f>
        <v>1.6425333333333334</v>
      </c>
      <c r="H3" s="28">
        <f t="shared" ref="H3:K9" si="0">$E3/AE3</f>
        <v>11.117374025974026</v>
      </c>
      <c r="I3" s="28">
        <f t="shared" si="0"/>
        <v>10.2724536</v>
      </c>
      <c r="J3" s="28">
        <f t="shared" si="0"/>
        <v>9.3385941818181823</v>
      </c>
      <c r="K3" s="28">
        <f t="shared" si="0"/>
        <v>8.4896310743801653</v>
      </c>
      <c r="M3" s="27">
        <f>INDEX('TEV Buildouts - Gold Solution'!$C$1:$I$63,58,MATCH('Compsheet - Gold Solution'!$B3,'TEV Buildouts - Gold Solution'!$C$1:$I$1,0))/$E3</f>
        <v>4.0971386491993174E-2</v>
      </c>
      <c r="N3" s="27">
        <f>INDEX('TEV Buildouts - Gold Solution'!$C$1:$I$63,59,MATCH('Compsheet - Gold Solution'!$B3,'TEV Buildouts - Gold Solution'!$C$1:$I$1,0))/$E3</f>
        <v>4.2914122613640554E-2</v>
      </c>
      <c r="O3" s="27">
        <f>INDEX('TEV Buildouts - Gold Solution'!$C$1:$I$63,60,MATCH('Compsheet - Gold Solution'!$B3,'TEV Buildouts - Gold Solution'!$C$1:$I$1,0))/$E3</f>
        <v>5.0969646953025256E-2</v>
      </c>
      <c r="P3" s="27">
        <f>INDEX('TEV Buildouts - Gold Solution'!$C$1:$I$63,61,MATCH('Compsheet - Gold Solution'!$B3,'TEV Buildouts - Gold Solution'!$C$1:$I$1,0))/$E3</f>
        <v>5.9830723726348428E-2</v>
      </c>
      <c r="R3" s="29">
        <f t="shared" ref="R3:T9" si="1">AF3/AE3-1</f>
        <v>8.2251082251082241E-2</v>
      </c>
      <c r="S3" s="29">
        <f t="shared" si="1"/>
        <v>0.10000000000000009</v>
      </c>
      <c r="T3" s="29">
        <f t="shared" si="1"/>
        <v>0.10000000000000009</v>
      </c>
      <c r="V3" s="27">
        <f>AE3/INDEX('TEV Buildouts - Gold Solution'!$C$1:$I$63,16,MATCH('Compsheet - Gold Solution'!$B3,'TEV Buildouts - Gold Solution'!$C$1:$I$1,0))</f>
        <v>0.19481614753176657</v>
      </c>
      <c r="W3" s="27">
        <f>AF3/INDEX('TEV Buildouts - Gold Solution'!$C$1:$I$63,17,MATCH('Compsheet - Gold Solution'!$B3,'TEV Buildouts - Gold Solution'!$C$1:$I$1,0))</f>
        <v>0.20273075625600082</v>
      </c>
      <c r="X3" s="27">
        <f>AG3/INDEX('TEV Buildouts - Gold Solution'!$C$1:$I$63,18,MATCH('Compsheet - Gold Solution'!$B3,'TEV Buildouts - Gold Solution'!$C$1:$I$1,0))</f>
        <v>0.21442676142461622</v>
      </c>
      <c r="Y3" s="27">
        <f>AH3/INDEX('TEV Buildouts - Gold Solution'!$C$1:$I$63,19,MATCH('Compsheet - Gold Solution'!$B3,'TEV Buildouts - Gold Solution'!$C$1:$I$1,0))</f>
        <v>0.22679753612219022</v>
      </c>
      <c r="AA3" s="29">
        <f>W3-V3</f>
        <v>7.9146087242342456E-3</v>
      </c>
      <c r="AB3" s="29">
        <f t="shared" ref="AB3:AC9" si="2">X3-W3</f>
        <v>1.1696005168615409E-2</v>
      </c>
      <c r="AC3" s="29">
        <f t="shared" si="2"/>
        <v>1.2370774697574E-2</v>
      </c>
      <c r="AE3" s="25">
        <f>INDEX('TEV Buildouts - Gold Solution'!$C$1:$I$63,27,MATCH('Compsheet - Gold Solution'!$B3,'TEV Buildouts - Gold Solution'!$C$1:$I$1,0))</f>
        <v>6930</v>
      </c>
      <c r="AF3" s="25">
        <f>INDEX('TEV Buildouts - Gold Solution'!$C$1:$I$63,28,MATCH('Compsheet - Gold Solution'!$B3,'TEV Buildouts - Gold Solution'!$C$1:$I$1,0))</f>
        <v>7500</v>
      </c>
      <c r="AG3" s="25">
        <f>INDEX('TEV Buildouts - Gold Solution'!$C$1:$I$63,29,MATCH('Compsheet - Gold Solution'!$B3,'TEV Buildouts - Gold Solution'!$C$1:$I$1,0))</f>
        <v>8250</v>
      </c>
      <c r="AH3" s="25">
        <f>INDEX('TEV Buildouts - Gold Solution'!$C$1:$I$63,30,MATCH('Compsheet - Gold Solution'!$B3,'TEV Buildouts - Gold Solution'!$C$1:$I$1,0))</f>
        <v>9075</v>
      </c>
    </row>
    <row r="4" spans="1:34" x14ac:dyDescent="0.2">
      <c r="B4" t="str">
        <f>'TEV Buildouts - Gold Solution'!D1</f>
        <v>GVA US EQUITY</v>
      </c>
      <c r="C4" s="24">
        <f>INDEX('TEV Buildouts - Gold Solution'!$C$1:$I$63,2,MATCH('Compsheet - Gold Solution'!$B4,'TEV Buildouts - Gold Solution'!$C$1:$I$1,0))</f>
        <v>94.04</v>
      </c>
      <c r="D4" s="25">
        <f>INDEX('TEV Buildouts - Gold Solution'!$C$1:$I$63,4,MATCH('Compsheet - Gold Solution'!$B4,'TEV Buildouts - Gold Solution'!$C$1:$I$1,0))</f>
        <v>4087.2605200000003</v>
      </c>
      <c r="E4" s="25">
        <f>INDEX('TEV Buildouts - Gold Solution'!$C$1:$I$63,13,MATCH('Compsheet - Gold Solution'!$B4,'TEV Buildouts - Gold Solution'!$C$1:$I$1,0))</f>
        <v>5286.9285199999995</v>
      </c>
      <c r="F4" s="26">
        <f>INDEX('TEV Buildouts - Gold Solution'!$C$1:$I$63,7,MATCH('Compsheet - Gold Solution'!$B4,'TEV Buildouts - Gold Solution'!$C$1:$I$1,0))/AF4</f>
        <v>2.7161979797979798</v>
      </c>
      <c r="H4" s="28">
        <f t="shared" si="0"/>
        <v>13.160140489572806</v>
      </c>
      <c r="I4" s="28">
        <f t="shared" si="0"/>
        <v>10.680663676767676</v>
      </c>
      <c r="J4" s="28">
        <f t="shared" si="0"/>
        <v>9.7096942516069777</v>
      </c>
      <c r="K4" s="28">
        <f t="shared" si="0"/>
        <v>8.8269947741881616</v>
      </c>
      <c r="M4" s="27">
        <f>INDEX('TEV Buildouts - Gold Solution'!$C$1:$I$63,58,MATCH('Compsheet - Gold Solution'!$B4,'TEV Buildouts - Gold Solution'!$C$1:$I$1,0))/$E4</f>
        <v>3.5939038003108846E-2</v>
      </c>
      <c r="N4" s="27">
        <f>INDEX('TEV Buildouts - Gold Solution'!$C$1:$I$63,59,MATCH('Compsheet - Gold Solution'!$B4,'TEV Buildouts - Gold Solution'!$C$1:$I$1,0))/$E4</f>
        <v>4.7700190960781146E-2</v>
      </c>
      <c r="O4" s="27">
        <f>INDEX('TEV Buildouts - Gold Solution'!$C$1:$I$63,60,MATCH('Compsheet - Gold Solution'!$B4,'TEV Buildouts - Gold Solution'!$C$1:$I$1,0))/$E4</f>
        <v>5.5307396136310923E-2</v>
      </c>
      <c r="P4" s="27">
        <f>INDEX('TEV Buildouts - Gold Solution'!$C$1:$I$63,61,MATCH('Compsheet - Gold Solution'!$B4,'TEV Buildouts - Gold Solution'!$C$1:$I$1,0))/$E4</f>
        <v>6.3675321829393686E-2</v>
      </c>
      <c r="R4" s="29">
        <f t="shared" si="1"/>
        <v>0.23214632422125869</v>
      </c>
      <c r="S4" s="29">
        <f t="shared" si="1"/>
        <v>0.10000000000000009</v>
      </c>
      <c r="T4" s="29">
        <f t="shared" si="1"/>
        <v>0.10000000000000009</v>
      </c>
      <c r="V4" s="27">
        <f>AE4/INDEX('TEV Buildouts - Gold Solution'!$C$1:$I$63,16,MATCH('Compsheet - Gold Solution'!$B4,'TEV Buildouts - Gold Solution'!$C$1:$I$1,0))</f>
        <v>0.10024468668576052</v>
      </c>
      <c r="W4" s="27">
        <f>AF4/INDEX('TEV Buildouts - Gold Solution'!$C$1:$I$63,17,MATCH('Compsheet - Gold Solution'!$B4,'TEV Buildouts - Gold Solution'!$C$1:$I$1,0))</f>
        <v>0.11511627906976744</v>
      </c>
      <c r="X4" s="27">
        <f>AG4/INDEX('TEV Buildouts - Gold Solution'!$C$1:$I$63,18,MATCH('Compsheet - Gold Solution'!$B4,'TEV Buildouts - Gold Solution'!$C$1:$I$1,0))</f>
        <v>0.11946028960070207</v>
      </c>
      <c r="Y4" s="27">
        <f>AH4/INDEX('TEV Buildouts - Gold Solution'!$C$1:$I$63,19,MATCH('Compsheet - Gold Solution'!$B4,'TEV Buildouts - Gold Solution'!$C$1:$I$1,0))</f>
        <v>0.12396822505733232</v>
      </c>
      <c r="AA4" s="29">
        <f t="shared" ref="AA4:AA9" si="3">W4-V4</f>
        <v>1.4871592384006926E-2</v>
      </c>
      <c r="AB4" s="29">
        <f t="shared" si="2"/>
        <v>4.344010530934625E-3</v>
      </c>
      <c r="AC4" s="29">
        <f t="shared" si="2"/>
        <v>4.5079354566302521E-3</v>
      </c>
      <c r="AE4" s="25">
        <f>INDEX('TEV Buildouts - Gold Solution'!$C$1:$I$63,27,MATCH('Compsheet - Gold Solution'!$B4,'TEV Buildouts - Gold Solution'!$C$1:$I$1,0))</f>
        <v>401.738</v>
      </c>
      <c r="AF4" s="25">
        <f>INDEX('TEV Buildouts - Gold Solution'!$C$1:$I$63,28,MATCH('Compsheet - Gold Solution'!$B4,'TEV Buildouts - Gold Solution'!$C$1:$I$1,0))</f>
        <v>495</v>
      </c>
      <c r="AG4" s="25">
        <f>INDEX('TEV Buildouts - Gold Solution'!$C$1:$I$63,29,MATCH('Compsheet - Gold Solution'!$B4,'TEV Buildouts - Gold Solution'!$C$1:$I$1,0))</f>
        <v>544.5</v>
      </c>
      <c r="AH4" s="25">
        <f>INDEX('TEV Buildouts - Gold Solution'!$C$1:$I$63,30,MATCH('Compsheet - Gold Solution'!$B4,'TEV Buildouts - Gold Solution'!$C$1:$I$1,0))</f>
        <v>598.95000000000005</v>
      </c>
    </row>
    <row r="5" spans="1:34" x14ac:dyDescent="0.2">
      <c r="B5" t="str">
        <f>'TEV Buildouts - Gold Solution'!E1</f>
        <v>KNF US EQUITY</v>
      </c>
      <c r="C5" s="24">
        <f>INDEX('TEV Buildouts - Gold Solution'!$C$1:$I$63,2,MATCH('Compsheet - Gold Solution'!$B5,'TEV Buildouts - Gold Solution'!$C$1:$I$1,0))</f>
        <v>80.569999999999993</v>
      </c>
      <c r="D5" s="25">
        <f>INDEX('TEV Buildouts - Gold Solution'!$C$1:$I$63,4,MATCH('Compsheet - Gold Solution'!$B5,'TEV Buildouts - Gold Solution'!$C$1:$I$1,0))</f>
        <v>4560.2619999999997</v>
      </c>
      <c r="E5" s="25">
        <f>INDEX('TEV Buildouts - Gold Solution'!$C$1:$I$63,13,MATCH('Compsheet - Gold Solution'!$B5,'TEV Buildouts - Gold Solution'!$C$1:$I$1,0))</f>
        <v>5600.9919999999993</v>
      </c>
      <c r="F5" s="26">
        <f>INDEX('TEV Buildouts - Gold Solution'!$C$1:$I$63,7,MATCH('Compsheet - Gold Solution'!$B5,'TEV Buildouts - Gold Solution'!$C$1:$I$1,0))/AF5</f>
        <v>1.8625225225225226</v>
      </c>
      <c r="H5" s="28">
        <f t="shared" si="0"/>
        <v>12.097174946004317</v>
      </c>
      <c r="I5" s="28">
        <f t="shared" si="0"/>
        <v>10.091877477477476</v>
      </c>
      <c r="J5" s="28">
        <f t="shared" si="0"/>
        <v>9.3443309976643292</v>
      </c>
      <c r="K5" s="28">
        <f t="shared" si="0"/>
        <v>8.6521583311706749</v>
      </c>
      <c r="M5" s="27">
        <f>INDEX('TEV Buildouts - Gold Solution'!$C$1:$I$63,58,MATCH('Compsheet - Gold Solution'!$B5,'TEV Buildouts - Gold Solution'!$C$1:$I$1,0))/$E5</f>
        <v>3.9479256531700105E-2</v>
      </c>
      <c r="N5" s="27">
        <f>INDEX('TEV Buildouts - Gold Solution'!$C$1:$I$63,59,MATCH('Compsheet - Gold Solution'!$B5,'TEV Buildouts - Gold Solution'!$C$1:$I$1,0))/$E5</f>
        <v>4.8161111460255618E-2</v>
      </c>
      <c r="O5" s="27">
        <f>INDEX('TEV Buildouts - Gold Solution'!$C$1:$I$63,60,MATCH('Compsheet - Gold Solution'!$B5,'TEV Buildouts - Gold Solution'!$C$1:$I$1,0))/$E5</f>
        <v>5.4899203569653394E-2</v>
      </c>
      <c r="P5" s="27">
        <f>INDEX('TEV Buildouts - Gold Solution'!$C$1:$I$63,61,MATCH('Compsheet - Gold Solution'!$B5,'TEV Buildouts - Gold Solution'!$C$1:$I$1,0))/$E5</f>
        <v>6.2176343047802986E-2</v>
      </c>
      <c r="R5" s="29">
        <f t="shared" si="1"/>
        <v>0.19870410367170632</v>
      </c>
      <c r="S5" s="29">
        <f t="shared" si="1"/>
        <v>8.0000000000000071E-2</v>
      </c>
      <c r="T5" s="29">
        <f t="shared" si="1"/>
        <v>8.0000000000000071E-2</v>
      </c>
      <c r="V5" s="27">
        <f>AE5/INDEX('TEV Buildouts - Gold Solution'!$C$1:$I$63,16,MATCH('Compsheet - Gold Solution'!$B5,'TEV Buildouts - Gold Solution'!$C$1:$I$1,0))</f>
        <v>0.15970996945503715</v>
      </c>
      <c r="W5" s="27">
        <f>AF5/INDEX('TEV Buildouts - Gold Solution'!$C$1:$I$63,17,MATCH('Compsheet - Gold Solution'!$B5,'TEV Buildouts - Gold Solution'!$C$1:$I$1,0))</f>
        <v>0.16567164179104477</v>
      </c>
      <c r="X5" s="27">
        <f>AG5/INDEX('TEV Buildouts - Gold Solution'!$C$1:$I$63,18,MATCH('Compsheet - Gold Solution'!$B5,'TEV Buildouts - Gold Solution'!$C$1:$I$1,0))</f>
        <v>0.17204362801377729</v>
      </c>
      <c r="Y5" s="27">
        <f>AH5/INDEX('TEV Buildouts - Gold Solution'!$C$1:$I$63,19,MATCH('Compsheet - Gold Solution'!$B5,'TEV Buildouts - Gold Solution'!$C$1:$I$1,0))</f>
        <v>0.17866069062969181</v>
      </c>
      <c r="AA5" s="29">
        <f t="shared" si="3"/>
        <v>5.9616723360076118E-3</v>
      </c>
      <c r="AB5" s="29">
        <f t="shared" si="2"/>
        <v>6.371986222732523E-3</v>
      </c>
      <c r="AC5" s="29">
        <f t="shared" si="2"/>
        <v>6.6170626159145207E-3</v>
      </c>
      <c r="AE5" s="25">
        <f>INDEX('TEV Buildouts - Gold Solution'!$C$1:$I$63,27,MATCH('Compsheet - Gold Solution'!$B5,'TEV Buildouts - Gold Solution'!$C$1:$I$1,0))</f>
        <v>463</v>
      </c>
      <c r="AF5" s="25">
        <f>INDEX('TEV Buildouts - Gold Solution'!$C$1:$I$63,28,MATCH('Compsheet - Gold Solution'!$B5,'TEV Buildouts - Gold Solution'!$C$1:$I$1,0))</f>
        <v>555</v>
      </c>
      <c r="AG5" s="25">
        <f>INDEX('TEV Buildouts - Gold Solution'!$C$1:$I$63,29,MATCH('Compsheet - Gold Solution'!$B5,'TEV Buildouts - Gold Solution'!$C$1:$I$1,0))</f>
        <v>599.40000000000009</v>
      </c>
      <c r="AH5" s="25">
        <f>INDEX('TEV Buildouts - Gold Solution'!$C$1:$I$63,30,MATCH('Compsheet - Gold Solution'!$B5,'TEV Buildouts - Gold Solution'!$C$1:$I$1,0))</f>
        <v>647.35200000000009</v>
      </c>
    </row>
    <row r="6" spans="1:34" x14ac:dyDescent="0.2">
      <c r="B6" t="str">
        <f>'TEV Buildouts - Gold Solution'!F1</f>
        <v>EXP US EQUITY</v>
      </c>
      <c r="C6" s="24">
        <f>INDEX('TEV Buildouts - Gold Solution'!$C$1:$I$63,2,MATCH('Compsheet - Gold Solution'!$B6,'TEV Buildouts - Gold Solution'!$C$1:$I$1,0))</f>
        <v>215.12</v>
      </c>
      <c r="D6" s="25">
        <f>INDEX('TEV Buildouts - Gold Solution'!$C$1:$I$63,4,MATCH('Compsheet - Gold Solution'!$B6,'TEV Buildouts - Gold Solution'!$C$1:$I$1,0))</f>
        <v>7155.7940586400009</v>
      </c>
      <c r="E6" s="25">
        <f>INDEX('TEV Buildouts - Gold Solution'!$C$1:$I$63,13,MATCH('Compsheet - Gold Solution'!$B6,'TEV Buildouts - Gold Solution'!$C$1:$I$1,0))</f>
        <v>8233.6200586400009</v>
      </c>
      <c r="F6" s="26">
        <f>INDEX('TEV Buildouts - Gold Solution'!$C$1:$I$63,7,MATCH('Compsheet - Gold Solution'!$B6,'TEV Buildouts - Gold Solution'!$C$1:$I$1,0))/AF6</f>
        <v>1.4530176427025541</v>
      </c>
      <c r="H6" s="28">
        <f t="shared" si="0"/>
        <v>9.9212434041773818</v>
      </c>
      <c r="I6" s="28">
        <f t="shared" si="0"/>
        <v>9.823013271462754</v>
      </c>
      <c r="J6" s="28">
        <f t="shared" si="0"/>
        <v>9.266993652323352</v>
      </c>
      <c r="K6" s="28">
        <f t="shared" si="0"/>
        <v>8.7424468418144823</v>
      </c>
      <c r="M6" s="27">
        <f>INDEX('TEV Buildouts - Gold Solution'!$C$1:$I$63,58,MATCH('Compsheet - Gold Solution'!$B6,'TEV Buildouts - Gold Solution'!$C$1:$I$1,0))/$E6</f>
        <v>6.2370236462529149E-2</v>
      </c>
      <c r="N6" s="27">
        <f>INDEX('TEV Buildouts - Gold Solution'!$C$1:$I$63,59,MATCH('Compsheet - Gold Solution'!$B6,'TEV Buildouts - Gold Solution'!$C$1:$I$1,0))/$E6</f>
        <v>4.5532156649201003E-2</v>
      </c>
      <c r="O6" s="27">
        <f>INDEX('TEV Buildouts - Gold Solution'!$C$1:$I$63,60,MATCH('Compsheet - Gold Solution'!$B6,'TEV Buildouts - Gold Solution'!$C$1:$I$1,0))/$E6</f>
        <v>5.3668756130458323E-2</v>
      </c>
      <c r="P6" s="27">
        <f>INDEX('TEV Buildouts - Gold Solution'!$C$1:$I$63,61,MATCH('Compsheet - Gold Solution'!$B6,'TEV Buildouts - Gold Solution'!$C$1:$I$1,0))/$E6</f>
        <v>5.9075040183263226E-2</v>
      </c>
      <c r="R6" s="29">
        <f t="shared" si="1"/>
        <v>1.0000000000000009E-2</v>
      </c>
      <c r="S6" s="29">
        <f t="shared" si="1"/>
        <v>6.0000000000000053E-2</v>
      </c>
      <c r="T6" s="29">
        <f t="shared" si="1"/>
        <v>6.0000000000000053E-2</v>
      </c>
      <c r="V6" s="27">
        <f>AE6/INDEX('TEV Buildouts - Gold Solution'!$C$1:$I$63,16,MATCH('Compsheet - Gold Solution'!$B6,'TEV Buildouts - Gold Solution'!$C$1:$I$1,0))</f>
        <v>0.36607117651210391</v>
      </c>
      <c r="W6" s="27">
        <f>AF6/INDEX('TEV Buildouts - Gold Solution'!$C$1:$I$63,17,MATCH('Compsheet - Gold Solution'!$B6,'TEV Buildouts - Gold Solution'!$C$1:$I$1,0))</f>
        <v>0.36973188827722497</v>
      </c>
      <c r="X6" s="27">
        <f>AG6/INDEX('TEV Buildouts - Gold Solution'!$C$1:$I$63,18,MATCH('Compsheet - Gold Solution'!$B6,'TEV Buildouts - Gold Solution'!$C$1:$I$1,0))</f>
        <v>0.37684211689794089</v>
      </c>
      <c r="Y6" s="27">
        <f>AH6/INDEX('TEV Buildouts - Gold Solution'!$C$1:$I$63,19,MATCH('Compsheet - Gold Solution'!$B6,'TEV Buildouts - Gold Solution'!$C$1:$I$1,0))</f>
        <v>0.38408908068443975</v>
      </c>
      <c r="AA6" s="29">
        <f t="shared" si="3"/>
        <v>3.6607117651210608E-3</v>
      </c>
      <c r="AB6" s="29">
        <f t="shared" si="2"/>
        <v>7.1102286207159193E-3</v>
      </c>
      <c r="AC6" s="29">
        <f t="shared" si="2"/>
        <v>7.2469637864988612E-3</v>
      </c>
      <c r="AE6" s="25">
        <f>INDEX('TEV Buildouts - Gold Solution'!$C$1:$I$63,27,MATCH('Compsheet - Gold Solution'!$B6,'TEV Buildouts - Gold Solution'!$C$1:$I$1,0))</f>
        <v>829.89800000000002</v>
      </c>
      <c r="AF6" s="25">
        <f>INDEX('TEV Buildouts - Gold Solution'!$C$1:$I$63,28,MATCH('Compsheet - Gold Solution'!$B6,'TEV Buildouts - Gold Solution'!$C$1:$I$1,0))</f>
        <v>838.19698000000005</v>
      </c>
      <c r="AG6" s="25">
        <f>INDEX('TEV Buildouts - Gold Solution'!$C$1:$I$63,29,MATCH('Compsheet - Gold Solution'!$B6,'TEV Buildouts - Gold Solution'!$C$1:$I$1,0))</f>
        <v>888.48879880000015</v>
      </c>
      <c r="AH6" s="25">
        <f>INDEX('TEV Buildouts - Gold Solution'!$C$1:$I$63,30,MATCH('Compsheet - Gold Solution'!$B6,'TEV Buildouts - Gold Solution'!$C$1:$I$1,0))</f>
        <v>941.79812672800017</v>
      </c>
    </row>
    <row r="7" spans="1:34" x14ac:dyDescent="0.2">
      <c r="B7" t="str">
        <f>'TEV Buildouts - Gold Solution'!G1</f>
        <v>VMC US EQUITY</v>
      </c>
      <c r="C7" s="24">
        <f>INDEX('TEV Buildouts - Gold Solution'!$C$1:$I$63,2,MATCH('Compsheet - Gold Solution'!$B7,'TEV Buildouts - Gold Solution'!$C$1:$I$1,0))</f>
        <v>266.60000000000002</v>
      </c>
      <c r="D7" s="25">
        <f>INDEX('TEV Buildouts - Gold Solution'!$C$1:$I$63,4,MATCH('Compsheet - Gold Solution'!$B7,'TEV Buildouts - Gold Solution'!$C$1:$I$1,0))</f>
        <v>35457.800000000003</v>
      </c>
      <c r="E7" s="25">
        <f>INDEX('TEV Buildouts - Gold Solution'!$C$1:$I$63,13,MATCH('Compsheet - Gold Solution'!$B7,'TEV Buildouts - Gold Solution'!$C$1:$I$1,0))</f>
        <v>40627.200000000004</v>
      </c>
      <c r="F7" s="26">
        <f>INDEX('TEV Buildouts - Gold Solution'!$C$1:$I$63,7,MATCH('Compsheet - Gold Solution'!$B7,'TEV Buildouts - Gold Solution'!$C$1:$I$1,0))/AF7</f>
        <v>1.9246938775510205</v>
      </c>
      <c r="H7" s="28">
        <f t="shared" si="0"/>
        <v>19.748784755979006</v>
      </c>
      <c r="I7" s="28">
        <f t="shared" si="0"/>
        <v>16.582530612244899</v>
      </c>
      <c r="J7" s="28">
        <f t="shared" si="0"/>
        <v>15.075027829313544</v>
      </c>
      <c r="K7" s="28">
        <f t="shared" si="0"/>
        <v>13.704570753921402</v>
      </c>
      <c r="M7" s="27">
        <f>INDEX('TEV Buildouts - Gold Solution'!$C$1:$I$63,58,MATCH('Compsheet - Gold Solution'!$B7,'TEV Buildouts - Gold Solution'!$C$1:$I$1,0))/$E7</f>
        <v>2.7426502441713917E-2</v>
      </c>
      <c r="N7" s="27">
        <f>INDEX('TEV Buildouts - Gold Solution'!$C$1:$I$63,59,MATCH('Compsheet - Gold Solution'!$B7,'TEV Buildouts - Gold Solution'!$C$1:$I$1,0))/$E7</f>
        <v>3.1278306159420288E-2</v>
      </c>
      <c r="O7" s="27">
        <f>INDEX('TEV Buildouts - Gold Solution'!$C$1:$I$63,60,MATCH('Compsheet - Gold Solution'!$B7,'TEV Buildouts - Gold Solution'!$C$1:$I$1,0))/$E7</f>
        <v>3.6313725779773147E-2</v>
      </c>
      <c r="P7" s="27">
        <f>INDEX('TEV Buildouts - Gold Solution'!$C$1:$I$63,61,MATCH('Compsheet - Gold Solution'!$B7,'TEV Buildouts - Gold Solution'!$C$1:$I$1,0))/$E7</f>
        <v>4.1852687362161307E-2</v>
      </c>
      <c r="R7" s="29">
        <f t="shared" si="1"/>
        <v>0.19093914057942851</v>
      </c>
      <c r="S7" s="29">
        <f t="shared" si="1"/>
        <v>0.10000000000000009</v>
      </c>
      <c r="T7" s="29">
        <f t="shared" si="1"/>
        <v>0.10000000000000009</v>
      </c>
      <c r="V7" s="27">
        <f>AE7/INDEX('TEV Buildouts - Gold Solution'!$C$1:$I$63,16,MATCH('Compsheet - Gold Solution'!$B7,'TEV Buildouts - Gold Solution'!$C$1:$I$1,0))</f>
        <v>0.27732542464276083</v>
      </c>
      <c r="W7" s="27">
        <f>AF7/INDEX('TEV Buildouts - Gold Solution'!$C$1:$I$63,17,MATCH('Compsheet - Gold Solution'!$B7,'TEV Buildouts - Gold Solution'!$C$1:$I$1,0))</f>
        <v>0.30581268785636539</v>
      </c>
      <c r="X7" s="27">
        <f>AG7/INDEX('TEV Buildouts - Gold Solution'!$C$1:$I$63,18,MATCH('Compsheet - Gold Solution'!$B7,'TEV Buildouts - Gold Solution'!$C$1:$I$1,0))</f>
        <v>0.31735278928490745</v>
      </c>
      <c r="Y7" s="27">
        <f>AH7/INDEX('TEV Buildouts - Gold Solution'!$C$1:$I$63,19,MATCH('Compsheet - Gold Solution'!$B7,'TEV Buildouts - Gold Solution'!$C$1:$I$1,0))</f>
        <v>0.32932836623905493</v>
      </c>
      <c r="AA7" s="29">
        <f t="shared" si="3"/>
        <v>2.8487263213604563E-2</v>
      </c>
      <c r="AB7" s="29">
        <f t="shared" si="2"/>
        <v>1.154010142854206E-2</v>
      </c>
      <c r="AC7" s="29">
        <f t="shared" si="2"/>
        <v>1.1975576954147471E-2</v>
      </c>
      <c r="AE7" s="25">
        <f>INDEX('TEV Buildouts - Gold Solution'!$C$1:$I$63,27,MATCH('Compsheet - Gold Solution'!$B7,'TEV Buildouts - Gold Solution'!$C$1:$I$1,0))</f>
        <v>2057.1999999999998</v>
      </c>
      <c r="AF7" s="25">
        <f>INDEX('TEV Buildouts - Gold Solution'!$C$1:$I$63,28,MATCH('Compsheet - Gold Solution'!$B7,'TEV Buildouts - Gold Solution'!$C$1:$I$1,0))</f>
        <v>2450</v>
      </c>
      <c r="AG7" s="25">
        <f>INDEX('TEV Buildouts - Gold Solution'!$C$1:$I$63,29,MATCH('Compsheet - Gold Solution'!$B7,'TEV Buildouts - Gold Solution'!$C$1:$I$1,0))</f>
        <v>2695</v>
      </c>
      <c r="AH7" s="25">
        <f>INDEX('TEV Buildouts - Gold Solution'!$C$1:$I$63,30,MATCH('Compsheet - Gold Solution'!$B7,'TEV Buildouts - Gold Solution'!$C$1:$I$1,0))</f>
        <v>2964.5000000000005</v>
      </c>
    </row>
    <row r="8" spans="1:34" x14ac:dyDescent="0.2">
      <c r="B8" t="str">
        <f>'TEV Buildouts - Gold Solution'!H1</f>
        <v>MLM US EQUITY</v>
      </c>
      <c r="C8" s="24">
        <f>INDEX('TEV Buildouts - Gold Solution'!$C$1:$I$63,2,MATCH('Compsheet - Gold Solution'!$B8,'TEV Buildouts - Gold Solution'!$C$1:$I$1,0))</f>
        <v>565.03</v>
      </c>
      <c r="D8" s="25">
        <f>INDEX('TEV Buildouts - Gold Solution'!$C$1:$I$63,4,MATCH('Compsheet - Gold Solution'!$B8,'TEV Buildouts - Gold Solution'!$C$1:$I$1,0))</f>
        <v>34466.83</v>
      </c>
      <c r="E8" s="25">
        <f>INDEX('TEV Buildouts - Gold Solution'!$C$1:$I$63,13,MATCH('Compsheet - Gold Solution'!$B8,'TEV Buildouts - Gold Solution'!$C$1:$I$1,0))</f>
        <v>40155.83</v>
      </c>
      <c r="F8" s="26">
        <f>INDEX('TEV Buildouts - Gold Solution'!$C$1:$I$63,7,MATCH('Compsheet - Gold Solution'!$B8,'TEV Buildouts - Gold Solution'!$C$1:$I$1,0))/AF8</f>
        <v>2.3613333333333335</v>
      </c>
      <c r="H8" s="28">
        <f t="shared" si="0"/>
        <v>19.436510164569217</v>
      </c>
      <c r="I8" s="28">
        <f t="shared" si="0"/>
        <v>17.847035555555557</v>
      </c>
      <c r="J8" s="28">
        <f t="shared" si="0"/>
        <v>16.525032921810702</v>
      </c>
      <c r="K8" s="28">
        <f t="shared" si="0"/>
        <v>15.300956409083982</v>
      </c>
      <c r="M8" s="27">
        <f>INDEX('TEV Buildouts - Gold Solution'!$C$1:$I$63,58,MATCH('Compsheet - Gold Solution'!$B8,'TEV Buildouts - Gold Solution'!$C$1:$I$1,0))/$E8</f>
        <v>2.2054207321825996E-2</v>
      </c>
      <c r="N8" s="27">
        <f>INDEX('TEV Buildouts - Gold Solution'!$C$1:$I$63,59,MATCH('Compsheet - Gold Solution'!$B8,'TEV Buildouts - Gold Solution'!$C$1:$I$1,0))/$E8</f>
        <v>2.8529481273329424E-2</v>
      </c>
      <c r="O8" s="27">
        <f>INDEX('TEV Buildouts - Gold Solution'!$C$1:$I$63,60,MATCH('Compsheet - Gold Solution'!$B8,'TEV Buildouts - Gold Solution'!$C$1:$I$1,0))/$E8</f>
        <v>3.2306018827154115E-2</v>
      </c>
      <c r="P8" s="27">
        <f>INDEX('TEV Buildouts - Gold Solution'!$C$1:$I$63,61,MATCH('Compsheet - Gold Solution'!$B8,'TEV Buildouts - Gold Solution'!$C$1:$I$1,0))/$E8</f>
        <v>3.6384679385284779E-2</v>
      </c>
      <c r="R8" s="29">
        <f t="shared" si="1"/>
        <v>8.9060987415295223E-2</v>
      </c>
      <c r="S8" s="29">
        <f t="shared" si="1"/>
        <v>8.0000000000000071E-2</v>
      </c>
      <c r="T8" s="29">
        <f t="shared" si="1"/>
        <v>8.0000000000000071E-2</v>
      </c>
      <c r="V8" s="27">
        <f>AE8/INDEX('TEV Buildouts - Gold Solution'!$C$1:$I$63,16,MATCH('Compsheet - Gold Solution'!$B8,'TEV Buildouts - Gold Solution'!$C$1:$I$1,0))</f>
        <v>0.31609547123623011</v>
      </c>
      <c r="W8" s="27">
        <f>AF8/INDEX('TEV Buildouts - Gold Solution'!$C$1:$I$63,17,MATCH('Compsheet - Gold Solution'!$B8,'TEV Buildouts - Gold Solution'!$C$1:$I$1,0))</f>
        <v>0.32005689900426743</v>
      </c>
      <c r="X8" s="27">
        <f>AG8/INDEX('TEV Buildouts - Gold Solution'!$C$1:$I$63,18,MATCH('Compsheet - Gold Solution'!$B8,'TEV Buildouts - Gold Solution'!$C$1:$I$1,0))</f>
        <v>0.3260957084194423</v>
      </c>
      <c r="Y8" s="27">
        <f>AH8/INDEX('TEV Buildouts - Gold Solution'!$C$1:$I$63,19,MATCH('Compsheet - Gold Solution'!$B8,'TEV Buildouts - Gold Solution'!$C$1:$I$1,0))</f>
        <v>0.33224845763490346</v>
      </c>
      <c r="AA8" s="29">
        <f t="shared" si="3"/>
        <v>3.9614277680373178E-3</v>
      </c>
      <c r="AB8" s="29">
        <f t="shared" si="2"/>
        <v>6.0388094151748728E-3</v>
      </c>
      <c r="AC8" s="29">
        <f t="shared" si="2"/>
        <v>6.1527492154611618E-3</v>
      </c>
      <c r="AE8" s="25">
        <f>INDEX('TEV Buildouts - Gold Solution'!$C$1:$I$63,27,MATCH('Compsheet - Gold Solution'!$B8,'TEV Buildouts - Gold Solution'!$C$1:$I$1,0))</f>
        <v>2066</v>
      </c>
      <c r="AF8" s="25">
        <f>INDEX('TEV Buildouts - Gold Solution'!$C$1:$I$63,28,MATCH('Compsheet - Gold Solution'!$B8,'TEV Buildouts - Gold Solution'!$C$1:$I$1,0))</f>
        <v>2250</v>
      </c>
      <c r="AG8" s="25">
        <f>INDEX('TEV Buildouts - Gold Solution'!$C$1:$I$63,29,MATCH('Compsheet - Gold Solution'!$B8,'TEV Buildouts - Gold Solution'!$C$1:$I$1,0))</f>
        <v>2430</v>
      </c>
      <c r="AH8" s="25">
        <f>INDEX('TEV Buildouts - Gold Solution'!$C$1:$I$63,30,MATCH('Compsheet - Gold Solution'!$B8,'TEV Buildouts - Gold Solution'!$C$1:$I$1,0))</f>
        <v>2624.4</v>
      </c>
    </row>
    <row r="9" spans="1:34" x14ac:dyDescent="0.2">
      <c r="B9" t="str">
        <f>'TEV Buildouts - Gold Solution'!I1</f>
        <v>AMRZ US EQUITY</v>
      </c>
      <c r="C9" s="24">
        <f>INDEX('TEV Buildouts - Gold Solution'!$C$1:$I$63,2,MATCH('Compsheet - Gold Solution'!$B9,'TEV Buildouts - Gold Solution'!$C$1:$I$1,0))</f>
        <v>49.6</v>
      </c>
      <c r="D9" s="25">
        <f>INDEX('TEV Buildouts - Gold Solution'!$C$1:$I$63,4,MATCH('Compsheet - Gold Solution'!$B9,'TEV Buildouts - Gold Solution'!$C$1:$I$1,0))</f>
        <v>27413.920000000002</v>
      </c>
      <c r="E9" s="25">
        <f>INDEX('TEV Buildouts - Gold Solution'!$C$1:$I$63,13,MATCH('Compsheet - Gold Solution'!$B9,'TEV Buildouts - Gold Solution'!$C$1:$I$1,0))</f>
        <v>33004.92</v>
      </c>
      <c r="F9" s="26">
        <f>INDEX('TEV Buildouts - Gold Solution'!$C$1:$I$63,7,MATCH('Compsheet - Gold Solution'!$B9,'TEV Buildouts - Gold Solution'!$C$1:$I$1,0))/AF9</f>
        <v>1.5002769419619466</v>
      </c>
      <c r="H9" s="28">
        <f t="shared" si="0"/>
        <v>10.37564287959761</v>
      </c>
      <c r="I9" s="28">
        <f t="shared" si="0"/>
        <v>9.8815646472358196</v>
      </c>
      <c r="J9" s="28">
        <f t="shared" si="0"/>
        <v>9.0656556396658878</v>
      </c>
      <c r="K9" s="28">
        <f t="shared" si="0"/>
        <v>8.3171152657485212</v>
      </c>
      <c r="M9" s="27">
        <f>INDEX('TEV Buildouts - Gold Solution'!$C$1:$I$63,58,MATCH('Compsheet - Gold Solution'!$B9,'TEV Buildouts - Gold Solution'!$C$1:$I$1,0))/$E9</f>
        <v>6.0302448847020393E-2</v>
      </c>
      <c r="N9" s="27">
        <f>INDEX('TEV Buildouts - Gold Solution'!$C$1:$I$63,59,MATCH('Compsheet - Gold Solution'!$B9,'TEV Buildouts - Gold Solution'!$C$1:$I$1,0))/$E9</f>
        <v>6.1613898018840832E-2</v>
      </c>
      <c r="O9" s="27">
        <f>INDEX('TEV Buildouts - Gold Solution'!$C$1:$I$63,60,MATCH('Compsheet - Gold Solution'!$B9,'TEV Buildouts - Gold Solution'!$C$1:$I$1,0))/$E9</f>
        <v>6.9150659924338567E-2</v>
      </c>
      <c r="P9" s="27">
        <f>INDEX('TEV Buildouts - Gold Solution'!$C$1:$I$63,61,MATCH('Compsheet - Gold Solution'!$B9,'TEV Buildouts - Gold Solution'!$C$1:$I$1,0))/$E9</f>
        <v>7.7365730401331101E-2</v>
      </c>
      <c r="R9" s="29">
        <f t="shared" si="1"/>
        <v>5.0000000000000044E-2</v>
      </c>
      <c r="S9" s="29">
        <f t="shared" si="1"/>
        <v>9.000000000000008E-2</v>
      </c>
      <c r="T9" s="29">
        <f t="shared" si="1"/>
        <v>9.000000000000008E-2</v>
      </c>
      <c r="V9" s="27">
        <f>AE9/INDEX('TEV Buildouts - Gold Solution'!$C$1:$I$63,16,MATCH('Compsheet - Gold Solution'!$B9,'TEV Buildouts - Gold Solution'!$C$1:$I$1,0))</f>
        <v>0.27178742310321258</v>
      </c>
      <c r="W9" s="27">
        <f>AF9/INDEX('TEV Buildouts - Gold Solution'!$C$1:$I$63,17,MATCH('Compsheet - Gold Solution'!$B9,'TEV Buildouts - Gold Solution'!$C$1:$I$1,0))</f>
        <v>0.27440076370997424</v>
      </c>
      <c r="X9" s="27">
        <f>AG9/INDEX('TEV Buildouts - Gold Solution'!$C$1:$I$63,18,MATCH('Compsheet - Gold Solution'!$B9,'TEV Buildouts - Gold Solution'!$C$1:$I$1,0))</f>
        <v>0.28216682306025653</v>
      </c>
      <c r="Y9" s="27">
        <f>AH9/INDEX('TEV Buildouts - Gold Solution'!$C$1:$I$63,19,MATCH('Compsheet - Gold Solution'!$B9,'TEV Buildouts - Gold Solution'!$C$1:$I$1,0))</f>
        <v>0.29015267654309401</v>
      </c>
      <c r="AA9" s="29">
        <f t="shared" si="3"/>
        <v>2.6133406067616605E-3</v>
      </c>
      <c r="AB9" s="29">
        <f t="shared" si="2"/>
        <v>7.766059350282295E-3</v>
      </c>
      <c r="AC9" s="29">
        <f t="shared" si="2"/>
        <v>7.9858534828374794E-3</v>
      </c>
      <c r="AE9" s="25">
        <f>INDEX('TEV Buildouts - Gold Solution'!$C$1:$I$63,27,MATCH('Compsheet - Gold Solution'!$B9,'TEV Buildouts - Gold Solution'!$C$1:$I$1,0))</f>
        <v>3181</v>
      </c>
      <c r="AF9" s="25">
        <f>INDEX('TEV Buildouts - Gold Solution'!$C$1:$I$63,28,MATCH('Compsheet - Gold Solution'!$B9,'TEV Buildouts - Gold Solution'!$C$1:$I$1,0))</f>
        <v>3340.05</v>
      </c>
      <c r="AG9" s="25">
        <f>INDEX('TEV Buildouts - Gold Solution'!$C$1:$I$63,29,MATCH('Compsheet - Gold Solution'!$B9,'TEV Buildouts - Gold Solution'!$C$1:$I$1,0))</f>
        <v>3640.6545000000006</v>
      </c>
      <c r="AH9" s="25">
        <f>INDEX('TEV Buildouts - Gold Solution'!$C$1:$I$63,30,MATCH('Compsheet - Gold Solution'!$B9,'TEV Buildouts - Gold Solution'!$C$1:$I$1,0))</f>
        <v>3968.3134050000008</v>
      </c>
    </row>
    <row r="11" spans="1:34" x14ac:dyDescent="0.2">
      <c r="B11" s="61" t="s">
        <v>60</v>
      </c>
      <c r="C11" s="61"/>
      <c r="D11" s="61"/>
      <c r="E11" s="61"/>
      <c r="F11" s="62">
        <f>MEDIAN(F3:F9)</f>
        <v>1.8625225225225226</v>
      </c>
      <c r="G11" s="61"/>
      <c r="H11" s="62">
        <f>MEDIAN(H3:H9)</f>
        <v>12.097174946004317</v>
      </c>
      <c r="I11" s="62">
        <f t="shared" ref="I11:K11" si="4">MEDIAN(I3:I9)</f>
        <v>10.2724536</v>
      </c>
      <c r="J11" s="62">
        <f t="shared" si="4"/>
        <v>9.3443309976643292</v>
      </c>
      <c r="K11" s="62">
        <f t="shared" si="4"/>
        <v>8.7424468418144823</v>
      </c>
      <c r="L11" s="61"/>
      <c r="M11" s="63">
        <f t="shared" ref="M11:P11" si="5">MEDIAN(M3:M9)</f>
        <v>3.9479256531700105E-2</v>
      </c>
      <c r="N11" s="63">
        <f t="shared" si="5"/>
        <v>4.5532156649201003E-2</v>
      </c>
      <c r="O11" s="63">
        <f t="shared" si="5"/>
        <v>5.3668756130458323E-2</v>
      </c>
      <c r="P11" s="63">
        <f t="shared" si="5"/>
        <v>5.9830723726348428E-2</v>
      </c>
      <c r="Q11" s="61"/>
      <c r="R11" s="63">
        <f t="shared" ref="R11:T11" si="6">MEDIAN(R3:R9)</f>
        <v>8.9060987415295223E-2</v>
      </c>
      <c r="S11" s="63">
        <f t="shared" si="6"/>
        <v>9.000000000000008E-2</v>
      </c>
      <c r="T11" s="63">
        <f t="shared" si="6"/>
        <v>9.000000000000008E-2</v>
      </c>
      <c r="U11" s="61"/>
      <c r="V11" s="63">
        <f t="shared" ref="V11" si="7">MEDIAN(V3:V9)</f>
        <v>0.27178742310321258</v>
      </c>
      <c r="W11" s="63">
        <f t="shared" ref="W11:Y11" si="8">MEDIAN(W3:W9)</f>
        <v>0.27440076370997424</v>
      </c>
      <c r="X11" s="63">
        <f t="shared" si="8"/>
        <v>0.28216682306025653</v>
      </c>
      <c r="Y11" s="63">
        <f t="shared" si="8"/>
        <v>0.29015267654309401</v>
      </c>
      <c r="Z11" s="61"/>
      <c r="AA11" s="63">
        <f t="shared" ref="AA11:AC11" si="9">MEDIAN(AA3:AA9)</f>
        <v>5.9616723360076118E-3</v>
      </c>
      <c r="AB11" s="63">
        <f t="shared" si="9"/>
        <v>7.1102286207159193E-3</v>
      </c>
      <c r="AC11" s="63">
        <f t="shared" si="9"/>
        <v>7.2469637864988612E-3</v>
      </c>
      <c r="AD11" s="64"/>
      <c r="AE11" s="64"/>
      <c r="AF11" s="64"/>
      <c r="AG11" s="64"/>
      <c r="AH11" s="64"/>
    </row>
    <row r="12" spans="1:34" x14ac:dyDescent="0.2">
      <c r="B12" s="61" t="s">
        <v>61</v>
      </c>
      <c r="C12" s="61"/>
      <c r="D12" s="61"/>
      <c r="E12" s="61"/>
      <c r="F12" s="62">
        <f>AVERAGE(F3:F9)</f>
        <v>1.9229393758860986</v>
      </c>
      <c r="G12" s="61"/>
      <c r="H12" s="62">
        <f>AVERAGE(H3:H9)</f>
        <v>13.693838666553479</v>
      </c>
      <c r="I12" s="62">
        <f t="shared" ref="I12:K12" si="10">AVERAGE(I3:I9)</f>
        <v>12.168448405820596</v>
      </c>
      <c r="J12" s="62">
        <f t="shared" si="10"/>
        <v>11.189332782028998</v>
      </c>
      <c r="K12" s="62">
        <f t="shared" si="10"/>
        <v>10.290553350043913</v>
      </c>
      <c r="L12" s="61"/>
      <c r="M12" s="63">
        <f t="shared" ref="M12:P12" si="11">AVERAGE(M3:M9)</f>
        <v>4.1220439442841657E-2</v>
      </c>
      <c r="N12" s="63">
        <f t="shared" si="11"/>
        <v>4.3675609590781268E-2</v>
      </c>
      <c r="O12" s="63">
        <f t="shared" si="11"/>
        <v>5.0373629617244821E-2</v>
      </c>
      <c r="P12" s="63">
        <f t="shared" si="11"/>
        <v>5.7194360847940787E-2</v>
      </c>
      <c r="Q12" s="61"/>
      <c r="R12" s="63">
        <f t="shared" ref="R12:T12" si="12">AVERAGE(R3:R9)</f>
        <v>0.12187166259125301</v>
      </c>
      <c r="S12" s="63">
        <f t="shared" si="12"/>
        <v>8.7142857142857216E-2</v>
      </c>
      <c r="T12" s="63">
        <f t="shared" si="12"/>
        <v>8.7142857142857216E-2</v>
      </c>
      <c r="U12" s="61"/>
      <c r="V12" s="63">
        <f t="shared" ref="V12" si="13">AVERAGE(V3:V9)</f>
        <v>0.24086432845241021</v>
      </c>
      <c r="W12" s="63">
        <f t="shared" ref="W12:Y12" si="14">AVERAGE(W3:W9)</f>
        <v>0.2505029879949493</v>
      </c>
      <c r="X12" s="63">
        <f t="shared" si="14"/>
        <v>0.2583411595288061</v>
      </c>
      <c r="Y12" s="63">
        <f t="shared" si="14"/>
        <v>0.26646357613010091</v>
      </c>
      <c r="Z12" s="61"/>
      <c r="AA12" s="63">
        <f t="shared" ref="AA12:AC12" si="15">AVERAGE(AA3:AA9)</f>
        <v>9.6386595425390544E-3</v>
      </c>
      <c r="AB12" s="63">
        <f t="shared" si="15"/>
        <v>7.8381715338568143E-3</v>
      </c>
      <c r="AC12" s="63">
        <f t="shared" si="15"/>
        <v>8.1224166012948216E-3</v>
      </c>
      <c r="AD12" s="64"/>
      <c r="AE12" s="64"/>
      <c r="AF12" s="64"/>
      <c r="AG12" s="64"/>
      <c r="AH12" s="64"/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63"/>
  <sheetViews>
    <sheetView zoomScale="90" zoomScaleNormal="9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F63" sqref="F63"/>
    </sheetView>
  </sheetViews>
  <sheetFormatPr baseColWidth="10" defaultColWidth="8.83203125" defaultRowHeight="15" x14ac:dyDescent="0.2"/>
  <cols>
    <col min="1" max="1" width="2.6640625" customWidth="1"/>
    <col min="2" max="2" width="25.33203125" customWidth="1"/>
    <col min="3" max="15" width="15.6640625" customWidth="1"/>
    <col min="16" max="16" width="17.5" customWidth="1"/>
    <col min="17" max="17" width="16.1640625" customWidth="1"/>
    <col min="18" max="18" width="14.1640625" customWidth="1"/>
  </cols>
  <sheetData>
    <row r="1" spans="2:9" x14ac:dyDescent="0.2">
      <c r="B1" s="65" t="s">
        <v>49</v>
      </c>
      <c r="C1" s="66" t="s">
        <v>0</v>
      </c>
      <c r="D1" s="66" t="s">
        <v>1</v>
      </c>
      <c r="E1" s="66" t="s">
        <v>2</v>
      </c>
      <c r="F1" s="66" t="s">
        <v>3</v>
      </c>
      <c r="G1" s="66" t="s">
        <v>4</v>
      </c>
      <c r="H1" s="66" t="s">
        <v>5</v>
      </c>
      <c r="I1" s="66" t="s">
        <v>6</v>
      </c>
    </row>
    <row r="2" spans="2:9" x14ac:dyDescent="0.2">
      <c r="B2" t="s">
        <v>7</v>
      </c>
      <c r="C2" s="22">
        <v>94.06</v>
      </c>
      <c r="D2" s="22">
        <v>94.04</v>
      </c>
      <c r="E2" s="22">
        <v>80.569999999999993</v>
      </c>
      <c r="F2" s="22">
        <v>215.12</v>
      </c>
      <c r="G2" s="22">
        <v>266.60000000000002</v>
      </c>
      <c r="H2" s="22">
        <v>565.03</v>
      </c>
      <c r="I2" s="22">
        <v>49.6</v>
      </c>
    </row>
    <row r="3" spans="2:9" x14ac:dyDescent="0.2">
      <c r="B3" s="3" t="s">
        <v>15</v>
      </c>
      <c r="C3" s="11">
        <v>676.7</v>
      </c>
      <c r="D3" s="11">
        <v>43.463000000000001</v>
      </c>
      <c r="E3" s="11">
        <v>56.6</v>
      </c>
      <c r="F3" s="11">
        <f>33.264197</f>
        <v>33.264197000000003</v>
      </c>
      <c r="G3" s="11">
        <v>133</v>
      </c>
      <c r="H3" s="11">
        <v>61</v>
      </c>
      <c r="I3" s="11">
        <f>552.7</f>
        <v>552.70000000000005</v>
      </c>
    </row>
    <row r="4" spans="2:9" x14ac:dyDescent="0.2">
      <c r="B4" s="1" t="s">
        <v>8</v>
      </c>
      <c r="C4" s="4">
        <f>C2*C3</f>
        <v>63650.402000000009</v>
      </c>
      <c r="D4" s="4">
        <f>D2*D3</f>
        <v>4087.2605200000003</v>
      </c>
      <c r="E4" s="4">
        <f>E2*E3</f>
        <v>4560.2619999999997</v>
      </c>
      <c r="F4" s="4">
        <f t="shared" ref="F4:I4" si="0">F2*F3</f>
        <v>7155.7940586400009</v>
      </c>
      <c r="G4" s="4">
        <f t="shared" si="0"/>
        <v>35457.800000000003</v>
      </c>
      <c r="H4" s="4">
        <f t="shared" si="0"/>
        <v>34466.83</v>
      </c>
      <c r="I4" s="4">
        <f t="shared" si="0"/>
        <v>27413.920000000002</v>
      </c>
    </row>
    <row r="5" spans="2:9" x14ac:dyDescent="0.2">
      <c r="B5" t="s">
        <v>9</v>
      </c>
      <c r="C5" s="12">
        <f>1458+14213</f>
        <v>15671</v>
      </c>
      <c r="D5" s="12">
        <f>1119+738.595</f>
        <v>1857.595</v>
      </c>
      <c r="E5" s="12">
        <f>11.8+1160.4</f>
        <v>1172.2</v>
      </c>
      <c r="F5" s="12">
        <f>15+1223.316</f>
        <v>1238.316</v>
      </c>
      <c r="G5" s="12">
        <f>4907.9+0.5</f>
        <v>4908.3999999999996</v>
      </c>
      <c r="H5" s="12">
        <f>125+5289</f>
        <v>5414</v>
      </c>
      <c r="I5" s="12">
        <f>5046+5</f>
        <v>5051</v>
      </c>
    </row>
    <row r="6" spans="2:9" x14ac:dyDescent="0.2">
      <c r="B6" s="3" t="s">
        <v>10</v>
      </c>
      <c r="C6" s="11">
        <v>-3352</v>
      </c>
      <c r="D6" s="11">
        <f>-379.074-43.708-90.295</f>
        <v>-513.077</v>
      </c>
      <c r="E6" s="11">
        <v>-138.5</v>
      </c>
      <c r="F6" s="11">
        <f>-20.401</f>
        <v>-20.401</v>
      </c>
      <c r="G6" s="11">
        <f>-181.3-11.6</f>
        <v>-192.9</v>
      </c>
      <c r="H6" s="11">
        <f>-101</f>
        <v>-101</v>
      </c>
      <c r="I6" s="11">
        <v>-40</v>
      </c>
    </row>
    <row r="7" spans="2:9" x14ac:dyDescent="0.2">
      <c r="B7" s="1" t="s">
        <v>11</v>
      </c>
      <c r="C7" s="9">
        <f>SUM(C5:C6)</f>
        <v>12319</v>
      </c>
      <c r="D7" s="9">
        <f>SUM(D5:D6)</f>
        <v>1344.518</v>
      </c>
      <c r="E7" s="9">
        <f>SUM(E5:E6)</f>
        <v>1033.7</v>
      </c>
      <c r="F7" s="9">
        <f t="shared" ref="F7:I7" si="1">SUM(F5:F6)</f>
        <v>1217.915</v>
      </c>
      <c r="G7" s="9">
        <f t="shared" si="1"/>
        <v>4715.5</v>
      </c>
      <c r="H7" s="9">
        <f t="shared" si="1"/>
        <v>5313</v>
      </c>
      <c r="I7" s="9">
        <f t="shared" si="1"/>
        <v>5011</v>
      </c>
    </row>
    <row r="8" spans="2:9" x14ac:dyDescent="0.2">
      <c r="B8" t="s">
        <v>42</v>
      </c>
      <c r="C8" s="12">
        <f>-732+379+859</f>
        <v>506</v>
      </c>
      <c r="D8" s="12">
        <f>-151.499-93.667+44.763</f>
        <v>-200.40299999999999</v>
      </c>
      <c r="E8" s="12">
        <f>-52.4</f>
        <v>-52.4</v>
      </c>
      <c r="F8" s="12">
        <f>-140.089</f>
        <v>-140.089</v>
      </c>
      <c r="G8" s="12">
        <f>24.4</f>
        <v>24.4</v>
      </c>
      <c r="H8" s="12">
        <v>3</v>
      </c>
      <c r="I8" s="12">
        <f>-1</f>
        <v>-1</v>
      </c>
    </row>
    <row r="9" spans="2:9" x14ac:dyDescent="0.2">
      <c r="B9" t="s">
        <v>12</v>
      </c>
      <c r="C9" s="12">
        <f>229</f>
        <v>229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f>23+235</f>
        <v>258</v>
      </c>
    </row>
    <row r="10" spans="2:9" x14ac:dyDescent="0.2">
      <c r="B10" s="3" t="s">
        <v>55</v>
      </c>
      <c r="C10" s="11">
        <f>339</f>
        <v>339</v>
      </c>
      <c r="D10" s="11">
        <f>55.553</f>
        <v>55.552999999999997</v>
      </c>
      <c r="E10" s="11">
        <v>59.43</v>
      </c>
      <c r="F10" s="11">
        <v>0</v>
      </c>
      <c r="G10" s="11">
        <v>429.5</v>
      </c>
      <c r="H10" s="11">
        <v>373</v>
      </c>
      <c r="I10" s="11">
        <f>27+242+54</f>
        <v>323</v>
      </c>
    </row>
    <row r="11" spans="2:9" x14ac:dyDescent="0.2">
      <c r="B11" s="1" t="s">
        <v>13</v>
      </c>
      <c r="C11" s="9">
        <f t="shared" ref="C11:H11" si="2">SUM(C8:C10)</f>
        <v>1074</v>
      </c>
      <c r="D11" s="9">
        <f t="shared" si="2"/>
        <v>-144.85</v>
      </c>
      <c r="E11" s="9">
        <f t="shared" si="2"/>
        <v>7.0300000000000011</v>
      </c>
      <c r="F11" s="9">
        <f t="shared" si="2"/>
        <v>-140.089</v>
      </c>
      <c r="G11" s="9">
        <f t="shared" si="2"/>
        <v>453.9</v>
      </c>
      <c r="H11" s="9">
        <f t="shared" si="2"/>
        <v>376</v>
      </c>
      <c r="I11" s="9">
        <f>SUM(I8:I10)</f>
        <v>580</v>
      </c>
    </row>
    <row r="13" spans="2:9" x14ac:dyDescent="0.2">
      <c r="B13" s="1" t="s">
        <v>14</v>
      </c>
      <c r="C13" s="10">
        <f t="shared" ref="C13:H13" si="3">SUM(C4,C7,C11)</f>
        <v>77043.402000000002</v>
      </c>
      <c r="D13" s="10">
        <f t="shared" si="3"/>
        <v>5286.9285199999995</v>
      </c>
      <c r="E13" s="10">
        <f t="shared" si="3"/>
        <v>5600.9919999999993</v>
      </c>
      <c r="F13" s="10">
        <f t="shared" si="3"/>
        <v>8233.6200586400009</v>
      </c>
      <c r="G13" s="10">
        <f t="shared" si="3"/>
        <v>40627.200000000004</v>
      </c>
      <c r="H13" s="10">
        <f t="shared" si="3"/>
        <v>40155.83</v>
      </c>
      <c r="I13" s="10">
        <f>SUM(I4,I7,I11)</f>
        <v>33004.92</v>
      </c>
    </row>
    <row r="15" spans="2:9" x14ac:dyDescent="0.2">
      <c r="B15" s="5" t="s">
        <v>20</v>
      </c>
      <c r="C15" s="13">
        <v>34949</v>
      </c>
      <c r="D15" s="13">
        <v>3509.1379999999999</v>
      </c>
      <c r="E15" s="13">
        <v>2830.35</v>
      </c>
      <c r="F15" s="13">
        <v>2252.7170000000001</v>
      </c>
      <c r="G15" s="13">
        <v>7782</v>
      </c>
      <c r="H15" s="13">
        <v>6777.2</v>
      </c>
      <c r="I15" s="13">
        <v>11677</v>
      </c>
    </row>
    <row r="16" spans="2:9" x14ac:dyDescent="0.2">
      <c r="B16" s="5" t="s">
        <v>16</v>
      </c>
      <c r="C16" s="13">
        <v>35572</v>
      </c>
      <c r="D16" s="13">
        <v>4007.5740000000001</v>
      </c>
      <c r="E16" s="13">
        <v>2899.0050000000001</v>
      </c>
      <c r="F16" s="13">
        <v>2267.04</v>
      </c>
      <c r="G16" s="13">
        <v>7418</v>
      </c>
      <c r="H16" s="13">
        <v>6536</v>
      </c>
      <c r="I16" s="13">
        <v>11704</v>
      </c>
    </row>
    <row r="17" spans="2:9" x14ac:dyDescent="0.2">
      <c r="B17" s="5" t="s">
        <v>17</v>
      </c>
      <c r="C17" s="6">
        <f>C16*(1+C22)</f>
        <v>36994.880000000005</v>
      </c>
      <c r="D17" s="13">
        <f>AVERAGE(4200,4400)</f>
        <v>4300</v>
      </c>
      <c r="E17" s="13">
        <f>AVERAGE(3250,3450)</f>
        <v>3350</v>
      </c>
      <c r="F17" s="6">
        <f>F16*(1+F22)</f>
        <v>2267.04</v>
      </c>
      <c r="G17" s="6">
        <f>G16*(1+G22)</f>
        <v>8011.4400000000005</v>
      </c>
      <c r="H17" s="13">
        <f>AVERAGE(6830,7230)</f>
        <v>7030</v>
      </c>
      <c r="I17" s="6">
        <f>I16*(1+I22)</f>
        <v>12172.16</v>
      </c>
    </row>
    <row r="18" spans="2:9" x14ac:dyDescent="0.2">
      <c r="B18" s="5" t="s">
        <v>18</v>
      </c>
      <c r="C18" s="6">
        <f t="shared" ref="C18:D19" si="4">C17*(1+C23)</f>
        <v>38474.675200000005</v>
      </c>
      <c r="D18" s="6">
        <f t="shared" si="4"/>
        <v>4558</v>
      </c>
      <c r="E18" s="6">
        <f t="shared" ref="E18:F18" si="5">E17*(1+E23)</f>
        <v>3484</v>
      </c>
      <c r="F18" s="6">
        <f t="shared" si="5"/>
        <v>2357.7215999999999</v>
      </c>
      <c r="G18" s="6">
        <f t="shared" ref="G18" si="6">G17*(1+G23)</f>
        <v>8492.126400000001</v>
      </c>
      <c r="H18" s="6">
        <f>H17*(1+H23)</f>
        <v>7451.8</v>
      </c>
      <c r="I18" s="6">
        <f t="shared" ref="I18" si="7">I17*(1+I23)</f>
        <v>12902.489600000001</v>
      </c>
    </row>
    <row r="19" spans="2:9" x14ac:dyDescent="0.2">
      <c r="B19" s="5" t="s">
        <v>19</v>
      </c>
      <c r="C19" s="6">
        <f t="shared" si="4"/>
        <v>40013.662208000009</v>
      </c>
      <c r="D19" s="6">
        <f t="shared" si="4"/>
        <v>4831.4800000000005</v>
      </c>
      <c r="E19" s="6">
        <f t="shared" ref="E19:F19" si="8">E18*(1+E24)</f>
        <v>3623.36</v>
      </c>
      <c r="F19" s="6">
        <f t="shared" si="8"/>
        <v>2452.0304639999999</v>
      </c>
      <c r="G19" s="6">
        <f t="shared" ref="G19:I19" si="9">G18*(1+G24)</f>
        <v>9001.6539840000023</v>
      </c>
      <c r="H19" s="6">
        <f t="shared" si="9"/>
        <v>7898.9080000000004</v>
      </c>
      <c r="I19" s="6">
        <f t="shared" si="9"/>
        <v>13676.638976000002</v>
      </c>
    </row>
    <row r="21" spans="2:9" x14ac:dyDescent="0.2">
      <c r="B21" s="5" t="s">
        <v>21</v>
      </c>
      <c r="C21" s="16">
        <f t="shared" ref="C21:H21" si="10">C16/C15-1</f>
        <v>1.7825974992131455E-2</v>
      </c>
      <c r="D21" s="16">
        <f t="shared" si="10"/>
        <v>0.14203944102511779</v>
      </c>
      <c r="E21" s="16">
        <f t="shared" si="10"/>
        <v>2.4256717367110214E-2</v>
      </c>
      <c r="F21" s="16">
        <f t="shared" si="10"/>
        <v>6.3581000187773462E-3</v>
      </c>
      <c r="G21" s="16">
        <f t="shared" si="10"/>
        <v>-4.6774608069904855E-2</v>
      </c>
      <c r="H21" s="16">
        <f t="shared" si="10"/>
        <v>-3.5589919140648019E-2</v>
      </c>
      <c r="I21" s="16">
        <f t="shared" ref="I21" si="11">I16/I15-1</f>
        <v>2.3122377322941645E-3</v>
      </c>
    </row>
    <row r="22" spans="2:9" x14ac:dyDescent="0.2">
      <c r="B22" s="5" t="s">
        <v>22</v>
      </c>
      <c r="C22" s="17">
        <v>0.04</v>
      </c>
      <c r="D22" s="16">
        <f>D17/D16-1</f>
        <v>7.2968334458702433E-2</v>
      </c>
      <c r="E22" s="16">
        <f>E17/E16-1</f>
        <v>0.15556889346517155</v>
      </c>
      <c r="F22" s="17">
        <v>0</v>
      </c>
      <c r="G22" s="17">
        <v>0.08</v>
      </c>
      <c r="H22" s="16">
        <f>H17/H16-1</f>
        <v>7.5581395348837122E-2</v>
      </c>
      <c r="I22" s="17">
        <v>0.04</v>
      </c>
    </row>
    <row r="23" spans="2:9" x14ac:dyDescent="0.2">
      <c r="B23" s="5" t="s">
        <v>23</v>
      </c>
      <c r="C23" s="17">
        <v>0.04</v>
      </c>
      <c r="D23" s="17">
        <v>0.06</v>
      </c>
      <c r="E23" s="17">
        <v>0.04</v>
      </c>
      <c r="F23" s="17">
        <v>0.04</v>
      </c>
      <c r="G23" s="17">
        <v>0.06</v>
      </c>
      <c r="H23" s="17">
        <v>0.06</v>
      </c>
      <c r="I23" s="17">
        <v>0.06</v>
      </c>
    </row>
    <row r="24" spans="2:9" x14ac:dyDescent="0.2">
      <c r="B24" s="5" t="s">
        <v>24</v>
      </c>
      <c r="C24" s="17">
        <v>0.04</v>
      </c>
      <c r="D24" s="17">
        <v>0.06</v>
      </c>
      <c r="E24" s="17">
        <v>0.04</v>
      </c>
      <c r="F24" s="17">
        <v>0.04</v>
      </c>
      <c r="G24" s="17">
        <v>0.06</v>
      </c>
      <c r="H24" s="17">
        <v>0.06</v>
      </c>
      <c r="I24" s="17">
        <v>0.06</v>
      </c>
    </row>
    <row r="25" spans="2:9" x14ac:dyDescent="0.2">
      <c r="B25" s="5"/>
    </row>
    <row r="26" spans="2:9" x14ac:dyDescent="0.2">
      <c r="B26" s="5" t="s">
        <v>25</v>
      </c>
      <c r="C26" s="13">
        <v>6176</v>
      </c>
      <c r="D26" s="13">
        <v>279.40199999999999</v>
      </c>
      <c r="E26" s="13">
        <v>432.4</v>
      </c>
      <c r="F26" s="13">
        <v>851.75800000000004</v>
      </c>
      <c r="G26" s="13">
        <v>2011</v>
      </c>
      <c r="H26" s="13">
        <v>2127.6999999999998</v>
      </c>
      <c r="I26" s="13">
        <v>2844</v>
      </c>
    </row>
    <row r="27" spans="2:9" x14ac:dyDescent="0.2">
      <c r="B27" s="5" t="s">
        <v>26</v>
      </c>
      <c r="C27" s="13">
        <v>6930</v>
      </c>
      <c r="D27" s="13">
        <v>401.738</v>
      </c>
      <c r="E27" s="13">
        <v>463</v>
      </c>
      <c r="F27" s="13">
        <v>829.89800000000002</v>
      </c>
      <c r="G27" s="13">
        <v>2057.1999999999998</v>
      </c>
      <c r="H27" s="13">
        <v>2066</v>
      </c>
      <c r="I27" s="13">
        <v>3181</v>
      </c>
    </row>
    <row r="28" spans="2:9" x14ac:dyDescent="0.2">
      <c r="B28" s="5" t="s">
        <v>27</v>
      </c>
      <c r="C28" s="15">
        <f>C55</f>
        <v>7500</v>
      </c>
      <c r="D28" s="15">
        <f>D55</f>
        <v>495</v>
      </c>
      <c r="E28" s="15">
        <f>E55</f>
        <v>555</v>
      </c>
      <c r="F28" s="15">
        <f t="shared" ref="C28:I30" si="12">F27*(1+F33)</f>
        <v>838.19698000000005</v>
      </c>
      <c r="G28" s="15">
        <f>G55</f>
        <v>2450</v>
      </c>
      <c r="H28" s="15">
        <f>H55</f>
        <v>2250</v>
      </c>
      <c r="I28" s="15">
        <f t="shared" si="12"/>
        <v>3340.05</v>
      </c>
    </row>
    <row r="29" spans="2:9" x14ac:dyDescent="0.2">
      <c r="B29" s="5" t="s">
        <v>28</v>
      </c>
      <c r="C29" s="15">
        <f t="shared" si="12"/>
        <v>8250</v>
      </c>
      <c r="D29" s="15">
        <f t="shared" si="12"/>
        <v>544.5</v>
      </c>
      <c r="E29" s="15">
        <f t="shared" si="12"/>
        <v>599.40000000000009</v>
      </c>
      <c r="F29" s="15">
        <f t="shared" si="12"/>
        <v>888.48879880000015</v>
      </c>
      <c r="G29" s="15">
        <f t="shared" si="12"/>
        <v>2695</v>
      </c>
      <c r="H29" s="15">
        <f t="shared" si="12"/>
        <v>2430</v>
      </c>
      <c r="I29" s="15">
        <f t="shared" ref="I29" si="13">I28*(1+I34)</f>
        <v>3640.6545000000006</v>
      </c>
    </row>
    <row r="30" spans="2:9" x14ac:dyDescent="0.2">
      <c r="B30" s="5" t="s">
        <v>29</v>
      </c>
      <c r="C30" s="15">
        <f t="shared" si="12"/>
        <v>9075</v>
      </c>
      <c r="D30" s="15">
        <f t="shared" si="12"/>
        <v>598.95000000000005</v>
      </c>
      <c r="E30" s="15">
        <f t="shared" si="12"/>
        <v>647.35200000000009</v>
      </c>
      <c r="F30" s="15">
        <f t="shared" si="12"/>
        <v>941.79812672800017</v>
      </c>
      <c r="G30" s="15">
        <f t="shared" si="12"/>
        <v>2964.5000000000005</v>
      </c>
      <c r="H30" s="15">
        <f t="shared" si="12"/>
        <v>2624.4</v>
      </c>
      <c r="I30" s="15">
        <f t="shared" ref="I30" si="14">I29*(1+I35)</f>
        <v>3968.3134050000008</v>
      </c>
    </row>
    <row r="32" spans="2:9" x14ac:dyDescent="0.2">
      <c r="B32" s="5" t="s">
        <v>30</v>
      </c>
      <c r="C32" s="16">
        <f t="shared" ref="C32:G33" si="15">C27/C26-1</f>
        <v>0.12208549222797926</v>
      </c>
      <c r="D32" s="16">
        <f t="shared" si="15"/>
        <v>0.43784940694769547</v>
      </c>
      <c r="E32" s="16">
        <f t="shared" si="15"/>
        <v>7.0767807585568887E-2</v>
      </c>
      <c r="F32" s="16">
        <f>F27/F26-1</f>
        <v>-2.5664566696174229E-2</v>
      </c>
      <c r="G32" s="16">
        <f>G27/G26-1</f>
        <v>2.2973644952759775E-2</v>
      </c>
      <c r="H32" s="16">
        <f>H27/H26-1</f>
        <v>-2.8998449029468354E-2</v>
      </c>
      <c r="I32" s="16">
        <f>I27/I26-1</f>
        <v>0.11849507735583686</v>
      </c>
    </row>
    <row r="33" spans="2:9" x14ac:dyDescent="0.2">
      <c r="B33" s="5" t="s">
        <v>31</v>
      </c>
      <c r="C33" s="16">
        <f t="shared" si="15"/>
        <v>8.2251082251082241E-2</v>
      </c>
      <c r="D33" s="16">
        <f t="shared" si="15"/>
        <v>0.23214632422125869</v>
      </c>
      <c r="E33" s="16">
        <f t="shared" si="15"/>
        <v>0.19870410367170632</v>
      </c>
      <c r="F33" s="17">
        <v>0.01</v>
      </c>
      <c r="G33" s="16">
        <f t="shared" si="15"/>
        <v>0.19093914057942851</v>
      </c>
      <c r="H33" s="16">
        <f t="shared" ref="H33" si="16">H28/H27-1</f>
        <v>8.9060987415295223E-2</v>
      </c>
      <c r="I33" s="17">
        <v>0.05</v>
      </c>
    </row>
    <row r="34" spans="2:9" x14ac:dyDescent="0.2">
      <c r="B34" s="5" t="s">
        <v>32</v>
      </c>
      <c r="C34" s="17">
        <v>0.1</v>
      </c>
      <c r="D34" s="17">
        <v>0.1</v>
      </c>
      <c r="E34" s="17">
        <v>0.08</v>
      </c>
      <c r="F34" s="17">
        <v>0.06</v>
      </c>
      <c r="G34" s="17">
        <v>0.1</v>
      </c>
      <c r="H34" s="17">
        <v>0.08</v>
      </c>
      <c r="I34" s="17">
        <v>0.09</v>
      </c>
    </row>
    <row r="35" spans="2:9" x14ac:dyDescent="0.2">
      <c r="B35" s="5" t="s">
        <v>33</v>
      </c>
      <c r="C35" s="17">
        <v>0.1</v>
      </c>
      <c r="D35" s="17">
        <v>0.1</v>
      </c>
      <c r="E35" s="17">
        <v>0.08</v>
      </c>
      <c r="F35" s="17">
        <v>0.06</v>
      </c>
      <c r="G35" s="17">
        <v>0.1</v>
      </c>
      <c r="H35" s="17">
        <v>0.08</v>
      </c>
      <c r="I35" s="17">
        <v>0.09</v>
      </c>
    </row>
    <row r="37" spans="2:9" x14ac:dyDescent="0.2">
      <c r="B37" s="5" t="s">
        <v>44</v>
      </c>
      <c r="C37" s="16">
        <f t="shared" ref="C37:H37" si="17">C26/C15</f>
        <v>0.176714641334516</v>
      </c>
      <c r="D37" s="16">
        <f t="shared" si="17"/>
        <v>7.9621263113619348E-2</v>
      </c>
      <c r="E37" s="16">
        <f t="shared" si="17"/>
        <v>0.15277262529369159</v>
      </c>
      <c r="F37" s="16">
        <f t="shared" si="17"/>
        <v>0.37810253129887156</v>
      </c>
      <c r="G37" s="16">
        <f t="shared" si="17"/>
        <v>0.25841685941917247</v>
      </c>
      <c r="H37" s="16">
        <f t="shared" si="17"/>
        <v>0.31394971374608982</v>
      </c>
      <c r="I37" s="16">
        <f t="shared" ref="I37" si="18">I26/I15</f>
        <v>0.24355570780166139</v>
      </c>
    </row>
    <row r="38" spans="2:9" x14ac:dyDescent="0.2">
      <c r="B38" s="5" t="s">
        <v>45</v>
      </c>
      <c r="C38" s="16">
        <f t="shared" ref="C38:D41" si="19">C27/C16</f>
        <v>0.19481614753176657</v>
      </c>
      <c r="D38" s="16">
        <f t="shared" si="19"/>
        <v>0.10024468668576052</v>
      </c>
      <c r="E38" s="16">
        <f t="shared" ref="E38:F38" si="20">E27/E16</f>
        <v>0.15970996945503715</v>
      </c>
      <c r="F38" s="16">
        <f t="shared" si="20"/>
        <v>0.36607117651210391</v>
      </c>
      <c r="G38" s="16">
        <f t="shared" ref="G38:H38" si="21">G27/G16</f>
        <v>0.27732542464276083</v>
      </c>
      <c r="H38" s="16">
        <f t="shared" si="21"/>
        <v>0.31609547123623011</v>
      </c>
      <c r="I38" s="16">
        <f t="shared" ref="I38" si="22">I27/I16</f>
        <v>0.27178742310321258</v>
      </c>
    </row>
    <row r="39" spans="2:9" x14ac:dyDescent="0.2">
      <c r="B39" s="5" t="s">
        <v>46</v>
      </c>
      <c r="C39" s="16">
        <f t="shared" si="19"/>
        <v>0.20273075625600082</v>
      </c>
      <c r="D39" s="16">
        <f t="shared" si="19"/>
        <v>0.11511627906976744</v>
      </c>
      <c r="E39" s="16">
        <f t="shared" ref="E39:F39" si="23">E28/E17</f>
        <v>0.16567164179104477</v>
      </c>
      <c r="F39" s="16">
        <f t="shared" si="23"/>
        <v>0.36973188827722497</v>
      </c>
      <c r="G39" s="16">
        <f t="shared" ref="G39:H39" si="24">G28/G17</f>
        <v>0.30581268785636539</v>
      </c>
      <c r="H39" s="16">
        <f t="shared" si="24"/>
        <v>0.32005689900426743</v>
      </c>
      <c r="I39" s="16">
        <f t="shared" ref="I39" si="25">I28/I17</f>
        <v>0.27440076370997424</v>
      </c>
    </row>
    <row r="40" spans="2:9" x14ac:dyDescent="0.2">
      <c r="B40" s="5" t="s">
        <v>47</v>
      </c>
      <c r="C40" s="16">
        <f t="shared" si="19"/>
        <v>0.21442676142461622</v>
      </c>
      <c r="D40" s="16">
        <f t="shared" si="19"/>
        <v>0.11946028960070207</v>
      </c>
      <c r="E40" s="16">
        <f t="shared" ref="E40:F40" si="26">E29/E18</f>
        <v>0.17204362801377729</v>
      </c>
      <c r="F40" s="16">
        <f t="shared" si="26"/>
        <v>0.37684211689794089</v>
      </c>
      <c r="G40" s="16">
        <f t="shared" ref="G40:H40" si="27">G29/G18</f>
        <v>0.31735278928490745</v>
      </c>
      <c r="H40" s="16">
        <f t="shared" si="27"/>
        <v>0.3260957084194423</v>
      </c>
      <c r="I40" s="16">
        <f t="shared" ref="I40" si="28">I29/I18</f>
        <v>0.28216682306025653</v>
      </c>
    </row>
    <row r="41" spans="2:9" x14ac:dyDescent="0.2">
      <c r="B41" s="5" t="s">
        <v>48</v>
      </c>
      <c r="C41" s="16">
        <f t="shared" si="19"/>
        <v>0.22679753612219022</v>
      </c>
      <c r="D41" s="16">
        <f t="shared" si="19"/>
        <v>0.12396822505733232</v>
      </c>
      <c r="E41" s="16">
        <f t="shared" ref="E41:F41" si="29">E30/E19</f>
        <v>0.17866069062969181</v>
      </c>
      <c r="F41" s="16">
        <f t="shared" si="29"/>
        <v>0.38408908068443975</v>
      </c>
      <c r="G41" s="16">
        <f t="shared" ref="G41:H41" si="30">G30/G19</f>
        <v>0.32932836623905493</v>
      </c>
      <c r="H41" s="16">
        <f t="shared" si="30"/>
        <v>0.33224845763490346</v>
      </c>
      <c r="I41" s="16">
        <f t="shared" ref="I41" si="31">I30/I19</f>
        <v>0.29015267654309401</v>
      </c>
    </row>
    <row r="42" spans="2:9" x14ac:dyDescent="0.2">
      <c r="B42" s="5"/>
    </row>
    <row r="43" spans="2:9" x14ac:dyDescent="0.2">
      <c r="B43" s="5" t="s">
        <v>34</v>
      </c>
      <c r="C43" s="13">
        <v>1817</v>
      </c>
      <c r="D43" s="13">
        <v>140.38399999999999</v>
      </c>
      <c r="E43" s="13">
        <v>124.283</v>
      </c>
      <c r="F43" s="13">
        <v>137.04</v>
      </c>
      <c r="G43" s="13">
        <v>872.6</v>
      </c>
      <c r="H43" s="13">
        <v>650.29999999999995</v>
      </c>
      <c r="I43" s="13">
        <v>630</v>
      </c>
    </row>
    <row r="44" spans="2:9" x14ac:dyDescent="0.2">
      <c r="B44" s="5" t="s">
        <v>35</v>
      </c>
      <c r="C44" s="13">
        <v>2578</v>
      </c>
      <c r="D44" s="13">
        <v>136.405</v>
      </c>
      <c r="E44" s="13">
        <v>172.42699999999999</v>
      </c>
      <c r="F44" s="13">
        <v>179.43199999999999</v>
      </c>
      <c r="G44" s="13">
        <v>603.5</v>
      </c>
      <c r="H44" s="13">
        <v>855</v>
      </c>
      <c r="I44" s="13">
        <v>642</v>
      </c>
    </row>
    <row r="45" spans="2:9" x14ac:dyDescent="0.2">
      <c r="B45" s="5" t="s">
        <v>36</v>
      </c>
      <c r="C45" s="13">
        <f>AVERAGE(3000,2800)</f>
        <v>2900</v>
      </c>
      <c r="D45" s="13">
        <f>AVERAGE(140,160)</f>
        <v>150</v>
      </c>
      <c r="E45" s="13">
        <f>AVERAGE(5%*3250,7%*3450)</f>
        <v>202</v>
      </c>
      <c r="F45" s="13">
        <f>AVERAGE(310,340)</f>
        <v>325</v>
      </c>
      <c r="G45" s="13">
        <v>775</v>
      </c>
      <c r="H45" s="13">
        <f>AVERAGE(775,725)</f>
        <v>750</v>
      </c>
      <c r="I45" s="13">
        <f>6%*I17</f>
        <v>730.32959999999991</v>
      </c>
    </row>
    <row r="46" spans="2:9" x14ac:dyDescent="0.2">
      <c r="B46" s="5" t="s">
        <v>37</v>
      </c>
      <c r="C46" s="21">
        <f t="shared" ref="C46:E47" si="32">C45</f>
        <v>2900</v>
      </c>
      <c r="D46" s="21">
        <f t="shared" si="32"/>
        <v>150</v>
      </c>
      <c r="E46" s="21">
        <f t="shared" si="32"/>
        <v>202</v>
      </c>
      <c r="F46" s="18">
        <v>300</v>
      </c>
      <c r="G46" s="21">
        <f t="shared" ref="G46:I47" si="33">G45</f>
        <v>775</v>
      </c>
      <c r="H46" s="21">
        <f t="shared" si="33"/>
        <v>750</v>
      </c>
      <c r="I46" s="21">
        <f t="shared" si="33"/>
        <v>730.32959999999991</v>
      </c>
    </row>
    <row r="47" spans="2:9" x14ac:dyDescent="0.2">
      <c r="B47" s="5" t="s">
        <v>38</v>
      </c>
      <c r="C47" s="21">
        <f t="shared" si="32"/>
        <v>2900</v>
      </c>
      <c r="D47" s="21">
        <f t="shared" si="32"/>
        <v>150</v>
      </c>
      <c r="E47" s="21">
        <f t="shared" si="32"/>
        <v>202</v>
      </c>
      <c r="F47" s="18">
        <v>300</v>
      </c>
      <c r="G47" s="21">
        <f t="shared" si="33"/>
        <v>775</v>
      </c>
      <c r="H47" s="21">
        <f t="shared" si="33"/>
        <v>750</v>
      </c>
      <c r="I47" s="21">
        <f t="shared" si="33"/>
        <v>730.32959999999991</v>
      </c>
    </row>
    <row r="49" spans="2:9" x14ac:dyDescent="0.2">
      <c r="B49" t="s">
        <v>39</v>
      </c>
      <c r="C49" s="18">
        <v>1500</v>
      </c>
      <c r="D49" s="18">
        <v>100</v>
      </c>
      <c r="E49" s="18">
        <v>125</v>
      </c>
      <c r="F49" s="18">
        <v>155</v>
      </c>
      <c r="G49" s="18">
        <v>600</v>
      </c>
      <c r="H49" s="18">
        <v>600</v>
      </c>
      <c r="I49" s="18">
        <v>600</v>
      </c>
    </row>
    <row r="51" spans="2:9" x14ac:dyDescent="0.2">
      <c r="B51" t="s">
        <v>57</v>
      </c>
      <c r="C51" s="17">
        <f>23%*0.75</f>
        <v>0.17250000000000001</v>
      </c>
      <c r="D51" s="17">
        <f>25%*0.75</f>
        <v>0.1875</v>
      </c>
      <c r="E51" s="17">
        <f>20%*0.75</f>
        <v>0.15000000000000002</v>
      </c>
      <c r="F51" s="17">
        <f>22%*0.75</f>
        <v>0.16500000000000001</v>
      </c>
      <c r="G51" s="17">
        <f>22%*0.75</f>
        <v>0.16500000000000001</v>
      </c>
      <c r="H51" s="17">
        <f>21%*0.75</f>
        <v>0.1575</v>
      </c>
      <c r="I51" s="17">
        <f>23%*0.75</f>
        <v>0.17250000000000001</v>
      </c>
    </row>
    <row r="53" spans="2:9" x14ac:dyDescent="0.2">
      <c r="B53" t="s">
        <v>40</v>
      </c>
      <c r="C53" s="13">
        <v>7300</v>
      </c>
      <c r="D53" s="13">
        <f>4200*11%</f>
        <v>462</v>
      </c>
      <c r="E53" s="13">
        <v>530</v>
      </c>
      <c r="F53" s="19"/>
      <c r="G53" s="13">
        <v>2350</v>
      </c>
      <c r="H53" s="13">
        <v>2150</v>
      </c>
      <c r="I53" s="19"/>
    </row>
    <row r="54" spans="2:9" x14ac:dyDescent="0.2">
      <c r="B54" t="s">
        <v>41</v>
      </c>
      <c r="C54" s="13">
        <v>7700</v>
      </c>
      <c r="D54" s="13">
        <f>4400*12%</f>
        <v>528</v>
      </c>
      <c r="E54" s="13">
        <v>580</v>
      </c>
      <c r="F54" s="19"/>
      <c r="G54" s="13">
        <v>2550</v>
      </c>
      <c r="H54" s="13">
        <v>2350</v>
      </c>
      <c r="I54" s="19"/>
    </row>
    <row r="55" spans="2:9" x14ac:dyDescent="0.2">
      <c r="B55" s="1" t="s">
        <v>43</v>
      </c>
      <c r="C55" s="8">
        <f>AVERAGE(C53:C54)</f>
        <v>7500</v>
      </c>
      <c r="D55" s="8">
        <f>AVERAGE(D53:D54)</f>
        <v>495</v>
      </c>
      <c r="E55" s="8">
        <f>AVERAGE(E53:E54)</f>
        <v>555</v>
      </c>
      <c r="F55" s="20"/>
      <c r="G55" s="8">
        <f>AVERAGE(G53:G54)</f>
        <v>2450</v>
      </c>
      <c r="H55" s="8">
        <f>AVERAGE(H53:H54)</f>
        <v>2250</v>
      </c>
      <c r="I55" s="20"/>
    </row>
    <row r="57" spans="2:9" x14ac:dyDescent="0.2">
      <c r="B57" s="5" t="s">
        <v>53</v>
      </c>
      <c r="C57" s="6">
        <f t="shared" ref="C57:H57" si="34">C26*(1-C$51)-C43</f>
        <v>3293.6400000000003</v>
      </c>
      <c r="D57" s="6">
        <f t="shared" si="34"/>
        <v>86.630124999999992</v>
      </c>
      <c r="E57" s="6">
        <f t="shared" si="34"/>
        <v>243.25699999999995</v>
      </c>
      <c r="F57" s="6">
        <f t="shared" si="34"/>
        <v>574.17793000000006</v>
      </c>
      <c r="G57" s="6">
        <f t="shared" si="34"/>
        <v>806.58499999999992</v>
      </c>
      <c r="H57" s="6">
        <f t="shared" si="34"/>
        <v>1142.2872499999999</v>
      </c>
      <c r="I57" s="6">
        <f t="shared" ref="I57" si="35">I26*(1-I$51)-I43</f>
        <v>1723.4099999999999</v>
      </c>
    </row>
    <row r="58" spans="2:9" x14ac:dyDescent="0.2">
      <c r="B58" s="5" t="s">
        <v>54</v>
      </c>
      <c r="C58" s="6">
        <f t="shared" ref="C58" si="36">C27*(1-C$51)-C44</f>
        <v>3156.5749999999998</v>
      </c>
      <c r="D58" s="6">
        <f t="shared" ref="D58:E61" si="37">D27*(1-D$51)-D44</f>
        <v>190.007125</v>
      </c>
      <c r="E58" s="6">
        <f t="shared" si="37"/>
        <v>221.12300000000002</v>
      </c>
      <c r="F58" s="6">
        <f t="shared" ref="F58:G58" si="38">F27*(1-F$51)-F44</f>
        <v>513.53282999999999</v>
      </c>
      <c r="G58" s="6">
        <f t="shared" si="38"/>
        <v>1114.2619999999997</v>
      </c>
      <c r="H58" s="6">
        <f t="shared" ref="H58:I58" si="39">H27*(1-H$51)-H44</f>
        <v>885.60500000000002</v>
      </c>
      <c r="I58" s="6">
        <f t="shared" si="39"/>
        <v>1990.2775000000001</v>
      </c>
    </row>
    <row r="59" spans="2:9" x14ac:dyDescent="0.2">
      <c r="B59" s="5" t="s">
        <v>50</v>
      </c>
      <c r="C59" s="6">
        <f t="shared" ref="C59" si="40">C28*(1-C$51)-C45</f>
        <v>3306.25</v>
      </c>
      <c r="D59" s="6">
        <f t="shared" si="37"/>
        <v>252.1875</v>
      </c>
      <c r="E59" s="6">
        <f t="shared" si="37"/>
        <v>269.75</v>
      </c>
      <c r="F59" s="6">
        <f t="shared" ref="F59:G59" si="41">F28*(1-F$51)-F45</f>
        <v>374.89447830000006</v>
      </c>
      <c r="G59" s="6">
        <f t="shared" si="41"/>
        <v>1270.75</v>
      </c>
      <c r="H59" s="6">
        <f t="shared" ref="H59:I59" si="42">H28*(1-H$51)-H45</f>
        <v>1145.625</v>
      </c>
      <c r="I59" s="6">
        <f t="shared" si="42"/>
        <v>2033.5617750000001</v>
      </c>
    </row>
    <row r="60" spans="2:9" x14ac:dyDescent="0.2">
      <c r="B60" s="5" t="s">
        <v>51</v>
      </c>
      <c r="C60" s="6">
        <f t="shared" ref="C60" si="43">C29*(1-C$51)-C46</f>
        <v>3926.875</v>
      </c>
      <c r="D60" s="6">
        <f t="shared" si="37"/>
        <v>292.40625</v>
      </c>
      <c r="E60" s="6">
        <f t="shared" si="37"/>
        <v>307.49000000000007</v>
      </c>
      <c r="F60" s="6">
        <f t="shared" ref="F60:G60" si="44">F29*(1-F$51)-F46</f>
        <v>441.88814699800014</v>
      </c>
      <c r="G60" s="6">
        <f t="shared" si="44"/>
        <v>1475.3249999999998</v>
      </c>
      <c r="H60" s="6">
        <f t="shared" ref="H60:I60" si="45">H29*(1-H$51)-H46</f>
        <v>1297.2750000000001</v>
      </c>
      <c r="I60" s="6">
        <f t="shared" si="45"/>
        <v>2282.3119987500004</v>
      </c>
    </row>
    <row r="61" spans="2:9" x14ac:dyDescent="0.2">
      <c r="B61" s="5" t="s">
        <v>52</v>
      </c>
      <c r="C61" s="6">
        <f t="shared" ref="C61" si="46">C30*(1-C$51)-C47</f>
        <v>4609.5625</v>
      </c>
      <c r="D61" s="6">
        <f t="shared" si="37"/>
        <v>336.64687500000002</v>
      </c>
      <c r="E61" s="6">
        <f t="shared" si="37"/>
        <v>348.24920000000009</v>
      </c>
      <c r="F61" s="6">
        <f t="shared" ref="F61:G61" si="47">F30*(1-F$51)-F47</f>
        <v>486.40143581788016</v>
      </c>
      <c r="G61" s="6">
        <f t="shared" si="47"/>
        <v>1700.3575000000001</v>
      </c>
      <c r="H61" s="6">
        <f t="shared" ref="H61:I61" si="48">H30*(1-H$51)-H47</f>
        <v>1461.0570000000002</v>
      </c>
      <c r="I61" s="6">
        <f t="shared" si="48"/>
        <v>2553.4497426375005</v>
      </c>
    </row>
    <row r="63" spans="2:9" x14ac:dyDescent="0.2">
      <c r="B63" t="s">
        <v>56</v>
      </c>
      <c r="C63" s="16">
        <f t="shared" ref="C63:H63" si="49">C59/C28</f>
        <v>0.44083333333333335</v>
      </c>
      <c r="D63" s="16">
        <f t="shared" si="49"/>
        <v>0.50946969696969702</v>
      </c>
      <c r="E63" s="16">
        <f t="shared" si="49"/>
        <v>0.48603603603603601</v>
      </c>
      <c r="F63" s="16">
        <f t="shared" si="49"/>
        <v>0.44726297904342249</v>
      </c>
      <c r="G63" s="16">
        <f t="shared" si="49"/>
        <v>0.51867346938775505</v>
      </c>
      <c r="H63" s="16">
        <f t="shared" si="49"/>
        <v>0.50916666666666666</v>
      </c>
      <c r="I63" s="16">
        <f t="shared" ref="I63" si="50">I59/I28</f>
        <v>0.60884171644137064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Grading</vt:lpstr>
      <vt:lpstr>Compsheet - Gold Solution</vt:lpstr>
      <vt:lpstr>TEV Buildouts - Gold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Rohith Venkataraman</cp:lastModifiedBy>
  <dcterms:created xsi:type="dcterms:W3CDTF">2025-07-20T12:30:47Z</dcterms:created>
  <dcterms:modified xsi:type="dcterms:W3CDTF">2025-08-23T21:52:22Z</dcterms:modified>
</cp:coreProperties>
</file>