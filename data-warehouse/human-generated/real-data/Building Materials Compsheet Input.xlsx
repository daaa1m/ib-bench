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H$\Desktop\"/>
    </mc:Choice>
  </mc:AlternateContent>
  <bookViews>
    <workbookView xWindow="0" yWindow="0" windowWidth="9315" windowHeight="8040" firstSheet="2" activeTab="2"/>
  </bookViews>
  <sheets>
    <sheet name="BBPTACShadowWks0001" sheetId="2" state="veryHidden" r:id="rId1"/>
    <sheet name="BBPTACShadowWks0002" sheetId="4" state="veryHidden" r:id="rId2"/>
    <sheet name="Compsheet - Input" sheetId="3" r:id="rId3"/>
    <sheet name="TEV Buildouts - Input" sheetId="1" r:id="rId4"/>
  </sheets>
  <definedNames>
    <definedName name="BBPTAutoColor_Changed" localSheetId="2" hidden="1">TRUE</definedName>
    <definedName name="BBPTAutoColor_Changed" localSheetId="3" hidden="1">TRUE</definedName>
    <definedName name="BBPTAutoColor_ShadowWksName" localSheetId="2" hidden="1">"BBPTACShadowWks0002"</definedName>
    <definedName name="BBPTAutoColor_ShadowWksName" localSheetId="3" hidden="1">"BBPTACShadowWks0001"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9" i="4" s="1"/>
  <c r="B8" i="3"/>
  <c r="B7" i="3"/>
  <c r="B6" i="3"/>
  <c r="B5" i="3"/>
  <c r="B4" i="3"/>
  <c r="C4" i="4" s="1"/>
  <c r="B3" i="3"/>
  <c r="T3" i="4" s="1"/>
  <c r="D2" i="2"/>
  <c r="E2" i="2"/>
  <c r="F2" i="2"/>
  <c r="G2" i="2"/>
  <c r="H2" i="2"/>
  <c r="I2" i="2"/>
  <c r="J2" i="2"/>
  <c r="I51" i="1"/>
  <c r="U3" i="4" l="1"/>
  <c r="S4" i="4"/>
  <c r="S3" i="4"/>
  <c r="U8" i="4"/>
  <c r="S8" i="4"/>
  <c r="T7" i="4"/>
  <c r="U6" i="4"/>
  <c r="S9" i="4"/>
  <c r="T8" i="4"/>
  <c r="U7" i="4"/>
  <c r="S7" i="4"/>
  <c r="T6" i="4"/>
  <c r="U5" i="4"/>
  <c r="C8" i="4"/>
  <c r="S6" i="4"/>
  <c r="T5" i="4"/>
  <c r="U4" i="4"/>
  <c r="T4" i="4"/>
  <c r="C7" i="4"/>
  <c r="C6" i="4"/>
  <c r="C5" i="4"/>
  <c r="I46" i="1"/>
  <c r="I47" i="1" s="1"/>
  <c r="H51" i="1"/>
  <c r="H46" i="1"/>
  <c r="H47" i="1" s="1"/>
  <c r="G51" i="1"/>
  <c r="G46" i="1"/>
  <c r="G47" i="1" s="1"/>
  <c r="F51" i="1"/>
  <c r="C3" i="4" l="1"/>
  <c r="F9" i="4"/>
  <c r="AA6" i="4"/>
  <c r="R6" i="4"/>
  <c r="AA8" i="4"/>
  <c r="R8" i="4"/>
  <c r="AA4" i="4"/>
  <c r="R4" i="4"/>
  <c r="R3" i="4"/>
  <c r="AA7" i="4"/>
  <c r="R7" i="4"/>
  <c r="AA9" i="4"/>
  <c r="R9" i="4"/>
  <c r="AC3" i="4"/>
  <c r="AD9" i="4"/>
  <c r="U9" i="4"/>
  <c r="S5" i="4"/>
  <c r="AA5" i="4"/>
  <c r="R5" i="4"/>
  <c r="T9" i="4"/>
  <c r="X6" i="4"/>
  <c r="Y7" i="4"/>
  <c r="AC8" i="4"/>
  <c r="X8" i="4"/>
  <c r="Y4" i="4"/>
  <c r="W7" i="4"/>
  <c r="Y6" i="4"/>
  <c r="AD6" i="4"/>
  <c r="X5" i="4"/>
  <c r="AC7" i="4"/>
  <c r="X7" i="4"/>
  <c r="W6" i="4"/>
  <c r="W8" i="4"/>
  <c r="X4" i="4"/>
  <c r="W5" i="4"/>
  <c r="W4" i="4"/>
  <c r="Y5" i="4"/>
  <c r="W9" i="4"/>
  <c r="Y8" i="4"/>
  <c r="F8" i="4"/>
  <c r="F7" i="4"/>
  <c r="X9" i="4" l="1"/>
  <c r="AC9" i="4"/>
  <c r="Y9" i="4"/>
  <c r="AF7" i="4"/>
  <c r="AB7" i="4"/>
  <c r="AH7" i="4"/>
  <c r="AD7" i="4"/>
  <c r="AG4" i="4"/>
  <c r="AC4" i="4"/>
  <c r="AH4" i="4"/>
  <c r="AD4" i="4"/>
  <c r="AG5" i="4"/>
  <c r="AC5" i="4"/>
  <c r="AG6" i="4"/>
  <c r="AC6" i="4"/>
  <c r="AF8" i="4"/>
  <c r="AB8" i="4"/>
  <c r="AH5" i="4"/>
  <c r="AD5" i="4"/>
  <c r="X3" i="4"/>
  <c r="AB3" i="4"/>
  <c r="AD3" i="4"/>
  <c r="AF6" i="4"/>
  <c r="AB6" i="4"/>
  <c r="AF4" i="4"/>
  <c r="AB4" i="4"/>
  <c r="AA3" i="4"/>
  <c r="AF5" i="4"/>
  <c r="AB5" i="4"/>
  <c r="W3" i="4"/>
  <c r="AH8" i="4"/>
  <c r="AD8" i="4"/>
  <c r="AF9" i="4"/>
  <c r="AB9" i="4"/>
  <c r="Y3" i="4"/>
  <c r="AG7" i="4"/>
  <c r="AH6" i="4"/>
  <c r="AG8" i="4"/>
  <c r="E51" i="1"/>
  <c r="D51" i="1"/>
  <c r="C51" i="1"/>
  <c r="F5" i="4"/>
  <c r="E46" i="1"/>
  <c r="E47" i="1" s="1"/>
  <c r="AH9" i="4" l="1"/>
  <c r="AG9" i="4"/>
  <c r="AG3" i="4"/>
  <c r="AH3" i="4"/>
  <c r="AF3" i="4"/>
  <c r="D46" i="1"/>
  <c r="D47" i="1" s="1"/>
  <c r="F4" i="4"/>
  <c r="D3" i="2"/>
  <c r="D34" i="2"/>
  <c r="D35" i="2"/>
  <c r="C46" i="1"/>
  <c r="C47" i="1" s="1"/>
  <c r="D45" i="2"/>
  <c r="D26" i="2"/>
  <c r="D27" i="2"/>
  <c r="D6" i="2"/>
  <c r="D5" i="4" l="1"/>
  <c r="F6" i="4"/>
  <c r="D9" i="2"/>
  <c r="D10" i="2"/>
  <c r="D8" i="2"/>
  <c r="D5" i="2"/>
  <c r="D7" i="2" l="1"/>
  <c r="D4" i="4"/>
  <c r="E5" i="4"/>
  <c r="N5" i="4"/>
  <c r="P5" i="4"/>
  <c r="M5" i="4"/>
  <c r="O5" i="4"/>
  <c r="J5" i="4"/>
  <c r="H5" i="4"/>
  <c r="K5" i="4"/>
  <c r="I5" i="4"/>
  <c r="D11" i="2"/>
  <c r="F3" i="4" l="1"/>
  <c r="D3" i="4"/>
  <c r="D8" i="4"/>
  <c r="D6" i="4"/>
  <c r="D7" i="4"/>
  <c r="N4" i="4"/>
  <c r="O4" i="4"/>
  <c r="P4" i="4"/>
  <c r="E4" i="4"/>
  <c r="I4" i="4"/>
  <c r="K4" i="4"/>
  <c r="H4" i="4"/>
  <c r="J4" i="4"/>
  <c r="M4" i="4"/>
  <c r="J7" i="4" l="1"/>
  <c r="O7" i="4"/>
  <c r="N7" i="4"/>
  <c r="H7" i="4"/>
  <c r="K7" i="4"/>
  <c r="M7" i="4"/>
  <c r="P7" i="4"/>
  <c r="E7" i="4"/>
  <c r="I7" i="4"/>
  <c r="N6" i="4"/>
  <c r="O6" i="4"/>
  <c r="K6" i="4"/>
  <c r="E6" i="4"/>
  <c r="I6" i="4"/>
  <c r="P6" i="4"/>
  <c r="H6" i="4"/>
  <c r="M6" i="4"/>
  <c r="J6" i="4"/>
  <c r="P8" i="4"/>
  <c r="I8" i="4"/>
  <c r="J8" i="4"/>
  <c r="K8" i="4"/>
  <c r="O8" i="4"/>
  <c r="M8" i="4"/>
  <c r="H8" i="4"/>
  <c r="N8" i="4"/>
  <c r="E8" i="4"/>
  <c r="D13" i="2"/>
  <c r="E9" i="4"/>
  <c r="D9" i="4"/>
  <c r="O3" i="4" l="1"/>
  <c r="M3" i="4"/>
  <c r="P3" i="4"/>
  <c r="J3" i="4"/>
  <c r="E3" i="4"/>
  <c r="K3" i="4"/>
  <c r="H3" i="4"/>
  <c r="N3" i="4"/>
  <c r="I3" i="4"/>
  <c r="P9" i="4"/>
  <c r="I9" i="4"/>
  <c r="M9" i="4"/>
  <c r="K9" i="4"/>
  <c r="N9" i="4"/>
  <c r="H9" i="4"/>
  <c r="J9" i="4"/>
  <c r="O9" i="4"/>
</calcChain>
</file>

<file path=xl/sharedStrings.xml><?xml version="1.0" encoding="utf-8"?>
<sst xmlns="http://schemas.openxmlformats.org/spreadsheetml/2006/main" count="94" uniqueCount="92">
  <si>
    <t>CRH US EQUITY</t>
  </si>
  <si>
    <t>GVA US EQUITY</t>
  </si>
  <si>
    <t>KNF US EQUITY</t>
  </si>
  <si>
    <t>EXP US EQUITY</t>
  </si>
  <si>
    <t>VMC US EQUITY</t>
  </si>
  <si>
    <t>MLM US EQUITY</t>
  </si>
  <si>
    <t>AMRZ US EQUITY</t>
  </si>
  <si>
    <t>Sh Px</t>
  </si>
  <si>
    <t>EqV</t>
  </si>
  <si>
    <t>(+) Debt</t>
  </si>
  <si>
    <t>(-) Cash</t>
  </si>
  <si>
    <t>Net Debt</t>
  </si>
  <si>
    <t>(+) Pension</t>
  </si>
  <si>
    <t>Other debt-like items</t>
  </si>
  <si>
    <t>TEV</t>
  </si>
  <si>
    <t>Dilut. Sh Out</t>
  </si>
  <si>
    <t>'24 Revenue</t>
  </si>
  <si>
    <t>'25 Revenue Est.</t>
  </si>
  <si>
    <t>'26 Revenue Est.</t>
  </si>
  <si>
    <t>'27 Revenue Est.</t>
  </si>
  <si>
    <t>'23 Revenue</t>
  </si>
  <si>
    <t>'24 % Rev Growth</t>
  </si>
  <si>
    <t>'25 % Rev Growth</t>
  </si>
  <si>
    <t>'26 % Rev Growth</t>
  </si>
  <si>
    <t>'27 % Rev Growth</t>
  </si>
  <si>
    <t>'23 Adj. EBITDA</t>
  </si>
  <si>
    <t>'24 Adj. EBITDA</t>
  </si>
  <si>
    <t>'25 Adj. EBITDA Est.</t>
  </si>
  <si>
    <t>'26 Adj. EBITDA Est.</t>
  </si>
  <si>
    <t>'27 Adj. EBITDA Est.</t>
  </si>
  <si>
    <t>'24 % EBITDA Growth</t>
  </si>
  <si>
    <t>'25 % EBITDA Growth</t>
  </si>
  <si>
    <t>'26 % EBITDA Growth</t>
  </si>
  <si>
    <t>'27 % EBITDA Growth</t>
  </si>
  <si>
    <t>'23 CAPEX</t>
  </si>
  <si>
    <t>'24 CAPEX</t>
  </si>
  <si>
    <t>'25 CAPEX Est.</t>
  </si>
  <si>
    <t>'26 CAPEX Est.</t>
  </si>
  <si>
    <t>'27 CAPEX Est.</t>
  </si>
  <si>
    <t>mCAPEX</t>
  </si>
  <si>
    <t>Low EBITDA Guide</t>
  </si>
  <si>
    <t>High EBITDA Guide</t>
  </si>
  <si>
    <t>(+) NCI/ Equity Inv.</t>
  </si>
  <si>
    <t>Avg '25 EBITDA</t>
  </si>
  <si>
    <t>'23 EBITDA Margin</t>
  </si>
  <si>
    <t>'24 EBITDA Margin</t>
  </si>
  <si>
    <t>'25 EBITDA Margin</t>
  </si>
  <si>
    <t>'26 EBITDA Margin</t>
  </si>
  <si>
    <t>'27 EBITDA Margin</t>
  </si>
  <si>
    <t>7/18/2025 in mm</t>
  </si>
  <si>
    <t>'25 FCFF Est.</t>
  </si>
  <si>
    <t>'26 FCFF Est.</t>
  </si>
  <si>
    <t>'27 FCFF Est.</t>
  </si>
  <si>
    <t>'23 FCFF Est.</t>
  </si>
  <si>
    <t>'24 FCFF Est.</t>
  </si>
  <si>
    <t>(+) ARO Liabilities</t>
  </si>
  <si>
    <t>FCFF Conversion</t>
  </si>
  <si>
    <t>Approx. tax rate on EBITDA</t>
  </si>
  <si>
    <t>Ticker</t>
  </si>
  <si>
    <t>Mkt Cap</t>
  </si>
  <si>
    <t>Median</t>
  </si>
  <si>
    <t>Mean</t>
  </si>
  <si>
    <t>EV/'24 EBITDA</t>
  </si>
  <si>
    <t>EV/'25 EBITDA</t>
  </si>
  <si>
    <t>EV/'26 EBITDA</t>
  </si>
  <si>
    <t>EV/'27 EBITDA</t>
  </si>
  <si>
    <t>'24 FCFF Yield</t>
  </si>
  <si>
    <t>'25 FCFF Yield</t>
  </si>
  <si>
    <t>'26 FCFF Yield</t>
  </si>
  <si>
    <t>'27 FCFF Yield</t>
  </si>
  <si>
    <t>ND/EBITDA</t>
  </si>
  <si>
    <t>'24 EBITDA</t>
  </si>
  <si>
    <t>'25 EBITDA</t>
  </si>
  <si>
    <t>'26 EBITDA</t>
  </si>
  <si>
    <t>'27 EBITDA</t>
  </si>
  <si>
    <t>Adj. EBITDA</t>
  </si>
  <si>
    <t>Adj. EBITDA % Growth</t>
  </si>
  <si>
    <t>'25 Growth %</t>
  </si>
  <si>
    <t>'26 Growth %</t>
  </si>
  <si>
    <t>'27 Growth %</t>
  </si>
  <si>
    <t>Adj. EBITDA Margin %</t>
  </si>
  <si>
    <t>'24 Margin %</t>
  </si>
  <si>
    <t>'25 Margin %</t>
  </si>
  <si>
    <t>'26 Margin %</t>
  </si>
  <si>
    <t>'27 Margin %</t>
  </si>
  <si>
    <t>Margin Improvement %</t>
  </si>
  <si>
    <t>'25 %</t>
  </si>
  <si>
    <t>'26 %</t>
  </si>
  <si>
    <t>'27 %</t>
  </si>
  <si>
    <t>EV/EBITDA</t>
  </si>
  <si>
    <t>Est. FCFF Yield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</si>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</sst>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  <numFmt numFmtId="167" formatCode="0.0%"/>
    <numFmt numFmtId="171" formatCode="0.0\x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36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44" fontId="0" fillId="0" borderId="0" xfId="2" applyFont="1"/>
    <xf numFmtId="0" fontId="0" fillId="0" borderId="1" xfId="0" applyBorder="1"/>
    <xf numFmtId="166" fontId="3" fillId="0" borderId="0" xfId="1" applyNumberFormat="1" applyFont="1"/>
    <xf numFmtId="0" fontId="0" fillId="0" borderId="0" xfId="0" quotePrefix="1" applyFont="1"/>
    <xf numFmtId="0" fontId="0" fillId="0" borderId="0" xfId="0" applyFont="1"/>
    <xf numFmtId="166" fontId="0" fillId="0" borderId="0" xfId="1" applyNumberFormat="1" applyFont="1"/>
    <xf numFmtId="166" fontId="0" fillId="0" borderId="1" xfId="1" applyNumberFormat="1" applyFont="1" applyBorder="1"/>
    <xf numFmtId="166" fontId="3" fillId="0" borderId="0" xfId="0" applyNumberFormat="1" applyFont="1"/>
    <xf numFmtId="166" fontId="5" fillId="0" borderId="0" xfId="1" applyNumberFormat="1" applyFont="1"/>
    <xf numFmtId="166" fontId="6" fillId="0" borderId="0" xfId="1" applyNumberFormat="1" applyFont="1"/>
    <xf numFmtId="9" fontId="0" fillId="0" borderId="0" xfId="0" applyNumberFormat="1"/>
    <xf numFmtId="167" fontId="0" fillId="0" borderId="0" xfId="3" applyNumberFormat="1" applyFont="1"/>
    <xf numFmtId="167" fontId="6" fillId="3" borderId="2" xfId="0" applyNumberFormat="1" applyFont="1" applyFill="1" applyBorder="1"/>
    <xf numFmtId="14" fontId="4" fillId="2" borderId="0" xfId="0" applyNumberFormat="1" applyFont="1" applyFill="1" applyAlignment="1">
      <alignment horizontal="left"/>
    </xf>
    <xf numFmtId="166" fontId="6" fillId="3" borderId="2" xfId="1" applyNumberFormat="1" applyFont="1" applyFill="1" applyBorder="1"/>
    <xf numFmtId="0" fontId="0" fillId="0" borderId="0" xfId="0" quotePrefix="1"/>
    <xf numFmtId="166" fontId="6" fillId="4" borderId="0" xfId="1" applyNumberFormat="1" applyFont="1" applyFill="1"/>
    <xf numFmtId="166" fontId="3" fillId="4" borderId="0" xfId="0" applyNumberFormat="1" applyFont="1" applyFill="1"/>
    <xf numFmtId="166" fontId="7" fillId="3" borderId="2" xfId="1" applyNumberFormat="1" applyFont="1" applyFill="1" applyBorder="1"/>
    <xf numFmtId="44" fontId="6" fillId="0" borderId="0" xfId="2" applyFont="1"/>
    <xf numFmtId="171" fontId="0" fillId="0" borderId="0" xfId="0" applyNumberFormat="1"/>
    <xf numFmtId="44" fontId="8" fillId="0" borderId="0" xfId="2" applyFont="1"/>
    <xf numFmtId="0" fontId="2" fillId="2" borderId="0" xfId="0" applyFont="1" applyFill="1"/>
    <xf numFmtId="0" fontId="2" fillId="2" borderId="0" xfId="0" quotePrefix="1" applyFont="1" applyFill="1" applyAlignment="1">
      <alignment horizontal="center"/>
    </xf>
    <xf numFmtId="0" fontId="9" fillId="5" borderId="0" xfId="0" applyFont="1" applyFill="1" applyAlignment="1">
      <alignment horizontal="centerContinuous"/>
    </xf>
    <xf numFmtId="0" fontId="9" fillId="3" borderId="0" xfId="0" applyFont="1" applyFill="1" applyAlignment="1">
      <alignment horizontal="centerContinuous"/>
    </xf>
    <xf numFmtId="0" fontId="9" fillId="6" borderId="0" xfId="0" applyFont="1" applyFill="1" applyAlignment="1">
      <alignment horizontal="centerContinuous"/>
    </xf>
    <xf numFmtId="0" fontId="9" fillId="7" borderId="0" xfId="0" applyFont="1" applyFill="1" applyAlignment="1">
      <alignment horizontal="centerContinuous"/>
    </xf>
    <xf numFmtId="0" fontId="9" fillId="8" borderId="0" xfId="0" applyFont="1" applyFill="1" applyAlignment="1">
      <alignment horizontal="centerContinuous"/>
    </xf>
    <xf numFmtId="0" fontId="9" fillId="9" borderId="0" xfId="0" applyFont="1" applyFill="1" applyAlignment="1">
      <alignment horizontal="centerContinuous"/>
    </xf>
    <xf numFmtId="0" fontId="3" fillId="10" borderId="0" xfId="0" applyFont="1" applyFill="1"/>
    <xf numFmtId="44" fontId="6" fillId="0" borderId="1" xfId="2" applyFont="1" applyBorder="1"/>
    <xf numFmtId="44" fontId="6" fillId="0" borderId="0" xfId="2" applyFont="1" applyBorder="1"/>
  </cellXfs>
  <cellStyles count="5">
    <cellStyle name="Comma" xfId="1" builtinId="3"/>
    <cellStyle name="Currency" xfId="2" builtinId="4"/>
    <cellStyle name="Normal" xfId="0" builtinId="0"/>
    <cellStyle name="Normal 2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45"/>
  <sheetViews>
    <sheetView workbookViewId="0">
      <selection activeCell="D2" sqref="D2:J2"/>
    </sheetView>
  </sheetViews>
  <sheetFormatPr defaultRowHeight="15" x14ac:dyDescent="0.25"/>
  <sheetData>
    <row r="2" spans="4:10" x14ac:dyDescent="0.25">
      <c r="D2" s="3">
        <f>'TEV Buildouts - Input'!C2</f>
        <v>0</v>
      </c>
      <c r="E2" s="3">
        <f>'TEV Buildouts - Input'!D2</f>
        <v>0</v>
      </c>
      <c r="F2" s="3">
        <f>'TEV Buildouts - Input'!E2</f>
        <v>0</v>
      </c>
      <c r="G2" s="3">
        <f>'TEV Buildouts - Input'!F2</f>
        <v>0</v>
      </c>
      <c r="H2" s="3">
        <f>'TEV Buildouts - Input'!G2</f>
        <v>0</v>
      </c>
      <c r="I2" s="3">
        <f>'TEV Buildouts - Input'!H2</f>
        <v>0</v>
      </c>
      <c r="J2" s="3">
        <f>'TEV Buildouts - Input'!I2</f>
        <v>0</v>
      </c>
    </row>
    <row r="3" spans="4:10" x14ac:dyDescent="0.25">
      <c r="D3" s="9">
        <f>'TEV Buildouts - Input'!$C$3</f>
        <v>0</v>
      </c>
    </row>
    <row r="5" spans="4:10" x14ac:dyDescent="0.25">
      <c r="D5" s="8">
        <f>'TEV Buildouts - Input'!C5</f>
        <v>0</v>
      </c>
    </row>
    <row r="6" spans="4:10" x14ac:dyDescent="0.25">
      <c r="D6" s="9">
        <f>'TEV Buildouts - Input'!C6</f>
        <v>0</v>
      </c>
    </row>
    <row r="7" spans="4:10" x14ac:dyDescent="0.25">
      <c r="D7" s="5">
        <f>'TEV Buildouts - Input'!C7</f>
        <v>0</v>
      </c>
    </row>
    <row r="8" spans="4:10" x14ac:dyDescent="0.25">
      <c r="D8" s="8">
        <f>'TEV Buildouts - Input'!C8</f>
        <v>0</v>
      </c>
    </row>
    <row r="9" spans="4:10" x14ac:dyDescent="0.25">
      <c r="D9" s="8">
        <f>'TEV Buildouts - Input'!C9</f>
        <v>0</v>
      </c>
    </row>
    <row r="10" spans="4:10" x14ac:dyDescent="0.25">
      <c r="D10" s="9">
        <f>'TEV Buildouts - Input'!C10</f>
        <v>0</v>
      </c>
    </row>
    <row r="11" spans="4:10" x14ac:dyDescent="0.25">
      <c r="D11" s="5">
        <f>'TEV Buildouts - Input'!C11</f>
        <v>0</v>
      </c>
    </row>
    <row r="13" spans="4:10" x14ac:dyDescent="0.25">
      <c r="D13" s="10">
        <f>'TEV Buildouts - Input'!$C$13</f>
        <v>0</v>
      </c>
    </row>
    <row r="26" spans="4:4" x14ac:dyDescent="0.25">
      <c r="D26">
        <f>'TEV Buildouts - Input'!C26</f>
        <v>0</v>
      </c>
    </row>
    <row r="27" spans="4:4" x14ac:dyDescent="0.25">
      <c r="D27">
        <f>'TEV Buildouts - Input'!C27</f>
        <v>0</v>
      </c>
    </row>
    <row r="34" spans="4:4" x14ac:dyDescent="0.25">
      <c r="D34" s="13">
        <f>'TEV Buildouts - Input'!C34</f>
        <v>0.1</v>
      </c>
    </row>
    <row r="35" spans="4:4" x14ac:dyDescent="0.25">
      <c r="D35" s="13">
        <f>'TEV Buildouts - Input'!C35</f>
        <v>0.1</v>
      </c>
    </row>
    <row r="45" spans="4:4" x14ac:dyDescent="0.25">
      <c r="D45" s="13">
        <f>'TEV Buildouts - Input'!$C$51</f>
        <v>0.17250000000000001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H9"/>
  <sheetViews>
    <sheetView workbookViewId="0">
      <selection activeCell="AF3" sqref="AF3:AH9"/>
    </sheetView>
  </sheetViews>
  <sheetFormatPr defaultRowHeight="15" x14ac:dyDescent="0.25"/>
  <sheetData>
    <row r="3" spans="3:34" x14ac:dyDescent="0.25">
      <c r="C3" s="3">
        <f>'Compsheet - Input'!C3</f>
        <v>0</v>
      </c>
      <c r="D3" s="8">
        <f>'Compsheet - Input'!D3</f>
        <v>0</v>
      </c>
      <c r="E3" s="8">
        <f>'Compsheet - Input'!E3</f>
        <v>0</v>
      </c>
      <c r="F3" s="23">
        <f>'Compsheet - Input'!F3</f>
        <v>0</v>
      </c>
      <c r="H3" s="23">
        <f>'Compsheet - Input'!H3</f>
        <v>0</v>
      </c>
      <c r="I3" s="23">
        <f>'Compsheet - Input'!I3</f>
        <v>0</v>
      </c>
      <c r="J3" s="23">
        <f>'Compsheet - Input'!J3</f>
        <v>0</v>
      </c>
      <c r="K3" s="23">
        <f>'Compsheet - Input'!K3</f>
        <v>0</v>
      </c>
      <c r="M3" s="14">
        <f>'Compsheet - Input'!M3</f>
        <v>0</v>
      </c>
      <c r="N3" s="14">
        <f>'Compsheet - Input'!N3</f>
        <v>0</v>
      </c>
      <c r="O3" s="14">
        <f>'Compsheet - Input'!O3</f>
        <v>0</v>
      </c>
      <c r="P3" s="14">
        <f>'Compsheet - Input'!P3</f>
        <v>0</v>
      </c>
      <c r="R3" s="8">
        <f>'Compsheet - Input'!AE3</f>
        <v>0</v>
      </c>
      <c r="S3" s="8">
        <f>'Compsheet - Input'!AF3</f>
        <v>0</v>
      </c>
      <c r="T3" s="8">
        <f>'Compsheet - Input'!AG3</f>
        <v>0</v>
      </c>
      <c r="U3" s="8">
        <f>'Compsheet - Input'!AH3</f>
        <v>0</v>
      </c>
      <c r="W3" s="14">
        <f>'Compsheet - Input'!R3</f>
        <v>0</v>
      </c>
      <c r="X3" s="14">
        <f>'Compsheet - Input'!S3</f>
        <v>0</v>
      </c>
      <c r="Y3" s="14">
        <f>'Compsheet - Input'!T3</f>
        <v>0</v>
      </c>
      <c r="AA3" s="14">
        <f>'Compsheet - Input'!V3</f>
        <v>0</v>
      </c>
      <c r="AB3" s="14">
        <f>'Compsheet - Input'!W3</f>
        <v>0</v>
      </c>
      <c r="AC3" s="14">
        <f>'Compsheet - Input'!X3</f>
        <v>0</v>
      </c>
      <c r="AD3" s="14">
        <f>'Compsheet - Input'!Y3</f>
        <v>0</v>
      </c>
      <c r="AF3" s="14">
        <f>'Compsheet - Input'!AA3</f>
        <v>0</v>
      </c>
      <c r="AG3" s="14">
        <f>'Compsheet - Input'!AB3</f>
        <v>0</v>
      </c>
      <c r="AH3" s="14">
        <f>'Compsheet - Input'!AC3</f>
        <v>0</v>
      </c>
    </row>
    <row r="4" spans="3:34" x14ac:dyDescent="0.25">
      <c r="C4" s="3">
        <f>'Compsheet - Input'!C4</f>
        <v>0</v>
      </c>
      <c r="D4" s="8">
        <f>'Compsheet - Input'!D4</f>
        <v>0</v>
      </c>
      <c r="E4" s="8">
        <f>'Compsheet - Input'!E4</f>
        <v>0</v>
      </c>
      <c r="F4" s="23">
        <f>'Compsheet - Input'!F4</f>
        <v>0</v>
      </c>
      <c r="H4" s="23">
        <f>'Compsheet - Input'!H4</f>
        <v>0</v>
      </c>
      <c r="I4" s="23">
        <f>'Compsheet - Input'!I4</f>
        <v>0</v>
      </c>
      <c r="J4" s="23">
        <f>'Compsheet - Input'!J4</f>
        <v>0</v>
      </c>
      <c r="K4" s="23">
        <f>'Compsheet - Input'!K4</f>
        <v>0</v>
      </c>
      <c r="M4" s="14">
        <f>'Compsheet - Input'!M4</f>
        <v>0</v>
      </c>
      <c r="N4" s="14">
        <f>'Compsheet - Input'!N4</f>
        <v>0</v>
      </c>
      <c r="O4" s="14">
        <f>'Compsheet - Input'!O4</f>
        <v>0</v>
      </c>
      <c r="P4" s="14">
        <f>'Compsheet - Input'!P4</f>
        <v>0</v>
      </c>
      <c r="R4" s="8">
        <f>'Compsheet - Input'!AE4</f>
        <v>0</v>
      </c>
      <c r="S4" s="8">
        <f>'Compsheet - Input'!AF4</f>
        <v>0</v>
      </c>
      <c r="T4" s="8">
        <f>'Compsheet - Input'!AG4</f>
        <v>0</v>
      </c>
      <c r="U4" s="8">
        <f>'Compsheet - Input'!AH4</f>
        <v>0</v>
      </c>
      <c r="W4" s="14">
        <f>'Compsheet - Input'!R4</f>
        <v>0</v>
      </c>
      <c r="X4" s="14">
        <f>'Compsheet - Input'!S4</f>
        <v>0</v>
      </c>
      <c r="Y4" s="14">
        <f>'Compsheet - Input'!T4</f>
        <v>0</v>
      </c>
      <c r="AA4" s="14">
        <f>'Compsheet - Input'!V4</f>
        <v>0</v>
      </c>
      <c r="AB4" s="14">
        <f>'Compsheet - Input'!W4</f>
        <v>0</v>
      </c>
      <c r="AC4" s="14">
        <f>'Compsheet - Input'!X4</f>
        <v>0</v>
      </c>
      <c r="AD4" s="14">
        <f>'Compsheet - Input'!Y4</f>
        <v>0</v>
      </c>
      <c r="AF4" s="14">
        <f>'Compsheet - Input'!AA4</f>
        <v>0</v>
      </c>
      <c r="AG4" s="14">
        <f>'Compsheet - Input'!AB4</f>
        <v>0</v>
      </c>
      <c r="AH4" s="14">
        <f>'Compsheet - Input'!AC4</f>
        <v>0</v>
      </c>
    </row>
    <row r="5" spans="3:34" x14ac:dyDescent="0.25">
      <c r="C5" s="3">
        <f>'Compsheet - Input'!C5</f>
        <v>0</v>
      </c>
      <c r="D5" s="8">
        <f>'Compsheet - Input'!D5</f>
        <v>0</v>
      </c>
      <c r="E5" s="8">
        <f>'Compsheet - Input'!E5</f>
        <v>0</v>
      </c>
      <c r="F5" s="23">
        <f>'Compsheet - Input'!F5</f>
        <v>0</v>
      </c>
      <c r="H5" s="23">
        <f>'Compsheet - Input'!H5</f>
        <v>0</v>
      </c>
      <c r="I5" s="23">
        <f>'Compsheet - Input'!I5</f>
        <v>0</v>
      </c>
      <c r="J5" s="23">
        <f>'Compsheet - Input'!J5</f>
        <v>0</v>
      </c>
      <c r="K5" s="23">
        <f>'Compsheet - Input'!K5</f>
        <v>0</v>
      </c>
      <c r="M5" s="14">
        <f>'Compsheet - Input'!M5</f>
        <v>0</v>
      </c>
      <c r="N5" s="14">
        <f>'Compsheet - Input'!N5</f>
        <v>0</v>
      </c>
      <c r="O5" s="14">
        <f>'Compsheet - Input'!O5</f>
        <v>0</v>
      </c>
      <c r="P5" s="14">
        <f>'Compsheet - Input'!P5</f>
        <v>0</v>
      </c>
      <c r="R5" s="8">
        <f>'Compsheet - Input'!AE5</f>
        <v>0</v>
      </c>
      <c r="S5" s="8">
        <f>'Compsheet - Input'!AF5</f>
        <v>0</v>
      </c>
      <c r="T5" s="8">
        <f>'Compsheet - Input'!AG5</f>
        <v>0</v>
      </c>
      <c r="U5" s="8">
        <f>'Compsheet - Input'!AH5</f>
        <v>0</v>
      </c>
      <c r="W5" s="14">
        <f>'Compsheet - Input'!R5</f>
        <v>0</v>
      </c>
      <c r="X5" s="14">
        <f>'Compsheet - Input'!S5</f>
        <v>0</v>
      </c>
      <c r="Y5" s="14">
        <f>'Compsheet - Input'!T5</f>
        <v>0</v>
      </c>
      <c r="AA5" s="14">
        <f>'Compsheet - Input'!V5</f>
        <v>0</v>
      </c>
      <c r="AB5" s="14">
        <f>'Compsheet - Input'!W5</f>
        <v>0</v>
      </c>
      <c r="AC5" s="14">
        <f>'Compsheet - Input'!X5</f>
        <v>0</v>
      </c>
      <c r="AD5" s="14">
        <f>'Compsheet - Input'!Y5</f>
        <v>0</v>
      </c>
      <c r="AF5" s="14">
        <f>'Compsheet - Input'!AA5</f>
        <v>0</v>
      </c>
      <c r="AG5" s="14">
        <f>'Compsheet - Input'!AB5</f>
        <v>0</v>
      </c>
      <c r="AH5" s="14">
        <f>'Compsheet - Input'!AC5</f>
        <v>0</v>
      </c>
    </row>
    <row r="6" spans="3:34" x14ac:dyDescent="0.25">
      <c r="C6" s="3">
        <f>'Compsheet - Input'!C6</f>
        <v>0</v>
      </c>
      <c r="D6" s="8">
        <f>'Compsheet - Input'!D6</f>
        <v>0</v>
      </c>
      <c r="E6" s="8">
        <f>'Compsheet - Input'!E6</f>
        <v>0</v>
      </c>
      <c r="F6" s="23">
        <f>'Compsheet - Input'!F6</f>
        <v>0</v>
      </c>
      <c r="H6" s="23">
        <f>'Compsheet - Input'!H6</f>
        <v>0</v>
      </c>
      <c r="I6" s="23">
        <f>'Compsheet - Input'!I6</f>
        <v>0</v>
      </c>
      <c r="J6" s="23">
        <f>'Compsheet - Input'!J6</f>
        <v>0</v>
      </c>
      <c r="K6" s="23">
        <f>'Compsheet - Input'!K6</f>
        <v>0</v>
      </c>
      <c r="M6" s="14">
        <f>'Compsheet - Input'!M6</f>
        <v>0</v>
      </c>
      <c r="N6" s="14">
        <f>'Compsheet - Input'!N6</f>
        <v>0</v>
      </c>
      <c r="O6" s="14">
        <f>'Compsheet - Input'!O6</f>
        <v>0</v>
      </c>
      <c r="P6" s="14">
        <f>'Compsheet - Input'!P6</f>
        <v>0</v>
      </c>
      <c r="R6" s="8">
        <f>'Compsheet - Input'!AE6</f>
        <v>0</v>
      </c>
      <c r="S6" s="8">
        <f>'Compsheet - Input'!AF6</f>
        <v>0</v>
      </c>
      <c r="T6" s="8">
        <f>'Compsheet - Input'!AG6</f>
        <v>0</v>
      </c>
      <c r="U6" s="8">
        <f>'Compsheet - Input'!AH6</f>
        <v>0</v>
      </c>
      <c r="W6" s="14">
        <f>'Compsheet - Input'!R6</f>
        <v>0</v>
      </c>
      <c r="X6" s="14">
        <f>'Compsheet - Input'!S6</f>
        <v>0</v>
      </c>
      <c r="Y6" s="14">
        <f>'Compsheet - Input'!T6</f>
        <v>0</v>
      </c>
      <c r="AA6" s="14">
        <f>'Compsheet - Input'!V6</f>
        <v>0</v>
      </c>
      <c r="AB6" s="14">
        <f>'Compsheet - Input'!W6</f>
        <v>0</v>
      </c>
      <c r="AC6" s="14">
        <f>'Compsheet - Input'!X6</f>
        <v>0</v>
      </c>
      <c r="AD6" s="14">
        <f>'Compsheet - Input'!Y6</f>
        <v>0</v>
      </c>
      <c r="AF6" s="14">
        <f>'Compsheet - Input'!AA6</f>
        <v>0</v>
      </c>
      <c r="AG6" s="14">
        <f>'Compsheet - Input'!AB6</f>
        <v>0</v>
      </c>
      <c r="AH6" s="14">
        <f>'Compsheet - Input'!AC6</f>
        <v>0</v>
      </c>
    </row>
    <row r="7" spans="3:34" x14ac:dyDescent="0.25">
      <c r="C7" s="3">
        <f>'Compsheet - Input'!C7</f>
        <v>0</v>
      </c>
      <c r="D7" s="8">
        <f>'Compsheet - Input'!D7</f>
        <v>0</v>
      </c>
      <c r="E7" s="8">
        <f>'Compsheet - Input'!E7</f>
        <v>0</v>
      </c>
      <c r="F7" s="23">
        <f>'Compsheet - Input'!F7</f>
        <v>0</v>
      </c>
      <c r="H7" s="23">
        <f>'Compsheet - Input'!H7</f>
        <v>0</v>
      </c>
      <c r="I7" s="23">
        <f>'Compsheet - Input'!I7</f>
        <v>0</v>
      </c>
      <c r="J7" s="23">
        <f>'Compsheet - Input'!J7</f>
        <v>0</v>
      </c>
      <c r="K7" s="23">
        <f>'Compsheet - Input'!K7</f>
        <v>0</v>
      </c>
      <c r="M7" s="14">
        <f>'Compsheet - Input'!M7</f>
        <v>0</v>
      </c>
      <c r="N7" s="14">
        <f>'Compsheet - Input'!N7</f>
        <v>0</v>
      </c>
      <c r="O7" s="14">
        <f>'Compsheet - Input'!O7</f>
        <v>0</v>
      </c>
      <c r="P7" s="14">
        <f>'Compsheet - Input'!P7</f>
        <v>0</v>
      </c>
      <c r="R7" s="8">
        <f>'Compsheet - Input'!AE7</f>
        <v>0</v>
      </c>
      <c r="S7" s="8">
        <f>'Compsheet - Input'!AF7</f>
        <v>0</v>
      </c>
      <c r="T7" s="8">
        <f>'Compsheet - Input'!AG7</f>
        <v>0</v>
      </c>
      <c r="U7" s="8">
        <f>'Compsheet - Input'!AH7</f>
        <v>0</v>
      </c>
      <c r="W7" s="14">
        <f>'Compsheet - Input'!R7</f>
        <v>0</v>
      </c>
      <c r="X7" s="14">
        <f>'Compsheet - Input'!S7</f>
        <v>0</v>
      </c>
      <c r="Y7" s="14">
        <f>'Compsheet - Input'!T7</f>
        <v>0</v>
      </c>
      <c r="AA7" s="14">
        <f>'Compsheet - Input'!V7</f>
        <v>0</v>
      </c>
      <c r="AB7" s="14">
        <f>'Compsheet - Input'!W7</f>
        <v>0</v>
      </c>
      <c r="AC7" s="14">
        <f>'Compsheet - Input'!X7</f>
        <v>0</v>
      </c>
      <c r="AD7" s="14">
        <f>'Compsheet - Input'!Y7</f>
        <v>0</v>
      </c>
      <c r="AF7" s="14">
        <f>'Compsheet - Input'!AA7</f>
        <v>0</v>
      </c>
      <c r="AG7" s="14">
        <f>'Compsheet - Input'!AB7</f>
        <v>0</v>
      </c>
      <c r="AH7" s="14">
        <f>'Compsheet - Input'!AC7</f>
        <v>0</v>
      </c>
    </row>
    <row r="8" spans="3:34" x14ac:dyDescent="0.25">
      <c r="C8" s="3">
        <f>'Compsheet - Input'!C8</f>
        <v>0</v>
      </c>
      <c r="D8" s="8">
        <f>'Compsheet - Input'!D8</f>
        <v>0</v>
      </c>
      <c r="E8" s="8">
        <f>'Compsheet - Input'!E8</f>
        <v>0</v>
      </c>
      <c r="F8" s="23">
        <f>'Compsheet - Input'!F8</f>
        <v>0</v>
      </c>
      <c r="H8" s="23">
        <f>'Compsheet - Input'!H8</f>
        <v>0</v>
      </c>
      <c r="I8" s="23">
        <f>'Compsheet - Input'!I8</f>
        <v>0</v>
      </c>
      <c r="J8" s="23">
        <f>'Compsheet - Input'!J8</f>
        <v>0</v>
      </c>
      <c r="K8" s="23">
        <f>'Compsheet - Input'!K8</f>
        <v>0</v>
      </c>
      <c r="M8" s="14">
        <f>'Compsheet - Input'!M8</f>
        <v>0</v>
      </c>
      <c r="N8" s="14">
        <f>'Compsheet - Input'!N8</f>
        <v>0</v>
      </c>
      <c r="O8" s="14">
        <f>'Compsheet - Input'!O8</f>
        <v>0</v>
      </c>
      <c r="P8" s="14">
        <f>'Compsheet - Input'!P8</f>
        <v>0</v>
      </c>
      <c r="R8" s="8">
        <f>'Compsheet - Input'!AE8</f>
        <v>0</v>
      </c>
      <c r="S8" s="8">
        <f>'Compsheet - Input'!AF8</f>
        <v>0</v>
      </c>
      <c r="T8" s="8">
        <f>'Compsheet - Input'!AG8</f>
        <v>0</v>
      </c>
      <c r="U8" s="8">
        <f>'Compsheet - Input'!AH8</f>
        <v>0</v>
      </c>
      <c r="W8" s="14">
        <f>'Compsheet - Input'!R8</f>
        <v>0</v>
      </c>
      <c r="X8" s="14">
        <f>'Compsheet - Input'!S8</f>
        <v>0</v>
      </c>
      <c r="Y8" s="14">
        <f>'Compsheet - Input'!T8</f>
        <v>0</v>
      </c>
      <c r="AA8" s="14">
        <f>'Compsheet - Input'!V8</f>
        <v>0</v>
      </c>
      <c r="AB8" s="14">
        <f>'Compsheet - Input'!W8</f>
        <v>0</v>
      </c>
      <c r="AC8" s="14">
        <f>'Compsheet - Input'!X8</f>
        <v>0</v>
      </c>
      <c r="AD8" s="14">
        <f>'Compsheet - Input'!Y8</f>
        <v>0</v>
      </c>
      <c r="AF8" s="14">
        <f>'Compsheet - Input'!AA8</f>
        <v>0</v>
      </c>
      <c r="AG8" s="14">
        <f>'Compsheet - Input'!AB8</f>
        <v>0</v>
      </c>
      <c r="AH8" s="14">
        <f>'Compsheet - Input'!AC8</f>
        <v>0</v>
      </c>
    </row>
    <row r="9" spans="3:34" x14ac:dyDescent="0.25">
      <c r="C9" s="3">
        <f>'Compsheet - Input'!C9</f>
        <v>0</v>
      </c>
      <c r="D9" s="8">
        <f>'Compsheet - Input'!D9</f>
        <v>0</v>
      </c>
      <c r="E9" s="8">
        <f>'Compsheet - Input'!E9</f>
        <v>0</v>
      </c>
      <c r="F9" s="23">
        <f>'Compsheet - Input'!F9</f>
        <v>0</v>
      </c>
      <c r="H9" s="23">
        <f>'Compsheet - Input'!H9</f>
        <v>0</v>
      </c>
      <c r="I9" s="23">
        <f>'Compsheet - Input'!I9</f>
        <v>0</v>
      </c>
      <c r="J9" s="23">
        <f>'Compsheet - Input'!J9</f>
        <v>0</v>
      </c>
      <c r="K9" s="23">
        <f>'Compsheet - Input'!K9</f>
        <v>0</v>
      </c>
      <c r="M9" s="14">
        <f>'Compsheet - Input'!M9</f>
        <v>0</v>
      </c>
      <c r="N9" s="14">
        <f>'Compsheet - Input'!N9</f>
        <v>0</v>
      </c>
      <c r="O9" s="14">
        <f>'Compsheet - Input'!O9</f>
        <v>0</v>
      </c>
      <c r="P9" s="14">
        <f>'Compsheet - Input'!P9</f>
        <v>0</v>
      </c>
      <c r="R9" s="8">
        <f>'Compsheet - Input'!AE9</f>
        <v>0</v>
      </c>
      <c r="S9" s="8">
        <f>'Compsheet - Input'!AF9</f>
        <v>0</v>
      </c>
      <c r="T9" s="8">
        <f>'Compsheet - Input'!AG9</f>
        <v>0</v>
      </c>
      <c r="U9" s="8">
        <f>'Compsheet - Input'!AH9</f>
        <v>0</v>
      </c>
      <c r="W9" s="14">
        <f>'Compsheet - Input'!R9</f>
        <v>0</v>
      </c>
      <c r="X9" s="14">
        <f>'Compsheet - Input'!S9</f>
        <v>0</v>
      </c>
      <c r="Y9" s="14">
        <f>'Compsheet - Input'!T9</f>
        <v>0</v>
      </c>
      <c r="AA9" s="14">
        <f>'Compsheet - Input'!V9</f>
        <v>0</v>
      </c>
      <c r="AB9" s="14">
        <f>'Compsheet - Input'!W9</f>
        <v>0</v>
      </c>
      <c r="AC9" s="14">
        <f>'Compsheet - Input'!X9</f>
        <v>0</v>
      </c>
      <c r="AD9" s="14">
        <f>'Compsheet - Input'!Y9</f>
        <v>0</v>
      </c>
      <c r="AF9" s="14">
        <f>'Compsheet - Input'!AA9</f>
        <v>0</v>
      </c>
      <c r="AG9" s="14">
        <f>'Compsheet - Input'!AB9</f>
        <v>0</v>
      </c>
      <c r="AH9" s="14">
        <f>'Compsheet - Input'!AC9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showGridLines="0" tabSelected="1" zoomScale="106" zoomScaleNormal="106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defaultRowHeight="15" x14ac:dyDescent="0.25"/>
  <cols>
    <col min="1" max="1" width="2.7109375" customWidth="1"/>
    <col min="2" max="2" width="17.85546875" customWidth="1"/>
    <col min="3" max="3" width="11" customWidth="1"/>
    <col min="4" max="4" width="10.5703125" customWidth="1"/>
    <col min="6" max="6" width="11.28515625" customWidth="1"/>
    <col min="7" max="7" width="2.7109375" customWidth="1"/>
    <col min="8" max="11" width="13.7109375" customWidth="1"/>
    <col min="12" max="12" width="2.7109375" customWidth="1"/>
    <col min="13" max="16" width="13.7109375" customWidth="1"/>
    <col min="17" max="17" width="2.7109375" customWidth="1"/>
    <col min="18" max="20" width="13.7109375" customWidth="1"/>
    <col min="21" max="21" width="2.7109375" customWidth="1"/>
    <col min="22" max="25" width="13.7109375" customWidth="1"/>
    <col min="26" max="26" width="2.7109375" customWidth="1"/>
    <col min="30" max="30" width="2.7109375" customWidth="1"/>
    <col min="31" max="34" width="13.7109375" customWidth="1"/>
  </cols>
  <sheetData>
    <row r="1" spans="1:34" x14ac:dyDescent="0.25">
      <c r="H1" s="27" t="s">
        <v>89</v>
      </c>
      <c r="I1" s="27"/>
      <c r="J1" s="27"/>
      <c r="K1" s="27"/>
      <c r="M1" s="28" t="s">
        <v>90</v>
      </c>
      <c r="N1" s="28"/>
      <c r="O1" s="28"/>
      <c r="P1" s="28"/>
      <c r="R1" s="29" t="s">
        <v>76</v>
      </c>
      <c r="S1" s="29"/>
      <c r="T1" s="29"/>
      <c r="V1" s="30" t="s">
        <v>80</v>
      </c>
      <c r="W1" s="30"/>
      <c r="X1" s="30"/>
      <c r="Y1" s="30"/>
      <c r="AA1" s="31" t="s">
        <v>85</v>
      </c>
      <c r="AB1" s="31"/>
      <c r="AC1" s="31"/>
      <c r="AE1" s="32" t="s">
        <v>75</v>
      </c>
      <c r="AF1" s="32"/>
      <c r="AG1" s="32"/>
      <c r="AH1" s="32"/>
    </row>
    <row r="2" spans="1:34" x14ac:dyDescent="0.25">
      <c r="A2" s="25" t="s">
        <v>91</v>
      </c>
      <c r="B2" s="25" t="s">
        <v>58</v>
      </c>
      <c r="C2" s="2" t="s">
        <v>7</v>
      </c>
      <c r="D2" s="2" t="s">
        <v>59</v>
      </c>
      <c r="E2" s="2" t="s">
        <v>14</v>
      </c>
      <c r="F2" s="2" t="s">
        <v>70</v>
      </c>
      <c r="G2" s="25"/>
      <c r="H2" s="2" t="s">
        <v>62</v>
      </c>
      <c r="I2" s="2" t="s">
        <v>63</v>
      </c>
      <c r="J2" s="2" t="s">
        <v>64</v>
      </c>
      <c r="K2" s="2" t="s">
        <v>65</v>
      </c>
      <c r="L2" s="25"/>
      <c r="M2" s="26" t="s">
        <v>66</v>
      </c>
      <c r="N2" s="26" t="s">
        <v>67</v>
      </c>
      <c r="O2" s="26" t="s">
        <v>68</v>
      </c>
      <c r="P2" s="26" t="s">
        <v>69</v>
      </c>
      <c r="Q2" s="25"/>
      <c r="R2" s="26" t="s">
        <v>77</v>
      </c>
      <c r="S2" s="26" t="s">
        <v>78</v>
      </c>
      <c r="T2" s="26" t="s">
        <v>79</v>
      </c>
      <c r="U2" s="25"/>
      <c r="V2" s="26" t="s">
        <v>81</v>
      </c>
      <c r="W2" s="26" t="s">
        <v>82</v>
      </c>
      <c r="X2" s="26" t="s">
        <v>83</v>
      </c>
      <c r="Y2" s="26" t="s">
        <v>84</v>
      </c>
      <c r="Z2" s="25"/>
      <c r="AA2" s="26" t="s">
        <v>86</v>
      </c>
      <c r="AB2" s="26" t="s">
        <v>87</v>
      </c>
      <c r="AC2" s="26" t="s">
        <v>88</v>
      </c>
      <c r="AD2" s="25"/>
      <c r="AE2" s="26" t="s">
        <v>71</v>
      </c>
      <c r="AF2" s="26" t="s">
        <v>72</v>
      </c>
      <c r="AG2" s="26" t="s">
        <v>73</v>
      </c>
      <c r="AH2" s="26" t="s">
        <v>74</v>
      </c>
    </row>
    <row r="3" spans="1:34" x14ac:dyDescent="0.25">
      <c r="B3" t="str">
        <f>'TEV Buildouts - Input'!C1</f>
        <v>CRH US EQUITY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x14ac:dyDescent="0.25">
      <c r="B4" t="str">
        <f>'TEV Buildouts - Input'!D1</f>
        <v>GVA US EQUITY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x14ac:dyDescent="0.25">
      <c r="B5" t="str">
        <f>'TEV Buildouts - Input'!E1</f>
        <v>KNF US EQUITY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 x14ac:dyDescent="0.25">
      <c r="B6" t="str">
        <f>'TEV Buildouts - Input'!F1</f>
        <v>EXP US EQUITY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x14ac:dyDescent="0.25">
      <c r="B7" t="str">
        <f>'TEV Buildouts - Input'!G1</f>
        <v>VMC US EQUITY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 x14ac:dyDescent="0.25">
      <c r="B8" t="str">
        <f>'TEV Buildouts - Input'!H1</f>
        <v>MLM US EQUITY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x14ac:dyDescent="0.25">
      <c r="B9" t="str">
        <f>'TEV Buildouts - Input'!I1</f>
        <v>AMRZ US EQUITY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1" spans="1:34" x14ac:dyDescent="0.25">
      <c r="B11" s="33" t="s">
        <v>60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x14ac:dyDescent="0.25">
      <c r="B12" s="33" t="s">
        <v>61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3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F53" sqref="F53"/>
    </sheetView>
  </sheetViews>
  <sheetFormatPr defaultRowHeight="15" x14ac:dyDescent="0.25"/>
  <cols>
    <col min="1" max="1" width="2.7109375" customWidth="1"/>
    <col min="2" max="2" width="25.28515625" customWidth="1"/>
    <col min="3" max="15" width="15.7109375" customWidth="1"/>
    <col min="16" max="16" width="17.5703125" customWidth="1"/>
    <col min="17" max="17" width="16.140625" customWidth="1"/>
    <col min="18" max="18" width="14.140625" customWidth="1"/>
  </cols>
  <sheetData>
    <row r="1" spans="2:9" x14ac:dyDescent="0.25">
      <c r="B1" s="16" t="s">
        <v>49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2:9" x14ac:dyDescent="0.25">
      <c r="B2" t="s">
        <v>7</v>
      </c>
      <c r="C2" s="22"/>
      <c r="D2" s="22"/>
      <c r="E2" s="22"/>
      <c r="F2" s="22"/>
      <c r="G2" s="22"/>
      <c r="H2" s="22"/>
      <c r="I2" s="22"/>
    </row>
    <row r="3" spans="2:9" x14ac:dyDescent="0.25">
      <c r="B3" s="4" t="s">
        <v>15</v>
      </c>
      <c r="C3" s="34"/>
      <c r="D3" s="34"/>
      <c r="E3" s="34"/>
      <c r="F3" s="34"/>
      <c r="G3" s="34"/>
      <c r="H3" s="34"/>
      <c r="I3" s="34"/>
    </row>
    <row r="4" spans="2:9" x14ac:dyDescent="0.25">
      <c r="B4" s="1" t="s">
        <v>8</v>
      </c>
      <c r="C4" s="22"/>
      <c r="D4" s="22"/>
      <c r="E4" s="22"/>
      <c r="F4" s="22"/>
      <c r="G4" s="22"/>
      <c r="H4" s="22"/>
      <c r="I4" s="22"/>
    </row>
    <row r="5" spans="2:9" x14ac:dyDescent="0.25">
      <c r="B5" t="s">
        <v>9</v>
      </c>
      <c r="C5" s="22"/>
      <c r="D5" s="22"/>
      <c r="E5" s="22"/>
      <c r="F5" s="22"/>
      <c r="G5" s="22"/>
      <c r="H5" s="22"/>
      <c r="I5" s="22"/>
    </row>
    <row r="6" spans="2:9" x14ac:dyDescent="0.25">
      <c r="B6" s="4" t="s">
        <v>10</v>
      </c>
      <c r="C6" s="34"/>
      <c r="D6" s="34"/>
      <c r="E6" s="34"/>
      <c r="F6" s="34"/>
      <c r="G6" s="34"/>
      <c r="H6" s="34"/>
      <c r="I6" s="34"/>
    </row>
    <row r="7" spans="2:9" x14ac:dyDescent="0.25">
      <c r="B7" s="1" t="s">
        <v>11</v>
      </c>
      <c r="C7" s="35"/>
      <c r="D7" s="35"/>
      <c r="E7" s="35"/>
      <c r="F7" s="35"/>
      <c r="G7" s="35"/>
      <c r="H7" s="35"/>
      <c r="I7" s="35"/>
    </row>
    <row r="8" spans="2:9" x14ac:dyDescent="0.25">
      <c r="B8" t="s">
        <v>42</v>
      </c>
      <c r="C8" s="35"/>
      <c r="D8" s="35"/>
      <c r="E8" s="35"/>
      <c r="F8" s="35"/>
      <c r="G8" s="35"/>
      <c r="H8" s="35"/>
      <c r="I8" s="35"/>
    </row>
    <row r="9" spans="2:9" x14ac:dyDescent="0.25">
      <c r="B9" t="s">
        <v>12</v>
      </c>
      <c r="C9" s="35"/>
      <c r="D9" s="35"/>
      <c r="E9" s="35"/>
      <c r="F9" s="35"/>
      <c r="G9" s="35"/>
      <c r="H9" s="35"/>
      <c r="I9" s="35"/>
    </row>
    <row r="10" spans="2:9" x14ac:dyDescent="0.25">
      <c r="B10" s="4" t="s">
        <v>55</v>
      </c>
      <c r="C10" s="34"/>
      <c r="D10" s="34"/>
      <c r="E10" s="34"/>
      <c r="F10" s="34"/>
      <c r="G10" s="34"/>
      <c r="H10" s="34"/>
      <c r="I10" s="34"/>
    </row>
    <row r="11" spans="2:9" x14ac:dyDescent="0.25">
      <c r="B11" s="1" t="s">
        <v>13</v>
      </c>
      <c r="C11" s="11"/>
      <c r="D11" s="11"/>
      <c r="E11" s="11"/>
      <c r="F11" s="11"/>
      <c r="G11" s="11"/>
      <c r="H11" s="11"/>
      <c r="I11" s="11"/>
    </row>
    <row r="13" spans="2:9" x14ac:dyDescent="0.25">
      <c r="B13" s="1" t="s">
        <v>14</v>
      </c>
    </row>
    <row r="15" spans="2:9" x14ac:dyDescent="0.25">
      <c r="B15" s="6" t="s">
        <v>20</v>
      </c>
    </row>
    <row r="16" spans="2:9" x14ac:dyDescent="0.25">
      <c r="B16" s="6" t="s">
        <v>16</v>
      </c>
    </row>
    <row r="17" spans="2:9" x14ac:dyDescent="0.25">
      <c r="B17" s="6" t="s">
        <v>17</v>
      </c>
    </row>
    <row r="18" spans="2:9" x14ac:dyDescent="0.25">
      <c r="B18" s="6" t="s">
        <v>18</v>
      </c>
    </row>
    <row r="19" spans="2:9" x14ac:dyDescent="0.25">
      <c r="B19" s="6" t="s">
        <v>19</v>
      </c>
    </row>
    <row r="21" spans="2:9" x14ac:dyDescent="0.25">
      <c r="B21" s="6" t="s">
        <v>21</v>
      </c>
    </row>
    <row r="22" spans="2:9" x14ac:dyDescent="0.25">
      <c r="B22" s="6" t="s">
        <v>22</v>
      </c>
      <c r="C22" s="15">
        <v>0.04</v>
      </c>
      <c r="D22" s="14"/>
      <c r="E22" s="14"/>
      <c r="F22" s="15">
        <v>0</v>
      </c>
      <c r="G22" s="15">
        <v>0.08</v>
      </c>
      <c r="H22" s="14"/>
      <c r="I22" s="15">
        <v>0.04</v>
      </c>
    </row>
    <row r="23" spans="2:9" x14ac:dyDescent="0.25">
      <c r="B23" s="6" t="s">
        <v>23</v>
      </c>
      <c r="C23" s="15">
        <v>0.04</v>
      </c>
      <c r="D23" s="15">
        <v>0.06</v>
      </c>
      <c r="E23" s="15">
        <v>0.04</v>
      </c>
      <c r="F23" s="15">
        <v>0.04</v>
      </c>
      <c r="G23" s="15">
        <v>0.06</v>
      </c>
      <c r="H23" s="15">
        <v>0.06</v>
      </c>
      <c r="I23" s="15">
        <v>0.06</v>
      </c>
    </row>
    <row r="24" spans="2:9" x14ac:dyDescent="0.25">
      <c r="B24" s="6" t="s">
        <v>24</v>
      </c>
      <c r="C24" s="15">
        <v>0.04</v>
      </c>
      <c r="D24" s="15">
        <v>0.06</v>
      </c>
      <c r="E24" s="15">
        <v>0.04</v>
      </c>
      <c r="F24" s="15">
        <v>0.04</v>
      </c>
      <c r="G24" s="15">
        <v>0.06</v>
      </c>
      <c r="H24" s="15">
        <v>0.06</v>
      </c>
      <c r="I24" s="15">
        <v>0.06</v>
      </c>
    </row>
    <row r="25" spans="2:9" x14ac:dyDescent="0.25">
      <c r="B25" s="6"/>
    </row>
    <row r="26" spans="2:9" x14ac:dyDescent="0.25">
      <c r="B26" s="6" t="s">
        <v>25</v>
      </c>
    </row>
    <row r="27" spans="2:9" x14ac:dyDescent="0.25">
      <c r="B27" s="6" t="s">
        <v>26</v>
      </c>
    </row>
    <row r="28" spans="2:9" x14ac:dyDescent="0.25">
      <c r="B28" s="6" t="s">
        <v>27</v>
      </c>
    </row>
    <row r="29" spans="2:9" x14ac:dyDescent="0.25">
      <c r="B29" s="6" t="s">
        <v>28</v>
      </c>
    </row>
    <row r="30" spans="2:9" x14ac:dyDescent="0.25">
      <c r="B30" s="6" t="s">
        <v>29</v>
      </c>
    </row>
    <row r="32" spans="2:9" x14ac:dyDescent="0.25">
      <c r="B32" s="6" t="s">
        <v>30</v>
      </c>
    </row>
    <row r="33" spans="2:9" x14ac:dyDescent="0.25">
      <c r="B33" s="6" t="s">
        <v>31</v>
      </c>
      <c r="F33" s="15">
        <v>0.01</v>
      </c>
      <c r="I33" s="15">
        <v>0.05</v>
      </c>
    </row>
    <row r="34" spans="2:9" x14ac:dyDescent="0.25">
      <c r="B34" s="6" t="s">
        <v>32</v>
      </c>
      <c r="C34" s="15">
        <v>0.1</v>
      </c>
      <c r="D34" s="15">
        <v>0.1</v>
      </c>
      <c r="E34" s="15">
        <v>0.08</v>
      </c>
      <c r="F34" s="15">
        <v>0.06</v>
      </c>
      <c r="G34" s="15">
        <v>0.1</v>
      </c>
      <c r="H34" s="15">
        <v>0.08</v>
      </c>
      <c r="I34" s="15">
        <v>0.09</v>
      </c>
    </row>
    <row r="35" spans="2:9" x14ac:dyDescent="0.25">
      <c r="B35" s="6" t="s">
        <v>33</v>
      </c>
      <c r="C35" s="15">
        <v>0.1</v>
      </c>
      <c r="D35" s="15">
        <v>0.1</v>
      </c>
      <c r="E35" s="15">
        <v>0.08</v>
      </c>
      <c r="F35" s="15">
        <v>0.06</v>
      </c>
      <c r="G35" s="15">
        <v>0.1</v>
      </c>
      <c r="H35" s="15">
        <v>0.08</v>
      </c>
      <c r="I35" s="15">
        <v>0.09</v>
      </c>
    </row>
    <row r="37" spans="2:9" x14ac:dyDescent="0.25">
      <c r="B37" s="6" t="s">
        <v>44</v>
      </c>
    </row>
    <row r="38" spans="2:9" x14ac:dyDescent="0.25">
      <c r="B38" s="6" t="s">
        <v>45</v>
      </c>
    </row>
    <row r="39" spans="2:9" x14ac:dyDescent="0.25">
      <c r="B39" s="6" t="s">
        <v>46</v>
      </c>
    </row>
    <row r="40" spans="2:9" x14ac:dyDescent="0.25">
      <c r="B40" s="6" t="s">
        <v>47</v>
      </c>
    </row>
    <row r="41" spans="2:9" x14ac:dyDescent="0.25">
      <c r="B41" s="6" t="s">
        <v>48</v>
      </c>
    </row>
    <row r="42" spans="2:9" x14ac:dyDescent="0.25">
      <c r="B42" s="6"/>
    </row>
    <row r="43" spans="2:9" x14ac:dyDescent="0.25">
      <c r="B43" s="6" t="s">
        <v>34</v>
      </c>
    </row>
    <row r="44" spans="2:9" x14ac:dyDescent="0.25">
      <c r="B44" s="6" t="s">
        <v>35</v>
      </c>
    </row>
    <row r="45" spans="2:9" x14ac:dyDescent="0.25">
      <c r="B45" s="6" t="s">
        <v>36</v>
      </c>
    </row>
    <row r="46" spans="2:9" x14ac:dyDescent="0.25">
      <c r="B46" s="6" t="s">
        <v>37</v>
      </c>
      <c r="C46" s="21">
        <f t="shared" ref="C46:E47" si="0">C45</f>
        <v>0</v>
      </c>
      <c r="D46" s="21">
        <f t="shared" si="0"/>
        <v>0</v>
      </c>
      <c r="E46" s="21">
        <f t="shared" si="0"/>
        <v>0</v>
      </c>
      <c r="F46" s="17">
        <v>300</v>
      </c>
      <c r="G46" s="21">
        <f>G45</f>
        <v>0</v>
      </c>
      <c r="H46" s="21">
        <f>H45</f>
        <v>0</v>
      </c>
      <c r="I46" s="21">
        <f>I45</f>
        <v>0</v>
      </c>
    </row>
    <row r="47" spans="2:9" x14ac:dyDescent="0.25">
      <c r="B47" s="6" t="s">
        <v>38</v>
      </c>
      <c r="C47" s="21">
        <f t="shared" si="0"/>
        <v>0</v>
      </c>
      <c r="D47" s="21">
        <f t="shared" si="0"/>
        <v>0</v>
      </c>
      <c r="E47" s="21">
        <f t="shared" si="0"/>
        <v>0</v>
      </c>
      <c r="F47" s="17">
        <v>300</v>
      </c>
      <c r="G47" s="21">
        <f>G46</f>
        <v>0</v>
      </c>
      <c r="H47" s="21">
        <f>H46</f>
        <v>0</v>
      </c>
      <c r="I47" s="21">
        <f>I46</f>
        <v>0</v>
      </c>
    </row>
    <row r="49" spans="2:9" x14ac:dyDescent="0.25">
      <c r="B49" s="7" t="s">
        <v>39</v>
      </c>
      <c r="C49" s="17">
        <v>1500</v>
      </c>
      <c r="D49" s="17">
        <v>100</v>
      </c>
      <c r="E49" s="17">
        <v>125</v>
      </c>
      <c r="F49" s="17">
        <v>155</v>
      </c>
      <c r="G49" s="17">
        <v>600</v>
      </c>
      <c r="H49" s="17">
        <v>600</v>
      </c>
      <c r="I49" s="17">
        <v>600</v>
      </c>
    </row>
    <row r="51" spans="2:9" x14ac:dyDescent="0.25">
      <c r="B51" t="s">
        <v>57</v>
      </c>
      <c r="C51" s="15">
        <f>23%*0.75</f>
        <v>0.17250000000000001</v>
      </c>
      <c r="D51" s="15">
        <f>25%*0.75</f>
        <v>0.1875</v>
      </c>
      <c r="E51" s="15">
        <f>20%*0.75</f>
        <v>0.15000000000000002</v>
      </c>
      <c r="F51" s="15">
        <f>22%*0.75</f>
        <v>0.16500000000000001</v>
      </c>
      <c r="G51" s="15">
        <f>22%*0.75</f>
        <v>0.16500000000000001</v>
      </c>
      <c r="H51" s="15">
        <f>21%*0.75</f>
        <v>0.1575</v>
      </c>
      <c r="I51" s="15">
        <f>23%*0.75</f>
        <v>0.17250000000000001</v>
      </c>
    </row>
    <row r="53" spans="2:9" x14ac:dyDescent="0.25">
      <c r="B53" t="s">
        <v>40</v>
      </c>
      <c r="C53" s="12"/>
      <c r="D53" s="12"/>
      <c r="E53" s="12"/>
      <c r="F53" s="19"/>
      <c r="I53" s="19"/>
    </row>
    <row r="54" spans="2:9" x14ac:dyDescent="0.25">
      <c r="B54" t="s">
        <v>41</v>
      </c>
      <c r="C54" s="12"/>
      <c r="D54" s="12"/>
      <c r="E54" s="12"/>
      <c r="F54" s="19"/>
      <c r="I54" s="19"/>
    </row>
    <row r="55" spans="2:9" x14ac:dyDescent="0.25">
      <c r="B55" s="1" t="s">
        <v>43</v>
      </c>
      <c r="C55" s="12"/>
      <c r="D55" s="12"/>
      <c r="E55" s="12"/>
      <c r="F55" s="20"/>
      <c r="I55" s="20"/>
    </row>
    <row r="57" spans="2:9" x14ac:dyDescent="0.25">
      <c r="B57" s="18" t="s">
        <v>53</v>
      </c>
    </row>
    <row r="58" spans="2:9" x14ac:dyDescent="0.25">
      <c r="B58" s="18" t="s">
        <v>54</v>
      </c>
    </row>
    <row r="59" spans="2:9" x14ac:dyDescent="0.25">
      <c r="B59" s="18" t="s">
        <v>50</v>
      </c>
    </row>
    <row r="60" spans="2:9" x14ac:dyDescent="0.25">
      <c r="B60" s="18" t="s">
        <v>51</v>
      </c>
    </row>
    <row r="61" spans="2:9" x14ac:dyDescent="0.25">
      <c r="B61" s="18" t="s">
        <v>52</v>
      </c>
    </row>
    <row r="63" spans="2:9" x14ac:dyDescent="0.25">
      <c r="B63" t="s">
        <v>56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Compsheet - Input</vt:lpstr>
      <vt:lpstr>TEV Buildouts -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2025-07-20T12:30:47Z</dcterms:created>
  <dcterms:modified xsi:type="dcterms:W3CDTF">2025-07-21T13:05:21Z</dcterms:modified>
</cp:coreProperties>
</file>