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7778E9DC-01BA-4C8F-B630-C23C10F73210}" xr6:coauthVersionLast="47" xr6:coauthVersionMax="47" xr10:uidLastSave="{00000000-0000-0000-0000-000000000000}"/>
  <bookViews>
    <workbookView xWindow="-98" yWindow="353" windowWidth="28996" windowHeight="15944" xr2:uid="{86AD583E-3221-4694-9BB1-CC8A811C0A53}"/>
  </bookViews>
  <sheets>
    <sheet name="1. Business Assessment" sheetId="3" r:id="rId1"/>
    <sheet name="2. Operating Model" sheetId="1" r:id="rId2"/>
    <sheet name="3. Valuation" sheetId="5" r:id="rId3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'1. Business Assessment'!$B$2:$W$69</definedName>
    <definedName name="_xlnm.Print_Area" localSheetId="1">'2. Operating Model'!$B$2:$U$251</definedName>
    <definedName name="_xlnm.Print_Area" localSheetId="2">'3. Valuation'!$B$2:$O$36</definedName>
    <definedName name="_xlnm.Print_Titles" localSheetId="1">'2. Operating Model'!$2:$19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1" l="1"/>
  <c r="M43" i="1"/>
  <c r="N43" i="1"/>
  <c r="O43" i="1"/>
  <c r="J72" i="1"/>
  <c r="I72" i="1"/>
  <c r="H72" i="1"/>
  <c r="K79" i="1"/>
  <c r="K9" i="1"/>
  <c r="G30" i="5"/>
  <c r="G29" i="5"/>
  <c r="J134" i="1"/>
  <c r="I134" i="1"/>
  <c r="H134" i="1"/>
  <c r="K105" i="1"/>
  <c r="K100" i="1"/>
  <c r="K95" i="1"/>
  <c r="K87" i="1"/>
  <c r="L48" i="1"/>
  <c r="M48" i="1" s="1"/>
  <c r="N48" i="1" s="1"/>
  <c r="O48" i="1" s="1"/>
  <c r="K31" i="1"/>
  <c r="O31" i="1"/>
  <c r="N31" i="1"/>
  <c r="M31" i="1"/>
  <c r="L31" i="1"/>
  <c r="L47" i="1"/>
  <c r="J216" i="1" l="1"/>
  <c r="J215" i="1" s="1"/>
  <c r="J218" i="1"/>
  <c r="J219" i="1" s="1"/>
  <c r="L52" i="1"/>
  <c r="M52" i="1" s="1"/>
  <c r="N52" i="1" s="1"/>
  <c r="L94" i="1"/>
  <c r="L86" i="1"/>
  <c r="L104" i="1"/>
  <c r="L99" i="1"/>
  <c r="K25" i="1"/>
  <c r="L25" i="1" s="1"/>
  <c r="M25" i="1" s="1"/>
  <c r="K53" i="1"/>
  <c r="M94" i="1" l="1"/>
  <c r="L95" i="1"/>
  <c r="M99" i="1"/>
  <c r="L100" i="1"/>
  <c r="M104" i="1"/>
  <c r="L105" i="1"/>
  <c r="M86" i="1"/>
  <c r="L87" i="1"/>
  <c r="L26" i="1"/>
  <c r="L53" i="1"/>
  <c r="O53" i="1"/>
  <c r="N53" i="1"/>
  <c r="M53" i="1"/>
  <c r="N214" i="1"/>
  <c r="L214" i="1"/>
  <c r="J224" i="1"/>
  <c r="J223" i="1" s="1"/>
  <c r="J226" i="1"/>
  <c r="J227" i="1" s="1"/>
  <c r="L222" i="1"/>
  <c r="K222" i="1" s="1"/>
  <c r="N222" i="1"/>
  <c r="O222" i="1" s="1"/>
  <c r="C90" i="1"/>
  <c r="K18" i="1"/>
  <c r="N86" i="1" l="1"/>
  <c r="M87" i="1"/>
  <c r="N99" i="1"/>
  <c r="M100" i="1"/>
  <c r="N104" i="1"/>
  <c r="M105" i="1"/>
  <c r="N94" i="1"/>
  <c r="M95" i="1"/>
  <c r="N25" i="1"/>
  <c r="M26" i="1"/>
  <c r="K214" i="1"/>
  <c r="O214" i="1"/>
  <c r="C61" i="1"/>
  <c r="C56" i="1"/>
  <c r="K51" i="1"/>
  <c r="C51" i="1"/>
  <c r="I50" i="1"/>
  <c r="J50" i="1"/>
  <c r="H50" i="1"/>
  <c r="C71" i="1"/>
  <c r="J46" i="1"/>
  <c r="I46" i="1"/>
  <c r="H46" i="1"/>
  <c r="C68" i="1"/>
  <c r="I42" i="1"/>
  <c r="J42" i="1"/>
  <c r="H42" i="1"/>
  <c r="F12" i="1"/>
  <c r="R9" i="1" s="1"/>
  <c r="F13" i="1"/>
  <c r="I19" i="1"/>
  <c r="J19" i="1" s="1"/>
  <c r="Q23" i="1"/>
  <c r="C24" i="1"/>
  <c r="I24" i="1"/>
  <c r="I29" i="1"/>
  <c r="J29" i="1"/>
  <c r="C29" i="1"/>
  <c r="K29" i="1"/>
  <c r="L29" i="1"/>
  <c r="M29" i="1"/>
  <c r="N29" i="1"/>
  <c r="O29" i="1"/>
  <c r="C34" i="1"/>
  <c r="I34" i="1"/>
  <c r="J34" i="1"/>
  <c r="K38" i="1"/>
  <c r="L38" i="1"/>
  <c r="M38" i="1"/>
  <c r="N38" i="1"/>
  <c r="O38" i="1"/>
  <c r="H73" i="1"/>
  <c r="H93" i="1" s="1"/>
  <c r="I68" i="1"/>
  <c r="Q67" i="1"/>
  <c r="J71" i="1"/>
  <c r="I71" i="1"/>
  <c r="I73" i="1"/>
  <c r="J73" i="1"/>
  <c r="C77" i="1"/>
  <c r="Q84" i="1"/>
  <c r="C85" i="1"/>
  <c r="Q92" i="1"/>
  <c r="C93" i="1"/>
  <c r="C98" i="1"/>
  <c r="C103" i="1"/>
  <c r="C112" i="1"/>
  <c r="C125" i="1"/>
  <c r="H154" i="1"/>
  <c r="J154" i="1"/>
  <c r="H152" i="1"/>
  <c r="I152" i="1"/>
  <c r="I154" i="1"/>
  <c r="K173" i="1"/>
  <c r="E181" i="1"/>
  <c r="O94" i="1" l="1"/>
  <c r="O95" i="1" s="1"/>
  <c r="N95" i="1"/>
  <c r="O99" i="1"/>
  <c r="O100" i="1" s="1"/>
  <c r="N100" i="1"/>
  <c r="K43" i="1"/>
  <c r="K44" i="1"/>
  <c r="L44" i="1" s="1"/>
  <c r="M44" i="1" s="1"/>
  <c r="N44" i="1" s="1"/>
  <c r="O44" i="1" s="1"/>
  <c r="O104" i="1"/>
  <c r="O105" i="1" s="1"/>
  <c r="N105" i="1"/>
  <c r="O86" i="1"/>
  <c r="O87" i="1" s="1"/>
  <c r="N87" i="1"/>
  <c r="O25" i="1"/>
  <c r="O26" i="1" s="1"/>
  <c r="N26" i="1"/>
  <c r="J81" i="1"/>
  <c r="H234" i="1"/>
  <c r="R10" i="1"/>
  <c r="K154" i="1"/>
  <c r="L154" i="1" s="1"/>
  <c r="M154" i="1" s="1"/>
  <c r="N154" i="1" s="1"/>
  <c r="O154" i="1" s="1"/>
  <c r="I51" i="1"/>
  <c r="I56" i="1"/>
  <c r="K50" i="1"/>
  <c r="J51" i="1"/>
  <c r="L51" i="1"/>
  <c r="H153" i="1"/>
  <c r="K46" i="1"/>
  <c r="H112" i="1"/>
  <c r="K19" i="1"/>
  <c r="H125" i="1"/>
  <c r="H103" i="1"/>
  <c r="F14" i="1"/>
  <c r="I103" i="1"/>
  <c r="J93" i="1"/>
  <c r="J98" i="1"/>
  <c r="Q89" i="1"/>
  <c r="J90" i="1"/>
  <c r="J82" i="1"/>
  <c r="J107" i="1"/>
  <c r="G24" i="5" s="1"/>
  <c r="Q102" i="1"/>
  <c r="J103" i="1"/>
  <c r="I112" i="1"/>
  <c r="J153" i="1"/>
  <c r="I150" i="1"/>
  <c r="I153" i="1"/>
  <c r="H150" i="1"/>
  <c r="I125" i="1"/>
  <c r="J85" i="1"/>
  <c r="J77" i="1"/>
  <c r="Q76" i="1"/>
  <c r="J152" i="1"/>
  <c r="K152" i="1" s="1"/>
  <c r="L152" i="1" s="1"/>
  <c r="M152" i="1" s="1"/>
  <c r="N152" i="1" s="1"/>
  <c r="O152" i="1" s="1"/>
  <c r="Q33" i="1"/>
  <c r="I98" i="1"/>
  <c r="J150" i="1"/>
  <c r="I77" i="1"/>
  <c r="H98" i="1"/>
  <c r="J24" i="1"/>
  <c r="I81" i="1"/>
  <c r="H90" i="1"/>
  <c r="Q70" i="1"/>
  <c r="Q73" i="1"/>
  <c r="J68" i="1"/>
  <c r="I85" i="1"/>
  <c r="Q28" i="1"/>
  <c r="K28" i="1"/>
  <c r="L28" i="1" s="1"/>
  <c r="M28" i="1" s="1"/>
  <c r="N28" i="1" s="1"/>
  <c r="O28" i="1" s="1"/>
  <c r="R28" i="1" s="1"/>
  <c r="Q111" i="1"/>
  <c r="J112" i="1"/>
  <c r="J74" i="1"/>
  <c r="H77" i="1"/>
  <c r="H81" i="1"/>
  <c r="Q81" i="1" s="1"/>
  <c r="J125" i="1"/>
  <c r="H85" i="1"/>
  <c r="I74" i="1"/>
  <c r="I90" i="1"/>
  <c r="I93" i="1"/>
  <c r="L79" i="1" l="1"/>
  <c r="M79" i="1" s="1"/>
  <c r="N79" i="1" s="1"/>
  <c r="O79" i="1" s="1"/>
  <c r="K78" i="1"/>
  <c r="L78" i="1" s="1"/>
  <c r="M78" i="1" s="1"/>
  <c r="N78" i="1" s="1"/>
  <c r="O78" i="1" s="1"/>
  <c r="K212" i="1"/>
  <c r="G19" i="5"/>
  <c r="G22" i="5"/>
  <c r="L11" i="1"/>
  <c r="N212" i="1"/>
  <c r="L212" i="1"/>
  <c r="M212" i="1"/>
  <c r="O212" i="1"/>
  <c r="R11" i="1"/>
  <c r="G20" i="5" s="1"/>
  <c r="F16" i="1"/>
  <c r="H236" i="1" s="1"/>
  <c r="K153" i="1"/>
  <c r="L153" i="1" s="1"/>
  <c r="M153" i="1" s="1"/>
  <c r="N153" i="1" s="1"/>
  <c r="O153" i="1" s="1"/>
  <c r="J56" i="1"/>
  <c r="K98" i="1"/>
  <c r="L98" i="1" s="1"/>
  <c r="M98" i="1" s="1"/>
  <c r="N98" i="1" s="1"/>
  <c r="J162" i="1"/>
  <c r="K160" i="1" s="1"/>
  <c r="F139" i="1"/>
  <c r="K103" i="1"/>
  <c r="K93" i="1"/>
  <c r="L93" i="1" s="1"/>
  <c r="M51" i="1"/>
  <c r="L50" i="1"/>
  <c r="K70" i="1"/>
  <c r="K85" i="1"/>
  <c r="L19" i="1"/>
  <c r="K42" i="1"/>
  <c r="L46" i="1"/>
  <c r="L70" i="1" s="1"/>
  <c r="M47" i="1"/>
  <c r="L42" i="1"/>
  <c r="Q97" i="1"/>
  <c r="J116" i="1"/>
  <c r="J191" i="1"/>
  <c r="J122" i="1"/>
  <c r="J108" i="1"/>
  <c r="H235" i="1" s="1"/>
  <c r="H82" i="1"/>
  <c r="H107" i="1"/>
  <c r="I107" i="1"/>
  <c r="I82" i="1"/>
  <c r="K71" i="1" l="1"/>
  <c r="L71" i="1"/>
  <c r="J131" i="1"/>
  <c r="J133" i="1" s="1"/>
  <c r="J137" i="1" s="1"/>
  <c r="R13" i="1"/>
  <c r="K77" i="1"/>
  <c r="L77" i="1" s="1"/>
  <c r="J60" i="1"/>
  <c r="J61" i="1" s="1"/>
  <c r="K62" i="1" s="1"/>
  <c r="K56" i="1"/>
  <c r="L57" i="1"/>
  <c r="K58" i="1"/>
  <c r="M93" i="1"/>
  <c r="N93" i="1" s="1"/>
  <c r="O98" i="1"/>
  <c r="L103" i="1"/>
  <c r="M50" i="1"/>
  <c r="M19" i="1"/>
  <c r="N51" i="1"/>
  <c r="M77" i="1"/>
  <c r="N77" i="1" s="1"/>
  <c r="O77" i="1" s="1"/>
  <c r="L85" i="1"/>
  <c r="M46" i="1"/>
  <c r="M70" i="1" s="1"/>
  <c r="M71" i="1" s="1"/>
  <c r="N47" i="1"/>
  <c r="M42" i="1"/>
  <c r="J117" i="1"/>
  <c r="H116" i="1"/>
  <c r="H122" i="1"/>
  <c r="H108" i="1"/>
  <c r="I108" i="1"/>
  <c r="I122" i="1"/>
  <c r="I116" i="1"/>
  <c r="Q107" i="1"/>
  <c r="I117" i="1" l="1"/>
  <c r="I131" i="1"/>
  <c r="H133" i="1"/>
  <c r="H137" i="1" s="1"/>
  <c r="H117" i="1"/>
  <c r="I118" i="1" s="1"/>
  <c r="H131" i="1"/>
  <c r="K63" i="1"/>
  <c r="L63" i="1" s="1"/>
  <c r="M63" i="1" s="1"/>
  <c r="N63" i="1" s="1"/>
  <c r="O63" i="1" s="1"/>
  <c r="K61" i="1"/>
  <c r="L62" i="1"/>
  <c r="L58" i="1"/>
  <c r="K127" i="1"/>
  <c r="K114" i="1" s="1"/>
  <c r="K126" i="1"/>
  <c r="L56" i="1"/>
  <c r="M57" i="1"/>
  <c r="O93" i="1"/>
  <c r="M103" i="1"/>
  <c r="N103" i="1" s="1"/>
  <c r="O103" i="1" s="1"/>
  <c r="N19" i="1"/>
  <c r="N50" i="1"/>
  <c r="M85" i="1"/>
  <c r="N85" i="1" s="1"/>
  <c r="O47" i="1"/>
  <c r="O46" i="1" s="1"/>
  <c r="O70" i="1" s="1"/>
  <c r="N46" i="1"/>
  <c r="N70" i="1" s="1"/>
  <c r="N71" i="1" s="1"/>
  <c r="N42" i="1"/>
  <c r="O42" i="1" s="1"/>
  <c r="Q116" i="1"/>
  <c r="Q122" i="1"/>
  <c r="I109" i="1"/>
  <c r="I133" i="1"/>
  <c r="I137" i="1" s="1"/>
  <c r="J118" i="1"/>
  <c r="J109" i="1"/>
  <c r="K125" i="1" l="1"/>
  <c r="K113" i="1"/>
  <c r="K112" i="1" s="1"/>
  <c r="M62" i="1"/>
  <c r="M126" i="1" s="1"/>
  <c r="L61" i="1"/>
  <c r="M58" i="1"/>
  <c r="L127" i="1"/>
  <c r="L114" i="1" s="1"/>
  <c r="L126" i="1"/>
  <c r="N57" i="1"/>
  <c r="M56" i="1"/>
  <c r="O19" i="1"/>
  <c r="O51" i="1"/>
  <c r="O50" i="1" s="1"/>
  <c r="O85" i="1"/>
  <c r="O71" i="1"/>
  <c r="R70" i="1"/>
  <c r="L125" i="1" l="1"/>
  <c r="L113" i="1"/>
  <c r="L112" i="1" s="1"/>
  <c r="M125" i="1"/>
  <c r="M113" i="1"/>
  <c r="M112" i="1" s="1"/>
  <c r="N58" i="1"/>
  <c r="M127" i="1"/>
  <c r="M114" i="1" s="1"/>
  <c r="N62" i="1"/>
  <c r="M61" i="1"/>
  <c r="O57" i="1"/>
  <c r="N56" i="1"/>
  <c r="F203" i="1"/>
  <c r="O62" i="1" l="1"/>
  <c r="O61" i="1" s="1"/>
  <c r="N61" i="1"/>
  <c r="N126" i="1"/>
  <c r="O58" i="1"/>
  <c r="O127" i="1" s="1"/>
  <c r="O114" i="1" s="1"/>
  <c r="N127" i="1"/>
  <c r="N114" i="1" s="1"/>
  <c r="O56" i="1" l="1"/>
  <c r="N125" i="1"/>
  <c r="N113" i="1"/>
  <c r="N112" i="1" s="1"/>
  <c r="O126" i="1"/>
  <c r="N192" i="1"/>
  <c r="O192" i="1"/>
  <c r="I236" i="1" s="1"/>
  <c r="J236" i="1" s="1"/>
  <c r="M192" i="1"/>
  <c r="L192" i="1"/>
  <c r="O125" i="1" l="1"/>
  <c r="O113" i="1"/>
  <c r="O112" i="1" s="1"/>
  <c r="K24" i="1"/>
  <c r="K23" i="1" s="1"/>
  <c r="L24" i="1"/>
  <c r="M24" i="1"/>
  <c r="N24" i="1"/>
  <c r="O24" i="1"/>
  <c r="K67" i="1" l="1"/>
  <c r="K72" i="1" s="1"/>
  <c r="L23" i="1"/>
  <c r="M23" i="1" l="1"/>
  <c r="L67" i="1"/>
  <c r="L72" i="1" s="1"/>
  <c r="K68" i="1"/>
  <c r="K73" i="1"/>
  <c r="L73" i="1" l="1"/>
  <c r="L68" i="1"/>
  <c r="K92" i="1"/>
  <c r="K102" i="1"/>
  <c r="K148" i="1"/>
  <c r="K74" i="1"/>
  <c r="K36" i="1" s="1"/>
  <c r="K55" i="1"/>
  <c r="K76" i="1"/>
  <c r="K81" i="1" s="1"/>
  <c r="K97" i="1"/>
  <c r="K111" i="1"/>
  <c r="K124" i="1"/>
  <c r="K60" i="1"/>
  <c r="K84" i="1"/>
  <c r="N23" i="1"/>
  <c r="M67" i="1"/>
  <c r="M72" i="1" s="1"/>
  <c r="K35" i="1" l="1"/>
  <c r="K34" i="1" s="1"/>
  <c r="K33" i="1" s="1"/>
  <c r="K89" i="1" s="1"/>
  <c r="K107" i="1" s="1"/>
  <c r="K82" i="1"/>
  <c r="K149" i="1"/>
  <c r="K147" i="1"/>
  <c r="O23" i="1"/>
  <c r="N67" i="1"/>
  <c r="N72" i="1" s="1"/>
  <c r="M68" i="1"/>
  <c r="M73" i="1"/>
  <c r="L60" i="1"/>
  <c r="L84" i="1"/>
  <c r="L92" i="1"/>
  <c r="L102" i="1"/>
  <c r="L148" i="1"/>
  <c r="L74" i="1"/>
  <c r="L55" i="1"/>
  <c r="L76" i="1"/>
  <c r="L81" i="1" s="1"/>
  <c r="L97" i="1"/>
  <c r="L111" i="1"/>
  <c r="L124" i="1"/>
  <c r="L35" i="1" l="1"/>
  <c r="L36" i="1"/>
  <c r="K150" i="1"/>
  <c r="K129" i="1" s="1"/>
  <c r="L82" i="1"/>
  <c r="M55" i="1"/>
  <c r="M76" i="1"/>
  <c r="M81" i="1" s="1"/>
  <c r="M97" i="1"/>
  <c r="M111" i="1"/>
  <c r="M124" i="1"/>
  <c r="M60" i="1"/>
  <c r="M84" i="1"/>
  <c r="M92" i="1"/>
  <c r="M102" i="1"/>
  <c r="M148" i="1"/>
  <c r="M74" i="1"/>
  <c r="K108" i="1"/>
  <c r="K109" i="1" s="1"/>
  <c r="K116" i="1"/>
  <c r="K122" i="1"/>
  <c r="F15" i="1"/>
  <c r="K191" i="1"/>
  <c r="K193" i="1" s="1"/>
  <c r="N68" i="1"/>
  <c r="N73" i="1"/>
  <c r="L147" i="1"/>
  <c r="L149" i="1"/>
  <c r="O67" i="1"/>
  <c r="O72" i="1" s="1"/>
  <c r="R23" i="1"/>
  <c r="K90" i="1"/>
  <c r="L34" i="1" l="1"/>
  <c r="L33" i="1" s="1"/>
  <c r="L89" i="1" s="1"/>
  <c r="L107" i="1" s="1"/>
  <c r="G17" i="5" s="1"/>
  <c r="M36" i="1"/>
  <c r="N36" i="1" s="1"/>
  <c r="O36" i="1" s="1"/>
  <c r="M35" i="1"/>
  <c r="K117" i="1"/>
  <c r="K118" i="1" s="1"/>
  <c r="R67" i="1"/>
  <c r="O68" i="1"/>
  <c r="O73" i="1"/>
  <c r="I234" i="1" s="1"/>
  <c r="M82" i="1"/>
  <c r="N74" i="1"/>
  <c r="N35" i="1" s="1"/>
  <c r="N55" i="1"/>
  <c r="N76" i="1"/>
  <c r="N81" i="1" s="1"/>
  <c r="N97" i="1"/>
  <c r="N111" i="1"/>
  <c r="N124" i="1"/>
  <c r="N60" i="1"/>
  <c r="N84" i="1"/>
  <c r="N92" i="1"/>
  <c r="N102" i="1"/>
  <c r="N148" i="1"/>
  <c r="K12" i="1"/>
  <c r="L12" i="1" s="1"/>
  <c r="K10" i="1"/>
  <c r="L10" i="1" s="1"/>
  <c r="M147" i="1"/>
  <c r="M149" i="1"/>
  <c r="L150" i="1"/>
  <c r="L129" i="1" s="1"/>
  <c r="L90" i="1" l="1"/>
  <c r="L108" i="1"/>
  <c r="L109" i="1" s="1"/>
  <c r="M34" i="1"/>
  <c r="M33" i="1" s="1"/>
  <c r="M89" i="1" s="1"/>
  <c r="M107" i="1" s="1"/>
  <c r="M122" i="1" s="1"/>
  <c r="L191" i="1"/>
  <c r="L193" i="1" s="1"/>
  <c r="L122" i="1"/>
  <c r="L116" i="1"/>
  <c r="N34" i="1"/>
  <c r="J234" i="1"/>
  <c r="K234" i="1" s="1"/>
  <c r="J179" i="1"/>
  <c r="H237" i="1" s="1"/>
  <c r="N82" i="1"/>
  <c r="R73" i="1"/>
  <c r="O92" i="1"/>
  <c r="R92" i="1" s="1"/>
  <c r="O102" i="1"/>
  <c r="R102" i="1" s="1"/>
  <c r="O148" i="1"/>
  <c r="O74" i="1"/>
  <c r="O35" i="1" s="1"/>
  <c r="O55" i="1"/>
  <c r="O76" i="1"/>
  <c r="O81" i="1" s="1"/>
  <c r="O97" i="1"/>
  <c r="R97" i="1" s="1"/>
  <c r="O111" i="1"/>
  <c r="O124" i="1"/>
  <c r="O60" i="1"/>
  <c r="O84" i="1"/>
  <c r="R84" i="1" s="1"/>
  <c r="M150" i="1"/>
  <c r="M129" i="1" s="1"/>
  <c r="L117" i="1"/>
  <c r="L118" i="1" s="1"/>
  <c r="K13" i="1"/>
  <c r="N149" i="1"/>
  <c r="N147" i="1"/>
  <c r="M191" i="1" l="1"/>
  <c r="M193" i="1" s="1"/>
  <c r="M116" i="1"/>
  <c r="M117" i="1" s="1"/>
  <c r="M118" i="1" s="1"/>
  <c r="M108" i="1"/>
  <c r="M109" i="1" s="1"/>
  <c r="M90" i="1"/>
  <c r="N33" i="1"/>
  <c r="N89" i="1" s="1"/>
  <c r="N107" i="1" s="1"/>
  <c r="N191" i="1" s="1"/>
  <c r="N193" i="1" s="1"/>
  <c r="L13" i="1"/>
  <c r="N150" i="1"/>
  <c r="N129" i="1" s="1"/>
  <c r="R81" i="1"/>
  <c r="O82" i="1"/>
  <c r="R111" i="1"/>
  <c r="O149" i="1"/>
  <c r="R76" i="1"/>
  <c r="O147" i="1"/>
  <c r="K177" i="1"/>
  <c r="J195" i="1"/>
  <c r="N108" i="1" l="1"/>
  <c r="N109" i="1" s="1"/>
  <c r="N90" i="1"/>
  <c r="N122" i="1"/>
  <c r="N116" i="1"/>
  <c r="N117" i="1" s="1"/>
  <c r="N118" i="1" s="1"/>
  <c r="J192" i="1"/>
  <c r="J193" i="1" s="1"/>
  <c r="J196" i="1" s="1"/>
  <c r="J199" i="1" s="1"/>
  <c r="J203" i="1" s="1"/>
  <c r="O34" i="1"/>
  <c r="O33" i="1" s="1"/>
  <c r="O89" i="1" s="1"/>
  <c r="O107" i="1" s="1"/>
  <c r="O122" i="1" s="1"/>
  <c r="O150" i="1"/>
  <c r="O129" i="1" s="1"/>
  <c r="K181" i="1"/>
  <c r="K164" i="1" s="1"/>
  <c r="K136" i="1" s="1"/>
  <c r="K187" i="1" s="1"/>
  <c r="R33" i="1" l="1"/>
  <c r="R107" i="1"/>
  <c r="O108" i="1"/>
  <c r="O109" i="1" s="1"/>
  <c r="O116" i="1"/>
  <c r="R116" i="1" s="1"/>
  <c r="O90" i="1"/>
  <c r="O191" i="1"/>
  <c r="O193" i="1" s="1"/>
  <c r="R89" i="1"/>
  <c r="K130" i="1"/>
  <c r="R122" i="1"/>
  <c r="I235" i="1" l="1"/>
  <c r="J235" i="1" s="1"/>
  <c r="K235" i="1" s="1"/>
  <c r="O117" i="1"/>
  <c r="O118" i="1" s="1"/>
  <c r="K131" i="1"/>
  <c r="K133" i="1" s="1"/>
  <c r="K137" i="1" l="1"/>
  <c r="K139" i="1" s="1"/>
  <c r="K169" i="1" s="1"/>
  <c r="K134" i="1"/>
  <c r="K236" i="1"/>
  <c r="K140" i="1" l="1"/>
  <c r="K178" i="1" s="1"/>
  <c r="K141" i="1" s="1"/>
  <c r="K142" i="1" s="1"/>
  <c r="K161" i="1" s="1"/>
  <c r="K162" i="1" s="1"/>
  <c r="L160" i="1" s="1"/>
  <c r="K170" i="1" l="1"/>
  <c r="K171" i="1" s="1"/>
  <c r="L168" i="1" s="1"/>
  <c r="K179" i="1"/>
  <c r="L177" i="1" s="1"/>
  <c r="L181" i="1" s="1"/>
  <c r="K195" i="1" l="1"/>
  <c r="K196" i="1" s="1"/>
  <c r="K198" i="1" s="1"/>
  <c r="K199" i="1" s="1"/>
  <c r="K203" i="1" s="1"/>
  <c r="K183" i="1"/>
  <c r="K185" i="1" s="1"/>
  <c r="L173" i="1"/>
  <c r="L164" i="1" s="1"/>
  <c r="L136" i="1" s="1"/>
  <c r="K184" i="1" l="1"/>
  <c r="K186" i="1" s="1"/>
  <c r="L130" i="1"/>
  <c r="L187" i="1"/>
  <c r="L131" i="1" l="1"/>
  <c r="L133" i="1" s="1"/>
  <c r="L137" i="1" l="1"/>
  <c r="L139" i="1" s="1"/>
  <c r="L169" i="1" s="1"/>
  <c r="L134" i="1"/>
  <c r="L140" i="1" l="1"/>
  <c r="L178" i="1" l="1"/>
  <c r="L170" i="1"/>
  <c r="L171" i="1" s="1"/>
  <c r="M168" i="1" l="1"/>
  <c r="M173" i="1" s="1"/>
  <c r="L141" i="1"/>
  <c r="L142" i="1" s="1"/>
  <c r="L161" i="1" s="1"/>
  <c r="L162" i="1" s="1"/>
  <c r="M160" i="1" s="1"/>
  <c r="L179" i="1"/>
  <c r="M177" i="1" s="1"/>
  <c r="M181" i="1" s="1"/>
  <c r="L195" i="1" l="1"/>
  <c r="L196" i="1" s="1"/>
  <c r="L198" i="1" s="1"/>
  <c r="L199" i="1" s="1"/>
  <c r="L203" i="1" s="1"/>
  <c r="M164" i="1"/>
  <c r="M136" i="1" s="1"/>
  <c r="L183" i="1"/>
  <c r="L184" i="1" l="1"/>
  <c r="L186" i="1" s="1"/>
  <c r="L185" i="1"/>
  <c r="M130" i="1"/>
  <c r="M187" i="1"/>
  <c r="M131" i="1" l="1"/>
  <c r="M133" i="1" s="1"/>
  <c r="M137" i="1" l="1"/>
  <c r="M139" i="1" s="1"/>
  <c r="M169" i="1" s="1"/>
  <c r="M134" i="1"/>
  <c r="M140" i="1" l="1"/>
  <c r="M170" i="1" l="1"/>
  <c r="M171" i="1" s="1"/>
  <c r="M178" i="1"/>
  <c r="M179" i="1" l="1"/>
  <c r="M141" i="1"/>
  <c r="M142" i="1" s="1"/>
  <c r="M161" i="1" s="1"/>
  <c r="M162" i="1" s="1"/>
  <c r="N160" i="1" s="1"/>
  <c r="N168" i="1"/>
  <c r="N173" i="1" s="1"/>
  <c r="M195" i="1" l="1"/>
  <c r="M196" i="1" s="1"/>
  <c r="M198" i="1" s="1"/>
  <c r="M199" i="1" s="1"/>
  <c r="M203" i="1" s="1"/>
  <c r="M183" i="1"/>
  <c r="N177" i="1"/>
  <c r="N181" i="1" s="1"/>
  <c r="N164" i="1" s="1"/>
  <c r="N136" i="1" s="1"/>
  <c r="N187" i="1" l="1"/>
  <c r="N130" i="1"/>
  <c r="M185" i="1"/>
  <c r="M184" i="1"/>
  <c r="M186" i="1" s="1"/>
  <c r="N131" i="1" l="1"/>
  <c r="N133" i="1" s="1"/>
  <c r="N137" i="1" l="1"/>
  <c r="N139" i="1" s="1"/>
  <c r="N169" i="1" s="1"/>
  <c r="N134" i="1"/>
  <c r="N140" i="1" l="1"/>
  <c r="N170" i="1" l="1"/>
  <c r="N171" i="1" s="1"/>
  <c r="N178" i="1"/>
  <c r="N141" i="1" l="1"/>
  <c r="N142" i="1" s="1"/>
  <c r="N161" i="1" s="1"/>
  <c r="N162" i="1" s="1"/>
  <c r="O160" i="1" s="1"/>
  <c r="N179" i="1"/>
  <c r="O168" i="1"/>
  <c r="O173" i="1" s="1"/>
  <c r="N195" i="1" l="1"/>
  <c r="N196" i="1" s="1"/>
  <c r="N198" i="1" s="1"/>
  <c r="N199" i="1" s="1"/>
  <c r="N203" i="1" s="1"/>
  <c r="N183" i="1"/>
  <c r="O177" i="1"/>
  <c r="O181" i="1" l="1"/>
  <c r="O164" i="1" s="1"/>
  <c r="O136" i="1" s="1"/>
  <c r="N184" i="1"/>
  <c r="N186" i="1" s="1"/>
  <c r="N185" i="1"/>
  <c r="O187" i="1" l="1"/>
  <c r="O130" i="1"/>
  <c r="O131" i="1" l="1"/>
  <c r="O133" i="1" s="1"/>
  <c r="O137" i="1" l="1"/>
  <c r="O139" i="1" s="1"/>
  <c r="O169" i="1" s="1"/>
  <c r="O134" i="1"/>
  <c r="O140" i="1" l="1"/>
  <c r="O170" i="1" l="1"/>
  <c r="O171" i="1" s="1"/>
  <c r="O178" i="1"/>
  <c r="O141" i="1" l="1"/>
  <c r="O142" i="1" s="1"/>
  <c r="O161" i="1" s="1"/>
  <c r="O162" i="1" s="1"/>
  <c r="O179" i="1"/>
  <c r="O183" i="1" s="1"/>
  <c r="O195" i="1" l="1"/>
  <c r="O196" i="1" s="1"/>
  <c r="O198" i="1" s="1"/>
  <c r="O184" i="1"/>
  <c r="O186" i="1" s="1"/>
  <c r="O185" i="1"/>
  <c r="O199" i="1" l="1"/>
  <c r="K238" i="1"/>
  <c r="I237" i="1"/>
  <c r="J237" i="1" s="1"/>
  <c r="K237" i="1" s="1"/>
  <c r="O203" i="1" l="1"/>
  <c r="G15" i="5"/>
  <c r="G16" i="5" s="1"/>
  <c r="G18" i="5" s="1"/>
  <c r="G21" i="5" s="1"/>
  <c r="G23" i="5" l="1"/>
  <c r="G25" i="5" s="1"/>
  <c r="G26" i="5"/>
  <c r="F205" i="1"/>
  <c r="J15" i="1" s="1"/>
  <c r="F206" i="1"/>
  <c r="J16" i="1" s="1"/>
  <c r="F207" i="1"/>
  <c r="L236" i="1" l="1"/>
  <c r="M236" i="1" s="1"/>
  <c r="K239" i="1"/>
  <c r="L234" i="1"/>
  <c r="L237" i="1"/>
  <c r="M237" i="1" s="1"/>
  <c r="L238" i="1"/>
  <c r="M238" i="1" s="1"/>
  <c r="L235" i="1"/>
  <c r="M235" i="1" s="1"/>
  <c r="J222" i="1"/>
  <c r="J212" i="1"/>
  <c r="J214" i="1"/>
  <c r="L239" i="1" l="1"/>
  <c r="M234" i="1"/>
  <c r="M2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9" authorId="0" shapeId="0" xr:uid="{C71C9E7C-3527-4D11-9738-01920CE347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Only ~40% LTV given limited ability to pay down debt in downside case</t>
        </r>
      </text>
    </comment>
    <comment ref="F10" authorId="0" shapeId="0" xr:uid="{61C6E00F-7F3B-443C-8B88-64BA81C06A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20-40% is a typical control premium</t>
        </r>
      </text>
    </comment>
    <comment ref="L10" authorId="0" shapeId="0" xr:uid="{3CFD4C69-59D3-4C16-B00C-932F791F76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Previously set to NTM (FY22), whereas should be comparing to LTM (FY21)</t>
        </r>
      </text>
    </comment>
    <comment ref="K11" authorId="0" shapeId="0" xr:uid="{CECE413E-90F6-445B-8083-79F73618D8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historical balance sheet, ~1.5% of sales</t>
        </r>
      </text>
    </comment>
    <comment ref="L11" authorId="0" shapeId="0" xr:uid="{58D1DEEF-B293-4311-A901-0A39F6437D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Previously set to NTM (FY22), whereas should be comparing to LTM (FY21)</t>
        </r>
      </text>
    </comment>
    <comment ref="L12" authorId="0" shapeId="0" xr:uid="{36509EE9-E933-430F-9105-8F17234E0A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Previously set to NTM (FY22), whereas should be comparing to LTM (FY21)</t>
        </r>
      </text>
    </comment>
    <comment ref="R12" authorId="0" shapeId="0" xr:uid="{1FF8A5CA-B862-47EA-8F2B-3A307465D3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L13" authorId="0" shapeId="0" xr:uid="{1ED8AAED-BE80-406C-9430-C591A7572D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Previously set to NTM (FY22), whereas should be comparing to LTM (FY21)</t>
        </r>
      </text>
    </comment>
    <comment ref="K25" authorId="0" shapeId="0" xr:uid="{014DDD90-C809-4E79-BCA6-7762C5B607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the year ahead, we will open two new stores in Kirkby and Chelmsford, and two temporary replacement stores in Camden and Little Clacton</t>
        </r>
      </text>
    </comment>
    <comment ref="L26" authorId="0" shapeId="0" xr:uid="{B81B438C-5305-4DD7-966F-CE12DB4872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Slower development</t>
        </r>
      </text>
    </comment>
    <comment ref="K31" authorId="0" shapeId="0" xr:uid="{5F23139E-4D50-406F-8F4D-46C832816E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Slower development</t>
        </r>
      </text>
    </comment>
    <comment ref="K35" authorId="0" shapeId="0" xr:uid="{967B2809-54B0-4940-91F4-A507C46001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Broadly tracks revenue growth, weighted to give operating leverage benefit. Weight declines due to staff reductions</t>
        </r>
      </text>
    </comment>
    <comment ref="K36" authorId="0" shapeId="0" xr:uid="{6F6203DA-10A9-47F1-B8D5-D6E88D9FAA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Broadly tracks revenue growth, weighted to give operating leverage benefit. Downside scenario would see slower increase in employee adds. Weight declines due to staff reductions</t>
        </r>
      </text>
    </comment>
    <comment ref="C38" authorId="0" shapeId="0" xr:uid="{5B8CC1FC-3924-4A0D-BE80-5B102C578B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Driver not in use</t>
        </r>
      </text>
    </comment>
    <comment ref="K43" authorId="0" shapeId="0" xr:uid="{30E318C0-6882-40F7-A4A2-D896ECBD6F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Morrisons able to drive higher customer spend / proxy for online sales</t>
        </r>
      </text>
    </comment>
    <comment ref="K44" authorId="0" shapeId="0" xr:uid="{4B357F98-6E6B-47FF-8C41-B98B0E3A13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more stagnant spend per store</t>
        </r>
      </text>
    </comment>
    <comment ref="K47" authorId="0" shapeId="0" xr:uid="{F5E476C8-D2BF-4D84-A86D-98CEE49407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Q1 results: fuel sales back to pre-covid levels</t>
        </r>
      </text>
    </comment>
    <comment ref="K48" authorId="0" shapeId="0" xr:uid="{269554F4-4142-481B-B5A6-70C3C865AE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Q1 results: fuel sales back to pre-covid levels</t>
        </r>
      </text>
    </comment>
    <comment ref="K52" authorId="0" shapeId="0" xr:uid="{3706746A-7EED-4B38-B719-5720CA32D4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Labour costs have grown at a ~7% CAGR since 2015</t>
        </r>
      </text>
    </comment>
    <comment ref="I56" authorId="0" shapeId="0" xr:uid="{8D7ADFC4-BF43-4EDD-9429-BD2AB6DFA0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split provided but we can assume all 2020 capex was maintenance because no new store/petrol station openings</t>
        </r>
      </text>
    </comment>
    <comment ref="K57" authorId="0" shapeId="0" xr:uid="{D409457A-38C0-42B0-B187-CD2A6EEC60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Guidance of 600m</t>
        </r>
      </text>
    </comment>
    <comment ref="K58" authorId="0" shapeId="0" xr:uid="{0BFC5341-0F38-43D9-9EF7-5007B9FB86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change in downside scenario</t>
        </r>
      </text>
    </comment>
    <comment ref="C60" authorId="0" shapeId="0" xr:uid="{5514C16D-338E-4977-8FA1-12118ECA91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allocating uniformly in the absence of disclosures</t>
        </r>
      </text>
    </comment>
    <comment ref="K63" authorId="0" shapeId="0" xr:uid="{B4262560-A571-4DD7-920C-C2942199DD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change in downside scenario</t>
        </r>
      </text>
    </comment>
    <comment ref="K78" authorId="0" shapeId="0" xr:uid="{638F9548-7412-48CD-835B-08527BDCBA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Analyst estimate of 20bps cost savings from vertical integration</t>
        </r>
      </text>
    </comment>
    <comment ref="K79" authorId="0" shapeId="0" xr:uid="{3314C5A4-73D4-45F2-AE30-284ACC1C55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cost saving benefit</t>
        </r>
      </text>
    </comment>
    <comment ref="K86" authorId="0" shapeId="0" xr:uid="{F793C95F-0F0E-4ED6-8583-AC85F47C86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consistent with historical average</t>
        </r>
      </text>
    </comment>
    <comment ref="K94" authorId="0" shapeId="0" xr:uid="{802C04B6-C064-4689-9177-05DCA14355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consistent with historical average</t>
        </r>
      </text>
    </comment>
    <comment ref="K99" authorId="0" shapeId="0" xr:uid="{F5A405BF-EB63-477C-A877-F69B797D44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consistent with historical average</t>
        </r>
      </text>
    </comment>
    <comment ref="K104" authorId="0" shapeId="0" xr:uid="{2C6F4BE5-95AB-41C9-9C78-AABC3B53FC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consistent with historical average</t>
        </r>
      </text>
    </comment>
    <comment ref="K113" authorId="0" shapeId="0" xr:uid="{105F77DA-1EFB-458B-A7FC-03EF2AE056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80% of capex</t>
        </r>
      </text>
    </comment>
    <comment ref="K124" authorId="0" shapeId="0" xr:uid="{7B4D1745-FB77-4E04-B25C-C51DA079C4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Guidance of 600m</t>
        </r>
      </text>
    </comment>
    <comment ref="K129" authorId="0" shapeId="0" xr:uid="{88955DFD-97A8-4DE3-942E-FF91627755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Post-COVID ramp-up in NWC is a source of cash as it is -ve</t>
        </r>
      </text>
    </comment>
    <comment ref="F130" authorId="0" shapeId="0" xr:uid="{624F4828-D328-498C-BBCB-48915ABABC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Company guidance</t>
        </r>
      </text>
    </comment>
    <comment ref="K132" authorId="0" shapeId="0" xr:uid="{5BF60C83-607E-46DA-BFCB-8F567F1A5A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Predominantly one-off restructuring charges</t>
        </r>
      </text>
    </comment>
    <comment ref="F181" authorId="0" shapeId="0" xr:uid="{04156568-A4CD-47F1-8888-CA6BA21A43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 first lien</t>
        </r>
      </text>
    </comment>
    <comment ref="F198" authorId="0" shapeId="0" xr:uid="{B1BD63F7-25A9-4DE6-B56C-76C81499A0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Simplifying assumption in the absence of disclosure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8" authorId="0" shapeId="0" xr:uid="{D94439E9-B70F-48AC-8D76-A8B9D2C1F7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Assuming pg3 of material 3.3 is on an LTM EBITDA basis</t>
        </r>
      </text>
    </comment>
  </commentList>
</comments>
</file>

<file path=xl/sharedStrings.xml><?xml version="1.0" encoding="utf-8"?>
<sst xmlns="http://schemas.openxmlformats.org/spreadsheetml/2006/main" count="255" uniqueCount="210">
  <si>
    <t>D&amp;A</t>
  </si>
  <si>
    <t>Taxes</t>
  </si>
  <si>
    <t>P&amp;L</t>
  </si>
  <si>
    <t>Actuals</t>
  </si>
  <si>
    <t>Capex</t>
  </si>
  <si>
    <t>Change in Cash</t>
  </si>
  <si>
    <t>Gross profit</t>
  </si>
  <si>
    <t>Base Case</t>
  </si>
  <si>
    <t>Downside Case</t>
  </si>
  <si>
    <t>Adj. EBITDA</t>
  </si>
  <si>
    <t>Cash</t>
  </si>
  <si>
    <t>Repayment</t>
  </si>
  <si>
    <t>Draw</t>
  </si>
  <si>
    <t>RCF</t>
  </si>
  <si>
    <t>Total Cash Interest</t>
  </si>
  <si>
    <t>% gross margin</t>
  </si>
  <si>
    <t>% margin</t>
  </si>
  <si>
    <t>Change in working capital</t>
  </si>
  <si>
    <t>Cash interest</t>
  </si>
  <si>
    <t>BoP balance</t>
  </si>
  <si>
    <t>EoP balance</t>
  </si>
  <si>
    <t>Cash &amp; Debt Schedule</t>
  </si>
  <si>
    <t>Cash Flows</t>
  </si>
  <si>
    <t>RCF draw</t>
  </si>
  <si>
    <t>RCF repay</t>
  </si>
  <si>
    <t>LIBOR</t>
  </si>
  <si>
    <t>Margin</t>
  </si>
  <si>
    <t>Others &amp; exceptionals</t>
  </si>
  <si>
    <t>Adj. EBIT</t>
  </si>
  <si>
    <t>Q1: Business Assessment</t>
  </si>
  <si>
    <t>As of Jan, £m</t>
  </si>
  <si>
    <t>% growth</t>
  </si>
  <si>
    <t>% LfL revenue growth (excl. fuel)</t>
  </si>
  <si>
    <t>COGS</t>
  </si>
  <si>
    <t>Other costs</t>
  </si>
  <si>
    <t>Employee costs</t>
  </si>
  <si>
    <t>Administrative expenses</t>
  </si>
  <si>
    <t>Other operating income</t>
  </si>
  <si>
    <t>Total number of stores</t>
  </si>
  <si>
    <t>Petrol filling stations</t>
  </si>
  <si>
    <t>Fuel revenues</t>
  </si>
  <si>
    <t>Total revenue</t>
  </si>
  <si>
    <t>Employees (FTE)</t>
  </si>
  <si>
    <t>Rent expense</t>
  </si>
  <si>
    <t>Interest expense</t>
  </si>
  <si>
    <t>Debt repayments</t>
  </si>
  <si>
    <t>EoP Balance</t>
  </si>
  <si>
    <t>BoP Balance</t>
  </si>
  <si>
    <t>Returns</t>
  </si>
  <si>
    <t>EBITDA</t>
  </si>
  <si>
    <t>Less: net debt</t>
  </si>
  <si>
    <t xml:space="preserve">Equity value </t>
  </si>
  <si>
    <t>Attributable equity value</t>
  </si>
  <si>
    <t>Net equity cash flows</t>
  </si>
  <si>
    <t>IRR</t>
  </si>
  <si>
    <t>MOIC</t>
  </si>
  <si>
    <t>Net profit (£m)</t>
  </si>
  <si>
    <t>EV / EBITDA (x)</t>
  </si>
  <si>
    <t>Enterprise value</t>
  </si>
  <si>
    <t>Sources</t>
  </si>
  <si>
    <t>£m</t>
  </si>
  <si>
    <t>Uses</t>
  </si>
  <si>
    <t>xEBITDA</t>
  </si>
  <si>
    <t>Total Sources</t>
  </si>
  <si>
    <t>Total Uses</t>
  </si>
  <si>
    <t>Acquisition financing</t>
  </si>
  <si>
    <t>Equity</t>
  </si>
  <si>
    <t>Transaction fees</t>
  </si>
  <si>
    <t>Operating case</t>
  </si>
  <si>
    <t>Entry assumptions</t>
  </si>
  <si>
    <t>Diluted TSO (m)</t>
  </si>
  <si>
    <t>Equity purchase price</t>
  </si>
  <si>
    <t>Management incentive plan</t>
  </si>
  <si>
    <t>KPIs</t>
  </si>
  <si>
    <t>Inventories</t>
  </si>
  <si>
    <t>Trade receivables</t>
  </si>
  <si>
    <t>Trade payables</t>
  </si>
  <si>
    <t>DIO</t>
  </si>
  <si>
    <t>DSO</t>
  </si>
  <si>
    <t>DPO</t>
  </si>
  <si>
    <t>Net trade working capital</t>
  </si>
  <si>
    <t>Unlevered FCF</t>
  </si>
  <si>
    <t>Levered FCF</t>
  </si>
  <si>
    <t>(1) = Base Case; (2) = Downside Case</t>
  </si>
  <si>
    <t>The below populated model serves as a template, but you can amend as you see fit (if needed)</t>
  </si>
  <si>
    <t>CAGR</t>
  </si>
  <si>
    <t>'19-'21</t>
  </si>
  <si>
    <t>'21-'26</t>
  </si>
  <si>
    <t>x</t>
  </si>
  <si>
    <t>Adj. EBITDA (pre IFRS-16)</t>
  </si>
  <si>
    <t>Enterprise Value ¹</t>
  </si>
  <si>
    <t>Plus: Net debt and debt-like items¹</t>
  </si>
  <si>
    <t>¹ Excludes leases (EBITDA shown net of lease costs)</t>
  </si>
  <si>
    <t>Premium to current share price (%)</t>
  </si>
  <si>
    <t>Undisturbed share price (£p)</t>
  </si>
  <si>
    <t>Repay existing net debt</t>
  </si>
  <si>
    <t>Cash consideration to shareholders</t>
  </si>
  <si>
    <t>Working Capital Schedule</t>
  </si>
  <si>
    <t>&lt;&lt;&lt; Simplifying assumption: assume interest paid on opening balance</t>
  </si>
  <si>
    <t>&lt;&lt;&lt; Simplifying assumptions: (i) assume interest paid on opening balance and (ii) no commitment fee on undrawn portion</t>
  </si>
  <si>
    <t>Net debt at closing</t>
  </si>
  <si>
    <t>o/w min cash</t>
  </si>
  <si>
    <t>Memo: transaction fees as % of EV</t>
  </si>
  <si>
    <t>Implied EV / FY22 EBITDA</t>
  </si>
  <si>
    <t>o/w acquisition financing</t>
  </si>
  <si>
    <t>Exit date</t>
  </si>
  <si>
    <t>n.a.</t>
  </si>
  <si>
    <t>Q3: Valuation</t>
  </si>
  <si>
    <t>Q2: Operating Model</t>
  </si>
  <si>
    <t>Comps</t>
  </si>
  <si>
    <t>Strengths</t>
  </si>
  <si>
    <t>Weaknesses</t>
  </si>
  <si>
    <t>Opportunities</t>
  </si>
  <si>
    <t>Threats</t>
  </si>
  <si>
    <t>Investment Highlights</t>
  </si>
  <si>
    <t>Revenue/Store</t>
  </si>
  <si>
    <t>Revenue excl. fuel (stores)</t>
  </si>
  <si>
    <t>Revenue/Petrol Station</t>
  </si>
  <si>
    <t>Comp/FTE</t>
  </si>
  <si>
    <t>Maintenance Capex</t>
  </si>
  <si>
    <t>Low capital intensity (capex spend did not meaningfully increase despite store openings during COVID)</t>
  </si>
  <si>
    <t>Implied Growth Capex</t>
  </si>
  <si>
    <t>Negative NWC business model is a source of cash as the business grows</t>
  </si>
  <si>
    <t>Step-up</t>
  </si>
  <si>
    <t>DCF is not very meaningful in this instance as we are solving for a 5Y hold</t>
  </si>
  <si>
    <t>Entry LTM EBITDA Multiple</t>
  </si>
  <si>
    <t>Exit LTM EBITDA Multiple</t>
  </si>
  <si>
    <t>Sensitivity Analysis (5Y Hold IRR)</t>
  </si>
  <si>
    <t>Supplementary Analysis</t>
  </si>
  <si>
    <t>New Store Openings Step-Up</t>
  </si>
  <si>
    <t>COGS Step-Up</t>
  </si>
  <si>
    <t>Total Debt / EBITDA</t>
  </si>
  <si>
    <t>Net Debt / EBITDA</t>
  </si>
  <si>
    <t>Total Debt</t>
  </si>
  <si>
    <t>Net Debt</t>
  </si>
  <si>
    <t>EBITDA / Interest Expense</t>
  </si>
  <si>
    <t>Implied Entry LTM EBITDA Multiple</t>
  </si>
  <si>
    <t>Premium to CMP</t>
  </si>
  <si>
    <t>Returns Attribution</t>
  </si>
  <si>
    <t>Return Attribution Analysis</t>
  </si>
  <si>
    <t>Entry</t>
  </si>
  <si>
    <t>Exit</t>
  </si>
  <si>
    <t>Delta</t>
  </si>
  <si>
    <t>Value</t>
  </si>
  <si>
    <t>%</t>
  </si>
  <si>
    <t>% IRR</t>
  </si>
  <si>
    <t>Revenue Growth</t>
  </si>
  <si>
    <t>Margin Expansion</t>
  </si>
  <si>
    <t>Multiple Expansion</t>
  </si>
  <si>
    <t>Deleveraging</t>
  </si>
  <si>
    <t>Check</t>
  </si>
  <si>
    <t>Implied EV / FY21 EBITDA</t>
  </si>
  <si>
    <t>% ETR</t>
  </si>
  <si>
    <t>Structural growth drivers following COVID - 1Q22 sales up despite tough COVID comps</t>
  </si>
  <si>
    <t>MIP</t>
  </si>
  <si>
    <t>3rd lowest exposure to food delivery growth in spheres of influence among UK supermarkets</t>
  </si>
  <si>
    <t>UK supermarket TAM and how it is expected to evolve</t>
  </si>
  <si>
    <t>Risks for Further DD</t>
  </si>
  <si>
    <t>Good traction with online sales (3x increase last year)</t>
  </si>
  <si>
    <t>#1 net promoter score and brand warmth, increased traffic from Fresh Look marketing initiative</t>
  </si>
  <si>
    <t>Target IRR</t>
  </si>
  <si>
    <t>Required Entry Equity Value</t>
  </si>
  <si>
    <t>Required Sources</t>
  </si>
  <si>
    <t>(-) Refi Existing Debt</t>
  </si>
  <si>
    <t>(-) Transaction Fees</t>
  </si>
  <si>
    <t>Required Equity Purchase Price</t>
  </si>
  <si>
    <t>Implied Purchase EV</t>
  </si>
  <si>
    <t>LTM EBITDA</t>
  </si>
  <si>
    <t>Exit Equity Value</t>
  </si>
  <si>
    <t>(+) Net Debt</t>
  </si>
  <si>
    <t>(+) Existing Net Debt</t>
  </si>
  <si>
    <t>Captive fuel revenues diversify revenue streams</t>
  </si>
  <si>
    <t>Potential rebound of food service vs. retail consumption</t>
  </si>
  <si>
    <t>Food delivery platforms offering grocery deliveries, such as Deliveroo</t>
  </si>
  <si>
    <t>Need to invest in capex to repurpose petrol stations into EV charging points</t>
  </si>
  <si>
    <t>Cost of sales - contribution margins by segment/category</t>
  </si>
  <si>
    <t>Expansionary capex for petrol stations vs stores, also taking EV transition into account</t>
  </si>
  <si>
    <t>LBO Ability to Pay Analysis (5Y Hold)</t>
  </si>
  <si>
    <t>Other costs are 5% of sales - need to figure out the composition and gain comfort that they are a constant % of sales</t>
  </si>
  <si>
    <t>% EBITDA conversion</t>
  </si>
  <si>
    <t xml:space="preserve">Limited downside protection in the event of a downturn - negative FCF in FY21 </t>
  </si>
  <si>
    <t>Core demand for groceries is generally recession-proof (~2% growth during GFC) and tends to outperform in downturns (as consumers shift consumption paterns)</t>
  </si>
  <si>
    <t>Weak FCF conversion (40% pre-COVID). ~3% capex spend appears to significantly exceed that of the industry (0.5% sales)</t>
  </si>
  <si>
    <t>Online grocery TAM, penetration and Morrison's KPIs. How strong are in-house capabilities and how reliant is the business on external partners like Amazon?</t>
  </si>
  <si>
    <t>Current Trading Comps</t>
  </si>
  <si>
    <t>5Y Avg. Trading Comps</t>
  </si>
  <si>
    <t>Current Transaction Comps</t>
  </si>
  <si>
    <t>5Y Avg. Transaction Comps</t>
  </si>
  <si>
    <t>Implied Premium</t>
  </si>
  <si>
    <t>A 9-12x LTM EBITDA multiple is appropriate for this transaction, taking recent transactions and targeted returns into account</t>
  </si>
  <si>
    <t>Recommendation</t>
  </si>
  <si>
    <t>Do NOT invest in this business on account of an unfavourable risk-reward:</t>
  </si>
  <si>
    <t>Potential remedies include ability to enter at a more attractive valuation or new value creation levers to make the base case more compelling</t>
  </si>
  <si>
    <t>Figure out maintenance vs. expansionary capex split and drivers</t>
  </si>
  <si>
    <t>Channel checks: customer surveys, employee interviews</t>
  </si>
  <si>
    <t>Management's go-forward strategy</t>
  </si>
  <si>
    <t>Validation of vertical integration strategy and potential white spaces</t>
  </si>
  <si>
    <t>Complete wipe-out of returns in a relatively mild downside case (e.g. not assuming a business collapse)</t>
  </si>
  <si>
    <t>Low margin profile (~80% COGS) and very high sensitivity with potentially limited control over key drivers, such as transportation costs given supplier consolidation</t>
  </si>
  <si>
    <t>Ability to structure an investment with more downside protection, e.g. 1x liq pref convertible preferred stock</t>
  </si>
  <si>
    <t>Aggressive competition from "discounters" (86% already located next to a Morrison's and potential continuation). Gradual market share erosion since 2012</t>
  </si>
  <si>
    <t>Vertical integration - opportunity to drive margins</t>
  </si>
  <si>
    <t>Currently under-penetrated in the ready meal category, which is experiencing strong growth</t>
  </si>
  <si>
    <t>Traditionally limited pricing power in the industry as supermarkets compete aggressively on price</t>
  </si>
  <si>
    <t>Value creation levers: commercial (e.g. Fresh look initiative), operational (e.g. employee rationalisation, vertical integration)</t>
  </si>
  <si>
    <t>High exposure (12% of sales) to employee costs in a tight labour market. # of FTEs has rebounded and even before COVID, staff reductions started to taper</t>
  </si>
  <si>
    <t>Drive up-sell of customers beyond groceries and fuel (e.g. higher-margin leisure/dining activities). Also greater penetration of fuel sales</t>
  </si>
  <si>
    <t>Barriers to entry for new supermarket entrants, such as real estate and brand value which Morrison's has</t>
  </si>
  <si>
    <t>Low base case returns, extremely sensitive to changes in COGS spend and revenue/store. Bulk of returns driven by EBITDA growth, which will require a lot of conviction / potential portfolio management</t>
  </si>
  <si>
    <t>Cannot lever up much as a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</si>
</sst>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;@_)"/>
    <numFmt numFmtId="165" formatCode="_(#,##0.0_);\(#,##0.0\);_(\−_)"/>
    <numFmt numFmtId="166" formatCode="_(#,##0_);\(#,##0\);_(\−_)"/>
    <numFmt numFmtId="167" formatCode="_(0.0%_);\(0.0%\);_(\-_);@_)"/>
    <numFmt numFmtId="168" formatCode="_(0.0%_);\(0.0%\);_(\-_)"/>
    <numFmt numFmtId="169" formatCode="_(0.00%_);\(0.00%\);_(\-_);@_)"/>
    <numFmt numFmtId="170" formatCode="_(0.00%_);\(0.00%\);_(\-_)"/>
    <numFmt numFmtId="172" formatCode="0.0\x"/>
    <numFmt numFmtId="173" formatCode="0.0%"/>
    <numFmt numFmtId="174" formatCode="#,##0;\(#,##0\)"/>
    <numFmt numFmtId="175" formatCode="_(#,##0.0%_);\(#,##0.0%\);_(\−_)"/>
    <numFmt numFmtId="176" formatCode="_(#,##0.00_);\(#,##0.00\);_(\−_)"/>
    <numFmt numFmtId="177" formatCode="_(&quot;L+&quot;0.00%_);\(0.00%\);_(\-_);@_)"/>
    <numFmt numFmtId="178" formatCode="#,##0.0"/>
    <numFmt numFmtId="179" formatCode="#,##0.0_);\(#,##0.0\);0.0_);@_)"/>
    <numFmt numFmtId="180" formatCode="0.0\ \x_);\(0.0\ \x\)"/>
  </numFmts>
  <fonts count="34" x14ac:knownFonts="1">
    <font>
      <sz val="10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b/>
      <sz val="16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b/>
      <sz val="10"/>
      <color theme="1"/>
      <name val="Segoe UI"/>
      <family val="2"/>
      <scheme val="minor"/>
    </font>
    <font>
      <sz val="10"/>
      <color rgb="FF0000FF"/>
      <name val="Segoe UI"/>
      <family val="2"/>
      <scheme val="minor"/>
    </font>
    <font>
      <b/>
      <u val="singleAccounting"/>
      <sz val="10"/>
      <color theme="1"/>
      <name val="Segoe UI"/>
      <family val="2"/>
      <scheme val="minor"/>
    </font>
    <font>
      <b/>
      <sz val="10"/>
      <color theme="0"/>
      <name val="Segoe UI"/>
      <family val="2"/>
      <scheme val="minor"/>
    </font>
    <font>
      <i/>
      <sz val="10"/>
      <color theme="1"/>
      <name val="Segoe UI"/>
      <family val="2"/>
      <scheme val="minor"/>
    </font>
    <font>
      <i/>
      <sz val="10"/>
      <color rgb="FF0000FF"/>
      <name val="Segoe UI"/>
      <family val="2"/>
      <scheme val="minor"/>
    </font>
    <font>
      <b/>
      <u/>
      <sz val="10"/>
      <color theme="1"/>
      <name val="Segoe UI"/>
      <family val="2"/>
      <scheme val="minor"/>
    </font>
    <font>
      <b/>
      <sz val="10"/>
      <name val="Segoe UI"/>
      <family val="2"/>
      <scheme val="minor"/>
    </font>
    <font>
      <i/>
      <sz val="10"/>
      <name val="Segoe UI"/>
      <family val="2"/>
      <scheme val="minor"/>
    </font>
    <font>
      <i/>
      <sz val="10"/>
      <color rgb="FFC00000"/>
      <name val="Segoe UI"/>
      <family val="2"/>
      <scheme val="minor"/>
    </font>
    <font>
      <sz val="10"/>
      <name val="Segoe UI"/>
      <family val="2"/>
      <scheme val="minor"/>
    </font>
    <font>
      <sz val="10"/>
      <color theme="0"/>
      <name val="Segoe UI"/>
      <family val="2"/>
      <scheme val="minor"/>
    </font>
    <font>
      <sz val="8"/>
      <color theme="1"/>
      <name val="Segoe UI"/>
      <family val="2"/>
      <scheme val="minor"/>
    </font>
    <font>
      <b/>
      <i/>
      <sz val="10"/>
      <color theme="1"/>
      <name val="Segoe U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Segoe UI"/>
      <family val="2"/>
      <scheme val="minor"/>
    </font>
    <font>
      <i/>
      <sz val="10"/>
      <color rgb="FFFF0000"/>
      <name val="Segoe UI"/>
      <family val="2"/>
      <scheme val="minor"/>
    </font>
    <font>
      <sz val="11"/>
      <color rgb="FF0000FF"/>
      <name val="Segoe UI"/>
      <family val="2"/>
      <scheme val="minor"/>
    </font>
    <font>
      <sz val="10"/>
      <name val="Arial"/>
      <family val="2"/>
    </font>
    <font>
      <b/>
      <sz val="10"/>
      <color rgb="FFFF0000"/>
      <name val="Segoe UI"/>
      <family val="2"/>
      <scheme val="minor"/>
    </font>
    <font>
      <b/>
      <i/>
      <sz val="10"/>
      <color rgb="FFFF0000"/>
      <name val="Segoe U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5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17" applyNumberFormat="0" applyAlignment="0" applyProtection="0"/>
    <xf numFmtId="0" fontId="8" fillId="7" borderId="16" applyNumberFormat="0" applyAlignment="0" applyProtection="0"/>
    <xf numFmtId="0" fontId="9" fillId="0" borderId="18" applyNumberFormat="0" applyFill="0" applyAlignment="0" applyProtection="0"/>
    <xf numFmtId="0" fontId="1" fillId="8" borderId="19" applyNumberFormat="0" applyAlignment="0" applyProtection="0"/>
    <xf numFmtId="0" fontId="10" fillId="0" borderId="0" applyNumberFormat="0" applyFill="0" applyBorder="0" applyAlignment="0" applyProtection="0"/>
    <xf numFmtId="0" fontId="3" fillId="9" borderId="20" applyNumberFormat="0" applyFont="0" applyAlignment="0" applyProtection="0"/>
    <xf numFmtId="0" fontId="11" fillId="0" borderId="0" applyNumberFormat="0" applyFill="0" applyBorder="0" applyAlignment="0" applyProtection="0"/>
    <xf numFmtId="179" fontId="30" fillId="14" borderId="22" applyNumberFormat="0" applyAlignment="0" applyProtection="0"/>
    <xf numFmtId="180" fontId="31" fillId="0" borderId="0" applyFont="0" applyFill="0" applyBorder="0" applyAlignment="0" applyProtection="0"/>
  </cellStyleXfs>
  <cellXfs count="258">
    <xf numFmtId="165" fontId="0" fillId="0" borderId="0" xfId="0"/>
    <xf numFmtId="165" fontId="2" fillId="0" borderId="0" xfId="0" applyFont="1"/>
    <xf numFmtId="165" fontId="0" fillId="0" borderId="0" xfId="0" applyAlignment="1">
      <alignment horizontal="center"/>
    </xf>
    <xf numFmtId="165" fontId="12" fillId="0" borderId="0" xfId="0" applyFont="1"/>
    <xf numFmtId="165" fontId="0" fillId="2" borderId="0" xfId="0" applyFill="1"/>
    <xf numFmtId="165" fontId="0" fillId="2" borderId="0" xfId="0" applyFill="1" applyAlignment="1">
      <alignment horizontal="center"/>
    </xf>
    <xf numFmtId="165" fontId="0" fillId="0" borderId="2" xfId="0" applyBorder="1"/>
    <xf numFmtId="165" fontId="0" fillId="0" borderId="3" xfId="0" applyBorder="1"/>
    <xf numFmtId="165" fontId="15" fillId="2" borderId="0" xfId="0" applyFont="1" applyFill="1"/>
    <xf numFmtId="164" fontId="15" fillId="2" borderId="0" xfId="0" applyNumberFormat="1" applyFont="1" applyFill="1" applyAlignment="1">
      <alignment horizontal="center"/>
    </xf>
    <xf numFmtId="165" fontId="15" fillId="0" borderId="0" xfId="0" applyFont="1"/>
    <xf numFmtId="164" fontId="15" fillId="0" borderId="0" xfId="0" applyNumberFormat="1" applyFont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0" applyFont="1"/>
    <xf numFmtId="164" fontId="0" fillId="0" borderId="5" xfId="0" applyNumberForma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65" fontId="12" fillId="3" borderId="1" xfId="0" applyFont="1" applyFill="1" applyBorder="1"/>
    <xf numFmtId="165" fontId="0" fillId="0" borderId="0" xfId="0" applyAlignment="1">
      <alignment horizontal="left" indent="1"/>
    </xf>
    <xf numFmtId="165" fontId="18" fillId="0" borderId="0" xfId="0" applyFont="1"/>
    <xf numFmtId="166" fontId="0" fillId="0" borderId="0" xfId="0" applyNumberFormat="1" applyAlignment="1">
      <alignment horizontal="center"/>
    </xf>
    <xf numFmtId="167" fontId="16" fillId="0" borderId="0" xfId="0" applyNumberFormat="1" applyFont="1"/>
    <xf numFmtId="167" fontId="0" fillId="0" borderId="0" xfId="0" applyNumberFormat="1"/>
    <xf numFmtId="167" fontId="16" fillId="0" borderId="0" xfId="0" applyNumberFormat="1" applyFont="1" applyAlignment="1">
      <alignment horizontal="left" indent="1"/>
    </xf>
    <xf numFmtId="166" fontId="0" fillId="0" borderId="0" xfId="0" applyNumberFormat="1"/>
    <xf numFmtId="166" fontId="12" fillId="3" borderId="1" xfId="0" applyNumberFormat="1" applyFont="1" applyFill="1" applyBorder="1"/>
    <xf numFmtId="166" fontId="12" fillId="0" borderId="0" xfId="0" applyNumberFormat="1" applyFont="1"/>
    <xf numFmtId="166" fontId="12" fillId="0" borderId="1" xfId="0" applyNumberFormat="1" applyFont="1" applyBorder="1"/>
    <xf numFmtId="166" fontId="0" fillId="10" borderId="0" xfId="0" applyNumberFormat="1" applyFill="1" applyAlignment="1">
      <alignment horizontal="center"/>
    </xf>
    <xf numFmtId="166" fontId="0" fillId="10" borderId="5" xfId="0" applyNumberFormat="1" applyFill="1" applyBorder="1" applyAlignment="1">
      <alignment horizontal="center"/>
    </xf>
    <xf numFmtId="166" fontId="12" fillId="10" borderId="1" xfId="0" applyNumberFormat="1" applyFont="1" applyFill="1" applyBorder="1" applyAlignment="1">
      <alignment horizontal="center"/>
    </xf>
    <xf numFmtId="166" fontId="12" fillId="10" borderId="7" xfId="0" applyNumberFormat="1" applyFont="1" applyFill="1" applyBorder="1" applyAlignment="1">
      <alignment horizontal="center"/>
    </xf>
    <xf numFmtId="167" fontId="16" fillId="10" borderId="0" xfId="0" applyNumberFormat="1" applyFont="1" applyFill="1" applyAlignment="1">
      <alignment horizontal="center"/>
    </xf>
    <xf numFmtId="167" fontId="16" fillId="10" borderId="5" xfId="0" applyNumberFormat="1" applyFont="1" applyFill="1" applyBorder="1" applyAlignment="1">
      <alignment horizontal="center"/>
    </xf>
    <xf numFmtId="165" fontId="13" fillId="0" borderId="0" xfId="0" applyFont="1" applyAlignment="1">
      <alignment horizontal="center"/>
    </xf>
    <xf numFmtId="165" fontId="0" fillId="10" borderId="0" xfId="0" applyFill="1" applyAlignment="1">
      <alignment horizontal="center"/>
    </xf>
    <xf numFmtId="165" fontId="12" fillId="0" borderId="1" xfId="0" applyFont="1" applyBorder="1"/>
    <xf numFmtId="165" fontId="12" fillId="10" borderId="1" xfId="0" applyFont="1" applyFill="1" applyBorder="1" applyAlignment="1">
      <alignment horizontal="center"/>
    </xf>
    <xf numFmtId="165" fontId="16" fillId="0" borderId="0" xfId="0" applyFont="1" applyAlignment="1">
      <alignment horizontal="left" indent="1"/>
    </xf>
    <xf numFmtId="165" fontId="18" fillId="11" borderId="25" xfId="0" applyFont="1" applyFill="1" applyBorder="1"/>
    <xf numFmtId="165" fontId="12" fillId="11" borderId="25" xfId="0" applyFont="1" applyFill="1" applyBorder="1"/>
    <xf numFmtId="169" fontId="0" fillId="0" borderId="0" xfId="0" applyNumberFormat="1"/>
    <xf numFmtId="165" fontId="14" fillId="0" borderId="0" xfId="0" applyFont="1" applyAlignment="1">
      <alignment horizontal="centerContinuous"/>
    </xf>
    <xf numFmtId="165" fontId="14" fillId="0" borderId="5" xfId="0" applyFont="1" applyBorder="1" applyAlignment="1">
      <alignment horizontal="centerContinuous"/>
    </xf>
    <xf numFmtId="17" fontId="14" fillId="0" borderId="0" xfId="0" applyNumberFormat="1" applyFont="1" applyAlignment="1">
      <alignment horizontal="center"/>
    </xf>
    <xf numFmtId="17" fontId="14" fillId="0" borderId="5" xfId="0" applyNumberFormat="1" applyFont="1" applyBorder="1" applyAlignment="1">
      <alignment horizontal="center"/>
    </xf>
    <xf numFmtId="165" fontId="13" fillId="0" borderId="5" xfId="0" applyFont="1" applyBorder="1" applyAlignment="1">
      <alignment horizontal="center"/>
    </xf>
    <xf numFmtId="167" fontId="16" fillId="0" borderId="0" xfId="0" applyNumberFormat="1" applyFont="1" applyAlignment="1">
      <alignment horizontal="left" indent="3"/>
    </xf>
    <xf numFmtId="166" fontId="0" fillId="0" borderId="0" xfId="0" applyNumberFormat="1" applyAlignment="1">
      <alignment horizontal="left" indent="2"/>
    </xf>
    <xf numFmtId="165" fontId="16" fillId="0" borderId="0" xfId="0" applyFont="1" applyAlignment="1">
      <alignment horizontal="left" indent="3"/>
    </xf>
    <xf numFmtId="166" fontId="0" fillId="0" borderId="0" xfId="0" applyNumberFormat="1" applyAlignment="1">
      <alignment horizontal="left" indent="1"/>
    </xf>
    <xf numFmtId="165" fontId="21" fillId="0" borderId="0" xfId="0" applyFont="1"/>
    <xf numFmtId="170" fontId="18" fillId="0" borderId="0" xfId="0" applyNumberFormat="1" applyFont="1" applyAlignment="1">
      <alignment horizontal="center"/>
    </xf>
    <xf numFmtId="165" fontId="0" fillId="0" borderId="0" xfId="0" quotePrefix="1"/>
    <xf numFmtId="165" fontId="0" fillId="0" borderId="3" xfId="0" applyBorder="1" applyAlignment="1">
      <alignment horizontal="center"/>
    </xf>
    <xf numFmtId="165" fontId="12" fillId="0" borderId="0" xfId="0" applyFont="1" applyAlignment="1">
      <alignment horizontal="center"/>
    </xf>
    <xf numFmtId="165" fontId="12" fillId="0" borderId="5" xfId="0" applyFont="1" applyBorder="1" applyAlignment="1">
      <alignment horizontal="center"/>
    </xf>
    <xf numFmtId="168" fontId="17" fillId="13" borderId="6" xfId="0" applyNumberFormat="1" applyFont="1" applyFill="1" applyBorder="1" applyAlignment="1">
      <alignment horizontal="center"/>
    </xf>
    <xf numFmtId="167" fontId="17" fillId="13" borderId="4" xfId="0" applyNumberFormat="1" applyFont="1" applyFill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5" fontId="16" fillId="12" borderId="2" xfId="0" applyFont="1" applyFill="1" applyBorder="1" applyAlignment="1">
      <alignment horizontal="centerContinuous" vertical="center" wrapText="1"/>
    </xf>
    <xf numFmtId="166" fontId="0" fillId="0" borderId="0" xfId="0" applyNumberFormat="1" applyAlignment="1">
      <alignment horizontal="left"/>
    </xf>
    <xf numFmtId="165" fontId="20" fillId="0" borderId="0" xfId="0" applyFont="1" applyAlignment="1">
      <alignment horizontal="left" indent="4"/>
    </xf>
    <xf numFmtId="165" fontId="16" fillId="0" borderId="0" xfId="0" applyFont="1" applyAlignment="1">
      <alignment horizontal="left" indent="4"/>
    </xf>
    <xf numFmtId="165" fontId="0" fillId="0" borderId="8" xfId="0" applyBorder="1"/>
    <xf numFmtId="166" fontId="12" fillId="3" borderId="1" xfId="0" applyNumberFormat="1" applyFont="1" applyFill="1" applyBorder="1" applyAlignment="1">
      <alignment horizontal="center"/>
    </xf>
    <xf numFmtId="166" fontId="12" fillId="3" borderId="7" xfId="0" applyNumberFormat="1" applyFont="1" applyFill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70" fontId="18" fillId="0" borderId="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3" fillId="13" borderId="9" xfId="0" applyNumberFormat="1" applyFont="1" applyFill="1" applyBorder="1" applyAlignment="1">
      <alignment horizontal="center"/>
    </xf>
    <xf numFmtId="166" fontId="13" fillId="13" borderId="4" xfId="0" applyNumberFormat="1" applyFont="1" applyFill="1" applyBorder="1" applyAlignment="1">
      <alignment horizontal="center"/>
    </xf>
    <xf numFmtId="1" fontId="17" fillId="13" borderId="6" xfId="0" applyNumberFormat="1" applyFont="1" applyFill="1" applyBorder="1" applyAlignment="1">
      <alignment horizontal="center"/>
    </xf>
    <xf numFmtId="1" fontId="17" fillId="13" borderId="4" xfId="0" applyNumberFormat="1" applyFont="1" applyFill="1" applyBorder="1" applyAlignment="1">
      <alignment horizontal="center"/>
    </xf>
    <xf numFmtId="165" fontId="15" fillId="2" borderId="5" xfId="0" applyFont="1" applyFill="1" applyBorder="1"/>
    <xf numFmtId="165" fontId="12" fillId="14" borderId="10" xfId="0" applyFont="1" applyFill="1" applyBorder="1"/>
    <xf numFmtId="165" fontId="12" fillId="14" borderId="1" xfId="0" applyFont="1" applyFill="1" applyBorder="1"/>
    <xf numFmtId="165" fontId="12" fillId="14" borderId="23" xfId="0" applyFont="1" applyFill="1" applyBorder="1"/>
    <xf numFmtId="165" fontId="12" fillId="14" borderId="0" xfId="0" applyFont="1" applyFill="1"/>
    <xf numFmtId="165" fontId="12" fillId="14" borderId="32" xfId="0" applyFont="1" applyFill="1" applyBorder="1"/>
    <xf numFmtId="165" fontId="12" fillId="14" borderId="33" xfId="0" applyFont="1" applyFill="1" applyBorder="1"/>
    <xf numFmtId="172" fontId="22" fillId="0" borderId="27" xfId="0" applyNumberFormat="1" applyFont="1" applyBorder="1" applyAlignment="1">
      <alignment horizontal="center"/>
    </xf>
    <xf numFmtId="165" fontId="0" fillId="3" borderId="1" xfId="0" applyFill="1" applyBorder="1"/>
    <xf numFmtId="166" fontId="0" fillId="10" borderId="13" xfId="0" applyNumberFormat="1" applyFill="1" applyBorder="1" applyAlignment="1">
      <alignment horizontal="center"/>
    </xf>
    <xf numFmtId="172" fontId="13" fillId="13" borderId="29" xfId="0" applyNumberFormat="1" applyFon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5" fontId="12" fillId="0" borderId="8" xfId="0" applyFont="1" applyBorder="1"/>
    <xf numFmtId="166" fontId="12" fillId="10" borderId="8" xfId="0" applyNumberFormat="1" applyFont="1" applyFill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73" fontId="12" fillId="14" borderId="30" xfId="0" applyNumberFormat="1" applyFont="1" applyFill="1" applyBorder="1" applyAlignment="1">
      <alignment horizontal="center"/>
    </xf>
    <xf numFmtId="172" fontId="12" fillId="14" borderId="31" xfId="0" applyNumberFormat="1" applyFont="1" applyFill="1" applyBorder="1" applyAlignment="1">
      <alignment horizontal="center"/>
    </xf>
    <xf numFmtId="166" fontId="12" fillId="14" borderId="34" xfId="0" applyNumberFormat="1" applyFont="1" applyFill="1" applyBorder="1" applyAlignment="1">
      <alignment horizontal="center"/>
    </xf>
    <xf numFmtId="165" fontId="0" fillId="0" borderId="0" xfId="0" applyAlignment="1">
      <alignment vertical="center"/>
    </xf>
    <xf numFmtId="165" fontId="15" fillId="2" borderId="13" xfId="0" applyFont="1" applyFill="1" applyBorder="1"/>
    <xf numFmtId="165" fontId="15" fillId="2" borderId="13" xfId="0" applyFont="1" applyFill="1" applyBorder="1" applyAlignment="1">
      <alignment horizontal="center"/>
    </xf>
    <xf numFmtId="165" fontId="23" fillId="0" borderId="0" xfId="0" applyFont="1"/>
    <xf numFmtId="165" fontId="0" fillId="0" borderId="0" xfId="0" applyAlignment="1">
      <alignment horizontal="left" vertical="center"/>
    </xf>
    <xf numFmtId="166" fontId="22" fillId="0" borderId="0" xfId="0" applyNumberFormat="1" applyFont="1" applyAlignment="1">
      <alignment horizontal="centerContinuous" vertical="center"/>
    </xf>
    <xf numFmtId="166" fontId="0" fillId="0" borderId="0" xfId="0" applyNumberFormat="1" applyAlignment="1">
      <alignment horizontal="center" vertical="center"/>
    </xf>
    <xf numFmtId="166" fontId="13" fillId="13" borderId="4" xfId="0" applyNumberFormat="1" applyFont="1" applyFill="1" applyBorder="1" applyAlignment="1">
      <alignment horizontal="center" vertical="center"/>
    </xf>
    <xf numFmtId="173" fontId="13" fillId="13" borderId="4" xfId="0" applyNumberFormat="1" applyFon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165" fontId="23" fillId="2" borderId="0" xfId="0" applyFont="1" applyFill="1"/>
    <xf numFmtId="17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Continuous" vertical="center"/>
    </xf>
    <xf numFmtId="165" fontId="12" fillId="3" borderId="1" xfId="0" applyFont="1" applyFill="1" applyBorder="1" applyAlignment="1">
      <alignment horizontal="left" vertical="center" indent="1"/>
    </xf>
    <xf numFmtId="165" fontId="14" fillId="3" borderId="1" xfId="0" applyFont="1" applyFill="1" applyBorder="1" applyAlignment="1">
      <alignment horizontal="centerContinuous"/>
    </xf>
    <xf numFmtId="166" fontId="19" fillId="0" borderId="1" xfId="0" applyNumberFormat="1" applyFont="1" applyBorder="1" applyAlignment="1">
      <alignment horizontal="center"/>
    </xf>
    <xf numFmtId="166" fontId="22" fillId="0" borderId="35" xfId="0" applyNumberFormat="1" applyFont="1" applyBorder="1" applyAlignment="1">
      <alignment horizontal="center"/>
    </xf>
    <xf numFmtId="165" fontId="0" fillId="10" borderId="14" xfId="0" applyFill="1" applyBorder="1" applyAlignment="1">
      <alignment horizontal="center"/>
    </xf>
    <xf numFmtId="166" fontId="19" fillId="0" borderId="38" xfId="0" applyNumberFormat="1" applyFont="1" applyBorder="1" applyAlignment="1">
      <alignment horizontal="center"/>
    </xf>
    <xf numFmtId="165" fontId="24" fillId="0" borderId="0" xfId="0" applyFont="1"/>
    <xf numFmtId="165" fontId="15" fillId="2" borderId="2" xfId="0" applyFont="1" applyFill="1" applyBorder="1" applyAlignment="1">
      <alignment vertical="center"/>
    </xf>
    <xf numFmtId="165" fontId="23" fillId="2" borderId="3" xfId="0" applyFont="1" applyFill="1" applyBorder="1"/>
    <xf numFmtId="165" fontId="23" fillId="2" borderId="26" xfId="0" applyFont="1" applyFill="1" applyBorder="1"/>
    <xf numFmtId="165" fontId="15" fillId="2" borderId="26" xfId="0" applyFont="1" applyFill="1" applyBorder="1" applyAlignment="1">
      <alignment horizontal="center"/>
    </xf>
    <xf numFmtId="165" fontId="15" fillId="2" borderId="2" xfId="0" applyFont="1" applyFill="1" applyBorder="1"/>
    <xf numFmtId="165" fontId="15" fillId="2" borderId="3" xfId="0" applyFont="1" applyFill="1" applyBorder="1"/>
    <xf numFmtId="165" fontId="15" fillId="2" borderId="3" xfId="0" applyFont="1" applyFill="1" applyBorder="1" applyAlignment="1">
      <alignment horizontal="center"/>
    </xf>
    <xf numFmtId="17" fontId="14" fillId="0" borderId="0" xfId="0" quotePrefix="1" applyNumberFormat="1" applyFont="1" applyAlignment="1">
      <alignment horizontal="center"/>
    </xf>
    <xf numFmtId="175" fontId="12" fillId="3" borderId="1" xfId="0" applyNumberFormat="1" applyFont="1" applyFill="1" applyBorder="1" applyAlignment="1">
      <alignment horizontal="center"/>
    </xf>
    <xf numFmtId="166" fontId="12" fillId="3" borderId="1" xfId="0" applyNumberFormat="1" applyFont="1" applyFill="1" applyBorder="1" applyAlignment="1">
      <alignment horizontal="left" indent="1"/>
    </xf>
    <xf numFmtId="165" fontId="0" fillId="12" borderId="3" xfId="0" applyFill="1" applyBorder="1" applyAlignment="1">
      <alignment horizontal="centerContinuous" vertical="center"/>
    </xf>
    <xf numFmtId="165" fontId="0" fillId="12" borderId="26" xfId="0" applyFill="1" applyBorder="1" applyAlignment="1">
      <alignment horizontal="centerContinuous" vertical="center"/>
    </xf>
    <xf numFmtId="165" fontId="0" fillId="0" borderId="5" xfId="0" applyBorder="1"/>
    <xf numFmtId="175" fontId="17" fillId="13" borderId="6" xfId="0" applyNumberFormat="1" applyFont="1" applyFill="1" applyBorder="1" applyAlignment="1">
      <alignment horizontal="center"/>
    </xf>
    <xf numFmtId="175" fontId="16" fillId="0" borderId="0" xfId="0" applyNumberFormat="1" applyFont="1"/>
    <xf numFmtId="175" fontId="0" fillId="0" borderId="0" xfId="0" applyNumberFormat="1"/>
    <xf numFmtId="175" fontId="16" fillId="10" borderId="0" xfId="0" applyNumberFormat="1" applyFont="1" applyFill="1" applyAlignment="1">
      <alignment horizontal="center"/>
    </xf>
    <xf numFmtId="175" fontId="16" fillId="10" borderId="5" xfId="0" applyNumberFormat="1" applyFont="1" applyFill="1" applyBorder="1" applyAlignment="1">
      <alignment horizontal="center"/>
    </xf>
    <xf numFmtId="165" fontId="12" fillId="3" borderId="1" xfId="0" applyFont="1" applyFill="1" applyBorder="1" applyAlignment="1">
      <alignment horizontal="left" indent="1"/>
    </xf>
    <xf numFmtId="175" fontId="16" fillId="10" borderId="1" xfId="0" applyNumberFormat="1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165" fontId="25" fillId="3" borderId="0" xfId="0" applyFont="1" applyFill="1" applyAlignment="1">
      <alignment horizontal="left" vertical="center" indent="1"/>
    </xf>
    <xf numFmtId="165" fontId="25" fillId="3" borderId="0" xfId="0" applyFont="1" applyFill="1"/>
    <xf numFmtId="172" fontId="25" fillId="3" borderId="0" xfId="0" applyNumberFormat="1" applyFont="1" applyFill="1" applyAlignment="1">
      <alignment horizontal="center" vertical="center"/>
    </xf>
    <xf numFmtId="165" fontId="16" fillId="0" borderId="0" xfId="0" applyFont="1" applyAlignment="1">
      <alignment horizontal="left" vertical="center" indent="1"/>
    </xf>
    <xf numFmtId="173" fontId="17" fillId="13" borderId="4" xfId="0" applyNumberFormat="1" applyFon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175" fontId="16" fillId="10" borderId="8" xfId="0" applyNumberFormat="1" applyFont="1" applyFill="1" applyBorder="1" applyAlignment="1">
      <alignment horizontal="center"/>
    </xf>
    <xf numFmtId="166" fontId="16" fillId="0" borderId="0" xfId="0" applyNumberFormat="1" applyFont="1"/>
    <xf numFmtId="166" fontId="17" fillId="13" borderId="4" xfId="0" applyNumberFormat="1" applyFont="1" applyFill="1" applyBorder="1" applyAlignment="1">
      <alignment horizontal="center"/>
    </xf>
    <xf numFmtId="166" fontId="17" fillId="13" borderId="6" xfId="0" applyNumberFormat="1" applyFont="1" applyFill="1" applyBorder="1" applyAlignment="1">
      <alignment horizontal="center"/>
    </xf>
    <xf numFmtId="172" fontId="13" fillId="13" borderId="27" xfId="0" applyNumberFormat="1" applyFont="1" applyFill="1" applyBorder="1" applyAlignment="1">
      <alignment horizontal="center" vertical="center"/>
    </xf>
    <xf numFmtId="165" fontId="16" fillId="0" borderId="8" xfId="0" applyFont="1" applyBorder="1" applyAlignment="1">
      <alignment horizontal="left" indent="1"/>
    </xf>
    <xf numFmtId="169" fontId="17" fillId="0" borderId="40" xfId="0" applyNumberFormat="1" applyFont="1" applyBorder="1" applyAlignment="1">
      <alignment horizontal="center"/>
    </xf>
    <xf numFmtId="169" fontId="20" fillId="0" borderId="40" xfId="0" applyNumberFormat="1" applyFont="1" applyBorder="1" applyAlignment="1">
      <alignment horizontal="center"/>
    </xf>
    <xf numFmtId="177" fontId="17" fillId="13" borderId="4" xfId="0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left" indent="1"/>
    </xf>
    <xf numFmtId="167" fontId="16" fillId="10" borderId="1" xfId="0" applyNumberFormat="1" applyFont="1" applyFill="1" applyBorder="1" applyAlignment="1">
      <alignment horizontal="center"/>
    </xf>
    <xf numFmtId="167" fontId="16" fillId="10" borderId="7" xfId="0" applyNumberFormat="1" applyFont="1" applyFill="1" applyBorder="1" applyAlignment="1">
      <alignment horizontal="center"/>
    </xf>
    <xf numFmtId="172" fontId="22" fillId="0" borderId="41" xfId="0" applyNumberFormat="1" applyFont="1" applyBorder="1" applyAlignment="1">
      <alignment horizontal="center"/>
    </xf>
    <xf numFmtId="166" fontId="12" fillId="0" borderId="21" xfId="0" applyNumberFormat="1" applyFont="1" applyBorder="1" applyAlignment="1">
      <alignment horizontal="center"/>
    </xf>
    <xf numFmtId="165" fontId="0" fillId="0" borderId="0" xfId="0" applyAlignment="1">
      <alignment horizontal="left" vertical="center" indent="1"/>
    </xf>
    <xf numFmtId="166" fontId="13" fillId="0" borderId="0" xfId="0" applyNumberFormat="1" applyFont="1" applyAlignment="1">
      <alignment horizontal="center" vertical="center"/>
    </xf>
    <xf numFmtId="165" fontId="0" fillId="0" borderId="8" xfId="0" applyBorder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174" fontId="13" fillId="0" borderId="0" xfId="0" applyNumberFormat="1" applyFont="1" applyAlignment="1">
      <alignment horizontal="center" vertical="center"/>
    </xf>
    <xf numFmtId="1" fontId="13" fillId="0" borderId="39" xfId="0" applyNumberFormat="1" applyFont="1" applyBorder="1" applyAlignment="1">
      <alignment horizontal="center" vertical="center"/>
    </xf>
    <xf numFmtId="15" fontId="22" fillId="0" borderId="4" xfId="0" applyNumberFormat="1" applyFont="1" applyBorder="1" applyAlignment="1">
      <alignment horizontal="center" vertical="center"/>
    </xf>
    <xf numFmtId="166" fontId="19" fillId="0" borderId="36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166" fontId="22" fillId="0" borderId="26" xfId="0" applyNumberFormat="1" applyFont="1" applyBorder="1" applyAlignment="1">
      <alignment horizontal="center"/>
    </xf>
    <xf numFmtId="165" fontId="0" fillId="0" borderId="28" xfId="0" applyBorder="1" applyAlignment="1">
      <alignment horizontal="center"/>
    </xf>
    <xf numFmtId="165" fontId="12" fillId="0" borderId="1" xfId="0" applyFont="1" applyBorder="1" applyAlignment="1">
      <alignment horizontal="left" indent="1"/>
    </xf>
    <xf numFmtId="166" fontId="13" fillId="0" borderId="5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left" indent="1"/>
    </xf>
    <xf numFmtId="166" fontId="22" fillId="0" borderId="8" xfId="0" applyNumberFormat="1" applyFont="1" applyBorder="1" applyAlignment="1">
      <alignment horizontal="center"/>
    </xf>
    <xf numFmtId="166" fontId="22" fillId="0" borderId="21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4" fillId="0" borderId="5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left" indent="1"/>
    </xf>
    <xf numFmtId="166" fontId="20" fillId="0" borderId="0" xfId="0" applyNumberFormat="1" applyFont="1" applyAlignment="1">
      <alignment horizontal="center"/>
    </xf>
    <xf numFmtId="166" fontId="20" fillId="0" borderId="5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0" xfId="0" applyAlignment="1">
      <alignment horizontal="left"/>
    </xf>
    <xf numFmtId="167" fontId="16" fillId="0" borderId="0" xfId="0" applyNumberFormat="1" applyFont="1" applyAlignment="1">
      <alignment horizontal="left" indent="2"/>
    </xf>
    <xf numFmtId="167" fontId="16" fillId="0" borderId="0" xfId="0" applyNumberFormat="1" applyFont="1" applyAlignment="1">
      <alignment horizontal="left" indent="4"/>
    </xf>
    <xf numFmtId="175" fontId="0" fillId="0" borderId="0" xfId="0" applyNumberFormat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175" fontId="16" fillId="0" borderId="0" xfId="0" applyNumberFormat="1" applyFont="1" applyAlignment="1">
      <alignment horizontal="center"/>
    </xf>
    <xf numFmtId="175" fontId="16" fillId="0" borderId="5" xfId="0" applyNumberFormat="1" applyFont="1" applyBorder="1" applyAlignment="1">
      <alignment horizontal="center"/>
    </xf>
    <xf numFmtId="175" fontId="13" fillId="0" borderId="0" xfId="0" applyNumberFormat="1" applyFont="1" applyAlignment="1">
      <alignment horizontal="center"/>
    </xf>
    <xf numFmtId="175" fontId="13" fillId="0" borderId="5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2"/>
    </xf>
    <xf numFmtId="166" fontId="12" fillId="0" borderId="7" xfId="0" applyNumberFormat="1" applyFont="1" applyBorder="1" applyAlignment="1">
      <alignment horizontal="center"/>
    </xf>
    <xf numFmtId="175" fontId="16" fillId="0" borderId="0" xfId="0" applyNumberFormat="1" applyFont="1" applyAlignment="1">
      <alignment horizontal="left" indent="1"/>
    </xf>
    <xf numFmtId="175" fontId="16" fillId="0" borderId="0" xfId="0" applyNumberFormat="1" applyFont="1" applyAlignment="1">
      <alignment horizontal="left" indent="3"/>
    </xf>
    <xf numFmtId="175" fontId="12" fillId="0" borderId="1" xfId="0" applyNumberFormat="1" applyFont="1" applyBorder="1" applyAlignment="1">
      <alignment horizontal="center"/>
    </xf>
    <xf numFmtId="175" fontId="12" fillId="0" borderId="0" xfId="0" applyNumberFormat="1" applyFont="1" applyAlignment="1">
      <alignment horizontal="center"/>
    </xf>
    <xf numFmtId="175" fontId="16" fillId="0" borderId="0" xfId="0" applyNumberFormat="1" applyFont="1" applyAlignment="1">
      <alignment horizontal="left"/>
    </xf>
    <xf numFmtId="175" fontId="16" fillId="0" borderId="0" xfId="0" applyNumberFormat="1" applyFont="1" applyAlignment="1">
      <alignment horizontal="left" indent="4"/>
    </xf>
    <xf numFmtId="3" fontId="22" fillId="0" borderId="0" xfId="0" applyNumberFormat="1" applyFont="1" applyAlignment="1">
      <alignment horizontal="center"/>
    </xf>
    <xf numFmtId="178" fontId="22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center"/>
    </xf>
    <xf numFmtId="178" fontId="16" fillId="10" borderId="0" xfId="0" applyNumberFormat="1" applyFont="1" applyFill="1" applyAlignment="1">
      <alignment horizontal="center"/>
    </xf>
    <xf numFmtId="178" fontId="16" fillId="10" borderId="5" xfId="0" applyNumberFormat="1" applyFont="1" applyFill="1" applyBorder="1" applyAlignment="1">
      <alignment horizontal="center"/>
    </xf>
    <xf numFmtId="178" fontId="17" fillId="13" borderId="6" xfId="0" applyNumberFormat="1" applyFont="1" applyFill="1" applyBorder="1" applyAlignment="1">
      <alignment horizontal="center"/>
    </xf>
    <xf numFmtId="178" fontId="17" fillId="13" borderId="4" xfId="0" applyNumberFormat="1" applyFont="1" applyFill="1" applyBorder="1" applyAlignment="1">
      <alignment horizontal="center"/>
    </xf>
    <xf numFmtId="175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0" fontId="0" fillId="0" borderId="0" xfId="0" applyNumberFormat="1"/>
    <xf numFmtId="165" fontId="22" fillId="13" borderId="37" xfId="0" applyFont="1" applyFill="1" applyBorder="1" applyAlignment="1">
      <alignment horizontal="center"/>
    </xf>
    <xf numFmtId="165" fontId="22" fillId="13" borderId="27" xfId="0" applyFont="1" applyFill="1" applyBorder="1" applyAlignment="1">
      <alignment horizontal="center"/>
    </xf>
    <xf numFmtId="167" fontId="29" fillId="13" borderId="4" xfId="0" applyNumberFormat="1" applyFont="1" applyFill="1" applyBorder="1" applyAlignment="1">
      <alignment horizontal="center"/>
    </xf>
    <xf numFmtId="165" fontId="12" fillId="0" borderId="0" xfId="0" applyFont="1" applyAlignment="1">
      <alignment horizontal="centerContinuous"/>
    </xf>
    <xf numFmtId="172" fontId="0" fillId="0" borderId="24" xfId="0" applyNumberFormat="1" applyBorder="1"/>
    <xf numFmtId="173" fontId="0" fillId="0" borderId="0" xfId="0" applyNumberFormat="1" applyAlignment="1">
      <alignment horizontal="right"/>
    </xf>
    <xf numFmtId="3" fontId="0" fillId="0" borderId="13" xfId="0" applyNumberFormat="1" applyBorder="1" applyAlignment="1">
      <alignment horizontal="center" vertical="center"/>
    </xf>
    <xf numFmtId="173" fontId="0" fillId="0" borderId="24" xfId="0" applyNumberFormat="1" applyBorder="1"/>
    <xf numFmtId="172" fontId="22" fillId="0" borderId="0" xfId="0" applyNumberFormat="1" applyFont="1" applyAlignment="1">
      <alignment horizontal="center"/>
    </xf>
    <xf numFmtId="166" fontId="12" fillId="10" borderId="0" xfId="0" applyNumberFormat="1" applyFont="1" applyFill="1" applyAlignment="1">
      <alignment horizontal="center"/>
    </xf>
    <xf numFmtId="172" fontId="19" fillId="0" borderId="0" xfId="0" applyNumberFormat="1" applyFont="1" applyAlignment="1">
      <alignment horizontal="center"/>
    </xf>
    <xf numFmtId="173" fontId="0" fillId="0" borderId="13" xfId="0" applyNumberFormat="1" applyBorder="1" applyAlignment="1">
      <alignment horizontal="center" vertical="center"/>
    </xf>
    <xf numFmtId="165" fontId="12" fillId="0" borderId="0" xfId="0" applyFont="1" applyAlignment="1">
      <alignment horizontal="right"/>
    </xf>
    <xf numFmtId="173" fontId="0" fillId="0" borderId="0" xfId="0" applyNumberFormat="1" applyAlignment="1">
      <alignment horizontal="center"/>
    </xf>
    <xf numFmtId="165" fontId="12" fillId="0" borderId="13" xfId="0" applyFon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166" fontId="16" fillId="0" borderId="0" xfId="0" applyNumberFormat="1" applyFont="1" applyAlignment="1">
      <alignment horizontal="right"/>
    </xf>
    <xf numFmtId="172" fontId="0" fillId="0" borderId="0" xfId="0" applyNumberFormat="1" applyAlignment="1">
      <alignment horizontal="right" vertical="center"/>
    </xf>
    <xf numFmtId="172" fontId="28" fillId="0" borderId="8" xfId="0" applyNumberFormat="1" applyFont="1" applyBorder="1" applyAlignment="1">
      <alignment horizontal="center" vertical="center"/>
    </xf>
    <xf numFmtId="172" fontId="28" fillId="0" borderId="0" xfId="0" applyNumberFormat="1" applyFont="1" applyAlignment="1">
      <alignment horizontal="center" vertical="center"/>
    </xf>
    <xf numFmtId="172" fontId="32" fillId="3" borderId="1" xfId="0" applyNumberFormat="1" applyFont="1" applyFill="1" applyBorder="1" applyAlignment="1">
      <alignment horizontal="center" vertical="center"/>
    </xf>
    <xf numFmtId="165" fontId="33" fillId="3" borderId="0" xfId="0" applyFont="1" applyFill="1" applyAlignment="1">
      <alignment horizontal="left" vertical="center" indent="1"/>
    </xf>
    <xf numFmtId="165" fontId="33" fillId="3" borderId="0" xfId="0" applyFont="1" applyFill="1"/>
    <xf numFmtId="172" fontId="33" fillId="3" borderId="0" xfId="0" applyNumberFormat="1" applyFont="1" applyFill="1" applyAlignment="1">
      <alignment horizontal="center" vertical="center"/>
    </xf>
    <xf numFmtId="165" fontId="22" fillId="0" borderId="0" xfId="0" applyFont="1"/>
    <xf numFmtId="166" fontId="22" fillId="10" borderId="13" xfId="0" applyNumberFormat="1" applyFont="1" applyFill="1" applyBorder="1" applyAlignment="1">
      <alignment horizontal="center"/>
    </xf>
    <xf numFmtId="173" fontId="12" fillId="0" borderId="0" xfId="0" applyNumberFormat="1" applyFont="1" applyAlignment="1">
      <alignment horizontal="right"/>
    </xf>
    <xf numFmtId="173" fontId="20" fillId="0" borderId="5" xfId="0" applyNumberFormat="1" applyFont="1" applyBorder="1" applyAlignment="1">
      <alignment horizontal="center"/>
    </xf>
    <xf numFmtId="173" fontId="20" fillId="0" borderId="0" xfId="0" applyNumberFormat="1" applyFont="1" applyAlignment="1">
      <alignment horizontal="center"/>
    </xf>
    <xf numFmtId="173" fontId="20" fillId="0" borderId="42" xfId="0" applyNumberFormat="1" applyFont="1" applyBorder="1" applyAlignment="1">
      <alignment horizontal="center"/>
    </xf>
    <xf numFmtId="173" fontId="20" fillId="0" borderId="39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173" fontId="12" fillId="0" borderId="22" xfId="0" applyNumberFormat="1" applyFont="1" applyBorder="1" applyAlignment="1">
      <alignment horizontal="center"/>
    </xf>
    <xf numFmtId="173" fontId="13" fillId="0" borderId="0" xfId="0" applyNumberFormat="1" applyFont="1"/>
    <xf numFmtId="165" fontId="19" fillId="15" borderId="2" xfId="0" applyFont="1" applyFill="1" applyBorder="1"/>
    <xf numFmtId="165" fontId="19" fillId="15" borderId="3" xfId="0" applyFont="1" applyFill="1" applyBorder="1"/>
    <xf numFmtId="172" fontId="19" fillId="15" borderId="26" xfId="0" applyNumberFormat="1" applyFont="1" applyFill="1" applyBorder="1" applyAlignment="1">
      <alignment horizontal="right" vertical="center"/>
    </xf>
    <xf numFmtId="168" fontId="17" fillId="16" borderId="6" xfId="0" applyNumberFormat="1" applyFont="1" applyFill="1" applyBorder="1" applyAlignment="1">
      <alignment horizontal="center"/>
    </xf>
    <xf numFmtId="168" fontId="17" fillId="16" borderId="4" xfId="0" applyNumberFormat="1" applyFont="1" applyFill="1" applyBorder="1" applyAlignment="1">
      <alignment horizontal="center"/>
    </xf>
    <xf numFmtId="172" fontId="13" fillId="0" borderId="0" xfId="0" applyNumberFormat="1" applyFont="1" applyAlignment="1">
      <alignment horizontal="right" vertical="center"/>
    </xf>
    <xf numFmtId="165" fontId="12" fillId="15" borderId="10" xfId="0" applyFont="1" applyFill="1" applyBorder="1"/>
    <xf numFmtId="173" fontId="12" fillId="15" borderId="11" xfId="0" applyNumberFormat="1" applyFont="1" applyFill="1" applyBorder="1"/>
    <xf numFmtId="165" fontId="12" fillId="15" borderId="12" xfId="0" applyFont="1" applyFill="1" applyBorder="1"/>
    <xf numFmtId="172" fontId="19" fillId="15" borderId="15" xfId="0" applyNumberFormat="1" applyFont="1" applyFill="1" applyBorder="1" applyAlignment="1">
      <alignment horizontal="right" vertical="center"/>
    </xf>
    <xf numFmtId="165" fontId="25" fillId="0" borderId="0" xfId="0" applyFont="1"/>
    <xf numFmtId="173" fontId="25" fillId="0" borderId="0" xfId="0" applyNumberFormat="1" applyFont="1"/>
    <xf numFmtId="173" fontId="16" fillId="0" borderId="0" xfId="0" applyNumberFormat="1" applyFont="1"/>
    <xf numFmtId="175" fontId="20" fillId="13" borderId="6" xfId="0" applyNumberFormat="1" applyFont="1" applyFill="1" applyBorder="1" applyAlignment="1">
      <alignment horizontal="center"/>
    </xf>
  </cellXfs>
  <cellStyles count="13">
    <cellStyle name="Bad" xfId="2" builtinId="27" hidden="1"/>
    <cellStyle name="Calculation" xfId="5" builtinId="22" hidden="1"/>
    <cellStyle name="Check Cell" xfId="7" builtinId="23" hidden="1"/>
    <cellStyle name="Explanatory Text" xfId="10" builtinId="53" hidden="1"/>
    <cellStyle name="Good" xfId="1" builtinId="26" hidden="1"/>
    <cellStyle name="I" xfId="11" xr:uid="{A05949F5-C1D5-4F9E-84D1-4A595AE5B2F4}"/>
    <cellStyle name="Linked Cell" xfId="6" builtinId="24" hidden="1"/>
    <cellStyle name="Multiple" xfId="12" xr:uid="{E28D0BE1-0A84-4949-850C-59FCFBC092D2}"/>
    <cellStyle name="Neutral" xfId="3" builtinId="28" hidden="1"/>
    <cellStyle name="Normal" xfId="0" builtinId="0" customBuiltin="1"/>
    <cellStyle name="Note" xfId="9" builtinId="10" hidden="1"/>
    <cellStyle name="Output" xfId="4" builtinId="21" hidden="1"/>
    <cellStyle name="Warning Text" xfId="8" builtinId="11" hidden="1"/>
  </cellStyles>
  <dxfs count="0"/>
  <tableStyles count="0" defaultTableStyle="TableStyleMedium2" defaultPivotStyle="PivotStyleLight16"/>
  <colors>
    <mruColors>
      <color rgb="FF0000FF"/>
      <color rgb="FF007000"/>
      <color rgb="FFFFFFCC"/>
      <color rgb="FFFFCCCC"/>
      <color rgb="FFFFFFD2"/>
      <color rgb="FF00007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65AF-E72E-4FAE-9FB1-FA93C7B5EFCD}">
  <dimension ref="C1:L56"/>
  <sheetViews>
    <sheetView showGridLines="0" tabSelected="1" view="pageBreakPreview" zoomScale="90" zoomScaleNormal="100" zoomScaleSheetLayoutView="90" workbookViewId="0"/>
  </sheetViews>
  <sheetFormatPr defaultRowHeight="15.4" x14ac:dyDescent="0.55000000000000004"/>
  <cols>
    <col min="1" max="3" width="1.73046875" customWidth="1"/>
    <col min="4" max="12" width="9.265625" customWidth="1"/>
    <col min="13" max="13" width="1.73046875" customWidth="1"/>
  </cols>
  <sheetData>
    <row r="1" spans="3:12" ht="9" customHeight="1" x14ac:dyDescent="0.55000000000000004">
      <c r="G1" s="2"/>
      <c r="H1" s="2"/>
      <c r="I1" s="2"/>
      <c r="J1" s="2"/>
      <c r="K1" s="2"/>
      <c r="L1" s="2"/>
    </row>
    <row r="2" spans="3:12" ht="9" customHeight="1" x14ac:dyDescent="0.55000000000000004"/>
    <row r="3" spans="3:12" ht="24" x14ac:dyDescent="0.85">
      <c r="C3" s="1" t="s">
        <v>29</v>
      </c>
      <c r="D3" s="1"/>
      <c r="E3" s="1"/>
      <c r="F3" s="3"/>
      <c r="G3" s="2"/>
      <c r="H3" s="2"/>
      <c r="I3" s="2"/>
      <c r="J3" s="2"/>
      <c r="K3" s="2"/>
      <c r="L3" s="2"/>
    </row>
    <row r="4" spans="3:12" ht="3" customHeight="1" x14ac:dyDescent="0.55000000000000004">
      <c r="G4" s="2"/>
      <c r="H4" s="2"/>
      <c r="I4" s="2"/>
      <c r="J4" s="2"/>
      <c r="K4" s="2"/>
      <c r="L4" s="2"/>
    </row>
    <row r="5" spans="3:12" ht="3" customHeight="1" x14ac:dyDescent="0.55000000000000004">
      <c r="C5" s="4"/>
      <c r="D5" s="4"/>
      <c r="E5" s="4"/>
      <c r="F5" s="4"/>
      <c r="G5" s="5"/>
      <c r="H5" s="5"/>
      <c r="I5" s="5"/>
      <c r="J5" s="5"/>
      <c r="K5" s="5"/>
      <c r="L5" s="5"/>
    </row>
    <row r="6" spans="3:12" ht="14.25" customHeight="1" x14ac:dyDescent="0.55000000000000004">
      <c r="G6" s="2"/>
      <c r="H6" s="2"/>
      <c r="I6" s="2"/>
      <c r="J6" s="2"/>
      <c r="K6" s="2"/>
      <c r="L6" s="2"/>
    </row>
    <row r="7" spans="3:12" ht="14.25" customHeight="1" x14ac:dyDescent="0.55000000000000004">
      <c r="D7" s="20" t="s">
        <v>190</v>
      </c>
      <c r="G7" s="2"/>
      <c r="H7" s="2"/>
      <c r="I7" s="2"/>
      <c r="J7" s="2"/>
      <c r="K7" s="2"/>
      <c r="L7" s="2"/>
    </row>
    <row r="8" spans="3:12" ht="14.25" customHeight="1" x14ac:dyDescent="0.55000000000000004">
      <c r="D8" t="s">
        <v>191</v>
      </c>
      <c r="G8" s="2"/>
      <c r="H8" s="2"/>
      <c r="I8" s="2"/>
      <c r="J8" s="2"/>
      <c r="K8" s="2"/>
      <c r="L8" s="2"/>
    </row>
    <row r="9" spans="3:12" ht="14.25" customHeight="1" x14ac:dyDescent="0.55000000000000004">
      <c r="D9" t="s">
        <v>208</v>
      </c>
      <c r="G9" s="2"/>
      <c r="H9" s="2"/>
      <c r="I9" s="2"/>
      <c r="J9" s="2"/>
      <c r="K9" s="2"/>
      <c r="L9" s="2"/>
    </row>
    <row r="10" spans="3:12" ht="14.25" customHeight="1" x14ac:dyDescent="0.55000000000000004">
      <c r="D10" t="s">
        <v>209</v>
      </c>
      <c r="G10" s="2"/>
      <c r="H10" s="2"/>
      <c r="I10" s="2"/>
      <c r="J10" s="2"/>
      <c r="K10" s="2"/>
      <c r="L10" s="2"/>
    </row>
    <row r="11" spans="3:12" ht="14.25" customHeight="1" x14ac:dyDescent="0.55000000000000004">
      <c r="D11" t="s">
        <v>197</v>
      </c>
      <c r="G11" s="2"/>
      <c r="H11" s="2"/>
      <c r="I11" s="2"/>
      <c r="J11" s="2"/>
      <c r="K11" s="2"/>
      <c r="L11" s="2"/>
    </row>
    <row r="12" spans="3:12" ht="14.25" customHeight="1" x14ac:dyDescent="0.55000000000000004">
      <c r="D12" t="s">
        <v>192</v>
      </c>
      <c r="G12" s="2"/>
      <c r="H12" s="2"/>
      <c r="I12" s="2"/>
      <c r="J12" s="2"/>
      <c r="K12" s="2"/>
      <c r="L12" s="2"/>
    </row>
    <row r="13" spans="3:12" ht="14.25" customHeight="1" x14ac:dyDescent="0.55000000000000004">
      <c r="G13" s="2"/>
      <c r="H13" s="2"/>
      <c r="I13" s="2"/>
      <c r="J13" s="2"/>
      <c r="K13" s="2"/>
      <c r="L13" s="2"/>
    </row>
    <row r="14" spans="3:12" ht="14.25" customHeight="1" x14ac:dyDescent="0.55000000000000004">
      <c r="D14" s="20" t="s">
        <v>110</v>
      </c>
      <c r="G14" s="2"/>
      <c r="H14" s="2"/>
      <c r="I14" s="2"/>
      <c r="J14" s="2"/>
      <c r="K14" s="2"/>
      <c r="L14" s="2"/>
    </row>
    <row r="15" spans="3:12" ht="14.25" customHeight="1" x14ac:dyDescent="0.55000000000000004">
      <c r="D15" t="s">
        <v>159</v>
      </c>
      <c r="G15" s="2"/>
      <c r="H15" s="2"/>
      <c r="I15" s="2"/>
      <c r="J15" s="2"/>
      <c r="K15" s="2"/>
      <c r="L15" s="2"/>
    </row>
    <row r="16" spans="3:12" ht="14.25" customHeight="1" x14ac:dyDescent="0.55000000000000004">
      <c r="D16" t="s">
        <v>155</v>
      </c>
      <c r="G16" s="2"/>
      <c r="H16" s="2"/>
      <c r="I16" s="2"/>
      <c r="J16" s="2"/>
      <c r="K16" s="2"/>
      <c r="L16" s="2"/>
    </row>
    <row r="17" spans="4:12" ht="14.25" customHeight="1" x14ac:dyDescent="0.55000000000000004">
      <c r="D17" t="s">
        <v>171</v>
      </c>
      <c r="G17" s="2"/>
      <c r="H17" s="2"/>
      <c r="I17" s="2"/>
      <c r="J17" s="2"/>
      <c r="K17" s="2"/>
      <c r="L17" s="2"/>
    </row>
    <row r="18" spans="4:12" ht="14.25" customHeight="1" x14ac:dyDescent="0.55000000000000004">
      <c r="D18" t="s">
        <v>120</v>
      </c>
      <c r="G18" s="2"/>
      <c r="H18" s="2"/>
      <c r="I18" s="2"/>
      <c r="J18" s="2"/>
      <c r="K18" s="2"/>
      <c r="L18" s="2"/>
    </row>
    <row r="19" spans="4:12" ht="14.25" customHeight="1" x14ac:dyDescent="0.55000000000000004">
      <c r="D19" t="s">
        <v>122</v>
      </c>
      <c r="G19" s="2"/>
      <c r="H19" s="2"/>
      <c r="I19" s="2"/>
      <c r="J19" s="2"/>
      <c r="K19" s="2"/>
      <c r="L19" s="2"/>
    </row>
    <row r="20" spans="4:12" ht="14.25" customHeight="1" x14ac:dyDescent="0.55000000000000004">
      <c r="G20" s="2"/>
      <c r="H20" s="2"/>
      <c r="I20" s="2"/>
      <c r="J20" s="2"/>
      <c r="K20" s="2"/>
      <c r="L20" s="2"/>
    </row>
    <row r="21" spans="4:12" ht="14.25" customHeight="1" x14ac:dyDescent="0.55000000000000004">
      <c r="D21" s="20" t="s">
        <v>111</v>
      </c>
      <c r="G21" s="2"/>
      <c r="H21" s="2"/>
      <c r="I21" s="2"/>
      <c r="J21" s="2"/>
      <c r="K21" s="2"/>
      <c r="L21" s="2"/>
    </row>
    <row r="22" spans="4:12" ht="14.25" customHeight="1" x14ac:dyDescent="0.55000000000000004">
      <c r="D22" t="s">
        <v>203</v>
      </c>
      <c r="G22" s="2"/>
      <c r="H22" s="2"/>
      <c r="I22" s="2"/>
      <c r="J22" s="2"/>
      <c r="K22" s="2"/>
      <c r="L22" s="2"/>
    </row>
    <row r="23" spans="4:12" ht="14.25" customHeight="1" x14ac:dyDescent="0.55000000000000004">
      <c r="D23" t="s">
        <v>198</v>
      </c>
      <c r="G23" s="2"/>
      <c r="H23" s="2"/>
      <c r="I23" s="2"/>
      <c r="J23" s="2"/>
      <c r="K23" s="2"/>
      <c r="L23" s="2"/>
    </row>
    <row r="24" spans="4:12" ht="14.25" customHeight="1" x14ac:dyDescent="0.55000000000000004">
      <c r="D24" t="s">
        <v>205</v>
      </c>
      <c r="G24" s="2"/>
      <c r="H24" s="2"/>
      <c r="I24" s="2"/>
      <c r="J24" s="2"/>
      <c r="K24" s="2"/>
      <c r="L24" s="2"/>
    </row>
    <row r="25" spans="4:12" ht="14.25" customHeight="1" x14ac:dyDescent="0.55000000000000004">
      <c r="D25" t="s">
        <v>182</v>
      </c>
      <c r="G25" s="2"/>
      <c r="H25" s="2"/>
      <c r="I25" s="2"/>
      <c r="J25" s="2"/>
      <c r="K25" s="2"/>
      <c r="L25" s="2"/>
    </row>
    <row r="26" spans="4:12" ht="14.25" customHeight="1" x14ac:dyDescent="0.55000000000000004">
      <c r="D26" t="s">
        <v>180</v>
      </c>
      <c r="G26" s="2"/>
      <c r="H26" s="2"/>
      <c r="I26" s="2"/>
      <c r="J26" s="2"/>
      <c r="K26" s="2"/>
      <c r="L26" s="2"/>
    </row>
    <row r="27" spans="4:12" ht="14.25" customHeight="1" x14ac:dyDescent="0.55000000000000004">
      <c r="G27" s="2"/>
      <c r="H27" s="2"/>
      <c r="I27" s="2"/>
      <c r="J27" s="2"/>
      <c r="K27" s="2"/>
      <c r="L27" s="2"/>
    </row>
    <row r="28" spans="4:12" ht="14.25" customHeight="1" x14ac:dyDescent="0.55000000000000004">
      <c r="D28" s="20" t="s">
        <v>112</v>
      </c>
      <c r="G28" s="2"/>
      <c r="H28" s="2"/>
      <c r="I28" s="2"/>
      <c r="J28" s="2"/>
      <c r="K28" s="2"/>
      <c r="L28" s="2"/>
    </row>
    <row r="29" spans="4:12" ht="14.25" customHeight="1" x14ac:dyDescent="0.55000000000000004">
      <c r="D29" t="s">
        <v>206</v>
      </c>
      <c r="G29" s="2"/>
      <c r="H29" s="2"/>
      <c r="I29" s="2"/>
      <c r="J29" s="2"/>
      <c r="K29" s="2"/>
      <c r="L29" s="2"/>
    </row>
    <row r="30" spans="4:12" ht="14.25" customHeight="1" x14ac:dyDescent="0.55000000000000004">
      <c r="D30" t="s">
        <v>158</v>
      </c>
      <c r="G30" s="2"/>
      <c r="H30" s="2"/>
      <c r="I30" s="2"/>
      <c r="J30" s="2"/>
      <c r="K30" s="2"/>
      <c r="L30" s="2"/>
    </row>
    <row r="31" spans="4:12" ht="14.25" customHeight="1" x14ac:dyDescent="0.55000000000000004">
      <c r="D31" t="s">
        <v>201</v>
      </c>
      <c r="G31" s="2"/>
      <c r="H31" s="2"/>
      <c r="I31" s="2"/>
      <c r="J31" s="2"/>
      <c r="K31" s="2"/>
      <c r="L31" s="2"/>
    </row>
    <row r="32" spans="4:12" ht="14.25" customHeight="1" x14ac:dyDescent="0.55000000000000004">
      <c r="D32" t="s">
        <v>202</v>
      </c>
      <c r="G32" s="2"/>
      <c r="H32" s="2"/>
      <c r="I32" s="2"/>
      <c r="J32" s="2"/>
      <c r="K32" s="2"/>
      <c r="L32" s="2"/>
    </row>
    <row r="33" spans="4:12" ht="14.25" customHeight="1" x14ac:dyDescent="0.55000000000000004">
      <c r="G33" s="2"/>
      <c r="H33" s="2"/>
      <c r="I33" s="2"/>
      <c r="J33" s="2"/>
      <c r="K33" s="2"/>
      <c r="L33" s="2"/>
    </row>
    <row r="34" spans="4:12" ht="14.25" customHeight="1" x14ac:dyDescent="0.55000000000000004">
      <c r="D34" s="20" t="s">
        <v>113</v>
      </c>
      <c r="G34" s="2"/>
      <c r="H34" s="2"/>
      <c r="I34" s="2"/>
      <c r="J34" s="2"/>
      <c r="K34" s="2"/>
      <c r="L34" s="2"/>
    </row>
    <row r="35" spans="4:12" ht="14.25" customHeight="1" x14ac:dyDescent="0.55000000000000004">
      <c r="D35" t="s">
        <v>200</v>
      </c>
      <c r="G35" s="2"/>
      <c r="H35" s="2"/>
      <c r="I35" s="2"/>
      <c r="J35" s="2"/>
      <c r="K35" s="2"/>
      <c r="L35" s="2"/>
    </row>
    <row r="36" spans="4:12" ht="14.25" customHeight="1" x14ac:dyDescent="0.55000000000000004">
      <c r="D36" t="s">
        <v>173</v>
      </c>
      <c r="G36" s="2"/>
      <c r="H36" s="2"/>
      <c r="I36" s="2"/>
      <c r="J36" s="2"/>
      <c r="K36" s="2"/>
      <c r="L36" s="2"/>
    </row>
    <row r="37" spans="4:12" ht="14.25" customHeight="1" x14ac:dyDescent="0.55000000000000004">
      <c r="D37" t="s">
        <v>172</v>
      </c>
      <c r="G37" s="2"/>
      <c r="H37" s="2"/>
      <c r="I37" s="2"/>
      <c r="J37" s="2"/>
      <c r="K37" s="2"/>
      <c r="L37" s="2"/>
    </row>
    <row r="38" spans="4:12" ht="14.25" customHeight="1" x14ac:dyDescent="0.55000000000000004">
      <c r="D38" t="s">
        <v>174</v>
      </c>
      <c r="G38" s="2"/>
      <c r="H38" s="2"/>
      <c r="I38" s="2"/>
      <c r="J38" s="2"/>
      <c r="K38" s="2"/>
      <c r="L38" s="2"/>
    </row>
    <row r="39" spans="4:12" ht="14.25" customHeight="1" x14ac:dyDescent="0.55000000000000004">
      <c r="G39" s="2"/>
      <c r="H39" s="2"/>
      <c r="I39" s="2"/>
      <c r="J39" s="2"/>
      <c r="K39" s="2"/>
      <c r="L39" s="2"/>
    </row>
    <row r="40" spans="4:12" ht="14.25" customHeight="1" x14ac:dyDescent="0.55000000000000004">
      <c r="D40" s="20" t="s">
        <v>114</v>
      </c>
      <c r="G40" s="2"/>
      <c r="H40" s="2"/>
      <c r="I40" s="2"/>
      <c r="J40" s="2"/>
      <c r="K40" s="2"/>
      <c r="L40" s="2"/>
    </row>
    <row r="41" spans="4:12" ht="14.25" customHeight="1" x14ac:dyDescent="0.55000000000000004">
      <c r="D41" t="s">
        <v>181</v>
      </c>
      <c r="G41" s="2"/>
      <c r="H41" s="2"/>
      <c r="I41" s="2"/>
      <c r="J41" s="2"/>
      <c r="K41" s="2"/>
      <c r="L41" s="2"/>
    </row>
    <row r="42" spans="4:12" ht="14.25" customHeight="1" x14ac:dyDescent="0.55000000000000004">
      <c r="D42" t="s">
        <v>153</v>
      </c>
      <c r="G42" s="2"/>
      <c r="H42" s="2"/>
      <c r="I42" s="2"/>
      <c r="J42" s="2"/>
      <c r="K42" s="2"/>
      <c r="L42" s="2"/>
    </row>
    <row r="43" spans="4:12" ht="14.25" customHeight="1" x14ac:dyDescent="0.55000000000000004">
      <c r="D43" t="s">
        <v>207</v>
      </c>
      <c r="G43" s="2"/>
      <c r="H43" s="2"/>
      <c r="I43" s="2"/>
      <c r="J43" s="2"/>
      <c r="K43" s="2"/>
      <c r="L43" s="2"/>
    </row>
    <row r="44" spans="4:12" ht="14.25" customHeight="1" x14ac:dyDescent="0.55000000000000004">
      <c r="D44" t="s">
        <v>204</v>
      </c>
      <c r="G44" s="2"/>
      <c r="H44" s="2"/>
      <c r="I44" s="2"/>
      <c r="J44" s="2"/>
      <c r="K44" s="2"/>
      <c r="L44" s="2"/>
    </row>
    <row r="45" spans="4:12" ht="14.25" customHeight="1" x14ac:dyDescent="0.55000000000000004">
      <c r="G45" s="2"/>
      <c r="H45" s="2"/>
      <c r="I45" s="2"/>
      <c r="J45" s="2"/>
      <c r="K45" s="2"/>
      <c r="L45" s="2"/>
    </row>
    <row r="46" spans="4:12" x14ac:dyDescent="0.55000000000000004">
      <c r="D46" s="20" t="s">
        <v>157</v>
      </c>
    </row>
    <row r="47" spans="4:12" x14ac:dyDescent="0.55000000000000004">
      <c r="D47" t="s">
        <v>156</v>
      </c>
    </row>
    <row r="48" spans="4:12" x14ac:dyDescent="0.55000000000000004">
      <c r="D48" t="s">
        <v>183</v>
      </c>
    </row>
    <row r="49" spans="4:4" x14ac:dyDescent="0.55000000000000004">
      <c r="D49" t="s">
        <v>196</v>
      </c>
    </row>
    <row r="50" spans="4:4" x14ac:dyDescent="0.55000000000000004">
      <c r="D50" t="s">
        <v>194</v>
      </c>
    </row>
    <row r="51" spans="4:4" x14ac:dyDescent="0.55000000000000004">
      <c r="D51" t="s">
        <v>195</v>
      </c>
    </row>
    <row r="52" spans="4:4" x14ac:dyDescent="0.55000000000000004">
      <c r="D52" t="s">
        <v>175</v>
      </c>
    </row>
    <row r="53" spans="4:4" x14ac:dyDescent="0.55000000000000004">
      <c r="D53" t="s">
        <v>178</v>
      </c>
    </row>
    <row r="54" spans="4:4" x14ac:dyDescent="0.55000000000000004">
      <c r="D54" t="s">
        <v>193</v>
      </c>
    </row>
    <row r="55" spans="4:4" x14ac:dyDescent="0.55000000000000004">
      <c r="D55" t="s">
        <v>176</v>
      </c>
    </row>
    <row r="56" spans="4:4" x14ac:dyDescent="0.55000000000000004">
      <c r="D56" t="s">
        <v>199</v>
      </c>
    </row>
  </sheetData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3070-E20D-476D-846B-3C941E250C86}">
  <dimension ref="A1:AB239"/>
  <sheetViews>
    <sheetView showGridLines="0" view="pageBreakPreview" zoomScale="88" zoomScaleNormal="88" zoomScaleSheetLayoutView="88" workbookViewId="0">
      <pane xSplit="6" ySplit="19" topLeftCell="G64" activePane="bottomRight" state="frozen"/>
      <selection activeCell="C3" sqref="C3"/>
      <selection pane="topRight" activeCell="C3" sqref="C3"/>
      <selection pane="bottomLeft" activeCell="C3" sqref="C3"/>
      <selection pane="bottomRight" activeCell="L18" sqref="L18"/>
    </sheetView>
  </sheetViews>
  <sheetFormatPr defaultColWidth="9.1328125" defaultRowHeight="15.4" x14ac:dyDescent="0.55000000000000004"/>
  <cols>
    <col min="1" max="2" width="1.73046875" customWidth="1"/>
    <col min="3" max="6" width="11.73046875" customWidth="1"/>
    <col min="7" max="7" width="2.73046875" customWidth="1"/>
    <col min="8" max="15" width="12.73046875" style="2" customWidth="1"/>
    <col min="16" max="16" width="2.73046875" customWidth="1"/>
    <col min="17" max="17" width="12.73046875" customWidth="1"/>
    <col min="18" max="18" width="12.73046875" style="2" customWidth="1"/>
    <col min="19" max="19" width="1.73046875" customWidth="1"/>
  </cols>
  <sheetData>
    <row r="1" spans="1:26" ht="9" customHeight="1" x14ac:dyDescent="0.55000000000000004">
      <c r="H1"/>
      <c r="I1"/>
      <c r="J1"/>
      <c r="K1"/>
      <c r="L1"/>
      <c r="M1"/>
      <c r="N1"/>
      <c r="O1"/>
      <c r="R1"/>
    </row>
    <row r="2" spans="1:26" ht="9" customHeight="1" x14ac:dyDescent="0.55000000000000004"/>
    <row r="3" spans="1:26" ht="24" x14ac:dyDescent="0.85">
      <c r="C3" s="1" t="s">
        <v>108</v>
      </c>
      <c r="D3" s="1"/>
      <c r="E3" s="1"/>
      <c r="F3" s="1"/>
      <c r="G3" s="3"/>
      <c r="H3" s="61" t="s">
        <v>84</v>
      </c>
      <c r="I3" s="126"/>
      <c r="J3" s="126"/>
      <c r="K3" s="126"/>
      <c r="L3" s="126"/>
      <c r="M3" s="126"/>
      <c r="N3" s="126"/>
      <c r="O3" s="126"/>
      <c r="P3" s="126"/>
      <c r="Q3" s="126"/>
      <c r="R3" s="127"/>
      <c r="W3" s="8" t="s">
        <v>68</v>
      </c>
      <c r="X3" s="106"/>
      <c r="Y3" s="103">
        <v>1</v>
      </c>
      <c r="Z3" s="39" t="s">
        <v>83</v>
      </c>
    </row>
    <row r="4" spans="1:26" ht="3" customHeight="1" x14ac:dyDescent="0.55000000000000004">
      <c r="P4" s="2"/>
      <c r="Q4" s="2"/>
      <c r="U4" s="96"/>
    </row>
    <row r="5" spans="1:26" ht="3" customHeight="1" x14ac:dyDescent="0.55000000000000004"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U5" s="96"/>
    </row>
    <row r="6" spans="1:26" ht="5.0999999999999996" customHeight="1" x14ac:dyDescent="0.55000000000000004">
      <c r="U6" s="96"/>
    </row>
    <row r="7" spans="1:26" x14ac:dyDescent="0.55000000000000004">
      <c r="A7" s="3"/>
      <c r="B7" s="3"/>
      <c r="C7" s="116" t="s">
        <v>69</v>
      </c>
      <c r="D7" s="117"/>
      <c r="E7" s="117"/>
      <c r="F7" s="118"/>
      <c r="G7" s="3"/>
      <c r="H7"/>
      <c r="I7" s="120" t="s">
        <v>59</v>
      </c>
      <c r="J7" s="121"/>
      <c r="K7" s="122" t="s">
        <v>60</v>
      </c>
      <c r="L7" s="119" t="s">
        <v>62</v>
      </c>
      <c r="M7" s="99"/>
      <c r="N7" s="97" t="s">
        <v>61</v>
      </c>
      <c r="O7" s="97"/>
      <c r="P7" s="97"/>
      <c r="Q7" s="97"/>
      <c r="R7" s="98" t="s">
        <v>60</v>
      </c>
    </row>
    <row r="8" spans="1:26" ht="5.0999999999999996" customHeight="1" x14ac:dyDescent="0.55000000000000004">
      <c r="H8"/>
      <c r="I8"/>
      <c r="J8"/>
      <c r="K8"/>
      <c r="L8"/>
      <c r="M8"/>
      <c r="N8"/>
      <c r="O8"/>
      <c r="R8"/>
    </row>
    <row r="9" spans="1:26" ht="17.649999999999999" x14ac:dyDescent="0.85">
      <c r="A9" s="3"/>
      <c r="B9" s="3"/>
      <c r="C9" s="157" t="s">
        <v>94</v>
      </c>
      <c r="F9" s="162">
        <v>175</v>
      </c>
      <c r="G9" s="3"/>
      <c r="H9" s="136"/>
      <c r="I9" s="100" t="s">
        <v>100</v>
      </c>
      <c r="J9" s="43"/>
      <c r="K9" s="101">
        <f>L9*$J$107</f>
        <v>2824</v>
      </c>
      <c r="L9" s="147">
        <v>4</v>
      </c>
      <c r="M9" s="43"/>
      <c r="N9" s="100" t="s">
        <v>96</v>
      </c>
      <c r="O9" s="43"/>
      <c r="R9" s="102">
        <f>+F12</f>
        <v>5489.5749999999998</v>
      </c>
    </row>
    <row r="10" spans="1:26" ht="17.649999999999999" x14ac:dyDescent="0.85">
      <c r="A10" s="3"/>
      <c r="B10" s="3"/>
      <c r="C10" s="157" t="s">
        <v>93</v>
      </c>
      <c r="F10" s="104">
        <v>0.3</v>
      </c>
      <c r="H10"/>
      <c r="I10" s="148" t="s">
        <v>104</v>
      </c>
      <c r="J10" s="65"/>
      <c r="K10" s="142">
        <f>+K9+K11</f>
        <v>3074</v>
      </c>
      <c r="L10" s="228">
        <f>K10/$J$107</f>
        <v>4.3541076487252122</v>
      </c>
      <c r="M10"/>
      <c r="N10" s="100" t="s">
        <v>95</v>
      </c>
      <c r="O10" s="43"/>
      <c r="R10" s="102">
        <f>+F13</f>
        <v>1836</v>
      </c>
    </row>
    <row r="11" spans="1:26" ht="17.649999999999999" x14ac:dyDescent="0.85">
      <c r="A11" s="3"/>
      <c r="B11" s="3"/>
      <c r="C11" s="157" t="s">
        <v>70</v>
      </c>
      <c r="F11" s="158">
        <v>2413</v>
      </c>
      <c r="H11"/>
      <c r="I11" s="39" t="s">
        <v>101</v>
      </c>
      <c r="J11"/>
      <c r="K11" s="74">
        <v>250</v>
      </c>
      <c r="L11" s="229">
        <f>K11/$J$107</f>
        <v>0.35410764872521244</v>
      </c>
      <c r="M11"/>
      <c r="N11" s="100" t="s">
        <v>67</v>
      </c>
      <c r="O11" s="43"/>
      <c r="R11" s="108">
        <f>+R12*F14</f>
        <v>73.255750000000006</v>
      </c>
    </row>
    <row r="12" spans="1:26" ht="17.649999999999999" x14ac:dyDescent="0.85">
      <c r="A12" s="3"/>
      <c r="B12" s="3"/>
      <c r="C12" s="159" t="s">
        <v>71</v>
      </c>
      <c r="D12" s="65"/>
      <c r="E12" s="65"/>
      <c r="F12" s="160">
        <f>+F9*(1+F10)*F11/100</f>
        <v>5489.5749999999998</v>
      </c>
      <c r="H12"/>
      <c r="I12" s="100" t="s">
        <v>66</v>
      </c>
      <c r="J12" s="43"/>
      <c r="K12" s="108">
        <f>$R$13-K9</f>
        <v>4574.8307500000001</v>
      </c>
      <c r="L12" s="229">
        <f>K12/$J$107</f>
        <v>6.4799302407932009</v>
      </c>
      <c r="M12"/>
      <c r="N12" s="140" t="s">
        <v>102</v>
      </c>
      <c r="O12" s="14"/>
      <c r="P12" s="14"/>
      <c r="Q12" s="14"/>
      <c r="R12" s="141">
        <v>0.01</v>
      </c>
    </row>
    <row r="13" spans="1:26" ht="17.649999999999999" x14ac:dyDescent="0.85">
      <c r="A13" s="3"/>
      <c r="B13" s="3"/>
      <c r="C13" s="157" t="s">
        <v>91</v>
      </c>
      <c r="F13" s="161">
        <f>54+1986+36-240</f>
        <v>1836</v>
      </c>
      <c r="G13" s="3"/>
      <c r="H13"/>
      <c r="I13" s="109" t="s">
        <v>63</v>
      </c>
      <c r="J13" s="110"/>
      <c r="K13" s="105">
        <f>+K9+K12</f>
        <v>7398.8307500000001</v>
      </c>
      <c r="L13" s="230">
        <f>K13/$J$107</f>
        <v>10.479930240793202</v>
      </c>
      <c r="M13"/>
      <c r="N13" s="109" t="s">
        <v>64</v>
      </c>
      <c r="O13" s="110"/>
      <c r="P13" s="110"/>
      <c r="Q13" s="110"/>
      <c r="R13" s="105">
        <f>SUM(R9:R11)</f>
        <v>7398.8307500000001</v>
      </c>
    </row>
    <row r="14" spans="1:26" x14ac:dyDescent="0.55000000000000004">
      <c r="A14" s="3"/>
      <c r="B14" s="3"/>
      <c r="C14" s="109" t="s">
        <v>90</v>
      </c>
      <c r="D14" s="18"/>
      <c r="E14" s="18"/>
      <c r="F14" s="105">
        <f>+F12+F13</f>
        <v>7325.5749999999998</v>
      </c>
      <c r="G14" s="3"/>
      <c r="H14"/>
      <c r="I14"/>
      <c r="J14"/>
      <c r="K14"/>
      <c r="L14"/>
      <c r="M14"/>
      <c r="N14"/>
      <c r="O14"/>
      <c r="R14"/>
    </row>
    <row r="15" spans="1:26" x14ac:dyDescent="0.55000000000000004">
      <c r="A15" s="3"/>
      <c r="B15" s="3"/>
      <c r="C15" s="137" t="s">
        <v>103</v>
      </c>
      <c r="D15" s="138"/>
      <c r="E15" s="138"/>
      <c r="F15" s="139">
        <f>+F14/$K$107</f>
        <v>8.8520776396382832</v>
      </c>
      <c r="G15" s="3"/>
      <c r="H15"/>
      <c r="I15" s="250" t="s">
        <v>54</v>
      </c>
      <c r="J15" s="251">
        <f>F205</f>
        <v>0.13711740374565123</v>
      </c>
      <c r="K15"/>
      <c r="L15"/>
      <c r="M15"/>
      <c r="N15"/>
      <c r="O15"/>
      <c r="R15"/>
    </row>
    <row r="16" spans="1:26" x14ac:dyDescent="0.55000000000000004">
      <c r="A16" s="3"/>
      <c r="B16" s="3"/>
      <c r="C16" s="231" t="s">
        <v>151</v>
      </c>
      <c r="D16" s="232"/>
      <c r="E16" s="232"/>
      <c r="F16" s="233">
        <f>+F14/$J$107</f>
        <v>10.376168555240794</v>
      </c>
      <c r="G16" s="3"/>
      <c r="H16"/>
      <c r="I16" s="252" t="s">
        <v>55</v>
      </c>
      <c r="J16" s="253">
        <f>F206</f>
        <v>1.9018638680859261</v>
      </c>
      <c r="K16"/>
      <c r="L16"/>
      <c r="M16"/>
      <c r="N16"/>
      <c r="O16"/>
      <c r="R16"/>
    </row>
    <row r="17" spans="1:21" x14ac:dyDescent="0.55000000000000004">
      <c r="C17" s="39" t="s">
        <v>92</v>
      </c>
      <c r="H17"/>
      <c r="I17"/>
      <c r="J17"/>
      <c r="K17" s="208"/>
      <c r="L17"/>
      <c r="M17"/>
    </row>
    <row r="18" spans="1:21" ht="17.649999999999999" x14ac:dyDescent="0.85">
      <c r="A18" s="3"/>
      <c r="B18" s="3"/>
      <c r="G18" s="3"/>
      <c r="H18" s="43" t="s">
        <v>3</v>
      </c>
      <c r="I18" s="43"/>
      <c r="J18" s="44"/>
      <c r="K18" s="43" t="str">
        <f>"Projections - "&amp;CHOOSE($Y$3,C78,C79)</f>
        <v>Projections - Base Case</v>
      </c>
      <c r="L18" s="43"/>
      <c r="M18" s="43"/>
      <c r="N18" s="43"/>
      <c r="O18" s="43"/>
      <c r="Q18" s="43" t="s">
        <v>85</v>
      </c>
      <c r="R18" s="43"/>
    </row>
    <row r="19" spans="1:21" ht="17.649999999999999" x14ac:dyDescent="0.85">
      <c r="A19" s="3"/>
      <c r="B19" s="3"/>
      <c r="C19" s="3" t="s">
        <v>30</v>
      </c>
      <c r="D19" s="3"/>
      <c r="E19" s="3"/>
      <c r="F19" s="3"/>
      <c r="G19" s="3"/>
      <c r="H19" s="45">
        <v>43496</v>
      </c>
      <c r="I19" s="45">
        <f t="shared" ref="I19:O19" si="0">EOMONTH(H19,12)</f>
        <v>43861</v>
      </c>
      <c r="J19" s="46">
        <f>EOMONTH(I19,12)</f>
        <v>44227</v>
      </c>
      <c r="K19" s="45">
        <f t="shared" si="0"/>
        <v>44592</v>
      </c>
      <c r="L19" s="45">
        <f t="shared" si="0"/>
        <v>44957</v>
      </c>
      <c r="M19" s="45">
        <f t="shared" si="0"/>
        <v>45322</v>
      </c>
      <c r="N19" s="45">
        <f>EOMONTH(M19,12)</f>
        <v>45688</v>
      </c>
      <c r="O19" s="45">
        <f t="shared" si="0"/>
        <v>46053</v>
      </c>
      <c r="Q19" s="123" t="s">
        <v>86</v>
      </c>
      <c r="R19" s="123" t="s">
        <v>87</v>
      </c>
    </row>
    <row r="20" spans="1:21" ht="5.0999999999999996" customHeight="1" x14ac:dyDescent="0.85">
      <c r="A20" s="3"/>
      <c r="B20" s="3"/>
      <c r="C20" s="3"/>
      <c r="D20" s="3"/>
      <c r="E20" s="3"/>
      <c r="F20" s="3"/>
      <c r="G20" s="3"/>
      <c r="H20" s="45"/>
      <c r="I20" s="45"/>
      <c r="J20" s="17"/>
      <c r="K20" s="16"/>
      <c r="L20" s="45"/>
      <c r="M20" s="45"/>
      <c r="N20" s="45"/>
      <c r="O20" s="45"/>
      <c r="R20" s="45"/>
    </row>
    <row r="21" spans="1:21" x14ac:dyDescent="0.55000000000000004">
      <c r="B21" t="s">
        <v>88</v>
      </c>
      <c r="C21" s="8" t="s">
        <v>73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9"/>
      <c r="P21" s="9"/>
      <c r="Q21" s="9"/>
      <c r="R21" s="9"/>
      <c r="U21" s="9" t="s">
        <v>123</v>
      </c>
    </row>
    <row r="22" spans="1:21" ht="5.0999999999999996" customHeight="1" x14ac:dyDescent="0.55000000000000004">
      <c r="C22" s="10"/>
      <c r="D22" s="10"/>
      <c r="E22" s="10"/>
      <c r="F22" s="10"/>
      <c r="G22" s="10"/>
      <c r="H22" s="11"/>
      <c r="I22" s="11"/>
      <c r="J22" s="12"/>
      <c r="K22" s="11"/>
      <c r="L22" s="11"/>
      <c r="M22" s="11"/>
      <c r="N22" s="11"/>
      <c r="O22" s="11"/>
      <c r="R22" s="11"/>
    </row>
    <row r="23" spans="1:21" s="25" customFormat="1" x14ac:dyDescent="0.55000000000000004">
      <c r="C23" s="25" t="s">
        <v>38</v>
      </c>
      <c r="H23" s="60">
        <v>494</v>
      </c>
      <c r="I23" s="60">
        <v>492</v>
      </c>
      <c r="J23" s="169">
        <v>497</v>
      </c>
      <c r="K23" s="21">
        <f>J23+K24</f>
        <v>501</v>
      </c>
      <c r="L23" s="21">
        <f t="shared" ref="L23:O23" si="1">K23+L24</f>
        <v>506</v>
      </c>
      <c r="M23" s="21">
        <f t="shared" si="1"/>
        <v>512</v>
      </c>
      <c r="N23" s="21">
        <f>M23+N24</f>
        <v>519</v>
      </c>
      <c r="O23" s="21">
        <f t="shared" si="1"/>
        <v>527</v>
      </c>
      <c r="P23"/>
      <c r="Q23" s="182">
        <f>IFERROR((J23/H23)^0.5-1,"n.a.")</f>
        <v>3.0318412163827801E-3</v>
      </c>
      <c r="R23" s="182">
        <f>IFERROR((O23/J23)^(1/5)-1,"n.a.")</f>
        <v>1.1791077595625143E-2</v>
      </c>
    </row>
    <row r="24" spans="1:21" s="23" customFormat="1" x14ac:dyDescent="0.55000000000000004">
      <c r="C24" s="24" t="str">
        <f>+"Change in no. of stores: "&amp;CHOOSE($Y$3,C25,C26)</f>
        <v>Change in no. of stores: Base Case</v>
      </c>
      <c r="D24" s="24"/>
      <c r="E24" s="48"/>
      <c r="F24" s="48"/>
      <c r="G24" s="24"/>
      <c r="H24" s="72" t="s">
        <v>106</v>
      </c>
      <c r="I24" s="72">
        <f>I23-H23</f>
        <v>-2</v>
      </c>
      <c r="J24" s="183">
        <f>J23-I23</f>
        <v>5</v>
      </c>
      <c r="K24" s="72">
        <f>+CHOOSE($Y$3,K25,K26)</f>
        <v>4</v>
      </c>
      <c r="L24" s="72">
        <f>+CHOOSE($Y$3,L25,L26)</f>
        <v>5</v>
      </c>
      <c r="M24" s="72">
        <f>+CHOOSE($Y$3,M25,M26)</f>
        <v>6</v>
      </c>
      <c r="N24" s="72">
        <f>+CHOOSE($Y$3,N25,N26)</f>
        <v>7</v>
      </c>
      <c r="O24" s="72">
        <f>+CHOOSE($Y$3,O25,O26)</f>
        <v>8</v>
      </c>
      <c r="P24"/>
      <c r="Q24" s="33"/>
      <c r="R24" s="33"/>
    </row>
    <row r="25" spans="1:21" s="23" customFormat="1" x14ac:dyDescent="0.55000000000000004">
      <c r="A25" s="22"/>
      <c r="B25" s="22"/>
      <c r="C25" s="180" t="s">
        <v>7</v>
      </c>
      <c r="D25" s="180"/>
      <c r="E25" s="181"/>
      <c r="F25" s="181"/>
      <c r="G25" s="22"/>
      <c r="H25" s="33"/>
      <c r="I25" s="33"/>
      <c r="J25" s="34"/>
      <c r="K25" s="75">
        <f>4+$U$25</f>
        <v>4</v>
      </c>
      <c r="L25" s="75">
        <f>K25+1</f>
        <v>5</v>
      </c>
      <c r="M25" s="75">
        <f t="shared" ref="M25:O25" si="2">L25+1</f>
        <v>6</v>
      </c>
      <c r="N25" s="75">
        <f t="shared" si="2"/>
        <v>7</v>
      </c>
      <c r="O25" s="75">
        <f t="shared" si="2"/>
        <v>8</v>
      </c>
      <c r="P25"/>
      <c r="Q25" s="33"/>
      <c r="R25" s="33"/>
      <c r="U25" s="75">
        <v>0</v>
      </c>
    </row>
    <row r="26" spans="1:21" s="23" customFormat="1" x14ac:dyDescent="0.55000000000000004">
      <c r="A26" s="22"/>
      <c r="B26" s="22"/>
      <c r="C26" s="180" t="s">
        <v>8</v>
      </c>
      <c r="D26" s="180"/>
      <c r="E26" s="181"/>
      <c r="F26" s="181"/>
      <c r="G26" s="22"/>
      <c r="H26" s="33"/>
      <c r="I26" s="33"/>
      <c r="J26" s="34"/>
      <c r="K26" s="75">
        <v>4</v>
      </c>
      <c r="L26" s="75">
        <f>L25-1</f>
        <v>4</v>
      </c>
      <c r="M26" s="75">
        <f t="shared" ref="M26:O26" si="3">M25-1</f>
        <v>5</v>
      </c>
      <c r="N26" s="75">
        <f t="shared" si="3"/>
        <v>6</v>
      </c>
      <c r="O26" s="75">
        <f t="shared" si="3"/>
        <v>7</v>
      </c>
      <c r="P26"/>
      <c r="Q26" s="33"/>
      <c r="R26" s="33"/>
    </row>
    <row r="27" spans="1:21" x14ac:dyDescent="0.55000000000000004">
      <c r="A27" s="14"/>
      <c r="B27" s="14"/>
      <c r="C27" s="50"/>
      <c r="D27" s="50"/>
      <c r="E27" s="50"/>
      <c r="F27" s="50"/>
      <c r="G27" s="14"/>
      <c r="H27" s="16"/>
      <c r="I27" s="16"/>
      <c r="J27" s="17"/>
      <c r="K27" s="16"/>
      <c r="L27" s="16"/>
      <c r="M27" s="16"/>
      <c r="N27" s="16"/>
      <c r="O27" s="16"/>
      <c r="R27"/>
    </row>
    <row r="28" spans="1:21" s="25" customFormat="1" x14ac:dyDescent="0.55000000000000004">
      <c r="C28" s="25" t="s">
        <v>39</v>
      </c>
      <c r="H28" s="60">
        <v>335</v>
      </c>
      <c r="I28" s="60">
        <v>335</v>
      </c>
      <c r="J28" s="169">
        <v>338</v>
      </c>
      <c r="K28" s="21">
        <f>J28+K29</f>
        <v>341</v>
      </c>
      <c r="L28" s="21">
        <f t="shared" ref="L28:O28" si="4">K28+L29</f>
        <v>344</v>
      </c>
      <c r="M28" s="21">
        <f t="shared" si="4"/>
        <v>347</v>
      </c>
      <c r="N28" s="21">
        <f>M28+N29</f>
        <v>350</v>
      </c>
      <c r="O28" s="21">
        <f t="shared" si="4"/>
        <v>353</v>
      </c>
      <c r="P28"/>
      <c r="Q28" s="182">
        <f>IFERROR((J28/H28)^0.5-1,"n.a.")</f>
        <v>4.4676320721326324E-3</v>
      </c>
      <c r="R28" s="182">
        <f>IFERROR((O28/J28)^(1/5)-1,"n.a.")</f>
        <v>8.7222513719651396E-3</v>
      </c>
    </row>
    <row r="29" spans="1:21" s="23" customFormat="1" x14ac:dyDescent="0.55000000000000004">
      <c r="C29" s="24" t="str">
        <f>+"Change in no. of stations: "&amp;CHOOSE($Y$3,C30,C31)</f>
        <v>Change in no. of stations: Base Case</v>
      </c>
      <c r="D29" s="24"/>
      <c r="E29" s="48"/>
      <c r="F29" s="48"/>
      <c r="G29" s="24"/>
      <c r="H29" s="72" t="s">
        <v>106</v>
      </c>
      <c r="I29" s="72">
        <f>I28-H28</f>
        <v>0</v>
      </c>
      <c r="J29" s="183">
        <f>J28-I28</f>
        <v>3</v>
      </c>
      <c r="K29" s="72">
        <f>+CHOOSE($Y$3,K30,K31)</f>
        <v>3</v>
      </c>
      <c r="L29" s="72">
        <f>+CHOOSE($Y$3,L30,L31)</f>
        <v>3</v>
      </c>
      <c r="M29" s="72">
        <f>+CHOOSE($Y$3,M30,M31)</f>
        <v>3</v>
      </c>
      <c r="N29" s="72">
        <f>+CHOOSE($Y$3,N30,N31)</f>
        <v>3</v>
      </c>
      <c r="O29" s="72">
        <f>+CHOOSE($Y$3,O30,O31)</f>
        <v>3</v>
      </c>
      <c r="P29"/>
      <c r="Q29" s="33"/>
      <c r="R29" s="33"/>
    </row>
    <row r="30" spans="1:21" s="23" customFormat="1" x14ac:dyDescent="0.55000000000000004">
      <c r="A30" s="22"/>
      <c r="B30" s="22"/>
      <c r="C30" s="180" t="s">
        <v>7</v>
      </c>
      <c r="D30" s="180"/>
      <c r="E30" s="181"/>
      <c r="F30" s="181"/>
      <c r="G30" s="22"/>
      <c r="H30" s="33"/>
      <c r="I30" s="33"/>
      <c r="J30" s="34"/>
      <c r="K30" s="75">
        <v>3</v>
      </c>
      <c r="L30" s="76">
        <v>3</v>
      </c>
      <c r="M30" s="76">
        <v>3</v>
      </c>
      <c r="N30" s="76">
        <v>3</v>
      </c>
      <c r="O30" s="76">
        <v>3</v>
      </c>
      <c r="P30"/>
      <c r="Q30" s="33"/>
      <c r="R30" s="33"/>
    </row>
    <row r="31" spans="1:21" s="23" customFormat="1" x14ac:dyDescent="0.55000000000000004">
      <c r="A31" s="22"/>
      <c r="B31" s="22"/>
      <c r="C31" s="180" t="s">
        <v>8</v>
      </c>
      <c r="D31" s="180"/>
      <c r="E31" s="181"/>
      <c r="F31" s="181"/>
      <c r="G31" s="22"/>
      <c r="H31" s="33"/>
      <c r="I31" s="33"/>
      <c r="J31" s="34"/>
      <c r="K31" s="75">
        <f>K30-1</f>
        <v>2</v>
      </c>
      <c r="L31" s="75">
        <f>L30-1</f>
        <v>2</v>
      </c>
      <c r="M31" s="75">
        <f t="shared" ref="M31" si="5">M30-1</f>
        <v>2</v>
      </c>
      <c r="N31" s="75">
        <f t="shared" ref="N31" si="6">N30-1</f>
        <v>2</v>
      </c>
      <c r="O31" s="75">
        <f t="shared" ref="O31" si="7">O30-1</f>
        <v>2</v>
      </c>
      <c r="P31"/>
      <c r="Q31" s="33"/>
      <c r="R31" s="33"/>
    </row>
    <row r="32" spans="1:21" x14ac:dyDescent="0.55000000000000004">
      <c r="A32" s="14"/>
      <c r="B32" s="14"/>
      <c r="C32" s="50"/>
      <c r="D32" s="50"/>
      <c r="E32" s="50"/>
      <c r="F32" s="50"/>
      <c r="G32" s="14"/>
      <c r="H32" s="16"/>
      <c r="I32" s="16"/>
      <c r="J32" s="17"/>
      <c r="K32" s="16"/>
      <c r="L32" s="16"/>
      <c r="M32" s="16"/>
      <c r="N32" s="16"/>
      <c r="O32" s="16"/>
      <c r="R32"/>
    </row>
    <row r="33" spans="1:18" s="25" customFormat="1" x14ac:dyDescent="0.55000000000000004">
      <c r="C33" s="25" t="s">
        <v>42</v>
      </c>
      <c r="H33" s="60">
        <v>72120</v>
      </c>
      <c r="I33" s="60">
        <v>71263</v>
      </c>
      <c r="J33" s="169">
        <v>76991</v>
      </c>
      <c r="K33" s="21">
        <f>ROUND(+J33*(1+K34),0)</f>
        <v>81927</v>
      </c>
      <c r="L33" s="21">
        <f t="shared" ref="L33" si="8">ROUND(+K33*(1+L34),0)</f>
        <v>83391</v>
      </c>
      <c r="M33" s="21">
        <f t="shared" ref="M33" si="9">ROUND(+L33*(1+M34),0)</f>
        <v>84613</v>
      </c>
      <c r="N33" s="21">
        <f>ROUND(+M33*(1+N34),0)</f>
        <v>85567</v>
      </c>
      <c r="O33" s="21">
        <f t="shared" ref="O33" si="10">ROUND(+N33*(1+O34),0)</f>
        <v>86226</v>
      </c>
      <c r="P33"/>
      <c r="Q33" s="182">
        <f>IFERROR((J33/H33)^0.5-1,"n.a.")</f>
        <v>3.3218375155922519E-2</v>
      </c>
      <c r="R33" s="182">
        <f>IFERROR((O33/J33)^(1/5)-1,"n.a.")</f>
        <v>2.2915256055696664E-2</v>
      </c>
    </row>
    <row r="34" spans="1:18" s="23" customFormat="1" x14ac:dyDescent="0.55000000000000004">
      <c r="C34" s="24" t="str">
        <f>+"% growth: "&amp;CHOOSE($Y$3,C35,C36)</f>
        <v>% growth: Base Case</v>
      </c>
      <c r="D34" s="24"/>
      <c r="E34" s="48"/>
      <c r="F34" s="48"/>
      <c r="G34" s="24"/>
      <c r="H34" s="184"/>
      <c r="I34" s="184">
        <f t="shared" ref="I34" si="11">IFERROR(I33/H33-1,"n.a.")</f>
        <v>-1.1882972823072602E-2</v>
      </c>
      <c r="J34" s="185">
        <f>IFERROR(J33/I33-1,"n.a.")</f>
        <v>8.0378316938663819E-2</v>
      </c>
      <c r="K34" s="184">
        <f>+CHOOSE($Y$3,K35,K36)</f>
        <v>6.4117607108727936E-2</v>
      </c>
      <c r="L34" s="184">
        <f>+CHOOSE($Y$3,L35,L36)</f>
        <v>1.786480710524474E-2</v>
      </c>
      <c r="M34" s="184">
        <f>+CHOOSE($Y$3,M35,M36)</f>
        <v>1.465915847839705E-2</v>
      </c>
      <c r="N34" s="184">
        <f>+CHOOSE($Y$3,N35,N36)</f>
        <v>1.127116937607806E-2</v>
      </c>
      <c r="O34" s="184">
        <f>+CHOOSE($Y$3,O35,O36)</f>
        <v>7.6972627098142793E-3</v>
      </c>
      <c r="P34"/>
      <c r="Q34" s="33"/>
      <c r="R34" s="33"/>
    </row>
    <row r="35" spans="1:18" s="23" customFormat="1" x14ac:dyDescent="0.55000000000000004">
      <c r="A35" s="22"/>
      <c r="B35" s="22"/>
      <c r="C35" s="180" t="s">
        <v>7</v>
      </c>
      <c r="D35" s="180"/>
      <c r="E35" s="181"/>
      <c r="F35" s="181"/>
      <c r="G35" s="22"/>
      <c r="H35" s="33"/>
      <c r="I35" s="33"/>
      <c r="J35" s="34"/>
      <c r="K35" s="58">
        <f>K74*0.6</f>
        <v>6.4117607108727936E-2</v>
      </c>
      <c r="L35" s="58">
        <f>L74*0.5</f>
        <v>1.786480710524474E-2</v>
      </c>
      <c r="M35" s="58">
        <f>M74*0.4</f>
        <v>1.465915847839705E-2</v>
      </c>
      <c r="N35" s="58">
        <f>N74*0.3</f>
        <v>1.127116937607806E-2</v>
      </c>
      <c r="O35" s="58">
        <f>O74*0.2</f>
        <v>7.6972627098142793E-3</v>
      </c>
      <c r="P35"/>
      <c r="Q35" s="33"/>
      <c r="R35" s="33"/>
    </row>
    <row r="36" spans="1:18" s="23" customFormat="1" x14ac:dyDescent="0.55000000000000004">
      <c r="A36" s="22"/>
      <c r="B36" s="22"/>
      <c r="C36" s="180" t="s">
        <v>8</v>
      </c>
      <c r="D36" s="180"/>
      <c r="E36" s="181"/>
      <c r="F36" s="181"/>
      <c r="G36" s="22"/>
      <c r="H36" s="33"/>
      <c r="I36" s="33"/>
      <c r="J36" s="34"/>
      <c r="K36" s="58">
        <f>K74*0.3</f>
        <v>3.2058803554363968E-2</v>
      </c>
      <c r="L36" s="58">
        <f>L74*0.2</f>
        <v>7.1459228420978965E-3</v>
      </c>
      <c r="M36" s="58">
        <f>M74*0.1</f>
        <v>3.6647896195992624E-3</v>
      </c>
      <c r="N36" s="58">
        <f>M36</f>
        <v>3.6647896195992624E-3</v>
      </c>
      <c r="O36" s="58">
        <f>N36</f>
        <v>3.6647896195992624E-3</v>
      </c>
      <c r="P36"/>
      <c r="Q36" s="33"/>
      <c r="R36" s="33"/>
    </row>
    <row r="37" spans="1:18" x14ac:dyDescent="0.55000000000000004">
      <c r="A37" s="14"/>
      <c r="B37" s="14"/>
      <c r="C37" s="50"/>
      <c r="D37" s="50"/>
      <c r="E37" s="50"/>
      <c r="F37" s="50"/>
      <c r="G37" s="14"/>
      <c r="H37" s="16"/>
      <c r="I37" s="16"/>
      <c r="J37" s="17"/>
      <c r="K37" s="16"/>
      <c r="L37" s="16"/>
      <c r="M37" s="16"/>
      <c r="N37" s="16"/>
      <c r="O37" s="16"/>
      <c r="R37"/>
    </row>
    <row r="38" spans="1:18" s="25" customFormat="1" x14ac:dyDescent="0.55000000000000004">
      <c r="C38" s="25" t="s">
        <v>32</v>
      </c>
      <c r="H38" s="186">
        <v>4.8000000000000001E-2</v>
      </c>
      <c r="I38" s="186">
        <v>-8.0000000000000002E-3</v>
      </c>
      <c r="J38" s="187">
        <v>8.5999999999999993E-2</v>
      </c>
      <c r="K38" s="184">
        <f>+CHOOSE($Y$3,K39,K40)</f>
        <v>0</v>
      </c>
      <c r="L38" s="184">
        <f>+CHOOSE($Y$3,L39,L40)</f>
        <v>0</v>
      </c>
      <c r="M38" s="184">
        <f>+CHOOSE($Y$3,M39,M40)</f>
        <v>0</v>
      </c>
      <c r="N38" s="184">
        <f>+CHOOSE($Y$3,N39,N40)</f>
        <v>0</v>
      </c>
      <c r="O38" s="184">
        <f>+CHOOSE($Y$3,O39,O40)</f>
        <v>0</v>
      </c>
      <c r="P38"/>
      <c r="Q38" s="33"/>
      <c r="R38" s="33"/>
    </row>
    <row r="39" spans="1:18" s="23" customFormat="1" x14ac:dyDescent="0.55000000000000004">
      <c r="A39" s="22"/>
      <c r="B39" s="22"/>
      <c r="C39" s="180" t="s">
        <v>7</v>
      </c>
      <c r="D39" s="180"/>
      <c r="E39" s="181"/>
      <c r="F39" s="181"/>
      <c r="G39" s="22"/>
      <c r="H39" s="33"/>
      <c r="I39" s="33"/>
      <c r="J39" s="34"/>
      <c r="K39" s="247"/>
      <c r="L39" s="248"/>
      <c r="M39" s="248"/>
      <c r="N39" s="248"/>
      <c r="O39" s="248"/>
      <c r="P39"/>
      <c r="Q39" s="33"/>
      <c r="R39" s="33"/>
    </row>
    <row r="40" spans="1:18" s="23" customFormat="1" x14ac:dyDescent="0.55000000000000004">
      <c r="A40" s="22"/>
      <c r="B40" s="22"/>
      <c r="C40" s="180" t="s">
        <v>8</v>
      </c>
      <c r="D40" s="180"/>
      <c r="E40" s="181"/>
      <c r="F40" s="181"/>
      <c r="G40" s="22"/>
      <c r="H40" s="33"/>
      <c r="I40" s="33"/>
      <c r="J40" s="34"/>
      <c r="K40" s="247"/>
      <c r="L40" s="248"/>
      <c r="M40" s="248"/>
      <c r="N40" s="248"/>
      <c r="O40" s="248"/>
      <c r="P40"/>
      <c r="Q40" s="33"/>
      <c r="R40" s="33"/>
    </row>
    <row r="41" spans="1:18" x14ac:dyDescent="0.55000000000000004">
      <c r="A41" s="14"/>
      <c r="B41" s="14"/>
      <c r="C41" s="50"/>
      <c r="D41" s="50"/>
      <c r="E41" s="50"/>
      <c r="F41" s="50"/>
      <c r="G41" s="14"/>
      <c r="H41" s="16"/>
      <c r="I41" s="16"/>
      <c r="J41" s="17"/>
      <c r="K41" s="16"/>
      <c r="L41" s="16"/>
      <c r="M41" s="16"/>
      <c r="N41" s="16"/>
      <c r="O41" s="16"/>
      <c r="R41"/>
    </row>
    <row r="42" spans="1:18" x14ac:dyDescent="0.55000000000000004">
      <c r="A42" s="14"/>
      <c r="B42" s="14"/>
      <c r="C42" s="25" t="s">
        <v>115</v>
      </c>
      <c r="D42" s="25"/>
      <c r="E42" s="25"/>
      <c r="F42" s="25"/>
      <c r="G42" s="25"/>
      <c r="H42" s="200">
        <f>H67/H23</f>
        <v>28.279352226720647</v>
      </c>
      <c r="I42" s="200">
        <f>I67/I23</f>
        <v>28.180894308943088</v>
      </c>
      <c r="J42" s="200">
        <f>J67/J23</f>
        <v>30.39235412474849</v>
      </c>
      <c r="K42" s="201">
        <f>+CHOOSE($Y$3,K43,K44)</f>
        <v>31.39235412474849</v>
      </c>
      <c r="L42" s="201">
        <f>+CHOOSE($Y$3,L43,L44)</f>
        <v>32.392354124748493</v>
      </c>
      <c r="M42" s="201">
        <f>+CHOOSE($Y$3,M43,M44)</f>
        <v>33.392354124748493</v>
      </c>
      <c r="N42" s="201">
        <f>+CHOOSE($Y$3,N43,N44)</f>
        <v>34.392354124748493</v>
      </c>
      <c r="O42" s="201">
        <f>+CHOOSE($Y$3,O43,O44)</f>
        <v>35.392354124748493</v>
      </c>
      <c r="R42"/>
    </row>
    <row r="43" spans="1:18" x14ac:dyDescent="0.55000000000000004">
      <c r="A43" s="14"/>
      <c r="B43" s="14"/>
      <c r="C43" s="180" t="s">
        <v>7</v>
      </c>
      <c r="D43" s="180"/>
      <c r="E43" s="181"/>
      <c r="F43" s="181"/>
      <c r="G43" s="22"/>
      <c r="H43" s="202"/>
      <c r="I43" s="202"/>
      <c r="J43" s="203"/>
      <c r="K43" s="204">
        <f>J42+1</f>
        <v>31.39235412474849</v>
      </c>
      <c r="L43" s="204">
        <f>K43+1</f>
        <v>32.392354124748493</v>
      </c>
      <c r="M43" s="204">
        <f t="shared" ref="M43:O43" si="12">L43+1</f>
        <v>33.392354124748493</v>
      </c>
      <c r="N43" s="204">
        <f t="shared" si="12"/>
        <v>34.392354124748493</v>
      </c>
      <c r="O43" s="204">
        <f t="shared" si="12"/>
        <v>35.392354124748493</v>
      </c>
      <c r="R43"/>
    </row>
    <row r="44" spans="1:18" x14ac:dyDescent="0.55000000000000004">
      <c r="A44" s="14"/>
      <c r="B44" s="14"/>
      <c r="C44" s="180" t="s">
        <v>8</v>
      </c>
      <c r="D44" s="180"/>
      <c r="E44" s="181"/>
      <c r="F44" s="181"/>
      <c r="G44" s="22"/>
      <c r="H44" s="202"/>
      <c r="I44" s="202"/>
      <c r="J44" s="203"/>
      <c r="K44" s="204">
        <f>J42</f>
        <v>30.39235412474849</v>
      </c>
      <c r="L44" s="204">
        <f>K44+0.25</f>
        <v>30.64235412474849</v>
      </c>
      <c r="M44" s="204">
        <f t="shared" ref="M44:O44" si="13">L44+0.25</f>
        <v>30.89235412474849</v>
      </c>
      <c r="N44" s="204">
        <f t="shared" si="13"/>
        <v>31.14235412474849</v>
      </c>
      <c r="O44" s="204">
        <f t="shared" si="13"/>
        <v>31.39235412474849</v>
      </c>
      <c r="R44"/>
    </row>
    <row r="45" spans="1:18" x14ac:dyDescent="0.55000000000000004">
      <c r="A45" s="14"/>
      <c r="B45" s="14"/>
      <c r="C45" s="50"/>
      <c r="D45" s="50"/>
      <c r="E45" s="50"/>
      <c r="F45" s="50"/>
      <c r="G45" s="14"/>
      <c r="H45" s="16"/>
      <c r="I45" s="16"/>
      <c r="J45" s="16"/>
      <c r="K45" s="16"/>
      <c r="L45" s="16"/>
      <c r="M45" s="16"/>
      <c r="N45" s="16"/>
      <c r="O45" s="16"/>
      <c r="R45"/>
    </row>
    <row r="46" spans="1:18" x14ac:dyDescent="0.55000000000000004">
      <c r="A46" s="14"/>
      <c r="B46" s="14"/>
      <c r="C46" s="25" t="s">
        <v>117</v>
      </c>
      <c r="D46" s="25"/>
      <c r="E46" s="25"/>
      <c r="F46" s="25"/>
      <c r="G46" s="25"/>
      <c r="H46" s="200">
        <f>H70/H28</f>
        <v>11.238805970149254</v>
      </c>
      <c r="I46" s="200">
        <f>I70/I28</f>
        <v>10.958208955223881</v>
      </c>
      <c r="J46" s="200">
        <f>J70/J28</f>
        <v>7.3757396449704142</v>
      </c>
      <c r="K46" s="201">
        <f>+CHOOSE($Y$3,K47,K48)</f>
        <v>11</v>
      </c>
      <c r="L46" s="201">
        <f>+CHOOSE($Y$3,L47,L48)</f>
        <v>11</v>
      </c>
      <c r="M46" s="201">
        <f>+CHOOSE($Y$3,M47,M48)</f>
        <v>11</v>
      </c>
      <c r="N46" s="201">
        <f>+CHOOSE($Y$3,N47,N48)</f>
        <v>11</v>
      </c>
      <c r="O46" s="201">
        <f>+CHOOSE($Y$3,O47,O48)</f>
        <v>11</v>
      </c>
      <c r="R46"/>
    </row>
    <row r="47" spans="1:18" x14ac:dyDescent="0.55000000000000004">
      <c r="A47" s="14"/>
      <c r="B47" s="14"/>
      <c r="C47" s="180" t="s">
        <v>7</v>
      </c>
      <c r="D47" s="180"/>
      <c r="E47" s="181"/>
      <c r="F47" s="181"/>
      <c r="G47" s="22"/>
      <c r="H47" s="202"/>
      <c r="I47" s="202"/>
      <c r="J47" s="203"/>
      <c r="K47" s="204">
        <v>11</v>
      </c>
      <c r="L47" s="205">
        <f t="shared" ref="L47:O48" si="14">K47</f>
        <v>11</v>
      </c>
      <c r="M47" s="205">
        <f t="shared" si="14"/>
        <v>11</v>
      </c>
      <c r="N47" s="205">
        <f t="shared" si="14"/>
        <v>11</v>
      </c>
      <c r="O47" s="205">
        <f t="shared" si="14"/>
        <v>11</v>
      </c>
      <c r="R47"/>
    </row>
    <row r="48" spans="1:18" x14ac:dyDescent="0.55000000000000004">
      <c r="A48" s="14"/>
      <c r="B48" s="14"/>
      <c r="C48" s="180" t="s">
        <v>8</v>
      </c>
      <c r="D48" s="180"/>
      <c r="E48" s="181"/>
      <c r="F48" s="181"/>
      <c r="G48" s="22"/>
      <c r="H48" s="202"/>
      <c r="I48" s="202"/>
      <c r="J48" s="203"/>
      <c r="K48" s="204">
        <v>11</v>
      </c>
      <c r="L48" s="205">
        <f t="shared" si="14"/>
        <v>11</v>
      </c>
      <c r="M48" s="205">
        <f t="shared" si="14"/>
        <v>11</v>
      </c>
      <c r="N48" s="205">
        <f t="shared" si="14"/>
        <v>11</v>
      </c>
      <c r="O48" s="205">
        <f t="shared" si="14"/>
        <v>11</v>
      </c>
      <c r="R48"/>
    </row>
    <row r="49" spans="1:18" x14ac:dyDescent="0.55000000000000004">
      <c r="A49" s="14"/>
      <c r="B49" s="14"/>
      <c r="C49" s="50"/>
      <c r="D49" s="50"/>
      <c r="E49" s="50"/>
      <c r="F49" s="50"/>
      <c r="G49" s="14"/>
      <c r="H49" s="16"/>
      <c r="I49" s="16"/>
      <c r="J49" s="16"/>
      <c r="K49" s="16"/>
      <c r="L49" s="16"/>
      <c r="M49" s="16"/>
      <c r="N49" s="16"/>
      <c r="O49" s="16"/>
      <c r="R49"/>
    </row>
    <row r="50" spans="1:18" x14ac:dyDescent="0.55000000000000004">
      <c r="A50" s="14"/>
      <c r="B50" s="14"/>
      <c r="C50" s="25" t="s">
        <v>118</v>
      </c>
      <c r="D50" s="25"/>
      <c r="E50" s="25"/>
      <c r="F50" s="25"/>
      <c r="G50" s="25"/>
      <c r="H50" s="199">
        <f>-(H89*10^6)/H33</f>
        <v>26344.980587909042</v>
      </c>
      <c r="I50" s="199">
        <f>-(I89*10^6)/I33</f>
        <v>25890.01305025048</v>
      </c>
      <c r="J50" s="199">
        <f>-(J89*10^6)/J33</f>
        <v>27769.479549557742</v>
      </c>
      <c r="K50" s="21">
        <f>ROUND(+J50*(1+K51),0)</f>
        <v>29713</v>
      </c>
      <c r="L50" s="21">
        <f t="shared" ref="L50:O50" si="15">ROUND(+K50*(1+L51),0)</f>
        <v>31199</v>
      </c>
      <c r="M50" s="21">
        <f t="shared" si="15"/>
        <v>32135</v>
      </c>
      <c r="N50" s="21">
        <f t="shared" si="15"/>
        <v>32456</v>
      </c>
      <c r="O50" s="21">
        <f t="shared" si="15"/>
        <v>32781</v>
      </c>
      <c r="R50"/>
    </row>
    <row r="51" spans="1:18" x14ac:dyDescent="0.55000000000000004">
      <c r="A51" s="14"/>
      <c r="B51" s="14"/>
      <c r="C51" s="24" t="str">
        <f>+"% growth: "&amp;CHOOSE($Y$3,C52,C53)</f>
        <v>% growth: Base Case</v>
      </c>
      <c r="D51" s="24"/>
      <c r="E51" s="48"/>
      <c r="F51" s="48"/>
      <c r="G51" s="24"/>
      <c r="H51" s="184"/>
      <c r="I51" s="184">
        <f t="shared" ref="I51" si="16">IFERROR(I50/H50-1,"n.a.")</f>
        <v>-1.7269609903123984E-2</v>
      </c>
      <c r="J51" s="185">
        <f>IFERROR(J50/I50-1,"n.a.")</f>
        <v>7.2594266200614266E-2</v>
      </c>
      <c r="K51" s="184">
        <f>+CHOOSE($Y$3,K52,K53)</f>
        <v>7.0000000000000007E-2</v>
      </c>
      <c r="L51" s="184">
        <f>+CHOOSE($Y$3,L52,L53)</f>
        <v>0.05</v>
      </c>
      <c r="M51" s="184">
        <f>+CHOOSE($Y$3,M52,M53)</f>
        <v>3.0000000000000002E-2</v>
      </c>
      <c r="N51" s="184">
        <f>+CHOOSE($Y$3,N52,N53)</f>
        <v>1.0000000000000002E-2</v>
      </c>
      <c r="O51" s="184">
        <f>+CHOOSE($Y$3,O52,O53)</f>
        <v>0.01</v>
      </c>
      <c r="R51"/>
    </row>
    <row r="52" spans="1:18" x14ac:dyDescent="0.55000000000000004">
      <c r="A52" s="14"/>
      <c r="B52" s="14"/>
      <c r="C52" s="180" t="s">
        <v>7</v>
      </c>
      <c r="D52" s="180"/>
      <c r="E52" s="181"/>
      <c r="F52" s="181"/>
      <c r="G52" s="22"/>
      <c r="H52" s="202"/>
      <c r="I52" s="202"/>
      <c r="J52" s="203"/>
      <c r="K52" s="58">
        <v>7.0000000000000007E-2</v>
      </c>
      <c r="L52" s="58">
        <f>K52-2%</f>
        <v>0.05</v>
      </c>
      <c r="M52" s="58">
        <f t="shared" ref="M52:N52" si="17">L52-2%</f>
        <v>3.0000000000000002E-2</v>
      </c>
      <c r="N52" s="58">
        <f t="shared" si="17"/>
        <v>1.0000000000000002E-2</v>
      </c>
      <c r="O52" s="58">
        <v>0.01</v>
      </c>
      <c r="R52"/>
    </row>
    <row r="53" spans="1:18" x14ac:dyDescent="0.55000000000000004">
      <c r="A53" s="14"/>
      <c r="B53" s="14"/>
      <c r="C53" s="180" t="s">
        <v>8</v>
      </c>
      <c r="D53" s="180"/>
      <c r="E53" s="181"/>
      <c r="F53" s="181"/>
      <c r="G53" s="22"/>
      <c r="H53" s="202"/>
      <c r="I53" s="202"/>
      <c r="J53" s="203"/>
      <c r="K53" s="58">
        <f>K52</f>
        <v>7.0000000000000007E-2</v>
      </c>
      <c r="L53" s="58">
        <f t="shared" ref="L53:O53" si="18">L52</f>
        <v>0.05</v>
      </c>
      <c r="M53" s="58">
        <f t="shared" si="18"/>
        <v>3.0000000000000002E-2</v>
      </c>
      <c r="N53" s="58">
        <f t="shared" si="18"/>
        <v>1.0000000000000002E-2</v>
      </c>
      <c r="O53" s="58">
        <f t="shared" si="18"/>
        <v>0.01</v>
      </c>
      <c r="R53"/>
    </row>
    <row r="54" spans="1:18" x14ac:dyDescent="0.55000000000000004">
      <c r="A54" s="14"/>
      <c r="B54" s="14"/>
      <c r="C54" s="50"/>
      <c r="D54" s="50"/>
      <c r="E54" s="50"/>
      <c r="F54" s="50"/>
      <c r="G54" s="14"/>
      <c r="H54" s="16"/>
      <c r="I54" s="16"/>
      <c r="J54" s="16"/>
      <c r="K54" s="16"/>
      <c r="L54" s="16"/>
      <c r="M54" s="16"/>
      <c r="N54" s="16"/>
      <c r="O54" s="16"/>
      <c r="R54"/>
    </row>
    <row r="55" spans="1:18" x14ac:dyDescent="0.55000000000000004">
      <c r="A55" s="14"/>
      <c r="B55" s="14"/>
      <c r="C55" s="25" t="s">
        <v>119</v>
      </c>
      <c r="D55" s="25"/>
      <c r="E55" s="25"/>
      <c r="F55" s="25"/>
      <c r="G55" s="25"/>
      <c r="H55" s="199"/>
      <c r="I55"/>
      <c r="J55"/>
      <c r="K55" s="21">
        <f>K56*K$73</f>
        <v>-584.35708249496975</v>
      </c>
      <c r="L55" s="21">
        <f>L56*L73</f>
        <v>-605.23593561368216</v>
      </c>
      <c r="M55" s="21">
        <f>M56*M73</f>
        <v>-627.41655935613687</v>
      </c>
      <c r="N55" s="21">
        <f>N56*N73</f>
        <v>-650.98895372233403</v>
      </c>
      <c r="O55" s="21">
        <f>O56*O73</f>
        <v>-676.04311871227367</v>
      </c>
      <c r="R55"/>
    </row>
    <row r="56" spans="1:18" x14ac:dyDescent="0.55000000000000004">
      <c r="A56" s="14"/>
      <c r="B56" s="14"/>
      <c r="C56" s="24" t="str">
        <f>+"% sales: "&amp;CHOOSE($Y$3,C57,C58)</f>
        <v>% sales: Base Case</v>
      </c>
      <c r="D56" s="24"/>
      <c r="E56" s="48"/>
      <c r="F56" s="48"/>
      <c r="G56" s="24"/>
      <c r="H56" s="184"/>
      <c r="I56" s="206">
        <f>I124/I73</f>
        <v>-2.9083029197080293E-2</v>
      </c>
      <c r="J56" s="206">
        <f>I56</f>
        <v>-2.9083029197080293E-2</v>
      </c>
      <c r="K56" s="184">
        <f>+CHOOSE($Y$3,K57,K58)</f>
        <v>-0.03</v>
      </c>
      <c r="L56" s="184">
        <f>+CHOOSE($Y$3,L57,L58)</f>
        <v>-0.03</v>
      </c>
      <c r="M56" s="184">
        <f>+CHOOSE($Y$3,M57,M58)</f>
        <v>-0.03</v>
      </c>
      <c r="N56" s="184">
        <f>+CHOOSE($Y$3,N57,N58)</f>
        <v>-0.03</v>
      </c>
      <c r="O56" s="184">
        <f>+CHOOSE($Y$3,O57,O58)</f>
        <v>-0.03</v>
      </c>
      <c r="R56"/>
    </row>
    <row r="57" spans="1:18" x14ac:dyDescent="0.55000000000000004">
      <c r="A57" s="14"/>
      <c r="B57" s="14"/>
      <c r="C57" s="180" t="s">
        <v>7</v>
      </c>
      <c r="D57" s="180"/>
      <c r="E57" s="181"/>
      <c r="F57" s="181"/>
      <c r="G57" s="22"/>
      <c r="H57" s="202"/>
      <c r="I57" s="202"/>
      <c r="J57" s="203"/>
      <c r="K57" s="58">
        <v>-0.03</v>
      </c>
      <c r="L57" s="58">
        <f>K57</f>
        <v>-0.03</v>
      </c>
      <c r="M57" s="58">
        <f t="shared" ref="M57:O57" si="19">L57</f>
        <v>-0.03</v>
      </c>
      <c r="N57" s="58">
        <f t="shared" si="19"/>
        <v>-0.03</v>
      </c>
      <c r="O57" s="58">
        <f t="shared" si="19"/>
        <v>-0.03</v>
      </c>
      <c r="R57"/>
    </row>
    <row r="58" spans="1:18" x14ac:dyDescent="0.55000000000000004">
      <c r="A58" s="14"/>
      <c r="B58" s="14"/>
      <c r="C58" s="180" t="s">
        <v>8</v>
      </c>
      <c r="D58" s="180"/>
      <c r="E58" s="181"/>
      <c r="F58" s="181"/>
      <c r="G58" s="22"/>
      <c r="H58" s="202"/>
      <c r="I58" s="202"/>
      <c r="J58" s="203"/>
      <c r="K58" s="58">
        <f>K57</f>
        <v>-0.03</v>
      </c>
      <c r="L58" s="58">
        <f>K58</f>
        <v>-0.03</v>
      </c>
      <c r="M58" s="58">
        <f t="shared" ref="M58:O58" si="20">L58</f>
        <v>-0.03</v>
      </c>
      <c r="N58" s="58">
        <f t="shared" si="20"/>
        <v>-0.03</v>
      </c>
      <c r="O58" s="58">
        <f t="shared" si="20"/>
        <v>-0.03</v>
      </c>
      <c r="R58"/>
    </row>
    <row r="59" spans="1:18" x14ac:dyDescent="0.55000000000000004">
      <c r="A59" s="14"/>
      <c r="B59" s="14"/>
      <c r="C59" s="50"/>
      <c r="D59" s="50"/>
      <c r="E59" s="50"/>
      <c r="F59" s="50"/>
      <c r="G59" s="14"/>
      <c r="H59" s="16"/>
      <c r="I59" s="16"/>
      <c r="J59" s="16"/>
      <c r="K59" s="16"/>
      <c r="L59" s="16"/>
      <c r="M59" s="16"/>
      <c r="N59" s="16"/>
      <c r="O59" s="16"/>
      <c r="R59"/>
    </row>
    <row r="60" spans="1:18" x14ac:dyDescent="0.55000000000000004">
      <c r="A60" s="14"/>
      <c r="B60" s="14"/>
      <c r="C60" s="25" t="s">
        <v>121</v>
      </c>
      <c r="D60" s="25"/>
      <c r="E60" s="25"/>
      <c r="F60" s="25"/>
      <c r="G60" s="25"/>
      <c r="H60" s="200"/>
      <c r="I60" s="200"/>
      <c r="J60" s="200">
        <f>J124-J56*J73</f>
        <v>-26.196852189780998</v>
      </c>
      <c r="K60" s="21">
        <f>K61*K$73</f>
        <v>-28.996317983430661</v>
      </c>
      <c r="L60" s="21">
        <f>L61*L$73</f>
        <v>-30.032345238503318</v>
      </c>
      <c r="M60" s="21">
        <f>M61*M$73</f>
        <v>-31.1329675093262</v>
      </c>
      <c r="N60" s="21">
        <f>N61*N$73</f>
        <v>-32.302650675918038</v>
      </c>
      <c r="O60" s="21">
        <f>O61*O$73</f>
        <v>-33.545860618297539</v>
      </c>
      <c r="R60"/>
    </row>
    <row r="61" spans="1:18" x14ac:dyDescent="0.55000000000000004">
      <c r="A61" s="14"/>
      <c r="B61" s="14"/>
      <c r="C61" s="24" t="str">
        <f>+"% sales: "&amp;CHOOSE($Y$3,C62,C63)</f>
        <v>% sales: Base Case</v>
      </c>
      <c r="D61" s="24"/>
      <c r="E61" s="48"/>
      <c r="F61" s="48"/>
      <c r="G61" s="24"/>
      <c r="H61" s="184"/>
      <c r="I61" s="184"/>
      <c r="J61" s="184">
        <f>J60/J73</f>
        <v>-1.4886266729049324E-3</v>
      </c>
      <c r="K61" s="184">
        <f>+CHOOSE($Y$3,K62,K63)</f>
        <v>-1.4886266729049324E-3</v>
      </c>
      <c r="L61" s="184">
        <f>+CHOOSE($Y$3,L62,L63)</f>
        <v>-1.4886266729049324E-3</v>
      </c>
      <c r="M61" s="184">
        <f>+CHOOSE($Y$3,M62,M63)</f>
        <v>-1.4886266729049324E-3</v>
      </c>
      <c r="N61" s="184">
        <f>+CHOOSE($Y$3,N62,N63)</f>
        <v>-1.4886266729049324E-3</v>
      </c>
      <c r="O61" s="184">
        <f>+CHOOSE($Y$3,O62,O63)</f>
        <v>-1.4886266729049324E-3</v>
      </c>
      <c r="R61"/>
    </row>
    <row r="62" spans="1:18" x14ac:dyDescent="0.55000000000000004">
      <c r="A62" s="14"/>
      <c r="B62" s="14"/>
      <c r="C62" s="180" t="s">
        <v>7</v>
      </c>
      <c r="D62" s="180"/>
      <c r="E62" s="181"/>
      <c r="F62" s="181"/>
      <c r="G62" s="22"/>
      <c r="H62" s="202"/>
      <c r="I62" s="202"/>
      <c r="J62" s="203"/>
      <c r="K62" s="58">
        <f>J61</f>
        <v>-1.4886266729049324E-3</v>
      </c>
      <c r="L62" s="58">
        <f>K62</f>
        <v>-1.4886266729049324E-3</v>
      </c>
      <c r="M62" s="58">
        <f t="shared" ref="M62:O62" si="21">L62</f>
        <v>-1.4886266729049324E-3</v>
      </c>
      <c r="N62" s="58">
        <f t="shared" si="21"/>
        <v>-1.4886266729049324E-3</v>
      </c>
      <c r="O62" s="58">
        <f t="shared" si="21"/>
        <v>-1.4886266729049324E-3</v>
      </c>
      <c r="R62"/>
    </row>
    <row r="63" spans="1:18" x14ac:dyDescent="0.55000000000000004">
      <c r="A63" s="14"/>
      <c r="B63" s="14"/>
      <c r="C63" s="180" t="s">
        <v>8</v>
      </c>
      <c r="D63" s="180"/>
      <c r="E63" s="181"/>
      <c r="F63" s="181"/>
      <c r="G63" s="22"/>
      <c r="H63" s="202"/>
      <c r="I63" s="202"/>
      <c r="J63" s="203"/>
      <c r="K63" s="58">
        <f>K62</f>
        <v>-1.4886266729049324E-3</v>
      </c>
      <c r="L63" s="58">
        <f>K63</f>
        <v>-1.4886266729049324E-3</v>
      </c>
      <c r="M63" s="58">
        <f t="shared" ref="M63:O63" si="22">L63</f>
        <v>-1.4886266729049324E-3</v>
      </c>
      <c r="N63" s="58">
        <f t="shared" si="22"/>
        <v>-1.4886266729049324E-3</v>
      </c>
      <c r="O63" s="58">
        <f t="shared" si="22"/>
        <v>-1.4886266729049324E-3</v>
      </c>
      <c r="R63"/>
    </row>
    <row r="64" spans="1:18" x14ac:dyDescent="0.55000000000000004">
      <c r="A64" s="14"/>
      <c r="B64" s="14"/>
      <c r="C64" s="50"/>
      <c r="D64" s="50"/>
      <c r="E64" s="50"/>
      <c r="F64" s="50"/>
      <c r="G64" s="14"/>
      <c r="H64" s="16"/>
      <c r="I64" s="16"/>
      <c r="J64" s="16"/>
      <c r="K64" s="16"/>
      <c r="L64" s="16"/>
      <c r="M64" s="16"/>
      <c r="N64" s="16"/>
      <c r="O64" s="16"/>
      <c r="R64"/>
    </row>
    <row r="65" spans="1:28" x14ac:dyDescent="0.55000000000000004">
      <c r="B65" t="s">
        <v>88</v>
      </c>
      <c r="C65" s="8" t="s">
        <v>2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28" ht="5.0999999999999996" customHeight="1" x14ac:dyDescent="0.55000000000000004">
      <c r="C66" s="10"/>
      <c r="D66" s="10"/>
      <c r="E66" s="10"/>
      <c r="F66" s="10"/>
      <c r="G66" s="10"/>
      <c r="H66" s="11"/>
      <c r="I66" s="11"/>
      <c r="J66" s="12"/>
      <c r="K66" s="11"/>
      <c r="L66" s="11"/>
      <c r="M66" s="11"/>
      <c r="N66" s="11"/>
      <c r="O66" s="11"/>
      <c r="R66" s="11"/>
    </row>
    <row r="67" spans="1:28" s="25" customFormat="1" x14ac:dyDescent="0.55000000000000004">
      <c r="C67" s="25" t="s">
        <v>116</v>
      </c>
      <c r="H67" s="60">
        <v>13970</v>
      </c>
      <c r="I67" s="60">
        <v>13865</v>
      </c>
      <c r="J67" s="169">
        <v>15105</v>
      </c>
      <c r="K67" s="21">
        <f>K23*K42</f>
        <v>15727.569416498993</v>
      </c>
      <c r="L67" s="21">
        <f>L23*L42</f>
        <v>16390.531187122739</v>
      </c>
      <c r="M67" s="21">
        <f>M23*M42</f>
        <v>17096.885311871229</v>
      </c>
      <c r="N67" s="21">
        <f>N23*N42</f>
        <v>17849.631790744468</v>
      </c>
      <c r="O67" s="21">
        <f>O23*O42</f>
        <v>18651.770623742457</v>
      </c>
      <c r="P67"/>
      <c r="Q67" s="182">
        <f>IFERROR((J67/H67)^0.5-1,"n.a.")</f>
        <v>3.9829565903670483E-2</v>
      </c>
      <c r="R67" s="182">
        <f>IFERROR((O67/J67)^(1/5)-1,"n.a.")</f>
        <v>4.3085401470505325E-2</v>
      </c>
    </row>
    <row r="68" spans="1:28" s="23" customFormat="1" x14ac:dyDescent="0.55000000000000004">
      <c r="C68" s="188" t="str">
        <f>+"% growth: "&amp;CHOOSE($Y$3,C43,C44)</f>
        <v>% growth: Base Case</v>
      </c>
      <c r="D68" s="24"/>
      <c r="E68" s="48"/>
      <c r="F68" s="48"/>
      <c r="G68" s="24"/>
      <c r="H68" s="184"/>
      <c r="I68" s="184">
        <f t="shared" ref="I68" si="23">IFERROR(I67/H67-1,"n.a.")</f>
        <v>-7.5161059413028086E-3</v>
      </c>
      <c r="J68" s="185">
        <f>IFERROR(J67/I67-1,"n.a.")</f>
        <v>8.9433826181031462E-2</v>
      </c>
      <c r="K68" s="184">
        <f>IFERROR(K67/J67-1,"n.a.")</f>
        <v>4.121611496186639E-2</v>
      </c>
      <c r="L68" s="184">
        <f t="shared" ref="L68:O68" si="24">IFERROR(L67/K67-1,"n.a.")</f>
        <v>4.2152843396657813E-2</v>
      </c>
      <c r="M68" s="184">
        <f t="shared" si="24"/>
        <v>4.3095255222932449E-2</v>
      </c>
      <c r="N68" s="184">
        <f t="shared" si="24"/>
        <v>4.4028281475958053E-2</v>
      </c>
      <c r="O68" s="184">
        <f t="shared" si="24"/>
        <v>4.4938676741439698E-2</v>
      </c>
      <c r="P68"/>
      <c r="Q68" s="33"/>
      <c r="R68" s="33"/>
    </row>
    <row r="69" spans="1:28" s="25" customFormat="1" x14ac:dyDescent="0.55000000000000004">
      <c r="H69" s="35"/>
      <c r="I69" s="35"/>
      <c r="J69" s="47"/>
      <c r="K69" s="2"/>
      <c r="L69" s="2"/>
      <c r="M69" s="2"/>
      <c r="N69" s="2"/>
      <c r="O69" s="2"/>
      <c r="P69"/>
      <c r="Q69"/>
      <c r="R69"/>
    </row>
    <row r="70" spans="1:28" s="25" customFormat="1" x14ac:dyDescent="0.55000000000000004">
      <c r="C70" s="25" t="s">
        <v>40</v>
      </c>
      <c r="H70" s="60">
        <v>3765</v>
      </c>
      <c r="I70" s="60">
        <v>3671</v>
      </c>
      <c r="J70" s="169">
        <v>2493</v>
      </c>
      <c r="K70" s="21">
        <f>K28*K46</f>
        <v>3751</v>
      </c>
      <c r="L70" s="21">
        <f>L28*L46</f>
        <v>3784</v>
      </c>
      <c r="M70" s="21">
        <f>M28*M46</f>
        <v>3817</v>
      </c>
      <c r="N70" s="21">
        <f>N28*N46</f>
        <v>3850</v>
      </c>
      <c r="O70" s="21">
        <f>O28*O46</f>
        <v>3883</v>
      </c>
      <c r="P70"/>
      <c r="Q70" s="182">
        <f>IFERROR((J70/H70)^0.5-1,"n.a.")</f>
        <v>-0.18627314507734805</v>
      </c>
      <c r="R70" s="182">
        <f>IFERROR((O70/J70)^(1/5)-1,"n.a.")</f>
        <v>9.2670007596364679E-2</v>
      </c>
    </row>
    <row r="71" spans="1:28" s="23" customFormat="1" x14ac:dyDescent="0.55000000000000004">
      <c r="C71" s="188" t="str">
        <f>+"% growth: "&amp;CHOOSE($Y$3,C47,C48)</f>
        <v>% growth: Base Case</v>
      </c>
      <c r="D71" s="24"/>
      <c r="E71" s="48"/>
      <c r="F71" s="48"/>
      <c r="G71" s="24"/>
      <c r="H71" s="184"/>
      <c r="I71" s="184">
        <f t="shared" ref="I71" si="25">IFERROR(I70/H70-1,"n.a.")</f>
        <v>-2.4966799468791545E-2</v>
      </c>
      <c r="J71" s="185">
        <f>IFERROR(J70/I70-1,"n.a.")</f>
        <v>-0.32089348951239449</v>
      </c>
      <c r="K71" s="184">
        <f>IFERROR(K70/J70-1,"n.a.")</f>
        <v>0.50461291616526283</v>
      </c>
      <c r="L71" s="184">
        <f t="shared" ref="L71" si="26">IFERROR(L70/K70-1,"n.a.")</f>
        <v>8.7976539589442737E-3</v>
      </c>
      <c r="M71" s="184">
        <f t="shared" ref="M71" si="27">IFERROR(M70/L70-1,"n.a.")</f>
        <v>8.720930232558155E-3</v>
      </c>
      <c r="N71" s="184">
        <f t="shared" ref="N71" si="28">IFERROR(N70/M70-1,"n.a.")</f>
        <v>8.6455331412103043E-3</v>
      </c>
      <c r="O71" s="184">
        <f t="shared" ref="O71" si="29">IFERROR(O70/N70-1,"n.a.")</f>
        <v>8.5714285714286742E-3</v>
      </c>
      <c r="P71"/>
      <c r="Q71" s="33"/>
      <c r="R71" s="33"/>
    </row>
    <row r="72" spans="1:28" s="25" customFormat="1" x14ac:dyDescent="0.55000000000000004">
      <c r="H72" s="184">
        <f>H70/H67</f>
        <v>0.26950608446671437</v>
      </c>
      <c r="I72" s="184">
        <f t="shared" ref="I72:O72" si="30">I70/I67</f>
        <v>0.26476739992787596</v>
      </c>
      <c r="J72" s="184">
        <f t="shared" si="30"/>
        <v>0.1650446871896723</v>
      </c>
      <c r="K72" s="184">
        <f t="shared" si="30"/>
        <v>0.238498390988821</v>
      </c>
      <c r="L72" s="184">
        <f t="shared" si="30"/>
        <v>0.23086500106676891</v>
      </c>
      <c r="M72" s="184">
        <f t="shared" si="30"/>
        <v>0.22325703953512893</v>
      </c>
      <c r="N72" s="184">
        <f t="shared" si="30"/>
        <v>0.2156907237714748</v>
      </c>
      <c r="O72" s="184">
        <f t="shared" si="30"/>
        <v>0.20818398844435715</v>
      </c>
      <c r="P72"/>
      <c r="Q72"/>
      <c r="R72"/>
    </row>
    <row r="73" spans="1:28" s="25" customFormat="1" x14ac:dyDescent="0.55000000000000004">
      <c r="A73" s="27"/>
      <c r="B73" s="27"/>
      <c r="C73" s="125" t="s">
        <v>41</v>
      </c>
      <c r="D73" s="26"/>
      <c r="E73" s="26"/>
      <c r="F73" s="26"/>
      <c r="G73"/>
      <c r="H73" s="66">
        <f t="shared" ref="H73:O73" si="31">H67+H70</f>
        <v>17735</v>
      </c>
      <c r="I73" s="66">
        <f t="shared" si="31"/>
        <v>17536</v>
      </c>
      <c r="J73" s="67">
        <f t="shared" si="31"/>
        <v>17598</v>
      </c>
      <c r="K73" s="66">
        <f t="shared" si="31"/>
        <v>19478.569416498991</v>
      </c>
      <c r="L73" s="66">
        <f t="shared" si="31"/>
        <v>20174.531187122739</v>
      </c>
      <c r="M73" s="66">
        <f t="shared" si="31"/>
        <v>20913.885311871229</v>
      </c>
      <c r="N73" s="66">
        <f t="shared" si="31"/>
        <v>21699.631790744468</v>
      </c>
      <c r="O73" s="66">
        <f t="shared" si="31"/>
        <v>22534.770623742457</v>
      </c>
      <c r="P73"/>
      <c r="Q73" s="124">
        <f>IFERROR((J73/H73)^0.5-1,"n.a.")</f>
        <v>-3.8699070358207965E-3</v>
      </c>
      <c r="R73" s="124">
        <f>IFERROR((O73/J73)^(1/5)-1,"n.a.")</f>
        <v>5.0698145439986853E-2</v>
      </c>
    </row>
    <row r="74" spans="1:28" s="22" customFormat="1" x14ac:dyDescent="0.55000000000000004">
      <c r="C74" s="24" t="s">
        <v>31</v>
      </c>
      <c r="D74" s="24"/>
      <c r="E74" s="48"/>
      <c r="F74" s="48"/>
      <c r="G74" s="24"/>
      <c r="H74" s="184"/>
      <c r="I74" s="184">
        <f t="shared" ref="I74" si="32">IFERROR(I73/H73-1,"n.a.")</f>
        <v>-1.1220749929517937E-2</v>
      </c>
      <c r="J74" s="185">
        <f>IFERROR(J73/I73-1,"n.a.")</f>
        <v>3.5355839416058021E-3</v>
      </c>
      <c r="K74" s="184">
        <f t="shared" ref="K74" si="33">IFERROR(K73/J73-1,"n.a.")</f>
        <v>0.10686267851454656</v>
      </c>
      <c r="L74" s="184">
        <f t="shared" ref="L74" si="34">IFERROR(L73/K73-1,"n.a.")</f>
        <v>3.572961421048948E-2</v>
      </c>
      <c r="M74" s="184">
        <f t="shared" ref="M74" si="35">IFERROR(M73/L73-1,"n.a.")</f>
        <v>3.6647896195992624E-2</v>
      </c>
      <c r="N74" s="184">
        <f>IFERROR(N73/M73-1,"n.a.")</f>
        <v>3.7570564586926869E-2</v>
      </c>
      <c r="O74" s="184">
        <f t="shared" ref="O74" si="36">IFERROR(O73/N73-1,"n.a.")</f>
        <v>3.8486313549071394E-2</v>
      </c>
      <c r="P74"/>
      <c r="Q74" s="33"/>
      <c r="R74" s="33"/>
    </row>
    <row r="75" spans="1:28" x14ac:dyDescent="0.55000000000000004">
      <c r="A75" s="14"/>
      <c r="B75" s="14"/>
      <c r="C75" s="50"/>
      <c r="D75" s="50"/>
      <c r="E75" s="50"/>
      <c r="F75" s="50"/>
      <c r="G75" s="14"/>
      <c r="H75"/>
      <c r="I75" s="16"/>
      <c r="J75" s="17"/>
      <c r="K75" s="16"/>
      <c r="L75" s="16"/>
      <c r="M75" s="16"/>
      <c r="N75" s="16"/>
      <c r="O75" s="16"/>
      <c r="R75"/>
    </row>
    <row r="76" spans="1:28" s="25" customFormat="1" x14ac:dyDescent="0.55000000000000004">
      <c r="C76" s="189" t="s">
        <v>33</v>
      </c>
      <c r="D76" s="49"/>
      <c r="E76" s="49"/>
      <c r="F76" s="49"/>
      <c r="H76" s="60">
        <v>-13772</v>
      </c>
      <c r="I76" s="60">
        <v>-13608</v>
      </c>
      <c r="J76" s="169">
        <v>-13472</v>
      </c>
      <c r="K76" s="21">
        <f>K77*K$73</f>
        <v>-14872.696866114973</v>
      </c>
      <c r="L76" s="21">
        <f t="shared" ref="L76:M76" si="37">L77*L$73</f>
        <v>-15363.743525036572</v>
      </c>
      <c r="M76" s="21">
        <f t="shared" si="37"/>
        <v>-15884.964632300223</v>
      </c>
      <c r="N76" s="21">
        <f>N77*N$73</f>
        <v>-16438.372458397618</v>
      </c>
      <c r="O76" s="21">
        <f>O77*O$73</f>
        <v>-17025.955273820444</v>
      </c>
      <c r="P76"/>
      <c r="Q76" s="182">
        <f>IFERROR((J76/H76)^0.5-1,"n.a.")</f>
        <v>-1.0951633383176618E-2</v>
      </c>
      <c r="R76" s="182">
        <f>IFERROR((O76/J76)^(1/5)-1,"n.a.")</f>
        <v>4.7938709204235153E-2</v>
      </c>
      <c r="T76" s="23"/>
      <c r="W76"/>
      <c r="X76"/>
      <c r="Y76"/>
      <c r="Z76"/>
      <c r="AA76"/>
      <c r="AB76"/>
    </row>
    <row r="77" spans="1:28" s="23" customFormat="1" x14ac:dyDescent="0.55000000000000004">
      <c r="A77" s="22"/>
      <c r="B77" s="22"/>
      <c r="C77" s="190" t="str">
        <f>+"% of revenues: "&amp;CHOOSE($Y$3,C78,C79)</f>
        <v>% of revenues: Base Case</v>
      </c>
      <c r="D77" s="48"/>
      <c r="E77" s="48"/>
      <c r="F77" s="48"/>
      <c r="G77" s="22"/>
      <c r="H77" s="184">
        <f t="shared" ref="H77:J77" si="38">H76/H$73</f>
        <v>-0.77654355793628416</v>
      </c>
      <c r="I77" s="184">
        <f t="shared" si="38"/>
        <v>-0.77600364963503654</v>
      </c>
      <c r="J77" s="185">
        <f t="shared" si="38"/>
        <v>-0.76554153881122855</v>
      </c>
      <c r="K77" s="184">
        <f>+CHOOSE($Y$3,K78,K79)</f>
        <v>-0.76354153881122855</v>
      </c>
      <c r="L77" s="184">
        <f>+CHOOSE($Y$3,L78,L79)</f>
        <v>-0.76154153881122855</v>
      </c>
      <c r="M77" s="184">
        <f>+CHOOSE($Y$3,M78,M79)</f>
        <v>-0.75954153881122854</v>
      </c>
      <c r="N77" s="184">
        <f>+CHOOSE($Y$3,N78,N79)</f>
        <v>-0.75754153881122854</v>
      </c>
      <c r="O77" s="184">
        <f>+CHOOSE($Y$3,O78,O79)</f>
        <v>-0.75554153881122854</v>
      </c>
      <c r="P77"/>
      <c r="Q77" s="33"/>
      <c r="R77" s="33"/>
      <c r="W77"/>
      <c r="X77"/>
      <c r="Y77"/>
      <c r="Z77"/>
      <c r="AA77"/>
      <c r="AB77"/>
    </row>
    <row r="78" spans="1:28" s="23" customFormat="1" x14ac:dyDescent="0.55000000000000004">
      <c r="A78" s="22"/>
      <c r="B78" s="22"/>
      <c r="C78" s="191" t="s">
        <v>7</v>
      </c>
      <c r="D78" s="181"/>
      <c r="E78" s="181"/>
      <c r="F78" s="181"/>
      <c r="G78" s="22"/>
      <c r="H78" s="33"/>
      <c r="I78" s="33"/>
      <c r="J78" s="34"/>
      <c r="K78" s="129">
        <f>J77-$U$78+0.2%</f>
        <v>-0.76354153881122855</v>
      </c>
      <c r="L78" s="129">
        <f>K78+0.2%</f>
        <v>-0.76154153881122855</v>
      </c>
      <c r="M78" s="129">
        <f t="shared" ref="M78:O78" si="39">L78+0.2%</f>
        <v>-0.75954153881122854</v>
      </c>
      <c r="N78" s="129">
        <f t="shared" si="39"/>
        <v>-0.75754153881122854</v>
      </c>
      <c r="O78" s="129">
        <f t="shared" si="39"/>
        <v>-0.75554153881122854</v>
      </c>
      <c r="P78"/>
      <c r="Q78" s="33"/>
      <c r="R78" s="33"/>
      <c r="T78"/>
      <c r="U78" s="129">
        <v>0</v>
      </c>
      <c r="W78"/>
      <c r="X78"/>
      <c r="Y78"/>
      <c r="Z78"/>
      <c r="AA78"/>
      <c r="AB78"/>
    </row>
    <row r="79" spans="1:28" s="23" customFormat="1" x14ac:dyDescent="0.55000000000000004">
      <c r="A79" s="22"/>
      <c r="B79" s="22"/>
      <c r="C79" s="191" t="s">
        <v>8</v>
      </c>
      <c r="D79" s="181"/>
      <c r="E79" s="181"/>
      <c r="F79" s="181"/>
      <c r="G79" s="22"/>
      <c r="H79" s="33"/>
      <c r="I79" s="33"/>
      <c r="J79" s="34"/>
      <c r="K79" s="129">
        <f>J77-$U$78</f>
        <v>-0.76554153881122855</v>
      </c>
      <c r="L79" s="129">
        <f>K79</f>
        <v>-0.76554153881122855</v>
      </c>
      <c r="M79" s="129">
        <f t="shared" ref="M79:O79" si="40">L79</f>
        <v>-0.76554153881122855</v>
      </c>
      <c r="N79" s="129">
        <f t="shared" si="40"/>
        <v>-0.76554153881122855</v>
      </c>
      <c r="O79" s="129">
        <f t="shared" si="40"/>
        <v>-0.76554153881122855</v>
      </c>
      <c r="P79"/>
      <c r="Q79" s="33"/>
      <c r="R79" s="33"/>
      <c r="T79" s="25"/>
      <c r="W79"/>
      <c r="X79"/>
      <c r="Y79"/>
      <c r="Z79"/>
      <c r="AA79"/>
      <c r="AB79"/>
    </row>
    <row r="80" spans="1:28" s="25" customFormat="1" x14ac:dyDescent="0.55000000000000004">
      <c r="H80" s="35"/>
      <c r="I80" s="35"/>
      <c r="J80" s="47"/>
      <c r="K80" s="2"/>
      <c r="L80" s="2"/>
      <c r="M80" s="2"/>
      <c r="N80" s="2"/>
      <c r="O80" s="2"/>
      <c r="P80"/>
      <c r="Q80"/>
      <c r="R80"/>
      <c r="W80"/>
      <c r="X80"/>
      <c r="Y80"/>
      <c r="Z80"/>
      <c r="AA80"/>
      <c r="AB80"/>
    </row>
    <row r="81" spans="1:28" s="25" customFormat="1" x14ac:dyDescent="0.55000000000000004">
      <c r="A81" s="27"/>
      <c r="B81" s="27"/>
      <c r="C81" s="125" t="s">
        <v>6</v>
      </c>
      <c r="D81" s="26"/>
      <c r="E81" s="26"/>
      <c r="F81" s="26"/>
      <c r="G81"/>
      <c r="H81" s="66">
        <f>+H73+H76</f>
        <v>3963</v>
      </c>
      <c r="I81" s="66">
        <f t="shared" ref="I81:O81" si="41">+I73+I76</f>
        <v>3928</v>
      </c>
      <c r="J81" s="67">
        <f t="shared" si="41"/>
        <v>4126</v>
      </c>
      <c r="K81" s="66">
        <f t="shared" si="41"/>
        <v>4605.8725503840178</v>
      </c>
      <c r="L81" s="66">
        <f t="shared" si="41"/>
        <v>4810.7876620861662</v>
      </c>
      <c r="M81" s="66">
        <f t="shared" si="41"/>
        <v>5028.9206795710052</v>
      </c>
      <c r="N81" s="66">
        <f t="shared" si="41"/>
        <v>5261.25933234685</v>
      </c>
      <c r="O81" s="66">
        <f t="shared" si="41"/>
        <v>5508.8153499220134</v>
      </c>
      <c r="P81"/>
      <c r="Q81" s="124">
        <f>IFERROR((J81/H81)^0.5-1,"n.a.")</f>
        <v>2.0358004194950929E-2</v>
      </c>
      <c r="R81" s="124">
        <f>IFERROR((O81/J81)^(1/5)-1,"n.a.")</f>
        <v>5.9511801148545374E-2</v>
      </c>
      <c r="W81"/>
      <c r="X81"/>
      <c r="Y81"/>
      <c r="Z81"/>
      <c r="AA81"/>
      <c r="AB81"/>
    </row>
    <row r="82" spans="1:28" s="22" customFormat="1" x14ac:dyDescent="0.55000000000000004">
      <c r="C82" s="24" t="s">
        <v>15</v>
      </c>
      <c r="D82" s="24"/>
      <c r="E82" s="48"/>
      <c r="F82" s="48"/>
      <c r="G82" s="24"/>
      <c r="H82" s="184">
        <f>+H81/H73</f>
        <v>0.22345644206371582</v>
      </c>
      <c r="I82" s="184">
        <f t="shared" ref="I82:O82" si="42">+I81/I73</f>
        <v>0.22399635036496351</v>
      </c>
      <c r="J82" s="185">
        <f t="shared" si="42"/>
        <v>0.23445846118877145</v>
      </c>
      <c r="K82" s="184">
        <f t="shared" si="42"/>
        <v>0.23645846118877148</v>
      </c>
      <c r="L82" s="184">
        <f t="shared" si="42"/>
        <v>0.23845846118877143</v>
      </c>
      <c r="M82" s="184">
        <f t="shared" si="42"/>
        <v>0.24045846118877146</v>
      </c>
      <c r="N82" s="184">
        <f t="shared" si="42"/>
        <v>0.24245846118877151</v>
      </c>
      <c r="O82" s="184">
        <f t="shared" si="42"/>
        <v>0.24445846118877149</v>
      </c>
      <c r="P82"/>
      <c r="Q82" s="33"/>
      <c r="R82" s="33"/>
      <c r="W82"/>
      <c r="X82"/>
      <c r="Y82"/>
      <c r="Z82"/>
      <c r="AA82"/>
      <c r="AB82"/>
    </row>
    <row r="83" spans="1:28" x14ac:dyDescent="0.55000000000000004">
      <c r="A83" s="14"/>
      <c r="B83" s="14"/>
      <c r="C83" s="63"/>
      <c r="D83" s="50"/>
      <c r="E83" s="50"/>
      <c r="F83" s="50"/>
      <c r="G83" s="14"/>
      <c r="H83" s="16"/>
      <c r="I83" s="16"/>
      <c r="J83" s="17"/>
      <c r="K83" s="16"/>
      <c r="L83" s="16"/>
      <c r="M83" s="16"/>
      <c r="N83" s="16"/>
      <c r="O83" s="16"/>
      <c r="R83"/>
    </row>
    <row r="84" spans="1:28" s="25" customFormat="1" x14ac:dyDescent="0.55000000000000004">
      <c r="C84" s="62" t="s">
        <v>37</v>
      </c>
      <c r="D84" s="49"/>
      <c r="E84" s="49"/>
      <c r="F84" s="49"/>
      <c r="G84"/>
      <c r="H84" s="60">
        <v>88</v>
      </c>
      <c r="I84" s="60">
        <v>94</v>
      </c>
      <c r="J84" s="169">
        <v>92</v>
      </c>
      <c r="K84" s="21">
        <f>K85*K$73</f>
        <v>97.392847082494953</v>
      </c>
      <c r="L84" s="21">
        <f>L85*L$73</f>
        <v>100.87265593561369</v>
      </c>
      <c r="M84" s="21">
        <f>M85*M$73</f>
        <v>104.56942655935615</v>
      </c>
      <c r="N84" s="21">
        <f>N85*N$73</f>
        <v>108.49815895372234</v>
      </c>
      <c r="O84" s="21">
        <f>O85*O$73</f>
        <v>112.67385311871229</v>
      </c>
      <c r="P84"/>
      <c r="Q84" s="182">
        <f>IFERROR((J84/H84)^0.5-1,"n.a.")</f>
        <v>2.2474716291090102E-2</v>
      </c>
      <c r="R84" s="182">
        <f>IFERROR((O84/J84)^(1/5)-1,"n.a.")</f>
        <v>4.1374799273808049E-2</v>
      </c>
      <c r="W84"/>
      <c r="X84"/>
      <c r="Y84"/>
      <c r="Z84"/>
      <c r="AA84"/>
      <c r="AB84"/>
    </row>
    <row r="85" spans="1:28" s="23" customFormat="1" x14ac:dyDescent="0.55000000000000004">
      <c r="A85" s="22"/>
      <c r="B85" s="22"/>
      <c r="C85" s="188" t="str">
        <f>+"% of revenues: "&amp;CHOOSE($Y$3,C86,C87)</f>
        <v>% of revenues: Base Case</v>
      </c>
      <c r="D85" s="48"/>
      <c r="E85" s="48"/>
      <c r="F85" s="48"/>
      <c r="G85"/>
      <c r="H85" s="184">
        <f>H84/H$73</f>
        <v>4.9619396673244998E-3</v>
      </c>
      <c r="I85" s="184">
        <f>I84/I$73</f>
        <v>5.360401459854015E-3</v>
      </c>
      <c r="J85" s="185">
        <f>J84/J$73</f>
        <v>5.2278668030458003E-3</v>
      </c>
      <c r="K85" s="184">
        <f>+CHOOSE($Y$3,K86,K87)</f>
        <v>5.0000000000000001E-3</v>
      </c>
      <c r="L85" s="184">
        <f>+CHOOSE($Y$3,L86,L87)</f>
        <v>5.0000000000000001E-3</v>
      </c>
      <c r="M85" s="184">
        <f>+CHOOSE($Y$3,M86,M87)</f>
        <v>5.0000000000000001E-3</v>
      </c>
      <c r="N85" s="184">
        <f>+CHOOSE($Y$3,N86,N87)</f>
        <v>5.0000000000000001E-3</v>
      </c>
      <c r="O85" s="184">
        <f>+CHOOSE($Y$3,O86,O87)</f>
        <v>5.0000000000000001E-3</v>
      </c>
      <c r="P85"/>
      <c r="Q85" s="33"/>
      <c r="R85" s="33"/>
      <c r="W85"/>
      <c r="X85"/>
      <c r="Y85"/>
      <c r="Z85"/>
      <c r="AA85"/>
      <c r="AB85"/>
    </row>
    <row r="86" spans="1:28" s="23" customFormat="1" x14ac:dyDescent="0.55000000000000004">
      <c r="A86" s="22"/>
      <c r="B86" s="22"/>
      <c r="C86" s="24" t="s">
        <v>7</v>
      </c>
      <c r="D86" s="181"/>
      <c r="E86" s="181"/>
      <c r="F86" s="181"/>
      <c r="G86"/>
      <c r="H86" s="33"/>
      <c r="I86" s="33"/>
      <c r="J86" s="34"/>
      <c r="K86" s="129">
        <v>5.0000000000000001E-3</v>
      </c>
      <c r="L86" s="129">
        <f>K86</f>
        <v>5.0000000000000001E-3</v>
      </c>
      <c r="M86" s="129">
        <f t="shared" ref="M86:O86" si="43">L86</f>
        <v>5.0000000000000001E-3</v>
      </c>
      <c r="N86" s="129">
        <f t="shared" si="43"/>
        <v>5.0000000000000001E-3</v>
      </c>
      <c r="O86" s="129">
        <f t="shared" si="43"/>
        <v>5.0000000000000001E-3</v>
      </c>
      <c r="P86"/>
      <c r="Q86" s="33"/>
      <c r="R86" s="33"/>
      <c r="W86"/>
      <c r="X86"/>
      <c r="Y86"/>
      <c r="Z86"/>
      <c r="AA86"/>
      <c r="AB86"/>
    </row>
    <row r="87" spans="1:28" s="23" customFormat="1" x14ac:dyDescent="0.55000000000000004">
      <c r="A87" s="22"/>
      <c r="B87" s="22"/>
      <c r="C87" s="24" t="s">
        <v>8</v>
      </c>
      <c r="D87" s="181"/>
      <c r="E87" s="181"/>
      <c r="F87" s="181"/>
      <c r="G87"/>
      <c r="H87" s="33"/>
      <c r="I87" s="33"/>
      <c r="J87" s="34"/>
      <c r="K87" s="129">
        <f>K86</f>
        <v>5.0000000000000001E-3</v>
      </c>
      <c r="L87" s="129">
        <f t="shared" ref="L87:O87" si="44">L86</f>
        <v>5.0000000000000001E-3</v>
      </c>
      <c r="M87" s="129">
        <f t="shared" si="44"/>
        <v>5.0000000000000001E-3</v>
      </c>
      <c r="N87" s="129">
        <f t="shared" si="44"/>
        <v>5.0000000000000001E-3</v>
      </c>
      <c r="O87" s="129">
        <f t="shared" si="44"/>
        <v>5.0000000000000001E-3</v>
      </c>
      <c r="P87"/>
      <c r="Q87" s="33"/>
      <c r="R87" s="33"/>
    </row>
    <row r="88" spans="1:28" x14ac:dyDescent="0.55000000000000004">
      <c r="A88" s="14"/>
      <c r="B88" s="14"/>
      <c r="C88" s="63"/>
      <c r="D88" s="50"/>
      <c r="E88" s="50"/>
      <c r="F88" s="50"/>
      <c r="G88" s="14"/>
      <c r="H88" s="16"/>
      <c r="I88" s="16"/>
      <c r="J88" s="17"/>
      <c r="K88" s="16"/>
      <c r="L88" s="16"/>
      <c r="M88" s="16"/>
      <c r="N88" s="16"/>
      <c r="O88" s="16"/>
      <c r="R88"/>
    </row>
    <row r="89" spans="1:28" s="25" customFormat="1" x14ac:dyDescent="0.55000000000000004">
      <c r="C89" s="51" t="s">
        <v>35</v>
      </c>
      <c r="D89" s="49"/>
      <c r="E89" s="49"/>
      <c r="F89" s="49"/>
      <c r="G89"/>
      <c r="H89" s="60">
        <v>-1900</v>
      </c>
      <c r="I89" s="60">
        <v>-1845</v>
      </c>
      <c r="J89" s="169">
        <v>-2138</v>
      </c>
      <c r="K89" s="21">
        <f>-K50*K33/10^6</f>
        <v>-2434.2969509999998</v>
      </c>
      <c r="L89" s="21">
        <f>-L50*L33/10^6</f>
        <v>-2601.7158089999998</v>
      </c>
      <c r="M89" s="21">
        <f>-M50*M33/10^6</f>
        <v>-2719.038755</v>
      </c>
      <c r="N89" s="21">
        <f>-N50*N33/10^6</f>
        <v>-2777.1625519999998</v>
      </c>
      <c r="O89" s="21">
        <f>-O50*O33/10^6</f>
        <v>-2826.5745059999999</v>
      </c>
      <c r="P89"/>
      <c r="Q89" s="182">
        <f>IFERROR((J89/H89)^0.5-1,"n.a.")</f>
        <v>6.0784218347321062E-2</v>
      </c>
      <c r="R89" s="182">
        <f>IFERROR((O89/J89)^(1/5)-1,"n.a.")</f>
        <v>5.7427370073791506E-2</v>
      </c>
    </row>
    <row r="90" spans="1:28" s="23" customFormat="1" x14ac:dyDescent="0.55000000000000004">
      <c r="A90" s="22"/>
      <c r="B90" s="22"/>
      <c r="C90" s="24" t="str">
        <f>+"% of revenues: "&amp;CHOOSE($Y$3,C86,C87)</f>
        <v>% of revenues: Base Case</v>
      </c>
      <c r="D90" s="48"/>
      <c r="E90" s="48"/>
      <c r="F90" s="48"/>
      <c r="G90"/>
      <c r="H90" s="184">
        <f>H89/H$73</f>
        <v>-0.10713278827177897</v>
      </c>
      <c r="I90" s="184">
        <f>I89/I$73</f>
        <v>-0.10521213503649635</v>
      </c>
      <c r="J90" s="185">
        <f>J89/J$73</f>
        <v>-0.12149107853165132</v>
      </c>
      <c r="K90" s="184">
        <f>K89/K$73</f>
        <v>-0.12497308703472186</v>
      </c>
      <c r="L90" s="184">
        <f t="shared" ref="L90:O90" si="45">L89/L$73</f>
        <v>-0.12896040977946771</v>
      </c>
      <c r="M90" s="184">
        <f t="shared" si="45"/>
        <v>-0.13001117269475546</v>
      </c>
      <c r="N90" s="184">
        <f t="shared" si="45"/>
        <v>-0.12798201272634227</v>
      </c>
      <c r="O90" s="184">
        <f t="shared" si="45"/>
        <v>-0.12543169634138379</v>
      </c>
      <c r="P90"/>
      <c r="Q90" s="33"/>
      <c r="R90" s="33"/>
    </row>
    <row r="91" spans="1:28" ht="14.25" customHeight="1" x14ac:dyDescent="0.55000000000000004">
      <c r="A91" s="14"/>
      <c r="B91" s="14"/>
      <c r="C91" s="50"/>
      <c r="D91" s="50"/>
      <c r="E91" s="50"/>
      <c r="F91" s="50"/>
      <c r="G91" s="14"/>
      <c r="H91" s="16"/>
      <c r="I91" s="16"/>
      <c r="J91" s="17"/>
      <c r="K91" s="16"/>
      <c r="L91" s="16"/>
      <c r="M91" s="16"/>
      <c r="N91" s="16"/>
      <c r="O91" s="16"/>
      <c r="R91"/>
    </row>
    <row r="92" spans="1:28" s="25" customFormat="1" x14ac:dyDescent="0.55000000000000004">
      <c r="C92" s="51" t="s">
        <v>36</v>
      </c>
      <c r="D92" s="49"/>
      <c r="E92" s="49"/>
      <c r="F92" s="49"/>
      <c r="G92"/>
      <c r="H92" s="60">
        <v>-274</v>
      </c>
      <c r="I92" s="60">
        <v>-262</v>
      </c>
      <c r="J92" s="169">
        <v>-287</v>
      </c>
      <c r="K92" s="21">
        <f>K93*K$73</f>
        <v>-311.65711066398387</v>
      </c>
      <c r="L92" s="21">
        <f>L93*L$73</f>
        <v>-322.79249899396382</v>
      </c>
      <c r="M92" s="21">
        <f>M93*M$73</f>
        <v>-334.62216498993968</v>
      </c>
      <c r="N92" s="21">
        <f>N93*N$73</f>
        <v>-347.19410865191151</v>
      </c>
      <c r="O92" s="21">
        <f>O93*O$73</f>
        <v>-360.55632997987931</v>
      </c>
      <c r="P92"/>
      <c r="Q92" s="182">
        <f>IFERROR((J92/H92)^0.5-1,"n.a.")</f>
        <v>2.3447729722652966E-2</v>
      </c>
      <c r="R92" s="182">
        <f>IFERROR((O92/J92)^(1/5)-1,"n.a.")</f>
        <v>4.6690411122773501E-2</v>
      </c>
    </row>
    <row r="93" spans="1:28" s="23" customFormat="1" x14ac:dyDescent="0.55000000000000004">
      <c r="A93" s="22"/>
      <c r="B93" s="22"/>
      <c r="C93" s="24" t="str">
        <f>+"% of revenues: "&amp;CHOOSE($Y$3,C94,C95)</f>
        <v>% of revenues: Base Case</v>
      </c>
      <c r="D93" s="48"/>
      <c r="E93" s="48"/>
      <c r="F93" s="48"/>
      <c r="G93"/>
      <c r="H93" s="184">
        <f>H92/H$73</f>
        <v>-1.5449675782351282E-2</v>
      </c>
      <c r="I93" s="184">
        <f>I92/I$73</f>
        <v>-1.4940693430656935E-2</v>
      </c>
      <c r="J93" s="185">
        <f>J92/J$73</f>
        <v>-1.6308671439936355E-2</v>
      </c>
      <c r="K93" s="184">
        <f>+CHOOSE($Y$3,K94,K95)</f>
        <v>-1.6E-2</v>
      </c>
      <c r="L93" s="184">
        <f>+CHOOSE($Y$3,L94,L95)</f>
        <v>-1.6E-2</v>
      </c>
      <c r="M93" s="184">
        <f>+CHOOSE($Y$3,M94,M95)</f>
        <v>-1.6E-2</v>
      </c>
      <c r="N93" s="184">
        <f>+CHOOSE($Y$3,N94,N95)</f>
        <v>-1.6E-2</v>
      </c>
      <c r="O93" s="184">
        <f>+CHOOSE($Y$3,O94,O95)</f>
        <v>-1.6E-2</v>
      </c>
      <c r="P93"/>
      <c r="Q93" s="33"/>
      <c r="R93" s="33"/>
    </row>
    <row r="94" spans="1:28" s="23" customFormat="1" x14ac:dyDescent="0.55000000000000004">
      <c r="A94" s="22"/>
      <c r="B94" s="22"/>
      <c r="C94" s="180" t="s">
        <v>7</v>
      </c>
      <c r="D94" s="181"/>
      <c r="E94" s="181"/>
      <c r="F94" s="181"/>
      <c r="G94"/>
      <c r="H94" s="33"/>
      <c r="I94" s="33"/>
      <c r="J94" s="34"/>
      <c r="K94" s="129">
        <v>-1.6E-2</v>
      </c>
      <c r="L94" s="129">
        <f>K94</f>
        <v>-1.6E-2</v>
      </c>
      <c r="M94" s="129">
        <f t="shared" ref="M94:O94" si="46">L94</f>
        <v>-1.6E-2</v>
      </c>
      <c r="N94" s="129">
        <f t="shared" si="46"/>
        <v>-1.6E-2</v>
      </c>
      <c r="O94" s="129">
        <f t="shared" si="46"/>
        <v>-1.6E-2</v>
      </c>
      <c r="P94"/>
      <c r="Q94" s="33"/>
      <c r="R94" s="33"/>
    </row>
    <row r="95" spans="1:28" s="23" customFormat="1" x14ac:dyDescent="0.55000000000000004">
      <c r="A95" s="22"/>
      <c r="B95" s="22"/>
      <c r="C95" s="180" t="s">
        <v>8</v>
      </c>
      <c r="D95" s="181"/>
      <c r="E95" s="181"/>
      <c r="F95" s="181"/>
      <c r="G95"/>
      <c r="H95" s="33"/>
      <c r="I95" s="33"/>
      <c r="J95" s="34"/>
      <c r="K95" s="129">
        <f>K94</f>
        <v>-1.6E-2</v>
      </c>
      <c r="L95" s="129">
        <f t="shared" ref="L95" si="47">L94</f>
        <v>-1.6E-2</v>
      </c>
      <c r="M95" s="129">
        <f t="shared" ref="M95" si="48">M94</f>
        <v>-1.6E-2</v>
      </c>
      <c r="N95" s="129">
        <f t="shared" ref="N95" si="49">N94</f>
        <v>-1.6E-2</v>
      </c>
      <c r="O95" s="129">
        <f t="shared" ref="O95" si="50">O94</f>
        <v>-1.6E-2</v>
      </c>
      <c r="P95"/>
      <c r="Q95" s="33"/>
      <c r="R95" s="33"/>
    </row>
    <row r="96" spans="1:28" ht="14.25" customHeight="1" x14ac:dyDescent="0.55000000000000004">
      <c r="A96" s="14"/>
      <c r="B96" s="14"/>
      <c r="C96" s="64"/>
      <c r="D96" s="50"/>
      <c r="E96" s="50"/>
      <c r="F96" s="50"/>
      <c r="G96" s="14"/>
      <c r="H96" s="16"/>
      <c r="I96" s="16"/>
      <c r="J96" s="17"/>
      <c r="K96" s="16"/>
      <c r="L96" s="16"/>
      <c r="M96" s="16"/>
      <c r="N96" s="16"/>
      <c r="O96" s="16"/>
      <c r="R96"/>
    </row>
    <row r="97" spans="1:18" s="25" customFormat="1" x14ac:dyDescent="0.55000000000000004">
      <c r="C97" s="51" t="s">
        <v>34</v>
      </c>
      <c r="D97" s="49"/>
      <c r="E97" s="49"/>
      <c r="F97" s="49"/>
      <c r="G97"/>
      <c r="H97" s="60">
        <v>-866</v>
      </c>
      <c r="I97" s="60">
        <v>-877</v>
      </c>
      <c r="J97" s="169">
        <v>-946</v>
      </c>
      <c r="K97" s="21">
        <f>K98*K$73</f>
        <v>-973.92847082494961</v>
      </c>
      <c r="L97" s="21">
        <f>L98*L$73</f>
        <v>-1008.7265593561369</v>
      </c>
      <c r="M97" s="21">
        <f>M98*M$73</f>
        <v>-1045.6942655935616</v>
      </c>
      <c r="N97" s="21">
        <f>N98*N$73</f>
        <v>-1084.9815895372235</v>
      </c>
      <c r="O97" s="21">
        <f>O98*O$73</f>
        <v>-1126.7385311871228</v>
      </c>
      <c r="P97"/>
      <c r="Q97" s="182">
        <f>IFERROR((J97/H97)^0.5-1,"n.a.")</f>
        <v>4.5169246049096223E-2</v>
      </c>
      <c r="R97" s="182">
        <f>IFERROR((O97/J97)^(1/5)-1,"n.a.")</f>
        <v>3.5586551645707232E-2</v>
      </c>
    </row>
    <row r="98" spans="1:18" s="23" customFormat="1" x14ac:dyDescent="0.55000000000000004">
      <c r="A98" s="22"/>
      <c r="B98" s="22"/>
      <c r="C98" s="24" t="str">
        <f>+"% of revenues: "&amp;CHOOSE($Y$3,C99,C100)</f>
        <v>% of revenues: Base Case</v>
      </c>
      <c r="D98" s="48"/>
      <c r="E98" s="48"/>
      <c r="F98" s="48"/>
      <c r="G98"/>
      <c r="H98" s="184">
        <f>H97/H$73</f>
        <v>-4.8829997180716095E-2</v>
      </c>
      <c r="I98" s="184">
        <f>I97/I$73</f>
        <v>-5.0011405109489052E-2</v>
      </c>
      <c r="J98" s="185">
        <f>J97/J$73</f>
        <v>-5.3756108648710083E-2</v>
      </c>
      <c r="K98" s="184">
        <f>+CHOOSE($Y$3,K99,K100)</f>
        <v>-0.05</v>
      </c>
      <c r="L98" s="184">
        <f>+CHOOSE($Y$3,L99,L100)</f>
        <v>-0.05</v>
      </c>
      <c r="M98" s="184">
        <f>+CHOOSE($Y$3,M99,M100)</f>
        <v>-0.05</v>
      </c>
      <c r="N98" s="184">
        <f>+CHOOSE($Y$3,N99,N100)</f>
        <v>-0.05</v>
      </c>
      <c r="O98" s="184">
        <f>+CHOOSE($Y$3,O99,O100)</f>
        <v>-0.05</v>
      </c>
      <c r="P98"/>
      <c r="Q98" s="33"/>
      <c r="R98" s="33"/>
    </row>
    <row r="99" spans="1:18" s="23" customFormat="1" x14ac:dyDescent="0.55000000000000004">
      <c r="A99" s="22"/>
      <c r="B99" s="22"/>
      <c r="C99" s="180" t="s">
        <v>7</v>
      </c>
      <c r="D99" s="181"/>
      <c r="E99" s="181"/>
      <c r="F99" s="181"/>
      <c r="G99"/>
      <c r="H99" s="33"/>
      <c r="I99" s="33"/>
      <c r="J99" s="34"/>
      <c r="K99" s="129">
        <v>-0.05</v>
      </c>
      <c r="L99" s="129">
        <f>K99</f>
        <v>-0.05</v>
      </c>
      <c r="M99" s="129">
        <f t="shared" ref="M99:O99" si="51">L99</f>
        <v>-0.05</v>
      </c>
      <c r="N99" s="129">
        <f t="shared" si="51"/>
        <v>-0.05</v>
      </c>
      <c r="O99" s="129">
        <f t="shared" si="51"/>
        <v>-0.05</v>
      </c>
      <c r="P99"/>
      <c r="Q99" s="33"/>
      <c r="R99" s="33"/>
    </row>
    <row r="100" spans="1:18" s="23" customFormat="1" x14ac:dyDescent="0.55000000000000004">
      <c r="A100" s="22"/>
      <c r="B100" s="22"/>
      <c r="C100" s="180" t="s">
        <v>8</v>
      </c>
      <c r="D100" s="181"/>
      <c r="E100" s="181"/>
      <c r="F100" s="181"/>
      <c r="G100"/>
      <c r="H100" s="33"/>
      <c r="I100" s="33"/>
      <c r="J100" s="34"/>
      <c r="K100" s="129">
        <f>K99</f>
        <v>-0.05</v>
      </c>
      <c r="L100" s="129">
        <f t="shared" ref="L100" si="52">L99</f>
        <v>-0.05</v>
      </c>
      <c r="M100" s="129">
        <f t="shared" ref="M100" si="53">M99</f>
        <v>-0.05</v>
      </c>
      <c r="N100" s="129">
        <f t="shared" ref="N100" si="54">N99</f>
        <v>-0.05</v>
      </c>
      <c r="O100" s="129">
        <f t="shared" ref="O100" si="55">O99</f>
        <v>-0.05</v>
      </c>
      <c r="P100"/>
      <c r="Q100" s="33"/>
      <c r="R100" s="33"/>
    </row>
    <row r="101" spans="1:18" x14ac:dyDescent="0.55000000000000004">
      <c r="A101" s="14"/>
      <c r="B101" s="14"/>
      <c r="C101" s="63"/>
      <c r="D101" s="50"/>
      <c r="E101" s="50"/>
      <c r="F101" s="50"/>
      <c r="G101" s="14"/>
      <c r="H101" s="16"/>
      <c r="I101" s="16"/>
      <c r="J101" s="17"/>
      <c r="K101" s="16"/>
      <c r="L101" s="16"/>
      <c r="M101" s="16"/>
      <c r="N101" s="16"/>
      <c r="O101" s="16"/>
      <c r="R101"/>
    </row>
    <row r="102" spans="1:18" s="25" customFormat="1" x14ac:dyDescent="0.55000000000000004">
      <c r="C102" s="51" t="s">
        <v>43</v>
      </c>
      <c r="D102" s="49"/>
      <c r="E102" s="49"/>
      <c r="F102" s="49"/>
      <c r="G102"/>
      <c r="H102" s="60">
        <v>-134</v>
      </c>
      <c r="I102" s="60">
        <v>-130</v>
      </c>
      <c r="J102" s="169">
        <v>-141</v>
      </c>
      <c r="K102" s="21">
        <f>K103*K$73</f>
        <v>-155.82855533199194</v>
      </c>
      <c r="L102" s="21">
        <f>L103*L$73</f>
        <v>-161.39624949698191</v>
      </c>
      <c r="M102" s="21">
        <f>M103*M$73</f>
        <v>-167.31108249496984</v>
      </c>
      <c r="N102" s="21">
        <f>N103*N$73</f>
        <v>-173.59705432595575</v>
      </c>
      <c r="O102" s="21">
        <f>O103*O$73</f>
        <v>-180.27816498993965</v>
      </c>
      <c r="P102"/>
      <c r="Q102" s="182">
        <f>IFERROR((J102/H102)^0.5-1,"n.a.")</f>
        <v>2.5786920354392784E-2</v>
      </c>
      <c r="R102" s="182">
        <f>IFERROR((O102/J102)^(1/5)-1,"n.a.")</f>
        <v>5.0376031971759883E-2</v>
      </c>
    </row>
    <row r="103" spans="1:18" s="23" customFormat="1" x14ac:dyDescent="0.55000000000000004">
      <c r="A103" s="22"/>
      <c r="B103" s="22"/>
      <c r="C103" s="24" t="str">
        <f>+"% of revenues: "&amp;CHOOSE($Y$3,C104,C105)</f>
        <v>% of revenues: Base Case</v>
      </c>
      <c r="D103" s="48"/>
      <c r="E103" s="48"/>
      <c r="F103" s="48"/>
      <c r="G103"/>
      <c r="H103" s="184">
        <f>H102/H$73</f>
        <v>-7.5556808570623061E-3</v>
      </c>
      <c r="I103" s="184">
        <f>I102/I$73</f>
        <v>-7.4133211678832113E-3</v>
      </c>
      <c r="J103" s="185">
        <f>J102/J$73</f>
        <v>-8.0122741220593242E-3</v>
      </c>
      <c r="K103" s="184">
        <f>+CHOOSE($Y$3,K104,K105)</f>
        <v>-8.0000000000000002E-3</v>
      </c>
      <c r="L103" s="184">
        <f>+CHOOSE($Y$3,L104,L105)</f>
        <v>-8.0000000000000002E-3</v>
      </c>
      <c r="M103" s="184">
        <f>+CHOOSE($Y$3,M104,M105)</f>
        <v>-8.0000000000000002E-3</v>
      </c>
      <c r="N103" s="184">
        <f>+CHOOSE($Y$3,N104,N105)</f>
        <v>-8.0000000000000002E-3</v>
      </c>
      <c r="O103" s="184">
        <f>+CHOOSE($Y$3,O104,O105)</f>
        <v>-8.0000000000000002E-3</v>
      </c>
      <c r="P103"/>
      <c r="Q103" s="33"/>
      <c r="R103" s="33"/>
    </row>
    <row r="104" spans="1:18" s="23" customFormat="1" x14ac:dyDescent="0.55000000000000004">
      <c r="C104" s="24" t="s">
        <v>7</v>
      </c>
      <c r="D104" s="181"/>
      <c r="E104" s="181"/>
      <c r="F104" s="181"/>
      <c r="G104" s="22"/>
      <c r="H104" s="33"/>
      <c r="I104" s="33"/>
      <c r="J104" s="34"/>
      <c r="K104" s="129">
        <v>-8.0000000000000002E-3</v>
      </c>
      <c r="L104" s="129">
        <f>K104</f>
        <v>-8.0000000000000002E-3</v>
      </c>
      <c r="M104" s="129">
        <f t="shared" ref="M104:O104" si="56">L104</f>
        <v>-8.0000000000000002E-3</v>
      </c>
      <c r="N104" s="129">
        <f t="shared" si="56"/>
        <v>-8.0000000000000002E-3</v>
      </c>
      <c r="O104" s="129">
        <f t="shared" si="56"/>
        <v>-8.0000000000000002E-3</v>
      </c>
      <c r="P104"/>
      <c r="Q104" s="33"/>
      <c r="R104" s="33"/>
    </row>
    <row r="105" spans="1:18" s="23" customFormat="1" x14ac:dyDescent="0.55000000000000004">
      <c r="C105" s="24" t="s">
        <v>8</v>
      </c>
      <c r="D105" s="181"/>
      <c r="E105" s="181"/>
      <c r="F105" s="181"/>
      <c r="G105" s="22"/>
      <c r="H105" s="33"/>
      <c r="I105" s="33"/>
      <c r="J105" s="34"/>
      <c r="K105" s="129">
        <f>K104</f>
        <v>-8.0000000000000002E-3</v>
      </c>
      <c r="L105" s="129">
        <f t="shared" ref="L105" si="57">L104</f>
        <v>-8.0000000000000002E-3</v>
      </c>
      <c r="M105" s="129">
        <f t="shared" ref="M105" si="58">M104</f>
        <v>-8.0000000000000002E-3</v>
      </c>
      <c r="N105" s="129">
        <f t="shared" ref="N105" si="59">N104</f>
        <v>-8.0000000000000002E-3</v>
      </c>
      <c r="O105" s="129">
        <f t="shared" ref="O105" si="60">O104</f>
        <v>-8.0000000000000002E-3</v>
      </c>
      <c r="P105"/>
      <c r="Q105" s="33"/>
      <c r="R105" s="33"/>
    </row>
    <row r="106" spans="1:18" x14ac:dyDescent="0.55000000000000004">
      <c r="C106" s="19"/>
      <c r="H106" s="13"/>
      <c r="I106" s="13"/>
      <c r="J106" s="15"/>
      <c r="K106" s="13"/>
      <c r="L106" s="13"/>
      <c r="M106" s="13"/>
      <c r="N106" s="13"/>
      <c r="O106" s="13"/>
      <c r="R106"/>
    </row>
    <row r="107" spans="1:18" s="25" customFormat="1" x14ac:dyDescent="0.55000000000000004">
      <c r="A107" s="27"/>
      <c r="B107" s="27"/>
      <c r="C107" s="125" t="s">
        <v>89</v>
      </c>
      <c r="D107" s="26"/>
      <c r="E107" s="26"/>
      <c r="F107" s="26"/>
      <c r="G107"/>
      <c r="H107" s="66">
        <f t="shared" ref="H107:O107" si="61">+H81+H84+H89+H92+H97+H102</f>
        <v>877</v>
      </c>
      <c r="I107" s="66">
        <f t="shared" si="61"/>
        <v>908</v>
      </c>
      <c r="J107" s="67">
        <f t="shared" si="61"/>
        <v>706</v>
      </c>
      <c r="K107" s="66">
        <f t="shared" si="61"/>
        <v>827.55430964558741</v>
      </c>
      <c r="L107" s="66">
        <f t="shared" si="61"/>
        <v>817.02920117469739</v>
      </c>
      <c r="M107" s="66">
        <f t="shared" si="61"/>
        <v>866.82383805189045</v>
      </c>
      <c r="N107" s="66">
        <f t="shared" si="61"/>
        <v>986.82218678548156</v>
      </c>
      <c r="O107" s="66">
        <f t="shared" si="61"/>
        <v>1127.341670883784</v>
      </c>
      <c r="P107"/>
      <c r="Q107" s="124">
        <f>IFERROR((J107/H107)^0.5-1,"n.a.")</f>
        <v>-0.10277254624993337</v>
      </c>
      <c r="R107" s="124">
        <f>IFERROR((O107/J107)^(1/5)-1,"n.a.")</f>
        <v>9.812093678912448E-2</v>
      </c>
    </row>
    <row r="108" spans="1:18" s="23" customFormat="1" x14ac:dyDescent="0.55000000000000004">
      <c r="A108" s="22"/>
      <c r="B108" s="22"/>
      <c r="C108" s="24" t="s">
        <v>16</v>
      </c>
      <c r="D108" s="48"/>
      <c r="E108" s="48"/>
      <c r="F108" s="48"/>
      <c r="G108"/>
      <c r="H108" s="184">
        <f t="shared" ref="H108:M108" si="62">H107/H$73</f>
        <v>4.9450239639131657E-2</v>
      </c>
      <c r="I108" s="184">
        <f t="shared" si="62"/>
        <v>5.1779197080291973E-2</v>
      </c>
      <c r="J108" s="185">
        <f t="shared" si="62"/>
        <v>4.0118195249460163E-2</v>
      </c>
      <c r="K108" s="184">
        <f t="shared" si="62"/>
        <v>4.2485374154049613E-2</v>
      </c>
      <c r="L108" s="184">
        <f t="shared" si="62"/>
        <v>4.0498051409303695E-2</v>
      </c>
      <c r="M108" s="184">
        <f t="shared" si="62"/>
        <v>4.1447288494015994E-2</v>
      </c>
      <c r="N108" s="184">
        <f>N107/N$73</f>
        <v>4.5476448462429223E-2</v>
      </c>
      <c r="O108" s="184">
        <f>O107/O$73</f>
        <v>5.0026764847387696E-2</v>
      </c>
      <c r="P108"/>
      <c r="Q108" s="33"/>
      <c r="R108" s="33"/>
    </row>
    <row r="109" spans="1:18" s="23" customFormat="1" x14ac:dyDescent="0.55000000000000004">
      <c r="A109" s="22"/>
      <c r="B109" s="22"/>
      <c r="C109" s="24" t="s">
        <v>31</v>
      </c>
      <c r="D109" s="48"/>
      <c r="E109" s="48"/>
      <c r="F109" s="48"/>
      <c r="G109"/>
      <c r="H109" s="184"/>
      <c r="I109" s="184">
        <f t="shared" ref="I109" si="63">IFERROR(I108/H108-1,"n.a.")</f>
        <v>4.7096989987432503E-2</v>
      </c>
      <c r="J109" s="185">
        <f>IFERROR(J108/I108-1,"n.a.")</f>
        <v>-0.22520630848619672</v>
      </c>
      <c r="K109" s="184">
        <f t="shared" ref="K109" si="64">IFERROR(K108/J108-1,"n.a.")</f>
        <v>5.9005119494284886E-2</v>
      </c>
      <c r="L109" s="184">
        <f t="shared" ref="L109" si="65">IFERROR(L108/K108-1,"n.a.")</f>
        <v>-4.6776632766372672E-2</v>
      </c>
      <c r="M109" s="184">
        <f t="shared" ref="M109" si="66">IFERROR(M108/L108-1,"n.a.")</f>
        <v>2.3439080441638893E-2</v>
      </c>
      <c r="N109" s="184">
        <f>IFERROR(N108/M108-1,"n.a.")</f>
        <v>9.7211666065801783E-2</v>
      </c>
      <c r="O109" s="184">
        <f t="shared" ref="O109" si="67">IFERROR(O108/N108-1,"n.a.")</f>
        <v>0.10005874554425143</v>
      </c>
      <c r="P109"/>
      <c r="Q109" s="33"/>
      <c r="R109" s="33"/>
    </row>
    <row r="110" spans="1:18" x14ac:dyDescent="0.55000000000000004">
      <c r="A110" s="14"/>
      <c r="B110" s="14"/>
      <c r="C110" s="63"/>
      <c r="D110" s="50"/>
      <c r="E110" s="50"/>
      <c r="F110" s="50"/>
      <c r="G110" s="14"/>
      <c r="H110" s="16"/>
      <c r="I110" s="16"/>
      <c r="J110" s="17"/>
      <c r="K110" s="16"/>
      <c r="L110" s="16"/>
      <c r="M110" s="16"/>
      <c r="N110" s="16"/>
      <c r="O110" s="16"/>
      <c r="R110"/>
    </row>
    <row r="111" spans="1:18" s="25" customFormat="1" x14ac:dyDescent="0.55000000000000004">
      <c r="C111" s="51" t="s">
        <v>0</v>
      </c>
      <c r="D111" s="49"/>
      <c r="E111" s="49"/>
      <c r="F111" s="49"/>
      <c r="H111" s="60">
        <v>-443</v>
      </c>
      <c r="I111" s="60">
        <v>-465</v>
      </c>
      <c r="J111" s="169">
        <v>-478</v>
      </c>
      <c r="K111" s="21">
        <f>K112*K73</f>
        <v>-490.68272038272033</v>
      </c>
      <c r="L111" s="21">
        <f>L112*L73</f>
        <v>-508.21462468174838</v>
      </c>
      <c r="M111" s="21">
        <f>M112*M73</f>
        <v>-526.8396214923705</v>
      </c>
      <c r="N111" s="21">
        <f>N112*N73</f>
        <v>-546.63328351860173</v>
      </c>
      <c r="O111" s="21">
        <f>O112*O73</f>
        <v>-567.67118346445704</v>
      </c>
      <c r="Q111" s="182">
        <f>IFERROR((J111/H111)^0.5-1,"n.a.")</f>
        <v>3.8752507582547002E-2</v>
      </c>
      <c r="R111" s="182">
        <f>IFERROR((O111/J111)^(1/5)-1,"n.a.")</f>
        <v>3.4984368029302715E-2</v>
      </c>
    </row>
    <row r="112" spans="1:18" s="23" customFormat="1" x14ac:dyDescent="0.55000000000000004">
      <c r="A112" s="22"/>
      <c r="B112" s="22"/>
      <c r="C112" s="24" t="str">
        <f>+"% of revenues: "&amp;CHOOSE($Y$3,C113,C114)</f>
        <v>% of revenues: Base Case</v>
      </c>
      <c r="D112" s="48"/>
      <c r="E112" s="48"/>
      <c r="F112" s="48"/>
      <c r="G112"/>
      <c r="H112" s="184">
        <f>H111/H$73</f>
        <v>-2.4978855370735832E-2</v>
      </c>
      <c r="I112" s="184">
        <f>I111/I$73</f>
        <v>-2.6516879562043797E-2</v>
      </c>
      <c r="J112" s="185">
        <f>J111/J$73</f>
        <v>-2.7162177520172748E-2</v>
      </c>
      <c r="K112" s="184">
        <f>+CHOOSE($Y$3,K113,K114)</f>
        <v>-2.5190901338323947E-2</v>
      </c>
      <c r="L112" s="184">
        <f>+CHOOSE($Y$3,L113,L114)</f>
        <v>-2.5190901338323947E-2</v>
      </c>
      <c r="M112" s="184">
        <f>+CHOOSE($Y$3,M113,M114)</f>
        <v>-2.5190901338323947E-2</v>
      </c>
      <c r="N112" s="184">
        <f>+CHOOSE($Y$3,N113,N114)</f>
        <v>-2.5190901338323947E-2</v>
      </c>
      <c r="O112" s="184">
        <f>+CHOOSE($Y$3,O113,O114)</f>
        <v>-2.5190901338323947E-2</v>
      </c>
      <c r="P112"/>
      <c r="Q112" s="33"/>
      <c r="R112" s="33"/>
    </row>
    <row r="113" spans="1:18" s="23" customFormat="1" x14ac:dyDescent="0.55000000000000004">
      <c r="C113" s="24" t="s">
        <v>7</v>
      </c>
      <c r="D113" s="181"/>
      <c r="E113" s="181"/>
      <c r="F113" s="181"/>
      <c r="G113" s="22"/>
      <c r="H113" s="33"/>
      <c r="I113" s="33"/>
      <c r="J113" s="34"/>
      <c r="K113" s="129">
        <f>K126*80%</f>
        <v>-2.5190901338323947E-2</v>
      </c>
      <c r="L113" s="129">
        <f t="shared" ref="L113:O113" si="68">L126*80%</f>
        <v>-2.5190901338323947E-2</v>
      </c>
      <c r="M113" s="129">
        <f t="shared" si="68"/>
        <v>-2.5190901338323947E-2</v>
      </c>
      <c r="N113" s="129">
        <f t="shared" si="68"/>
        <v>-2.5190901338323947E-2</v>
      </c>
      <c r="O113" s="129">
        <f t="shared" si="68"/>
        <v>-2.5190901338323947E-2</v>
      </c>
      <c r="P113"/>
      <c r="Q113" s="33"/>
      <c r="R113" s="33"/>
    </row>
    <row r="114" spans="1:18" s="23" customFormat="1" x14ac:dyDescent="0.55000000000000004">
      <c r="C114" s="24" t="s">
        <v>8</v>
      </c>
      <c r="D114" s="181"/>
      <c r="E114" s="181"/>
      <c r="F114" s="181"/>
      <c r="G114" s="22"/>
      <c r="H114" s="33"/>
      <c r="I114" s="33"/>
      <c r="J114" s="34"/>
      <c r="K114" s="129">
        <f t="shared" ref="K114:O114" si="69">K127*80%</f>
        <v>-2.5190901338323947E-2</v>
      </c>
      <c r="L114" s="129">
        <f t="shared" si="69"/>
        <v>-2.5190901338323947E-2</v>
      </c>
      <c r="M114" s="129">
        <f t="shared" si="69"/>
        <v>-2.5190901338323947E-2</v>
      </c>
      <c r="N114" s="129">
        <f t="shared" si="69"/>
        <v>-2.5190901338323947E-2</v>
      </c>
      <c r="O114" s="129">
        <f t="shared" si="69"/>
        <v>-2.5190901338323947E-2</v>
      </c>
      <c r="P114"/>
      <c r="Q114" s="33"/>
      <c r="R114" s="33"/>
    </row>
    <row r="115" spans="1:18" x14ac:dyDescent="0.55000000000000004">
      <c r="A115" s="14"/>
      <c r="B115" s="14"/>
      <c r="C115" s="63"/>
      <c r="D115" s="50"/>
      <c r="E115" s="50"/>
      <c r="F115" s="50"/>
      <c r="G115" s="14"/>
      <c r="H115" s="16"/>
      <c r="I115" s="16"/>
      <c r="J115" s="17"/>
      <c r="K115" s="16"/>
      <c r="L115" s="16"/>
      <c r="M115" s="16"/>
      <c r="N115" s="16"/>
      <c r="O115" s="16"/>
      <c r="R115"/>
    </row>
    <row r="116" spans="1:18" s="25" customFormat="1" x14ac:dyDescent="0.55000000000000004">
      <c r="A116" s="27"/>
      <c r="B116" s="27"/>
      <c r="C116" s="152" t="s">
        <v>28</v>
      </c>
      <c r="D116" s="28"/>
      <c r="E116" s="28"/>
      <c r="F116" s="28"/>
      <c r="G116"/>
      <c r="H116" s="69">
        <f t="shared" ref="H116:O116" si="70">+H107+H111</f>
        <v>434</v>
      </c>
      <c r="I116" s="69">
        <f t="shared" si="70"/>
        <v>443</v>
      </c>
      <c r="J116" s="192">
        <f t="shared" si="70"/>
        <v>228</v>
      </c>
      <c r="K116" s="69">
        <f t="shared" si="70"/>
        <v>336.87158926286708</v>
      </c>
      <c r="L116" s="69">
        <f t="shared" si="70"/>
        <v>308.81457649294902</v>
      </c>
      <c r="M116" s="69">
        <f t="shared" si="70"/>
        <v>339.98421655951995</v>
      </c>
      <c r="N116" s="69">
        <f t="shared" si="70"/>
        <v>440.18890326687983</v>
      </c>
      <c r="O116" s="69">
        <f t="shared" si="70"/>
        <v>559.67048741932695</v>
      </c>
      <c r="P116"/>
      <c r="Q116" s="195">
        <f>IFERROR((J116/H116)^0.5-1,"n.a.")</f>
        <v>-0.27519270000929519</v>
      </c>
      <c r="R116" s="195">
        <f>IFERROR((O116/J116)^(1/5)-1,"n.a.")</f>
        <v>0.19673918617169273</v>
      </c>
    </row>
    <row r="117" spans="1:18" s="131" customFormat="1" x14ac:dyDescent="0.55000000000000004">
      <c r="A117" s="130"/>
      <c r="B117" s="130"/>
      <c r="C117" s="193" t="s">
        <v>16</v>
      </c>
      <c r="D117" s="194"/>
      <c r="E117" s="194"/>
      <c r="F117" s="194"/>
      <c r="H117" s="184">
        <f t="shared" ref="H117:O117" si="71">H116/H$73</f>
        <v>2.4471384268395829E-2</v>
      </c>
      <c r="I117" s="184">
        <f t="shared" si="71"/>
        <v>2.5262317518248176E-2</v>
      </c>
      <c r="J117" s="185">
        <f t="shared" si="71"/>
        <v>1.2956017729287419E-2</v>
      </c>
      <c r="K117" s="184">
        <f t="shared" si="71"/>
        <v>1.7294472815725662E-2</v>
      </c>
      <c r="L117" s="184">
        <f t="shared" si="71"/>
        <v>1.530715007097975E-2</v>
      </c>
      <c r="M117" s="184">
        <f t="shared" si="71"/>
        <v>1.6256387155692043E-2</v>
      </c>
      <c r="N117" s="184">
        <f t="shared" si="71"/>
        <v>2.0285547124105276E-2</v>
      </c>
      <c r="O117" s="184">
        <f t="shared" si="71"/>
        <v>2.4835863509063746E-2</v>
      </c>
      <c r="Q117" s="132"/>
      <c r="R117" s="132"/>
    </row>
    <row r="118" spans="1:18" s="131" customFormat="1" x14ac:dyDescent="0.55000000000000004">
      <c r="A118" s="130"/>
      <c r="B118" s="130"/>
      <c r="C118" s="193" t="s">
        <v>31</v>
      </c>
      <c r="D118" s="194"/>
      <c r="E118" s="194"/>
      <c r="F118" s="194"/>
      <c r="H118" s="184"/>
      <c r="I118" s="184">
        <f t="shared" ref="I118" si="72">IFERROR(I117/H117-1,"n.a.")</f>
        <v>3.2320740060210573E-2</v>
      </c>
      <c r="J118" s="185">
        <f>IFERROR(J117/I117-1,"n.a.")</f>
        <v>-0.48714057133005828</v>
      </c>
      <c r="K118" s="184">
        <f t="shared" ref="K118" si="73">IFERROR(K117/J117-1,"n.a.")</f>
        <v>0.334860230750615</v>
      </c>
      <c r="L118" s="184">
        <f t="shared" ref="L118" si="74">IFERROR(L117/K117-1,"n.a.")</f>
        <v>-0.11491086001412332</v>
      </c>
      <c r="M118" s="184">
        <f t="shared" ref="M118" si="75">IFERROR(M117/L117-1,"n.a.")</f>
        <v>6.2012659463757114E-2</v>
      </c>
      <c r="N118" s="184">
        <f>IFERROR(N117/M117-1,"n.a.")</f>
        <v>0.24785088653615484</v>
      </c>
      <c r="O118" s="184">
        <f t="shared" ref="O118" si="76">IFERROR(O117/N117-1,"n.a.")</f>
        <v>0.22431321951140948</v>
      </c>
      <c r="Q118" s="132"/>
      <c r="R118" s="132"/>
    </row>
    <row r="119" spans="1:18" x14ac:dyDescent="0.55000000000000004">
      <c r="C119" s="19"/>
      <c r="D119" s="19"/>
      <c r="E119" s="19"/>
      <c r="F119" s="19"/>
      <c r="G119" s="19"/>
      <c r="H119" s="13"/>
      <c r="I119" s="13"/>
      <c r="J119" s="15"/>
      <c r="K119" s="13"/>
      <c r="L119" s="13"/>
      <c r="M119" s="13"/>
      <c r="N119" s="13"/>
      <c r="O119" s="13"/>
      <c r="R119" s="13"/>
    </row>
    <row r="120" spans="1:18" x14ac:dyDescent="0.55000000000000004">
      <c r="C120" s="8" t="s">
        <v>22</v>
      </c>
      <c r="D120" s="8"/>
      <c r="E120" s="8"/>
      <c r="F120" s="8"/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5.0999999999999996" customHeight="1" x14ac:dyDescent="0.55000000000000004">
      <c r="H121" s="13"/>
      <c r="I121" s="13"/>
      <c r="J121" s="15"/>
      <c r="K121" s="13"/>
      <c r="L121" s="13"/>
      <c r="M121" s="13"/>
      <c r="N121" s="13"/>
      <c r="O121" s="13"/>
      <c r="R121" s="13"/>
    </row>
    <row r="122" spans="1:18" s="3" customFormat="1" x14ac:dyDescent="0.55000000000000004">
      <c r="C122" s="3" t="s">
        <v>9</v>
      </c>
      <c r="G122"/>
      <c r="H122" s="89">
        <f t="shared" ref="H122:O122" si="77">+H107</f>
        <v>877</v>
      </c>
      <c r="I122" s="89">
        <f t="shared" si="77"/>
        <v>908</v>
      </c>
      <c r="J122" s="68">
        <f t="shared" si="77"/>
        <v>706</v>
      </c>
      <c r="K122" s="89">
        <f t="shared" si="77"/>
        <v>827.55430964558741</v>
      </c>
      <c r="L122" s="89">
        <f t="shared" si="77"/>
        <v>817.02920117469739</v>
      </c>
      <c r="M122" s="89">
        <f t="shared" si="77"/>
        <v>866.82383805189045</v>
      </c>
      <c r="N122" s="89">
        <f t="shared" si="77"/>
        <v>986.82218678548156</v>
      </c>
      <c r="O122" s="89">
        <f t="shared" si="77"/>
        <v>1127.341670883784</v>
      </c>
      <c r="P122"/>
      <c r="Q122" s="196">
        <f>IFERROR((J122/H122)^0.5-1,"n.a.")</f>
        <v>-0.10277254624993337</v>
      </c>
      <c r="R122" s="196">
        <f>IFERROR((O122/J122)^(1/5)-1,"n.a.")</f>
        <v>9.812093678912448E-2</v>
      </c>
    </row>
    <row r="123" spans="1:18" s="3" customFormat="1" x14ac:dyDescent="0.55000000000000004">
      <c r="H123" s="56"/>
      <c r="I123" s="56"/>
      <c r="J123" s="57"/>
      <c r="K123" s="56"/>
      <c r="L123" s="56"/>
      <c r="M123" s="56"/>
      <c r="N123" s="56"/>
      <c r="O123" s="56"/>
      <c r="P123"/>
      <c r="Q123"/>
      <c r="R123"/>
    </row>
    <row r="124" spans="1:18" x14ac:dyDescent="0.55000000000000004">
      <c r="C124" s="179" t="s">
        <v>4</v>
      </c>
      <c r="D124" s="19"/>
      <c r="E124" s="19"/>
      <c r="F124" s="19"/>
      <c r="H124" s="60">
        <v>-458</v>
      </c>
      <c r="I124" s="60">
        <v>-510</v>
      </c>
      <c r="J124" s="169">
        <v>-538</v>
      </c>
      <c r="K124" s="21">
        <f>K125*K73</f>
        <v>-613.35340047840043</v>
      </c>
      <c r="L124" s="21">
        <f>L125*L73</f>
        <v>-635.26828085218551</v>
      </c>
      <c r="M124" s="21">
        <f>M125*M73</f>
        <v>-658.54952686546301</v>
      </c>
      <c r="N124" s="21">
        <f>N125*N73</f>
        <v>-683.29160439825205</v>
      </c>
      <c r="O124" s="21">
        <f>O125*O73</f>
        <v>-709.58897933057119</v>
      </c>
      <c r="Q124" s="132"/>
      <c r="R124" s="132"/>
    </row>
    <row r="125" spans="1:18" s="131" customFormat="1" x14ac:dyDescent="0.55000000000000004">
      <c r="C125" s="197" t="str">
        <f>+"% of revenues: "&amp;CHOOSE($Y$3,C126,C127)</f>
        <v>% of revenues: Base Case</v>
      </c>
      <c r="D125" s="194"/>
      <c r="E125" s="194"/>
      <c r="F125" s="194"/>
      <c r="G125" s="130"/>
      <c r="H125" s="184">
        <f t="shared" ref="H125" si="78">H124/H$73</f>
        <v>-2.5824640541302509E-2</v>
      </c>
      <c r="I125" s="184">
        <f>I124/I$73</f>
        <v>-2.9083029197080293E-2</v>
      </c>
      <c r="J125" s="185">
        <f>J124/J$73</f>
        <v>-3.0571655869985226E-2</v>
      </c>
      <c r="K125" s="184">
        <f>+CHOOSE($Y$3,K126,K127)</f>
        <v>-3.1488626672904932E-2</v>
      </c>
      <c r="L125" s="184">
        <f>+CHOOSE($Y$3,L126,L127)</f>
        <v>-3.1488626672904932E-2</v>
      </c>
      <c r="M125" s="184">
        <f>+CHOOSE($Y$3,M126,M127)</f>
        <v>-3.1488626672904932E-2</v>
      </c>
      <c r="N125" s="184">
        <f>+CHOOSE($Y$3,N126,N127)</f>
        <v>-3.1488626672904932E-2</v>
      </c>
      <c r="O125" s="184">
        <f>+CHOOSE($Y$3,O126,O127)</f>
        <v>-3.1488626672904932E-2</v>
      </c>
      <c r="Q125" s="132"/>
      <c r="R125" s="132"/>
    </row>
    <row r="126" spans="1:18" s="131" customFormat="1" x14ac:dyDescent="0.55000000000000004">
      <c r="C126" s="193" t="s">
        <v>7</v>
      </c>
      <c r="D126" s="198"/>
      <c r="E126" s="198"/>
      <c r="F126" s="198"/>
      <c r="G126" s="130"/>
      <c r="H126" s="132"/>
      <c r="I126" s="132"/>
      <c r="J126" s="133"/>
      <c r="K126" s="257">
        <f t="shared" ref="K126:O127" si="79">K57+K62</f>
        <v>-3.1488626672904932E-2</v>
      </c>
      <c r="L126" s="257">
        <f t="shared" si="79"/>
        <v>-3.1488626672904932E-2</v>
      </c>
      <c r="M126" s="257">
        <f t="shared" si="79"/>
        <v>-3.1488626672904932E-2</v>
      </c>
      <c r="N126" s="257">
        <f t="shared" si="79"/>
        <v>-3.1488626672904932E-2</v>
      </c>
      <c r="O126" s="257">
        <f t="shared" si="79"/>
        <v>-3.1488626672904932E-2</v>
      </c>
      <c r="Q126" s="132"/>
      <c r="R126" s="132"/>
    </row>
    <row r="127" spans="1:18" s="131" customFormat="1" x14ac:dyDescent="0.55000000000000004">
      <c r="C127" s="193" t="s">
        <v>8</v>
      </c>
      <c r="D127" s="198"/>
      <c r="E127" s="198"/>
      <c r="F127" s="198"/>
      <c r="G127" s="130"/>
      <c r="H127" s="132"/>
      <c r="I127" s="132"/>
      <c r="J127" s="133"/>
      <c r="K127" s="257">
        <f t="shared" si="79"/>
        <v>-3.1488626672904932E-2</v>
      </c>
      <c r="L127" s="257">
        <f t="shared" si="79"/>
        <v>-3.1488626672904932E-2</v>
      </c>
      <c r="M127" s="257">
        <f t="shared" si="79"/>
        <v>-3.1488626672904932E-2</v>
      </c>
      <c r="N127" s="257">
        <f t="shared" si="79"/>
        <v>-3.1488626672904932E-2</v>
      </c>
      <c r="O127" s="257">
        <f t="shared" si="79"/>
        <v>-3.1488626672904932E-2</v>
      </c>
      <c r="Q127" s="132"/>
      <c r="R127" s="132"/>
    </row>
    <row r="128" spans="1:18" ht="14.25" customHeight="1" x14ac:dyDescent="0.55000000000000004">
      <c r="I128" s="13"/>
      <c r="J128" s="15"/>
      <c r="K128" s="13"/>
      <c r="L128" s="13"/>
      <c r="M128" s="13"/>
      <c r="N128" s="13"/>
      <c r="O128" s="13"/>
      <c r="Q128" s="2"/>
      <c r="R128"/>
    </row>
    <row r="129" spans="3:21" x14ac:dyDescent="0.55000000000000004">
      <c r="C129" s="179" t="s">
        <v>17</v>
      </c>
      <c r="D129" s="19"/>
      <c r="E129" s="19"/>
      <c r="F129" s="19"/>
      <c r="H129" s="60">
        <v>-2</v>
      </c>
      <c r="I129" s="60">
        <v>68</v>
      </c>
      <c r="J129" s="169">
        <v>-424</v>
      </c>
      <c r="K129" s="21">
        <f>-(K150-J150)</f>
        <v>396.13547154449907</v>
      </c>
      <c r="L129" s="21">
        <f t="shared" ref="L129:O129" si="80">-(L150-K150)</f>
        <v>67.745579414503027</v>
      </c>
      <c r="M129" s="21">
        <f t="shared" si="80"/>
        <v>71.896261880714519</v>
      </c>
      <c r="N129" s="21">
        <f t="shared" si="80"/>
        <v>76.321668412185772</v>
      </c>
      <c r="O129" s="21">
        <f t="shared" si="80"/>
        <v>81.017823274997227</v>
      </c>
      <c r="Q129" s="132"/>
      <c r="R129" s="132"/>
    </row>
    <row r="130" spans="3:21" x14ac:dyDescent="0.55000000000000004">
      <c r="C130" s="179" t="s">
        <v>1</v>
      </c>
      <c r="D130" s="19"/>
      <c r="E130" s="19"/>
      <c r="F130" s="59">
        <v>0.23</v>
      </c>
      <c r="H130" s="60">
        <v>-76</v>
      </c>
      <c r="I130" s="60">
        <v>-87</v>
      </c>
      <c r="J130" s="169">
        <v>-81</v>
      </c>
      <c r="K130" s="21">
        <f>-$F$130*(K116+K136)</f>
        <v>-52.821021970459434</v>
      </c>
      <c r="L130" s="21">
        <f t="shared" ref="L130:O130" si="81">-$F$130*(L116+L136)</f>
        <v>-49.978346671593194</v>
      </c>
      <c r="M130" s="21">
        <f t="shared" si="81"/>
        <v>-58.011974484366114</v>
      </c>
      <c r="N130" s="21">
        <f t="shared" si="81"/>
        <v>-82.13535898905225</v>
      </c>
      <c r="O130" s="21">
        <f t="shared" si="81"/>
        <v>-111.33609342115176</v>
      </c>
      <c r="Q130" s="132"/>
      <c r="R130" s="132"/>
      <c r="U130" s="208"/>
    </row>
    <row r="131" spans="3:21" s="14" customFormat="1" x14ac:dyDescent="0.55000000000000004">
      <c r="C131" s="39" t="s">
        <v>152</v>
      </c>
      <c r="D131" s="39"/>
      <c r="E131" s="39"/>
      <c r="F131" s="241"/>
      <c r="H131" s="238">
        <f>H130/(H116+H136)</f>
        <v>-0.2</v>
      </c>
      <c r="I131" s="238">
        <f>I130/(I116+I136)</f>
        <v>-0.21641791044776118</v>
      </c>
      <c r="J131" s="237">
        <f>J130/(J116+J136)</f>
        <v>-0.47093023255813954</v>
      </c>
      <c r="K131" s="239">
        <f>K130/(K116+K136)</f>
        <v>-0.23</v>
      </c>
      <c r="L131" s="240">
        <f t="shared" ref="L131:O131" si="82">L130/(L116+L136)</f>
        <v>-0.23</v>
      </c>
      <c r="M131" s="240">
        <f t="shared" si="82"/>
        <v>-0.23</v>
      </c>
      <c r="N131" s="240">
        <f t="shared" si="82"/>
        <v>-0.23</v>
      </c>
      <c r="O131" s="240">
        <f t="shared" si="82"/>
        <v>-0.23</v>
      </c>
      <c r="Q131" s="132"/>
      <c r="R131" s="132"/>
    </row>
    <row r="132" spans="3:21" x14ac:dyDescent="0.55000000000000004">
      <c r="C132" s="179" t="s">
        <v>27</v>
      </c>
      <c r="D132" s="19"/>
      <c r="E132" s="19"/>
      <c r="F132" s="19"/>
      <c r="H132" s="60">
        <v>36</v>
      </c>
      <c r="I132" s="60">
        <v>-22</v>
      </c>
      <c r="J132" s="169">
        <v>-56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Q132" s="132"/>
      <c r="R132" s="132"/>
    </row>
    <row r="133" spans="3:21" x14ac:dyDescent="0.55000000000000004">
      <c r="C133" s="134" t="s">
        <v>81</v>
      </c>
      <c r="D133" s="18"/>
      <c r="E133" s="18"/>
      <c r="F133" s="18"/>
      <c r="H133" s="66">
        <f>H122+H124+SUM(H129:H132)</f>
        <v>376.8</v>
      </c>
      <c r="I133" s="66">
        <f t="shared" ref="I133:O133" si="83">I122+I124+SUM(I129:I132)</f>
        <v>356.78358208955223</v>
      </c>
      <c r="J133" s="67">
        <f t="shared" si="83"/>
        <v>-393.4709302325582</v>
      </c>
      <c r="K133" s="66">
        <f t="shared" si="83"/>
        <v>557.28535874122667</v>
      </c>
      <c r="L133" s="66">
        <f t="shared" si="83"/>
        <v>199.2981530654217</v>
      </c>
      <c r="M133" s="66">
        <f t="shared" si="83"/>
        <v>221.92859858277583</v>
      </c>
      <c r="N133" s="66">
        <f t="shared" si="83"/>
        <v>297.48689181036303</v>
      </c>
      <c r="O133" s="66">
        <f t="shared" si="83"/>
        <v>387.20442140705825</v>
      </c>
      <c r="Q133" s="135"/>
      <c r="R133" s="135"/>
    </row>
    <row r="134" spans="3:21" s="14" customFormat="1" x14ac:dyDescent="0.55000000000000004">
      <c r="C134" s="39" t="s">
        <v>179</v>
      </c>
      <c r="D134" s="39"/>
      <c r="E134" s="39"/>
      <c r="F134" s="241"/>
      <c r="H134" s="238">
        <f>H133/H122</f>
        <v>0.42964652223489169</v>
      </c>
      <c r="I134" s="238">
        <f t="shared" ref="I134:O134" si="84">I133/I122</f>
        <v>0.39293346045104871</v>
      </c>
      <c r="J134" s="237">
        <f t="shared" si="84"/>
        <v>-0.55732426378549316</v>
      </c>
      <c r="K134" s="239">
        <f t="shared" si="84"/>
        <v>0.67341243015203744</v>
      </c>
      <c r="L134" s="240">
        <f t="shared" si="84"/>
        <v>0.24393026929622277</v>
      </c>
      <c r="M134" s="240">
        <f t="shared" si="84"/>
        <v>0.25602502935491556</v>
      </c>
      <c r="N134" s="240">
        <f t="shared" si="84"/>
        <v>0.30145946837637494</v>
      </c>
      <c r="O134" s="240">
        <f t="shared" si="84"/>
        <v>0.34346678687350196</v>
      </c>
      <c r="Q134" s="132"/>
      <c r="R134" s="132"/>
    </row>
    <row r="135" spans="3:21" ht="14.25" customHeight="1" x14ac:dyDescent="0.55000000000000004">
      <c r="H135" s="13"/>
      <c r="I135" s="13"/>
      <c r="J135" s="15"/>
      <c r="K135" s="13"/>
      <c r="L135" s="13"/>
      <c r="M135" s="13"/>
      <c r="N135" s="13"/>
      <c r="O135" s="13"/>
      <c r="Q135" s="13"/>
      <c r="R135"/>
    </row>
    <row r="136" spans="3:21" s="25" customFormat="1" x14ac:dyDescent="0.55000000000000004">
      <c r="C136" s="62" t="s">
        <v>44</v>
      </c>
      <c r="D136" s="51"/>
      <c r="E136" s="51"/>
      <c r="F136" s="51"/>
      <c r="H136" s="60">
        <v>-54</v>
      </c>
      <c r="I136" s="60">
        <v>-41</v>
      </c>
      <c r="J136" s="169">
        <v>-56</v>
      </c>
      <c r="K136" s="21">
        <f t="shared" ref="K136:O136" si="85">K164</f>
        <v>-107.214972</v>
      </c>
      <c r="L136" s="21">
        <f>L164</f>
        <v>-91.517417051239491</v>
      </c>
      <c r="M136" s="21">
        <f t="shared" si="85"/>
        <v>-87.758240540536846</v>
      </c>
      <c r="N136" s="21">
        <f t="shared" si="85"/>
        <v>-83.078646792739633</v>
      </c>
      <c r="O136" s="21">
        <f t="shared" si="85"/>
        <v>-75.600516023014961</v>
      </c>
      <c r="P136"/>
      <c r="Q136" s="132"/>
      <c r="R136" s="132"/>
      <c r="T136" s="52"/>
    </row>
    <row r="137" spans="3:21" s="25" customFormat="1" x14ac:dyDescent="0.55000000000000004">
      <c r="C137" s="125" t="s">
        <v>82</v>
      </c>
      <c r="D137" s="26"/>
      <c r="E137" s="26"/>
      <c r="F137" s="26"/>
      <c r="G137"/>
      <c r="H137" s="66">
        <f t="shared" ref="H137:O137" si="86">+H133+H136</f>
        <v>322.8</v>
      </c>
      <c r="I137" s="66">
        <f t="shared" si="86"/>
        <v>315.78358208955223</v>
      </c>
      <c r="J137" s="67">
        <f t="shared" si="86"/>
        <v>-449.4709302325582</v>
      </c>
      <c r="K137" s="66">
        <f t="shared" si="86"/>
        <v>450.07038674122668</v>
      </c>
      <c r="L137" s="66">
        <f t="shared" si="86"/>
        <v>107.78073601418221</v>
      </c>
      <c r="M137" s="66">
        <f t="shared" si="86"/>
        <v>134.170358042239</v>
      </c>
      <c r="N137" s="66">
        <f t="shared" si="86"/>
        <v>214.40824501762341</v>
      </c>
      <c r="O137" s="66">
        <f t="shared" si="86"/>
        <v>311.60390538404329</v>
      </c>
      <c r="P137"/>
      <c r="Q137" s="135"/>
      <c r="R137" s="135"/>
    </row>
    <row r="138" spans="3:21" ht="8.1" customHeight="1" x14ac:dyDescent="0.55000000000000004">
      <c r="H138" s="13"/>
      <c r="I138" s="13"/>
      <c r="J138" s="15"/>
      <c r="K138" s="13"/>
      <c r="L138" s="13"/>
      <c r="M138" s="13"/>
      <c r="N138" s="13"/>
      <c r="O138" s="13"/>
      <c r="Q138" s="13"/>
      <c r="R138"/>
    </row>
    <row r="139" spans="3:21" s="25" customFormat="1" x14ac:dyDescent="0.55000000000000004">
      <c r="C139" s="62" t="s">
        <v>23</v>
      </c>
      <c r="D139"/>
      <c r="E139"/>
      <c r="F139" s="178">
        <f>+K11</f>
        <v>250</v>
      </c>
      <c r="H139" s="33"/>
      <c r="I139" s="33"/>
      <c r="J139" s="34"/>
      <c r="K139" s="21">
        <f>-MIN(K137+K160-$F$139,0)</f>
        <v>0</v>
      </c>
      <c r="L139" s="21">
        <f>-MIN(L137+L160-$F$139,0)</f>
        <v>0</v>
      </c>
      <c r="M139" s="21">
        <f>-MIN(M137+M160-$F$139,0)</f>
        <v>0</v>
      </c>
      <c r="N139" s="21">
        <f>-MIN(N137+N160-$F$139,0)</f>
        <v>0</v>
      </c>
      <c r="O139" s="21">
        <f>-MIN(O137+O160-$F$139,0)</f>
        <v>0</v>
      </c>
      <c r="P139"/>
      <c r="Q139" s="132"/>
      <c r="R139" s="132"/>
    </row>
    <row r="140" spans="3:21" s="25" customFormat="1" x14ac:dyDescent="0.55000000000000004">
      <c r="C140" s="62" t="s">
        <v>24</v>
      </c>
      <c r="D140" s="51"/>
      <c r="E140" s="51"/>
      <c r="F140" s="51"/>
      <c r="H140" s="33"/>
      <c r="I140" s="33"/>
      <c r="J140" s="34"/>
      <c r="K140" s="21">
        <f>-MAX(MIN(K137+K139+K160-$F$139,K168),0)</f>
        <v>0</v>
      </c>
      <c r="L140" s="21">
        <f>-MAX(MIN(L137+L139+L160-$F$139,L168),0)</f>
        <v>0</v>
      </c>
      <c r="M140" s="21">
        <f>-MAX(MIN(M137+M139+M160-$F$139,M168),0)</f>
        <v>0</v>
      </c>
      <c r="N140" s="21">
        <f>-MAX(MIN(N137+N139+N160-$F$139,N168),0)</f>
        <v>0</v>
      </c>
      <c r="O140" s="21">
        <f>-MAX(MIN(O137+O139+O160-$F$139,O168),0)</f>
        <v>0</v>
      </c>
      <c r="P140"/>
      <c r="Q140" s="132"/>
      <c r="R140" s="132"/>
    </row>
    <row r="141" spans="3:21" s="25" customFormat="1" x14ac:dyDescent="0.55000000000000004">
      <c r="C141" s="62" t="s">
        <v>45</v>
      </c>
      <c r="D141" s="51"/>
      <c r="E141" s="51"/>
      <c r="F141" s="51"/>
      <c r="H141" s="33"/>
      <c r="I141" s="33"/>
      <c r="J141" s="34"/>
      <c r="K141" s="207">
        <f>K178</f>
        <v>-450.07038674122668</v>
      </c>
      <c r="L141" s="207">
        <f t="shared" ref="L141:O141" si="87">L178</f>
        <v>-107.78073601418221</v>
      </c>
      <c r="M141" s="207">
        <f t="shared" si="87"/>
        <v>-134.170358042239</v>
      </c>
      <c r="N141" s="207">
        <f t="shared" si="87"/>
        <v>-214.40824501762341</v>
      </c>
      <c r="O141" s="207">
        <f t="shared" si="87"/>
        <v>-311.60390538404329</v>
      </c>
      <c r="P141"/>
      <c r="Q141" s="132"/>
      <c r="R141" s="132"/>
    </row>
    <row r="142" spans="3:21" s="25" customFormat="1" x14ac:dyDescent="0.55000000000000004">
      <c r="C142" s="125" t="s">
        <v>5</v>
      </c>
      <c r="D142" s="26"/>
      <c r="E142" s="26"/>
      <c r="F142" s="26"/>
      <c r="G142"/>
      <c r="H142" s="153"/>
      <c r="I142" s="153"/>
      <c r="J142" s="154"/>
      <c r="K142" s="66">
        <f>K137+SUM(K139:K141)</f>
        <v>0</v>
      </c>
      <c r="L142" s="66">
        <f>L137+SUM(L139:L141)</f>
        <v>0</v>
      </c>
      <c r="M142" s="66">
        <f>M137+SUM(M139:M141)</f>
        <v>0</v>
      </c>
      <c r="N142" s="66">
        <f>N137+SUM(N139:N141)</f>
        <v>0</v>
      </c>
      <c r="O142" s="66">
        <f>O137+SUM(O139:O141)</f>
        <v>0</v>
      </c>
      <c r="P142"/>
      <c r="Q142" s="135"/>
      <c r="R142" s="135"/>
    </row>
    <row r="143" spans="3:21" x14ac:dyDescent="0.55000000000000004">
      <c r="H143" s="13"/>
      <c r="I143" s="13"/>
      <c r="J143" s="15"/>
      <c r="K143" s="13"/>
      <c r="L143" s="13"/>
      <c r="M143" s="13"/>
      <c r="N143" s="13"/>
      <c r="O143" s="13"/>
      <c r="R143" s="13"/>
    </row>
    <row r="144" spans="3:21" x14ac:dyDescent="0.55000000000000004">
      <c r="H144" s="13"/>
      <c r="I144" s="13"/>
      <c r="J144" s="15"/>
      <c r="K144" s="13"/>
      <c r="L144" s="13"/>
      <c r="M144" s="13"/>
      <c r="N144" s="13"/>
      <c r="O144" s="13"/>
      <c r="R144" s="13"/>
    </row>
    <row r="145" spans="3:20" x14ac:dyDescent="0.55000000000000004">
      <c r="C145" s="8" t="s">
        <v>97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9"/>
      <c r="O145" s="9"/>
      <c r="P145" s="9"/>
      <c r="Q145" s="9"/>
      <c r="R145" s="9"/>
    </row>
    <row r="146" spans="3:20" ht="8.1" customHeight="1" x14ac:dyDescent="0.55000000000000004">
      <c r="H146" s="13"/>
      <c r="I146" s="13"/>
      <c r="J146" s="15"/>
      <c r="K146" s="13"/>
      <c r="L146" s="13"/>
      <c r="M146" s="13"/>
      <c r="N146" s="13"/>
      <c r="O146" s="13"/>
      <c r="R146" s="13"/>
    </row>
    <row r="147" spans="3:20" s="25" customFormat="1" x14ac:dyDescent="0.55000000000000004">
      <c r="C147" s="62" t="s">
        <v>74</v>
      </c>
      <c r="D147" s="51"/>
      <c r="E147" s="51"/>
      <c r="F147" s="51"/>
      <c r="H147" s="60">
        <v>660</v>
      </c>
      <c r="I147" s="60">
        <v>713</v>
      </c>
      <c r="J147" s="169">
        <v>814</v>
      </c>
      <c r="K147" s="21">
        <f>-K152*K76/365</f>
        <v>796.88201067348632</v>
      </c>
      <c r="L147" s="21">
        <f>-L152*L76/365</f>
        <v>823.19238682237904</v>
      </c>
      <c r="M147" s="21">
        <f>-M152*M76/365</f>
        <v>851.11951582263657</v>
      </c>
      <c r="N147" s="21">
        <f>-N152*N76/365</f>
        <v>880.77121552127585</v>
      </c>
      <c r="O147" s="21">
        <f>-O152*O76/365</f>
        <v>912.25401784061341</v>
      </c>
      <c r="P147"/>
      <c r="Q147" s="132"/>
      <c r="R147" s="132"/>
      <c r="T147" s="52"/>
    </row>
    <row r="148" spans="3:20" s="25" customFormat="1" x14ac:dyDescent="0.55000000000000004">
      <c r="C148" s="62" t="s">
        <v>75</v>
      </c>
      <c r="D148" s="51"/>
      <c r="E148" s="51"/>
      <c r="F148" s="51"/>
      <c r="H148" s="60">
        <v>344</v>
      </c>
      <c r="I148" s="60">
        <v>353</v>
      </c>
      <c r="J148" s="169">
        <v>336</v>
      </c>
      <c r="K148" s="21">
        <f>K153*K73/365</f>
        <v>380.60975467838603</v>
      </c>
      <c r="L148" s="21">
        <f>L153*L73/365</f>
        <v>394.20879437779382</v>
      </c>
      <c r="M148" s="21">
        <f>M153*M73/365</f>
        <v>408.65571735369861</v>
      </c>
      <c r="N148" s="21">
        <f>N153*N73/365</f>
        <v>424.00914337635265</v>
      </c>
      <c r="O148" s="21">
        <f>O153*O73/365</f>
        <v>440.32769221600807</v>
      </c>
      <c r="P148"/>
      <c r="Q148" s="132"/>
      <c r="R148" s="132"/>
      <c r="T148" s="52"/>
    </row>
    <row r="149" spans="3:20" s="25" customFormat="1" x14ac:dyDescent="0.55000000000000004">
      <c r="C149" s="62" t="s">
        <v>76</v>
      </c>
      <c r="D149" s="51"/>
      <c r="E149" s="51"/>
      <c r="F149" s="51"/>
      <c r="H149" s="60">
        <v>-3070</v>
      </c>
      <c r="I149" s="60">
        <v>-3051</v>
      </c>
      <c r="J149" s="169">
        <v>-2837</v>
      </c>
      <c r="K149" s="21">
        <f>+K154*K76/365</f>
        <v>-3260.6272368963714</v>
      </c>
      <c r="L149" s="21">
        <f>+L154*L76/365</f>
        <v>-3368.2822321591752</v>
      </c>
      <c r="M149" s="21">
        <f>+M154*M76/365</f>
        <v>-3482.5525460160516</v>
      </c>
      <c r="N149" s="21">
        <f>+N154*N76/365</f>
        <v>-3603.8793401495309</v>
      </c>
      <c r="O149" s="21">
        <f>+O154*O76/365</f>
        <v>-3732.698514583521</v>
      </c>
      <c r="P149"/>
      <c r="Q149" s="132"/>
      <c r="R149" s="132"/>
      <c r="T149" s="52"/>
    </row>
    <row r="150" spans="3:20" s="25" customFormat="1" x14ac:dyDescent="0.55000000000000004">
      <c r="C150" s="170" t="s">
        <v>80</v>
      </c>
      <c r="D150" s="170"/>
      <c r="E150" s="170"/>
      <c r="F150" s="170"/>
      <c r="H150" s="171">
        <f>SUM(H147:H149)</f>
        <v>-2066</v>
      </c>
      <c r="I150" s="171">
        <f t="shared" ref="I150:J150" si="88">SUM(I147:I149)</f>
        <v>-1985</v>
      </c>
      <c r="J150" s="172">
        <f t="shared" si="88"/>
        <v>-1687</v>
      </c>
      <c r="K150" s="171">
        <f t="shared" ref="K150" si="89">SUM(K147:K149)</f>
        <v>-2083.1354715444991</v>
      </c>
      <c r="L150" s="171">
        <f t="shared" ref="L150" si="90">SUM(L147:L149)</f>
        <v>-2150.8810509590021</v>
      </c>
      <c r="M150" s="171">
        <f t="shared" ref="M150" si="91">SUM(M147:M149)</f>
        <v>-2222.7773128397166</v>
      </c>
      <c r="N150" s="171">
        <f t="shared" ref="N150" si="92">SUM(N147:N149)</f>
        <v>-2299.0989812519024</v>
      </c>
      <c r="O150" s="171">
        <f t="shared" ref="O150" si="93">SUM(O147:O149)</f>
        <v>-2380.1168045268996</v>
      </c>
      <c r="P150"/>
      <c r="Q150" s="143"/>
      <c r="R150" s="143"/>
      <c r="T150" s="52"/>
    </row>
    <row r="151" spans="3:20" ht="5.0999999999999996" customHeight="1" x14ac:dyDescent="0.55000000000000004">
      <c r="C151" s="115"/>
      <c r="D151" s="115"/>
      <c r="E151" s="115"/>
      <c r="F151" s="115"/>
      <c r="G151" s="25"/>
      <c r="H151" s="173"/>
      <c r="I151" s="173"/>
      <c r="J151" s="174"/>
      <c r="L151"/>
      <c r="M151"/>
      <c r="N151"/>
      <c r="O151"/>
      <c r="R151"/>
    </row>
    <row r="152" spans="3:20" s="144" customFormat="1" x14ac:dyDescent="0.55000000000000004">
      <c r="C152" s="175" t="s">
        <v>77</v>
      </c>
      <c r="D152" s="175"/>
      <c r="E152" s="175"/>
      <c r="F152" s="175"/>
      <c r="H152" s="176">
        <f>-H147/H76*365</f>
        <v>17.492012779552716</v>
      </c>
      <c r="I152" s="176">
        <f>-I147/I76*365</f>
        <v>19.12441211052322</v>
      </c>
      <c r="J152" s="177">
        <f>-J147/J76*365</f>
        <v>22.053889548693586</v>
      </c>
      <c r="K152" s="146">
        <f>AVERAGE(H152:J152)</f>
        <v>19.556771479589841</v>
      </c>
      <c r="L152" s="145">
        <f>K152</f>
        <v>19.556771479589841</v>
      </c>
      <c r="M152" s="145">
        <f t="shared" ref="M152:O154" si="94">L152</f>
        <v>19.556771479589841</v>
      </c>
      <c r="N152" s="145">
        <f t="shared" si="94"/>
        <v>19.556771479589841</v>
      </c>
      <c r="O152" s="145">
        <f t="shared" si="94"/>
        <v>19.556771479589841</v>
      </c>
      <c r="P152" s="14"/>
      <c r="Q152" s="132"/>
      <c r="R152" s="132"/>
      <c r="T152" s="52"/>
    </row>
    <row r="153" spans="3:20" s="144" customFormat="1" x14ac:dyDescent="0.55000000000000004">
      <c r="C153" s="175" t="s">
        <v>78</v>
      </c>
      <c r="D153" s="175"/>
      <c r="E153" s="175"/>
      <c r="F153" s="175"/>
      <c r="H153" s="176">
        <f>+H148/H73*365</f>
        <v>7.0797857344234556</v>
      </c>
      <c r="I153" s="176">
        <f>+I148/I73*365</f>
        <v>7.3474566605839415</v>
      </c>
      <c r="J153" s="177">
        <f>+J148/J73*365</f>
        <v>6.9689737470167064</v>
      </c>
      <c r="K153" s="146">
        <f>AVERAGE(H153:J153)</f>
        <v>7.1320720473413672</v>
      </c>
      <c r="L153" s="145">
        <f>K153</f>
        <v>7.1320720473413672</v>
      </c>
      <c r="M153" s="145">
        <f t="shared" si="94"/>
        <v>7.1320720473413672</v>
      </c>
      <c r="N153" s="145">
        <f t="shared" si="94"/>
        <v>7.1320720473413672</v>
      </c>
      <c r="O153" s="145">
        <f t="shared" si="94"/>
        <v>7.1320720473413672</v>
      </c>
      <c r="P153" s="14"/>
      <c r="Q153" s="132"/>
      <c r="R153" s="132"/>
      <c r="T153" s="52"/>
    </row>
    <row r="154" spans="3:20" s="144" customFormat="1" x14ac:dyDescent="0.55000000000000004">
      <c r="C154" s="175" t="s">
        <v>79</v>
      </c>
      <c r="D154" s="175"/>
      <c r="E154" s="175"/>
      <c r="F154" s="175"/>
      <c r="H154" s="176">
        <f>+H149/H76*365</f>
        <v>81.364362474586116</v>
      </c>
      <c r="I154" s="176">
        <f>+I149/I76*365</f>
        <v>81.835317460317469</v>
      </c>
      <c r="J154" s="177">
        <f>+J149/J76*365</f>
        <v>76.863494655581945</v>
      </c>
      <c r="K154" s="146">
        <f>AVERAGE(H154:J154)</f>
        <v>80.02105819682852</v>
      </c>
      <c r="L154" s="145">
        <f>K154</f>
        <v>80.02105819682852</v>
      </c>
      <c r="M154" s="145">
        <f t="shared" si="94"/>
        <v>80.02105819682852</v>
      </c>
      <c r="N154" s="145">
        <f t="shared" si="94"/>
        <v>80.02105819682852</v>
      </c>
      <c r="O154" s="145">
        <f t="shared" si="94"/>
        <v>80.02105819682852</v>
      </c>
      <c r="P154" s="14"/>
      <c r="Q154" s="132"/>
      <c r="R154" s="132"/>
      <c r="T154" s="52"/>
    </row>
    <row r="155" spans="3:20" x14ac:dyDescent="0.55000000000000004">
      <c r="H155"/>
      <c r="I155"/>
      <c r="J155" s="15"/>
      <c r="K155" s="13"/>
      <c r="L155"/>
      <c r="M155"/>
      <c r="N155"/>
      <c r="O155"/>
      <c r="R155"/>
    </row>
    <row r="156" spans="3:20" x14ac:dyDescent="0.55000000000000004">
      <c r="C156" s="8" t="s">
        <v>21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9"/>
      <c r="O156" s="9"/>
      <c r="P156" s="9"/>
      <c r="Q156" s="9"/>
      <c r="R156" s="9"/>
    </row>
    <row r="157" spans="3:20" ht="8.1" customHeight="1" x14ac:dyDescent="0.55000000000000004">
      <c r="H157" s="13"/>
      <c r="I157" s="13"/>
      <c r="J157" s="15"/>
      <c r="K157" s="13"/>
      <c r="L157" s="13"/>
      <c r="M157" s="13"/>
      <c r="N157" s="13"/>
      <c r="O157" s="13"/>
      <c r="R157" s="13"/>
    </row>
    <row r="158" spans="3:20" ht="15.75" thickBot="1" x14ac:dyDescent="0.6">
      <c r="C158" s="41" t="s">
        <v>10</v>
      </c>
      <c r="D158" s="40"/>
      <c r="E158" s="40"/>
      <c r="F158" s="40"/>
      <c r="H158" s="13"/>
      <c r="I158" s="13"/>
      <c r="J158" s="15"/>
      <c r="K158" s="13"/>
      <c r="L158" s="13"/>
      <c r="M158" s="13"/>
      <c r="N158" s="13"/>
      <c r="O158" s="13"/>
      <c r="R158" s="13"/>
    </row>
    <row r="159" spans="3:20" ht="5.0999999999999996" customHeight="1" thickTop="1" x14ac:dyDescent="0.55000000000000004">
      <c r="C159" s="20"/>
      <c r="D159" s="20"/>
      <c r="E159" s="20"/>
      <c r="F159" s="20"/>
      <c r="H159" s="13"/>
      <c r="I159" s="13"/>
      <c r="J159" s="15"/>
      <c r="K159" s="13"/>
      <c r="L159" s="13"/>
      <c r="M159" s="13"/>
      <c r="N159" s="13"/>
      <c r="O159" s="13"/>
      <c r="Q159" s="13"/>
      <c r="R159" s="13"/>
    </row>
    <row r="160" spans="3:20" x14ac:dyDescent="0.55000000000000004">
      <c r="C160" t="s">
        <v>19</v>
      </c>
      <c r="H160" s="36"/>
      <c r="I160" s="36"/>
      <c r="J160" s="36"/>
      <c r="K160" s="112">
        <f>J162</f>
        <v>250</v>
      </c>
      <c r="L160" s="21">
        <f t="shared" ref="L160:O160" si="95">+K162</f>
        <v>250</v>
      </c>
      <c r="M160" s="21">
        <f t="shared" si="95"/>
        <v>250</v>
      </c>
      <c r="N160" s="21">
        <f>+M162</f>
        <v>250</v>
      </c>
      <c r="O160" s="21">
        <f t="shared" si="95"/>
        <v>250</v>
      </c>
      <c r="Q160" s="36"/>
      <c r="R160" s="36"/>
    </row>
    <row r="161" spans="3:20" x14ac:dyDescent="0.55000000000000004">
      <c r="C161" t="s">
        <v>5</v>
      </c>
      <c r="H161" s="36"/>
      <c r="I161" s="36"/>
      <c r="J161" s="113"/>
      <c r="K161" s="21">
        <f>+K142</f>
        <v>0</v>
      </c>
      <c r="L161" s="21">
        <f>+L142</f>
        <v>0</v>
      </c>
      <c r="M161" s="21">
        <f>+M142</f>
        <v>0</v>
      </c>
      <c r="N161" s="21">
        <f>+N142</f>
        <v>0</v>
      </c>
      <c r="O161" s="21">
        <f>+O142</f>
        <v>0</v>
      </c>
      <c r="Q161" s="36"/>
      <c r="R161" s="36"/>
    </row>
    <row r="162" spans="3:20" x14ac:dyDescent="0.55000000000000004">
      <c r="C162" s="168" t="s">
        <v>20</v>
      </c>
      <c r="D162" s="37"/>
      <c r="E162" s="37"/>
      <c r="F162" s="37"/>
      <c r="H162" s="38"/>
      <c r="I162" s="38"/>
      <c r="J162" s="114">
        <f>+K11</f>
        <v>250</v>
      </c>
      <c r="K162" s="69">
        <f t="shared" ref="K162:O162" si="96">+K160+K161</f>
        <v>250</v>
      </c>
      <c r="L162" s="69">
        <f t="shared" si="96"/>
        <v>250</v>
      </c>
      <c r="M162" s="69">
        <f t="shared" si="96"/>
        <v>250</v>
      </c>
      <c r="N162" s="69">
        <f t="shared" si="96"/>
        <v>250</v>
      </c>
      <c r="O162" s="69">
        <f t="shared" si="96"/>
        <v>250</v>
      </c>
      <c r="Q162" s="38"/>
      <c r="R162" s="38"/>
    </row>
    <row r="163" spans="3:20" ht="5.0999999999999996" customHeight="1" x14ac:dyDescent="0.55000000000000004">
      <c r="H163" s="13"/>
      <c r="I163" s="13"/>
      <c r="J163" s="15"/>
      <c r="K163" s="13"/>
      <c r="L163" s="13"/>
      <c r="M163" s="13"/>
      <c r="N163" s="13"/>
      <c r="O163" s="13"/>
      <c r="Q163" s="13"/>
      <c r="R163" s="13"/>
    </row>
    <row r="164" spans="3:20" x14ac:dyDescent="0.55000000000000004">
      <c r="C164" s="6" t="s">
        <v>14</v>
      </c>
      <c r="D164" s="7"/>
      <c r="E164" s="7"/>
      <c r="F164" s="7"/>
      <c r="G164" s="7"/>
      <c r="H164" s="55"/>
      <c r="I164" s="55"/>
      <c r="J164" s="167"/>
      <c r="K164" s="165">
        <f>+K173+K181</f>
        <v>-107.214972</v>
      </c>
      <c r="L164" s="165">
        <f t="shared" ref="L164:O164" si="97">+L173+L181</f>
        <v>-91.517417051239491</v>
      </c>
      <c r="M164" s="165">
        <f t="shared" si="97"/>
        <v>-87.758240540536846</v>
      </c>
      <c r="N164" s="165">
        <f t="shared" si="97"/>
        <v>-83.078646792739633</v>
      </c>
      <c r="O164" s="166">
        <f t="shared" si="97"/>
        <v>-75.600516023014961</v>
      </c>
      <c r="Q164" s="55"/>
      <c r="R164" s="55"/>
    </row>
    <row r="165" spans="3:20" x14ac:dyDescent="0.55000000000000004">
      <c r="J165" s="15"/>
      <c r="K165" s="13"/>
      <c r="Q165" s="2"/>
    </row>
    <row r="166" spans="3:20" ht="15.75" thickBot="1" x14ac:dyDescent="0.6">
      <c r="C166" s="41" t="s">
        <v>13</v>
      </c>
      <c r="D166" s="40"/>
      <c r="E166" s="40"/>
      <c r="F166" s="40"/>
      <c r="J166" s="15"/>
      <c r="K166" s="13"/>
      <c r="Q166" s="2"/>
    </row>
    <row r="167" spans="3:20" ht="3" customHeight="1" thickTop="1" x14ac:dyDescent="0.55000000000000004">
      <c r="C167" s="20"/>
      <c r="D167" s="20"/>
      <c r="E167" s="20"/>
      <c r="F167" s="20"/>
      <c r="H167" s="13"/>
      <c r="I167" s="13"/>
      <c r="J167" s="15"/>
      <c r="K167" s="13"/>
      <c r="L167" s="13"/>
      <c r="M167" s="13"/>
      <c r="N167" s="13"/>
      <c r="O167" s="13"/>
      <c r="Q167" s="13"/>
      <c r="R167" s="13"/>
    </row>
    <row r="168" spans="3:20" s="25" customFormat="1" x14ac:dyDescent="0.55000000000000004">
      <c r="C168" s="25" t="s">
        <v>19</v>
      </c>
      <c r="H168" s="29"/>
      <c r="I168" s="29"/>
      <c r="J168" s="30"/>
      <c r="K168" s="73">
        <v>0</v>
      </c>
      <c r="L168" s="21">
        <f t="shared" ref="L168:O168" si="98">+K171</f>
        <v>0</v>
      </c>
      <c r="M168" s="21">
        <f t="shared" si="98"/>
        <v>0</v>
      </c>
      <c r="N168" s="21">
        <f>+M171</f>
        <v>0</v>
      </c>
      <c r="O168" s="21">
        <f t="shared" si="98"/>
        <v>0</v>
      </c>
      <c r="P168"/>
      <c r="Q168" s="29"/>
      <c r="R168" s="29"/>
    </row>
    <row r="169" spans="3:20" s="25" customFormat="1" x14ac:dyDescent="0.55000000000000004">
      <c r="C169" s="25" t="s">
        <v>12</v>
      </c>
      <c r="G169"/>
      <c r="H169" s="29"/>
      <c r="I169" s="29"/>
      <c r="J169" s="30"/>
      <c r="K169" s="21">
        <f t="shared" ref="K169:O170" si="99">+K139</f>
        <v>0</v>
      </c>
      <c r="L169" s="21">
        <f t="shared" si="99"/>
        <v>0</v>
      </c>
      <c r="M169" s="21">
        <f t="shared" si="99"/>
        <v>0</v>
      </c>
      <c r="N169" s="21">
        <f t="shared" si="99"/>
        <v>0</v>
      </c>
      <c r="O169" s="21">
        <f t="shared" si="99"/>
        <v>0</v>
      </c>
      <c r="P169"/>
      <c r="Q169" s="29"/>
      <c r="R169" s="29"/>
    </row>
    <row r="170" spans="3:20" s="25" customFormat="1" x14ac:dyDescent="0.55000000000000004">
      <c r="C170" s="25" t="s">
        <v>11</v>
      </c>
      <c r="G170"/>
      <c r="H170" s="29"/>
      <c r="I170" s="29"/>
      <c r="J170" s="30"/>
      <c r="K170" s="21">
        <f t="shared" si="99"/>
        <v>0</v>
      </c>
      <c r="L170" s="21">
        <f t="shared" si="99"/>
        <v>0</v>
      </c>
      <c r="M170" s="21">
        <f t="shared" si="99"/>
        <v>0</v>
      </c>
      <c r="N170" s="21">
        <f t="shared" si="99"/>
        <v>0</v>
      </c>
      <c r="O170" s="21">
        <f t="shared" si="99"/>
        <v>0</v>
      </c>
      <c r="P170"/>
      <c r="Q170" s="29"/>
      <c r="R170" s="29"/>
    </row>
    <row r="171" spans="3:20" s="25" customFormat="1" x14ac:dyDescent="0.55000000000000004">
      <c r="C171" s="152" t="s">
        <v>20</v>
      </c>
      <c r="D171" s="28"/>
      <c r="E171" s="28"/>
      <c r="F171" s="28"/>
      <c r="G171"/>
      <c r="H171" s="31"/>
      <c r="I171" s="31"/>
      <c r="J171" s="32"/>
      <c r="K171" s="69">
        <f>SUM(K168:K170)</f>
        <v>0</v>
      </c>
      <c r="L171" s="69">
        <f t="shared" ref="L171:O171" si="100">SUM(L168:L170)</f>
        <v>0</v>
      </c>
      <c r="M171" s="69">
        <f t="shared" si="100"/>
        <v>0</v>
      </c>
      <c r="N171" s="69">
        <f t="shared" si="100"/>
        <v>0</v>
      </c>
      <c r="O171" s="69">
        <f t="shared" si="100"/>
        <v>0</v>
      </c>
      <c r="P171"/>
      <c r="Q171" s="31"/>
      <c r="R171" s="31"/>
    </row>
    <row r="172" spans="3:20" x14ac:dyDescent="0.55000000000000004">
      <c r="E172" s="53" t="s">
        <v>25</v>
      </c>
      <c r="F172" s="53" t="s">
        <v>26</v>
      </c>
      <c r="H172" s="13"/>
      <c r="I172" s="13"/>
      <c r="J172" s="15"/>
      <c r="Q172" s="13"/>
      <c r="R172" s="13"/>
    </row>
    <row r="173" spans="3:20" s="14" customFormat="1" x14ac:dyDescent="0.55000000000000004">
      <c r="C173" s="14" t="s">
        <v>18</v>
      </c>
      <c r="E173" s="149">
        <v>9.8779999999999996E-3</v>
      </c>
      <c r="F173" s="151">
        <v>0.02</v>
      </c>
      <c r="G173"/>
      <c r="H173" s="29"/>
      <c r="I173" s="29"/>
      <c r="J173" s="30"/>
      <c r="K173" s="72">
        <f>-K168*SUM($E$173:$F$173)</f>
        <v>0</v>
      </c>
      <c r="L173" s="72">
        <f t="shared" ref="L173:O173" si="101">-L168*SUM($E$173:$F$173)</f>
        <v>0</v>
      </c>
      <c r="M173" s="72">
        <f t="shared" si="101"/>
        <v>0</v>
      </c>
      <c r="N173" s="72">
        <f t="shared" si="101"/>
        <v>0</v>
      </c>
      <c r="O173" s="72">
        <f t="shared" si="101"/>
        <v>0</v>
      </c>
      <c r="P173"/>
      <c r="Q173" s="29"/>
      <c r="R173" s="29"/>
      <c r="T173" s="52" t="s">
        <v>99</v>
      </c>
    </row>
    <row r="174" spans="3:20" x14ac:dyDescent="0.55000000000000004">
      <c r="F174" s="42"/>
      <c r="H174" s="13"/>
      <c r="I174" s="13"/>
      <c r="J174" s="15"/>
      <c r="Q174" s="13"/>
      <c r="R174" s="13"/>
    </row>
    <row r="175" spans="3:20" ht="15.75" thickBot="1" x14ac:dyDescent="0.6">
      <c r="C175" s="41" t="s">
        <v>65</v>
      </c>
      <c r="D175" s="40"/>
      <c r="E175" s="40"/>
      <c r="F175" s="40"/>
      <c r="H175" s="13"/>
      <c r="I175" s="13"/>
      <c r="J175" s="15"/>
      <c r="Q175" s="13"/>
      <c r="R175" s="13"/>
    </row>
    <row r="176" spans="3:20" ht="3" customHeight="1" thickTop="1" x14ac:dyDescent="0.55000000000000004">
      <c r="C176" s="20"/>
      <c r="D176" s="20"/>
      <c r="E176" s="20"/>
      <c r="F176" s="20"/>
      <c r="H176" s="13"/>
      <c r="I176" s="13"/>
      <c r="J176" s="15"/>
      <c r="Q176" s="13"/>
      <c r="R176" s="13"/>
    </row>
    <row r="177" spans="3:20" s="25" customFormat="1" x14ac:dyDescent="0.55000000000000004">
      <c r="C177" s="25" t="s">
        <v>47</v>
      </c>
      <c r="G177"/>
      <c r="H177" s="29"/>
      <c r="I177" s="29"/>
      <c r="J177" s="29"/>
      <c r="K177" s="112">
        <f>J179</f>
        <v>3074</v>
      </c>
      <c r="L177" s="21">
        <f>+K179</f>
        <v>2623.9296132587733</v>
      </c>
      <c r="M177" s="21">
        <f t="shared" ref="M177:O177" si="102">+L179</f>
        <v>2516.1488772445909</v>
      </c>
      <c r="N177" s="21">
        <f t="shared" si="102"/>
        <v>2381.9785192023519</v>
      </c>
      <c r="O177" s="21">
        <f t="shared" si="102"/>
        <v>2167.5702741847285</v>
      </c>
      <c r="P177"/>
      <c r="Q177" s="29"/>
      <c r="R177" s="29"/>
    </row>
    <row r="178" spans="3:20" s="25" customFormat="1" x14ac:dyDescent="0.55000000000000004">
      <c r="C178" s="25" t="s">
        <v>11</v>
      </c>
      <c r="E178" s="53"/>
      <c r="F178" s="53"/>
      <c r="G178"/>
      <c r="H178" s="29"/>
      <c r="I178" s="29"/>
      <c r="J178" s="30"/>
      <c r="K178" s="209">
        <f>-MIN(K177,K137+K139+K140)</f>
        <v>-450.07038674122668</v>
      </c>
      <c r="L178" s="210">
        <f t="shared" ref="L178:O178" si="103">-MIN(L177,L137+L139+L140)</f>
        <v>-107.78073601418221</v>
      </c>
      <c r="M178" s="210">
        <f t="shared" si="103"/>
        <v>-134.170358042239</v>
      </c>
      <c r="N178" s="210">
        <f t="shared" si="103"/>
        <v>-214.40824501762341</v>
      </c>
      <c r="O178" s="210">
        <f t="shared" si="103"/>
        <v>-311.60390538404329</v>
      </c>
      <c r="P178"/>
      <c r="Q178" s="29"/>
      <c r="R178" s="29"/>
    </row>
    <row r="179" spans="3:20" s="27" customFormat="1" x14ac:dyDescent="0.55000000000000004">
      <c r="C179" s="152" t="s">
        <v>46</v>
      </c>
      <c r="D179" s="28"/>
      <c r="E179" s="71"/>
      <c r="F179" s="71"/>
      <c r="G179" s="3"/>
      <c r="H179" s="31"/>
      <c r="I179" s="31"/>
      <c r="J179" s="164">
        <f>+K10</f>
        <v>3074</v>
      </c>
      <c r="K179" s="111">
        <f>K177+K178</f>
        <v>2623.9296132587733</v>
      </c>
      <c r="L179" s="111">
        <f t="shared" ref="L179:O179" si="104">L177+L178</f>
        <v>2516.1488772445909</v>
      </c>
      <c r="M179" s="111">
        <f t="shared" si="104"/>
        <v>2381.9785192023519</v>
      </c>
      <c r="N179" s="111">
        <f>N177+N178</f>
        <v>2167.5702741847285</v>
      </c>
      <c r="O179" s="111">
        <f t="shared" si="104"/>
        <v>1855.9663688006854</v>
      </c>
      <c r="P179" s="3"/>
      <c r="Q179" s="31"/>
      <c r="R179" s="31"/>
    </row>
    <row r="180" spans="3:20" s="25" customFormat="1" x14ac:dyDescent="0.55000000000000004">
      <c r="E180" s="53" t="s">
        <v>25</v>
      </c>
      <c r="F180" s="53" t="s">
        <v>26</v>
      </c>
      <c r="G180"/>
      <c r="H180" s="21"/>
      <c r="I180" s="21"/>
      <c r="J180" s="70"/>
      <c r="K180" s="35"/>
      <c r="L180" s="2"/>
      <c r="M180" s="2"/>
      <c r="N180" s="2"/>
      <c r="O180" s="2"/>
      <c r="P180"/>
      <c r="Q180" s="21"/>
      <c r="R180" s="21"/>
    </row>
    <row r="181" spans="3:20" s="14" customFormat="1" x14ac:dyDescent="0.55000000000000004">
      <c r="C181" s="14" t="s">
        <v>18</v>
      </c>
      <c r="E181" s="150">
        <f>+E173</f>
        <v>9.8779999999999996E-3</v>
      </c>
      <c r="F181" s="151">
        <v>2.5000000000000001E-2</v>
      </c>
      <c r="G181"/>
      <c r="H181" s="29"/>
      <c r="I181" s="29"/>
      <c r="J181" s="30"/>
      <c r="K181" s="72">
        <f>-K177*SUM($E181:$F181)</f>
        <v>-107.214972</v>
      </c>
      <c r="L181" s="72">
        <f>-L177*SUM($E181:$F181)</f>
        <v>-91.517417051239491</v>
      </c>
      <c r="M181" s="72">
        <f t="shared" ref="M181" si="105">-M177*SUM($E181:$F181)</f>
        <v>-87.758240540536846</v>
      </c>
      <c r="N181" s="72">
        <f>-N177*SUM($E181:$F181)</f>
        <v>-83.078646792739633</v>
      </c>
      <c r="O181" s="72">
        <f>-O177*SUM($E181:$F181)</f>
        <v>-75.600516023014961</v>
      </c>
      <c r="P181"/>
      <c r="Q181" s="29"/>
      <c r="R181" s="29"/>
      <c r="T181" s="52" t="s">
        <v>98</v>
      </c>
    </row>
    <row r="182" spans="3:20" ht="9" customHeight="1" x14ac:dyDescent="0.55000000000000004">
      <c r="H182" s="13"/>
      <c r="I182" s="13"/>
      <c r="J182" s="128"/>
      <c r="K182"/>
      <c r="L182"/>
      <c r="M182" s="21"/>
      <c r="N182" s="21"/>
      <c r="O182" s="21"/>
      <c r="R182"/>
    </row>
    <row r="183" spans="3:20" s="25" customFormat="1" x14ac:dyDescent="0.55000000000000004">
      <c r="C183" s="25" t="s">
        <v>133</v>
      </c>
      <c r="G183"/>
      <c r="H183" s="29"/>
      <c r="I183" s="29"/>
      <c r="J183" s="29"/>
      <c r="K183" s="112">
        <f>K171+K179</f>
        <v>2623.9296132587733</v>
      </c>
      <c r="L183" s="207">
        <f t="shared" ref="L183:O183" si="106">L171+L179</f>
        <v>2516.1488772445909</v>
      </c>
      <c r="M183" s="207">
        <f t="shared" si="106"/>
        <v>2381.9785192023519</v>
      </c>
      <c r="N183" s="207">
        <f t="shared" si="106"/>
        <v>2167.5702741847285</v>
      </c>
      <c r="O183" s="207">
        <f t="shared" si="106"/>
        <v>1855.9663688006854</v>
      </c>
      <c r="P183"/>
      <c r="Q183" s="29"/>
      <c r="R183" s="29"/>
    </row>
    <row r="184" spans="3:20" s="25" customFormat="1" x14ac:dyDescent="0.55000000000000004">
      <c r="C184" s="25" t="s">
        <v>134</v>
      </c>
      <c r="G184"/>
      <c r="H184" s="29"/>
      <c r="I184" s="29"/>
      <c r="J184" s="29"/>
      <c r="K184" s="112">
        <f>K183-K162</f>
        <v>2373.9296132587733</v>
      </c>
      <c r="L184" s="207">
        <f t="shared" ref="L184:O184" si="107">L183-L162</f>
        <v>2266.1488772445909</v>
      </c>
      <c r="M184" s="207">
        <f t="shared" si="107"/>
        <v>2131.9785192023519</v>
      </c>
      <c r="N184" s="207">
        <f t="shared" si="107"/>
        <v>1917.5702741847285</v>
      </c>
      <c r="O184" s="207">
        <f t="shared" si="107"/>
        <v>1605.9663688006854</v>
      </c>
      <c r="P184"/>
      <c r="Q184" s="29"/>
      <c r="R184" s="29"/>
    </row>
    <row r="185" spans="3:20" x14ac:dyDescent="0.55000000000000004">
      <c r="C185" t="s">
        <v>131</v>
      </c>
      <c r="H185" s="29"/>
      <c r="I185" s="29"/>
      <c r="J185" s="29"/>
      <c r="K185" s="217">
        <f>K183/K$107</f>
        <v>3.170703822909835</v>
      </c>
      <c r="L185" s="217">
        <f t="shared" ref="L185:O185" si="108">L183/L$107</f>
        <v>3.0796315157731886</v>
      </c>
      <c r="M185" s="217">
        <f t="shared" si="108"/>
        <v>2.7479384099030284</v>
      </c>
      <c r="N185" s="217">
        <f t="shared" si="108"/>
        <v>2.196515545769667</v>
      </c>
      <c r="O185" s="217">
        <f t="shared" si="108"/>
        <v>1.6463210903449468</v>
      </c>
      <c r="Q185" s="29"/>
      <c r="R185" s="29"/>
    </row>
    <row r="186" spans="3:20" x14ac:dyDescent="0.55000000000000004">
      <c r="C186" s="3" t="s">
        <v>132</v>
      </c>
      <c r="D186" s="3"/>
      <c r="E186" s="3"/>
      <c r="F186" s="3"/>
      <c r="G186" s="3"/>
      <c r="H186" s="218"/>
      <c r="I186" s="218"/>
      <c r="J186" s="218"/>
      <c r="K186" s="219">
        <f>K184/K$107</f>
        <v>2.8686088460773584</v>
      </c>
      <c r="L186" s="219">
        <f t="shared" ref="L186:O186" si="109">L184/L$107</f>
        <v>2.7736449003124948</v>
      </c>
      <c r="M186" s="219">
        <f t="shared" si="109"/>
        <v>2.459529174917229</v>
      </c>
      <c r="N186" s="219">
        <f t="shared" si="109"/>
        <v>1.9431770990385888</v>
      </c>
      <c r="O186" s="219">
        <f t="shared" si="109"/>
        <v>1.4245604596002219</v>
      </c>
      <c r="Q186" s="29"/>
      <c r="R186" s="29"/>
    </row>
    <row r="187" spans="3:20" x14ac:dyDescent="0.55000000000000004">
      <c r="C187" t="s">
        <v>135</v>
      </c>
      <c r="H187" s="29"/>
      <c r="I187" s="29"/>
      <c r="J187" s="29"/>
      <c r="K187" s="217">
        <f>-K107/K136</f>
        <v>7.7186450195182381</v>
      </c>
      <c r="L187" s="217">
        <f t="shared" ref="L187:O187" si="110">-L107/L136</f>
        <v>8.9275815194527688</v>
      </c>
      <c r="M187" s="217">
        <f t="shared" si="110"/>
        <v>9.8774067564799406</v>
      </c>
      <c r="N187" s="217">
        <f t="shared" si="110"/>
        <v>11.878168757940355</v>
      </c>
      <c r="O187" s="217">
        <f t="shared" si="110"/>
        <v>14.911825079878938</v>
      </c>
      <c r="Q187" s="29"/>
      <c r="R187" s="29"/>
    </row>
    <row r="188" spans="3:20" ht="9" customHeight="1" x14ac:dyDescent="0.55000000000000004">
      <c r="H188" s="13"/>
      <c r="I188" s="13"/>
      <c r="J188" s="128"/>
      <c r="K188"/>
      <c r="L188"/>
      <c r="M188" s="21"/>
      <c r="N188" s="21"/>
      <c r="O188" s="21"/>
      <c r="R188"/>
    </row>
    <row r="189" spans="3:20" x14ac:dyDescent="0.55000000000000004">
      <c r="C189" s="8" t="s">
        <v>48</v>
      </c>
      <c r="D189" s="8"/>
      <c r="E189" s="8"/>
      <c r="F189" s="8"/>
      <c r="G189" s="8"/>
      <c r="H189" s="8"/>
      <c r="I189" s="8"/>
      <c r="J189" s="77"/>
      <c r="K189" s="8"/>
      <c r="L189" s="8"/>
      <c r="M189" s="8"/>
      <c r="N189" s="9"/>
      <c r="O189" s="9"/>
      <c r="P189" s="9"/>
      <c r="Q189" s="9"/>
      <c r="R189" s="8"/>
    </row>
    <row r="190" spans="3:20" ht="8.1" customHeight="1" x14ac:dyDescent="0.55000000000000004">
      <c r="H190" s="13"/>
      <c r="I190" s="13"/>
      <c r="J190" s="15"/>
      <c r="K190" s="13"/>
      <c r="L190" s="13"/>
      <c r="M190" s="13"/>
      <c r="N190" s="13"/>
      <c r="O190" s="13"/>
      <c r="Q190" s="13"/>
      <c r="R190" s="13"/>
    </row>
    <row r="191" spans="3:20" x14ac:dyDescent="0.55000000000000004">
      <c r="C191" t="s">
        <v>49</v>
      </c>
      <c r="H191" s="29"/>
      <c r="I191" s="29"/>
      <c r="J191" s="70">
        <f t="shared" ref="J191:O191" si="111">+J107</f>
        <v>706</v>
      </c>
      <c r="K191" s="21">
        <f t="shared" si="111"/>
        <v>827.55430964558741</v>
      </c>
      <c r="L191" s="21">
        <f t="shared" si="111"/>
        <v>817.02920117469739</v>
      </c>
      <c r="M191" s="21">
        <f t="shared" si="111"/>
        <v>866.82383805189045</v>
      </c>
      <c r="N191" s="21">
        <f t="shared" si="111"/>
        <v>986.82218678548156</v>
      </c>
      <c r="O191" s="21">
        <f t="shared" si="111"/>
        <v>1127.341670883784</v>
      </c>
      <c r="Q191" s="29"/>
      <c r="R191" s="29"/>
    </row>
    <row r="192" spans="3:20" x14ac:dyDescent="0.55000000000000004">
      <c r="C192" s="234" t="s">
        <v>57</v>
      </c>
      <c r="D192" s="234"/>
      <c r="E192" s="234"/>
      <c r="F192" s="234"/>
      <c r="G192" s="234"/>
      <c r="H192" s="235"/>
      <c r="I192" s="235"/>
      <c r="J192" s="155">
        <f>$L$13</f>
        <v>10.479930240793202</v>
      </c>
      <c r="K192" s="87">
        <v>10</v>
      </c>
      <c r="L192" s="84">
        <f>$K192</f>
        <v>10</v>
      </c>
      <c r="M192" s="84">
        <f t="shared" ref="M192" si="112">$K192</f>
        <v>10</v>
      </c>
      <c r="N192" s="84">
        <f>$K192</f>
        <v>10</v>
      </c>
      <c r="O192" s="84">
        <f>$K192</f>
        <v>10</v>
      </c>
      <c r="Q192" s="86"/>
      <c r="R192" s="86"/>
    </row>
    <row r="193" spans="3:18" x14ac:dyDescent="0.55000000000000004">
      <c r="C193" s="18" t="s">
        <v>58</v>
      </c>
      <c r="D193" s="85"/>
      <c r="E193" s="85"/>
      <c r="F193" s="85"/>
      <c r="G193" s="85"/>
      <c r="H193" s="88"/>
      <c r="I193" s="88"/>
      <c r="J193" s="67">
        <f t="shared" ref="J193" si="113">J191*J192</f>
        <v>7398.8307500000001</v>
      </c>
      <c r="K193" s="66">
        <f>K191*K192</f>
        <v>8275.5430964558745</v>
      </c>
      <c r="L193" s="66">
        <f t="shared" ref="L193:O193" si="114">L191*L192</f>
        <v>8170.2920117469739</v>
      </c>
      <c r="M193" s="66">
        <f t="shared" si="114"/>
        <v>8668.2383805189038</v>
      </c>
      <c r="N193" s="66">
        <f t="shared" si="114"/>
        <v>9868.2218678548161</v>
      </c>
      <c r="O193" s="66">
        <f t="shared" si="114"/>
        <v>11273.41670883784</v>
      </c>
      <c r="Q193" s="88"/>
      <c r="R193" s="88"/>
    </row>
    <row r="194" spans="3:18" ht="5.0999999999999996" customHeight="1" x14ac:dyDescent="0.55000000000000004">
      <c r="C194" s="3"/>
      <c r="H194" s="21"/>
      <c r="I194" s="21"/>
      <c r="J194" s="68"/>
      <c r="K194" s="89"/>
      <c r="L194" s="89"/>
      <c r="M194" s="89"/>
      <c r="N194" s="89"/>
      <c r="O194" s="89"/>
      <c r="Q194" s="21"/>
      <c r="R194" s="21"/>
    </row>
    <row r="195" spans="3:18" x14ac:dyDescent="0.55000000000000004">
      <c r="C195" t="s">
        <v>50</v>
      </c>
      <c r="H195" s="29"/>
      <c r="I195" s="29"/>
      <c r="J195" s="70">
        <f t="shared" ref="J195:O195" si="115">-(J171+J179-J162)</f>
        <v>-2824</v>
      </c>
      <c r="K195" s="21">
        <f t="shared" si="115"/>
        <v>-2373.9296132587733</v>
      </c>
      <c r="L195" s="21">
        <f t="shared" si="115"/>
        <v>-2266.1488772445909</v>
      </c>
      <c r="M195" s="21">
        <f t="shared" si="115"/>
        <v>-2131.9785192023519</v>
      </c>
      <c r="N195" s="21">
        <f t="shared" si="115"/>
        <v>-1917.5702741847285</v>
      </c>
      <c r="O195" s="21">
        <f t="shared" si="115"/>
        <v>-1605.9663688006854</v>
      </c>
      <c r="Q195" s="29"/>
      <c r="R195" s="29"/>
    </row>
    <row r="196" spans="3:18" x14ac:dyDescent="0.55000000000000004">
      <c r="C196" s="90" t="s">
        <v>51</v>
      </c>
      <c r="D196" s="90"/>
      <c r="E196" s="90"/>
      <c r="F196" s="90"/>
      <c r="G196" s="90"/>
      <c r="H196" s="91"/>
      <c r="I196" s="91"/>
      <c r="J196" s="156">
        <f t="shared" ref="J196:O196" si="116">J193+J195</f>
        <v>4574.8307500000001</v>
      </c>
      <c r="K196" s="92">
        <f t="shared" si="116"/>
        <v>5901.6134831971012</v>
      </c>
      <c r="L196" s="92">
        <f t="shared" si="116"/>
        <v>5904.143134502383</v>
      </c>
      <c r="M196" s="92">
        <f t="shared" si="116"/>
        <v>6536.2598613165519</v>
      </c>
      <c r="N196" s="92">
        <f t="shared" si="116"/>
        <v>7950.6515936700871</v>
      </c>
      <c r="O196" s="92">
        <f t="shared" si="116"/>
        <v>9667.4503400371541</v>
      </c>
      <c r="Q196" s="91"/>
      <c r="R196" s="91"/>
    </row>
    <row r="197" spans="3:18" ht="5.0999999999999996" customHeight="1" x14ac:dyDescent="0.55000000000000004">
      <c r="C197" s="3"/>
      <c r="D197" s="3"/>
      <c r="E197" s="3"/>
      <c r="F197" s="3"/>
      <c r="G197" s="3"/>
      <c r="H197" s="89"/>
      <c r="I197" s="89"/>
      <c r="J197" s="57"/>
      <c r="K197" s="56"/>
      <c r="L197" s="56"/>
      <c r="M197" s="56"/>
      <c r="N197" s="56"/>
      <c r="O197" s="56"/>
      <c r="Q197" s="89"/>
      <c r="R197" s="89"/>
    </row>
    <row r="198" spans="3:18" x14ac:dyDescent="0.55000000000000004">
      <c r="C198" t="s">
        <v>72</v>
      </c>
      <c r="E198" s="14"/>
      <c r="F198" s="211">
        <v>0.1</v>
      </c>
      <c r="H198" s="29"/>
      <c r="I198" s="29"/>
      <c r="J198" s="70">
        <v>0</v>
      </c>
      <c r="K198" s="21">
        <f>-K196*$F198</f>
        <v>-590.1613483197101</v>
      </c>
      <c r="L198" s="21">
        <f t="shared" ref="L198:M198" si="117">-L196*$F198</f>
        <v>-590.4143134502383</v>
      </c>
      <c r="M198" s="21">
        <f t="shared" si="117"/>
        <v>-653.62598613165528</v>
      </c>
      <c r="N198" s="21">
        <f>-N196*$F198</f>
        <v>-795.06515936700873</v>
      </c>
      <c r="O198" s="21">
        <f>-O196*$F198</f>
        <v>-966.74503400371543</v>
      </c>
      <c r="Q198" s="29"/>
      <c r="R198" s="29"/>
    </row>
    <row r="199" spans="3:18" x14ac:dyDescent="0.55000000000000004">
      <c r="C199" s="18" t="s">
        <v>52</v>
      </c>
      <c r="D199" s="18"/>
      <c r="E199" s="18"/>
      <c r="F199" s="18"/>
      <c r="G199" s="18"/>
      <c r="H199" s="31"/>
      <c r="I199" s="31"/>
      <c r="J199" s="67">
        <f t="shared" ref="J199" si="118">J196+J198</f>
        <v>4574.8307500000001</v>
      </c>
      <c r="K199" s="66">
        <f>K196+K198</f>
        <v>5311.4521348773915</v>
      </c>
      <c r="L199" s="66">
        <f t="shared" ref="L199:O199" si="119">L196+L198</f>
        <v>5313.7288210521447</v>
      </c>
      <c r="M199" s="66">
        <f t="shared" si="119"/>
        <v>5882.6338751848962</v>
      </c>
      <c r="N199" s="66">
        <f t="shared" si="119"/>
        <v>7155.586434303078</v>
      </c>
      <c r="O199" s="66">
        <f t="shared" si="119"/>
        <v>8700.7053060334383</v>
      </c>
      <c r="Q199" s="31"/>
      <c r="R199" s="31"/>
    </row>
    <row r="200" spans="3:18" ht="5.0999999999999996" customHeight="1" x14ac:dyDescent="0.55000000000000004">
      <c r="H200" s="21"/>
      <c r="I200" s="21"/>
      <c r="J200" s="70"/>
      <c r="Q200" s="21"/>
      <c r="R200" s="21"/>
    </row>
    <row r="201" spans="3:18" ht="5.0999999999999996" customHeight="1" x14ac:dyDescent="0.55000000000000004">
      <c r="H201" s="21"/>
      <c r="I201" s="21"/>
      <c r="J201" s="70"/>
      <c r="Q201" s="21"/>
      <c r="R201" s="21"/>
    </row>
    <row r="202" spans="3:18" ht="14.25" customHeight="1" x14ac:dyDescent="0.55000000000000004">
      <c r="F202" s="53" t="s">
        <v>105</v>
      </c>
      <c r="H202" s="21"/>
      <c r="I202" s="21"/>
      <c r="J202" s="70"/>
      <c r="Q202" s="21"/>
      <c r="R202" s="21"/>
    </row>
    <row r="203" spans="3:18" x14ac:dyDescent="0.55000000000000004">
      <c r="C203" t="s">
        <v>53</v>
      </c>
      <c r="F203" s="163">
        <f>+O19</f>
        <v>46053</v>
      </c>
      <c r="H203" s="29"/>
      <c r="I203" s="29"/>
      <c r="J203" s="70">
        <f>-J199</f>
        <v>-4574.8307500000001</v>
      </c>
      <c r="K203" s="21">
        <f>K$199*(K19=$F$203)</f>
        <v>0</v>
      </c>
      <c r="L203" s="21">
        <f>L$199*(L19=$F$203)</f>
        <v>0</v>
      </c>
      <c r="M203" s="21">
        <f>M$199*(M19=$F$203)</f>
        <v>0</v>
      </c>
      <c r="N203" s="21">
        <f>N$199*(N19=$F$203)</f>
        <v>0</v>
      </c>
      <c r="O203" s="21">
        <f>O$199*(O19=$F$203)</f>
        <v>8700.7053060334383</v>
      </c>
      <c r="Q203" s="29"/>
      <c r="R203" s="29"/>
    </row>
    <row r="204" spans="3:18" x14ac:dyDescent="0.55000000000000004">
      <c r="R204"/>
    </row>
    <row r="205" spans="3:18" x14ac:dyDescent="0.55000000000000004">
      <c r="C205" s="78" t="s">
        <v>54</v>
      </c>
      <c r="D205" s="79"/>
      <c r="E205" s="79"/>
      <c r="F205" s="93">
        <f>IFERROR(XIRR(J203:O203,J19:O19),"n/a")</f>
        <v>0.13711740374565123</v>
      </c>
      <c r="O205" s="21"/>
      <c r="R205"/>
    </row>
    <row r="206" spans="3:18" x14ac:dyDescent="0.55000000000000004">
      <c r="C206" s="80" t="s">
        <v>55</v>
      </c>
      <c r="D206" s="81"/>
      <c r="E206" s="81"/>
      <c r="F206" s="94">
        <f>-SUM(K203:O203)/J203</f>
        <v>1.9018638680859261</v>
      </c>
    </row>
    <row r="207" spans="3:18" ht="15.75" thickBot="1" x14ac:dyDescent="0.6">
      <c r="C207" s="82" t="s">
        <v>56</v>
      </c>
      <c r="D207" s="83"/>
      <c r="E207" s="83"/>
      <c r="F207" s="95">
        <f>SUM(K203:O203)+J203</f>
        <v>4125.8745560334382</v>
      </c>
    </row>
    <row r="208" spans="3:18" x14ac:dyDescent="0.55000000000000004">
      <c r="I208"/>
      <c r="J208"/>
      <c r="K208"/>
    </row>
    <row r="209" spans="3:18" x14ac:dyDescent="0.55000000000000004">
      <c r="C209" s="8" t="s">
        <v>128</v>
      </c>
      <c r="D209" s="8"/>
      <c r="E209" s="8"/>
      <c r="F209" s="8"/>
      <c r="G209" s="8"/>
      <c r="H209" s="8"/>
      <c r="I209" s="8"/>
      <c r="J209" s="77"/>
      <c r="K209" s="8"/>
      <c r="L209" s="8"/>
      <c r="M209" s="8"/>
      <c r="N209" s="9"/>
      <c r="O209" s="9"/>
      <c r="P209" s="9"/>
      <c r="Q209" s="9"/>
      <c r="R209" s="8"/>
    </row>
    <row r="211" spans="3:18" x14ac:dyDescent="0.55000000000000004">
      <c r="C211" s="20" t="s">
        <v>127</v>
      </c>
      <c r="I211"/>
      <c r="J211"/>
      <c r="K211" s="212" t="s">
        <v>136</v>
      </c>
      <c r="L211" s="212"/>
      <c r="M211" s="212"/>
      <c r="N211" s="212"/>
      <c r="O211" s="212"/>
    </row>
    <row r="212" spans="3:18" x14ac:dyDescent="0.55000000000000004">
      <c r="I212"/>
      <c r="J212" s="214">
        <f>$F$205</f>
        <v>0.13711740374565123</v>
      </c>
      <c r="K212" s="107">
        <f>($F$9*(1+K214)*$F$11/100+$F$13)/$J$107</f>
        <v>9.1799220963172807</v>
      </c>
      <c r="L212" s="107">
        <f t="shared" ref="L212:O212" si="120">($F$9*(1+L214)*$F$11/100+$F$13)/$J$107</f>
        <v>9.7780453257790363</v>
      </c>
      <c r="M212" s="107">
        <f t="shared" si="120"/>
        <v>10.376168555240794</v>
      </c>
      <c r="N212" s="107">
        <f t="shared" si="120"/>
        <v>10.974291784702547</v>
      </c>
      <c r="O212" s="107">
        <f t="shared" si="120"/>
        <v>11.572415014164307</v>
      </c>
    </row>
    <row r="213" spans="3:18" x14ac:dyDescent="0.55000000000000004">
      <c r="I213"/>
      <c r="J213" s="214"/>
      <c r="K213" s="212" t="s">
        <v>137</v>
      </c>
      <c r="L213" s="212"/>
      <c r="M213" s="212"/>
      <c r="N213" s="212"/>
      <c r="O213" s="212"/>
    </row>
    <row r="214" spans="3:18" x14ac:dyDescent="0.55000000000000004">
      <c r="I214"/>
      <c r="J214" s="214">
        <f>$F$205</f>
        <v>0.13711740374565123</v>
      </c>
      <c r="K214" s="220">
        <f>L214-0.1</f>
        <v>9.9999999999999978E-2</v>
      </c>
      <c r="L214" s="220">
        <f>M214-0.1</f>
        <v>0.19999999999999998</v>
      </c>
      <c r="M214" s="220">
        <v>0.3</v>
      </c>
      <c r="N214" s="220">
        <f>M214+10%</f>
        <v>0.4</v>
      </c>
      <c r="O214" s="220">
        <f>N214+10%</f>
        <v>0.5</v>
      </c>
    </row>
    <row r="215" spans="3:18" x14ac:dyDescent="0.55000000000000004">
      <c r="I215"/>
      <c r="J215" s="213">
        <f>J216-1</f>
        <v>8</v>
      </c>
      <c r="K215" s="222">
        <f t="dataTable" ref="K215:O219" dt2D="1" dtr="1" r1="F10" r2="K192" ca="1"/>
        <v>0.12373880743980409</v>
      </c>
      <c r="L215" s="222">
        <v>9.9631696939468384E-2</v>
      </c>
      <c r="M215" s="222">
        <v>7.8329828381538416E-2</v>
      </c>
      <c r="N215" s="222">
        <v>5.9287360310554496E-2</v>
      </c>
      <c r="O215" s="222">
        <v>4.2100420594215399E-2</v>
      </c>
    </row>
    <row r="216" spans="3:18" x14ac:dyDescent="0.55000000000000004">
      <c r="I216"/>
      <c r="J216" s="213">
        <f>J217-1</f>
        <v>9</v>
      </c>
      <c r="K216" s="222">
        <v>0.15599313378334048</v>
      </c>
      <c r="L216" s="222">
        <v>0.13119408488273621</v>
      </c>
      <c r="M216" s="222">
        <v>0.1092807948589325</v>
      </c>
      <c r="N216" s="222">
        <v>8.9691755175590512E-2</v>
      </c>
      <c r="O216" s="222">
        <v>7.2011503577232364E-2</v>
      </c>
    </row>
    <row r="217" spans="3:18" x14ac:dyDescent="0.55000000000000004">
      <c r="H217" s="3"/>
      <c r="I217" s="221" t="s">
        <v>126</v>
      </c>
      <c r="J217" s="213">
        <v>10</v>
      </c>
      <c r="K217" s="222">
        <v>0.18500196337699892</v>
      </c>
      <c r="L217" s="222">
        <v>0.15958058238029482</v>
      </c>
      <c r="M217" s="242">
        <v>0.13711740374565123</v>
      </c>
      <c r="N217" s="222">
        <v>0.11703678965568542</v>
      </c>
      <c r="O217" s="222">
        <v>9.8912864923477173E-2</v>
      </c>
    </row>
    <row r="218" spans="3:18" x14ac:dyDescent="0.55000000000000004">
      <c r="I218"/>
      <c r="J218" s="213">
        <f>J217+1</f>
        <v>11</v>
      </c>
      <c r="K218" s="222">
        <v>0.21141874194145205</v>
      </c>
      <c r="L218" s="222">
        <v>0.18543066382408144</v>
      </c>
      <c r="M218" s="222">
        <v>0.16246671080589295</v>
      </c>
      <c r="N218" s="222">
        <v>0.14193845391273505</v>
      </c>
      <c r="O218" s="222">
        <v>0.1234104931354523</v>
      </c>
    </row>
    <row r="219" spans="3:18" x14ac:dyDescent="0.55000000000000004">
      <c r="I219"/>
      <c r="J219" s="213">
        <f>J218+1</f>
        <v>12</v>
      </c>
      <c r="K219" s="222">
        <v>0.23571268916130064</v>
      </c>
      <c r="L219" s="222">
        <v>0.20920343995094304</v>
      </c>
      <c r="M219" s="222">
        <v>0.18577896952629092</v>
      </c>
      <c r="N219" s="222">
        <v>0.16483902335166931</v>
      </c>
      <c r="O219" s="222">
        <v>0.14593951106071476</v>
      </c>
    </row>
    <row r="221" spans="3:18" x14ac:dyDescent="0.55000000000000004">
      <c r="I221"/>
      <c r="J221"/>
      <c r="K221" s="212" t="s">
        <v>129</v>
      </c>
      <c r="L221" s="212"/>
      <c r="M221" s="212"/>
      <c r="N221" s="212"/>
      <c r="O221" s="212"/>
    </row>
    <row r="222" spans="3:18" x14ac:dyDescent="0.55000000000000004">
      <c r="I222"/>
      <c r="J222" s="214">
        <f>$F$205</f>
        <v>0.13711740374565123</v>
      </c>
      <c r="K222" s="215">
        <f>L222-1</f>
        <v>-2</v>
      </c>
      <c r="L222" s="215">
        <f>M222-1</f>
        <v>-1</v>
      </c>
      <c r="M222" s="215">
        <v>0</v>
      </c>
      <c r="N222" s="215">
        <f>M222+1</f>
        <v>1</v>
      </c>
      <c r="O222" s="215">
        <f>N222+1</f>
        <v>2</v>
      </c>
    </row>
    <row r="223" spans="3:18" x14ac:dyDescent="0.55000000000000004">
      <c r="I223"/>
      <c r="J223" s="216">
        <f>J224-1%</f>
        <v>-0.02</v>
      </c>
      <c r="K223" s="222">
        <f t="dataTable" ref="K223:O227" dt2D="1" dtr="1" r1="U25" r2="U78"/>
        <v>0.24421539902687073</v>
      </c>
      <c r="L223" s="222">
        <v>0.24930855631828308</v>
      </c>
      <c r="M223" s="222">
        <v>0.25431351065635677</v>
      </c>
      <c r="N223" s="222">
        <v>0.2592444956302643</v>
      </c>
      <c r="O223" s="222">
        <v>0.26410097479820249</v>
      </c>
    </row>
    <row r="224" spans="3:18" x14ac:dyDescent="0.55000000000000004">
      <c r="I224"/>
      <c r="J224" s="216">
        <f>J225-1%</f>
        <v>-0.01</v>
      </c>
      <c r="K224" s="222">
        <v>0.19021040797233579</v>
      </c>
      <c r="L224" s="222">
        <v>0.19586915373802188</v>
      </c>
      <c r="M224" s="222">
        <v>0.20141506791114808</v>
      </c>
      <c r="N224" s="222">
        <v>0.20686594843864442</v>
      </c>
      <c r="O224" s="222">
        <v>0.21222191452980044</v>
      </c>
    </row>
    <row r="225" spans="3:15" x14ac:dyDescent="0.55000000000000004">
      <c r="H225" s="3"/>
      <c r="I225" s="221" t="s">
        <v>130</v>
      </c>
      <c r="J225" s="216">
        <v>0</v>
      </c>
      <c r="K225" s="222">
        <v>0.12412696480751037</v>
      </c>
      <c r="L225" s="222">
        <v>0.1307017266750336</v>
      </c>
      <c r="M225" s="242">
        <v>0.13711740374565123</v>
      </c>
      <c r="N225" s="222">
        <v>0.14339832663536076</v>
      </c>
      <c r="O225" s="222">
        <v>0.14954641461372381</v>
      </c>
    </row>
    <row r="226" spans="3:15" x14ac:dyDescent="0.55000000000000004">
      <c r="I226"/>
      <c r="J226" s="216">
        <f>J225+1%</f>
        <v>0.01</v>
      </c>
      <c r="K226" s="222">
        <v>3.7438133358955392E-2</v>
      </c>
      <c r="L226" s="222">
        <v>4.5741292834281924E-2</v>
      </c>
      <c r="M226" s="222">
        <v>5.3775760531425479E-2</v>
      </c>
      <c r="N226" s="222">
        <v>6.158160269260407E-2</v>
      </c>
      <c r="O226" s="222">
        <v>6.9168356060981775E-2</v>
      </c>
    </row>
    <row r="227" spans="3:15" x14ac:dyDescent="0.55000000000000004">
      <c r="I227"/>
      <c r="J227" s="216">
        <f>J226+1%</f>
        <v>0.02</v>
      </c>
      <c r="K227" s="222">
        <v>-9.4486054778099057E-2</v>
      </c>
      <c r="L227" s="222">
        <v>-8.1572410464286829E-2</v>
      </c>
      <c r="M227" s="222">
        <v>-6.9368341565132149E-2</v>
      </c>
      <c r="N227" s="222">
        <v>-5.7758101820945734E-2</v>
      </c>
      <c r="O227" s="222">
        <v>-4.6688887476921084E-2</v>
      </c>
    </row>
    <row r="229" spans="3:15" x14ac:dyDescent="0.55000000000000004">
      <c r="C229" s="20" t="s">
        <v>138</v>
      </c>
    </row>
    <row r="231" spans="3:15" x14ac:dyDescent="0.55000000000000004">
      <c r="C231" t="s">
        <v>139</v>
      </c>
    </row>
    <row r="233" spans="3:15" x14ac:dyDescent="0.55000000000000004">
      <c r="H233" s="223" t="s">
        <v>140</v>
      </c>
      <c r="I233" s="223" t="s">
        <v>141</v>
      </c>
      <c r="J233" s="223" t="s">
        <v>142</v>
      </c>
      <c r="K233" s="223" t="s">
        <v>143</v>
      </c>
      <c r="L233" s="223" t="s">
        <v>144</v>
      </c>
      <c r="M233" s="223" t="s">
        <v>145</v>
      </c>
    </row>
    <row r="234" spans="3:15" x14ac:dyDescent="0.55000000000000004">
      <c r="C234" t="s">
        <v>146</v>
      </c>
      <c r="H234" s="224">
        <f>J73</f>
        <v>17598</v>
      </c>
      <c r="I234" s="224">
        <f>O73</f>
        <v>22534.770623742457</v>
      </c>
      <c r="J234" s="224">
        <f>I234-H234</f>
        <v>4936.7706237424572</v>
      </c>
      <c r="K234" s="224">
        <f>J234*H235*H236</f>
        <v>2055.0450881930988</v>
      </c>
      <c r="L234" s="214">
        <f>K234/$F$207</f>
        <v>0.49808714741167315</v>
      </c>
      <c r="M234" s="236">
        <f>L234*$F$205</f>
        <v>6.8296416492166084E-2</v>
      </c>
    </row>
    <row r="235" spans="3:15" x14ac:dyDescent="0.55000000000000004">
      <c r="C235" t="s">
        <v>147</v>
      </c>
      <c r="H235" s="214">
        <f>J108</f>
        <v>4.0118195249460163E-2</v>
      </c>
      <c r="I235" s="214">
        <f>O108</f>
        <v>5.0026764847387696E-2</v>
      </c>
      <c r="J235" s="225">
        <f>I235-H235</f>
        <v>9.9085695979275329E-3</v>
      </c>
      <c r="K235" s="225">
        <f>I234*J235*H236</f>
        <v>2316.8671082438373</v>
      </c>
      <c r="L235" s="214">
        <f t="shared" ref="L235:L238" si="121">K235/$F$207</f>
        <v>0.5615456981976793</v>
      </c>
      <c r="M235" s="236">
        <f t="shared" ref="M235:M238" si="122">L235*$F$205</f>
        <v>7.6997688221404806E-2</v>
      </c>
    </row>
    <row r="236" spans="3:15" x14ac:dyDescent="0.55000000000000004">
      <c r="C236" t="s">
        <v>148</v>
      </c>
      <c r="H236" s="227">
        <f>F16</f>
        <v>10.376168555240794</v>
      </c>
      <c r="I236" s="227">
        <f>O192</f>
        <v>10</v>
      </c>
      <c r="J236" s="225">
        <f>I236-H236</f>
        <v>-0.37616855524079362</v>
      </c>
      <c r="K236" s="225">
        <f>I234*I235*J236</f>
        <v>-424.07048759909526</v>
      </c>
      <c r="L236" s="214">
        <f t="shared" si="121"/>
        <v>-0.1027831752613417</v>
      </c>
      <c r="M236" s="236">
        <f t="shared" si="122"/>
        <v>-1.4093362140569422E-2</v>
      </c>
    </row>
    <row r="237" spans="3:15" x14ac:dyDescent="0.55000000000000004">
      <c r="C237" t="s">
        <v>149</v>
      </c>
      <c r="H237" s="225">
        <f>J179-J162</f>
        <v>2824</v>
      </c>
      <c r="I237" s="225">
        <f>-O195</f>
        <v>1605.9663688006854</v>
      </c>
      <c r="J237" s="225">
        <f>I237-H237</f>
        <v>-1218.0336311993146</v>
      </c>
      <c r="K237" s="225">
        <f>-J237-R11</f>
        <v>1144.7778811993146</v>
      </c>
      <c r="L237" s="214">
        <f t="shared" si="121"/>
        <v>0.27746308465080649</v>
      </c>
      <c r="M237" s="236">
        <f t="shared" si="122"/>
        <v>3.8045017802578442E-2</v>
      </c>
    </row>
    <row r="238" spans="3:15" x14ac:dyDescent="0.55000000000000004">
      <c r="C238" t="s">
        <v>154</v>
      </c>
      <c r="H238" s="225"/>
      <c r="I238" s="225"/>
      <c r="J238" s="225"/>
      <c r="K238" s="225">
        <f>O198</f>
        <v>-966.74503400371543</v>
      </c>
      <c r="L238" s="214">
        <f t="shared" si="121"/>
        <v>-0.2343127549988169</v>
      </c>
      <c r="M238" s="236">
        <f t="shared" si="122"/>
        <v>-3.2128356629928634E-2</v>
      </c>
    </row>
    <row r="239" spans="3:15" x14ac:dyDescent="0.55000000000000004">
      <c r="C239" s="14" t="s">
        <v>150</v>
      </c>
      <c r="D239" s="14"/>
      <c r="E239" s="14"/>
      <c r="F239" s="14"/>
      <c r="G239" s="14"/>
      <c r="H239" s="14"/>
      <c r="I239" s="14"/>
      <c r="J239" s="226"/>
      <c r="K239" s="226">
        <f>SUM(K234:K238)-F207</f>
        <v>0</v>
      </c>
      <c r="L239" s="214">
        <f>SUM(L234:L238)</f>
        <v>1.0000000000000004</v>
      </c>
      <c r="M239" s="226">
        <f>SUM(M234:M238)-F205</f>
        <v>0</v>
      </c>
    </row>
  </sheetData>
  <sortState xmlns:xlrd2="http://schemas.microsoft.com/office/spreadsheetml/2017/richdata2" ref="C3">
    <sortCondition ref="C3"/>
  </sortState>
  <pageMargins left="0.70866141732283472" right="0.70866141732283472" top="0.74803149606299213" bottom="0.74803149606299213" header="0.31496062992125984" footer="0.31496062992125984"/>
  <pageSetup scale="33" orientation="portrait" r:id="rId1"/>
  <rowBreaks count="1" manualBreakCount="1">
    <brk id="155" min="1" max="20" man="1"/>
  </rowBreaks>
  <customProperties>
    <customPr name="Gu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FD61-4732-4E1C-B7F3-092245513482}">
  <dimension ref="C1:V35"/>
  <sheetViews>
    <sheetView showGridLines="0" view="pageBreakPreview" zoomScale="90" zoomScaleNormal="100" zoomScaleSheetLayoutView="90" workbookViewId="0">
      <selection activeCell="G14" sqref="G14"/>
    </sheetView>
  </sheetViews>
  <sheetFormatPr defaultRowHeight="15.4" x14ac:dyDescent="0.55000000000000004"/>
  <cols>
    <col min="1" max="3" width="1.73046875" customWidth="1"/>
    <col min="4" max="12" width="9.265625" customWidth="1"/>
    <col min="13" max="13" width="1.73046875" customWidth="1"/>
  </cols>
  <sheetData>
    <row r="1" spans="3:22" ht="9" customHeight="1" x14ac:dyDescent="0.55000000000000004">
      <c r="G1" s="2"/>
      <c r="H1" s="2"/>
      <c r="I1" s="2"/>
      <c r="J1" s="2"/>
      <c r="K1" s="2"/>
      <c r="L1" s="2"/>
    </row>
    <row r="2" spans="3:22" ht="9" customHeight="1" x14ac:dyDescent="0.55000000000000004"/>
    <row r="3" spans="3:22" ht="24" x14ac:dyDescent="0.85">
      <c r="C3" s="1" t="s">
        <v>107</v>
      </c>
      <c r="D3" s="1"/>
      <c r="E3" s="1"/>
      <c r="F3" s="3"/>
      <c r="G3" s="2"/>
      <c r="H3" s="2"/>
      <c r="I3" s="2"/>
      <c r="J3" s="2"/>
      <c r="K3" s="2"/>
      <c r="L3" s="2"/>
    </row>
    <row r="4" spans="3:22" ht="3" customHeight="1" x14ac:dyDescent="0.55000000000000004">
      <c r="G4" s="2"/>
      <c r="H4" s="2"/>
      <c r="I4" s="2"/>
      <c r="J4" s="2"/>
      <c r="K4" s="2"/>
      <c r="L4" s="2"/>
    </row>
    <row r="5" spans="3:22" ht="3" customHeight="1" x14ac:dyDescent="0.55000000000000004">
      <c r="C5" s="4"/>
      <c r="D5" s="4"/>
      <c r="E5" s="4"/>
      <c r="F5" s="4"/>
      <c r="G5" s="5"/>
      <c r="H5" s="5"/>
      <c r="I5" s="5"/>
      <c r="J5" s="5"/>
      <c r="K5" s="5"/>
      <c r="L5" s="5"/>
    </row>
    <row r="6" spans="3:22" ht="3" customHeight="1" x14ac:dyDescent="0.55000000000000004">
      <c r="G6" s="2"/>
      <c r="H6" s="2"/>
      <c r="I6" s="2"/>
      <c r="J6" s="2"/>
      <c r="K6" s="2"/>
      <c r="L6" s="2"/>
    </row>
    <row r="7" spans="3:22" x14ac:dyDescent="0.55000000000000004">
      <c r="C7" s="54"/>
    </row>
    <row r="8" spans="3:22" x14ac:dyDescent="0.55000000000000004">
      <c r="C8" s="54"/>
    </row>
    <row r="9" spans="3:22" ht="5.0999999999999996" customHeight="1" x14ac:dyDescent="0.55000000000000004">
      <c r="C9" s="54"/>
    </row>
    <row r="10" spans="3:22" x14ac:dyDescent="0.55000000000000004">
      <c r="C10" s="54"/>
    </row>
    <row r="11" spans="3:22" ht="8.1" customHeight="1" x14ac:dyDescent="0.55000000000000004">
      <c r="C11" s="54"/>
    </row>
    <row r="12" spans="3:22" x14ac:dyDescent="0.55000000000000004">
      <c r="C12" s="54"/>
      <c r="D12" s="20" t="s">
        <v>177</v>
      </c>
    </row>
    <row r="13" spans="3:22" x14ac:dyDescent="0.55000000000000004">
      <c r="C13" s="54"/>
    </row>
    <row r="14" spans="3:22" x14ac:dyDescent="0.55000000000000004">
      <c r="C14" s="54"/>
      <c r="D14" t="s">
        <v>160</v>
      </c>
      <c r="G14" s="243">
        <v>0.2</v>
      </c>
    </row>
    <row r="15" spans="3:22" s="3" customFormat="1" x14ac:dyDescent="0.55000000000000004">
      <c r="C15" s="54"/>
      <c r="D15" t="s">
        <v>168</v>
      </c>
      <c r="E15"/>
      <c r="G15" s="25">
        <f>'2. Operating Model'!O199</f>
        <v>8700.7053060334383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3:22" s="3" customFormat="1" x14ac:dyDescent="0.55000000000000004">
      <c r="C16" s="54"/>
      <c r="D16" s="37" t="s">
        <v>161</v>
      </c>
      <c r="E16" s="37"/>
      <c r="F16" s="37"/>
      <c r="G16" s="28">
        <f>G15/(1+G14)^5</f>
        <v>3496.6183232194567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3:22" x14ac:dyDescent="0.55000000000000004">
      <c r="C17" s="54"/>
      <c r="D17" t="s">
        <v>169</v>
      </c>
      <c r="G17" s="25">
        <f>'2. Operating Model'!K9</f>
        <v>2824</v>
      </c>
    </row>
    <row r="18" spans="3:22" x14ac:dyDescent="0.55000000000000004">
      <c r="C18" s="54"/>
      <c r="D18" s="37" t="s">
        <v>162</v>
      </c>
      <c r="E18" s="37"/>
      <c r="F18" s="37"/>
      <c r="G18" s="28">
        <f>G16+G17</f>
        <v>6320.6183232194562</v>
      </c>
    </row>
    <row r="19" spans="3:22" x14ac:dyDescent="0.55000000000000004">
      <c r="C19" s="54"/>
      <c r="D19" t="s">
        <v>163</v>
      </c>
      <c r="G19" s="25">
        <f>-'2. Operating Model'!R10</f>
        <v>-1836</v>
      </c>
    </row>
    <row r="20" spans="3:22" x14ac:dyDescent="0.55000000000000004">
      <c r="C20" s="54"/>
      <c r="D20" t="s">
        <v>164</v>
      </c>
      <c r="G20" s="25">
        <f>-'2. Operating Model'!R11</f>
        <v>-73.255750000000006</v>
      </c>
    </row>
    <row r="21" spans="3:22" x14ac:dyDescent="0.55000000000000004">
      <c r="C21" s="54"/>
      <c r="D21" s="37" t="s">
        <v>165</v>
      </c>
      <c r="E21" s="37"/>
      <c r="F21" s="37"/>
      <c r="G21" s="28">
        <f>SUM(G18:G20)</f>
        <v>4411.362573219456</v>
      </c>
    </row>
    <row r="22" spans="3:22" x14ac:dyDescent="0.55000000000000004">
      <c r="C22" s="54"/>
      <c r="D22" t="s">
        <v>170</v>
      </c>
      <c r="G22" s="25">
        <f>'2. Operating Model'!R10</f>
        <v>1836</v>
      </c>
    </row>
    <row r="23" spans="3:22" x14ac:dyDescent="0.55000000000000004">
      <c r="C23" s="54"/>
      <c r="D23" s="37" t="s">
        <v>166</v>
      </c>
      <c r="E23" s="37"/>
      <c r="F23" s="37"/>
      <c r="G23" s="28">
        <f>G21+G22</f>
        <v>6247.362573219456</v>
      </c>
    </row>
    <row r="24" spans="3:22" x14ac:dyDescent="0.55000000000000004">
      <c r="C24" s="54"/>
      <c r="D24" t="s">
        <v>167</v>
      </c>
      <c r="G24" s="25">
        <f>'2. Operating Model'!J107</f>
        <v>706</v>
      </c>
    </row>
    <row r="25" spans="3:22" x14ac:dyDescent="0.55000000000000004">
      <c r="C25" s="54"/>
      <c r="D25" s="244" t="s">
        <v>125</v>
      </c>
      <c r="E25" s="245"/>
      <c r="F25" s="245"/>
      <c r="G25" s="246">
        <f>G23/G24</f>
        <v>8.8489554861465383</v>
      </c>
    </row>
    <row r="26" spans="3:22" x14ac:dyDescent="0.55000000000000004">
      <c r="C26" s="54"/>
      <c r="D26" s="14" t="s">
        <v>188</v>
      </c>
      <c r="E26" s="14"/>
      <c r="F26" s="14"/>
      <c r="G26" s="256">
        <f>G21/('2. Operating Model'!F9*'2. Operating Model'!F11/100)-1</f>
        <v>4.4665815693435862E-2</v>
      </c>
    </row>
    <row r="27" spans="3:22" x14ac:dyDescent="0.55000000000000004">
      <c r="C27" s="54"/>
    </row>
    <row r="28" spans="3:22" s="3" customFormat="1" x14ac:dyDescent="0.55000000000000004">
      <c r="C28" s="54"/>
      <c r="D28" s="20" t="s">
        <v>109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3:22" x14ac:dyDescent="0.55000000000000004">
      <c r="C29" s="54"/>
      <c r="D29" t="s">
        <v>184</v>
      </c>
      <c r="G29" s="249">
        <f>AVERAGE(6.7,6.9,5.7)</f>
        <v>6.4333333333333336</v>
      </c>
    </row>
    <row r="30" spans="3:22" x14ac:dyDescent="0.55000000000000004">
      <c r="D30" t="s">
        <v>185</v>
      </c>
      <c r="G30" s="249">
        <f>AVERAGE(7,7.6,5)</f>
        <v>6.5333333333333341</v>
      </c>
    </row>
    <row r="31" spans="3:22" x14ac:dyDescent="0.55000000000000004">
      <c r="D31" t="s">
        <v>186</v>
      </c>
      <c r="G31" s="249">
        <v>11.5</v>
      </c>
    </row>
    <row r="32" spans="3:22" x14ac:dyDescent="0.55000000000000004">
      <c r="D32" t="s">
        <v>187</v>
      </c>
      <c r="G32" s="249">
        <v>10.4</v>
      </c>
    </row>
    <row r="34" spans="4:7" x14ac:dyDescent="0.55000000000000004">
      <c r="D34" t="s">
        <v>189</v>
      </c>
      <c r="E34" s="254"/>
      <c r="F34" s="254"/>
      <c r="G34" s="255"/>
    </row>
    <row r="35" spans="4:7" x14ac:dyDescent="0.55000000000000004">
      <c r="D35" t="s">
        <v>124</v>
      </c>
    </row>
  </sheetData>
  <pageMargins left="0.7" right="0.7" top="0.75" bottom="0.75" header="0.3" footer="0.3"/>
  <pageSetup scale="8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1. Business Assessment</vt:lpstr>
      <vt:lpstr>2. Operating Model</vt:lpstr>
      <vt:lpstr>3. Valuation</vt:lpstr>
      <vt:lpstr>'1. Business Assessment'!Print_Area</vt:lpstr>
      <vt:lpstr>'2. Operating Model'!Print_Area</vt:lpstr>
      <vt:lpstr>'3. Valuation'!Print_Area</vt:lpstr>
      <vt:lpstr>'2. Operating Model'!Print_Titles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2019-11-13T17:33:36Z</dcterms:created>
  <dcterms:modified xsi:type="dcterms:W3CDTF">2026-01-12T10:40:17Z</dcterms:modified>
</cp:coreProperties>
</file>